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3.xml" ContentType="application/vnd.openxmlformats-officedocument.drawing+xml"/>
  <Override PartName="/xl/comments3.xml" ContentType="application/vnd.openxmlformats-officedocument.spreadsheetml.comments+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omments4.xml" ContentType="application/vnd.openxmlformats-officedocument.spreadsheetml.comments+xml"/>
  <Override PartName="/xl/drawings/drawing4.xml" ContentType="application/vnd.openxmlformats-officedocument.drawing+xml"/>
  <Override PartName="/xl/comments5.xml" ContentType="application/vnd.openxmlformats-officedocument.spreadsheetml.comments+xml"/>
  <Override PartName="/xl/charts/chart15.xml" ContentType="application/vnd.openxmlformats-officedocument.drawingml.chart+xml"/>
  <Override PartName="/xl/drawings/drawing5.xml" ContentType="application/vnd.openxmlformats-officedocument.drawing+xml"/>
  <Override PartName="/xl/comments6.xml" ContentType="application/vnd.openxmlformats-officedocument.spreadsheetml.comments+xml"/>
  <Override PartName="/xl/charts/chart16.xml" ContentType="application/vnd.openxmlformats-officedocument.drawingml.chart+xml"/>
  <Override PartName="/xl/pivotTables/pivotTable1.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timelines/timeline1.xml" ContentType="application/vnd.ms-excel.timeline+xml"/>
  <Override PartName="/xl/tables/table1.xml" ContentType="application/vnd.openxmlformats-officedocument.spreadsheetml.table+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vivekkumar/Documents/NextHikes Project 1/"/>
    </mc:Choice>
  </mc:AlternateContent>
  <xr:revisionPtr revIDLastSave="0" documentId="13_ncr:1_{0924B387-C8E9-AE4D-AF91-E07ED665D3C9}" xr6:coauthVersionLast="47" xr6:coauthVersionMax="47" xr10:uidLastSave="{00000000-0000-0000-0000-000000000000}"/>
  <bookViews>
    <workbookView xWindow="0" yWindow="660" windowWidth="34560" windowHeight="20180" activeTab="1" xr2:uid="{00000000-000D-0000-FFFF-FFFF00000000}"/>
  </bookViews>
  <sheets>
    <sheet name="Cover" sheetId="1" r:id="rId1"/>
    <sheet name="Dashboard" sheetId="2" r:id="rId2"/>
    <sheet name="Insights" sheetId="3" r:id="rId3"/>
    <sheet name="Analysis" sheetId="4" r:id="rId4"/>
    <sheet name="Stats" sheetId="5" r:id="rId5"/>
    <sheet name="Anomalies" sheetId="6" r:id="rId6"/>
    <sheet name="Forecast" sheetId="7" r:id="rId7"/>
    <sheet name="Pivot" sheetId="16" r:id="rId8"/>
    <sheet name="Final_Dataset" sheetId="8" r:id="rId9"/>
    <sheet name="Dataset_A" sheetId="9" r:id="rId10"/>
    <sheet name="Dataset_1" sheetId="10" r:id="rId11"/>
    <sheet name="Dataset_2" sheetId="11" r:id="rId12"/>
    <sheet name="Dataset_3" sheetId="12" r:id="rId13"/>
    <sheet name="Data_Quality" sheetId="13" r:id="rId14"/>
    <sheet name="Lookups" sheetId="14" r:id="rId15"/>
    <sheet name="Dashboard_Calc" sheetId="15" r:id="rId16"/>
  </sheets>
  <definedNames>
    <definedName name="_xlnm._FilterDatabase" localSheetId="3" hidden="1">Analysis!$B$5:$H$29</definedName>
    <definedName name="_xlnm._FilterDatabase" localSheetId="5" hidden="1">Anomalies!$A$30:$M$1030</definedName>
    <definedName name="band_name">Lookups!$B$19:$B$23</definedName>
    <definedName name="band_start">Lookups!$A$19:$A$23</definedName>
    <definedName name="f_atemp">Final_Dataset!$K$2:$K$1001</definedName>
    <definedName name="f_casual">Final_Dataset!$N$2:$N$1001</definedName>
    <definedName name="f_Casual_Share">Final_Dataset!$AC$2:$AC$1001</definedName>
    <definedName name="f_cnt">Final_Dataset!$P$2:$P$1001</definedName>
    <definedName name="f_DateTime">Final_Dataset!$R$2:$R$1001</definedName>
    <definedName name="f_Day_Name">Final_Dataset!$T$2:$T$1001</definedName>
    <definedName name="f_Day_Type">Final_Dataset!$U$2:$U$1001</definedName>
    <definedName name="f_Demand_Level">Final_Dataset!$AD$2:$AD$1001</definedName>
    <definedName name="f_dteday">Final_Dataset!$B$2:$B$1001</definedName>
    <definedName name="f_holiday">Final_Dataset!$G$2:$G$1001</definedName>
    <definedName name="f_hr">Final_Dataset!$F$2:$F$1001</definedName>
    <definedName name="f_hum">Final_Dataset!$L$2:$L$1001</definedName>
    <definedName name="f_Humidity_Band">Final_Dataset!$AA$2:$AA$1001</definedName>
    <definedName name="f_Month">Final_Dataset!$S$2:$S$1001</definedName>
    <definedName name="f_Peak_Hour">Final_Dataset!$AB$2:$AB$1001</definedName>
    <definedName name="f_Record_ID">Final_Dataset!$Q$2:$Q$1001</definedName>
    <definedName name="f_registered">Final_Dataset!$O$2:$O$1001</definedName>
    <definedName name="f_Season_Name">Final_Dataset!$W$2:$W$1001</definedName>
    <definedName name="f_temp">Final_Dataset!$J$2:$J$1001</definedName>
    <definedName name="f_Temp_Band">Final_Dataset!$Z$2:$Z$1001</definedName>
    <definedName name="f_Time_Band">Final_Dataset!$Y$2:$Y$1001</definedName>
    <definedName name="f_Visible">Final_Dataset!$AE$2:$AE$1001</definedName>
    <definedName name="f_Weather">Final_Dataset!$X$2:$X$1001</definedName>
    <definedName name="f_weathersit">Final_Dataset!$I$2:$I$1001</definedName>
    <definedName name="f_weekday">Final_Dataset!$H$2:$H$1001</definedName>
    <definedName name="f_windspeed">Final_Dataset!$M$2:$M$1001</definedName>
    <definedName name="f_Working_Day">Final_Dataset!$V$2:$V$1001</definedName>
    <definedName name="hum_band">Lookups!$B$33:$B$35</definedName>
    <definedName name="hum_from">Lookups!$A$33:$A$35</definedName>
    <definedName name="NativeTimeline_dteday">#N/A</definedName>
    <definedName name="_xlnm.Print_Area" localSheetId="1">Dashboard!$A$1:$AO$46</definedName>
    <definedName name="Slicer_Day_Type">#N/A</definedName>
    <definedName name="Slicer_Weather">#N/A</definedName>
    <definedName name="tbl_season">Lookups!$A$12:$B$15</definedName>
    <definedName name="tbl_weather">Lookups!$A$5:$B$8</definedName>
    <definedName name="temp_band">Lookups!$B$27:$B$29</definedName>
    <definedName name="temp_from">Lookups!$A$27:$A$29</definedName>
  </definedNames>
  <calcPr calcId="191029"/>
  <pivotCaches>
    <pivotCache cacheId="20" r:id="rId17"/>
  </pivotCaches>
  <extLs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15" l="1"/>
  <c r="B9" i="15"/>
  <c r="B8" i="15"/>
  <c r="B7" i="15"/>
  <c r="B6" i="15"/>
  <c r="B5" i="15"/>
  <c r="C34" i="13"/>
  <c r="B34" i="13"/>
  <c r="C33" i="13"/>
  <c r="B33" i="13"/>
  <c r="C32" i="13"/>
  <c r="B32" i="13"/>
  <c r="C31" i="13"/>
  <c r="B31" i="13"/>
  <c r="H27" i="13"/>
  <c r="G27" i="13"/>
  <c r="F27" i="13"/>
  <c r="C27" i="13"/>
  <c r="B27" i="13"/>
  <c r="H26" i="13"/>
  <c r="G26" i="13"/>
  <c r="F26" i="13"/>
  <c r="C26" i="13"/>
  <c r="B26" i="13"/>
  <c r="H25" i="13"/>
  <c r="G25" i="13"/>
  <c r="F25" i="13"/>
  <c r="C25" i="13"/>
  <c r="B25" i="13"/>
  <c r="H24" i="13"/>
  <c r="G24" i="13"/>
  <c r="F24" i="13"/>
  <c r="C24" i="13"/>
  <c r="B24" i="13"/>
  <c r="B9" i="13"/>
  <c r="B8" i="13"/>
  <c r="G7" i="13"/>
  <c r="F7" i="13"/>
  <c r="E7" i="13"/>
  <c r="D7" i="13"/>
  <c r="B7" i="13"/>
  <c r="G6" i="13"/>
  <c r="F6" i="13"/>
  <c r="E6" i="13"/>
  <c r="D6" i="13"/>
  <c r="B6" i="13"/>
  <c r="F5" i="13"/>
  <c r="E5" i="13"/>
  <c r="D5" i="13"/>
  <c r="B5" i="13"/>
  <c r="B71" i="11"/>
  <c r="B67" i="11"/>
  <c r="B60" i="11"/>
  <c r="B50" i="11"/>
  <c r="B45" i="11"/>
  <c r="B39" i="11"/>
  <c r="B34" i="11"/>
  <c r="B30" i="11"/>
  <c r="B25" i="11"/>
  <c r="B19" i="11"/>
  <c r="B10" i="11"/>
  <c r="J611" i="9"/>
  <c r="J611" i="8" s="1"/>
  <c r="I611" i="9"/>
  <c r="I611" i="8" s="1"/>
  <c r="X611" i="8" s="1"/>
  <c r="E640" i="6" s="1"/>
  <c r="H611" i="9"/>
  <c r="H611" i="8" s="1"/>
  <c r="G611" i="9"/>
  <c r="G611" i="8" s="1"/>
  <c r="F611" i="9"/>
  <c r="F611" i="8" s="1"/>
  <c r="E611" i="9"/>
  <c r="E611" i="8" s="1"/>
  <c r="D611" i="9"/>
  <c r="D611" i="8" s="1"/>
  <c r="C611" i="9"/>
  <c r="C611" i="8" s="1"/>
  <c r="W611" i="8" s="1"/>
  <c r="B611" i="9"/>
  <c r="B611" i="8" s="1"/>
  <c r="A611" i="9"/>
  <c r="J610" i="9"/>
  <c r="J610" i="8" s="1"/>
  <c r="I610" i="9"/>
  <c r="I610" i="8" s="1"/>
  <c r="X610" i="8" s="1"/>
  <c r="E639" i="6" s="1"/>
  <c r="H610" i="9"/>
  <c r="H610" i="8" s="1"/>
  <c r="G610" i="9"/>
  <c r="G610" i="8" s="1"/>
  <c r="F610" i="9"/>
  <c r="F610" i="8" s="1"/>
  <c r="E610" i="9"/>
  <c r="E610" i="8" s="1"/>
  <c r="D610" i="9"/>
  <c r="D610" i="8" s="1"/>
  <c r="C610" i="9"/>
  <c r="C610" i="8" s="1"/>
  <c r="W610" i="8" s="1"/>
  <c r="B610" i="9"/>
  <c r="B610" i="8" s="1"/>
  <c r="A610" i="9"/>
  <c r="J609" i="9"/>
  <c r="J609" i="8" s="1"/>
  <c r="I609" i="9"/>
  <c r="I609" i="8" s="1"/>
  <c r="X609" i="8" s="1"/>
  <c r="E638" i="6" s="1"/>
  <c r="H609" i="9"/>
  <c r="H609" i="8" s="1"/>
  <c r="G609" i="9"/>
  <c r="G609" i="8" s="1"/>
  <c r="F609" i="9"/>
  <c r="F609" i="8" s="1"/>
  <c r="E609" i="9"/>
  <c r="E609" i="8" s="1"/>
  <c r="D609" i="9"/>
  <c r="D609" i="8" s="1"/>
  <c r="C609" i="9"/>
  <c r="C609" i="8" s="1"/>
  <c r="W609" i="8" s="1"/>
  <c r="B609" i="9"/>
  <c r="B609" i="8" s="1"/>
  <c r="A609" i="9"/>
  <c r="J608" i="9"/>
  <c r="J608" i="8" s="1"/>
  <c r="I608" i="9"/>
  <c r="I608" i="8" s="1"/>
  <c r="X608" i="8" s="1"/>
  <c r="E637" i="6" s="1"/>
  <c r="H608" i="9"/>
  <c r="H608" i="8" s="1"/>
  <c r="G608" i="9"/>
  <c r="G608" i="8" s="1"/>
  <c r="F608" i="9"/>
  <c r="F608" i="8" s="1"/>
  <c r="E608" i="9"/>
  <c r="E608" i="8" s="1"/>
  <c r="D608" i="9"/>
  <c r="D608" i="8" s="1"/>
  <c r="C608" i="9"/>
  <c r="C608" i="8" s="1"/>
  <c r="W608" i="8" s="1"/>
  <c r="B608" i="9"/>
  <c r="B608" i="8" s="1"/>
  <c r="A608" i="9"/>
  <c r="J607" i="9"/>
  <c r="J607" i="8" s="1"/>
  <c r="I607" i="9"/>
  <c r="I607" i="8" s="1"/>
  <c r="X607" i="8" s="1"/>
  <c r="E636" i="6" s="1"/>
  <c r="H607" i="9"/>
  <c r="H607" i="8" s="1"/>
  <c r="G607" i="9"/>
  <c r="G607" i="8" s="1"/>
  <c r="F607" i="9"/>
  <c r="F607" i="8" s="1"/>
  <c r="E607" i="9"/>
  <c r="E607" i="8" s="1"/>
  <c r="D607" i="9"/>
  <c r="D607" i="8" s="1"/>
  <c r="C607" i="9"/>
  <c r="C607" i="8" s="1"/>
  <c r="W607" i="8" s="1"/>
  <c r="B607" i="9"/>
  <c r="B607" i="8" s="1"/>
  <c r="A607" i="9"/>
  <c r="J606" i="9"/>
  <c r="J606" i="8" s="1"/>
  <c r="I606" i="9"/>
  <c r="I606" i="8" s="1"/>
  <c r="X606" i="8" s="1"/>
  <c r="E635" i="6" s="1"/>
  <c r="H606" i="9"/>
  <c r="H606" i="8" s="1"/>
  <c r="G606" i="9"/>
  <c r="G606" i="8" s="1"/>
  <c r="F606" i="9"/>
  <c r="F606" i="8" s="1"/>
  <c r="E606" i="9"/>
  <c r="E606" i="8" s="1"/>
  <c r="D606" i="9"/>
  <c r="D606" i="8" s="1"/>
  <c r="C606" i="9"/>
  <c r="C606" i="8" s="1"/>
  <c r="W606" i="8" s="1"/>
  <c r="B606" i="9"/>
  <c r="B606" i="8" s="1"/>
  <c r="A606" i="9"/>
  <c r="J605" i="9"/>
  <c r="J605" i="8" s="1"/>
  <c r="I605" i="9"/>
  <c r="I605" i="8" s="1"/>
  <c r="X605" i="8" s="1"/>
  <c r="E634" i="6" s="1"/>
  <c r="H605" i="9"/>
  <c r="H605" i="8" s="1"/>
  <c r="G605" i="9"/>
  <c r="G605" i="8" s="1"/>
  <c r="F605" i="9"/>
  <c r="F605" i="8" s="1"/>
  <c r="E605" i="9"/>
  <c r="E605" i="8" s="1"/>
  <c r="D605" i="9"/>
  <c r="D605" i="8" s="1"/>
  <c r="C605" i="9"/>
  <c r="C605" i="8" s="1"/>
  <c r="W605" i="8" s="1"/>
  <c r="B605" i="9"/>
  <c r="B605" i="8" s="1"/>
  <c r="A605" i="9"/>
  <c r="J604" i="9"/>
  <c r="J604" i="8" s="1"/>
  <c r="I604" i="9"/>
  <c r="I604" i="8" s="1"/>
  <c r="X604" i="8" s="1"/>
  <c r="E633" i="6" s="1"/>
  <c r="H604" i="9"/>
  <c r="H604" i="8" s="1"/>
  <c r="G604" i="9"/>
  <c r="G604" i="8" s="1"/>
  <c r="F604" i="9"/>
  <c r="F604" i="8" s="1"/>
  <c r="E604" i="9"/>
  <c r="E604" i="8" s="1"/>
  <c r="D604" i="9"/>
  <c r="D604" i="8" s="1"/>
  <c r="C604" i="9"/>
  <c r="C604" i="8" s="1"/>
  <c r="W604" i="8" s="1"/>
  <c r="B604" i="9"/>
  <c r="B604" i="8" s="1"/>
  <c r="A604" i="9"/>
  <c r="J603" i="9"/>
  <c r="J603" i="8" s="1"/>
  <c r="I603" i="9"/>
  <c r="I603" i="8" s="1"/>
  <c r="X603" i="8" s="1"/>
  <c r="E632" i="6" s="1"/>
  <c r="H603" i="9"/>
  <c r="H603" i="8" s="1"/>
  <c r="G603" i="9"/>
  <c r="G603" i="8" s="1"/>
  <c r="F603" i="9"/>
  <c r="F603" i="8" s="1"/>
  <c r="E603" i="9"/>
  <c r="E603" i="8" s="1"/>
  <c r="D603" i="9"/>
  <c r="D603" i="8" s="1"/>
  <c r="C603" i="9"/>
  <c r="C603" i="8" s="1"/>
  <c r="W603" i="8" s="1"/>
  <c r="B603" i="9"/>
  <c r="B603" i="8" s="1"/>
  <c r="A603" i="9"/>
  <c r="J602" i="9"/>
  <c r="J602" i="8" s="1"/>
  <c r="I602" i="9"/>
  <c r="I602" i="8" s="1"/>
  <c r="X602" i="8" s="1"/>
  <c r="E631" i="6" s="1"/>
  <c r="H602" i="9"/>
  <c r="H602" i="8" s="1"/>
  <c r="G602" i="9"/>
  <c r="G602" i="8" s="1"/>
  <c r="F602" i="9"/>
  <c r="F602" i="8" s="1"/>
  <c r="E602" i="9"/>
  <c r="E602" i="8" s="1"/>
  <c r="D602" i="9"/>
  <c r="D602" i="8" s="1"/>
  <c r="C602" i="9"/>
  <c r="C602" i="8" s="1"/>
  <c r="W602" i="8" s="1"/>
  <c r="B602" i="9"/>
  <c r="B602" i="8" s="1"/>
  <c r="A602" i="9"/>
  <c r="J601" i="9"/>
  <c r="J601" i="8" s="1"/>
  <c r="I601" i="9"/>
  <c r="I601" i="8" s="1"/>
  <c r="X601" i="8" s="1"/>
  <c r="E630" i="6" s="1"/>
  <c r="H601" i="9"/>
  <c r="H601" i="8" s="1"/>
  <c r="G601" i="9"/>
  <c r="G601" i="8" s="1"/>
  <c r="F601" i="9"/>
  <c r="F601" i="8" s="1"/>
  <c r="E601" i="9"/>
  <c r="E601" i="8" s="1"/>
  <c r="D601" i="9"/>
  <c r="D601" i="8" s="1"/>
  <c r="C601" i="9"/>
  <c r="C601" i="8" s="1"/>
  <c r="W601" i="8" s="1"/>
  <c r="B601" i="9"/>
  <c r="B601" i="8" s="1"/>
  <c r="A601" i="9"/>
  <c r="J600" i="9"/>
  <c r="J600" i="8" s="1"/>
  <c r="I600" i="9"/>
  <c r="I600" i="8" s="1"/>
  <c r="X600" i="8" s="1"/>
  <c r="E629" i="6" s="1"/>
  <c r="H600" i="9"/>
  <c r="H600" i="8" s="1"/>
  <c r="G600" i="9"/>
  <c r="G600" i="8" s="1"/>
  <c r="F600" i="9"/>
  <c r="F600" i="8" s="1"/>
  <c r="E600" i="9"/>
  <c r="E600" i="8" s="1"/>
  <c r="D600" i="9"/>
  <c r="D600" i="8" s="1"/>
  <c r="C600" i="9"/>
  <c r="C600" i="8" s="1"/>
  <c r="W600" i="8" s="1"/>
  <c r="B600" i="9"/>
  <c r="B600" i="8" s="1"/>
  <c r="A600" i="9"/>
  <c r="J599" i="9"/>
  <c r="J599" i="8" s="1"/>
  <c r="I599" i="9"/>
  <c r="I599" i="8" s="1"/>
  <c r="X599" i="8" s="1"/>
  <c r="E628" i="6" s="1"/>
  <c r="H599" i="9"/>
  <c r="H599" i="8" s="1"/>
  <c r="G599" i="9"/>
  <c r="G599" i="8" s="1"/>
  <c r="F599" i="9"/>
  <c r="F599" i="8" s="1"/>
  <c r="E599" i="9"/>
  <c r="E599" i="8" s="1"/>
  <c r="D599" i="9"/>
  <c r="D599" i="8" s="1"/>
  <c r="C599" i="9"/>
  <c r="C599" i="8" s="1"/>
  <c r="W599" i="8" s="1"/>
  <c r="B599" i="9"/>
  <c r="B599" i="8" s="1"/>
  <c r="A599" i="9"/>
  <c r="J598" i="9"/>
  <c r="J598" i="8" s="1"/>
  <c r="I598" i="9"/>
  <c r="I598" i="8" s="1"/>
  <c r="X598" i="8" s="1"/>
  <c r="E627" i="6" s="1"/>
  <c r="H598" i="9"/>
  <c r="H598" i="8" s="1"/>
  <c r="G598" i="9"/>
  <c r="G598" i="8" s="1"/>
  <c r="F598" i="9"/>
  <c r="F598" i="8" s="1"/>
  <c r="E598" i="9"/>
  <c r="E598" i="8" s="1"/>
  <c r="D598" i="9"/>
  <c r="D598" i="8" s="1"/>
  <c r="C598" i="9"/>
  <c r="C598" i="8" s="1"/>
  <c r="W598" i="8" s="1"/>
  <c r="B598" i="9"/>
  <c r="B598" i="8" s="1"/>
  <c r="A598" i="9"/>
  <c r="J597" i="9"/>
  <c r="J597" i="8" s="1"/>
  <c r="I597" i="9"/>
  <c r="I597" i="8" s="1"/>
  <c r="X597" i="8" s="1"/>
  <c r="E626" i="6" s="1"/>
  <c r="H597" i="9"/>
  <c r="H597" i="8" s="1"/>
  <c r="G597" i="9"/>
  <c r="G597" i="8" s="1"/>
  <c r="F597" i="9"/>
  <c r="F597" i="8" s="1"/>
  <c r="E597" i="9"/>
  <c r="E597" i="8" s="1"/>
  <c r="D597" i="9"/>
  <c r="D597" i="8" s="1"/>
  <c r="C597" i="9"/>
  <c r="C597" i="8" s="1"/>
  <c r="W597" i="8" s="1"/>
  <c r="B597" i="9"/>
  <c r="B597" i="8" s="1"/>
  <c r="A597" i="9"/>
  <c r="J596" i="9"/>
  <c r="J596" i="8" s="1"/>
  <c r="I596" i="9"/>
  <c r="I596" i="8" s="1"/>
  <c r="X596" i="8" s="1"/>
  <c r="E625" i="6" s="1"/>
  <c r="H596" i="9"/>
  <c r="H596" i="8" s="1"/>
  <c r="G596" i="9"/>
  <c r="G596" i="8" s="1"/>
  <c r="F596" i="9"/>
  <c r="F596" i="8" s="1"/>
  <c r="E596" i="9"/>
  <c r="E596" i="8" s="1"/>
  <c r="D596" i="9"/>
  <c r="D596" i="8" s="1"/>
  <c r="C596" i="9"/>
  <c r="C596" i="8" s="1"/>
  <c r="W596" i="8" s="1"/>
  <c r="B596" i="9"/>
  <c r="B596" i="8" s="1"/>
  <c r="A596" i="9"/>
  <c r="J595" i="9"/>
  <c r="J595" i="8" s="1"/>
  <c r="I595" i="9"/>
  <c r="I595" i="8" s="1"/>
  <c r="X595" i="8" s="1"/>
  <c r="E624" i="6" s="1"/>
  <c r="H595" i="9"/>
  <c r="H595" i="8" s="1"/>
  <c r="G595" i="9"/>
  <c r="G595" i="8" s="1"/>
  <c r="F595" i="9"/>
  <c r="F595" i="8" s="1"/>
  <c r="E595" i="9"/>
  <c r="E595" i="8" s="1"/>
  <c r="D595" i="9"/>
  <c r="D595" i="8" s="1"/>
  <c r="C595" i="9"/>
  <c r="C595" i="8" s="1"/>
  <c r="W595" i="8" s="1"/>
  <c r="B595" i="9"/>
  <c r="B595" i="8" s="1"/>
  <c r="A595" i="9"/>
  <c r="J594" i="9"/>
  <c r="J594" i="8" s="1"/>
  <c r="I594" i="9"/>
  <c r="I594" i="8" s="1"/>
  <c r="X594" i="8" s="1"/>
  <c r="E623" i="6" s="1"/>
  <c r="H594" i="9"/>
  <c r="H594" i="8" s="1"/>
  <c r="G594" i="9"/>
  <c r="G594" i="8" s="1"/>
  <c r="F594" i="9"/>
  <c r="F594" i="8" s="1"/>
  <c r="E594" i="9"/>
  <c r="E594" i="8" s="1"/>
  <c r="D594" i="9"/>
  <c r="D594" i="8" s="1"/>
  <c r="C594" i="9"/>
  <c r="C594" i="8" s="1"/>
  <c r="W594" i="8" s="1"/>
  <c r="B594" i="9"/>
  <c r="B594" i="8" s="1"/>
  <c r="A594" i="9"/>
  <c r="J593" i="9"/>
  <c r="J593" i="8" s="1"/>
  <c r="I593" i="9"/>
  <c r="I593" i="8" s="1"/>
  <c r="X593" i="8" s="1"/>
  <c r="E622" i="6" s="1"/>
  <c r="H593" i="9"/>
  <c r="H593" i="8" s="1"/>
  <c r="G593" i="9"/>
  <c r="G593" i="8" s="1"/>
  <c r="F593" i="9"/>
  <c r="F593" i="8" s="1"/>
  <c r="E593" i="9"/>
  <c r="E593" i="8" s="1"/>
  <c r="D593" i="9"/>
  <c r="D593" i="8" s="1"/>
  <c r="C593" i="9"/>
  <c r="C593" i="8" s="1"/>
  <c r="W593" i="8" s="1"/>
  <c r="B593" i="9"/>
  <c r="B593" i="8" s="1"/>
  <c r="A593" i="9"/>
  <c r="J592" i="9"/>
  <c r="J592" i="8" s="1"/>
  <c r="I592" i="9"/>
  <c r="I592" i="8" s="1"/>
  <c r="X592" i="8" s="1"/>
  <c r="E621" i="6" s="1"/>
  <c r="H592" i="9"/>
  <c r="H592" i="8" s="1"/>
  <c r="G592" i="9"/>
  <c r="G592" i="8" s="1"/>
  <c r="F592" i="9"/>
  <c r="F592" i="8" s="1"/>
  <c r="E592" i="9"/>
  <c r="E592" i="8" s="1"/>
  <c r="D592" i="9"/>
  <c r="D592" i="8" s="1"/>
  <c r="C592" i="9"/>
  <c r="C592" i="8" s="1"/>
  <c r="W592" i="8" s="1"/>
  <c r="B592" i="9"/>
  <c r="B592" i="8" s="1"/>
  <c r="A592" i="9"/>
  <c r="J591" i="9"/>
  <c r="J591" i="8" s="1"/>
  <c r="I591" i="9"/>
  <c r="I591" i="8" s="1"/>
  <c r="X591" i="8" s="1"/>
  <c r="E620" i="6" s="1"/>
  <c r="H591" i="9"/>
  <c r="H591" i="8" s="1"/>
  <c r="G591" i="9"/>
  <c r="G591" i="8" s="1"/>
  <c r="F591" i="9"/>
  <c r="F591" i="8" s="1"/>
  <c r="E591" i="9"/>
  <c r="E591" i="8" s="1"/>
  <c r="D591" i="9"/>
  <c r="D591" i="8" s="1"/>
  <c r="C591" i="9"/>
  <c r="C591" i="8" s="1"/>
  <c r="W591" i="8" s="1"/>
  <c r="B591" i="9"/>
  <c r="B591" i="8" s="1"/>
  <c r="A591" i="9"/>
  <c r="J590" i="9"/>
  <c r="J590" i="8" s="1"/>
  <c r="I590" i="9"/>
  <c r="I590" i="8" s="1"/>
  <c r="X590" i="8" s="1"/>
  <c r="E619" i="6" s="1"/>
  <c r="H590" i="9"/>
  <c r="H590" i="8" s="1"/>
  <c r="G590" i="9"/>
  <c r="G590" i="8" s="1"/>
  <c r="F590" i="9"/>
  <c r="F590" i="8" s="1"/>
  <c r="E590" i="9"/>
  <c r="E590" i="8" s="1"/>
  <c r="D590" i="9"/>
  <c r="D590" i="8" s="1"/>
  <c r="C590" i="9"/>
  <c r="C590" i="8" s="1"/>
  <c r="W590" i="8" s="1"/>
  <c r="B590" i="9"/>
  <c r="B590" i="8" s="1"/>
  <c r="A590" i="9"/>
  <c r="J589" i="9"/>
  <c r="J589" i="8" s="1"/>
  <c r="I589" i="9"/>
  <c r="I589" i="8" s="1"/>
  <c r="X589" i="8" s="1"/>
  <c r="E618" i="6" s="1"/>
  <c r="H589" i="9"/>
  <c r="H589" i="8" s="1"/>
  <c r="G589" i="9"/>
  <c r="G589" i="8" s="1"/>
  <c r="F589" i="9"/>
  <c r="F589" i="8" s="1"/>
  <c r="E589" i="9"/>
  <c r="E589" i="8" s="1"/>
  <c r="D589" i="9"/>
  <c r="D589" i="8" s="1"/>
  <c r="C589" i="9"/>
  <c r="C589" i="8" s="1"/>
  <c r="W589" i="8" s="1"/>
  <c r="B589" i="9"/>
  <c r="B589" i="8" s="1"/>
  <c r="A589" i="9"/>
  <c r="J588" i="9"/>
  <c r="J588" i="8" s="1"/>
  <c r="I588" i="9"/>
  <c r="I588" i="8" s="1"/>
  <c r="X588" i="8" s="1"/>
  <c r="E617" i="6" s="1"/>
  <c r="H588" i="9"/>
  <c r="H588" i="8" s="1"/>
  <c r="G588" i="9"/>
  <c r="G588" i="8" s="1"/>
  <c r="F588" i="9"/>
  <c r="F588" i="8" s="1"/>
  <c r="E588" i="9"/>
  <c r="E588" i="8" s="1"/>
  <c r="D588" i="9"/>
  <c r="D588" i="8" s="1"/>
  <c r="C588" i="9"/>
  <c r="C588" i="8" s="1"/>
  <c r="W588" i="8" s="1"/>
  <c r="B588" i="9"/>
  <c r="B588" i="8" s="1"/>
  <c r="A588" i="9"/>
  <c r="J587" i="9"/>
  <c r="J587" i="8" s="1"/>
  <c r="I587" i="9"/>
  <c r="I587" i="8" s="1"/>
  <c r="X587" i="8" s="1"/>
  <c r="E616" i="6" s="1"/>
  <c r="H587" i="9"/>
  <c r="H587" i="8" s="1"/>
  <c r="G587" i="9"/>
  <c r="G587" i="8" s="1"/>
  <c r="F587" i="9"/>
  <c r="F587" i="8" s="1"/>
  <c r="E587" i="9"/>
  <c r="E587" i="8" s="1"/>
  <c r="D587" i="9"/>
  <c r="D587" i="8" s="1"/>
  <c r="C587" i="9"/>
  <c r="C587" i="8" s="1"/>
  <c r="W587" i="8" s="1"/>
  <c r="B587" i="9"/>
  <c r="B587" i="8" s="1"/>
  <c r="A587" i="9"/>
  <c r="J586" i="9"/>
  <c r="J586" i="8" s="1"/>
  <c r="I586" i="9"/>
  <c r="I586" i="8" s="1"/>
  <c r="X586" i="8" s="1"/>
  <c r="E615" i="6" s="1"/>
  <c r="H586" i="9"/>
  <c r="H586" i="8" s="1"/>
  <c r="G586" i="9"/>
  <c r="G586" i="8" s="1"/>
  <c r="F586" i="9"/>
  <c r="F586" i="8" s="1"/>
  <c r="E586" i="9"/>
  <c r="E586" i="8" s="1"/>
  <c r="D586" i="9"/>
  <c r="D586" i="8" s="1"/>
  <c r="C586" i="9"/>
  <c r="C586" i="8" s="1"/>
  <c r="W586" i="8" s="1"/>
  <c r="B586" i="9"/>
  <c r="B586" i="8" s="1"/>
  <c r="A586" i="9"/>
  <c r="J585" i="9"/>
  <c r="J585" i="8" s="1"/>
  <c r="I585" i="9"/>
  <c r="I585" i="8" s="1"/>
  <c r="X585" i="8" s="1"/>
  <c r="E614" i="6" s="1"/>
  <c r="H585" i="9"/>
  <c r="H585" i="8" s="1"/>
  <c r="G585" i="9"/>
  <c r="G585" i="8" s="1"/>
  <c r="F585" i="9"/>
  <c r="F585" i="8" s="1"/>
  <c r="E585" i="9"/>
  <c r="E585" i="8" s="1"/>
  <c r="D585" i="9"/>
  <c r="D585" i="8" s="1"/>
  <c r="C585" i="9"/>
  <c r="C585" i="8" s="1"/>
  <c r="W585" i="8" s="1"/>
  <c r="B585" i="9"/>
  <c r="B585" i="8" s="1"/>
  <c r="A585" i="9"/>
  <c r="J584" i="9"/>
  <c r="J584" i="8" s="1"/>
  <c r="I584" i="9"/>
  <c r="I584" i="8" s="1"/>
  <c r="X584" i="8" s="1"/>
  <c r="E613" i="6" s="1"/>
  <c r="H584" i="9"/>
  <c r="H584" i="8" s="1"/>
  <c r="G584" i="9"/>
  <c r="G584" i="8" s="1"/>
  <c r="F584" i="9"/>
  <c r="F584" i="8" s="1"/>
  <c r="E584" i="9"/>
  <c r="E584" i="8" s="1"/>
  <c r="D584" i="9"/>
  <c r="D584" i="8" s="1"/>
  <c r="C584" i="9"/>
  <c r="C584" i="8" s="1"/>
  <c r="W584" i="8" s="1"/>
  <c r="B584" i="9"/>
  <c r="B584" i="8" s="1"/>
  <c r="A584" i="9"/>
  <c r="J583" i="9"/>
  <c r="J583" i="8" s="1"/>
  <c r="I583" i="9"/>
  <c r="I583" i="8" s="1"/>
  <c r="X583" i="8" s="1"/>
  <c r="E612" i="6" s="1"/>
  <c r="H583" i="9"/>
  <c r="H583" i="8" s="1"/>
  <c r="G583" i="9"/>
  <c r="G583" i="8" s="1"/>
  <c r="F583" i="9"/>
  <c r="F583" i="8" s="1"/>
  <c r="E583" i="9"/>
  <c r="E583" i="8" s="1"/>
  <c r="D583" i="9"/>
  <c r="D583" i="8" s="1"/>
  <c r="C583" i="9"/>
  <c r="C583" i="8" s="1"/>
  <c r="W583" i="8" s="1"/>
  <c r="B583" i="9"/>
  <c r="B583" i="8" s="1"/>
  <c r="A583" i="9"/>
  <c r="J582" i="9"/>
  <c r="J582" i="8" s="1"/>
  <c r="I582" i="9"/>
  <c r="I582" i="8" s="1"/>
  <c r="X582" i="8" s="1"/>
  <c r="E611" i="6" s="1"/>
  <c r="H582" i="9"/>
  <c r="H582" i="8" s="1"/>
  <c r="G582" i="9"/>
  <c r="G582" i="8" s="1"/>
  <c r="F582" i="9"/>
  <c r="F582" i="8" s="1"/>
  <c r="E582" i="9"/>
  <c r="E582" i="8" s="1"/>
  <c r="D582" i="9"/>
  <c r="D582" i="8" s="1"/>
  <c r="C582" i="9"/>
  <c r="C582" i="8" s="1"/>
  <c r="W582" i="8" s="1"/>
  <c r="B582" i="9"/>
  <c r="B582" i="8" s="1"/>
  <c r="A582" i="9"/>
  <c r="J581" i="9"/>
  <c r="J581" i="8" s="1"/>
  <c r="I581" i="9"/>
  <c r="I581" i="8" s="1"/>
  <c r="X581" i="8" s="1"/>
  <c r="E610" i="6" s="1"/>
  <c r="H581" i="9"/>
  <c r="H581" i="8" s="1"/>
  <c r="G581" i="9"/>
  <c r="G581" i="8" s="1"/>
  <c r="F581" i="9"/>
  <c r="F581" i="8" s="1"/>
  <c r="E581" i="9"/>
  <c r="E581" i="8" s="1"/>
  <c r="D581" i="9"/>
  <c r="D581" i="8" s="1"/>
  <c r="C581" i="9"/>
  <c r="C581" i="8" s="1"/>
  <c r="W581" i="8" s="1"/>
  <c r="B581" i="9"/>
  <c r="B581" i="8" s="1"/>
  <c r="A581" i="9"/>
  <c r="J580" i="9"/>
  <c r="J580" i="8" s="1"/>
  <c r="I580" i="9"/>
  <c r="I580" i="8" s="1"/>
  <c r="X580" i="8" s="1"/>
  <c r="E609" i="6" s="1"/>
  <c r="H580" i="9"/>
  <c r="H580" i="8" s="1"/>
  <c r="G580" i="9"/>
  <c r="G580" i="8" s="1"/>
  <c r="F580" i="9"/>
  <c r="F580" i="8" s="1"/>
  <c r="E580" i="9"/>
  <c r="E580" i="8" s="1"/>
  <c r="D580" i="9"/>
  <c r="D580" i="8" s="1"/>
  <c r="C580" i="9"/>
  <c r="C580" i="8" s="1"/>
  <c r="W580" i="8" s="1"/>
  <c r="B580" i="9"/>
  <c r="B580" i="8" s="1"/>
  <c r="A580" i="9"/>
  <c r="J579" i="9"/>
  <c r="J579" i="8" s="1"/>
  <c r="I579" i="9"/>
  <c r="I579" i="8" s="1"/>
  <c r="X579" i="8" s="1"/>
  <c r="E608" i="6" s="1"/>
  <c r="H579" i="9"/>
  <c r="H579" i="8" s="1"/>
  <c r="G579" i="9"/>
  <c r="G579" i="8" s="1"/>
  <c r="F579" i="9"/>
  <c r="F579" i="8" s="1"/>
  <c r="E579" i="9"/>
  <c r="E579" i="8" s="1"/>
  <c r="D579" i="9"/>
  <c r="D579" i="8" s="1"/>
  <c r="C579" i="9"/>
  <c r="C579" i="8" s="1"/>
  <c r="W579" i="8" s="1"/>
  <c r="B579" i="9"/>
  <c r="B579" i="8" s="1"/>
  <c r="A579" i="9"/>
  <c r="J578" i="9"/>
  <c r="J578" i="8" s="1"/>
  <c r="I578" i="9"/>
  <c r="I578" i="8" s="1"/>
  <c r="X578" i="8" s="1"/>
  <c r="E607" i="6" s="1"/>
  <c r="H578" i="9"/>
  <c r="H578" i="8" s="1"/>
  <c r="G578" i="9"/>
  <c r="G578" i="8" s="1"/>
  <c r="F578" i="9"/>
  <c r="F578" i="8" s="1"/>
  <c r="E578" i="9"/>
  <c r="E578" i="8" s="1"/>
  <c r="D578" i="9"/>
  <c r="D578" i="8" s="1"/>
  <c r="C578" i="9"/>
  <c r="C578" i="8" s="1"/>
  <c r="W578" i="8" s="1"/>
  <c r="B578" i="9"/>
  <c r="B578" i="8" s="1"/>
  <c r="A578" i="9"/>
  <c r="J577" i="9"/>
  <c r="J577" i="8" s="1"/>
  <c r="I577" i="9"/>
  <c r="I577" i="8" s="1"/>
  <c r="X577" i="8" s="1"/>
  <c r="E606" i="6" s="1"/>
  <c r="H577" i="9"/>
  <c r="H577" i="8" s="1"/>
  <c r="G577" i="9"/>
  <c r="G577" i="8" s="1"/>
  <c r="F577" i="9"/>
  <c r="F577" i="8" s="1"/>
  <c r="E577" i="9"/>
  <c r="E577" i="8" s="1"/>
  <c r="D577" i="9"/>
  <c r="D577" i="8" s="1"/>
  <c r="C577" i="9"/>
  <c r="C577" i="8" s="1"/>
  <c r="W577" i="8" s="1"/>
  <c r="B577" i="9"/>
  <c r="B577" i="8" s="1"/>
  <c r="A577" i="9"/>
  <c r="J576" i="9"/>
  <c r="J576" i="8" s="1"/>
  <c r="I576" i="9"/>
  <c r="I576" i="8" s="1"/>
  <c r="X576" i="8" s="1"/>
  <c r="E605" i="6" s="1"/>
  <c r="H576" i="9"/>
  <c r="H576" i="8" s="1"/>
  <c r="G576" i="9"/>
  <c r="G576" i="8" s="1"/>
  <c r="F576" i="9"/>
  <c r="F576" i="8" s="1"/>
  <c r="E576" i="9"/>
  <c r="E576" i="8" s="1"/>
  <c r="D576" i="9"/>
  <c r="D576" i="8" s="1"/>
  <c r="C576" i="9"/>
  <c r="C576" i="8" s="1"/>
  <c r="W576" i="8" s="1"/>
  <c r="B576" i="9"/>
  <c r="B576" i="8" s="1"/>
  <c r="A576" i="9"/>
  <c r="J575" i="9"/>
  <c r="J575" i="8" s="1"/>
  <c r="I575" i="9"/>
  <c r="I575" i="8" s="1"/>
  <c r="X575" i="8" s="1"/>
  <c r="E604" i="6" s="1"/>
  <c r="H575" i="9"/>
  <c r="H575" i="8" s="1"/>
  <c r="G575" i="9"/>
  <c r="G575" i="8" s="1"/>
  <c r="F575" i="9"/>
  <c r="F575" i="8" s="1"/>
  <c r="E575" i="9"/>
  <c r="E575" i="8" s="1"/>
  <c r="D575" i="9"/>
  <c r="D575" i="8" s="1"/>
  <c r="C575" i="9"/>
  <c r="C575" i="8" s="1"/>
  <c r="W575" i="8" s="1"/>
  <c r="B575" i="9"/>
  <c r="B575" i="8" s="1"/>
  <c r="A575" i="9"/>
  <c r="J574" i="9"/>
  <c r="J574" i="8" s="1"/>
  <c r="I574" i="9"/>
  <c r="I574" i="8" s="1"/>
  <c r="X574" i="8" s="1"/>
  <c r="E603" i="6" s="1"/>
  <c r="H574" i="9"/>
  <c r="H574" i="8" s="1"/>
  <c r="G574" i="9"/>
  <c r="G574" i="8" s="1"/>
  <c r="F574" i="9"/>
  <c r="F574" i="8" s="1"/>
  <c r="E574" i="9"/>
  <c r="E574" i="8" s="1"/>
  <c r="D574" i="9"/>
  <c r="D574" i="8" s="1"/>
  <c r="C574" i="9"/>
  <c r="C574" i="8" s="1"/>
  <c r="W574" i="8" s="1"/>
  <c r="B574" i="9"/>
  <c r="B574" i="8" s="1"/>
  <c r="A574" i="9"/>
  <c r="J573" i="9"/>
  <c r="J573" i="8" s="1"/>
  <c r="I573" i="9"/>
  <c r="I573" i="8" s="1"/>
  <c r="X573" i="8" s="1"/>
  <c r="E602" i="6" s="1"/>
  <c r="H573" i="9"/>
  <c r="H573" i="8" s="1"/>
  <c r="G573" i="9"/>
  <c r="G573" i="8" s="1"/>
  <c r="F573" i="9"/>
  <c r="F573" i="8" s="1"/>
  <c r="E573" i="9"/>
  <c r="E573" i="8" s="1"/>
  <c r="D573" i="9"/>
  <c r="D573" i="8" s="1"/>
  <c r="C573" i="9"/>
  <c r="C573" i="8" s="1"/>
  <c r="W573" i="8" s="1"/>
  <c r="B573" i="9"/>
  <c r="B573" i="8" s="1"/>
  <c r="A573" i="9"/>
  <c r="J572" i="9"/>
  <c r="J572" i="8" s="1"/>
  <c r="I572" i="9"/>
  <c r="I572" i="8" s="1"/>
  <c r="X572" i="8" s="1"/>
  <c r="E601" i="6" s="1"/>
  <c r="H572" i="9"/>
  <c r="H572" i="8" s="1"/>
  <c r="G572" i="9"/>
  <c r="G572" i="8" s="1"/>
  <c r="F572" i="9"/>
  <c r="F572" i="8" s="1"/>
  <c r="E572" i="9"/>
  <c r="E572" i="8" s="1"/>
  <c r="D572" i="9"/>
  <c r="D572" i="8" s="1"/>
  <c r="C572" i="9"/>
  <c r="C572" i="8" s="1"/>
  <c r="W572" i="8" s="1"/>
  <c r="B572" i="9"/>
  <c r="B572" i="8" s="1"/>
  <c r="A572" i="9"/>
  <c r="J571" i="9"/>
  <c r="J571" i="8" s="1"/>
  <c r="I571" i="9"/>
  <c r="I571" i="8" s="1"/>
  <c r="X571" i="8" s="1"/>
  <c r="E600" i="6" s="1"/>
  <c r="H571" i="9"/>
  <c r="H571" i="8" s="1"/>
  <c r="G571" i="9"/>
  <c r="G571" i="8" s="1"/>
  <c r="F571" i="9"/>
  <c r="F571" i="8" s="1"/>
  <c r="E571" i="9"/>
  <c r="E571" i="8" s="1"/>
  <c r="D571" i="9"/>
  <c r="D571" i="8" s="1"/>
  <c r="C571" i="9"/>
  <c r="C571" i="8" s="1"/>
  <c r="W571" i="8" s="1"/>
  <c r="B571" i="9"/>
  <c r="B571" i="8" s="1"/>
  <c r="A571" i="9"/>
  <c r="J570" i="9"/>
  <c r="J570" i="8" s="1"/>
  <c r="I570" i="9"/>
  <c r="I570" i="8" s="1"/>
  <c r="X570" i="8" s="1"/>
  <c r="E599" i="6" s="1"/>
  <c r="H570" i="9"/>
  <c r="H570" i="8" s="1"/>
  <c r="G570" i="9"/>
  <c r="G570" i="8" s="1"/>
  <c r="F570" i="9"/>
  <c r="F570" i="8" s="1"/>
  <c r="E570" i="9"/>
  <c r="E570" i="8" s="1"/>
  <c r="D570" i="9"/>
  <c r="D570" i="8" s="1"/>
  <c r="C570" i="9"/>
  <c r="C570" i="8" s="1"/>
  <c r="W570" i="8" s="1"/>
  <c r="B570" i="9"/>
  <c r="B570" i="8" s="1"/>
  <c r="A570" i="9"/>
  <c r="J569" i="9"/>
  <c r="J569" i="8" s="1"/>
  <c r="I569" i="9"/>
  <c r="I569" i="8" s="1"/>
  <c r="X569" i="8" s="1"/>
  <c r="E598" i="6" s="1"/>
  <c r="H569" i="9"/>
  <c r="H569" i="8" s="1"/>
  <c r="G569" i="9"/>
  <c r="G569" i="8" s="1"/>
  <c r="F569" i="9"/>
  <c r="F569" i="8" s="1"/>
  <c r="E569" i="9"/>
  <c r="E569" i="8" s="1"/>
  <c r="D569" i="9"/>
  <c r="D569" i="8" s="1"/>
  <c r="C569" i="9"/>
  <c r="C569" i="8" s="1"/>
  <c r="W569" i="8" s="1"/>
  <c r="B569" i="9"/>
  <c r="B569" i="8" s="1"/>
  <c r="A569" i="9"/>
  <c r="J568" i="9"/>
  <c r="J568" i="8" s="1"/>
  <c r="I568" i="9"/>
  <c r="I568" i="8" s="1"/>
  <c r="X568" i="8" s="1"/>
  <c r="E597" i="6" s="1"/>
  <c r="H568" i="9"/>
  <c r="H568" i="8" s="1"/>
  <c r="G568" i="9"/>
  <c r="G568" i="8" s="1"/>
  <c r="F568" i="9"/>
  <c r="F568" i="8" s="1"/>
  <c r="E568" i="9"/>
  <c r="E568" i="8" s="1"/>
  <c r="D568" i="9"/>
  <c r="D568" i="8" s="1"/>
  <c r="C568" i="9"/>
  <c r="C568" i="8" s="1"/>
  <c r="W568" i="8" s="1"/>
  <c r="B568" i="9"/>
  <c r="B568" i="8" s="1"/>
  <c r="A568" i="9"/>
  <c r="J567" i="9"/>
  <c r="J567" i="8" s="1"/>
  <c r="I567" i="9"/>
  <c r="I567" i="8" s="1"/>
  <c r="X567" i="8" s="1"/>
  <c r="E596" i="6" s="1"/>
  <c r="H567" i="9"/>
  <c r="H567" i="8" s="1"/>
  <c r="G567" i="9"/>
  <c r="G567" i="8" s="1"/>
  <c r="F567" i="9"/>
  <c r="F567" i="8" s="1"/>
  <c r="E567" i="9"/>
  <c r="E567" i="8" s="1"/>
  <c r="D567" i="9"/>
  <c r="D567" i="8" s="1"/>
  <c r="C567" i="9"/>
  <c r="C567" i="8" s="1"/>
  <c r="W567" i="8" s="1"/>
  <c r="B567" i="9"/>
  <c r="B567" i="8" s="1"/>
  <c r="A567" i="9"/>
  <c r="J566" i="9"/>
  <c r="J566" i="8" s="1"/>
  <c r="I566" i="9"/>
  <c r="I566" i="8" s="1"/>
  <c r="X566" i="8" s="1"/>
  <c r="E595" i="6" s="1"/>
  <c r="H566" i="9"/>
  <c r="H566" i="8" s="1"/>
  <c r="G566" i="9"/>
  <c r="G566" i="8" s="1"/>
  <c r="F566" i="9"/>
  <c r="F566" i="8" s="1"/>
  <c r="E566" i="9"/>
  <c r="E566" i="8" s="1"/>
  <c r="D566" i="9"/>
  <c r="D566" i="8" s="1"/>
  <c r="C566" i="9"/>
  <c r="C566" i="8" s="1"/>
  <c r="W566" i="8" s="1"/>
  <c r="B566" i="9"/>
  <c r="B566" i="8" s="1"/>
  <c r="A566" i="9"/>
  <c r="J565" i="9"/>
  <c r="J565" i="8" s="1"/>
  <c r="I565" i="9"/>
  <c r="I565" i="8" s="1"/>
  <c r="X565" i="8" s="1"/>
  <c r="E594" i="6" s="1"/>
  <c r="H565" i="9"/>
  <c r="H565" i="8" s="1"/>
  <c r="G565" i="9"/>
  <c r="G565" i="8" s="1"/>
  <c r="F565" i="9"/>
  <c r="F565" i="8" s="1"/>
  <c r="E565" i="9"/>
  <c r="E565" i="8" s="1"/>
  <c r="D565" i="9"/>
  <c r="D565" i="8" s="1"/>
  <c r="C565" i="9"/>
  <c r="C565" i="8" s="1"/>
  <c r="W565" i="8" s="1"/>
  <c r="B565" i="9"/>
  <c r="B565" i="8" s="1"/>
  <c r="A565" i="9"/>
  <c r="J564" i="9"/>
  <c r="J564" i="8" s="1"/>
  <c r="I564" i="9"/>
  <c r="I564" i="8" s="1"/>
  <c r="X564" i="8" s="1"/>
  <c r="E593" i="6" s="1"/>
  <c r="H564" i="9"/>
  <c r="H564" i="8" s="1"/>
  <c r="G564" i="9"/>
  <c r="G564" i="8" s="1"/>
  <c r="F564" i="9"/>
  <c r="F564" i="8" s="1"/>
  <c r="E564" i="9"/>
  <c r="E564" i="8" s="1"/>
  <c r="D564" i="9"/>
  <c r="D564" i="8" s="1"/>
  <c r="C564" i="9"/>
  <c r="C564" i="8" s="1"/>
  <c r="W564" i="8" s="1"/>
  <c r="B564" i="9"/>
  <c r="B564" i="8" s="1"/>
  <c r="A564" i="9"/>
  <c r="J563" i="9"/>
  <c r="J563" i="8" s="1"/>
  <c r="I563" i="9"/>
  <c r="I563" i="8" s="1"/>
  <c r="X563" i="8" s="1"/>
  <c r="E592" i="6" s="1"/>
  <c r="H563" i="9"/>
  <c r="H563" i="8" s="1"/>
  <c r="G563" i="9"/>
  <c r="G563" i="8" s="1"/>
  <c r="F563" i="9"/>
  <c r="F563" i="8" s="1"/>
  <c r="E563" i="9"/>
  <c r="E563" i="8" s="1"/>
  <c r="D563" i="9"/>
  <c r="D563" i="8" s="1"/>
  <c r="C563" i="9"/>
  <c r="C563" i="8" s="1"/>
  <c r="W563" i="8" s="1"/>
  <c r="B563" i="9"/>
  <c r="B563" i="8" s="1"/>
  <c r="A563" i="9"/>
  <c r="J562" i="9"/>
  <c r="J562" i="8" s="1"/>
  <c r="I562" i="9"/>
  <c r="I562" i="8" s="1"/>
  <c r="X562" i="8" s="1"/>
  <c r="E591" i="6" s="1"/>
  <c r="H562" i="9"/>
  <c r="H562" i="8" s="1"/>
  <c r="G562" i="9"/>
  <c r="G562" i="8" s="1"/>
  <c r="F562" i="9"/>
  <c r="F562" i="8" s="1"/>
  <c r="E562" i="9"/>
  <c r="E562" i="8" s="1"/>
  <c r="D562" i="9"/>
  <c r="D562" i="8" s="1"/>
  <c r="C562" i="9"/>
  <c r="C562" i="8" s="1"/>
  <c r="W562" i="8" s="1"/>
  <c r="B562" i="9"/>
  <c r="B562" i="8" s="1"/>
  <c r="A562" i="9"/>
  <c r="J561" i="9"/>
  <c r="J561" i="8" s="1"/>
  <c r="I561" i="9"/>
  <c r="I561" i="8" s="1"/>
  <c r="X561" i="8" s="1"/>
  <c r="E590" i="6" s="1"/>
  <c r="H561" i="9"/>
  <c r="H561" i="8" s="1"/>
  <c r="G561" i="9"/>
  <c r="G561" i="8" s="1"/>
  <c r="F561" i="9"/>
  <c r="F561" i="8" s="1"/>
  <c r="E561" i="9"/>
  <c r="E561" i="8" s="1"/>
  <c r="D561" i="9"/>
  <c r="D561" i="8" s="1"/>
  <c r="C561" i="9"/>
  <c r="C561" i="8" s="1"/>
  <c r="W561" i="8" s="1"/>
  <c r="B561" i="9"/>
  <c r="B561" i="8" s="1"/>
  <c r="A561" i="9"/>
  <c r="J560" i="9"/>
  <c r="J560" i="8" s="1"/>
  <c r="I560" i="9"/>
  <c r="I560" i="8" s="1"/>
  <c r="X560" i="8" s="1"/>
  <c r="E589" i="6" s="1"/>
  <c r="H560" i="9"/>
  <c r="H560" i="8" s="1"/>
  <c r="G560" i="9"/>
  <c r="G560" i="8" s="1"/>
  <c r="F560" i="9"/>
  <c r="F560" i="8" s="1"/>
  <c r="E560" i="9"/>
  <c r="E560" i="8" s="1"/>
  <c r="D560" i="9"/>
  <c r="D560" i="8" s="1"/>
  <c r="C560" i="9"/>
  <c r="C560" i="8" s="1"/>
  <c r="W560" i="8" s="1"/>
  <c r="B560" i="9"/>
  <c r="B560" i="8" s="1"/>
  <c r="A560" i="9"/>
  <c r="J559" i="9"/>
  <c r="J559" i="8" s="1"/>
  <c r="I559" i="9"/>
  <c r="I559" i="8" s="1"/>
  <c r="X559" i="8" s="1"/>
  <c r="E588" i="6" s="1"/>
  <c r="H559" i="9"/>
  <c r="H559" i="8" s="1"/>
  <c r="G559" i="9"/>
  <c r="G559" i="8" s="1"/>
  <c r="F559" i="9"/>
  <c r="F559" i="8" s="1"/>
  <c r="E559" i="9"/>
  <c r="E559" i="8" s="1"/>
  <c r="D559" i="9"/>
  <c r="D559" i="8" s="1"/>
  <c r="C559" i="9"/>
  <c r="C559" i="8" s="1"/>
  <c r="W559" i="8" s="1"/>
  <c r="B559" i="9"/>
  <c r="B559" i="8" s="1"/>
  <c r="A559" i="9"/>
  <c r="J558" i="9"/>
  <c r="J558" i="8" s="1"/>
  <c r="I558" i="9"/>
  <c r="I558" i="8" s="1"/>
  <c r="X558" i="8" s="1"/>
  <c r="E587" i="6" s="1"/>
  <c r="H558" i="9"/>
  <c r="H558" i="8" s="1"/>
  <c r="G558" i="9"/>
  <c r="G558" i="8" s="1"/>
  <c r="F558" i="9"/>
  <c r="F558" i="8" s="1"/>
  <c r="E558" i="9"/>
  <c r="E558" i="8" s="1"/>
  <c r="D558" i="9"/>
  <c r="D558" i="8" s="1"/>
  <c r="C558" i="9"/>
  <c r="C558" i="8" s="1"/>
  <c r="W558" i="8" s="1"/>
  <c r="B558" i="9"/>
  <c r="B558" i="8" s="1"/>
  <c r="A558" i="9"/>
  <c r="J557" i="9"/>
  <c r="J557" i="8" s="1"/>
  <c r="I557" i="9"/>
  <c r="I557" i="8" s="1"/>
  <c r="X557" i="8" s="1"/>
  <c r="E586" i="6" s="1"/>
  <c r="H557" i="9"/>
  <c r="H557" i="8" s="1"/>
  <c r="G557" i="9"/>
  <c r="G557" i="8" s="1"/>
  <c r="F557" i="9"/>
  <c r="F557" i="8" s="1"/>
  <c r="E557" i="9"/>
  <c r="E557" i="8" s="1"/>
  <c r="D557" i="9"/>
  <c r="D557" i="8" s="1"/>
  <c r="C557" i="9"/>
  <c r="C557" i="8" s="1"/>
  <c r="W557" i="8" s="1"/>
  <c r="B557" i="9"/>
  <c r="B557" i="8" s="1"/>
  <c r="A557" i="9"/>
  <c r="J556" i="9"/>
  <c r="J556" i="8" s="1"/>
  <c r="I556" i="9"/>
  <c r="I556" i="8" s="1"/>
  <c r="X556" i="8" s="1"/>
  <c r="E585" i="6" s="1"/>
  <c r="H556" i="9"/>
  <c r="H556" i="8" s="1"/>
  <c r="G556" i="9"/>
  <c r="G556" i="8" s="1"/>
  <c r="F556" i="9"/>
  <c r="F556" i="8" s="1"/>
  <c r="E556" i="9"/>
  <c r="E556" i="8" s="1"/>
  <c r="D556" i="9"/>
  <c r="D556" i="8" s="1"/>
  <c r="C556" i="9"/>
  <c r="C556" i="8" s="1"/>
  <c r="W556" i="8" s="1"/>
  <c r="B556" i="9"/>
  <c r="B556" i="8" s="1"/>
  <c r="A556" i="9"/>
  <c r="J555" i="9"/>
  <c r="J555" i="8" s="1"/>
  <c r="I555" i="9"/>
  <c r="I555" i="8" s="1"/>
  <c r="X555" i="8" s="1"/>
  <c r="E584" i="6" s="1"/>
  <c r="H555" i="9"/>
  <c r="H555" i="8" s="1"/>
  <c r="G555" i="9"/>
  <c r="G555" i="8" s="1"/>
  <c r="F555" i="9"/>
  <c r="F555" i="8" s="1"/>
  <c r="E555" i="9"/>
  <c r="E555" i="8" s="1"/>
  <c r="D555" i="9"/>
  <c r="D555" i="8" s="1"/>
  <c r="C555" i="9"/>
  <c r="C555" i="8" s="1"/>
  <c r="W555" i="8" s="1"/>
  <c r="B555" i="9"/>
  <c r="B555" i="8" s="1"/>
  <c r="A555" i="9"/>
  <c r="J554" i="9"/>
  <c r="J554" i="8" s="1"/>
  <c r="I554" i="9"/>
  <c r="I554" i="8" s="1"/>
  <c r="X554" i="8" s="1"/>
  <c r="E583" i="6" s="1"/>
  <c r="H554" i="9"/>
  <c r="H554" i="8" s="1"/>
  <c r="G554" i="9"/>
  <c r="G554" i="8" s="1"/>
  <c r="F554" i="9"/>
  <c r="F554" i="8" s="1"/>
  <c r="E554" i="9"/>
  <c r="E554" i="8" s="1"/>
  <c r="D554" i="9"/>
  <c r="D554" i="8" s="1"/>
  <c r="C554" i="9"/>
  <c r="C554" i="8" s="1"/>
  <c r="W554" i="8" s="1"/>
  <c r="B554" i="9"/>
  <c r="B554" i="8" s="1"/>
  <c r="A554" i="9"/>
  <c r="J553" i="9"/>
  <c r="J553" i="8" s="1"/>
  <c r="I553" i="9"/>
  <c r="I553" i="8" s="1"/>
  <c r="X553" i="8" s="1"/>
  <c r="E582" i="6" s="1"/>
  <c r="H553" i="9"/>
  <c r="H553" i="8" s="1"/>
  <c r="G553" i="9"/>
  <c r="G553" i="8" s="1"/>
  <c r="F553" i="9"/>
  <c r="F553" i="8" s="1"/>
  <c r="E553" i="9"/>
  <c r="E553" i="8" s="1"/>
  <c r="D553" i="9"/>
  <c r="D553" i="8" s="1"/>
  <c r="C553" i="9"/>
  <c r="C553" i="8" s="1"/>
  <c r="W553" i="8" s="1"/>
  <c r="B553" i="9"/>
  <c r="B553" i="8" s="1"/>
  <c r="A553" i="9"/>
  <c r="J552" i="9"/>
  <c r="J552" i="8" s="1"/>
  <c r="I552" i="9"/>
  <c r="I552" i="8" s="1"/>
  <c r="X552" i="8" s="1"/>
  <c r="E581" i="6" s="1"/>
  <c r="H552" i="9"/>
  <c r="H552" i="8" s="1"/>
  <c r="G552" i="9"/>
  <c r="G552" i="8" s="1"/>
  <c r="F552" i="9"/>
  <c r="F552" i="8" s="1"/>
  <c r="E552" i="9"/>
  <c r="E552" i="8" s="1"/>
  <c r="D552" i="9"/>
  <c r="D552" i="8" s="1"/>
  <c r="C552" i="9"/>
  <c r="C552" i="8" s="1"/>
  <c r="W552" i="8" s="1"/>
  <c r="B552" i="9"/>
  <c r="B552" i="8" s="1"/>
  <c r="A552" i="9"/>
  <c r="J551" i="9"/>
  <c r="J551" i="8" s="1"/>
  <c r="I551" i="9"/>
  <c r="I551" i="8" s="1"/>
  <c r="X551" i="8" s="1"/>
  <c r="E580" i="6" s="1"/>
  <c r="H551" i="9"/>
  <c r="H551" i="8" s="1"/>
  <c r="G551" i="9"/>
  <c r="G551" i="8" s="1"/>
  <c r="F551" i="9"/>
  <c r="F551" i="8" s="1"/>
  <c r="E551" i="9"/>
  <c r="E551" i="8" s="1"/>
  <c r="D551" i="9"/>
  <c r="D551" i="8" s="1"/>
  <c r="C551" i="9"/>
  <c r="C551" i="8" s="1"/>
  <c r="W551" i="8" s="1"/>
  <c r="B551" i="9"/>
  <c r="B551" i="8" s="1"/>
  <c r="A551" i="9"/>
  <c r="J550" i="9"/>
  <c r="J550" i="8" s="1"/>
  <c r="I550" i="9"/>
  <c r="I550" i="8" s="1"/>
  <c r="X550" i="8" s="1"/>
  <c r="E579" i="6" s="1"/>
  <c r="H550" i="9"/>
  <c r="H550" i="8" s="1"/>
  <c r="G550" i="9"/>
  <c r="G550" i="8" s="1"/>
  <c r="F550" i="9"/>
  <c r="F550" i="8" s="1"/>
  <c r="E550" i="9"/>
  <c r="E550" i="8" s="1"/>
  <c r="D550" i="9"/>
  <c r="D550" i="8" s="1"/>
  <c r="C550" i="9"/>
  <c r="C550" i="8" s="1"/>
  <c r="W550" i="8" s="1"/>
  <c r="B550" i="9"/>
  <c r="B550" i="8" s="1"/>
  <c r="A550" i="9"/>
  <c r="J549" i="9"/>
  <c r="J549" i="8" s="1"/>
  <c r="I549" i="9"/>
  <c r="I549" i="8" s="1"/>
  <c r="X549" i="8" s="1"/>
  <c r="E578" i="6" s="1"/>
  <c r="H549" i="9"/>
  <c r="H549" i="8" s="1"/>
  <c r="G549" i="9"/>
  <c r="G549" i="8" s="1"/>
  <c r="F549" i="9"/>
  <c r="F549" i="8" s="1"/>
  <c r="E549" i="9"/>
  <c r="E549" i="8" s="1"/>
  <c r="D549" i="9"/>
  <c r="D549" i="8" s="1"/>
  <c r="C549" i="9"/>
  <c r="C549" i="8" s="1"/>
  <c r="W549" i="8" s="1"/>
  <c r="B549" i="9"/>
  <c r="B549" i="8" s="1"/>
  <c r="A549" i="9"/>
  <c r="J548" i="9"/>
  <c r="J548" i="8" s="1"/>
  <c r="I548" i="9"/>
  <c r="I548" i="8" s="1"/>
  <c r="X548" i="8" s="1"/>
  <c r="E577" i="6" s="1"/>
  <c r="H548" i="9"/>
  <c r="H548" i="8" s="1"/>
  <c r="G548" i="9"/>
  <c r="G548" i="8" s="1"/>
  <c r="F548" i="9"/>
  <c r="F548" i="8" s="1"/>
  <c r="E548" i="9"/>
  <c r="E548" i="8" s="1"/>
  <c r="D548" i="9"/>
  <c r="D548" i="8" s="1"/>
  <c r="C548" i="9"/>
  <c r="C548" i="8" s="1"/>
  <c r="W548" i="8" s="1"/>
  <c r="B548" i="9"/>
  <c r="B548" i="8" s="1"/>
  <c r="A548" i="9"/>
  <c r="J547" i="9"/>
  <c r="J547" i="8" s="1"/>
  <c r="I547" i="9"/>
  <c r="I547" i="8" s="1"/>
  <c r="X547" i="8" s="1"/>
  <c r="E576" i="6" s="1"/>
  <c r="H547" i="9"/>
  <c r="H547" i="8" s="1"/>
  <c r="G547" i="9"/>
  <c r="G547" i="8" s="1"/>
  <c r="F547" i="9"/>
  <c r="F547" i="8" s="1"/>
  <c r="E547" i="9"/>
  <c r="E547" i="8" s="1"/>
  <c r="D547" i="9"/>
  <c r="D547" i="8" s="1"/>
  <c r="C547" i="9"/>
  <c r="C547" i="8" s="1"/>
  <c r="W547" i="8" s="1"/>
  <c r="B547" i="9"/>
  <c r="B547" i="8" s="1"/>
  <c r="A547" i="9"/>
  <c r="J546" i="9"/>
  <c r="J546" i="8" s="1"/>
  <c r="I546" i="9"/>
  <c r="I546" i="8" s="1"/>
  <c r="X546" i="8" s="1"/>
  <c r="E575" i="6" s="1"/>
  <c r="H546" i="9"/>
  <c r="H546" i="8" s="1"/>
  <c r="G546" i="9"/>
  <c r="G546" i="8" s="1"/>
  <c r="F546" i="9"/>
  <c r="F546" i="8" s="1"/>
  <c r="E546" i="9"/>
  <c r="E546" i="8" s="1"/>
  <c r="D546" i="9"/>
  <c r="D546" i="8" s="1"/>
  <c r="C546" i="9"/>
  <c r="C546" i="8" s="1"/>
  <c r="W546" i="8" s="1"/>
  <c r="B546" i="9"/>
  <c r="B546" i="8" s="1"/>
  <c r="A546" i="9"/>
  <c r="J545" i="9"/>
  <c r="J545" i="8" s="1"/>
  <c r="I545" i="9"/>
  <c r="I545" i="8" s="1"/>
  <c r="X545" i="8" s="1"/>
  <c r="E574" i="6" s="1"/>
  <c r="H545" i="9"/>
  <c r="H545" i="8" s="1"/>
  <c r="G545" i="9"/>
  <c r="G545" i="8" s="1"/>
  <c r="F545" i="9"/>
  <c r="F545" i="8" s="1"/>
  <c r="E545" i="9"/>
  <c r="E545" i="8" s="1"/>
  <c r="D545" i="9"/>
  <c r="D545" i="8" s="1"/>
  <c r="C545" i="9"/>
  <c r="C545" i="8" s="1"/>
  <c r="W545" i="8" s="1"/>
  <c r="B545" i="9"/>
  <c r="B545" i="8" s="1"/>
  <c r="A545" i="9"/>
  <c r="J544" i="9"/>
  <c r="J544" i="8" s="1"/>
  <c r="I544" i="9"/>
  <c r="I544" i="8" s="1"/>
  <c r="X544" i="8" s="1"/>
  <c r="E573" i="6" s="1"/>
  <c r="H544" i="9"/>
  <c r="H544" i="8" s="1"/>
  <c r="G544" i="9"/>
  <c r="G544" i="8" s="1"/>
  <c r="F544" i="9"/>
  <c r="F544" i="8" s="1"/>
  <c r="E544" i="9"/>
  <c r="E544" i="8" s="1"/>
  <c r="D544" i="9"/>
  <c r="D544" i="8" s="1"/>
  <c r="C544" i="9"/>
  <c r="C544" i="8" s="1"/>
  <c r="W544" i="8" s="1"/>
  <c r="B544" i="9"/>
  <c r="B544" i="8" s="1"/>
  <c r="A544" i="9"/>
  <c r="J543" i="9"/>
  <c r="J543" i="8" s="1"/>
  <c r="I543" i="9"/>
  <c r="I543" i="8" s="1"/>
  <c r="X543" i="8" s="1"/>
  <c r="E572" i="6" s="1"/>
  <c r="H543" i="9"/>
  <c r="H543" i="8" s="1"/>
  <c r="G543" i="9"/>
  <c r="G543" i="8" s="1"/>
  <c r="F543" i="9"/>
  <c r="F543" i="8" s="1"/>
  <c r="E543" i="9"/>
  <c r="E543" i="8" s="1"/>
  <c r="D543" i="9"/>
  <c r="D543" i="8" s="1"/>
  <c r="C543" i="9"/>
  <c r="C543" i="8" s="1"/>
  <c r="W543" i="8" s="1"/>
  <c r="B543" i="9"/>
  <c r="B543" i="8" s="1"/>
  <c r="A543" i="9"/>
  <c r="J542" i="9"/>
  <c r="J542" i="8" s="1"/>
  <c r="I542" i="9"/>
  <c r="I542" i="8" s="1"/>
  <c r="X542" i="8" s="1"/>
  <c r="E571" i="6" s="1"/>
  <c r="H542" i="9"/>
  <c r="H542" i="8" s="1"/>
  <c r="G542" i="9"/>
  <c r="G542" i="8" s="1"/>
  <c r="F542" i="9"/>
  <c r="F542" i="8" s="1"/>
  <c r="E542" i="9"/>
  <c r="E542" i="8" s="1"/>
  <c r="D542" i="9"/>
  <c r="D542" i="8" s="1"/>
  <c r="C542" i="9"/>
  <c r="C542" i="8" s="1"/>
  <c r="W542" i="8" s="1"/>
  <c r="B542" i="9"/>
  <c r="B542" i="8" s="1"/>
  <c r="A542" i="9"/>
  <c r="J541" i="9"/>
  <c r="J541" i="8" s="1"/>
  <c r="I541" i="9"/>
  <c r="I541" i="8" s="1"/>
  <c r="X541" i="8" s="1"/>
  <c r="E570" i="6" s="1"/>
  <c r="H541" i="9"/>
  <c r="H541" i="8" s="1"/>
  <c r="G541" i="9"/>
  <c r="G541" i="8" s="1"/>
  <c r="F541" i="9"/>
  <c r="F541" i="8" s="1"/>
  <c r="E541" i="9"/>
  <c r="E541" i="8" s="1"/>
  <c r="D541" i="9"/>
  <c r="D541" i="8" s="1"/>
  <c r="C541" i="9"/>
  <c r="C541" i="8" s="1"/>
  <c r="W541" i="8" s="1"/>
  <c r="B541" i="9"/>
  <c r="B541" i="8" s="1"/>
  <c r="A541" i="9"/>
  <c r="J540" i="9"/>
  <c r="J540" i="8" s="1"/>
  <c r="I540" i="9"/>
  <c r="I540" i="8" s="1"/>
  <c r="X540" i="8" s="1"/>
  <c r="E569" i="6" s="1"/>
  <c r="H540" i="9"/>
  <c r="H540" i="8" s="1"/>
  <c r="G540" i="9"/>
  <c r="G540" i="8" s="1"/>
  <c r="F540" i="9"/>
  <c r="F540" i="8" s="1"/>
  <c r="E540" i="9"/>
  <c r="E540" i="8" s="1"/>
  <c r="D540" i="9"/>
  <c r="D540" i="8" s="1"/>
  <c r="C540" i="9"/>
  <c r="C540" i="8" s="1"/>
  <c r="W540" i="8" s="1"/>
  <c r="B540" i="9"/>
  <c r="B540" i="8" s="1"/>
  <c r="A540" i="9"/>
  <c r="J539" i="9"/>
  <c r="J539" i="8" s="1"/>
  <c r="I539" i="9"/>
  <c r="I539" i="8" s="1"/>
  <c r="X539" i="8" s="1"/>
  <c r="E568" i="6" s="1"/>
  <c r="H539" i="9"/>
  <c r="H539" i="8" s="1"/>
  <c r="G539" i="9"/>
  <c r="G539" i="8" s="1"/>
  <c r="F539" i="9"/>
  <c r="F539" i="8" s="1"/>
  <c r="E539" i="9"/>
  <c r="E539" i="8" s="1"/>
  <c r="D539" i="9"/>
  <c r="D539" i="8" s="1"/>
  <c r="C539" i="9"/>
  <c r="C539" i="8" s="1"/>
  <c r="W539" i="8" s="1"/>
  <c r="B539" i="9"/>
  <c r="B539" i="8" s="1"/>
  <c r="A539" i="9"/>
  <c r="J538" i="9"/>
  <c r="J538" i="8" s="1"/>
  <c r="I538" i="9"/>
  <c r="I538" i="8" s="1"/>
  <c r="X538" i="8" s="1"/>
  <c r="E567" i="6" s="1"/>
  <c r="H538" i="9"/>
  <c r="H538" i="8" s="1"/>
  <c r="G538" i="9"/>
  <c r="G538" i="8" s="1"/>
  <c r="F538" i="9"/>
  <c r="F538" i="8" s="1"/>
  <c r="E538" i="9"/>
  <c r="E538" i="8" s="1"/>
  <c r="D538" i="9"/>
  <c r="D538" i="8" s="1"/>
  <c r="C538" i="9"/>
  <c r="C538" i="8" s="1"/>
  <c r="W538" i="8" s="1"/>
  <c r="B538" i="9"/>
  <c r="B538" i="8" s="1"/>
  <c r="A538" i="9"/>
  <c r="J537" i="9"/>
  <c r="J537" i="8" s="1"/>
  <c r="I537" i="9"/>
  <c r="I537" i="8" s="1"/>
  <c r="X537" i="8" s="1"/>
  <c r="E566" i="6" s="1"/>
  <c r="H537" i="9"/>
  <c r="H537" i="8" s="1"/>
  <c r="G537" i="9"/>
  <c r="G537" i="8" s="1"/>
  <c r="F537" i="9"/>
  <c r="F537" i="8" s="1"/>
  <c r="E537" i="9"/>
  <c r="E537" i="8" s="1"/>
  <c r="D537" i="9"/>
  <c r="D537" i="8" s="1"/>
  <c r="C537" i="9"/>
  <c r="C537" i="8" s="1"/>
  <c r="W537" i="8" s="1"/>
  <c r="B537" i="9"/>
  <c r="B537" i="8" s="1"/>
  <c r="A537" i="9"/>
  <c r="J536" i="9"/>
  <c r="J536" i="8" s="1"/>
  <c r="I536" i="9"/>
  <c r="I536" i="8" s="1"/>
  <c r="X536" i="8" s="1"/>
  <c r="E565" i="6" s="1"/>
  <c r="H536" i="9"/>
  <c r="H536" i="8" s="1"/>
  <c r="G536" i="9"/>
  <c r="G536" i="8" s="1"/>
  <c r="F536" i="9"/>
  <c r="F536" i="8" s="1"/>
  <c r="E536" i="9"/>
  <c r="E536" i="8" s="1"/>
  <c r="D536" i="9"/>
  <c r="D536" i="8" s="1"/>
  <c r="C536" i="9"/>
  <c r="C536" i="8" s="1"/>
  <c r="W536" i="8" s="1"/>
  <c r="B536" i="9"/>
  <c r="B536" i="8" s="1"/>
  <c r="A536" i="9"/>
  <c r="J535" i="9"/>
  <c r="J535" i="8" s="1"/>
  <c r="I535" i="9"/>
  <c r="I535" i="8" s="1"/>
  <c r="X535" i="8" s="1"/>
  <c r="E564" i="6" s="1"/>
  <c r="H535" i="9"/>
  <c r="H535" i="8" s="1"/>
  <c r="G535" i="9"/>
  <c r="G535" i="8" s="1"/>
  <c r="F535" i="9"/>
  <c r="F535" i="8" s="1"/>
  <c r="E535" i="9"/>
  <c r="E535" i="8" s="1"/>
  <c r="D535" i="9"/>
  <c r="D535" i="8" s="1"/>
  <c r="C535" i="9"/>
  <c r="C535" i="8" s="1"/>
  <c r="W535" i="8" s="1"/>
  <c r="B535" i="9"/>
  <c r="B535" i="8" s="1"/>
  <c r="A535" i="9"/>
  <c r="J534" i="9"/>
  <c r="J534" i="8" s="1"/>
  <c r="I534" i="9"/>
  <c r="I534" i="8" s="1"/>
  <c r="X534" i="8" s="1"/>
  <c r="E563" i="6" s="1"/>
  <c r="H534" i="9"/>
  <c r="H534" i="8" s="1"/>
  <c r="G534" i="9"/>
  <c r="G534" i="8" s="1"/>
  <c r="F534" i="9"/>
  <c r="F534" i="8" s="1"/>
  <c r="E534" i="9"/>
  <c r="E534" i="8" s="1"/>
  <c r="D534" i="9"/>
  <c r="D534" i="8" s="1"/>
  <c r="C534" i="9"/>
  <c r="C534" i="8" s="1"/>
  <c r="W534" i="8" s="1"/>
  <c r="B534" i="9"/>
  <c r="B534" i="8" s="1"/>
  <c r="A534" i="9"/>
  <c r="J533" i="9"/>
  <c r="J533" i="8" s="1"/>
  <c r="I533" i="9"/>
  <c r="I533" i="8" s="1"/>
  <c r="X533" i="8" s="1"/>
  <c r="E562" i="6" s="1"/>
  <c r="H533" i="9"/>
  <c r="H533" i="8" s="1"/>
  <c r="G533" i="9"/>
  <c r="G533" i="8" s="1"/>
  <c r="F533" i="9"/>
  <c r="F533" i="8" s="1"/>
  <c r="E533" i="9"/>
  <c r="E533" i="8" s="1"/>
  <c r="D533" i="9"/>
  <c r="D533" i="8" s="1"/>
  <c r="C533" i="9"/>
  <c r="C533" i="8" s="1"/>
  <c r="W533" i="8" s="1"/>
  <c r="B533" i="9"/>
  <c r="B533" i="8" s="1"/>
  <c r="A533" i="9"/>
  <c r="J532" i="9"/>
  <c r="J532" i="8" s="1"/>
  <c r="I532" i="9"/>
  <c r="I532" i="8" s="1"/>
  <c r="X532" i="8" s="1"/>
  <c r="E561" i="6" s="1"/>
  <c r="H532" i="9"/>
  <c r="H532" i="8" s="1"/>
  <c r="G532" i="9"/>
  <c r="G532" i="8" s="1"/>
  <c r="F532" i="9"/>
  <c r="F532" i="8" s="1"/>
  <c r="E532" i="9"/>
  <c r="E532" i="8" s="1"/>
  <c r="D532" i="9"/>
  <c r="D532" i="8" s="1"/>
  <c r="C532" i="9"/>
  <c r="C532" i="8" s="1"/>
  <c r="W532" i="8" s="1"/>
  <c r="B532" i="9"/>
  <c r="B532" i="8" s="1"/>
  <c r="A532" i="9"/>
  <c r="J531" i="9"/>
  <c r="J531" i="8" s="1"/>
  <c r="I531" i="9"/>
  <c r="I531" i="8" s="1"/>
  <c r="X531" i="8" s="1"/>
  <c r="E560" i="6" s="1"/>
  <c r="H531" i="9"/>
  <c r="H531" i="8" s="1"/>
  <c r="G531" i="9"/>
  <c r="G531" i="8" s="1"/>
  <c r="F531" i="9"/>
  <c r="F531" i="8" s="1"/>
  <c r="E531" i="9"/>
  <c r="E531" i="8" s="1"/>
  <c r="D531" i="9"/>
  <c r="D531" i="8" s="1"/>
  <c r="C531" i="9"/>
  <c r="C531" i="8" s="1"/>
  <c r="W531" i="8" s="1"/>
  <c r="B531" i="9"/>
  <c r="B531" i="8" s="1"/>
  <c r="A531" i="9"/>
  <c r="J530" i="9"/>
  <c r="J530" i="8" s="1"/>
  <c r="I530" i="9"/>
  <c r="I530" i="8" s="1"/>
  <c r="X530" i="8" s="1"/>
  <c r="E559" i="6" s="1"/>
  <c r="H530" i="9"/>
  <c r="H530" i="8" s="1"/>
  <c r="G530" i="9"/>
  <c r="G530" i="8" s="1"/>
  <c r="F530" i="9"/>
  <c r="F530" i="8" s="1"/>
  <c r="E530" i="9"/>
  <c r="E530" i="8" s="1"/>
  <c r="D530" i="9"/>
  <c r="D530" i="8" s="1"/>
  <c r="C530" i="9"/>
  <c r="C530" i="8" s="1"/>
  <c r="W530" i="8" s="1"/>
  <c r="B530" i="9"/>
  <c r="B530" i="8" s="1"/>
  <c r="A530" i="9"/>
  <c r="J529" i="9"/>
  <c r="J529" i="8" s="1"/>
  <c r="I529" i="9"/>
  <c r="I529" i="8" s="1"/>
  <c r="X529" i="8" s="1"/>
  <c r="E558" i="6" s="1"/>
  <c r="H529" i="9"/>
  <c r="H529" i="8" s="1"/>
  <c r="G529" i="9"/>
  <c r="G529" i="8" s="1"/>
  <c r="F529" i="9"/>
  <c r="F529" i="8" s="1"/>
  <c r="E529" i="9"/>
  <c r="E529" i="8" s="1"/>
  <c r="D529" i="9"/>
  <c r="D529" i="8" s="1"/>
  <c r="C529" i="9"/>
  <c r="C529" i="8" s="1"/>
  <c r="W529" i="8" s="1"/>
  <c r="B529" i="9"/>
  <c r="B529" i="8" s="1"/>
  <c r="A529" i="9"/>
  <c r="J528" i="9"/>
  <c r="J528" i="8" s="1"/>
  <c r="I528" i="9"/>
  <c r="I528" i="8" s="1"/>
  <c r="X528" i="8" s="1"/>
  <c r="E557" i="6" s="1"/>
  <c r="H528" i="9"/>
  <c r="H528" i="8" s="1"/>
  <c r="G528" i="9"/>
  <c r="G528" i="8" s="1"/>
  <c r="F528" i="9"/>
  <c r="F528" i="8" s="1"/>
  <c r="E528" i="9"/>
  <c r="E528" i="8" s="1"/>
  <c r="D528" i="9"/>
  <c r="D528" i="8" s="1"/>
  <c r="C528" i="9"/>
  <c r="C528" i="8" s="1"/>
  <c r="W528" i="8" s="1"/>
  <c r="B528" i="9"/>
  <c r="B528" i="8" s="1"/>
  <c r="A528" i="9"/>
  <c r="J527" i="9"/>
  <c r="J527" i="8" s="1"/>
  <c r="I527" i="9"/>
  <c r="I527" i="8" s="1"/>
  <c r="X527" i="8" s="1"/>
  <c r="E556" i="6" s="1"/>
  <c r="H527" i="9"/>
  <c r="H527" i="8" s="1"/>
  <c r="G527" i="9"/>
  <c r="G527" i="8" s="1"/>
  <c r="F527" i="9"/>
  <c r="F527" i="8" s="1"/>
  <c r="E527" i="9"/>
  <c r="E527" i="8" s="1"/>
  <c r="D527" i="9"/>
  <c r="D527" i="8" s="1"/>
  <c r="C527" i="9"/>
  <c r="C527" i="8" s="1"/>
  <c r="W527" i="8" s="1"/>
  <c r="B527" i="9"/>
  <c r="B527" i="8" s="1"/>
  <c r="A527" i="9"/>
  <c r="J526" i="9"/>
  <c r="J526" i="8" s="1"/>
  <c r="I526" i="9"/>
  <c r="I526" i="8" s="1"/>
  <c r="X526" i="8" s="1"/>
  <c r="E555" i="6" s="1"/>
  <c r="H526" i="9"/>
  <c r="H526" i="8" s="1"/>
  <c r="G526" i="9"/>
  <c r="G526" i="8" s="1"/>
  <c r="F526" i="9"/>
  <c r="F526" i="8" s="1"/>
  <c r="E526" i="9"/>
  <c r="E526" i="8" s="1"/>
  <c r="D526" i="9"/>
  <c r="D526" i="8" s="1"/>
  <c r="C526" i="9"/>
  <c r="C526" i="8" s="1"/>
  <c r="W526" i="8" s="1"/>
  <c r="B526" i="9"/>
  <c r="B526" i="8" s="1"/>
  <c r="A526" i="9"/>
  <c r="J525" i="9"/>
  <c r="J525" i="8" s="1"/>
  <c r="I525" i="9"/>
  <c r="I525" i="8" s="1"/>
  <c r="X525" i="8" s="1"/>
  <c r="E554" i="6" s="1"/>
  <c r="H525" i="9"/>
  <c r="H525" i="8" s="1"/>
  <c r="G525" i="9"/>
  <c r="G525" i="8" s="1"/>
  <c r="F525" i="9"/>
  <c r="F525" i="8" s="1"/>
  <c r="E525" i="9"/>
  <c r="E525" i="8" s="1"/>
  <c r="D525" i="9"/>
  <c r="D525" i="8" s="1"/>
  <c r="C525" i="9"/>
  <c r="C525" i="8" s="1"/>
  <c r="W525" i="8" s="1"/>
  <c r="B525" i="9"/>
  <c r="B525" i="8" s="1"/>
  <c r="A525" i="9"/>
  <c r="J524" i="9"/>
  <c r="J524" i="8" s="1"/>
  <c r="I524" i="9"/>
  <c r="I524" i="8" s="1"/>
  <c r="X524" i="8" s="1"/>
  <c r="E553" i="6" s="1"/>
  <c r="H524" i="9"/>
  <c r="H524" i="8" s="1"/>
  <c r="G524" i="9"/>
  <c r="G524" i="8" s="1"/>
  <c r="F524" i="9"/>
  <c r="F524" i="8" s="1"/>
  <c r="E524" i="9"/>
  <c r="E524" i="8" s="1"/>
  <c r="D524" i="9"/>
  <c r="D524" i="8" s="1"/>
  <c r="C524" i="9"/>
  <c r="C524" i="8" s="1"/>
  <c r="W524" i="8" s="1"/>
  <c r="B524" i="9"/>
  <c r="B524" i="8" s="1"/>
  <c r="A524" i="9"/>
  <c r="J523" i="9"/>
  <c r="J523" i="8" s="1"/>
  <c r="I523" i="9"/>
  <c r="I523" i="8" s="1"/>
  <c r="X523" i="8" s="1"/>
  <c r="E552" i="6" s="1"/>
  <c r="H523" i="9"/>
  <c r="H523" i="8" s="1"/>
  <c r="G523" i="9"/>
  <c r="G523" i="8" s="1"/>
  <c r="F523" i="9"/>
  <c r="F523" i="8" s="1"/>
  <c r="E523" i="9"/>
  <c r="E523" i="8" s="1"/>
  <c r="D523" i="9"/>
  <c r="D523" i="8" s="1"/>
  <c r="C523" i="9"/>
  <c r="C523" i="8" s="1"/>
  <c r="W523" i="8" s="1"/>
  <c r="B523" i="9"/>
  <c r="B523" i="8" s="1"/>
  <c r="A523" i="9"/>
  <c r="J522" i="9"/>
  <c r="J522" i="8" s="1"/>
  <c r="I522" i="9"/>
  <c r="I522" i="8" s="1"/>
  <c r="X522" i="8" s="1"/>
  <c r="E551" i="6" s="1"/>
  <c r="H522" i="9"/>
  <c r="H522" i="8" s="1"/>
  <c r="G522" i="9"/>
  <c r="G522" i="8" s="1"/>
  <c r="F522" i="9"/>
  <c r="F522" i="8" s="1"/>
  <c r="E522" i="9"/>
  <c r="E522" i="8" s="1"/>
  <c r="D522" i="9"/>
  <c r="D522" i="8" s="1"/>
  <c r="C522" i="9"/>
  <c r="C522" i="8" s="1"/>
  <c r="W522" i="8" s="1"/>
  <c r="B522" i="9"/>
  <c r="B522" i="8" s="1"/>
  <c r="A522" i="9"/>
  <c r="J521" i="9"/>
  <c r="J521" i="8" s="1"/>
  <c r="I521" i="9"/>
  <c r="I521" i="8" s="1"/>
  <c r="X521" i="8" s="1"/>
  <c r="E550" i="6" s="1"/>
  <c r="H521" i="9"/>
  <c r="H521" i="8" s="1"/>
  <c r="G521" i="9"/>
  <c r="G521" i="8" s="1"/>
  <c r="F521" i="9"/>
  <c r="F521" i="8" s="1"/>
  <c r="E521" i="9"/>
  <c r="E521" i="8" s="1"/>
  <c r="D521" i="9"/>
  <c r="D521" i="8" s="1"/>
  <c r="C521" i="9"/>
  <c r="C521" i="8" s="1"/>
  <c r="W521" i="8" s="1"/>
  <c r="B521" i="9"/>
  <c r="B521" i="8" s="1"/>
  <c r="A521" i="9"/>
  <c r="J520" i="9"/>
  <c r="J520" i="8" s="1"/>
  <c r="I520" i="9"/>
  <c r="I520" i="8" s="1"/>
  <c r="X520" i="8" s="1"/>
  <c r="E549" i="6" s="1"/>
  <c r="H520" i="9"/>
  <c r="H520" i="8" s="1"/>
  <c r="G520" i="9"/>
  <c r="G520" i="8" s="1"/>
  <c r="F520" i="9"/>
  <c r="F520" i="8" s="1"/>
  <c r="E520" i="9"/>
  <c r="E520" i="8" s="1"/>
  <c r="D520" i="9"/>
  <c r="D520" i="8" s="1"/>
  <c r="C520" i="9"/>
  <c r="C520" i="8" s="1"/>
  <c r="W520" i="8" s="1"/>
  <c r="B520" i="9"/>
  <c r="B520" i="8" s="1"/>
  <c r="A520" i="9"/>
  <c r="J519" i="9"/>
  <c r="J519" i="8" s="1"/>
  <c r="I519" i="9"/>
  <c r="I519" i="8" s="1"/>
  <c r="X519" i="8" s="1"/>
  <c r="E548" i="6" s="1"/>
  <c r="H519" i="9"/>
  <c r="H519" i="8" s="1"/>
  <c r="G519" i="9"/>
  <c r="G519" i="8" s="1"/>
  <c r="F519" i="9"/>
  <c r="F519" i="8" s="1"/>
  <c r="E519" i="9"/>
  <c r="E519" i="8" s="1"/>
  <c r="D519" i="9"/>
  <c r="D519" i="8" s="1"/>
  <c r="C519" i="9"/>
  <c r="C519" i="8" s="1"/>
  <c r="W519" i="8" s="1"/>
  <c r="B519" i="9"/>
  <c r="B519" i="8" s="1"/>
  <c r="A519" i="9"/>
  <c r="J518" i="9"/>
  <c r="J518" i="8" s="1"/>
  <c r="I518" i="9"/>
  <c r="I518" i="8" s="1"/>
  <c r="X518" i="8" s="1"/>
  <c r="E547" i="6" s="1"/>
  <c r="H518" i="9"/>
  <c r="H518" i="8" s="1"/>
  <c r="G518" i="9"/>
  <c r="G518" i="8" s="1"/>
  <c r="F518" i="9"/>
  <c r="F518" i="8" s="1"/>
  <c r="E518" i="9"/>
  <c r="E518" i="8" s="1"/>
  <c r="D518" i="9"/>
  <c r="D518" i="8" s="1"/>
  <c r="C518" i="9"/>
  <c r="C518" i="8" s="1"/>
  <c r="W518" i="8" s="1"/>
  <c r="B518" i="9"/>
  <c r="B518" i="8" s="1"/>
  <c r="A518" i="9"/>
  <c r="J517" i="9"/>
  <c r="J517" i="8" s="1"/>
  <c r="I517" i="9"/>
  <c r="I517" i="8" s="1"/>
  <c r="X517" i="8" s="1"/>
  <c r="E546" i="6" s="1"/>
  <c r="H517" i="9"/>
  <c r="H517" i="8" s="1"/>
  <c r="G517" i="9"/>
  <c r="G517" i="8" s="1"/>
  <c r="F517" i="9"/>
  <c r="F517" i="8" s="1"/>
  <c r="E517" i="9"/>
  <c r="E517" i="8" s="1"/>
  <c r="D517" i="9"/>
  <c r="D517" i="8" s="1"/>
  <c r="C517" i="9"/>
  <c r="C517" i="8" s="1"/>
  <c r="W517" i="8" s="1"/>
  <c r="B517" i="9"/>
  <c r="B517" i="8" s="1"/>
  <c r="A517" i="9"/>
  <c r="J516" i="9"/>
  <c r="J516" i="8" s="1"/>
  <c r="I516" i="9"/>
  <c r="I516" i="8" s="1"/>
  <c r="X516" i="8" s="1"/>
  <c r="E545" i="6" s="1"/>
  <c r="H516" i="9"/>
  <c r="H516" i="8" s="1"/>
  <c r="G516" i="9"/>
  <c r="G516" i="8" s="1"/>
  <c r="F516" i="9"/>
  <c r="F516" i="8" s="1"/>
  <c r="E516" i="9"/>
  <c r="E516" i="8" s="1"/>
  <c r="D516" i="9"/>
  <c r="D516" i="8" s="1"/>
  <c r="C516" i="9"/>
  <c r="C516" i="8" s="1"/>
  <c r="W516" i="8" s="1"/>
  <c r="B516" i="9"/>
  <c r="B516" i="8" s="1"/>
  <c r="A516" i="9"/>
  <c r="J515" i="9"/>
  <c r="J515" i="8" s="1"/>
  <c r="I515" i="9"/>
  <c r="I515" i="8" s="1"/>
  <c r="X515" i="8" s="1"/>
  <c r="E544" i="6" s="1"/>
  <c r="H515" i="9"/>
  <c r="H515" i="8" s="1"/>
  <c r="G515" i="9"/>
  <c r="G515" i="8" s="1"/>
  <c r="F515" i="9"/>
  <c r="F515" i="8" s="1"/>
  <c r="E515" i="9"/>
  <c r="E515" i="8" s="1"/>
  <c r="D515" i="9"/>
  <c r="D515" i="8" s="1"/>
  <c r="C515" i="9"/>
  <c r="C515" i="8" s="1"/>
  <c r="W515" i="8" s="1"/>
  <c r="B515" i="9"/>
  <c r="B515" i="8" s="1"/>
  <c r="A515" i="9"/>
  <c r="J514" i="9"/>
  <c r="J514" i="8" s="1"/>
  <c r="I514" i="9"/>
  <c r="I514" i="8" s="1"/>
  <c r="X514" i="8" s="1"/>
  <c r="E543" i="6" s="1"/>
  <c r="H514" i="9"/>
  <c r="H514" i="8" s="1"/>
  <c r="G514" i="9"/>
  <c r="G514" i="8" s="1"/>
  <c r="F514" i="9"/>
  <c r="F514" i="8" s="1"/>
  <c r="E514" i="9"/>
  <c r="E514" i="8" s="1"/>
  <c r="D514" i="9"/>
  <c r="D514" i="8" s="1"/>
  <c r="C514" i="9"/>
  <c r="C514" i="8" s="1"/>
  <c r="W514" i="8" s="1"/>
  <c r="B514" i="9"/>
  <c r="B514" i="8" s="1"/>
  <c r="A514" i="9"/>
  <c r="K513" i="9"/>
  <c r="K513" i="8" s="1"/>
  <c r="J513" i="9"/>
  <c r="J513" i="8" s="1"/>
  <c r="I513" i="9"/>
  <c r="I513" i="8" s="1"/>
  <c r="X513" i="8" s="1"/>
  <c r="E542" i="6" s="1"/>
  <c r="H513" i="9"/>
  <c r="H513" i="8" s="1"/>
  <c r="G513" i="9"/>
  <c r="G513" i="8" s="1"/>
  <c r="F513" i="9"/>
  <c r="F513" i="8" s="1"/>
  <c r="E513" i="9"/>
  <c r="E513" i="8" s="1"/>
  <c r="D513" i="9"/>
  <c r="D513" i="8" s="1"/>
  <c r="C513" i="9"/>
  <c r="C513" i="8" s="1"/>
  <c r="W513" i="8" s="1"/>
  <c r="B513" i="9"/>
  <c r="B513" i="8" s="1"/>
  <c r="A513" i="9"/>
  <c r="J512" i="9"/>
  <c r="J512" i="8" s="1"/>
  <c r="I512" i="9"/>
  <c r="I512" i="8" s="1"/>
  <c r="X512" i="8" s="1"/>
  <c r="E541" i="6" s="1"/>
  <c r="H512" i="9"/>
  <c r="H512" i="8" s="1"/>
  <c r="G512" i="9"/>
  <c r="G512" i="8" s="1"/>
  <c r="F512" i="9"/>
  <c r="F512" i="8" s="1"/>
  <c r="E512" i="9"/>
  <c r="E512" i="8" s="1"/>
  <c r="D512" i="9"/>
  <c r="D512" i="8" s="1"/>
  <c r="C512" i="9"/>
  <c r="C512" i="8" s="1"/>
  <c r="W512" i="8" s="1"/>
  <c r="B512" i="9"/>
  <c r="B512" i="8" s="1"/>
  <c r="A512" i="9"/>
  <c r="J511" i="9"/>
  <c r="J511" i="8" s="1"/>
  <c r="I511" i="9"/>
  <c r="I511" i="8" s="1"/>
  <c r="X511" i="8" s="1"/>
  <c r="E540" i="6" s="1"/>
  <c r="H511" i="9"/>
  <c r="H511" i="8" s="1"/>
  <c r="G511" i="9"/>
  <c r="G511" i="8" s="1"/>
  <c r="F511" i="9"/>
  <c r="F511" i="8" s="1"/>
  <c r="E511" i="9"/>
  <c r="E511" i="8" s="1"/>
  <c r="D511" i="9"/>
  <c r="D511" i="8" s="1"/>
  <c r="C511" i="9"/>
  <c r="C511" i="8" s="1"/>
  <c r="W511" i="8" s="1"/>
  <c r="B511" i="9"/>
  <c r="B511" i="8" s="1"/>
  <c r="A511" i="9"/>
  <c r="J510" i="9"/>
  <c r="J510" i="8" s="1"/>
  <c r="I510" i="9"/>
  <c r="I510" i="8" s="1"/>
  <c r="X510" i="8" s="1"/>
  <c r="E539" i="6" s="1"/>
  <c r="H510" i="9"/>
  <c r="H510" i="8" s="1"/>
  <c r="G510" i="9"/>
  <c r="G510" i="8" s="1"/>
  <c r="F510" i="9"/>
  <c r="F510" i="8" s="1"/>
  <c r="E510" i="9"/>
  <c r="E510" i="8" s="1"/>
  <c r="D510" i="9"/>
  <c r="D510" i="8" s="1"/>
  <c r="C510" i="9"/>
  <c r="C510" i="8" s="1"/>
  <c r="W510" i="8" s="1"/>
  <c r="B510" i="9"/>
  <c r="B510" i="8" s="1"/>
  <c r="A510" i="9"/>
  <c r="J509" i="9"/>
  <c r="J509" i="8" s="1"/>
  <c r="I509" i="9"/>
  <c r="I509" i="8" s="1"/>
  <c r="X509" i="8" s="1"/>
  <c r="E538" i="6" s="1"/>
  <c r="H509" i="9"/>
  <c r="H509" i="8" s="1"/>
  <c r="G509" i="9"/>
  <c r="G509" i="8" s="1"/>
  <c r="F509" i="9"/>
  <c r="F509" i="8" s="1"/>
  <c r="E509" i="9"/>
  <c r="E509" i="8" s="1"/>
  <c r="D509" i="9"/>
  <c r="D509" i="8" s="1"/>
  <c r="C509" i="9"/>
  <c r="C509" i="8" s="1"/>
  <c r="W509" i="8" s="1"/>
  <c r="B509" i="9"/>
  <c r="B509" i="8" s="1"/>
  <c r="A509" i="9"/>
  <c r="J508" i="9"/>
  <c r="J508" i="8" s="1"/>
  <c r="I508" i="9"/>
  <c r="I508" i="8" s="1"/>
  <c r="X508" i="8" s="1"/>
  <c r="E537" i="6" s="1"/>
  <c r="H508" i="9"/>
  <c r="H508" i="8" s="1"/>
  <c r="G508" i="9"/>
  <c r="G508" i="8" s="1"/>
  <c r="F508" i="9"/>
  <c r="F508" i="8" s="1"/>
  <c r="E508" i="9"/>
  <c r="E508" i="8" s="1"/>
  <c r="D508" i="9"/>
  <c r="D508" i="8" s="1"/>
  <c r="C508" i="9"/>
  <c r="C508" i="8" s="1"/>
  <c r="W508" i="8" s="1"/>
  <c r="B508" i="9"/>
  <c r="B508" i="8" s="1"/>
  <c r="A508" i="9"/>
  <c r="J507" i="9"/>
  <c r="J507" i="8" s="1"/>
  <c r="I507" i="9"/>
  <c r="I507" i="8" s="1"/>
  <c r="X507" i="8" s="1"/>
  <c r="E536" i="6" s="1"/>
  <c r="H507" i="9"/>
  <c r="H507" i="8" s="1"/>
  <c r="G507" i="9"/>
  <c r="G507" i="8" s="1"/>
  <c r="F507" i="9"/>
  <c r="F507" i="8" s="1"/>
  <c r="E507" i="9"/>
  <c r="E507" i="8" s="1"/>
  <c r="D507" i="9"/>
  <c r="D507" i="8" s="1"/>
  <c r="C507" i="9"/>
  <c r="C507" i="8" s="1"/>
  <c r="W507" i="8" s="1"/>
  <c r="B507" i="9"/>
  <c r="B507" i="8" s="1"/>
  <c r="A507" i="9"/>
  <c r="J506" i="9"/>
  <c r="J506" i="8" s="1"/>
  <c r="I506" i="9"/>
  <c r="I506" i="8" s="1"/>
  <c r="X506" i="8" s="1"/>
  <c r="E535" i="6" s="1"/>
  <c r="H506" i="9"/>
  <c r="H506" i="8" s="1"/>
  <c r="G506" i="9"/>
  <c r="G506" i="8" s="1"/>
  <c r="F506" i="9"/>
  <c r="F506" i="8" s="1"/>
  <c r="E506" i="9"/>
  <c r="E506" i="8" s="1"/>
  <c r="D506" i="9"/>
  <c r="D506" i="8" s="1"/>
  <c r="C506" i="9"/>
  <c r="C506" i="8" s="1"/>
  <c r="W506" i="8" s="1"/>
  <c r="B506" i="9"/>
  <c r="B506" i="8" s="1"/>
  <c r="A506" i="9"/>
  <c r="J505" i="9"/>
  <c r="J505" i="8" s="1"/>
  <c r="I505" i="9"/>
  <c r="I505" i="8" s="1"/>
  <c r="X505" i="8" s="1"/>
  <c r="E534" i="6" s="1"/>
  <c r="H505" i="9"/>
  <c r="H505" i="8" s="1"/>
  <c r="G505" i="9"/>
  <c r="G505" i="8" s="1"/>
  <c r="F505" i="9"/>
  <c r="F505" i="8" s="1"/>
  <c r="E505" i="9"/>
  <c r="E505" i="8" s="1"/>
  <c r="D505" i="9"/>
  <c r="D505" i="8" s="1"/>
  <c r="C505" i="9"/>
  <c r="C505" i="8" s="1"/>
  <c r="W505" i="8" s="1"/>
  <c r="B505" i="9"/>
  <c r="B505" i="8" s="1"/>
  <c r="A505" i="9"/>
  <c r="J504" i="9"/>
  <c r="J504" i="8" s="1"/>
  <c r="I504" i="9"/>
  <c r="I504" i="8" s="1"/>
  <c r="X504" i="8" s="1"/>
  <c r="E533" i="6" s="1"/>
  <c r="H504" i="9"/>
  <c r="H504" i="8" s="1"/>
  <c r="G504" i="9"/>
  <c r="G504" i="8" s="1"/>
  <c r="F504" i="9"/>
  <c r="F504" i="8" s="1"/>
  <c r="E504" i="9"/>
  <c r="E504" i="8" s="1"/>
  <c r="D504" i="9"/>
  <c r="D504" i="8" s="1"/>
  <c r="C504" i="9"/>
  <c r="C504" i="8" s="1"/>
  <c r="W504" i="8" s="1"/>
  <c r="B504" i="9"/>
  <c r="B504" i="8" s="1"/>
  <c r="A504" i="9"/>
  <c r="J503" i="9"/>
  <c r="J503" i="8" s="1"/>
  <c r="I503" i="9"/>
  <c r="I503" i="8" s="1"/>
  <c r="X503" i="8" s="1"/>
  <c r="E532" i="6" s="1"/>
  <c r="H503" i="9"/>
  <c r="H503" i="8" s="1"/>
  <c r="G503" i="9"/>
  <c r="G503" i="8" s="1"/>
  <c r="F503" i="9"/>
  <c r="F503" i="8" s="1"/>
  <c r="E503" i="9"/>
  <c r="E503" i="8" s="1"/>
  <c r="D503" i="9"/>
  <c r="D503" i="8" s="1"/>
  <c r="C503" i="9"/>
  <c r="C503" i="8" s="1"/>
  <c r="W503" i="8" s="1"/>
  <c r="B503" i="9"/>
  <c r="B503" i="8" s="1"/>
  <c r="A503" i="9"/>
  <c r="J502" i="9"/>
  <c r="J502" i="8" s="1"/>
  <c r="I502" i="9"/>
  <c r="I502" i="8" s="1"/>
  <c r="X502" i="8" s="1"/>
  <c r="E531" i="6" s="1"/>
  <c r="H502" i="9"/>
  <c r="H502" i="8" s="1"/>
  <c r="G502" i="9"/>
  <c r="G502" i="8" s="1"/>
  <c r="F502" i="9"/>
  <c r="F502" i="8" s="1"/>
  <c r="E502" i="9"/>
  <c r="E502" i="8" s="1"/>
  <c r="D502" i="9"/>
  <c r="D502" i="8" s="1"/>
  <c r="C502" i="9"/>
  <c r="C502" i="8" s="1"/>
  <c r="W502" i="8" s="1"/>
  <c r="B502" i="9"/>
  <c r="B502" i="8" s="1"/>
  <c r="A502" i="9"/>
  <c r="J501" i="9"/>
  <c r="J501" i="8" s="1"/>
  <c r="I501" i="9"/>
  <c r="I501" i="8" s="1"/>
  <c r="X501" i="8" s="1"/>
  <c r="E530" i="6" s="1"/>
  <c r="H501" i="9"/>
  <c r="H501" i="8" s="1"/>
  <c r="G501" i="9"/>
  <c r="G501" i="8" s="1"/>
  <c r="F501" i="9"/>
  <c r="F501" i="8" s="1"/>
  <c r="E501" i="9"/>
  <c r="E501" i="8" s="1"/>
  <c r="D501" i="9"/>
  <c r="D501" i="8" s="1"/>
  <c r="C501" i="9"/>
  <c r="C501" i="8" s="1"/>
  <c r="W501" i="8" s="1"/>
  <c r="B501" i="9"/>
  <c r="B501" i="8" s="1"/>
  <c r="A501" i="9"/>
  <c r="J500" i="9"/>
  <c r="J500" i="8" s="1"/>
  <c r="I500" i="9"/>
  <c r="I500" i="8" s="1"/>
  <c r="X500" i="8" s="1"/>
  <c r="E529" i="6" s="1"/>
  <c r="H500" i="9"/>
  <c r="H500" i="8" s="1"/>
  <c r="G500" i="9"/>
  <c r="G500" i="8" s="1"/>
  <c r="F500" i="9"/>
  <c r="F500" i="8" s="1"/>
  <c r="E500" i="9"/>
  <c r="E500" i="8" s="1"/>
  <c r="D500" i="9"/>
  <c r="D500" i="8" s="1"/>
  <c r="C500" i="9"/>
  <c r="C500" i="8" s="1"/>
  <c r="W500" i="8" s="1"/>
  <c r="B500" i="9"/>
  <c r="B500" i="8" s="1"/>
  <c r="A500" i="9"/>
  <c r="J499" i="9"/>
  <c r="J499" i="8" s="1"/>
  <c r="I499" i="9"/>
  <c r="I499" i="8" s="1"/>
  <c r="X499" i="8" s="1"/>
  <c r="E528" i="6" s="1"/>
  <c r="H499" i="9"/>
  <c r="H499" i="8" s="1"/>
  <c r="G499" i="9"/>
  <c r="G499" i="8" s="1"/>
  <c r="F499" i="9"/>
  <c r="F499" i="8" s="1"/>
  <c r="E499" i="9"/>
  <c r="E499" i="8" s="1"/>
  <c r="D499" i="9"/>
  <c r="D499" i="8" s="1"/>
  <c r="C499" i="9"/>
  <c r="C499" i="8" s="1"/>
  <c r="W499" i="8" s="1"/>
  <c r="B499" i="9"/>
  <c r="B499" i="8" s="1"/>
  <c r="A499" i="9"/>
  <c r="J498" i="9"/>
  <c r="J498" i="8" s="1"/>
  <c r="I498" i="9"/>
  <c r="I498" i="8" s="1"/>
  <c r="X498" i="8" s="1"/>
  <c r="E527" i="6" s="1"/>
  <c r="H498" i="9"/>
  <c r="H498" i="8" s="1"/>
  <c r="G498" i="9"/>
  <c r="G498" i="8" s="1"/>
  <c r="F498" i="9"/>
  <c r="F498" i="8" s="1"/>
  <c r="E498" i="9"/>
  <c r="E498" i="8" s="1"/>
  <c r="D498" i="9"/>
  <c r="D498" i="8" s="1"/>
  <c r="C498" i="9"/>
  <c r="C498" i="8" s="1"/>
  <c r="W498" i="8" s="1"/>
  <c r="B498" i="9"/>
  <c r="B498" i="8" s="1"/>
  <c r="A498" i="9"/>
  <c r="J497" i="9"/>
  <c r="J497" i="8" s="1"/>
  <c r="I497" i="9"/>
  <c r="I497" i="8" s="1"/>
  <c r="X497" i="8" s="1"/>
  <c r="E526" i="6" s="1"/>
  <c r="H497" i="9"/>
  <c r="H497" i="8" s="1"/>
  <c r="G497" i="9"/>
  <c r="G497" i="8" s="1"/>
  <c r="F497" i="9"/>
  <c r="F497" i="8" s="1"/>
  <c r="E497" i="9"/>
  <c r="E497" i="8" s="1"/>
  <c r="D497" i="9"/>
  <c r="D497" i="8" s="1"/>
  <c r="C497" i="9"/>
  <c r="C497" i="8" s="1"/>
  <c r="W497" i="8" s="1"/>
  <c r="B497" i="9"/>
  <c r="B497" i="8" s="1"/>
  <c r="A497" i="9"/>
  <c r="J496" i="9"/>
  <c r="J496" i="8" s="1"/>
  <c r="I496" i="9"/>
  <c r="I496" i="8" s="1"/>
  <c r="X496" i="8" s="1"/>
  <c r="E525" i="6" s="1"/>
  <c r="H496" i="9"/>
  <c r="H496" i="8" s="1"/>
  <c r="G496" i="9"/>
  <c r="G496" i="8" s="1"/>
  <c r="F496" i="9"/>
  <c r="F496" i="8" s="1"/>
  <c r="E496" i="9"/>
  <c r="E496" i="8" s="1"/>
  <c r="D496" i="9"/>
  <c r="D496" i="8" s="1"/>
  <c r="C496" i="9"/>
  <c r="C496" i="8" s="1"/>
  <c r="W496" i="8" s="1"/>
  <c r="B496" i="9"/>
  <c r="B496" i="8" s="1"/>
  <c r="A496" i="9"/>
  <c r="J495" i="9"/>
  <c r="J495" i="8" s="1"/>
  <c r="I495" i="9"/>
  <c r="I495" i="8" s="1"/>
  <c r="X495" i="8" s="1"/>
  <c r="E524" i="6" s="1"/>
  <c r="H495" i="9"/>
  <c r="H495" i="8" s="1"/>
  <c r="G495" i="9"/>
  <c r="G495" i="8" s="1"/>
  <c r="F495" i="9"/>
  <c r="F495" i="8" s="1"/>
  <c r="E495" i="9"/>
  <c r="E495" i="8" s="1"/>
  <c r="D495" i="9"/>
  <c r="D495" i="8" s="1"/>
  <c r="C495" i="9"/>
  <c r="C495" i="8" s="1"/>
  <c r="W495" i="8" s="1"/>
  <c r="B495" i="9"/>
  <c r="B495" i="8" s="1"/>
  <c r="A495" i="9"/>
  <c r="J494" i="9"/>
  <c r="J494" i="8" s="1"/>
  <c r="I494" i="9"/>
  <c r="I494" i="8" s="1"/>
  <c r="X494" i="8" s="1"/>
  <c r="E523" i="6" s="1"/>
  <c r="H494" i="9"/>
  <c r="H494" i="8" s="1"/>
  <c r="G494" i="9"/>
  <c r="G494" i="8" s="1"/>
  <c r="F494" i="9"/>
  <c r="F494" i="8" s="1"/>
  <c r="E494" i="9"/>
  <c r="E494" i="8" s="1"/>
  <c r="D494" i="9"/>
  <c r="D494" i="8" s="1"/>
  <c r="C494" i="9"/>
  <c r="C494" i="8" s="1"/>
  <c r="W494" i="8" s="1"/>
  <c r="B494" i="9"/>
  <c r="B494" i="8" s="1"/>
  <c r="A494" i="9"/>
  <c r="J493" i="9"/>
  <c r="J493" i="8" s="1"/>
  <c r="I493" i="9"/>
  <c r="I493" i="8" s="1"/>
  <c r="X493" i="8" s="1"/>
  <c r="E522" i="6" s="1"/>
  <c r="H493" i="9"/>
  <c r="H493" i="8" s="1"/>
  <c r="G493" i="9"/>
  <c r="G493" i="8" s="1"/>
  <c r="F493" i="9"/>
  <c r="F493" i="8" s="1"/>
  <c r="E493" i="9"/>
  <c r="E493" i="8" s="1"/>
  <c r="D493" i="9"/>
  <c r="D493" i="8" s="1"/>
  <c r="C493" i="9"/>
  <c r="C493" i="8" s="1"/>
  <c r="W493" i="8" s="1"/>
  <c r="B493" i="9"/>
  <c r="B493" i="8" s="1"/>
  <c r="A493" i="9"/>
  <c r="J492" i="9"/>
  <c r="J492" i="8" s="1"/>
  <c r="I492" i="9"/>
  <c r="I492" i="8" s="1"/>
  <c r="X492" i="8" s="1"/>
  <c r="E521" i="6" s="1"/>
  <c r="H492" i="9"/>
  <c r="H492" i="8" s="1"/>
  <c r="G492" i="9"/>
  <c r="G492" i="8" s="1"/>
  <c r="F492" i="9"/>
  <c r="F492" i="8" s="1"/>
  <c r="E492" i="9"/>
  <c r="E492" i="8" s="1"/>
  <c r="D492" i="9"/>
  <c r="D492" i="8" s="1"/>
  <c r="C492" i="9"/>
  <c r="C492" i="8" s="1"/>
  <c r="W492" i="8" s="1"/>
  <c r="B492" i="9"/>
  <c r="B492" i="8" s="1"/>
  <c r="A492" i="9"/>
  <c r="J491" i="9"/>
  <c r="J491" i="8" s="1"/>
  <c r="I491" i="9"/>
  <c r="I491" i="8" s="1"/>
  <c r="X491" i="8" s="1"/>
  <c r="E520" i="6" s="1"/>
  <c r="H491" i="9"/>
  <c r="H491" i="8" s="1"/>
  <c r="G491" i="9"/>
  <c r="G491" i="8" s="1"/>
  <c r="F491" i="9"/>
  <c r="F491" i="8" s="1"/>
  <c r="E491" i="9"/>
  <c r="E491" i="8" s="1"/>
  <c r="D491" i="9"/>
  <c r="D491" i="8" s="1"/>
  <c r="C491" i="9"/>
  <c r="C491" i="8" s="1"/>
  <c r="W491" i="8" s="1"/>
  <c r="B491" i="9"/>
  <c r="B491" i="8" s="1"/>
  <c r="A491" i="9"/>
  <c r="J490" i="9"/>
  <c r="J490" i="8" s="1"/>
  <c r="I490" i="9"/>
  <c r="I490" i="8" s="1"/>
  <c r="X490" i="8" s="1"/>
  <c r="E519" i="6" s="1"/>
  <c r="H490" i="9"/>
  <c r="H490" i="8" s="1"/>
  <c r="G490" i="9"/>
  <c r="G490" i="8" s="1"/>
  <c r="F490" i="9"/>
  <c r="F490" i="8" s="1"/>
  <c r="E490" i="9"/>
  <c r="E490" i="8" s="1"/>
  <c r="D490" i="9"/>
  <c r="D490" i="8" s="1"/>
  <c r="C490" i="9"/>
  <c r="C490" i="8" s="1"/>
  <c r="W490" i="8" s="1"/>
  <c r="B490" i="9"/>
  <c r="B490" i="8" s="1"/>
  <c r="A490" i="9"/>
  <c r="J489" i="9"/>
  <c r="J489" i="8" s="1"/>
  <c r="I489" i="9"/>
  <c r="I489" i="8" s="1"/>
  <c r="X489" i="8" s="1"/>
  <c r="E518" i="6" s="1"/>
  <c r="H489" i="9"/>
  <c r="H489" i="8" s="1"/>
  <c r="G489" i="9"/>
  <c r="G489" i="8" s="1"/>
  <c r="F489" i="9"/>
  <c r="F489" i="8" s="1"/>
  <c r="E489" i="9"/>
  <c r="E489" i="8" s="1"/>
  <c r="D489" i="9"/>
  <c r="D489" i="8" s="1"/>
  <c r="C489" i="9"/>
  <c r="C489" i="8" s="1"/>
  <c r="W489" i="8" s="1"/>
  <c r="B489" i="9"/>
  <c r="B489" i="8" s="1"/>
  <c r="A489" i="9"/>
  <c r="J488" i="9"/>
  <c r="J488" i="8" s="1"/>
  <c r="I488" i="9"/>
  <c r="I488" i="8" s="1"/>
  <c r="X488" i="8" s="1"/>
  <c r="E517" i="6" s="1"/>
  <c r="H488" i="9"/>
  <c r="H488" i="8" s="1"/>
  <c r="G488" i="9"/>
  <c r="G488" i="8" s="1"/>
  <c r="F488" i="9"/>
  <c r="F488" i="8" s="1"/>
  <c r="E488" i="9"/>
  <c r="E488" i="8" s="1"/>
  <c r="D488" i="9"/>
  <c r="D488" i="8" s="1"/>
  <c r="C488" i="9"/>
  <c r="C488" i="8" s="1"/>
  <c r="W488" i="8" s="1"/>
  <c r="B488" i="9"/>
  <c r="B488" i="8" s="1"/>
  <c r="A488" i="9"/>
  <c r="J487" i="9"/>
  <c r="J487" i="8" s="1"/>
  <c r="I487" i="9"/>
  <c r="I487" i="8" s="1"/>
  <c r="X487" i="8" s="1"/>
  <c r="E516" i="6" s="1"/>
  <c r="H487" i="9"/>
  <c r="H487" i="8" s="1"/>
  <c r="G487" i="9"/>
  <c r="G487" i="8" s="1"/>
  <c r="F487" i="9"/>
  <c r="F487" i="8" s="1"/>
  <c r="E487" i="9"/>
  <c r="E487" i="8" s="1"/>
  <c r="D487" i="9"/>
  <c r="D487" i="8" s="1"/>
  <c r="C487" i="9"/>
  <c r="C487" i="8" s="1"/>
  <c r="W487" i="8" s="1"/>
  <c r="B487" i="9"/>
  <c r="B487" i="8" s="1"/>
  <c r="A487" i="9"/>
  <c r="J486" i="9"/>
  <c r="J486" i="8" s="1"/>
  <c r="I486" i="9"/>
  <c r="I486" i="8" s="1"/>
  <c r="X486" i="8" s="1"/>
  <c r="E515" i="6" s="1"/>
  <c r="H486" i="9"/>
  <c r="H486" i="8" s="1"/>
  <c r="G486" i="9"/>
  <c r="G486" i="8" s="1"/>
  <c r="F486" i="9"/>
  <c r="F486" i="8" s="1"/>
  <c r="E486" i="9"/>
  <c r="E486" i="8" s="1"/>
  <c r="D486" i="9"/>
  <c r="D486" i="8" s="1"/>
  <c r="C486" i="9"/>
  <c r="C486" i="8" s="1"/>
  <c r="W486" i="8" s="1"/>
  <c r="B486" i="9"/>
  <c r="B486" i="8" s="1"/>
  <c r="A486" i="9"/>
  <c r="J485" i="9"/>
  <c r="J485" i="8" s="1"/>
  <c r="I485" i="9"/>
  <c r="I485" i="8" s="1"/>
  <c r="X485" i="8" s="1"/>
  <c r="E514" i="6" s="1"/>
  <c r="H485" i="9"/>
  <c r="H485" i="8" s="1"/>
  <c r="G485" i="9"/>
  <c r="G485" i="8" s="1"/>
  <c r="F485" i="9"/>
  <c r="F485" i="8" s="1"/>
  <c r="E485" i="9"/>
  <c r="E485" i="8" s="1"/>
  <c r="D485" i="9"/>
  <c r="D485" i="8" s="1"/>
  <c r="C485" i="9"/>
  <c r="C485" i="8" s="1"/>
  <c r="W485" i="8" s="1"/>
  <c r="B485" i="9"/>
  <c r="B485" i="8" s="1"/>
  <c r="A485" i="9"/>
  <c r="J484" i="9"/>
  <c r="J484" i="8" s="1"/>
  <c r="I484" i="9"/>
  <c r="I484" i="8" s="1"/>
  <c r="X484" i="8" s="1"/>
  <c r="E513" i="6" s="1"/>
  <c r="H484" i="9"/>
  <c r="H484" i="8" s="1"/>
  <c r="G484" i="9"/>
  <c r="G484" i="8" s="1"/>
  <c r="F484" i="9"/>
  <c r="F484" i="8" s="1"/>
  <c r="E484" i="9"/>
  <c r="E484" i="8" s="1"/>
  <c r="D484" i="9"/>
  <c r="D484" i="8" s="1"/>
  <c r="C484" i="9"/>
  <c r="C484" i="8" s="1"/>
  <c r="W484" i="8" s="1"/>
  <c r="B484" i="9"/>
  <c r="B484" i="8" s="1"/>
  <c r="A484" i="9"/>
  <c r="J483" i="9"/>
  <c r="J483" i="8" s="1"/>
  <c r="I483" i="9"/>
  <c r="I483" i="8" s="1"/>
  <c r="X483" i="8" s="1"/>
  <c r="E512" i="6" s="1"/>
  <c r="H483" i="9"/>
  <c r="H483" i="8" s="1"/>
  <c r="G483" i="9"/>
  <c r="G483" i="8" s="1"/>
  <c r="F483" i="9"/>
  <c r="F483" i="8" s="1"/>
  <c r="E483" i="9"/>
  <c r="E483" i="8" s="1"/>
  <c r="D483" i="9"/>
  <c r="D483" i="8" s="1"/>
  <c r="C483" i="9"/>
  <c r="C483" i="8" s="1"/>
  <c r="W483" i="8" s="1"/>
  <c r="B483" i="9"/>
  <c r="B483" i="8" s="1"/>
  <c r="A483" i="9"/>
  <c r="J482" i="9"/>
  <c r="J482" i="8" s="1"/>
  <c r="I482" i="9"/>
  <c r="I482" i="8" s="1"/>
  <c r="X482" i="8" s="1"/>
  <c r="E511" i="6" s="1"/>
  <c r="H482" i="9"/>
  <c r="H482" i="8" s="1"/>
  <c r="G482" i="9"/>
  <c r="G482" i="8" s="1"/>
  <c r="F482" i="9"/>
  <c r="F482" i="8" s="1"/>
  <c r="E482" i="9"/>
  <c r="E482" i="8" s="1"/>
  <c r="D482" i="9"/>
  <c r="D482" i="8" s="1"/>
  <c r="C482" i="9"/>
  <c r="C482" i="8" s="1"/>
  <c r="W482" i="8" s="1"/>
  <c r="B482" i="9"/>
  <c r="B482" i="8" s="1"/>
  <c r="A482" i="9"/>
  <c r="J481" i="9"/>
  <c r="J481" i="8" s="1"/>
  <c r="I481" i="9"/>
  <c r="I481" i="8" s="1"/>
  <c r="X481" i="8" s="1"/>
  <c r="E510" i="6" s="1"/>
  <c r="H481" i="9"/>
  <c r="H481" i="8" s="1"/>
  <c r="G481" i="9"/>
  <c r="G481" i="8" s="1"/>
  <c r="F481" i="9"/>
  <c r="F481" i="8" s="1"/>
  <c r="E481" i="9"/>
  <c r="E481" i="8" s="1"/>
  <c r="D481" i="9"/>
  <c r="D481" i="8" s="1"/>
  <c r="C481" i="9"/>
  <c r="C481" i="8" s="1"/>
  <c r="W481" i="8" s="1"/>
  <c r="B481" i="9"/>
  <c r="B481" i="8" s="1"/>
  <c r="A481" i="9"/>
  <c r="J480" i="9"/>
  <c r="J480" i="8" s="1"/>
  <c r="I480" i="9"/>
  <c r="I480" i="8" s="1"/>
  <c r="X480" i="8" s="1"/>
  <c r="E509" i="6" s="1"/>
  <c r="H480" i="9"/>
  <c r="H480" i="8" s="1"/>
  <c r="G480" i="9"/>
  <c r="G480" i="8" s="1"/>
  <c r="F480" i="9"/>
  <c r="F480" i="8" s="1"/>
  <c r="E480" i="9"/>
  <c r="E480" i="8" s="1"/>
  <c r="D480" i="9"/>
  <c r="D480" i="8" s="1"/>
  <c r="C480" i="9"/>
  <c r="C480" i="8" s="1"/>
  <c r="W480" i="8" s="1"/>
  <c r="B480" i="9"/>
  <c r="B480" i="8" s="1"/>
  <c r="A480" i="9"/>
  <c r="J479" i="9"/>
  <c r="J479" i="8" s="1"/>
  <c r="I479" i="9"/>
  <c r="I479" i="8" s="1"/>
  <c r="X479" i="8" s="1"/>
  <c r="E508" i="6" s="1"/>
  <c r="H479" i="9"/>
  <c r="H479" i="8" s="1"/>
  <c r="G479" i="9"/>
  <c r="G479" i="8" s="1"/>
  <c r="F479" i="9"/>
  <c r="F479" i="8" s="1"/>
  <c r="E479" i="9"/>
  <c r="E479" i="8" s="1"/>
  <c r="D479" i="9"/>
  <c r="D479" i="8" s="1"/>
  <c r="C479" i="9"/>
  <c r="C479" i="8" s="1"/>
  <c r="W479" i="8" s="1"/>
  <c r="B479" i="9"/>
  <c r="B479" i="8" s="1"/>
  <c r="A479" i="9"/>
  <c r="J478" i="9"/>
  <c r="J478" i="8" s="1"/>
  <c r="I478" i="9"/>
  <c r="I478" i="8" s="1"/>
  <c r="X478" i="8" s="1"/>
  <c r="E507" i="6" s="1"/>
  <c r="H478" i="9"/>
  <c r="H478" i="8" s="1"/>
  <c r="G478" i="9"/>
  <c r="G478" i="8" s="1"/>
  <c r="F478" i="9"/>
  <c r="F478" i="8" s="1"/>
  <c r="E478" i="9"/>
  <c r="E478" i="8" s="1"/>
  <c r="D478" i="9"/>
  <c r="D478" i="8" s="1"/>
  <c r="C478" i="9"/>
  <c r="C478" i="8" s="1"/>
  <c r="W478" i="8" s="1"/>
  <c r="B478" i="9"/>
  <c r="B478" i="8" s="1"/>
  <c r="A478" i="9"/>
  <c r="J477" i="9"/>
  <c r="J477" i="8" s="1"/>
  <c r="I477" i="9"/>
  <c r="I477" i="8" s="1"/>
  <c r="X477" i="8" s="1"/>
  <c r="E506" i="6" s="1"/>
  <c r="H477" i="9"/>
  <c r="H477" i="8" s="1"/>
  <c r="G477" i="9"/>
  <c r="G477" i="8" s="1"/>
  <c r="F477" i="9"/>
  <c r="F477" i="8" s="1"/>
  <c r="E477" i="9"/>
  <c r="E477" i="8" s="1"/>
  <c r="D477" i="9"/>
  <c r="D477" i="8" s="1"/>
  <c r="C477" i="9"/>
  <c r="C477" i="8" s="1"/>
  <c r="W477" i="8" s="1"/>
  <c r="B477" i="9"/>
  <c r="B477" i="8" s="1"/>
  <c r="A477" i="9"/>
  <c r="J476" i="9"/>
  <c r="J476" i="8" s="1"/>
  <c r="I476" i="9"/>
  <c r="I476" i="8" s="1"/>
  <c r="X476" i="8" s="1"/>
  <c r="E505" i="6" s="1"/>
  <c r="H476" i="9"/>
  <c r="H476" i="8" s="1"/>
  <c r="G476" i="9"/>
  <c r="G476" i="8" s="1"/>
  <c r="F476" i="9"/>
  <c r="F476" i="8" s="1"/>
  <c r="E476" i="9"/>
  <c r="E476" i="8" s="1"/>
  <c r="D476" i="9"/>
  <c r="D476" i="8" s="1"/>
  <c r="C476" i="9"/>
  <c r="C476" i="8" s="1"/>
  <c r="W476" i="8" s="1"/>
  <c r="B476" i="9"/>
  <c r="B476" i="8" s="1"/>
  <c r="A476" i="9"/>
  <c r="J475" i="9"/>
  <c r="J475" i="8" s="1"/>
  <c r="I475" i="9"/>
  <c r="I475" i="8" s="1"/>
  <c r="X475" i="8" s="1"/>
  <c r="E504" i="6" s="1"/>
  <c r="H475" i="9"/>
  <c r="H475" i="8" s="1"/>
  <c r="G475" i="9"/>
  <c r="G475" i="8" s="1"/>
  <c r="F475" i="9"/>
  <c r="F475" i="8" s="1"/>
  <c r="E475" i="9"/>
  <c r="E475" i="8" s="1"/>
  <c r="D475" i="9"/>
  <c r="D475" i="8" s="1"/>
  <c r="C475" i="9"/>
  <c r="C475" i="8" s="1"/>
  <c r="W475" i="8" s="1"/>
  <c r="B475" i="9"/>
  <c r="B475" i="8" s="1"/>
  <c r="A475" i="9"/>
  <c r="J474" i="9"/>
  <c r="J474" i="8" s="1"/>
  <c r="I474" i="9"/>
  <c r="I474" i="8" s="1"/>
  <c r="X474" i="8" s="1"/>
  <c r="E503" i="6" s="1"/>
  <c r="H474" i="9"/>
  <c r="H474" i="8" s="1"/>
  <c r="G474" i="9"/>
  <c r="G474" i="8" s="1"/>
  <c r="F474" i="9"/>
  <c r="F474" i="8" s="1"/>
  <c r="E474" i="9"/>
  <c r="E474" i="8" s="1"/>
  <c r="D474" i="9"/>
  <c r="D474" i="8" s="1"/>
  <c r="C474" i="9"/>
  <c r="C474" i="8" s="1"/>
  <c r="W474" i="8" s="1"/>
  <c r="B474" i="9"/>
  <c r="B474" i="8" s="1"/>
  <c r="A474" i="9"/>
  <c r="J473" i="9"/>
  <c r="J473" i="8" s="1"/>
  <c r="I473" i="9"/>
  <c r="I473" i="8" s="1"/>
  <c r="X473" i="8" s="1"/>
  <c r="E502" i="6" s="1"/>
  <c r="H473" i="9"/>
  <c r="H473" i="8" s="1"/>
  <c r="G473" i="9"/>
  <c r="G473" i="8" s="1"/>
  <c r="F473" i="9"/>
  <c r="F473" i="8" s="1"/>
  <c r="E473" i="9"/>
  <c r="E473" i="8" s="1"/>
  <c r="D473" i="9"/>
  <c r="D473" i="8" s="1"/>
  <c r="C473" i="9"/>
  <c r="C473" i="8" s="1"/>
  <c r="W473" i="8" s="1"/>
  <c r="B473" i="9"/>
  <c r="B473" i="8" s="1"/>
  <c r="A473" i="9"/>
  <c r="J472" i="9"/>
  <c r="J472" i="8" s="1"/>
  <c r="I472" i="9"/>
  <c r="I472" i="8" s="1"/>
  <c r="X472" i="8" s="1"/>
  <c r="E501" i="6" s="1"/>
  <c r="H472" i="9"/>
  <c r="H472" i="8" s="1"/>
  <c r="G472" i="9"/>
  <c r="G472" i="8" s="1"/>
  <c r="F472" i="9"/>
  <c r="F472" i="8" s="1"/>
  <c r="E472" i="9"/>
  <c r="E472" i="8" s="1"/>
  <c r="D472" i="9"/>
  <c r="D472" i="8" s="1"/>
  <c r="C472" i="9"/>
  <c r="C472" i="8" s="1"/>
  <c r="W472" i="8" s="1"/>
  <c r="B472" i="9"/>
  <c r="B472" i="8" s="1"/>
  <c r="A472" i="9"/>
  <c r="J471" i="9"/>
  <c r="J471" i="8" s="1"/>
  <c r="I471" i="9"/>
  <c r="I471" i="8" s="1"/>
  <c r="X471" i="8" s="1"/>
  <c r="E500" i="6" s="1"/>
  <c r="H471" i="9"/>
  <c r="H471" i="8" s="1"/>
  <c r="G471" i="9"/>
  <c r="G471" i="8" s="1"/>
  <c r="F471" i="9"/>
  <c r="F471" i="8" s="1"/>
  <c r="E471" i="9"/>
  <c r="E471" i="8" s="1"/>
  <c r="D471" i="9"/>
  <c r="D471" i="8" s="1"/>
  <c r="C471" i="9"/>
  <c r="C471" i="8" s="1"/>
  <c r="W471" i="8" s="1"/>
  <c r="B471" i="9"/>
  <c r="B471" i="8" s="1"/>
  <c r="A471" i="9"/>
  <c r="J470" i="9"/>
  <c r="J470" i="8" s="1"/>
  <c r="I470" i="9"/>
  <c r="I470" i="8" s="1"/>
  <c r="X470" i="8" s="1"/>
  <c r="E499" i="6" s="1"/>
  <c r="H470" i="9"/>
  <c r="H470" i="8" s="1"/>
  <c r="G470" i="9"/>
  <c r="G470" i="8" s="1"/>
  <c r="F470" i="9"/>
  <c r="F470" i="8" s="1"/>
  <c r="E470" i="9"/>
  <c r="E470" i="8" s="1"/>
  <c r="D470" i="9"/>
  <c r="D470" i="8" s="1"/>
  <c r="C470" i="9"/>
  <c r="C470" i="8" s="1"/>
  <c r="W470" i="8" s="1"/>
  <c r="B470" i="9"/>
  <c r="B470" i="8" s="1"/>
  <c r="A470" i="9"/>
  <c r="J469" i="9"/>
  <c r="J469" i="8" s="1"/>
  <c r="I469" i="9"/>
  <c r="I469" i="8" s="1"/>
  <c r="X469" i="8" s="1"/>
  <c r="E498" i="6" s="1"/>
  <c r="H469" i="9"/>
  <c r="H469" i="8" s="1"/>
  <c r="G469" i="9"/>
  <c r="G469" i="8" s="1"/>
  <c r="F469" i="9"/>
  <c r="F469" i="8" s="1"/>
  <c r="E469" i="9"/>
  <c r="E469" i="8" s="1"/>
  <c r="D469" i="9"/>
  <c r="D469" i="8" s="1"/>
  <c r="C469" i="9"/>
  <c r="C469" i="8" s="1"/>
  <c r="W469" i="8" s="1"/>
  <c r="B469" i="9"/>
  <c r="B469" i="8" s="1"/>
  <c r="A469" i="9"/>
  <c r="J468" i="9"/>
  <c r="J468" i="8" s="1"/>
  <c r="I468" i="9"/>
  <c r="I468" i="8" s="1"/>
  <c r="X468" i="8" s="1"/>
  <c r="E497" i="6" s="1"/>
  <c r="H468" i="9"/>
  <c r="H468" i="8" s="1"/>
  <c r="G468" i="9"/>
  <c r="G468" i="8" s="1"/>
  <c r="F468" i="9"/>
  <c r="F468" i="8" s="1"/>
  <c r="E468" i="9"/>
  <c r="E468" i="8" s="1"/>
  <c r="D468" i="9"/>
  <c r="D468" i="8" s="1"/>
  <c r="C468" i="9"/>
  <c r="C468" i="8" s="1"/>
  <c r="W468" i="8" s="1"/>
  <c r="B468" i="9"/>
  <c r="B468" i="8" s="1"/>
  <c r="A468" i="9"/>
  <c r="J467" i="9"/>
  <c r="J467" i="8" s="1"/>
  <c r="I467" i="9"/>
  <c r="I467" i="8" s="1"/>
  <c r="X467" i="8" s="1"/>
  <c r="E496" i="6" s="1"/>
  <c r="H467" i="9"/>
  <c r="H467" i="8" s="1"/>
  <c r="G467" i="9"/>
  <c r="G467" i="8" s="1"/>
  <c r="F467" i="9"/>
  <c r="F467" i="8" s="1"/>
  <c r="E467" i="9"/>
  <c r="E467" i="8" s="1"/>
  <c r="D467" i="9"/>
  <c r="D467" i="8" s="1"/>
  <c r="C467" i="9"/>
  <c r="C467" i="8" s="1"/>
  <c r="W467" i="8" s="1"/>
  <c r="B467" i="9"/>
  <c r="B467" i="8" s="1"/>
  <c r="A467" i="9"/>
  <c r="J466" i="9"/>
  <c r="J466" i="8" s="1"/>
  <c r="I466" i="9"/>
  <c r="I466" i="8" s="1"/>
  <c r="X466" i="8" s="1"/>
  <c r="E495" i="6" s="1"/>
  <c r="H466" i="9"/>
  <c r="H466" i="8" s="1"/>
  <c r="G466" i="9"/>
  <c r="G466" i="8" s="1"/>
  <c r="F466" i="9"/>
  <c r="F466" i="8" s="1"/>
  <c r="E466" i="9"/>
  <c r="E466" i="8" s="1"/>
  <c r="D466" i="9"/>
  <c r="D466" i="8" s="1"/>
  <c r="C466" i="9"/>
  <c r="C466" i="8" s="1"/>
  <c r="W466" i="8" s="1"/>
  <c r="B466" i="9"/>
  <c r="B466" i="8" s="1"/>
  <c r="A466" i="9"/>
  <c r="J465" i="9"/>
  <c r="J465" i="8" s="1"/>
  <c r="I465" i="9"/>
  <c r="I465" i="8" s="1"/>
  <c r="X465" i="8" s="1"/>
  <c r="E494" i="6" s="1"/>
  <c r="H465" i="9"/>
  <c r="H465" i="8" s="1"/>
  <c r="G465" i="9"/>
  <c r="G465" i="8" s="1"/>
  <c r="F465" i="9"/>
  <c r="F465" i="8" s="1"/>
  <c r="E465" i="9"/>
  <c r="E465" i="8" s="1"/>
  <c r="D465" i="9"/>
  <c r="D465" i="8" s="1"/>
  <c r="C465" i="9"/>
  <c r="C465" i="8" s="1"/>
  <c r="W465" i="8" s="1"/>
  <c r="B465" i="9"/>
  <c r="B465" i="8" s="1"/>
  <c r="A465" i="9"/>
  <c r="J464" i="9"/>
  <c r="J464" i="8" s="1"/>
  <c r="I464" i="9"/>
  <c r="I464" i="8" s="1"/>
  <c r="X464" i="8" s="1"/>
  <c r="E493" i="6" s="1"/>
  <c r="H464" i="9"/>
  <c r="H464" i="8" s="1"/>
  <c r="G464" i="9"/>
  <c r="G464" i="8" s="1"/>
  <c r="F464" i="9"/>
  <c r="F464" i="8" s="1"/>
  <c r="E464" i="9"/>
  <c r="E464" i="8" s="1"/>
  <c r="D464" i="9"/>
  <c r="D464" i="8" s="1"/>
  <c r="C464" i="9"/>
  <c r="C464" i="8" s="1"/>
  <c r="W464" i="8" s="1"/>
  <c r="B464" i="9"/>
  <c r="B464" i="8" s="1"/>
  <c r="A464" i="9"/>
  <c r="J463" i="9"/>
  <c r="J463" i="8" s="1"/>
  <c r="I463" i="9"/>
  <c r="I463" i="8" s="1"/>
  <c r="X463" i="8" s="1"/>
  <c r="E492" i="6" s="1"/>
  <c r="H463" i="9"/>
  <c r="H463" i="8" s="1"/>
  <c r="G463" i="9"/>
  <c r="G463" i="8" s="1"/>
  <c r="F463" i="9"/>
  <c r="F463" i="8" s="1"/>
  <c r="E463" i="9"/>
  <c r="E463" i="8" s="1"/>
  <c r="D463" i="9"/>
  <c r="D463" i="8" s="1"/>
  <c r="C463" i="9"/>
  <c r="C463" i="8" s="1"/>
  <c r="W463" i="8" s="1"/>
  <c r="B463" i="9"/>
  <c r="B463" i="8" s="1"/>
  <c r="A463" i="9"/>
  <c r="J462" i="9"/>
  <c r="J462" i="8" s="1"/>
  <c r="I462" i="9"/>
  <c r="I462" i="8" s="1"/>
  <c r="X462" i="8" s="1"/>
  <c r="E491" i="6" s="1"/>
  <c r="H462" i="9"/>
  <c r="H462" i="8" s="1"/>
  <c r="G462" i="9"/>
  <c r="G462" i="8" s="1"/>
  <c r="F462" i="9"/>
  <c r="F462" i="8" s="1"/>
  <c r="E462" i="9"/>
  <c r="E462" i="8" s="1"/>
  <c r="D462" i="9"/>
  <c r="D462" i="8" s="1"/>
  <c r="C462" i="9"/>
  <c r="C462" i="8" s="1"/>
  <c r="W462" i="8" s="1"/>
  <c r="B462" i="9"/>
  <c r="B462" i="8" s="1"/>
  <c r="A462" i="9"/>
  <c r="J461" i="9"/>
  <c r="J461" i="8" s="1"/>
  <c r="I461" i="9"/>
  <c r="I461" i="8" s="1"/>
  <c r="X461" i="8" s="1"/>
  <c r="E490" i="6" s="1"/>
  <c r="H461" i="9"/>
  <c r="H461" i="8" s="1"/>
  <c r="G461" i="9"/>
  <c r="G461" i="8" s="1"/>
  <c r="F461" i="9"/>
  <c r="F461" i="8" s="1"/>
  <c r="E461" i="9"/>
  <c r="E461" i="8" s="1"/>
  <c r="D461" i="9"/>
  <c r="D461" i="8" s="1"/>
  <c r="C461" i="9"/>
  <c r="C461" i="8" s="1"/>
  <c r="W461" i="8" s="1"/>
  <c r="B461" i="9"/>
  <c r="B461" i="8" s="1"/>
  <c r="A461" i="9"/>
  <c r="J460" i="9"/>
  <c r="J460" i="8" s="1"/>
  <c r="I460" i="9"/>
  <c r="I460" i="8" s="1"/>
  <c r="X460" i="8" s="1"/>
  <c r="E489" i="6" s="1"/>
  <c r="H460" i="9"/>
  <c r="H460" i="8" s="1"/>
  <c r="G460" i="9"/>
  <c r="G460" i="8" s="1"/>
  <c r="F460" i="9"/>
  <c r="F460" i="8" s="1"/>
  <c r="E460" i="9"/>
  <c r="E460" i="8" s="1"/>
  <c r="D460" i="9"/>
  <c r="D460" i="8" s="1"/>
  <c r="C460" i="9"/>
  <c r="C460" i="8" s="1"/>
  <c r="W460" i="8" s="1"/>
  <c r="B460" i="9"/>
  <c r="B460" i="8" s="1"/>
  <c r="A460" i="9"/>
  <c r="J459" i="9"/>
  <c r="J459" i="8" s="1"/>
  <c r="I459" i="9"/>
  <c r="I459" i="8" s="1"/>
  <c r="X459" i="8" s="1"/>
  <c r="E488" i="6" s="1"/>
  <c r="H459" i="9"/>
  <c r="H459" i="8" s="1"/>
  <c r="G459" i="9"/>
  <c r="G459" i="8" s="1"/>
  <c r="F459" i="9"/>
  <c r="F459" i="8" s="1"/>
  <c r="E459" i="9"/>
  <c r="E459" i="8" s="1"/>
  <c r="D459" i="9"/>
  <c r="D459" i="8" s="1"/>
  <c r="C459" i="9"/>
  <c r="C459" i="8" s="1"/>
  <c r="W459" i="8" s="1"/>
  <c r="B459" i="9"/>
  <c r="B459" i="8" s="1"/>
  <c r="A459" i="9"/>
  <c r="J458" i="9"/>
  <c r="J458" i="8" s="1"/>
  <c r="I458" i="9"/>
  <c r="I458" i="8" s="1"/>
  <c r="X458" i="8" s="1"/>
  <c r="E487" i="6" s="1"/>
  <c r="H458" i="9"/>
  <c r="H458" i="8" s="1"/>
  <c r="G458" i="9"/>
  <c r="G458" i="8" s="1"/>
  <c r="F458" i="9"/>
  <c r="F458" i="8" s="1"/>
  <c r="E458" i="9"/>
  <c r="E458" i="8" s="1"/>
  <c r="D458" i="9"/>
  <c r="D458" i="8" s="1"/>
  <c r="C458" i="9"/>
  <c r="C458" i="8" s="1"/>
  <c r="W458" i="8" s="1"/>
  <c r="B458" i="9"/>
  <c r="B458" i="8" s="1"/>
  <c r="A458" i="9"/>
  <c r="J457" i="9"/>
  <c r="J457" i="8" s="1"/>
  <c r="I457" i="9"/>
  <c r="I457" i="8" s="1"/>
  <c r="X457" i="8" s="1"/>
  <c r="E486" i="6" s="1"/>
  <c r="H457" i="9"/>
  <c r="H457" i="8" s="1"/>
  <c r="G457" i="9"/>
  <c r="G457" i="8" s="1"/>
  <c r="F457" i="9"/>
  <c r="F457" i="8" s="1"/>
  <c r="E457" i="9"/>
  <c r="E457" i="8" s="1"/>
  <c r="D457" i="9"/>
  <c r="D457" i="8" s="1"/>
  <c r="C457" i="9"/>
  <c r="C457" i="8" s="1"/>
  <c r="W457" i="8" s="1"/>
  <c r="B457" i="9"/>
  <c r="B457" i="8" s="1"/>
  <c r="A457" i="9"/>
  <c r="J456" i="9"/>
  <c r="J456" i="8" s="1"/>
  <c r="I456" i="9"/>
  <c r="I456" i="8" s="1"/>
  <c r="X456" i="8" s="1"/>
  <c r="E485" i="6" s="1"/>
  <c r="H456" i="9"/>
  <c r="H456" i="8" s="1"/>
  <c r="G456" i="9"/>
  <c r="G456" i="8" s="1"/>
  <c r="F456" i="9"/>
  <c r="F456" i="8" s="1"/>
  <c r="E456" i="9"/>
  <c r="E456" i="8" s="1"/>
  <c r="D456" i="9"/>
  <c r="D456" i="8" s="1"/>
  <c r="C456" i="9"/>
  <c r="C456" i="8" s="1"/>
  <c r="W456" i="8" s="1"/>
  <c r="B456" i="9"/>
  <c r="B456" i="8" s="1"/>
  <c r="A456" i="9"/>
  <c r="J455" i="9"/>
  <c r="J455" i="8" s="1"/>
  <c r="I455" i="9"/>
  <c r="I455" i="8" s="1"/>
  <c r="X455" i="8" s="1"/>
  <c r="E484" i="6" s="1"/>
  <c r="H455" i="9"/>
  <c r="H455" i="8" s="1"/>
  <c r="G455" i="9"/>
  <c r="G455" i="8" s="1"/>
  <c r="F455" i="9"/>
  <c r="F455" i="8" s="1"/>
  <c r="E455" i="9"/>
  <c r="E455" i="8" s="1"/>
  <c r="D455" i="9"/>
  <c r="D455" i="8" s="1"/>
  <c r="C455" i="9"/>
  <c r="C455" i="8" s="1"/>
  <c r="W455" i="8" s="1"/>
  <c r="B455" i="9"/>
  <c r="B455" i="8" s="1"/>
  <c r="A455" i="9"/>
  <c r="J454" i="9"/>
  <c r="J454" i="8" s="1"/>
  <c r="I454" i="9"/>
  <c r="I454" i="8" s="1"/>
  <c r="X454" i="8" s="1"/>
  <c r="E483" i="6" s="1"/>
  <c r="H454" i="9"/>
  <c r="H454" i="8" s="1"/>
  <c r="G454" i="9"/>
  <c r="G454" i="8" s="1"/>
  <c r="F454" i="9"/>
  <c r="F454" i="8" s="1"/>
  <c r="E454" i="9"/>
  <c r="E454" i="8" s="1"/>
  <c r="D454" i="9"/>
  <c r="D454" i="8" s="1"/>
  <c r="C454" i="9"/>
  <c r="C454" i="8" s="1"/>
  <c r="W454" i="8" s="1"/>
  <c r="B454" i="9"/>
  <c r="B454" i="8" s="1"/>
  <c r="A454" i="9"/>
  <c r="J453" i="9"/>
  <c r="J453" i="8" s="1"/>
  <c r="I453" i="9"/>
  <c r="I453" i="8" s="1"/>
  <c r="X453" i="8" s="1"/>
  <c r="E482" i="6" s="1"/>
  <c r="H453" i="9"/>
  <c r="H453" i="8" s="1"/>
  <c r="G453" i="9"/>
  <c r="G453" i="8" s="1"/>
  <c r="F453" i="9"/>
  <c r="F453" i="8" s="1"/>
  <c r="E453" i="9"/>
  <c r="E453" i="8" s="1"/>
  <c r="D453" i="9"/>
  <c r="D453" i="8" s="1"/>
  <c r="C453" i="9"/>
  <c r="C453" i="8" s="1"/>
  <c r="W453" i="8" s="1"/>
  <c r="B453" i="9"/>
  <c r="B453" i="8" s="1"/>
  <c r="A453" i="9"/>
  <c r="J452" i="9"/>
  <c r="J452" i="8" s="1"/>
  <c r="I452" i="9"/>
  <c r="I452" i="8" s="1"/>
  <c r="X452" i="8" s="1"/>
  <c r="E481" i="6" s="1"/>
  <c r="H452" i="9"/>
  <c r="H452" i="8" s="1"/>
  <c r="G452" i="9"/>
  <c r="G452" i="8" s="1"/>
  <c r="F452" i="9"/>
  <c r="F452" i="8" s="1"/>
  <c r="E452" i="9"/>
  <c r="E452" i="8" s="1"/>
  <c r="D452" i="9"/>
  <c r="D452" i="8" s="1"/>
  <c r="C452" i="9"/>
  <c r="C452" i="8" s="1"/>
  <c r="W452" i="8" s="1"/>
  <c r="B452" i="9"/>
  <c r="B452" i="8" s="1"/>
  <c r="A452" i="9"/>
  <c r="J451" i="9"/>
  <c r="J451" i="8" s="1"/>
  <c r="I451" i="9"/>
  <c r="I451" i="8" s="1"/>
  <c r="X451" i="8" s="1"/>
  <c r="E480" i="6" s="1"/>
  <c r="H451" i="9"/>
  <c r="H451" i="8" s="1"/>
  <c r="G451" i="9"/>
  <c r="G451" i="8" s="1"/>
  <c r="F451" i="9"/>
  <c r="F451" i="8" s="1"/>
  <c r="E451" i="9"/>
  <c r="E451" i="8" s="1"/>
  <c r="D451" i="9"/>
  <c r="D451" i="8" s="1"/>
  <c r="C451" i="9"/>
  <c r="C451" i="8" s="1"/>
  <c r="W451" i="8" s="1"/>
  <c r="B451" i="9"/>
  <c r="B451" i="8" s="1"/>
  <c r="A451" i="9"/>
  <c r="J450" i="9"/>
  <c r="J450" i="8" s="1"/>
  <c r="I450" i="9"/>
  <c r="I450" i="8" s="1"/>
  <c r="X450" i="8" s="1"/>
  <c r="E479" i="6" s="1"/>
  <c r="H450" i="9"/>
  <c r="H450" i="8" s="1"/>
  <c r="G450" i="9"/>
  <c r="G450" i="8" s="1"/>
  <c r="F450" i="9"/>
  <c r="F450" i="8" s="1"/>
  <c r="E450" i="9"/>
  <c r="E450" i="8" s="1"/>
  <c r="D450" i="9"/>
  <c r="D450" i="8" s="1"/>
  <c r="C450" i="9"/>
  <c r="C450" i="8" s="1"/>
  <c r="W450" i="8" s="1"/>
  <c r="B450" i="9"/>
  <c r="B450" i="8" s="1"/>
  <c r="A450" i="9"/>
  <c r="J449" i="9"/>
  <c r="J449" i="8" s="1"/>
  <c r="I449" i="9"/>
  <c r="I449" i="8" s="1"/>
  <c r="X449" i="8" s="1"/>
  <c r="E478" i="6" s="1"/>
  <c r="H449" i="9"/>
  <c r="H449" i="8" s="1"/>
  <c r="G449" i="9"/>
  <c r="G449" i="8" s="1"/>
  <c r="F449" i="9"/>
  <c r="F449" i="8" s="1"/>
  <c r="E449" i="9"/>
  <c r="E449" i="8" s="1"/>
  <c r="D449" i="9"/>
  <c r="D449" i="8" s="1"/>
  <c r="C449" i="9"/>
  <c r="C449" i="8" s="1"/>
  <c r="W449" i="8" s="1"/>
  <c r="B449" i="9"/>
  <c r="B449" i="8" s="1"/>
  <c r="A449" i="9"/>
  <c r="J448" i="9"/>
  <c r="J448" i="8" s="1"/>
  <c r="I448" i="9"/>
  <c r="I448" i="8" s="1"/>
  <c r="X448" i="8" s="1"/>
  <c r="E477" i="6" s="1"/>
  <c r="H448" i="9"/>
  <c r="H448" i="8" s="1"/>
  <c r="G448" i="9"/>
  <c r="G448" i="8" s="1"/>
  <c r="F448" i="9"/>
  <c r="F448" i="8" s="1"/>
  <c r="E448" i="9"/>
  <c r="E448" i="8" s="1"/>
  <c r="D448" i="9"/>
  <c r="D448" i="8" s="1"/>
  <c r="C448" i="9"/>
  <c r="C448" i="8" s="1"/>
  <c r="W448" i="8" s="1"/>
  <c r="B448" i="9"/>
  <c r="B448" i="8" s="1"/>
  <c r="A448" i="9"/>
  <c r="J447" i="9"/>
  <c r="J447" i="8" s="1"/>
  <c r="I447" i="9"/>
  <c r="I447" i="8" s="1"/>
  <c r="X447" i="8" s="1"/>
  <c r="E476" i="6" s="1"/>
  <c r="H447" i="9"/>
  <c r="H447" i="8" s="1"/>
  <c r="G447" i="9"/>
  <c r="G447" i="8" s="1"/>
  <c r="F447" i="9"/>
  <c r="F447" i="8" s="1"/>
  <c r="E447" i="9"/>
  <c r="E447" i="8" s="1"/>
  <c r="D447" i="9"/>
  <c r="D447" i="8" s="1"/>
  <c r="C447" i="9"/>
  <c r="C447" i="8" s="1"/>
  <c r="W447" i="8" s="1"/>
  <c r="B447" i="9"/>
  <c r="B447" i="8" s="1"/>
  <c r="A447" i="9"/>
  <c r="J446" i="9"/>
  <c r="J446" i="8" s="1"/>
  <c r="I446" i="9"/>
  <c r="I446" i="8" s="1"/>
  <c r="X446" i="8" s="1"/>
  <c r="E475" i="6" s="1"/>
  <c r="H446" i="9"/>
  <c r="H446" i="8" s="1"/>
  <c r="G446" i="9"/>
  <c r="G446" i="8" s="1"/>
  <c r="F446" i="9"/>
  <c r="F446" i="8" s="1"/>
  <c r="E446" i="9"/>
  <c r="E446" i="8" s="1"/>
  <c r="D446" i="9"/>
  <c r="D446" i="8" s="1"/>
  <c r="C446" i="9"/>
  <c r="C446" i="8" s="1"/>
  <c r="W446" i="8" s="1"/>
  <c r="B446" i="9"/>
  <c r="B446" i="8" s="1"/>
  <c r="A446" i="9"/>
  <c r="J445" i="9"/>
  <c r="J445" i="8" s="1"/>
  <c r="I445" i="9"/>
  <c r="I445" i="8" s="1"/>
  <c r="X445" i="8" s="1"/>
  <c r="E474" i="6" s="1"/>
  <c r="H445" i="9"/>
  <c r="H445" i="8" s="1"/>
  <c r="G445" i="9"/>
  <c r="G445" i="8" s="1"/>
  <c r="F445" i="9"/>
  <c r="F445" i="8" s="1"/>
  <c r="E445" i="9"/>
  <c r="E445" i="8" s="1"/>
  <c r="D445" i="9"/>
  <c r="D445" i="8" s="1"/>
  <c r="C445" i="9"/>
  <c r="C445" i="8" s="1"/>
  <c r="W445" i="8" s="1"/>
  <c r="B445" i="9"/>
  <c r="B445" i="8" s="1"/>
  <c r="A445" i="9"/>
  <c r="J444" i="9"/>
  <c r="J444" i="8" s="1"/>
  <c r="I444" i="9"/>
  <c r="I444" i="8" s="1"/>
  <c r="X444" i="8" s="1"/>
  <c r="E473" i="6" s="1"/>
  <c r="H444" i="9"/>
  <c r="H444" i="8" s="1"/>
  <c r="G444" i="9"/>
  <c r="G444" i="8" s="1"/>
  <c r="F444" i="9"/>
  <c r="F444" i="8" s="1"/>
  <c r="E444" i="9"/>
  <c r="E444" i="8" s="1"/>
  <c r="D444" i="9"/>
  <c r="D444" i="8" s="1"/>
  <c r="C444" i="9"/>
  <c r="C444" i="8" s="1"/>
  <c r="W444" i="8" s="1"/>
  <c r="B444" i="9"/>
  <c r="B444" i="8" s="1"/>
  <c r="A444" i="9"/>
  <c r="J443" i="9"/>
  <c r="J443" i="8" s="1"/>
  <c r="I443" i="9"/>
  <c r="I443" i="8" s="1"/>
  <c r="X443" i="8" s="1"/>
  <c r="E472" i="6" s="1"/>
  <c r="H443" i="9"/>
  <c r="H443" i="8" s="1"/>
  <c r="G443" i="9"/>
  <c r="G443" i="8" s="1"/>
  <c r="F443" i="9"/>
  <c r="F443" i="8" s="1"/>
  <c r="E443" i="9"/>
  <c r="E443" i="8" s="1"/>
  <c r="D443" i="9"/>
  <c r="D443" i="8" s="1"/>
  <c r="C443" i="9"/>
  <c r="C443" i="8" s="1"/>
  <c r="W443" i="8" s="1"/>
  <c r="B443" i="9"/>
  <c r="B443" i="8" s="1"/>
  <c r="A443" i="9"/>
  <c r="J442" i="9"/>
  <c r="J442" i="8" s="1"/>
  <c r="I442" i="9"/>
  <c r="I442" i="8" s="1"/>
  <c r="X442" i="8" s="1"/>
  <c r="E471" i="6" s="1"/>
  <c r="H442" i="9"/>
  <c r="H442" i="8" s="1"/>
  <c r="G442" i="9"/>
  <c r="G442" i="8" s="1"/>
  <c r="F442" i="9"/>
  <c r="F442" i="8" s="1"/>
  <c r="E442" i="9"/>
  <c r="E442" i="8" s="1"/>
  <c r="D442" i="9"/>
  <c r="D442" i="8" s="1"/>
  <c r="C442" i="9"/>
  <c r="C442" i="8" s="1"/>
  <c r="W442" i="8" s="1"/>
  <c r="B442" i="9"/>
  <c r="B442" i="8" s="1"/>
  <c r="A442" i="9"/>
  <c r="J441" i="9"/>
  <c r="J441" i="8" s="1"/>
  <c r="I441" i="9"/>
  <c r="I441" i="8" s="1"/>
  <c r="X441" i="8" s="1"/>
  <c r="E470" i="6" s="1"/>
  <c r="H441" i="9"/>
  <c r="H441" i="8" s="1"/>
  <c r="G441" i="9"/>
  <c r="G441" i="8" s="1"/>
  <c r="F441" i="9"/>
  <c r="F441" i="8" s="1"/>
  <c r="E441" i="9"/>
  <c r="E441" i="8" s="1"/>
  <c r="D441" i="9"/>
  <c r="D441" i="8" s="1"/>
  <c r="C441" i="9"/>
  <c r="C441" i="8" s="1"/>
  <c r="W441" i="8" s="1"/>
  <c r="B441" i="9"/>
  <c r="B441" i="8" s="1"/>
  <c r="A441" i="9"/>
  <c r="J440" i="9"/>
  <c r="J440" i="8" s="1"/>
  <c r="I440" i="9"/>
  <c r="I440" i="8" s="1"/>
  <c r="X440" i="8" s="1"/>
  <c r="E469" i="6" s="1"/>
  <c r="H440" i="9"/>
  <c r="H440" i="8" s="1"/>
  <c r="G440" i="9"/>
  <c r="G440" i="8" s="1"/>
  <c r="F440" i="9"/>
  <c r="F440" i="8" s="1"/>
  <c r="E440" i="9"/>
  <c r="E440" i="8" s="1"/>
  <c r="D440" i="9"/>
  <c r="D440" i="8" s="1"/>
  <c r="C440" i="9"/>
  <c r="C440" i="8" s="1"/>
  <c r="W440" i="8" s="1"/>
  <c r="B440" i="9"/>
  <c r="B440" i="8" s="1"/>
  <c r="A440" i="9"/>
  <c r="J439" i="9"/>
  <c r="J439" i="8" s="1"/>
  <c r="I439" i="9"/>
  <c r="I439" i="8" s="1"/>
  <c r="X439" i="8" s="1"/>
  <c r="E468" i="6" s="1"/>
  <c r="H439" i="9"/>
  <c r="H439" i="8" s="1"/>
  <c r="G439" i="9"/>
  <c r="G439" i="8" s="1"/>
  <c r="F439" i="9"/>
  <c r="F439" i="8" s="1"/>
  <c r="E439" i="9"/>
  <c r="E439" i="8" s="1"/>
  <c r="D439" i="9"/>
  <c r="D439" i="8" s="1"/>
  <c r="C439" i="9"/>
  <c r="C439" i="8" s="1"/>
  <c r="W439" i="8" s="1"/>
  <c r="B439" i="9"/>
  <c r="B439" i="8" s="1"/>
  <c r="A439" i="9"/>
  <c r="J438" i="9"/>
  <c r="J438" i="8" s="1"/>
  <c r="I438" i="9"/>
  <c r="I438" i="8" s="1"/>
  <c r="X438" i="8" s="1"/>
  <c r="E467" i="6" s="1"/>
  <c r="H438" i="9"/>
  <c r="H438" i="8" s="1"/>
  <c r="G438" i="9"/>
  <c r="G438" i="8" s="1"/>
  <c r="F438" i="9"/>
  <c r="F438" i="8" s="1"/>
  <c r="E438" i="9"/>
  <c r="E438" i="8" s="1"/>
  <c r="D438" i="9"/>
  <c r="D438" i="8" s="1"/>
  <c r="C438" i="9"/>
  <c r="C438" i="8" s="1"/>
  <c r="W438" i="8" s="1"/>
  <c r="B438" i="9"/>
  <c r="B438" i="8" s="1"/>
  <c r="A438" i="9"/>
  <c r="J437" i="9"/>
  <c r="J437" i="8" s="1"/>
  <c r="I437" i="9"/>
  <c r="I437" i="8" s="1"/>
  <c r="X437" i="8" s="1"/>
  <c r="E466" i="6" s="1"/>
  <c r="H437" i="9"/>
  <c r="H437" i="8" s="1"/>
  <c r="G437" i="9"/>
  <c r="G437" i="8" s="1"/>
  <c r="F437" i="9"/>
  <c r="F437" i="8" s="1"/>
  <c r="E437" i="9"/>
  <c r="E437" i="8" s="1"/>
  <c r="D437" i="9"/>
  <c r="D437" i="8" s="1"/>
  <c r="C437" i="9"/>
  <c r="C437" i="8" s="1"/>
  <c r="W437" i="8" s="1"/>
  <c r="B437" i="9"/>
  <c r="B437" i="8" s="1"/>
  <c r="A437" i="9"/>
  <c r="J436" i="9"/>
  <c r="J436" i="8" s="1"/>
  <c r="I436" i="9"/>
  <c r="I436" i="8" s="1"/>
  <c r="X436" i="8" s="1"/>
  <c r="E465" i="6" s="1"/>
  <c r="H436" i="9"/>
  <c r="H436" i="8" s="1"/>
  <c r="G436" i="9"/>
  <c r="G436" i="8" s="1"/>
  <c r="F436" i="9"/>
  <c r="F436" i="8" s="1"/>
  <c r="E436" i="9"/>
  <c r="E436" i="8" s="1"/>
  <c r="D436" i="9"/>
  <c r="D436" i="8" s="1"/>
  <c r="C436" i="9"/>
  <c r="C436" i="8" s="1"/>
  <c r="W436" i="8" s="1"/>
  <c r="B436" i="9"/>
  <c r="B436" i="8" s="1"/>
  <c r="A436" i="9"/>
  <c r="J435" i="9"/>
  <c r="J435" i="8" s="1"/>
  <c r="I435" i="9"/>
  <c r="I435" i="8" s="1"/>
  <c r="X435" i="8" s="1"/>
  <c r="E464" i="6" s="1"/>
  <c r="H435" i="9"/>
  <c r="H435" i="8" s="1"/>
  <c r="G435" i="9"/>
  <c r="G435" i="8" s="1"/>
  <c r="F435" i="9"/>
  <c r="F435" i="8" s="1"/>
  <c r="E435" i="9"/>
  <c r="E435" i="8" s="1"/>
  <c r="D435" i="9"/>
  <c r="D435" i="8" s="1"/>
  <c r="C435" i="9"/>
  <c r="C435" i="8" s="1"/>
  <c r="W435" i="8" s="1"/>
  <c r="B435" i="9"/>
  <c r="B435" i="8" s="1"/>
  <c r="A435" i="9"/>
  <c r="J434" i="9"/>
  <c r="J434" i="8" s="1"/>
  <c r="I434" i="9"/>
  <c r="I434" i="8" s="1"/>
  <c r="X434" i="8" s="1"/>
  <c r="E463" i="6" s="1"/>
  <c r="H434" i="9"/>
  <c r="H434" i="8" s="1"/>
  <c r="G434" i="9"/>
  <c r="G434" i="8" s="1"/>
  <c r="F434" i="9"/>
  <c r="F434" i="8" s="1"/>
  <c r="E434" i="9"/>
  <c r="E434" i="8" s="1"/>
  <c r="D434" i="9"/>
  <c r="D434" i="8" s="1"/>
  <c r="C434" i="9"/>
  <c r="C434" i="8" s="1"/>
  <c r="W434" i="8" s="1"/>
  <c r="B434" i="9"/>
  <c r="B434" i="8" s="1"/>
  <c r="A434" i="9"/>
  <c r="J433" i="9"/>
  <c r="J433" i="8" s="1"/>
  <c r="I433" i="9"/>
  <c r="I433" i="8" s="1"/>
  <c r="X433" i="8" s="1"/>
  <c r="E462" i="6" s="1"/>
  <c r="H433" i="9"/>
  <c r="H433" i="8" s="1"/>
  <c r="G433" i="9"/>
  <c r="G433" i="8" s="1"/>
  <c r="F433" i="9"/>
  <c r="F433" i="8" s="1"/>
  <c r="E433" i="9"/>
  <c r="E433" i="8" s="1"/>
  <c r="D433" i="9"/>
  <c r="D433" i="8" s="1"/>
  <c r="C433" i="9"/>
  <c r="C433" i="8" s="1"/>
  <c r="W433" i="8" s="1"/>
  <c r="B433" i="9"/>
  <c r="B433" i="8" s="1"/>
  <c r="A433" i="9"/>
  <c r="J432" i="9"/>
  <c r="J432" i="8" s="1"/>
  <c r="I432" i="9"/>
  <c r="I432" i="8" s="1"/>
  <c r="X432" i="8" s="1"/>
  <c r="E461" i="6" s="1"/>
  <c r="H432" i="9"/>
  <c r="H432" i="8" s="1"/>
  <c r="G432" i="9"/>
  <c r="G432" i="8" s="1"/>
  <c r="F432" i="9"/>
  <c r="F432" i="8" s="1"/>
  <c r="E432" i="9"/>
  <c r="E432" i="8" s="1"/>
  <c r="D432" i="9"/>
  <c r="D432" i="8" s="1"/>
  <c r="C432" i="9"/>
  <c r="C432" i="8" s="1"/>
  <c r="W432" i="8" s="1"/>
  <c r="B432" i="9"/>
  <c r="B432" i="8" s="1"/>
  <c r="A432" i="9"/>
  <c r="J431" i="9"/>
  <c r="J431" i="8" s="1"/>
  <c r="I431" i="9"/>
  <c r="I431" i="8" s="1"/>
  <c r="X431" i="8" s="1"/>
  <c r="E460" i="6" s="1"/>
  <c r="H431" i="9"/>
  <c r="H431" i="8" s="1"/>
  <c r="G431" i="9"/>
  <c r="G431" i="8" s="1"/>
  <c r="F431" i="9"/>
  <c r="F431" i="8" s="1"/>
  <c r="E431" i="9"/>
  <c r="E431" i="8" s="1"/>
  <c r="D431" i="9"/>
  <c r="D431" i="8" s="1"/>
  <c r="C431" i="9"/>
  <c r="C431" i="8" s="1"/>
  <c r="W431" i="8" s="1"/>
  <c r="B431" i="9"/>
  <c r="B431" i="8" s="1"/>
  <c r="A431" i="9"/>
  <c r="J430" i="9"/>
  <c r="J430" i="8" s="1"/>
  <c r="I430" i="9"/>
  <c r="I430" i="8" s="1"/>
  <c r="X430" i="8" s="1"/>
  <c r="E459" i="6" s="1"/>
  <c r="H430" i="9"/>
  <c r="H430" i="8" s="1"/>
  <c r="G430" i="9"/>
  <c r="G430" i="8" s="1"/>
  <c r="F430" i="9"/>
  <c r="F430" i="8" s="1"/>
  <c r="E430" i="9"/>
  <c r="E430" i="8" s="1"/>
  <c r="D430" i="9"/>
  <c r="D430" i="8" s="1"/>
  <c r="C430" i="9"/>
  <c r="C430" i="8" s="1"/>
  <c r="W430" i="8" s="1"/>
  <c r="B430" i="9"/>
  <c r="B430" i="8" s="1"/>
  <c r="A430" i="9"/>
  <c r="J429" i="9"/>
  <c r="J429" i="8" s="1"/>
  <c r="I429" i="9"/>
  <c r="I429" i="8" s="1"/>
  <c r="X429" i="8" s="1"/>
  <c r="E458" i="6" s="1"/>
  <c r="H429" i="9"/>
  <c r="H429" i="8" s="1"/>
  <c r="G429" i="9"/>
  <c r="G429" i="8" s="1"/>
  <c r="F429" i="9"/>
  <c r="F429" i="8" s="1"/>
  <c r="E429" i="9"/>
  <c r="E429" i="8" s="1"/>
  <c r="D429" i="9"/>
  <c r="D429" i="8" s="1"/>
  <c r="C429" i="9"/>
  <c r="C429" i="8" s="1"/>
  <c r="W429" i="8" s="1"/>
  <c r="B429" i="9"/>
  <c r="B429" i="8" s="1"/>
  <c r="A429" i="9"/>
  <c r="J428" i="9"/>
  <c r="J428" i="8" s="1"/>
  <c r="I428" i="9"/>
  <c r="I428" i="8" s="1"/>
  <c r="X428" i="8" s="1"/>
  <c r="E457" i="6" s="1"/>
  <c r="H428" i="9"/>
  <c r="H428" i="8" s="1"/>
  <c r="G428" i="9"/>
  <c r="G428" i="8" s="1"/>
  <c r="F428" i="9"/>
  <c r="F428" i="8" s="1"/>
  <c r="E428" i="9"/>
  <c r="E428" i="8" s="1"/>
  <c r="D428" i="9"/>
  <c r="D428" i="8" s="1"/>
  <c r="C428" i="9"/>
  <c r="C428" i="8" s="1"/>
  <c r="W428" i="8" s="1"/>
  <c r="B428" i="9"/>
  <c r="B428" i="8" s="1"/>
  <c r="A428" i="9"/>
  <c r="J427" i="9"/>
  <c r="J427" i="8" s="1"/>
  <c r="I427" i="9"/>
  <c r="I427" i="8" s="1"/>
  <c r="X427" i="8" s="1"/>
  <c r="E456" i="6" s="1"/>
  <c r="H427" i="9"/>
  <c r="H427" i="8" s="1"/>
  <c r="G427" i="9"/>
  <c r="G427" i="8" s="1"/>
  <c r="F427" i="9"/>
  <c r="F427" i="8" s="1"/>
  <c r="E427" i="9"/>
  <c r="E427" i="8" s="1"/>
  <c r="D427" i="9"/>
  <c r="D427" i="8" s="1"/>
  <c r="C427" i="9"/>
  <c r="C427" i="8" s="1"/>
  <c r="W427" i="8" s="1"/>
  <c r="B427" i="9"/>
  <c r="B427" i="8" s="1"/>
  <c r="A427" i="9"/>
  <c r="J426" i="9"/>
  <c r="J426" i="8" s="1"/>
  <c r="I426" i="9"/>
  <c r="I426" i="8" s="1"/>
  <c r="X426" i="8" s="1"/>
  <c r="E455" i="6" s="1"/>
  <c r="H426" i="9"/>
  <c r="H426" i="8" s="1"/>
  <c r="G426" i="9"/>
  <c r="G426" i="8" s="1"/>
  <c r="F426" i="9"/>
  <c r="F426" i="8" s="1"/>
  <c r="E426" i="9"/>
  <c r="E426" i="8" s="1"/>
  <c r="D426" i="9"/>
  <c r="D426" i="8" s="1"/>
  <c r="C426" i="9"/>
  <c r="C426" i="8" s="1"/>
  <c r="W426" i="8" s="1"/>
  <c r="B426" i="9"/>
  <c r="B426" i="8" s="1"/>
  <c r="A426" i="9"/>
  <c r="J425" i="9"/>
  <c r="J425" i="8" s="1"/>
  <c r="I425" i="9"/>
  <c r="I425" i="8" s="1"/>
  <c r="X425" i="8" s="1"/>
  <c r="E454" i="6" s="1"/>
  <c r="H425" i="9"/>
  <c r="H425" i="8" s="1"/>
  <c r="G425" i="9"/>
  <c r="G425" i="8" s="1"/>
  <c r="F425" i="9"/>
  <c r="F425" i="8" s="1"/>
  <c r="E425" i="9"/>
  <c r="E425" i="8" s="1"/>
  <c r="D425" i="9"/>
  <c r="D425" i="8" s="1"/>
  <c r="C425" i="9"/>
  <c r="C425" i="8" s="1"/>
  <c r="W425" i="8" s="1"/>
  <c r="B425" i="9"/>
  <c r="B425" i="8" s="1"/>
  <c r="A425" i="9"/>
  <c r="J424" i="9"/>
  <c r="J424" i="8" s="1"/>
  <c r="I424" i="9"/>
  <c r="I424" i="8" s="1"/>
  <c r="X424" i="8" s="1"/>
  <c r="E453" i="6" s="1"/>
  <c r="H424" i="9"/>
  <c r="H424" i="8" s="1"/>
  <c r="G424" i="9"/>
  <c r="G424" i="8" s="1"/>
  <c r="F424" i="9"/>
  <c r="F424" i="8" s="1"/>
  <c r="E424" i="9"/>
  <c r="E424" i="8" s="1"/>
  <c r="D424" i="9"/>
  <c r="D424" i="8" s="1"/>
  <c r="C424" i="9"/>
  <c r="C424" i="8" s="1"/>
  <c r="W424" i="8" s="1"/>
  <c r="B424" i="9"/>
  <c r="B424" i="8" s="1"/>
  <c r="A424" i="9"/>
  <c r="J423" i="9"/>
  <c r="J423" i="8" s="1"/>
  <c r="I423" i="9"/>
  <c r="I423" i="8" s="1"/>
  <c r="X423" i="8" s="1"/>
  <c r="E452" i="6" s="1"/>
  <c r="H423" i="9"/>
  <c r="H423" i="8" s="1"/>
  <c r="G423" i="9"/>
  <c r="G423" i="8" s="1"/>
  <c r="F423" i="9"/>
  <c r="F423" i="8" s="1"/>
  <c r="E423" i="9"/>
  <c r="E423" i="8" s="1"/>
  <c r="D423" i="9"/>
  <c r="D423" i="8" s="1"/>
  <c r="C423" i="9"/>
  <c r="C423" i="8" s="1"/>
  <c r="W423" i="8" s="1"/>
  <c r="B423" i="9"/>
  <c r="B423" i="8" s="1"/>
  <c r="A423" i="9"/>
  <c r="J422" i="9"/>
  <c r="J422" i="8" s="1"/>
  <c r="I422" i="9"/>
  <c r="I422" i="8" s="1"/>
  <c r="X422" i="8" s="1"/>
  <c r="E451" i="6" s="1"/>
  <c r="H422" i="9"/>
  <c r="H422" i="8" s="1"/>
  <c r="G422" i="9"/>
  <c r="G422" i="8" s="1"/>
  <c r="F422" i="9"/>
  <c r="F422" i="8" s="1"/>
  <c r="E422" i="9"/>
  <c r="E422" i="8" s="1"/>
  <c r="D422" i="9"/>
  <c r="D422" i="8" s="1"/>
  <c r="C422" i="9"/>
  <c r="C422" i="8" s="1"/>
  <c r="W422" i="8" s="1"/>
  <c r="B422" i="9"/>
  <c r="B422" i="8" s="1"/>
  <c r="A422" i="9"/>
  <c r="J421" i="9"/>
  <c r="J421" i="8" s="1"/>
  <c r="I421" i="9"/>
  <c r="I421" i="8" s="1"/>
  <c r="X421" i="8" s="1"/>
  <c r="E450" i="6" s="1"/>
  <c r="H421" i="9"/>
  <c r="H421" i="8" s="1"/>
  <c r="G421" i="9"/>
  <c r="G421" i="8" s="1"/>
  <c r="F421" i="9"/>
  <c r="F421" i="8" s="1"/>
  <c r="E421" i="9"/>
  <c r="E421" i="8" s="1"/>
  <c r="D421" i="9"/>
  <c r="D421" i="8" s="1"/>
  <c r="C421" i="9"/>
  <c r="C421" i="8" s="1"/>
  <c r="W421" i="8" s="1"/>
  <c r="B421" i="9"/>
  <c r="B421" i="8" s="1"/>
  <c r="A421" i="9"/>
  <c r="J420" i="9"/>
  <c r="J420" i="8" s="1"/>
  <c r="I420" i="9"/>
  <c r="I420" i="8" s="1"/>
  <c r="X420" i="8" s="1"/>
  <c r="E449" i="6" s="1"/>
  <c r="H420" i="9"/>
  <c r="H420" i="8" s="1"/>
  <c r="G420" i="9"/>
  <c r="G420" i="8" s="1"/>
  <c r="F420" i="9"/>
  <c r="F420" i="8" s="1"/>
  <c r="E420" i="9"/>
  <c r="E420" i="8" s="1"/>
  <c r="D420" i="9"/>
  <c r="D420" i="8" s="1"/>
  <c r="C420" i="9"/>
  <c r="C420" i="8" s="1"/>
  <c r="W420" i="8" s="1"/>
  <c r="B420" i="9"/>
  <c r="B420" i="8" s="1"/>
  <c r="A420" i="9"/>
  <c r="J419" i="9"/>
  <c r="J419" i="8" s="1"/>
  <c r="I419" i="9"/>
  <c r="I419" i="8" s="1"/>
  <c r="X419" i="8" s="1"/>
  <c r="E448" i="6" s="1"/>
  <c r="H419" i="9"/>
  <c r="H419" i="8" s="1"/>
  <c r="G419" i="9"/>
  <c r="G419" i="8" s="1"/>
  <c r="F419" i="9"/>
  <c r="F419" i="8" s="1"/>
  <c r="E419" i="9"/>
  <c r="E419" i="8" s="1"/>
  <c r="D419" i="9"/>
  <c r="D419" i="8" s="1"/>
  <c r="C419" i="9"/>
  <c r="C419" i="8" s="1"/>
  <c r="W419" i="8" s="1"/>
  <c r="B419" i="9"/>
  <c r="B419" i="8" s="1"/>
  <c r="A419" i="9"/>
  <c r="J418" i="9"/>
  <c r="J418" i="8" s="1"/>
  <c r="I418" i="9"/>
  <c r="I418" i="8" s="1"/>
  <c r="X418" i="8" s="1"/>
  <c r="E447" i="6" s="1"/>
  <c r="H418" i="9"/>
  <c r="H418" i="8" s="1"/>
  <c r="G418" i="9"/>
  <c r="G418" i="8" s="1"/>
  <c r="F418" i="9"/>
  <c r="F418" i="8" s="1"/>
  <c r="E418" i="9"/>
  <c r="E418" i="8" s="1"/>
  <c r="D418" i="9"/>
  <c r="D418" i="8" s="1"/>
  <c r="C418" i="9"/>
  <c r="C418" i="8" s="1"/>
  <c r="W418" i="8" s="1"/>
  <c r="B418" i="9"/>
  <c r="B418" i="8" s="1"/>
  <c r="A418" i="9"/>
  <c r="J417" i="9"/>
  <c r="J417" i="8" s="1"/>
  <c r="I417" i="9"/>
  <c r="I417" i="8" s="1"/>
  <c r="X417" i="8" s="1"/>
  <c r="E446" i="6" s="1"/>
  <c r="H417" i="9"/>
  <c r="H417" i="8" s="1"/>
  <c r="G417" i="9"/>
  <c r="G417" i="8" s="1"/>
  <c r="F417" i="9"/>
  <c r="F417" i="8" s="1"/>
  <c r="E417" i="9"/>
  <c r="E417" i="8" s="1"/>
  <c r="D417" i="9"/>
  <c r="D417" i="8" s="1"/>
  <c r="C417" i="9"/>
  <c r="C417" i="8" s="1"/>
  <c r="W417" i="8" s="1"/>
  <c r="B417" i="9"/>
  <c r="B417" i="8" s="1"/>
  <c r="A417" i="9"/>
  <c r="J416" i="9"/>
  <c r="J416" i="8" s="1"/>
  <c r="I416" i="9"/>
  <c r="I416" i="8" s="1"/>
  <c r="X416" i="8" s="1"/>
  <c r="E445" i="6" s="1"/>
  <c r="H416" i="9"/>
  <c r="H416" i="8" s="1"/>
  <c r="G416" i="9"/>
  <c r="G416" i="8" s="1"/>
  <c r="F416" i="9"/>
  <c r="F416" i="8" s="1"/>
  <c r="E416" i="9"/>
  <c r="E416" i="8" s="1"/>
  <c r="D416" i="9"/>
  <c r="D416" i="8" s="1"/>
  <c r="C416" i="9"/>
  <c r="C416" i="8" s="1"/>
  <c r="W416" i="8" s="1"/>
  <c r="B416" i="9"/>
  <c r="B416" i="8" s="1"/>
  <c r="A416" i="9"/>
  <c r="J415" i="9"/>
  <c r="J415" i="8" s="1"/>
  <c r="I415" i="9"/>
  <c r="I415" i="8" s="1"/>
  <c r="X415" i="8" s="1"/>
  <c r="E444" i="6" s="1"/>
  <c r="H415" i="9"/>
  <c r="H415" i="8" s="1"/>
  <c r="G415" i="9"/>
  <c r="G415" i="8" s="1"/>
  <c r="F415" i="9"/>
  <c r="F415" i="8" s="1"/>
  <c r="E415" i="9"/>
  <c r="E415" i="8" s="1"/>
  <c r="D415" i="9"/>
  <c r="D415" i="8" s="1"/>
  <c r="C415" i="9"/>
  <c r="C415" i="8" s="1"/>
  <c r="W415" i="8" s="1"/>
  <c r="B415" i="9"/>
  <c r="B415" i="8" s="1"/>
  <c r="A415" i="9"/>
  <c r="J414" i="9"/>
  <c r="J414" i="8" s="1"/>
  <c r="I414" i="9"/>
  <c r="I414" i="8" s="1"/>
  <c r="X414" i="8" s="1"/>
  <c r="E443" i="6" s="1"/>
  <c r="H414" i="9"/>
  <c r="H414" i="8" s="1"/>
  <c r="G414" i="9"/>
  <c r="G414" i="8" s="1"/>
  <c r="F414" i="9"/>
  <c r="F414" i="8" s="1"/>
  <c r="E414" i="9"/>
  <c r="E414" i="8" s="1"/>
  <c r="D414" i="9"/>
  <c r="D414" i="8" s="1"/>
  <c r="C414" i="9"/>
  <c r="C414" i="8" s="1"/>
  <c r="W414" i="8" s="1"/>
  <c r="B414" i="9"/>
  <c r="B414" i="8" s="1"/>
  <c r="A414" i="9"/>
  <c r="J413" i="9"/>
  <c r="J413" i="8" s="1"/>
  <c r="I413" i="9"/>
  <c r="I413" i="8" s="1"/>
  <c r="X413" i="8" s="1"/>
  <c r="E442" i="6" s="1"/>
  <c r="H413" i="9"/>
  <c r="H413" i="8" s="1"/>
  <c r="G413" i="9"/>
  <c r="G413" i="8" s="1"/>
  <c r="F413" i="9"/>
  <c r="F413" i="8" s="1"/>
  <c r="E413" i="9"/>
  <c r="E413" i="8" s="1"/>
  <c r="D413" i="9"/>
  <c r="D413" i="8" s="1"/>
  <c r="C413" i="9"/>
  <c r="C413" i="8" s="1"/>
  <c r="W413" i="8" s="1"/>
  <c r="B413" i="9"/>
  <c r="B413" i="8" s="1"/>
  <c r="A413" i="9"/>
  <c r="J412" i="9"/>
  <c r="J412" i="8" s="1"/>
  <c r="I412" i="9"/>
  <c r="I412" i="8" s="1"/>
  <c r="X412" i="8" s="1"/>
  <c r="E441" i="6" s="1"/>
  <c r="H412" i="9"/>
  <c r="H412" i="8" s="1"/>
  <c r="G412" i="9"/>
  <c r="G412" i="8" s="1"/>
  <c r="F412" i="9"/>
  <c r="F412" i="8" s="1"/>
  <c r="E412" i="9"/>
  <c r="E412" i="8" s="1"/>
  <c r="D412" i="9"/>
  <c r="D412" i="8" s="1"/>
  <c r="C412" i="9"/>
  <c r="C412" i="8" s="1"/>
  <c r="W412" i="8" s="1"/>
  <c r="B412" i="9"/>
  <c r="B412" i="8" s="1"/>
  <c r="A412" i="9"/>
  <c r="J411" i="9"/>
  <c r="J411" i="8" s="1"/>
  <c r="I411" i="9"/>
  <c r="I411" i="8" s="1"/>
  <c r="X411" i="8" s="1"/>
  <c r="E440" i="6" s="1"/>
  <c r="H411" i="9"/>
  <c r="H411" i="8" s="1"/>
  <c r="G411" i="9"/>
  <c r="G411" i="8" s="1"/>
  <c r="F411" i="9"/>
  <c r="F411" i="8" s="1"/>
  <c r="E411" i="9"/>
  <c r="E411" i="8" s="1"/>
  <c r="D411" i="9"/>
  <c r="D411" i="8" s="1"/>
  <c r="C411" i="9"/>
  <c r="C411" i="8" s="1"/>
  <c r="W411" i="8" s="1"/>
  <c r="B411" i="9"/>
  <c r="B411" i="8" s="1"/>
  <c r="A411" i="9"/>
  <c r="J410" i="9"/>
  <c r="J410" i="8" s="1"/>
  <c r="I410" i="9"/>
  <c r="I410" i="8" s="1"/>
  <c r="X410" i="8" s="1"/>
  <c r="E439" i="6" s="1"/>
  <c r="H410" i="9"/>
  <c r="H410" i="8" s="1"/>
  <c r="G410" i="9"/>
  <c r="G410" i="8" s="1"/>
  <c r="F410" i="9"/>
  <c r="F410" i="8" s="1"/>
  <c r="E410" i="9"/>
  <c r="E410" i="8" s="1"/>
  <c r="D410" i="9"/>
  <c r="D410" i="8" s="1"/>
  <c r="C410" i="9"/>
  <c r="C410" i="8" s="1"/>
  <c r="W410" i="8" s="1"/>
  <c r="B410" i="9"/>
  <c r="B410" i="8" s="1"/>
  <c r="A410" i="9"/>
  <c r="J409" i="9"/>
  <c r="J409" i="8" s="1"/>
  <c r="I409" i="9"/>
  <c r="I409" i="8" s="1"/>
  <c r="X409" i="8" s="1"/>
  <c r="E438" i="6" s="1"/>
  <c r="H409" i="9"/>
  <c r="H409" i="8" s="1"/>
  <c r="G409" i="9"/>
  <c r="G409" i="8" s="1"/>
  <c r="F409" i="9"/>
  <c r="F409" i="8" s="1"/>
  <c r="E409" i="9"/>
  <c r="E409" i="8" s="1"/>
  <c r="D409" i="9"/>
  <c r="D409" i="8" s="1"/>
  <c r="C409" i="9"/>
  <c r="C409" i="8" s="1"/>
  <c r="W409" i="8" s="1"/>
  <c r="B409" i="9"/>
  <c r="B409" i="8" s="1"/>
  <c r="A409" i="9"/>
  <c r="J408" i="9"/>
  <c r="J408" i="8" s="1"/>
  <c r="I408" i="9"/>
  <c r="I408" i="8" s="1"/>
  <c r="X408" i="8" s="1"/>
  <c r="E437" i="6" s="1"/>
  <c r="H408" i="9"/>
  <c r="H408" i="8" s="1"/>
  <c r="G408" i="9"/>
  <c r="G408" i="8" s="1"/>
  <c r="F408" i="9"/>
  <c r="F408" i="8" s="1"/>
  <c r="E408" i="9"/>
  <c r="E408" i="8" s="1"/>
  <c r="D408" i="9"/>
  <c r="D408" i="8" s="1"/>
  <c r="C408" i="9"/>
  <c r="C408" i="8" s="1"/>
  <c r="W408" i="8" s="1"/>
  <c r="B408" i="9"/>
  <c r="B408" i="8" s="1"/>
  <c r="A408" i="9"/>
  <c r="J407" i="9"/>
  <c r="J407" i="8" s="1"/>
  <c r="I407" i="9"/>
  <c r="I407" i="8" s="1"/>
  <c r="X407" i="8" s="1"/>
  <c r="E436" i="6" s="1"/>
  <c r="H407" i="9"/>
  <c r="H407" i="8" s="1"/>
  <c r="G407" i="9"/>
  <c r="G407" i="8" s="1"/>
  <c r="F407" i="9"/>
  <c r="F407" i="8" s="1"/>
  <c r="E407" i="9"/>
  <c r="E407" i="8" s="1"/>
  <c r="D407" i="9"/>
  <c r="D407" i="8" s="1"/>
  <c r="C407" i="9"/>
  <c r="C407" i="8" s="1"/>
  <c r="W407" i="8" s="1"/>
  <c r="B407" i="9"/>
  <c r="B407" i="8" s="1"/>
  <c r="A407" i="9"/>
  <c r="J406" i="9"/>
  <c r="J406" i="8" s="1"/>
  <c r="I406" i="9"/>
  <c r="I406" i="8" s="1"/>
  <c r="X406" i="8" s="1"/>
  <c r="E435" i="6" s="1"/>
  <c r="H406" i="9"/>
  <c r="H406" i="8" s="1"/>
  <c r="G406" i="9"/>
  <c r="G406" i="8" s="1"/>
  <c r="F406" i="9"/>
  <c r="F406" i="8" s="1"/>
  <c r="E406" i="9"/>
  <c r="E406" i="8" s="1"/>
  <c r="D406" i="9"/>
  <c r="D406" i="8" s="1"/>
  <c r="C406" i="9"/>
  <c r="C406" i="8" s="1"/>
  <c r="W406" i="8" s="1"/>
  <c r="B406" i="9"/>
  <c r="B406" i="8" s="1"/>
  <c r="A406" i="9"/>
  <c r="J405" i="9"/>
  <c r="J405" i="8" s="1"/>
  <c r="I405" i="9"/>
  <c r="I405" i="8" s="1"/>
  <c r="X405" i="8" s="1"/>
  <c r="E434" i="6" s="1"/>
  <c r="H405" i="9"/>
  <c r="H405" i="8" s="1"/>
  <c r="G405" i="9"/>
  <c r="G405" i="8" s="1"/>
  <c r="F405" i="9"/>
  <c r="F405" i="8" s="1"/>
  <c r="E405" i="9"/>
  <c r="E405" i="8" s="1"/>
  <c r="D405" i="9"/>
  <c r="D405" i="8" s="1"/>
  <c r="C405" i="9"/>
  <c r="C405" i="8" s="1"/>
  <c r="W405" i="8" s="1"/>
  <c r="B405" i="9"/>
  <c r="B405" i="8" s="1"/>
  <c r="A405" i="9"/>
  <c r="J404" i="9"/>
  <c r="J404" i="8" s="1"/>
  <c r="I404" i="9"/>
  <c r="I404" i="8" s="1"/>
  <c r="X404" i="8" s="1"/>
  <c r="E433" i="6" s="1"/>
  <c r="H404" i="9"/>
  <c r="H404" i="8" s="1"/>
  <c r="G404" i="9"/>
  <c r="G404" i="8" s="1"/>
  <c r="F404" i="9"/>
  <c r="F404" i="8" s="1"/>
  <c r="E404" i="9"/>
  <c r="E404" i="8" s="1"/>
  <c r="D404" i="9"/>
  <c r="D404" i="8" s="1"/>
  <c r="C404" i="9"/>
  <c r="C404" i="8" s="1"/>
  <c r="W404" i="8" s="1"/>
  <c r="B404" i="9"/>
  <c r="B404" i="8" s="1"/>
  <c r="A404" i="9"/>
  <c r="J403" i="9"/>
  <c r="J403" i="8" s="1"/>
  <c r="I403" i="9"/>
  <c r="I403" i="8" s="1"/>
  <c r="X403" i="8" s="1"/>
  <c r="E432" i="6" s="1"/>
  <c r="H403" i="9"/>
  <c r="H403" i="8" s="1"/>
  <c r="G403" i="9"/>
  <c r="G403" i="8" s="1"/>
  <c r="F403" i="9"/>
  <c r="F403" i="8" s="1"/>
  <c r="E403" i="9"/>
  <c r="E403" i="8" s="1"/>
  <c r="D403" i="9"/>
  <c r="D403" i="8" s="1"/>
  <c r="C403" i="9"/>
  <c r="C403" i="8" s="1"/>
  <c r="W403" i="8" s="1"/>
  <c r="B403" i="9"/>
  <c r="B403" i="8" s="1"/>
  <c r="A403" i="9"/>
  <c r="J402" i="9"/>
  <c r="J402" i="8" s="1"/>
  <c r="I402" i="9"/>
  <c r="I402" i="8" s="1"/>
  <c r="X402" i="8" s="1"/>
  <c r="E431" i="6" s="1"/>
  <c r="H402" i="9"/>
  <c r="H402" i="8" s="1"/>
  <c r="G402" i="9"/>
  <c r="G402" i="8" s="1"/>
  <c r="F402" i="9"/>
  <c r="F402" i="8" s="1"/>
  <c r="E402" i="9"/>
  <c r="E402" i="8" s="1"/>
  <c r="D402" i="9"/>
  <c r="D402" i="8" s="1"/>
  <c r="C402" i="9"/>
  <c r="C402" i="8" s="1"/>
  <c r="W402" i="8" s="1"/>
  <c r="B402" i="9"/>
  <c r="B402" i="8" s="1"/>
  <c r="A402" i="9"/>
  <c r="J401" i="9"/>
  <c r="J401" i="8" s="1"/>
  <c r="I401" i="9"/>
  <c r="I401" i="8" s="1"/>
  <c r="X401" i="8" s="1"/>
  <c r="E430" i="6" s="1"/>
  <c r="H401" i="9"/>
  <c r="H401" i="8" s="1"/>
  <c r="G401" i="9"/>
  <c r="G401" i="8" s="1"/>
  <c r="F401" i="9"/>
  <c r="F401" i="8" s="1"/>
  <c r="E401" i="9"/>
  <c r="E401" i="8" s="1"/>
  <c r="D401" i="9"/>
  <c r="D401" i="8" s="1"/>
  <c r="C401" i="9"/>
  <c r="C401" i="8" s="1"/>
  <c r="W401" i="8" s="1"/>
  <c r="B401" i="9"/>
  <c r="B401" i="8" s="1"/>
  <c r="A401" i="9"/>
  <c r="J400" i="9"/>
  <c r="J400" i="8" s="1"/>
  <c r="I400" i="9"/>
  <c r="I400" i="8" s="1"/>
  <c r="X400" i="8" s="1"/>
  <c r="E429" i="6" s="1"/>
  <c r="H400" i="9"/>
  <c r="H400" i="8" s="1"/>
  <c r="G400" i="9"/>
  <c r="G400" i="8" s="1"/>
  <c r="F400" i="9"/>
  <c r="F400" i="8" s="1"/>
  <c r="E400" i="9"/>
  <c r="E400" i="8" s="1"/>
  <c r="D400" i="9"/>
  <c r="D400" i="8" s="1"/>
  <c r="C400" i="9"/>
  <c r="C400" i="8" s="1"/>
  <c r="W400" i="8" s="1"/>
  <c r="B400" i="9"/>
  <c r="B400" i="8" s="1"/>
  <c r="A400" i="9"/>
  <c r="J399" i="9"/>
  <c r="J399" i="8" s="1"/>
  <c r="I399" i="9"/>
  <c r="I399" i="8" s="1"/>
  <c r="X399" i="8" s="1"/>
  <c r="E428" i="6" s="1"/>
  <c r="H399" i="9"/>
  <c r="H399" i="8" s="1"/>
  <c r="G399" i="9"/>
  <c r="G399" i="8" s="1"/>
  <c r="F399" i="9"/>
  <c r="F399" i="8" s="1"/>
  <c r="E399" i="9"/>
  <c r="E399" i="8" s="1"/>
  <c r="D399" i="9"/>
  <c r="D399" i="8" s="1"/>
  <c r="C399" i="9"/>
  <c r="C399" i="8" s="1"/>
  <c r="W399" i="8" s="1"/>
  <c r="B399" i="9"/>
  <c r="B399" i="8" s="1"/>
  <c r="A399" i="9"/>
  <c r="J398" i="9"/>
  <c r="J398" i="8" s="1"/>
  <c r="I398" i="9"/>
  <c r="I398" i="8" s="1"/>
  <c r="X398" i="8" s="1"/>
  <c r="E427" i="6" s="1"/>
  <c r="H398" i="9"/>
  <c r="H398" i="8" s="1"/>
  <c r="G398" i="9"/>
  <c r="G398" i="8" s="1"/>
  <c r="F398" i="9"/>
  <c r="F398" i="8" s="1"/>
  <c r="E398" i="9"/>
  <c r="E398" i="8" s="1"/>
  <c r="D398" i="9"/>
  <c r="D398" i="8" s="1"/>
  <c r="C398" i="9"/>
  <c r="C398" i="8" s="1"/>
  <c r="W398" i="8" s="1"/>
  <c r="B398" i="9"/>
  <c r="B398" i="8" s="1"/>
  <c r="A398" i="9"/>
  <c r="J397" i="9"/>
  <c r="J397" i="8" s="1"/>
  <c r="I397" i="9"/>
  <c r="I397" i="8" s="1"/>
  <c r="X397" i="8" s="1"/>
  <c r="E426" i="6" s="1"/>
  <c r="H397" i="9"/>
  <c r="H397" i="8" s="1"/>
  <c r="G397" i="9"/>
  <c r="G397" i="8" s="1"/>
  <c r="F397" i="9"/>
  <c r="F397" i="8" s="1"/>
  <c r="E397" i="9"/>
  <c r="E397" i="8" s="1"/>
  <c r="D397" i="9"/>
  <c r="D397" i="8" s="1"/>
  <c r="C397" i="9"/>
  <c r="C397" i="8" s="1"/>
  <c r="W397" i="8" s="1"/>
  <c r="B397" i="9"/>
  <c r="B397" i="8" s="1"/>
  <c r="A397" i="9"/>
  <c r="J396" i="9"/>
  <c r="J396" i="8" s="1"/>
  <c r="I396" i="9"/>
  <c r="I396" i="8" s="1"/>
  <c r="X396" i="8" s="1"/>
  <c r="E425" i="6" s="1"/>
  <c r="H396" i="9"/>
  <c r="H396" i="8" s="1"/>
  <c r="G396" i="9"/>
  <c r="G396" i="8" s="1"/>
  <c r="F396" i="9"/>
  <c r="F396" i="8" s="1"/>
  <c r="E396" i="9"/>
  <c r="E396" i="8" s="1"/>
  <c r="D396" i="9"/>
  <c r="D396" i="8" s="1"/>
  <c r="C396" i="9"/>
  <c r="C396" i="8" s="1"/>
  <c r="W396" i="8" s="1"/>
  <c r="B396" i="9"/>
  <c r="B396" i="8" s="1"/>
  <c r="A396" i="9"/>
  <c r="J395" i="9"/>
  <c r="J395" i="8" s="1"/>
  <c r="I395" i="9"/>
  <c r="I395" i="8" s="1"/>
  <c r="X395" i="8" s="1"/>
  <c r="E424" i="6" s="1"/>
  <c r="H395" i="9"/>
  <c r="H395" i="8" s="1"/>
  <c r="G395" i="9"/>
  <c r="G395" i="8" s="1"/>
  <c r="F395" i="9"/>
  <c r="F395" i="8" s="1"/>
  <c r="E395" i="9"/>
  <c r="E395" i="8" s="1"/>
  <c r="D395" i="9"/>
  <c r="D395" i="8" s="1"/>
  <c r="C395" i="9"/>
  <c r="C395" i="8" s="1"/>
  <c r="W395" i="8" s="1"/>
  <c r="B395" i="9"/>
  <c r="B395" i="8" s="1"/>
  <c r="A395" i="9"/>
  <c r="J394" i="9"/>
  <c r="J394" i="8" s="1"/>
  <c r="I394" i="9"/>
  <c r="I394" i="8" s="1"/>
  <c r="X394" i="8" s="1"/>
  <c r="E423" i="6" s="1"/>
  <c r="H394" i="9"/>
  <c r="H394" i="8" s="1"/>
  <c r="G394" i="9"/>
  <c r="G394" i="8" s="1"/>
  <c r="F394" i="9"/>
  <c r="F394" i="8" s="1"/>
  <c r="E394" i="9"/>
  <c r="E394" i="8" s="1"/>
  <c r="D394" i="9"/>
  <c r="D394" i="8" s="1"/>
  <c r="C394" i="9"/>
  <c r="C394" i="8" s="1"/>
  <c r="W394" i="8" s="1"/>
  <c r="B394" i="9"/>
  <c r="B394" i="8" s="1"/>
  <c r="A394" i="9"/>
  <c r="J393" i="9"/>
  <c r="J393" i="8" s="1"/>
  <c r="I393" i="9"/>
  <c r="I393" i="8" s="1"/>
  <c r="X393" i="8" s="1"/>
  <c r="E422" i="6" s="1"/>
  <c r="H393" i="9"/>
  <c r="H393" i="8" s="1"/>
  <c r="G393" i="9"/>
  <c r="G393" i="8" s="1"/>
  <c r="F393" i="9"/>
  <c r="F393" i="8" s="1"/>
  <c r="E393" i="9"/>
  <c r="E393" i="8" s="1"/>
  <c r="D393" i="9"/>
  <c r="D393" i="8" s="1"/>
  <c r="C393" i="9"/>
  <c r="C393" i="8" s="1"/>
  <c r="W393" i="8" s="1"/>
  <c r="B393" i="9"/>
  <c r="B393" i="8" s="1"/>
  <c r="A393" i="9"/>
  <c r="J392" i="9"/>
  <c r="J392" i="8" s="1"/>
  <c r="I392" i="9"/>
  <c r="I392" i="8" s="1"/>
  <c r="X392" i="8" s="1"/>
  <c r="E421" i="6" s="1"/>
  <c r="H392" i="9"/>
  <c r="H392" i="8" s="1"/>
  <c r="G392" i="9"/>
  <c r="G392" i="8" s="1"/>
  <c r="F392" i="9"/>
  <c r="F392" i="8" s="1"/>
  <c r="E392" i="9"/>
  <c r="E392" i="8" s="1"/>
  <c r="D392" i="9"/>
  <c r="D392" i="8" s="1"/>
  <c r="C392" i="9"/>
  <c r="C392" i="8" s="1"/>
  <c r="W392" i="8" s="1"/>
  <c r="B392" i="9"/>
  <c r="B392" i="8" s="1"/>
  <c r="A392" i="9"/>
  <c r="J391" i="9"/>
  <c r="J391" i="8" s="1"/>
  <c r="I391" i="9"/>
  <c r="I391" i="8" s="1"/>
  <c r="X391" i="8" s="1"/>
  <c r="E420" i="6" s="1"/>
  <c r="H391" i="9"/>
  <c r="H391" i="8" s="1"/>
  <c r="G391" i="9"/>
  <c r="G391" i="8" s="1"/>
  <c r="F391" i="9"/>
  <c r="F391" i="8" s="1"/>
  <c r="E391" i="9"/>
  <c r="E391" i="8" s="1"/>
  <c r="D391" i="9"/>
  <c r="D391" i="8" s="1"/>
  <c r="C391" i="9"/>
  <c r="C391" i="8" s="1"/>
  <c r="W391" i="8" s="1"/>
  <c r="B391" i="9"/>
  <c r="B391" i="8" s="1"/>
  <c r="A391" i="9"/>
  <c r="J390" i="9"/>
  <c r="J390" i="8" s="1"/>
  <c r="I390" i="9"/>
  <c r="I390" i="8" s="1"/>
  <c r="X390" i="8" s="1"/>
  <c r="E419" i="6" s="1"/>
  <c r="H390" i="9"/>
  <c r="H390" i="8" s="1"/>
  <c r="G390" i="9"/>
  <c r="G390" i="8" s="1"/>
  <c r="F390" i="9"/>
  <c r="F390" i="8" s="1"/>
  <c r="E390" i="9"/>
  <c r="E390" i="8" s="1"/>
  <c r="D390" i="9"/>
  <c r="D390" i="8" s="1"/>
  <c r="C390" i="9"/>
  <c r="C390" i="8" s="1"/>
  <c r="W390" i="8" s="1"/>
  <c r="B390" i="9"/>
  <c r="B390" i="8" s="1"/>
  <c r="A390" i="9"/>
  <c r="J389" i="9"/>
  <c r="J389" i="8" s="1"/>
  <c r="I389" i="9"/>
  <c r="I389" i="8" s="1"/>
  <c r="X389" i="8" s="1"/>
  <c r="E418" i="6" s="1"/>
  <c r="H389" i="9"/>
  <c r="H389" i="8" s="1"/>
  <c r="G389" i="9"/>
  <c r="G389" i="8" s="1"/>
  <c r="F389" i="9"/>
  <c r="F389" i="8" s="1"/>
  <c r="E389" i="9"/>
  <c r="E389" i="8" s="1"/>
  <c r="D389" i="9"/>
  <c r="D389" i="8" s="1"/>
  <c r="C389" i="9"/>
  <c r="C389" i="8" s="1"/>
  <c r="W389" i="8" s="1"/>
  <c r="B389" i="9"/>
  <c r="B389" i="8" s="1"/>
  <c r="A389" i="9"/>
  <c r="J388" i="9"/>
  <c r="J388" i="8" s="1"/>
  <c r="I388" i="9"/>
  <c r="I388" i="8" s="1"/>
  <c r="X388" i="8" s="1"/>
  <c r="E417" i="6" s="1"/>
  <c r="H388" i="9"/>
  <c r="H388" i="8" s="1"/>
  <c r="G388" i="9"/>
  <c r="G388" i="8" s="1"/>
  <c r="F388" i="9"/>
  <c r="F388" i="8" s="1"/>
  <c r="E388" i="9"/>
  <c r="E388" i="8" s="1"/>
  <c r="D388" i="9"/>
  <c r="D388" i="8" s="1"/>
  <c r="C388" i="9"/>
  <c r="C388" i="8" s="1"/>
  <c r="W388" i="8" s="1"/>
  <c r="B388" i="9"/>
  <c r="B388" i="8" s="1"/>
  <c r="A388" i="9"/>
  <c r="J387" i="9"/>
  <c r="J387" i="8" s="1"/>
  <c r="I387" i="9"/>
  <c r="I387" i="8" s="1"/>
  <c r="X387" i="8" s="1"/>
  <c r="E416" i="6" s="1"/>
  <c r="H387" i="9"/>
  <c r="H387" i="8" s="1"/>
  <c r="G387" i="9"/>
  <c r="G387" i="8" s="1"/>
  <c r="F387" i="9"/>
  <c r="F387" i="8" s="1"/>
  <c r="E387" i="9"/>
  <c r="E387" i="8" s="1"/>
  <c r="D387" i="9"/>
  <c r="D387" i="8" s="1"/>
  <c r="C387" i="9"/>
  <c r="C387" i="8" s="1"/>
  <c r="W387" i="8" s="1"/>
  <c r="B387" i="9"/>
  <c r="B387" i="8" s="1"/>
  <c r="A387" i="9"/>
  <c r="J386" i="9"/>
  <c r="J386" i="8" s="1"/>
  <c r="I386" i="9"/>
  <c r="I386" i="8" s="1"/>
  <c r="X386" i="8" s="1"/>
  <c r="E415" i="6" s="1"/>
  <c r="H386" i="9"/>
  <c r="H386" i="8" s="1"/>
  <c r="G386" i="9"/>
  <c r="G386" i="8" s="1"/>
  <c r="F386" i="9"/>
  <c r="F386" i="8" s="1"/>
  <c r="E386" i="9"/>
  <c r="E386" i="8" s="1"/>
  <c r="D386" i="9"/>
  <c r="D386" i="8" s="1"/>
  <c r="C386" i="9"/>
  <c r="C386" i="8" s="1"/>
  <c r="W386" i="8" s="1"/>
  <c r="B386" i="9"/>
  <c r="B386" i="8" s="1"/>
  <c r="A386" i="9"/>
  <c r="J385" i="9"/>
  <c r="J385" i="8" s="1"/>
  <c r="I385" i="9"/>
  <c r="I385" i="8" s="1"/>
  <c r="X385" i="8" s="1"/>
  <c r="E414" i="6" s="1"/>
  <c r="H385" i="9"/>
  <c r="H385" i="8" s="1"/>
  <c r="G385" i="9"/>
  <c r="G385" i="8" s="1"/>
  <c r="F385" i="9"/>
  <c r="F385" i="8" s="1"/>
  <c r="E385" i="9"/>
  <c r="E385" i="8" s="1"/>
  <c r="D385" i="9"/>
  <c r="D385" i="8" s="1"/>
  <c r="C385" i="9"/>
  <c r="C385" i="8" s="1"/>
  <c r="W385" i="8" s="1"/>
  <c r="B385" i="9"/>
  <c r="B385" i="8" s="1"/>
  <c r="A385" i="9"/>
  <c r="J384" i="9"/>
  <c r="J384" i="8" s="1"/>
  <c r="I384" i="9"/>
  <c r="I384" i="8" s="1"/>
  <c r="X384" i="8" s="1"/>
  <c r="E413" i="6" s="1"/>
  <c r="H384" i="9"/>
  <c r="H384" i="8" s="1"/>
  <c r="G384" i="9"/>
  <c r="G384" i="8" s="1"/>
  <c r="F384" i="9"/>
  <c r="F384" i="8" s="1"/>
  <c r="E384" i="9"/>
  <c r="E384" i="8" s="1"/>
  <c r="D384" i="9"/>
  <c r="D384" i="8" s="1"/>
  <c r="C384" i="9"/>
  <c r="C384" i="8" s="1"/>
  <c r="W384" i="8" s="1"/>
  <c r="B384" i="9"/>
  <c r="B384" i="8" s="1"/>
  <c r="A384" i="9"/>
  <c r="J383" i="9"/>
  <c r="J383" i="8" s="1"/>
  <c r="I383" i="9"/>
  <c r="I383" i="8" s="1"/>
  <c r="X383" i="8" s="1"/>
  <c r="E412" i="6" s="1"/>
  <c r="H383" i="9"/>
  <c r="H383" i="8" s="1"/>
  <c r="G383" i="9"/>
  <c r="G383" i="8" s="1"/>
  <c r="F383" i="9"/>
  <c r="F383" i="8" s="1"/>
  <c r="E383" i="9"/>
  <c r="E383" i="8" s="1"/>
  <c r="D383" i="9"/>
  <c r="D383" i="8" s="1"/>
  <c r="C383" i="9"/>
  <c r="C383" i="8" s="1"/>
  <c r="W383" i="8" s="1"/>
  <c r="B383" i="9"/>
  <c r="B383" i="8" s="1"/>
  <c r="A383" i="9"/>
  <c r="J382" i="9"/>
  <c r="J382" i="8" s="1"/>
  <c r="I382" i="9"/>
  <c r="I382" i="8" s="1"/>
  <c r="X382" i="8" s="1"/>
  <c r="E411" i="6" s="1"/>
  <c r="H382" i="9"/>
  <c r="H382" i="8" s="1"/>
  <c r="G382" i="9"/>
  <c r="G382" i="8" s="1"/>
  <c r="F382" i="9"/>
  <c r="F382" i="8" s="1"/>
  <c r="E382" i="9"/>
  <c r="E382" i="8" s="1"/>
  <c r="D382" i="9"/>
  <c r="D382" i="8" s="1"/>
  <c r="C382" i="9"/>
  <c r="C382" i="8" s="1"/>
  <c r="W382" i="8" s="1"/>
  <c r="B382" i="9"/>
  <c r="B382" i="8" s="1"/>
  <c r="A382" i="9"/>
  <c r="J381" i="9"/>
  <c r="J381" i="8" s="1"/>
  <c r="I381" i="9"/>
  <c r="I381" i="8" s="1"/>
  <c r="X381" i="8" s="1"/>
  <c r="E410" i="6" s="1"/>
  <c r="H381" i="9"/>
  <c r="H381" i="8" s="1"/>
  <c r="G381" i="9"/>
  <c r="G381" i="8" s="1"/>
  <c r="F381" i="9"/>
  <c r="F381" i="8" s="1"/>
  <c r="E381" i="9"/>
  <c r="E381" i="8" s="1"/>
  <c r="D381" i="9"/>
  <c r="D381" i="8" s="1"/>
  <c r="C381" i="9"/>
  <c r="C381" i="8" s="1"/>
  <c r="W381" i="8" s="1"/>
  <c r="B381" i="9"/>
  <c r="B381" i="8" s="1"/>
  <c r="A381" i="9"/>
  <c r="J380" i="9"/>
  <c r="J380" i="8" s="1"/>
  <c r="I380" i="9"/>
  <c r="I380" i="8" s="1"/>
  <c r="X380" i="8" s="1"/>
  <c r="E409" i="6" s="1"/>
  <c r="H380" i="9"/>
  <c r="H380" i="8" s="1"/>
  <c r="G380" i="9"/>
  <c r="G380" i="8" s="1"/>
  <c r="F380" i="9"/>
  <c r="F380" i="8" s="1"/>
  <c r="E380" i="9"/>
  <c r="E380" i="8" s="1"/>
  <c r="D380" i="9"/>
  <c r="D380" i="8" s="1"/>
  <c r="C380" i="9"/>
  <c r="C380" i="8" s="1"/>
  <c r="W380" i="8" s="1"/>
  <c r="B380" i="9"/>
  <c r="B380" i="8" s="1"/>
  <c r="A380" i="9"/>
  <c r="J379" i="9"/>
  <c r="J379" i="8" s="1"/>
  <c r="I379" i="9"/>
  <c r="I379" i="8" s="1"/>
  <c r="X379" i="8" s="1"/>
  <c r="E408" i="6" s="1"/>
  <c r="H379" i="9"/>
  <c r="H379" i="8" s="1"/>
  <c r="G379" i="9"/>
  <c r="G379" i="8" s="1"/>
  <c r="F379" i="9"/>
  <c r="F379" i="8" s="1"/>
  <c r="E379" i="9"/>
  <c r="E379" i="8" s="1"/>
  <c r="D379" i="9"/>
  <c r="D379" i="8" s="1"/>
  <c r="C379" i="9"/>
  <c r="C379" i="8" s="1"/>
  <c r="W379" i="8" s="1"/>
  <c r="B379" i="9"/>
  <c r="B379" i="8" s="1"/>
  <c r="A379" i="9"/>
  <c r="J378" i="9"/>
  <c r="J378" i="8" s="1"/>
  <c r="I378" i="9"/>
  <c r="I378" i="8" s="1"/>
  <c r="X378" i="8" s="1"/>
  <c r="E407" i="6" s="1"/>
  <c r="H378" i="9"/>
  <c r="H378" i="8" s="1"/>
  <c r="G378" i="9"/>
  <c r="G378" i="8" s="1"/>
  <c r="F378" i="9"/>
  <c r="F378" i="8" s="1"/>
  <c r="E378" i="9"/>
  <c r="E378" i="8" s="1"/>
  <c r="D378" i="9"/>
  <c r="D378" i="8" s="1"/>
  <c r="C378" i="9"/>
  <c r="C378" i="8" s="1"/>
  <c r="W378" i="8" s="1"/>
  <c r="B378" i="9"/>
  <c r="B378" i="8" s="1"/>
  <c r="A378" i="9"/>
  <c r="J377" i="9"/>
  <c r="J377" i="8" s="1"/>
  <c r="I377" i="9"/>
  <c r="I377" i="8" s="1"/>
  <c r="X377" i="8" s="1"/>
  <c r="E406" i="6" s="1"/>
  <c r="H377" i="9"/>
  <c r="H377" i="8" s="1"/>
  <c r="G377" i="9"/>
  <c r="G377" i="8" s="1"/>
  <c r="F377" i="9"/>
  <c r="F377" i="8" s="1"/>
  <c r="E377" i="9"/>
  <c r="E377" i="8" s="1"/>
  <c r="D377" i="9"/>
  <c r="D377" i="8" s="1"/>
  <c r="C377" i="9"/>
  <c r="C377" i="8" s="1"/>
  <c r="W377" i="8" s="1"/>
  <c r="B377" i="9"/>
  <c r="B377" i="8" s="1"/>
  <c r="A377" i="9"/>
  <c r="J376" i="9"/>
  <c r="J376" i="8" s="1"/>
  <c r="I376" i="9"/>
  <c r="I376" i="8" s="1"/>
  <c r="X376" i="8" s="1"/>
  <c r="E405" i="6" s="1"/>
  <c r="H376" i="9"/>
  <c r="H376" i="8" s="1"/>
  <c r="G376" i="9"/>
  <c r="G376" i="8" s="1"/>
  <c r="F376" i="9"/>
  <c r="F376" i="8" s="1"/>
  <c r="E376" i="9"/>
  <c r="E376" i="8" s="1"/>
  <c r="D376" i="9"/>
  <c r="D376" i="8" s="1"/>
  <c r="C376" i="9"/>
  <c r="C376" i="8" s="1"/>
  <c r="W376" i="8" s="1"/>
  <c r="B376" i="9"/>
  <c r="B376" i="8" s="1"/>
  <c r="A376" i="9"/>
  <c r="J375" i="9"/>
  <c r="J375" i="8" s="1"/>
  <c r="I375" i="9"/>
  <c r="I375" i="8" s="1"/>
  <c r="X375" i="8" s="1"/>
  <c r="E404" i="6" s="1"/>
  <c r="H375" i="9"/>
  <c r="H375" i="8" s="1"/>
  <c r="G375" i="9"/>
  <c r="G375" i="8" s="1"/>
  <c r="F375" i="9"/>
  <c r="F375" i="8" s="1"/>
  <c r="E375" i="9"/>
  <c r="E375" i="8" s="1"/>
  <c r="D375" i="9"/>
  <c r="D375" i="8" s="1"/>
  <c r="C375" i="9"/>
  <c r="C375" i="8" s="1"/>
  <c r="W375" i="8" s="1"/>
  <c r="B375" i="9"/>
  <c r="B375" i="8" s="1"/>
  <c r="A375" i="9"/>
  <c r="J374" i="9"/>
  <c r="J374" i="8" s="1"/>
  <c r="I374" i="9"/>
  <c r="I374" i="8" s="1"/>
  <c r="X374" i="8" s="1"/>
  <c r="E403" i="6" s="1"/>
  <c r="H374" i="9"/>
  <c r="H374" i="8" s="1"/>
  <c r="G374" i="9"/>
  <c r="G374" i="8" s="1"/>
  <c r="F374" i="9"/>
  <c r="F374" i="8" s="1"/>
  <c r="E374" i="9"/>
  <c r="E374" i="8" s="1"/>
  <c r="D374" i="9"/>
  <c r="D374" i="8" s="1"/>
  <c r="C374" i="9"/>
  <c r="C374" i="8" s="1"/>
  <c r="W374" i="8" s="1"/>
  <c r="B374" i="9"/>
  <c r="B374" i="8" s="1"/>
  <c r="A374" i="9"/>
  <c r="J373" i="9"/>
  <c r="J373" i="8" s="1"/>
  <c r="I373" i="9"/>
  <c r="I373" i="8" s="1"/>
  <c r="X373" i="8" s="1"/>
  <c r="E402" i="6" s="1"/>
  <c r="H373" i="9"/>
  <c r="H373" i="8" s="1"/>
  <c r="G373" i="9"/>
  <c r="G373" i="8" s="1"/>
  <c r="F373" i="9"/>
  <c r="F373" i="8" s="1"/>
  <c r="E373" i="9"/>
  <c r="E373" i="8" s="1"/>
  <c r="D373" i="9"/>
  <c r="D373" i="8" s="1"/>
  <c r="C373" i="9"/>
  <c r="C373" i="8" s="1"/>
  <c r="W373" i="8" s="1"/>
  <c r="B373" i="9"/>
  <c r="B373" i="8" s="1"/>
  <c r="A373" i="9"/>
  <c r="J372" i="9"/>
  <c r="J372" i="8" s="1"/>
  <c r="I372" i="9"/>
  <c r="I372" i="8" s="1"/>
  <c r="X372" i="8" s="1"/>
  <c r="E401" i="6" s="1"/>
  <c r="H372" i="9"/>
  <c r="H372" i="8" s="1"/>
  <c r="G372" i="9"/>
  <c r="G372" i="8" s="1"/>
  <c r="F372" i="9"/>
  <c r="F372" i="8" s="1"/>
  <c r="E372" i="9"/>
  <c r="E372" i="8" s="1"/>
  <c r="D372" i="9"/>
  <c r="D372" i="8" s="1"/>
  <c r="C372" i="9"/>
  <c r="C372" i="8" s="1"/>
  <c r="W372" i="8" s="1"/>
  <c r="B372" i="9"/>
  <c r="B372" i="8" s="1"/>
  <c r="A372" i="9"/>
  <c r="J371" i="9"/>
  <c r="J371" i="8" s="1"/>
  <c r="I371" i="9"/>
  <c r="I371" i="8" s="1"/>
  <c r="X371" i="8" s="1"/>
  <c r="E400" i="6" s="1"/>
  <c r="H371" i="9"/>
  <c r="H371" i="8" s="1"/>
  <c r="G371" i="9"/>
  <c r="G371" i="8" s="1"/>
  <c r="F371" i="9"/>
  <c r="F371" i="8" s="1"/>
  <c r="E371" i="9"/>
  <c r="E371" i="8" s="1"/>
  <c r="D371" i="9"/>
  <c r="D371" i="8" s="1"/>
  <c r="C371" i="9"/>
  <c r="C371" i="8" s="1"/>
  <c r="W371" i="8" s="1"/>
  <c r="B371" i="9"/>
  <c r="B371" i="8" s="1"/>
  <c r="A371" i="9"/>
  <c r="J370" i="9"/>
  <c r="J370" i="8" s="1"/>
  <c r="I370" i="9"/>
  <c r="I370" i="8" s="1"/>
  <c r="X370" i="8" s="1"/>
  <c r="E399" i="6" s="1"/>
  <c r="H370" i="9"/>
  <c r="H370" i="8" s="1"/>
  <c r="G370" i="9"/>
  <c r="G370" i="8" s="1"/>
  <c r="F370" i="9"/>
  <c r="F370" i="8" s="1"/>
  <c r="E370" i="9"/>
  <c r="E370" i="8" s="1"/>
  <c r="D370" i="9"/>
  <c r="D370" i="8" s="1"/>
  <c r="C370" i="9"/>
  <c r="C370" i="8" s="1"/>
  <c r="W370" i="8" s="1"/>
  <c r="B370" i="9"/>
  <c r="B370" i="8" s="1"/>
  <c r="A370" i="9"/>
  <c r="J369" i="9"/>
  <c r="J369" i="8" s="1"/>
  <c r="I369" i="9"/>
  <c r="I369" i="8" s="1"/>
  <c r="X369" i="8" s="1"/>
  <c r="E398" i="6" s="1"/>
  <c r="H369" i="9"/>
  <c r="H369" i="8" s="1"/>
  <c r="G369" i="9"/>
  <c r="G369" i="8" s="1"/>
  <c r="F369" i="9"/>
  <c r="F369" i="8" s="1"/>
  <c r="E369" i="9"/>
  <c r="E369" i="8" s="1"/>
  <c r="D369" i="9"/>
  <c r="D369" i="8" s="1"/>
  <c r="C369" i="9"/>
  <c r="C369" i="8" s="1"/>
  <c r="W369" i="8" s="1"/>
  <c r="B369" i="9"/>
  <c r="B369" i="8" s="1"/>
  <c r="A369" i="9"/>
  <c r="J368" i="9"/>
  <c r="J368" i="8" s="1"/>
  <c r="I368" i="9"/>
  <c r="I368" i="8" s="1"/>
  <c r="X368" i="8" s="1"/>
  <c r="E397" i="6" s="1"/>
  <c r="H368" i="9"/>
  <c r="H368" i="8" s="1"/>
  <c r="G368" i="9"/>
  <c r="G368" i="8" s="1"/>
  <c r="F368" i="9"/>
  <c r="F368" i="8" s="1"/>
  <c r="E368" i="9"/>
  <c r="E368" i="8" s="1"/>
  <c r="D368" i="9"/>
  <c r="D368" i="8" s="1"/>
  <c r="C368" i="9"/>
  <c r="C368" i="8" s="1"/>
  <c r="W368" i="8" s="1"/>
  <c r="B368" i="9"/>
  <c r="B368" i="8" s="1"/>
  <c r="A368" i="9"/>
  <c r="J367" i="9"/>
  <c r="J367" i="8" s="1"/>
  <c r="I367" i="9"/>
  <c r="I367" i="8" s="1"/>
  <c r="X367" i="8" s="1"/>
  <c r="E396" i="6" s="1"/>
  <c r="H367" i="9"/>
  <c r="H367" i="8" s="1"/>
  <c r="G367" i="9"/>
  <c r="G367" i="8" s="1"/>
  <c r="F367" i="9"/>
  <c r="F367" i="8" s="1"/>
  <c r="E367" i="9"/>
  <c r="E367" i="8" s="1"/>
  <c r="D367" i="9"/>
  <c r="D367" i="8" s="1"/>
  <c r="C367" i="9"/>
  <c r="C367" i="8" s="1"/>
  <c r="W367" i="8" s="1"/>
  <c r="B367" i="9"/>
  <c r="B367" i="8" s="1"/>
  <c r="A367" i="9"/>
  <c r="J366" i="9"/>
  <c r="J366" i="8" s="1"/>
  <c r="I366" i="9"/>
  <c r="I366" i="8" s="1"/>
  <c r="X366" i="8" s="1"/>
  <c r="E395" i="6" s="1"/>
  <c r="H366" i="9"/>
  <c r="H366" i="8" s="1"/>
  <c r="G366" i="9"/>
  <c r="G366" i="8" s="1"/>
  <c r="F366" i="9"/>
  <c r="F366" i="8" s="1"/>
  <c r="E366" i="9"/>
  <c r="E366" i="8" s="1"/>
  <c r="D366" i="9"/>
  <c r="D366" i="8" s="1"/>
  <c r="C366" i="9"/>
  <c r="C366" i="8" s="1"/>
  <c r="W366" i="8" s="1"/>
  <c r="B366" i="9"/>
  <c r="B366" i="8" s="1"/>
  <c r="A366" i="9"/>
  <c r="J365" i="9"/>
  <c r="J365" i="8" s="1"/>
  <c r="I365" i="9"/>
  <c r="I365" i="8" s="1"/>
  <c r="X365" i="8" s="1"/>
  <c r="E394" i="6" s="1"/>
  <c r="H365" i="9"/>
  <c r="H365" i="8" s="1"/>
  <c r="G365" i="9"/>
  <c r="G365" i="8" s="1"/>
  <c r="F365" i="9"/>
  <c r="F365" i="8" s="1"/>
  <c r="E365" i="9"/>
  <c r="E365" i="8" s="1"/>
  <c r="D365" i="9"/>
  <c r="D365" i="8" s="1"/>
  <c r="C365" i="9"/>
  <c r="C365" i="8" s="1"/>
  <c r="W365" i="8" s="1"/>
  <c r="B365" i="9"/>
  <c r="B365" i="8" s="1"/>
  <c r="A365" i="9"/>
  <c r="J364" i="9"/>
  <c r="J364" i="8" s="1"/>
  <c r="I364" i="9"/>
  <c r="I364" i="8" s="1"/>
  <c r="X364" i="8" s="1"/>
  <c r="E393" i="6" s="1"/>
  <c r="H364" i="9"/>
  <c r="H364" i="8" s="1"/>
  <c r="G364" i="9"/>
  <c r="G364" i="8" s="1"/>
  <c r="F364" i="9"/>
  <c r="F364" i="8" s="1"/>
  <c r="E364" i="9"/>
  <c r="E364" i="8" s="1"/>
  <c r="D364" i="9"/>
  <c r="D364" i="8" s="1"/>
  <c r="C364" i="9"/>
  <c r="C364" i="8" s="1"/>
  <c r="W364" i="8" s="1"/>
  <c r="B364" i="9"/>
  <c r="B364" i="8" s="1"/>
  <c r="A364" i="9"/>
  <c r="J363" i="9"/>
  <c r="J363" i="8" s="1"/>
  <c r="I363" i="9"/>
  <c r="I363" i="8" s="1"/>
  <c r="X363" i="8" s="1"/>
  <c r="E392" i="6" s="1"/>
  <c r="H363" i="9"/>
  <c r="H363" i="8" s="1"/>
  <c r="G363" i="9"/>
  <c r="G363" i="8" s="1"/>
  <c r="F363" i="9"/>
  <c r="F363" i="8" s="1"/>
  <c r="E363" i="9"/>
  <c r="E363" i="8" s="1"/>
  <c r="D363" i="9"/>
  <c r="D363" i="8" s="1"/>
  <c r="C363" i="9"/>
  <c r="C363" i="8" s="1"/>
  <c r="W363" i="8" s="1"/>
  <c r="B363" i="9"/>
  <c r="B363" i="8" s="1"/>
  <c r="A363" i="9"/>
  <c r="J362" i="9"/>
  <c r="J362" i="8" s="1"/>
  <c r="I362" i="9"/>
  <c r="I362" i="8" s="1"/>
  <c r="X362" i="8" s="1"/>
  <c r="E391" i="6" s="1"/>
  <c r="H362" i="9"/>
  <c r="H362" i="8" s="1"/>
  <c r="G362" i="9"/>
  <c r="G362" i="8" s="1"/>
  <c r="F362" i="9"/>
  <c r="F362" i="8" s="1"/>
  <c r="E362" i="9"/>
  <c r="E362" i="8" s="1"/>
  <c r="D362" i="9"/>
  <c r="D362" i="8" s="1"/>
  <c r="C362" i="9"/>
  <c r="C362" i="8" s="1"/>
  <c r="W362" i="8" s="1"/>
  <c r="B362" i="9"/>
  <c r="B362" i="8" s="1"/>
  <c r="A362" i="9"/>
  <c r="J361" i="9"/>
  <c r="J361" i="8" s="1"/>
  <c r="I361" i="9"/>
  <c r="I361" i="8" s="1"/>
  <c r="X361" i="8" s="1"/>
  <c r="E390" i="6" s="1"/>
  <c r="H361" i="9"/>
  <c r="H361" i="8" s="1"/>
  <c r="G361" i="9"/>
  <c r="G361" i="8" s="1"/>
  <c r="F361" i="9"/>
  <c r="F361" i="8" s="1"/>
  <c r="E361" i="9"/>
  <c r="E361" i="8" s="1"/>
  <c r="D361" i="9"/>
  <c r="D361" i="8" s="1"/>
  <c r="C361" i="9"/>
  <c r="C361" i="8" s="1"/>
  <c r="W361" i="8" s="1"/>
  <c r="B361" i="9"/>
  <c r="B361" i="8" s="1"/>
  <c r="A361" i="9"/>
  <c r="J360" i="9"/>
  <c r="J360" i="8" s="1"/>
  <c r="I360" i="9"/>
  <c r="I360" i="8" s="1"/>
  <c r="X360" i="8" s="1"/>
  <c r="E389" i="6" s="1"/>
  <c r="H360" i="9"/>
  <c r="H360" i="8" s="1"/>
  <c r="G360" i="9"/>
  <c r="G360" i="8" s="1"/>
  <c r="F360" i="9"/>
  <c r="F360" i="8" s="1"/>
  <c r="E360" i="9"/>
  <c r="E360" i="8" s="1"/>
  <c r="D360" i="9"/>
  <c r="D360" i="8" s="1"/>
  <c r="C360" i="9"/>
  <c r="C360" i="8" s="1"/>
  <c r="W360" i="8" s="1"/>
  <c r="B360" i="9"/>
  <c r="B360" i="8" s="1"/>
  <c r="A360" i="9"/>
  <c r="J359" i="9"/>
  <c r="J359" i="8" s="1"/>
  <c r="I359" i="9"/>
  <c r="I359" i="8" s="1"/>
  <c r="X359" i="8" s="1"/>
  <c r="E388" i="6" s="1"/>
  <c r="H359" i="9"/>
  <c r="H359" i="8" s="1"/>
  <c r="G359" i="9"/>
  <c r="G359" i="8" s="1"/>
  <c r="F359" i="9"/>
  <c r="F359" i="8" s="1"/>
  <c r="E359" i="9"/>
  <c r="E359" i="8" s="1"/>
  <c r="D359" i="9"/>
  <c r="D359" i="8" s="1"/>
  <c r="C359" i="9"/>
  <c r="C359" i="8" s="1"/>
  <c r="W359" i="8" s="1"/>
  <c r="B359" i="9"/>
  <c r="B359" i="8" s="1"/>
  <c r="A359" i="9"/>
  <c r="J358" i="9"/>
  <c r="J358" i="8" s="1"/>
  <c r="I358" i="9"/>
  <c r="I358" i="8" s="1"/>
  <c r="X358" i="8" s="1"/>
  <c r="E387" i="6" s="1"/>
  <c r="H358" i="9"/>
  <c r="H358" i="8" s="1"/>
  <c r="G358" i="9"/>
  <c r="G358" i="8" s="1"/>
  <c r="F358" i="9"/>
  <c r="F358" i="8" s="1"/>
  <c r="E358" i="9"/>
  <c r="E358" i="8" s="1"/>
  <c r="D358" i="9"/>
  <c r="D358" i="8" s="1"/>
  <c r="C358" i="9"/>
  <c r="C358" i="8" s="1"/>
  <c r="W358" i="8" s="1"/>
  <c r="B358" i="9"/>
  <c r="B358" i="8" s="1"/>
  <c r="A358" i="9"/>
  <c r="J357" i="9"/>
  <c r="J357" i="8" s="1"/>
  <c r="I357" i="9"/>
  <c r="I357" i="8" s="1"/>
  <c r="X357" i="8" s="1"/>
  <c r="E386" i="6" s="1"/>
  <c r="H357" i="9"/>
  <c r="H357" i="8" s="1"/>
  <c r="G357" i="9"/>
  <c r="G357" i="8" s="1"/>
  <c r="F357" i="9"/>
  <c r="F357" i="8" s="1"/>
  <c r="E357" i="9"/>
  <c r="E357" i="8" s="1"/>
  <c r="D357" i="9"/>
  <c r="D357" i="8" s="1"/>
  <c r="C357" i="9"/>
  <c r="C357" i="8" s="1"/>
  <c r="W357" i="8" s="1"/>
  <c r="B357" i="9"/>
  <c r="B357" i="8" s="1"/>
  <c r="A357" i="9"/>
  <c r="J356" i="9"/>
  <c r="J356" i="8" s="1"/>
  <c r="I356" i="9"/>
  <c r="I356" i="8" s="1"/>
  <c r="X356" i="8" s="1"/>
  <c r="E385" i="6" s="1"/>
  <c r="H356" i="9"/>
  <c r="H356" i="8" s="1"/>
  <c r="G356" i="9"/>
  <c r="G356" i="8" s="1"/>
  <c r="F356" i="9"/>
  <c r="F356" i="8" s="1"/>
  <c r="E356" i="9"/>
  <c r="E356" i="8" s="1"/>
  <c r="D356" i="9"/>
  <c r="D356" i="8" s="1"/>
  <c r="C356" i="9"/>
  <c r="C356" i="8" s="1"/>
  <c r="W356" i="8" s="1"/>
  <c r="B356" i="9"/>
  <c r="B356" i="8" s="1"/>
  <c r="A356" i="9"/>
  <c r="J355" i="9"/>
  <c r="J355" i="8" s="1"/>
  <c r="I355" i="9"/>
  <c r="I355" i="8" s="1"/>
  <c r="X355" i="8" s="1"/>
  <c r="E384" i="6" s="1"/>
  <c r="H355" i="9"/>
  <c r="H355" i="8" s="1"/>
  <c r="G355" i="9"/>
  <c r="G355" i="8" s="1"/>
  <c r="F355" i="9"/>
  <c r="F355" i="8" s="1"/>
  <c r="E355" i="9"/>
  <c r="E355" i="8" s="1"/>
  <c r="D355" i="9"/>
  <c r="D355" i="8" s="1"/>
  <c r="C355" i="9"/>
  <c r="C355" i="8" s="1"/>
  <c r="W355" i="8" s="1"/>
  <c r="B355" i="9"/>
  <c r="B355" i="8" s="1"/>
  <c r="A355" i="9"/>
  <c r="J354" i="9"/>
  <c r="J354" i="8" s="1"/>
  <c r="I354" i="9"/>
  <c r="I354" i="8" s="1"/>
  <c r="X354" i="8" s="1"/>
  <c r="E383" i="6" s="1"/>
  <c r="H354" i="9"/>
  <c r="H354" i="8" s="1"/>
  <c r="G354" i="9"/>
  <c r="G354" i="8" s="1"/>
  <c r="F354" i="9"/>
  <c r="F354" i="8" s="1"/>
  <c r="E354" i="9"/>
  <c r="E354" i="8" s="1"/>
  <c r="D354" i="9"/>
  <c r="D354" i="8" s="1"/>
  <c r="C354" i="9"/>
  <c r="C354" i="8" s="1"/>
  <c r="W354" i="8" s="1"/>
  <c r="B354" i="9"/>
  <c r="B354" i="8" s="1"/>
  <c r="A354" i="9"/>
  <c r="J353" i="9"/>
  <c r="J353" i="8" s="1"/>
  <c r="I353" i="9"/>
  <c r="I353" i="8" s="1"/>
  <c r="X353" i="8" s="1"/>
  <c r="E382" i="6" s="1"/>
  <c r="H353" i="9"/>
  <c r="H353" i="8" s="1"/>
  <c r="G353" i="9"/>
  <c r="G353" i="8" s="1"/>
  <c r="F353" i="9"/>
  <c r="F353" i="8" s="1"/>
  <c r="E353" i="9"/>
  <c r="E353" i="8" s="1"/>
  <c r="D353" i="9"/>
  <c r="D353" i="8" s="1"/>
  <c r="C353" i="9"/>
  <c r="C353" i="8" s="1"/>
  <c r="W353" i="8" s="1"/>
  <c r="B353" i="9"/>
  <c r="B353" i="8" s="1"/>
  <c r="A353" i="9"/>
  <c r="J352" i="9"/>
  <c r="J352" i="8" s="1"/>
  <c r="I352" i="9"/>
  <c r="I352" i="8" s="1"/>
  <c r="X352" i="8" s="1"/>
  <c r="E381" i="6" s="1"/>
  <c r="H352" i="9"/>
  <c r="H352" i="8" s="1"/>
  <c r="G352" i="9"/>
  <c r="G352" i="8" s="1"/>
  <c r="F352" i="9"/>
  <c r="F352" i="8" s="1"/>
  <c r="E352" i="9"/>
  <c r="E352" i="8" s="1"/>
  <c r="D352" i="9"/>
  <c r="D352" i="8" s="1"/>
  <c r="C352" i="9"/>
  <c r="C352" i="8" s="1"/>
  <c r="W352" i="8" s="1"/>
  <c r="B352" i="9"/>
  <c r="B352" i="8" s="1"/>
  <c r="A352" i="9"/>
  <c r="J351" i="9"/>
  <c r="J351" i="8" s="1"/>
  <c r="I351" i="9"/>
  <c r="I351" i="8" s="1"/>
  <c r="X351" i="8" s="1"/>
  <c r="E380" i="6" s="1"/>
  <c r="H351" i="9"/>
  <c r="H351" i="8" s="1"/>
  <c r="G351" i="9"/>
  <c r="G351" i="8" s="1"/>
  <c r="F351" i="9"/>
  <c r="F351" i="8" s="1"/>
  <c r="E351" i="9"/>
  <c r="E351" i="8" s="1"/>
  <c r="D351" i="9"/>
  <c r="D351" i="8" s="1"/>
  <c r="C351" i="9"/>
  <c r="C351" i="8" s="1"/>
  <c r="W351" i="8" s="1"/>
  <c r="B351" i="9"/>
  <c r="B351" i="8" s="1"/>
  <c r="A351" i="9"/>
  <c r="J350" i="9"/>
  <c r="J350" i="8" s="1"/>
  <c r="I350" i="9"/>
  <c r="I350" i="8" s="1"/>
  <c r="X350" i="8" s="1"/>
  <c r="E379" i="6" s="1"/>
  <c r="H350" i="9"/>
  <c r="H350" i="8" s="1"/>
  <c r="G350" i="9"/>
  <c r="G350" i="8" s="1"/>
  <c r="F350" i="9"/>
  <c r="F350" i="8" s="1"/>
  <c r="E350" i="9"/>
  <c r="E350" i="8" s="1"/>
  <c r="D350" i="9"/>
  <c r="D350" i="8" s="1"/>
  <c r="C350" i="9"/>
  <c r="C350" i="8" s="1"/>
  <c r="W350" i="8" s="1"/>
  <c r="B350" i="9"/>
  <c r="B350" i="8" s="1"/>
  <c r="A350" i="9"/>
  <c r="J349" i="9"/>
  <c r="J349" i="8" s="1"/>
  <c r="I349" i="9"/>
  <c r="I349" i="8" s="1"/>
  <c r="X349" i="8" s="1"/>
  <c r="E378" i="6" s="1"/>
  <c r="H349" i="9"/>
  <c r="H349" i="8" s="1"/>
  <c r="G349" i="9"/>
  <c r="G349" i="8" s="1"/>
  <c r="F349" i="9"/>
  <c r="F349" i="8" s="1"/>
  <c r="E349" i="9"/>
  <c r="E349" i="8" s="1"/>
  <c r="D349" i="9"/>
  <c r="D349" i="8" s="1"/>
  <c r="C349" i="9"/>
  <c r="C349" i="8" s="1"/>
  <c r="W349" i="8" s="1"/>
  <c r="B349" i="9"/>
  <c r="B349" i="8" s="1"/>
  <c r="A349" i="9"/>
  <c r="J348" i="9"/>
  <c r="J348" i="8" s="1"/>
  <c r="I348" i="9"/>
  <c r="I348" i="8" s="1"/>
  <c r="X348" i="8" s="1"/>
  <c r="E377" i="6" s="1"/>
  <c r="H348" i="9"/>
  <c r="H348" i="8" s="1"/>
  <c r="G348" i="9"/>
  <c r="G348" i="8" s="1"/>
  <c r="F348" i="9"/>
  <c r="F348" i="8" s="1"/>
  <c r="E348" i="9"/>
  <c r="E348" i="8" s="1"/>
  <c r="D348" i="9"/>
  <c r="D348" i="8" s="1"/>
  <c r="C348" i="9"/>
  <c r="C348" i="8" s="1"/>
  <c r="W348" i="8" s="1"/>
  <c r="B348" i="9"/>
  <c r="B348" i="8" s="1"/>
  <c r="A348" i="9"/>
  <c r="J347" i="9"/>
  <c r="J347" i="8" s="1"/>
  <c r="I347" i="9"/>
  <c r="I347" i="8" s="1"/>
  <c r="X347" i="8" s="1"/>
  <c r="E376" i="6" s="1"/>
  <c r="H347" i="9"/>
  <c r="H347" i="8" s="1"/>
  <c r="G347" i="9"/>
  <c r="G347" i="8" s="1"/>
  <c r="F347" i="9"/>
  <c r="F347" i="8" s="1"/>
  <c r="E347" i="9"/>
  <c r="E347" i="8" s="1"/>
  <c r="D347" i="9"/>
  <c r="D347" i="8" s="1"/>
  <c r="C347" i="9"/>
  <c r="C347" i="8" s="1"/>
  <c r="W347" i="8" s="1"/>
  <c r="B347" i="9"/>
  <c r="B347" i="8" s="1"/>
  <c r="A347" i="9"/>
  <c r="J346" i="9"/>
  <c r="J346" i="8" s="1"/>
  <c r="I346" i="9"/>
  <c r="I346" i="8" s="1"/>
  <c r="X346" i="8" s="1"/>
  <c r="E375" i="6" s="1"/>
  <c r="H346" i="9"/>
  <c r="H346" i="8" s="1"/>
  <c r="G346" i="9"/>
  <c r="G346" i="8" s="1"/>
  <c r="F346" i="9"/>
  <c r="F346" i="8" s="1"/>
  <c r="E346" i="9"/>
  <c r="E346" i="8" s="1"/>
  <c r="D346" i="9"/>
  <c r="D346" i="8" s="1"/>
  <c r="C346" i="9"/>
  <c r="C346" i="8" s="1"/>
  <c r="W346" i="8" s="1"/>
  <c r="B346" i="9"/>
  <c r="B346" i="8" s="1"/>
  <c r="A346" i="9"/>
  <c r="J345" i="9"/>
  <c r="J345" i="8" s="1"/>
  <c r="I345" i="9"/>
  <c r="I345" i="8" s="1"/>
  <c r="X345" i="8" s="1"/>
  <c r="E374" i="6" s="1"/>
  <c r="H345" i="9"/>
  <c r="H345" i="8" s="1"/>
  <c r="G345" i="9"/>
  <c r="G345" i="8" s="1"/>
  <c r="F345" i="9"/>
  <c r="F345" i="8" s="1"/>
  <c r="E345" i="9"/>
  <c r="E345" i="8" s="1"/>
  <c r="D345" i="9"/>
  <c r="D345" i="8" s="1"/>
  <c r="C345" i="9"/>
  <c r="C345" i="8" s="1"/>
  <c r="W345" i="8" s="1"/>
  <c r="B345" i="9"/>
  <c r="B345" i="8" s="1"/>
  <c r="A345" i="9"/>
  <c r="J344" i="9"/>
  <c r="J344" i="8" s="1"/>
  <c r="I344" i="9"/>
  <c r="I344" i="8" s="1"/>
  <c r="X344" i="8" s="1"/>
  <c r="E373" i="6" s="1"/>
  <c r="H344" i="9"/>
  <c r="H344" i="8" s="1"/>
  <c r="G344" i="9"/>
  <c r="G344" i="8" s="1"/>
  <c r="F344" i="9"/>
  <c r="F344" i="8" s="1"/>
  <c r="E344" i="9"/>
  <c r="E344" i="8" s="1"/>
  <c r="D344" i="9"/>
  <c r="D344" i="8" s="1"/>
  <c r="C344" i="9"/>
  <c r="C344" i="8" s="1"/>
  <c r="W344" i="8" s="1"/>
  <c r="B344" i="9"/>
  <c r="B344" i="8" s="1"/>
  <c r="A344" i="9"/>
  <c r="J343" i="9"/>
  <c r="J343" i="8" s="1"/>
  <c r="I343" i="9"/>
  <c r="I343" i="8" s="1"/>
  <c r="X343" i="8" s="1"/>
  <c r="E372" i="6" s="1"/>
  <c r="H343" i="9"/>
  <c r="H343" i="8" s="1"/>
  <c r="G343" i="9"/>
  <c r="G343" i="8" s="1"/>
  <c r="F343" i="9"/>
  <c r="F343" i="8" s="1"/>
  <c r="E343" i="9"/>
  <c r="E343" i="8" s="1"/>
  <c r="D343" i="9"/>
  <c r="D343" i="8" s="1"/>
  <c r="C343" i="9"/>
  <c r="C343" i="8" s="1"/>
  <c r="W343" i="8" s="1"/>
  <c r="B343" i="9"/>
  <c r="B343" i="8" s="1"/>
  <c r="A343" i="9"/>
  <c r="J342" i="9"/>
  <c r="J342" i="8" s="1"/>
  <c r="I342" i="9"/>
  <c r="I342" i="8" s="1"/>
  <c r="X342" i="8" s="1"/>
  <c r="E371" i="6" s="1"/>
  <c r="H342" i="9"/>
  <c r="H342" i="8" s="1"/>
  <c r="G342" i="9"/>
  <c r="G342" i="8" s="1"/>
  <c r="F342" i="9"/>
  <c r="F342" i="8" s="1"/>
  <c r="E342" i="9"/>
  <c r="E342" i="8" s="1"/>
  <c r="D342" i="9"/>
  <c r="D342" i="8" s="1"/>
  <c r="C342" i="9"/>
  <c r="C342" i="8" s="1"/>
  <c r="W342" i="8" s="1"/>
  <c r="B342" i="9"/>
  <c r="B342" i="8" s="1"/>
  <c r="A342" i="9"/>
  <c r="J341" i="9"/>
  <c r="J341" i="8" s="1"/>
  <c r="I341" i="9"/>
  <c r="I341" i="8" s="1"/>
  <c r="X341" i="8" s="1"/>
  <c r="E370" i="6" s="1"/>
  <c r="H341" i="9"/>
  <c r="H341" i="8" s="1"/>
  <c r="G341" i="9"/>
  <c r="G341" i="8" s="1"/>
  <c r="F341" i="9"/>
  <c r="F341" i="8" s="1"/>
  <c r="E341" i="9"/>
  <c r="E341" i="8" s="1"/>
  <c r="D341" i="9"/>
  <c r="D341" i="8" s="1"/>
  <c r="C341" i="9"/>
  <c r="C341" i="8" s="1"/>
  <c r="W341" i="8" s="1"/>
  <c r="B341" i="9"/>
  <c r="B341" i="8" s="1"/>
  <c r="A341" i="9"/>
  <c r="J340" i="9"/>
  <c r="J340" i="8" s="1"/>
  <c r="I340" i="9"/>
  <c r="I340" i="8" s="1"/>
  <c r="X340" i="8" s="1"/>
  <c r="E369" i="6" s="1"/>
  <c r="H340" i="9"/>
  <c r="H340" i="8" s="1"/>
  <c r="G340" i="9"/>
  <c r="G340" i="8" s="1"/>
  <c r="F340" i="9"/>
  <c r="F340" i="8" s="1"/>
  <c r="E340" i="9"/>
  <c r="E340" i="8" s="1"/>
  <c r="D340" i="9"/>
  <c r="D340" i="8" s="1"/>
  <c r="C340" i="9"/>
  <c r="C340" i="8" s="1"/>
  <c r="W340" i="8" s="1"/>
  <c r="B340" i="9"/>
  <c r="B340" i="8" s="1"/>
  <c r="A340" i="9"/>
  <c r="J339" i="9"/>
  <c r="J339" i="8" s="1"/>
  <c r="I339" i="9"/>
  <c r="I339" i="8" s="1"/>
  <c r="X339" i="8" s="1"/>
  <c r="E368" i="6" s="1"/>
  <c r="H339" i="9"/>
  <c r="H339" i="8" s="1"/>
  <c r="G339" i="9"/>
  <c r="G339" i="8" s="1"/>
  <c r="F339" i="9"/>
  <c r="F339" i="8" s="1"/>
  <c r="E339" i="9"/>
  <c r="E339" i="8" s="1"/>
  <c r="D339" i="9"/>
  <c r="D339" i="8" s="1"/>
  <c r="C339" i="9"/>
  <c r="C339" i="8" s="1"/>
  <c r="W339" i="8" s="1"/>
  <c r="B339" i="9"/>
  <c r="B339" i="8" s="1"/>
  <c r="A339" i="9"/>
  <c r="J338" i="9"/>
  <c r="J338" i="8" s="1"/>
  <c r="I338" i="9"/>
  <c r="I338" i="8" s="1"/>
  <c r="X338" i="8" s="1"/>
  <c r="E367" i="6" s="1"/>
  <c r="H338" i="9"/>
  <c r="H338" i="8" s="1"/>
  <c r="G338" i="9"/>
  <c r="G338" i="8" s="1"/>
  <c r="F338" i="9"/>
  <c r="F338" i="8" s="1"/>
  <c r="E338" i="9"/>
  <c r="E338" i="8" s="1"/>
  <c r="D338" i="9"/>
  <c r="D338" i="8" s="1"/>
  <c r="C338" i="9"/>
  <c r="C338" i="8" s="1"/>
  <c r="W338" i="8" s="1"/>
  <c r="B338" i="9"/>
  <c r="B338" i="8" s="1"/>
  <c r="A338" i="9"/>
  <c r="J337" i="9"/>
  <c r="J337" i="8" s="1"/>
  <c r="I337" i="9"/>
  <c r="I337" i="8" s="1"/>
  <c r="X337" i="8" s="1"/>
  <c r="E366" i="6" s="1"/>
  <c r="H337" i="9"/>
  <c r="H337" i="8" s="1"/>
  <c r="G337" i="9"/>
  <c r="G337" i="8" s="1"/>
  <c r="F337" i="9"/>
  <c r="F337" i="8" s="1"/>
  <c r="E337" i="9"/>
  <c r="E337" i="8" s="1"/>
  <c r="D337" i="9"/>
  <c r="D337" i="8" s="1"/>
  <c r="C337" i="9"/>
  <c r="C337" i="8" s="1"/>
  <c r="W337" i="8" s="1"/>
  <c r="B337" i="9"/>
  <c r="B337" i="8" s="1"/>
  <c r="A337" i="9"/>
  <c r="J336" i="9"/>
  <c r="J336" i="8" s="1"/>
  <c r="I336" i="9"/>
  <c r="I336" i="8" s="1"/>
  <c r="X336" i="8" s="1"/>
  <c r="E365" i="6" s="1"/>
  <c r="H336" i="9"/>
  <c r="H336" i="8" s="1"/>
  <c r="G336" i="9"/>
  <c r="G336" i="8" s="1"/>
  <c r="F336" i="9"/>
  <c r="F336" i="8" s="1"/>
  <c r="E336" i="9"/>
  <c r="E336" i="8" s="1"/>
  <c r="D336" i="9"/>
  <c r="D336" i="8" s="1"/>
  <c r="C336" i="9"/>
  <c r="C336" i="8" s="1"/>
  <c r="W336" i="8" s="1"/>
  <c r="B336" i="9"/>
  <c r="B336" i="8" s="1"/>
  <c r="A336" i="9"/>
  <c r="J335" i="9"/>
  <c r="J335" i="8" s="1"/>
  <c r="I335" i="9"/>
  <c r="I335" i="8" s="1"/>
  <c r="X335" i="8" s="1"/>
  <c r="E364" i="6" s="1"/>
  <c r="H335" i="9"/>
  <c r="H335" i="8" s="1"/>
  <c r="G335" i="9"/>
  <c r="G335" i="8" s="1"/>
  <c r="F335" i="9"/>
  <c r="F335" i="8" s="1"/>
  <c r="E335" i="9"/>
  <c r="E335" i="8" s="1"/>
  <c r="D335" i="9"/>
  <c r="D335" i="8" s="1"/>
  <c r="C335" i="9"/>
  <c r="C335" i="8" s="1"/>
  <c r="W335" i="8" s="1"/>
  <c r="B335" i="9"/>
  <c r="B335" i="8" s="1"/>
  <c r="A335" i="9"/>
  <c r="J334" i="9"/>
  <c r="J334" i="8" s="1"/>
  <c r="I334" i="9"/>
  <c r="I334" i="8" s="1"/>
  <c r="X334" i="8" s="1"/>
  <c r="E363" i="6" s="1"/>
  <c r="H334" i="9"/>
  <c r="H334" i="8" s="1"/>
  <c r="G334" i="9"/>
  <c r="G334" i="8" s="1"/>
  <c r="F334" i="9"/>
  <c r="F334" i="8" s="1"/>
  <c r="E334" i="9"/>
  <c r="E334" i="8" s="1"/>
  <c r="D334" i="9"/>
  <c r="D334" i="8" s="1"/>
  <c r="C334" i="9"/>
  <c r="C334" i="8" s="1"/>
  <c r="W334" i="8" s="1"/>
  <c r="B334" i="9"/>
  <c r="B334" i="8" s="1"/>
  <c r="A334" i="9"/>
  <c r="J333" i="9"/>
  <c r="J333" i="8" s="1"/>
  <c r="I333" i="9"/>
  <c r="I333" i="8" s="1"/>
  <c r="X333" i="8" s="1"/>
  <c r="E362" i="6" s="1"/>
  <c r="H333" i="9"/>
  <c r="H333" i="8" s="1"/>
  <c r="G333" i="9"/>
  <c r="G333" i="8" s="1"/>
  <c r="F333" i="9"/>
  <c r="F333" i="8" s="1"/>
  <c r="E333" i="9"/>
  <c r="E333" i="8" s="1"/>
  <c r="D333" i="9"/>
  <c r="D333" i="8" s="1"/>
  <c r="C333" i="9"/>
  <c r="C333" i="8" s="1"/>
  <c r="W333" i="8" s="1"/>
  <c r="B333" i="9"/>
  <c r="B333" i="8" s="1"/>
  <c r="A333" i="9"/>
  <c r="J332" i="9"/>
  <c r="J332" i="8" s="1"/>
  <c r="I332" i="9"/>
  <c r="I332" i="8" s="1"/>
  <c r="X332" i="8" s="1"/>
  <c r="E361" i="6" s="1"/>
  <c r="H332" i="9"/>
  <c r="H332" i="8" s="1"/>
  <c r="G332" i="9"/>
  <c r="G332" i="8" s="1"/>
  <c r="F332" i="9"/>
  <c r="F332" i="8" s="1"/>
  <c r="E332" i="9"/>
  <c r="E332" i="8" s="1"/>
  <c r="D332" i="9"/>
  <c r="D332" i="8" s="1"/>
  <c r="C332" i="9"/>
  <c r="C332" i="8" s="1"/>
  <c r="W332" i="8" s="1"/>
  <c r="B332" i="9"/>
  <c r="B332" i="8" s="1"/>
  <c r="A332" i="9"/>
  <c r="J331" i="9"/>
  <c r="J331" i="8" s="1"/>
  <c r="I331" i="9"/>
  <c r="I331" i="8" s="1"/>
  <c r="X331" i="8" s="1"/>
  <c r="E360" i="6" s="1"/>
  <c r="H331" i="9"/>
  <c r="H331" i="8" s="1"/>
  <c r="G331" i="9"/>
  <c r="G331" i="8" s="1"/>
  <c r="F331" i="9"/>
  <c r="F331" i="8" s="1"/>
  <c r="E331" i="9"/>
  <c r="E331" i="8" s="1"/>
  <c r="D331" i="9"/>
  <c r="D331" i="8" s="1"/>
  <c r="C331" i="9"/>
  <c r="C331" i="8" s="1"/>
  <c r="W331" i="8" s="1"/>
  <c r="B331" i="9"/>
  <c r="B331" i="8" s="1"/>
  <c r="A331" i="9"/>
  <c r="J330" i="9"/>
  <c r="J330" i="8" s="1"/>
  <c r="I330" i="9"/>
  <c r="I330" i="8" s="1"/>
  <c r="X330" i="8" s="1"/>
  <c r="E359" i="6" s="1"/>
  <c r="H330" i="9"/>
  <c r="H330" i="8" s="1"/>
  <c r="G330" i="9"/>
  <c r="G330" i="8" s="1"/>
  <c r="F330" i="9"/>
  <c r="F330" i="8" s="1"/>
  <c r="E330" i="9"/>
  <c r="E330" i="8" s="1"/>
  <c r="D330" i="9"/>
  <c r="D330" i="8" s="1"/>
  <c r="C330" i="9"/>
  <c r="C330" i="8" s="1"/>
  <c r="W330" i="8" s="1"/>
  <c r="B330" i="9"/>
  <c r="B330" i="8" s="1"/>
  <c r="A330" i="9"/>
  <c r="J329" i="9"/>
  <c r="J329" i="8" s="1"/>
  <c r="I329" i="9"/>
  <c r="I329" i="8" s="1"/>
  <c r="X329" i="8" s="1"/>
  <c r="E358" i="6" s="1"/>
  <c r="H329" i="9"/>
  <c r="H329" i="8" s="1"/>
  <c r="G329" i="9"/>
  <c r="G329" i="8" s="1"/>
  <c r="F329" i="9"/>
  <c r="F329" i="8" s="1"/>
  <c r="E329" i="9"/>
  <c r="E329" i="8" s="1"/>
  <c r="D329" i="9"/>
  <c r="D329" i="8" s="1"/>
  <c r="C329" i="9"/>
  <c r="C329" i="8" s="1"/>
  <c r="W329" i="8" s="1"/>
  <c r="B329" i="9"/>
  <c r="B329" i="8" s="1"/>
  <c r="A329" i="9"/>
  <c r="J328" i="9"/>
  <c r="J328" i="8" s="1"/>
  <c r="I328" i="9"/>
  <c r="I328" i="8" s="1"/>
  <c r="X328" i="8" s="1"/>
  <c r="E357" i="6" s="1"/>
  <c r="H328" i="9"/>
  <c r="H328" i="8" s="1"/>
  <c r="G328" i="9"/>
  <c r="G328" i="8" s="1"/>
  <c r="F328" i="9"/>
  <c r="F328" i="8" s="1"/>
  <c r="E328" i="9"/>
  <c r="E328" i="8" s="1"/>
  <c r="D328" i="9"/>
  <c r="D328" i="8" s="1"/>
  <c r="C328" i="9"/>
  <c r="C328" i="8" s="1"/>
  <c r="W328" i="8" s="1"/>
  <c r="B328" i="9"/>
  <c r="B328" i="8" s="1"/>
  <c r="A328" i="9"/>
  <c r="J327" i="9"/>
  <c r="J327" i="8" s="1"/>
  <c r="I327" i="9"/>
  <c r="I327" i="8" s="1"/>
  <c r="X327" i="8" s="1"/>
  <c r="E356" i="6" s="1"/>
  <c r="H327" i="9"/>
  <c r="H327" i="8" s="1"/>
  <c r="G327" i="9"/>
  <c r="G327" i="8" s="1"/>
  <c r="F327" i="9"/>
  <c r="F327" i="8" s="1"/>
  <c r="E327" i="9"/>
  <c r="E327" i="8" s="1"/>
  <c r="D327" i="9"/>
  <c r="D327" i="8" s="1"/>
  <c r="C327" i="9"/>
  <c r="C327" i="8" s="1"/>
  <c r="W327" i="8" s="1"/>
  <c r="B327" i="9"/>
  <c r="B327" i="8" s="1"/>
  <c r="A327" i="9"/>
  <c r="J326" i="9"/>
  <c r="J326" i="8" s="1"/>
  <c r="I326" i="9"/>
  <c r="I326" i="8" s="1"/>
  <c r="X326" i="8" s="1"/>
  <c r="E355" i="6" s="1"/>
  <c r="H326" i="9"/>
  <c r="H326" i="8" s="1"/>
  <c r="G326" i="9"/>
  <c r="G326" i="8" s="1"/>
  <c r="F326" i="9"/>
  <c r="F326" i="8" s="1"/>
  <c r="E326" i="9"/>
  <c r="E326" i="8" s="1"/>
  <c r="D326" i="9"/>
  <c r="D326" i="8" s="1"/>
  <c r="C326" i="9"/>
  <c r="C326" i="8" s="1"/>
  <c r="W326" i="8" s="1"/>
  <c r="B326" i="9"/>
  <c r="B326" i="8" s="1"/>
  <c r="A326" i="9"/>
  <c r="J325" i="9"/>
  <c r="J325" i="8" s="1"/>
  <c r="I325" i="9"/>
  <c r="I325" i="8" s="1"/>
  <c r="X325" i="8" s="1"/>
  <c r="E354" i="6" s="1"/>
  <c r="H325" i="9"/>
  <c r="H325" i="8" s="1"/>
  <c r="G325" i="9"/>
  <c r="G325" i="8" s="1"/>
  <c r="F325" i="9"/>
  <c r="F325" i="8" s="1"/>
  <c r="E325" i="9"/>
  <c r="E325" i="8" s="1"/>
  <c r="D325" i="9"/>
  <c r="D325" i="8" s="1"/>
  <c r="C325" i="9"/>
  <c r="C325" i="8" s="1"/>
  <c r="W325" i="8" s="1"/>
  <c r="B325" i="9"/>
  <c r="B325" i="8" s="1"/>
  <c r="A325" i="9"/>
  <c r="J324" i="9"/>
  <c r="J324" i="8" s="1"/>
  <c r="I324" i="9"/>
  <c r="I324" i="8" s="1"/>
  <c r="X324" i="8" s="1"/>
  <c r="E353" i="6" s="1"/>
  <c r="H324" i="9"/>
  <c r="H324" i="8" s="1"/>
  <c r="G324" i="9"/>
  <c r="G324" i="8" s="1"/>
  <c r="F324" i="9"/>
  <c r="F324" i="8" s="1"/>
  <c r="E324" i="9"/>
  <c r="E324" i="8" s="1"/>
  <c r="D324" i="9"/>
  <c r="D324" i="8" s="1"/>
  <c r="C324" i="9"/>
  <c r="C324" i="8" s="1"/>
  <c r="W324" i="8" s="1"/>
  <c r="B324" i="9"/>
  <c r="B324" i="8" s="1"/>
  <c r="A324" i="9"/>
  <c r="J323" i="9"/>
  <c r="J323" i="8" s="1"/>
  <c r="I323" i="9"/>
  <c r="I323" i="8" s="1"/>
  <c r="X323" i="8" s="1"/>
  <c r="E352" i="6" s="1"/>
  <c r="H323" i="9"/>
  <c r="H323" i="8" s="1"/>
  <c r="G323" i="9"/>
  <c r="G323" i="8" s="1"/>
  <c r="F323" i="9"/>
  <c r="F323" i="8" s="1"/>
  <c r="E323" i="9"/>
  <c r="E323" i="8" s="1"/>
  <c r="D323" i="9"/>
  <c r="D323" i="8" s="1"/>
  <c r="C323" i="9"/>
  <c r="C323" i="8" s="1"/>
  <c r="W323" i="8" s="1"/>
  <c r="B323" i="9"/>
  <c r="B323" i="8" s="1"/>
  <c r="A323" i="9"/>
  <c r="J322" i="9"/>
  <c r="J322" i="8" s="1"/>
  <c r="I322" i="9"/>
  <c r="I322" i="8" s="1"/>
  <c r="X322" i="8" s="1"/>
  <c r="E351" i="6" s="1"/>
  <c r="H322" i="9"/>
  <c r="H322" i="8" s="1"/>
  <c r="G322" i="9"/>
  <c r="G322" i="8" s="1"/>
  <c r="F322" i="9"/>
  <c r="F322" i="8" s="1"/>
  <c r="E322" i="9"/>
  <c r="E322" i="8" s="1"/>
  <c r="D322" i="9"/>
  <c r="D322" i="8" s="1"/>
  <c r="C322" i="9"/>
  <c r="C322" i="8" s="1"/>
  <c r="W322" i="8" s="1"/>
  <c r="B322" i="9"/>
  <c r="B322" i="8" s="1"/>
  <c r="A322" i="9"/>
  <c r="J321" i="9"/>
  <c r="J321" i="8" s="1"/>
  <c r="I321" i="9"/>
  <c r="I321" i="8" s="1"/>
  <c r="X321" i="8" s="1"/>
  <c r="E350" i="6" s="1"/>
  <c r="H321" i="9"/>
  <c r="H321" i="8" s="1"/>
  <c r="G321" i="9"/>
  <c r="G321" i="8" s="1"/>
  <c r="F321" i="9"/>
  <c r="F321" i="8" s="1"/>
  <c r="E321" i="9"/>
  <c r="E321" i="8" s="1"/>
  <c r="D321" i="9"/>
  <c r="D321" i="8" s="1"/>
  <c r="C321" i="9"/>
  <c r="C321" i="8" s="1"/>
  <c r="W321" i="8" s="1"/>
  <c r="B321" i="9"/>
  <c r="B321" i="8" s="1"/>
  <c r="A321" i="9"/>
  <c r="J320" i="9"/>
  <c r="J320" i="8" s="1"/>
  <c r="I320" i="9"/>
  <c r="I320" i="8" s="1"/>
  <c r="X320" i="8" s="1"/>
  <c r="E349" i="6" s="1"/>
  <c r="H320" i="9"/>
  <c r="H320" i="8" s="1"/>
  <c r="G320" i="9"/>
  <c r="G320" i="8" s="1"/>
  <c r="F320" i="9"/>
  <c r="F320" i="8" s="1"/>
  <c r="E320" i="9"/>
  <c r="E320" i="8" s="1"/>
  <c r="D320" i="9"/>
  <c r="D320" i="8" s="1"/>
  <c r="C320" i="9"/>
  <c r="C320" i="8" s="1"/>
  <c r="W320" i="8" s="1"/>
  <c r="B320" i="9"/>
  <c r="B320" i="8" s="1"/>
  <c r="A320" i="9"/>
  <c r="J319" i="9"/>
  <c r="J319" i="8" s="1"/>
  <c r="I319" i="9"/>
  <c r="I319" i="8" s="1"/>
  <c r="X319" i="8" s="1"/>
  <c r="E348" i="6" s="1"/>
  <c r="H319" i="9"/>
  <c r="H319" i="8" s="1"/>
  <c r="G319" i="9"/>
  <c r="G319" i="8" s="1"/>
  <c r="F319" i="9"/>
  <c r="F319" i="8" s="1"/>
  <c r="E319" i="9"/>
  <c r="E319" i="8" s="1"/>
  <c r="D319" i="9"/>
  <c r="D319" i="8" s="1"/>
  <c r="C319" i="9"/>
  <c r="C319" i="8" s="1"/>
  <c r="W319" i="8" s="1"/>
  <c r="B319" i="9"/>
  <c r="B319" i="8" s="1"/>
  <c r="A319" i="9"/>
  <c r="J318" i="9"/>
  <c r="J318" i="8" s="1"/>
  <c r="I318" i="9"/>
  <c r="I318" i="8" s="1"/>
  <c r="X318" i="8" s="1"/>
  <c r="E347" i="6" s="1"/>
  <c r="H318" i="9"/>
  <c r="H318" i="8" s="1"/>
  <c r="G318" i="9"/>
  <c r="G318" i="8" s="1"/>
  <c r="F318" i="9"/>
  <c r="F318" i="8" s="1"/>
  <c r="E318" i="9"/>
  <c r="E318" i="8" s="1"/>
  <c r="D318" i="9"/>
  <c r="D318" i="8" s="1"/>
  <c r="C318" i="9"/>
  <c r="C318" i="8" s="1"/>
  <c r="W318" i="8" s="1"/>
  <c r="B318" i="9"/>
  <c r="B318" i="8" s="1"/>
  <c r="A318" i="9"/>
  <c r="J317" i="9"/>
  <c r="J317" i="8" s="1"/>
  <c r="I317" i="9"/>
  <c r="I317" i="8" s="1"/>
  <c r="X317" i="8" s="1"/>
  <c r="E346" i="6" s="1"/>
  <c r="H317" i="9"/>
  <c r="H317" i="8" s="1"/>
  <c r="G317" i="9"/>
  <c r="G317" i="8" s="1"/>
  <c r="F317" i="9"/>
  <c r="F317" i="8" s="1"/>
  <c r="E317" i="9"/>
  <c r="E317" i="8" s="1"/>
  <c r="D317" i="9"/>
  <c r="D317" i="8" s="1"/>
  <c r="C317" i="9"/>
  <c r="C317" i="8" s="1"/>
  <c r="W317" i="8" s="1"/>
  <c r="B317" i="9"/>
  <c r="B317" i="8" s="1"/>
  <c r="A317" i="9"/>
  <c r="J316" i="9"/>
  <c r="J316" i="8" s="1"/>
  <c r="I316" i="9"/>
  <c r="I316" i="8" s="1"/>
  <c r="X316" i="8" s="1"/>
  <c r="E345" i="6" s="1"/>
  <c r="H316" i="9"/>
  <c r="H316" i="8" s="1"/>
  <c r="G316" i="9"/>
  <c r="G316" i="8" s="1"/>
  <c r="F316" i="9"/>
  <c r="F316" i="8" s="1"/>
  <c r="E316" i="9"/>
  <c r="E316" i="8" s="1"/>
  <c r="D316" i="9"/>
  <c r="D316" i="8" s="1"/>
  <c r="C316" i="9"/>
  <c r="C316" i="8" s="1"/>
  <c r="W316" i="8" s="1"/>
  <c r="B316" i="9"/>
  <c r="B316" i="8" s="1"/>
  <c r="A316" i="9"/>
  <c r="J315" i="9"/>
  <c r="J315" i="8" s="1"/>
  <c r="I315" i="9"/>
  <c r="I315" i="8" s="1"/>
  <c r="X315" i="8" s="1"/>
  <c r="E344" i="6" s="1"/>
  <c r="H315" i="9"/>
  <c r="H315" i="8" s="1"/>
  <c r="G315" i="9"/>
  <c r="G315" i="8" s="1"/>
  <c r="F315" i="9"/>
  <c r="F315" i="8" s="1"/>
  <c r="E315" i="9"/>
  <c r="E315" i="8" s="1"/>
  <c r="D315" i="9"/>
  <c r="D315" i="8" s="1"/>
  <c r="C315" i="9"/>
  <c r="C315" i="8" s="1"/>
  <c r="W315" i="8" s="1"/>
  <c r="B315" i="9"/>
  <c r="B315" i="8" s="1"/>
  <c r="A315" i="9"/>
  <c r="J314" i="9"/>
  <c r="J314" i="8" s="1"/>
  <c r="I314" i="9"/>
  <c r="I314" i="8" s="1"/>
  <c r="X314" i="8" s="1"/>
  <c r="E343" i="6" s="1"/>
  <c r="H314" i="9"/>
  <c r="H314" i="8" s="1"/>
  <c r="G314" i="9"/>
  <c r="G314" i="8" s="1"/>
  <c r="F314" i="9"/>
  <c r="F314" i="8" s="1"/>
  <c r="E314" i="9"/>
  <c r="E314" i="8" s="1"/>
  <c r="D314" i="9"/>
  <c r="D314" i="8" s="1"/>
  <c r="C314" i="9"/>
  <c r="C314" i="8" s="1"/>
  <c r="W314" i="8" s="1"/>
  <c r="B314" i="9"/>
  <c r="B314" i="8" s="1"/>
  <c r="A314" i="9"/>
  <c r="J313" i="9"/>
  <c r="J313" i="8" s="1"/>
  <c r="I313" i="9"/>
  <c r="I313" i="8" s="1"/>
  <c r="X313" i="8" s="1"/>
  <c r="E342" i="6" s="1"/>
  <c r="H313" i="9"/>
  <c r="H313" i="8" s="1"/>
  <c r="G313" i="9"/>
  <c r="G313" i="8" s="1"/>
  <c r="F313" i="9"/>
  <c r="F313" i="8" s="1"/>
  <c r="E313" i="9"/>
  <c r="E313" i="8" s="1"/>
  <c r="D313" i="9"/>
  <c r="D313" i="8" s="1"/>
  <c r="C313" i="9"/>
  <c r="C313" i="8" s="1"/>
  <c r="W313" i="8" s="1"/>
  <c r="B313" i="9"/>
  <c r="B313" i="8" s="1"/>
  <c r="A313" i="9"/>
  <c r="J312" i="9"/>
  <c r="J312" i="8" s="1"/>
  <c r="I312" i="9"/>
  <c r="I312" i="8" s="1"/>
  <c r="X312" i="8" s="1"/>
  <c r="E341" i="6" s="1"/>
  <c r="H312" i="9"/>
  <c r="H312" i="8" s="1"/>
  <c r="G312" i="9"/>
  <c r="G312" i="8" s="1"/>
  <c r="F312" i="9"/>
  <c r="F312" i="8" s="1"/>
  <c r="E312" i="9"/>
  <c r="E312" i="8" s="1"/>
  <c r="D312" i="9"/>
  <c r="D312" i="8" s="1"/>
  <c r="C312" i="9"/>
  <c r="C312" i="8" s="1"/>
  <c r="W312" i="8" s="1"/>
  <c r="B312" i="9"/>
  <c r="B312" i="8" s="1"/>
  <c r="A312" i="9"/>
  <c r="J311" i="9"/>
  <c r="J311" i="8" s="1"/>
  <c r="I311" i="9"/>
  <c r="I311" i="8" s="1"/>
  <c r="X311" i="8" s="1"/>
  <c r="E340" i="6" s="1"/>
  <c r="H311" i="9"/>
  <c r="H311" i="8" s="1"/>
  <c r="G311" i="9"/>
  <c r="G311" i="8" s="1"/>
  <c r="F311" i="9"/>
  <c r="F311" i="8" s="1"/>
  <c r="E311" i="9"/>
  <c r="E311" i="8" s="1"/>
  <c r="D311" i="9"/>
  <c r="D311" i="8" s="1"/>
  <c r="C311" i="9"/>
  <c r="C311" i="8" s="1"/>
  <c r="W311" i="8" s="1"/>
  <c r="B311" i="9"/>
  <c r="B311" i="8" s="1"/>
  <c r="A311" i="9"/>
  <c r="J310" i="9"/>
  <c r="J310" i="8" s="1"/>
  <c r="I310" i="9"/>
  <c r="I310" i="8" s="1"/>
  <c r="X310" i="8" s="1"/>
  <c r="E339" i="6" s="1"/>
  <c r="H310" i="9"/>
  <c r="H310" i="8" s="1"/>
  <c r="G310" i="9"/>
  <c r="G310" i="8" s="1"/>
  <c r="F310" i="9"/>
  <c r="F310" i="8" s="1"/>
  <c r="E310" i="9"/>
  <c r="E310" i="8" s="1"/>
  <c r="D310" i="9"/>
  <c r="D310" i="8" s="1"/>
  <c r="C310" i="9"/>
  <c r="C310" i="8" s="1"/>
  <c r="W310" i="8" s="1"/>
  <c r="B310" i="9"/>
  <c r="B310" i="8" s="1"/>
  <c r="A310" i="9"/>
  <c r="J309" i="9"/>
  <c r="J309" i="8" s="1"/>
  <c r="I309" i="9"/>
  <c r="I309" i="8" s="1"/>
  <c r="X309" i="8" s="1"/>
  <c r="E338" i="6" s="1"/>
  <c r="H309" i="9"/>
  <c r="H309" i="8" s="1"/>
  <c r="G309" i="9"/>
  <c r="G309" i="8" s="1"/>
  <c r="F309" i="9"/>
  <c r="F309" i="8" s="1"/>
  <c r="E309" i="9"/>
  <c r="E309" i="8" s="1"/>
  <c r="D309" i="9"/>
  <c r="D309" i="8" s="1"/>
  <c r="C309" i="9"/>
  <c r="C309" i="8" s="1"/>
  <c r="W309" i="8" s="1"/>
  <c r="B309" i="9"/>
  <c r="B309" i="8" s="1"/>
  <c r="A309" i="9"/>
  <c r="J308" i="9"/>
  <c r="J308" i="8" s="1"/>
  <c r="I308" i="9"/>
  <c r="I308" i="8" s="1"/>
  <c r="X308" i="8" s="1"/>
  <c r="E337" i="6" s="1"/>
  <c r="H308" i="9"/>
  <c r="H308" i="8" s="1"/>
  <c r="G308" i="9"/>
  <c r="G308" i="8" s="1"/>
  <c r="F308" i="9"/>
  <c r="F308" i="8" s="1"/>
  <c r="E308" i="9"/>
  <c r="E308" i="8" s="1"/>
  <c r="D308" i="9"/>
  <c r="D308" i="8" s="1"/>
  <c r="C308" i="9"/>
  <c r="C308" i="8" s="1"/>
  <c r="W308" i="8" s="1"/>
  <c r="B308" i="9"/>
  <c r="B308" i="8" s="1"/>
  <c r="A308" i="9"/>
  <c r="J307" i="9"/>
  <c r="J307" i="8" s="1"/>
  <c r="I307" i="9"/>
  <c r="I307" i="8" s="1"/>
  <c r="X307" i="8" s="1"/>
  <c r="E336" i="6" s="1"/>
  <c r="H307" i="9"/>
  <c r="H307" i="8" s="1"/>
  <c r="G307" i="9"/>
  <c r="G307" i="8" s="1"/>
  <c r="F307" i="9"/>
  <c r="F307" i="8" s="1"/>
  <c r="E307" i="9"/>
  <c r="E307" i="8" s="1"/>
  <c r="D307" i="9"/>
  <c r="D307" i="8" s="1"/>
  <c r="C307" i="9"/>
  <c r="C307" i="8" s="1"/>
  <c r="W307" i="8" s="1"/>
  <c r="B307" i="9"/>
  <c r="B307" i="8" s="1"/>
  <c r="A307" i="9"/>
  <c r="J306" i="9"/>
  <c r="J306" i="8" s="1"/>
  <c r="I306" i="9"/>
  <c r="I306" i="8" s="1"/>
  <c r="X306" i="8" s="1"/>
  <c r="E335" i="6" s="1"/>
  <c r="H306" i="9"/>
  <c r="H306" i="8" s="1"/>
  <c r="G306" i="9"/>
  <c r="G306" i="8" s="1"/>
  <c r="F306" i="9"/>
  <c r="F306" i="8" s="1"/>
  <c r="E306" i="9"/>
  <c r="E306" i="8" s="1"/>
  <c r="D306" i="9"/>
  <c r="D306" i="8" s="1"/>
  <c r="C306" i="9"/>
  <c r="C306" i="8" s="1"/>
  <c r="W306" i="8" s="1"/>
  <c r="B306" i="9"/>
  <c r="B306" i="8" s="1"/>
  <c r="A306" i="9"/>
  <c r="J305" i="9"/>
  <c r="J305" i="8" s="1"/>
  <c r="I305" i="9"/>
  <c r="I305" i="8" s="1"/>
  <c r="X305" i="8" s="1"/>
  <c r="E334" i="6" s="1"/>
  <c r="H305" i="9"/>
  <c r="H305" i="8" s="1"/>
  <c r="G305" i="9"/>
  <c r="G305" i="8" s="1"/>
  <c r="F305" i="9"/>
  <c r="F305" i="8" s="1"/>
  <c r="E305" i="9"/>
  <c r="E305" i="8" s="1"/>
  <c r="D305" i="9"/>
  <c r="D305" i="8" s="1"/>
  <c r="C305" i="9"/>
  <c r="C305" i="8" s="1"/>
  <c r="W305" i="8" s="1"/>
  <c r="B305" i="9"/>
  <c r="B305" i="8" s="1"/>
  <c r="A305" i="9"/>
  <c r="J304" i="9"/>
  <c r="J304" i="8" s="1"/>
  <c r="I304" i="9"/>
  <c r="I304" i="8" s="1"/>
  <c r="X304" i="8" s="1"/>
  <c r="E333" i="6" s="1"/>
  <c r="H304" i="9"/>
  <c r="H304" i="8" s="1"/>
  <c r="G304" i="9"/>
  <c r="G304" i="8" s="1"/>
  <c r="F304" i="9"/>
  <c r="F304" i="8" s="1"/>
  <c r="E304" i="9"/>
  <c r="E304" i="8" s="1"/>
  <c r="D304" i="9"/>
  <c r="D304" i="8" s="1"/>
  <c r="C304" i="9"/>
  <c r="C304" i="8" s="1"/>
  <c r="W304" i="8" s="1"/>
  <c r="B304" i="9"/>
  <c r="B304" i="8" s="1"/>
  <c r="A304" i="9"/>
  <c r="J303" i="9"/>
  <c r="J303" i="8" s="1"/>
  <c r="I303" i="9"/>
  <c r="I303" i="8" s="1"/>
  <c r="X303" i="8" s="1"/>
  <c r="E332" i="6" s="1"/>
  <c r="H303" i="9"/>
  <c r="H303" i="8" s="1"/>
  <c r="G303" i="9"/>
  <c r="G303" i="8" s="1"/>
  <c r="F303" i="9"/>
  <c r="F303" i="8" s="1"/>
  <c r="E303" i="9"/>
  <c r="E303" i="8" s="1"/>
  <c r="D303" i="9"/>
  <c r="D303" i="8" s="1"/>
  <c r="C303" i="9"/>
  <c r="C303" i="8" s="1"/>
  <c r="W303" i="8" s="1"/>
  <c r="B303" i="9"/>
  <c r="B303" i="8" s="1"/>
  <c r="A303" i="9"/>
  <c r="J302" i="9"/>
  <c r="J302" i="8" s="1"/>
  <c r="I302" i="9"/>
  <c r="I302" i="8" s="1"/>
  <c r="X302" i="8" s="1"/>
  <c r="E331" i="6" s="1"/>
  <c r="H302" i="9"/>
  <c r="H302" i="8" s="1"/>
  <c r="G302" i="9"/>
  <c r="G302" i="8" s="1"/>
  <c r="F302" i="9"/>
  <c r="F302" i="8" s="1"/>
  <c r="E302" i="9"/>
  <c r="E302" i="8" s="1"/>
  <c r="D302" i="9"/>
  <c r="D302" i="8" s="1"/>
  <c r="C302" i="9"/>
  <c r="C302" i="8" s="1"/>
  <c r="W302" i="8" s="1"/>
  <c r="B302" i="9"/>
  <c r="B302" i="8" s="1"/>
  <c r="A302" i="9"/>
  <c r="J301" i="9"/>
  <c r="J301" i="8" s="1"/>
  <c r="I301" i="9"/>
  <c r="I301" i="8" s="1"/>
  <c r="X301" i="8" s="1"/>
  <c r="E330" i="6" s="1"/>
  <c r="H301" i="9"/>
  <c r="H301" i="8" s="1"/>
  <c r="G301" i="9"/>
  <c r="G301" i="8" s="1"/>
  <c r="F301" i="9"/>
  <c r="F301" i="8" s="1"/>
  <c r="E301" i="9"/>
  <c r="E301" i="8" s="1"/>
  <c r="D301" i="9"/>
  <c r="D301" i="8" s="1"/>
  <c r="C301" i="9"/>
  <c r="C301" i="8" s="1"/>
  <c r="W301" i="8" s="1"/>
  <c r="B301" i="9"/>
  <c r="B301" i="8" s="1"/>
  <c r="A301" i="9"/>
  <c r="J300" i="9"/>
  <c r="J300" i="8" s="1"/>
  <c r="I300" i="9"/>
  <c r="I300" i="8" s="1"/>
  <c r="X300" i="8" s="1"/>
  <c r="E329" i="6" s="1"/>
  <c r="H300" i="9"/>
  <c r="H300" i="8" s="1"/>
  <c r="G300" i="9"/>
  <c r="G300" i="8" s="1"/>
  <c r="F300" i="9"/>
  <c r="F300" i="8" s="1"/>
  <c r="E300" i="9"/>
  <c r="E300" i="8" s="1"/>
  <c r="D300" i="9"/>
  <c r="D300" i="8" s="1"/>
  <c r="C300" i="9"/>
  <c r="C300" i="8" s="1"/>
  <c r="W300" i="8" s="1"/>
  <c r="B300" i="9"/>
  <c r="B300" i="8" s="1"/>
  <c r="A300" i="9"/>
  <c r="J299" i="9"/>
  <c r="J299" i="8" s="1"/>
  <c r="I299" i="9"/>
  <c r="I299" i="8" s="1"/>
  <c r="X299" i="8" s="1"/>
  <c r="E328" i="6" s="1"/>
  <c r="H299" i="9"/>
  <c r="H299" i="8" s="1"/>
  <c r="G299" i="9"/>
  <c r="G299" i="8" s="1"/>
  <c r="F299" i="9"/>
  <c r="F299" i="8" s="1"/>
  <c r="E299" i="9"/>
  <c r="E299" i="8" s="1"/>
  <c r="D299" i="9"/>
  <c r="D299" i="8" s="1"/>
  <c r="C299" i="9"/>
  <c r="C299" i="8" s="1"/>
  <c r="W299" i="8" s="1"/>
  <c r="B299" i="9"/>
  <c r="B299" i="8" s="1"/>
  <c r="A299" i="9"/>
  <c r="J298" i="9"/>
  <c r="J298" i="8" s="1"/>
  <c r="I298" i="9"/>
  <c r="I298" i="8" s="1"/>
  <c r="X298" i="8" s="1"/>
  <c r="E327" i="6" s="1"/>
  <c r="H298" i="9"/>
  <c r="H298" i="8" s="1"/>
  <c r="G298" i="9"/>
  <c r="G298" i="8" s="1"/>
  <c r="F298" i="9"/>
  <c r="F298" i="8" s="1"/>
  <c r="E298" i="9"/>
  <c r="E298" i="8" s="1"/>
  <c r="D298" i="9"/>
  <c r="D298" i="8" s="1"/>
  <c r="C298" i="9"/>
  <c r="C298" i="8" s="1"/>
  <c r="W298" i="8" s="1"/>
  <c r="B298" i="9"/>
  <c r="B298" i="8" s="1"/>
  <c r="A298" i="9"/>
  <c r="K297" i="9"/>
  <c r="K297" i="8" s="1"/>
  <c r="J297" i="9"/>
  <c r="J297" i="8" s="1"/>
  <c r="I297" i="9"/>
  <c r="I297" i="8" s="1"/>
  <c r="X297" i="8" s="1"/>
  <c r="E326" i="6" s="1"/>
  <c r="H297" i="9"/>
  <c r="H297" i="8" s="1"/>
  <c r="G297" i="9"/>
  <c r="G297" i="8" s="1"/>
  <c r="F297" i="9"/>
  <c r="F297" i="8" s="1"/>
  <c r="E297" i="9"/>
  <c r="E297" i="8" s="1"/>
  <c r="D297" i="9"/>
  <c r="D297" i="8" s="1"/>
  <c r="C297" i="9"/>
  <c r="C297" i="8" s="1"/>
  <c r="W297" i="8" s="1"/>
  <c r="B297" i="9"/>
  <c r="B297" i="8" s="1"/>
  <c r="A297" i="9"/>
  <c r="J296" i="9"/>
  <c r="J296" i="8" s="1"/>
  <c r="I296" i="9"/>
  <c r="I296" i="8" s="1"/>
  <c r="X296" i="8" s="1"/>
  <c r="E325" i="6" s="1"/>
  <c r="H296" i="9"/>
  <c r="H296" i="8" s="1"/>
  <c r="G296" i="9"/>
  <c r="G296" i="8" s="1"/>
  <c r="F296" i="9"/>
  <c r="F296" i="8" s="1"/>
  <c r="E296" i="9"/>
  <c r="E296" i="8" s="1"/>
  <c r="D296" i="9"/>
  <c r="D296" i="8" s="1"/>
  <c r="C296" i="9"/>
  <c r="C296" i="8" s="1"/>
  <c r="W296" i="8" s="1"/>
  <c r="B296" i="9"/>
  <c r="B296" i="8" s="1"/>
  <c r="A296" i="9"/>
  <c r="J295" i="9"/>
  <c r="J295" i="8" s="1"/>
  <c r="I295" i="9"/>
  <c r="I295" i="8" s="1"/>
  <c r="X295" i="8" s="1"/>
  <c r="E324" i="6" s="1"/>
  <c r="H295" i="9"/>
  <c r="H295" i="8" s="1"/>
  <c r="G295" i="9"/>
  <c r="G295" i="8" s="1"/>
  <c r="F295" i="9"/>
  <c r="F295" i="8" s="1"/>
  <c r="E295" i="9"/>
  <c r="E295" i="8" s="1"/>
  <c r="D295" i="9"/>
  <c r="D295" i="8" s="1"/>
  <c r="C295" i="9"/>
  <c r="C295" i="8" s="1"/>
  <c r="W295" i="8" s="1"/>
  <c r="B295" i="9"/>
  <c r="B295" i="8" s="1"/>
  <c r="A295" i="9"/>
  <c r="J294" i="9"/>
  <c r="J294" i="8" s="1"/>
  <c r="I294" i="9"/>
  <c r="I294" i="8" s="1"/>
  <c r="X294" i="8" s="1"/>
  <c r="E323" i="6" s="1"/>
  <c r="H294" i="9"/>
  <c r="H294" i="8" s="1"/>
  <c r="G294" i="9"/>
  <c r="G294" i="8" s="1"/>
  <c r="F294" i="9"/>
  <c r="F294" i="8" s="1"/>
  <c r="E294" i="9"/>
  <c r="E294" i="8" s="1"/>
  <c r="D294" i="9"/>
  <c r="D294" i="8" s="1"/>
  <c r="C294" i="9"/>
  <c r="C294" i="8" s="1"/>
  <c r="W294" i="8" s="1"/>
  <c r="B294" i="9"/>
  <c r="B294" i="8" s="1"/>
  <c r="A294" i="9"/>
  <c r="J293" i="9"/>
  <c r="J293" i="8" s="1"/>
  <c r="I293" i="9"/>
  <c r="I293" i="8" s="1"/>
  <c r="X293" i="8" s="1"/>
  <c r="E322" i="6" s="1"/>
  <c r="H293" i="9"/>
  <c r="H293" i="8" s="1"/>
  <c r="G293" i="9"/>
  <c r="G293" i="8" s="1"/>
  <c r="F293" i="9"/>
  <c r="F293" i="8" s="1"/>
  <c r="E293" i="9"/>
  <c r="E293" i="8" s="1"/>
  <c r="D293" i="9"/>
  <c r="D293" i="8" s="1"/>
  <c r="C293" i="9"/>
  <c r="C293" i="8" s="1"/>
  <c r="W293" i="8" s="1"/>
  <c r="B293" i="9"/>
  <c r="B293" i="8" s="1"/>
  <c r="A293" i="9"/>
  <c r="J292" i="9"/>
  <c r="J292" i="8" s="1"/>
  <c r="I292" i="9"/>
  <c r="I292" i="8" s="1"/>
  <c r="X292" i="8" s="1"/>
  <c r="E321" i="6" s="1"/>
  <c r="H292" i="9"/>
  <c r="H292" i="8" s="1"/>
  <c r="G292" i="9"/>
  <c r="G292" i="8" s="1"/>
  <c r="F292" i="9"/>
  <c r="F292" i="8" s="1"/>
  <c r="E292" i="9"/>
  <c r="E292" i="8" s="1"/>
  <c r="D292" i="9"/>
  <c r="D292" i="8" s="1"/>
  <c r="C292" i="9"/>
  <c r="C292" i="8" s="1"/>
  <c r="W292" i="8" s="1"/>
  <c r="B292" i="9"/>
  <c r="B292" i="8" s="1"/>
  <c r="A292" i="9"/>
  <c r="J291" i="9"/>
  <c r="J291" i="8" s="1"/>
  <c r="I291" i="9"/>
  <c r="I291" i="8" s="1"/>
  <c r="X291" i="8" s="1"/>
  <c r="E320" i="6" s="1"/>
  <c r="H291" i="9"/>
  <c r="H291" i="8" s="1"/>
  <c r="G291" i="9"/>
  <c r="G291" i="8" s="1"/>
  <c r="F291" i="9"/>
  <c r="F291" i="8" s="1"/>
  <c r="E291" i="9"/>
  <c r="E291" i="8" s="1"/>
  <c r="D291" i="9"/>
  <c r="D291" i="8" s="1"/>
  <c r="C291" i="9"/>
  <c r="C291" i="8" s="1"/>
  <c r="W291" i="8" s="1"/>
  <c r="B291" i="9"/>
  <c r="B291" i="8" s="1"/>
  <c r="A291" i="9"/>
  <c r="J290" i="9"/>
  <c r="J290" i="8" s="1"/>
  <c r="I290" i="9"/>
  <c r="I290" i="8" s="1"/>
  <c r="X290" i="8" s="1"/>
  <c r="E319" i="6" s="1"/>
  <c r="H290" i="9"/>
  <c r="H290" i="8" s="1"/>
  <c r="G290" i="9"/>
  <c r="G290" i="8" s="1"/>
  <c r="F290" i="9"/>
  <c r="F290" i="8" s="1"/>
  <c r="E290" i="9"/>
  <c r="E290" i="8" s="1"/>
  <c r="D290" i="9"/>
  <c r="D290" i="8" s="1"/>
  <c r="C290" i="9"/>
  <c r="C290" i="8" s="1"/>
  <c r="W290" i="8" s="1"/>
  <c r="B290" i="9"/>
  <c r="B290" i="8" s="1"/>
  <c r="A290" i="9"/>
  <c r="J289" i="9"/>
  <c r="J289" i="8" s="1"/>
  <c r="I289" i="9"/>
  <c r="I289" i="8" s="1"/>
  <c r="X289" i="8" s="1"/>
  <c r="E318" i="6" s="1"/>
  <c r="H289" i="9"/>
  <c r="H289" i="8" s="1"/>
  <c r="G289" i="9"/>
  <c r="G289" i="8" s="1"/>
  <c r="F289" i="9"/>
  <c r="F289" i="8" s="1"/>
  <c r="E289" i="9"/>
  <c r="E289" i="8" s="1"/>
  <c r="D289" i="9"/>
  <c r="D289" i="8" s="1"/>
  <c r="C289" i="9"/>
  <c r="C289" i="8" s="1"/>
  <c r="W289" i="8" s="1"/>
  <c r="B289" i="9"/>
  <c r="B289" i="8" s="1"/>
  <c r="A289" i="9"/>
  <c r="J288" i="9"/>
  <c r="J288" i="8" s="1"/>
  <c r="I288" i="9"/>
  <c r="I288" i="8" s="1"/>
  <c r="X288" i="8" s="1"/>
  <c r="E317" i="6" s="1"/>
  <c r="H288" i="9"/>
  <c r="H288" i="8" s="1"/>
  <c r="G288" i="9"/>
  <c r="G288" i="8" s="1"/>
  <c r="F288" i="9"/>
  <c r="F288" i="8" s="1"/>
  <c r="E288" i="9"/>
  <c r="E288" i="8" s="1"/>
  <c r="D288" i="9"/>
  <c r="D288" i="8" s="1"/>
  <c r="C288" i="9"/>
  <c r="C288" i="8" s="1"/>
  <c r="W288" i="8" s="1"/>
  <c r="B288" i="9"/>
  <c r="B288" i="8" s="1"/>
  <c r="A288" i="9"/>
  <c r="J287" i="9"/>
  <c r="J287" i="8" s="1"/>
  <c r="I287" i="9"/>
  <c r="I287" i="8" s="1"/>
  <c r="X287" i="8" s="1"/>
  <c r="E316" i="6" s="1"/>
  <c r="H287" i="9"/>
  <c r="H287" i="8" s="1"/>
  <c r="G287" i="9"/>
  <c r="G287" i="8" s="1"/>
  <c r="F287" i="9"/>
  <c r="F287" i="8" s="1"/>
  <c r="E287" i="9"/>
  <c r="E287" i="8" s="1"/>
  <c r="D287" i="9"/>
  <c r="D287" i="8" s="1"/>
  <c r="C287" i="9"/>
  <c r="C287" i="8" s="1"/>
  <c r="W287" i="8" s="1"/>
  <c r="B287" i="9"/>
  <c r="B287" i="8" s="1"/>
  <c r="A287" i="9"/>
  <c r="J286" i="9"/>
  <c r="J286" i="8" s="1"/>
  <c r="I286" i="9"/>
  <c r="I286" i="8" s="1"/>
  <c r="X286" i="8" s="1"/>
  <c r="E315" i="6" s="1"/>
  <c r="H286" i="9"/>
  <c r="H286" i="8" s="1"/>
  <c r="G286" i="9"/>
  <c r="G286" i="8" s="1"/>
  <c r="F286" i="9"/>
  <c r="F286" i="8" s="1"/>
  <c r="E286" i="9"/>
  <c r="E286" i="8" s="1"/>
  <c r="D286" i="9"/>
  <c r="D286" i="8" s="1"/>
  <c r="C286" i="9"/>
  <c r="C286" i="8" s="1"/>
  <c r="W286" i="8" s="1"/>
  <c r="B286" i="9"/>
  <c r="B286" i="8" s="1"/>
  <c r="A286" i="9"/>
  <c r="J285" i="9"/>
  <c r="J285" i="8" s="1"/>
  <c r="I285" i="9"/>
  <c r="I285" i="8" s="1"/>
  <c r="X285" i="8" s="1"/>
  <c r="E314" i="6" s="1"/>
  <c r="H285" i="9"/>
  <c r="H285" i="8" s="1"/>
  <c r="G285" i="9"/>
  <c r="G285" i="8" s="1"/>
  <c r="F285" i="9"/>
  <c r="F285" i="8" s="1"/>
  <c r="E285" i="9"/>
  <c r="E285" i="8" s="1"/>
  <c r="D285" i="9"/>
  <c r="D285" i="8" s="1"/>
  <c r="C285" i="9"/>
  <c r="C285" i="8" s="1"/>
  <c r="W285" i="8" s="1"/>
  <c r="B285" i="9"/>
  <c r="B285" i="8" s="1"/>
  <c r="A285" i="9"/>
  <c r="J284" i="9"/>
  <c r="J284" i="8" s="1"/>
  <c r="I284" i="9"/>
  <c r="I284" i="8" s="1"/>
  <c r="X284" i="8" s="1"/>
  <c r="E313" i="6" s="1"/>
  <c r="H284" i="9"/>
  <c r="H284" i="8" s="1"/>
  <c r="G284" i="9"/>
  <c r="G284" i="8" s="1"/>
  <c r="F284" i="9"/>
  <c r="F284" i="8" s="1"/>
  <c r="E284" i="9"/>
  <c r="E284" i="8" s="1"/>
  <c r="D284" i="9"/>
  <c r="D284" i="8" s="1"/>
  <c r="C284" i="9"/>
  <c r="C284" i="8" s="1"/>
  <c r="W284" i="8" s="1"/>
  <c r="B284" i="9"/>
  <c r="B284" i="8" s="1"/>
  <c r="A284" i="9"/>
  <c r="J283" i="9"/>
  <c r="J283" i="8" s="1"/>
  <c r="I283" i="9"/>
  <c r="I283" i="8" s="1"/>
  <c r="X283" i="8" s="1"/>
  <c r="E312" i="6" s="1"/>
  <c r="H283" i="9"/>
  <c r="H283" i="8" s="1"/>
  <c r="G283" i="9"/>
  <c r="G283" i="8" s="1"/>
  <c r="F283" i="9"/>
  <c r="F283" i="8" s="1"/>
  <c r="E283" i="9"/>
  <c r="E283" i="8" s="1"/>
  <c r="D283" i="9"/>
  <c r="D283" i="8" s="1"/>
  <c r="C283" i="9"/>
  <c r="C283" i="8" s="1"/>
  <c r="W283" i="8" s="1"/>
  <c r="B283" i="9"/>
  <c r="B283" i="8" s="1"/>
  <c r="A283" i="9"/>
  <c r="J282" i="9"/>
  <c r="J282" i="8" s="1"/>
  <c r="I282" i="9"/>
  <c r="I282" i="8" s="1"/>
  <c r="X282" i="8" s="1"/>
  <c r="E311" i="6" s="1"/>
  <c r="H282" i="9"/>
  <c r="H282" i="8" s="1"/>
  <c r="G282" i="9"/>
  <c r="G282" i="8" s="1"/>
  <c r="F282" i="9"/>
  <c r="F282" i="8" s="1"/>
  <c r="E282" i="9"/>
  <c r="E282" i="8" s="1"/>
  <c r="D282" i="9"/>
  <c r="D282" i="8" s="1"/>
  <c r="C282" i="9"/>
  <c r="C282" i="8" s="1"/>
  <c r="W282" i="8" s="1"/>
  <c r="B282" i="9"/>
  <c r="B282" i="8" s="1"/>
  <c r="A282" i="9"/>
  <c r="J281" i="9"/>
  <c r="J281" i="8" s="1"/>
  <c r="I281" i="9"/>
  <c r="I281" i="8" s="1"/>
  <c r="X281" i="8" s="1"/>
  <c r="E310" i="6" s="1"/>
  <c r="H281" i="9"/>
  <c r="H281" i="8" s="1"/>
  <c r="G281" i="9"/>
  <c r="G281" i="8" s="1"/>
  <c r="F281" i="9"/>
  <c r="F281" i="8" s="1"/>
  <c r="E281" i="9"/>
  <c r="E281" i="8" s="1"/>
  <c r="D281" i="9"/>
  <c r="D281" i="8" s="1"/>
  <c r="C281" i="9"/>
  <c r="C281" i="8" s="1"/>
  <c r="W281" i="8" s="1"/>
  <c r="B281" i="9"/>
  <c r="B281" i="8" s="1"/>
  <c r="A281" i="9"/>
  <c r="J280" i="9"/>
  <c r="J280" i="8" s="1"/>
  <c r="I280" i="9"/>
  <c r="I280" i="8" s="1"/>
  <c r="X280" i="8" s="1"/>
  <c r="E309" i="6" s="1"/>
  <c r="H280" i="9"/>
  <c r="H280" i="8" s="1"/>
  <c r="G280" i="9"/>
  <c r="G280" i="8" s="1"/>
  <c r="F280" i="9"/>
  <c r="F280" i="8" s="1"/>
  <c r="E280" i="9"/>
  <c r="E280" i="8" s="1"/>
  <c r="D280" i="9"/>
  <c r="D280" i="8" s="1"/>
  <c r="C280" i="9"/>
  <c r="C280" i="8" s="1"/>
  <c r="W280" i="8" s="1"/>
  <c r="B280" i="9"/>
  <c r="B280" i="8" s="1"/>
  <c r="A280" i="9"/>
  <c r="J279" i="9"/>
  <c r="J279" i="8" s="1"/>
  <c r="I279" i="9"/>
  <c r="I279" i="8" s="1"/>
  <c r="X279" i="8" s="1"/>
  <c r="E308" i="6" s="1"/>
  <c r="H279" i="9"/>
  <c r="H279" i="8" s="1"/>
  <c r="G279" i="9"/>
  <c r="G279" i="8" s="1"/>
  <c r="F279" i="9"/>
  <c r="F279" i="8" s="1"/>
  <c r="E279" i="9"/>
  <c r="E279" i="8" s="1"/>
  <c r="D279" i="9"/>
  <c r="D279" i="8" s="1"/>
  <c r="C279" i="9"/>
  <c r="C279" i="8" s="1"/>
  <c r="W279" i="8" s="1"/>
  <c r="B279" i="9"/>
  <c r="B279" i="8" s="1"/>
  <c r="A279" i="9"/>
  <c r="J278" i="9"/>
  <c r="J278" i="8" s="1"/>
  <c r="I278" i="9"/>
  <c r="I278" i="8" s="1"/>
  <c r="X278" i="8" s="1"/>
  <c r="E307" i="6" s="1"/>
  <c r="H278" i="9"/>
  <c r="H278" i="8" s="1"/>
  <c r="G278" i="9"/>
  <c r="G278" i="8" s="1"/>
  <c r="F278" i="9"/>
  <c r="F278" i="8" s="1"/>
  <c r="E278" i="9"/>
  <c r="E278" i="8" s="1"/>
  <c r="D278" i="9"/>
  <c r="D278" i="8" s="1"/>
  <c r="C278" i="9"/>
  <c r="C278" i="8" s="1"/>
  <c r="W278" i="8" s="1"/>
  <c r="B278" i="9"/>
  <c r="B278" i="8" s="1"/>
  <c r="A278" i="9"/>
  <c r="J277" i="9"/>
  <c r="J277" i="8" s="1"/>
  <c r="I277" i="9"/>
  <c r="I277" i="8" s="1"/>
  <c r="X277" i="8" s="1"/>
  <c r="E306" i="6" s="1"/>
  <c r="H277" i="9"/>
  <c r="H277" i="8" s="1"/>
  <c r="G277" i="9"/>
  <c r="G277" i="8" s="1"/>
  <c r="F277" i="9"/>
  <c r="F277" i="8" s="1"/>
  <c r="E277" i="9"/>
  <c r="E277" i="8" s="1"/>
  <c r="D277" i="9"/>
  <c r="D277" i="8" s="1"/>
  <c r="C277" i="9"/>
  <c r="C277" i="8" s="1"/>
  <c r="W277" i="8" s="1"/>
  <c r="B277" i="9"/>
  <c r="B277" i="8" s="1"/>
  <c r="A277" i="9"/>
  <c r="J276" i="9"/>
  <c r="J276" i="8" s="1"/>
  <c r="I276" i="9"/>
  <c r="I276" i="8" s="1"/>
  <c r="X276" i="8" s="1"/>
  <c r="E305" i="6" s="1"/>
  <c r="H276" i="9"/>
  <c r="H276" i="8" s="1"/>
  <c r="G276" i="9"/>
  <c r="G276" i="8" s="1"/>
  <c r="F276" i="9"/>
  <c r="F276" i="8" s="1"/>
  <c r="E276" i="9"/>
  <c r="E276" i="8" s="1"/>
  <c r="D276" i="9"/>
  <c r="D276" i="8" s="1"/>
  <c r="C276" i="9"/>
  <c r="C276" i="8" s="1"/>
  <c r="W276" i="8" s="1"/>
  <c r="B276" i="9"/>
  <c r="B276" i="8" s="1"/>
  <c r="A276" i="9"/>
  <c r="J275" i="9"/>
  <c r="J275" i="8" s="1"/>
  <c r="I275" i="9"/>
  <c r="I275" i="8" s="1"/>
  <c r="X275" i="8" s="1"/>
  <c r="E304" i="6" s="1"/>
  <c r="H275" i="9"/>
  <c r="H275" i="8" s="1"/>
  <c r="G275" i="9"/>
  <c r="G275" i="8" s="1"/>
  <c r="F275" i="9"/>
  <c r="F275" i="8" s="1"/>
  <c r="E275" i="9"/>
  <c r="E275" i="8" s="1"/>
  <c r="D275" i="9"/>
  <c r="D275" i="8" s="1"/>
  <c r="C275" i="9"/>
  <c r="C275" i="8" s="1"/>
  <c r="W275" i="8" s="1"/>
  <c r="B275" i="9"/>
  <c r="B275" i="8" s="1"/>
  <c r="A275" i="9"/>
  <c r="J274" i="9"/>
  <c r="J274" i="8" s="1"/>
  <c r="I274" i="9"/>
  <c r="I274" i="8" s="1"/>
  <c r="X274" i="8" s="1"/>
  <c r="E303" i="6" s="1"/>
  <c r="H274" i="9"/>
  <c r="H274" i="8" s="1"/>
  <c r="G274" i="9"/>
  <c r="G274" i="8" s="1"/>
  <c r="F274" i="9"/>
  <c r="F274" i="8" s="1"/>
  <c r="E274" i="9"/>
  <c r="E274" i="8" s="1"/>
  <c r="D274" i="9"/>
  <c r="D274" i="8" s="1"/>
  <c r="C274" i="9"/>
  <c r="C274" i="8" s="1"/>
  <c r="W274" i="8" s="1"/>
  <c r="B274" i="9"/>
  <c r="B274" i="8" s="1"/>
  <c r="A274" i="9"/>
  <c r="J273" i="9"/>
  <c r="J273" i="8" s="1"/>
  <c r="I273" i="9"/>
  <c r="I273" i="8" s="1"/>
  <c r="X273" i="8" s="1"/>
  <c r="E302" i="6" s="1"/>
  <c r="H273" i="9"/>
  <c r="H273" i="8" s="1"/>
  <c r="G273" i="9"/>
  <c r="G273" i="8" s="1"/>
  <c r="F273" i="9"/>
  <c r="F273" i="8" s="1"/>
  <c r="E273" i="9"/>
  <c r="E273" i="8" s="1"/>
  <c r="D273" i="9"/>
  <c r="D273" i="8" s="1"/>
  <c r="C273" i="9"/>
  <c r="C273" i="8" s="1"/>
  <c r="W273" i="8" s="1"/>
  <c r="B273" i="9"/>
  <c r="B273" i="8" s="1"/>
  <c r="A273" i="9"/>
  <c r="J272" i="9"/>
  <c r="J272" i="8" s="1"/>
  <c r="I272" i="9"/>
  <c r="I272" i="8" s="1"/>
  <c r="X272" i="8" s="1"/>
  <c r="E301" i="6" s="1"/>
  <c r="H272" i="9"/>
  <c r="H272" i="8" s="1"/>
  <c r="G272" i="9"/>
  <c r="G272" i="8" s="1"/>
  <c r="F272" i="9"/>
  <c r="F272" i="8" s="1"/>
  <c r="E272" i="9"/>
  <c r="E272" i="8" s="1"/>
  <c r="D272" i="9"/>
  <c r="D272" i="8" s="1"/>
  <c r="C272" i="9"/>
  <c r="C272" i="8" s="1"/>
  <c r="W272" i="8" s="1"/>
  <c r="B272" i="9"/>
  <c r="B272" i="8" s="1"/>
  <c r="A272" i="9"/>
  <c r="J271" i="9"/>
  <c r="J271" i="8" s="1"/>
  <c r="I271" i="9"/>
  <c r="I271" i="8" s="1"/>
  <c r="X271" i="8" s="1"/>
  <c r="E300" i="6" s="1"/>
  <c r="H271" i="9"/>
  <c r="H271" i="8" s="1"/>
  <c r="G271" i="9"/>
  <c r="G271" i="8" s="1"/>
  <c r="F271" i="9"/>
  <c r="F271" i="8" s="1"/>
  <c r="E271" i="9"/>
  <c r="E271" i="8" s="1"/>
  <c r="D271" i="9"/>
  <c r="D271" i="8" s="1"/>
  <c r="C271" i="9"/>
  <c r="C271" i="8" s="1"/>
  <c r="W271" i="8" s="1"/>
  <c r="B271" i="9"/>
  <c r="B271" i="8" s="1"/>
  <c r="A271" i="9"/>
  <c r="J270" i="9"/>
  <c r="J270" i="8" s="1"/>
  <c r="I270" i="9"/>
  <c r="I270" i="8" s="1"/>
  <c r="X270" i="8" s="1"/>
  <c r="E299" i="6" s="1"/>
  <c r="H270" i="9"/>
  <c r="H270" i="8" s="1"/>
  <c r="G270" i="9"/>
  <c r="G270" i="8" s="1"/>
  <c r="F270" i="9"/>
  <c r="F270" i="8" s="1"/>
  <c r="E270" i="9"/>
  <c r="E270" i="8" s="1"/>
  <c r="D270" i="9"/>
  <c r="D270" i="8" s="1"/>
  <c r="C270" i="9"/>
  <c r="C270" i="8" s="1"/>
  <c r="W270" i="8" s="1"/>
  <c r="B270" i="9"/>
  <c r="B270" i="8" s="1"/>
  <c r="A270" i="9"/>
  <c r="P269" i="9"/>
  <c r="P269" i="8" s="1"/>
  <c r="O269" i="9"/>
  <c r="O269" i="8" s="1"/>
  <c r="N269" i="9"/>
  <c r="N269" i="8" s="1"/>
  <c r="M269" i="9"/>
  <c r="M269" i="8" s="1"/>
  <c r="H298" i="6" s="1"/>
  <c r="J269" i="9"/>
  <c r="I269" i="9"/>
  <c r="H269" i="9"/>
  <c r="G269" i="9"/>
  <c r="F269" i="9"/>
  <c r="E269" i="9"/>
  <c r="D269" i="9"/>
  <c r="C269" i="9"/>
  <c r="B269" i="9"/>
  <c r="A269" i="9"/>
  <c r="J268" i="9"/>
  <c r="I268" i="9"/>
  <c r="H268" i="9"/>
  <c r="G268" i="9"/>
  <c r="F268" i="9"/>
  <c r="E268" i="9"/>
  <c r="D268" i="9"/>
  <c r="C268" i="9"/>
  <c r="B268" i="9"/>
  <c r="A268" i="9"/>
  <c r="J267" i="9"/>
  <c r="I267" i="9"/>
  <c r="H267" i="9"/>
  <c r="G267" i="9"/>
  <c r="F267" i="9"/>
  <c r="E267" i="9"/>
  <c r="D267" i="9"/>
  <c r="C267" i="9"/>
  <c r="B267" i="9"/>
  <c r="A267" i="9"/>
  <c r="J266" i="9"/>
  <c r="I266" i="9"/>
  <c r="H266" i="9"/>
  <c r="G266" i="9"/>
  <c r="F266" i="9"/>
  <c r="E266" i="9"/>
  <c r="D266" i="9"/>
  <c r="C266" i="9"/>
  <c r="B266" i="9"/>
  <c r="A266" i="9"/>
  <c r="J265" i="9"/>
  <c r="I265" i="9"/>
  <c r="H265" i="9"/>
  <c r="G265" i="9"/>
  <c r="F265" i="9"/>
  <c r="E265" i="9"/>
  <c r="D265" i="9"/>
  <c r="C265" i="9"/>
  <c r="B265" i="9"/>
  <c r="A265" i="9"/>
  <c r="J264" i="9"/>
  <c r="I264" i="9"/>
  <c r="H264" i="9"/>
  <c r="G264" i="9"/>
  <c r="F264" i="9"/>
  <c r="E264" i="9"/>
  <c r="D264" i="9"/>
  <c r="C264" i="9"/>
  <c r="B264" i="9"/>
  <c r="A264" i="9"/>
  <c r="J263" i="9"/>
  <c r="I263" i="9"/>
  <c r="H263" i="9"/>
  <c r="G263" i="9"/>
  <c r="F263" i="9"/>
  <c r="E263" i="9"/>
  <c r="D263" i="9"/>
  <c r="C263" i="9"/>
  <c r="B263" i="9"/>
  <c r="A263" i="9"/>
  <c r="J262" i="9"/>
  <c r="I262" i="9"/>
  <c r="H262" i="9"/>
  <c r="G262" i="9"/>
  <c r="F262" i="9"/>
  <c r="E262" i="9"/>
  <c r="D262" i="9"/>
  <c r="C262" i="9"/>
  <c r="B262" i="9"/>
  <c r="A262" i="9"/>
  <c r="J261" i="9"/>
  <c r="I261" i="9"/>
  <c r="H261" i="9"/>
  <c r="G261" i="9"/>
  <c r="F261" i="9"/>
  <c r="E261" i="9"/>
  <c r="D261" i="9"/>
  <c r="C261" i="9"/>
  <c r="B261" i="9"/>
  <c r="A261" i="9"/>
  <c r="J260" i="9"/>
  <c r="I260" i="9"/>
  <c r="H260" i="9"/>
  <c r="G260" i="9"/>
  <c r="F260" i="9"/>
  <c r="E260" i="9"/>
  <c r="D260" i="9"/>
  <c r="C260" i="9"/>
  <c r="B260" i="9"/>
  <c r="A260" i="9"/>
  <c r="J259" i="9"/>
  <c r="I259" i="9"/>
  <c r="H259" i="9"/>
  <c r="G259" i="9"/>
  <c r="F259" i="9"/>
  <c r="E259" i="9"/>
  <c r="D259" i="9"/>
  <c r="C259" i="9"/>
  <c r="B259" i="9"/>
  <c r="A259" i="9"/>
  <c r="J258" i="9"/>
  <c r="I258" i="9"/>
  <c r="H258" i="9"/>
  <c r="G258" i="9"/>
  <c r="F258" i="9"/>
  <c r="E258" i="9"/>
  <c r="D258" i="9"/>
  <c r="C258" i="9"/>
  <c r="B258" i="9"/>
  <c r="A258" i="9"/>
  <c r="J257" i="9"/>
  <c r="I257" i="9"/>
  <c r="H257" i="9"/>
  <c r="G257" i="9"/>
  <c r="F257" i="9"/>
  <c r="E257" i="9"/>
  <c r="D257" i="9"/>
  <c r="C257" i="9"/>
  <c r="B257" i="9"/>
  <c r="A257" i="9"/>
  <c r="J256" i="9"/>
  <c r="I256" i="9"/>
  <c r="H256" i="9"/>
  <c r="G256" i="9"/>
  <c r="F256" i="9"/>
  <c r="E256" i="9"/>
  <c r="D256" i="9"/>
  <c r="C256" i="9"/>
  <c r="B256" i="9"/>
  <c r="A256" i="9"/>
  <c r="J255" i="9"/>
  <c r="I255" i="9"/>
  <c r="H255" i="9"/>
  <c r="G255" i="9"/>
  <c r="F255" i="9"/>
  <c r="E255" i="9"/>
  <c r="D255" i="9"/>
  <c r="C255" i="9"/>
  <c r="B255" i="9"/>
  <c r="A255" i="9"/>
  <c r="J254" i="9"/>
  <c r="I254" i="9"/>
  <c r="H254" i="9"/>
  <c r="G254" i="9"/>
  <c r="F254" i="9"/>
  <c r="E254" i="9"/>
  <c r="D254" i="9"/>
  <c r="C254" i="9"/>
  <c r="B254" i="9"/>
  <c r="A254" i="9"/>
  <c r="J253" i="9"/>
  <c r="I253" i="9"/>
  <c r="H253" i="9"/>
  <c r="G253" i="9"/>
  <c r="F253" i="9"/>
  <c r="E253" i="9"/>
  <c r="D253" i="9"/>
  <c r="C253" i="9"/>
  <c r="B253" i="9"/>
  <c r="A253" i="9"/>
  <c r="J252" i="9"/>
  <c r="I252" i="9"/>
  <c r="H252" i="9"/>
  <c r="G252" i="9"/>
  <c r="F252" i="9"/>
  <c r="E252" i="9"/>
  <c r="D252" i="9"/>
  <c r="C252" i="9"/>
  <c r="B252" i="9"/>
  <c r="A252" i="9"/>
  <c r="J251" i="9"/>
  <c r="I251" i="9"/>
  <c r="H251" i="9"/>
  <c r="G251" i="9"/>
  <c r="F251" i="9"/>
  <c r="E251" i="9"/>
  <c r="D251" i="9"/>
  <c r="C251" i="9"/>
  <c r="B251" i="9"/>
  <c r="A251" i="9"/>
  <c r="J250" i="9"/>
  <c r="I250" i="9"/>
  <c r="H250" i="9"/>
  <c r="G250" i="9"/>
  <c r="F250" i="9"/>
  <c r="E250" i="9"/>
  <c r="D250" i="9"/>
  <c r="C250" i="9"/>
  <c r="B250" i="9"/>
  <c r="A250" i="9"/>
  <c r="J249" i="9"/>
  <c r="I249" i="9"/>
  <c r="H249" i="9"/>
  <c r="G249" i="9"/>
  <c r="F249" i="9"/>
  <c r="E249" i="9"/>
  <c r="D249" i="9"/>
  <c r="C249" i="9"/>
  <c r="B249" i="9"/>
  <c r="A249" i="9"/>
  <c r="J248" i="9"/>
  <c r="I248" i="9"/>
  <c r="H248" i="9"/>
  <c r="G248" i="9"/>
  <c r="F248" i="9"/>
  <c r="E248" i="9"/>
  <c r="D248" i="9"/>
  <c r="C248" i="9"/>
  <c r="B248" i="9"/>
  <c r="A248" i="9"/>
  <c r="J247" i="9"/>
  <c r="I247" i="9"/>
  <c r="H247" i="9"/>
  <c r="G247" i="9"/>
  <c r="F247" i="9"/>
  <c r="E247" i="9"/>
  <c r="D247" i="9"/>
  <c r="C247" i="9"/>
  <c r="B247" i="9"/>
  <c r="A247" i="9"/>
  <c r="J246" i="9"/>
  <c r="I246" i="9"/>
  <c r="H246" i="9"/>
  <c r="G246" i="9"/>
  <c r="F246" i="9"/>
  <c r="E246" i="9"/>
  <c r="D246" i="9"/>
  <c r="C246" i="9"/>
  <c r="B246" i="9"/>
  <c r="A246" i="9"/>
  <c r="J245" i="9"/>
  <c r="I245" i="9"/>
  <c r="H245" i="9"/>
  <c r="G245" i="9"/>
  <c r="F245" i="9"/>
  <c r="E245" i="9"/>
  <c r="D245" i="9"/>
  <c r="C245" i="9"/>
  <c r="B245" i="9"/>
  <c r="A245" i="9"/>
  <c r="J244" i="9"/>
  <c r="I244" i="9"/>
  <c r="H244" i="9"/>
  <c r="G244" i="9"/>
  <c r="F244" i="9"/>
  <c r="E244" i="9"/>
  <c r="D244" i="9"/>
  <c r="C244" i="9"/>
  <c r="B244" i="9"/>
  <c r="A244" i="9"/>
  <c r="J243" i="9"/>
  <c r="I243" i="9"/>
  <c r="H243" i="9"/>
  <c r="G243" i="9"/>
  <c r="F243" i="9"/>
  <c r="E243" i="9"/>
  <c r="D243" i="9"/>
  <c r="C243" i="9"/>
  <c r="B243" i="9"/>
  <c r="A243" i="9"/>
  <c r="J242" i="9"/>
  <c r="I242" i="9"/>
  <c r="H242" i="9"/>
  <c r="G242" i="9"/>
  <c r="F242" i="9"/>
  <c r="E242" i="9"/>
  <c r="D242" i="9"/>
  <c r="C242" i="9"/>
  <c r="B242" i="9"/>
  <c r="A242" i="9"/>
  <c r="J241" i="9"/>
  <c r="I241" i="9"/>
  <c r="H241" i="9"/>
  <c r="G241" i="9"/>
  <c r="F241" i="9"/>
  <c r="E241" i="9"/>
  <c r="D241" i="9"/>
  <c r="C241" i="9"/>
  <c r="B241" i="9"/>
  <c r="A241" i="9"/>
  <c r="J240" i="9"/>
  <c r="I240" i="9"/>
  <c r="H240" i="9"/>
  <c r="G240" i="9"/>
  <c r="F240" i="9"/>
  <c r="E240" i="9"/>
  <c r="D240" i="9"/>
  <c r="C240" i="9"/>
  <c r="B240" i="9"/>
  <c r="A240" i="9"/>
  <c r="J239" i="9"/>
  <c r="I239" i="9"/>
  <c r="H239" i="9"/>
  <c r="G239" i="9"/>
  <c r="F239" i="9"/>
  <c r="E239" i="9"/>
  <c r="D239" i="9"/>
  <c r="C239" i="9"/>
  <c r="B239" i="9"/>
  <c r="A239" i="9"/>
  <c r="J238" i="9"/>
  <c r="I238" i="9"/>
  <c r="H238" i="9"/>
  <c r="G238" i="9"/>
  <c r="F238" i="9"/>
  <c r="E238" i="9"/>
  <c r="D238" i="9"/>
  <c r="C238" i="9"/>
  <c r="B238" i="9"/>
  <c r="A238" i="9"/>
  <c r="J237" i="9"/>
  <c r="I237" i="9"/>
  <c r="H237" i="9"/>
  <c r="G237" i="9"/>
  <c r="F237" i="9"/>
  <c r="E237" i="9"/>
  <c r="D237" i="9"/>
  <c r="C237" i="9"/>
  <c r="B237" i="9"/>
  <c r="A237" i="9"/>
  <c r="J236" i="9"/>
  <c r="I236" i="9"/>
  <c r="H236" i="9"/>
  <c r="G236" i="9"/>
  <c r="F236" i="9"/>
  <c r="E236" i="9"/>
  <c r="D236" i="9"/>
  <c r="C236" i="9"/>
  <c r="B236" i="9"/>
  <c r="A236" i="9"/>
  <c r="J235" i="9"/>
  <c r="I235" i="9"/>
  <c r="H235" i="9"/>
  <c r="G235" i="9"/>
  <c r="F235" i="9"/>
  <c r="E235" i="9"/>
  <c r="D235" i="9"/>
  <c r="C235" i="9"/>
  <c r="B235" i="9"/>
  <c r="A235" i="9"/>
  <c r="J234" i="9"/>
  <c r="I234" i="9"/>
  <c r="H234" i="9"/>
  <c r="G234" i="9"/>
  <c r="F234" i="9"/>
  <c r="E234" i="9"/>
  <c r="D234" i="9"/>
  <c r="C234" i="9"/>
  <c r="B234" i="9"/>
  <c r="A234" i="9"/>
  <c r="J233" i="9"/>
  <c r="I233" i="9"/>
  <c r="H233" i="9"/>
  <c r="G233" i="9"/>
  <c r="F233" i="9"/>
  <c r="E233" i="9"/>
  <c r="D233" i="9"/>
  <c r="C233" i="9"/>
  <c r="B233" i="9"/>
  <c r="A233" i="9"/>
  <c r="J232" i="9"/>
  <c r="I232" i="9"/>
  <c r="H232" i="9"/>
  <c r="G232" i="9"/>
  <c r="F232" i="9"/>
  <c r="E232" i="9"/>
  <c r="D232" i="9"/>
  <c r="C232" i="9"/>
  <c r="B232" i="9"/>
  <c r="A232" i="9"/>
  <c r="J231" i="9"/>
  <c r="I231" i="9"/>
  <c r="H231" i="9"/>
  <c r="G231" i="9"/>
  <c r="F231" i="9"/>
  <c r="E231" i="9"/>
  <c r="D231" i="9"/>
  <c r="C231" i="9"/>
  <c r="B231" i="9"/>
  <c r="A231" i="9"/>
  <c r="J230" i="9"/>
  <c r="I230" i="9"/>
  <c r="H230" i="9"/>
  <c r="G230" i="9"/>
  <c r="F230" i="9"/>
  <c r="E230" i="9"/>
  <c r="D230" i="9"/>
  <c r="C230" i="9"/>
  <c r="B230" i="9"/>
  <c r="A230" i="9"/>
  <c r="J229" i="9"/>
  <c r="I229" i="9"/>
  <c r="H229" i="9"/>
  <c r="G229" i="9"/>
  <c r="F229" i="9"/>
  <c r="E229" i="9"/>
  <c r="D229" i="9"/>
  <c r="C229" i="9"/>
  <c r="B229" i="9"/>
  <c r="A229" i="9"/>
  <c r="J228" i="9"/>
  <c r="I228" i="9"/>
  <c r="H228" i="9"/>
  <c r="G228" i="9"/>
  <c r="F228" i="9"/>
  <c r="E228" i="9"/>
  <c r="D228" i="9"/>
  <c r="C228" i="9"/>
  <c r="B228" i="9"/>
  <c r="A228" i="9"/>
  <c r="J227" i="9"/>
  <c r="I227" i="9"/>
  <c r="H227" i="9"/>
  <c r="G227" i="9"/>
  <c r="F227" i="9"/>
  <c r="E227" i="9"/>
  <c r="D227" i="9"/>
  <c r="C227" i="9"/>
  <c r="B227" i="9"/>
  <c r="A227" i="9"/>
  <c r="J226" i="9"/>
  <c r="I226" i="9"/>
  <c r="H226" i="9"/>
  <c r="G226" i="9"/>
  <c r="F226" i="9"/>
  <c r="E226" i="9"/>
  <c r="D226" i="9"/>
  <c r="C226" i="9"/>
  <c r="B226" i="9"/>
  <c r="A226" i="9"/>
  <c r="J225" i="9"/>
  <c r="I225" i="9"/>
  <c r="H225" i="9"/>
  <c r="G225" i="9"/>
  <c r="F225" i="9"/>
  <c r="E225" i="9"/>
  <c r="D225" i="9"/>
  <c r="C225" i="9"/>
  <c r="B225" i="9"/>
  <c r="A225" i="9"/>
  <c r="J224" i="9"/>
  <c r="I224" i="9"/>
  <c r="H224" i="9"/>
  <c r="G224" i="9"/>
  <c r="F224" i="9"/>
  <c r="E224" i="9"/>
  <c r="D224" i="9"/>
  <c r="C224" i="9"/>
  <c r="B224" i="9"/>
  <c r="A224" i="9"/>
  <c r="J223" i="9"/>
  <c r="I223" i="9"/>
  <c r="H223" i="9"/>
  <c r="G223" i="9"/>
  <c r="F223" i="9"/>
  <c r="E223" i="9"/>
  <c r="D223" i="9"/>
  <c r="C223" i="9"/>
  <c r="B223" i="9"/>
  <c r="A223" i="9"/>
  <c r="J222" i="9"/>
  <c r="I222" i="9"/>
  <c r="H222" i="9"/>
  <c r="G222" i="9"/>
  <c r="F222" i="9"/>
  <c r="E222" i="9"/>
  <c r="D222" i="9"/>
  <c r="C222" i="9"/>
  <c r="B222" i="9"/>
  <c r="A222" i="9"/>
  <c r="J221" i="9"/>
  <c r="I221" i="9"/>
  <c r="H221" i="9"/>
  <c r="G221" i="9"/>
  <c r="F221" i="9"/>
  <c r="E221" i="9"/>
  <c r="D221" i="9"/>
  <c r="C221" i="9"/>
  <c r="B221" i="9"/>
  <c r="A221" i="9"/>
  <c r="J220" i="9"/>
  <c r="I220" i="9"/>
  <c r="H220" i="9"/>
  <c r="G220" i="9"/>
  <c r="F220" i="9"/>
  <c r="E220" i="9"/>
  <c r="D220" i="9"/>
  <c r="C220" i="9"/>
  <c r="B220" i="9"/>
  <c r="A220" i="9"/>
  <c r="J219" i="9"/>
  <c r="I219" i="9"/>
  <c r="H219" i="9"/>
  <c r="G219" i="9"/>
  <c r="F219" i="9"/>
  <c r="E219" i="9"/>
  <c r="D219" i="9"/>
  <c r="C219" i="9"/>
  <c r="B219" i="9"/>
  <c r="A219" i="9"/>
  <c r="J218" i="9"/>
  <c r="I218" i="9"/>
  <c r="H218" i="9"/>
  <c r="G218" i="9"/>
  <c r="F218" i="9"/>
  <c r="E218" i="9"/>
  <c r="D218" i="9"/>
  <c r="C218" i="9"/>
  <c r="B218" i="9"/>
  <c r="A218" i="9"/>
  <c r="J217" i="9"/>
  <c r="I217" i="9"/>
  <c r="H217" i="9"/>
  <c r="G217" i="9"/>
  <c r="F217" i="9"/>
  <c r="E217" i="9"/>
  <c r="D217" i="9"/>
  <c r="C217" i="9"/>
  <c r="B217" i="9"/>
  <c r="A217" i="9"/>
  <c r="J216" i="9"/>
  <c r="I216" i="9"/>
  <c r="H216" i="9"/>
  <c r="G216" i="9"/>
  <c r="F216" i="9"/>
  <c r="E216" i="9"/>
  <c r="D216" i="9"/>
  <c r="C216" i="9"/>
  <c r="B216" i="9"/>
  <c r="A216" i="9"/>
  <c r="J215" i="9"/>
  <c r="I215" i="9"/>
  <c r="H215" i="9"/>
  <c r="G215" i="9"/>
  <c r="F215" i="9"/>
  <c r="E215" i="9"/>
  <c r="D215" i="9"/>
  <c r="C215" i="9"/>
  <c r="B215" i="9"/>
  <c r="A215" i="9"/>
  <c r="J214" i="9"/>
  <c r="I214" i="9"/>
  <c r="H214" i="9"/>
  <c r="G214" i="9"/>
  <c r="F214" i="9"/>
  <c r="E214" i="9"/>
  <c r="D214" i="9"/>
  <c r="C214" i="9"/>
  <c r="B214" i="9"/>
  <c r="A214" i="9"/>
  <c r="J213" i="9"/>
  <c r="I213" i="9"/>
  <c r="H213" i="9"/>
  <c r="G213" i="9"/>
  <c r="F213" i="9"/>
  <c r="E213" i="9"/>
  <c r="D213" i="9"/>
  <c r="C213" i="9"/>
  <c r="B213" i="9"/>
  <c r="A213" i="9"/>
  <c r="J212" i="9"/>
  <c r="I212" i="9"/>
  <c r="H212" i="9"/>
  <c r="G212" i="9"/>
  <c r="F212" i="9"/>
  <c r="E212" i="9"/>
  <c r="D212" i="9"/>
  <c r="C212" i="9"/>
  <c r="B212" i="9"/>
  <c r="A212" i="9"/>
  <c r="J211" i="9"/>
  <c r="I211" i="9"/>
  <c r="H211" i="9"/>
  <c r="G211" i="9"/>
  <c r="F211" i="9"/>
  <c r="E211" i="9"/>
  <c r="D211" i="9"/>
  <c r="C211" i="9"/>
  <c r="B211" i="9"/>
  <c r="A211" i="9"/>
  <c r="J210" i="9"/>
  <c r="I210" i="9"/>
  <c r="H210" i="9"/>
  <c r="G210" i="9"/>
  <c r="F210" i="9"/>
  <c r="E210" i="9"/>
  <c r="D210" i="9"/>
  <c r="C210" i="9"/>
  <c r="B210" i="9"/>
  <c r="A210" i="9"/>
  <c r="J209" i="9"/>
  <c r="I209" i="9"/>
  <c r="H209" i="9"/>
  <c r="G209" i="9"/>
  <c r="F209" i="9"/>
  <c r="E209" i="9"/>
  <c r="D209" i="9"/>
  <c r="C209" i="9"/>
  <c r="B209" i="9"/>
  <c r="A209" i="9"/>
  <c r="J208" i="9"/>
  <c r="I208" i="9"/>
  <c r="H208" i="9"/>
  <c r="G208" i="9"/>
  <c r="F208" i="9"/>
  <c r="E208" i="9"/>
  <c r="D208" i="9"/>
  <c r="C208" i="9"/>
  <c r="B208" i="9"/>
  <c r="A208" i="9"/>
  <c r="J207" i="9"/>
  <c r="I207" i="9"/>
  <c r="H207" i="9"/>
  <c r="G207" i="9"/>
  <c r="F207" i="9"/>
  <c r="E207" i="9"/>
  <c r="D207" i="9"/>
  <c r="C207" i="9"/>
  <c r="B207" i="9"/>
  <c r="A207" i="9"/>
  <c r="J206" i="9"/>
  <c r="I206" i="9"/>
  <c r="H206" i="9"/>
  <c r="G206" i="9"/>
  <c r="F206" i="9"/>
  <c r="E206" i="9"/>
  <c r="D206" i="9"/>
  <c r="C206" i="9"/>
  <c r="B206" i="9"/>
  <c r="A206" i="9"/>
  <c r="J205" i="9"/>
  <c r="I205" i="9"/>
  <c r="H205" i="9"/>
  <c r="G205" i="9"/>
  <c r="F205" i="9"/>
  <c r="E205" i="9"/>
  <c r="D205" i="9"/>
  <c r="C205" i="9"/>
  <c r="B205" i="9"/>
  <c r="A205" i="9"/>
  <c r="J204" i="9"/>
  <c r="I204" i="9"/>
  <c r="H204" i="9"/>
  <c r="G204" i="9"/>
  <c r="F204" i="9"/>
  <c r="E204" i="9"/>
  <c r="D204" i="9"/>
  <c r="C204" i="9"/>
  <c r="B204" i="9"/>
  <c r="A204" i="9"/>
  <c r="J203" i="9"/>
  <c r="I203" i="9"/>
  <c r="H203" i="9"/>
  <c r="G203" i="9"/>
  <c r="F203" i="9"/>
  <c r="E203" i="9"/>
  <c r="D203" i="9"/>
  <c r="C203" i="9"/>
  <c r="B203" i="9"/>
  <c r="A203" i="9"/>
  <c r="J202" i="9"/>
  <c r="I202" i="9"/>
  <c r="H202" i="9"/>
  <c r="G202" i="9"/>
  <c r="F202" i="9"/>
  <c r="E202" i="9"/>
  <c r="D202" i="9"/>
  <c r="C202" i="9"/>
  <c r="B202" i="9"/>
  <c r="A202" i="9"/>
  <c r="J201" i="9"/>
  <c r="I201" i="9"/>
  <c r="H201" i="9"/>
  <c r="G201" i="9"/>
  <c r="F201" i="9"/>
  <c r="E201" i="9"/>
  <c r="D201" i="9"/>
  <c r="C201" i="9"/>
  <c r="B201" i="9"/>
  <c r="A201" i="9"/>
  <c r="J200" i="9"/>
  <c r="I200" i="9"/>
  <c r="H200" i="9"/>
  <c r="G200" i="9"/>
  <c r="F200" i="9"/>
  <c r="E200" i="9"/>
  <c r="D200" i="9"/>
  <c r="C200" i="9"/>
  <c r="B200" i="9"/>
  <c r="A200" i="9"/>
  <c r="J199" i="9"/>
  <c r="I199" i="9"/>
  <c r="H199" i="9"/>
  <c r="G199" i="9"/>
  <c r="F199" i="9"/>
  <c r="E199" i="9"/>
  <c r="D199" i="9"/>
  <c r="C199" i="9"/>
  <c r="B199" i="9"/>
  <c r="A199" i="9"/>
  <c r="J198" i="9"/>
  <c r="J198" i="8" s="1"/>
  <c r="I198" i="9"/>
  <c r="I198" i="8" s="1"/>
  <c r="X198" i="8" s="1"/>
  <c r="E227" i="6" s="1"/>
  <c r="H198" i="9"/>
  <c r="H198" i="8" s="1"/>
  <c r="G198" i="9"/>
  <c r="G198" i="8" s="1"/>
  <c r="F198" i="9"/>
  <c r="F198" i="8" s="1"/>
  <c r="E198" i="9"/>
  <c r="E198" i="8" s="1"/>
  <c r="D198" i="9"/>
  <c r="D198" i="8" s="1"/>
  <c r="C198" i="9"/>
  <c r="C198" i="8" s="1"/>
  <c r="W198" i="8" s="1"/>
  <c r="B198" i="9"/>
  <c r="B198" i="8" s="1"/>
  <c r="A198" i="9"/>
  <c r="J197" i="9"/>
  <c r="J197" i="8" s="1"/>
  <c r="I197" i="9"/>
  <c r="I197" i="8" s="1"/>
  <c r="X197" i="8" s="1"/>
  <c r="E226" i="6" s="1"/>
  <c r="H197" i="9"/>
  <c r="H197" i="8" s="1"/>
  <c r="G197" i="9"/>
  <c r="G197" i="8" s="1"/>
  <c r="F197" i="9"/>
  <c r="F197" i="8" s="1"/>
  <c r="E197" i="9"/>
  <c r="E197" i="8" s="1"/>
  <c r="D197" i="9"/>
  <c r="D197" i="8" s="1"/>
  <c r="C197" i="9"/>
  <c r="C197" i="8" s="1"/>
  <c r="W197" i="8" s="1"/>
  <c r="B197" i="9"/>
  <c r="B197" i="8" s="1"/>
  <c r="A197" i="9"/>
  <c r="J196" i="9"/>
  <c r="J196" i="8" s="1"/>
  <c r="I196" i="9"/>
  <c r="I196" i="8" s="1"/>
  <c r="X196" i="8" s="1"/>
  <c r="E225" i="6" s="1"/>
  <c r="H196" i="9"/>
  <c r="H196" i="8" s="1"/>
  <c r="G196" i="9"/>
  <c r="G196" i="8" s="1"/>
  <c r="F196" i="9"/>
  <c r="F196" i="8" s="1"/>
  <c r="E196" i="9"/>
  <c r="E196" i="8" s="1"/>
  <c r="D196" i="9"/>
  <c r="D196" i="8" s="1"/>
  <c r="C196" i="9"/>
  <c r="C196" i="8" s="1"/>
  <c r="W196" i="8" s="1"/>
  <c r="B196" i="9"/>
  <c r="B196" i="8" s="1"/>
  <c r="A196" i="9"/>
  <c r="J195" i="9"/>
  <c r="J195" i="8" s="1"/>
  <c r="I195" i="9"/>
  <c r="I195" i="8" s="1"/>
  <c r="X195" i="8" s="1"/>
  <c r="E224" i="6" s="1"/>
  <c r="H195" i="9"/>
  <c r="H195" i="8" s="1"/>
  <c r="G195" i="9"/>
  <c r="G195" i="8" s="1"/>
  <c r="F195" i="9"/>
  <c r="F195" i="8" s="1"/>
  <c r="E195" i="9"/>
  <c r="E195" i="8" s="1"/>
  <c r="D195" i="9"/>
  <c r="D195" i="8" s="1"/>
  <c r="C195" i="9"/>
  <c r="C195" i="8" s="1"/>
  <c r="W195" i="8" s="1"/>
  <c r="B195" i="9"/>
  <c r="B195" i="8" s="1"/>
  <c r="A195" i="9"/>
  <c r="J194" i="9"/>
  <c r="J194" i="8" s="1"/>
  <c r="I194" i="9"/>
  <c r="I194" i="8" s="1"/>
  <c r="X194" i="8" s="1"/>
  <c r="E223" i="6" s="1"/>
  <c r="H194" i="9"/>
  <c r="H194" i="8" s="1"/>
  <c r="G194" i="9"/>
  <c r="G194" i="8" s="1"/>
  <c r="F194" i="9"/>
  <c r="F194" i="8" s="1"/>
  <c r="E194" i="9"/>
  <c r="E194" i="8" s="1"/>
  <c r="D194" i="9"/>
  <c r="D194" i="8" s="1"/>
  <c r="C194" i="9"/>
  <c r="C194" i="8" s="1"/>
  <c r="W194" i="8" s="1"/>
  <c r="B194" i="9"/>
  <c r="B194" i="8" s="1"/>
  <c r="A194" i="9"/>
  <c r="J193" i="9"/>
  <c r="J193" i="8" s="1"/>
  <c r="I193" i="9"/>
  <c r="I193" i="8" s="1"/>
  <c r="X193" i="8" s="1"/>
  <c r="E222" i="6" s="1"/>
  <c r="H193" i="9"/>
  <c r="H193" i="8" s="1"/>
  <c r="G193" i="9"/>
  <c r="G193" i="8" s="1"/>
  <c r="F193" i="9"/>
  <c r="F193" i="8" s="1"/>
  <c r="E193" i="9"/>
  <c r="E193" i="8" s="1"/>
  <c r="D193" i="9"/>
  <c r="D193" i="8" s="1"/>
  <c r="C193" i="9"/>
  <c r="C193" i="8" s="1"/>
  <c r="W193" i="8" s="1"/>
  <c r="B193" i="9"/>
  <c r="B193" i="8" s="1"/>
  <c r="A193" i="9"/>
  <c r="J192" i="9"/>
  <c r="J192" i="8" s="1"/>
  <c r="I192" i="9"/>
  <c r="I192" i="8" s="1"/>
  <c r="X192" i="8" s="1"/>
  <c r="E221" i="6" s="1"/>
  <c r="H192" i="9"/>
  <c r="H192" i="8" s="1"/>
  <c r="G192" i="9"/>
  <c r="G192" i="8" s="1"/>
  <c r="F192" i="9"/>
  <c r="F192" i="8" s="1"/>
  <c r="E192" i="9"/>
  <c r="E192" i="8" s="1"/>
  <c r="D192" i="9"/>
  <c r="D192" i="8" s="1"/>
  <c r="C192" i="9"/>
  <c r="C192" i="8" s="1"/>
  <c r="W192" i="8" s="1"/>
  <c r="B192" i="9"/>
  <c r="B192" i="8" s="1"/>
  <c r="A192" i="9"/>
  <c r="J191" i="9"/>
  <c r="J191" i="8" s="1"/>
  <c r="I191" i="9"/>
  <c r="I191" i="8" s="1"/>
  <c r="X191" i="8" s="1"/>
  <c r="E220" i="6" s="1"/>
  <c r="H191" i="9"/>
  <c r="H191" i="8" s="1"/>
  <c r="G191" i="9"/>
  <c r="G191" i="8" s="1"/>
  <c r="F191" i="9"/>
  <c r="F191" i="8" s="1"/>
  <c r="E191" i="9"/>
  <c r="E191" i="8" s="1"/>
  <c r="D191" i="9"/>
  <c r="D191" i="8" s="1"/>
  <c r="C191" i="9"/>
  <c r="C191" i="8" s="1"/>
  <c r="W191" i="8" s="1"/>
  <c r="B191" i="9"/>
  <c r="B191" i="8" s="1"/>
  <c r="A191" i="9"/>
  <c r="J190" i="9"/>
  <c r="J190" i="8" s="1"/>
  <c r="I190" i="9"/>
  <c r="I190" i="8" s="1"/>
  <c r="X190" i="8" s="1"/>
  <c r="E219" i="6" s="1"/>
  <c r="H190" i="9"/>
  <c r="H190" i="8" s="1"/>
  <c r="G190" i="9"/>
  <c r="G190" i="8" s="1"/>
  <c r="F190" i="9"/>
  <c r="F190" i="8" s="1"/>
  <c r="E190" i="9"/>
  <c r="E190" i="8" s="1"/>
  <c r="D190" i="9"/>
  <c r="D190" i="8" s="1"/>
  <c r="C190" i="9"/>
  <c r="C190" i="8" s="1"/>
  <c r="W190" i="8" s="1"/>
  <c r="B190" i="9"/>
  <c r="B190" i="8" s="1"/>
  <c r="A190" i="9"/>
  <c r="J189" i="9"/>
  <c r="J189" i="8" s="1"/>
  <c r="I189" i="9"/>
  <c r="I189" i="8" s="1"/>
  <c r="X189" i="8" s="1"/>
  <c r="E218" i="6" s="1"/>
  <c r="H189" i="9"/>
  <c r="H189" i="8" s="1"/>
  <c r="G189" i="9"/>
  <c r="G189" i="8" s="1"/>
  <c r="F189" i="9"/>
  <c r="F189" i="8" s="1"/>
  <c r="E189" i="9"/>
  <c r="E189" i="8" s="1"/>
  <c r="D189" i="9"/>
  <c r="D189" i="8" s="1"/>
  <c r="C189" i="9"/>
  <c r="C189" i="8" s="1"/>
  <c r="W189" i="8" s="1"/>
  <c r="B189" i="9"/>
  <c r="B189" i="8" s="1"/>
  <c r="A189" i="9"/>
  <c r="J188" i="9"/>
  <c r="J188" i="8" s="1"/>
  <c r="I188" i="9"/>
  <c r="I188" i="8" s="1"/>
  <c r="X188" i="8" s="1"/>
  <c r="E217" i="6" s="1"/>
  <c r="H188" i="9"/>
  <c r="H188" i="8" s="1"/>
  <c r="G188" i="9"/>
  <c r="G188" i="8" s="1"/>
  <c r="F188" i="9"/>
  <c r="F188" i="8" s="1"/>
  <c r="E188" i="9"/>
  <c r="E188" i="8" s="1"/>
  <c r="D188" i="9"/>
  <c r="D188" i="8" s="1"/>
  <c r="C188" i="9"/>
  <c r="C188" i="8" s="1"/>
  <c r="W188" i="8" s="1"/>
  <c r="B188" i="9"/>
  <c r="B188" i="8" s="1"/>
  <c r="A188" i="9"/>
  <c r="J187" i="9"/>
  <c r="I187" i="9"/>
  <c r="H187" i="9"/>
  <c r="G187" i="9"/>
  <c r="F187" i="9"/>
  <c r="E187" i="9"/>
  <c r="D187" i="9"/>
  <c r="C187" i="9"/>
  <c r="B187" i="9"/>
  <c r="A187" i="9"/>
  <c r="J186" i="9"/>
  <c r="I186" i="9"/>
  <c r="H186" i="9"/>
  <c r="G186" i="9"/>
  <c r="F186" i="9"/>
  <c r="E186" i="9"/>
  <c r="D186" i="9"/>
  <c r="C186" i="9"/>
  <c r="B186" i="9"/>
  <c r="A186" i="9"/>
  <c r="J185" i="9"/>
  <c r="I185" i="9"/>
  <c r="H185" i="9"/>
  <c r="G185" i="9"/>
  <c r="F185" i="9"/>
  <c r="E185" i="9"/>
  <c r="D185" i="9"/>
  <c r="C185" i="9"/>
  <c r="B185" i="9"/>
  <c r="A185" i="9"/>
  <c r="J184" i="9"/>
  <c r="I184" i="9"/>
  <c r="H184" i="9"/>
  <c r="G184" i="9"/>
  <c r="F184" i="9"/>
  <c r="E184" i="9"/>
  <c r="D184" i="9"/>
  <c r="C184" i="9"/>
  <c r="B184" i="9"/>
  <c r="A184" i="9"/>
  <c r="J183" i="9"/>
  <c r="I183" i="9"/>
  <c r="H183" i="9"/>
  <c r="G183" i="9"/>
  <c r="F183" i="9"/>
  <c r="E183" i="9"/>
  <c r="D183" i="9"/>
  <c r="C183" i="9"/>
  <c r="B183" i="9"/>
  <c r="A183" i="9"/>
  <c r="J182" i="9"/>
  <c r="I182" i="9"/>
  <c r="H182" i="9"/>
  <c r="G182" i="9"/>
  <c r="F182" i="9"/>
  <c r="E182" i="9"/>
  <c r="D182" i="9"/>
  <c r="C182" i="9"/>
  <c r="B182" i="9"/>
  <c r="A182" i="9"/>
  <c r="J181" i="9"/>
  <c r="I181" i="9"/>
  <c r="H181" i="9"/>
  <c r="G181" i="9"/>
  <c r="F181" i="9"/>
  <c r="E181" i="9"/>
  <c r="D181" i="9"/>
  <c r="C181" i="9"/>
  <c r="B181" i="9"/>
  <c r="A181" i="9"/>
  <c r="J180" i="9"/>
  <c r="I180" i="9"/>
  <c r="H180" i="9"/>
  <c r="G180" i="9"/>
  <c r="F180" i="9"/>
  <c r="E180" i="9"/>
  <c r="D180" i="9"/>
  <c r="C180" i="9"/>
  <c r="B180" i="9"/>
  <c r="A180" i="9"/>
  <c r="J179" i="9"/>
  <c r="I179" i="9"/>
  <c r="H179" i="9"/>
  <c r="G179" i="9"/>
  <c r="F179" i="9"/>
  <c r="E179" i="9"/>
  <c r="D179" i="9"/>
  <c r="C179" i="9"/>
  <c r="B179" i="9"/>
  <c r="A179" i="9"/>
  <c r="J178" i="9"/>
  <c r="I178" i="9"/>
  <c r="H178" i="9"/>
  <c r="G178" i="9"/>
  <c r="F178" i="9"/>
  <c r="E178" i="9"/>
  <c r="D178" i="9"/>
  <c r="C178" i="9"/>
  <c r="B178" i="9"/>
  <c r="A178" i="9"/>
  <c r="J177" i="9"/>
  <c r="I177" i="9"/>
  <c r="H177" i="9"/>
  <c r="G177" i="9"/>
  <c r="F177" i="9"/>
  <c r="E177" i="9"/>
  <c r="D177" i="9"/>
  <c r="C177" i="9"/>
  <c r="B177" i="9"/>
  <c r="A177" i="9"/>
  <c r="J176" i="9"/>
  <c r="I176" i="9"/>
  <c r="H176" i="9"/>
  <c r="G176" i="9"/>
  <c r="F176" i="9"/>
  <c r="E176" i="9"/>
  <c r="D176" i="9"/>
  <c r="C176" i="9"/>
  <c r="B176" i="9"/>
  <c r="A176" i="9"/>
  <c r="J175" i="9"/>
  <c r="I175" i="9"/>
  <c r="H175" i="9"/>
  <c r="G175" i="9"/>
  <c r="F175" i="9"/>
  <c r="E175" i="9"/>
  <c r="D175" i="9"/>
  <c r="C175" i="9"/>
  <c r="B175" i="9"/>
  <c r="A175" i="9"/>
  <c r="J174" i="9"/>
  <c r="I174" i="9"/>
  <c r="H174" i="9"/>
  <c r="G174" i="9"/>
  <c r="F174" i="9"/>
  <c r="E174" i="9"/>
  <c r="D174" i="9"/>
  <c r="C174" i="9"/>
  <c r="B174" i="9"/>
  <c r="A174" i="9"/>
  <c r="J173" i="9"/>
  <c r="I173" i="9"/>
  <c r="H173" i="9"/>
  <c r="G173" i="9"/>
  <c r="F173" i="9"/>
  <c r="E173" i="9"/>
  <c r="D173" i="9"/>
  <c r="C173" i="9"/>
  <c r="B173" i="9"/>
  <c r="A173" i="9"/>
  <c r="J172" i="9"/>
  <c r="I172" i="9"/>
  <c r="H172" i="9"/>
  <c r="G172" i="9"/>
  <c r="F172" i="9"/>
  <c r="E172" i="9"/>
  <c r="D172" i="9"/>
  <c r="C172" i="9"/>
  <c r="B172" i="9"/>
  <c r="A172" i="9"/>
  <c r="J171" i="9"/>
  <c r="I171" i="9"/>
  <c r="H171" i="9"/>
  <c r="G171" i="9"/>
  <c r="F171" i="9"/>
  <c r="E171" i="9"/>
  <c r="D171" i="9"/>
  <c r="C171" i="9"/>
  <c r="B171" i="9"/>
  <c r="A171" i="9"/>
  <c r="J170" i="9"/>
  <c r="I170" i="9"/>
  <c r="H170" i="9"/>
  <c r="G170" i="9"/>
  <c r="F170" i="9"/>
  <c r="E170" i="9"/>
  <c r="D170" i="9"/>
  <c r="C170" i="9"/>
  <c r="B170" i="9"/>
  <c r="A170" i="9"/>
  <c r="J169" i="9"/>
  <c r="I169" i="9"/>
  <c r="H169" i="9"/>
  <c r="G169" i="9"/>
  <c r="F169" i="9"/>
  <c r="E169" i="9"/>
  <c r="D169" i="9"/>
  <c r="C169" i="9"/>
  <c r="B169" i="9"/>
  <c r="A169" i="9"/>
  <c r="J168" i="9"/>
  <c r="I168" i="9"/>
  <c r="H168" i="9"/>
  <c r="G168" i="9"/>
  <c r="F168" i="9"/>
  <c r="E168" i="9"/>
  <c r="D168" i="9"/>
  <c r="C168" i="9"/>
  <c r="B168" i="9"/>
  <c r="A168" i="9"/>
  <c r="J167" i="9"/>
  <c r="I167" i="9"/>
  <c r="H167" i="9"/>
  <c r="G167" i="9"/>
  <c r="F167" i="9"/>
  <c r="E167" i="9"/>
  <c r="D167" i="9"/>
  <c r="C167" i="9"/>
  <c r="B167" i="9"/>
  <c r="A167" i="9"/>
  <c r="J166" i="9"/>
  <c r="I166" i="9"/>
  <c r="H166" i="9"/>
  <c r="G166" i="9"/>
  <c r="F166" i="9"/>
  <c r="E166" i="9"/>
  <c r="D166" i="9"/>
  <c r="C166" i="9"/>
  <c r="B166" i="9"/>
  <c r="A166" i="9"/>
  <c r="J165" i="9"/>
  <c r="I165" i="9"/>
  <c r="H165" i="9"/>
  <c r="G165" i="9"/>
  <c r="F165" i="9"/>
  <c r="E165" i="9"/>
  <c r="D165" i="9"/>
  <c r="C165" i="9"/>
  <c r="B165" i="9"/>
  <c r="A165" i="9"/>
  <c r="J164" i="9"/>
  <c r="I164" i="9"/>
  <c r="H164" i="9"/>
  <c r="G164" i="9"/>
  <c r="F164" i="9"/>
  <c r="E164" i="9"/>
  <c r="D164" i="9"/>
  <c r="C164" i="9"/>
  <c r="B164" i="9"/>
  <c r="A164" i="9"/>
  <c r="J163" i="9"/>
  <c r="I163" i="9"/>
  <c r="H163" i="9"/>
  <c r="G163" i="9"/>
  <c r="F163" i="9"/>
  <c r="E163" i="9"/>
  <c r="D163" i="9"/>
  <c r="C163" i="9"/>
  <c r="B163" i="9"/>
  <c r="A163" i="9"/>
  <c r="J162" i="9"/>
  <c r="I162" i="9"/>
  <c r="H162" i="9"/>
  <c r="G162" i="9"/>
  <c r="F162" i="9"/>
  <c r="E162" i="9"/>
  <c r="D162" i="9"/>
  <c r="C162" i="9"/>
  <c r="B162" i="9"/>
  <c r="A162" i="9"/>
  <c r="J161" i="9"/>
  <c r="I161" i="9"/>
  <c r="H161" i="9"/>
  <c r="G161" i="9"/>
  <c r="F161" i="9"/>
  <c r="E161" i="9"/>
  <c r="D161" i="9"/>
  <c r="C161" i="9"/>
  <c r="B161" i="9"/>
  <c r="A161" i="9"/>
  <c r="J160" i="9"/>
  <c r="I160" i="9"/>
  <c r="H160" i="9"/>
  <c r="G160" i="9"/>
  <c r="F160" i="9"/>
  <c r="E160" i="9"/>
  <c r="D160" i="9"/>
  <c r="C160" i="9"/>
  <c r="B160" i="9"/>
  <c r="A160" i="9"/>
  <c r="J159" i="9"/>
  <c r="I159" i="9"/>
  <c r="H159" i="9"/>
  <c r="G159" i="9"/>
  <c r="F159" i="9"/>
  <c r="E159" i="9"/>
  <c r="D159" i="9"/>
  <c r="C159" i="9"/>
  <c r="B159" i="9"/>
  <c r="A159" i="9"/>
  <c r="J158" i="9"/>
  <c r="I158" i="9"/>
  <c r="H158" i="9"/>
  <c r="G158" i="9"/>
  <c r="F158" i="9"/>
  <c r="E158" i="9"/>
  <c r="D158" i="9"/>
  <c r="C158" i="9"/>
  <c r="B158" i="9"/>
  <c r="A158" i="9"/>
  <c r="J157" i="9"/>
  <c r="I157" i="9"/>
  <c r="H157" i="9"/>
  <c r="G157" i="9"/>
  <c r="F157" i="9"/>
  <c r="E157" i="9"/>
  <c r="D157" i="9"/>
  <c r="C157" i="9"/>
  <c r="B157" i="9"/>
  <c r="A157" i="9"/>
  <c r="J156" i="9"/>
  <c r="I156" i="9"/>
  <c r="H156" i="9"/>
  <c r="G156" i="9"/>
  <c r="F156" i="9"/>
  <c r="E156" i="9"/>
  <c r="D156" i="9"/>
  <c r="C156" i="9"/>
  <c r="B156" i="9"/>
  <c r="A156" i="9"/>
  <c r="J155" i="9"/>
  <c r="I155" i="9"/>
  <c r="H155" i="9"/>
  <c r="G155" i="9"/>
  <c r="F155" i="9"/>
  <c r="E155" i="9"/>
  <c r="D155" i="9"/>
  <c r="C155" i="9"/>
  <c r="B155" i="9"/>
  <c r="A155" i="9"/>
  <c r="J154" i="9"/>
  <c r="I154" i="9"/>
  <c r="H154" i="9"/>
  <c r="G154" i="9"/>
  <c r="F154" i="9"/>
  <c r="E154" i="9"/>
  <c r="D154" i="9"/>
  <c r="C154" i="9"/>
  <c r="B154" i="9"/>
  <c r="A154" i="9"/>
  <c r="J153" i="9"/>
  <c r="I153" i="9"/>
  <c r="H153" i="9"/>
  <c r="G153" i="9"/>
  <c r="F153" i="9"/>
  <c r="E153" i="9"/>
  <c r="D153" i="9"/>
  <c r="C153" i="9"/>
  <c r="B153" i="9"/>
  <c r="A153" i="9"/>
  <c r="J152" i="9"/>
  <c r="I152" i="9"/>
  <c r="H152" i="9"/>
  <c r="G152" i="9"/>
  <c r="F152" i="9"/>
  <c r="E152" i="9"/>
  <c r="D152" i="9"/>
  <c r="C152" i="9"/>
  <c r="B152" i="9"/>
  <c r="A152" i="9"/>
  <c r="J151" i="9"/>
  <c r="I151" i="9"/>
  <c r="H151" i="9"/>
  <c r="G151" i="9"/>
  <c r="F151" i="9"/>
  <c r="E151" i="9"/>
  <c r="D151" i="9"/>
  <c r="C151" i="9"/>
  <c r="B151" i="9"/>
  <c r="A151" i="9"/>
  <c r="J150" i="9"/>
  <c r="I150" i="9"/>
  <c r="H150" i="9"/>
  <c r="G150" i="9"/>
  <c r="F150" i="9"/>
  <c r="E150" i="9"/>
  <c r="D150" i="9"/>
  <c r="C150" i="9"/>
  <c r="B150" i="9"/>
  <c r="A150" i="9"/>
  <c r="J149" i="9"/>
  <c r="I149" i="9"/>
  <c r="H149" i="9"/>
  <c r="G149" i="9"/>
  <c r="F149" i="9"/>
  <c r="E149" i="9"/>
  <c r="D149" i="9"/>
  <c r="C149" i="9"/>
  <c r="B149" i="9"/>
  <c r="A149" i="9"/>
  <c r="J148" i="9"/>
  <c r="I148" i="9"/>
  <c r="H148" i="9"/>
  <c r="G148" i="9"/>
  <c r="F148" i="9"/>
  <c r="E148" i="9"/>
  <c r="D148" i="9"/>
  <c r="C148" i="9"/>
  <c r="B148" i="9"/>
  <c r="A148" i="9"/>
  <c r="J147" i="9"/>
  <c r="I147" i="9"/>
  <c r="H147" i="9"/>
  <c r="G147" i="9"/>
  <c r="F147" i="9"/>
  <c r="E147" i="9"/>
  <c r="D147" i="9"/>
  <c r="C147" i="9"/>
  <c r="B147" i="9"/>
  <c r="A147" i="9"/>
  <c r="J146" i="9"/>
  <c r="I146" i="9"/>
  <c r="H146" i="9"/>
  <c r="G146" i="9"/>
  <c r="F146" i="9"/>
  <c r="E146" i="9"/>
  <c r="D146" i="9"/>
  <c r="C146" i="9"/>
  <c r="B146" i="9"/>
  <c r="A146" i="9"/>
  <c r="J145" i="9"/>
  <c r="I145" i="9"/>
  <c r="H145" i="9"/>
  <c r="G145" i="9"/>
  <c r="F145" i="9"/>
  <c r="E145" i="9"/>
  <c r="D145" i="9"/>
  <c r="C145" i="9"/>
  <c r="B145" i="9"/>
  <c r="A145" i="9"/>
  <c r="J144" i="9"/>
  <c r="I144" i="9"/>
  <c r="H144" i="9"/>
  <c r="G144" i="9"/>
  <c r="F144" i="9"/>
  <c r="E144" i="9"/>
  <c r="D144" i="9"/>
  <c r="C144" i="9"/>
  <c r="B144" i="9"/>
  <c r="A144" i="9"/>
  <c r="J143" i="9"/>
  <c r="I143" i="9"/>
  <c r="H143" i="9"/>
  <c r="G143" i="9"/>
  <c r="F143" i="9"/>
  <c r="E143" i="9"/>
  <c r="D143" i="9"/>
  <c r="C143" i="9"/>
  <c r="B143" i="9"/>
  <c r="A143" i="9"/>
  <c r="J142" i="9"/>
  <c r="I142" i="9"/>
  <c r="H142" i="9"/>
  <c r="G142" i="9"/>
  <c r="F142" i="9"/>
  <c r="E142" i="9"/>
  <c r="D142" i="9"/>
  <c r="C142" i="9"/>
  <c r="B142" i="9"/>
  <c r="A142" i="9"/>
  <c r="J141" i="9"/>
  <c r="I141" i="9"/>
  <c r="H141" i="9"/>
  <c r="G141" i="9"/>
  <c r="F141" i="9"/>
  <c r="E141" i="9"/>
  <c r="D141" i="9"/>
  <c r="C141" i="9"/>
  <c r="B141" i="9"/>
  <c r="A141" i="9"/>
  <c r="J140" i="9"/>
  <c r="I140" i="9"/>
  <c r="H140" i="9"/>
  <c r="G140" i="9"/>
  <c r="F140" i="9"/>
  <c r="E140" i="9"/>
  <c r="D140" i="9"/>
  <c r="C140" i="9"/>
  <c r="B140" i="9"/>
  <c r="A140" i="9"/>
  <c r="J139" i="9"/>
  <c r="I139" i="9"/>
  <c r="H139" i="9"/>
  <c r="G139" i="9"/>
  <c r="F139" i="9"/>
  <c r="E139" i="9"/>
  <c r="D139" i="9"/>
  <c r="C139" i="9"/>
  <c r="B139" i="9"/>
  <c r="A139" i="9"/>
  <c r="J138" i="9"/>
  <c r="I138" i="9"/>
  <c r="H138" i="9"/>
  <c r="G138" i="9"/>
  <c r="F138" i="9"/>
  <c r="E138" i="9"/>
  <c r="D138" i="9"/>
  <c r="C138" i="9"/>
  <c r="B138" i="9"/>
  <c r="A138" i="9"/>
  <c r="J137" i="9"/>
  <c r="I137" i="9"/>
  <c r="H137" i="9"/>
  <c r="G137" i="9"/>
  <c r="F137" i="9"/>
  <c r="E137" i="9"/>
  <c r="D137" i="9"/>
  <c r="C137" i="9"/>
  <c r="B137" i="9"/>
  <c r="A137" i="9"/>
  <c r="J136" i="9"/>
  <c r="I136" i="9"/>
  <c r="H136" i="9"/>
  <c r="G136" i="9"/>
  <c r="F136" i="9"/>
  <c r="E136" i="9"/>
  <c r="D136" i="9"/>
  <c r="C136" i="9"/>
  <c r="B136" i="9"/>
  <c r="A136" i="9"/>
  <c r="J135" i="9"/>
  <c r="I135" i="9"/>
  <c r="H135" i="9"/>
  <c r="G135" i="9"/>
  <c r="F135" i="9"/>
  <c r="E135" i="9"/>
  <c r="D135" i="9"/>
  <c r="C135" i="9"/>
  <c r="B135" i="9"/>
  <c r="A135" i="9"/>
  <c r="J134" i="9"/>
  <c r="I134" i="9"/>
  <c r="H134" i="9"/>
  <c r="G134" i="9"/>
  <c r="F134" i="9"/>
  <c r="E134" i="9"/>
  <c r="D134" i="9"/>
  <c r="C134" i="9"/>
  <c r="B134" i="9"/>
  <c r="A134" i="9"/>
  <c r="J133" i="9"/>
  <c r="I133" i="9"/>
  <c r="H133" i="9"/>
  <c r="G133" i="9"/>
  <c r="F133" i="9"/>
  <c r="E133" i="9"/>
  <c r="D133" i="9"/>
  <c r="C133" i="9"/>
  <c r="B133" i="9"/>
  <c r="A133" i="9"/>
  <c r="J132" i="9"/>
  <c r="I132" i="9"/>
  <c r="H132" i="9"/>
  <c r="G132" i="9"/>
  <c r="F132" i="9"/>
  <c r="E132" i="9"/>
  <c r="D132" i="9"/>
  <c r="C132" i="9"/>
  <c r="B132" i="9"/>
  <c r="A132" i="9"/>
  <c r="J131" i="9"/>
  <c r="I131" i="9"/>
  <c r="H131" i="9"/>
  <c r="G131" i="9"/>
  <c r="F131" i="9"/>
  <c r="E131" i="9"/>
  <c r="D131" i="9"/>
  <c r="C131" i="9"/>
  <c r="B131" i="9"/>
  <c r="A131" i="9"/>
  <c r="J130" i="9"/>
  <c r="I130" i="9"/>
  <c r="H130" i="9"/>
  <c r="G130" i="9"/>
  <c r="F130" i="9"/>
  <c r="E130" i="9"/>
  <c r="D130" i="9"/>
  <c r="C130" i="9"/>
  <c r="B130" i="9"/>
  <c r="A130" i="9"/>
  <c r="J129" i="9"/>
  <c r="I129" i="9"/>
  <c r="H129" i="9"/>
  <c r="G129" i="9"/>
  <c r="F129" i="9"/>
  <c r="E129" i="9"/>
  <c r="D129" i="9"/>
  <c r="C129" i="9"/>
  <c r="B129" i="9"/>
  <c r="A129" i="9"/>
  <c r="J128" i="9"/>
  <c r="I128" i="9"/>
  <c r="H128" i="9"/>
  <c r="G128" i="9"/>
  <c r="F128" i="9"/>
  <c r="E128" i="9"/>
  <c r="D128" i="9"/>
  <c r="C128" i="9"/>
  <c r="B128" i="9"/>
  <c r="A128" i="9"/>
  <c r="J127" i="9"/>
  <c r="I127" i="9"/>
  <c r="H127" i="9"/>
  <c r="G127" i="9"/>
  <c r="F127" i="9"/>
  <c r="E127" i="9"/>
  <c r="D127" i="9"/>
  <c r="C127" i="9"/>
  <c r="B127" i="9"/>
  <c r="A127" i="9"/>
  <c r="J126" i="9"/>
  <c r="I126" i="9"/>
  <c r="H126" i="9"/>
  <c r="G126" i="9"/>
  <c r="F126" i="9"/>
  <c r="E126" i="9"/>
  <c r="D126" i="9"/>
  <c r="C126" i="9"/>
  <c r="B126" i="9"/>
  <c r="A126" i="9"/>
  <c r="J125" i="9"/>
  <c r="I125" i="9"/>
  <c r="H125" i="9"/>
  <c r="G125" i="9"/>
  <c r="F125" i="9"/>
  <c r="E125" i="9"/>
  <c r="D125" i="9"/>
  <c r="C125" i="9"/>
  <c r="B125" i="9"/>
  <c r="A125" i="9"/>
  <c r="J124" i="9"/>
  <c r="I124" i="9"/>
  <c r="H124" i="9"/>
  <c r="G124" i="9"/>
  <c r="F124" i="9"/>
  <c r="E124" i="9"/>
  <c r="D124" i="9"/>
  <c r="C124" i="9"/>
  <c r="B124" i="9"/>
  <c r="A124" i="9"/>
  <c r="J123" i="9"/>
  <c r="I123" i="9"/>
  <c r="H123" i="9"/>
  <c r="G123" i="9"/>
  <c r="F123" i="9"/>
  <c r="E123" i="9"/>
  <c r="D123" i="9"/>
  <c r="C123" i="9"/>
  <c r="B123" i="9"/>
  <c r="A123" i="9"/>
  <c r="J122" i="9"/>
  <c r="I122" i="9"/>
  <c r="H122" i="9"/>
  <c r="G122" i="9"/>
  <c r="F122" i="9"/>
  <c r="E122" i="9"/>
  <c r="D122" i="9"/>
  <c r="C122" i="9"/>
  <c r="B122" i="9"/>
  <c r="A122" i="9"/>
  <c r="J121" i="9"/>
  <c r="I121" i="9"/>
  <c r="H121" i="9"/>
  <c r="G121" i="9"/>
  <c r="F121" i="9"/>
  <c r="E121" i="9"/>
  <c r="D121" i="9"/>
  <c r="C121" i="9"/>
  <c r="B121" i="9"/>
  <c r="A121" i="9"/>
  <c r="J120" i="9"/>
  <c r="I120" i="9"/>
  <c r="H120" i="9"/>
  <c r="G120" i="9"/>
  <c r="F120" i="9"/>
  <c r="E120" i="9"/>
  <c r="D120" i="9"/>
  <c r="C120" i="9"/>
  <c r="B120" i="9"/>
  <c r="A120" i="9"/>
  <c r="J119" i="9"/>
  <c r="I119" i="9"/>
  <c r="H119" i="9"/>
  <c r="G119" i="9"/>
  <c r="F119" i="9"/>
  <c r="E119" i="9"/>
  <c r="D119" i="9"/>
  <c r="C119" i="9"/>
  <c r="B119" i="9"/>
  <c r="A119" i="9"/>
  <c r="J118" i="9"/>
  <c r="I118" i="9"/>
  <c r="H118" i="9"/>
  <c r="G118" i="9"/>
  <c r="F118" i="9"/>
  <c r="E118" i="9"/>
  <c r="D118" i="9"/>
  <c r="C118" i="9"/>
  <c r="B118" i="9"/>
  <c r="A118" i="9"/>
  <c r="J117" i="9"/>
  <c r="I117" i="9"/>
  <c r="H117" i="9"/>
  <c r="G117" i="9"/>
  <c r="F117" i="9"/>
  <c r="E117" i="9"/>
  <c r="D117" i="9"/>
  <c r="C117" i="9"/>
  <c r="B117" i="9"/>
  <c r="A117" i="9"/>
  <c r="J116" i="9"/>
  <c r="I116" i="9"/>
  <c r="H116" i="9"/>
  <c r="G116" i="9"/>
  <c r="F116" i="9"/>
  <c r="E116" i="9"/>
  <c r="D116" i="9"/>
  <c r="C116" i="9"/>
  <c r="B116" i="9"/>
  <c r="A116" i="9"/>
  <c r="J115" i="9"/>
  <c r="I115" i="9"/>
  <c r="H115" i="9"/>
  <c r="G115" i="9"/>
  <c r="F115" i="9"/>
  <c r="E115" i="9"/>
  <c r="D115" i="9"/>
  <c r="C115" i="9"/>
  <c r="B115" i="9"/>
  <c r="A115" i="9"/>
  <c r="J114" i="9"/>
  <c r="I114" i="9"/>
  <c r="H114" i="9"/>
  <c r="G114" i="9"/>
  <c r="F114" i="9"/>
  <c r="E114" i="9"/>
  <c r="D114" i="9"/>
  <c r="C114" i="9"/>
  <c r="B114" i="9"/>
  <c r="A114" i="9"/>
  <c r="J113" i="9"/>
  <c r="I113" i="9"/>
  <c r="H113" i="9"/>
  <c r="G113" i="9"/>
  <c r="F113" i="9"/>
  <c r="E113" i="9"/>
  <c r="D113" i="9"/>
  <c r="C113" i="9"/>
  <c r="B113" i="9"/>
  <c r="A113" i="9"/>
  <c r="J112" i="9"/>
  <c r="I112" i="9"/>
  <c r="H112" i="9"/>
  <c r="G112" i="9"/>
  <c r="F112" i="9"/>
  <c r="E112" i="9"/>
  <c r="D112" i="9"/>
  <c r="C112" i="9"/>
  <c r="B112" i="9"/>
  <c r="A112" i="9"/>
  <c r="J111" i="9"/>
  <c r="I111" i="9"/>
  <c r="H111" i="9"/>
  <c r="G111" i="9"/>
  <c r="F111" i="9"/>
  <c r="E111" i="9"/>
  <c r="D111" i="9"/>
  <c r="C111" i="9"/>
  <c r="B111" i="9"/>
  <c r="A111" i="9"/>
  <c r="J110" i="9"/>
  <c r="I110" i="9"/>
  <c r="H110" i="9"/>
  <c r="G110" i="9"/>
  <c r="F110" i="9"/>
  <c r="E110" i="9"/>
  <c r="D110" i="9"/>
  <c r="C110" i="9"/>
  <c r="B110" i="9"/>
  <c r="A110" i="9"/>
  <c r="J109" i="9"/>
  <c r="I109" i="9"/>
  <c r="H109" i="9"/>
  <c r="G109" i="9"/>
  <c r="F109" i="9"/>
  <c r="E109" i="9"/>
  <c r="D109" i="9"/>
  <c r="C109" i="9"/>
  <c r="B109" i="9"/>
  <c r="A109" i="9"/>
  <c r="J108" i="9"/>
  <c r="I108" i="9"/>
  <c r="H108" i="9"/>
  <c r="G108" i="9"/>
  <c r="F108" i="9"/>
  <c r="E108" i="9"/>
  <c r="D108" i="9"/>
  <c r="C108" i="9"/>
  <c r="B108" i="9"/>
  <c r="A108" i="9"/>
  <c r="J107" i="9"/>
  <c r="I107" i="9"/>
  <c r="H107" i="9"/>
  <c r="G107" i="9"/>
  <c r="F107" i="9"/>
  <c r="E107" i="9"/>
  <c r="D107" i="9"/>
  <c r="C107" i="9"/>
  <c r="B107" i="9"/>
  <c r="A107" i="9"/>
  <c r="J106" i="9"/>
  <c r="I106" i="9"/>
  <c r="H106" i="9"/>
  <c r="G106" i="9"/>
  <c r="F106" i="9"/>
  <c r="E106" i="9"/>
  <c r="D106" i="9"/>
  <c r="C106" i="9"/>
  <c r="B106" i="9"/>
  <c r="A106" i="9"/>
  <c r="J105" i="9"/>
  <c r="I105" i="9"/>
  <c r="H105" i="9"/>
  <c r="G105" i="9"/>
  <c r="F105" i="9"/>
  <c r="E105" i="9"/>
  <c r="D105" i="9"/>
  <c r="C105" i="9"/>
  <c r="B105" i="9"/>
  <c r="A105" i="9"/>
  <c r="J104" i="9"/>
  <c r="I104" i="9"/>
  <c r="H104" i="9"/>
  <c r="G104" i="9"/>
  <c r="F104" i="9"/>
  <c r="E104" i="9"/>
  <c r="D104" i="9"/>
  <c r="C104" i="9"/>
  <c r="B104" i="9"/>
  <c r="A104" i="9"/>
  <c r="J103" i="9"/>
  <c r="I103" i="9"/>
  <c r="H103" i="9"/>
  <c r="G103" i="9"/>
  <c r="F103" i="9"/>
  <c r="E103" i="9"/>
  <c r="D103" i="9"/>
  <c r="C103" i="9"/>
  <c r="B103" i="9"/>
  <c r="A103" i="9"/>
  <c r="J102" i="9"/>
  <c r="I102" i="9"/>
  <c r="H102" i="9"/>
  <c r="G102" i="9"/>
  <c r="F102" i="9"/>
  <c r="E102" i="9"/>
  <c r="D102" i="9"/>
  <c r="C102" i="9"/>
  <c r="B102" i="9"/>
  <c r="A102" i="9"/>
  <c r="J101" i="9"/>
  <c r="I101" i="9"/>
  <c r="H101" i="9"/>
  <c r="G101" i="9"/>
  <c r="F101" i="9"/>
  <c r="E101" i="9"/>
  <c r="D101" i="9"/>
  <c r="C101" i="9"/>
  <c r="B101" i="9"/>
  <c r="A101" i="9"/>
  <c r="J100" i="9"/>
  <c r="I100" i="9"/>
  <c r="H100" i="9"/>
  <c r="G100" i="9"/>
  <c r="F100" i="9"/>
  <c r="E100" i="9"/>
  <c r="D100" i="9"/>
  <c r="C100" i="9"/>
  <c r="B100" i="9"/>
  <c r="A100" i="9"/>
  <c r="J99" i="9"/>
  <c r="I99" i="9"/>
  <c r="H99" i="9"/>
  <c r="G99" i="9"/>
  <c r="F99" i="9"/>
  <c r="E99" i="9"/>
  <c r="D99" i="9"/>
  <c r="C99" i="9"/>
  <c r="B99" i="9"/>
  <c r="A99" i="9"/>
  <c r="J98" i="9"/>
  <c r="I98" i="9"/>
  <c r="H98" i="9"/>
  <c r="G98" i="9"/>
  <c r="F98" i="9"/>
  <c r="E98" i="9"/>
  <c r="D98" i="9"/>
  <c r="C98" i="9"/>
  <c r="B98" i="9"/>
  <c r="A98" i="9"/>
  <c r="J97" i="9"/>
  <c r="I97" i="9"/>
  <c r="H97" i="9"/>
  <c r="G97" i="9"/>
  <c r="F97" i="9"/>
  <c r="E97" i="9"/>
  <c r="D97" i="9"/>
  <c r="C97" i="9"/>
  <c r="B97" i="9"/>
  <c r="A97" i="9"/>
  <c r="J96" i="9"/>
  <c r="I96" i="9"/>
  <c r="H96" i="9"/>
  <c r="G96" i="9"/>
  <c r="F96" i="9"/>
  <c r="E96" i="9"/>
  <c r="D96" i="9"/>
  <c r="C96" i="9"/>
  <c r="B96" i="9"/>
  <c r="A96" i="9"/>
  <c r="J95" i="9"/>
  <c r="I95" i="9"/>
  <c r="H95" i="9"/>
  <c r="G95" i="9"/>
  <c r="F95" i="9"/>
  <c r="E95" i="9"/>
  <c r="D95" i="9"/>
  <c r="C95" i="9"/>
  <c r="B95" i="9"/>
  <c r="A95" i="9"/>
  <c r="J94" i="9"/>
  <c r="I94" i="9"/>
  <c r="H94" i="9"/>
  <c r="G94" i="9"/>
  <c r="F94" i="9"/>
  <c r="E94" i="9"/>
  <c r="D94" i="9"/>
  <c r="C94" i="9"/>
  <c r="B94" i="9"/>
  <c r="A94" i="9"/>
  <c r="J93" i="9"/>
  <c r="I93" i="9"/>
  <c r="H93" i="9"/>
  <c r="G93" i="9"/>
  <c r="F93" i="9"/>
  <c r="E93" i="9"/>
  <c r="D93" i="9"/>
  <c r="C93" i="9"/>
  <c r="B93" i="9"/>
  <c r="A93" i="9"/>
  <c r="J92" i="9"/>
  <c r="I92" i="9"/>
  <c r="H92" i="9"/>
  <c r="G92" i="9"/>
  <c r="F92" i="9"/>
  <c r="E92" i="9"/>
  <c r="D92" i="9"/>
  <c r="C92" i="9"/>
  <c r="B92" i="9"/>
  <c r="A92" i="9"/>
  <c r="J91" i="9"/>
  <c r="I91" i="9"/>
  <c r="H91" i="9"/>
  <c r="G91" i="9"/>
  <c r="F91" i="9"/>
  <c r="E91" i="9"/>
  <c r="D91" i="9"/>
  <c r="C91" i="9"/>
  <c r="B91" i="9"/>
  <c r="A91" i="9"/>
  <c r="J90" i="9"/>
  <c r="I90" i="9"/>
  <c r="H90" i="9"/>
  <c r="G90" i="9"/>
  <c r="F90" i="9"/>
  <c r="E90" i="9"/>
  <c r="D90" i="9"/>
  <c r="C90" i="9"/>
  <c r="B90" i="9"/>
  <c r="A90" i="9"/>
  <c r="J89" i="9"/>
  <c r="I89" i="9"/>
  <c r="H89" i="9"/>
  <c r="G89" i="9"/>
  <c r="F89" i="9"/>
  <c r="E89" i="9"/>
  <c r="D89" i="9"/>
  <c r="C89" i="9"/>
  <c r="B89" i="9"/>
  <c r="A89" i="9"/>
  <c r="J88" i="9"/>
  <c r="I88" i="9"/>
  <c r="H88" i="9"/>
  <c r="G88" i="9"/>
  <c r="F88" i="9"/>
  <c r="E88" i="9"/>
  <c r="D88" i="9"/>
  <c r="C88" i="9"/>
  <c r="B88" i="9"/>
  <c r="A88" i="9"/>
  <c r="J87" i="9"/>
  <c r="I87" i="9"/>
  <c r="H87" i="9"/>
  <c r="G87" i="9"/>
  <c r="F87" i="9"/>
  <c r="E87" i="9"/>
  <c r="D87" i="9"/>
  <c r="C87" i="9"/>
  <c r="B87" i="9"/>
  <c r="A87" i="9"/>
  <c r="J86" i="9"/>
  <c r="I86" i="9"/>
  <c r="H86" i="9"/>
  <c r="G86" i="9"/>
  <c r="F86" i="9"/>
  <c r="E86" i="9"/>
  <c r="D86" i="9"/>
  <c r="C86" i="9"/>
  <c r="B86" i="9"/>
  <c r="A86" i="9"/>
  <c r="J85" i="9"/>
  <c r="I85" i="9"/>
  <c r="H85" i="9"/>
  <c r="G85" i="9"/>
  <c r="F85" i="9"/>
  <c r="E85" i="9"/>
  <c r="D85" i="9"/>
  <c r="C85" i="9"/>
  <c r="B85" i="9"/>
  <c r="A85" i="9"/>
  <c r="J84" i="9"/>
  <c r="I84" i="9"/>
  <c r="H84" i="9"/>
  <c r="G84" i="9"/>
  <c r="F84" i="9"/>
  <c r="E84" i="9"/>
  <c r="D84" i="9"/>
  <c r="C84" i="9"/>
  <c r="B84" i="9"/>
  <c r="A84" i="9"/>
  <c r="J83" i="9"/>
  <c r="I83" i="9"/>
  <c r="H83" i="9"/>
  <c r="G83" i="9"/>
  <c r="F83" i="9"/>
  <c r="E83" i="9"/>
  <c r="D83" i="9"/>
  <c r="C83" i="9"/>
  <c r="B83" i="9"/>
  <c r="A83" i="9"/>
  <c r="J82" i="9"/>
  <c r="I82" i="9"/>
  <c r="H82" i="9"/>
  <c r="G82" i="9"/>
  <c r="F82" i="9"/>
  <c r="E82" i="9"/>
  <c r="D82" i="9"/>
  <c r="C82" i="9"/>
  <c r="B82" i="9"/>
  <c r="A82" i="9"/>
  <c r="J81" i="9"/>
  <c r="I81" i="9"/>
  <c r="H81" i="9"/>
  <c r="G81" i="9"/>
  <c r="F81" i="9"/>
  <c r="E81" i="9"/>
  <c r="D81" i="9"/>
  <c r="C81" i="9"/>
  <c r="B81" i="9"/>
  <c r="A81" i="9"/>
  <c r="J80" i="9"/>
  <c r="I80" i="9"/>
  <c r="H80" i="9"/>
  <c r="G80" i="9"/>
  <c r="F80" i="9"/>
  <c r="E80" i="9"/>
  <c r="D80" i="9"/>
  <c r="C80" i="9"/>
  <c r="B80" i="9"/>
  <c r="A80" i="9"/>
  <c r="J79" i="9"/>
  <c r="I79" i="9"/>
  <c r="H79" i="9"/>
  <c r="G79" i="9"/>
  <c r="F79" i="9"/>
  <c r="E79" i="9"/>
  <c r="D79" i="9"/>
  <c r="C79" i="9"/>
  <c r="B79" i="9"/>
  <c r="A79" i="9"/>
  <c r="J78" i="9"/>
  <c r="I78" i="9"/>
  <c r="H78" i="9"/>
  <c r="G78" i="9"/>
  <c r="F78" i="9"/>
  <c r="E78" i="9"/>
  <c r="D78" i="9"/>
  <c r="C78" i="9"/>
  <c r="B78" i="9"/>
  <c r="A78" i="9"/>
  <c r="J77" i="9"/>
  <c r="I77" i="9"/>
  <c r="H77" i="9"/>
  <c r="G77" i="9"/>
  <c r="F77" i="9"/>
  <c r="E77" i="9"/>
  <c r="D77" i="9"/>
  <c r="C77" i="9"/>
  <c r="B77" i="9"/>
  <c r="A77" i="9"/>
  <c r="J76" i="9"/>
  <c r="I76" i="9"/>
  <c r="H76" i="9"/>
  <c r="G76" i="9"/>
  <c r="F76" i="9"/>
  <c r="E76" i="9"/>
  <c r="D76" i="9"/>
  <c r="C76" i="9"/>
  <c r="B76" i="9"/>
  <c r="A76" i="9"/>
  <c r="J75" i="9"/>
  <c r="I75" i="9"/>
  <c r="H75" i="9"/>
  <c r="G75" i="9"/>
  <c r="F75" i="9"/>
  <c r="E75" i="9"/>
  <c r="D75" i="9"/>
  <c r="C75" i="9"/>
  <c r="B75" i="9"/>
  <c r="A75" i="9"/>
  <c r="J74" i="9"/>
  <c r="I74" i="9"/>
  <c r="H74" i="9"/>
  <c r="G74" i="9"/>
  <c r="F74" i="9"/>
  <c r="E74" i="9"/>
  <c r="D74" i="9"/>
  <c r="C74" i="9"/>
  <c r="B74" i="9"/>
  <c r="A74" i="9"/>
  <c r="J73" i="9"/>
  <c r="I73" i="9"/>
  <c r="H73" i="9"/>
  <c r="G73" i="9"/>
  <c r="F73" i="9"/>
  <c r="E73" i="9"/>
  <c r="D73" i="9"/>
  <c r="C73" i="9"/>
  <c r="B73" i="9"/>
  <c r="A73" i="9"/>
  <c r="J72" i="9"/>
  <c r="I72" i="9"/>
  <c r="H72" i="9"/>
  <c r="G72" i="9"/>
  <c r="F72" i="9"/>
  <c r="E72" i="9"/>
  <c r="D72" i="9"/>
  <c r="C72" i="9"/>
  <c r="B72" i="9"/>
  <c r="A72" i="9"/>
  <c r="J71" i="9"/>
  <c r="I71" i="9"/>
  <c r="H71" i="9"/>
  <c r="G71" i="9"/>
  <c r="F71" i="9"/>
  <c r="E71" i="9"/>
  <c r="D71" i="9"/>
  <c r="C71" i="9"/>
  <c r="B71" i="9"/>
  <c r="A71" i="9"/>
  <c r="J70" i="9"/>
  <c r="I70" i="9"/>
  <c r="H70" i="9"/>
  <c r="G70" i="9"/>
  <c r="F70" i="9"/>
  <c r="E70" i="9"/>
  <c r="D70" i="9"/>
  <c r="C70" i="9"/>
  <c r="B70" i="9"/>
  <c r="A70" i="9"/>
  <c r="J69" i="9"/>
  <c r="I69" i="9"/>
  <c r="H69" i="9"/>
  <c r="G69" i="9"/>
  <c r="F69" i="9"/>
  <c r="E69" i="9"/>
  <c r="D69" i="9"/>
  <c r="C69" i="9"/>
  <c r="B69" i="9"/>
  <c r="A69" i="9"/>
  <c r="J68" i="9"/>
  <c r="I68" i="9"/>
  <c r="H68" i="9"/>
  <c r="G68" i="9"/>
  <c r="F68" i="9"/>
  <c r="E68" i="9"/>
  <c r="D68" i="9"/>
  <c r="C68" i="9"/>
  <c r="B68" i="9"/>
  <c r="A68" i="9"/>
  <c r="J67" i="9"/>
  <c r="I67" i="9"/>
  <c r="H67" i="9"/>
  <c r="G67" i="9"/>
  <c r="F67" i="9"/>
  <c r="E67" i="9"/>
  <c r="D67" i="9"/>
  <c r="C67" i="9"/>
  <c r="B67" i="9"/>
  <c r="A67" i="9"/>
  <c r="J66" i="9"/>
  <c r="I66" i="9"/>
  <c r="H66" i="9"/>
  <c r="G66" i="9"/>
  <c r="F66" i="9"/>
  <c r="E66" i="9"/>
  <c r="D66" i="9"/>
  <c r="C66" i="9"/>
  <c r="B66" i="9"/>
  <c r="A66" i="9"/>
  <c r="J65" i="9"/>
  <c r="I65" i="9"/>
  <c r="H65" i="9"/>
  <c r="G65" i="9"/>
  <c r="F65" i="9"/>
  <c r="E65" i="9"/>
  <c r="D65" i="9"/>
  <c r="C65" i="9"/>
  <c r="B65" i="9"/>
  <c r="A65" i="9"/>
  <c r="J64" i="9"/>
  <c r="I64" i="9"/>
  <c r="H64" i="9"/>
  <c r="G64" i="9"/>
  <c r="F64" i="9"/>
  <c r="E64" i="9"/>
  <c r="D64" i="9"/>
  <c r="C64" i="9"/>
  <c r="B64" i="9"/>
  <c r="A64" i="9"/>
  <c r="J63" i="9"/>
  <c r="I63" i="9"/>
  <c r="H63" i="9"/>
  <c r="G63" i="9"/>
  <c r="F63" i="9"/>
  <c r="E63" i="9"/>
  <c r="D63" i="9"/>
  <c r="C63" i="9"/>
  <c r="B63" i="9"/>
  <c r="A63" i="9"/>
  <c r="J62" i="9"/>
  <c r="I62" i="9"/>
  <c r="H62" i="9"/>
  <c r="G62" i="9"/>
  <c r="F62" i="9"/>
  <c r="E62" i="9"/>
  <c r="D62" i="9"/>
  <c r="C62" i="9"/>
  <c r="B62" i="9"/>
  <c r="A62" i="9"/>
  <c r="J61" i="9"/>
  <c r="I61" i="9"/>
  <c r="H61" i="9"/>
  <c r="G61" i="9"/>
  <c r="F61" i="9"/>
  <c r="E61" i="9"/>
  <c r="D61" i="9"/>
  <c r="C61" i="9"/>
  <c r="B61" i="9"/>
  <c r="A61" i="9"/>
  <c r="J60" i="9"/>
  <c r="I60" i="9"/>
  <c r="H60" i="9"/>
  <c r="G60" i="9"/>
  <c r="F60" i="9"/>
  <c r="E60" i="9"/>
  <c r="D60" i="9"/>
  <c r="C60" i="9"/>
  <c r="B60" i="9"/>
  <c r="A60" i="9"/>
  <c r="J59" i="9"/>
  <c r="I59" i="9"/>
  <c r="H59" i="9"/>
  <c r="G59" i="9"/>
  <c r="F59" i="9"/>
  <c r="E59" i="9"/>
  <c r="D59" i="9"/>
  <c r="C59" i="9"/>
  <c r="B59" i="9"/>
  <c r="A59" i="9"/>
  <c r="J58" i="9"/>
  <c r="I58" i="9"/>
  <c r="H58" i="9"/>
  <c r="G58" i="9"/>
  <c r="F58" i="9"/>
  <c r="E58" i="9"/>
  <c r="D58" i="9"/>
  <c r="C58" i="9"/>
  <c r="B58" i="9"/>
  <c r="A58" i="9"/>
  <c r="J57" i="9"/>
  <c r="I57" i="9"/>
  <c r="H57" i="9"/>
  <c r="G57" i="9"/>
  <c r="F57" i="9"/>
  <c r="E57" i="9"/>
  <c r="D57" i="9"/>
  <c r="C57" i="9"/>
  <c r="B57" i="9"/>
  <c r="A57" i="9"/>
  <c r="J56" i="9"/>
  <c r="I56" i="9"/>
  <c r="H56" i="9"/>
  <c r="G56" i="9"/>
  <c r="F56" i="9"/>
  <c r="E56" i="9"/>
  <c r="D56" i="9"/>
  <c r="C56" i="9"/>
  <c r="B56" i="9"/>
  <c r="A56" i="9"/>
  <c r="J55" i="9"/>
  <c r="I55" i="9"/>
  <c r="H55" i="9"/>
  <c r="G55" i="9"/>
  <c r="F55" i="9"/>
  <c r="E55" i="9"/>
  <c r="D55" i="9"/>
  <c r="C55" i="9"/>
  <c r="B55" i="9"/>
  <c r="A55" i="9"/>
  <c r="J54" i="9"/>
  <c r="I54" i="9"/>
  <c r="H54" i="9"/>
  <c r="G54" i="9"/>
  <c r="F54" i="9"/>
  <c r="E54" i="9"/>
  <c r="D54" i="9"/>
  <c r="C54" i="9"/>
  <c r="B54" i="9"/>
  <c r="A54" i="9"/>
  <c r="J53" i="9"/>
  <c r="I53" i="9"/>
  <c r="H53" i="9"/>
  <c r="G53" i="9"/>
  <c r="F53" i="9"/>
  <c r="E53" i="9"/>
  <c r="D53" i="9"/>
  <c r="C53" i="9"/>
  <c r="B53" i="9"/>
  <c r="A53" i="9"/>
  <c r="J52" i="9"/>
  <c r="I52" i="9"/>
  <c r="H52" i="9"/>
  <c r="G52" i="9"/>
  <c r="F52" i="9"/>
  <c r="E52" i="9"/>
  <c r="D52" i="9"/>
  <c r="C52" i="9"/>
  <c r="B52" i="9"/>
  <c r="A52" i="9"/>
  <c r="J51" i="9"/>
  <c r="I51" i="9"/>
  <c r="H51" i="9"/>
  <c r="G51" i="9"/>
  <c r="F51" i="9"/>
  <c r="E51" i="9"/>
  <c r="D51" i="9"/>
  <c r="C51" i="9"/>
  <c r="B51" i="9"/>
  <c r="A51" i="9"/>
  <c r="J50" i="9"/>
  <c r="I50" i="9"/>
  <c r="H50" i="9"/>
  <c r="G50" i="9"/>
  <c r="F50" i="9"/>
  <c r="E50" i="9"/>
  <c r="D50" i="9"/>
  <c r="C50" i="9"/>
  <c r="B50" i="9"/>
  <c r="A50" i="9"/>
  <c r="J49" i="9"/>
  <c r="I49" i="9"/>
  <c r="H49" i="9"/>
  <c r="G49" i="9"/>
  <c r="F49" i="9"/>
  <c r="E49" i="9"/>
  <c r="D49" i="9"/>
  <c r="C49" i="9"/>
  <c r="B49" i="9"/>
  <c r="A49" i="9"/>
  <c r="J48" i="9"/>
  <c r="I48" i="9"/>
  <c r="H48" i="9"/>
  <c r="G48" i="9"/>
  <c r="F48" i="9"/>
  <c r="E48" i="9"/>
  <c r="D48" i="9"/>
  <c r="C48" i="9"/>
  <c r="B48" i="9"/>
  <c r="A48" i="9"/>
  <c r="J47" i="9"/>
  <c r="I47" i="9"/>
  <c r="H47" i="9"/>
  <c r="G47" i="9"/>
  <c r="F47" i="9"/>
  <c r="E47" i="9"/>
  <c r="D47" i="9"/>
  <c r="C47" i="9"/>
  <c r="B47" i="9"/>
  <c r="A47" i="9"/>
  <c r="J46" i="9"/>
  <c r="I46" i="9"/>
  <c r="H46" i="9"/>
  <c r="G46" i="9"/>
  <c r="F46" i="9"/>
  <c r="E46" i="9"/>
  <c r="D46" i="9"/>
  <c r="C46" i="9"/>
  <c r="B46" i="9"/>
  <c r="A46" i="9"/>
  <c r="J45" i="9"/>
  <c r="I45" i="9"/>
  <c r="H45" i="9"/>
  <c r="G45" i="9"/>
  <c r="F45" i="9"/>
  <c r="E45" i="9"/>
  <c r="D45" i="9"/>
  <c r="C45" i="9"/>
  <c r="B45" i="9"/>
  <c r="A45" i="9"/>
  <c r="J44" i="9"/>
  <c r="I44" i="9"/>
  <c r="H44" i="9"/>
  <c r="G44" i="9"/>
  <c r="F44" i="9"/>
  <c r="E44" i="9"/>
  <c r="D44" i="9"/>
  <c r="C44" i="9"/>
  <c r="B44" i="9"/>
  <c r="A44" i="9"/>
  <c r="J43" i="9"/>
  <c r="I43" i="9"/>
  <c r="H43" i="9"/>
  <c r="G43" i="9"/>
  <c r="F43" i="9"/>
  <c r="E43" i="9"/>
  <c r="D43" i="9"/>
  <c r="C43" i="9"/>
  <c r="B43" i="9"/>
  <c r="A43" i="9"/>
  <c r="J42" i="9"/>
  <c r="I42" i="9"/>
  <c r="H42" i="9"/>
  <c r="G42" i="9"/>
  <c r="F42" i="9"/>
  <c r="E42" i="9"/>
  <c r="D42" i="9"/>
  <c r="C42" i="9"/>
  <c r="B42" i="9"/>
  <c r="A42" i="9"/>
  <c r="J41" i="9"/>
  <c r="I41" i="9"/>
  <c r="H41" i="9"/>
  <c r="G41" i="9"/>
  <c r="F41" i="9"/>
  <c r="E41" i="9"/>
  <c r="D41" i="9"/>
  <c r="C41" i="9"/>
  <c r="B41" i="9"/>
  <c r="A41" i="9"/>
  <c r="J40" i="9"/>
  <c r="I40" i="9"/>
  <c r="H40" i="9"/>
  <c r="G40" i="9"/>
  <c r="F40" i="9"/>
  <c r="E40" i="9"/>
  <c r="D40" i="9"/>
  <c r="C40" i="9"/>
  <c r="B40" i="9"/>
  <c r="A40" i="9"/>
  <c r="J39" i="9"/>
  <c r="I39" i="9"/>
  <c r="H39" i="9"/>
  <c r="G39" i="9"/>
  <c r="F39" i="9"/>
  <c r="E39" i="9"/>
  <c r="D39" i="9"/>
  <c r="C39" i="9"/>
  <c r="B39" i="9"/>
  <c r="A39" i="9"/>
  <c r="J38" i="9"/>
  <c r="I38" i="9"/>
  <c r="H38" i="9"/>
  <c r="G38" i="9"/>
  <c r="F38" i="9"/>
  <c r="E38" i="9"/>
  <c r="D38" i="9"/>
  <c r="C38" i="9"/>
  <c r="B38" i="9"/>
  <c r="A38" i="9"/>
  <c r="J37" i="9"/>
  <c r="I37" i="9"/>
  <c r="H37" i="9"/>
  <c r="G37" i="9"/>
  <c r="F37" i="9"/>
  <c r="E37" i="9"/>
  <c r="D37" i="9"/>
  <c r="C37" i="9"/>
  <c r="B37" i="9"/>
  <c r="A37" i="9"/>
  <c r="J36" i="9"/>
  <c r="I36" i="9"/>
  <c r="H36" i="9"/>
  <c r="G36" i="9"/>
  <c r="F36" i="9"/>
  <c r="E36" i="9"/>
  <c r="D36" i="9"/>
  <c r="C36" i="9"/>
  <c r="B36" i="9"/>
  <c r="A36" i="9"/>
  <c r="J35" i="9"/>
  <c r="I35" i="9"/>
  <c r="H35" i="9"/>
  <c r="G35" i="9"/>
  <c r="F35" i="9"/>
  <c r="E35" i="9"/>
  <c r="D35" i="9"/>
  <c r="C35" i="9"/>
  <c r="B35" i="9"/>
  <c r="A35" i="9"/>
  <c r="J34" i="9"/>
  <c r="I34" i="9"/>
  <c r="H34" i="9"/>
  <c r="G34" i="9"/>
  <c r="F34" i="9"/>
  <c r="E34" i="9"/>
  <c r="D34" i="9"/>
  <c r="C34" i="9"/>
  <c r="B34" i="9"/>
  <c r="A34" i="9"/>
  <c r="J33" i="9"/>
  <c r="I33" i="9"/>
  <c r="H33" i="9"/>
  <c r="G33" i="9"/>
  <c r="F33" i="9"/>
  <c r="E33" i="9"/>
  <c r="D33" i="9"/>
  <c r="C33" i="9"/>
  <c r="B33" i="9"/>
  <c r="A33" i="9"/>
  <c r="J32" i="9"/>
  <c r="I32" i="9"/>
  <c r="H32" i="9"/>
  <c r="G32" i="9"/>
  <c r="F32" i="9"/>
  <c r="E32" i="9"/>
  <c r="D32" i="9"/>
  <c r="C32" i="9"/>
  <c r="B32" i="9"/>
  <c r="A32" i="9"/>
  <c r="J31" i="9"/>
  <c r="I31" i="9"/>
  <c r="H31" i="9"/>
  <c r="G31" i="9"/>
  <c r="F31" i="9"/>
  <c r="E31" i="9"/>
  <c r="D31" i="9"/>
  <c r="C31" i="9"/>
  <c r="B31" i="9"/>
  <c r="A31" i="9"/>
  <c r="J30" i="9"/>
  <c r="I30" i="9"/>
  <c r="H30" i="9"/>
  <c r="G30" i="9"/>
  <c r="F30" i="9"/>
  <c r="E30" i="9"/>
  <c r="D30" i="9"/>
  <c r="C30" i="9"/>
  <c r="B30" i="9"/>
  <c r="A30" i="9"/>
  <c r="J29" i="9"/>
  <c r="I29" i="9"/>
  <c r="H29" i="9"/>
  <c r="G29" i="9"/>
  <c r="F29" i="9"/>
  <c r="E29" i="9"/>
  <c r="D29" i="9"/>
  <c r="C29" i="9"/>
  <c r="B29" i="9"/>
  <c r="A29" i="9"/>
  <c r="J28" i="9"/>
  <c r="I28" i="9"/>
  <c r="H28" i="9"/>
  <c r="G28" i="9"/>
  <c r="F28" i="9"/>
  <c r="E28" i="9"/>
  <c r="D28" i="9"/>
  <c r="C28" i="9"/>
  <c r="B28" i="9"/>
  <c r="A28" i="9"/>
  <c r="J27" i="9"/>
  <c r="I27" i="9"/>
  <c r="H27" i="9"/>
  <c r="G27" i="9"/>
  <c r="F27" i="9"/>
  <c r="E27" i="9"/>
  <c r="D27" i="9"/>
  <c r="C27" i="9"/>
  <c r="B27" i="9"/>
  <c r="A27" i="9"/>
  <c r="J26" i="9"/>
  <c r="I26" i="9"/>
  <c r="H26" i="9"/>
  <c r="G26" i="9"/>
  <c r="F26" i="9"/>
  <c r="E26" i="9"/>
  <c r="D26" i="9"/>
  <c r="C26" i="9"/>
  <c r="B26" i="9"/>
  <c r="A26" i="9"/>
  <c r="J25" i="9"/>
  <c r="I25" i="9"/>
  <c r="H25" i="9"/>
  <c r="G25" i="9"/>
  <c r="F25" i="9"/>
  <c r="E25" i="9"/>
  <c r="D25" i="9"/>
  <c r="C25" i="9"/>
  <c r="B25" i="9"/>
  <c r="A25" i="9"/>
  <c r="J24" i="9"/>
  <c r="I24" i="9"/>
  <c r="H24" i="9"/>
  <c r="G24" i="9"/>
  <c r="F24" i="9"/>
  <c r="E24" i="9"/>
  <c r="D24" i="9"/>
  <c r="C24" i="9"/>
  <c r="B24" i="9"/>
  <c r="A24" i="9"/>
  <c r="J23" i="9"/>
  <c r="I23" i="9"/>
  <c r="H23" i="9"/>
  <c r="G23" i="9"/>
  <c r="F23" i="9"/>
  <c r="E23" i="9"/>
  <c r="D23" i="9"/>
  <c r="C23" i="9"/>
  <c r="B23" i="9"/>
  <c r="A23" i="9"/>
  <c r="J22" i="9"/>
  <c r="I22" i="9"/>
  <c r="H22" i="9"/>
  <c r="G22" i="9"/>
  <c r="F22" i="9"/>
  <c r="E22" i="9"/>
  <c r="D22" i="9"/>
  <c r="C22" i="9"/>
  <c r="B22" i="9"/>
  <c r="A22" i="9"/>
  <c r="J21" i="9"/>
  <c r="I21" i="9"/>
  <c r="H21" i="9"/>
  <c r="G21" i="9"/>
  <c r="F21" i="9"/>
  <c r="E21" i="9"/>
  <c r="D21" i="9"/>
  <c r="C21" i="9"/>
  <c r="B21" i="9"/>
  <c r="A21" i="9"/>
  <c r="J20" i="9"/>
  <c r="I20" i="9"/>
  <c r="H20" i="9"/>
  <c r="G20" i="9"/>
  <c r="F20" i="9"/>
  <c r="E20" i="9"/>
  <c r="D20" i="9"/>
  <c r="C20" i="9"/>
  <c r="B20" i="9"/>
  <c r="A20" i="9"/>
  <c r="J19" i="9"/>
  <c r="I19" i="9"/>
  <c r="H19" i="9"/>
  <c r="G19" i="9"/>
  <c r="F19" i="9"/>
  <c r="E19" i="9"/>
  <c r="D19" i="9"/>
  <c r="C19" i="9"/>
  <c r="B19" i="9"/>
  <c r="A19" i="9"/>
  <c r="J18" i="9"/>
  <c r="I18" i="9"/>
  <c r="H18" i="9"/>
  <c r="G18" i="9"/>
  <c r="F18" i="9"/>
  <c r="E18" i="9"/>
  <c r="D18" i="9"/>
  <c r="C18" i="9"/>
  <c r="B18" i="9"/>
  <c r="A18" i="9"/>
  <c r="J17" i="9"/>
  <c r="I17" i="9"/>
  <c r="H17" i="9"/>
  <c r="G17" i="9"/>
  <c r="F17" i="9"/>
  <c r="E17" i="9"/>
  <c r="D17" i="9"/>
  <c r="C17" i="9"/>
  <c r="B17" i="9"/>
  <c r="A17" i="9"/>
  <c r="J16" i="9"/>
  <c r="I16" i="9"/>
  <c r="H16" i="9"/>
  <c r="G16" i="9"/>
  <c r="F16" i="9"/>
  <c r="E16" i="9"/>
  <c r="D16" i="9"/>
  <c r="C16" i="9"/>
  <c r="B16" i="9"/>
  <c r="A16" i="9"/>
  <c r="J15" i="9"/>
  <c r="I15" i="9"/>
  <c r="H15" i="9"/>
  <c r="G15" i="9"/>
  <c r="F15" i="9"/>
  <c r="E15" i="9"/>
  <c r="D15" i="9"/>
  <c r="C15" i="9"/>
  <c r="B15" i="9"/>
  <c r="A15" i="9"/>
  <c r="J14" i="9"/>
  <c r="I14" i="9"/>
  <c r="H14" i="9"/>
  <c r="G14" i="9"/>
  <c r="F14" i="9"/>
  <c r="E14" i="9"/>
  <c r="D14" i="9"/>
  <c r="C14" i="9"/>
  <c r="B14" i="9"/>
  <c r="A14" i="9"/>
  <c r="J13" i="9"/>
  <c r="I13" i="9"/>
  <c r="H13" i="9"/>
  <c r="G13" i="9"/>
  <c r="F13" i="9"/>
  <c r="E13" i="9"/>
  <c r="D13" i="9"/>
  <c r="C13" i="9"/>
  <c r="B13" i="9"/>
  <c r="A13" i="9"/>
  <c r="J12" i="9"/>
  <c r="I12" i="9"/>
  <c r="H12" i="9"/>
  <c r="G12" i="9"/>
  <c r="F12" i="9"/>
  <c r="E12" i="9"/>
  <c r="D12" i="9"/>
  <c r="C12" i="9"/>
  <c r="B12" i="9"/>
  <c r="A12" i="9"/>
  <c r="J11" i="9"/>
  <c r="I11" i="9"/>
  <c r="H11" i="9"/>
  <c r="G11" i="9"/>
  <c r="F11" i="9"/>
  <c r="E11" i="9"/>
  <c r="D11" i="9"/>
  <c r="C11" i="9"/>
  <c r="B11" i="9"/>
  <c r="A11" i="9"/>
  <c r="J10" i="9"/>
  <c r="J10" i="8" s="1"/>
  <c r="I10" i="9"/>
  <c r="I10" i="8" s="1"/>
  <c r="X10" i="8" s="1"/>
  <c r="E39" i="6" s="1"/>
  <c r="H10" i="9"/>
  <c r="H10" i="8" s="1"/>
  <c r="G10" i="9"/>
  <c r="G10" i="8" s="1"/>
  <c r="F10" i="9"/>
  <c r="F10" i="8" s="1"/>
  <c r="E10" i="9"/>
  <c r="E10" i="8" s="1"/>
  <c r="D10" i="9"/>
  <c r="D10" i="8" s="1"/>
  <c r="C10" i="9"/>
  <c r="C10" i="8" s="1"/>
  <c r="W10" i="8" s="1"/>
  <c r="B10" i="9"/>
  <c r="B10" i="8" s="1"/>
  <c r="A10" i="9"/>
  <c r="J9" i="9"/>
  <c r="J9" i="8" s="1"/>
  <c r="I9" i="9"/>
  <c r="I9" i="8" s="1"/>
  <c r="X9" i="8" s="1"/>
  <c r="E38" i="6" s="1"/>
  <c r="H9" i="9"/>
  <c r="H9" i="8" s="1"/>
  <c r="G9" i="9"/>
  <c r="G9" i="8" s="1"/>
  <c r="F9" i="9"/>
  <c r="F9" i="8" s="1"/>
  <c r="E9" i="9"/>
  <c r="E9" i="8" s="1"/>
  <c r="D9" i="9"/>
  <c r="D9" i="8" s="1"/>
  <c r="C9" i="9"/>
  <c r="C9" i="8" s="1"/>
  <c r="W9" i="8" s="1"/>
  <c r="B9" i="9"/>
  <c r="B9" i="8" s="1"/>
  <c r="A9" i="9"/>
  <c r="J8" i="9"/>
  <c r="J8" i="8" s="1"/>
  <c r="I8" i="9"/>
  <c r="I8" i="8" s="1"/>
  <c r="X8" i="8" s="1"/>
  <c r="E37" i="6" s="1"/>
  <c r="H8" i="9"/>
  <c r="H8" i="8" s="1"/>
  <c r="G8" i="9"/>
  <c r="G8" i="8" s="1"/>
  <c r="F8" i="9"/>
  <c r="F8" i="8" s="1"/>
  <c r="E8" i="9"/>
  <c r="E8" i="8" s="1"/>
  <c r="D8" i="9"/>
  <c r="D8" i="8" s="1"/>
  <c r="C8" i="9"/>
  <c r="C8" i="8" s="1"/>
  <c r="W8" i="8" s="1"/>
  <c r="B8" i="9"/>
  <c r="B8" i="8" s="1"/>
  <c r="A8" i="9"/>
  <c r="J7" i="9"/>
  <c r="J7" i="8" s="1"/>
  <c r="I7" i="9"/>
  <c r="I7" i="8" s="1"/>
  <c r="X7" i="8" s="1"/>
  <c r="E36" i="6" s="1"/>
  <c r="H7" i="9"/>
  <c r="H7" i="8" s="1"/>
  <c r="G7" i="9"/>
  <c r="G7" i="8" s="1"/>
  <c r="F7" i="9"/>
  <c r="F7" i="8" s="1"/>
  <c r="E7" i="9"/>
  <c r="E7" i="8" s="1"/>
  <c r="D7" i="9"/>
  <c r="D7" i="8" s="1"/>
  <c r="C7" i="9"/>
  <c r="C7" i="8" s="1"/>
  <c r="W7" i="8" s="1"/>
  <c r="B7" i="9"/>
  <c r="B7" i="8" s="1"/>
  <c r="A7" i="9"/>
  <c r="J6" i="9"/>
  <c r="J6" i="8" s="1"/>
  <c r="I6" i="9"/>
  <c r="I6" i="8" s="1"/>
  <c r="X6" i="8" s="1"/>
  <c r="E35" i="6" s="1"/>
  <c r="H6" i="9"/>
  <c r="H6" i="8" s="1"/>
  <c r="G6" i="9"/>
  <c r="G6" i="8" s="1"/>
  <c r="F6" i="9"/>
  <c r="F6" i="8" s="1"/>
  <c r="E6" i="9"/>
  <c r="E6" i="8" s="1"/>
  <c r="D6" i="9"/>
  <c r="D6" i="8" s="1"/>
  <c r="C6" i="9"/>
  <c r="C6" i="8" s="1"/>
  <c r="W6" i="8" s="1"/>
  <c r="B6" i="9"/>
  <c r="B6" i="8" s="1"/>
  <c r="A6" i="9"/>
  <c r="J5" i="9"/>
  <c r="J5" i="8" s="1"/>
  <c r="I5" i="9"/>
  <c r="I5" i="8" s="1"/>
  <c r="X5" i="8" s="1"/>
  <c r="E34" i="6" s="1"/>
  <c r="H5" i="9"/>
  <c r="H5" i="8" s="1"/>
  <c r="G5" i="9"/>
  <c r="G5" i="8" s="1"/>
  <c r="F5" i="9"/>
  <c r="F5" i="8" s="1"/>
  <c r="E5" i="9"/>
  <c r="E5" i="8" s="1"/>
  <c r="D5" i="9"/>
  <c r="D5" i="8" s="1"/>
  <c r="C5" i="9"/>
  <c r="C5" i="8" s="1"/>
  <c r="W5" i="8" s="1"/>
  <c r="B5" i="9"/>
  <c r="B5" i="8" s="1"/>
  <c r="A5" i="9"/>
  <c r="J4" i="9"/>
  <c r="J4" i="8" s="1"/>
  <c r="I4" i="9"/>
  <c r="I4" i="8" s="1"/>
  <c r="X4" i="8" s="1"/>
  <c r="E33" i="6" s="1"/>
  <c r="H4" i="9"/>
  <c r="H4" i="8" s="1"/>
  <c r="G4" i="9"/>
  <c r="G4" i="8" s="1"/>
  <c r="F4" i="9"/>
  <c r="F4" i="8" s="1"/>
  <c r="E4" i="9"/>
  <c r="E4" i="8" s="1"/>
  <c r="D4" i="9"/>
  <c r="D4" i="8" s="1"/>
  <c r="C4" i="9"/>
  <c r="C4" i="8" s="1"/>
  <c r="W4" i="8" s="1"/>
  <c r="B4" i="9"/>
  <c r="B4" i="8" s="1"/>
  <c r="A4" i="9"/>
  <c r="J3" i="9"/>
  <c r="J3" i="8" s="1"/>
  <c r="I3" i="9"/>
  <c r="I3" i="8" s="1"/>
  <c r="X3" i="8" s="1"/>
  <c r="E32" i="6" s="1"/>
  <c r="H3" i="9"/>
  <c r="H3" i="8" s="1"/>
  <c r="G3" i="9"/>
  <c r="G3" i="8" s="1"/>
  <c r="F3" i="9"/>
  <c r="F3" i="8" s="1"/>
  <c r="E3" i="9"/>
  <c r="E3" i="8" s="1"/>
  <c r="D3" i="9"/>
  <c r="D3" i="8" s="1"/>
  <c r="C3" i="9"/>
  <c r="C3" i="8" s="1"/>
  <c r="W3" i="8" s="1"/>
  <c r="B3" i="9"/>
  <c r="B3" i="8" s="1"/>
  <c r="A3" i="9"/>
  <c r="J2" i="9"/>
  <c r="J2" i="8" s="1"/>
  <c r="I2" i="9"/>
  <c r="I2" i="8" s="1"/>
  <c r="X2" i="8" s="1"/>
  <c r="H2" i="9"/>
  <c r="H2" i="8" s="1"/>
  <c r="G2" i="9"/>
  <c r="G2" i="8" s="1"/>
  <c r="F2" i="9"/>
  <c r="F2" i="8" s="1"/>
  <c r="E2" i="9"/>
  <c r="E2" i="8" s="1"/>
  <c r="D2" i="9"/>
  <c r="D2" i="8" s="1"/>
  <c r="C2" i="9"/>
  <c r="C2" i="8" s="1"/>
  <c r="W2" i="8" s="1"/>
  <c r="B2" i="9"/>
  <c r="B2" i="8" s="1"/>
  <c r="A2" i="9"/>
  <c r="P1001" i="8"/>
  <c r="O1001" i="8"/>
  <c r="N1001" i="8"/>
  <c r="M1001" i="8"/>
  <c r="L1001" i="8"/>
  <c r="AA1001" i="8" s="1"/>
  <c r="K1001" i="8"/>
  <c r="J1001" i="8"/>
  <c r="Z1001" i="8" s="1"/>
  <c r="I1001" i="8"/>
  <c r="X1001" i="8" s="1"/>
  <c r="E1030" i="6" s="1"/>
  <c r="H1001" i="8"/>
  <c r="G1001" i="8"/>
  <c r="F1001" i="8"/>
  <c r="Y1001" i="8" s="1"/>
  <c r="E1001" i="8"/>
  <c r="D1001" i="8"/>
  <c r="C1001" i="8"/>
  <c r="W1001" i="8" s="1"/>
  <c r="B1001" i="8"/>
  <c r="A1001" i="8"/>
  <c r="P1000" i="8"/>
  <c r="O1000" i="8"/>
  <c r="N1000" i="8"/>
  <c r="M1000" i="8"/>
  <c r="L1000" i="8"/>
  <c r="AA1000" i="8" s="1"/>
  <c r="K1000" i="8"/>
  <c r="J1000" i="8"/>
  <c r="Z1000" i="8" s="1"/>
  <c r="I1000" i="8"/>
  <c r="X1000" i="8" s="1"/>
  <c r="E1029" i="6" s="1"/>
  <c r="H1000" i="8"/>
  <c r="G1000" i="8"/>
  <c r="F1000" i="8"/>
  <c r="Y1000" i="8" s="1"/>
  <c r="E1000" i="8"/>
  <c r="D1000" i="8"/>
  <c r="C1000" i="8"/>
  <c r="W1000" i="8" s="1"/>
  <c r="B1000" i="8"/>
  <c r="A1000" i="8"/>
  <c r="P999" i="8"/>
  <c r="O999" i="8"/>
  <c r="N999" i="8"/>
  <c r="M999" i="8"/>
  <c r="L999" i="8"/>
  <c r="AA999" i="8" s="1"/>
  <c r="K999" i="8"/>
  <c r="J999" i="8"/>
  <c r="Z999" i="8" s="1"/>
  <c r="I999" i="8"/>
  <c r="X999" i="8" s="1"/>
  <c r="E1028" i="6" s="1"/>
  <c r="H999" i="8"/>
  <c r="G999" i="8"/>
  <c r="F999" i="8"/>
  <c r="Y999" i="8" s="1"/>
  <c r="E999" i="8"/>
  <c r="D999" i="8"/>
  <c r="C999" i="8"/>
  <c r="W999" i="8" s="1"/>
  <c r="B999" i="8"/>
  <c r="A999" i="8"/>
  <c r="P998" i="8"/>
  <c r="O998" i="8"/>
  <c r="N998" i="8"/>
  <c r="M998" i="8"/>
  <c r="L998" i="8"/>
  <c r="AA998" i="8" s="1"/>
  <c r="K998" i="8"/>
  <c r="J998" i="8"/>
  <c r="Z998" i="8" s="1"/>
  <c r="I998" i="8"/>
  <c r="X998" i="8" s="1"/>
  <c r="E1027" i="6" s="1"/>
  <c r="H998" i="8"/>
  <c r="G998" i="8"/>
  <c r="F998" i="8"/>
  <c r="Y998" i="8" s="1"/>
  <c r="E998" i="8"/>
  <c r="D998" i="8"/>
  <c r="C998" i="8"/>
  <c r="W998" i="8" s="1"/>
  <c r="B998" i="8"/>
  <c r="A998" i="8"/>
  <c r="P997" i="8"/>
  <c r="O997" i="8"/>
  <c r="N997" i="8"/>
  <c r="M997" i="8"/>
  <c r="L997" i="8"/>
  <c r="AA997" i="8" s="1"/>
  <c r="K997" i="8"/>
  <c r="J997" i="8"/>
  <c r="Z997" i="8" s="1"/>
  <c r="I997" i="8"/>
  <c r="X997" i="8" s="1"/>
  <c r="E1026" i="6" s="1"/>
  <c r="H997" i="8"/>
  <c r="G997" i="8"/>
  <c r="F997" i="8"/>
  <c r="Y997" i="8" s="1"/>
  <c r="E997" i="8"/>
  <c r="D997" i="8"/>
  <c r="C997" i="8"/>
  <c r="W997" i="8" s="1"/>
  <c r="B997" i="8"/>
  <c r="A997" i="8"/>
  <c r="P996" i="8"/>
  <c r="O996" i="8"/>
  <c r="N996" i="8"/>
  <c r="M996" i="8"/>
  <c r="L996" i="8"/>
  <c r="AA996" i="8" s="1"/>
  <c r="K996" i="8"/>
  <c r="J996" i="8"/>
  <c r="Z996" i="8" s="1"/>
  <c r="I996" i="8"/>
  <c r="X996" i="8" s="1"/>
  <c r="E1025" i="6" s="1"/>
  <c r="H996" i="8"/>
  <c r="G996" i="8"/>
  <c r="F996" i="8"/>
  <c r="Y996" i="8" s="1"/>
  <c r="E996" i="8"/>
  <c r="D996" i="8"/>
  <c r="C996" i="8"/>
  <c r="W996" i="8" s="1"/>
  <c r="B996" i="8"/>
  <c r="A996" i="8"/>
  <c r="P995" i="8"/>
  <c r="O995" i="8"/>
  <c r="N995" i="8"/>
  <c r="M995" i="8"/>
  <c r="L995" i="8"/>
  <c r="AA995" i="8" s="1"/>
  <c r="K995" i="8"/>
  <c r="J995" i="8"/>
  <c r="Z995" i="8" s="1"/>
  <c r="I995" i="8"/>
  <c r="X995" i="8" s="1"/>
  <c r="E1024" i="6" s="1"/>
  <c r="H995" i="8"/>
  <c r="G995" i="8"/>
  <c r="F995" i="8"/>
  <c r="Y995" i="8" s="1"/>
  <c r="E995" i="8"/>
  <c r="D995" i="8"/>
  <c r="C995" i="8"/>
  <c r="W995" i="8" s="1"/>
  <c r="B995" i="8"/>
  <c r="A995" i="8"/>
  <c r="P994" i="8"/>
  <c r="O994" i="8"/>
  <c r="N994" i="8"/>
  <c r="M994" i="8"/>
  <c r="L994" i="8"/>
  <c r="AA994" i="8" s="1"/>
  <c r="K994" i="8"/>
  <c r="J994" i="8"/>
  <c r="Z994" i="8" s="1"/>
  <c r="I994" i="8"/>
  <c r="X994" i="8" s="1"/>
  <c r="E1023" i="6" s="1"/>
  <c r="H994" i="8"/>
  <c r="G994" i="8"/>
  <c r="F994" i="8"/>
  <c r="Y994" i="8" s="1"/>
  <c r="E994" i="8"/>
  <c r="D994" i="8"/>
  <c r="C994" i="8"/>
  <c r="W994" i="8" s="1"/>
  <c r="B994" i="8"/>
  <c r="A994" i="8"/>
  <c r="P993" i="8"/>
  <c r="O993" i="8"/>
  <c r="N993" i="8"/>
  <c r="M993" i="8"/>
  <c r="L993" i="8"/>
  <c r="AA993" i="8" s="1"/>
  <c r="K993" i="8"/>
  <c r="J993" i="8"/>
  <c r="Z993" i="8" s="1"/>
  <c r="I993" i="8"/>
  <c r="X993" i="8" s="1"/>
  <c r="E1022" i="6" s="1"/>
  <c r="H993" i="8"/>
  <c r="G993" i="8"/>
  <c r="F993" i="8"/>
  <c r="Y993" i="8" s="1"/>
  <c r="E993" i="8"/>
  <c r="D993" i="8"/>
  <c r="C993" i="8"/>
  <c r="W993" i="8" s="1"/>
  <c r="B993" i="8"/>
  <c r="A993" i="8"/>
  <c r="P992" i="8"/>
  <c r="O992" i="8"/>
  <c r="N992" i="8"/>
  <c r="M992" i="8"/>
  <c r="L992" i="8"/>
  <c r="AA992" i="8" s="1"/>
  <c r="K992" i="8"/>
  <c r="J992" i="8"/>
  <c r="Z992" i="8" s="1"/>
  <c r="I992" i="8"/>
  <c r="X992" i="8" s="1"/>
  <c r="E1021" i="6" s="1"/>
  <c r="H992" i="8"/>
  <c r="G992" i="8"/>
  <c r="F992" i="8"/>
  <c r="Y992" i="8" s="1"/>
  <c r="E992" i="8"/>
  <c r="D992" i="8"/>
  <c r="C992" i="8"/>
  <c r="W992" i="8" s="1"/>
  <c r="B992" i="8"/>
  <c r="A992" i="8"/>
  <c r="P991" i="8"/>
  <c r="O991" i="8"/>
  <c r="N991" i="8"/>
  <c r="M991" i="8"/>
  <c r="L991" i="8"/>
  <c r="AA991" i="8" s="1"/>
  <c r="K991" i="8"/>
  <c r="J991" i="8"/>
  <c r="Z991" i="8" s="1"/>
  <c r="I991" i="8"/>
  <c r="X991" i="8" s="1"/>
  <c r="E1020" i="6" s="1"/>
  <c r="H991" i="8"/>
  <c r="G991" i="8"/>
  <c r="F991" i="8"/>
  <c r="Y991" i="8" s="1"/>
  <c r="E991" i="8"/>
  <c r="D991" i="8"/>
  <c r="C991" i="8"/>
  <c r="W991" i="8" s="1"/>
  <c r="B991" i="8"/>
  <c r="A991" i="8"/>
  <c r="P990" i="8"/>
  <c r="O990" i="8"/>
  <c r="N990" i="8"/>
  <c r="M990" i="8"/>
  <c r="L990" i="8"/>
  <c r="AA990" i="8" s="1"/>
  <c r="K990" i="8"/>
  <c r="J990" i="8"/>
  <c r="Z990" i="8" s="1"/>
  <c r="I990" i="8"/>
  <c r="X990" i="8" s="1"/>
  <c r="E1019" i="6" s="1"/>
  <c r="H990" i="8"/>
  <c r="G990" i="8"/>
  <c r="F990" i="8"/>
  <c r="Y990" i="8" s="1"/>
  <c r="E990" i="8"/>
  <c r="D990" i="8"/>
  <c r="C990" i="8"/>
  <c r="W990" i="8" s="1"/>
  <c r="B990" i="8"/>
  <c r="A990" i="8"/>
  <c r="P989" i="8"/>
  <c r="O989" i="8"/>
  <c r="N989" i="8"/>
  <c r="M989" i="8"/>
  <c r="L989" i="8"/>
  <c r="AA989" i="8" s="1"/>
  <c r="K989" i="8"/>
  <c r="J989" i="8"/>
  <c r="Z989" i="8" s="1"/>
  <c r="I989" i="8"/>
  <c r="X989" i="8" s="1"/>
  <c r="E1018" i="6" s="1"/>
  <c r="H989" i="8"/>
  <c r="G989" i="8"/>
  <c r="F989" i="8"/>
  <c r="Y989" i="8" s="1"/>
  <c r="E989" i="8"/>
  <c r="D989" i="8"/>
  <c r="C989" i="8"/>
  <c r="W989" i="8" s="1"/>
  <c r="B989" i="8"/>
  <c r="A989" i="8"/>
  <c r="P988" i="8"/>
  <c r="O988" i="8"/>
  <c r="N988" i="8"/>
  <c r="M988" i="8"/>
  <c r="L988" i="8"/>
  <c r="AA988" i="8" s="1"/>
  <c r="K988" i="8"/>
  <c r="J988" i="8"/>
  <c r="Z988" i="8" s="1"/>
  <c r="I988" i="8"/>
  <c r="X988" i="8" s="1"/>
  <c r="E1017" i="6" s="1"/>
  <c r="H988" i="8"/>
  <c r="G988" i="8"/>
  <c r="F988" i="8"/>
  <c r="Y988" i="8" s="1"/>
  <c r="E988" i="8"/>
  <c r="D988" i="8"/>
  <c r="C988" i="8"/>
  <c r="W988" i="8" s="1"/>
  <c r="B988" i="8"/>
  <c r="A988" i="8"/>
  <c r="P987" i="8"/>
  <c r="O987" i="8"/>
  <c r="N987" i="8"/>
  <c r="M987" i="8"/>
  <c r="L987" i="8"/>
  <c r="AA987" i="8" s="1"/>
  <c r="K987" i="8"/>
  <c r="J987" i="8"/>
  <c r="Z987" i="8" s="1"/>
  <c r="I987" i="8"/>
  <c r="X987" i="8" s="1"/>
  <c r="E1016" i="6" s="1"/>
  <c r="H987" i="8"/>
  <c r="G987" i="8"/>
  <c r="F987" i="8"/>
  <c r="Y987" i="8" s="1"/>
  <c r="E987" i="8"/>
  <c r="D987" i="8"/>
  <c r="C987" i="8"/>
  <c r="W987" i="8" s="1"/>
  <c r="B987" i="8"/>
  <c r="A987" i="8"/>
  <c r="P986" i="8"/>
  <c r="O986" i="8"/>
  <c r="N986" i="8"/>
  <c r="M986" i="8"/>
  <c r="L986" i="8"/>
  <c r="AA986" i="8" s="1"/>
  <c r="K986" i="8"/>
  <c r="J986" i="8"/>
  <c r="Z986" i="8" s="1"/>
  <c r="I986" i="8"/>
  <c r="X986" i="8" s="1"/>
  <c r="E1015" i="6" s="1"/>
  <c r="H986" i="8"/>
  <c r="G986" i="8"/>
  <c r="F986" i="8"/>
  <c r="Y986" i="8" s="1"/>
  <c r="E986" i="8"/>
  <c r="D986" i="8"/>
  <c r="C986" i="8"/>
  <c r="W986" i="8" s="1"/>
  <c r="B986" i="8"/>
  <c r="A986" i="8"/>
  <c r="P985" i="8"/>
  <c r="O985" i="8"/>
  <c r="N985" i="8"/>
  <c r="M985" i="8"/>
  <c r="L985" i="8"/>
  <c r="AA985" i="8" s="1"/>
  <c r="K985" i="8"/>
  <c r="J985" i="8"/>
  <c r="Z985" i="8" s="1"/>
  <c r="I985" i="8"/>
  <c r="X985" i="8" s="1"/>
  <c r="E1014" i="6" s="1"/>
  <c r="H985" i="8"/>
  <c r="G985" i="8"/>
  <c r="F985" i="8"/>
  <c r="Y985" i="8" s="1"/>
  <c r="E985" i="8"/>
  <c r="D985" i="8"/>
  <c r="C985" i="8"/>
  <c r="W985" i="8" s="1"/>
  <c r="B985" i="8"/>
  <c r="A985" i="8"/>
  <c r="P984" i="8"/>
  <c r="O984" i="8"/>
  <c r="N984" i="8"/>
  <c r="M984" i="8"/>
  <c r="L984" i="8"/>
  <c r="AA984" i="8" s="1"/>
  <c r="K984" i="8"/>
  <c r="J984" i="8"/>
  <c r="Z984" i="8" s="1"/>
  <c r="I984" i="8"/>
  <c r="X984" i="8" s="1"/>
  <c r="E1013" i="6" s="1"/>
  <c r="H984" i="8"/>
  <c r="G984" i="8"/>
  <c r="F984" i="8"/>
  <c r="Y984" i="8" s="1"/>
  <c r="E984" i="8"/>
  <c r="D984" i="8"/>
  <c r="C984" i="8"/>
  <c r="W984" i="8" s="1"/>
  <c r="B984" i="8"/>
  <c r="A984" i="8"/>
  <c r="P983" i="8"/>
  <c r="O983" i="8"/>
  <c r="N983" i="8"/>
  <c r="M983" i="8"/>
  <c r="L983" i="8"/>
  <c r="AA983" i="8" s="1"/>
  <c r="K983" i="8"/>
  <c r="J983" i="8"/>
  <c r="Z983" i="8" s="1"/>
  <c r="I983" i="8"/>
  <c r="X983" i="8" s="1"/>
  <c r="E1012" i="6" s="1"/>
  <c r="H983" i="8"/>
  <c r="G983" i="8"/>
  <c r="F983" i="8"/>
  <c r="Y983" i="8" s="1"/>
  <c r="E983" i="8"/>
  <c r="D983" i="8"/>
  <c r="C983" i="8"/>
  <c r="W983" i="8" s="1"/>
  <c r="B983" i="8"/>
  <c r="A983" i="8"/>
  <c r="P982" i="8"/>
  <c r="O982" i="8"/>
  <c r="N982" i="8"/>
  <c r="M982" i="8"/>
  <c r="L982" i="8"/>
  <c r="AA982" i="8" s="1"/>
  <c r="K982" i="8"/>
  <c r="J982" i="8"/>
  <c r="Z982" i="8" s="1"/>
  <c r="I982" i="8"/>
  <c r="X982" i="8" s="1"/>
  <c r="E1011" i="6" s="1"/>
  <c r="H982" i="8"/>
  <c r="G982" i="8"/>
  <c r="F982" i="8"/>
  <c r="Y982" i="8" s="1"/>
  <c r="E982" i="8"/>
  <c r="D982" i="8"/>
  <c r="C982" i="8"/>
  <c r="W982" i="8" s="1"/>
  <c r="B982" i="8"/>
  <c r="A982" i="8"/>
  <c r="P981" i="8"/>
  <c r="O981" i="8"/>
  <c r="N981" i="8"/>
  <c r="M981" i="8"/>
  <c r="L981" i="8"/>
  <c r="AA981" i="8" s="1"/>
  <c r="K981" i="8"/>
  <c r="J981" i="8"/>
  <c r="Z981" i="8" s="1"/>
  <c r="I981" i="8"/>
  <c r="X981" i="8" s="1"/>
  <c r="E1010" i="6" s="1"/>
  <c r="H981" i="8"/>
  <c r="G981" i="8"/>
  <c r="F981" i="8"/>
  <c r="Y981" i="8" s="1"/>
  <c r="E981" i="8"/>
  <c r="D981" i="8"/>
  <c r="C981" i="8"/>
  <c r="W981" i="8" s="1"/>
  <c r="B981" i="8"/>
  <c r="A981" i="8"/>
  <c r="P980" i="8"/>
  <c r="O980" i="8"/>
  <c r="N980" i="8"/>
  <c r="M980" i="8"/>
  <c r="L980" i="8"/>
  <c r="AA980" i="8" s="1"/>
  <c r="K980" i="8"/>
  <c r="J980" i="8"/>
  <c r="Z980" i="8" s="1"/>
  <c r="I980" i="8"/>
  <c r="X980" i="8" s="1"/>
  <c r="E1009" i="6" s="1"/>
  <c r="H980" i="8"/>
  <c r="G980" i="8"/>
  <c r="F980" i="8"/>
  <c r="Y980" i="8" s="1"/>
  <c r="E980" i="8"/>
  <c r="D980" i="8"/>
  <c r="C980" i="8"/>
  <c r="W980" i="8" s="1"/>
  <c r="B980" i="8"/>
  <c r="A980" i="8"/>
  <c r="P979" i="8"/>
  <c r="O979" i="8"/>
  <c r="N979" i="8"/>
  <c r="M979" i="8"/>
  <c r="L979" i="8"/>
  <c r="AA979" i="8" s="1"/>
  <c r="K979" i="8"/>
  <c r="J979" i="8"/>
  <c r="Z979" i="8" s="1"/>
  <c r="I979" i="8"/>
  <c r="X979" i="8" s="1"/>
  <c r="E1008" i="6" s="1"/>
  <c r="H979" i="8"/>
  <c r="G979" i="8"/>
  <c r="F979" i="8"/>
  <c r="Y979" i="8" s="1"/>
  <c r="E979" i="8"/>
  <c r="D979" i="8"/>
  <c r="C979" i="8"/>
  <c r="W979" i="8" s="1"/>
  <c r="B979" i="8"/>
  <c r="A979" i="8"/>
  <c r="P978" i="8"/>
  <c r="O978" i="8"/>
  <c r="N978" i="8"/>
  <c r="M978" i="8"/>
  <c r="L978" i="8"/>
  <c r="AA978" i="8" s="1"/>
  <c r="K978" i="8"/>
  <c r="J978" i="8"/>
  <c r="Z978" i="8" s="1"/>
  <c r="I978" i="8"/>
  <c r="X978" i="8" s="1"/>
  <c r="E1007" i="6" s="1"/>
  <c r="H978" i="8"/>
  <c r="G978" i="8"/>
  <c r="F978" i="8"/>
  <c r="Y978" i="8" s="1"/>
  <c r="E978" i="8"/>
  <c r="D978" i="8"/>
  <c r="C978" i="8"/>
  <c r="W978" i="8" s="1"/>
  <c r="B978" i="8"/>
  <c r="A978" i="8"/>
  <c r="P977" i="8"/>
  <c r="O977" i="8"/>
  <c r="N977" i="8"/>
  <c r="M977" i="8"/>
  <c r="L977" i="8"/>
  <c r="AA977" i="8" s="1"/>
  <c r="K977" i="8"/>
  <c r="J977" i="8"/>
  <c r="Z977" i="8" s="1"/>
  <c r="I977" i="8"/>
  <c r="X977" i="8" s="1"/>
  <c r="E1006" i="6" s="1"/>
  <c r="H977" i="8"/>
  <c r="G977" i="8"/>
  <c r="F977" i="8"/>
  <c r="Y977" i="8" s="1"/>
  <c r="E977" i="8"/>
  <c r="D977" i="8"/>
  <c r="C977" i="8"/>
  <c r="W977" i="8" s="1"/>
  <c r="B977" i="8"/>
  <c r="A977" i="8"/>
  <c r="P976" i="8"/>
  <c r="O976" i="8"/>
  <c r="N976" i="8"/>
  <c r="M976" i="8"/>
  <c r="L976" i="8"/>
  <c r="AA976" i="8" s="1"/>
  <c r="K976" i="8"/>
  <c r="J976" i="8"/>
  <c r="Z976" i="8" s="1"/>
  <c r="I976" i="8"/>
  <c r="X976" i="8" s="1"/>
  <c r="E1005" i="6" s="1"/>
  <c r="H976" i="8"/>
  <c r="G976" i="8"/>
  <c r="F976" i="8"/>
  <c r="Y976" i="8" s="1"/>
  <c r="E976" i="8"/>
  <c r="D976" i="8"/>
  <c r="C976" i="8"/>
  <c r="W976" i="8" s="1"/>
  <c r="B976" i="8"/>
  <c r="A976" i="8"/>
  <c r="P975" i="8"/>
  <c r="O975" i="8"/>
  <c r="N975" i="8"/>
  <c r="M975" i="8"/>
  <c r="L975" i="8"/>
  <c r="AA975" i="8" s="1"/>
  <c r="K975" i="8"/>
  <c r="J975" i="8"/>
  <c r="Z975" i="8" s="1"/>
  <c r="I975" i="8"/>
  <c r="X975" i="8" s="1"/>
  <c r="E1004" i="6" s="1"/>
  <c r="H975" i="8"/>
  <c r="G975" i="8"/>
  <c r="F975" i="8"/>
  <c r="Y975" i="8" s="1"/>
  <c r="E975" i="8"/>
  <c r="D975" i="8"/>
  <c r="C975" i="8"/>
  <c r="W975" i="8" s="1"/>
  <c r="B975" i="8"/>
  <c r="A975" i="8"/>
  <c r="P974" i="8"/>
  <c r="O974" i="8"/>
  <c r="N974" i="8"/>
  <c r="M974" i="8"/>
  <c r="L974" i="8"/>
  <c r="AA974" i="8" s="1"/>
  <c r="K974" i="8"/>
  <c r="J974" i="8"/>
  <c r="Z974" i="8" s="1"/>
  <c r="I974" i="8"/>
  <c r="X974" i="8" s="1"/>
  <c r="E1003" i="6" s="1"/>
  <c r="H974" i="8"/>
  <c r="G974" i="8"/>
  <c r="F974" i="8"/>
  <c r="Y974" i="8" s="1"/>
  <c r="E974" i="8"/>
  <c r="D974" i="8"/>
  <c r="C974" i="8"/>
  <c r="W974" i="8" s="1"/>
  <c r="B974" i="8"/>
  <c r="A974" i="8"/>
  <c r="P973" i="8"/>
  <c r="O973" i="8"/>
  <c r="N973" i="8"/>
  <c r="M973" i="8"/>
  <c r="L973" i="8"/>
  <c r="AA973" i="8" s="1"/>
  <c r="K973" i="8"/>
  <c r="J973" i="8"/>
  <c r="Z973" i="8" s="1"/>
  <c r="I973" i="8"/>
  <c r="X973" i="8" s="1"/>
  <c r="E1002" i="6" s="1"/>
  <c r="H973" i="8"/>
  <c r="G973" i="8"/>
  <c r="F973" i="8"/>
  <c r="Y973" i="8" s="1"/>
  <c r="E973" i="8"/>
  <c r="D973" i="8"/>
  <c r="C973" i="8"/>
  <c r="W973" i="8" s="1"/>
  <c r="B973" i="8"/>
  <c r="A973" i="8"/>
  <c r="P972" i="8"/>
  <c r="O972" i="8"/>
  <c r="N972" i="8"/>
  <c r="M972" i="8"/>
  <c r="L972" i="8"/>
  <c r="AA972" i="8" s="1"/>
  <c r="K972" i="8"/>
  <c r="J972" i="8"/>
  <c r="Z972" i="8" s="1"/>
  <c r="I972" i="8"/>
  <c r="X972" i="8" s="1"/>
  <c r="E1001" i="6" s="1"/>
  <c r="H972" i="8"/>
  <c r="G972" i="8"/>
  <c r="F972" i="8"/>
  <c r="Y972" i="8" s="1"/>
  <c r="E972" i="8"/>
  <c r="D972" i="8"/>
  <c r="C972" i="8"/>
  <c r="W972" i="8" s="1"/>
  <c r="B972" i="8"/>
  <c r="A972" i="8"/>
  <c r="P971" i="8"/>
  <c r="O971" i="8"/>
  <c r="N971" i="8"/>
  <c r="M971" i="8"/>
  <c r="L971" i="8"/>
  <c r="AA971" i="8" s="1"/>
  <c r="K971" i="8"/>
  <c r="J971" i="8"/>
  <c r="Z971" i="8" s="1"/>
  <c r="I971" i="8"/>
  <c r="X971" i="8" s="1"/>
  <c r="E1000" i="6" s="1"/>
  <c r="H971" i="8"/>
  <c r="G971" i="8"/>
  <c r="F971" i="8"/>
  <c r="Y971" i="8" s="1"/>
  <c r="E971" i="8"/>
  <c r="D971" i="8"/>
  <c r="C971" i="8"/>
  <c r="W971" i="8" s="1"/>
  <c r="B971" i="8"/>
  <c r="A971" i="8"/>
  <c r="P970" i="8"/>
  <c r="O970" i="8"/>
  <c r="N970" i="8"/>
  <c r="M970" i="8"/>
  <c r="L970" i="8"/>
  <c r="AA970" i="8" s="1"/>
  <c r="K970" i="8"/>
  <c r="J970" i="8"/>
  <c r="Z970" i="8" s="1"/>
  <c r="I970" i="8"/>
  <c r="X970" i="8" s="1"/>
  <c r="E999" i="6" s="1"/>
  <c r="H970" i="8"/>
  <c r="G970" i="8"/>
  <c r="F970" i="8"/>
  <c r="Y970" i="8" s="1"/>
  <c r="E970" i="8"/>
  <c r="D970" i="8"/>
  <c r="C970" i="8"/>
  <c r="W970" i="8" s="1"/>
  <c r="B970" i="8"/>
  <c r="A970" i="8"/>
  <c r="P969" i="8"/>
  <c r="O969" i="8"/>
  <c r="N969" i="8"/>
  <c r="M969" i="8"/>
  <c r="L969" i="8"/>
  <c r="AA969" i="8" s="1"/>
  <c r="K969" i="8"/>
  <c r="J969" i="8"/>
  <c r="Z969" i="8" s="1"/>
  <c r="I969" i="8"/>
  <c r="X969" i="8" s="1"/>
  <c r="E998" i="6" s="1"/>
  <c r="H969" i="8"/>
  <c r="G969" i="8"/>
  <c r="F969" i="8"/>
  <c r="Y969" i="8" s="1"/>
  <c r="E969" i="8"/>
  <c r="D969" i="8"/>
  <c r="C969" i="8"/>
  <c r="W969" i="8" s="1"/>
  <c r="B969" i="8"/>
  <c r="A969" i="8"/>
  <c r="P968" i="8"/>
  <c r="O968" i="8"/>
  <c r="N968" i="8"/>
  <c r="M968" i="8"/>
  <c r="L968" i="8"/>
  <c r="AA968" i="8" s="1"/>
  <c r="K968" i="8"/>
  <c r="J968" i="8"/>
  <c r="Z968" i="8" s="1"/>
  <c r="I968" i="8"/>
  <c r="X968" i="8" s="1"/>
  <c r="E997" i="6" s="1"/>
  <c r="H968" i="8"/>
  <c r="G968" i="8"/>
  <c r="F968" i="8"/>
  <c r="Y968" i="8" s="1"/>
  <c r="E968" i="8"/>
  <c r="D968" i="8"/>
  <c r="C968" i="8"/>
  <c r="W968" i="8" s="1"/>
  <c r="B968" i="8"/>
  <c r="A968" i="8"/>
  <c r="P967" i="8"/>
  <c r="O967" i="8"/>
  <c r="N967" i="8"/>
  <c r="M967" i="8"/>
  <c r="L967" i="8"/>
  <c r="AA967" i="8" s="1"/>
  <c r="K967" i="8"/>
  <c r="J967" i="8"/>
  <c r="Z967" i="8" s="1"/>
  <c r="I967" i="8"/>
  <c r="X967" i="8" s="1"/>
  <c r="E996" i="6" s="1"/>
  <c r="H967" i="8"/>
  <c r="G967" i="8"/>
  <c r="F967" i="8"/>
  <c r="Y967" i="8" s="1"/>
  <c r="E967" i="8"/>
  <c r="D967" i="8"/>
  <c r="C967" i="8"/>
  <c r="W967" i="8" s="1"/>
  <c r="B967" i="8"/>
  <c r="A967" i="8"/>
  <c r="P966" i="8"/>
  <c r="O966" i="8"/>
  <c r="N966" i="8"/>
  <c r="M966" i="8"/>
  <c r="L966" i="8"/>
  <c r="AA966" i="8" s="1"/>
  <c r="K966" i="8"/>
  <c r="J966" i="8"/>
  <c r="Z966" i="8" s="1"/>
  <c r="I966" i="8"/>
  <c r="X966" i="8" s="1"/>
  <c r="E995" i="6" s="1"/>
  <c r="H966" i="8"/>
  <c r="G966" i="8"/>
  <c r="F966" i="8"/>
  <c r="Y966" i="8" s="1"/>
  <c r="E966" i="8"/>
  <c r="D966" i="8"/>
  <c r="C966" i="8"/>
  <c r="W966" i="8" s="1"/>
  <c r="B966" i="8"/>
  <c r="A966" i="8"/>
  <c r="P965" i="8"/>
  <c r="O965" i="8"/>
  <c r="N965" i="8"/>
  <c r="M965" i="8"/>
  <c r="L965" i="8"/>
  <c r="AA965" i="8" s="1"/>
  <c r="K965" i="8"/>
  <c r="J965" i="8"/>
  <c r="Z965" i="8" s="1"/>
  <c r="I965" i="8"/>
  <c r="X965" i="8" s="1"/>
  <c r="E994" i="6" s="1"/>
  <c r="H965" i="8"/>
  <c r="G965" i="8"/>
  <c r="F965" i="8"/>
  <c r="Y965" i="8" s="1"/>
  <c r="E965" i="8"/>
  <c r="D965" i="8"/>
  <c r="C965" i="8"/>
  <c r="W965" i="8" s="1"/>
  <c r="B965" i="8"/>
  <c r="A965" i="8"/>
  <c r="P964" i="8"/>
  <c r="O964" i="8"/>
  <c r="N964" i="8"/>
  <c r="M964" i="8"/>
  <c r="L964" i="8"/>
  <c r="AA964" i="8" s="1"/>
  <c r="K964" i="8"/>
  <c r="J964" i="8"/>
  <c r="Z964" i="8" s="1"/>
  <c r="I964" i="8"/>
  <c r="X964" i="8" s="1"/>
  <c r="E993" i="6" s="1"/>
  <c r="H964" i="8"/>
  <c r="G964" i="8"/>
  <c r="F964" i="8"/>
  <c r="Y964" i="8" s="1"/>
  <c r="E964" i="8"/>
  <c r="D964" i="8"/>
  <c r="C964" i="8"/>
  <c r="W964" i="8" s="1"/>
  <c r="B964" i="8"/>
  <c r="A964" i="8"/>
  <c r="P963" i="8"/>
  <c r="O963" i="8"/>
  <c r="N963" i="8"/>
  <c r="M963" i="8"/>
  <c r="L963" i="8"/>
  <c r="AA963" i="8" s="1"/>
  <c r="K963" i="8"/>
  <c r="J963" i="8"/>
  <c r="Z963" i="8" s="1"/>
  <c r="I963" i="8"/>
  <c r="X963" i="8" s="1"/>
  <c r="E992" i="6" s="1"/>
  <c r="H963" i="8"/>
  <c r="G963" i="8"/>
  <c r="F963" i="8"/>
  <c r="Y963" i="8" s="1"/>
  <c r="E963" i="8"/>
  <c r="D963" i="8"/>
  <c r="C963" i="8"/>
  <c r="W963" i="8" s="1"/>
  <c r="B963" i="8"/>
  <c r="A963" i="8"/>
  <c r="P962" i="8"/>
  <c r="O962" i="8"/>
  <c r="N962" i="8"/>
  <c r="M962" i="8"/>
  <c r="L962" i="8"/>
  <c r="AA962" i="8" s="1"/>
  <c r="K962" i="8"/>
  <c r="J962" i="8"/>
  <c r="Z962" i="8" s="1"/>
  <c r="I962" i="8"/>
  <c r="X962" i="8" s="1"/>
  <c r="E991" i="6" s="1"/>
  <c r="H962" i="8"/>
  <c r="G962" i="8"/>
  <c r="F962" i="8"/>
  <c r="Y962" i="8" s="1"/>
  <c r="E962" i="8"/>
  <c r="D962" i="8"/>
  <c r="C962" i="8"/>
  <c r="W962" i="8" s="1"/>
  <c r="B962" i="8"/>
  <c r="A962" i="8"/>
  <c r="P961" i="8"/>
  <c r="O961" i="8"/>
  <c r="N961" i="8"/>
  <c r="M961" i="8"/>
  <c r="L961" i="8"/>
  <c r="AA961" i="8" s="1"/>
  <c r="K961" i="8"/>
  <c r="J961" i="8"/>
  <c r="Z961" i="8" s="1"/>
  <c r="I961" i="8"/>
  <c r="X961" i="8" s="1"/>
  <c r="E990" i="6" s="1"/>
  <c r="H961" i="8"/>
  <c r="G961" i="8"/>
  <c r="F961" i="8"/>
  <c r="Y961" i="8" s="1"/>
  <c r="E961" i="8"/>
  <c r="D961" i="8"/>
  <c r="C961" i="8"/>
  <c r="W961" i="8" s="1"/>
  <c r="B961" i="8"/>
  <c r="A961" i="8"/>
  <c r="P960" i="8"/>
  <c r="O960" i="8"/>
  <c r="N960" i="8"/>
  <c r="M960" i="8"/>
  <c r="L960" i="8"/>
  <c r="AA960" i="8" s="1"/>
  <c r="K960" i="8"/>
  <c r="J960" i="8"/>
  <c r="Z960" i="8" s="1"/>
  <c r="I960" i="8"/>
  <c r="X960" i="8" s="1"/>
  <c r="E989" i="6" s="1"/>
  <c r="H960" i="8"/>
  <c r="G960" i="8"/>
  <c r="F960" i="8"/>
  <c r="Y960" i="8" s="1"/>
  <c r="E960" i="8"/>
  <c r="D960" i="8"/>
  <c r="C960" i="8"/>
  <c r="W960" i="8" s="1"/>
  <c r="B960" i="8"/>
  <c r="A960" i="8"/>
  <c r="P959" i="8"/>
  <c r="O959" i="8"/>
  <c r="N959" i="8"/>
  <c r="M959" i="8"/>
  <c r="L959" i="8"/>
  <c r="AA959" i="8" s="1"/>
  <c r="K959" i="8"/>
  <c r="J959" i="8"/>
  <c r="Z959" i="8" s="1"/>
  <c r="I959" i="8"/>
  <c r="X959" i="8" s="1"/>
  <c r="E988" i="6" s="1"/>
  <c r="H959" i="8"/>
  <c r="G959" i="8"/>
  <c r="F959" i="8"/>
  <c r="Y959" i="8" s="1"/>
  <c r="E959" i="8"/>
  <c r="D959" i="8"/>
  <c r="C959" i="8"/>
  <c r="W959" i="8" s="1"/>
  <c r="B959" i="8"/>
  <c r="A959" i="8"/>
  <c r="P958" i="8"/>
  <c r="O958" i="8"/>
  <c r="N958" i="8"/>
  <c r="M958" i="8"/>
  <c r="H987" i="6" s="1"/>
  <c r="L958" i="8"/>
  <c r="K958" i="8"/>
  <c r="J958" i="8"/>
  <c r="I958" i="8"/>
  <c r="X958" i="8" s="1"/>
  <c r="E987" i="6" s="1"/>
  <c r="H958" i="8"/>
  <c r="G958" i="8"/>
  <c r="F958" i="8"/>
  <c r="E958" i="8"/>
  <c r="D958" i="8"/>
  <c r="C958" i="8"/>
  <c r="W958" i="8" s="1"/>
  <c r="B958" i="8"/>
  <c r="A958" i="8"/>
  <c r="P957" i="8"/>
  <c r="O957" i="8"/>
  <c r="N957" i="8"/>
  <c r="M957" i="8"/>
  <c r="H986" i="6" s="1"/>
  <c r="L957" i="8"/>
  <c r="K957" i="8"/>
  <c r="J957" i="8"/>
  <c r="I957" i="8"/>
  <c r="X957" i="8" s="1"/>
  <c r="E986" i="6" s="1"/>
  <c r="H957" i="8"/>
  <c r="G957" i="8"/>
  <c r="F957" i="8"/>
  <c r="E957" i="8"/>
  <c r="D957" i="8"/>
  <c r="C957" i="8"/>
  <c r="W957" i="8" s="1"/>
  <c r="B957" i="8"/>
  <c r="A957" i="8"/>
  <c r="P956" i="8"/>
  <c r="O956" i="8"/>
  <c r="N956" i="8"/>
  <c r="M956" i="8"/>
  <c r="H985" i="6" s="1"/>
  <c r="L956" i="8"/>
  <c r="K956" i="8"/>
  <c r="J956" i="8"/>
  <c r="I956" i="8"/>
  <c r="X956" i="8" s="1"/>
  <c r="E985" i="6" s="1"/>
  <c r="H956" i="8"/>
  <c r="G956" i="8"/>
  <c r="F956" i="8"/>
  <c r="E956" i="8"/>
  <c r="D956" i="8"/>
  <c r="C956" i="8"/>
  <c r="W956" i="8" s="1"/>
  <c r="B956" i="8"/>
  <c r="A956" i="8"/>
  <c r="P955" i="8"/>
  <c r="O955" i="8"/>
  <c r="N955" i="8"/>
  <c r="M955" i="8"/>
  <c r="H984" i="6" s="1"/>
  <c r="L955" i="8"/>
  <c r="K955" i="8"/>
  <c r="J955" i="8"/>
  <c r="I955" i="8"/>
  <c r="X955" i="8" s="1"/>
  <c r="E984" i="6" s="1"/>
  <c r="H955" i="8"/>
  <c r="G955" i="8"/>
  <c r="F955" i="8"/>
  <c r="E955" i="8"/>
  <c r="D955" i="8"/>
  <c r="C955" i="8"/>
  <c r="W955" i="8" s="1"/>
  <c r="B955" i="8"/>
  <c r="A955" i="8"/>
  <c r="P954" i="8"/>
  <c r="O954" i="8"/>
  <c r="N954" i="8"/>
  <c r="M954" i="8"/>
  <c r="H983" i="6" s="1"/>
  <c r="L954" i="8"/>
  <c r="K954" i="8"/>
  <c r="J954" i="8"/>
  <c r="I954" i="8"/>
  <c r="X954" i="8" s="1"/>
  <c r="E983" i="6" s="1"/>
  <c r="H954" i="8"/>
  <c r="G954" i="8"/>
  <c r="F954" i="8"/>
  <c r="E954" i="8"/>
  <c r="D954" i="8"/>
  <c r="C954" i="8"/>
  <c r="W954" i="8" s="1"/>
  <c r="B954" i="8"/>
  <c r="A954" i="8"/>
  <c r="P953" i="8"/>
  <c r="O953" i="8"/>
  <c r="N953" i="8"/>
  <c r="M953" i="8"/>
  <c r="H982" i="6" s="1"/>
  <c r="L953" i="8"/>
  <c r="K953" i="8"/>
  <c r="J953" i="8"/>
  <c r="I953" i="8"/>
  <c r="X953" i="8" s="1"/>
  <c r="E982" i="6" s="1"/>
  <c r="H953" i="8"/>
  <c r="G953" i="8"/>
  <c r="F953" i="8"/>
  <c r="E953" i="8"/>
  <c r="D953" i="8"/>
  <c r="C953" i="8"/>
  <c r="W953" i="8" s="1"/>
  <c r="B953" i="8"/>
  <c r="A953" i="8"/>
  <c r="P952" i="8"/>
  <c r="O952" i="8"/>
  <c r="N952" i="8"/>
  <c r="M952" i="8"/>
  <c r="H981" i="6" s="1"/>
  <c r="L952" i="8"/>
  <c r="K952" i="8"/>
  <c r="J952" i="8"/>
  <c r="I952" i="8"/>
  <c r="X952" i="8" s="1"/>
  <c r="E981" i="6" s="1"/>
  <c r="H952" i="8"/>
  <c r="G952" i="8"/>
  <c r="F952" i="8"/>
  <c r="E952" i="8"/>
  <c r="D952" i="8"/>
  <c r="C952" i="8"/>
  <c r="W952" i="8" s="1"/>
  <c r="B952" i="8"/>
  <c r="A952" i="8"/>
  <c r="AE951" i="8"/>
  <c r="AC951" i="8"/>
  <c r="P951" i="8"/>
  <c r="O951" i="8"/>
  <c r="N951" i="8"/>
  <c r="M951" i="8"/>
  <c r="L951" i="8"/>
  <c r="AA951" i="8" s="1"/>
  <c r="K951" i="8"/>
  <c r="J951" i="8"/>
  <c r="Z951" i="8" s="1"/>
  <c r="I951" i="8"/>
  <c r="X951" i="8" s="1"/>
  <c r="E980" i="6" s="1"/>
  <c r="H951" i="8"/>
  <c r="G951" i="8"/>
  <c r="F951" i="8"/>
  <c r="Y951" i="8" s="1"/>
  <c r="E951" i="8"/>
  <c r="D951" i="8"/>
  <c r="C951" i="8"/>
  <c r="W951" i="8" s="1"/>
  <c r="B951" i="8"/>
  <c r="A951" i="8"/>
  <c r="Q951" i="8" s="1"/>
  <c r="P950" i="8"/>
  <c r="O950" i="8"/>
  <c r="N950" i="8"/>
  <c r="M950" i="8"/>
  <c r="L950" i="8"/>
  <c r="AA950" i="8" s="1"/>
  <c r="K950" i="8"/>
  <c r="J950" i="8"/>
  <c r="Z950" i="8" s="1"/>
  <c r="I950" i="8"/>
  <c r="X950" i="8" s="1"/>
  <c r="E979" i="6" s="1"/>
  <c r="H950" i="8"/>
  <c r="G950" i="8"/>
  <c r="F950" i="8"/>
  <c r="Y950" i="8" s="1"/>
  <c r="E950" i="8"/>
  <c r="D950" i="8"/>
  <c r="C950" i="8"/>
  <c r="W950" i="8" s="1"/>
  <c r="B950" i="8"/>
  <c r="A950" i="8"/>
  <c r="P949" i="8"/>
  <c r="O949" i="8"/>
  <c r="N949" i="8"/>
  <c r="M949" i="8"/>
  <c r="L949" i="8"/>
  <c r="AA949" i="8" s="1"/>
  <c r="K949" i="8"/>
  <c r="J949" i="8"/>
  <c r="Z949" i="8" s="1"/>
  <c r="I949" i="8"/>
  <c r="X949" i="8" s="1"/>
  <c r="E978" i="6" s="1"/>
  <c r="H949" i="8"/>
  <c r="G949" i="8"/>
  <c r="F949" i="8"/>
  <c r="Y949" i="8" s="1"/>
  <c r="E949" i="8"/>
  <c r="D949" i="8"/>
  <c r="C949" i="8"/>
  <c r="W949" i="8" s="1"/>
  <c r="B949" i="8"/>
  <c r="A949" i="8"/>
  <c r="P948" i="8"/>
  <c r="O948" i="8"/>
  <c r="N948" i="8"/>
  <c r="M948" i="8"/>
  <c r="L948" i="8"/>
  <c r="AA948" i="8" s="1"/>
  <c r="K948" i="8"/>
  <c r="J948" i="8"/>
  <c r="Z948" i="8" s="1"/>
  <c r="I948" i="8"/>
  <c r="X948" i="8" s="1"/>
  <c r="E977" i="6" s="1"/>
  <c r="H948" i="8"/>
  <c r="G948" i="8"/>
  <c r="F948" i="8"/>
  <c r="Y948" i="8" s="1"/>
  <c r="E948" i="8"/>
  <c r="D948" i="8"/>
  <c r="C948" i="8"/>
  <c r="W948" i="8" s="1"/>
  <c r="B948" i="8"/>
  <c r="A948" i="8"/>
  <c r="P947" i="8"/>
  <c r="O947" i="8"/>
  <c r="N947" i="8"/>
  <c r="M947" i="8"/>
  <c r="L947" i="8"/>
  <c r="AA947" i="8" s="1"/>
  <c r="K947" i="8"/>
  <c r="J947" i="8"/>
  <c r="Z947" i="8" s="1"/>
  <c r="I947" i="8"/>
  <c r="X947" i="8" s="1"/>
  <c r="E976" i="6" s="1"/>
  <c r="H947" i="8"/>
  <c r="G947" i="8"/>
  <c r="F947" i="8"/>
  <c r="Y947" i="8" s="1"/>
  <c r="E947" i="8"/>
  <c r="D947" i="8"/>
  <c r="C947" i="8"/>
  <c r="W947" i="8" s="1"/>
  <c r="B947" i="8"/>
  <c r="A947" i="8"/>
  <c r="P946" i="8"/>
  <c r="O946" i="8"/>
  <c r="N946" i="8"/>
  <c r="M946" i="8"/>
  <c r="L946" i="8"/>
  <c r="AA946" i="8" s="1"/>
  <c r="K946" i="8"/>
  <c r="J946" i="8"/>
  <c r="Z946" i="8" s="1"/>
  <c r="I946" i="8"/>
  <c r="X946" i="8" s="1"/>
  <c r="E975" i="6" s="1"/>
  <c r="H946" i="8"/>
  <c r="G946" i="8"/>
  <c r="F946" i="8"/>
  <c r="Y946" i="8" s="1"/>
  <c r="E946" i="8"/>
  <c r="D946" i="8"/>
  <c r="C946" i="8"/>
  <c r="W946" i="8" s="1"/>
  <c r="B946" i="8"/>
  <c r="A946" i="8"/>
  <c r="P945" i="8"/>
  <c r="O945" i="8"/>
  <c r="N945" i="8"/>
  <c r="M945" i="8"/>
  <c r="L945" i="8"/>
  <c r="AA945" i="8" s="1"/>
  <c r="K945" i="8"/>
  <c r="J945" i="8"/>
  <c r="Z945" i="8" s="1"/>
  <c r="I945" i="8"/>
  <c r="X945" i="8" s="1"/>
  <c r="E974" i="6" s="1"/>
  <c r="H945" i="8"/>
  <c r="G945" i="8"/>
  <c r="F945" i="8"/>
  <c r="Y945" i="8" s="1"/>
  <c r="E945" i="8"/>
  <c r="D945" i="8"/>
  <c r="C945" i="8"/>
  <c r="W945" i="8" s="1"/>
  <c r="B945" i="8"/>
  <c r="A945" i="8"/>
  <c r="P944" i="8"/>
  <c r="O944" i="8"/>
  <c r="N944" i="8"/>
  <c r="M944" i="8"/>
  <c r="L944" i="8"/>
  <c r="AA944" i="8" s="1"/>
  <c r="K944" i="8"/>
  <c r="J944" i="8"/>
  <c r="Z944" i="8" s="1"/>
  <c r="I944" i="8"/>
  <c r="X944" i="8" s="1"/>
  <c r="E973" i="6" s="1"/>
  <c r="H944" i="8"/>
  <c r="G944" i="8"/>
  <c r="F944" i="8"/>
  <c r="Y944" i="8" s="1"/>
  <c r="E944" i="8"/>
  <c r="D944" i="8"/>
  <c r="C944" i="8"/>
  <c r="W944" i="8" s="1"/>
  <c r="B944" i="8"/>
  <c r="A944" i="8"/>
  <c r="P943" i="8"/>
  <c r="O943" i="8"/>
  <c r="N943" i="8"/>
  <c r="M943" i="8"/>
  <c r="L943" i="8"/>
  <c r="AA943" i="8" s="1"/>
  <c r="K943" i="8"/>
  <c r="J943" i="8"/>
  <c r="Z943" i="8" s="1"/>
  <c r="I943" i="8"/>
  <c r="X943" i="8" s="1"/>
  <c r="E972" i="6" s="1"/>
  <c r="H943" i="8"/>
  <c r="G943" i="8"/>
  <c r="F943" i="8"/>
  <c r="Y943" i="8" s="1"/>
  <c r="E943" i="8"/>
  <c r="D943" i="8"/>
  <c r="C943" i="8"/>
  <c r="W943" i="8" s="1"/>
  <c r="B943" i="8"/>
  <c r="A943" i="8"/>
  <c r="P942" i="8"/>
  <c r="O942" i="8"/>
  <c r="N942" i="8"/>
  <c r="M942" i="8"/>
  <c r="L942" i="8"/>
  <c r="AA942" i="8" s="1"/>
  <c r="K942" i="8"/>
  <c r="J942" i="8"/>
  <c r="Z942" i="8" s="1"/>
  <c r="I942" i="8"/>
  <c r="X942" i="8" s="1"/>
  <c r="E971" i="6" s="1"/>
  <c r="H942" i="8"/>
  <c r="G942" i="8"/>
  <c r="F942" i="8"/>
  <c r="Y942" i="8" s="1"/>
  <c r="E942" i="8"/>
  <c r="D942" i="8"/>
  <c r="C942" i="8"/>
  <c r="W942" i="8" s="1"/>
  <c r="B942" i="8"/>
  <c r="A942" i="8"/>
  <c r="P941" i="8"/>
  <c r="O941" i="8"/>
  <c r="N941" i="8"/>
  <c r="M941" i="8"/>
  <c r="L941" i="8"/>
  <c r="AA941" i="8" s="1"/>
  <c r="K941" i="8"/>
  <c r="J941" i="8"/>
  <c r="Z941" i="8" s="1"/>
  <c r="I941" i="8"/>
  <c r="X941" i="8" s="1"/>
  <c r="E970" i="6" s="1"/>
  <c r="H941" i="8"/>
  <c r="G941" i="8"/>
  <c r="F941" i="8"/>
  <c r="Y941" i="8" s="1"/>
  <c r="E941" i="8"/>
  <c r="D941" i="8"/>
  <c r="C941" i="8"/>
  <c r="W941" i="8" s="1"/>
  <c r="B941" i="8"/>
  <c r="A941" i="8"/>
  <c r="P940" i="8"/>
  <c r="O940" i="8"/>
  <c r="N940" i="8"/>
  <c r="M940" i="8"/>
  <c r="L940" i="8"/>
  <c r="AA940" i="8" s="1"/>
  <c r="K940" i="8"/>
  <c r="J940" i="8"/>
  <c r="Z940" i="8" s="1"/>
  <c r="I940" i="8"/>
  <c r="X940" i="8" s="1"/>
  <c r="E969" i="6" s="1"/>
  <c r="H940" i="8"/>
  <c r="G940" i="8"/>
  <c r="F940" i="8"/>
  <c r="Y940" i="8" s="1"/>
  <c r="E940" i="8"/>
  <c r="D940" i="8"/>
  <c r="C940" i="8"/>
  <c r="W940" i="8" s="1"/>
  <c r="B940" i="8"/>
  <c r="A940" i="8"/>
  <c r="P939" i="8"/>
  <c r="O939" i="8"/>
  <c r="N939" i="8"/>
  <c r="M939" i="8"/>
  <c r="L939" i="8"/>
  <c r="AA939" i="8" s="1"/>
  <c r="K939" i="8"/>
  <c r="J939" i="8"/>
  <c r="Z939" i="8" s="1"/>
  <c r="I939" i="8"/>
  <c r="X939" i="8" s="1"/>
  <c r="E968" i="6" s="1"/>
  <c r="H939" i="8"/>
  <c r="G939" i="8"/>
  <c r="F939" i="8"/>
  <c r="Y939" i="8" s="1"/>
  <c r="E939" i="8"/>
  <c r="D939" i="8"/>
  <c r="C939" i="8"/>
  <c r="W939" i="8" s="1"/>
  <c r="B939" i="8"/>
  <c r="A939" i="8"/>
  <c r="P938" i="8"/>
  <c r="O938" i="8"/>
  <c r="N938" i="8"/>
  <c r="M938" i="8"/>
  <c r="L938" i="8"/>
  <c r="AA938" i="8" s="1"/>
  <c r="K938" i="8"/>
  <c r="J938" i="8"/>
  <c r="Z938" i="8" s="1"/>
  <c r="I938" i="8"/>
  <c r="X938" i="8" s="1"/>
  <c r="E967" i="6" s="1"/>
  <c r="H938" i="8"/>
  <c r="G938" i="8"/>
  <c r="F938" i="8"/>
  <c r="Y938" i="8" s="1"/>
  <c r="E938" i="8"/>
  <c r="D938" i="8"/>
  <c r="C938" i="8"/>
  <c r="W938" i="8" s="1"/>
  <c r="B938" i="8"/>
  <c r="A938" i="8"/>
  <c r="P937" i="8"/>
  <c r="O937" i="8"/>
  <c r="N937" i="8"/>
  <c r="M937" i="8"/>
  <c r="L937" i="8"/>
  <c r="AA937" i="8" s="1"/>
  <c r="K937" i="8"/>
  <c r="J937" i="8"/>
  <c r="Z937" i="8" s="1"/>
  <c r="I937" i="8"/>
  <c r="X937" i="8" s="1"/>
  <c r="E966" i="6" s="1"/>
  <c r="H937" i="8"/>
  <c r="G937" i="8"/>
  <c r="F937" i="8"/>
  <c r="Y937" i="8" s="1"/>
  <c r="E937" i="8"/>
  <c r="D937" i="8"/>
  <c r="C937" i="8"/>
  <c r="W937" i="8" s="1"/>
  <c r="B937" i="8"/>
  <c r="A937" i="8"/>
  <c r="P936" i="8"/>
  <c r="O936" i="8"/>
  <c r="N936" i="8"/>
  <c r="M936" i="8"/>
  <c r="L936" i="8"/>
  <c r="AA936" i="8" s="1"/>
  <c r="K936" i="8"/>
  <c r="J936" i="8"/>
  <c r="Z936" i="8" s="1"/>
  <c r="I936" i="8"/>
  <c r="X936" i="8" s="1"/>
  <c r="E965" i="6" s="1"/>
  <c r="H936" i="8"/>
  <c r="G936" i="8"/>
  <c r="F936" i="8"/>
  <c r="Y936" i="8" s="1"/>
  <c r="E936" i="8"/>
  <c r="D936" i="8"/>
  <c r="C936" i="8"/>
  <c r="W936" i="8" s="1"/>
  <c r="B936" i="8"/>
  <c r="A936" i="8"/>
  <c r="P935" i="8"/>
  <c r="O935" i="8"/>
  <c r="N935" i="8"/>
  <c r="M935" i="8"/>
  <c r="L935" i="8"/>
  <c r="AA935" i="8" s="1"/>
  <c r="K935" i="8"/>
  <c r="J935" i="8"/>
  <c r="Z935" i="8" s="1"/>
  <c r="I935" i="8"/>
  <c r="X935" i="8" s="1"/>
  <c r="E964" i="6" s="1"/>
  <c r="H935" i="8"/>
  <c r="G935" i="8"/>
  <c r="F935" i="8"/>
  <c r="Y935" i="8" s="1"/>
  <c r="E935" i="8"/>
  <c r="D935" i="8"/>
  <c r="C935" i="8"/>
  <c r="W935" i="8" s="1"/>
  <c r="B935" i="8"/>
  <c r="A935" i="8"/>
  <c r="P934" i="8"/>
  <c r="O934" i="8"/>
  <c r="N934" i="8"/>
  <c r="M934" i="8"/>
  <c r="L934" i="8"/>
  <c r="AA934" i="8" s="1"/>
  <c r="K934" i="8"/>
  <c r="J934" i="8"/>
  <c r="Z934" i="8" s="1"/>
  <c r="I934" i="8"/>
  <c r="X934" i="8" s="1"/>
  <c r="E963" i="6" s="1"/>
  <c r="H934" i="8"/>
  <c r="G934" i="8"/>
  <c r="F934" i="8"/>
  <c r="Y934" i="8" s="1"/>
  <c r="E934" i="8"/>
  <c r="D934" i="8"/>
  <c r="C934" i="8"/>
  <c r="W934" i="8" s="1"/>
  <c r="B934" i="8"/>
  <c r="A934" i="8"/>
  <c r="P933" i="8"/>
  <c r="O933" i="8"/>
  <c r="N933" i="8"/>
  <c r="M933" i="8"/>
  <c r="L933" i="8"/>
  <c r="AA933" i="8" s="1"/>
  <c r="K933" i="8"/>
  <c r="J933" i="8"/>
  <c r="Z933" i="8" s="1"/>
  <c r="I933" i="8"/>
  <c r="X933" i="8" s="1"/>
  <c r="E962" i="6" s="1"/>
  <c r="H933" i="8"/>
  <c r="G933" i="8"/>
  <c r="F933" i="8"/>
  <c r="Y933" i="8" s="1"/>
  <c r="E933" i="8"/>
  <c r="D933" i="8"/>
  <c r="C933" i="8"/>
  <c r="W933" i="8" s="1"/>
  <c r="B933" i="8"/>
  <c r="A933" i="8"/>
  <c r="P932" i="8"/>
  <c r="O932" i="8"/>
  <c r="N932" i="8"/>
  <c r="M932" i="8"/>
  <c r="L932" i="8"/>
  <c r="AA932" i="8" s="1"/>
  <c r="K932" i="8"/>
  <c r="J932" i="8"/>
  <c r="Z932" i="8" s="1"/>
  <c r="I932" i="8"/>
  <c r="X932" i="8" s="1"/>
  <c r="E961" i="6" s="1"/>
  <c r="H932" i="8"/>
  <c r="G932" i="8"/>
  <c r="F932" i="8"/>
  <c r="Y932" i="8" s="1"/>
  <c r="E932" i="8"/>
  <c r="D932" i="8"/>
  <c r="C932" i="8"/>
  <c r="W932" i="8" s="1"/>
  <c r="B932" i="8"/>
  <c r="A932" i="8"/>
  <c r="P931" i="8"/>
  <c r="O931" i="8"/>
  <c r="N931" i="8"/>
  <c r="M931" i="8"/>
  <c r="L931" i="8"/>
  <c r="AA931" i="8" s="1"/>
  <c r="K931" i="8"/>
  <c r="J931" i="8"/>
  <c r="Z931" i="8" s="1"/>
  <c r="I931" i="8"/>
  <c r="X931" i="8" s="1"/>
  <c r="E960" i="6" s="1"/>
  <c r="H931" i="8"/>
  <c r="G931" i="8"/>
  <c r="F931" i="8"/>
  <c r="Y931" i="8" s="1"/>
  <c r="E931" i="8"/>
  <c r="D931" i="8"/>
  <c r="C931" i="8"/>
  <c r="W931" i="8" s="1"/>
  <c r="B931" i="8"/>
  <c r="A931" i="8"/>
  <c r="P930" i="8"/>
  <c r="O930" i="8"/>
  <c r="N930" i="8"/>
  <c r="M930" i="8"/>
  <c r="L930" i="8"/>
  <c r="AA930" i="8" s="1"/>
  <c r="K930" i="8"/>
  <c r="J930" i="8"/>
  <c r="Z930" i="8" s="1"/>
  <c r="I930" i="8"/>
  <c r="X930" i="8" s="1"/>
  <c r="E959" i="6" s="1"/>
  <c r="H930" i="8"/>
  <c r="G930" i="8"/>
  <c r="F930" i="8"/>
  <c r="Y930" i="8" s="1"/>
  <c r="E930" i="8"/>
  <c r="D930" i="8"/>
  <c r="C930" i="8"/>
  <c r="W930" i="8" s="1"/>
  <c r="B930" i="8"/>
  <c r="A930" i="8"/>
  <c r="P929" i="8"/>
  <c r="O929" i="8"/>
  <c r="N929" i="8"/>
  <c r="M929" i="8"/>
  <c r="L929" i="8"/>
  <c r="AA929" i="8" s="1"/>
  <c r="K929" i="8"/>
  <c r="J929" i="8"/>
  <c r="Z929" i="8" s="1"/>
  <c r="I929" i="8"/>
  <c r="X929" i="8" s="1"/>
  <c r="E958" i="6" s="1"/>
  <c r="H929" i="8"/>
  <c r="G929" i="8"/>
  <c r="F929" i="8"/>
  <c r="Y929" i="8" s="1"/>
  <c r="E929" i="8"/>
  <c r="D929" i="8"/>
  <c r="C929" i="8"/>
  <c r="W929" i="8" s="1"/>
  <c r="B929" i="8"/>
  <c r="A929" i="8"/>
  <c r="P928" i="8"/>
  <c r="O928" i="8"/>
  <c r="N928" i="8"/>
  <c r="M928" i="8"/>
  <c r="L928" i="8"/>
  <c r="AA928" i="8" s="1"/>
  <c r="K928" i="8"/>
  <c r="J928" i="8"/>
  <c r="Z928" i="8" s="1"/>
  <c r="I928" i="8"/>
  <c r="X928" i="8" s="1"/>
  <c r="E957" i="6" s="1"/>
  <c r="H928" i="8"/>
  <c r="G928" i="8"/>
  <c r="F928" i="8"/>
  <c r="Y928" i="8" s="1"/>
  <c r="E928" i="8"/>
  <c r="D928" i="8"/>
  <c r="C928" i="8"/>
  <c r="W928" i="8" s="1"/>
  <c r="B928" i="8"/>
  <c r="A928" i="8"/>
  <c r="P927" i="8"/>
  <c r="O927" i="8"/>
  <c r="N927" i="8"/>
  <c r="M927" i="8"/>
  <c r="L927" i="8"/>
  <c r="AA927" i="8" s="1"/>
  <c r="K927" i="8"/>
  <c r="J927" i="8"/>
  <c r="Z927" i="8" s="1"/>
  <c r="I927" i="8"/>
  <c r="X927" i="8" s="1"/>
  <c r="E956" i="6" s="1"/>
  <c r="H927" i="8"/>
  <c r="G927" i="8"/>
  <c r="F927" i="8"/>
  <c r="Y927" i="8" s="1"/>
  <c r="E927" i="8"/>
  <c r="D927" i="8"/>
  <c r="C927" i="8"/>
  <c r="W927" i="8" s="1"/>
  <c r="B927" i="8"/>
  <c r="A927" i="8"/>
  <c r="P926" i="8"/>
  <c r="O926" i="8"/>
  <c r="N926" i="8"/>
  <c r="M926" i="8"/>
  <c r="L926" i="8"/>
  <c r="AA926" i="8" s="1"/>
  <c r="K926" i="8"/>
  <c r="J926" i="8"/>
  <c r="Z926" i="8" s="1"/>
  <c r="I926" i="8"/>
  <c r="X926" i="8" s="1"/>
  <c r="E955" i="6" s="1"/>
  <c r="H926" i="8"/>
  <c r="G926" i="8"/>
  <c r="F926" i="8"/>
  <c r="Y926" i="8" s="1"/>
  <c r="E926" i="8"/>
  <c r="D926" i="8"/>
  <c r="C926" i="8"/>
  <c r="W926" i="8" s="1"/>
  <c r="B926" i="8"/>
  <c r="A926" i="8"/>
  <c r="P925" i="8"/>
  <c r="O925" i="8"/>
  <c r="N925" i="8"/>
  <c r="M925" i="8"/>
  <c r="L925" i="8"/>
  <c r="AA925" i="8" s="1"/>
  <c r="K925" i="8"/>
  <c r="J925" i="8"/>
  <c r="Z925" i="8" s="1"/>
  <c r="I925" i="8"/>
  <c r="X925" i="8" s="1"/>
  <c r="E954" i="6" s="1"/>
  <c r="H925" i="8"/>
  <c r="G925" i="8"/>
  <c r="F925" i="8"/>
  <c r="Y925" i="8" s="1"/>
  <c r="E925" i="8"/>
  <c r="D925" i="8"/>
  <c r="C925" i="8"/>
  <c r="W925" i="8" s="1"/>
  <c r="B925" i="8"/>
  <c r="A925" i="8"/>
  <c r="P924" i="8"/>
  <c r="O924" i="8"/>
  <c r="N924" i="8"/>
  <c r="M924" i="8"/>
  <c r="L924" i="8"/>
  <c r="AA924" i="8" s="1"/>
  <c r="K924" i="8"/>
  <c r="J924" i="8"/>
  <c r="Z924" i="8" s="1"/>
  <c r="I924" i="8"/>
  <c r="X924" i="8" s="1"/>
  <c r="E953" i="6" s="1"/>
  <c r="H924" i="8"/>
  <c r="G924" i="8"/>
  <c r="F924" i="8"/>
  <c r="Y924" i="8" s="1"/>
  <c r="E924" i="8"/>
  <c r="D924" i="8"/>
  <c r="C924" i="8"/>
  <c r="W924" i="8" s="1"/>
  <c r="B924" i="8"/>
  <c r="A924" i="8"/>
  <c r="P923" i="8"/>
  <c r="O923" i="8"/>
  <c r="N923" i="8"/>
  <c r="M923" i="8"/>
  <c r="L923" i="8"/>
  <c r="AA923" i="8" s="1"/>
  <c r="K923" i="8"/>
  <c r="J923" i="8"/>
  <c r="Z923" i="8" s="1"/>
  <c r="I923" i="8"/>
  <c r="X923" i="8" s="1"/>
  <c r="E952" i="6" s="1"/>
  <c r="H923" i="8"/>
  <c r="G923" i="8"/>
  <c r="F923" i="8"/>
  <c r="Y923" i="8" s="1"/>
  <c r="E923" i="8"/>
  <c r="D923" i="8"/>
  <c r="C923" i="8"/>
  <c r="W923" i="8" s="1"/>
  <c r="B923" i="8"/>
  <c r="A923" i="8"/>
  <c r="P922" i="8"/>
  <c r="O922" i="8"/>
  <c r="N922" i="8"/>
  <c r="M922" i="8"/>
  <c r="L922" i="8"/>
  <c r="AA922" i="8" s="1"/>
  <c r="K922" i="8"/>
  <c r="J922" i="8"/>
  <c r="Z922" i="8" s="1"/>
  <c r="I922" i="8"/>
  <c r="X922" i="8" s="1"/>
  <c r="E951" i="6" s="1"/>
  <c r="H922" i="8"/>
  <c r="G922" i="8"/>
  <c r="F922" i="8"/>
  <c r="Y922" i="8" s="1"/>
  <c r="E922" i="8"/>
  <c r="D922" i="8"/>
  <c r="C922" i="8"/>
  <c r="W922" i="8" s="1"/>
  <c r="B922" i="8"/>
  <c r="A922" i="8"/>
  <c r="P921" i="8"/>
  <c r="O921" i="8"/>
  <c r="N921" i="8"/>
  <c r="M921" i="8"/>
  <c r="L921" i="8"/>
  <c r="AA921" i="8" s="1"/>
  <c r="K921" i="8"/>
  <c r="J921" i="8"/>
  <c r="Z921" i="8" s="1"/>
  <c r="I921" i="8"/>
  <c r="X921" i="8" s="1"/>
  <c r="E950" i="6" s="1"/>
  <c r="H921" i="8"/>
  <c r="G921" i="8"/>
  <c r="F921" i="8"/>
  <c r="Y921" i="8" s="1"/>
  <c r="E921" i="8"/>
  <c r="D921" i="8"/>
  <c r="C921" i="8"/>
  <c r="W921" i="8" s="1"/>
  <c r="B921" i="8"/>
  <c r="A921" i="8"/>
  <c r="P920" i="8"/>
  <c r="O920" i="8"/>
  <c r="N920" i="8"/>
  <c r="M920" i="8"/>
  <c r="L920" i="8"/>
  <c r="AA920" i="8" s="1"/>
  <c r="K920" i="8"/>
  <c r="J920" i="8"/>
  <c r="Z920" i="8" s="1"/>
  <c r="I920" i="8"/>
  <c r="X920" i="8" s="1"/>
  <c r="E949" i="6" s="1"/>
  <c r="H920" i="8"/>
  <c r="G920" i="8"/>
  <c r="F920" i="8"/>
  <c r="Y920" i="8" s="1"/>
  <c r="E920" i="8"/>
  <c r="D920" i="8"/>
  <c r="C920" i="8"/>
  <c r="W920" i="8" s="1"/>
  <c r="B920" i="8"/>
  <c r="A920" i="8"/>
  <c r="P919" i="8"/>
  <c r="O919" i="8"/>
  <c r="N919" i="8"/>
  <c r="M919" i="8"/>
  <c r="L919" i="8"/>
  <c r="AA919" i="8" s="1"/>
  <c r="K919" i="8"/>
  <c r="J919" i="8"/>
  <c r="Z919" i="8" s="1"/>
  <c r="I919" i="8"/>
  <c r="X919" i="8" s="1"/>
  <c r="E948" i="6" s="1"/>
  <c r="H919" i="8"/>
  <c r="G919" i="8"/>
  <c r="F919" i="8"/>
  <c r="Y919" i="8" s="1"/>
  <c r="E919" i="8"/>
  <c r="D919" i="8"/>
  <c r="C919" i="8"/>
  <c r="W919" i="8" s="1"/>
  <c r="B919" i="8"/>
  <c r="A919" i="8"/>
  <c r="P918" i="8"/>
  <c r="O918" i="8"/>
  <c r="N918" i="8"/>
  <c r="M918" i="8"/>
  <c r="L918" i="8"/>
  <c r="AA918" i="8" s="1"/>
  <c r="K918" i="8"/>
  <c r="J918" i="8"/>
  <c r="Z918" i="8" s="1"/>
  <c r="I918" i="8"/>
  <c r="X918" i="8" s="1"/>
  <c r="E947" i="6" s="1"/>
  <c r="H918" i="8"/>
  <c r="G918" i="8"/>
  <c r="F918" i="8"/>
  <c r="Y918" i="8" s="1"/>
  <c r="E918" i="8"/>
  <c r="D918" i="8"/>
  <c r="C918" i="8"/>
  <c r="W918" i="8" s="1"/>
  <c r="B918" i="8"/>
  <c r="A918" i="8"/>
  <c r="P917" i="8"/>
  <c r="O917" i="8"/>
  <c r="N917" i="8"/>
  <c r="M917" i="8"/>
  <c r="L917" i="8"/>
  <c r="AA917" i="8" s="1"/>
  <c r="K917" i="8"/>
  <c r="J917" i="8"/>
  <c r="Z917" i="8" s="1"/>
  <c r="I917" i="8"/>
  <c r="X917" i="8" s="1"/>
  <c r="E946" i="6" s="1"/>
  <c r="H917" i="8"/>
  <c r="G917" i="8"/>
  <c r="F917" i="8"/>
  <c r="Y917" i="8" s="1"/>
  <c r="E917" i="8"/>
  <c r="D917" i="8"/>
  <c r="C917" i="8"/>
  <c r="W917" i="8" s="1"/>
  <c r="B917" i="8"/>
  <c r="A917" i="8"/>
  <c r="P916" i="8"/>
  <c r="O916" i="8"/>
  <c r="N916" i="8"/>
  <c r="M916" i="8"/>
  <c r="L916" i="8"/>
  <c r="AA916" i="8" s="1"/>
  <c r="K916" i="8"/>
  <c r="J916" i="8"/>
  <c r="Z916" i="8" s="1"/>
  <c r="I916" i="8"/>
  <c r="X916" i="8" s="1"/>
  <c r="E945" i="6" s="1"/>
  <c r="H916" i="8"/>
  <c r="G916" i="8"/>
  <c r="F916" i="8"/>
  <c r="Y916" i="8" s="1"/>
  <c r="E916" i="8"/>
  <c r="D916" i="8"/>
  <c r="C916" i="8"/>
  <c r="W916" i="8" s="1"/>
  <c r="B916" i="8"/>
  <c r="A916" i="8"/>
  <c r="P915" i="8"/>
  <c r="O915" i="8"/>
  <c r="N915" i="8"/>
  <c r="M915" i="8"/>
  <c r="L915" i="8"/>
  <c r="AA915" i="8" s="1"/>
  <c r="K915" i="8"/>
  <c r="J915" i="8"/>
  <c r="Z915" i="8" s="1"/>
  <c r="I915" i="8"/>
  <c r="X915" i="8" s="1"/>
  <c r="E944" i="6" s="1"/>
  <c r="H915" i="8"/>
  <c r="G915" i="8"/>
  <c r="F915" i="8"/>
  <c r="Y915" i="8" s="1"/>
  <c r="E915" i="8"/>
  <c r="D915" i="8"/>
  <c r="C915" i="8"/>
  <c r="W915" i="8" s="1"/>
  <c r="B915" i="8"/>
  <c r="A915" i="8"/>
  <c r="P914" i="8"/>
  <c r="O914" i="8"/>
  <c r="N914" i="8"/>
  <c r="M914" i="8"/>
  <c r="L914" i="8"/>
  <c r="AA914" i="8" s="1"/>
  <c r="K914" i="8"/>
  <c r="J914" i="8"/>
  <c r="Z914" i="8" s="1"/>
  <c r="I914" i="8"/>
  <c r="X914" i="8" s="1"/>
  <c r="E943" i="6" s="1"/>
  <c r="H914" i="8"/>
  <c r="G914" i="8"/>
  <c r="F914" i="8"/>
  <c r="Y914" i="8" s="1"/>
  <c r="E914" i="8"/>
  <c r="D914" i="8"/>
  <c r="C914" i="8"/>
  <c r="W914" i="8" s="1"/>
  <c r="B914" i="8"/>
  <c r="A914" i="8"/>
  <c r="P913" i="8"/>
  <c r="O913" i="8"/>
  <c r="N913" i="8"/>
  <c r="M913" i="8"/>
  <c r="L913" i="8"/>
  <c r="AA913" i="8" s="1"/>
  <c r="K913" i="8"/>
  <c r="J913" i="8"/>
  <c r="Z913" i="8" s="1"/>
  <c r="I913" i="8"/>
  <c r="X913" i="8" s="1"/>
  <c r="E942" i="6" s="1"/>
  <c r="H913" i="8"/>
  <c r="G913" i="8"/>
  <c r="F913" i="8"/>
  <c r="Y913" i="8" s="1"/>
  <c r="E913" i="8"/>
  <c r="D913" i="8"/>
  <c r="C913" i="8"/>
  <c r="W913" i="8" s="1"/>
  <c r="B913" i="8"/>
  <c r="A913" i="8"/>
  <c r="P912" i="8"/>
  <c r="O912" i="8"/>
  <c r="N912" i="8"/>
  <c r="M912" i="8"/>
  <c r="L912" i="8"/>
  <c r="AA912" i="8" s="1"/>
  <c r="K912" i="8"/>
  <c r="J912" i="8"/>
  <c r="Z912" i="8" s="1"/>
  <c r="I912" i="8"/>
  <c r="X912" i="8" s="1"/>
  <c r="E941" i="6" s="1"/>
  <c r="H912" i="8"/>
  <c r="G912" i="8"/>
  <c r="F912" i="8"/>
  <c r="Y912" i="8" s="1"/>
  <c r="E912" i="8"/>
  <c r="D912" i="8"/>
  <c r="C912" i="8"/>
  <c r="W912" i="8" s="1"/>
  <c r="B912" i="8"/>
  <c r="A912" i="8"/>
  <c r="P911" i="8"/>
  <c r="O911" i="8"/>
  <c r="N911" i="8"/>
  <c r="M911" i="8"/>
  <c r="L911" i="8"/>
  <c r="AA911" i="8" s="1"/>
  <c r="K911" i="8"/>
  <c r="J911" i="8"/>
  <c r="Z911" i="8" s="1"/>
  <c r="I911" i="8"/>
  <c r="X911" i="8" s="1"/>
  <c r="E940" i="6" s="1"/>
  <c r="H911" i="8"/>
  <c r="G911" i="8"/>
  <c r="F911" i="8"/>
  <c r="Y911" i="8" s="1"/>
  <c r="E911" i="8"/>
  <c r="D911" i="8"/>
  <c r="C911" i="8"/>
  <c r="W911" i="8" s="1"/>
  <c r="B911" i="8"/>
  <c r="A911" i="8"/>
  <c r="P910" i="8"/>
  <c r="O910" i="8"/>
  <c r="N910" i="8"/>
  <c r="M910" i="8"/>
  <c r="L910" i="8"/>
  <c r="AA910" i="8" s="1"/>
  <c r="K910" i="8"/>
  <c r="J910" i="8"/>
  <c r="Z910" i="8" s="1"/>
  <c r="I910" i="8"/>
  <c r="X910" i="8" s="1"/>
  <c r="E939" i="6" s="1"/>
  <c r="H910" i="8"/>
  <c r="G910" i="8"/>
  <c r="F910" i="8"/>
  <c r="Y910" i="8" s="1"/>
  <c r="E910" i="8"/>
  <c r="D910" i="8"/>
  <c r="C910" i="8"/>
  <c r="W910" i="8" s="1"/>
  <c r="B910" i="8"/>
  <c r="A910" i="8"/>
  <c r="P909" i="8"/>
  <c r="O909" i="8"/>
  <c r="N909" i="8"/>
  <c r="M909" i="8"/>
  <c r="L909" i="8"/>
  <c r="AA909" i="8" s="1"/>
  <c r="K909" i="8"/>
  <c r="J909" i="8"/>
  <c r="Z909" i="8" s="1"/>
  <c r="I909" i="8"/>
  <c r="X909" i="8" s="1"/>
  <c r="E938" i="6" s="1"/>
  <c r="H909" i="8"/>
  <c r="G909" i="8"/>
  <c r="F909" i="8"/>
  <c r="Y909" i="8" s="1"/>
  <c r="E909" i="8"/>
  <c r="D909" i="8"/>
  <c r="C909" i="8"/>
  <c r="W909" i="8" s="1"/>
  <c r="B909" i="8"/>
  <c r="A909" i="8"/>
  <c r="P908" i="8"/>
  <c r="O908" i="8"/>
  <c r="N908" i="8"/>
  <c r="M908" i="8"/>
  <c r="L908" i="8"/>
  <c r="AA908" i="8" s="1"/>
  <c r="K908" i="8"/>
  <c r="J908" i="8"/>
  <c r="Z908" i="8" s="1"/>
  <c r="I908" i="8"/>
  <c r="X908" i="8" s="1"/>
  <c r="E937" i="6" s="1"/>
  <c r="H908" i="8"/>
  <c r="G908" i="8"/>
  <c r="F908" i="8"/>
  <c r="Y908" i="8" s="1"/>
  <c r="E908" i="8"/>
  <c r="D908" i="8"/>
  <c r="C908" i="8"/>
  <c r="W908" i="8" s="1"/>
  <c r="B908" i="8"/>
  <c r="A908" i="8"/>
  <c r="P907" i="8"/>
  <c r="O907" i="8"/>
  <c r="N907" i="8"/>
  <c r="M907" i="8"/>
  <c r="L907" i="8"/>
  <c r="AA907" i="8" s="1"/>
  <c r="K907" i="8"/>
  <c r="J907" i="8"/>
  <c r="Z907" i="8" s="1"/>
  <c r="I907" i="8"/>
  <c r="X907" i="8" s="1"/>
  <c r="E936" i="6" s="1"/>
  <c r="H907" i="8"/>
  <c r="G907" i="8"/>
  <c r="F907" i="8"/>
  <c r="Y907" i="8" s="1"/>
  <c r="E907" i="8"/>
  <c r="D907" i="8"/>
  <c r="C907" i="8"/>
  <c r="W907" i="8" s="1"/>
  <c r="B907" i="8"/>
  <c r="A907" i="8"/>
  <c r="P906" i="8"/>
  <c r="O906" i="8"/>
  <c r="N906" i="8"/>
  <c r="M906" i="8"/>
  <c r="L906" i="8"/>
  <c r="AA906" i="8" s="1"/>
  <c r="K906" i="8"/>
  <c r="J906" i="8"/>
  <c r="Z906" i="8" s="1"/>
  <c r="I906" i="8"/>
  <c r="X906" i="8" s="1"/>
  <c r="E935" i="6" s="1"/>
  <c r="H906" i="8"/>
  <c r="G906" i="8"/>
  <c r="F906" i="8"/>
  <c r="Y906" i="8" s="1"/>
  <c r="E906" i="8"/>
  <c r="D906" i="8"/>
  <c r="C906" i="8"/>
  <c r="W906" i="8" s="1"/>
  <c r="B906" i="8"/>
  <c r="A906" i="8"/>
  <c r="P905" i="8"/>
  <c r="O905" i="8"/>
  <c r="N905" i="8"/>
  <c r="M905" i="8"/>
  <c r="L905" i="8"/>
  <c r="AA905" i="8" s="1"/>
  <c r="K905" i="8"/>
  <c r="J905" i="8"/>
  <c r="Z905" i="8" s="1"/>
  <c r="I905" i="8"/>
  <c r="X905" i="8" s="1"/>
  <c r="E934" i="6" s="1"/>
  <c r="H905" i="8"/>
  <c r="G905" i="8"/>
  <c r="F905" i="8"/>
  <c r="Y905" i="8" s="1"/>
  <c r="E905" i="8"/>
  <c r="D905" i="8"/>
  <c r="C905" i="8"/>
  <c r="W905" i="8" s="1"/>
  <c r="B905" i="8"/>
  <c r="A905" i="8"/>
  <c r="P904" i="8"/>
  <c r="O904" i="8"/>
  <c r="N904" i="8"/>
  <c r="M904" i="8"/>
  <c r="L904" i="8"/>
  <c r="AA904" i="8" s="1"/>
  <c r="K904" i="8"/>
  <c r="J904" i="8"/>
  <c r="Z904" i="8" s="1"/>
  <c r="I904" i="8"/>
  <c r="X904" i="8" s="1"/>
  <c r="E933" i="6" s="1"/>
  <c r="H904" i="8"/>
  <c r="G904" i="8"/>
  <c r="F904" i="8"/>
  <c r="Y904" i="8" s="1"/>
  <c r="E904" i="8"/>
  <c r="D904" i="8"/>
  <c r="C904" i="8"/>
  <c r="W904" i="8" s="1"/>
  <c r="B904" i="8"/>
  <c r="A904" i="8"/>
  <c r="P903" i="8"/>
  <c r="O903" i="8"/>
  <c r="N903" i="8"/>
  <c r="M903" i="8"/>
  <c r="L903" i="8"/>
  <c r="AA903" i="8" s="1"/>
  <c r="K903" i="8"/>
  <c r="J903" i="8"/>
  <c r="Z903" i="8" s="1"/>
  <c r="I903" i="8"/>
  <c r="X903" i="8" s="1"/>
  <c r="E932" i="6" s="1"/>
  <c r="H903" i="8"/>
  <c r="G903" i="8"/>
  <c r="F903" i="8"/>
  <c r="Y903" i="8" s="1"/>
  <c r="E903" i="8"/>
  <c r="D903" i="8"/>
  <c r="C903" i="8"/>
  <c r="W903" i="8" s="1"/>
  <c r="B903" i="8"/>
  <c r="A903" i="8"/>
  <c r="P902" i="8"/>
  <c r="O902" i="8"/>
  <c r="N902" i="8"/>
  <c r="M902" i="8"/>
  <c r="L902" i="8"/>
  <c r="AA902" i="8" s="1"/>
  <c r="K902" i="8"/>
  <c r="J902" i="8"/>
  <c r="Z902" i="8" s="1"/>
  <c r="I902" i="8"/>
  <c r="X902" i="8" s="1"/>
  <c r="E931" i="6" s="1"/>
  <c r="H902" i="8"/>
  <c r="G902" i="8"/>
  <c r="F902" i="8"/>
  <c r="Y902" i="8" s="1"/>
  <c r="E902" i="8"/>
  <c r="D902" i="8"/>
  <c r="C902" i="8"/>
  <c r="W902" i="8" s="1"/>
  <c r="B902" i="8"/>
  <c r="A902" i="8"/>
  <c r="P901" i="8"/>
  <c r="O901" i="8"/>
  <c r="N901" i="8"/>
  <c r="M901" i="8"/>
  <c r="L901" i="8"/>
  <c r="AA901" i="8" s="1"/>
  <c r="K901" i="8"/>
  <c r="J901" i="8"/>
  <c r="Z901" i="8" s="1"/>
  <c r="I901" i="8"/>
  <c r="X901" i="8" s="1"/>
  <c r="E930" i="6" s="1"/>
  <c r="H901" i="8"/>
  <c r="G901" i="8"/>
  <c r="F901" i="8"/>
  <c r="Y901" i="8" s="1"/>
  <c r="E901" i="8"/>
  <c r="D901" i="8"/>
  <c r="C901" i="8"/>
  <c r="W901" i="8" s="1"/>
  <c r="B901" i="8"/>
  <c r="A901" i="8"/>
  <c r="P900" i="8"/>
  <c r="O900" i="8"/>
  <c r="N900" i="8"/>
  <c r="M900" i="8"/>
  <c r="L900" i="8"/>
  <c r="AA900" i="8" s="1"/>
  <c r="K900" i="8"/>
  <c r="J900" i="8"/>
  <c r="Z900" i="8" s="1"/>
  <c r="I900" i="8"/>
  <c r="X900" i="8" s="1"/>
  <c r="E929" i="6" s="1"/>
  <c r="H900" i="8"/>
  <c r="G900" i="8"/>
  <c r="F900" i="8"/>
  <c r="Y900" i="8" s="1"/>
  <c r="E900" i="8"/>
  <c r="D900" i="8"/>
  <c r="C900" i="8"/>
  <c r="W900" i="8" s="1"/>
  <c r="B900" i="8"/>
  <c r="A900" i="8"/>
  <c r="P899" i="8"/>
  <c r="O899" i="8"/>
  <c r="N899" i="8"/>
  <c r="M899" i="8"/>
  <c r="L899" i="8"/>
  <c r="AA899" i="8" s="1"/>
  <c r="K899" i="8"/>
  <c r="J899" i="8"/>
  <c r="Z899" i="8" s="1"/>
  <c r="I899" i="8"/>
  <c r="X899" i="8" s="1"/>
  <c r="E928" i="6" s="1"/>
  <c r="H899" i="8"/>
  <c r="G899" i="8"/>
  <c r="F899" i="8"/>
  <c r="Y899" i="8" s="1"/>
  <c r="E899" i="8"/>
  <c r="D899" i="8"/>
  <c r="C899" i="8"/>
  <c r="W899" i="8" s="1"/>
  <c r="B899" i="8"/>
  <c r="A899" i="8"/>
  <c r="P898" i="8"/>
  <c r="O898" i="8"/>
  <c r="N898" i="8"/>
  <c r="M898" i="8"/>
  <c r="L898" i="8"/>
  <c r="AA898" i="8" s="1"/>
  <c r="K898" i="8"/>
  <c r="J898" i="8"/>
  <c r="Z898" i="8" s="1"/>
  <c r="I898" i="8"/>
  <c r="X898" i="8" s="1"/>
  <c r="E927" i="6" s="1"/>
  <c r="H898" i="8"/>
  <c r="G898" i="8"/>
  <c r="F898" i="8"/>
  <c r="Y898" i="8" s="1"/>
  <c r="E898" i="8"/>
  <c r="D898" i="8"/>
  <c r="C898" i="8"/>
  <c r="W898" i="8" s="1"/>
  <c r="B898" i="8"/>
  <c r="A898" i="8"/>
  <c r="P897" i="8"/>
  <c r="O897" i="8"/>
  <c r="N897" i="8"/>
  <c r="M897" i="8"/>
  <c r="L897" i="8"/>
  <c r="AA897" i="8" s="1"/>
  <c r="K897" i="8"/>
  <c r="J897" i="8"/>
  <c r="Z897" i="8" s="1"/>
  <c r="I897" i="8"/>
  <c r="X897" i="8" s="1"/>
  <c r="E926" i="6" s="1"/>
  <c r="H897" i="8"/>
  <c r="G897" i="8"/>
  <c r="F897" i="8"/>
  <c r="Y897" i="8" s="1"/>
  <c r="E897" i="8"/>
  <c r="D897" i="8"/>
  <c r="C897" i="8"/>
  <c r="W897" i="8" s="1"/>
  <c r="B897" i="8"/>
  <c r="A897" i="8"/>
  <c r="P896" i="8"/>
  <c r="O896" i="8"/>
  <c r="N896" i="8"/>
  <c r="M896" i="8"/>
  <c r="L896" i="8"/>
  <c r="AA896" i="8" s="1"/>
  <c r="K896" i="8"/>
  <c r="J896" i="8"/>
  <c r="Z896" i="8" s="1"/>
  <c r="I896" i="8"/>
  <c r="X896" i="8" s="1"/>
  <c r="E925" i="6" s="1"/>
  <c r="H896" i="8"/>
  <c r="G896" i="8"/>
  <c r="F896" i="8"/>
  <c r="Y896" i="8" s="1"/>
  <c r="E896" i="8"/>
  <c r="D896" i="8"/>
  <c r="C896" i="8"/>
  <c r="W896" i="8" s="1"/>
  <c r="B896" i="8"/>
  <c r="A896" i="8"/>
  <c r="P895" i="8"/>
  <c r="O895" i="8"/>
  <c r="N895" i="8"/>
  <c r="M895" i="8"/>
  <c r="L895" i="8"/>
  <c r="AA895" i="8" s="1"/>
  <c r="K895" i="8"/>
  <c r="J895" i="8"/>
  <c r="Z895" i="8" s="1"/>
  <c r="I895" i="8"/>
  <c r="X895" i="8" s="1"/>
  <c r="E924" i="6" s="1"/>
  <c r="H895" i="8"/>
  <c r="G895" i="8"/>
  <c r="F895" i="8"/>
  <c r="Y895" i="8" s="1"/>
  <c r="E895" i="8"/>
  <c r="D895" i="8"/>
  <c r="C895" i="8"/>
  <c r="W895" i="8" s="1"/>
  <c r="B895" i="8"/>
  <c r="A895" i="8"/>
  <c r="P894" i="8"/>
  <c r="O894" i="8"/>
  <c r="N894" i="8"/>
  <c r="M894" i="8"/>
  <c r="L894" i="8"/>
  <c r="AA894" i="8" s="1"/>
  <c r="K894" i="8"/>
  <c r="J894" i="8"/>
  <c r="Z894" i="8" s="1"/>
  <c r="I894" i="8"/>
  <c r="X894" i="8" s="1"/>
  <c r="E923" i="6" s="1"/>
  <c r="H894" i="8"/>
  <c r="G894" i="8"/>
  <c r="F894" i="8"/>
  <c r="Y894" i="8" s="1"/>
  <c r="E894" i="8"/>
  <c r="D894" i="8"/>
  <c r="C894" i="8"/>
  <c r="W894" i="8" s="1"/>
  <c r="B894" i="8"/>
  <c r="A894" i="8"/>
  <c r="P893" i="8"/>
  <c r="O893" i="8"/>
  <c r="N893" i="8"/>
  <c r="M893" i="8"/>
  <c r="L893" i="8"/>
  <c r="AA893" i="8" s="1"/>
  <c r="K893" i="8"/>
  <c r="J893" i="8"/>
  <c r="Z893" i="8" s="1"/>
  <c r="I893" i="8"/>
  <c r="X893" i="8" s="1"/>
  <c r="E922" i="6" s="1"/>
  <c r="H893" i="8"/>
  <c r="G893" i="8"/>
  <c r="F893" i="8"/>
  <c r="Y893" i="8" s="1"/>
  <c r="E893" i="8"/>
  <c r="D893" i="8"/>
  <c r="C893" i="8"/>
  <c r="W893" i="8" s="1"/>
  <c r="B893" i="8"/>
  <c r="A893" i="8"/>
  <c r="P892" i="8"/>
  <c r="O892" i="8"/>
  <c r="N892" i="8"/>
  <c r="M892" i="8"/>
  <c r="L892" i="8"/>
  <c r="AA892" i="8" s="1"/>
  <c r="K892" i="8"/>
  <c r="J892" i="8"/>
  <c r="Z892" i="8" s="1"/>
  <c r="I892" i="8"/>
  <c r="X892" i="8" s="1"/>
  <c r="E921" i="6" s="1"/>
  <c r="H892" i="8"/>
  <c r="G892" i="8"/>
  <c r="F892" i="8"/>
  <c r="Y892" i="8" s="1"/>
  <c r="E892" i="8"/>
  <c r="D892" i="8"/>
  <c r="C892" i="8"/>
  <c r="W892" i="8" s="1"/>
  <c r="B892" i="8"/>
  <c r="A892" i="8"/>
  <c r="P891" i="8"/>
  <c r="O891" i="8"/>
  <c r="N891" i="8"/>
  <c r="M891" i="8"/>
  <c r="L891" i="8"/>
  <c r="AA891" i="8" s="1"/>
  <c r="K891" i="8"/>
  <c r="J891" i="8"/>
  <c r="Z891" i="8" s="1"/>
  <c r="I891" i="8"/>
  <c r="X891" i="8" s="1"/>
  <c r="E920" i="6" s="1"/>
  <c r="H891" i="8"/>
  <c r="G891" i="8"/>
  <c r="F891" i="8"/>
  <c r="Y891" i="8" s="1"/>
  <c r="E891" i="8"/>
  <c r="D891" i="8"/>
  <c r="C891" i="8"/>
  <c r="W891" i="8" s="1"/>
  <c r="B891" i="8"/>
  <c r="A891" i="8"/>
  <c r="P890" i="8"/>
  <c r="O890" i="8"/>
  <c r="N890" i="8"/>
  <c r="M890" i="8"/>
  <c r="L890" i="8"/>
  <c r="AA890" i="8" s="1"/>
  <c r="K890" i="8"/>
  <c r="J890" i="8"/>
  <c r="Z890" i="8" s="1"/>
  <c r="I890" i="8"/>
  <c r="X890" i="8" s="1"/>
  <c r="E919" i="6" s="1"/>
  <c r="H890" i="8"/>
  <c r="G890" i="8"/>
  <c r="F890" i="8"/>
  <c r="Y890" i="8" s="1"/>
  <c r="E890" i="8"/>
  <c r="D890" i="8"/>
  <c r="C890" i="8"/>
  <c r="W890" i="8" s="1"/>
  <c r="B890" i="8"/>
  <c r="A890" i="8"/>
  <c r="P889" i="8"/>
  <c r="O889" i="8"/>
  <c r="N889" i="8"/>
  <c r="M889" i="8"/>
  <c r="L889" i="8"/>
  <c r="AA889" i="8" s="1"/>
  <c r="K889" i="8"/>
  <c r="J889" i="8"/>
  <c r="Z889" i="8" s="1"/>
  <c r="I889" i="8"/>
  <c r="X889" i="8" s="1"/>
  <c r="E918" i="6" s="1"/>
  <c r="H889" i="8"/>
  <c r="G889" i="8"/>
  <c r="F889" i="8"/>
  <c r="Y889" i="8" s="1"/>
  <c r="E889" i="8"/>
  <c r="D889" i="8"/>
  <c r="C889" i="8"/>
  <c r="W889" i="8" s="1"/>
  <c r="B889" i="8"/>
  <c r="A889" i="8"/>
  <c r="P888" i="8"/>
  <c r="O888" i="8"/>
  <c r="N888" i="8"/>
  <c r="M888" i="8"/>
  <c r="L888" i="8"/>
  <c r="AA888" i="8" s="1"/>
  <c r="K888" i="8"/>
  <c r="J888" i="8"/>
  <c r="Z888" i="8" s="1"/>
  <c r="I888" i="8"/>
  <c r="X888" i="8" s="1"/>
  <c r="E917" i="6" s="1"/>
  <c r="H888" i="8"/>
  <c r="G888" i="8"/>
  <c r="F888" i="8"/>
  <c r="Y888" i="8" s="1"/>
  <c r="E888" i="8"/>
  <c r="D888" i="8"/>
  <c r="C888" i="8"/>
  <c r="W888" i="8" s="1"/>
  <c r="B888" i="8"/>
  <c r="A888" i="8"/>
  <c r="P887" i="8"/>
  <c r="O887" i="8"/>
  <c r="N887" i="8"/>
  <c r="M887" i="8"/>
  <c r="L887" i="8"/>
  <c r="AA887" i="8" s="1"/>
  <c r="K887" i="8"/>
  <c r="J887" i="8"/>
  <c r="Z887" i="8" s="1"/>
  <c r="I887" i="8"/>
  <c r="X887" i="8" s="1"/>
  <c r="E916" i="6" s="1"/>
  <c r="H887" i="8"/>
  <c r="G887" i="8"/>
  <c r="F887" i="8"/>
  <c r="Y887" i="8" s="1"/>
  <c r="E887" i="8"/>
  <c r="D887" i="8"/>
  <c r="C887" i="8"/>
  <c r="W887" i="8" s="1"/>
  <c r="B887" i="8"/>
  <c r="A887" i="8"/>
  <c r="P886" i="8"/>
  <c r="O886" i="8"/>
  <c r="N886" i="8"/>
  <c r="M886" i="8"/>
  <c r="L886" i="8"/>
  <c r="AA886" i="8" s="1"/>
  <c r="K886" i="8"/>
  <c r="J886" i="8"/>
  <c r="Z886" i="8" s="1"/>
  <c r="I886" i="8"/>
  <c r="X886" i="8" s="1"/>
  <c r="E915" i="6" s="1"/>
  <c r="H886" i="8"/>
  <c r="G886" i="8"/>
  <c r="F886" i="8"/>
  <c r="Y886" i="8" s="1"/>
  <c r="E886" i="8"/>
  <c r="D886" i="8"/>
  <c r="C886" i="8"/>
  <c r="W886" i="8" s="1"/>
  <c r="B886" i="8"/>
  <c r="A886" i="8"/>
  <c r="P885" i="8"/>
  <c r="O885" i="8"/>
  <c r="N885" i="8"/>
  <c r="M885" i="8"/>
  <c r="L885" i="8"/>
  <c r="AA885" i="8" s="1"/>
  <c r="K885" i="8"/>
  <c r="J885" i="8"/>
  <c r="Z885" i="8" s="1"/>
  <c r="I885" i="8"/>
  <c r="X885" i="8" s="1"/>
  <c r="E914" i="6" s="1"/>
  <c r="H885" i="8"/>
  <c r="G885" i="8"/>
  <c r="F885" i="8"/>
  <c r="Y885" i="8" s="1"/>
  <c r="E885" i="8"/>
  <c r="D885" i="8"/>
  <c r="C885" i="8"/>
  <c r="W885" i="8" s="1"/>
  <c r="B885" i="8"/>
  <c r="A885" i="8"/>
  <c r="P884" i="8"/>
  <c r="O884" i="8"/>
  <c r="N884" i="8"/>
  <c r="M884" i="8"/>
  <c r="L884" i="8"/>
  <c r="AA884" i="8" s="1"/>
  <c r="K884" i="8"/>
  <c r="J884" i="8"/>
  <c r="Z884" i="8" s="1"/>
  <c r="I884" i="8"/>
  <c r="X884" i="8" s="1"/>
  <c r="E913" i="6" s="1"/>
  <c r="H884" i="8"/>
  <c r="G884" i="8"/>
  <c r="F884" i="8"/>
  <c r="Y884" i="8" s="1"/>
  <c r="E884" i="8"/>
  <c r="D884" i="8"/>
  <c r="C884" i="8"/>
  <c r="W884" i="8" s="1"/>
  <c r="B884" i="8"/>
  <c r="A884" i="8"/>
  <c r="P883" i="8"/>
  <c r="O883" i="8"/>
  <c r="N883" i="8"/>
  <c r="M883" i="8"/>
  <c r="L883" i="8"/>
  <c r="AA883" i="8" s="1"/>
  <c r="K883" i="8"/>
  <c r="J883" i="8"/>
  <c r="Z883" i="8" s="1"/>
  <c r="I883" i="8"/>
  <c r="X883" i="8" s="1"/>
  <c r="E912" i="6" s="1"/>
  <c r="H883" i="8"/>
  <c r="G883" i="8"/>
  <c r="F883" i="8"/>
  <c r="Y883" i="8" s="1"/>
  <c r="E883" i="8"/>
  <c r="D883" i="8"/>
  <c r="C883" i="8"/>
  <c r="W883" i="8" s="1"/>
  <c r="B883" i="8"/>
  <c r="A883" i="8"/>
  <c r="P882" i="8"/>
  <c r="O882" i="8"/>
  <c r="N882" i="8"/>
  <c r="M882" i="8"/>
  <c r="L882" i="8"/>
  <c r="AA882" i="8" s="1"/>
  <c r="K882" i="8"/>
  <c r="J882" i="8"/>
  <c r="Z882" i="8" s="1"/>
  <c r="I882" i="8"/>
  <c r="X882" i="8" s="1"/>
  <c r="E911" i="6" s="1"/>
  <c r="H882" i="8"/>
  <c r="G882" i="8"/>
  <c r="F882" i="8"/>
  <c r="Y882" i="8" s="1"/>
  <c r="E882" i="8"/>
  <c r="D882" i="8"/>
  <c r="C882" i="8"/>
  <c r="W882" i="8" s="1"/>
  <c r="B882" i="8"/>
  <c r="A882" i="8"/>
  <c r="P881" i="8"/>
  <c r="O881" i="8"/>
  <c r="N881" i="8"/>
  <c r="M881" i="8"/>
  <c r="L881" i="8"/>
  <c r="AA881" i="8" s="1"/>
  <c r="K881" i="8"/>
  <c r="J881" i="8"/>
  <c r="Z881" i="8" s="1"/>
  <c r="I881" i="8"/>
  <c r="X881" i="8" s="1"/>
  <c r="E910" i="6" s="1"/>
  <c r="H881" i="8"/>
  <c r="G881" i="8"/>
  <c r="F881" i="8"/>
  <c r="Y881" i="8" s="1"/>
  <c r="E881" i="8"/>
  <c r="D881" i="8"/>
  <c r="C881" i="8"/>
  <c r="W881" i="8" s="1"/>
  <c r="B881" i="8"/>
  <c r="A881" i="8"/>
  <c r="P880" i="8"/>
  <c r="O880" i="8"/>
  <c r="N880" i="8"/>
  <c r="M880" i="8"/>
  <c r="L880" i="8"/>
  <c r="AA880" i="8" s="1"/>
  <c r="K880" i="8"/>
  <c r="J880" i="8"/>
  <c r="Z880" i="8" s="1"/>
  <c r="I880" i="8"/>
  <c r="X880" i="8" s="1"/>
  <c r="E909" i="6" s="1"/>
  <c r="H880" i="8"/>
  <c r="G880" i="8"/>
  <c r="F880" i="8"/>
  <c r="Y880" i="8" s="1"/>
  <c r="E880" i="8"/>
  <c r="D880" i="8"/>
  <c r="C880" i="8"/>
  <c r="W880" i="8" s="1"/>
  <c r="B880" i="8"/>
  <c r="A880" i="8"/>
  <c r="P879" i="8"/>
  <c r="O879" i="8"/>
  <c r="N879" i="8"/>
  <c r="M879" i="8"/>
  <c r="L879" i="8"/>
  <c r="AA879" i="8" s="1"/>
  <c r="K879" i="8"/>
  <c r="J879" i="8"/>
  <c r="Z879" i="8" s="1"/>
  <c r="I879" i="8"/>
  <c r="X879" i="8" s="1"/>
  <c r="E908" i="6" s="1"/>
  <c r="H879" i="8"/>
  <c r="G879" i="8"/>
  <c r="F879" i="8"/>
  <c r="Y879" i="8" s="1"/>
  <c r="E879" i="8"/>
  <c r="D879" i="8"/>
  <c r="C879" i="8"/>
  <c r="W879" i="8" s="1"/>
  <c r="B879" i="8"/>
  <c r="A879" i="8"/>
  <c r="P878" i="8"/>
  <c r="O878" i="8"/>
  <c r="N878" i="8"/>
  <c r="M878" i="8"/>
  <c r="L878" i="8"/>
  <c r="AA878" i="8" s="1"/>
  <c r="K878" i="8"/>
  <c r="J878" i="8"/>
  <c r="Z878" i="8" s="1"/>
  <c r="I878" i="8"/>
  <c r="X878" i="8" s="1"/>
  <c r="E907" i="6" s="1"/>
  <c r="H878" i="8"/>
  <c r="G878" i="8"/>
  <c r="F878" i="8"/>
  <c r="Y878" i="8" s="1"/>
  <c r="E878" i="8"/>
  <c r="D878" i="8"/>
  <c r="C878" i="8"/>
  <c r="W878" i="8" s="1"/>
  <c r="B878" i="8"/>
  <c r="A878" i="8"/>
  <c r="P877" i="8"/>
  <c r="O877" i="8"/>
  <c r="N877" i="8"/>
  <c r="M877" i="8"/>
  <c r="L877" i="8"/>
  <c r="AA877" i="8" s="1"/>
  <c r="K877" i="8"/>
  <c r="J877" i="8"/>
  <c r="Z877" i="8" s="1"/>
  <c r="I877" i="8"/>
  <c r="X877" i="8" s="1"/>
  <c r="E906" i="6" s="1"/>
  <c r="H877" i="8"/>
  <c r="G877" i="8"/>
  <c r="F877" i="8"/>
  <c r="Y877" i="8" s="1"/>
  <c r="E877" i="8"/>
  <c r="D877" i="8"/>
  <c r="C877" i="8"/>
  <c r="W877" i="8" s="1"/>
  <c r="B877" i="8"/>
  <c r="A877" i="8"/>
  <c r="P876" i="8"/>
  <c r="O876" i="8"/>
  <c r="N876" i="8"/>
  <c r="M876" i="8"/>
  <c r="L876" i="8"/>
  <c r="AA876" i="8" s="1"/>
  <c r="K876" i="8"/>
  <c r="J876" i="8"/>
  <c r="Z876" i="8" s="1"/>
  <c r="I876" i="8"/>
  <c r="X876" i="8" s="1"/>
  <c r="E905" i="6" s="1"/>
  <c r="H876" i="8"/>
  <c r="G876" i="8"/>
  <c r="F876" i="8"/>
  <c r="Y876" i="8" s="1"/>
  <c r="E876" i="8"/>
  <c r="D876" i="8"/>
  <c r="C876" i="8"/>
  <c r="W876" i="8" s="1"/>
  <c r="B876" i="8"/>
  <c r="A876" i="8"/>
  <c r="P875" i="8"/>
  <c r="O875" i="8"/>
  <c r="N875" i="8"/>
  <c r="M875" i="8"/>
  <c r="L875" i="8"/>
  <c r="AA875" i="8" s="1"/>
  <c r="K875" i="8"/>
  <c r="J875" i="8"/>
  <c r="Z875" i="8" s="1"/>
  <c r="I875" i="8"/>
  <c r="X875" i="8" s="1"/>
  <c r="E904" i="6" s="1"/>
  <c r="H875" i="8"/>
  <c r="G875" i="8"/>
  <c r="F875" i="8"/>
  <c r="Y875" i="8" s="1"/>
  <c r="E875" i="8"/>
  <c r="D875" i="8"/>
  <c r="C875" i="8"/>
  <c r="W875" i="8" s="1"/>
  <c r="B875" i="8"/>
  <c r="A875" i="8"/>
  <c r="P874" i="8"/>
  <c r="O874" i="8"/>
  <c r="N874" i="8"/>
  <c r="M874" i="8"/>
  <c r="L874" i="8"/>
  <c r="AA874" i="8" s="1"/>
  <c r="K874" i="8"/>
  <c r="J874" i="8"/>
  <c r="Z874" i="8" s="1"/>
  <c r="I874" i="8"/>
  <c r="X874" i="8" s="1"/>
  <c r="E903" i="6" s="1"/>
  <c r="H874" i="8"/>
  <c r="G874" i="8"/>
  <c r="F874" i="8"/>
  <c r="Y874" i="8" s="1"/>
  <c r="E874" i="8"/>
  <c r="D874" i="8"/>
  <c r="C874" i="8"/>
  <c r="W874" i="8" s="1"/>
  <c r="B874" i="8"/>
  <c r="A874" i="8"/>
  <c r="P873" i="8"/>
  <c r="O873" i="8"/>
  <c r="N873" i="8"/>
  <c r="M873" i="8"/>
  <c r="L873" i="8"/>
  <c r="AA873" i="8" s="1"/>
  <c r="K873" i="8"/>
  <c r="J873" i="8"/>
  <c r="Z873" i="8" s="1"/>
  <c r="I873" i="8"/>
  <c r="X873" i="8" s="1"/>
  <c r="E902" i="6" s="1"/>
  <c r="H873" i="8"/>
  <c r="G873" i="8"/>
  <c r="F873" i="8"/>
  <c r="Y873" i="8" s="1"/>
  <c r="E873" i="8"/>
  <c r="D873" i="8"/>
  <c r="C873" i="8"/>
  <c r="W873" i="8" s="1"/>
  <c r="B873" i="8"/>
  <c r="A873" i="8"/>
  <c r="P872" i="8"/>
  <c r="O872" i="8"/>
  <c r="N872" i="8"/>
  <c r="M872" i="8"/>
  <c r="L872" i="8"/>
  <c r="AA872" i="8" s="1"/>
  <c r="K872" i="8"/>
  <c r="J872" i="8"/>
  <c r="Z872" i="8" s="1"/>
  <c r="I872" i="8"/>
  <c r="X872" i="8" s="1"/>
  <c r="E901" i="6" s="1"/>
  <c r="H872" i="8"/>
  <c r="G872" i="8"/>
  <c r="F872" i="8"/>
  <c r="Y872" i="8" s="1"/>
  <c r="E872" i="8"/>
  <c r="D872" i="8"/>
  <c r="C872" i="8"/>
  <c r="W872" i="8" s="1"/>
  <c r="B872" i="8"/>
  <c r="A872" i="8"/>
  <c r="P871" i="8"/>
  <c r="O871" i="8"/>
  <c r="N871" i="8"/>
  <c r="M871" i="8"/>
  <c r="L871" i="8"/>
  <c r="AA871" i="8" s="1"/>
  <c r="K871" i="8"/>
  <c r="J871" i="8"/>
  <c r="Z871" i="8" s="1"/>
  <c r="I871" i="8"/>
  <c r="X871" i="8" s="1"/>
  <c r="E900" i="6" s="1"/>
  <c r="H871" i="8"/>
  <c r="G871" i="8"/>
  <c r="F871" i="8"/>
  <c r="Y871" i="8" s="1"/>
  <c r="E871" i="8"/>
  <c r="D871" i="8"/>
  <c r="C871" i="8"/>
  <c r="W871" i="8" s="1"/>
  <c r="B871" i="8"/>
  <c r="A871" i="8"/>
  <c r="P870" i="8"/>
  <c r="O870" i="8"/>
  <c r="N870" i="8"/>
  <c r="M870" i="8"/>
  <c r="L870" i="8"/>
  <c r="AA870" i="8" s="1"/>
  <c r="K870" i="8"/>
  <c r="J870" i="8"/>
  <c r="Z870" i="8" s="1"/>
  <c r="I870" i="8"/>
  <c r="X870" i="8" s="1"/>
  <c r="E899" i="6" s="1"/>
  <c r="H870" i="8"/>
  <c r="G870" i="8"/>
  <c r="F870" i="8"/>
  <c r="Y870" i="8" s="1"/>
  <c r="E870" i="8"/>
  <c r="D870" i="8"/>
  <c r="C870" i="8"/>
  <c r="W870" i="8" s="1"/>
  <c r="B870" i="8"/>
  <c r="A870" i="8"/>
  <c r="P869" i="8"/>
  <c r="O869" i="8"/>
  <c r="N869" i="8"/>
  <c r="M869" i="8"/>
  <c r="L869" i="8"/>
  <c r="AA869" i="8" s="1"/>
  <c r="K869" i="8"/>
  <c r="J869" i="8"/>
  <c r="Z869" i="8" s="1"/>
  <c r="I869" i="8"/>
  <c r="X869" i="8" s="1"/>
  <c r="E898" i="6" s="1"/>
  <c r="H869" i="8"/>
  <c r="G869" i="8"/>
  <c r="F869" i="8"/>
  <c r="Y869" i="8" s="1"/>
  <c r="E869" i="8"/>
  <c r="D869" i="8"/>
  <c r="C869" i="8"/>
  <c r="W869" i="8" s="1"/>
  <c r="B869" i="8"/>
  <c r="A869" i="8"/>
  <c r="P868" i="8"/>
  <c r="O868" i="8"/>
  <c r="N868" i="8"/>
  <c r="M868" i="8"/>
  <c r="L868" i="8"/>
  <c r="AA868" i="8" s="1"/>
  <c r="K868" i="8"/>
  <c r="J868" i="8"/>
  <c r="Z868" i="8" s="1"/>
  <c r="I868" i="8"/>
  <c r="X868" i="8" s="1"/>
  <c r="E897" i="6" s="1"/>
  <c r="H868" i="8"/>
  <c r="G868" i="8"/>
  <c r="F868" i="8"/>
  <c r="Y868" i="8" s="1"/>
  <c r="E868" i="8"/>
  <c r="D868" i="8"/>
  <c r="C868" i="8"/>
  <c r="W868" i="8" s="1"/>
  <c r="B868" i="8"/>
  <c r="A868" i="8"/>
  <c r="P867" i="8"/>
  <c r="O867" i="8"/>
  <c r="N867" i="8"/>
  <c r="M867" i="8"/>
  <c r="L867" i="8"/>
  <c r="AA867" i="8" s="1"/>
  <c r="K867" i="8"/>
  <c r="J867" i="8"/>
  <c r="Z867" i="8" s="1"/>
  <c r="I867" i="8"/>
  <c r="X867" i="8" s="1"/>
  <c r="E896" i="6" s="1"/>
  <c r="H867" i="8"/>
  <c r="G867" i="8"/>
  <c r="F867" i="8"/>
  <c r="Y867" i="8" s="1"/>
  <c r="E867" i="8"/>
  <c r="D867" i="8"/>
  <c r="C867" i="8"/>
  <c r="W867" i="8" s="1"/>
  <c r="B867" i="8"/>
  <c r="A867" i="8"/>
  <c r="P866" i="8"/>
  <c r="O866" i="8"/>
  <c r="N866" i="8"/>
  <c r="M866" i="8"/>
  <c r="L866" i="8"/>
  <c r="AA866" i="8" s="1"/>
  <c r="K866" i="8"/>
  <c r="J866" i="8"/>
  <c r="Z866" i="8" s="1"/>
  <c r="I866" i="8"/>
  <c r="X866" i="8" s="1"/>
  <c r="E895" i="6" s="1"/>
  <c r="H866" i="8"/>
  <c r="G866" i="8"/>
  <c r="F866" i="8"/>
  <c r="Y866" i="8" s="1"/>
  <c r="E866" i="8"/>
  <c r="D866" i="8"/>
  <c r="C866" i="8"/>
  <c r="W866" i="8" s="1"/>
  <c r="B866" i="8"/>
  <c r="A866" i="8"/>
  <c r="P865" i="8"/>
  <c r="O865" i="8"/>
  <c r="N865" i="8"/>
  <c r="M865" i="8"/>
  <c r="L865" i="8"/>
  <c r="AA865" i="8" s="1"/>
  <c r="K865" i="8"/>
  <c r="J865" i="8"/>
  <c r="Z865" i="8" s="1"/>
  <c r="I865" i="8"/>
  <c r="X865" i="8" s="1"/>
  <c r="E894" i="6" s="1"/>
  <c r="H865" i="8"/>
  <c r="G865" i="8"/>
  <c r="F865" i="8"/>
  <c r="Y865" i="8" s="1"/>
  <c r="E865" i="8"/>
  <c r="D865" i="8"/>
  <c r="C865" i="8"/>
  <c r="W865" i="8" s="1"/>
  <c r="B865" i="8"/>
  <c r="A865" i="8"/>
  <c r="P864" i="8"/>
  <c r="O864" i="8"/>
  <c r="N864" i="8"/>
  <c r="M864" i="8"/>
  <c r="L864" i="8"/>
  <c r="AA864" i="8" s="1"/>
  <c r="K864" i="8"/>
  <c r="J864" i="8"/>
  <c r="Z864" i="8" s="1"/>
  <c r="I864" i="8"/>
  <c r="X864" i="8" s="1"/>
  <c r="E893" i="6" s="1"/>
  <c r="H864" i="8"/>
  <c r="G864" i="8"/>
  <c r="F864" i="8"/>
  <c r="Y864" i="8" s="1"/>
  <c r="E864" i="8"/>
  <c r="D864" i="8"/>
  <c r="C864" i="8"/>
  <c r="W864" i="8" s="1"/>
  <c r="B864" i="8"/>
  <c r="A864" i="8"/>
  <c r="P863" i="8"/>
  <c r="O863" i="8"/>
  <c r="N863" i="8"/>
  <c r="M863" i="8"/>
  <c r="L863" i="8"/>
  <c r="AA863" i="8" s="1"/>
  <c r="K863" i="8"/>
  <c r="J863" i="8"/>
  <c r="Z863" i="8" s="1"/>
  <c r="I863" i="8"/>
  <c r="X863" i="8" s="1"/>
  <c r="E892" i="6" s="1"/>
  <c r="H863" i="8"/>
  <c r="G863" i="8"/>
  <c r="F863" i="8"/>
  <c r="Y863" i="8" s="1"/>
  <c r="E863" i="8"/>
  <c r="D863" i="8"/>
  <c r="C863" i="8"/>
  <c r="W863" i="8" s="1"/>
  <c r="B863" i="8"/>
  <c r="A863" i="8"/>
  <c r="P862" i="8"/>
  <c r="O862" i="8"/>
  <c r="N862" i="8"/>
  <c r="M862" i="8"/>
  <c r="L862" i="8"/>
  <c r="AA862" i="8" s="1"/>
  <c r="K862" i="8"/>
  <c r="J862" i="8"/>
  <c r="Z862" i="8" s="1"/>
  <c r="I862" i="8"/>
  <c r="X862" i="8" s="1"/>
  <c r="E891" i="6" s="1"/>
  <c r="H862" i="8"/>
  <c r="G862" i="8"/>
  <c r="F862" i="8"/>
  <c r="Y862" i="8" s="1"/>
  <c r="E862" i="8"/>
  <c r="D862" i="8"/>
  <c r="C862" i="8"/>
  <c r="W862" i="8" s="1"/>
  <c r="B862" i="8"/>
  <c r="A862" i="8"/>
  <c r="P861" i="8"/>
  <c r="O861" i="8"/>
  <c r="N861" i="8"/>
  <c r="M861" i="8"/>
  <c r="L861" i="8"/>
  <c r="AA861" i="8" s="1"/>
  <c r="K861" i="8"/>
  <c r="J861" i="8"/>
  <c r="Z861" i="8" s="1"/>
  <c r="I861" i="8"/>
  <c r="X861" i="8" s="1"/>
  <c r="E890" i="6" s="1"/>
  <c r="H861" i="8"/>
  <c r="G861" i="8"/>
  <c r="F861" i="8"/>
  <c r="Y861" i="8" s="1"/>
  <c r="E861" i="8"/>
  <c r="D861" i="8"/>
  <c r="C861" i="8"/>
  <c r="W861" i="8" s="1"/>
  <c r="B861" i="8"/>
  <c r="A861" i="8"/>
  <c r="P860" i="8"/>
  <c r="O860" i="8"/>
  <c r="N860" i="8"/>
  <c r="M860" i="8"/>
  <c r="L860" i="8"/>
  <c r="AA860" i="8" s="1"/>
  <c r="K860" i="8"/>
  <c r="J860" i="8"/>
  <c r="Z860" i="8" s="1"/>
  <c r="I860" i="8"/>
  <c r="X860" i="8" s="1"/>
  <c r="E889" i="6" s="1"/>
  <c r="H860" i="8"/>
  <c r="G860" i="8"/>
  <c r="F860" i="8"/>
  <c r="Y860" i="8" s="1"/>
  <c r="E860" i="8"/>
  <c r="D860" i="8"/>
  <c r="C860" i="8"/>
  <c r="W860" i="8" s="1"/>
  <c r="B860" i="8"/>
  <c r="A860" i="8"/>
  <c r="P859" i="8"/>
  <c r="O859" i="8"/>
  <c r="N859" i="8"/>
  <c r="M859" i="8"/>
  <c r="L859" i="8"/>
  <c r="AA859" i="8" s="1"/>
  <c r="K859" i="8"/>
  <c r="J859" i="8"/>
  <c r="Z859" i="8" s="1"/>
  <c r="I859" i="8"/>
  <c r="X859" i="8" s="1"/>
  <c r="E888" i="6" s="1"/>
  <c r="H859" i="8"/>
  <c r="G859" i="8"/>
  <c r="F859" i="8"/>
  <c r="Y859" i="8" s="1"/>
  <c r="E859" i="8"/>
  <c r="D859" i="8"/>
  <c r="C859" i="8"/>
  <c r="W859" i="8" s="1"/>
  <c r="B859" i="8"/>
  <c r="A859" i="8"/>
  <c r="P858" i="8"/>
  <c r="O858" i="8"/>
  <c r="N858" i="8"/>
  <c r="M858" i="8"/>
  <c r="L858" i="8"/>
  <c r="AA858" i="8" s="1"/>
  <c r="K858" i="8"/>
  <c r="J858" i="8"/>
  <c r="Z858" i="8" s="1"/>
  <c r="I858" i="8"/>
  <c r="X858" i="8" s="1"/>
  <c r="E887" i="6" s="1"/>
  <c r="H858" i="8"/>
  <c r="G858" i="8"/>
  <c r="F858" i="8"/>
  <c r="Y858" i="8" s="1"/>
  <c r="E858" i="8"/>
  <c r="D858" i="8"/>
  <c r="C858" i="8"/>
  <c r="W858" i="8" s="1"/>
  <c r="B858" i="8"/>
  <c r="A858" i="8"/>
  <c r="P857" i="8"/>
  <c r="O857" i="8"/>
  <c r="N857" i="8"/>
  <c r="M857" i="8"/>
  <c r="L857" i="8"/>
  <c r="AA857" i="8" s="1"/>
  <c r="K857" i="8"/>
  <c r="J857" i="8"/>
  <c r="Z857" i="8" s="1"/>
  <c r="I857" i="8"/>
  <c r="X857" i="8" s="1"/>
  <c r="E886" i="6" s="1"/>
  <c r="H857" i="8"/>
  <c r="G857" i="8"/>
  <c r="F857" i="8"/>
  <c r="Y857" i="8" s="1"/>
  <c r="E857" i="8"/>
  <c r="D857" i="8"/>
  <c r="C857" i="8"/>
  <c r="W857" i="8" s="1"/>
  <c r="B857" i="8"/>
  <c r="A857" i="8"/>
  <c r="P856" i="8"/>
  <c r="O856" i="8"/>
  <c r="N856" i="8"/>
  <c r="M856" i="8"/>
  <c r="L856" i="8"/>
  <c r="AA856" i="8" s="1"/>
  <c r="K856" i="8"/>
  <c r="J856" i="8"/>
  <c r="Z856" i="8" s="1"/>
  <c r="I856" i="8"/>
  <c r="X856" i="8" s="1"/>
  <c r="E885" i="6" s="1"/>
  <c r="H856" i="8"/>
  <c r="G856" i="8"/>
  <c r="F856" i="8"/>
  <c r="Y856" i="8" s="1"/>
  <c r="E856" i="8"/>
  <c r="D856" i="8"/>
  <c r="C856" i="8"/>
  <c r="W856" i="8" s="1"/>
  <c r="B856" i="8"/>
  <c r="A856" i="8"/>
  <c r="P855" i="8"/>
  <c r="O855" i="8"/>
  <c r="N855" i="8"/>
  <c r="M855" i="8"/>
  <c r="L855" i="8"/>
  <c r="AA855" i="8" s="1"/>
  <c r="K855" i="8"/>
  <c r="J855" i="8"/>
  <c r="Z855" i="8" s="1"/>
  <c r="I855" i="8"/>
  <c r="X855" i="8" s="1"/>
  <c r="E884" i="6" s="1"/>
  <c r="H855" i="8"/>
  <c r="G855" i="8"/>
  <c r="F855" i="8"/>
  <c r="Y855" i="8" s="1"/>
  <c r="E855" i="8"/>
  <c r="D855" i="8"/>
  <c r="C855" i="8"/>
  <c r="W855" i="8" s="1"/>
  <c r="B855" i="8"/>
  <c r="A855" i="8"/>
  <c r="P854" i="8"/>
  <c r="O854" i="8"/>
  <c r="N854" i="8"/>
  <c r="M854" i="8"/>
  <c r="L854" i="8"/>
  <c r="AA854" i="8" s="1"/>
  <c r="K854" i="8"/>
  <c r="J854" i="8"/>
  <c r="Z854" i="8" s="1"/>
  <c r="I854" i="8"/>
  <c r="X854" i="8" s="1"/>
  <c r="E883" i="6" s="1"/>
  <c r="H854" i="8"/>
  <c r="G854" i="8"/>
  <c r="F854" i="8"/>
  <c r="Y854" i="8" s="1"/>
  <c r="E854" i="8"/>
  <c r="D854" i="8"/>
  <c r="C854" i="8"/>
  <c r="W854" i="8" s="1"/>
  <c r="B854" i="8"/>
  <c r="A854" i="8"/>
  <c r="P853" i="8"/>
  <c r="O853" i="8"/>
  <c r="N853" i="8"/>
  <c r="M853" i="8"/>
  <c r="L853" i="8"/>
  <c r="AA853" i="8" s="1"/>
  <c r="K853" i="8"/>
  <c r="J853" i="8"/>
  <c r="Z853" i="8" s="1"/>
  <c r="I853" i="8"/>
  <c r="X853" i="8" s="1"/>
  <c r="E882" i="6" s="1"/>
  <c r="H853" i="8"/>
  <c r="G853" i="8"/>
  <c r="F853" i="8"/>
  <c r="Y853" i="8" s="1"/>
  <c r="E853" i="8"/>
  <c r="D853" i="8"/>
  <c r="C853" i="8"/>
  <c r="W853" i="8" s="1"/>
  <c r="B853" i="8"/>
  <c r="A853" i="8"/>
  <c r="P852" i="8"/>
  <c r="O852" i="8"/>
  <c r="N852" i="8"/>
  <c r="M852" i="8"/>
  <c r="L852" i="8"/>
  <c r="AA852" i="8" s="1"/>
  <c r="K852" i="8"/>
  <c r="J852" i="8"/>
  <c r="Z852" i="8" s="1"/>
  <c r="I852" i="8"/>
  <c r="X852" i="8" s="1"/>
  <c r="E881" i="6" s="1"/>
  <c r="H852" i="8"/>
  <c r="G852" i="8"/>
  <c r="F852" i="8"/>
  <c r="Y852" i="8" s="1"/>
  <c r="E852" i="8"/>
  <c r="D852" i="8"/>
  <c r="C852" i="8"/>
  <c r="W852" i="8" s="1"/>
  <c r="B852" i="8"/>
  <c r="A852" i="8"/>
  <c r="P851" i="8"/>
  <c r="O851" i="8"/>
  <c r="N851" i="8"/>
  <c r="M851" i="8"/>
  <c r="L851" i="8"/>
  <c r="AA851" i="8" s="1"/>
  <c r="K851" i="8"/>
  <c r="J851" i="8"/>
  <c r="Z851" i="8" s="1"/>
  <c r="I851" i="8"/>
  <c r="X851" i="8" s="1"/>
  <c r="E880" i="6" s="1"/>
  <c r="H851" i="8"/>
  <c r="G851" i="8"/>
  <c r="F851" i="8"/>
  <c r="Y851" i="8" s="1"/>
  <c r="E851" i="8"/>
  <c r="D851" i="8"/>
  <c r="C851" i="8"/>
  <c r="W851" i="8" s="1"/>
  <c r="B851" i="8"/>
  <c r="A851" i="8"/>
  <c r="P850" i="8"/>
  <c r="O850" i="8"/>
  <c r="N850" i="8"/>
  <c r="M850" i="8"/>
  <c r="L850" i="8"/>
  <c r="AA850" i="8" s="1"/>
  <c r="K850" i="8"/>
  <c r="J850" i="8"/>
  <c r="Z850" i="8" s="1"/>
  <c r="I850" i="8"/>
  <c r="X850" i="8" s="1"/>
  <c r="E879" i="6" s="1"/>
  <c r="H850" i="8"/>
  <c r="G850" i="8"/>
  <c r="F850" i="8"/>
  <c r="Y850" i="8" s="1"/>
  <c r="E850" i="8"/>
  <c r="D850" i="8"/>
  <c r="C850" i="8"/>
  <c r="W850" i="8" s="1"/>
  <c r="B850" i="8"/>
  <c r="A850" i="8"/>
  <c r="P849" i="8"/>
  <c r="O849" i="8"/>
  <c r="N849" i="8"/>
  <c r="M849" i="8"/>
  <c r="L849" i="8"/>
  <c r="AA849" i="8" s="1"/>
  <c r="K849" i="8"/>
  <c r="J849" i="8"/>
  <c r="Z849" i="8" s="1"/>
  <c r="I849" i="8"/>
  <c r="X849" i="8" s="1"/>
  <c r="E878" i="6" s="1"/>
  <c r="H849" i="8"/>
  <c r="G849" i="8"/>
  <c r="F849" i="8"/>
  <c r="Y849" i="8" s="1"/>
  <c r="E849" i="8"/>
  <c r="D849" i="8"/>
  <c r="C849" i="8"/>
  <c r="W849" i="8" s="1"/>
  <c r="B849" i="8"/>
  <c r="A849" i="8"/>
  <c r="P848" i="8"/>
  <c r="O848" i="8"/>
  <c r="N848" i="8"/>
  <c r="M848" i="8"/>
  <c r="L848" i="8"/>
  <c r="AA848" i="8" s="1"/>
  <c r="K848" i="8"/>
  <c r="J848" i="8"/>
  <c r="Z848" i="8" s="1"/>
  <c r="I848" i="8"/>
  <c r="X848" i="8" s="1"/>
  <c r="E877" i="6" s="1"/>
  <c r="H848" i="8"/>
  <c r="G848" i="8"/>
  <c r="F848" i="8"/>
  <c r="Y848" i="8" s="1"/>
  <c r="E848" i="8"/>
  <c r="D848" i="8"/>
  <c r="C848" i="8"/>
  <c r="W848" i="8" s="1"/>
  <c r="B848" i="8"/>
  <c r="A848" i="8"/>
  <c r="P847" i="8"/>
  <c r="O847" i="8"/>
  <c r="N847" i="8"/>
  <c r="M847" i="8"/>
  <c r="L847" i="8"/>
  <c r="AA847" i="8" s="1"/>
  <c r="K847" i="8"/>
  <c r="J847" i="8"/>
  <c r="Z847" i="8" s="1"/>
  <c r="I847" i="8"/>
  <c r="X847" i="8" s="1"/>
  <c r="E876" i="6" s="1"/>
  <c r="H847" i="8"/>
  <c r="G847" i="8"/>
  <c r="F847" i="8"/>
  <c r="Y847" i="8" s="1"/>
  <c r="E847" i="8"/>
  <c r="D847" i="8"/>
  <c r="C847" i="8"/>
  <c r="W847" i="8" s="1"/>
  <c r="B847" i="8"/>
  <c r="A847" i="8"/>
  <c r="P846" i="8"/>
  <c r="O846" i="8"/>
  <c r="N846" i="8"/>
  <c r="M846" i="8"/>
  <c r="L846" i="8"/>
  <c r="AA846" i="8" s="1"/>
  <c r="K846" i="8"/>
  <c r="J846" i="8"/>
  <c r="Z846" i="8" s="1"/>
  <c r="I846" i="8"/>
  <c r="X846" i="8" s="1"/>
  <c r="E875" i="6" s="1"/>
  <c r="H846" i="8"/>
  <c r="G846" i="8"/>
  <c r="F846" i="8"/>
  <c r="Y846" i="8" s="1"/>
  <c r="E846" i="8"/>
  <c r="D846" i="8"/>
  <c r="C846" i="8"/>
  <c r="W846" i="8" s="1"/>
  <c r="B846" i="8"/>
  <c r="A846" i="8"/>
  <c r="P845" i="8"/>
  <c r="O845" i="8"/>
  <c r="N845" i="8"/>
  <c r="M845" i="8"/>
  <c r="L845" i="8"/>
  <c r="AA845" i="8" s="1"/>
  <c r="K845" i="8"/>
  <c r="J845" i="8"/>
  <c r="Z845" i="8" s="1"/>
  <c r="I845" i="8"/>
  <c r="X845" i="8" s="1"/>
  <c r="E874" i="6" s="1"/>
  <c r="H845" i="8"/>
  <c r="G845" i="8"/>
  <c r="F845" i="8"/>
  <c r="Y845" i="8" s="1"/>
  <c r="E845" i="8"/>
  <c r="D845" i="8"/>
  <c r="C845" i="8"/>
  <c r="W845" i="8" s="1"/>
  <c r="B845" i="8"/>
  <c r="A845" i="8"/>
  <c r="P844" i="8"/>
  <c r="O844" i="8"/>
  <c r="N844" i="8"/>
  <c r="M844" i="8"/>
  <c r="L844" i="8"/>
  <c r="AA844" i="8" s="1"/>
  <c r="K844" i="8"/>
  <c r="J844" i="8"/>
  <c r="Z844" i="8" s="1"/>
  <c r="I844" i="8"/>
  <c r="X844" i="8" s="1"/>
  <c r="E873" i="6" s="1"/>
  <c r="H844" i="8"/>
  <c r="G844" i="8"/>
  <c r="F844" i="8"/>
  <c r="Y844" i="8" s="1"/>
  <c r="E844" i="8"/>
  <c r="D844" i="8"/>
  <c r="C844" i="8"/>
  <c r="W844" i="8" s="1"/>
  <c r="B844" i="8"/>
  <c r="A844" i="8"/>
  <c r="P843" i="8"/>
  <c r="O843" i="8"/>
  <c r="N843" i="8"/>
  <c r="M843" i="8"/>
  <c r="L843" i="8"/>
  <c r="AA843" i="8" s="1"/>
  <c r="K843" i="8"/>
  <c r="J843" i="8"/>
  <c r="Z843" i="8" s="1"/>
  <c r="I843" i="8"/>
  <c r="X843" i="8" s="1"/>
  <c r="E872" i="6" s="1"/>
  <c r="H843" i="8"/>
  <c r="G843" i="8"/>
  <c r="F843" i="8"/>
  <c r="Y843" i="8" s="1"/>
  <c r="E843" i="8"/>
  <c r="D843" i="8"/>
  <c r="C843" i="8"/>
  <c r="W843" i="8" s="1"/>
  <c r="B843" i="8"/>
  <c r="A843" i="8"/>
  <c r="P842" i="8"/>
  <c r="O842" i="8"/>
  <c r="N842" i="8"/>
  <c r="M842" i="8"/>
  <c r="L842" i="8"/>
  <c r="AA842" i="8" s="1"/>
  <c r="K842" i="8"/>
  <c r="J842" i="8"/>
  <c r="Z842" i="8" s="1"/>
  <c r="I842" i="8"/>
  <c r="X842" i="8" s="1"/>
  <c r="E871" i="6" s="1"/>
  <c r="H842" i="8"/>
  <c r="G842" i="8"/>
  <c r="F842" i="8"/>
  <c r="Y842" i="8" s="1"/>
  <c r="E842" i="8"/>
  <c r="D842" i="8"/>
  <c r="C842" i="8"/>
  <c r="W842" i="8" s="1"/>
  <c r="B842" i="8"/>
  <c r="A842" i="8"/>
  <c r="P841" i="8"/>
  <c r="O841" i="8"/>
  <c r="N841" i="8"/>
  <c r="M841" i="8"/>
  <c r="L841" i="8"/>
  <c r="AA841" i="8" s="1"/>
  <c r="K841" i="8"/>
  <c r="J841" i="8"/>
  <c r="Z841" i="8" s="1"/>
  <c r="I841" i="8"/>
  <c r="X841" i="8" s="1"/>
  <c r="E870" i="6" s="1"/>
  <c r="H841" i="8"/>
  <c r="G841" i="8"/>
  <c r="F841" i="8"/>
  <c r="Y841" i="8" s="1"/>
  <c r="E841" i="8"/>
  <c r="D841" i="8"/>
  <c r="C841" i="8"/>
  <c r="W841" i="8" s="1"/>
  <c r="B841" i="8"/>
  <c r="A841" i="8"/>
  <c r="P840" i="8"/>
  <c r="O840" i="8"/>
  <c r="N840" i="8"/>
  <c r="M840" i="8"/>
  <c r="L840" i="8"/>
  <c r="AA840" i="8" s="1"/>
  <c r="K840" i="8"/>
  <c r="J840" i="8"/>
  <c r="Z840" i="8" s="1"/>
  <c r="I840" i="8"/>
  <c r="X840" i="8" s="1"/>
  <c r="E869" i="6" s="1"/>
  <c r="H840" i="8"/>
  <c r="G840" i="8"/>
  <c r="F840" i="8"/>
  <c r="Y840" i="8" s="1"/>
  <c r="E840" i="8"/>
  <c r="D840" i="8"/>
  <c r="C840" i="8"/>
  <c r="W840" i="8" s="1"/>
  <c r="B840" i="8"/>
  <c r="A840" i="8"/>
  <c r="P839" i="8"/>
  <c r="O839" i="8"/>
  <c r="N839" i="8"/>
  <c r="M839" i="8"/>
  <c r="L839" i="8"/>
  <c r="AA839" i="8" s="1"/>
  <c r="K839" i="8"/>
  <c r="J839" i="8"/>
  <c r="Z839" i="8" s="1"/>
  <c r="I839" i="8"/>
  <c r="X839" i="8" s="1"/>
  <c r="E868" i="6" s="1"/>
  <c r="H839" i="8"/>
  <c r="G839" i="8"/>
  <c r="F839" i="8"/>
  <c r="Y839" i="8" s="1"/>
  <c r="E839" i="8"/>
  <c r="D839" i="8"/>
  <c r="C839" i="8"/>
  <c r="W839" i="8" s="1"/>
  <c r="B839" i="8"/>
  <c r="A839" i="8"/>
  <c r="P838" i="8"/>
  <c r="O838" i="8"/>
  <c r="N838" i="8"/>
  <c r="M838" i="8"/>
  <c r="L838" i="8"/>
  <c r="AA838" i="8" s="1"/>
  <c r="K838" i="8"/>
  <c r="J838" i="8"/>
  <c r="Z838" i="8" s="1"/>
  <c r="I838" i="8"/>
  <c r="X838" i="8" s="1"/>
  <c r="E867" i="6" s="1"/>
  <c r="H838" i="8"/>
  <c r="G838" i="8"/>
  <c r="F838" i="8"/>
  <c r="Y838" i="8" s="1"/>
  <c r="E838" i="8"/>
  <c r="D838" i="8"/>
  <c r="C838" i="8"/>
  <c r="W838" i="8" s="1"/>
  <c r="B838" i="8"/>
  <c r="A838" i="8"/>
  <c r="P837" i="8"/>
  <c r="O837" i="8"/>
  <c r="N837" i="8"/>
  <c r="M837" i="8"/>
  <c r="L837" i="8"/>
  <c r="AA837" i="8" s="1"/>
  <c r="K837" i="8"/>
  <c r="J837" i="8"/>
  <c r="Z837" i="8" s="1"/>
  <c r="I837" i="8"/>
  <c r="X837" i="8" s="1"/>
  <c r="E866" i="6" s="1"/>
  <c r="H837" i="8"/>
  <c r="G837" i="8"/>
  <c r="F837" i="8"/>
  <c r="Y837" i="8" s="1"/>
  <c r="E837" i="8"/>
  <c r="D837" i="8"/>
  <c r="C837" i="8"/>
  <c r="W837" i="8" s="1"/>
  <c r="B837" i="8"/>
  <c r="A837" i="8"/>
  <c r="P836" i="8"/>
  <c r="O836" i="8"/>
  <c r="N836" i="8"/>
  <c r="M836" i="8"/>
  <c r="L836" i="8"/>
  <c r="AA836" i="8" s="1"/>
  <c r="K836" i="8"/>
  <c r="J836" i="8"/>
  <c r="Z836" i="8" s="1"/>
  <c r="I836" i="8"/>
  <c r="X836" i="8" s="1"/>
  <c r="E865" i="6" s="1"/>
  <c r="H836" i="8"/>
  <c r="G836" i="8"/>
  <c r="F836" i="8"/>
  <c r="Y836" i="8" s="1"/>
  <c r="E836" i="8"/>
  <c r="D836" i="8"/>
  <c r="C836" i="8"/>
  <c r="W836" i="8" s="1"/>
  <c r="B836" i="8"/>
  <c r="A836" i="8"/>
  <c r="P835" i="8"/>
  <c r="O835" i="8"/>
  <c r="N835" i="8"/>
  <c r="M835" i="8"/>
  <c r="L835" i="8"/>
  <c r="AA835" i="8" s="1"/>
  <c r="K835" i="8"/>
  <c r="J835" i="8"/>
  <c r="Z835" i="8" s="1"/>
  <c r="I835" i="8"/>
  <c r="X835" i="8" s="1"/>
  <c r="E864" i="6" s="1"/>
  <c r="H835" i="8"/>
  <c r="G835" i="8"/>
  <c r="F835" i="8"/>
  <c r="Y835" i="8" s="1"/>
  <c r="E835" i="8"/>
  <c r="D835" i="8"/>
  <c r="C835" i="8"/>
  <c r="W835" i="8" s="1"/>
  <c r="B835" i="8"/>
  <c r="A835" i="8"/>
  <c r="P834" i="8"/>
  <c r="O834" i="8"/>
  <c r="N834" i="8"/>
  <c r="M834" i="8"/>
  <c r="L834" i="8"/>
  <c r="AA834" i="8" s="1"/>
  <c r="K834" i="8"/>
  <c r="J834" i="8"/>
  <c r="Z834" i="8" s="1"/>
  <c r="I834" i="8"/>
  <c r="X834" i="8" s="1"/>
  <c r="E863" i="6" s="1"/>
  <c r="H834" i="8"/>
  <c r="G834" i="8"/>
  <c r="F834" i="8"/>
  <c r="Y834" i="8" s="1"/>
  <c r="E834" i="8"/>
  <c r="D834" i="8"/>
  <c r="C834" i="8"/>
  <c r="W834" i="8" s="1"/>
  <c r="B834" i="8"/>
  <c r="A834" i="8"/>
  <c r="P833" i="8"/>
  <c r="O833" i="8"/>
  <c r="N833" i="8"/>
  <c r="M833" i="8"/>
  <c r="L833" i="8"/>
  <c r="AA833" i="8" s="1"/>
  <c r="K833" i="8"/>
  <c r="J833" i="8"/>
  <c r="Z833" i="8" s="1"/>
  <c r="I833" i="8"/>
  <c r="X833" i="8" s="1"/>
  <c r="E862" i="6" s="1"/>
  <c r="H833" i="8"/>
  <c r="G833" i="8"/>
  <c r="F833" i="8"/>
  <c r="Y833" i="8" s="1"/>
  <c r="E833" i="8"/>
  <c r="D833" i="8"/>
  <c r="C833" i="8"/>
  <c r="W833" i="8" s="1"/>
  <c r="B833" i="8"/>
  <c r="A833" i="8"/>
  <c r="P832" i="8"/>
  <c r="O832" i="8"/>
  <c r="N832" i="8"/>
  <c r="M832" i="8"/>
  <c r="L832" i="8"/>
  <c r="AA832" i="8" s="1"/>
  <c r="K832" i="8"/>
  <c r="J832" i="8"/>
  <c r="Z832" i="8" s="1"/>
  <c r="I832" i="8"/>
  <c r="X832" i="8" s="1"/>
  <c r="E861" i="6" s="1"/>
  <c r="H832" i="8"/>
  <c r="G832" i="8"/>
  <c r="F832" i="8"/>
  <c r="Y832" i="8" s="1"/>
  <c r="E832" i="8"/>
  <c r="D832" i="8"/>
  <c r="C832" i="8"/>
  <c r="W832" i="8" s="1"/>
  <c r="B832" i="8"/>
  <c r="A832" i="8"/>
  <c r="P831" i="8"/>
  <c r="O831" i="8"/>
  <c r="N831" i="8"/>
  <c r="M831" i="8"/>
  <c r="L831" i="8"/>
  <c r="AA831" i="8" s="1"/>
  <c r="K831" i="8"/>
  <c r="J831" i="8"/>
  <c r="Z831" i="8" s="1"/>
  <c r="I831" i="8"/>
  <c r="X831" i="8" s="1"/>
  <c r="E860" i="6" s="1"/>
  <c r="H831" i="8"/>
  <c r="G831" i="8"/>
  <c r="F831" i="8"/>
  <c r="Y831" i="8" s="1"/>
  <c r="E831" i="8"/>
  <c r="D831" i="8"/>
  <c r="C831" i="8"/>
  <c r="W831" i="8" s="1"/>
  <c r="B831" i="8"/>
  <c r="A831" i="8"/>
  <c r="P830" i="8"/>
  <c r="O830" i="8"/>
  <c r="N830" i="8"/>
  <c r="M830" i="8"/>
  <c r="L830" i="8"/>
  <c r="AA830" i="8" s="1"/>
  <c r="K830" i="8"/>
  <c r="J830" i="8"/>
  <c r="Z830" i="8" s="1"/>
  <c r="I830" i="8"/>
  <c r="X830" i="8" s="1"/>
  <c r="E859" i="6" s="1"/>
  <c r="H830" i="8"/>
  <c r="G830" i="8"/>
  <c r="F830" i="8"/>
  <c r="Y830" i="8" s="1"/>
  <c r="E830" i="8"/>
  <c r="D830" i="8"/>
  <c r="C830" i="8"/>
  <c r="W830" i="8" s="1"/>
  <c r="B830" i="8"/>
  <c r="A830" i="8"/>
  <c r="P829" i="8"/>
  <c r="O829" i="8"/>
  <c r="N829" i="8"/>
  <c r="M829" i="8"/>
  <c r="L829" i="8"/>
  <c r="AA829" i="8" s="1"/>
  <c r="K829" i="8"/>
  <c r="J829" i="8"/>
  <c r="Z829" i="8" s="1"/>
  <c r="I829" i="8"/>
  <c r="X829" i="8" s="1"/>
  <c r="E858" i="6" s="1"/>
  <c r="H829" i="8"/>
  <c r="G829" i="8"/>
  <c r="F829" i="8"/>
  <c r="Y829" i="8" s="1"/>
  <c r="E829" i="8"/>
  <c r="D829" i="8"/>
  <c r="C829" i="8"/>
  <c r="W829" i="8" s="1"/>
  <c r="B829" i="8"/>
  <c r="A829" i="8"/>
  <c r="P828" i="8"/>
  <c r="O828" i="8"/>
  <c r="N828" i="8"/>
  <c r="M828" i="8"/>
  <c r="L828" i="8"/>
  <c r="AA828" i="8" s="1"/>
  <c r="K828" i="8"/>
  <c r="J828" i="8"/>
  <c r="Z828" i="8" s="1"/>
  <c r="I828" i="8"/>
  <c r="X828" i="8" s="1"/>
  <c r="E857" i="6" s="1"/>
  <c r="H828" i="8"/>
  <c r="G828" i="8"/>
  <c r="F828" i="8"/>
  <c r="Y828" i="8" s="1"/>
  <c r="E828" i="8"/>
  <c r="D828" i="8"/>
  <c r="C828" i="8"/>
  <c r="W828" i="8" s="1"/>
  <c r="B828" i="8"/>
  <c r="A828" i="8"/>
  <c r="P827" i="8"/>
  <c r="O827" i="8"/>
  <c r="N827" i="8"/>
  <c r="M827" i="8"/>
  <c r="L827" i="8"/>
  <c r="AA827" i="8" s="1"/>
  <c r="K827" i="8"/>
  <c r="J827" i="8"/>
  <c r="Z827" i="8" s="1"/>
  <c r="I827" i="8"/>
  <c r="X827" i="8" s="1"/>
  <c r="E856" i="6" s="1"/>
  <c r="H827" i="8"/>
  <c r="G827" i="8"/>
  <c r="F827" i="8"/>
  <c r="Y827" i="8" s="1"/>
  <c r="E827" i="8"/>
  <c r="D827" i="8"/>
  <c r="C827" i="8"/>
  <c r="W827" i="8" s="1"/>
  <c r="B827" i="8"/>
  <c r="A827" i="8"/>
  <c r="P826" i="8"/>
  <c r="O826" i="8"/>
  <c r="N826" i="8"/>
  <c r="M826" i="8"/>
  <c r="L826" i="8"/>
  <c r="AA826" i="8" s="1"/>
  <c r="K826" i="8"/>
  <c r="J826" i="8"/>
  <c r="Z826" i="8" s="1"/>
  <c r="I826" i="8"/>
  <c r="X826" i="8" s="1"/>
  <c r="E855" i="6" s="1"/>
  <c r="H826" i="8"/>
  <c r="G826" i="8"/>
  <c r="F826" i="8"/>
  <c r="Y826" i="8" s="1"/>
  <c r="E826" i="8"/>
  <c r="D826" i="8"/>
  <c r="C826" i="8"/>
  <c r="W826" i="8" s="1"/>
  <c r="B826" i="8"/>
  <c r="A826" i="8"/>
  <c r="P825" i="8"/>
  <c r="O825" i="8"/>
  <c r="N825" i="8"/>
  <c r="M825" i="8"/>
  <c r="L825" i="8"/>
  <c r="AA825" i="8" s="1"/>
  <c r="K825" i="8"/>
  <c r="J825" i="8"/>
  <c r="Z825" i="8" s="1"/>
  <c r="I825" i="8"/>
  <c r="X825" i="8" s="1"/>
  <c r="E854" i="6" s="1"/>
  <c r="H825" i="8"/>
  <c r="G825" i="8"/>
  <c r="F825" i="8"/>
  <c r="Y825" i="8" s="1"/>
  <c r="E825" i="8"/>
  <c r="D825" i="8"/>
  <c r="C825" i="8"/>
  <c r="W825" i="8" s="1"/>
  <c r="B825" i="8"/>
  <c r="A825" i="8"/>
  <c r="P824" i="8"/>
  <c r="O824" i="8"/>
  <c r="N824" i="8"/>
  <c r="M824" i="8"/>
  <c r="L824" i="8"/>
  <c r="AA824" i="8" s="1"/>
  <c r="K824" i="8"/>
  <c r="J824" i="8"/>
  <c r="Z824" i="8" s="1"/>
  <c r="I824" i="8"/>
  <c r="X824" i="8" s="1"/>
  <c r="E853" i="6" s="1"/>
  <c r="H824" i="8"/>
  <c r="G824" i="8"/>
  <c r="F824" i="8"/>
  <c r="Y824" i="8" s="1"/>
  <c r="E824" i="8"/>
  <c r="D824" i="8"/>
  <c r="C824" i="8"/>
  <c r="W824" i="8" s="1"/>
  <c r="B824" i="8"/>
  <c r="A824" i="8"/>
  <c r="P823" i="8"/>
  <c r="O823" i="8"/>
  <c r="N823" i="8"/>
  <c r="M823" i="8"/>
  <c r="L823" i="8"/>
  <c r="AA823" i="8" s="1"/>
  <c r="K823" i="8"/>
  <c r="J823" i="8"/>
  <c r="Z823" i="8" s="1"/>
  <c r="I823" i="8"/>
  <c r="X823" i="8" s="1"/>
  <c r="E852" i="6" s="1"/>
  <c r="H823" i="8"/>
  <c r="G823" i="8"/>
  <c r="F823" i="8"/>
  <c r="Y823" i="8" s="1"/>
  <c r="E823" i="8"/>
  <c r="D823" i="8"/>
  <c r="C823" i="8"/>
  <c r="W823" i="8" s="1"/>
  <c r="B823" i="8"/>
  <c r="A823" i="8"/>
  <c r="P822" i="8"/>
  <c r="O822" i="8"/>
  <c r="N822" i="8"/>
  <c r="M822" i="8"/>
  <c r="H851" i="6" s="1"/>
  <c r="L822" i="8"/>
  <c r="K822" i="8"/>
  <c r="J822" i="8"/>
  <c r="I822" i="8"/>
  <c r="X822" i="8" s="1"/>
  <c r="E851" i="6" s="1"/>
  <c r="H822" i="8"/>
  <c r="G822" i="8"/>
  <c r="F822" i="8"/>
  <c r="E822" i="8"/>
  <c r="D822" i="8"/>
  <c r="C822" i="8"/>
  <c r="W822" i="8" s="1"/>
  <c r="B822" i="8"/>
  <c r="A822" i="8"/>
  <c r="P821" i="8"/>
  <c r="O821" i="8"/>
  <c r="N821" i="8"/>
  <c r="M821" i="8"/>
  <c r="H850" i="6" s="1"/>
  <c r="L821" i="8"/>
  <c r="K821" i="8"/>
  <c r="J821" i="8"/>
  <c r="I821" i="8"/>
  <c r="X821" i="8" s="1"/>
  <c r="E850" i="6" s="1"/>
  <c r="H821" i="8"/>
  <c r="G821" i="8"/>
  <c r="F821" i="8"/>
  <c r="E821" i="8"/>
  <c r="D821" i="8"/>
  <c r="C821" i="8"/>
  <c r="W821" i="8" s="1"/>
  <c r="B821" i="8"/>
  <c r="A821" i="8"/>
  <c r="P820" i="8"/>
  <c r="O820" i="8"/>
  <c r="N820" i="8"/>
  <c r="M820" i="8"/>
  <c r="H849" i="6" s="1"/>
  <c r="L820" i="8"/>
  <c r="K820" i="8"/>
  <c r="J820" i="8"/>
  <c r="I820" i="8"/>
  <c r="X820" i="8" s="1"/>
  <c r="E849" i="6" s="1"/>
  <c r="H820" i="8"/>
  <c r="G820" i="8"/>
  <c r="F820" i="8"/>
  <c r="E820" i="8"/>
  <c r="D820" i="8"/>
  <c r="C820" i="8"/>
  <c r="W820" i="8" s="1"/>
  <c r="B820" i="8"/>
  <c r="A820" i="8"/>
  <c r="P819" i="8"/>
  <c r="O819" i="8"/>
  <c r="N819" i="8"/>
  <c r="M819" i="8"/>
  <c r="H848" i="6" s="1"/>
  <c r="L819" i="8"/>
  <c r="K819" i="8"/>
  <c r="J819" i="8"/>
  <c r="I819" i="8"/>
  <c r="X819" i="8" s="1"/>
  <c r="E848" i="6" s="1"/>
  <c r="H819" i="8"/>
  <c r="G819" i="8"/>
  <c r="F819" i="8"/>
  <c r="E819" i="8"/>
  <c r="D819" i="8"/>
  <c r="C819" i="8"/>
  <c r="W819" i="8" s="1"/>
  <c r="B819" i="8"/>
  <c r="A819" i="8"/>
  <c r="P818" i="8"/>
  <c r="O818" i="8"/>
  <c r="N818" i="8"/>
  <c r="M818" i="8"/>
  <c r="H847" i="6" s="1"/>
  <c r="L818" i="8"/>
  <c r="K818" i="8"/>
  <c r="J818" i="8"/>
  <c r="I818" i="8"/>
  <c r="X818" i="8" s="1"/>
  <c r="E847" i="6" s="1"/>
  <c r="H818" i="8"/>
  <c r="G818" i="8"/>
  <c r="F818" i="8"/>
  <c r="E818" i="8"/>
  <c r="D818" i="8"/>
  <c r="C818" i="8"/>
  <c r="W818" i="8" s="1"/>
  <c r="B818" i="8"/>
  <c r="A818" i="8"/>
  <c r="P817" i="8"/>
  <c r="O817" i="8"/>
  <c r="N817" i="8"/>
  <c r="M817" i="8"/>
  <c r="H846" i="6" s="1"/>
  <c r="L817" i="8"/>
  <c r="K817" i="8"/>
  <c r="J817" i="8"/>
  <c r="I817" i="8"/>
  <c r="X817" i="8" s="1"/>
  <c r="E846" i="6" s="1"/>
  <c r="H817" i="8"/>
  <c r="G817" i="8"/>
  <c r="F817" i="8"/>
  <c r="E817" i="8"/>
  <c r="D817" i="8"/>
  <c r="C817" i="8"/>
  <c r="W817" i="8" s="1"/>
  <c r="B817" i="8"/>
  <c r="A817" i="8"/>
  <c r="P816" i="8"/>
  <c r="O816" i="8"/>
  <c r="N816" i="8"/>
  <c r="M816" i="8"/>
  <c r="H845" i="6" s="1"/>
  <c r="L816" i="8"/>
  <c r="K816" i="8"/>
  <c r="J816" i="8"/>
  <c r="I816" i="8"/>
  <c r="X816" i="8" s="1"/>
  <c r="E845" i="6" s="1"/>
  <c r="H816" i="8"/>
  <c r="G816" i="8"/>
  <c r="F816" i="8"/>
  <c r="E816" i="8"/>
  <c r="D816" i="8"/>
  <c r="C816" i="8"/>
  <c r="W816" i="8" s="1"/>
  <c r="B816" i="8"/>
  <c r="A816" i="8"/>
  <c r="P815" i="8"/>
  <c r="O815" i="8"/>
  <c r="N815" i="8"/>
  <c r="M815" i="8"/>
  <c r="H844" i="6" s="1"/>
  <c r="L815" i="8"/>
  <c r="K815" i="8"/>
  <c r="J815" i="8"/>
  <c r="I815" i="8"/>
  <c r="X815" i="8" s="1"/>
  <c r="E844" i="6" s="1"/>
  <c r="H815" i="8"/>
  <c r="G815" i="8"/>
  <c r="F815" i="8"/>
  <c r="E815" i="8"/>
  <c r="D815" i="8"/>
  <c r="C815" i="8"/>
  <c r="W815" i="8" s="1"/>
  <c r="B815" i="8"/>
  <c r="A815" i="8"/>
  <c r="P814" i="8"/>
  <c r="O814" i="8"/>
  <c r="N814" i="8"/>
  <c r="M814" i="8"/>
  <c r="H843" i="6" s="1"/>
  <c r="L814" i="8"/>
  <c r="K814" i="8"/>
  <c r="J814" i="8"/>
  <c r="I814" i="8"/>
  <c r="X814" i="8" s="1"/>
  <c r="E843" i="6" s="1"/>
  <c r="H814" i="8"/>
  <c r="G814" i="8"/>
  <c r="F814" i="8"/>
  <c r="E814" i="8"/>
  <c r="D814" i="8"/>
  <c r="C814" i="8"/>
  <c r="W814" i="8" s="1"/>
  <c r="B814" i="8"/>
  <c r="A814" i="8"/>
  <c r="P813" i="8"/>
  <c r="O813" i="8"/>
  <c r="N813" i="8"/>
  <c r="M813" i="8"/>
  <c r="H842" i="6" s="1"/>
  <c r="L813" i="8"/>
  <c r="K813" i="8"/>
  <c r="J813" i="8"/>
  <c r="I813" i="8"/>
  <c r="X813" i="8" s="1"/>
  <c r="E842" i="6" s="1"/>
  <c r="H813" i="8"/>
  <c r="G813" i="8"/>
  <c r="F813" i="8"/>
  <c r="E813" i="8"/>
  <c r="D813" i="8"/>
  <c r="C813" i="8"/>
  <c r="W813" i="8" s="1"/>
  <c r="B813" i="8"/>
  <c r="A813" i="8"/>
  <c r="P812" i="8"/>
  <c r="O812" i="8"/>
  <c r="N812" i="8"/>
  <c r="M812" i="8"/>
  <c r="H841" i="6" s="1"/>
  <c r="L812" i="8"/>
  <c r="K812" i="8"/>
  <c r="J812" i="8"/>
  <c r="I812" i="8"/>
  <c r="X812" i="8" s="1"/>
  <c r="E841" i="6" s="1"/>
  <c r="H812" i="8"/>
  <c r="G812" i="8"/>
  <c r="F812" i="8"/>
  <c r="E812" i="8"/>
  <c r="D812" i="8"/>
  <c r="C812" i="8"/>
  <c r="W812" i="8" s="1"/>
  <c r="B812" i="8"/>
  <c r="A812" i="8"/>
  <c r="P811" i="8"/>
  <c r="O811" i="8"/>
  <c r="N811" i="8"/>
  <c r="M811" i="8"/>
  <c r="H840" i="6" s="1"/>
  <c r="L811" i="8"/>
  <c r="K811" i="8"/>
  <c r="J811" i="8"/>
  <c r="I811" i="8"/>
  <c r="X811" i="8" s="1"/>
  <c r="E840" i="6" s="1"/>
  <c r="H811" i="8"/>
  <c r="G811" i="8"/>
  <c r="F811" i="8"/>
  <c r="E811" i="8"/>
  <c r="D811" i="8"/>
  <c r="C811" i="8"/>
  <c r="W811" i="8" s="1"/>
  <c r="B811" i="8"/>
  <c r="A811" i="8"/>
  <c r="P810" i="8"/>
  <c r="O810" i="8"/>
  <c r="N810" i="8"/>
  <c r="M810" i="8"/>
  <c r="H839" i="6" s="1"/>
  <c r="L810" i="8"/>
  <c r="K810" i="8"/>
  <c r="J810" i="8"/>
  <c r="I810" i="8"/>
  <c r="X810" i="8" s="1"/>
  <c r="E839" i="6" s="1"/>
  <c r="H810" i="8"/>
  <c r="G810" i="8"/>
  <c r="F810" i="8"/>
  <c r="E810" i="8"/>
  <c r="D810" i="8"/>
  <c r="C810" i="8"/>
  <c r="W810" i="8" s="1"/>
  <c r="B810" i="8"/>
  <c r="A810" i="8"/>
  <c r="P809" i="8"/>
  <c r="O809" i="8"/>
  <c r="N809" i="8"/>
  <c r="M809" i="8"/>
  <c r="H838" i="6" s="1"/>
  <c r="L809" i="8"/>
  <c r="K809" i="8"/>
  <c r="J809" i="8"/>
  <c r="I809" i="8"/>
  <c r="X809" i="8" s="1"/>
  <c r="E838" i="6" s="1"/>
  <c r="H809" i="8"/>
  <c r="G809" i="8"/>
  <c r="F809" i="8"/>
  <c r="E809" i="8"/>
  <c r="D809" i="8"/>
  <c r="C809" i="8"/>
  <c r="W809" i="8" s="1"/>
  <c r="B809" i="8"/>
  <c r="A809" i="8"/>
  <c r="P808" i="8"/>
  <c r="O808" i="8"/>
  <c r="N808" i="8"/>
  <c r="M808" i="8"/>
  <c r="H837" i="6" s="1"/>
  <c r="L808" i="8"/>
  <c r="K808" i="8"/>
  <c r="J808" i="8"/>
  <c r="I808" i="8"/>
  <c r="X808" i="8" s="1"/>
  <c r="E837" i="6" s="1"/>
  <c r="H808" i="8"/>
  <c r="G808" i="8"/>
  <c r="F808" i="8"/>
  <c r="E808" i="8"/>
  <c r="D808" i="8"/>
  <c r="C808" i="8"/>
  <c r="W808" i="8" s="1"/>
  <c r="B808" i="8"/>
  <c r="A808" i="8"/>
  <c r="P807" i="8"/>
  <c r="O807" i="8"/>
  <c r="N807" i="8"/>
  <c r="M807" i="8"/>
  <c r="H836" i="6" s="1"/>
  <c r="L807" i="8"/>
  <c r="K807" i="8"/>
  <c r="J807" i="8"/>
  <c r="I807" i="8"/>
  <c r="X807" i="8" s="1"/>
  <c r="E836" i="6" s="1"/>
  <c r="H807" i="8"/>
  <c r="G807" i="8"/>
  <c r="F807" i="8"/>
  <c r="E807" i="8"/>
  <c r="D807" i="8"/>
  <c r="C807" i="8"/>
  <c r="W807" i="8" s="1"/>
  <c r="B807" i="8"/>
  <c r="A807" i="8"/>
  <c r="P806" i="8"/>
  <c r="O806" i="8"/>
  <c r="N806" i="8"/>
  <c r="M806" i="8"/>
  <c r="H835" i="6" s="1"/>
  <c r="L806" i="8"/>
  <c r="K806" i="8"/>
  <c r="J806" i="8"/>
  <c r="I806" i="8"/>
  <c r="X806" i="8" s="1"/>
  <c r="E835" i="6" s="1"/>
  <c r="H806" i="8"/>
  <c r="G806" i="8"/>
  <c r="F806" i="8"/>
  <c r="E806" i="8"/>
  <c r="D806" i="8"/>
  <c r="C806" i="8"/>
  <c r="W806" i="8" s="1"/>
  <c r="B806" i="8"/>
  <c r="A806" i="8"/>
  <c r="P805" i="8"/>
  <c r="O805" i="8"/>
  <c r="N805" i="8"/>
  <c r="M805" i="8"/>
  <c r="H834" i="6" s="1"/>
  <c r="L805" i="8"/>
  <c r="K805" i="8"/>
  <c r="J805" i="8"/>
  <c r="I805" i="8"/>
  <c r="X805" i="8" s="1"/>
  <c r="E834" i="6" s="1"/>
  <c r="H805" i="8"/>
  <c r="G805" i="8"/>
  <c r="F805" i="8"/>
  <c r="E805" i="8"/>
  <c r="D805" i="8"/>
  <c r="C805" i="8"/>
  <c r="W805" i="8" s="1"/>
  <c r="B805" i="8"/>
  <c r="A805" i="8"/>
  <c r="P804" i="8"/>
  <c r="O804" i="8"/>
  <c r="N804" i="8"/>
  <c r="M804" i="8"/>
  <c r="H833" i="6" s="1"/>
  <c r="L804" i="8"/>
  <c r="K804" i="8"/>
  <c r="J804" i="8"/>
  <c r="I804" i="8"/>
  <c r="X804" i="8" s="1"/>
  <c r="E833" i="6" s="1"/>
  <c r="H804" i="8"/>
  <c r="G804" i="8"/>
  <c r="F804" i="8"/>
  <c r="E804" i="8"/>
  <c r="D804" i="8"/>
  <c r="C804" i="8"/>
  <c r="W804" i="8" s="1"/>
  <c r="B804" i="8"/>
  <c r="A804" i="8"/>
  <c r="P803" i="8"/>
  <c r="O803" i="8"/>
  <c r="N803" i="8"/>
  <c r="M803" i="8"/>
  <c r="H832" i="6" s="1"/>
  <c r="L803" i="8"/>
  <c r="K803" i="8"/>
  <c r="J803" i="8"/>
  <c r="I803" i="8"/>
  <c r="X803" i="8" s="1"/>
  <c r="E832" i="6" s="1"/>
  <c r="H803" i="8"/>
  <c r="G803" i="8"/>
  <c r="F803" i="8"/>
  <c r="E803" i="8"/>
  <c r="D803" i="8"/>
  <c r="C803" i="8"/>
  <c r="W803" i="8" s="1"/>
  <c r="B803" i="8"/>
  <c r="A803" i="8"/>
  <c r="P802" i="8"/>
  <c r="O802" i="8"/>
  <c r="N802" i="8"/>
  <c r="M802" i="8"/>
  <c r="H831" i="6" s="1"/>
  <c r="L802" i="8"/>
  <c r="K802" i="8"/>
  <c r="J802" i="8"/>
  <c r="I802" i="8"/>
  <c r="X802" i="8" s="1"/>
  <c r="E831" i="6" s="1"/>
  <c r="H802" i="8"/>
  <c r="G802" i="8"/>
  <c r="F802" i="8"/>
  <c r="E802" i="8"/>
  <c r="D802" i="8"/>
  <c r="C802" i="8"/>
  <c r="W802" i="8" s="1"/>
  <c r="B802" i="8"/>
  <c r="A802" i="8"/>
  <c r="P801" i="8"/>
  <c r="O801" i="8"/>
  <c r="N801" i="8"/>
  <c r="M801" i="8"/>
  <c r="H830" i="6" s="1"/>
  <c r="L801" i="8"/>
  <c r="K801" i="8"/>
  <c r="J801" i="8"/>
  <c r="I801" i="8"/>
  <c r="X801" i="8" s="1"/>
  <c r="E830" i="6" s="1"/>
  <c r="H801" i="8"/>
  <c r="G801" i="8"/>
  <c r="F801" i="8"/>
  <c r="E801" i="8"/>
  <c r="D801" i="8"/>
  <c r="C801" i="8"/>
  <c r="W801" i="8" s="1"/>
  <c r="B801" i="8"/>
  <c r="A801" i="8"/>
  <c r="P800" i="8"/>
  <c r="O800" i="8"/>
  <c r="N800" i="8"/>
  <c r="M800" i="8"/>
  <c r="H829" i="6" s="1"/>
  <c r="L800" i="8"/>
  <c r="K800" i="8"/>
  <c r="J800" i="8"/>
  <c r="I800" i="8"/>
  <c r="X800" i="8" s="1"/>
  <c r="E829" i="6" s="1"/>
  <c r="H800" i="8"/>
  <c r="G800" i="8"/>
  <c r="F800" i="8"/>
  <c r="E800" i="8"/>
  <c r="D800" i="8"/>
  <c r="C800" i="8"/>
  <c r="W800" i="8" s="1"/>
  <c r="B800" i="8"/>
  <c r="A800" i="8"/>
  <c r="P799" i="8"/>
  <c r="O799" i="8"/>
  <c r="N799" i="8"/>
  <c r="M799" i="8"/>
  <c r="H828" i="6" s="1"/>
  <c r="L799" i="8"/>
  <c r="K799" i="8"/>
  <c r="J799" i="8"/>
  <c r="I799" i="8"/>
  <c r="X799" i="8" s="1"/>
  <c r="E828" i="6" s="1"/>
  <c r="H799" i="8"/>
  <c r="G799" i="8"/>
  <c r="F799" i="8"/>
  <c r="E799" i="8"/>
  <c r="D799" i="8"/>
  <c r="C799" i="8"/>
  <c r="W799" i="8" s="1"/>
  <c r="B799" i="8"/>
  <c r="A799" i="8"/>
  <c r="P798" i="8"/>
  <c r="O798" i="8"/>
  <c r="N798" i="8"/>
  <c r="M798" i="8"/>
  <c r="H827" i="6" s="1"/>
  <c r="L798" i="8"/>
  <c r="K798" i="8"/>
  <c r="J798" i="8"/>
  <c r="I798" i="8"/>
  <c r="X798" i="8" s="1"/>
  <c r="E827" i="6" s="1"/>
  <c r="H798" i="8"/>
  <c r="G798" i="8"/>
  <c r="F798" i="8"/>
  <c r="E798" i="8"/>
  <c r="D798" i="8"/>
  <c r="C798" i="8"/>
  <c r="W798" i="8" s="1"/>
  <c r="B798" i="8"/>
  <c r="A798" i="8"/>
  <c r="P797" i="8"/>
  <c r="O797" i="8"/>
  <c r="N797" i="8"/>
  <c r="M797" i="8"/>
  <c r="H826" i="6" s="1"/>
  <c r="L797" i="8"/>
  <c r="K797" i="8"/>
  <c r="J797" i="8"/>
  <c r="I797" i="8"/>
  <c r="X797" i="8" s="1"/>
  <c r="E826" i="6" s="1"/>
  <c r="H797" i="8"/>
  <c r="G797" i="8"/>
  <c r="F797" i="8"/>
  <c r="E797" i="8"/>
  <c r="D797" i="8"/>
  <c r="C797" i="8"/>
  <c r="W797" i="8" s="1"/>
  <c r="B797" i="8"/>
  <c r="A797" i="8"/>
  <c r="P796" i="8"/>
  <c r="O796" i="8"/>
  <c r="N796" i="8"/>
  <c r="M796" i="8"/>
  <c r="H825" i="6" s="1"/>
  <c r="L796" i="8"/>
  <c r="K796" i="8"/>
  <c r="J796" i="8"/>
  <c r="I796" i="8"/>
  <c r="X796" i="8" s="1"/>
  <c r="E825" i="6" s="1"/>
  <c r="H796" i="8"/>
  <c r="G796" i="8"/>
  <c r="F796" i="8"/>
  <c r="E796" i="8"/>
  <c r="D796" i="8"/>
  <c r="C796" i="8"/>
  <c r="W796" i="8" s="1"/>
  <c r="B796" i="8"/>
  <c r="A796" i="8"/>
  <c r="P795" i="8"/>
  <c r="O795" i="8"/>
  <c r="N795" i="8"/>
  <c r="M795" i="8"/>
  <c r="H824" i="6" s="1"/>
  <c r="L795" i="8"/>
  <c r="K795" i="8"/>
  <c r="J795" i="8"/>
  <c r="I795" i="8"/>
  <c r="X795" i="8" s="1"/>
  <c r="E824" i="6" s="1"/>
  <c r="H795" i="8"/>
  <c r="G795" i="8"/>
  <c r="F795" i="8"/>
  <c r="E795" i="8"/>
  <c r="D795" i="8"/>
  <c r="C795" i="8"/>
  <c r="W795" i="8" s="1"/>
  <c r="B795" i="8"/>
  <c r="A795" i="8"/>
  <c r="P794" i="8"/>
  <c r="O794" i="8"/>
  <c r="N794" i="8"/>
  <c r="M794" i="8"/>
  <c r="H823" i="6" s="1"/>
  <c r="L794" i="8"/>
  <c r="K794" i="8"/>
  <c r="J794" i="8"/>
  <c r="I794" i="8"/>
  <c r="X794" i="8" s="1"/>
  <c r="E823" i="6" s="1"/>
  <c r="H794" i="8"/>
  <c r="G794" i="8"/>
  <c r="F794" i="8"/>
  <c r="E794" i="8"/>
  <c r="D794" i="8"/>
  <c r="C794" i="8"/>
  <c r="W794" i="8" s="1"/>
  <c r="B794" i="8"/>
  <c r="A794" i="8"/>
  <c r="P793" i="8"/>
  <c r="O793" i="8"/>
  <c r="N793" i="8"/>
  <c r="M793" i="8"/>
  <c r="H822" i="6" s="1"/>
  <c r="L793" i="8"/>
  <c r="K793" i="8"/>
  <c r="J793" i="8"/>
  <c r="I793" i="8"/>
  <c r="X793" i="8" s="1"/>
  <c r="E822" i="6" s="1"/>
  <c r="H793" i="8"/>
  <c r="G793" i="8"/>
  <c r="F793" i="8"/>
  <c r="E793" i="8"/>
  <c r="D793" i="8"/>
  <c r="C793" i="8"/>
  <c r="W793" i="8" s="1"/>
  <c r="B793" i="8"/>
  <c r="A793" i="8"/>
  <c r="P792" i="8"/>
  <c r="O792" i="8"/>
  <c r="N792" i="8"/>
  <c r="M792" i="8"/>
  <c r="H821" i="6" s="1"/>
  <c r="L792" i="8"/>
  <c r="K792" i="8"/>
  <c r="J792" i="8"/>
  <c r="I792" i="8"/>
  <c r="X792" i="8" s="1"/>
  <c r="E821" i="6" s="1"/>
  <c r="H792" i="8"/>
  <c r="G792" i="8"/>
  <c r="F792" i="8"/>
  <c r="E792" i="8"/>
  <c r="D792" i="8"/>
  <c r="C792" i="8"/>
  <c r="W792" i="8" s="1"/>
  <c r="B792" i="8"/>
  <c r="A792" i="8"/>
  <c r="P791" i="8"/>
  <c r="O791" i="8"/>
  <c r="N791" i="8"/>
  <c r="M791" i="8"/>
  <c r="H820" i="6" s="1"/>
  <c r="L791" i="8"/>
  <c r="K791" i="8"/>
  <c r="J791" i="8"/>
  <c r="I791" i="8"/>
  <c r="X791" i="8" s="1"/>
  <c r="E820" i="6" s="1"/>
  <c r="H791" i="8"/>
  <c r="G791" i="8"/>
  <c r="F791" i="8"/>
  <c r="E791" i="8"/>
  <c r="D791" i="8"/>
  <c r="C791" i="8"/>
  <c r="W791" i="8" s="1"/>
  <c r="B791" i="8"/>
  <c r="A791" i="8"/>
  <c r="P790" i="8"/>
  <c r="O790" i="8"/>
  <c r="N790" i="8"/>
  <c r="M790" i="8"/>
  <c r="H819" i="6" s="1"/>
  <c r="L790" i="8"/>
  <c r="K790" i="8"/>
  <c r="J790" i="8"/>
  <c r="I790" i="8"/>
  <c r="X790" i="8" s="1"/>
  <c r="E819" i="6" s="1"/>
  <c r="H790" i="8"/>
  <c r="G790" i="8"/>
  <c r="F790" i="8"/>
  <c r="E790" i="8"/>
  <c r="D790" i="8"/>
  <c r="C790" i="8"/>
  <c r="W790" i="8" s="1"/>
  <c r="B790" i="8"/>
  <c r="A790" i="8"/>
  <c r="P789" i="8"/>
  <c r="O789" i="8"/>
  <c r="N789" i="8"/>
  <c r="M789" i="8"/>
  <c r="H818" i="6" s="1"/>
  <c r="L789" i="8"/>
  <c r="K789" i="8"/>
  <c r="J789" i="8"/>
  <c r="I789" i="8"/>
  <c r="X789" i="8" s="1"/>
  <c r="E818" i="6" s="1"/>
  <c r="H789" i="8"/>
  <c r="G789" i="8"/>
  <c r="F789" i="8"/>
  <c r="E789" i="8"/>
  <c r="D789" i="8"/>
  <c r="C789" i="8"/>
  <c r="W789" i="8" s="1"/>
  <c r="B789" i="8"/>
  <c r="A789" i="8"/>
  <c r="P788" i="8"/>
  <c r="O788" i="8"/>
  <c r="N788" i="8"/>
  <c r="M788" i="8"/>
  <c r="H817" i="6" s="1"/>
  <c r="L788" i="8"/>
  <c r="K788" i="8"/>
  <c r="J788" i="8"/>
  <c r="I788" i="8"/>
  <c r="X788" i="8" s="1"/>
  <c r="E817" i="6" s="1"/>
  <c r="H788" i="8"/>
  <c r="G788" i="8"/>
  <c r="F788" i="8"/>
  <c r="E788" i="8"/>
  <c r="D788" i="8"/>
  <c r="C788" i="8"/>
  <c r="W788" i="8" s="1"/>
  <c r="B788" i="8"/>
  <c r="A788" i="8"/>
  <c r="P787" i="8"/>
  <c r="O787" i="8"/>
  <c r="N787" i="8"/>
  <c r="M787" i="8"/>
  <c r="H816" i="6" s="1"/>
  <c r="L787" i="8"/>
  <c r="K787" i="8"/>
  <c r="J787" i="8"/>
  <c r="I787" i="8"/>
  <c r="X787" i="8" s="1"/>
  <c r="E816" i="6" s="1"/>
  <c r="H787" i="8"/>
  <c r="G787" i="8"/>
  <c r="F787" i="8"/>
  <c r="E787" i="8"/>
  <c r="D787" i="8"/>
  <c r="C787" i="8"/>
  <c r="W787" i="8" s="1"/>
  <c r="B787" i="8"/>
  <c r="A787" i="8"/>
  <c r="P786" i="8"/>
  <c r="O786" i="8"/>
  <c r="N786" i="8"/>
  <c r="M786" i="8"/>
  <c r="H815" i="6" s="1"/>
  <c r="L786" i="8"/>
  <c r="K786" i="8"/>
  <c r="J786" i="8"/>
  <c r="I786" i="8"/>
  <c r="X786" i="8" s="1"/>
  <c r="E815" i="6" s="1"/>
  <c r="H786" i="8"/>
  <c r="G786" i="8"/>
  <c r="F786" i="8"/>
  <c r="E786" i="8"/>
  <c r="D786" i="8"/>
  <c r="C786" i="8"/>
  <c r="W786" i="8" s="1"/>
  <c r="B786" i="8"/>
  <c r="A786" i="8"/>
  <c r="P785" i="8"/>
  <c r="O785" i="8"/>
  <c r="N785" i="8"/>
  <c r="M785" i="8"/>
  <c r="H814" i="6" s="1"/>
  <c r="L785" i="8"/>
  <c r="K785" i="8"/>
  <c r="J785" i="8"/>
  <c r="I785" i="8"/>
  <c r="X785" i="8" s="1"/>
  <c r="E814" i="6" s="1"/>
  <c r="H785" i="8"/>
  <c r="G785" i="8"/>
  <c r="F785" i="8"/>
  <c r="E785" i="8"/>
  <c r="D785" i="8"/>
  <c r="C785" i="8"/>
  <c r="W785" i="8" s="1"/>
  <c r="B785" i="8"/>
  <c r="A785" i="8"/>
  <c r="P784" i="8"/>
  <c r="O784" i="8"/>
  <c r="N784" i="8"/>
  <c r="M784" i="8"/>
  <c r="H813" i="6" s="1"/>
  <c r="L784" i="8"/>
  <c r="K784" i="8"/>
  <c r="J784" i="8"/>
  <c r="I784" i="8"/>
  <c r="X784" i="8" s="1"/>
  <c r="E813" i="6" s="1"/>
  <c r="H784" i="8"/>
  <c r="G784" i="8"/>
  <c r="F784" i="8"/>
  <c r="E784" i="8"/>
  <c r="D784" i="8"/>
  <c r="C784" i="8"/>
  <c r="W784" i="8" s="1"/>
  <c r="B784" i="8"/>
  <c r="A784" i="8"/>
  <c r="P783" i="8"/>
  <c r="O783" i="8"/>
  <c r="N783" i="8"/>
  <c r="M783" i="8"/>
  <c r="H812" i="6" s="1"/>
  <c r="L783" i="8"/>
  <c r="K783" i="8"/>
  <c r="J783" i="8"/>
  <c r="I783" i="8"/>
  <c r="X783" i="8" s="1"/>
  <c r="E812" i="6" s="1"/>
  <c r="H783" i="8"/>
  <c r="G783" i="8"/>
  <c r="F783" i="8"/>
  <c r="E783" i="8"/>
  <c r="D783" i="8"/>
  <c r="C783" i="8"/>
  <c r="W783" i="8" s="1"/>
  <c r="B783" i="8"/>
  <c r="A783" i="8"/>
  <c r="P782" i="8"/>
  <c r="O782" i="8"/>
  <c r="N782" i="8"/>
  <c r="M782" i="8"/>
  <c r="H811" i="6" s="1"/>
  <c r="L782" i="8"/>
  <c r="K782" i="8"/>
  <c r="J782" i="8"/>
  <c r="I782" i="8"/>
  <c r="X782" i="8" s="1"/>
  <c r="E811" i="6" s="1"/>
  <c r="H782" i="8"/>
  <c r="G782" i="8"/>
  <c r="F782" i="8"/>
  <c r="E782" i="8"/>
  <c r="D782" i="8"/>
  <c r="C782" i="8"/>
  <c r="W782" i="8" s="1"/>
  <c r="B782" i="8"/>
  <c r="A782" i="8"/>
  <c r="P781" i="8"/>
  <c r="O781" i="8"/>
  <c r="N781" i="8"/>
  <c r="M781" i="8"/>
  <c r="H810" i="6" s="1"/>
  <c r="L781" i="8"/>
  <c r="K781" i="8"/>
  <c r="J781" i="8"/>
  <c r="I781" i="8"/>
  <c r="X781" i="8" s="1"/>
  <c r="E810" i="6" s="1"/>
  <c r="H781" i="8"/>
  <c r="G781" i="8"/>
  <c r="F781" i="8"/>
  <c r="E781" i="8"/>
  <c r="D781" i="8"/>
  <c r="C781" i="8"/>
  <c r="W781" i="8" s="1"/>
  <c r="B781" i="8"/>
  <c r="A781" i="8"/>
  <c r="P780" i="8"/>
  <c r="O780" i="8"/>
  <c r="N780" i="8"/>
  <c r="M780" i="8"/>
  <c r="H809" i="6" s="1"/>
  <c r="L780" i="8"/>
  <c r="K780" i="8"/>
  <c r="J780" i="8"/>
  <c r="I780" i="8"/>
  <c r="X780" i="8" s="1"/>
  <c r="E809" i="6" s="1"/>
  <c r="H780" i="8"/>
  <c r="G780" i="8"/>
  <c r="F780" i="8"/>
  <c r="E780" i="8"/>
  <c r="D780" i="8"/>
  <c r="C780" i="8"/>
  <c r="W780" i="8" s="1"/>
  <c r="B780" i="8"/>
  <c r="A780" i="8"/>
  <c r="P779" i="8"/>
  <c r="O779" i="8"/>
  <c r="N779" i="8"/>
  <c r="M779" i="8"/>
  <c r="H808" i="6" s="1"/>
  <c r="L779" i="8"/>
  <c r="K779" i="8"/>
  <c r="J779" i="8"/>
  <c r="I779" i="8"/>
  <c r="X779" i="8" s="1"/>
  <c r="E808" i="6" s="1"/>
  <c r="H779" i="8"/>
  <c r="G779" i="8"/>
  <c r="F779" i="8"/>
  <c r="E779" i="8"/>
  <c r="D779" i="8"/>
  <c r="C779" i="8"/>
  <c r="W779" i="8" s="1"/>
  <c r="B779" i="8"/>
  <c r="A779" i="8"/>
  <c r="P778" i="8"/>
  <c r="O778" i="8"/>
  <c r="N778" i="8"/>
  <c r="M778" i="8"/>
  <c r="H807" i="6" s="1"/>
  <c r="L778" i="8"/>
  <c r="K778" i="8"/>
  <c r="J778" i="8"/>
  <c r="I778" i="8"/>
  <c r="X778" i="8" s="1"/>
  <c r="E807" i="6" s="1"/>
  <c r="H778" i="8"/>
  <c r="G778" i="8"/>
  <c r="F778" i="8"/>
  <c r="E778" i="8"/>
  <c r="D778" i="8"/>
  <c r="C778" i="8"/>
  <c r="W778" i="8" s="1"/>
  <c r="B778" i="8"/>
  <c r="A778" i="8"/>
  <c r="P777" i="8"/>
  <c r="O777" i="8"/>
  <c r="N777" i="8"/>
  <c r="M777" i="8"/>
  <c r="H806" i="6" s="1"/>
  <c r="L777" i="8"/>
  <c r="K777" i="8"/>
  <c r="J777" i="8"/>
  <c r="I777" i="8"/>
  <c r="X777" i="8" s="1"/>
  <c r="E806" i="6" s="1"/>
  <c r="H777" i="8"/>
  <c r="G777" i="8"/>
  <c r="F777" i="8"/>
  <c r="E777" i="8"/>
  <c r="D777" i="8"/>
  <c r="C777" i="8"/>
  <c r="W777" i="8" s="1"/>
  <c r="B777" i="8"/>
  <c r="A777" i="8"/>
  <c r="P776" i="8"/>
  <c r="O776" i="8"/>
  <c r="N776" i="8"/>
  <c r="M776" i="8"/>
  <c r="H805" i="6" s="1"/>
  <c r="L776" i="8"/>
  <c r="K776" i="8"/>
  <c r="J776" i="8"/>
  <c r="I776" i="8"/>
  <c r="X776" i="8" s="1"/>
  <c r="E805" i="6" s="1"/>
  <c r="H776" i="8"/>
  <c r="G776" i="8"/>
  <c r="F776" i="8"/>
  <c r="E776" i="8"/>
  <c r="D776" i="8"/>
  <c r="C776" i="8"/>
  <c r="W776" i="8" s="1"/>
  <c r="B776" i="8"/>
  <c r="A776" i="8"/>
  <c r="P775" i="8"/>
  <c r="O775" i="8"/>
  <c r="N775" i="8"/>
  <c r="M775" i="8"/>
  <c r="H804" i="6" s="1"/>
  <c r="L775" i="8"/>
  <c r="K775" i="8"/>
  <c r="J775" i="8"/>
  <c r="I775" i="8"/>
  <c r="X775" i="8" s="1"/>
  <c r="E804" i="6" s="1"/>
  <c r="H775" i="8"/>
  <c r="G775" i="8"/>
  <c r="F775" i="8"/>
  <c r="E775" i="8"/>
  <c r="D775" i="8"/>
  <c r="C775" i="8"/>
  <c r="W775" i="8" s="1"/>
  <c r="B775" i="8"/>
  <c r="A775" i="8"/>
  <c r="P774" i="8"/>
  <c r="O774" i="8"/>
  <c r="N774" i="8"/>
  <c r="M774" i="8"/>
  <c r="H803" i="6" s="1"/>
  <c r="L774" i="8"/>
  <c r="K774" i="8"/>
  <c r="J774" i="8"/>
  <c r="I774" i="8"/>
  <c r="X774" i="8" s="1"/>
  <c r="E803" i="6" s="1"/>
  <c r="H774" i="8"/>
  <c r="G774" i="8"/>
  <c r="F774" i="8"/>
  <c r="E774" i="8"/>
  <c r="D774" i="8"/>
  <c r="C774" i="8"/>
  <c r="W774" i="8" s="1"/>
  <c r="B774" i="8"/>
  <c r="A774" i="8"/>
  <c r="P773" i="8"/>
  <c r="O773" i="8"/>
  <c r="N773" i="8"/>
  <c r="M773" i="8"/>
  <c r="H802" i="6" s="1"/>
  <c r="L773" i="8"/>
  <c r="K773" i="8"/>
  <c r="J773" i="8"/>
  <c r="I773" i="8"/>
  <c r="X773" i="8" s="1"/>
  <c r="E802" i="6" s="1"/>
  <c r="H773" i="8"/>
  <c r="G773" i="8"/>
  <c r="F773" i="8"/>
  <c r="E773" i="8"/>
  <c r="D773" i="8"/>
  <c r="C773" i="8"/>
  <c r="W773" i="8" s="1"/>
  <c r="B773" i="8"/>
  <c r="A773" i="8"/>
  <c r="P772" i="8"/>
  <c r="O772" i="8"/>
  <c r="N772" i="8"/>
  <c r="M772" i="8"/>
  <c r="H801" i="6" s="1"/>
  <c r="L772" i="8"/>
  <c r="K772" i="8"/>
  <c r="J772" i="8"/>
  <c r="I772" i="8"/>
  <c r="X772" i="8" s="1"/>
  <c r="E801" i="6" s="1"/>
  <c r="H772" i="8"/>
  <c r="G772" i="8"/>
  <c r="F772" i="8"/>
  <c r="E772" i="8"/>
  <c r="D772" i="8"/>
  <c r="C772" i="8"/>
  <c r="W772" i="8" s="1"/>
  <c r="B772" i="8"/>
  <c r="A772" i="8"/>
  <c r="P771" i="8"/>
  <c r="O771" i="8"/>
  <c r="N771" i="8"/>
  <c r="M771" i="8"/>
  <c r="H800" i="6" s="1"/>
  <c r="L771" i="8"/>
  <c r="K771" i="8"/>
  <c r="J771" i="8"/>
  <c r="I771" i="8"/>
  <c r="X771" i="8" s="1"/>
  <c r="E800" i="6" s="1"/>
  <c r="H771" i="8"/>
  <c r="G771" i="8"/>
  <c r="F771" i="8"/>
  <c r="E771" i="8"/>
  <c r="D771" i="8"/>
  <c r="C771" i="8"/>
  <c r="W771" i="8" s="1"/>
  <c r="B771" i="8"/>
  <c r="A771" i="8"/>
  <c r="P770" i="8"/>
  <c r="O770" i="8"/>
  <c r="N770" i="8"/>
  <c r="M770" i="8"/>
  <c r="H799" i="6" s="1"/>
  <c r="L770" i="8"/>
  <c r="K770" i="8"/>
  <c r="J770" i="8"/>
  <c r="I770" i="8"/>
  <c r="X770" i="8" s="1"/>
  <c r="E799" i="6" s="1"/>
  <c r="H770" i="8"/>
  <c r="G770" i="8"/>
  <c r="F770" i="8"/>
  <c r="E770" i="8"/>
  <c r="D770" i="8"/>
  <c r="C770" i="8"/>
  <c r="W770" i="8" s="1"/>
  <c r="B770" i="8"/>
  <c r="A770" i="8"/>
  <c r="P769" i="8"/>
  <c r="O769" i="8"/>
  <c r="N769" i="8"/>
  <c r="M769" i="8"/>
  <c r="H798" i="6" s="1"/>
  <c r="L769" i="8"/>
  <c r="K769" i="8"/>
  <c r="J769" i="8"/>
  <c r="I769" i="8"/>
  <c r="X769" i="8" s="1"/>
  <c r="E798" i="6" s="1"/>
  <c r="H769" i="8"/>
  <c r="G769" i="8"/>
  <c r="F769" i="8"/>
  <c r="E769" i="8"/>
  <c r="D769" i="8"/>
  <c r="C769" i="8"/>
  <c r="W769" i="8" s="1"/>
  <c r="B769" i="8"/>
  <c r="A769" i="8"/>
  <c r="P768" i="8"/>
  <c r="O768" i="8"/>
  <c r="N768" i="8"/>
  <c r="M768" i="8"/>
  <c r="H797" i="6" s="1"/>
  <c r="L768" i="8"/>
  <c r="K768" i="8"/>
  <c r="J768" i="8"/>
  <c r="I768" i="8"/>
  <c r="X768" i="8" s="1"/>
  <c r="E797" i="6" s="1"/>
  <c r="H768" i="8"/>
  <c r="G768" i="8"/>
  <c r="F768" i="8"/>
  <c r="E768" i="8"/>
  <c r="D768" i="8"/>
  <c r="C768" i="8"/>
  <c r="W768" i="8" s="1"/>
  <c r="B768" i="8"/>
  <c r="A768" i="8"/>
  <c r="P767" i="8"/>
  <c r="O767" i="8"/>
  <c r="N767" i="8"/>
  <c r="M767" i="8"/>
  <c r="H796" i="6" s="1"/>
  <c r="L767" i="8"/>
  <c r="K767" i="8"/>
  <c r="J767" i="8"/>
  <c r="I767" i="8"/>
  <c r="X767" i="8" s="1"/>
  <c r="E796" i="6" s="1"/>
  <c r="H767" i="8"/>
  <c r="G767" i="8"/>
  <c r="F767" i="8"/>
  <c r="E767" i="8"/>
  <c r="D767" i="8"/>
  <c r="C767" i="8"/>
  <c r="W767" i="8" s="1"/>
  <c r="B767" i="8"/>
  <c r="A767" i="8"/>
  <c r="P766" i="8"/>
  <c r="O766" i="8"/>
  <c r="N766" i="8"/>
  <c r="M766" i="8"/>
  <c r="H795" i="6" s="1"/>
  <c r="L766" i="8"/>
  <c r="K766" i="8"/>
  <c r="J766" i="8"/>
  <c r="I766" i="8"/>
  <c r="X766" i="8" s="1"/>
  <c r="E795" i="6" s="1"/>
  <c r="H766" i="8"/>
  <c r="G766" i="8"/>
  <c r="F766" i="8"/>
  <c r="E766" i="8"/>
  <c r="D766" i="8"/>
  <c r="C766" i="8"/>
  <c r="W766" i="8" s="1"/>
  <c r="B766" i="8"/>
  <c r="A766" i="8"/>
  <c r="P765" i="8"/>
  <c r="O765" i="8"/>
  <c r="N765" i="8"/>
  <c r="M765" i="8"/>
  <c r="H794" i="6" s="1"/>
  <c r="L765" i="8"/>
  <c r="K765" i="8"/>
  <c r="J765" i="8"/>
  <c r="I765" i="8"/>
  <c r="X765" i="8" s="1"/>
  <c r="E794" i="6" s="1"/>
  <c r="H765" i="8"/>
  <c r="G765" i="8"/>
  <c r="F765" i="8"/>
  <c r="E765" i="8"/>
  <c r="D765" i="8"/>
  <c r="C765" i="8"/>
  <c r="W765" i="8" s="1"/>
  <c r="B765" i="8"/>
  <c r="A765" i="8"/>
  <c r="P764" i="8"/>
  <c r="O764" i="8"/>
  <c r="N764" i="8"/>
  <c r="M764" i="8"/>
  <c r="H793" i="6" s="1"/>
  <c r="L764" i="8"/>
  <c r="K764" i="8"/>
  <c r="J764" i="8"/>
  <c r="I764" i="8"/>
  <c r="X764" i="8" s="1"/>
  <c r="E793" i="6" s="1"/>
  <c r="H764" i="8"/>
  <c r="G764" i="8"/>
  <c r="F764" i="8"/>
  <c r="E764" i="8"/>
  <c r="D764" i="8"/>
  <c r="C764" i="8"/>
  <c r="W764" i="8" s="1"/>
  <c r="B764" i="8"/>
  <c r="A764" i="8"/>
  <c r="AE763" i="8"/>
  <c r="AC763" i="8"/>
  <c r="AA763" i="8"/>
  <c r="Z763" i="8"/>
  <c r="Y763" i="8"/>
  <c r="X763" i="8"/>
  <c r="E792" i="6" s="1"/>
  <c r="W763" i="8"/>
  <c r="U763" i="8"/>
  <c r="T763" i="8"/>
  <c r="D792" i="6" s="1"/>
  <c r="P763" i="8"/>
  <c r="O763" i="8"/>
  <c r="N763" i="8"/>
  <c r="M763" i="8"/>
  <c r="L763" i="8"/>
  <c r="K763" i="8"/>
  <c r="J763" i="8"/>
  <c r="I763" i="8"/>
  <c r="H763" i="8"/>
  <c r="G763" i="8"/>
  <c r="F763" i="8"/>
  <c r="E763" i="8"/>
  <c r="D763" i="8"/>
  <c r="C763" i="8"/>
  <c r="B763" i="8"/>
  <c r="A763" i="8"/>
  <c r="Q763" i="8" s="1"/>
  <c r="P762" i="8"/>
  <c r="O762" i="8"/>
  <c r="N762" i="8"/>
  <c r="M762" i="8"/>
  <c r="H791" i="6" s="1"/>
  <c r="L762" i="8"/>
  <c r="K762" i="8"/>
  <c r="J762" i="8"/>
  <c r="I762" i="8"/>
  <c r="X762" i="8" s="1"/>
  <c r="E791" i="6" s="1"/>
  <c r="H762" i="8"/>
  <c r="G762" i="8"/>
  <c r="F762" i="8"/>
  <c r="E762" i="8"/>
  <c r="D762" i="8"/>
  <c r="C762" i="8"/>
  <c r="W762" i="8" s="1"/>
  <c r="B762" i="8"/>
  <c r="A762" i="8"/>
  <c r="P761" i="8"/>
  <c r="O761" i="8"/>
  <c r="N761" i="8"/>
  <c r="M761" i="8"/>
  <c r="H790" i="6" s="1"/>
  <c r="L761" i="8"/>
  <c r="K761" i="8"/>
  <c r="J761" i="8"/>
  <c r="I761" i="8"/>
  <c r="X761" i="8" s="1"/>
  <c r="E790" i="6" s="1"/>
  <c r="H761" i="8"/>
  <c r="G761" i="8"/>
  <c r="F761" i="8"/>
  <c r="E761" i="8"/>
  <c r="D761" i="8"/>
  <c r="C761" i="8"/>
  <c r="W761" i="8" s="1"/>
  <c r="B761" i="8"/>
  <c r="A761" i="8"/>
  <c r="P760" i="8"/>
  <c r="O760" i="8"/>
  <c r="N760" i="8"/>
  <c r="M760" i="8"/>
  <c r="H789" i="6" s="1"/>
  <c r="L760" i="8"/>
  <c r="K760" i="8"/>
  <c r="J760" i="8"/>
  <c r="I760" i="8"/>
  <c r="X760" i="8" s="1"/>
  <c r="E789" i="6" s="1"/>
  <c r="H760" i="8"/>
  <c r="G760" i="8"/>
  <c r="F760" i="8"/>
  <c r="E760" i="8"/>
  <c r="D760" i="8"/>
  <c r="C760" i="8"/>
  <c r="W760" i="8" s="1"/>
  <c r="B760" i="8"/>
  <c r="A760" i="8"/>
  <c r="P759" i="8"/>
  <c r="O759" i="8"/>
  <c r="N759" i="8"/>
  <c r="M759" i="8"/>
  <c r="H788" i="6" s="1"/>
  <c r="L759" i="8"/>
  <c r="K759" i="8"/>
  <c r="J759" i="8"/>
  <c r="I759" i="8"/>
  <c r="X759" i="8" s="1"/>
  <c r="E788" i="6" s="1"/>
  <c r="H759" i="8"/>
  <c r="G759" i="8"/>
  <c r="F759" i="8"/>
  <c r="E759" i="8"/>
  <c r="D759" i="8"/>
  <c r="C759" i="8"/>
  <c r="W759" i="8" s="1"/>
  <c r="B759" i="8"/>
  <c r="A759" i="8"/>
  <c r="P758" i="8"/>
  <c r="O758" i="8"/>
  <c r="N758" i="8"/>
  <c r="M758" i="8"/>
  <c r="H787" i="6" s="1"/>
  <c r="L758" i="8"/>
  <c r="K758" i="8"/>
  <c r="J758" i="8"/>
  <c r="I758" i="8"/>
  <c r="X758" i="8" s="1"/>
  <c r="E787" i="6" s="1"/>
  <c r="H758" i="8"/>
  <c r="G758" i="8"/>
  <c r="F758" i="8"/>
  <c r="E758" i="8"/>
  <c r="D758" i="8"/>
  <c r="C758" i="8"/>
  <c r="W758" i="8" s="1"/>
  <c r="B758" i="8"/>
  <c r="A758" i="8"/>
  <c r="P757" i="8"/>
  <c r="O757" i="8"/>
  <c r="N757" i="8"/>
  <c r="M757" i="8"/>
  <c r="H786" i="6" s="1"/>
  <c r="L757" i="8"/>
  <c r="K757" i="8"/>
  <c r="J757" i="8"/>
  <c r="I757" i="8"/>
  <c r="X757" i="8" s="1"/>
  <c r="E786" i="6" s="1"/>
  <c r="H757" i="8"/>
  <c r="G757" i="8"/>
  <c r="F757" i="8"/>
  <c r="E757" i="8"/>
  <c r="D757" i="8"/>
  <c r="C757" i="8"/>
  <c r="W757" i="8" s="1"/>
  <c r="B757" i="8"/>
  <c r="A757" i="8"/>
  <c r="P756" i="8"/>
  <c r="O756" i="8"/>
  <c r="N756" i="8"/>
  <c r="M756" i="8"/>
  <c r="H785" i="6" s="1"/>
  <c r="L756" i="8"/>
  <c r="K756" i="8"/>
  <c r="J756" i="8"/>
  <c r="I756" i="8"/>
  <c r="X756" i="8" s="1"/>
  <c r="E785" i="6" s="1"/>
  <c r="H756" i="8"/>
  <c r="G756" i="8"/>
  <c r="F756" i="8"/>
  <c r="E756" i="8"/>
  <c r="D756" i="8"/>
  <c r="C756" i="8"/>
  <c r="W756" i="8" s="1"/>
  <c r="B756" i="8"/>
  <c r="A756" i="8"/>
  <c r="P755" i="8"/>
  <c r="O755" i="8"/>
  <c r="N755" i="8"/>
  <c r="M755" i="8"/>
  <c r="H784" i="6" s="1"/>
  <c r="L755" i="8"/>
  <c r="K755" i="8"/>
  <c r="J755" i="8"/>
  <c r="I755" i="8"/>
  <c r="X755" i="8" s="1"/>
  <c r="E784" i="6" s="1"/>
  <c r="H755" i="8"/>
  <c r="G755" i="8"/>
  <c r="F755" i="8"/>
  <c r="E755" i="8"/>
  <c r="D755" i="8"/>
  <c r="C755" i="8"/>
  <c r="W755" i="8" s="1"/>
  <c r="B755" i="8"/>
  <c r="A755" i="8"/>
  <c r="P754" i="8"/>
  <c r="O754" i="8"/>
  <c r="N754" i="8"/>
  <c r="M754" i="8"/>
  <c r="H783" i="6" s="1"/>
  <c r="L754" i="8"/>
  <c r="K754" i="8"/>
  <c r="J754" i="8"/>
  <c r="I754" i="8"/>
  <c r="X754" i="8" s="1"/>
  <c r="E783" i="6" s="1"/>
  <c r="H754" i="8"/>
  <c r="G754" i="8"/>
  <c r="F754" i="8"/>
  <c r="E754" i="8"/>
  <c r="D754" i="8"/>
  <c r="C754" i="8"/>
  <c r="W754" i="8" s="1"/>
  <c r="B754" i="8"/>
  <c r="A754" i="8"/>
  <c r="P753" i="8"/>
  <c r="O753" i="8"/>
  <c r="N753" i="8"/>
  <c r="M753" i="8"/>
  <c r="H782" i="6" s="1"/>
  <c r="L753" i="8"/>
  <c r="K753" i="8"/>
  <c r="J753" i="8"/>
  <c r="I753" i="8"/>
  <c r="X753" i="8" s="1"/>
  <c r="E782" i="6" s="1"/>
  <c r="H753" i="8"/>
  <c r="G753" i="8"/>
  <c r="F753" i="8"/>
  <c r="E753" i="8"/>
  <c r="D753" i="8"/>
  <c r="C753" i="8"/>
  <c r="W753" i="8" s="1"/>
  <c r="B753" i="8"/>
  <c r="A753" i="8"/>
  <c r="P752" i="8"/>
  <c r="O752" i="8"/>
  <c r="N752" i="8"/>
  <c r="M752" i="8"/>
  <c r="H781" i="6" s="1"/>
  <c r="L752" i="8"/>
  <c r="K752" i="8"/>
  <c r="J752" i="8"/>
  <c r="I752" i="8"/>
  <c r="X752" i="8" s="1"/>
  <c r="E781" i="6" s="1"/>
  <c r="H752" i="8"/>
  <c r="G752" i="8"/>
  <c r="F752" i="8"/>
  <c r="E752" i="8"/>
  <c r="D752" i="8"/>
  <c r="C752" i="8"/>
  <c r="W752" i="8" s="1"/>
  <c r="B752" i="8"/>
  <c r="A752" i="8"/>
  <c r="P751" i="8"/>
  <c r="O751" i="8"/>
  <c r="N751" i="8"/>
  <c r="M751" i="8"/>
  <c r="H780" i="6" s="1"/>
  <c r="L751" i="8"/>
  <c r="K751" i="8"/>
  <c r="J751" i="8"/>
  <c r="I751" i="8"/>
  <c r="X751" i="8" s="1"/>
  <c r="E780" i="6" s="1"/>
  <c r="H751" i="8"/>
  <c r="G751" i="8"/>
  <c r="F751" i="8"/>
  <c r="E751" i="8"/>
  <c r="D751" i="8"/>
  <c r="C751" i="8"/>
  <c r="W751" i="8" s="1"/>
  <c r="B751" i="8"/>
  <c r="A751" i="8"/>
  <c r="P750" i="8"/>
  <c r="O750" i="8"/>
  <c r="N750" i="8"/>
  <c r="M750" i="8"/>
  <c r="H779" i="6" s="1"/>
  <c r="L750" i="8"/>
  <c r="K750" i="8"/>
  <c r="J750" i="8"/>
  <c r="I750" i="8"/>
  <c r="X750" i="8" s="1"/>
  <c r="E779" i="6" s="1"/>
  <c r="H750" i="8"/>
  <c r="G750" i="8"/>
  <c r="F750" i="8"/>
  <c r="E750" i="8"/>
  <c r="D750" i="8"/>
  <c r="C750" i="8"/>
  <c r="W750" i="8" s="1"/>
  <c r="B750" i="8"/>
  <c r="A750" i="8"/>
  <c r="P749" i="8"/>
  <c r="O749" i="8"/>
  <c r="N749" i="8"/>
  <c r="M749" i="8"/>
  <c r="H778" i="6" s="1"/>
  <c r="L749" i="8"/>
  <c r="K749" i="8"/>
  <c r="J749" i="8"/>
  <c r="I749" i="8"/>
  <c r="X749" i="8" s="1"/>
  <c r="E778" i="6" s="1"/>
  <c r="H749" i="8"/>
  <c r="G749" i="8"/>
  <c r="F749" i="8"/>
  <c r="E749" i="8"/>
  <c r="D749" i="8"/>
  <c r="C749" i="8"/>
  <c r="W749" i="8" s="1"/>
  <c r="B749" i="8"/>
  <c r="A749" i="8"/>
  <c r="P748" i="8"/>
  <c r="O748" i="8"/>
  <c r="N748" i="8"/>
  <c r="M748" i="8"/>
  <c r="H777" i="6" s="1"/>
  <c r="L748" i="8"/>
  <c r="K748" i="8"/>
  <c r="J748" i="8"/>
  <c r="I748" i="8"/>
  <c r="X748" i="8" s="1"/>
  <c r="E777" i="6" s="1"/>
  <c r="H748" i="8"/>
  <c r="G748" i="8"/>
  <c r="F748" i="8"/>
  <c r="E748" i="8"/>
  <c r="D748" i="8"/>
  <c r="C748" i="8"/>
  <c r="W748" i="8" s="1"/>
  <c r="B748" i="8"/>
  <c r="A748" i="8"/>
  <c r="P747" i="8"/>
  <c r="O747" i="8"/>
  <c r="N747" i="8"/>
  <c r="M747" i="8"/>
  <c r="H776" i="6" s="1"/>
  <c r="L747" i="8"/>
  <c r="K747" i="8"/>
  <c r="J747" i="8"/>
  <c r="I747" i="8"/>
  <c r="X747" i="8" s="1"/>
  <c r="E776" i="6" s="1"/>
  <c r="H747" i="8"/>
  <c r="G747" i="8"/>
  <c r="F747" i="8"/>
  <c r="E747" i="8"/>
  <c r="D747" i="8"/>
  <c r="C747" i="8"/>
  <c r="W747" i="8" s="1"/>
  <c r="B747" i="8"/>
  <c r="A747" i="8"/>
  <c r="P746" i="8"/>
  <c r="O746" i="8"/>
  <c r="N746" i="8"/>
  <c r="M746" i="8"/>
  <c r="H775" i="6" s="1"/>
  <c r="L746" i="8"/>
  <c r="K746" i="8"/>
  <c r="J746" i="8"/>
  <c r="I746" i="8"/>
  <c r="X746" i="8" s="1"/>
  <c r="E775" i="6" s="1"/>
  <c r="H746" i="8"/>
  <c r="G746" i="8"/>
  <c r="F746" i="8"/>
  <c r="E746" i="8"/>
  <c r="D746" i="8"/>
  <c r="C746" i="8"/>
  <c r="W746" i="8" s="1"/>
  <c r="B746" i="8"/>
  <c r="A746" i="8"/>
  <c r="P745" i="8"/>
  <c r="O745" i="8"/>
  <c r="N745" i="8"/>
  <c r="M745" i="8"/>
  <c r="H774" i="6" s="1"/>
  <c r="L745" i="8"/>
  <c r="K745" i="8"/>
  <c r="J745" i="8"/>
  <c r="I745" i="8"/>
  <c r="X745" i="8" s="1"/>
  <c r="E774" i="6" s="1"/>
  <c r="H745" i="8"/>
  <c r="G745" i="8"/>
  <c r="F745" i="8"/>
  <c r="E745" i="8"/>
  <c r="D745" i="8"/>
  <c r="C745" i="8"/>
  <c r="W745" i="8" s="1"/>
  <c r="B745" i="8"/>
  <c r="A745" i="8"/>
  <c r="P744" i="8"/>
  <c r="O744" i="8"/>
  <c r="N744" i="8"/>
  <c r="M744" i="8"/>
  <c r="H773" i="6" s="1"/>
  <c r="L744" i="8"/>
  <c r="K744" i="8"/>
  <c r="J744" i="8"/>
  <c r="I744" i="8"/>
  <c r="X744" i="8" s="1"/>
  <c r="E773" i="6" s="1"/>
  <c r="H744" i="8"/>
  <c r="G744" i="8"/>
  <c r="F744" i="8"/>
  <c r="E744" i="8"/>
  <c r="D744" i="8"/>
  <c r="C744" i="8"/>
  <c r="W744" i="8" s="1"/>
  <c r="B744" i="8"/>
  <c r="A744" i="8"/>
  <c r="P743" i="8"/>
  <c r="O743" i="8"/>
  <c r="N743" i="8"/>
  <c r="M743" i="8"/>
  <c r="H772" i="6" s="1"/>
  <c r="L743" i="8"/>
  <c r="K743" i="8"/>
  <c r="J743" i="8"/>
  <c r="I743" i="8"/>
  <c r="X743" i="8" s="1"/>
  <c r="E772" i="6" s="1"/>
  <c r="H743" i="8"/>
  <c r="G743" i="8"/>
  <c r="F743" i="8"/>
  <c r="E743" i="8"/>
  <c r="D743" i="8"/>
  <c r="C743" i="8"/>
  <c r="W743" i="8" s="1"/>
  <c r="B743" i="8"/>
  <c r="A743" i="8"/>
  <c r="P742" i="8"/>
  <c r="O742" i="8"/>
  <c r="N742" i="8"/>
  <c r="M742" i="8"/>
  <c r="H771" i="6" s="1"/>
  <c r="L742" i="8"/>
  <c r="K742" i="8"/>
  <c r="J742" i="8"/>
  <c r="I742" i="8"/>
  <c r="X742" i="8" s="1"/>
  <c r="E771" i="6" s="1"/>
  <c r="H742" i="8"/>
  <c r="G742" i="8"/>
  <c r="F742" i="8"/>
  <c r="E742" i="8"/>
  <c r="D742" i="8"/>
  <c r="C742" i="8"/>
  <c r="W742" i="8" s="1"/>
  <c r="B742" i="8"/>
  <c r="A742" i="8"/>
  <c r="P741" i="8"/>
  <c r="O741" i="8"/>
  <c r="N741" i="8"/>
  <c r="M741" i="8"/>
  <c r="H770" i="6" s="1"/>
  <c r="L741" i="8"/>
  <c r="K741" i="8"/>
  <c r="J741" i="8"/>
  <c r="I741" i="8"/>
  <c r="X741" i="8" s="1"/>
  <c r="E770" i="6" s="1"/>
  <c r="H741" i="8"/>
  <c r="G741" i="8"/>
  <c r="F741" i="8"/>
  <c r="E741" i="8"/>
  <c r="D741" i="8"/>
  <c r="C741" i="8"/>
  <c r="W741" i="8" s="1"/>
  <c r="B741" i="8"/>
  <c r="A741" i="8"/>
  <c r="P740" i="8"/>
  <c r="O740" i="8"/>
  <c r="N740" i="8"/>
  <c r="M740" i="8"/>
  <c r="H769" i="6" s="1"/>
  <c r="L740" i="8"/>
  <c r="K740" i="8"/>
  <c r="J740" i="8"/>
  <c r="I740" i="8"/>
  <c r="X740" i="8" s="1"/>
  <c r="E769" i="6" s="1"/>
  <c r="H740" i="8"/>
  <c r="G740" i="8"/>
  <c r="F740" i="8"/>
  <c r="E740" i="8"/>
  <c r="D740" i="8"/>
  <c r="C740" i="8"/>
  <c r="W740" i="8" s="1"/>
  <c r="B740" i="8"/>
  <c r="A740" i="8"/>
  <c r="P739" i="8"/>
  <c r="O739" i="8"/>
  <c r="N739" i="8"/>
  <c r="M739" i="8"/>
  <c r="H768" i="6" s="1"/>
  <c r="L739" i="8"/>
  <c r="K739" i="8"/>
  <c r="J739" i="8"/>
  <c r="I739" i="8"/>
  <c r="X739" i="8" s="1"/>
  <c r="E768" i="6" s="1"/>
  <c r="H739" i="8"/>
  <c r="G739" i="8"/>
  <c r="F739" i="8"/>
  <c r="E739" i="8"/>
  <c r="D739" i="8"/>
  <c r="C739" i="8"/>
  <c r="W739" i="8" s="1"/>
  <c r="B739" i="8"/>
  <c r="A739" i="8"/>
  <c r="P738" i="8"/>
  <c r="O738" i="8"/>
  <c r="N738" i="8"/>
  <c r="M738" i="8"/>
  <c r="H767" i="6" s="1"/>
  <c r="L738" i="8"/>
  <c r="K738" i="8"/>
  <c r="J738" i="8"/>
  <c r="I738" i="8"/>
  <c r="X738" i="8" s="1"/>
  <c r="E767" i="6" s="1"/>
  <c r="H738" i="8"/>
  <c r="G738" i="8"/>
  <c r="F738" i="8"/>
  <c r="E738" i="8"/>
  <c r="D738" i="8"/>
  <c r="C738" i="8"/>
  <c r="W738" i="8" s="1"/>
  <c r="B738" i="8"/>
  <c r="A738" i="8"/>
  <c r="P737" i="8"/>
  <c r="O737" i="8"/>
  <c r="N737" i="8"/>
  <c r="M737" i="8"/>
  <c r="H766" i="6" s="1"/>
  <c r="L737" i="8"/>
  <c r="K737" i="8"/>
  <c r="J737" i="8"/>
  <c r="I737" i="8"/>
  <c r="X737" i="8" s="1"/>
  <c r="E766" i="6" s="1"/>
  <c r="H737" i="8"/>
  <c r="G737" i="8"/>
  <c r="F737" i="8"/>
  <c r="E737" i="8"/>
  <c r="D737" i="8"/>
  <c r="C737" i="8"/>
  <c r="W737" i="8" s="1"/>
  <c r="B737" i="8"/>
  <c r="A737" i="8"/>
  <c r="P736" i="8"/>
  <c r="O736" i="8"/>
  <c r="N736" i="8"/>
  <c r="M736" i="8"/>
  <c r="H765" i="6" s="1"/>
  <c r="L736" i="8"/>
  <c r="K736" i="8"/>
  <c r="J736" i="8"/>
  <c r="I736" i="8"/>
  <c r="X736" i="8" s="1"/>
  <c r="E765" i="6" s="1"/>
  <c r="H736" i="8"/>
  <c r="G736" i="8"/>
  <c r="F736" i="8"/>
  <c r="E736" i="8"/>
  <c r="D736" i="8"/>
  <c r="C736" i="8"/>
  <c r="W736" i="8" s="1"/>
  <c r="B736" i="8"/>
  <c r="A736" i="8"/>
  <c r="P735" i="8"/>
  <c r="O735" i="8"/>
  <c r="N735" i="8"/>
  <c r="M735" i="8"/>
  <c r="H764" i="6" s="1"/>
  <c r="L735" i="8"/>
  <c r="K735" i="8"/>
  <c r="J735" i="8"/>
  <c r="I735" i="8"/>
  <c r="X735" i="8" s="1"/>
  <c r="E764" i="6" s="1"/>
  <c r="H735" i="8"/>
  <c r="G735" i="8"/>
  <c r="F735" i="8"/>
  <c r="E735" i="8"/>
  <c r="D735" i="8"/>
  <c r="C735" i="8"/>
  <c r="W735" i="8" s="1"/>
  <c r="B735" i="8"/>
  <c r="A735" i="8"/>
  <c r="P734" i="8"/>
  <c r="O734" i="8"/>
  <c r="N734" i="8"/>
  <c r="M734" i="8"/>
  <c r="H763" i="6" s="1"/>
  <c r="L734" i="8"/>
  <c r="K734" i="8"/>
  <c r="J734" i="8"/>
  <c r="I734" i="8"/>
  <c r="X734" i="8" s="1"/>
  <c r="E763" i="6" s="1"/>
  <c r="H734" i="8"/>
  <c r="G734" i="8"/>
  <c r="F734" i="8"/>
  <c r="E734" i="8"/>
  <c r="D734" i="8"/>
  <c r="C734" i="8"/>
  <c r="W734" i="8" s="1"/>
  <c r="B734" i="8"/>
  <c r="A734" i="8"/>
  <c r="P733" i="8"/>
  <c r="O733" i="8"/>
  <c r="N733" i="8"/>
  <c r="M733" i="8"/>
  <c r="H762" i="6" s="1"/>
  <c r="L733" i="8"/>
  <c r="K733" i="8"/>
  <c r="J733" i="8"/>
  <c r="I733" i="8"/>
  <c r="X733" i="8" s="1"/>
  <c r="E762" i="6" s="1"/>
  <c r="H733" i="8"/>
  <c r="G733" i="8"/>
  <c r="F733" i="8"/>
  <c r="E733" i="8"/>
  <c r="D733" i="8"/>
  <c r="C733" i="8"/>
  <c r="W733" i="8" s="1"/>
  <c r="B733" i="8"/>
  <c r="A733" i="8"/>
  <c r="P732" i="8"/>
  <c r="O732" i="8"/>
  <c r="N732" i="8"/>
  <c r="M732" i="8"/>
  <c r="H761" i="6" s="1"/>
  <c r="L732" i="8"/>
  <c r="K732" i="8"/>
  <c r="J732" i="8"/>
  <c r="I732" i="8"/>
  <c r="X732" i="8" s="1"/>
  <c r="E761" i="6" s="1"/>
  <c r="H732" i="8"/>
  <c r="G732" i="8"/>
  <c r="F732" i="8"/>
  <c r="E732" i="8"/>
  <c r="D732" i="8"/>
  <c r="C732" i="8"/>
  <c r="W732" i="8" s="1"/>
  <c r="B732" i="8"/>
  <c r="A732" i="8"/>
  <c r="P731" i="8"/>
  <c r="O731" i="8"/>
  <c r="N731" i="8"/>
  <c r="M731" i="8"/>
  <c r="H760" i="6" s="1"/>
  <c r="L731" i="8"/>
  <c r="K731" i="8"/>
  <c r="J731" i="8"/>
  <c r="I731" i="8"/>
  <c r="X731" i="8" s="1"/>
  <c r="E760" i="6" s="1"/>
  <c r="H731" i="8"/>
  <c r="G731" i="8"/>
  <c r="F731" i="8"/>
  <c r="E731" i="8"/>
  <c r="D731" i="8"/>
  <c r="C731" i="8"/>
  <c r="W731" i="8" s="1"/>
  <c r="B731" i="8"/>
  <c r="A731" i="8"/>
  <c r="P730" i="8"/>
  <c r="O730" i="8"/>
  <c r="N730" i="8"/>
  <c r="M730" i="8"/>
  <c r="H759" i="6" s="1"/>
  <c r="L730" i="8"/>
  <c r="K730" i="8"/>
  <c r="J730" i="8"/>
  <c r="I730" i="8"/>
  <c r="X730" i="8" s="1"/>
  <c r="E759" i="6" s="1"/>
  <c r="H730" i="8"/>
  <c r="G730" i="8"/>
  <c r="F730" i="8"/>
  <c r="E730" i="8"/>
  <c r="D730" i="8"/>
  <c r="C730" i="8"/>
  <c r="W730" i="8" s="1"/>
  <c r="B730" i="8"/>
  <c r="A730" i="8"/>
  <c r="P729" i="8"/>
  <c r="O729" i="8"/>
  <c r="N729" i="8"/>
  <c r="M729" i="8"/>
  <c r="H758" i="6" s="1"/>
  <c r="L729" i="8"/>
  <c r="K729" i="8"/>
  <c r="J729" i="8"/>
  <c r="I729" i="8"/>
  <c r="X729" i="8" s="1"/>
  <c r="E758" i="6" s="1"/>
  <c r="H729" i="8"/>
  <c r="G729" i="8"/>
  <c r="F729" i="8"/>
  <c r="E729" i="8"/>
  <c r="D729" i="8"/>
  <c r="C729" i="8"/>
  <c r="W729" i="8" s="1"/>
  <c r="B729" i="8"/>
  <c r="A729" i="8"/>
  <c r="P728" i="8"/>
  <c r="O728" i="8"/>
  <c r="N728" i="8"/>
  <c r="M728" i="8"/>
  <c r="H757" i="6" s="1"/>
  <c r="L728" i="8"/>
  <c r="K728" i="8"/>
  <c r="J728" i="8"/>
  <c r="I728" i="8"/>
  <c r="X728" i="8" s="1"/>
  <c r="E757" i="6" s="1"/>
  <c r="H728" i="8"/>
  <c r="G728" i="8"/>
  <c r="F728" i="8"/>
  <c r="E728" i="8"/>
  <c r="D728" i="8"/>
  <c r="C728" i="8"/>
  <c r="W728" i="8" s="1"/>
  <c r="B728" i="8"/>
  <c r="A728" i="8"/>
  <c r="P727" i="8"/>
  <c r="O727" i="8"/>
  <c r="N727" i="8"/>
  <c r="M727" i="8"/>
  <c r="H756" i="6" s="1"/>
  <c r="L727" i="8"/>
  <c r="K727" i="8"/>
  <c r="J727" i="8"/>
  <c r="I727" i="8"/>
  <c r="X727" i="8" s="1"/>
  <c r="E756" i="6" s="1"/>
  <c r="H727" i="8"/>
  <c r="G727" i="8"/>
  <c r="F727" i="8"/>
  <c r="E727" i="8"/>
  <c r="D727" i="8"/>
  <c r="C727" i="8"/>
  <c r="W727" i="8" s="1"/>
  <c r="B727" i="8"/>
  <c r="A727" i="8"/>
  <c r="P726" i="8"/>
  <c r="O726" i="8"/>
  <c r="N726" i="8"/>
  <c r="M726" i="8"/>
  <c r="H755" i="6" s="1"/>
  <c r="L726" i="8"/>
  <c r="K726" i="8"/>
  <c r="J726" i="8"/>
  <c r="I726" i="8"/>
  <c r="X726" i="8" s="1"/>
  <c r="E755" i="6" s="1"/>
  <c r="H726" i="8"/>
  <c r="G726" i="8"/>
  <c r="F726" i="8"/>
  <c r="E726" i="8"/>
  <c r="D726" i="8"/>
  <c r="C726" i="8"/>
  <c r="W726" i="8" s="1"/>
  <c r="B726" i="8"/>
  <c r="A726" i="8"/>
  <c r="P725" i="8"/>
  <c r="O725" i="8"/>
  <c r="N725" i="8"/>
  <c r="M725" i="8"/>
  <c r="H754" i="6" s="1"/>
  <c r="L725" i="8"/>
  <c r="K725" i="8"/>
  <c r="J725" i="8"/>
  <c r="I725" i="8"/>
  <c r="X725" i="8" s="1"/>
  <c r="E754" i="6" s="1"/>
  <c r="H725" i="8"/>
  <c r="G725" i="8"/>
  <c r="F725" i="8"/>
  <c r="E725" i="8"/>
  <c r="D725" i="8"/>
  <c r="C725" i="8"/>
  <c r="W725" i="8" s="1"/>
  <c r="B725" i="8"/>
  <c r="A725" i="8"/>
  <c r="P724" i="8"/>
  <c r="O724" i="8"/>
  <c r="N724" i="8"/>
  <c r="M724" i="8"/>
  <c r="H753" i="6" s="1"/>
  <c r="L724" i="8"/>
  <c r="K724" i="8"/>
  <c r="J724" i="8"/>
  <c r="I724" i="8"/>
  <c r="X724" i="8" s="1"/>
  <c r="E753" i="6" s="1"/>
  <c r="H724" i="8"/>
  <c r="G724" i="8"/>
  <c r="F724" i="8"/>
  <c r="E724" i="8"/>
  <c r="D724" i="8"/>
  <c r="C724" i="8"/>
  <c r="W724" i="8" s="1"/>
  <c r="B724" i="8"/>
  <c r="A724" i="8"/>
  <c r="P723" i="8"/>
  <c r="O723" i="8"/>
  <c r="N723" i="8"/>
  <c r="M723" i="8"/>
  <c r="H752" i="6" s="1"/>
  <c r="L723" i="8"/>
  <c r="K723" i="8"/>
  <c r="J723" i="8"/>
  <c r="I723" i="8"/>
  <c r="X723" i="8" s="1"/>
  <c r="E752" i="6" s="1"/>
  <c r="H723" i="8"/>
  <c r="G723" i="8"/>
  <c r="F723" i="8"/>
  <c r="E723" i="8"/>
  <c r="D723" i="8"/>
  <c r="C723" i="8"/>
  <c r="W723" i="8" s="1"/>
  <c r="B723" i="8"/>
  <c r="A723" i="8"/>
  <c r="P722" i="8"/>
  <c r="O722" i="8"/>
  <c r="N722" i="8"/>
  <c r="M722" i="8"/>
  <c r="H751" i="6" s="1"/>
  <c r="L722" i="8"/>
  <c r="K722" i="8"/>
  <c r="J722" i="8"/>
  <c r="I722" i="8"/>
  <c r="X722" i="8" s="1"/>
  <c r="E751" i="6" s="1"/>
  <c r="H722" i="8"/>
  <c r="G722" i="8"/>
  <c r="F722" i="8"/>
  <c r="E722" i="8"/>
  <c r="D722" i="8"/>
  <c r="C722" i="8"/>
  <c r="W722" i="8" s="1"/>
  <c r="B722" i="8"/>
  <c r="A722" i="8"/>
  <c r="P721" i="8"/>
  <c r="O721" i="8"/>
  <c r="N721" i="8"/>
  <c r="M721" i="8"/>
  <c r="H750" i="6" s="1"/>
  <c r="L721" i="8"/>
  <c r="K721" i="8"/>
  <c r="J721" i="8"/>
  <c r="I721" i="8"/>
  <c r="X721" i="8" s="1"/>
  <c r="E750" i="6" s="1"/>
  <c r="H721" i="8"/>
  <c r="G721" i="8"/>
  <c r="F721" i="8"/>
  <c r="E721" i="8"/>
  <c r="D721" i="8"/>
  <c r="C721" i="8"/>
  <c r="W721" i="8" s="1"/>
  <c r="B721" i="8"/>
  <c r="A721" i="8"/>
  <c r="P720" i="8"/>
  <c r="O720" i="8"/>
  <c r="N720" i="8"/>
  <c r="M720" i="8"/>
  <c r="H749" i="6" s="1"/>
  <c r="L720" i="8"/>
  <c r="K720" i="8"/>
  <c r="J720" i="8"/>
  <c r="I720" i="8"/>
  <c r="X720" i="8" s="1"/>
  <c r="E749" i="6" s="1"/>
  <c r="H720" i="8"/>
  <c r="G720" i="8"/>
  <c r="F720" i="8"/>
  <c r="E720" i="8"/>
  <c r="D720" i="8"/>
  <c r="C720" i="8"/>
  <c r="W720" i="8" s="1"/>
  <c r="B720" i="8"/>
  <c r="A720" i="8"/>
  <c r="P719" i="8"/>
  <c r="O719" i="8"/>
  <c r="N719" i="8"/>
  <c r="M719" i="8"/>
  <c r="H748" i="6" s="1"/>
  <c r="L719" i="8"/>
  <c r="K719" i="8"/>
  <c r="J719" i="8"/>
  <c r="I719" i="8"/>
  <c r="X719" i="8" s="1"/>
  <c r="E748" i="6" s="1"/>
  <c r="H719" i="8"/>
  <c r="G719" i="8"/>
  <c r="F719" i="8"/>
  <c r="E719" i="8"/>
  <c r="D719" i="8"/>
  <c r="C719" i="8"/>
  <c r="W719" i="8" s="1"/>
  <c r="B719" i="8"/>
  <c r="A719" i="8"/>
  <c r="P718" i="8"/>
  <c r="O718" i="8"/>
  <c r="N718" i="8"/>
  <c r="M718" i="8"/>
  <c r="H747" i="6" s="1"/>
  <c r="L718" i="8"/>
  <c r="K718" i="8"/>
  <c r="J718" i="8"/>
  <c r="I718" i="8"/>
  <c r="X718" i="8" s="1"/>
  <c r="E747" i="6" s="1"/>
  <c r="H718" i="8"/>
  <c r="G718" i="8"/>
  <c r="F718" i="8"/>
  <c r="E718" i="8"/>
  <c r="D718" i="8"/>
  <c r="C718" i="8"/>
  <c r="W718" i="8" s="1"/>
  <c r="B718" i="8"/>
  <c r="A718" i="8"/>
  <c r="P717" i="8"/>
  <c r="O717" i="8"/>
  <c r="N717" i="8"/>
  <c r="M717" i="8"/>
  <c r="H746" i="6" s="1"/>
  <c r="L717" i="8"/>
  <c r="K717" i="8"/>
  <c r="J717" i="8"/>
  <c r="I717" i="8"/>
  <c r="X717" i="8" s="1"/>
  <c r="E746" i="6" s="1"/>
  <c r="H717" i="8"/>
  <c r="G717" i="8"/>
  <c r="F717" i="8"/>
  <c r="E717" i="8"/>
  <c r="D717" i="8"/>
  <c r="C717" i="8"/>
  <c r="W717" i="8" s="1"/>
  <c r="B717" i="8"/>
  <c r="A717" i="8"/>
  <c r="P716" i="8"/>
  <c r="O716" i="8"/>
  <c r="N716" i="8"/>
  <c r="M716" i="8"/>
  <c r="H745" i="6" s="1"/>
  <c r="L716" i="8"/>
  <c r="K716" i="8"/>
  <c r="J716" i="8"/>
  <c r="I716" i="8"/>
  <c r="X716" i="8" s="1"/>
  <c r="E745" i="6" s="1"/>
  <c r="H716" i="8"/>
  <c r="G716" i="8"/>
  <c r="F716" i="8"/>
  <c r="E716" i="8"/>
  <c r="D716" i="8"/>
  <c r="C716" i="8"/>
  <c r="W716" i="8" s="1"/>
  <c r="B716" i="8"/>
  <c r="A716" i="8"/>
  <c r="P715" i="8"/>
  <c r="O715" i="8"/>
  <c r="N715" i="8"/>
  <c r="M715" i="8"/>
  <c r="H744" i="6" s="1"/>
  <c r="L715" i="8"/>
  <c r="K715" i="8"/>
  <c r="J715" i="8"/>
  <c r="I715" i="8"/>
  <c r="X715" i="8" s="1"/>
  <c r="E744" i="6" s="1"/>
  <c r="H715" i="8"/>
  <c r="G715" i="8"/>
  <c r="F715" i="8"/>
  <c r="E715" i="8"/>
  <c r="D715" i="8"/>
  <c r="C715" i="8"/>
  <c r="W715" i="8" s="1"/>
  <c r="B715" i="8"/>
  <c r="A715" i="8"/>
  <c r="P714" i="8"/>
  <c r="O714" i="8"/>
  <c r="N714" i="8"/>
  <c r="M714" i="8"/>
  <c r="H743" i="6" s="1"/>
  <c r="L714" i="8"/>
  <c r="K714" i="8"/>
  <c r="J714" i="8"/>
  <c r="I714" i="8"/>
  <c r="X714" i="8" s="1"/>
  <c r="E743" i="6" s="1"/>
  <c r="H714" i="8"/>
  <c r="G714" i="8"/>
  <c r="F714" i="8"/>
  <c r="E714" i="8"/>
  <c r="D714" i="8"/>
  <c r="C714" i="8"/>
  <c r="W714" i="8" s="1"/>
  <c r="B714" i="8"/>
  <c r="A714" i="8"/>
  <c r="P713" i="8"/>
  <c r="O713" i="8"/>
  <c r="N713" i="8"/>
  <c r="M713" i="8"/>
  <c r="H742" i="6" s="1"/>
  <c r="L713" i="8"/>
  <c r="K713" i="8"/>
  <c r="J713" i="8"/>
  <c r="I713" i="8"/>
  <c r="X713" i="8" s="1"/>
  <c r="E742" i="6" s="1"/>
  <c r="H713" i="8"/>
  <c r="G713" i="8"/>
  <c r="F713" i="8"/>
  <c r="E713" i="8"/>
  <c r="D713" i="8"/>
  <c r="C713" i="8"/>
  <c r="W713" i="8" s="1"/>
  <c r="B713" i="8"/>
  <c r="A713" i="8"/>
  <c r="P712" i="8"/>
  <c r="O712" i="8"/>
  <c r="N712" i="8"/>
  <c r="M712" i="8"/>
  <c r="H741" i="6" s="1"/>
  <c r="L712" i="8"/>
  <c r="K712" i="8"/>
  <c r="J712" i="8"/>
  <c r="I712" i="8"/>
  <c r="X712" i="8" s="1"/>
  <c r="E741" i="6" s="1"/>
  <c r="H712" i="8"/>
  <c r="G712" i="8"/>
  <c r="F712" i="8"/>
  <c r="E712" i="8"/>
  <c r="D712" i="8"/>
  <c r="C712" i="8"/>
  <c r="W712" i="8" s="1"/>
  <c r="B712" i="8"/>
  <c r="A712" i="8"/>
  <c r="P711" i="8"/>
  <c r="O711" i="8"/>
  <c r="N711" i="8"/>
  <c r="M711" i="8"/>
  <c r="H740" i="6" s="1"/>
  <c r="L711" i="8"/>
  <c r="K711" i="8"/>
  <c r="J711" i="8"/>
  <c r="I711" i="8"/>
  <c r="X711" i="8" s="1"/>
  <c r="E740" i="6" s="1"/>
  <c r="H711" i="8"/>
  <c r="G711" i="8"/>
  <c r="F711" i="8"/>
  <c r="E711" i="8"/>
  <c r="D711" i="8"/>
  <c r="C711" i="8"/>
  <c r="W711" i="8" s="1"/>
  <c r="B711" i="8"/>
  <c r="A711" i="8"/>
  <c r="P710" i="8"/>
  <c r="O710" i="8"/>
  <c r="N710" i="8"/>
  <c r="M710" i="8"/>
  <c r="H739" i="6" s="1"/>
  <c r="L710" i="8"/>
  <c r="K710" i="8"/>
  <c r="J710" i="8"/>
  <c r="I710" i="8"/>
  <c r="X710" i="8" s="1"/>
  <c r="E739" i="6" s="1"/>
  <c r="H710" i="8"/>
  <c r="G710" i="8"/>
  <c r="F710" i="8"/>
  <c r="E710" i="8"/>
  <c r="D710" i="8"/>
  <c r="C710" i="8"/>
  <c r="W710" i="8" s="1"/>
  <c r="B710" i="8"/>
  <c r="A710" i="8"/>
  <c r="P709" i="8"/>
  <c r="O709" i="8"/>
  <c r="N709" i="8"/>
  <c r="M709" i="8"/>
  <c r="H738" i="6" s="1"/>
  <c r="L709" i="8"/>
  <c r="K709" i="8"/>
  <c r="J709" i="8"/>
  <c r="I709" i="8"/>
  <c r="X709" i="8" s="1"/>
  <c r="E738" i="6" s="1"/>
  <c r="H709" i="8"/>
  <c r="G709" i="8"/>
  <c r="F709" i="8"/>
  <c r="E709" i="8"/>
  <c r="D709" i="8"/>
  <c r="C709" i="8"/>
  <c r="W709" i="8" s="1"/>
  <c r="B709" i="8"/>
  <c r="A709" i="8"/>
  <c r="P708" i="8"/>
  <c r="O708" i="8"/>
  <c r="N708" i="8"/>
  <c r="M708" i="8"/>
  <c r="H737" i="6" s="1"/>
  <c r="L708" i="8"/>
  <c r="K708" i="8"/>
  <c r="J708" i="8"/>
  <c r="I708" i="8"/>
  <c r="X708" i="8" s="1"/>
  <c r="E737" i="6" s="1"/>
  <c r="H708" i="8"/>
  <c r="G708" i="8"/>
  <c r="F708" i="8"/>
  <c r="E708" i="8"/>
  <c r="D708" i="8"/>
  <c r="C708" i="8"/>
  <c r="W708" i="8" s="1"/>
  <c r="B708" i="8"/>
  <c r="A708" i="8"/>
  <c r="P707" i="8"/>
  <c r="O707" i="8"/>
  <c r="N707" i="8"/>
  <c r="M707" i="8"/>
  <c r="H736" i="6" s="1"/>
  <c r="L707" i="8"/>
  <c r="K707" i="8"/>
  <c r="J707" i="8"/>
  <c r="I707" i="8"/>
  <c r="X707" i="8" s="1"/>
  <c r="E736" i="6" s="1"/>
  <c r="H707" i="8"/>
  <c r="G707" i="8"/>
  <c r="F707" i="8"/>
  <c r="E707" i="8"/>
  <c r="D707" i="8"/>
  <c r="C707" i="8"/>
  <c r="W707" i="8" s="1"/>
  <c r="B707" i="8"/>
  <c r="A707" i="8"/>
  <c r="P706" i="8"/>
  <c r="O706" i="8"/>
  <c r="N706" i="8"/>
  <c r="M706" i="8"/>
  <c r="H735" i="6" s="1"/>
  <c r="L706" i="8"/>
  <c r="K706" i="8"/>
  <c r="J706" i="8"/>
  <c r="I706" i="8"/>
  <c r="X706" i="8" s="1"/>
  <c r="E735" i="6" s="1"/>
  <c r="H706" i="8"/>
  <c r="G706" i="8"/>
  <c r="F706" i="8"/>
  <c r="E706" i="8"/>
  <c r="D706" i="8"/>
  <c r="C706" i="8"/>
  <c r="W706" i="8" s="1"/>
  <c r="B706" i="8"/>
  <c r="A706" i="8"/>
  <c r="P705" i="8"/>
  <c r="O705" i="8"/>
  <c r="N705" i="8"/>
  <c r="M705" i="8"/>
  <c r="H734" i="6" s="1"/>
  <c r="L705" i="8"/>
  <c r="K705" i="8"/>
  <c r="J705" i="8"/>
  <c r="I705" i="8"/>
  <c r="X705" i="8" s="1"/>
  <c r="E734" i="6" s="1"/>
  <c r="H705" i="8"/>
  <c r="G705" i="8"/>
  <c r="F705" i="8"/>
  <c r="E705" i="8"/>
  <c r="D705" i="8"/>
  <c r="C705" i="8"/>
  <c r="W705" i="8" s="1"/>
  <c r="B705" i="8"/>
  <c r="A705" i="8"/>
  <c r="P704" i="8"/>
  <c r="O704" i="8"/>
  <c r="N704" i="8"/>
  <c r="M704" i="8"/>
  <c r="H733" i="6" s="1"/>
  <c r="L704" i="8"/>
  <c r="K704" i="8"/>
  <c r="J704" i="8"/>
  <c r="I704" i="8"/>
  <c r="X704" i="8" s="1"/>
  <c r="E733" i="6" s="1"/>
  <c r="H704" i="8"/>
  <c r="G704" i="8"/>
  <c r="F704" i="8"/>
  <c r="E704" i="8"/>
  <c r="D704" i="8"/>
  <c r="C704" i="8"/>
  <c r="W704" i="8" s="1"/>
  <c r="B704" i="8"/>
  <c r="A704" i="8"/>
  <c r="P703" i="8"/>
  <c r="O703" i="8"/>
  <c r="N703" i="8"/>
  <c r="M703" i="8"/>
  <c r="H732" i="6" s="1"/>
  <c r="L703" i="8"/>
  <c r="K703" i="8"/>
  <c r="J703" i="8"/>
  <c r="I703" i="8"/>
  <c r="X703" i="8" s="1"/>
  <c r="E732" i="6" s="1"/>
  <c r="H703" i="8"/>
  <c r="G703" i="8"/>
  <c r="F703" i="8"/>
  <c r="E703" i="8"/>
  <c r="D703" i="8"/>
  <c r="C703" i="8"/>
  <c r="W703" i="8" s="1"/>
  <c r="B703" i="8"/>
  <c r="A703" i="8"/>
  <c r="P702" i="8"/>
  <c r="O702" i="8"/>
  <c r="N702" i="8"/>
  <c r="M702" i="8"/>
  <c r="H731" i="6" s="1"/>
  <c r="L702" i="8"/>
  <c r="K702" i="8"/>
  <c r="J702" i="8"/>
  <c r="I702" i="8"/>
  <c r="X702" i="8" s="1"/>
  <c r="E731" i="6" s="1"/>
  <c r="H702" i="8"/>
  <c r="G702" i="8"/>
  <c r="F702" i="8"/>
  <c r="E702" i="8"/>
  <c r="D702" i="8"/>
  <c r="C702" i="8"/>
  <c r="W702" i="8" s="1"/>
  <c r="B702" i="8"/>
  <c r="A702" i="8"/>
  <c r="P701" i="8"/>
  <c r="O701" i="8"/>
  <c r="N701" i="8"/>
  <c r="M701" i="8"/>
  <c r="H730" i="6" s="1"/>
  <c r="L701" i="8"/>
  <c r="K701" i="8"/>
  <c r="J701" i="8"/>
  <c r="I701" i="8"/>
  <c r="X701" i="8" s="1"/>
  <c r="E730" i="6" s="1"/>
  <c r="H701" i="8"/>
  <c r="G701" i="8"/>
  <c r="F701" i="8"/>
  <c r="E701" i="8"/>
  <c r="D701" i="8"/>
  <c r="C701" i="8"/>
  <c r="W701" i="8" s="1"/>
  <c r="B701" i="8"/>
  <c r="A701" i="8"/>
  <c r="P700" i="8"/>
  <c r="O700" i="8"/>
  <c r="N700" i="8"/>
  <c r="M700" i="8"/>
  <c r="H729" i="6" s="1"/>
  <c r="L700" i="8"/>
  <c r="K700" i="8"/>
  <c r="J700" i="8"/>
  <c r="I700" i="8"/>
  <c r="X700" i="8" s="1"/>
  <c r="E729" i="6" s="1"/>
  <c r="H700" i="8"/>
  <c r="G700" i="8"/>
  <c r="F700" i="8"/>
  <c r="E700" i="8"/>
  <c r="D700" i="8"/>
  <c r="C700" i="8"/>
  <c r="W700" i="8" s="1"/>
  <c r="B700" i="8"/>
  <c r="A700" i="8"/>
  <c r="P699" i="8"/>
  <c r="O699" i="8"/>
  <c r="N699" i="8"/>
  <c r="M699" i="8"/>
  <c r="H728" i="6" s="1"/>
  <c r="L699" i="8"/>
  <c r="K699" i="8"/>
  <c r="J699" i="8"/>
  <c r="I699" i="8"/>
  <c r="X699" i="8" s="1"/>
  <c r="E728" i="6" s="1"/>
  <c r="H699" i="8"/>
  <c r="G699" i="8"/>
  <c r="F699" i="8"/>
  <c r="E699" i="8"/>
  <c r="D699" i="8"/>
  <c r="C699" i="8"/>
  <c r="W699" i="8" s="1"/>
  <c r="B699" i="8"/>
  <c r="A699" i="8"/>
  <c r="P698" i="8"/>
  <c r="O698" i="8"/>
  <c r="N698" i="8"/>
  <c r="M698" i="8"/>
  <c r="H727" i="6" s="1"/>
  <c r="L698" i="8"/>
  <c r="K698" i="8"/>
  <c r="J698" i="8"/>
  <c r="I698" i="8"/>
  <c r="X698" i="8" s="1"/>
  <c r="E727" i="6" s="1"/>
  <c r="H698" i="8"/>
  <c r="G698" i="8"/>
  <c r="F698" i="8"/>
  <c r="E698" i="8"/>
  <c r="D698" i="8"/>
  <c r="C698" i="8"/>
  <c r="W698" i="8" s="1"/>
  <c r="B698" i="8"/>
  <c r="A698" i="8"/>
  <c r="P697" i="8"/>
  <c r="O697" i="8"/>
  <c r="N697" i="8"/>
  <c r="M697" i="8"/>
  <c r="H726" i="6" s="1"/>
  <c r="L697" i="8"/>
  <c r="K697" i="8"/>
  <c r="J697" i="8"/>
  <c r="I697" i="8"/>
  <c r="X697" i="8" s="1"/>
  <c r="E726" i="6" s="1"/>
  <c r="H697" i="8"/>
  <c r="G697" i="8"/>
  <c r="F697" i="8"/>
  <c r="E697" i="8"/>
  <c r="D697" i="8"/>
  <c r="C697" i="8"/>
  <c r="W697" i="8" s="1"/>
  <c r="B697" i="8"/>
  <c r="A697" i="8"/>
  <c r="P696" i="8"/>
  <c r="O696" i="8"/>
  <c r="N696" i="8"/>
  <c r="M696" i="8"/>
  <c r="H725" i="6" s="1"/>
  <c r="L696" i="8"/>
  <c r="K696" i="8"/>
  <c r="J696" i="8"/>
  <c r="I696" i="8"/>
  <c r="X696" i="8" s="1"/>
  <c r="E725" i="6" s="1"/>
  <c r="H696" i="8"/>
  <c r="G696" i="8"/>
  <c r="F696" i="8"/>
  <c r="E696" i="8"/>
  <c r="D696" i="8"/>
  <c r="C696" i="8"/>
  <c r="W696" i="8" s="1"/>
  <c r="B696" i="8"/>
  <c r="A696" i="8"/>
  <c r="P695" i="8"/>
  <c r="O695" i="8"/>
  <c r="N695" i="8"/>
  <c r="M695" i="8"/>
  <c r="H724" i="6" s="1"/>
  <c r="L695" i="8"/>
  <c r="K695" i="8"/>
  <c r="J695" i="8"/>
  <c r="I695" i="8"/>
  <c r="X695" i="8" s="1"/>
  <c r="E724" i="6" s="1"/>
  <c r="H695" i="8"/>
  <c r="G695" i="8"/>
  <c r="F695" i="8"/>
  <c r="E695" i="8"/>
  <c r="D695" i="8"/>
  <c r="C695" i="8"/>
  <c r="W695" i="8" s="1"/>
  <c r="B695" i="8"/>
  <c r="A695" i="8"/>
  <c r="P694" i="8"/>
  <c r="O694" i="8"/>
  <c r="N694" i="8"/>
  <c r="M694" i="8"/>
  <c r="H723" i="6" s="1"/>
  <c r="L694" i="8"/>
  <c r="K694" i="8"/>
  <c r="J694" i="8"/>
  <c r="I694" i="8"/>
  <c r="X694" i="8" s="1"/>
  <c r="E723" i="6" s="1"/>
  <c r="H694" i="8"/>
  <c r="G694" i="8"/>
  <c r="F694" i="8"/>
  <c r="E694" i="8"/>
  <c r="D694" i="8"/>
  <c r="C694" i="8"/>
  <c r="W694" i="8" s="1"/>
  <c r="B694" i="8"/>
  <c r="A694" i="8"/>
  <c r="P693" i="8"/>
  <c r="O693" i="8"/>
  <c r="N693" i="8"/>
  <c r="M693" i="8"/>
  <c r="H722" i="6" s="1"/>
  <c r="L693" i="8"/>
  <c r="K693" i="8"/>
  <c r="J693" i="8"/>
  <c r="I693" i="8"/>
  <c r="X693" i="8" s="1"/>
  <c r="E722" i="6" s="1"/>
  <c r="H693" i="8"/>
  <c r="G693" i="8"/>
  <c r="F693" i="8"/>
  <c r="E693" i="8"/>
  <c r="D693" i="8"/>
  <c r="C693" i="8"/>
  <c r="W693" i="8" s="1"/>
  <c r="B693" i="8"/>
  <c r="A693" i="8"/>
  <c r="P692" i="8"/>
  <c r="O692" i="8"/>
  <c r="N692" i="8"/>
  <c r="M692" i="8"/>
  <c r="H721" i="6" s="1"/>
  <c r="L692" i="8"/>
  <c r="K692" i="8"/>
  <c r="J692" i="8"/>
  <c r="I692" i="8"/>
  <c r="X692" i="8" s="1"/>
  <c r="E721" i="6" s="1"/>
  <c r="H692" i="8"/>
  <c r="G692" i="8"/>
  <c r="F692" i="8"/>
  <c r="E692" i="8"/>
  <c r="D692" i="8"/>
  <c r="C692" i="8"/>
  <c r="W692" i="8" s="1"/>
  <c r="B692" i="8"/>
  <c r="A692" i="8"/>
  <c r="P691" i="8"/>
  <c r="O691" i="8"/>
  <c r="N691" i="8"/>
  <c r="M691" i="8"/>
  <c r="H720" i="6" s="1"/>
  <c r="L691" i="8"/>
  <c r="K691" i="8"/>
  <c r="J691" i="8"/>
  <c r="I691" i="8"/>
  <c r="X691" i="8" s="1"/>
  <c r="E720" i="6" s="1"/>
  <c r="H691" i="8"/>
  <c r="G691" i="8"/>
  <c r="F691" i="8"/>
  <c r="E691" i="8"/>
  <c r="D691" i="8"/>
  <c r="C691" i="8"/>
  <c r="W691" i="8" s="1"/>
  <c r="B691" i="8"/>
  <c r="A691" i="8"/>
  <c r="P690" i="8"/>
  <c r="O690" i="8"/>
  <c r="N690" i="8"/>
  <c r="M690" i="8"/>
  <c r="H719" i="6" s="1"/>
  <c r="L690" i="8"/>
  <c r="K690" i="8"/>
  <c r="J690" i="8"/>
  <c r="I690" i="8"/>
  <c r="X690" i="8" s="1"/>
  <c r="E719" i="6" s="1"/>
  <c r="H690" i="8"/>
  <c r="G690" i="8"/>
  <c r="F690" i="8"/>
  <c r="E690" i="8"/>
  <c r="D690" i="8"/>
  <c r="C690" i="8"/>
  <c r="W690" i="8" s="1"/>
  <c r="B690" i="8"/>
  <c r="A690" i="8"/>
  <c r="P689" i="8"/>
  <c r="O689" i="8"/>
  <c r="N689" i="8"/>
  <c r="M689" i="8"/>
  <c r="H718" i="6" s="1"/>
  <c r="L689" i="8"/>
  <c r="K689" i="8"/>
  <c r="J689" i="8"/>
  <c r="I689" i="8"/>
  <c r="X689" i="8" s="1"/>
  <c r="E718" i="6" s="1"/>
  <c r="H689" i="8"/>
  <c r="G689" i="8"/>
  <c r="F689" i="8"/>
  <c r="E689" i="8"/>
  <c r="D689" i="8"/>
  <c r="C689" i="8"/>
  <c r="W689" i="8" s="1"/>
  <c r="B689" i="8"/>
  <c r="A689" i="8"/>
  <c r="P688" i="8"/>
  <c r="O688" i="8"/>
  <c r="N688" i="8"/>
  <c r="M688" i="8"/>
  <c r="H717" i="6" s="1"/>
  <c r="L688" i="8"/>
  <c r="K688" i="8"/>
  <c r="J688" i="8"/>
  <c r="I688" i="8"/>
  <c r="X688" i="8" s="1"/>
  <c r="E717" i="6" s="1"/>
  <c r="H688" i="8"/>
  <c r="G688" i="8"/>
  <c r="F688" i="8"/>
  <c r="E688" i="8"/>
  <c r="D688" i="8"/>
  <c r="C688" i="8"/>
  <c r="W688" i="8" s="1"/>
  <c r="B688" i="8"/>
  <c r="A688" i="8"/>
  <c r="P687" i="8"/>
  <c r="O687" i="8"/>
  <c r="N687" i="8"/>
  <c r="M687" i="8"/>
  <c r="H716" i="6" s="1"/>
  <c r="L687" i="8"/>
  <c r="K687" i="8"/>
  <c r="J687" i="8"/>
  <c r="I687" i="8"/>
  <c r="X687" i="8" s="1"/>
  <c r="E716" i="6" s="1"/>
  <c r="H687" i="8"/>
  <c r="G687" i="8"/>
  <c r="F687" i="8"/>
  <c r="E687" i="8"/>
  <c r="D687" i="8"/>
  <c r="C687" i="8"/>
  <c r="W687" i="8" s="1"/>
  <c r="B687" i="8"/>
  <c r="A687" i="8"/>
  <c r="P686" i="8"/>
  <c r="O686" i="8"/>
  <c r="N686" i="8"/>
  <c r="M686" i="8"/>
  <c r="H715" i="6" s="1"/>
  <c r="L686" i="8"/>
  <c r="K686" i="8"/>
  <c r="J686" i="8"/>
  <c r="I686" i="8"/>
  <c r="X686" i="8" s="1"/>
  <c r="E715" i="6" s="1"/>
  <c r="H686" i="8"/>
  <c r="G686" i="8"/>
  <c r="F686" i="8"/>
  <c r="E686" i="8"/>
  <c r="D686" i="8"/>
  <c r="C686" i="8"/>
  <c r="W686" i="8" s="1"/>
  <c r="B686" i="8"/>
  <c r="A686" i="8"/>
  <c r="P685" i="8"/>
  <c r="O685" i="8"/>
  <c r="N685" i="8"/>
  <c r="M685" i="8"/>
  <c r="H714" i="6" s="1"/>
  <c r="L685" i="8"/>
  <c r="K685" i="8"/>
  <c r="J685" i="8"/>
  <c r="I685" i="8"/>
  <c r="X685" i="8" s="1"/>
  <c r="E714" i="6" s="1"/>
  <c r="H685" i="8"/>
  <c r="G685" i="8"/>
  <c r="F685" i="8"/>
  <c r="E685" i="8"/>
  <c r="D685" i="8"/>
  <c r="C685" i="8"/>
  <c r="W685" i="8" s="1"/>
  <c r="B685" i="8"/>
  <c r="A685" i="8"/>
  <c r="P684" i="8"/>
  <c r="O684" i="8"/>
  <c r="N684" i="8"/>
  <c r="M684" i="8"/>
  <c r="H713" i="6" s="1"/>
  <c r="L684" i="8"/>
  <c r="K684" i="8"/>
  <c r="J684" i="8"/>
  <c r="I684" i="8"/>
  <c r="X684" i="8" s="1"/>
  <c r="E713" i="6" s="1"/>
  <c r="H684" i="8"/>
  <c r="G684" i="8"/>
  <c r="F684" i="8"/>
  <c r="E684" i="8"/>
  <c r="D684" i="8"/>
  <c r="C684" i="8"/>
  <c r="W684" i="8" s="1"/>
  <c r="B684" i="8"/>
  <c r="A684" i="8"/>
  <c r="P683" i="8"/>
  <c r="O683" i="8"/>
  <c r="N683" i="8"/>
  <c r="M683" i="8"/>
  <c r="H712" i="6" s="1"/>
  <c r="L683" i="8"/>
  <c r="K683" i="8"/>
  <c r="J683" i="8"/>
  <c r="I683" i="8"/>
  <c r="X683" i="8" s="1"/>
  <c r="E712" i="6" s="1"/>
  <c r="H683" i="8"/>
  <c r="G683" i="8"/>
  <c r="F683" i="8"/>
  <c r="E683" i="8"/>
  <c r="D683" i="8"/>
  <c r="C683" i="8"/>
  <c r="W683" i="8" s="1"/>
  <c r="B683" i="8"/>
  <c r="A683" i="8"/>
  <c r="P682" i="8"/>
  <c r="O682" i="8"/>
  <c r="N682" i="8"/>
  <c r="M682" i="8"/>
  <c r="H711" i="6" s="1"/>
  <c r="L682" i="8"/>
  <c r="K682" i="8"/>
  <c r="J682" i="8"/>
  <c r="I682" i="8"/>
  <c r="X682" i="8" s="1"/>
  <c r="E711" i="6" s="1"/>
  <c r="H682" i="8"/>
  <c r="G682" i="8"/>
  <c r="F682" i="8"/>
  <c r="E682" i="8"/>
  <c r="D682" i="8"/>
  <c r="C682" i="8"/>
  <c r="W682" i="8" s="1"/>
  <c r="B682" i="8"/>
  <c r="A682" i="8"/>
  <c r="P681" i="8"/>
  <c r="O681" i="8"/>
  <c r="N681" i="8"/>
  <c r="M681" i="8"/>
  <c r="H710" i="6" s="1"/>
  <c r="L681" i="8"/>
  <c r="K681" i="8"/>
  <c r="J681" i="8"/>
  <c r="I681" i="8"/>
  <c r="X681" i="8" s="1"/>
  <c r="E710" i="6" s="1"/>
  <c r="H681" i="8"/>
  <c r="G681" i="8"/>
  <c r="F681" i="8"/>
  <c r="E681" i="8"/>
  <c r="D681" i="8"/>
  <c r="C681" i="8"/>
  <c r="W681" i="8" s="1"/>
  <c r="B681" i="8"/>
  <c r="A681" i="8"/>
  <c r="P680" i="8"/>
  <c r="O680" i="8"/>
  <c r="N680" i="8"/>
  <c r="M680" i="8"/>
  <c r="H709" i="6" s="1"/>
  <c r="L680" i="8"/>
  <c r="K680" i="8"/>
  <c r="J680" i="8"/>
  <c r="I680" i="8"/>
  <c r="X680" i="8" s="1"/>
  <c r="E709" i="6" s="1"/>
  <c r="H680" i="8"/>
  <c r="G680" i="8"/>
  <c r="F680" i="8"/>
  <c r="E680" i="8"/>
  <c r="D680" i="8"/>
  <c r="C680" i="8"/>
  <c r="W680" i="8" s="1"/>
  <c r="B680" i="8"/>
  <c r="A680" i="8"/>
  <c r="P679" i="8"/>
  <c r="O679" i="8"/>
  <c r="N679" i="8"/>
  <c r="M679" i="8"/>
  <c r="H708" i="6" s="1"/>
  <c r="L679" i="8"/>
  <c r="K679" i="8"/>
  <c r="J679" i="8"/>
  <c r="I679" i="8"/>
  <c r="X679" i="8" s="1"/>
  <c r="E708" i="6" s="1"/>
  <c r="H679" i="8"/>
  <c r="G679" i="8"/>
  <c r="F679" i="8"/>
  <c r="E679" i="8"/>
  <c r="D679" i="8"/>
  <c r="C679" i="8"/>
  <c r="W679" i="8" s="1"/>
  <c r="B679" i="8"/>
  <c r="A679" i="8"/>
  <c r="P678" i="8"/>
  <c r="O678" i="8"/>
  <c r="N678" i="8"/>
  <c r="M678" i="8"/>
  <c r="H707" i="6" s="1"/>
  <c r="L678" i="8"/>
  <c r="K678" i="8"/>
  <c r="J678" i="8"/>
  <c r="I678" i="8"/>
  <c r="X678" i="8" s="1"/>
  <c r="E707" i="6" s="1"/>
  <c r="H678" i="8"/>
  <c r="G678" i="8"/>
  <c r="F678" i="8"/>
  <c r="E678" i="8"/>
  <c r="D678" i="8"/>
  <c r="C678" i="8"/>
  <c r="W678" i="8" s="1"/>
  <c r="B678" i="8"/>
  <c r="A678" i="8"/>
  <c r="P677" i="8"/>
  <c r="O677" i="8"/>
  <c r="N677" i="8"/>
  <c r="M677" i="8"/>
  <c r="H706" i="6" s="1"/>
  <c r="L677" i="8"/>
  <c r="K677" i="8"/>
  <c r="J677" i="8"/>
  <c r="I677" i="8"/>
  <c r="X677" i="8" s="1"/>
  <c r="E706" i="6" s="1"/>
  <c r="H677" i="8"/>
  <c r="G677" i="8"/>
  <c r="F677" i="8"/>
  <c r="E677" i="8"/>
  <c r="D677" i="8"/>
  <c r="C677" i="8"/>
  <c r="W677" i="8" s="1"/>
  <c r="B677" i="8"/>
  <c r="A677" i="8"/>
  <c r="P676" i="8"/>
  <c r="O676" i="8"/>
  <c r="N676" i="8"/>
  <c r="M676" i="8"/>
  <c r="H705" i="6" s="1"/>
  <c r="L676" i="8"/>
  <c r="K676" i="8"/>
  <c r="J676" i="8"/>
  <c r="I676" i="8"/>
  <c r="X676" i="8" s="1"/>
  <c r="E705" i="6" s="1"/>
  <c r="H676" i="8"/>
  <c r="G676" i="8"/>
  <c r="F676" i="8"/>
  <c r="E676" i="8"/>
  <c r="D676" i="8"/>
  <c r="C676" i="8"/>
  <c r="W676" i="8" s="1"/>
  <c r="B676" i="8"/>
  <c r="A676" i="8"/>
  <c r="P675" i="8"/>
  <c r="O675" i="8"/>
  <c r="N675" i="8"/>
  <c r="M675" i="8"/>
  <c r="H704" i="6" s="1"/>
  <c r="L675" i="8"/>
  <c r="K675" i="8"/>
  <c r="J675" i="8"/>
  <c r="I675" i="8"/>
  <c r="X675" i="8" s="1"/>
  <c r="E704" i="6" s="1"/>
  <c r="H675" i="8"/>
  <c r="G675" i="8"/>
  <c r="F675" i="8"/>
  <c r="E675" i="8"/>
  <c r="D675" i="8"/>
  <c r="C675" i="8"/>
  <c r="W675" i="8" s="1"/>
  <c r="B675" i="8"/>
  <c r="A675" i="8"/>
  <c r="P674" i="8"/>
  <c r="O674" i="8"/>
  <c r="N674" i="8"/>
  <c r="M674" i="8"/>
  <c r="H703" i="6" s="1"/>
  <c r="L674" i="8"/>
  <c r="K674" i="8"/>
  <c r="J674" i="8"/>
  <c r="I674" i="8"/>
  <c r="X674" i="8" s="1"/>
  <c r="E703" i="6" s="1"/>
  <c r="H674" i="8"/>
  <c r="G674" i="8"/>
  <c r="F674" i="8"/>
  <c r="E674" i="8"/>
  <c r="D674" i="8"/>
  <c r="C674" i="8"/>
  <c r="W674" i="8" s="1"/>
  <c r="B674" i="8"/>
  <c r="A674" i="8"/>
  <c r="P673" i="8"/>
  <c r="O673" i="8"/>
  <c r="N673" i="8"/>
  <c r="M673" i="8"/>
  <c r="H702" i="6" s="1"/>
  <c r="L673" i="8"/>
  <c r="K673" i="8"/>
  <c r="J673" i="8"/>
  <c r="I673" i="8"/>
  <c r="X673" i="8" s="1"/>
  <c r="E702" i="6" s="1"/>
  <c r="H673" i="8"/>
  <c r="G673" i="8"/>
  <c r="F673" i="8"/>
  <c r="E673" i="8"/>
  <c r="D673" i="8"/>
  <c r="C673" i="8"/>
  <c r="W673" i="8" s="1"/>
  <c r="B673" i="8"/>
  <c r="A673" i="8"/>
  <c r="P672" i="8"/>
  <c r="O672" i="8"/>
  <c r="N672" i="8"/>
  <c r="M672" i="8"/>
  <c r="H701" i="6" s="1"/>
  <c r="L672" i="8"/>
  <c r="K672" i="8"/>
  <c r="J672" i="8"/>
  <c r="I672" i="8"/>
  <c r="X672" i="8" s="1"/>
  <c r="E701" i="6" s="1"/>
  <c r="H672" i="8"/>
  <c r="G672" i="8"/>
  <c r="F672" i="8"/>
  <c r="E672" i="8"/>
  <c r="D672" i="8"/>
  <c r="C672" i="8"/>
  <c r="W672" i="8" s="1"/>
  <c r="B672" i="8"/>
  <c r="A672" i="8"/>
  <c r="P671" i="8"/>
  <c r="O671" i="8"/>
  <c r="N671" i="8"/>
  <c r="M671" i="8"/>
  <c r="H700" i="6" s="1"/>
  <c r="L671" i="8"/>
  <c r="K671" i="8"/>
  <c r="J671" i="8"/>
  <c r="I671" i="8"/>
  <c r="X671" i="8" s="1"/>
  <c r="E700" i="6" s="1"/>
  <c r="H671" i="8"/>
  <c r="G671" i="8"/>
  <c r="F671" i="8"/>
  <c r="E671" i="8"/>
  <c r="D671" i="8"/>
  <c r="C671" i="8"/>
  <c r="W671" i="8" s="1"/>
  <c r="B671" i="8"/>
  <c r="A671" i="8"/>
  <c r="P670" i="8"/>
  <c r="O670" i="8"/>
  <c r="N670" i="8"/>
  <c r="M670" i="8"/>
  <c r="H699" i="6" s="1"/>
  <c r="L670" i="8"/>
  <c r="K670" i="8"/>
  <c r="J670" i="8"/>
  <c r="I670" i="8"/>
  <c r="X670" i="8" s="1"/>
  <c r="E699" i="6" s="1"/>
  <c r="H670" i="8"/>
  <c r="G670" i="8"/>
  <c r="F670" i="8"/>
  <c r="E670" i="8"/>
  <c r="D670" i="8"/>
  <c r="C670" i="8"/>
  <c r="W670" i="8" s="1"/>
  <c r="B670" i="8"/>
  <c r="A670" i="8"/>
  <c r="P669" i="8"/>
  <c r="O669" i="8"/>
  <c r="N669" i="8"/>
  <c r="M669" i="8"/>
  <c r="H698" i="6" s="1"/>
  <c r="L669" i="8"/>
  <c r="K669" i="8"/>
  <c r="J669" i="8"/>
  <c r="I669" i="8"/>
  <c r="X669" i="8" s="1"/>
  <c r="E698" i="6" s="1"/>
  <c r="H669" i="8"/>
  <c r="G669" i="8"/>
  <c r="F669" i="8"/>
  <c r="E669" i="8"/>
  <c r="D669" i="8"/>
  <c r="C669" i="8"/>
  <c r="W669" i="8" s="1"/>
  <c r="B669" i="8"/>
  <c r="A669" i="8"/>
  <c r="P668" i="8"/>
  <c r="O668" i="8"/>
  <c r="N668" i="8"/>
  <c r="M668" i="8"/>
  <c r="H697" i="6" s="1"/>
  <c r="L668" i="8"/>
  <c r="K668" i="8"/>
  <c r="J668" i="8"/>
  <c r="I668" i="8"/>
  <c r="X668" i="8" s="1"/>
  <c r="E697" i="6" s="1"/>
  <c r="H668" i="8"/>
  <c r="G668" i="8"/>
  <c r="F668" i="8"/>
  <c r="E668" i="8"/>
  <c r="D668" i="8"/>
  <c r="C668" i="8"/>
  <c r="W668" i="8" s="1"/>
  <c r="B668" i="8"/>
  <c r="A668" i="8"/>
  <c r="P667" i="8"/>
  <c r="O667" i="8"/>
  <c r="N667" i="8"/>
  <c r="M667" i="8"/>
  <c r="H696" i="6" s="1"/>
  <c r="L667" i="8"/>
  <c r="K667" i="8"/>
  <c r="J667" i="8"/>
  <c r="I667" i="8"/>
  <c r="X667" i="8" s="1"/>
  <c r="E696" i="6" s="1"/>
  <c r="H667" i="8"/>
  <c r="G667" i="8"/>
  <c r="F667" i="8"/>
  <c r="E667" i="8"/>
  <c r="D667" i="8"/>
  <c r="C667" i="8"/>
  <c r="W667" i="8" s="1"/>
  <c r="B667" i="8"/>
  <c r="A667" i="8"/>
  <c r="P666" i="8"/>
  <c r="O666" i="8"/>
  <c r="N666" i="8"/>
  <c r="M666" i="8"/>
  <c r="H695" i="6" s="1"/>
  <c r="L666" i="8"/>
  <c r="K666" i="8"/>
  <c r="J666" i="8"/>
  <c r="I666" i="8"/>
  <c r="X666" i="8" s="1"/>
  <c r="E695" i="6" s="1"/>
  <c r="H666" i="8"/>
  <c r="G666" i="8"/>
  <c r="F666" i="8"/>
  <c r="E666" i="8"/>
  <c r="D666" i="8"/>
  <c r="C666" i="8"/>
  <c r="W666" i="8" s="1"/>
  <c r="B666" i="8"/>
  <c r="A666" i="8"/>
  <c r="P665" i="8"/>
  <c r="O665" i="8"/>
  <c r="N665" i="8"/>
  <c r="M665" i="8"/>
  <c r="H694" i="6" s="1"/>
  <c r="L665" i="8"/>
  <c r="K665" i="8"/>
  <c r="J665" i="8"/>
  <c r="I665" i="8"/>
  <c r="X665" i="8" s="1"/>
  <c r="E694" i="6" s="1"/>
  <c r="H665" i="8"/>
  <c r="G665" i="8"/>
  <c r="F665" i="8"/>
  <c r="E665" i="8"/>
  <c r="D665" i="8"/>
  <c r="C665" i="8"/>
  <c r="W665" i="8" s="1"/>
  <c r="B665" i="8"/>
  <c r="A665" i="8"/>
  <c r="P664" i="8"/>
  <c r="O664" i="8"/>
  <c r="N664" i="8"/>
  <c r="M664" i="8"/>
  <c r="H693" i="6" s="1"/>
  <c r="L664" i="8"/>
  <c r="K664" i="8"/>
  <c r="J664" i="8"/>
  <c r="I664" i="8"/>
  <c r="X664" i="8" s="1"/>
  <c r="E693" i="6" s="1"/>
  <c r="H664" i="8"/>
  <c r="G664" i="8"/>
  <c r="F664" i="8"/>
  <c r="E664" i="8"/>
  <c r="D664" i="8"/>
  <c r="C664" i="8"/>
  <c r="W664" i="8" s="1"/>
  <c r="B664" i="8"/>
  <c r="A664" i="8"/>
  <c r="P663" i="8"/>
  <c r="O663" i="8"/>
  <c r="N663" i="8"/>
  <c r="M663" i="8"/>
  <c r="H692" i="6" s="1"/>
  <c r="L663" i="8"/>
  <c r="K663" i="8"/>
  <c r="J663" i="8"/>
  <c r="I663" i="8"/>
  <c r="X663" i="8" s="1"/>
  <c r="E692" i="6" s="1"/>
  <c r="H663" i="8"/>
  <c r="G663" i="8"/>
  <c r="F663" i="8"/>
  <c r="E663" i="8"/>
  <c r="D663" i="8"/>
  <c r="C663" i="8"/>
  <c r="W663" i="8" s="1"/>
  <c r="B663" i="8"/>
  <c r="A663" i="8"/>
  <c r="P662" i="8"/>
  <c r="O662" i="8"/>
  <c r="N662" i="8"/>
  <c r="M662" i="8"/>
  <c r="H691" i="6" s="1"/>
  <c r="L662" i="8"/>
  <c r="K662" i="8"/>
  <c r="J662" i="8"/>
  <c r="I662" i="8"/>
  <c r="X662" i="8" s="1"/>
  <c r="E691" i="6" s="1"/>
  <c r="H662" i="8"/>
  <c r="G662" i="8"/>
  <c r="F662" i="8"/>
  <c r="E662" i="8"/>
  <c r="D662" i="8"/>
  <c r="C662" i="8"/>
  <c r="W662" i="8" s="1"/>
  <c r="B662" i="8"/>
  <c r="A662" i="8"/>
  <c r="P661" i="8"/>
  <c r="O661" i="8"/>
  <c r="N661" i="8"/>
  <c r="M661" i="8"/>
  <c r="H690" i="6" s="1"/>
  <c r="L661" i="8"/>
  <c r="K661" i="8"/>
  <c r="J661" i="8"/>
  <c r="I661" i="8"/>
  <c r="X661" i="8" s="1"/>
  <c r="E690" i="6" s="1"/>
  <c r="H661" i="8"/>
  <c r="G661" i="8"/>
  <c r="F661" i="8"/>
  <c r="E661" i="8"/>
  <c r="D661" i="8"/>
  <c r="C661" i="8"/>
  <c r="W661" i="8" s="1"/>
  <c r="B661" i="8"/>
  <c r="A661" i="8"/>
  <c r="P660" i="8"/>
  <c r="O660" i="8"/>
  <c r="N660" i="8"/>
  <c r="M660" i="8"/>
  <c r="H689" i="6" s="1"/>
  <c r="L660" i="8"/>
  <c r="K660" i="8"/>
  <c r="J660" i="8"/>
  <c r="I660" i="8"/>
  <c r="X660" i="8" s="1"/>
  <c r="E689" i="6" s="1"/>
  <c r="H660" i="8"/>
  <c r="G660" i="8"/>
  <c r="F660" i="8"/>
  <c r="E660" i="8"/>
  <c r="D660" i="8"/>
  <c r="C660" i="8"/>
  <c r="W660" i="8" s="1"/>
  <c r="B660" i="8"/>
  <c r="A660" i="8"/>
  <c r="P659" i="8"/>
  <c r="O659" i="8"/>
  <c r="N659" i="8"/>
  <c r="M659" i="8"/>
  <c r="H688" i="6" s="1"/>
  <c r="L659" i="8"/>
  <c r="K659" i="8"/>
  <c r="J659" i="8"/>
  <c r="I659" i="8"/>
  <c r="X659" i="8" s="1"/>
  <c r="E688" i="6" s="1"/>
  <c r="H659" i="8"/>
  <c r="G659" i="8"/>
  <c r="F659" i="8"/>
  <c r="E659" i="8"/>
  <c r="D659" i="8"/>
  <c r="C659" i="8"/>
  <c r="W659" i="8" s="1"/>
  <c r="B659" i="8"/>
  <c r="A659" i="8"/>
  <c r="P658" i="8"/>
  <c r="O658" i="8"/>
  <c r="N658" i="8"/>
  <c r="M658" i="8"/>
  <c r="H687" i="6" s="1"/>
  <c r="L658" i="8"/>
  <c r="K658" i="8"/>
  <c r="J658" i="8"/>
  <c r="I658" i="8"/>
  <c r="X658" i="8" s="1"/>
  <c r="E687" i="6" s="1"/>
  <c r="H658" i="8"/>
  <c r="G658" i="8"/>
  <c r="F658" i="8"/>
  <c r="E658" i="8"/>
  <c r="D658" i="8"/>
  <c r="C658" i="8"/>
  <c r="W658" i="8" s="1"/>
  <c r="B658" i="8"/>
  <c r="A658" i="8"/>
  <c r="P657" i="8"/>
  <c r="O657" i="8"/>
  <c r="N657" i="8"/>
  <c r="M657" i="8"/>
  <c r="H686" i="6" s="1"/>
  <c r="L657" i="8"/>
  <c r="K657" i="8"/>
  <c r="J657" i="8"/>
  <c r="I657" i="8"/>
  <c r="X657" i="8" s="1"/>
  <c r="E686" i="6" s="1"/>
  <c r="H657" i="8"/>
  <c r="G657" i="8"/>
  <c r="F657" i="8"/>
  <c r="E657" i="8"/>
  <c r="D657" i="8"/>
  <c r="C657" i="8"/>
  <c r="W657" i="8" s="1"/>
  <c r="B657" i="8"/>
  <c r="A657" i="8"/>
  <c r="P656" i="8"/>
  <c r="O656" i="8"/>
  <c r="N656" i="8"/>
  <c r="M656" i="8"/>
  <c r="H685" i="6" s="1"/>
  <c r="L656" i="8"/>
  <c r="K656" i="8"/>
  <c r="J656" i="8"/>
  <c r="I656" i="8"/>
  <c r="X656" i="8" s="1"/>
  <c r="E685" i="6" s="1"/>
  <c r="H656" i="8"/>
  <c r="G656" i="8"/>
  <c r="F656" i="8"/>
  <c r="E656" i="8"/>
  <c r="D656" i="8"/>
  <c r="C656" i="8"/>
  <c r="W656" i="8" s="1"/>
  <c r="B656" i="8"/>
  <c r="A656" i="8"/>
  <c r="P655" i="8"/>
  <c r="O655" i="8"/>
  <c r="N655" i="8"/>
  <c r="M655" i="8"/>
  <c r="H684" i="6" s="1"/>
  <c r="L655" i="8"/>
  <c r="K655" i="8"/>
  <c r="J655" i="8"/>
  <c r="I655" i="8"/>
  <c r="X655" i="8" s="1"/>
  <c r="E684" i="6" s="1"/>
  <c r="H655" i="8"/>
  <c r="G655" i="8"/>
  <c r="F655" i="8"/>
  <c r="E655" i="8"/>
  <c r="D655" i="8"/>
  <c r="C655" i="8"/>
  <c r="W655" i="8" s="1"/>
  <c r="B655" i="8"/>
  <c r="A655" i="8"/>
  <c r="P654" i="8"/>
  <c r="O654" i="8"/>
  <c r="N654" i="8"/>
  <c r="M654" i="8"/>
  <c r="H683" i="6" s="1"/>
  <c r="L654" i="8"/>
  <c r="K654" i="8"/>
  <c r="J654" i="8"/>
  <c r="I654" i="8"/>
  <c r="X654" i="8" s="1"/>
  <c r="E683" i="6" s="1"/>
  <c r="H654" i="8"/>
  <c r="G654" i="8"/>
  <c r="F654" i="8"/>
  <c r="E654" i="8"/>
  <c r="D654" i="8"/>
  <c r="C654" i="8"/>
  <c r="W654" i="8" s="1"/>
  <c r="B654" i="8"/>
  <c r="A654" i="8"/>
  <c r="P653" i="8"/>
  <c r="O653" i="8"/>
  <c r="N653" i="8"/>
  <c r="M653" i="8"/>
  <c r="H682" i="6" s="1"/>
  <c r="L653" i="8"/>
  <c r="K653" i="8"/>
  <c r="J653" i="8"/>
  <c r="I653" i="8"/>
  <c r="X653" i="8" s="1"/>
  <c r="E682" i="6" s="1"/>
  <c r="H653" i="8"/>
  <c r="G653" i="8"/>
  <c r="F653" i="8"/>
  <c r="E653" i="8"/>
  <c r="D653" i="8"/>
  <c r="C653" i="8"/>
  <c r="W653" i="8" s="1"/>
  <c r="B653" i="8"/>
  <c r="A653" i="8"/>
  <c r="P652" i="8"/>
  <c r="O652" i="8"/>
  <c r="N652" i="8"/>
  <c r="M652" i="8"/>
  <c r="H681" i="6" s="1"/>
  <c r="L652" i="8"/>
  <c r="K652" i="8"/>
  <c r="J652" i="8"/>
  <c r="I652" i="8"/>
  <c r="X652" i="8" s="1"/>
  <c r="E681" i="6" s="1"/>
  <c r="H652" i="8"/>
  <c r="G652" i="8"/>
  <c r="F652" i="8"/>
  <c r="E652" i="8"/>
  <c r="D652" i="8"/>
  <c r="C652" i="8"/>
  <c r="W652" i="8" s="1"/>
  <c r="B652" i="8"/>
  <c r="A652" i="8"/>
  <c r="P651" i="8"/>
  <c r="O651" i="8"/>
  <c r="N651" i="8"/>
  <c r="M651" i="8"/>
  <c r="H680" i="6" s="1"/>
  <c r="L651" i="8"/>
  <c r="K651" i="8"/>
  <c r="J651" i="8"/>
  <c r="I651" i="8"/>
  <c r="X651" i="8" s="1"/>
  <c r="E680" i="6" s="1"/>
  <c r="H651" i="8"/>
  <c r="G651" i="8"/>
  <c r="F651" i="8"/>
  <c r="E651" i="8"/>
  <c r="D651" i="8"/>
  <c r="C651" i="8"/>
  <c r="W651" i="8" s="1"/>
  <c r="B651" i="8"/>
  <c r="A651" i="8"/>
  <c r="P650" i="8"/>
  <c r="O650" i="8"/>
  <c r="N650" i="8"/>
  <c r="M650" i="8"/>
  <c r="H679" i="6" s="1"/>
  <c r="L650" i="8"/>
  <c r="K650" i="8"/>
  <c r="J650" i="8"/>
  <c r="I650" i="8"/>
  <c r="X650" i="8" s="1"/>
  <c r="E679" i="6" s="1"/>
  <c r="H650" i="8"/>
  <c r="G650" i="8"/>
  <c r="F650" i="8"/>
  <c r="E650" i="8"/>
  <c r="D650" i="8"/>
  <c r="C650" i="8"/>
  <c r="W650" i="8" s="1"/>
  <c r="B650" i="8"/>
  <c r="A650" i="8"/>
  <c r="P649" i="8"/>
  <c r="O649" i="8"/>
  <c r="N649" i="8"/>
  <c r="M649" i="8"/>
  <c r="H678" i="6" s="1"/>
  <c r="L649" i="8"/>
  <c r="K649" i="8"/>
  <c r="J649" i="8"/>
  <c r="I649" i="8"/>
  <c r="X649" i="8" s="1"/>
  <c r="E678" i="6" s="1"/>
  <c r="H649" i="8"/>
  <c r="G649" i="8"/>
  <c r="F649" i="8"/>
  <c r="E649" i="8"/>
  <c r="D649" i="8"/>
  <c r="C649" i="8"/>
  <c r="W649" i="8" s="1"/>
  <c r="B649" i="8"/>
  <c r="A649" i="8"/>
  <c r="P648" i="8"/>
  <c r="O648" i="8"/>
  <c r="N648" i="8"/>
  <c r="M648" i="8"/>
  <c r="H677" i="6" s="1"/>
  <c r="L648" i="8"/>
  <c r="K648" i="8"/>
  <c r="J648" i="8"/>
  <c r="I648" i="8"/>
  <c r="X648" i="8" s="1"/>
  <c r="E677" i="6" s="1"/>
  <c r="H648" i="8"/>
  <c r="G648" i="8"/>
  <c r="F648" i="8"/>
  <c r="E648" i="8"/>
  <c r="D648" i="8"/>
  <c r="C648" i="8"/>
  <c r="W648" i="8" s="1"/>
  <c r="B648" i="8"/>
  <c r="A648" i="8"/>
  <c r="P647" i="8"/>
  <c r="O647" i="8"/>
  <c r="N647" i="8"/>
  <c r="M647" i="8"/>
  <c r="H676" i="6" s="1"/>
  <c r="L647" i="8"/>
  <c r="K647" i="8"/>
  <c r="J647" i="8"/>
  <c r="I647" i="8"/>
  <c r="X647" i="8" s="1"/>
  <c r="E676" i="6" s="1"/>
  <c r="H647" i="8"/>
  <c r="G647" i="8"/>
  <c r="F647" i="8"/>
  <c r="E647" i="8"/>
  <c r="D647" i="8"/>
  <c r="C647" i="8"/>
  <c r="W647" i="8" s="1"/>
  <c r="B647" i="8"/>
  <c r="A647" i="8"/>
  <c r="P646" i="8"/>
  <c r="O646" i="8"/>
  <c r="N646" i="8"/>
  <c r="M646" i="8"/>
  <c r="H675" i="6" s="1"/>
  <c r="L646" i="8"/>
  <c r="K646" i="8"/>
  <c r="J646" i="8"/>
  <c r="I646" i="8"/>
  <c r="X646" i="8" s="1"/>
  <c r="E675" i="6" s="1"/>
  <c r="H646" i="8"/>
  <c r="G646" i="8"/>
  <c r="F646" i="8"/>
  <c r="E646" i="8"/>
  <c r="D646" i="8"/>
  <c r="C646" i="8"/>
  <c r="W646" i="8" s="1"/>
  <c r="B646" i="8"/>
  <c r="A646" i="8"/>
  <c r="P645" i="8"/>
  <c r="O645" i="8"/>
  <c r="N645" i="8"/>
  <c r="M645" i="8"/>
  <c r="H674" i="6" s="1"/>
  <c r="L645" i="8"/>
  <c r="K645" i="8"/>
  <c r="J645" i="8"/>
  <c r="I645" i="8"/>
  <c r="X645" i="8" s="1"/>
  <c r="E674" i="6" s="1"/>
  <c r="H645" i="8"/>
  <c r="G645" i="8"/>
  <c r="F645" i="8"/>
  <c r="E645" i="8"/>
  <c r="D645" i="8"/>
  <c r="C645" i="8"/>
  <c r="W645" i="8" s="1"/>
  <c r="B645" i="8"/>
  <c r="A645" i="8"/>
  <c r="P644" i="8"/>
  <c r="O644" i="8"/>
  <c r="N644" i="8"/>
  <c r="M644" i="8"/>
  <c r="H673" i="6" s="1"/>
  <c r="L644" i="8"/>
  <c r="K644" i="8"/>
  <c r="J644" i="8"/>
  <c r="I644" i="8"/>
  <c r="X644" i="8" s="1"/>
  <c r="E673" i="6" s="1"/>
  <c r="H644" i="8"/>
  <c r="G644" i="8"/>
  <c r="F644" i="8"/>
  <c r="E644" i="8"/>
  <c r="D644" i="8"/>
  <c r="C644" i="8"/>
  <c r="W644" i="8" s="1"/>
  <c r="B644" i="8"/>
  <c r="A644" i="8"/>
  <c r="P643" i="8"/>
  <c r="O643" i="8"/>
  <c r="N643" i="8"/>
  <c r="M643" i="8"/>
  <c r="H672" i="6" s="1"/>
  <c r="L643" i="8"/>
  <c r="K643" i="8"/>
  <c r="J643" i="8"/>
  <c r="I643" i="8"/>
  <c r="X643" i="8" s="1"/>
  <c r="E672" i="6" s="1"/>
  <c r="H643" i="8"/>
  <c r="G643" i="8"/>
  <c r="F643" i="8"/>
  <c r="E643" i="8"/>
  <c r="D643" i="8"/>
  <c r="C643" i="8"/>
  <c r="W643" i="8" s="1"/>
  <c r="B643" i="8"/>
  <c r="A643" i="8"/>
  <c r="P642" i="8"/>
  <c r="O642" i="8"/>
  <c r="N642" i="8"/>
  <c r="M642" i="8"/>
  <c r="H671" i="6" s="1"/>
  <c r="L642" i="8"/>
  <c r="K642" i="8"/>
  <c r="J642" i="8"/>
  <c r="I642" i="8"/>
  <c r="X642" i="8" s="1"/>
  <c r="E671" i="6" s="1"/>
  <c r="H642" i="8"/>
  <c r="G642" i="8"/>
  <c r="F642" i="8"/>
  <c r="E642" i="8"/>
  <c r="D642" i="8"/>
  <c r="C642" i="8"/>
  <c r="W642" i="8" s="1"/>
  <c r="B642" i="8"/>
  <c r="A642" i="8"/>
  <c r="P641" i="8"/>
  <c r="O641" i="8"/>
  <c r="N641" i="8"/>
  <c r="M641" i="8"/>
  <c r="H670" i="6" s="1"/>
  <c r="L641" i="8"/>
  <c r="K641" i="8"/>
  <c r="J641" i="8"/>
  <c r="I641" i="8"/>
  <c r="X641" i="8" s="1"/>
  <c r="E670" i="6" s="1"/>
  <c r="H641" i="8"/>
  <c r="G641" i="8"/>
  <c r="F641" i="8"/>
  <c r="E641" i="8"/>
  <c r="D641" i="8"/>
  <c r="C641" i="8"/>
  <c r="W641" i="8" s="1"/>
  <c r="B641" i="8"/>
  <c r="A641" i="8"/>
  <c r="P640" i="8"/>
  <c r="O640" i="8"/>
  <c r="N640" i="8"/>
  <c r="M640" i="8"/>
  <c r="H669" i="6" s="1"/>
  <c r="L640" i="8"/>
  <c r="K640" i="8"/>
  <c r="J640" i="8"/>
  <c r="I640" i="8"/>
  <c r="X640" i="8" s="1"/>
  <c r="E669" i="6" s="1"/>
  <c r="H640" i="8"/>
  <c r="G640" i="8"/>
  <c r="F640" i="8"/>
  <c r="E640" i="8"/>
  <c r="D640" i="8"/>
  <c r="C640" i="8"/>
  <c r="W640" i="8" s="1"/>
  <c r="B640" i="8"/>
  <c r="A640" i="8"/>
  <c r="P639" i="8"/>
  <c r="O639" i="8"/>
  <c r="N639" i="8"/>
  <c r="M639" i="8"/>
  <c r="H668" i="6" s="1"/>
  <c r="L639" i="8"/>
  <c r="K639" i="8"/>
  <c r="J639" i="8"/>
  <c r="I639" i="8"/>
  <c r="X639" i="8" s="1"/>
  <c r="E668" i="6" s="1"/>
  <c r="H639" i="8"/>
  <c r="G639" i="8"/>
  <c r="F639" i="8"/>
  <c r="E639" i="8"/>
  <c r="D639" i="8"/>
  <c r="C639" i="8"/>
  <c r="W639" i="8" s="1"/>
  <c r="B639" i="8"/>
  <c r="A639" i="8"/>
  <c r="P638" i="8"/>
  <c r="O638" i="8"/>
  <c r="N638" i="8"/>
  <c r="M638" i="8"/>
  <c r="H667" i="6" s="1"/>
  <c r="L638" i="8"/>
  <c r="K638" i="8"/>
  <c r="J638" i="8"/>
  <c r="I638" i="8"/>
  <c r="X638" i="8" s="1"/>
  <c r="E667" i="6" s="1"/>
  <c r="H638" i="8"/>
  <c r="G638" i="8"/>
  <c r="F638" i="8"/>
  <c r="E638" i="8"/>
  <c r="D638" i="8"/>
  <c r="C638" i="8"/>
  <c r="W638" i="8" s="1"/>
  <c r="B638" i="8"/>
  <c r="A638" i="8"/>
  <c r="P637" i="8"/>
  <c r="O637" i="8"/>
  <c r="N637" i="8"/>
  <c r="M637" i="8"/>
  <c r="H666" i="6" s="1"/>
  <c r="L637" i="8"/>
  <c r="K637" i="8"/>
  <c r="J637" i="8"/>
  <c r="I637" i="8"/>
  <c r="X637" i="8" s="1"/>
  <c r="E666" i="6" s="1"/>
  <c r="H637" i="8"/>
  <c r="G637" i="8"/>
  <c r="F637" i="8"/>
  <c r="E637" i="8"/>
  <c r="D637" i="8"/>
  <c r="C637" i="8"/>
  <c r="W637" i="8" s="1"/>
  <c r="B637" i="8"/>
  <c r="A637" i="8"/>
  <c r="P636" i="8"/>
  <c r="O636" i="8"/>
  <c r="N636" i="8"/>
  <c r="M636" i="8"/>
  <c r="H665" i="6" s="1"/>
  <c r="L636" i="8"/>
  <c r="K636" i="8"/>
  <c r="J636" i="8"/>
  <c r="I636" i="8"/>
  <c r="X636" i="8" s="1"/>
  <c r="E665" i="6" s="1"/>
  <c r="H636" i="8"/>
  <c r="G636" i="8"/>
  <c r="F636" i="8"/>
  <c r="E636" i="8"/>
  <c r="D636" i="8"/>
  <c r="C636" i="8"/>
  <c r="W636" i="8" s="1"/>
  <c r="B636" i="8"/>
  <c r="A636" i="8"/>
  <c r="P635" i="8"/>
  <c r="O635" i="8"/>
  <c r="N635" i="8"/>
  <c r="M635" i="8"/>
  <c r="H664" i="6" s="1"/>
  <c r="L635" i="8"/>
  <c r="K635" i="8"/>
  <c r="J635" i="8"/>
  <c r="I635" i="8"/>
  <c r="X635" i="8" s="1"/>
  <c r="E664" i="6" s="1"/>
  <c r="H635" i="8"/>
  <c r="G635" i="8"/>
  <c r="F635" i="8"/>
  <c r="E635" i="8"/>
  <c r="D635" i="8"/>
  <c r="C635" i="8"/>
  <c r="W635" i="8" s="1"/>
  <c r="B635" i="8"/>
  <c r="A635" i="8"/>
  <c r="P634" i="8"/>
  <c r="O634" i="8"/>
  <c r="N634" i="8"/>
  <c r="M634" i="8"/>
  <c r="H663" i="6" s="1"/>
  <c r="L634" i="8"/>
  <c r="K634" i="8"/>
  <c r="J634" i="8"/>
  <c r="I634" i="8"/>
  <c r="X634" i="8" s="1"/>
  <c r="E663" i="6" s="1"/>
  <c r="H634" i="8"/>
  <c r="G634" i="8"/>
  <c r="F634" i="8"/>
  <c r="E634" i="8"/>
  <c r="D634" i="8"/>
  <c r="C634" i="8"/>
  <c r="W634" i="8" s="1"/>
  <c r="B634" i="8"/>
  <c r="A634" i="8"/>
  <c r="P633" i="8"/>
  <c r="O633" i="8"/>
  <c r="N633" i="8"/>
  <c r="M633" i="8"/>
  <c r="H662" i="6" s="1"/>
  <c r="L633" i="8"/>
  <c r="K633" i="8"/>
  <c r="J633" i="8"/>
  <c r="I633" i="8"/>
  <c r="X633" i="8" s="1"/>
  <c r="E662" i="6" s="1"/>
  <c r="H633" i="8"/>
  <c r="G633" i="8"/>
  <c r="F633" i="8"/>
  <c r="E633" i="8"/>
  <c r="D633" i="8"/>
  <c r="C633" i="8"/>
  <c r="W633" i="8" s="1"/>
  <c r="B633" i="8"/>
  <c r="A633" i="8"/>
  <c r="P632" i="8"/>
  <c r="O632" i="8"/>
  <c r="N632" i="8"/>
  <c r="M632" i="8"/>
  <c r="H661" i="6" s="1"/>
  <c r="L632" i="8"/>
  <c r="K632" i="8"/>
  <c r="J632" i="8"/>
  <c r="I632" i="8"/>
  <c r="X632" i="8" s="1"/>
  <c r="E661" i="6" s="1"/>
  <c r="H632" i="8"/>
  <c r="G632" i="8"/>
  <c r="F632" i="8"/>
  <c r="E632" i="8"/>
  <c r="D632" i="8"/>
  <c r="C632" i="8"/>
  <c r="W632" i="8" s="1"/>
  <c r="B632" i="8"/>
  <c r="A632" i="8"/>
  <c r="P631" i="8"/>
  <c r="O631" i="8"/>
  <c r="N631" i="8"/>
  <c r="M631" i="8"/>
  <c r="H660" i="6" s="1"/>
  <c r="L631" i="8"/>
  <c r="K631" i="8"/>
  <c r="J631" i="8"/>
  <c r="I631" i="8"/>
  <c r="X631" i="8" s="1"/>
  <c r="E660" i="6" s="1"/>
  <c r="H631" i="8"/>
  <c r="G631" i="8"/>
  <c r="F631" i="8"/>
  <c r="E631" i="8"/>
  <c r="D631" i="8"/>
  <c r="C631" i="8"/>
  <c r="W631" i="8" s="1"/>
  <c r="B631" i="8"/>
  <c r="A631" i="8"/>
  <c r="P630" i="8"/>
  <c r="O630" i="8"/>
  <c r="N630" i="8"/>
  <c r="M630" i="8"/>
  <c r="H659" i="6" s="1"/>
  <c r="L630" i="8"/>
  <c r="K630" i="8"/>
  <c r="J630" i="8"/>
  <c r="I630" i="8"/>
  <c r="X630" i="8" s="1"/>
  <c r="E659" i="6" s="1"/>
  <c r="H630" i="8"/>
  <c r="G630" i="8"/>
  <c r="F630" i="8"/>
  <c r="E630" i="8"/>
  <c r="D630" i="8"/>
  <c r="C630" i="8"/>
  <c r="W630" i="8" s="1"/>
  <c r="B630" i="8"/>
  <c r="A630" i="8"/>
  <c r="P629" i="8"/>
  <c r="O629" i="8"/>
  <c r="N629" i="8"/>
  <c r="M629" i="8"/>
  <c r="H658" i="6" s="1"/>
  <c r="L629" i="8"/>
  <c r="K629" i="8"/>
  <c r="J629" i="8"/>
  <c r="I629" i="8"/>
  <c r="X629" i="8" s="1"/>
  <c r="E658" i="6" s="1"/>
  <c r="H629" i="8"/>
  <c r="G629" i="8"/>
  <c r="F629" i="8"/>
  <c r="E629" i="8"/>
  <c r="D629" i="8"/>
  <c r="C629" i="8"/>
  <c r="W629" i="8" s="1"/>
  <c r="B629" i="8"/>
  <c r="A629" i="8"/>
  <c r="P628" i="8"/>
  <c r="O628" i="8"/>
  <c r="N628" i="8"/>
  <c r="M628" i="8"/>
  <c r="H657" i="6" s="1"/>
  <c r="L628" i="8"/>
  <c r="K628" i="8"/>
  <c r="J628" i="8"/>
  <c r="I628" i="8"/>
  <c r="X628" i="8" s="1"/>
  <c r="E657" i="6" s="1"/>
  <c r="H628" i="8"/>
  <c r="G628" i="8"/>
  <c r="F628" i="8"/>
  <c r="E628" i="8"/>
  <c r="D628" i="8"/>
  <c r="C628" i="8"/>
  <c r="W628" i="8" s="1"/>
  <c r="B628" i="8"/>
  <c r="A628" i="8"/>
  <c r="P627" i="8"/>
  <c r="O627" i="8"/>
  <c r="N627" i="8"/>
  <c r="M627" i="8"/>
  <c r="H656" i="6" s="1"/>
  <c r="L627" i="8"/>
  <c r="K627" i="8"/>
  <c r="J627" i="8"/>
  <c r="I627" i="8"/>
  <c r="X627" i="8" s="1"/>
  <c r="E656" i="6" s="1"/>
  <c r="H627" i="8"/>
  <c r="G627" i="8"/>
  <c r="F627" i="8"/>
  <c r="E627" i="8"/>
  <c r="D627" i="8"/>
  <c r="C627" i="8"/>
  <c r="W627" i="8" s="1"/>
  <c r="B627" i="8"/>
  <c r="A627" i="8"/>
  <c r="P626" i="8"/>
  <c r="O626" i="8"/>
  <c r="N626" i="8"/>
  <c r="M626" i="8"/>
  <c r="H655" i="6" s="1"/>
  <c r="L626" i="8"/>
  <c r="K626" i="8"/>
  <c r="J626" i="8"/>
  <c r="I626" i="8"/>
  <c r="X626" i="8" s="1"/>
  <c r="E655" i="6" s="1"/>
  <c r="H626" i="8"/>
  <c r="G626" i="8"/>
  <c r="F626" i="8"/>
  <c r="E626" i="8"/>
  <c r="D626" i="8"/>
  <c r="C626" i="8"/>
  <c r="W626" i="8" s="1"/>
  <c r="B626" i="8"/>
  <c r="A626" i="8"/>
  <c r="P625" i="8"/>
  <c r="O625" i="8"/>
  <c r="N625" i="8"/>
  <c r="M625" i="8"/>
  <c r="H654" i="6" s="1"/>
  <c r="L625" i="8"/>
  <c r="K625" i="8"/>
  <c r="J625" i="8"/>
  <c r="I625" i="8"/>
  <c r="X625" i="8" s="1"/>
  <c r="E654" i="6" s="1"/>
  <c r="H625" i="8"/>
  <c r="G625" i="8"/>
  <c r="F625" i="8"/>
  <c r="E625" i="8"/>
  <c r="D625" i="8"/>
  <c r="C625" i="8"/>
  <c r="W625" i="8" s="1"/>
  <c r="B625" i="8"/>
  <c r="A625" i="8"/>
  <c r="P624" i="8"/>
  <c r="O624" i="8"/>
  <c r="N624" i="8"/>
  <c r="M624" i="8"/>
  <c r="H653" i="6" s="1"/>
  <c r="L624" i="8"/>
  <c r="K624" i="8"/>
  <c r="J624" i="8"/>
  <c r="I624" i="8"/>
  <c r="X624" i="8" s="1"/>
  <c r="E653" i="6" s="1"/>
  <c r="H624" i="8"/>
  <c r="G624" i="8"/>
  <c r="F624" i="8"/>
  <c r="E624" i="8"/>
  <c r="D624" i="8"/>
  <c r="C624" i="8"/>
  <c r="W624" i="8" s="1"/>
  <c r="B624" i="8"/>
  <c r="A624" i="8"/>
  <c r="P623" i="8"/>
  <c r="O623" i="8"/>
  <c r="N623" i="8"/>
  <c r="M623" i="8"/>
  <c r="H652" i="6" s="1"/>
  <c r="L623" i="8"/>
  <c r="K623" i="8"/>
  <c r="J623" i="8"/>
  <c r="I623" i="8"/>
  <c r="X623" i="8" s="1"/>
  <c r="E652" i="6" s="1"/>
  <c r="H623" i="8"/>
  <c r="G623" i="8"/>
  <c r="F623" i="8"/>
  <c r="E623" i="8"/>
  <c r="D623" i="8"/>
  <c r="C623" i="8"/>
  <c r="W623" i="8" s="1"/>
  <c r="B623" i="8"/>
  <c r="A623" i="8"/>
  <c r="P622" i="8"/>
  <c r="O622" i="8"/>
  <c r="N622" i="8"/>
  <c r="M622" i="8"/>
  <c r="H651" i="6" s="1"/>
  <c r="L622" i="8"/>
  <c r="K622" i="8"/>
  <c r="J622" i="8"/>
  <c r="I622" i="8"/>
  <c r="X622" i="8" s="1"/>
  <c r="E651" i="6" s="1"/>
  <c r="H622" i="8"/>
  <c r="G622" i="8"/>
  <c r="F622" i="8"/>
  <c r="E622" i="8"/>
  <c r="D622" i="8"/>
  <c r="C622" i="8"/>
  <c r="W622" i="8" s="1"/>
  <c r="B622" i="8"/>
  <c r="A622" i="8"/>
  <c r="P621" i="8"/>
  <c r="O621" i="8"/>
  <c r="N621" i="8"/>
  <c r="M621" i="8"/>
  <c r="H650" i="6" s="1"/>
  <c r="L621" i="8"/>
  <c r="K621" i="8"/>
  <c r="J621" i="8"/>
  <c r="I621" i="8"/>
  <c r="X621" i="8" s="1"/>
  <c r="E650" i="6" s="1"/>
  <c r="H621" i="8"/>
  <c r="G621" i="8"/>
  <c r="F621" i="8"/>
  <c r="E621" i="8"/>
  <c r="D621" i="8"/>
  <c r="C621" i="8"/>
  <c r="W621" i="8" s="1"/>
  <c r="B621" i="8"/>
  <c r="A621" i="8"/>
  <c r="P620" i="8"/>
  <c r="O620" i="8"/>
  <c r="N620" i="8"/>
  <c r="M620" i="8"/>
  <c r="H649" i="6" s="1"/>
  <c r="L620" i="8"/>
  <c r="K620" i="8"/>
  <c r="J620" i="8"/>
  <c r="I620" i="8"/>
  <c r="X620" i="8" s="1"/>
  <c r="E649" i="6" s="1"/>
  <c r="H620" i="8"/>
  <c r="G620" i="8"/>
  <c r="F620" i="8"/>
  <c r="E620" i="8"/>
  <c r="D620" i="8"/>
  <c r="C620" i="8"/>
  <c r="W620" i="8" s="1"/>
  <c r="B620" i="8"/>
  <c r="A620" i="8"/>
  <c r="P619" i="8"/>
  <c r="O619" i="8"/>
  <c r="N619" i="8"/>
  <c r="M619" i="8"/>
  <c r="H648" i="6" s="1"/>
  <c r="L619" i="8"/>
  <c r="K619" i="8"/>
  <c r="J619" i="8"/>
  <c r="I619" i="8"/>
  <c r="X619" i="8" s="1"/>
  <c r="E648" i="6" s="1"/>
  <c r="H619" i="8"/>
  <c r="G619" i="8"/>
  <c r="F619" i="8"/>
  <c r="E619" i="8"/>
  <c r="D619" i="8"/>
  <c r="C619" i="8"/>
  <c r="W619" i="8" s="1"/>
  <c r="B619" i="8"/>
  <c r="A619" i="8"/>
  <c r="P618" i="8"/>
  <c r="O618" i="8"/>
  <c r="N618" i="8"/>
  <c r="M618" i="8"/>
  <c r="H647" i="6" s="1"/>
  <c r="L618" i="8"/>
  <c r="K618" i="8"/>
  <c r="J618" i="8"/>
  <c r="I618" i="8"/>
  <c r="X618" i="8" s="1"/>
  <c r="E647" i="6" s="1"/>
  <c r="H618" i="8"/>
  <c r="G618" i="8"/>
  <c r="F618" i="8"/>
  <c r="E618" i="8"/>
  <c r="D618" i="8"/>
  <c r="C618" i="8"/>
  <c r="W618" i="8" s="1"/>
  <c r="B618" i="8"/>
  <c r="A618" i="8"/>
  <c r="P617" i="8"/>
  <c r="O617" i="8"/>
  <c r="N617" i="8"/>
  <c r="M617" i="8"/>
  <c r="H646" i="6" s="1"/>
  <c r="L617" i="8"/>
  <c r="K617" i="8"/>
  <c r="J617" i="8"/>
  <c r="I617" i="8"/>
  <c r="X617" i="8" s="1"/>
  <c r="E646" i="6" s="1"/>
  <c r="H617" i="8"/>
  <c r="G617" i="8"/>
  <c r="F617" i="8"/>
  <c r="E617" i="8"/>
  <c r="D617" i="8"/>
  <c r="C617" i="8"/>
  <c r="W617" i="8" s="1"/>
  <c r="B617" i="8"/>
  <c r="A617" i="8"/>
  <c r="P616" i="8"/>
  <c r="O616" i="8"/>
  <c r="N616" i="8"/>
  <c r="M616" i="8"/>
  <c r="H645" i="6" s="1"/>
  <c r="L616" i="8"/>
  <c r="K616" i="8"/>
  <c r="J616" i="8"/>
  <c r="I616" i="8"/>
  <c r="X616" i="8" s="1"/>
  <c r="E645" i="6" s="1"/>
  <c r="H616" i="8"/>
  <c r="G616" i="8"/>
  <c r="F616" i="8"/>
  <c r="E616" i="8"/>
  <c r="D616" i="8"/>
  <c r="C616" i="8"/>
  <c r="W616" i="8" s="1"/>
  <c r="B616" i="8"/>
  <c r="A616" i="8"/>
  <c r="P615" i="8"/>
  <c r="O615" i="8"/>
  <c r="N615" i="8"/>
  <c r="M615" i="8"/>
  <c r="H644" i="6" s="1"/>
  <c r="L615" i="8"/>
  <c r="K615" i="8"/>
  <c r="J615" i="8"/>
  <c r="I615" i="8"/>
  <c r="X615" i="8" s="1"/>
  <c r="E644" i="6" s="1"/>
  <c r="H615" i="8"/>
  <c r="G615" i="8"/>
  <c r="F615" i="8"/>
  <c r="E615" i="8"/>
  <c r="D615" i="8"/>
  <c r="C615" i="8"/>
  <c r="W615" i="8" s="1"/>
  <c r="B615" i="8"/>
  <c r="A615" i="8"/>
  <c r="P614" i="8"/>
  <c r="O614" i="8"/>
  <c r="N614" i="8"/>
  <c r="M614" i="8"/>
  <c r="H643" i="6" s="1"/>
  <c r="L614" i="8"/>
  <c r="K614" i="8"/>
  <c r="J614" i="8"/>
  <c r="I614" i="8"/>
  <c r="X614" i="8" s="1"/>
  <c r="E643" i="6" s="1"/>
  <c r="H614" i="8"/>
  <c r="G614" i="8"/>
  <c r="F614" i="8"/>
  <c r="E614" i="8"/>
  <c r="D614" i="8"/>
  <c r="C614" i="8"/>
  <c r="W614" i="8" s="1"/>
  <c r="B614" i="8"/>
  <c r="A614" i="8"/>
  <c r="P613" i="8"/>
  <c r="O613" i="8"/>
  <c r="N613" i="8"/>
  <c r="M613" i="8"/>
  <c r="H642" i="6" s="1"/>
  <c r="L613" i="8"/>
  <c r="K613" i="8"/>
  <c r="J613" i="8"/>
  <c r="I613" i="8"/>
  <c r="X613" i="8" s="1"/>
  <c r="E642" i="6" s="1"/>
  <c r="H613" i="8"/>
  <c r="G613" i="8"/>
  <c r="F613" i="8"/>
  <c r="E613" i="8"/>
  <c r="D613" i="8"/>
  <c r="C613" i="8"/>
  <c r="W613" i="8" s="1"/>
  <c r="B613" i="8"/>
  <c r="A613" i="8"/>
  <c r="P612" i="8"/>
  <c r="O612" i="8"/>
  <c r="N612" i="8"/>
  <c r="M612" i="8"/>
  <c r="H641" i="6" s="1"/>
  <c r="L612" i="8"/>
  <c r="K612" i="8"/>
  <c r="J612" i="8"/>
  <c r="I612" i="8"/>
  <c r="X612" i="8" s="1"/>
  <c r="E641" i="6" s="1"/>
  <c r="H612" i="8"/>
  <c r="G612" i="8"/>
  <c r="F612" i="8"/>
  <c r="E612" i="8"/>
  <c r="D612" i="8"/>
  <c r="C612" i="8"/>
  <c r="W612" i="8" s="1"/>
  <c r="B612" i="8"/>
  <c r="A612" i="8"/>
  <c r="J269" i="8"/>
  <c r="I269" i="8"/>
  <c r="X269" i="8" s="1"/>
  <c r="E298" i="6" s="1"/>
  <c r="H269" i="8"/>
  <c r="G269" i="8"/>
  <c r="F269" i="8"/>
  <c r="E269" i="8"/>
  <c r="D269" i="8"/>
  <c r="C269" i="8"/>
  <c r="W269" i="8" s="1"/>
  <c r="B269" i="8"/>
  <c r="A269" i="8"/>
  <c r="J268" i="8"/>
  <c r="I268" i="8"/>
  <c r="X268" i="8" s="1"/>
  <c r="E297" i="6" s="1"/>
  <c r="H268" i="8"/>
  <c r="G268" i="8"/>
  <c r="F268" i="8"/>
  <c r="E268" i="8"/>
  <c r="D268" i="8"/>
  <c r="C268" i="8"/>
  <c r="W268" i="8" s="1"/>
  <c r="B268" i="8"/>
  <c r="A268" i="8"/>
  <c r="J267" i="8"/>
  <c r="I267" i="8"/>
  <c r="X267" i="8" s="1"/>
  <c r="E296" i="6" s="1"/>
  <c r="H267" i="8"/>
  <c r="G267" i="8"/>
  <c r="F267" i="8"/>
  <c r="E267" i="8"/>
  <c r="D267" i="8"/>
  <c r="C267" i="8"/>
  <c r="W267" i="8" s="1"/>
  <c r="B267" i="8"/>
  <c r="A267" i="8"/>
  <c r="J266" i="8"/>
  <c r="I266" i="8"/>
  <c r="X266" i="8" s="1"/>
  <c r="E295" i="6" s="1"/>
  <c r="H266" i="8"/>
  <c r="G266" i="8"/>
  <c r="F266" i="8"/>
  <c r="E266" i="8"/>
  <c r="D266" i="8"/>
  <c r="C266" i="8"/>
  <c r="W266" i="8" s="1"/>
  <c r="B266" i="8"/>
  <c r="A266" i="8"/>
  <c r="J265" i="8"/>
  <c r="I265" i="8"/>
  <c r="X265" i="8" s="1"/>
  <c r="E294" i="6" s="1"/>
  <c r="H265" i="8"/>
  <c r="G265" i="8"/>
  <c r="F265" i="8"/>
  <c r="E265" i="8"/>
  <c r="D265" i="8"/>
  <c r="C265" i="8"/>
  <c r="W265" i="8" s="1"/>
  <c r="B265" i="8"/>
  <c r="A265" i="8"/>
  <c r="J264" i="8"/>
  <c r="I264" i="8"/>
  <c r="X264" i="8" s="1"/>
  <c r="E293" i="6" s="1"/>
  <c r="H264" i="8"/>
  <c r="G264" i="8"/>
  <c r="F264" i="8"/>
  <c r="E264" i="8"/>
  <c r="D264" i="8"/>
  <c r="C264" i="8"/>
  <c r="W264" i="8" s="1"/>
  <c r="B264" i="8"/>
  <c r="A264" i="8"/>
  <c r="J263" i="8"/>
  <c r="I263" i="8"/>
  <c r="X263" i="8" s="1"/>
  <c r="E292" i="6" s="1"/>
  <c r="H263" i="8"/>
  <c r="G263" i="8"/>
  <c r="F263" i="8"/>
  <c r="E263" i="8"/>
  <c r="D263" i="8"/>
  <c r="C263" i="8"/>
  <c r="W263" i="8" s="1"/>
  <c r="B263" i="8"/>
  <c r="A263" i="8"/>
  <c r="J262" i="8"/>
  <c r="I262" i="8"/>
  <c r="X262" i="8" s="1"/>
  <c r="E291" i="6" s="1"/>
  <c r="H262" i="8"/>
  <c r="G262" i="8"/>
  <c r="F262" i="8"/>
  <c r="E262" i="8"/>
  <c r="D262" i="8"/>
  <c r="C262" i="8"/>
  <c r="W262" i="8" s="1"/>
  <c r="B262" i="8"/>
  <c r="A262" i="8"/>
  <c r="J261" i="8"/>
  <c r="I261" i="8"/>
  <c r="X261" i="8" s="1"/>
  <c r="E290" i="6" s="1"/>
  <c r="H261" i="8"/>
  <c r="G261" i="8"/>
  <c r="F261" i="8"/>
  <c r="E261" i="8"/>
  <c r="D261" i="8"/>
  <c r="C261" i="8"/>
  <c r="W261" i="8" s="1"/>
  <c r="B261" i="8"/>
  <c r="A261" i="8"/>
  <c r="J260" i="8"/>
  <c r="I260" i="8"/>
  <c r="X260" i="8" s="1"/>
  <c r="E289" i="6" s="1"/>
  <c r="H260" i="8"/>
  <c r="G260" i="8"/>
  <c r="F260" i="8"/>
  <c r="E260" i="8"/>
  <c r="D260" i="8"/>
  <c r="C260" i="8"/>
  <c r="W260" i="8" s="1"/>
  <c r="B260" i="8"/>
  <c r="A260" i="8"/>
  <c r="J259" i="8"/>
  <c r="I259" i="8"/>
  <c r="X259" i="8" s="1"/>
  <c r="E288" i="6" s="1"/>
  <c r="H259" i="8"/>
  <c r="G259" i="8"/>
  <c r="F259" i="8"/>
  <c r="E259" i="8"/>
  <c r="D259" i="8"/>
  <c r="C259" i="8"/>
  <c r="W259" i="8" s="1"/>
  <c r="B259" i="8"/>
  <c r="A259" i="8"/>
  <c r="J258" i="8"/>
  <c r="I258" i="8"/>
  <c r="X258" i="8" s="1"/>
  <c r="E287" i="6" s="1"/>
  <c r="H258" i="8"/>
  <c r="G258" i="8"/>
  <c r="F258" i="8"/>
  <c r="E258" i="8"/>
  <c r="D258" i="8"/>
  <c r="C258" i="8"/>
  <c r="W258" i="8" s="1"/>
  <c r="B258" i="8"/>
  <c r="A258" i="8"/>
  <c r="J257" i="8"/>
  <c r="I257" i="8"/>
  <c r="X257" i="8" s="1"/>
  <c r="E286" i="6" s="1"/>
  <c r="H257" i="8"/>
  <c r="G257" i="8"/>
  <c r="F257" i="8"/>
  <c r="E257" i="8"/>
  <c r="D257" i="8"/>
  <c r="C257" i="8"/>
  <c r="W257" i="8" s="1"/>
  <c r="B257" i="8"/>
  <c r="A257" i="8"/>
  <c r="J256" i="8"/>
  <c r="I256" i="8"/>
  <c r="X256" i="8" s="1"/>
  <c r="E285" i="6" s="1"/>
  <c r="H256" i="8"/>
  <c r="G256" i="8"/>
  <c r="F256" i="8"/>
  <c r="E256" i="8"/>
  <c r="D256" i="8"/>
  <c r="C256" i="8"/>
  <c r="W256" i="8" s="1"/>
  <c r="B256" i="8"/>
  <c r="A256" i="8"/>
  <c r="J255" i="8"/>
  <c r="I255" i="8"/>
  <c r="X255" i="8" s="1"/>
  <c r="E284" i="6" s="1"/>
  <c r="H255" i="8"/>
  <c r="G255" i="8"/>
  <c r="F255" i="8"/>
  <c r="E255" i="8"/>
  <c r="D255" i="8"/>
  <c r="C255" i="8"/>
  <c r="W255" i="8" s="1"/>
  <c r="B255" i="8"/>
  <c r="A255" i="8"/>
  <c r="J254" i="8"/>
  <c r="I254" i="8"/>
  <c r="X254" i="8" s="1"/>
  <c r="E283" i="6" s="1"/>
  <c r="H254" i="8"/>
  <c r="G254" i="8"/>
  <c r="F254" i="8"/>
  <c r="E254" i="8"/>
  <c r="D254" i="8"/>
  <c r="C254" i="8"/>
  <c r="W254" i="8" s="1"/>
  <c r="B254" i="8"/>
  <c r="A254" i="8"/>
  <c r="J253" i="8"/>
  <c r="I253" i="8"/>
  <c r="X253" i="8" s="1"/>
  <c r="E282" i="6" s="1"/>
  <c r="H253" i="8"/>
  <c r="G253" i="8"/>
  <c r="F253" i="8"/>
  <c r="E253" i="8"/>
  <c r="D253" i="8"/>
  <c r="C253" i="8"/>
  <c r="W253" i="8" s="1"/>
  <c r="B253" i="8"/>
  <c r="A253" i="8"/>
  <c r="J252" i="8"/>
  <c r="I252" i="8"/>
  <c r="X252" i="8" s="1"/>
  <c r="E281" i="6" s="1"/>
  <c r="H252" i="8"/>
  <c r="G252" i="8"/>
  <c r="F252" i="8"/>
  <c r="E252" i="8"/>
  <c r="D252" i="8"/>
  <c r="C252" i="8"/>
  <c r="W252" i="8" s="1"/>
  <c r="B252" i="8"/>
  <c r="A252" i="8"/>
  <c r="J251" i="8"/>
  <c r="I251" i="8"/>
  <c r="X251" i="8" s="1"/>
  <c r="E280" i="6" s="1"/>
  <c r="H251" i="8"/>
  <c r="G251" i="8"/>
  <c r="F251" i="8"/>
  <c r="E251" i="8"/>
  <c r="D251" i="8"/>
  <c r="C251" i="8"/>
  <c r="W251" i="8" s="1"/>
  <c r="B251" i="8"/>
  <c r="A251" i="8"/>
  <c r="J250" i="8"/>
  <c r="I250" i="8"/>
  <c r="X250" i="8" s="1"/>
  <c r="E279" i="6" s="1"/>
  <c r="H250" i="8"/>
  <c r="G250" i="8"/>
  <c r="F250" i="8"/>
  <c r="E250" i="8"/>
  <c r="D250" i="8"/>
  <c r="C250" i="8"/>
  <c r="W250" i="8" s="1"/>
  <c r="B250" i="8"/>
  <c r="A250" i="8"/>
  <c r="J249" i="8"/>
  <c r="I249" i="8"/>
  <c r="X249" i="8" s="1"/>
  <c r="E278" i="6" s="1"/>
  <c r="H249" i="8"/>
  <c r="G249" i="8"/>
  <c r="F249" i="8"/>
  <c r="E249" i="8"/>
  <c r="D249" i="8"/>
  <c r="C249" i="8"/>
  <c r="W249" i="8" s="1"/>
  <c r="B249" i="8"/>
  <c r="A249" i="8"/>
  <c r="J248" i="8"/>
  <c r="I248" i="8"/>
  <c r="X248" i="8" s="1"/>
  <c r="E277" i="6" s="1"/>
  <c r="H248" i="8"/>
  <c r="G248" i="8"/>
  <c r="F248" i="8"/>
  <c r="E248" i="8"/>
  <c r="D248" i="8"/>
  <c r="C248" i="8"/>
  <c r="W248" i="8" s="1"/>
  <c r="B248" i="8"/>
  <c r="A248" i="8"/>
  <c r="J247" i="8"/>
  <c r="I247" i="8"/>
  <c r="X247" i="8" s="1"/>
  <c r="E276" i="6" s="1"/>
  <c r="H247" i="8"/>
  <c r="G247" i="8"/>
  <c r="F247" i="8"/>
  <c r="E247" i="8"/>
  <c r="D247" i="8"/>
  <c r="C247" i="8"/>
  <c r="W247" i="8" s="1"/>
  <c r="B247" i="8"/>
  <c r="A247" i="8"/>
  <c r="J246" i="8"/>
  <c r="I246" i="8"/>
  <c r="X246" i="8" s="1"/>
  <c r="E275" i="6" s="1"/>
  <c r="H246" i="8"/>
  <c r="G246" i="8"/>
  <c r="F246" i="8"/>
  <c r="E246" i="8"/>
  <c r="D246" i="8"/>
  <c r="C246" i="8"/>
  <c r="W246" i="8" s="1"/>
  <c r="B246" i="8"/>
  <c r="A246" i="8"/>
  <c r="J245" i="8"/>
  <c r="I245" i="8"/>
  <c r="X245" i="8" s="1"/>
  <c r="E274" i="6" s="1"/>
  <c r="H245" i="8"/>
  <c r="G245" i="8"/>
  <c r="F245" i="8"/>
  <c r="E245" i="8"/>
  <c r="D245" i="8"/>
  <c r="C245" i="8"/>
  <c r="W245" i="8" s="1"/>
  <c r="B245" i="8"/>
  <c r="A245" i="8"/>
  <c r="J244" i="8"/>
  <c r="I244" i="8"/>
  <c r="X244" i="8" s="1"/>
  <c r="E273" i="6" s="1"/>
  <c r="H244" i="8"/>
  <c r="G244" i="8"/>
  <c r="F244" i="8"/>
  <c r="E244" i="8"/>
  <c r="D244" i="8"/>
  <c r="C244" i="8"/>
  <c r="W244" i="8" s="1"/>
  <c r="B244" i="8"/>
  <c r="A244" i="8"/>
  <c r="J243" i="8"/>
  <c r="I243" i="8"/>
  <c r="X243" i="8" s="1"/>
  <c r="E272" i="6" s="1"/>
  <c r="H243" i="8"/>
  <c r="G243" i="8"/>
  <c r="F243" i="8"/>
  <c r="E243" i="8"/>
  <c r="D243" i="8"/>
  <c r="C243" i="8"/>
  <c r="W243" i="8" s="1"/>
  <c r="B243" i="8"/>
  <c r="A243" i="8"/>
  <c r="J242" i="8"/>
  <c r="I242" i="8"/>
  <c r="X242" i="8" s="1"/>
  <c r="E271" i="6" s="1"/>
  <c r="H242" i="8"/>
  <c r="G242" i="8"/>
  <c r="F242" i="8"/>
  <c r="E242" i="8"/>
  <c r="D242" i="8"/>
  <c r="C242" i="8"/>
  <c r="W242" i="8" s="1"/>
  <c r="B242" i="8"/>
  <c r="A242" i="8"/>
  <c r="J241" i="8"/>
  <c r="I241" i="8"/>
  <c r="X241" i="8" s="1"/>
  <c r="E270" i="6" s="1"/>
  <c r="H241" i="8"/>
  <c r="G241" i="8"/>
  <c r="F241" i="8"/>
  <c r="E241" i="8"/>
  <c r="D241" i="8"/>
  <c r="C241" i="8"/>
  <c r="W241" i="8" s="1"/>
  <c r="B241" i="8"/>
  <c r="A241" i="8"/>
  <c r="J240" i="8"/>
  <c r="I240" i="8"/>
  <c r="X240" i="8" s="1"/>
  <c r="E269" i="6" s="1"/>
  <c r="H240" i="8"/>
  <c r="G240" i="8"/>
  <c r="F240" i="8"/>
  <c r="E240" i="8"/>
  <c r="D240" i="8"/>
  <c r="C240" i="8"/>
  <c r="W240" i="8" s="1"/>
  <c r="B240" i="8"/>
  <c r="A240" i="8"/>
  <c r="J239" i="8"/>
  <c r="I239" i="8"/>
  <c r="X239" i="8" s="1"/>
  <c r="E268" i="6" s="1"/>
  <c r="H239" i="8"/>
  <c r="G239" i="8"/>
  <c r="F239" i="8"/>
  <c r="E239" i="8"/>
  <c r="D239" i="8"/>
  <c r="C239" i="8"/>
  <c r="W239" i="8" s="1"/>
  <c r="B239" i="8"/>
  <c r="A239" i="8"/>
  <c r="J238" i="8"/>
  <c r="I238" i="8"/>
  <c r="X238" i="8" s="1"/>
  <c r="E267" i="6" s="1"/>
  <c r="H238" i="8"/>
  <c r="G238" i="8"/>
  <c r="F238" i="8"/>
  <c r="E238" i="8"/>
  <c r="D238" i="8"/>
  <c r="C238" i="8"/>
  <c r="W238" i="8" s="1"/>
  <c r="B238" i="8"/>
  <c r="A238" i="8"/>
  <c r="J237" i="8"/>
  <c r="I237" i="8"/>
  <c r="X237" i="8" s="1"/>
  <c r="E266" i="6" s="1"/>
  <c r="H237" i="8"/>
  <c r="G237" i="8"/>
  <c r="F237" i="8"/>
  <c r="E237" i="8"/>
  <c r="D237" i="8"/>
  <c r="C237" i="8"/>
  <c r="W237" i="8" s="1"/>
  <c r="B237" i="8"/>
  <c r="A237" i="8"/>
  <c r="J236" i="8"/>
  <c r="I236" i="8"/>
  <c r="X236" i="8" s="1"/>
  <c r="E265" i="6" s="1"/>
  <c r="H236" i="8"/>
  <c r="G236" i="8"/>
  <c r="F236" i="8"/>
  <c r="E236" i="8"/>
  <c r="D236" i="8"/>
  <c r="C236" i="8"/>
  <c r="W236" i="8" s="1"/>
  <c r="B236" i="8"/>
  <c r="A236" i="8"/>
  <c r="J235" i="8"/>
  <c r="I235" i="8"/>
  <c r="X235" i="8" s="1"/>
  <c r="E264" i="6" s="1"/>
  <c r="H235" i="8"/>
  <c r="G235" i="8"/>
  <c r="F235" i="8"/>
  <c r="E235" i="8"/>
  <c r="D235" i="8"/>
  <c r="C235" i="8"/>
  <c r="W235" i="8" s="1"/>
  <c r="B235" i="8"/>
  <c r="A235" i="8"/>
  <c r="J234" i="8"/>
  <c r="I234" i="8"/>
  <c r="X234" i="8" s="1"/>
  <c r="E263" i="6" s="1"/>
  <c r="H234" i="8"/>
  <c r="G234" i="8"/>
  <c r="F234" i="8"/>
  <c r="E234" i="8"/>
  <c r="D234" i="8"/>
  <c r="C234" i="8"/>
  <c r="W234" i="8" s="1"/>
  <c r="B234" i="8"/>
  <c r="A234" i="8"/>
  <c r="J233" i="8"/>
  <c r="I233" i="8"/>
  <c r="X233" i="8" s="1"/>
  <c r="E262" i="6" s="1"/>
  <c r="H233" i="8"/>
  <c r="G233" i="8"/>
  <c r="F233" i="8"/>
  <c r="E233" i="8"/>
  <c r="D233" i="8"/>
  <c r="C233" i="8"/>
  <c r="W233" i="8" s="1"/>
  <c r="B233" i="8"/>
  <c r="A233" i="8"/>
  <c r="J232" i="8"/>
  <c r="I232" i="8"/>
  <c r="X232" i="8" s="1"/>
  <c r="E261" i="6" s="1"/>
  <c r="H232" i="8"/>
  <c r="G232" i="8"/>
  <c r="F232" i="8"/>
  <c r="E232" i="8"/>
  <c r="D232" i="8"/>
  <c r="C232" i="8"/>
  <c r="W232" i="8" s="1"/>
  <c r="B232" i="8"/>
  <c r="A232" i="8"/>
  <c r="J231" i="8"/>
  <c r="I231" i="8"/>
  <c r="X231" i="8" s="1"/>
  <c r="E260" i="6" s="1"/>
  <c r="H231" i="8"/>
  <c r="G231" i="8"/>
  <c r="F231" i="8"/>
  <c r="E231" i="8"/>
  <c r="D231" i="8"/>
  <c r="C231" i="8"/>
  <c r="W231" i="8" s="1"/>
  <c r="B231" i="8"/>
  <c r="A231" i="8"/>
  <c r="J230" i="8"/>
  <c r="I230" i="8"/>
  <c r="X230" i="8" s="1"/>
  <c r="E259" i="6" s="1"/>
  <c r="H230" i="8"/>
  <c r="G230" i="8"/>
  <c r="F230" i="8"/>
  <c r="E230" i="8"/>
  <c r="D230" i="8"/>
  <c r="C230" i="8"/>
  <c r="W230" i="8" s="1"/>
  <c r="B230" i="8"/>
  <c r="A230" i="8"/>
  <c r="J229" i="8"/>
  <c r="I229" i="8"/>
  <c r="X229" i="8" s="1"/>
  <c r="E258" i="6" s="1"/>
  <c r="H229" i="8"/>
  <c r="G229" i="8"/>
  <c r="F229" i="8"/>
  <c r="E229" i="8"/>
  <c r="D229" i="8"/>
  <c r="C229" i="8"/>
  <c r="W229" i="8" s="1"/>
  <c r="B229" i="8"/>
  <c r="A229" i="8"/>
  <c r="J228" i="8"/>
  <c r="I228" i="8"/>
  <c r="X228" i="8" s="1"/>
  <c r="E257" i="6" s="1"/>
  <c r="H228" i="8"/>
  <c r="G228" i="8"/>
  <c r="F228" i="8"/>
  <c r="E228" i="8"/>
  <c r="D228" i="8"/>
  <c r="C228" i="8"/>
  <c r="W228" i="8" s="1"/>
  <c r="B228" i="8"/>
  <c r="A228" i="8"/>
  <c r="J227" i="8"/>
  <c r="I227" i="8"/>
  <c r="X227" i="8" s="1"/>
  <c r="E256" i="6" s="1"/>
  <c r="H227" i="8"/>
  <c r="G227" i="8"/>
  <c r="F227" i="8"/>
  <c r="E227" i="8"/>
  <c r="D227" i="8"/>
  <c r="C227" i="8"/>
  <c r="W227" i="8" s="1"/>
  <c r="B227" i="8"/>
  <c r="A227" i="8"/>
  <c r="J226" i="8"/>
  <c r="I226" i="8"/>
  <c r="X226" i="8" s="1"/>
  <c r="E255" i="6" s="1"/>
  <c r="H226" i="8"/>
  <c r="G226" i="8"/>
  <c r="F226" i="8"/>
  <c r="E226" i="8"/>
  <c r="D226" i="8"/>
  <c r="C226" i="8"/>
  <c r="W226" i="8" s="1"/>
  <c r="B226" i="8"/>
  <c r="A226" i="8"/>
  <c r="J225" i="8"/>
  <c r="I225" i="8"/>
  <c r="X225" i="8" s="1"/>
  <c r="E254" i="6" s="1"/>
  <c r="H225" i="8"/>
  <c r="G225" i="8"/>
  <c r="F225" i="8"/>
  <c r="E225" i="8"/>
  <c r="D225" i="8"/>
  <c r="C225" i="8"/>
  <c r="W225" i="8" s="1"/>
  <c r="B225" i="8"/>
  <c r="A225" i="8"/>
  <c r="J224" i="8"/>
  <c r="I224" i="8"/>
  <c r="X224" i="8" s="1"/>
  <c r="E253" i="6" s="1"/>
  <c r="H224" i="8"/>
  <c r="G224" i="8"/>
  <c r="F224" i="8"/>
  <c r="E224" i="8"/>
  <c r="D224" i="8"/>
  <c r="C224" i="8"/>
  <c r="W224" i="8" s="1"/>
  <c r="B224" i="8"/>
  <c r="A224" i="8"/>
  <c r="J223" i="8"/>
  <c r="I223" i="8"/>
  <c r="X223" i="8" s="1"/>
  <c r="E252" i="6" s="1"/>
  <c r="H223" i="8"/>
  <c r="G223" i="8"/>
  <c r="F223" i="8"/>
  <c r="E223" i="8"/>
  <c r="D223" i="8"/>
  <c r="C223" i="8"/>
  <c r="W223" i="8" s="1"/>
  <c r="B223" i="8"/>
  <c r="A223" i="8"/>
  <c r="J222" i="8"/>
  <c r="I222" i="8"/>
  <c r="X222" i="8" s="1"/>
  <c r="E251" i="6" s="1"/>
  <c r="H222" i="8"/>
  <c r="G222" i="8"/>
  <c r="F222" i="8"/>
  <c r="E222" i="8"/>
  <c r="D222" i="8"/>
  <c r="C222" i="8"/>
  <c r="W222" i="8" s="1"/>
  <c r="B222" i="8"/>
  <c r="A222" i="8"/>
  <c r="J221" i="8"/>
  <c r="I221" i="8"/>
  <c r="X221" i="8" s="1"/>
  <c r="E250" i="6" s="1"/>
  <c r="H221" i="8"/>
  <c r="G221" i="8"/>
  <c r="F221" i="8"/>
  <c r="E221" i="8"/>
  <c r="D221" i="8"/>
  <c r="C221" i="8"/>
  <c r="W221" i="8" s="1"/>
  <c r="B221" i="8"/>
  <c r="A221" i="8"/>
  <c r="J220" i="8"/>
  <c r="I220" i="8"/>
  <c r="X220" i="8" s="1"/>
  <c r="E249" i="6" s="1"/>
  <c r="H220" i="8"/>
  <c r="G220" i="8"/>
  <c r="F220" i="8"/>
  <c r="E220" i="8"/>
  <c r="D220" i="8"/>
  <c r="C220" i="8"/>
  <c r="W220" i="8" s="1"/>
  <c r="B220" i="8"/>
  <c r="A220" i="8"/>
  <c r="J219" i="8"/>
  <c r="I219" i="8"/>
  <c r="X219" i="8" s="1"/>
  <c r="E248" i="6" s="1"/>
  <c r="H219" i="8"/>
  <c r="G219" i="8"/>
  <c r="F219" i="8"/>
  <c r="E219" i="8"/>
  <c r="D219" i="8"/>
  <c r="C219" i="8"/>
  <c r="W219" i="8" s="1"/>
  <c r="B219" i="8"/>
  <c r="A219" i="8"/>
  <c r="J218" i="8"/>
  <c r="I218" i="8"/>
  <c r="X218" i="8" s="1"/>
  <c r="E247" i="6" s="1"/>
  <c r="H218" i="8"/>
  <c r="G218" i="8"/>
  <c r="F218" i="8"/>
  <c r="E218" i="8"/>
  <c r="D218" i="8"/>
  <c r="C218" i="8"/>
  <c r="W218" i="8" s="1"/>
  <c r="B218" i="8"/>
  <c r="A218" i="8"/>
  <c r="J217" i="8"/>
  <c r="I217" i="8"/>
  <c r="X217" i="8" s="1"/>
  <c r="E246" i="6" s="1"/>
  <c r="H217" i="8"/>
  <c r="G217" i="8"/>
  <c r="F217" i="8"/>
  <c r="E217" i="8"/>
  <c r="D217" i="8"/>
  <c r="C217" i="8"/>
  <c r="W217" i="8" s="1"/>
  <c r="B217" i="8"/>
  <c r="A217" i="8"/>
  <c r="J216" i="8"/>
  <c r="I216" i="8"/>
  <c r="X216" i="8" s="1"/>
  <c r="E245" i="6" s="1"/>
  <c r="H216" i="8"/>
  <c r="G216" i="8"/>
  <c r="F216" i="8"/>
  <c r="E216" i="8"/>
  <c r="D216" i="8"/>
  <c r="C216" i="8"/>
  <c r="W216" i="8" s="1"/>
  <c r="B216" i="8"/>
  <c r="A216" i="8"/>
  <c r="J215" i="8"/>
  <c r="I215" i="8"/>
  <c r="X215" i="8" s="1"/>
  <c r="E244" i="6" s="1"/>
  <c r="H215" i="8"/>
  <c r="G215" i="8"/>
  <c r="F215" i="8"/>
  <c r="E215" i="8"/>
  <c r="D215" i="8"/>
  <c r="C215" i="8"/>
  <c r="W215" i="8" s="1"/>
  <c r="B215" i="8"/>
  <c r="A215" i="8"/>
  <c r="J214" i="8"/>
  <c r="I214" i="8"/>
  <c r="X214" i="8" s="1"/>
  <c r="E243" i="6" s="1"/>
  <c r="H214" i="8"/>
  <c r="G214" i="8"/>
  <c r="F214" i="8"/>
  <c r="E214" i="8"/>
  <c r="D214" i="8"/>
  <c r="C214" i="8"/>
  <c r="W214" i="8" s="1"/>
  <c r="B214" i="8"/>
  <c r="A214" i="8"/>
  <c r="J213" i="8"/>
  <c r="I213" i="8"/>
  <c r="X213" i="8" s="1"/>
  <c r="E242" i="6" s="1"/>
  <c r="H213" i="8"/>
  <c r="G213" i="8"/>
  <c r="F213" i="8"/>
  <c r="E213" i="8"/>
  <c r="D213" i="8"/>
  <c r="C213" i="8"/>
  <c r="W213" i="8" s="1"/>
  <c r="B213" i="8"/>
  <c r="A213" i="8"/>
  <c r="J212" i="8"/>
  <c r="I212" i="8"/>
  <c r="X212" i="8" s="1"/>
  <c r="E241" i="6" s="1"/>
  <c r="H212" i="8"/>
  <c r="G212" i="8"/>
  <c r="F212" i="8"/>
  <c r="E212" i="8"/>
  <c r="D212" i="8"/>
  <c r="C212" i="8"/>
  <c r="W212" i="8" s="1"/>
  <c r="B212" i="8"/>
  <c r="A212" i="8"/>
  <c r="J211" i="8"/>
  <c r="I211" i="8"/>
  <c r="X211" i="8" s="1"/>
  <c r="E240" i="6" s="1"/>
  <c r="H211" i="8"/>
  <c r="G211" i="8"/>
  <c r="F211" i="8"/>
  <c r="E211" i="8"/>
  <c r="D211" i="8"/>
  <c r="C211" i="8"/>
  <c r="W211" i="8" s="1"/>
  <c r="B211" i="8"/>
  <c r="A211" i="8"/>
  <c r="J210" i="8"/>
  <c r="I210" i="8"/>
  <c r="X210" i="8" s="1"/>
  <c r="E239" i="6" s="1"/>
  <c r="H210" i="8"/>
  <c r="G210" i="8"/>
  <c r="F210" i="8"/>
  <c r="E210" i="8"/>
  <c r="D210" i="8"/>
  <c r="C210" i="8"/>
  <c r="W210" i="8" s="1"/>
  <c r="B210" i="8"/>
  <c r="A210" i="8"/>
  <c r="J209" i="8"/>
  <c r="I209" i="8"/>
  <c r="X209" i="8" s="1"/>
  <c r="E238" i="6" s="1"/>
  <c r="H209" i="8"/>
  <c r="G209" i="8"/>
  <c r="F209" i="8"/>
  <c r="E209" i="8"/>
  <c r="D209" i="8"/>
  <c r="C209" i="8"/>
  <c r="W209" i="8" s="1"/>
  <c r="B209" i="8"/>
  <c r="A209" i="8"/>
  <c r="J208" i="8"/>
  <c r="I208" i="8"/>
  <c r="X208" i="8" s="1"/>
  <c r="E237" i="6" s="1"/>
  <c r="H208" i="8"/>
  <c r="G208" i="8"/>
  <c r="F208" i="8"/>
  <c r="E208" i="8"/>
  <c r="D208" i="8"/>
  <c r="C208" i="8"/>
  <c r="W208" i="8" s="1"/>
  <c r="B208" i="8"/>
  <c r="A208" i="8"/>
  <c r="J207" i="8"/>
  <c r="I207" i="8"/>
  <c r="X207" i="8" s="1"/>
  <c r="E236" i="6" s="1"/>
  <c r="H207" i="8"/>
  <c r="G207" i="8"/>
  <c r="F207" i="8"/>
  <c r="E207" i="8"/>
  <c r="D207" i="8"/>
  <c r="C207" i="8"/>
  <c r="W207" i="8" s="1"/>
  <c r="B207" i="8"/>
  <c r="A207" i="8"/>
  <c r="J206" i="8"/>
  <c r="I206" i="8"/>
  <c r="X206" i="8" s="1"/>
  <c r="E235" i="6" s="1"/>
  <c r="H206" i="8"/>
  <c r="G206" i="8"/>
  <c r="F206" i="8"/>
  <c r="E206" i="8"/>
  <c r="D206" i="8"/>
  <c r="C206" i="8"/>
  <c r="W206" i="8" s="1"/>
  <c r="B206" i="8"/>
  <c r="A206" i="8"/>
  <c r="J205" i="8"/>
  <c r="I205" i="8"/>
  <c r="X205" i="8" s="1"/>
  <c r="E234" i="6" s="1"/>
  <c r="H205" i="8"/>
  <c r="G205" i="8"/>
  <c r="F205" i="8"/>
  <c r="E205" i="8"/>
  <c r="D205" i="8"/>
  <c r="C205" i="8"/>
  <c r="W205" i="8" s="1"/>
  <c r="B205" i="8"/>
  <c r="A205" i="8"/>
  <c r="J204" i="8"/>
  <c r="I204" i="8"/>
  <c r="X204" i="8" s="1"/>
  <c r="E233" i="6" s="1"/>
  <c r="H204" i="8"/>
  <c r="G204" i="8"/>
  <c r="F204" i="8"/>
  <c r="E204" i="8"/>
  <c r="D204" i="8"/>
  <c r="C204" i="8"/>
  <c r="W204" i="8" s="1"/>
  <c r="B204" i="8"/>
  <c r="A204" i="8"/>
  <c r="J203" i="8"/>
  <c r="I203" i="8"/>
  <c r="X203" i="8" s="1"/>
  <c r="E232" i="6" s="1"/>
  <c r="H203" i="8"/>
  <c r="G203" i="8"/>
  <c r="F203" i="8"/>
  <c r="E203" i="8"/>
  <c r="D203" i="8"/>
  <c r="C203" i="8"/>
  <c r="W203" i="8" s="1"/>
  <c r="B203" i="8"/>
  <c r="A203" i="8"/>
  <c r="J202" i="8"/>
  <c r="I202" i="8"/>
  <c r="X202" i="8" s="1"/>
  <c r="E231" i="6" s="1"/>
  <c r="H202" i="8"/>
  <c r="G202" i="8"/>
  <c r="F202" i="8"/>
  <c r="E202" i="8"/>
  <c r="D202" i="8"/>
  <c r="C202" i="8"/>
  <c r="W202" i="8" s="1"/>
  <c r="B202" i="8"/>
  <c r="A202" i="8"/>
  <c r="J201" i="8"/>
  <c r="I201" i="8"/>
  <c r="X201" i="8" s="1"/>
  <c r="E230" i="6" s="1"/>
  <c r="H201" i="8"/>
  <c r="G201" i="8"/>
  <c r="F201" i="8"/>
  <c r="E201" i="8"/>
  <c r="D201" i="8"/>
  <c r="C201" i="8"/>
  <c r="W201" i="8" s="1"/>
  <c r="B201" i="8"/>
  <c r="A201" i="8"/>
  <c r="J200" i="8"/>
  <c r="I200" i="8"/>
  <c r="X200" i="8" s="1"/>
  <c r="E229" i="6" s="1"/>
  <c r="H200" i="8"/>
  <c r="G200" i="8"/>
  <c r="F200" i="8"/>
  <c r="E200" i="8"/>
  <c r="D200" i="8"/>
  <c r="C200" i="8"/>
  <c r="W200" i="8" s="1"/>
  <c r="B200" i="8"/>
  <c r="A200" i="8"/>
  <c r="J199" i="8"/>
  <c r="I199" i="8"/>
  <c r="X199" i="8" s="1"/>
  <c r="E228" i="6" s="1"/>
  <c r="H199" i="8"/>
  <c r="G199" i="8"/>
  <c r="F199" i="8"/>
  <c r="E199" i="8"/>
  <c r="D199" i="8"/>
  <c r="C199" i="8"/>
  <c r="W199" i="8" s="1"/>
  <c r="B199" i="8"/>
  <c r="A199" i="8"/>
  <c r="A188" i="8"/>
  <c r="J187" i="8"/>
  <c r="I187" i="8"/>
  <c r="X187" i="8" s="1"/>
  <c r="E216" i="6" s="1"/>
  <c r="H187" i="8"/>
  <c r="G187" i="8"/>
  <c r="F187" i="8"/>
  <c r="E187" i="8"/>
  <c r="D187" i="8"/>
  <c r="C187" i="8"/>
  <c r="W187" i="8" s="1"/>
  <c r="B187" i="8"/>
  <c r="A187" i="8"/>
  <c r="J186" i="8"/>
  <c r="I186" i="8"/>
  <c r="X186" i="8" s="1"/>
  <c r="E215" i="6" s="1"/>
  <c r="H186" i="8"/>
  <c r="G186" i="8"/>
  <c r="F186" i="8"/>
  <c r="E186" i="8"/>
  <c r="D186" i="8"/>
  <c r="C186" i="8"/>
  <c r="W186" i="8" s="1"/>
  <c r="B186" i="8"/>
  <c r="A186" i="8"/>
  <c r="J185" i="8"/>
  <c r="I185" i="8"/>
  <c r="X185" i="8" s="1"/>
  <c r="E214" i="6" s="1"/>
  <c r="H185" i="8"/>
  <c r="G185" i="8"/>
  <c r="F185" i="8"/>
  <c r="E185" i="8"/>
  <c r="D185" i="8"/>
  <c r="C185" i="8"/>
  <c r="W185" i="8" s="1"/>
  <c r="B185" i="8"/>
  <c r="A185" i="8"/>
  <c r="J184" i="8"/>
  <c r="I184" i="8"/>
  <c r="X184" i="8" s="1"/>
  <c r="E213" i="6" s="1"/>
  <c r="H184" i="8"/>
  <c r="G184" i="8"/>
  <c r="F184" i="8"/>
  <c r="E184" i="8"/>
  <c r="D184" i="8"/>
  <c r="C184" i="8"/>
  <c r="W184" i="8" s="1"/>
  <c r="B184" i="8"/>
  <c r="A184" i="8"/>
  <c r="J183" i="8"/>
  <c r="I183" i="8"/>
  <c r="X183" i="8" s="1"/>
  <c r="E212" i="6" s="1"/>
  <c r="H183" i="8"/>
  <c r="G183" i="8"/>
  <c r="F183" i="8"/>
  <c r="E183" i="8"/>
  <c r="D183" i="8"/>
  <c r="C183" i="8"/>
  <c r="W183" i="8" s="1"/>
  <c r="B183" i="8"/>
  <c r="A183" i="8"/>
  <c r="J182" i="8"/>
  <c r="I182" i="8"/>
  <c r="X182" i="8" s="1"/>
  <c r="E211" i="6" s="1"/>
  <c r="H182" i="8"/>
  <c r="G182" i="8"/>
  <c r="F182" i="8"/>
  <c r="E182" i="8"/>
  <c r="D182" i="8"/>
  <c r="C182" i="8"/>
  <c r="W182" i="8" s="1"/>
  <c r="B182" i="8"/>
  <c r="A182" i="8"/>
  <c r="J181" i="8"/>
  <c r="I181" i="8"/>
  <c r="X181" i="8" s="1"/>
  <c r="E210" i="6" s="1"/>
  <c r="H181" i="8"/>
  <c r="G181" i="8"/>
  <c r="F181" i="8"/>
  <c r="E181" i="8"/>
  <c r="D181" i="8"/>
  <c r="C181" i="8"/>
  <c r="W181" i="8" s="1"/>
  <c r="B181" i="8"/>
  <c r="A181" i="8"/>
  <c r="J180" i="8"/>
  <c r="I180" i="8"/>
  <c r="X180" i="8" s="1"/>
  <c r="E209" i="6" s="1"/>
  <c r="H180" i="8"/>
  <c r="G180" i="8"/>
  <c r="F180" i="8"/>
  <c r="E180" i="8"/>
  <c r="D180" i="8"/>
  <c r="C180" i="8"/>
  <c r="W180" i="8" s="1"/>
  <c r="B180" i="8"/>
  <c r="A180" i="8"/>
  <c r="J179" i="8"/>
  <c r="I179" i="8"/>
  <c r="X179" i="8" s="1"/>
  <c r="E208" i="6" s="1"/>
  <c r="H179" i="8"/>
  <c r="G179" i="8"/>
  <c r="F179" i="8"/>
  <c r="E179" i="8"/>
  <c r="D179" i="8"/>
  <c r="C179" i="8"/>
  <c r="W179" i="8" s="1"/>
  <c r="B179" i="8"/>
  <c r="A179" i="8"/>
  <c r="J178" i="8"/>
  <c r="I178" i="8"/>
  <c r="X178" i="8" s="1"/>
  <c r="E207" i="6" s="1"/>
  <c r="H178" i="8"/>
  <c r="G178" i="8"/>
  <c r="F178" i="8"/>
  <c r="E178" i="8"/>
  <c r="D178" i="8"/>
  <c r="C178" i="8"/>
  <c r="W178" i="8" s="1"/>
  <c r="B178" i="8"/>
  <c r="A178" i="8"/>
  <c r="J177" i="8"/>
  <c r="I177" i="8"/>
  <c r="X177" i="8" s="1"/>
  <c r="E206" i="6" s="1"/>
  <c r="H177" i="8"/>
  <c r="G177" i="8"/>
  <c r="F177" i="8"/>
  <c r="E177" i="8"/>
  <c r="D177" i="8"/>
  <c r="C177" i="8"/>
  <c r="W177" i="8" s="1"/>
  <c r="B177" i="8"/>
  <c r="A177" i="8"/>
  <c r="J176" i="8"/>
  <c r="I176" i="8"/>
  <c r="X176" i="8" s="1"/>
  <c r="E205" i="6" s="1"/>
  <c r="H176" i="8"/>
  <c r="G176" i="8"/>
  <c r="F176" i="8"/>
  <c r="E176" i="8"/>
  <c r="D176" i="8"/>
  <c r="C176" i="8"/>
  <c r="W176" i="8" s="1"/>
  <c r="B176" i="8"/>
  <c r="A176" i="8"/>
  <c r="J175" i="8"/>
  <c r="I175" i="8"/>
  <c r="X175" i="8" s="1"/>
  <c r="E204" i="6" s="1"/>
  <c r="H175" i="8"/>
  <c r="G175" i="8"/>
  <c r="F175" i="8"/>
  <c r="E175" i="8"/>
  <c r="D175" i="8"/>
  <c r="C175" i="8"/>
  <c r="W175" i="8" s="1"/>
  <c r="B175" i="8"/>
  <c r="A175" i="8"/>
  <c r="J174" i="8"/>
  <c r="I174" i="8"/>
  <c r="X174" i="8" s="1"/>
  <c r="E203" i="6" s="1"/>
  <c r="H174" i="8"/>
  <c r="G174" i="8"/>
  <c r="F174" i="8"/>
  <c r="E174" i="8"/>
  <c r="D174" i="8"/>
  <c r="C174" i="8"/>
  <c r="W174" i="8" s="1"/>
  <c r="B174" i="8"/>
  <c r="A174" i="8"/>
  <c r="J173" i="8"/>
  <c r="I173" i="8"/>
  <c r="X173" i="8" s="1"/>
  <c r="E202" i="6" s="1"/>
  <c r="H173" i="8"/>
  <c r="G173" i="8"/>
  <c r="F173" i="8"/>
  <c r="E173" i="8"/>
  <c r="D173" i="8"/>
  <c r="C173" i="8"/>
  <c r="W173" i="8" s="1"/>
  <c r="B173" i="8"/>
  <c r="A173" i="8"/>
  <c r="J172" i="8"/>
  <c r="I172" i="8"/>
  <c r="X172" i="8" s="1"/>
  <c r="E201" i="6" s="1"/>
  <c r="H172" i="8"/>
  <c r="G172" i="8"/>
  <c r="F172" i="8"/>
  <c r="E172" i="8"/>
  <c r="D172" i="8"/>
  <c r="C172" i="8"/>
  <c r="W172" i="8" s="1"/>
  <c r="B172" i="8"/>
  <c r="A172" i="8"/>
  <c r="J171" i="8"/>
  <c r="I171" i="8"/>
  <c r="X171" i="8" s="1"/>
  <c r="E200" i="6" s="1"/>
  <c r="H171" i="8"/>
  <c r="G171" i="8"/>
  <c r="F171" i="8"/>
  <c r="E171" i="8"/>
  <c r="D171" i="8"/>
  <c r="C171" i="8"/>
  <c r="W171" i="8" s="1"/>
  <c r="B171" i="8"/>
  <c r="A171" i="8"/>
  <c r="J170" i="8"/>
  <c r="I170" i="8"/>
  <c r="X170" i="8" s="1"/>
  <c r="E199" i="6" s="1"/>
  <c r="H170" i="8"/>
  <c r="G170" i="8"/>
  <c r="F170" i="8"/>
  <c r="E170" i="8"/>
  <c r="D170" i="8"/>
  <c r="C170" i="8"/>
  <c r="W170" i="8" s="1"/>
  <c r="B170" i="8"/>
  <c r="A170" i="8"/>
  <c r="J169" i="8"/>
  <c r="I169" i="8"/>
  <c r="X169" i="8" s="1"/>
  <c r="E198" i="6" s="1"/>
  <c r="H169" i="8"/>
  <c r="G169" i="8"/>
  <c r="F169" i="8"/>
  <c r="E169" i="8"/>
  <c r="D169" i="8"/>
  <c r="C169" i="8"/>
  <c r="W169" i="8" s="1"/>
  <c r="B169" i="8"/>
  <c r="A169" i="8"/>
  <c r="J168" i="8"/>
  <c r="I168" i="8"/>
  <c r="X168" i="8" s="1"/>
  <c r="E197" i="6" s="1"/>
  <c r="H168" i="8"/>
  <c r="G168" i="8"/>
  <c r="F168" i="8"/>
  <c r="E168" i="8"/>
  <c r="D168" i="8"/>
  <c r="C168" i="8"/>
  <c r="W168" i="8" s="1"/>
  <c r="B168" i="8"/>
  <c r="A168" i="8"/>
  <c r="J167" i="8"/>
  <c r="I167" i="8"/>
  <c r="X167" i="8" s="1"/>
  <c r="E196" i="6" s="1"/>
  <c r="H167" i="8"/>
  <c r="G167" i="8"/>
  <c r="F167" i="8"/>
  <c r="E167" i="8"/>
  <c r="D167" i="8"/>
  <c r="C167" i="8"/>
  <c r="W167" i="8" s="1"/>
  <c r="B167" i="8"/>
  <c r="A167" i="8"/>
  <c r="J166" i="8"/>
  <c r="I166" i="8"/>
  <c r="X166" i="8" s="1"/>
  <c r="E195" i="6" s="1"/>
  <c r="H166" i="8"/>
  <c r="G166" i="8"/>
  <c r="F166" i="8"/>
  <c r="E166" i="8"/>
  <c r="D166" i="8"/>
  <c r="C166" i="8"/>
  <c r="W166" i="8" s="1"/>
  <c r="B166" i="8"/>
  <c r="A166" i="8"/>
  <c r="J165" i="8"/>
  <c r="I165" i="8"/>
  <c r="X165" i="8" s="1"/>
  <c r="E194" i="6" s="1"/>
  <c r="H165" i="8"/>
  <c r="G165" i="8"/>
  <c r="F165" i="8"/>
  <c r="E165" i="8"/>
  <c r="D165" i="8"/>
  <c r="C165" i="8"/>
  <c r="W165" i="8" s="1"/>
  <c r="B165" i="8"/>
  <c r="A165" i="8"/>
  <c r="J164" i="8"/>
  <c r="I164" i="8"/>
  <c r="X164" i="8" s="1"/>
  <c r="E193" i="6" s="1"/>
  <c r="H164" i="8"/>
  <c r="G164" i="8"/>
  <c r="F164" i="8"/>
  <c r="E164" i="8"/>
  <c r="D164" i="8"/>
  <c r="C164" i="8"/>
  <c r="W164" i="8" s="1"/>
  <c r="B164" i="8"/>
  <c r="A164" i="8"/>
  <c r="J163" i="8"/>
  <c r="I163" i="8"/>
  <c r="X163" i="8" s="1"/>
  <c r="E192" i="6" s="1"/>
  <c r="H163" i="8"/>
  <c r="G163" i="8"/>
  <c r="F163" i="8"/>
  <c r="E163" i="8"/>
  <c r="D163" i="8"/>
  <c r="C163" i="8"/>
  <c r="W163" i="8" s="1"/>
  <c r="B163" i="8"/>
  <c r="A163" i="8"/>
  <c r="J162" i="8"/>
  <c r="I162" i="8"/>
  <c r="X162" i="8" s="1"/>
  <c r="E191" i="6" s="1"/>
  <c r="H162" i="8"/>
  <c r="G162" i="8"/>
  <c r="F162" i="8"/>
  <c r="E162" i="8"/>
  <c r="D162" i="8"/>
  <c r="C162" i="8"/>
  <c r="W162" i="8" s="1"/>
  <c r="B162" i="8"/>
  <c r="A162" i="8"/>
  <c r="J161" i="8"/>
  <c r="I161" i="8"/>
  <c r="X161" i="8" s="1"/>
  <c r="E190" i="6" s="1"/>
  <c r="H161" i="8"/>
  <c r="G161" i="8"/>
  <c r="F161" i="8"/>
  <c r="E161" i="8"/>
  <c r="D161" i="8"/>
  <c r="C161" i="8"/>
  <c r="W161" i="8" s="1"/>
  <c r="B161" i="8"/>
  <c r="A161" i="8"/>
  <c r="J160" i="8"/>
  <c r="I160" i="8"/>
  <c r="X160" i="8" s="1"/>
  <c r="E189" i="6" s="1"/>
  <c r="H160" i="8"/>
  <c r="G160" i="8"/>
  <c r="F160" i="8"/>
  <c r="E160" i="8"/>
  <c r="D160" i="8"/>
  <c r="C160" i="8"/>
  <c r="W160" i="8" s="1"/>
  <c r="B160" i="8"/>
  <c r="A160" i="8"/>
  <c r="J159" i="8"/>
  <c r="I159" i="8"/>
  <c r="X159" i="8" s="1"/>
  <c r="E188" i="6" s="1"/>
  <c r="H159" i="8"/>
  <c r="G159" i="8"/>
  <c r="F159" i="8"/>
  <c r="E159" i="8"/>
  <c r="D159" i="8"/>
  <c r="C159" i="8"/>
  <c r="W159" i="8" s="1"/>
  <c r="B159" i="8"/>
  <c r="A159" i="8"/>
  <c r="J158" i="8"/>
  <c r="I158" i="8"/>
  <c r="X158" i="8" s="1"/>
  <c r="E187" i="6" s="1"/>
  <c r="H158" i="8"/>
  <c r="G158" i="8"/>
  <c r="F158" i="8"/>
  <c r="E158" i="8"/>
  <c r="D158" i="8"/>
  <c r="C158" i="8"/>
  <c r="W158" i="8" s="1"/>
  <c r="B158" i="8"/>
  <c r="A158" i="8"/>
  <c r="J157" i="8"/>
  <c r="I157" i="8"/>
  <c r="X157" i="8" s="1"/>
  <c r="E186" i="6" s="1"/>
  <c r="H157" i="8"/>
  <c r="G157" i="8"/>
  <c r="F157" i="8"/>
  <c r="E157" i="8"/>
  <c r="D157" i="8"/>
  <c r="C157" i="8"/>
  <c r="W157" i="8" s="1"/>
  <c r="B157" i="8"/>
  <c r="A157" i="8"/>
  <c r="J156" i="8"/>
  <c r="I156" i="8"/>
  <c r="X156" i="8" s="1"/>
  <c r="E185" i="6" s="1"/>
  <c r="H156" i="8"/>
  <c r="G156" i="8"/>
  <c r="F156" i="8"/>
  <c r="E156" i="8"/>
  <c r="D156" i="8"/>
  <c r="C156" i="8"/>
  <c r="W156" i="8" s="1"/>
  <c r="B156" i="8"/>
  <c r="A156" i="8"/>
  <c r="J155" i="8"/>
  <c r="I155" i="8"/>
  <c r="X155" i="8" s="1"/>
  <c r="E184" i="6" s="1"/>
  <c r="H155" i="8"/>
  <c r="G155" i="8"/>
  <c r="F155" i="8"/>
  <c r="E155" i="8"/>
  <c r="D155" i="8"/>
  <c r="C155" i="8"/>
  <c r="W155" i="8" s="1"/>
  <c r="B155" i="8"/>
  <c r="A155" i="8"/>
  <c r="J154" i="8"/>
  <c r="I154" i="8"/>
  <c r="X154" i="8" s="1"/>
  <c r="E183" i="6" s="1"/>
  <c r="H154" i="8"/>
  <c r="G154" i="8"/>
  <c r="F154" i="8"/>
  <c r="E154" i="8"/>
  <c r="D154" i="8"/>
  <c r="C154" i="8"/>
  <c r="W154" i="8" s="1"/>
  <c r="B154" i="8"/>
  <c r="A154" i="8"/>
  <c r="J153" i="8"/>
  <c r="I153" i="8"/>
  <c r="X153" i="8" s="1"/>
  <c r="E182" i="6" s="1"/>
  <c r="H153" i="8"/>
  <c r="G153" i="8"/>
  <c r="F153" i="8"/>
  <c r="E153" i="8"/>
  <c r="D153" i="8"/>
  <c r="C153" i="8"/>
  <c r="W153" i="8" s="1"/>
  <c r="B153" i="8"/>
  <c r="A153" i="8"/>
  <c r="J152" i="8"/>
  <c r="I152" i="8"/>
  <c r="X152" i="8" s="1"/>
  <c r="E181" i="6" s="1"/>
  <c r="H152" i="8"/>
  <c r="G152" i="8"/>
  <c r="F152" i="8"/>
  <c r="E152" i="8"/>
  <c r="D152" i="8"/>
  <c r="C152" i="8"/>
  <c r="W152" i="8" s="1"/>
  <c r="B152" i="8"/>
  <c r="A152" i="8"/>
  <c r="J151" i="8"/>
  <c r="I151" i="8"/>
  <c r="X151" i="8" s="1"/>
  <c r="E180" i="6" s="1"/>
  <c r="H151" i="8"/>
  <c r="G151" i="8"/>
  <c r="F151" i="8"/>
  <c r="E151" i="8"/>
  <c r="D151" i="8"/>
  <c r="C151" i="8"/>
  <c r="W151" i="8" s="1"/>
  <c r="B151" i="8"/>
  <c r="A151" i="8"/>
  <c r="J150" i="8"/>
  <c r="I150" i="8"/>
  <c r="X150" i="8" s="1"/>
  <c r="E179" i="6" s="1"/>
  <c r="H150" i="8"/>
  <c r="G150" i="8"/>
  <c r="F150" i="8"/>
  <c r="E150" i="8"/>
  <c r="D150" i="8"/>
  <c r="C150" i="8"/>
  <c r="W150" i="8" s="1"/>
  <c r="B150" i="8"/>
  <c r="A150" i="8"/>
  <c r="J149" i="8"/>
  <c r="I149" i="8"/>
  <c r="X149" i="8" s="1"/>
  <c r="E178" i="6" s="1"/>
  <c r="H149" i="8"/>
  <c r="G149" i="8"/>
  <c r="F149" i="8"/>
  <c r="E149" i="8"/>
  <c r="D149" i="8"/>
  <c r="C149" i="8"/>
  <c r="W149" i="8" s="1"/>
  <c r="B149" i="8"/>
  <c r="A149" i="8"/>
  <c r="J148" i="8"/>
  <c r="I148" i="8"/>
  <c r="X148" i="8" s="1"/>
  <c r="E177" i="6" s="1"/>
  <c r="H148" i="8"/>
  <c r="G148" i="8"/>
  <c r="F148" i="8"/>
  <c r="E148" i="8"/>
  <c r="D148" i="8"/>
  <c r="C148" i="8"/>
  <c r="W148" i="8" s="1"/>
  <c r="B148" i="8"/>
  <c r="A148" i="8"/>
  <c r="J147" i="8"/>
  <c r="I147" i="8"/>
  <c r="X147" i="8" s="1"/>
  <c r="E176" i="6" s="1"/>
  <c r="H147" i="8"/>
  <c r="G147" i="8"/>
  <c r="F147" i="8"/>
  <c r="E147" i="8"/>
  <c r="D147" i="8"/>
  <c r="C147" i="8"/>
  <c r="W147" i="8" s="1"/>
  <c r="B147" i="8"/>
  <c r="A147" i="8"/>
  <c r="J146" i="8"/>
  <c r="I146" i="8"/>
  <c r="X146" i="8" s="1"/>
  <c r="E175" i="6" s="1"/>
  <c r="H146" i="8"/>
  <c r="G146" i="8"/>
  <c r="F146" i="8"/>
  <c r="E146" i="8"/>
  <c r="D146" i="8"/>
  <c r="C146" i="8"/>
  <c r="W146" i="8" s="1"/>
  <c r="B146" i="8"/>
  <c r="A146" i="8"/>
  <c r="J145" i="8"/>
  <c r="I145" i="8"/>
  <c r="X145" i="8" s="1"/>
  <c r="E174" i="6" s="1"/>
  <c r="H145" i="8"/>
  <c r="G145" i="8"/>
  <c r="F145" i="8"/>
  <c r="E145" i="8"/>
  <c r="D145" i="8"/>
  <c r="C145" i="8"/>
  <c r="W145" i="8" s="1"/>
  <c r="B145" i="8"/>
  <c r="A145" i="8"/>
  <c r="J144" i="8"/>
  <c r="I144" i="8"/>
  <c r="X144" i="8" s="1"/>
  <c r="E173" i="6" s="1"/>
  <c r="H144" i="8"/>
  <c r="G144" i="8"/>
  <c r="F144" i="8"/>
  <c r="E144" i="8"/>
  <c r="D144" i="8"/>
  <c r="C144" i="8"/>
  <c r="W144" i="8" s="1"/>
  <c r="B144" i="8"/>
  <c r="A144" i="8"/>
  <c r="J143" i="8"/>
  <c r="I143" i="8"/>
  <c r="X143" i="8" s="1"/>
  <c r="E172" i="6" s="1"/>
  <c r="H143" i="8"/>
  <c r="G143" i="8"/>
  <c r="F143" i="8"/>
  <c r="E143" i="8"/>
  <c r="D143" i="8"/>
  <c r="C143" i="8"/>
  <c r="W143" i="8" s="1"/>
  <c r="B143" i="8"/>
  <c r="A143" i="8"/>
  <c r="J142" i="8"/>
  <c r="I142" i="8"/>
  <c r="X142" i="8" s="1"/>
  <c r="E171" i="6" s="1"/>
  <c r="H142" i="8"/>
  <c r="G142" i="8"/>
  <c r="F142" i="8"/>
  <c r="E142" i="8"/>
  <c r="D142" i="8"/>
  <c r="C142" i="8"/>
  <c r="W142" i="8" s="1"/>
  <c r="B142" i="8"/>
  <c r="A142" i="8"/>
  <c r="J141" i="8"/>
  <c r="I141" i="8"/>
  <c r="X141" i="8" s="1"/>
  <c r="E170" i="6" s="1"/>
  <c r="H141" i="8"/>
  <c r="G141" i="8"/>
  <c r="F141" i="8"/>
  <c r="E141" i="8"/>
  <c r="D141" i="8"/>
  <c r="C141" i="8"/>
  <c r="W141" i="8" s="1"/>
  <c r="B141" i="8"/>
  <c r="A141" i="8"/>
  <c r="J140" i="8"/>
  <c r="I140" i="8"/>
  <c r="X140" i="8" s="1"/>
  <c r="E169" i="6" s="1"/>
  <c r="H140" i="8"/>
  <c r="G140" i="8"/>
  <c r="F140" i="8"/>
  <c r="E140" i="8"/>
  <c r="D140" i="8"/>
  <c r="C140" i="8"/>
  <c r="W140" i="8" s="1"/>
  <c r="B140" i="8"/>
  <c r="A140" i="8"/>
  <c r="J139" i="8"/>
  <c r="I139" i="8"/>
  <c r="X139" i="8" s="1"/>
  <c r="E168" i="6" s="1"/>
  <c r="H139" i="8"/>
  <c r="G139" i="8"/>
  <c r="F139" i="8"/>
  <c r="E139" i="8"/>
  <c r="D139" i="8"/>
  <c r="C139" i="8"/>
  <c r="W139" i="8" s="1"/>
  <c r="B139" i="8"/>
  <c r="A139" i="8"/>
  <c r="J138" i="8"/>
  <c r="I138" i="8"/>
  <c r="X138" i="8" s="1"/>
  <c r="E167" i="6" s="1"/>
  <c r="H138" i="8"/>
  <c r="G138" i="8"/>
  <c r="F138" i="8"/>
  <c r="E138" i="8"/>
  <c r="D138" i="8"/>
  <c r="C138" i="8"/>
  <c r="W138" i="8" s="1"/>
  <c r="B138" i="8"/>
  <c r="A138" i="8"/>
  <c r="J137" i="8"/>
  <c r="I137" i="8"/>
  <c r="X137" i="8" s="1"/>
  <c r="E166" i="6" s="1"/>
  <c r="H137" i="8"/>
  <c r="G137" i="8"/>
  <c r="F137" i="8"/>
  <c r="E137" i="8"/>
  <c r="D137" i="8"/>
  <c r="C137" i="8"/>
  <c r="W137" i="8" s="1"/>
  <c r="B137" i="8"/>
  <c r="A137" i="8"/>
  <c r="J136" i="8"/>
  <c r="I136" i="8"/>
  <c r="X136" i="8" s="1"/>
  <c r="E165" i="6" s="1"/>
  <c r="H136" i="8"/>
  <c r="G136" i="8"/>
  <c r="F136" i="8"/>
  <c r="E136" i="8"/>
  <c r="D136" i="8"/>
  <c r="C136" i="8"/>
  <c r="W136" i="8" s="1"/>
  <c r="B136" i="8"/>
  <c r="A136" i="8"/>
  <c r="J135" i="8"/>
  <c r="I135" i="8"/>
  <c r="X135" i="8" s="1"/>
  <c r="E164" i="6" s="1"/>
  <c r="H135" i="8"/>
  <c r="G135" i="8"/>
  <c r="F135" i="8"/>
  <c r="E135" i="8"/>
  <c r="D135" i="8"/>
  <c r="C135" i="8"/>
  <c r="W135" i="8" s="1"/>
  <c r="B135" i="8"/>
  <c r="A135" i="8"/>
  <c r="J134" i="8"/>
  <c r="I134" i="8"/>
  <c r="X134" i="8" s="1"/>
  <c r="E163" i="6" s="1"/>
  <c r="H134" i="8"/>
  <c r="G134" i="8"/>
  <c r="F134" i="8"/>
  <c r="E134" i="8"/>
  <c r="D134" i="8"/>
  <c r="C134" i="8"/>
  <c r="W134" i="8" s="1"/>
  <c r="B134" i="8"/>
  <c r="A134" i="8"/>
  <c r="J133" i="8"/>
  <c r="I133" i="8"/>
  <c r="X133" i="8" s="1"/>
  <c r="E162" i="6" s="1"/>
  <c r="H133" i="8"/>
  <c r="G133" i="8"/>
  <c r="F133" i="8"/>
  <c r="E133" i="8"/>
  <c r="D133" i="8"/>
  <c r="C133" i="8"/>
  <c r="W133" i="8" s="1"/>
  <c r="B133" i="8"/>
  <c r="A133" i="8"/>
  <c r="J132" i="8"/>
  <c r="I132" i="8"/>
  <c r="X132" i="8" s="1"/>
  <c r="E161" i="6" s="1"/>
  <c r="H132" i="8"/>
  <c r="G132" i="8"/>
  <c r="F132" i="8"/>
  <c r="E132" i="8"/>
  <c r="D132" i="8"/>
  <c r="C132" i="8"/>
  <c r="W132" i="8" s="1"/>
  <c r="B132" i="8"/>
  <c r="A132" i="8"/>
  <c r="J131" i="8"/>
  <c r="I131" i="8"/>
  <c r="X131" i="8" s="1"/>
  <c r="E160" i="6" s="1"/>
  <c r="H131" i="8"/>
  <c r="G131" i="8"/>
  <c r="F131" i="8"/>
  <c r="E131" i="8"/>
  <c r="D131" i="8"/>
  <c r="C131" i="8"/>
  <c r="W131" i="8" s="1"/>
  <c r="B131" i="8"/>
  <c r="A131" i="8"/>
  <c r="J130" i="8"/>
  <c r="I130" i="8"/>
  <c r="X130" i="8" s="1"/>
  <c r="E159" i="6" s="1"/>
  <c r="H130" i="8"/>
  <c r="G130" i="8"/>
  <c r="F130" i="8"/>
  <c r="E130" i="8"/>
  <c r="D130" i="8"/>
  <c r="C130" i="8"/>
  <c r="W130" i="8" s="1"/>
  <c r="B130" i="8"/>
  <c r="A130" i="8"/>
  <c r="J129" i="8"/>
  <c r="I129" i="8"/>
  <c r="X129" i="8" s="1"/>
  <c r="E158" i="6" s="1"/>
  <c r="H129" i="8"/>
  <c r="G129" i="8"/>
  <c r="F129" i="8"/>
  <c r="E129" i="8"/>
  <c r="D129" i="8"/>
  <c r="C129" i="8"/>
  <c r="W129" i="8" s="1"/>
  <c r="B129" i="8"/>
  <c r="A129" i="8"/>
  <c r="J128" i="8"/>
  <c r="I128" i="8"/>
  <c r="X128" i="8" s="1"/>
  <c r="E157" i="6" s="1"/>
  <c r="H128" i="8"/>
  <c r="G128" i="8"/>
  <c r="F128" i="8"/>
  <c r="E128" i="8"/>
  <c r="D128" i="8"/>
  <c r="C128" i="8"/>
  <c r="W128" i="8" s="1"/>
  <c r="B128" i="8"/>
  <c r="A128" i="8"/>
  <c r="J127" i="8"/>
  <c r="I127" i="8"/>
  <c r="X127" i="8" s="1"/>
  <c r="E156" i="6" s="1"/>
  <c r="H127" i="8"/>
  <c r="G127" i="8"/>
  <c r="F127" i="8"/>
  <c r="E127" i="8"/>
  <c r="D127" i="8"/>
  <c r="C127" i="8"/>
  <c r="W127" i="8" s="1"/>
  <c r="B127" i="8"/>
  <c r="A127" i="8"/>
  <c r="J126" i="8"/>
  <c r="I126" i="8"/>
  <c r="X126" i="8" s="1"/>
  <c r="E155" i="6" s="1"/>
  <c r="H126" i="8"/>
  <c r="G126" i="8"/>
  <c r="F126" i="8"/>
  <c r="E126" i="8"/>
  <c r="D126" i="8"/>
  <c r="C126" i="8"/>
  <c r="W126" i="8" s="1"/>
  <c r="B126" i="8"/>
  <c r="A126" i="8"/>
  <c r="J125" i="8"/>
  <c r="I125" i="8"/>
  <c r="X125" i="8" s="1"/>
  <c r="E154" i="6" s="1"/>
  <c r="H125" i="8"/>
  <c r="G125" i="8"/>
  <c r="F125" i="8"/>
  <c r="E125" i="8"/>
  <c r="D125" i="8"/>
  <c r="C125" i="8"/>
  <c r="W125" i="8" s="1"/>
  <c r="B125" i="8"/>
  <c r="A125" i="8"/>
  <c r="J124" i="8"/>
  <c r="I124" i="8"/>
  <c r="X124" i="8" s="1"/>
  <c r="E153" i="6" s="1"/>
  <c r="H124" i="8"/>
  <c r="G124" i="8"/>
  <c r="F124" i="8"/>
  <c r="E124" i="8"/>
  <c r="D124" i="8"/>
  <c r="C124" i="8"/>
  <c r="W124" i="8" s="1"/>
  <c r="B124" i="8"/>
  <c r="A124" i="8"/>
  <c r="J123" i="8"/>
  <c r="I123" i="8"/>
  <c r="X123" i="8" s="1"/>
  <c r="E152" i="6" s="1"/>
  <c r="H123" i="8"/>
  <c r="G123" i="8"/>
  <c r="F123" i="8"/>
  <c r="E123" i="8"/>
  <c r="D123" i="8"/>
  <c r="C123" i="8"/>
  <c r="W123" i="8" s="1"/>
  <c r="B123" i="8"/>
  <c r="A123" i="8"/>
  <c r="J122" i="8"/>
  <c r="I122" i="8"/>
  <c r="X122" i="8" s="1"/>
  <c r="E151" i="6" s="1"/>
  <c r="H122" i="8"/>
  <c r="G122" i="8"/>
  <c r="F122" i="8"/>
  <c r="E122" i="8"/>
  <c r="D122" i="8"/>
  <c r="C122" i="8"/>
  <c r="W122" i="8" s="1"/>
  <c r="B122" i="8"/>
  <c r="A122" i="8"/>
  <c r="J121" i="8"/>
  <c r="I121" i="8"/>
  <c r="X121" i="8" s="1"/>
  <c r="E150" i="6" s="1"/>
  <c r="H121" i="8"/>
  <c r="G121" i="8"/>
  <c r="F121" i="8"/>
  <c r="E121" i="8"/>
  <c r="D121" i="8"/>
  <c r="C121" i="8"/>
  <c r="W121" i="8" s="1"/>
  <c r="B121" i="8"/>
  <c r="A121" i="8"/>
  <c r="J120" i="8"/>
  <c r="I120" i="8"/>
  <c r="X120" i="8" s="1"/>
  <c r="E149" i="6" s="1"/>
  <c r="H120" i="8"/>
  <c r="G120" i="8"/>
  <c r="F120" i="8"/>
  <c r="E120" i="8"/>
  <c r="D120" i="8"/>
  <c r="C120" i="8"/>
  <c r="W120" i="8" s="1"/>
  <c r="B120" i="8"/>
  <c r="A120" i="8"/>
  <c r="J119" i="8"/>
  <c r="I119" i="8"/>
  <c r="X119" i="8" s="1"/>
  <c r="E148" i="6" s="1"/>
  <c r="H119" i="8"/>
  <c r="G119" i="8"/>
  <c r="F119" i="8"/>
  <c r="E119" i="8"/>
  <c r="D119" i="8"/>
  <c r="C119" i="8"/>
  <c r="W119" i="8" s="1"/>
  <c r="B119" i="8"/>
  <c r="A119" i="8"/>
  <c r="J118" i="8"/>
  <c r="I118" i="8"/>
  <c r="X118" i="8" s="1"/>
  <c r="E147" i="6" s="1"/>
  <c r="H118" i="8"/>
  <c r="G118" i="8"/>
  <c r="F118" i="8"/>
  <c r="E118" i="8"/>
  <c r="D118" i="8"/>
  <c r="C118" i="8"/>
  <c r="W118" i="8" s="1"/>
  <c r="B118" i="8"/>
  <c r="A118" i="8"/>
  <c r="J117" i="8"/>
  <c r="I117" i="8"/>
  <c r="X117" i="8" s="1"/>
  <c r="E146" i="6" s="1"/>
  <c r="H117" i="8"/>
  <c r="G117" i="8"/>
  <c r="F117" i="8"/>
  <c r="E117" i="8"/>
  <c r="D117" i="8"/>
  <c r="C117" i="8"/>
  <c r="W117" i="8" s="1"/>
  <c r="B117" i="8"/>
  <c r="A117" i="8"/>
  <c r="J116" i="8"/>
  <c r="I116" i="8"/>
  <c r="X116" i="8" s="1"/>
  <c r="E145" i="6" s="1"/>
  <c r="H116" i="8"/>
  <c r="G116" i="8"/>
  <c r="F116" i="8"/>
  <c r="E116" i="8"/>
  <c r="D116" i="8"/>
  <c r="C116" i="8"/>
  <c r="W116" i="8" s="1"/>
  <c r="B116" i="8"/>
  <c r="A116" i="8"/>
  <c r="J115" i="8"/>
  <c r="I115" i="8"/>
  <c r="X115" i="8" s="1"/>
  <c r="E144" i="6" s="1"/>
  <c r="H115" i="8"/>
  <c r="G115" i="8"/>
  <c r="F115" i="8"/>
  <c r="E115" i="8"/>
  <c r="D115" i="8"/>
  <c r="C115" i="8"/>
  <c r="W115" i="8" s="1"/>
  <c r="B115" i="8"/>
  <c r="A115" i="8"/>
  <c r="J114" i="8"/>
  <c r="I114" i="8"/>
  <c r="X114" i="8" s="1"/>
  <c r="E143" i="6" s="1"/>
  <c r="H114" i="8"/>
  <c r="G114" i="8"/>
  <c r="F114" i="8"/>
  <c r="E114" i="8"/>
  <c r="D114" i="8"/>
  <c r="C114" i="8"/>
  <c r="W114" i="8" s="1"/>
  <c r="B114" i="8"/>
  <c r="A114" i="8"/>
  <c r="J113" i="8"/>
  <c r="I113" i="8"/>
  <c r="X113" i="8" s="1"/>
  <c r="E142" i="6" s="1"/>
  <c r="H113" i="8"/>
  <c r="G113" i="8"/>
  <c r="F113" i="8"/>
  <c r="E113" i="8"/>
  <c r="D113" i="8"/>
  <c r="C113" i="8"/>
  <c r="W113" i="8" s="1"/>
  <c r="B113" i="8"/>
  <c r="A113" i="8"/>
  <c r="J112" i="8"/>
  <c r="I112" i="8"/>
  <c r="X112" i="8" s="1"/>
  <c r="E141" i="6" s="1"/>
  <c r="H112" i="8"/>
  <c r="G112" i="8"/>
  <c r="F112" i="8"/>
  <c r="E112" i="8"/>
  <c r="D112" i="8"/>
  <c r="C112" i="8"/>
  <c r="W112" i="8" s="1"/>
  <c r="B112" i="8"/>
  <c r="A112" i="8"/>
  <c r="J111" i="8"/>
  <c r="I111" i="8"/>
  <c r="X111" i="8" s="1"/>
  <c r="E140" i="6" s="1"/>
  <c r="H111" i="8"/>
  <c r="G111" i="8"/>
  <c r="F111" i="8"/>
  <c r="E111" i="8"/>
  <c r="D111" i="8"/>
  <c r="C111" i="8"/>
  <c r="W111" i="8" s="1"/>
  <c r="B111" i="8"/>
  <c r="A111" i="8"/>
  <c r="J110" i="8"/>
  <c r="I110" i="8"/>
  <c r="X110" i="8" s="1"/>
  <c r="E139" i="6" s="1"/>
  <c r="H110" i="8"/>
  <c r="G110" i="8"/>
  <c r="F110" i="8"/>
  <c r="E110" i="8"/>
  <c r="D110" i="8"/>
  <c r="C110" i="8"/>
  <c r="W110" i="8" s="1"/>
  <c r="B110" i="8"/>
  <c r="A110" i="8"/>
  <c r="J109" i="8"/>
  <c r="I109" i="8"/>
  <c r="X109" i="8" s="1"/>
  <c r="E138" i="6" s="1"/>
  <c r="H109" i="8"/>
  <c r="G109" i="8"/>
  <c r="F109" i="8"/>
  <c r="E109" i="8"/>
  <c r="D109" i="8"/>
  <c r="C109" i="8"/>
  <c r="W109" i="8" s="1"/>
  <c r="B109" i="8"/>
  <c r="A109" i="8"/>
  <c r="J108" i="8"/>
  <c r="I108" i="8"/>
  <c r="X108" i="8" s="1"/>
  <c r="E137" i="6" s="1"/>
  <c r="H108" i="8"/>
  <c r="G108" i="8"/>
  <c r="F108" i="8"/>
  <c r="E108" i="8"/>
  <c r="D108" i="8"/>
  <c r="C108" i="8"/>
  <c r="W108" i="8" s="1"/>
  <c r="B108" i="8"/>
  <c r="A108" i="8"/>
  <c r="J107" i="8"/>
  <c r="I107" i="8"/>
  <c r="X107" i="8" s="1"/>
  <c r="E136" i="6" s="1"/>
  <c r="H107" i="8"/>
  <c r="G107" i="8"/>
  <c r="F107" i="8"/>
  <c r="E107" i="8"/>
  <c r="D107" i="8"/>
  <c r="C107" i="8"/>
  <c r="W107" i="8" s="1"/>
  <c r="B107" i="8"/>
  <c r="A107" i="8"/>
  <c r="J106" i="8"/>
  <c r="I106" i="8"/>
  <c r="X106" i="8" s="1"/>
  <c r="E135" i="6" s="1"/>
  <c r="H106" i="8"/>
  <c r="G106" i="8"/>
  <c r="F106" i="8"/>
  <c r="E106" i="8"/>
  <c r="D106" i="8"/>
  <c r="C106" i="8"/>
  <c r="W106" i="8" s="1"/>
  <c r="B106" i="8"/>
  <c r="A106" i="8"/>
  <c r="J105" i="8"/>
  <c r="I105" i="8"/>
  <c r="X105" i="8" s="1"/>
  <c r="E134" i="6" s="1"/>
  <c r="H105" i="8"/>
  <c r="G105" i="8"/>
  <c r="F105" i="8"/>
  <c r="E105" i="8"/>
  <c r="D105" i="8"/>
  <c r="C105" i="8"/>
  <c r="W105" i="8" s="1"/>
  <c r="B105" i="8"/>
  <c r="A105" i="8"/>
  <c r="J104" i="8"/>
  <c r="I104" i="8"/>
  <c r="X104" i="8" s="1"/>
  <c r="E133" i="6" s="1"/>
  <c r="H104" i="8"/>
  <c r="G104" i="8"/>
  <c r="F104" i="8"/>
  <c r="E104" i="8"/>
  <c r="D104" i="8"/>
  <c r="C104" i="8"/>
  <c r="W104" i="8" s="1"/>
  <c r="B104" i="8"/>
  <c r="A104" i="8"/>
  <c r="J103" i="8"/>
  <c r="I103" i="8"/>
  <c r="X103" i="8" s="1"/>
  <c r="E132" i="6" s="1"/>
  <c r="H103" i="8"/>
  <c r="G103" i="8"/>
  <c r="F103" i="8"/>
  <c r="E103" i="8"/>
  <c r="D103" i="8"/>
  <c r="C103" i="8"/>
  <c r="W103" i="8" s="1"/>
  <c r="B103" i="8"/>
  <c r="A103" i="8"/>
  <c r="J102" i="8"/>
  <c r="I102" i="8"/>
  <c r="X102" i="8" s="1"/>
  <c r="E131" i="6" s="1"/>
  <c r="H102" i="8"/>
  <c r="G102" i="8"/>
  <c r="F102" i="8"/>
  <c r="E102" i="8"/>
  <c r="D102" i="8"/>
  <c r="C102" i="8"/>
  <c r="W102" i="8" s="1"/>
  <c r="B102" i="8"/>
  <c r="A102" i="8"/>
  <c r="J101" i="8"/>
  <c r="I101" i="8"/>
  <c r="X101" i="8" s="1"/>
  <c r="E130" i="6" s="1"/>
  <c r="H101" i="8"/>
  <c r="G101" i="8"/>
  <c r="F101" i="8"/>
  <c r="E101" i="8"/>
  <c r="D101" i="8"/>
  <c r="C101" i="8"/>
  <c r="W101" i="8" s="1"/>
  <c r="B101" i="8"/>
  <c r="A101" i="8"/>
  <c r="J100" i="8"/>
  <c r="I100" i="8"/>
  <c r="X100" i="8" s="1"/>
  <c r="E129" i="6" s="1"/>
  <c r="H100" i="8"/>
  <c r="G100" i="8"/>
  <c r="F100" i="8"/>
  <c r="E100" i="8"/>
  <c r="D100" i="8"/>
  <c r="C100" i="8"/>
  <c r="W100" i="8" s="1"/>
  <c r="B100" i="8"/>
  <c r="A100" i="8"/>
  <c r="J99" i="8"/>
  <c r="I99" i="8"/>
  <c r="X99" i="8" s="1"/>
  <c r="E128" i="6" s="1"/>
  <c r="H99" i="8"/>
  <c r="G99" i="8"/>
  <c r="F99" i="8"/>
  <c r="E99" i="8"/>
  <c r="D99" i="8"/>
  <c r="C99" i="8"/>
  <c r="W99" i="8" s="1"/>
  <c r="B99" i="8"/>
  <c r="A99" i="8"/>
  <c r="J98" i="8"/>
  <c r="I98" i="8"/>
  <c r="X98" i="8" s="1"/>
  <c r="E127" i="6" s="1"/>
  <c r="H98" i="8"/>
  <c r="G98" i="8"/>
  <c r="F98" i="8"/>
  <c r="E98" i="8"/>
  <c r="D98" i="8"/>
  <c r="C98" i="8"/>
  <c r="W98" i="8" s="1"/>
  <c r="B98" i="8"/>
  <c r="A98" i="8"/>
  <c r="J97" i="8"/>
  <c r="I97" i="8"/>
  <c r="X97" i="8" s="1"/>
  <c r="E126" i="6" s="1"/>
  <c r="H97" i="8"/>
  <c r="G97" i="8"/>
  <c r="F97" i="8"/>
  <c r="E97" i="8"/>
  <c r="D97" i="8"/>
  <c r="C97" i="8"/>
  <c r="W97" i="8" s="1"/>
  <c r="B97" i="8"/>
  <c r="A97" i="8"/>
  <c r="J96" i="8"/>
  <c r="I96" i="8"/>
  <c r="X96" i="8" s="1"/>
  <c r="E125" i="6" s="1"/>
  <c r="H96" i="8"/>
  <c r="G96" i="8"/>
  <c r="F96" i="8"/>
  <c r="E96" i="8"/>
  <c r="D96" i="8"/>
  <c r="C96" i="8"/>
  <c r="W96" i="8" s="1"/>
  <c r="B96" i="8"/>
  <c r="A96" i="8"/>
  <c r="J95" i="8"/>
  <c r="I95" i="8"/>
  <c r="X95" i="8" s="1"/>
  <c r="E124" i="6" s="1"/>
  <c r="H95" i="8"/>
  <c r="G95" i="8"/>
  <c r="F95" i="8"/>
  <c r="E95" i="8"/>
  <c r="D95" i="8"/>
  <c r="C95" i="8"/>
  <c r="W95" i="8" s="1"/>
  <c r="B95" i="8"/>
  <c r="A95" i="8"/>
  <c r="J94" i="8"/>
  <c r="I94" i="8"/>
  <c r="X94" i="8" s="1"/>
  <c r="E123" i="6" s="1"/>
  <c r="H94" i="8"/>
  <c r="G94" i="8"/>
  <c r="F94" i="8"/>
  <c r="E94" i="8"/>
  <c r="D94" i="8"/>
  <c r="C94" i="8"/>
  <c r="W94" i="8" s="1"/>
  <c r="B94" i="8"/>
  <c r="A94" i="8"/>
  <c r="J93" i="8"/>
  <c r="I93" i="8"/>
  <c r="X93" i="8" s="1"/>
  <c r="E122" i="6" s="1"/>
  <c r="H93" i="8"/>
  <c r="G93" i="8"/>
  <c r="F93" i="8"/>
  <c r="E93" i="8"/>
  <c r="D93" i="8"/>
  <c r="C93" i="8"/>
  <c r="W93" i="8" s="1"/>
  <c r="B93" i="8"/>
  <c r="A93" i="8"/>
  <c r="J92" i="8"/>
  <c r="I92" i="8"/>
  <c r="X92" i="8" s="1"/>
  <c r="E121" i="6" s="1"/>
  <c r="H92" i="8"/>
  <c r="G92" i="8"/>
  <c r="F92" i="8"/>
  <c r="E92" i="8"/>
  <c r="D92" i="8"/>
  <c r="C92" i="8"/>
  <c r="W92" i="8" s="1"/>
  <c r="B92" i="8"/>
  <c r="A92" i="8"/>
  <c r="J91" i="8"/>
  <c r="I91" i="8"/>
  <c r="X91" i="8" s="1"/>
  <c r="E120" i="6" s="1"/>
  <c r="H91" i="8"/>
  <c r="G91" i="8"/>
  <c r="F91" i="8"/>
  <c r="E91" i="8"/>
  <c r="D91" i="8"/>
  <c r="C91" i="8"/>
  <c r="W91" i="8" s="1"/>
  <c r="B91" i="8"/>
  <c r="A91" i="8"/>
  <c r="J90" i="8"/>
  <c r="I90" i="8"/>
  <c r="X90" i="8" s="1"/>
  <c r="E119" i="6" s="1"/>
  <c r="H90" i="8"/>
  <c r="G90" i="8"/>
  <c r="F90" i="8"/>
  <c r="E90" i="8"/>
  <c r="D90" i="8"/>
  <c r="C90" i="8"/>
  <c r="W90" i="8" s="1"/>
  <c r="B90" i="8"/>
  <c r="A90" i="8"/>
  <c r="J89" i="8"/>
  <c r="I89" i="8"/>
  <c r="X89" i="8" s="1"/>
  <c r="E118" i="6" s="1"/>
  <c r="H89" i="8"/>
  <c r="G89" i="8"/>
  <c r="F89" i="8"/>
  <c r="E89" i="8"/>
  <c r="D89" i="8"/>
  <c r="C89" i="8"/>
  <c r="W89" i="8" s="1"/>
  <c r="B89" i="8"/>
  <c r="A89" i="8"/>
  <c r="J88" i="8"/>
  <c r="I88" i="8"/>
  <c r="X88" i="8" s="1"/>
  <c r="E117" i="6" s="1"/>
  <c r="H88" i="8"/>
  <c r="G88" i="8"/>
  <c r="F88" i="8"/>
  <c r="E88" i="8"/>
  <c r="D88" i="8"/>
  <c r="C88" i="8"/>
  <c r="W88" i="8" s="1"/>
  <c r="B88" i="8"/>
  <c r="A88" i="8"/>
  <c r="J87" i="8"/>
  <c r="I87" i="8"/>
  <c r="X87" i="8" s="1"/>
  <c r="E116" i="6" s="1"/>
  <c r="H87" i="8"/>
  <c r="G87" i="8"/>
  <c r="F87" i="8"/>
  <c r="E87" i="8"/>
  <c r="D87" i="8"/>
  <c r="C87" i="8"/>
  <c r="W87" i="8" s="1"/>
  <c r="B87" i="8"/>
  <c r="A87" i="8"/>
  <c r="J86" i="8"/>
  <c r="I86" i="8"/>
  <c r="X86" i="8" s="1"/>
  <c r="E115" i="6" s="1"/>
  <c r="H86" i="8"/>
  <c r="G86" i="8"/>
  <c r="F86" i="8"/>
  <c r="E86" i="8"/>
  <c r="D86" i="8"/>
  <c r="C86" i="8"/>
  <c r="W86" i="8" s="1"/>
  <c r="B86" i="8"/>
  <c r="A86" i="8"/>
  <c r="J85" i="8"/>
  <c r="I85" i="8"/>
  <c r="X85" i="8" s="1"/>
  <c r="E114" i="6" s="1"/>
  <c r="H85" i="8"/>
  <c r="G85" i="8"/>
  <c r="F85" i="8"/>
  <c r="E85" i="8"/>
  <c r="D85" i="8"/>
  <c r="C85" i="8"/>
  <c r="W85" i="8" s="1"/>
  <c r="B85" i="8"/>
  <c r="A85" i="8"/>
  <c r="J84" i="8"/>
  <c r="I84" i="8"/>
  <c r="X84" i="8" s="1"/>
  <c r="E113" i="6" s="1"/>
  <c r="H84" i="8"/>
  <c r="G84" i="8"/>
  <c r="F84" i="8"/>
  <c r="E84" i="8"/>
  <c r="D84" i="8"/>
  <c r="C84" i="8"/>
  <c r="W84" i="8" s="1"/>
  <c r="B84" i="8"/>
  <c r="A84" i="8"/>
  <c r="J83" i="8"/>
  <c r="I83" i="8"/>
  <c r="X83" i="8" s="1"/>
  <c r="E112" i="6" s="1"/>
  <c r="H83" i="8"/>
  <c r="G83" i="8"/>
  <c r="F83" i="8"/>
  <c r="E83" i="8"/>
  <c r="D83" i="8"/>
  <c r="C83" i="8"/>
  <c r="W83" i="8" s="1"/>
  <c r="B83" i="8"/>
  <c r="A83" i="8"/>
  <c r="J82" i="8"/>
  <c r="I82" i="8"/>
  <c r="X82" i="8" s="1"/>
  <c r="E111" i="6" s="1"/>
  <c r="H82" i="8"/>
  <c r="G82" i="8"/>
  <c r="F82" i="8"/>
  <c r="E82" i="8"/>
  <c r="D82" i="8"/>
  <c r="C82" i="8"/>
  <c r="W82" i="8" s="1"/>
  <c r="B82" i="8"/>
  <c r="A82" i="8"/>
  <c r="J81" i="8"/>
  <c r="I81" i="8"/>
  <c r="X81" i="8" s="1"/>
  <c r="E110" i="6" s="1"/>
  <c r="H81" i="8"/>
  <c r="G81" i="8"/>
  <c r="F81" i="8"/>
  <c r="E81" i="8"/>
  <c r="D81" i="8"/>
  <c r="C81" i="8"/>
  <c r="W81" i="8" s="1"/>
  <c r="B81" i="8"/>
  <c r="A81" i="8"/>
  <c r="J80" i="8"/>
  <c r="I80" i="8"/>
  <c r="X80" i="8" s="1"/>
  <c r="E109" i="6" s="1"/>
  <c r="H80" i="8"/>
  <c r="G80" i="8"/>
  <c r="F80" i="8"/>
  <c r="E80" i="8"/>
  <c r="D80" i="8"/>
  <c r="C80" i="8"/>
  <c r="W80" i="8" s="1"/>
  <c r="B80" i="8"/>
  <c r="A80" i="8"/>
  <c r="J79" i="8"/>
  <c r="I79" i="8"/>
  <c r="X79" i="8" s="1"/>
  <c r="E108" i="6" s="1"/>
  <c r="H79" i="8"/>
  <c r="G79" i="8"/>
  <c r="F79" i="8"/>
  <c r="E79" i="8"/>
  <c r="D79" i="8"/>
  <c r="C79" i="8"/>
  <c r="W79" i="8" s="1"/>
  <c r="B79" i="8"/>
  <c r="A79" i="8"/>
  <c r="J78" i="8"/>
  <c r="I78" i="8"/>
  <c r="X78" i="8" s="1"/>
  <c r="E107" i="6" s="1"/>
  <c r="H78" i="8"/>
  <c r="G78" i="8"/>
  <c r="F78" i="8"/>
  <c r="E78" i="8"/>
  <c r="D78" i="8"/>
  <c r="C78" i="8"/>
  <c r="W78" i="8" s="1"/>
  <c r="B78" i="8"/>
  <c r="A78" i="8"/>
  <c r="J77" i="8"/>
  <c r="I77" i="8"/>
  <c r="X77" i="8" s="1"/>
  <c r="E106" i="6" s="1"/>
  <c r="H77" i="8"/>
  <c r="G77" i="8"/>
  <c r="F77" i="8"/>
  <c r="E77" i="8"/>
  <c r="D77" i="8"/>
  <c r="C77" i="8"/>
  <c r="W77" i="8" s="1"/>
  <c r="B77" i="8"/>
  <c r="A77" i="8"/>
  <c r="J76" i="8"/>
  <c r="I76" i="8"/>
  <c r="X76" i="8" s="1"/>
  <c r="E105" i="6" s="1"/>
  <c r="H76" i="8"/>
  <c r="G76" i="8"/>
  <c r="F76" i="8"/>
  <c r="E76" i="8"/>
  <c r="D76" i="8"/>
  <c r="C76" i="8"/>
  <c r="W76" i="8" s="1"/>
  <c r="B76" i="8"/>
  <c r="A76" i="8"/>
  <c r="J75" i="8"/>
  <c r="I75" i="8"/>
  <c r="X75" i="8" s="1"/>
  <c r="E104" i="6" s="1"/>
  <c r="H75" i="8"/>
  <c r="G75" i="8"/>
  <c r="F75" i="8"/>
  <c r="E75" i="8"/>
  <c r="D75" i="8"/>
  <c r="C75" i="8"/>
  <c r="W75" i="8" s="1"/>
  <c r="B75" i="8"/>
  <c r="A75" i="8"/>
  <c r="J74" i="8"/>
  <c r="I74" i="8"/>
  <c r="X74" i="8" s="1"/>
  <c r="E103" i="6" s="1"/>
  <c r="H74" i="8"/>
  <c r="G74" i="8"/>
  <c r="F74" i="8"/>
  <c r="E74" i="8"/>
  <c r="D74" i="8"/>
  <c r="C74" i="8"/>
  <c r="W74" i="8" s="1"/>
  <c r="B74" i="8"/>
  <c r="A74" i="8"/>
  <c r="J73" i="8"/>
  <c r="I73" i="8"/>
  <c r="X73" i="8" s="1"/>
  <c r="E102" i="6" s="1"/>
  <c r="H73" i="8"/>
  <c r="G73" i="8"/>
  <c r="F73" i="8"/>
  <c r="E73" i="8"/>
  <c r="D73" i="8"/>
  <c r="C73" i="8"/>
  <c r="W73" i="8" s="1"/>
  <c r="B73" i="8"/>
  <c r="A73" i="8"/>
  <c r="J72" i="8"/>
  <c r="I72" i="8"/>
  <c r="X72" i="8" s="1"/>
  <c r="E101" i="6" s="1"/>
  <c r="H72" i="8"/>
  <c r="G72" i="8"/>
  <c r="F72" i="8"/>
  <c r="E72" i="8"/>
  <c r="D72" i="8"/>
  <c r="C72" i="8"/>
  <c r="W72" i="8" s="1"/>
  <c r="B72" i="8"/>
  <c r="A72" i="8"/>
  <c r="J71" i="8"/>
  <c r="I71" i="8"/>
  <c r="X71" i="8" s="1"/>
  <c r="E100" i="6" s="1"/>
  <c r="H71" i="8"/>
  <c r="G71" i="8"/>
  <c r="F71" i="8"/>
  <c r="E71" i="8"/>
  <c r="D71" i="8"/>
  <c r="C71" i="8"/>
  <c r="W71" i="8" s="1"/>
  <c r="B71" i="8"/>
  <c r="A71" i="8"/>
  <c r="J70" i="8"/>
  <c r="I70" i="8"/>
  <c r="X70" i="8" s="1"/>
  <c r="E99" i="6" s="1"/>
  <c r="H70" i="8"/>
  <c r="G70" i="8"/>
  <c r="F70" i="8"/>
  <c r="E70" i="8"/>
  <c r="D70" i="8"/>
  <c r="C70" i="8"/>
  <c r="W70" i="8" s="1"/>
  <c r="B70" i="8"/>
  <c r="A70" i="8"/>
  <c r="J69" i="8"/>
  <c r="I69" i="8"/>
  <c r="X69" i="8" s="1"/>
  <c r="E98" i="6" s="1"/>
  <c r="H69" i="8"/>
  <c r="G69" i="8"/>
  <c r="F69" i="8"/>
  <c r="E69" i="8"/>
  <c r="D69" i="8"/>
  <c r="C69" i="8"/>
  <c r="W69" i="8" s="1"/>
  <c r="B69" i="8"/>
  <c r="A69" i="8"/>
  <c r="J68" i="8"/>
  <c r="I68" i="8"/>
  <c r="X68" i="8" s="1"/>
  <c r="E97" i="6" s="1"/>
  <c r="H68" i="8"/>
  <c r="G68" i="8"/>
  <c r="F68" i="8"/>
  <c r="E68" i="8"/>
  <c r="D68" i="8"/>
  <c r="C68" i="8"/>
  <c r="W68" i="8" s="1"/>
  <c r="B68" i="8"/>
  <c r="A68" i="8"/>
  <c r="J67" i="8"/>
  <c r="I67" i="8"/>
  <c r="X67" i="8" s="1"/>
  <c r="E96" i="6" s="1"/>
  <c r="H67" i="8"/>
  <c r="G67" i="8"/>
  <c r="F67" i="8"/>
  <c r="E67" i="8"/>
  <c r="D67" i="8"/>
  <c r="C67" i="8"/>
  <c r="W67" i="8" s="1"/>
  <c r="B67" i="8"/>
  <c r="A67" i="8"/>
  <c r="J66" i="8"/>
  <c r="I66" i="8"/>
  <c r="X66" i="8" s="1"/>
  <c r="E95" i="6" s="1"/>
  <c r="H66" i="8"/>
  <c r="G66" i="8"/>
  <c r="F66" i="8"/>
  <c r="E66" i="8"/>
  <c r="D66" i="8"/>
  <c r="C66" i="8"/>
  <c r="W66" i="8" s="1"/>
  <c r="B66" i="8"/>
  <c r="A66" i="8"/>
  <c r="J65" i="8"/>
  <c r="I65" i="8"/>
  <c r="X65" i="8" s="1"/>
  <c r="E94" i="6" s="1"/>
  <c r="H65" i="8"/>
  <c r="G65" i="8"/>
  <c r="F65" i="8"/>
  <c r="E65" i="8"/>
  <c r="D65" i="8"/>
  <c r="C65" i="8"/>
  <c r="W65" i="8" s="1"/>
  <c r="B65" i="8"/>
  <c r="A65" i="8"/>
  <c r="J64" i="8"/>
  <c r="I64" i="8"/>
  <c r="X64" i="8" s="1"/>
  <c r="E93" i="6" s="1"/>
  <c r="H64" i="8"/>
  <c r="G64" i="8"/>
  <c r="F64" i="8"/>
  <c r="E64" i="8"/>
  <c r="D64" i="8"/>
  <c r="C64" i="8"/>
  <c r="W64" i="8" s="1"/>
  <c r="B64" i="8"/>
  <c r="A64" i="8"/>
  <c r="J63" i="8"/>
  <c r="I63" i="8"/>
  <c r="X63" i="8" s="1"/>
  <c r="E92" i="6" s="1"/>
  <c r="H63" i="8"/>
  <c r="G63" i="8"/>
  <c r="F63" i="8"/>
  <c r="E63" i="8"/>
  <c r="D63" i="8"/>
  <c r="C63" i="8"/>
  <c r="W63" i="8" s="1"/>
  <c r="B63" i="8"/>
  <c r="A63" i="8"/>
  <c r="J62" i="8"/>
  <c r="I62" i="8"/>
  <c r="X62" i="8" s="1"/>
  <c r="E91" i="6" s="1"/>
  <c r="H62" i="8"/>
  <c r="G62" i="8"/>
  <c r="F62" i="8"/>
  <c r="E62" i="8"/>
  <c r="D62" i="8"/>
  <c r="C62" i="8"/>
  <c r="W62" i="8" s="1"/>
  <c r="B62" i="8"/>
  <c r="A62" i="8"/>
  <c r="J61" i="8"/>
  <c r="I61" i="8"/>
  <c r="X61" i="8" s="1"/>
  <c r="E90" i="6" s="1"/>
  <c r="H61" i="8"/>
  <c r="G61" i="8"/>
  <c r="F61" i="8"/>
  <c r="E61" i="8"/>
  <c r="D61" i="8"/>
  <c r="C61" i="8"/>
  <c r="W61" i="8" s="1"/>
  <c r="B61" i="8"/>
  <c r="A61" i="8"/>
  <c r="J60" i="8"/>
  <c r="I60" i="8"/>
  <c r="X60" i="8" s="1"/>
  <c r="E89" i="6" s="1"/>
  <c r="H60" i="8"/>
  <c r="G60" i="8"/>
  <c r="F60" i="8"/>
  <c r="E60" i="8"/>
  <c r="D60" i="8"/>
  <c r="C60" i="8"/>
  <c r="W60" i="8" s="1"/>
  <c r="B60" i="8"/>
  <c r="A60" i="8"/>
  <c r="J59" i="8"/>
  <c r="I59" i="8"/>
  <c r="X59" i="8" s="1"/>
  <c r="E88" i="6" s="1"/>
  <c r="H59" i="8"/>
  <c r="G59" i="8"/>
  <c r="F59" i="8"/>
  <c r="E59" i="8"/>
  <c r="D59" i="8"/>
  <c r="C59" i="8"/>
  <c r="W59" i="8" s="1"/>
  <c r="B59" i="8"/>
  <c r="A59" i="8"/>
  <c r="J58" i="8"/>
  <c r="I58" i="8"/>
  <c r="X58" i="8" s="1"/>
  <c r="E87" i="6" s="1"/>
  <c r="H58" i="8"/>
  <c r="G58" i="8"/>
  <c r="F58" i="8"/>
  <c r="E58" i="8"/>
  <c r="D58" i="8"/>
  <c r="C58" i="8"/>
  <c r="W58" i="8" s="1"/>
  <c r="B58" i="8"/>
  <c r="A58" i="8"/>
  <c r="J57" i="8"/>
  <c r="I57" i="8"/>
  <c r="X57" i="8" s="1"/>
  <c r="E86" i="6" s="1"/>
  <c r="H57" i="8"/>
  <c r="G57" i="8"/>
  <c r="F57" i="8"/>
  <c r="E57" i="8"/>
  <c r="D57" i="8"/>
  <c r="C57" i="8"/>
  <c r="W57" i="8" s="1"/>
  <c r="B57" i="8"/>
  <c r="A57" i="8"/>
  <c r="J56" i="8"/>
  <c r="I56" i="8"/>
  <c r="X56" i="8" s="1"/>
  <c r="E85" i="6" s="1"/>
  <c r="H56" i="8"/>
  <c r="G56" i="8"/>
  <c r="F56" i="8"/>
  <c r="E56" i="8"/>
  <c r="D56" i="8"/>
  <c r="C56" i="8"/>
  <c r="W56" i="8" s="1"/>
  <c r="B56" i="8"/>
  <c r="A56" i="8"/>
  <c r="J55" i="8"/>
  <c r="I55" i="8"/>
  <c r="X55" i="8" s="1"/>
  <c r="E84" i="6" s="1"/>
  <c r="H55" i="8"/>
  <c r="G55" i="8"/>
  <c r="F55" i="8"/>
  <c r="E55" i="8"/>
  <c r="D55" i="8"/>
  <c r="C55" i="8"/>
  <c r="W55" i="8" s="1"/>
  <c r="B55" i="8"/>
  <c r="A55" i="8"/>
  <c r="J54" i="8"/>
  <c r="I54" i="8"/>
  <c r="X54" i="8" s="1"/>
  <c r="E83" i="6" s="1"/>
  <c r="H54" i="8"/>
  <c r="G54" i="8"/>
  <c r="F54" i="8"/>
  <c r="E54" i="8"/>
  <c r="D54" i="8"/>
  <c r="C54" i="8"/>
  <c r="W54" i="8" s="1"/>
  <c r="B54" i="8"/>
  <c r="A54" i="8"/>
  <c r="J53" i="8"/>
  <c r="I53" i="8"/>
  <c r="X53" i="8" s="1"/>
  <c r="E82" i="6" s="1"/>
  <c r="H53" i="8"/>
  <c r="G53" i="8"/>
  <c r="F53" i="8"/>
  <c r="E53" i="8"/>
  <c r="D53" i="8"/>
  <c r="C53" i="8"/>
  <c r="W53" i="8" s="1"/>
  <c r="B53" i="8"/>
  <c r="A53" i="8"/>
  <c r="J52" i="8"/>
  <c r="I52" i="8"/>
  <c r="X52" i="8" s="1"/>
  <c r="E81" i="6" s="1"/>
  <c r="H52" i="8"/>
  <c r="G52" i="8"/>
  <c r="F52" i="8"/>
  <c r="E52" i="8"/>
  <c r="D52" i="8"/>
  <c r="C52" i="8"/>
  <c r="W52" i="8" s="1"/>
  <c r="B52" i="8"/>
  <c r="A52" i="8"/>
  <c r="J51" i="8"/>
  <c r="I51" i="8"/>
  <c r="X51" i="8" s="1"/>
  <c r="E80" i="6" s="1"/>
  <c r="H51" i="8"/>
  <c r="G51" i="8"/>
  <c r="F51" i="8"/>
  <c r="E51" i="8"/>
  <c r="D51" i="8"/>
  <c r="C51" i="8"/>
  <c r="W51" i="8" s="1"/>
  <c r="B51" i="8"/>
  <c r="A51" i="8"/>
  <c r="J50" i="8"/>
  <c r="I50" i="8"/>
  <c r="X50" i="8" s="1"/>
  <c r="E79" i="6" s="1"/>
  <c r="H50" i="8"/>
  <c r="G50" i="8"/>
  <c r="F50" i="8"/>
  <c r="E50" i="8"/>
  <c r="D50" i="8"/>
  <c r="C50" i="8"/>
  <c r="W50" i="8" s="1"/>
  <c r="B50" i="8"/>
  <c r="A50" i="8"/>
  <c r="J49" i="8"/>
  <c r="I49" i="8"/>
  <c r="X49" i="8" s="1"/>
  <c r="E78" i="6" s="1"/>
  <c r="H49" i="8"/>
  <c r="G49" i="8"/>
  <c r="F49" i="8"/>
  <c r="E49" i="8"/>
  <c r="D49" i="8"/>
  <c r="C49" i="8"/>
  <c r="W49" i="8" s="1"/>
  <c r="B49" i="8"/>
  <c r="A49" i="8"/>
  <c r="J48" i="8"/>
  <c r="I48" i="8"/>
  <c r="X48" i="8" s="1"/>
  <c r="E77" i="6" s="1"/>
  <c r="H48" i="8"/>
  <c r="G48" i="8"/>
  <c r="F48" i="8"/>
  <c r="E48" i="8"/>
  <c r="D48" i="8"/>
  <c r="C48" i="8"/>
  <c r="W48" i="8" s="1"/>
  <c r="B48" i="8"/>
  <c r="A48" i="8"/>
  <c r="J47" i="8"/>
  <c r="I47" i="8"/>
  <c r="X47" i="8" s="1"/>
  <c r="E76" i="6" s="1"/>
  <c r="H47" i="8"/>
  <c r="G47" i="8"/>
  <c r="F47" i="8"/>
  <c r="E47" i="8"/>
  <c r="D47" i="8"/>
  <c r="C47" i="8"/>
  <c r="W47" i="8" s="1"/>
  <c r="B47" i="8"/>
  <c r="A47" i="8"/>
  <c r="J46" i="8"/>
  <c r="I46" i="8"/>
  <c r="X46" i="8" s="1"/>
  <c r="E75" i="6" s="1"/>
  <c r="H46" i="8"/>
  <c r="G46" i="8"/>
  <c r="F46" i="8"/>
  <c r="E46" i="8"/>
  <c r="D46" i="8"/>
  <c r="C46" i="8"/>
  <c r="W46" i="8" s="1"/>
  <c r="B46" i="8"/>
  <c r="A46" i="8"/>
  <c r="J45" i="8"/>
  <c r="I45" i="8"/>
  <c r="X45" i="8" s="1"/>
  <c r="E74" i="6" s="1"/>
  <c r="H45" i="8"/>
  <c r="G45" i="8"/>
  <c r="F45" i="8"/>
  <c r="E45" i="8"/>
  <c r="D45" i="8"/>
  <c r="C45" i="8"/>
  <c r="W45" i="8" s="1"/>
  <c r="B45" i="8"/>
  <c r="A45" i="8"/>
  <c r="J44" i="8"/>
  <c r="I44" i="8"/>
  <c r="X44" i="8" s="1"/>
  <c r="E73" i="6" s="1"/>
  <c r="H44" i="8"/>
  <c r="G44" i="8"/>
  <c r="F44" i="8"/>
  <c r="E44" i="8"/>
  <c r="D44" i="8"/>
  <c r="C44" i="8"/>
  <c r="W44" i="8" s="1"/>
  <c r="B44" i="8"/>
  <c r="A44" i="8"/>
  <c r="J43" i="8"/>
  <c r="I43" i="8"/>
  <c r="X43" i="8" s="1"/>
  <c r="E72" i="6" s="1"/>
  <c r="H43" i="8"/>
  <c r="G43" i="8"/>
  <c r="F43" i="8"/>
  <c r="E43" i="8"/>
  <c r="D43" i="8"/>
  <c r="C43" i="8"/>
  <c r="W43" i="8" s="1"/>
  <c r="B43" i="8"/>
  <c r="A43" i="8"/>
  <c r="J42" i="8"/>
  <c r="I42" i="8"/>
  <c r="X42" i="8" s="1"/>
  <c r="E71" i="6" s="1"/>
  <c r="H42" i="8"/>
  <c r="G42" i="8"/>
  <c r="F42" i="8"/>
  <c r="E42" i="8"/>
  <c r="D42" i="8"/>
  <c r="C42" i="8"/>
  <c r="W42" i="8" s="1"/>
  <c r="B42" i="8"/>
  <c r="A42" i="8"/>
  <c r="J41" i="8"/>
  <c r="I41" i="8"/>
  <c r="X41" i="8" s="1"/>
  <c r="E70" i="6" s="1"/>
  <c r="H41" i="8"/>
  <c r="G41" i="8"/>
  <c r="F41" i="8"/>
  <c r="E41" i="8"/>
  <c r="D41" i="8"/>
  <c r="C41" i="8"/>
  <c r="W41" i="8" s="1"/>
  <c r="B41" i="8"/>
  <c r="A41" i="8"/>
  <c r="J40" i="8"/>
  <c r="I40" i="8"/>
  <c r="X40" i="8" s="1"/>
  <c r="E69" i="6" s="1"/>
  <c r="H40" i="8"/>
  <c r="G40" i="8"/>
  <c r="F40" i="8"/>
  <c r="E40" i="8"/>
  <c r="D40" i="8"/>
  <c r="C40" i="8"/>
  <c r="W40" i="8" s="1"/>
  <c r="B40" i="8"/>
  <c r="A40" i="8"/>
  <c r="J39" i="8"/>
  <c r="I39" i="8"/>
  <c r="X39" i="8" s="1"/>
  <c r="E68" i="6" s="1"/>
  <c r="H39" i="8"/>
  <c r="G39" i="8"/>
  <c r="F39" i="8"/>
  <c r="E39" i="8"/>
  <c r="D39" i="8"/>
  <c r="C39" i="8"/>
  <c r="W39" i="8" s="1"/>
  <c r="B39" i="8"/>
  <c r="A39" i="8"/>
  <c r="J38" i="8"/>
  <c r="I38" i="8"/>
  <c r="X38" i="8" s="1"/>
  <c r="E67" i="6" s="1"/>
  <c r="H38" i="8"/>
  <c r="G38" i="8"/>
  <c r="F38" i="8"/>
  <c r="E38" i="8"/>
  <c r="D38" i="8"/>
  <c r="C38" i="8"/>
  <c r="W38" i="8" s="1"/>
  <c r="B38" i="8"/>
  <c r="A38" i="8"/>
  <c r="J37" i="8"/>
  <c r="I37" i="8"/>
  <c r="X37" i="8" s="1"/>
  <c r="E66" i="6" s="1"/>
  <c r="H37" i="8"/>
  <c r="G37" i="8"/>
  <c r="F37" i="8"/>
  <c r="E37" i="8"/>
  <c r="D37" i="8"/>
  <c r="C37" i="8"/>
  <c r="W37" i="8" s="1"/>
  <c r="B37" i="8"/>
  <c r="A37" i="8"/>
  <c r="J36" i="8"/>
  <c r="I36" i="8"/>
  <c r="X36" i="8" s="1"/>
  <c r="E65" i="6" s="1"/>
  <c r="H36" i="8"/>
  <c r="G36" i="8"/>
  <c r="F36" i="8"/>
  <c r="E36" i="8"/>
  <c r="D36" i="8"/>
  <c r="C36" i="8"/>
  <c r="W36" i="8" s="1"/>
  <c r="B36" i="8"/>
  <c r="A36" i="8"/>
  <c r="J35" i="8"/>
  <c r="I35" i="8"/>
  <c r="X35" i="8" s="1"/>
  <c r="E64" i="6" s="1"/>
  <c r="H35" i="8"/>
  <c r="G35" i="8"/>
  <c r="F35" i="8"/>
  <c r="E35" i="8"/>
  <c r="D35" i="8"/>
  <c r="C35" i="8"/>
  <c r="W35" i="8" s="1"/>
  <c r="B35" i="8"/>
  <c r="A35" i="8"/>
  <c r="J34" i="8"/>
  <c r="I34" i="8"/>
  <c r="X34" i="8" s="1"/>
  <c r="E63" i="6" s="1"/>
  <c r="H34" i="8"/>
  <c r="G34" i="8"/>
  <c r="F34" i="8"/>
  <c r="E34" i="8"/>
  <c r="D34" i="8"/>
  <c r="C34" i="8"/>
  <c r="W34" i="8" s="1"/>
  <c r="B34" i="8"/>
  <c r="A34" i="8"/>
  <c r="J33" i="8"/>
  <c r="I33" i="8"/>
  <c r="X33" i="8" s="1"/>
  <c r="E62" i="6" s="1"/>
  <c r="H33" i="8"/>
  <c r="G33" i="8"/>
  <c r="F33" i="8"/>
  <c r="E33" i="8"/>
  <c r="D33" i="8"/>
  <c r="C33" i="8"/>
  <c r="W33" i="8" s="1"/>
  <c r="B33" i="8"/>
  <c r="A33" i="8"/>
  <c r="J32" i="8"/>
  <c r="I32" i="8"/>
  <c r="X32" i="8" s="1"/>
  <c r="E61" i="6" s="1"/>
  <c r="H32" i="8"/>
  <c r="G32" i="8"/>
  <c r="F32" i="8"/>
  <c r="E32" i="8"/>
  <c r="D32" i="8"/>
  <c r="C32" i="8"/>
  <c r="W32" i="8" s="1"/>
  <c r="B32" i="8"/>
  <c r="A32" i="8"/>
  <c r="J31" i="8"/>
  <c r="I31" i="8"/>
  <c r="X31" i="8" s="1"/>
  <c r="E60" i="6" s="1"/>
  <c r="H31" i="8"/>
  <c r="G31" i="8"/>
  <c r="F31" i="8"/>
  <c r="E31" i="8"/>
  <c r="D31" i="8"/>
  <c r="C31" i="8"/>
  <c r="W31" i="8" s="1"/>
  <c r="B31" i="8"/>
  <c r="A31" i="8"/>
  <c r="J30" i="8"/>
  <c r="I30" i="8"/>
  <c r="X30" i="8" s="1"/>
  <c r="E59" i="6" s="1"/>
  <c r="H30" i="8"/>
  <c r="G30" i="8"/>
  <c r="F30" i="8"/>
  <c r="E30" i="8"/>
  <c r="D30" i="8"/>
  <c r="C30" i="8"/>
  <c r="W30" i="8" s="1"/>
  <c r="B30" i="8"/>
  <c r="A30" i="8"/>
  <c r="J29" i="8"/>
  <c r="I29" i="8"/>
  <c r="X29" i="8" s="1"/>
  <c r="E58" i="6" s="1"/>
  <c r="H29" i="8"/>
  <c r="G29" i="8"/>
  <c r="F29" i="8"/>
  <c r="E29" i="8"/>
  <c r="D29" i="8"/>
  <c r="C29" i="8"/>
  <c r="W29" i="8" s="1"/>
  <c r="B29" i="8"/>
  <c r="A29" i="8"/>
  <c r="J28" i="8"/>
  <c r="I28" i="8"/>
  <c r="X28" i="8" s="1"/>
  <c r="E57" i="6" s="1"/>
  <c r="H28" i="8"/>
  <c r="G28" i="8"/>
  <c r="F28" i="8"/>
  <c r="E28" i="8"/>
  <c r="D28" i="8"/>
  <c r="C28" i="8"/>
  <c r="W28" i="8" s="1"/>
  <c r="B28" i="8"/>
  <c r="A28" i="8"/>
  <c r="J27" i="8"/>
  <c r="I27" i="8"/>
  <c r="X27" i="8" s="1"/>
  <c r="E56" i="6" s="1"/>
  <c r="H27" i="8"/>
  <c r="G27" i="8"/>
  <c r="F27" i="8"/>
  <c r="E27" i="8"/>
  <c r="D27" i="8"/>
  <c r="C27" i="8"/>
  <c r="W27" i="8" s="1"/>
  <c r="B27" i="8"/>
  <c r="A27" i="8"/>
  <c r="J26" i="8"/>
  <c r="I26" i="8"/>
  <c r="X26" i="8" s="1"/>
  <c r="E55" i="6" s="1"/>
  <c r="H26" i="8"/>
  <c r="G26" i="8"/>
  <c r="F26" i="8"/>
  <c r="E26" i="8"/>
  <c r="D26" i="8"/>
  <c r="C26" i="8"/>
  <c r="W26" i="8" s="1"/>
  <c r="B26" i="8"/>
  <c r="A26" i="8"/>
  <c r="J25" i="8"/>
  <c r="I25" i="8"/>
  <c r="X25" i="8" s="1"/>
  <c r="E54" i="6" s="1"/>
  <c r="H25" i="8"/>
  <c r="G25" i="8"/>
  <c r="F25" i="8"/>
  <c r="E25" i="8"/>
  <c r="D25" i="8"/>
  <c r="C25" i="8"/>
  <c r="W25" i="8" s="1"/>
  <c r="B25" i="8"/>
  <c r="A25" i="8"/>
  <c r="J24" i="8"/>
  <c r="I24" i="8"/>
  <c r="X24" i="8" s="1"/>
  <c r="E53" i="6" s="1"/>
  <c r="H24" i="8"/>
  <c r="G24" i="8"/>
  <c r="F24" i="8"/>
  <c r="E24" i="8"/>
  <c r="D24" i="8"/>
  <c r="C24" i="8"/>
  <c r="W24" i="8" s="1"/>
  <c r="B24" i="8"/>
  <c r="A24" i="8"/>
  <c r="J23" i="8"/>
  <c r="I23" i="8"/>
  <c r="X23" i="8" s="1"/>
  <c r="E52" i="6" s="1"/>
  <c r="H23" i="8"/>
  <c r="G23" i="8"/>
  <c r="F23" i="8"/>
  <c r="E23" i="8"/>
  <c r="D23" i="8"/>
  <c r="C23" i="8"/>
  <c r="W23" i="8" s="1"/>
  <c r="B23" i="8"/>
  <c r="A23" i="8"/>
  <c r="J22" i="8"/>
  <c r="I22" i="8"/>
  <c r="X22" i="8" s="1"/>
  <c r="E51" i="6" s="1"/>
  <c r="H22" i="8"/>
  <c r="G22" i="8"/>
  <c r="F22" i="8"/>
  <c r="E22" i="8"/>
  <c r="D22" i="8"/>
  <c r="C22" i="8"/>
  <c r="W22" i="8" s="1"/>
  <c r="B22" i="8"/>
  <c r="A22" i="8"/>
  <c r="J21" i="8"/>
  <c r="I21" i="8"/>
  <c r="X21" i="8" s="1"/>
  <c r="E50" i="6" s="1"/>
  <c r="H21" i="8"/>
  <c r="G21" i="8"/>
  <c r="F21" i="8"/>
  <c r="E21" i="8"/>
  <c r="D21" i="8"/>
  <c r="C21" i="8"/>
  <c r="W21" i="8" s="1"/>
  <c r="B21" i="8"/>
  <c r="A21" i="8"/>
  <c r="J20" i="8"/>
  <c r="I20" i="8"/>
  <c r="X20" i="8" s="1"/>
  <c r="E49" i="6" s="1"/>
  <c r="H20" i="8"/>
  <c r="G20" i="8"/>
  <c r="F20" i="8"/>
  <c r="E20" i="8"/>
  <c r="D20" i="8"/>
  <c r="C20" i="8"/>
  <c r="W20" i="8" s="1"/>
  <c r="B20" i="8"/>
  <c r="A20" i="8"/>
  <c r="J19" i="8"/>
  <c r="I19" i="8"/>
  <c r="X19" i="8" s="1"/>
  <c r="E48" i="6" s="1"/>
  <c r="H19" i="8"/>
  <c r="G19" i="8"/>
  <c r="F19" i="8"/>
  <c r="E19" i="8"/>
  <c r="D19" i="8"/>
  <c r="C19" i="8"/>
  <c r="W19" i="8" s="1"/>
  <c r="B19" i="8"/>
  <c r="A19" i="8"/>
  <c r="J18" i="8"/>
  <c r="I18" i="8"/>
  <c r="X18" i="8" s="1"/>
  <c r="E47" i="6" s="1"/>
  <c r="H18" i="8"/>
  <c r="G18" i="8"/>
  <c r="F18" i="8"/>
  <c r="E18" i="8"/>
  <c r="D18" i="8"/>
  <c r="C18" i="8"/>
  <c r="W18" i="8" s="1"/>
  <c r="B18" i="8"/>
  <c r="A18" i="8"/>
  <c r="J17" i="8"/>
  <c r="I17" i="8"/>
  <c r="X17" i="8" s="1"/>
  <c r="E46" i="6" s="1"/>
  <c r="H17" i="8"/>
  <c r="G17" i="8"/>
  <c r="F17" i="8"/>
  <c r="E17" i="8"/>
  <c r="D17" i="8"/>
  <c r="C17" i="8"/>
  <c r="W17" i="8" s="1"/>
  <c r="B17" i="8"/>
  <c r="A17" i="8"/>
  <c r="J16" i="8"/>
  <c r="I16" i="8"/>
  <c r="X16" i="8" s="1"/>
  <c r="E45" i="6" s="1"/>
  <c r="H16" i="8"/>
  <c r="G16" i="8"/>
  <c r="F16" i="8"/>
  <c r="E16" i="8"/>
  <c r="D16" i="8"/>
  <c r="C16" i="8"/>
  <c r="W16" i="8" s="1"/>
  <c r="B16" i="8"/>
  <c r="A16" i="8"/>
  <c r="J15" i="8"/>
  <c r="I15" i="8"/>
  <c r="X15" i="8" s="1"/>
  <c r="E44" i="6" s="1"/>
  <c r="H15" i="8"/>
  <c r="G15" i="8"/>
  <c r="F15" i="8"/>
  <c r="E15" i="8"/>
  <c r="D15" i="8"/>
  <c r="C15" i="8"/>
  <c r="W15" i="8" s="1"/>
  <c r="B15" i="8"/>
  <c r="A15" i="8"/>
  <c r="J14" i="8"/>
  <c r="I14" i="8"/>
  <c r="X14" i="8" s="1"/>
  <c r="E43" i="6" s="1"/>
  <c r="H14" i="8"/>
  <c r="G14" i="8"/>
  <c r="F14" i="8"/>
  <c r="E14" i="8"/>
  <c r="D14" i="8"/>
  <c r="C14" i="8"/>
  <c r="W14" i="8" s="1"/>
  <c r="B14" i="8"/>
  <c r="A14" i="8"/>
  <c r="J13" i="8"/>
  <c r="I13" i="8"/>
  <c r="X13" i="8" s="1"/>
  <c r="E42" i="6" s="1"/>
  <c r="H13" i="8"/>
  <c r="G13" i="8"/>
  <c r="F13" i="8"/>
  <c r="E13" i="8"/>
  <c r="D13" i="8"/>
  <c r="C13" i="8"/>
  <c r="W13" i="8" s="1"/>
  <c r="B13" i="8"/>
  <c r="A13" i="8"/>
  <c r="J12" i="8"/>
  <c r="I12" i="8"/>
  <c r="X12" i="8" s="1"/>
  <c r="E41" i="6" s="1"/>
  <c r="H12" i="8"/>
  <c r="G12" i="8"/>
  <c r="F12" i="8"/>
  <c r="E12" i="8"/>
  <c r="D12" i="8"/>
  <c r="C12" i="8"/>
  <c r="W12" i="8" s="1"/>
  <c r="B12" i="8"/>
  <c r="A12" i="8"/>
  <c r="J11" i="8"/>
  <c r="I11" i="8"/>
  <c r="X11" i="8" s="1"/>
  <c r="E40" i="6" s="1"/>
  <c r="H11" i="8"/>
  <c r="G11" i="8"/>
  <c r="F11" i="8"/>
  <c r="E11" i="8"/>
  <c r="D11" i="8"/>
  <c r="C11" i="8"/>
  <c r="W11" i="8" s="1"/>
  <c r="B11" i="8"/>
  <c r="A11" i="8"/>
  <c r="C964" i="7"/>
  <c r="C963" i="7"/>
  <c r="C962" i="7"/>
  <c r="C961" i="7"/>
  <c r="C960" i="7"/>
  <c r="C959" i="7"/>
  <c r="C958" i="7"/>
  <c r="C957" i="7"/>
  <c r="C956" i="7"/>
  <c r="C955" i="7"/>
  <c r="C954" i="7"/>
  <c r="C953" i="7"/>
  <c r="C952" i="7"/>
  <c r="C951" i="7"/>
  <c r="C950" i="7"/>
  <c r="C949" i="7"/>
  <c r="C948" i="7"/>
  <c r="C947" i="7"/>
  <c r="C946" i="7"/>
  <c r="C945" i="7"/>
  <c r="C944" i="7"/>
  <c r="C943" i="7"/>
  <c r="C942" i="7"/>
  <c r="C941" i="7"/>
  <c r="C940" i="7"/>
  <c r="C939" i="7"/>
  <c r="C938" i="7"/>
  <c r="C937" i="7"/>
  <c r="C936" i="7"/>
  <c r="C935" i="7"/>
  <c r="C934" i="7"/>
  <c r="C933" i="7"/>
  <c r="C932" i="7"/>
  <c r="C931" i="7"/>
  <c r="C930" i="7"/>
  <c r="C929" i="7"/>
  <c r="C928" i="7"/>
  <c r="C927" i="7"/>
  <c r="C926" i="7"/>
  <c r="C925" i="7"/>
  <c r="C924" i="7"/>
  <c r="C923" i="7"/>
  <c r="C922" i="7"/>
  <c r="C921" i="7"/>
  <c r="C920" i="7"/>
  <c r="C919" i="7"/>
  <c r="C918" i="7"/>
  <c r="C917" i="7"/>
  <c r="C776" i="7"/>
  <c r="C775" i="7"/>
  <c r="C774" i="7"/>
  <c r="C773" i="7"/>
  <c r="C772" i="7"/>
  <c r="C771" i="7"/>
  <c r="C770" i="7"/>
  <c r="C769" i="7"/>
  <c r="C768" i="7"/>
  <c r="C767" i="7"/>
  <c r="C766" i="7"/>
  <c r="C765" i="7"/>
  <c r="C764" i="7"/>
  <c r="C763" i="7"/>
  <c r="C762" i="7"/>
  <c r="C761" i="7"/>
  <c r="C760" i="7"/>
  <c r="C759" i="7"/>
  <c r="C758" i="7"/>
  <c r="C757" i="7"/>
  <c r="C756" i="7"/>
  <c r="C755" i="7"/>
  <c r="C754" i="7"/>
  <c r="C753" i="7"/>
  <c r="C752" i="7"/>
  <c r="C751" i="7"/>
  <c r="C750" i="7"/>
  <c r="C749" i="7"/>
  <c r="C748" i="7"/>
  <c r="C747" i="7"/>
  <c r="C746" i="7"/>
  <c r="C745" i="7"/>
  <c r="C744" i="7"/>
  <c r="C743" i="7"/>
  <c r="C742" i="7"/>
  <c r="C741" i="7"/>
  <c r="C740" i="7"/>
  <c r="C739" i="7"/>
  <c r="C738" i="7"/>
  <c r="C737" i="7"/>
  <c r="C736" i="7"/>
  <c r="C735" i="7"/>
  <c r="C734" i="7"/>
  <c r="C733" i="7"/>
  <c r="C732" i="7"/>
  <c r="C731" i="7"/>
  <c r="C730" i="7"/>
  <c r="C729" i="7"/>
  <c r="C728" i="7"/>
  <c r="C727" i="7"/>
  <c r="C726" i="7"/>
  <c r="C725" i="7"/>
  <c r="C724" i="7"/>
  <c r="C723" i="7"/>
  <c r="C722" i="7"/>
  <c r="C721" i="7"/>
  <c r="C720" i="7"/>
  <c r="C719" i="7"/>
  <c r="C718" i="7"/>
  <c r="C717" i="7"/>
  <c r="C716" i="7"/>
  <c r="C715" i="7"/>
  <c r="C714" i="7"/>
  <c r="I1030" i="6"/>
  <c r="H1030" i="6"/>
  <c r="G1030" i="6"/>
  <c r="F1030" i="6"/>
  <c r="C1030" i="6"/>
  <c r="B1030" i="6"/>
  <c r="A1030" i="6"/>
  <c r="I1029" i="6"/>
  <c r="H1029" i="6"/>
  <c r="G1029" i="6"/>
  <c r="F1029" i="6"/>
  <c r="C1029" i="6"/>
  <c r="B1029" i="6"/>
  <c r="A1029" i="6"/>
  <c r="I1028" i="6"/>
  <c r="H1028" i="6"/>
  <c r="G1028" i="6"/>
  <c r="F1028" i="6"/>
  <c r="C1028" i="6"/>
  <c r="B1028" i="6"/>
  <c r="A1028" i="6"/>
  <c r="I1027" i="6"/>
  <c r="H1027" i="6"/>
  <c r="G1027" i="6"/>
  <c r="F1027" i="6"/>
  <c r="C1027" i="6"/>
  <c r="B1027" i="6"/>
  <c r="A1027" i="6"/>
  <c r="I1026" i="6"/>
  <c r="H1026" i="6"/>
  <c r="G1026" i="6"/>
  <c r="F1026" i="6"/>
  <c r="C1026" i="6"/>
  <c r="B1026" i="6"/>
  <c r="A1026" i="6"/>
  <c r="I1025" i="6"/>
  <c r="H1025" i="6"/>
  <c r="G1025" i="6"/>
  <c r="F1025" i="6"/>
  <c r="C1025" i="6"/>
  <c r="B1025" i="6"/>
  <c r="A1025" i="6"/>
  <c r="I1024" i="6"/>
  <c r="H1024" i="6"/>
  <c r="G1024" i="6"/>
  <c r="F1024" i="6"/>
  <c r="C1024" i="6"/>
  <c r="B1024" i="6"/>
  <c r="A1024" i="6"/>
  <c r="I1023" i="6"/>
  <c r="H1023" i="6"/>
  <c r="G1023" i="6"/>
  <c r="F1023" i="6"/>
  <c r="C1023" i="6"/>
  <c r="B1023" i="6"/>
  <c r="A1023" i="6"/>
  <c r="I1022" i="6"/>
  <c r="H1022" i="6"/>
  <c r="G1022" i="6"/>
  <c r="F1022" i="6"/>
  <c r="C1022" i="6"/>
  <c r="B1022" i="6"/>
  <c r="A1022" i="6"/>
  <c r="I1021" i="6"/>
  <c r="H1021" i="6"/>
  <c r="G1021" i="6"/>
  <c r="F1021" i="6"/>
  <c r="C1021" i="6"/>
  <c r="B1021" i="6"/>
  <c r="A1021" i="6"/>
  <c r="I1020" i="6"/>
  <c r="H1020" i="6"/>
  <c r="G1020" i="6"/>
  <c r="F1020" i="6"/>
  <c r="C1020" i="6"/>
  <c r="B1020" i="6"/>
  <c r="A1020" i="6"/>
  <c r="I1019" i="6"/>
  <c r="H1019" i="6"/>
  <c r="G1019" i="6"/>
  <c r="F1019" i="6"/>
  <c r="C1019" i="6"/>
  <c r="B1019" i="6"/>
  <c r="A1019" i="6"/>
  <c r="I1018" i="6"/>
  <c r="H1018" i="6"/>
  <c r="G1018" i="6"/>
  <c r="F1018" i="6"/>
  <c r="C1018" i="6"/>
  <c r="B1018" i="6"/>
  <c r="A1018" i="6"/>
  <c r="I1017" i="6"/>
  <c r="H1017" i="6"/>
  <c r="G1017" i="6"/>
  <c r="F1017" i="6"/>
  <c r="C1017" i="6"/>
  <c r="B1017" i="6"/>
  <c r="A1017" i="6"/>
  <c r="I1016" i="6"/>
  <c r="H1016" i="6"/>
  <c r="G1016" i="6"/>
  <c r="F1016" i="6"/>
  <c r="C1016" i="6"/>
  <c r="B1016" i="6"/>
  <c r="A1016" i="6"/>
  <c r="I1015" i="6"/>
  <c r="H1015" i="6"/>
  <c r="G1015" i="6"/>
  <c r="F1015" i="6"/>
  <c r="C1015" i="6"/>
  <c r="B1015" i="6"/>
  <c r="A1015" i="6"/>
  <c r="I1014" i="6"/>
  <c r="H1014" i="6"/>
  <c r="G1014" i="6"/>
  <c r="F1014" i="6"/>
  <c r="C1014" i="6"/>
  <c r="B1014" i="6"/>
  <c r="A1014" i="6"/>
  <c r="I1013" i="6"/>
  <c r="H1013" i="6"/>
  <c r="G1013" i="6"/>
  <c r="F1013" i="6"/>
  <c r="C1013" i="6"/>
  <c r="B1013" i="6"/>
  <c r="A1013" i="6"/>
  <c r="I1012" i="6"/>
  <c r="H1012" i="6"/>
  <c r="G1012" i="6"/>
  <c r="F1012" i="6"/>
  <c r="C1012" i="6"/>
  <c r="B1012" i="6"/>
  <c r="A1012" i="6"/>
  <c r="I1011" i="6"/>
  <c r="H1011" i="6"/>
  <c r="G1011" i="6"/>
  <c r="F1011" i="6"/>
  <c r="C1011" i="6"/>
  <c r="B1011" i="6"/>
  <c r="A1011" i="6"/>
  <c r="I1010" i="6"/>
  <c r="H1010" i="6"/>
  <c r="G1010" i="6"/>
  <c r="F1010" i="6"/>
  <c r="C1010" i="6"/>
  <c r="B1010" i="6"/>
  <c r="A1010" i="6"/>
  <c r="I1009" i="6"/>
  <c r="H1009" i="6"/>
  <c r="G1009" i="6"/>
  <c r="F1009" i="6"/>
  <c r="C1009" i="6"/>
  <c r="B1009" i="6"/>
  <c r="A1009" i="6"/>
  <c r="I1008" i="6"/>
  <c r="H1008" i="6"/>
  <c r="G1008" i="6"/>
  <c r="F1008" i="6"/>
  <c r="C1008" i="6"/>
  <c r="B1008" i="6"/>
  <c r="A1008" i="6"/>
  <c r="I1007" i="6"/>
  <c r="H1007" i="6"/>
  <c r="G1007" i="6"/>
  <c r="F1007" i="6"/>
  <c r="C1007" i="6"/>
  <c r="B1007" i="6"/>
  <c r="A1007" i="6"/>
  <c r="I1006" i="6"/>
  <c r="H1006" i="6"/>
  <c r="G1006" i="6"/>
  <c r="F1006" i="6"/>
  <c r="C1006" i="6"/>
  <c r="B1006" i="6"/>
  <c r="A1006" i="6"/>
  <c r="I1005" i="6"/>
  <c r="H1005" i="6"/>
  <c r="G1005" i="6"/>
  <c r="F1005" i="6"/>
  <c r="C1005" i="6"/>
  <c r="B1005" i="6"/>
  <c r="A1005" i="6"/>
  <c r="I1004" i="6"/>
  <c r="H1004" i="6"/>
  <c r="G1004" i="6"/>
  <c r="F1004" i="6"/>
  <c r="C1004" i="6"/>
  <c r="B1004" i="6"/>
  <c r="A1004" i="6"/>
  <c r="I1003" i="6"/>
  <c r="H1003" i="6"/>
  <c r="G1003" i="6"/>
  <c r="F1003" i="6"/>
  <c r="C1003" i="6"/>
  <c r="B1003" i="6"/>
  <c r="A1003" i="6"/>
  <c r="I1002" i="6"/>
  <c r="H1002" i="6"/>
  <c r="G1002" i="6"/>
  <c r="F1002" i="6"/>
  <c r="C1002" i="6"/>
  <c r="B1002" i="6"/>
  <c r="A1002" i="6"/>
  <c r="I1001" i="6"/>
  <c r="H1001" i="6"/>
  <c r="G1001" i="6"/>
  <c r="F1001" i="6"/>
  <c r="C1001" i="6"/>
  <c r="B1001" i="6"/>
  <c r="A1001" i="6"/>
  <c r="I1000" i="6"/>
  <c r="H1000" i="6"/>
  <c r="G1000" i="6"/>
  <c r="F1000" i="6"/>
  <c r="C1000" i="6"/>
  <c r="B1000" i="6"/>
  <c r="A1000" i="6"/>
  <c r="I999" i="6"/>
  <c r="H999" i="6"/>
  <c r="G999" i="6"/>
  <c r="F999" i="6"/>
  <c r="C999" i="6"/>
  <c r="B999" i="6"/>
  <c r="A999" i="6"/>
  <c r="I998" i="6"/>
  <c r="H998" i="6"/>
  <c r="G998" i="6"/>
  <c r="F998" i="6"/>
  <c r="C998" i="6"/>
  <c r="B998" i="6"/>
  <c r="A998" i="6"/>
  <c r="I997" i="6"/>
  <c r="H997" i="6"/>
  <c r="G997" i="6"/>
  <c r="F997" i="6"/>
  <c r="C997" i="6"/>
  <c r="B997" i="6"/>
  <c r="A997" i="6"/>
  <c r="I996" i="6"/>
  <c r="H996" i="6"/>
  <c r="G996" i="6"/>
  <c r="F996" i="6"/>
  <c r="C996" i="6"/>
  <c r="B996" i="6"/>
  <c r="A996" i="6"/>
  <c r="I995" i="6"/>
  <c r="H995" i="6"/>
  <c r="G995" i="6"/>
  <c r="F995" i="6"/>
  <c r="C995" i="6"/>
  <c r="B995" i="6"/>
  <c r="A995" i="6"/>
  <c r="I994" i="6"/>
  <c r="H994" i="6"/>
  <c r="G994" i="6"/>
  <c r="F994" i="6"/>
  <c r="C994" i="6"/>
  <c r="B994" i="6"/>
  <c r="A994" i="6"/>
  <c r="I993" i="6"/>
  <c r="H993" i="6"/>
  <c r="G993" i="6"/>
  <c r="F993" i="6"/>
  <c r="C993" i="6"/>
  <c r="B993" i="6"/>
  <c r="A993" i="6"/>
  <c r="I992" i="6"/>
  <c r="H992" i="6"/>
  <c r="G992" i="6"/>
  <c r="F992" i="6"/>
  <c r="C992" i="6"/>
  <c r="B992" i="6"/>
  <c r="A992" i="6"/>
  <c r="I991" i="6"/>
  <c r="H991" i="6"/>
  <c r="G991" i="6"/>
  <c r="F991" i="6"/>
  <c r="C991" i="6"/>
  <c r="B991" i="6"/>
  <c r="A991" i="6"/>
  <c r="I990" i="6"/>
  <c r="H990" i="6"/>
  <c r="G990" i="6"/>
  <c r="F990" i="6"/>
  <c r="C990" i="6"/>
  <c r="B990" i="6"/>
  <c r="A990" i="6"/>
  <c r="I989" i="6"/>
  <c r="H989" i="6"/>
  <c r="G989" i="6"/>
  <c r="F989" i="6"/>
  <c r="C989" i="6"/>
  <c r="B989" i="6"/>
  <c r="A989" i="6"/>
  <c r="I988" i="6"/>
  <c r="H988" i="6"/>
  <c r="G988" i="6"/>
  <c r="F988" i="6"/>
  <c r="C988" i="6"/>
  <c r="B988" i="6"/>
  <c r="A988" i="6"/>
  <c r="I980" i="6"/>
  <c r="H980" i="6"/>
  <c r="G980" i="6"/>
  <c r="F980" i="6"/>
  <c r="C980" i="6"/>
  <c r="B980" i="6"/>
  <c r="A980" i="6"/>
  <c r="I979" i="6"/>
  <c r="H979" i="6"/>
  <c r="G979" i="6"/>
  <c r="F979" i="6"/>
  <c r="C979" i="6"/>
  <c r="B979" i="6"/>
  <c r="A979" i="6"/>
  <c r="I978" i="6"/>
  <c r="H978" i="6"/>
  <c r="G978" i="6"/>
  <c r="F978" i="6"/>
  <c r="C978" i="6"/>
  <c r="B978" i="6"/>
  <c r="A978" i="6"/>
  <c r="I977" i="6"/>
  <c r="H977" i="6"/>
  <c r="G977" i="6"/>
  <c r="F977" i="6"/>
  <c r="C977" i="6"/>
  <c r="B977" i="6"/>
  <c r="A977" i="6"/>
  <c r="I976" i="6"/>
  <c r="H976" i="6"/>
  <c r="G976" i="6"/>
  <c r="F976" i="6"/>
  <c r="C976" i="6"/>
  <c r="B976" i="6"/>
  <c r="A976" i="6"/>
  <c r="I975" i="6"/>
  <c r="H975" i="6"/>
  <c r="G975" i="6"/>
  <c r="F975" i="6"/>
  <c r="C975" i="6"/>
  <c r="B975" i="6"/>
  <c r="A975" i="6"/>
  <c r="I974" i="6"/>
  <c r="H974" i="6"/>
  <c r="G974" i="6"/>
  <c r="F974" i="6"/>
  <c r="C974" i="6"/>
  <c r="B974" i="6"/>
  <c r="A974" i="6"/>
  <c r="I973" i="6"/>
  <c r="H973" i="6"/>
  <c r="G973" i="6"/>
  <c r="F973" i="6"/>
  <c r="C973" i="6"/>
  <c r="B973" i="6"/>
  <c r="A973" i="6"/>
  <c r="I972" i="6"/>
  <c r="H972" i="6"/>
  <c r="G972" i="6"/>
  <c r="F972" i="6"/>
  <c r="C972" i="6"/>
  <c r="B972" i="6"/>
  <c r="A972" i="6"/>
  <c r="I971" i="6"/>
  <c r="H971" i="6"/>
  <c r="G971" i="6"/>
  <c r="F971" i="6"/>
  <c r="C971" i="6"/>
  <c r="B971" i="6"/>
  <c r="A971" i="6"/>
  <c r="I970" i="6"/>
  <c r="H970" i="6"/>
  <c r="G970" i="6"/>
  <c r="F970" i="6"/>
  <c r="C970" i="6"/>
  <c r="B970" i="6"/>
  <c r="A970" i="6"/>
  <c r="I969" i="6"/>
  <c r="H969" i="6"/>
  <c r="G969" i="6"/>
  <c r="F969" i="6"/>
  <c r="C969" i="6"/>
  <c r="B969" i="6"/>
  <c r="A969" i="6"/>
  <c r="I968" i="6"/>
  <c r="H968" i="6"/>
  <c r="G968" i="6"/>
  <c r="F968" i="6"/>
  <c r="C968" i="6"/>
  <c r="B968" i="6"/>
  <c r="A968" i="6"/>
  <c r="I967" i="6"/>
  <c r="H967" i="6"/>
  <c r="G967" i="6"/>
  <c r="F967" i="6"/>
  <c r="C967" i="6"/>
  <c r="B967" i="6"/>
  <c r="A967" i="6"/>
  <c r="I966" i="6"/>
  <c r="H966" i="6"/>
  <c r="G966" i="6"/>
  <c r="F966" i="6"/>
  <c r="C966" i="6"/>
  <c r="B966" i="6"/>
  <c r="A966" i="6"/>
  <c r="I965" i="6"/>
  <c r="H965" i="6"/>
  <c r="G965" i="6"/>
  <c r="F965" i="6"/>
  <c r="C965" i="6"/>
  <c r="B965" i="6"/>
  <c r="A965" i="6"/>
  <c r="I964" i="6"/>
  <c r="H964" i="6"/>
  <c r="G964" i="6"/>
  <c r="F964" i="6"/>
  <c r="C964" i="6"/>
  <c r="B964" i="6"/>
  <c r="A964" i="6"/>
  <c r="I963" i="6"/>
  <c r="H963" i="6"/>
  <c r="G963" i="6"/>
  <c r="F963" i="6"/>
  <c r="C963" i="6"/>
  <c r="B963" i="6"/>
  <c r="A963" i="6"/>
  <c r="I962" i="6"/>
  <c r="H962" i="6"/>
  <c r="G962" i="6"/>
  <c r="F962" i="6"/>
  <c r="C962" i="6"/>
  <c r="B962" i="6"/>
  <c r="A962" i="6"/>
  <c r="I961" i="6"/>
  <c r="H961" i="6"/>
  <c r="G961" i="6"/>
  <c r="F961" i="6"/>
  <c r="C961" i="6"/>
  <c r="B961" i="6"/>
  <c r="A961" i="6"/>
  <c r="I960" i="6"/>
  <c r="H960" i="6"/>
  <c r="G960" i="6"/>
  <c r="F960" i="6"/>
  <c r="C960" i="6"/>
  <c r="B960" i="6"/>
  <c r="A960" i="6"/>
  <c r="I959" i="6"/>
  <c r="H959" i="6"/>
  <c r="G959" i="6"/>
  <c r="F959" i="6"/>
  <c r="C959" i="6"/>
  <c r="B959" i="6"/>
  <c r="A959" i="6"/>
  <c r="I958" i="6"/>
  <c r="H958" i="6"/>
  <c r="G958" i="6"/>
  <c r="F958" i="6"/>
  <c r="C958" i="6"/>
  <c r="B958" i="6"/>
  <c r="A958" i="6"/>
  <c r="I957" i="6"/>
  <c r="H957" i="6"/>
  <c r="G957" i="6"/>
  <c r="F957" i="6"/>
  <c r="C957" i="6"/>
  <c r="B957" i="6"/>
  <c r="A957" i="6"/>
  <c r="I956" i="6"/>
  <c r="H956" i="6"/>
  <c r="G956" i="6"/>
  <c r="F956" i="6"/>
  <c r="C956" i="6"/>
  <c r="B956" i="6"/>
  <c r="A956" i="6"/>
  <c r="I955" i="6"/>
  <c r="H955" i="6"/>
  <c r="G955" i="6"/>
  <c r="F955" i="6"/>
  <c r="C955" i="6"/>
  <c r="B955" i="6"/>
  <c r="A955" i="6"/>
  <c r="I954" i="6"/>
  <c r="H954" i="6"/>
  <c r="G954" i="6"/>
  <c r="F954" i="6"/>
  <c r="C954" i="6"/>
  <c r="B954" i="6"/>
  <c r="A954" i="6"/>
  <c r="I953" i="6"/>
  <c r="H953" i="6"/>
  <c r="G953" i="6"/>
  <c r="F953" i="6"/>
  <c r="C953" i="6"/>
  <c r="B953" i="6"/>
  <c r="A953" i="6"/>
  <c r="I952" i="6"/>
  <c r="H952" i="6"/>
  <c r="G952" i="6"/>
  <c r="F952" i="6"/>
  <c r="C952" i="6"/>
  <c r="B952" i="6"/>
  <c r="A952" i="6"/>
  <c r="I951" i="6"/>
  <c r="H951" i="6"/>
  <c r="G951" i="6"/>
  <c r="F951" i="6"/>
  <c r="C951" i="6"/>
  <c r="B951" i="6"/>
  <c r="A951" i="6"/>
  <c r="I950" i="6"/>
  <c r="H950" i="6"/>
  <c r="G950" i="6"/>
  <c r="F950" i="6"/>
  <c r="C950" i="6"/>
  <c r="B950" i="6"/>
  <c r="A950" i="6"/>
  <c r="I949" i="6"/>
  <c r="H949" i="6"/>
  <c r="G949" i="6"/>
  <c r="F949" i="6"/>
  <c r="C949" i="6"/>
  <c r="B949" i="6"/>
  <c r="A949" i="6"/>
  <c r="I948" i="6"/>
  <c r="H948" i="6"/>
  <c r="G948" i="6"/>
  <c r="F948" i="6"/>
  <c r="C948" i="6"/>
  <c r="B948" i="6"/>
  <c r="A948" i="6"/>
  <c r="I947" i="6"/>
  <c r="H947" i="6"/>
  <c r="G947" i="6"/>
  <c r="F947" i="6"/>
  <c r="C947" i="6"/>
  <c r="B947" i="6"/>
  <c r="A947" i="6"/>
  <c r="I946" i="6"/>
  <c r="H946" i="6"/>
  <c r="G946" i="6"/>
  <c r="F946" i="6"/>
  <c r="C946" i="6"/>
  <c r="B946" i="6"/>
  <c r="A946" i="6"/>
  <c r="I945" i="6"/>
  <c r="H945" i="6"/>
  <c r="G945" i="6"/>
  <c r="F945" i="6"/>
  <c r="C945" i="6"/>
  <c r="B945" i="6"/>
  <c r="A945" i="6"/>
  <c r="I944" i="6"/>
  <c r="H944" i="6"/>
  <c r="G944" i="6"/>
  <c r="F944" i="6"/>
  <c r="C944" i="6"/>
  <c r="B944" i="6"/>
  <c r="A944" i="6"/>
  <c r="I943" i="6"/>
  <c r="H943" i="6"/>
  <c r="G943" i="6"/>
  <c r="F943" i="6"/>
  <c r="C943" i="6"/>
  <c r="B943" i="6"/>
  <c r="A943" i="6"/>
  <c r="I942" i="6"/>
  <c r="H942" i="6"/>
  <c r="G942" i="6"/>
  <c r="F942" i="6"/>
  <c r="C942" i="6"/>
  <c r="B942" i="6"/>
  <c r="A942" i="6"/>
  <c r="I941" i="6"/>
  <c r="H941" i="6"/>
  <c r="G941" i="6"/>
  <c r="F941" i="6"/>
  <c r="C941" i="6"/>
  <c r="B941" i="6"/>
  <c r="A941" i="6"/>
  <c r="I940" i="6"/>
  <c r="H940" i="6"/>
  <c r="G940" i="6"/>
  <c r="F940" i="6"/>
  <c r="C940" i="6"/>
  <c r="B940" i="6"/>
  <c r="A940" i="6"/>
  <c r="I939" i="6"/>
  <c r="H939" i="6"/>
  <c r="G939" i="6"/>
  <c r="F939" i="6"/>
  <c r="C939" i="6"/>
  <c r="B939" i="6"/>
  <c r="A939" i="6"/>
  <c r="I938" i="6"/>
  <c r="H938" i="6"/>
  <c r="G938" i="6"/>
  <c r="F938" i="6"/>
  <c r="C938" i="6"/>
  <c r="B938" i="6"/>
  <c r="A938" i="6"/>
  <c r="I937" i="6"/>
  <c r="H937" i="6"/>
  <c r="G937" i="6"/>
  <c r="F937" i="6"/>
  <c r="C937" i="6"/>
  <c r="B937" i="6"/>
  <c r="A937" i="6"/>
  <c r="I936" i="6"/>
  <c r="H936" i="6"/>
  <c r="G936" i="6"/>
  <c r="F936" i="6"/>
  <c r="C936" i="6"/>
  <c r="B936" i="6"/>
  <c r="A936" i="6"/>
  <c r="I935" i="6"/>
  <c r="H935" i="6"/>
  <c r="G935" i="6"/>
  <c r="F935" i="6"/>
  <c r="C935" i="6"/>
  <c r="B935" i="6"/>
  <c r="A935" i="6"/>
  <c r="I934" i="6"/>
  <c r="H934" i="6"/>
  <c r="G934" i="6"/>
  <c r="F934" i="6"/>
  <c r="C934" i="6"/>
  <c r="B934" i="6"/>
  <c r="A934" i="6"/>
  <c r="I933" i="6"/>
  <c r="H933" i="6"/>
  <c r="G933" i="6"/>
  <c r="F933" i="6"/>
  <c r="C933" i="6"/>
  <c r="B933" i="6"/>
  <c r="A933" i="6"/>
  <c r="I932" i="6"/>
  <c r="H932" i="6"/>
  <c r="G932" i="6"/>
  <c r="F932" i="6"/>
  <c r="C932" i="6"/>
  <c r="B932" i="6"/>
  <c r="A932" i="6"/>
  <c r="I931" i="6"/>
  <c r="H931" i="6"/>
  <c r="G931" i="6"/>
  <c r="F931" i="6"/>
  <c r="C931" i="6"/>
  <c r="B931" i="6"/>
  <c r="A931" i="6"/>
  <c r="I930" i="6"/>
  <c r="H930" i="6"/>
  <c r="G930" i="6"/>
  <c r="F930" i="6"/>
  <c r="C930" i="6"/>
  <c r="B930" i="6"/>
  <c r="A930" i="6"/>
  <c r="I929" i="6"/>
  <c r="H929" i="6"/>
  <c r="G929" i="6"/>
  <c r="F929" i="6"/>
  <c r="C929" i="6"/>
  <c r="B929" i="6"/>
  <c r="A929" i="6"/>
  <c r="I928" i="6"/>
  <c r="H928" i="6"/>
  <c r="G928" i="6"/>
  <c r="F928" i="6"/>
  <c r="C928" i="6"/>
  <c r="B928" i="6"/>
  <c r="A928" i="6"/>
  <c r="I927" i="6"/>
  <c r="H927" i="6"/>
  <c r="G927" i="6"/>
  <c r="F927" i="6"/>
  <c r="C927" i="6"/>
  <c r="B927" i="6"/>
  <c r="A927" i="6"/>
  <c r="I926" i="6"/>
  <c r="H926" i="6"/>
  <c r="G926" i="6"/>
  <c r="F926" i="6"/>
  <c r="C926" i="6"/>
  <c r="B926" i="6"/>
  <c r="A926" i="6"/>
  <c r="I925" i="6"/>
  <c r="H925" i="6"/>
  <c r="G925" i="6"/>
  <c r="F925" i="6"/>
  <c r="C925" i="6"/>
  <c r="B925" i="6"/>
  <c r="A925" i="6"/>
  <c r="I924" i="6"/>
  <c r="H924" i="6"/>
  <c r="G924" i="6"/>
  <c r="F924" i="6"/>
  <c r="C924" i="6"/>
  <c r="B924" i="6"/>
  <c r="A924" i="6"/>
  <c r="I923" i="6"/>
  <c r="H923" i="6"/>
  <c r="G923" i="6"/>
  <c r="F923" i="6"/>
  <c r="C923" i="6"/>
  <c r="B923" i="6"/>
  <c r="A923" i="6"/>
  <c r="I922" i="6"/>
  <c r="H922" i="6"/>
  <c r="G922" i="6"/>
  <c r="F922" i="6"/>
  <c r="C922" i="6"/>
  <c r="B922" i="6"/>
  <c r="A922" i="6"/>
  <c r="I921" i="6"/>
  <c r="H921" i="6"/>
  <c r="G921" i="6"/>
  <c r="F921" i="6"/>
  <c r="C921" i="6"/>
  <c r="B921" i="6"/>
  <c r="A921" i="6"/>
  <c r="I920" i="6"/>
  <c r="H920" i="6"/>
  <c r="G920" i="6"/>
  <c r="F920" i="6"/>
  <c r="C920" i="6"/>
  <c r="B920" i="6"/>
  <c r="A920" i="6"/>
  <c r="I919" i="6"/>
  <c r="H919" i="6"/>
  <c r="G919" i="6"/>
  <c r="F919" i="6"/>
  <c r="C919" i="6"/>
  <c r="B919" i="6"/>
  <c r="A919" i="6"/>
  <c r="I918" i="6"/>
  <c r="H918" i="6"/>
  <c r="G918" i="6"/>
  <c r="F918" i="6"/>
  <c r="C918" i="6"/>
  <c r="B918" i="6"/>
  <c r="A918" i="6"/>
  <c r="I917" i="6"/>
  <c r="H917" i="6"/>
  <c r="G917" i="6"/>
  <c r="F917" i="6"/>
  <c r="C917" i="6"/>
  <c r="B917" i="6"/>
  <c r="A917" i="6"/>
  <c r="I916" i="6"/>
  <c r="H916" i="6"/>
  <c r="G916" i="6"/>
  <c r="F916" i="6"/>
  <c r="C916" i="6"/>
  <c r="B916" i="6"/>
  <c r="A916" i="6"/>
  <c r="I915" i="6"/>
  <c r="H915" i="6"/>
  <c r="G915" i="6"/>
  <c r="F915" i="6"/>
  <c r="C915" i="6"/>
  <c r="B915" i="6"/>
  <c r="A915" i="6"/>
  <c r="I914" i="6"/>
  <c r="H914" i="6"/>
  <c r="G914" i="6"/>
  <c r="F914" i="6"/>
  <c r="C914" i="6"/>
  <c r="B914" i="6"/>
  <c r="A914" i="6"/>
  <c r="I913" i="6"/>
  <c r="H913" i="6"/>
  <c r="G913" i="6"/>
  <c r="F913" i="6"/>
  <c r="C913" i="6"/>
  <c r="B913" i="6"/>
  <c r="A913" i="6"/>
  <c r="I912" i="6"/>
  <c r="H912" i="6"/>
  <c r="G912" i="6"/>
  <c r="F912" i="6"/>
  <c r="C912" i="6"/>
  <c r="B912" i="6"/>
  <c r="A912" i="6"/>
  <c r="I911" i="6"/>
  <c r="H911" i="6"/>
  <c r="G911" i="6"/>
  <c r="F911" i="6"/>
  <c r="C911" i="6"/>
  <c r="B911" i="6"/>
  <c r="A911" i="6"/>
  <c r="I910" i="6"/>
  <c r="H910" i="6"/>
  <c r="G910" i="6"/>
  <c r="F910" i="6"/>
  <c r="C910" i="6"/>
  <c r="B910" i="6"/>
  <c r="A910" i="6"/>
  <c r="I909" i="6"/>
  <c r="H909" i="6"/>
  <c r="G909" i="6"/>
  <c r="F909" i="6"/>
  <c r="C909" i="6"/>
  <c r="B909" i="6"/>
  <c r="A909" i="6"/>
  <c r="I908" i="6"/>
  <c r="H908" i="6"/>
  <c r="G908" i="6"/>
  <c r="F908" i="6"/>
  <c r="C908" i="6"/>
  <c r="B908" i="6"/>
  <c r="A908" i="6"/>
  <c r="I907" i="6"/>
  <c r="H907" i="6"/>
  <c r="G907" i="6"/>
  <c r="F907" i="6"/>
  <c r="C907" i="6"/>
  <c r="B907" i="6"/>
  <c r="A907" i="6"/>
  <c r="I906" i="6"/>
  <c r="H906" i="6"/>
  <c r="G906" i="6"/>
  <c r="F906" i="6"/>
  <c r="C906" i="6"/>
  <c r="B906" i="6"/>
  <c r="A906" i="6"/>
  <c r="I905" i="6"/>
  <c r="H905" i="6"/>
  <c r="G905" i="6"/>
  <c r="F905" i="6"/>
  <c r="C905" i="6"/>
  <c r="B905" i="6"/>
  <c r="A905" i="6"/>
  <c r="I904" i="6"/>
  <c r="H904" i="6"/>
  <c r="G904" i="6"/>
  <c r="F904" i="6"/>
  <c r="C904" i="6"/>
  <c r="B904" i="6"/>
  <c r="A904" i="6"/>
  <c r="I903" i="6"/>
  <c r="H903" i="6"/>
  <c r="G903" i="6"/>
  <c r="F903" i="6"/>
  <c r="C903" i="6"/>
  <c r="B903" i="6"/>
  <c r="A903" i="6"/>
  <c r="I902" i="6"/>
  <c r="H902" i="6"/>
  <c r="G902" i="6"/>
  <c r="F902" i="6"/>
  <c r="C902" i="6"/>
  <c r="B902" i="6"/>
  <c r="A902" i="6"/>
  <c r="I901" i="6"/>
  <c r="H901" i="6"/>
  <c r="G901" i="6"/>
  <c r="F901" i="6"/>
  <c r="C901" i="6"/>
  <c r="B901" i="6"/>
  <c r="A901" i="6"/>
  <c r="I900" i="6"/>
  <c r="H900" i="6"/>
  <c r="G900" i="6"/>
  <c r="F900" i="6"/>
  <c r="C900" i="6"/>
  <c r="B900" i="6"/>
  <c r="A900" i="6"/>
  <c r="I899" i="6"/>
  <c r="H899" i="6"/>
  <c r="G899" i="6"/>
  <c r="F899" i="6"/>
  <c r="C899" i="6"/>
  <c r="B899" i="6"/>
  <c r="A899" i="6"/>
  <c r="I898" i="6"/>
  <c r="H898" i="6"/>
  <c r="G898" i="6"/>
  <c r="F898" i="6"/>
  <c r="C898" i="6"/>
  <c r="B898" i="6"/>
  <c r="A898" i="6"/>
  <c r="I897" i="6"/>
  <c r="H897" i="6"/>
  <c r="G897" i="6"/>
  <c r="F897" i="6"/>
  <c r="C897" i="6"/>
  <c r="B897" i="6"/>
  <c r="A897" i="6"/>
  <c r="I896" i="6"/>
  <c r="H896" i="6"/>
  <c r="G896" i="6"/>
  <c r="F896" i="6"/>
  <c r="C896" i="6"/>
  <c r="B896" i="6"/>
  <c r="A896" i="6"/>
  <c r="I895" i="6"/>
  <c r="H895" i="6"/>
  <c r="G895" i="6"/>
  <c r="F895" i="6"/>
  <c r="C895" i="6"/>
  <c r="B895" i="6"/>
  <c r="A895" i="6"/>
  <c r="I894" i="6"/>
  <c r="H894" i="6"/>
  <c r="G894" i="6"/>
  <c r="F894" i="6"/>
  <c r="C894" i="6"/>
  <c r="B894" i="6"/>
  <c r="A894" i="6"/>
  <c r="I893" i="6"/>
  <c r="H893" i="6"/>
  <c r="G893" i="6"/>
  <c r="F893" i="6"/>
  <c r="C893" i="6"/>
  <c r="B893" i="6"/>
  <c r="A893" i="6"/>
  <c r="I892" i="6"/>
  <c r="H892" i="6"/>
  <c r="G892" i="6"/>
  <c r="F892" i="6"/>
  <c r="C892" i="6"/>
  <c r="B892" i="6"/>
  <c r="A892" i="6"/>
  <c r="I891" i="6"/>
  <c r="H891" i="6"/>
  <c r="G891" i="6"/>
  <c r="F891" i="6"/>
  <c r="C891" i="6"/>
  <c r="B891" i="6"/>
  <c r="A891" i="6"/>
  <c r="I890" i="6"/>
  <c r="H890" i="6"/>
  <c r="G890" i="6"/>
  <c r="F890" i="6"/>
  <c r="C890" i="6"/>
  <c r="B890" i="6"/>
  <c r="A890" i="6"/>
  <c r="I889" i="6"/>
  <c r="H889" i="6"/>
  <c r="G889" i="6"/>
  <c r="F889" i="6"/>
  <c r="C889" i="6"/>
  <c r="B889" i="6"/>
  <c r="A889" i="6"/>
  <c r="I888" i="6"/>
  <c r="H888" i="6"/>
  <c r="G888" i="6"/>
  <c r="F888" i="6"/>
  <c r="C888" i="6"/>
  <c r="B888" i="6"/>
  <c r="A888" i="6"/>
  <c r="I887" i="6"/>
  <c r="H887" i="6"/>
  <c r="G887" i="6"/>
  <c r="F887" i="6"/>
  <c r="C887" i="6"/>
  <c r="B887" i="6"/>
  <c r="A887" i="6"/>
  <c r="I886" i="6"/>
  <c r="H886" i="6"/>
  <c r="G886" i="6"/>
  <c r="F886" i="6"/>
  <c r="C886" i="6"/>
  <c r="B886" i="6"/>
  <c r="A886" i="6"/>
  <c r="I885" i="6"/>
  <c r="H885" i="6"/>
  <c r="G885" i="6"/>
  <c r="F885" i="6"/>
  <c r="C885" i="6"/>
  <c r="B885" i="6"/>
  <c r="A885" i="6"/>
  <c r="I884" i="6"/>
  <c r="H884" i="6"/>
  <c r="G884" i="6"/>
  <c r="F884" i="6"/>
  <c r="C884" i="6"/>
  <c r="B884" i="6"/>
  <c r="A884" i="6"/>
  <c r="I883" i="6"/>
  <c r="H883" i="6"/>
  <c r="G883" i="6"/>
  <c r="F883" i="6"/>
  <c r="C883" i="6"/>
  <c r="B883" i="6"/>
  <c r="A883" i="6"/>
  <c r="I882" i="6"/>
  <c r="H882" i="6"/>
  <c r="G882" i="6"/>
  <c r="F882" i="6"/>
  <c r="C882" i="6"/>
  <c r="B882" i="6"/>
  <c r="A882" i="6"/>
  <c r="I881" i="6"/>
  <c r="H881" i="6"/>
  <c r="G881" i="6"/>
  <c r="F881" i="6"/>
  <c r="C881" i="6"/>
  <c r="B881" i="6"/>
  <c r="A881" i="6"/>
  <c r="I880" i="6"/>
  <c r="H880" i="6"/>
  <c r="G880" i="6"/>
  <c r="F880" i="6"/>
  <c r="C880" i="6"/>
  <c r="B880" i="6"/>
  <c r="A880" i="6"/>
  <c r="I879" i="6"/>
  <c r="H879" i="6"/>
  <c r="G879" i="6"/>
  <c r="F879" i="6"/>
  <c r="C879" i="6"/>
  <c r="B879" i="6"/>
  <c r="A879" i="6"/>
  <c r="I878" i="6"/>
  <c r="H878" i="6"/>
  <c r="G878" i="6"/>
  <c r="F878" i="6"/>
  <c r="C878" i="6"/>
  <c r="B878" i="6"/>
  <c r="A878" i="6"/>
  <c r="I877" i="6"/>
  <c r="H877" i="6"/>
  <c r="G877" i="6"/>
  <c r="F877" i="6"/>
  <c r="C877" i="6"/>
  <c r="B877" i="6"/>
  <c r="A877" i="6"/>
  <c r="I876" i="6"/>
  <c r="H876" i="6"/>
  <c r="G876" i="6"/>
  <c r="F876" i="6"/>
  <c r="C876" i="6"/>
  <c r="B876" i="6"/>
  <c r="A876" i="6"/>
  <c r="I875" i="6"/>
  <c r="H875" i="6"/>
  <c r="G875" i="6"/>
  <c r="F875" i="6"/>
  <c r="C875" i="6"/>
  <c r="B875" i="6"/>
  <c r="A875" i="6"/>
  <c r="I874" i="6"/>
  <c r="H874" i="6"/>
  <c r="G874" i="6"/>
  <c r="F874" i="6"/>
  <c r="C874" i="6"/>
  <c r="B874" i="6"/>
  <c r="A874" i="6"/>
  <c r="I873" i="6"/>
  <c r="H873" i="6"/>
  <c r="G873" i="6"/>
  <c r="F873" i="6"/>
  <c r="C873" i="6"/>
  <c r="B873" i="6"/>
  <c r="A873" i="6"/>
  <c r="I872" i="6"/>
  <c r="H872" i="6"/>
  <c r="G872" i="6"/>
  <c r="F872" i="6"/>
  <c r="C872" i="6"/>
  <c r="B872" i="6"/>
  <c r="A872" i="6"/>
  <c r="I871" i="6"/>
  <c r="H871" i="6"/>
  <c r="G871" i="6"/>
  <c r="F871" i="6"/>
  <c r="C871" i="6"/>
  <c r="B871" i="6"/>
  <c r="A871" i="6"/>
  <c r="I870" i="6"/>
  <c r="H870" i="6"/>
  <c r="G870" i="6"/>
  <c r="F870" i="6"/>
  <c r="C870" i="6"/>
  <c r="B870" i="6"/>
  <c r="A870" i="6"/>
  <c r="I869" i="6"/>
  <c r="H869" i="6"/>
  <c r="G869" i="6"/>
  <c r="F869" i="6"/>
  <c r="C869" i="6"/>
  <c r="B869" i="6"/>
  <c r="A869" i="6"/>
  <c r="I868" i="6"/>
  <c r="H868" i="6"/>
  <c r="G868" i="6"/>
  <c r="F868" i="6"/>
  <c r="C868" i="6"/>
  <c r="B868" i="6"/>
  <c r="A868" i="6"/>
  <c r="I867" i="6"/>
  <c r="H867" i="6"/>
  <c r="G867" i="6"/>
  <c r="F867" i="6"/>
  <c r="C867" i="6"/>
  <c r="B867" i="6"/>
  <c r="A867" i="6"/>
  <c r="I866" i="6"/>
  <c r="H866" i="6"/>
  <c r="G866" i="6"/>
  <c r="F866" i="6"/>
  <c r="C866" i="6"/>
  <c r="B866" i="6"/>
  <c r="A866" i="6"/>
  <c r="I865" i="6"/>
  <c r="H865" i="6"/>
  <c r="G865" i="6"/>
  <c r="F865" i="6"/>
  <c r="C865" i="6"/>
  <c r="B865" i="6"/>
  <c r="A865" i="6"/>
  <c r="I864" i="6"/>
  <c r="H864" i="6"/>
  <c r="G864" i="6"/>
  <c r="F864" i="6"/>
  <c r="C864" i="6"/>
  <c r="B864" i="6"/>
  <c r="A864" i="6"/>
  <c r="I863" i="6"/>
  <c r="H863" i="6"/>
  <c r="G863" i="6"/>
  <c r="F863" i="6"/>
  <c r="C863" i="6"/>
  <c r="B863" i="6"/>
  <c r="A863" i="6"/>
  <c r="I862" i="6"/>
  <c r="H862" i="6"/>
  <c r="G862" i="6"/>
  <c r="F862" i="6"/>
  <c r="C862" i="6"/>
  <c r="B862" i="6"/>
  <c r="A862" i="6"/>
  <c r="I861" i="6"/>
  <c r="H861" i="6"/>
  <c r="G861" i="6"/>
  <c r="F861" i="6"/>
  <c r="C861" i="6"/>
  <c r="B861" i="6"/>
  <c r="A861" i="6"/>
  <c r="I860" i="6"/>
  <c r="H860" i="6"/>
  <c r="G860" i="6"/>
  <c r="F860" i="6"/>
  <c r="C860" i="6"/>
  <c r="B860" i="6"/>
  <c r="A860" i="6"/>
  <c r="I859" i="6"/>
  <c r="H859" i="6"/>
  <c r="G859" i="6"/>
  <c r="F859" i="6"/>
  <c r="C859" i="6"/>
  <c r="B859" i="6"/>
  <c r="A859" i="6"/>
  <c r="I858" i="6"/>
  <c r="H858" i="6"/>
  <c r="G858" i="6"/>
  <c r="F858" i="6"/>
  <c r="C858" i="6"/>
  <c r="B858" i="6"/>
  <c r="A858" i="6"/>
  <c r="I857" i="6"/>
  <c r="H857" i="6"/>
  <c r="G857" i="6"/>
  <c r="F857" i="6"/>
  <c r="C857" i="6"/>
  <c r="B857" i="6"/>
  <c r="A857" i="6"/>
  <c r="I856" i="6"/>
  <c r="H856" i="6"/>
  <c r="G856" i="6"/>
  <c r="F856" i="6"/>
  <c r="C856" i="6"/>
  <c r="B856" i="6"/>
  <c r="A856" i="6"/>
  <c r="I855" i="6"/>
  <c r="H855" i="6"/>
  <c r="G855" i="6"/>
  <c r="F855" i="6"/>
  <c r="C855" i="6"/>
  <c r="B855" i="6"/>
  <c r="A855" i="6"/>
  <c r="I854" i="6"/>
  <c r="H854" i="6"/>
  <c r="G854" i="6"/>
  <c r="F854" i="6"/>
  <c r="C854" i="6"/>
  <c r="B854" i="6"/>
  <c r="A854" i="6"/>
  <c r="I853" i="6"/>
  <c r="H853" i="6"/>
  <c r="G853" i="6"/>
  <c r="F853" i="6"/>
  <c r="C853" i="6"/>
  <c r="B853" i="6"/>
  <c r="A853" i="6"/>
  <c r="I852" i="6"/>
  <c r="H852" i="6"/>
  <c r="G852" i="6"/>
  <c r="F852" i="6"/>
  <c r="C852" i="6"/>
  <c r="B852" i="6"/>
  <c r="A852" i="6"/>
  <c r="I792" i="6"/>
  <c r="H792" i="6"/>
  <c r="G792" i="6"/>
  <c r="F792" i="6"/>
  <c r="C792" i="6"/>
  <c r="B792" i="6"/>
  <c r="A792" i="6"/>
  <c r="R43" i="2"/>
  <c r="C43" i="2"/>
  <c r="R42" i="2"/>
  <c r="AK11" i="2"/>
  <c r="AF11" i="2"/>
  <c r="C62" i="15" l="1"/>
  <c r="D68" i="15"/>
  <c r="C68" i="15"/>
  <c r="B68" i="15"/>
  <c r="D62" i="15"/>
  <c r="B62" i="15"/>
  <c r="Z611" i="8"/>
  <c r="F640" i="6"/>
  <c r="T611" i="8"/>
  <c r="D640" i="6" s="1"/>
  <c r="U611" i="8"/>
  <c r="Y611" i="8"/>
  <c r="C640" i="6"/>
  <c r="R611" i="8"/>
  <c r="A624" i="7" s="1"/>
  <c r="S611" i="8"/>
  <c r="B640" i="6"/>
  <c r="L611" i="9"/>
  <c r="L611" i="8" s="1"/>
  <c r="K611" i="9"/>
  <c r="K611" i="8" s="1"/>
  <c r="M611" i="9"/>
  <c r="M611" i="8" s="1"/>
  <c r="H640" i="6" s="1"/>
  <c r="A611" i="8"/>
  <c r="P611" i="9"/>
  <c r="P611" i="8" s="1"/>
  <c r="O611" i="9"/>
  <c r="O611" i="8" s="1"/>
  <c r="N611" i="9"/>
  <c r="N611" i="8" s="1"/>
  <c r="Z610" i="8"/>
  <c r="F639" i="6"/>
  <c r="T610" i="8"/>
  <c r="D639" i="6" s="1"/>
  <c r="U610" i="8"/>
  <c r="Y610" i="8"/>
  <c r="C639" i="6"/>
  <c r="R610" i="8"/>
  <c r="A623" i="7" s="1"/>
  <c r="S610" i="8"/>
  <c r="B639" i="6"/>
  <c r="M610" i="9"/>
  <c r="M610" i="8" s="1"/>
  <c r="H639" i="6" s="1"/>
  <c r="L610" i="9"/>
  <c r="L610" i="8" s="1"/>
  <c r="O610" i="9"/>
  <c r="O610" i="8" s="1"/>
  <c r="N610" i="9"/>
  <c r="N610" i="8" s="1"/>
  <c r="K610" i="9"/>
  <c r="K610" i="8" s="1"/>
  <c r="A610" i="8"/>
  <c r="P610" i="9"/>
  <c r="P610" i="8" s="1"/>
  <c r="Z609" i="8"/>
  <c r="F638" i="6"/>
  <c r="T609" i="8"/>
  <c r="D638" i="6" s="1"/>
  <c r="U609" i="8"/>
  <c r="Y609" i="8"/>
  <c r="C638" i="6"/>
  <c r="R609" i="8"/>
  <c r="A622" i="7" s="1"/>
  <c r="S609" i="8"/>
  <c r="B638" i="6"/>
  <c r="P609" i="9"/>
  <c r="P609" i="8" s="1"/>
  <c r="O609" i="9"/>
  <c r="O609" i="8" s="1"/>
  <c r="N609" i="9"/>
  <c r="N609" i="8" s="1"/>
  <c r="M609" i="9"/>
  <c r="M609" i="8" s="1"/>
  <c r="H638" i="6" s="1"/>
  <c r="L609" i="9"/>
  <c r="L609" i="8" s="1"/>
  <c r="K609" i="9"/>
  <c r="K609" i="8" s="1"/>
  <c r="A609" i="8"/>
  <c r="Z608" i="8"/>
  <c r="F637" i="6"/>
  <c r="T608" i="8"/>
  <c r="D637" i="6" s="1"/>
  <c r="U608" i="8"/>
  <c r="Y608" i="8"/>
  <c r="C637" i="6"/>
  <c r="R608" i="8"/>
  <c r="A621" i="7" s="1"/>
  <c r="S608" i="8"/>
  <c r="B637" i="6"/>
  <c r="N608" i="9"/>
  <c r="N608" i="8" s="1"/>
  <c r="M608" i="9"/>
  <c r="M608" i="8" s="1"/>
  <c r="H637" i="6" s="1"/>
  <c r="L608" i="9"/>
  <c r="L608" i="8" s="1"/>
  <c r="O608" i="9"/>
  <c r="O608" i="8" s="1"/>
  <c r="P608" i="9"/>
  <c r="P608" i="8" s="1"/>
  <c r="K608" i="9"/>
  <c r="K608" i="8" s="1"/>
  <c r="A608" i="8"/>
  <c r="Z607" i="8"/>
  <c r="F636" i="6"/>
  <c r="T607" i="8"/>
  <c r="D636" i="6" s="1"/>
  <c r="U607" i="8"/>
  <c r="Y607" i="8"/>
  <c r="C636" i="6"/>
  <c r="R607" i="8"/>
  <c r="A620" i="7" s="1"/>
  <c r="S607" i="8"/>
  <c r="B636" i="6"/>
  <c r="A607" i="8"/>
  <c r="P607" i="9"/>
  <c r="P607" i="8" s="1"/>
  <c r="O607" i="9"/>
  <c r="O607" i="8" s="1"/>
  <c r="N607" i="9"/>
  <c r="N607" i="8" s="1"/>
  <c r="M607" i="9"/>
  <c r="M607" i="8" s="1"/>
  <c r="H636" i="6" s="1"/>
  <c r="L607" i="9"/>
  <c r="L607" i="8" s="1"/>
  <c r="K607" i="9"/>
  <c r="K607" i="8" s="1"/>
  <c r="Z606" i="8"/>
  <c r="F635" i="6"/>
  <c r="T606" i="8"/>
  <c r="D635" i="6" s="1"/>
  <c r="U606" i="8"/>
  <c r="Y606" i="8"/>
  <c r="C635" i="6"/>
  <c r="R606" i="8"/>
  <c r="A619" i="7" s="1"/>
  <c r="S606" i="8"/>
  <c r="B635" i="6"/>
  <c r="P606" i="9"/>
  <c r="P606" i="8" s="1"/>
  <c r="O606" i="9"/>
  <c r="O606" i="8" s="1"/>
  <c r="N606" i="9"/>
  <c r="N606" i="8" s="1"/>
  <c r="M606" i="9"/>
  <c r="M606" i="8" s="1"/>
  <c r="H635" i="6" s="1"/>
  <c r="L606" i="9"/>
  <c r="L606" i="8" s="1"/>
  <c r="K606" i="9"/>
  <c r="K606" i="8" s="1"/>
  <c r="A606" i="8"/>
  <c r="Z605" i="8"/>
  <c r="F634" i="6"/>
  <c r="T605" i="8"/>
  <c r="D634" i="6" s="1"/>
  <c r="U605" i="8"/>
  <c r="Y605" i="8"/>
  <c r="C634" i="6"/>
  <c r="R605" i="8"/>
  <c r="A618" i="7" s="1"/>
  <c r="S605" i="8"/>
  <c r="B634" i="6"/>
  <c r="L605" i="9"/>
  <c r="L605" i="8" s="1"/>
  <c r="A605" i="8"/>
  <c r="M605" i="9"/>
  <c r="M605" i="8" s="1"/>
  <c r="H634" i="6" s="1"/>
  <c r="N605" i="9"/>
  <c r="N605" i="8" s="1"/>
  <c r="O605" i="9"/>
  <c r="O605" i="8" s="1"/>
  <c r="P605" i="9"/>
  <c r="P605" i="8" s="1"/>
  <c r="K605" i="9"/>
  <c r="K605" i="8" s="1"/>
  <c r="Z604" i="8"/>
  <c r="F633" i="6"/>
  <c r="T604" i="8"/>
  <c r="D633" i="6" s="1"/>
  <c r="U604" i="8"/>
  <c r="Y604" i="8"/>
  <c r="C633" i="6"/>
  <c r="R604" i="8"/>
  <c r="A617" i="7" s="1"/>
  <c r="S604" i="8"/>
  <c r="B633" i="6"/>
  <c r="A604" i="8"/>
  <c r="K604" i="9"/>
  <c r="K604" i="8" s="1"/>
  <c r="L604" i="9"/>
  <c r="L604" i="8" s="1"/>
  <c r="M604" i="9"/>
  <c r="M604" i="8" s="1"/>
  <c r="H633" i="6" s="1"/>
  <c r="N604" i="9"/>
  <c r="N604" i="8" s="1"/>
  <c r="O604" i="9"/>
  <c r="O604" i="8" s="1"/>
  <c r="P604" i="9"/>
  <c r="P604" i="8" s="1"/>
  <c r="Z603" i="8"/>
  <c r="F632" i="6"/>
  <c r="T603" i="8"/>
  <c r="D632" i="6" s="1"/>
  <c r="U603" i="8"/>
  <c r="Y603" i="8"/>
  <c r="C632" i="6"/>
  <c r="R603" i="8"/>
  <c r="A616" i="7" s="1"/>
  <c r="S603" i="8"/>
  <c r="B632" i="6"/>
  <c r="O603" i="9"/>
  <c r="O603" i="8" s="1"/>
  <c r="N603" i="9"/>
  <c r="N603" i="8" s="1"/>
  <c r="M603" i="9"/>
  <c r="M603" i="8" s="1"/>
  <c r="H632" i="6" s="1"/>
  <c r="L603" i="9"/>
  <c r="L603" i="8" s="1"/>
  <c r="K603" i="9"/>
  <c r="K603" i="8" s="1"/>
  <c r="P603" i="9"/>
  <c r="P603" i="8" s="1"/>
  <c r="A603" i="8"/>
  <c r="Z602" i="8"/>
  <c r="F631" i="6"/>
  <c r="T602" i="8"/>
  <c r="D631" i="6" s="1"/>
  <c r="U602" i="8"/>
  <c r="Y602" i="8"/>
  <c r="C631" i="6"/>
  <c r="R602" i="8"/>
  <c r="A615" i="7" s="1"/>
  <c r="S602" i="8"/>
  <c r="B631" i="6"/>
  <c r="P602" i="9"/>
  <c r="P602" i="8" s="1"/>
  <c r="A602" i="8"/>
  <c r="K602" i="9"/>
  <c r="K602" i="8" s="1"/>
  <c r="L602" i="9"/>
  <c r="L602" i="8" s="1"/>
  <c r="M602" i="9"/>
  <c r="M602" i="8" s="1"/>
  <c r="H631" i="6" s="1"/>
  <c r="N602" i="9"/>
  <c r="N602" i="8" s="1"/>
  <c r="O602" i="9"/>
  <c r="O602" i="8" s="1"/>
  <c r="Z601" i="8"/>
  <c r="F630" i="6"/>
  <c r="T601" i="8"/>
  <c r="D630" i="6" s="1"/>
  <c r="U601" i="8"/>
  <c r="Y601" i="8"/>
  <c r="C630" i="6"/>
  <c r="R601" i="8"/>
  <c r="A614" i="7" s="1"/>
  <c r="S601" i="8"/>
  <c r="B630" i="6"/>
  <c r="K601" i="9"/>
  <c r="K601" i="8" s="1"/>
  <c r="A601" i="8"/>
  <c r="O601" i="9"/>
  <c r="O601" i="8" s="1"/>
  <c r="N601" i="9"/>
  <c r="N601" i="8" s="1"/>
  <c r="M601" i="9"/>
  <c r="M601" i="8" s="1"/>
  <c r="H630" i="6" s="1"/>
  <c r="L601" i="9"/>
  <c r="L601" i="8" s="1"/>
  <c r="P601" i="9"/>
  <c r="P601" i="8" s="1"/>
  <c r="Z600" i="8"/>
  <c r="F629" i="6"/>
  <c r="T600" i="8"/>
  <c r="D629" i="6" s="1"/>
  <c r="U600" i="8"/>
  <c r="Y600" i="8"/>
  <c r="C629" i="6"/>
  <c r="R600" i="8"/>
  <c r="A613" i="7" s="1"/>
  <c r="S600" i="8"/>
  <c r="B629" i="6"/>
  <c r="P600" i="9"/>
  <c r="P600" i="8" s="1"/>
  <c r="O600" i="9"/>
  <c r="O600" i="8" s="1"/>
  <c r="N600" i="9"/>
  <c r="N600" i="8" s="1"/>
  <c r="M600" i="9"/>
  <c r="M600" i="8" s="1"/>
  <c r="H629" i="6" s="1"/>
  <c r="L600" i="9"/>
  <c r="L600" i="8" s="1"/>
  <c r="K600" i="9"/>
  <c r="K600" i="8" s="1"/>
  <c r="A600" i="8"/>
  <c r="Z599" i="8"/>
  <c r="F628" i="6"/>
  <c r="T599" i="8"/>
  <c r="D628" i="6" s="1"/>
  <c r="U599" i="8"/>
  <c r="Y599" i="8"/>
  <c r="C628" i="6"/>
  <c r="R599" i="8"/>
  <c r="A612" i="7" s="1"/>
  <c r="S599" i="8"/>
  <c r="B628" i="6"/>
  <c r="P599" i="9"/>
  <c r="P599" i="8" s="1"/>
  <c r="N599" i="9"/>
  <c r="N599" i="8" s="1"/>
  <c r="A599" i="8"/>
  <c r="L599" i="9"/>
  <c r="L599" i="8" s="1"/>
  <c r="O599" i="9"/>
  <c r="O599" i="8" s="1"/>
  <c r="M599" i="9"/>
  <c r="M599" i="8" s="1"/>
  <c r="H628" i="6" s="1"/>
  <c r="K599" i="9"/>
  <c r="K599" i="8" s="1"/>
  <c r="Z598" i="8"/>
  <c r="F627" i="6"/>
  <c r="T598" i="8"/>
  <c r="D627" i="6" s="1"/>
  <c r="U598" i="8"/>
  <c r="Y598" i="8"/>
  <c r="C627" i="6"/>
  <c r="R598" i="8"/>
  <c r="A611" i="7" s="1"/>
  <c r="S598" i="8"/>
  <c r="B627" i="6"/>
  <c r="K598" i="9"/>
  <c r="K598" i="8" s="1"/>
  <c r="M598" i="9"/>
  <c r="M598" i="8" s="1"/>
  <c r="H627" i="6" s="1"/>
  <c r="A598" i="8"/>
  <c r="P598" i="9"/>
  <c r="P598" i="8" s="1"/>
  <c r="L598" i="9"/>
  <c r="L598" i="8" s="1"/>
  <c r="O598" i="9"/>
  <c r="O598" i="8" s="1"/>
  <c r="N598" i="9"/>
  <c r="N598" i="8" s="1"/>
  <c r="Z597" i="8"/>
  <c r="F626" i="6"/>
  <c r="T597" i="8"/>
  <c r="D626" i="6" s="1"/>
  <c r="U597" i="8"/>
  <c r="Y597" i="8"/>
  <c r="C626" i="6"/>
  <c r="R597" i="8"/>
  <c r="A610" i="7" s="1"/>
  <c r="S597" i="8"/>
  <c r="B626" i="6"/>
  <c r="A597" i="8"/>
  <c r="P597" i="9"/>
  <c r="P597" i="8" s="1"/>
  <c r="K597" i="9"/>
  <c r="K597" i="8" s="1"/>
  <c r="L597" i="9"/>
  <c r="L597" i="8" s="1"/>
  <c r="M597" i="9"/>
  <c r="M597" i="8" s="1"/>
  <c r="H626" i="6" s="1"/>
  <c r="N597" i="9"/>
  <c r="N597" i="8" s="1"/>
  <c r="O597" i="9"/>
  <c r="O597" i="8" s="1"/>
  <c r="Z596" i="8"/>
  <c r="F625" i="6"/>
  <c r="T596" i="8"/>
  <c r="D625" i="6" s="1"/>
  <c r="U596" i="8"/>
  <c r="Y596" i="8"/>
  <c r="C625" i="6"/>
  <c r="R596" i="8"/>
  <c r="A609" i="7" s="1"/>
  <c r="S596" i="8"/>
  <c r="B625" i="6"/>
  <c r="A596" i="8"/>
  <c r="K596" i="9"/>
  <c r="K596" i="8" s="1"/>
  <c r="L596" i="9"/>
  <c r="L596" i="8" s="1"/>
  <c r="M596" i="9"/>
  <c r="M596" i="8" s="1"/>
  <c r="H625" i="6" s="1"/>
  <c r="N596" i="9"/>
  <c r="N596" i="8" s="1"/>
  <c r="O596" i="9"/>
  <c r="O596" i="8" s="1"/>
  <c r="P596" i="9"/>
  <c r="P596" i="8" s="1"/>
  <c r="Z595" i="8"/>
  <c r="F624" i="6"/>
  <c r="T595" i="8"/>
  <c r="D624" i="6" s="1"/>
  <c r="U595" i="8"/>
  <c r="Y595" i="8"/>
  <c r="C624" i="6"/>
  <c r="R595" i="8"/>
  <c r="A608" i="7" s="1"/>
  <c r="S595" i="8"/>
  <c r="B624" i="6"/>
  <c r="A595" i="8"/>
  <c r="P595" i="9"/>
  <c r="P595" i="8" s="1"/>
  <c r="O595" i="9"/>
  <c r="O595" i="8" s="1"/>
  <c r="N595" i="9"/>
  <c r="N595" i="8" s="1"/>
  <c r="M595" i="9"/>
  <c r="M595" i="8" s="1"/>
  <c r="H624" i="6" s="1"/>
  <c r="L595" i="9"/>
  <c r="L595" i="8" s="1"/>
  <c r="K595" i="9"/>
  <c r="K595" i="8" s="1"/>
  <c r="Z594" i="8"/>
  <c r="F623" i="6"/>
  <c r="T594" i="8"/>
  <c r="D623" i="6" s="1"/>
  <c r="U594" i="8"/>
  <c r="Y594" i="8"/>
  <c r="C623" i="6"/>
  <c r="R594" i="8"/>
  <c r="A607" i="7" s="1"/>
  <c r="S594" i="8"/>
  <c r="B623" i="6"/>
  <c r="A594" i="8"/>
  <c r="P594" i="9"/>
  <c r="P594" i="8" s="1"/>
  <c r="O594" i="9"/>
  <c r="O594" i="8" s="1"/>
  <c r="N594" i="9"/>
  <c r="N594" i="8" s="1"/>
  <c r="M594" i="9"/>
  <c r="M594" i="8" s="1"/>
  <c r="H623" i="6" s="1"/>
  <c r="L594" i="9"/>
  <c r="L594" i="8" s="1"/>
  <c r="K594" i="9"/>
  <c r="K594" i="8" s="1"/>
  <c r="Z593" i="8"/>
  <c r="F622" i="6"/>
  <c r="T593" i="8"/>
  <c r="D622" i="6" s="1"/>
  <c r="U593" i="8"/>
  <c r="Y593" i="8"/>
  <c r="C622" i="6"/>
  <c r="R593" i="8"/>
  <c r="A606" i="7" s="1"/>
  <c r="S593" i="8"/>
  <c r="B622" i="6"/>
  <c r="A593" i="8"/>
  <c r="P593" i="9"/>
  <c r="P593" i="8" s="1"/>
  <c r="O593" i="9"/>
  <c r="O593" i="8" s="1"/>
  <c r="N593" i="9"/>
  <c r="N593" i="8" s="1"/>
  <c r="M593" i="9"/>
  <c r="M593" i="8" s="1"/>
  <c r="H622" i="6" s="1"/>
  <c r="L593" i="9"/>
  <c r="L593" i="8" s="1"/>
  <c r="K593" i="9"/>
  <c r="K593" i="8" s="1"/>
  <c r="Z592" i="8"/>
  <c r="F621" i="6"/>
  <c r="T592" i="8"/>
  <c r="D621" i="6" s="1"/>
  <c r="U592" i="8"/>
  <c r="Y592" i="8"/>
  <c r="C621" i="6"/>
  <c r="R592" i="8"/>
  <c r="A605" i="7" s="1"/>
  <c r="S592" i="8"/>
  <c r="B621" i="6"/>
  <c r="A592" i="8"/>
  <c r="P592" i="9"/>
  <c r="P592" i="8" s="1"/>
  <c r="O592" i="9"/>
  <c r="O592" i="8" s="1"/>
  <c r="N592" i="9"/>
  <c r="N592" i="8" s="1"/>
  <c r="M592" i="9"/>
  <c r="M592" i="8" s="1"/>
  <c r="H621" i="6" s="1"/>
  <c r="L592" i="9"/>
  <c r="L592" i="8" s="1"/>
  <c r="K592" i="9"/>
  <c r="K592" i="8" s="1"/>
  <c r="Z591" i="8"/>
  <c r="F620" i="6"/>
  <c r="T591" i="8"/>
  <c r="D620" i="6" s="1"/>
  <c r="U591" i="8"/>
  <c r="Y591" i="8"/>
  <c r="C620" i="6"/>
  <c r="R591" i="8"/>
  <c r="A604" i="7" s="1"/>
  <c r="S591" i="8"/>
  <c r="B620" i="6"/>
  <c r="K591" i="9"/>
  <c r="K591" i="8" s="1"/>
  <c r="L591" i="9"/>
  <c r="L591" i="8" s="1"/>
  <c r="M591" i="9"/>
  <c r="M591" i="8" s="1"/>
  <c r="H620" i="6" s="1"/>
  <c r="N591" i="9"/>
  <c r="N591" i="8" s="1"/>
  <c r="O591" i="9"/>
  <c r="O591" i="8" s="1"/>
  <c r="P591" i="9"/>
  <c r="P591" i="8" s="1"/>
  <c r="A591" i="8"/>
  <c r="Z590" i="8"/>
  <c r="F619" i="6"/>
  <c r="T590" i="8"/>
  <c r="D619" i="6" s="1"/>
  <c r="U590" i="8"/>
  <c r="Y590" i="8"/>
  <c r="C619" i="6"/>
  <c r="R590" i="8"/>
  <c r="A603" i="7" s="1"/>
  <c r="S590" i="8"/>
  <c r="B619" i="6"/>
  <c r="N590" i="9"/>
  <c r="N590" i="8" s="1"/>
  <c r="P590" i="9"/>
  <c r="P590" i="8" s="1"/>
  <c r="M590" i="9"/>
  <c r="M590" i="8" s="1"/>
  <c r="H619" i="6" s="1"/>
  <c r="L590" i="9"/>
  <c r="L590" i="8" s="1"/>
  <c r="K590" i="9"/>
  <c r="K590" i="8" s="1"/>
  <c r="A590" i="8"/>
  <c r="O590" i="9"/>
  <c r="O590" i="8" s="1"/>
  <c r="Z589" i="8"/>
  <c r="F618" i="6"/>
  <c r="T589" i="8"/>
  <c r="D618" i="6" s="1"/>
  <c r="U589" i="8"/>
  <c r="Y589" i="8"/>
  <c r="C618" i="6"/>
  <c r="R589" i="8"/>
  <c r="A602" i="7" s="1"/>
  <c r="S589" i="8"/>
  <c r="B618" i="6"/>
  <c r="P589" i="9"/>
  <c r="P589" i="8" s="1"/>
  <c r="A589" i="8"/>
  <c r="L589" i="9"/>
  <c r="L589" i="8" s="1"/>
  <c r="K589" i="9"/>
  <c r="K589" i="8" s="1"/>
  <c r="N589" i="9"/>
  <c r="N589" i="8" s="1"/>
  <c r="M589" i="9"/>
  <c r="M589" i="8" s="1"/>
  <c r="H618" i="6" s="1"/>
  <c r="O589" i="9"/>
  <c r="O589" i="8" s="1"/>
  <c r="Z588" i="8"/>
  <c r="F617" i="6"/>
  <c r="T588" i="8"/>
  <c r="D617" i="6" s="1"/>
  <c r="U588" i="8"/>
  <c r="Y588" i="8"/>
  <c r="C617" i="6"/>
  <c r="R588" i="8"/>
  <c r="A601" i="7" s="1"/>
  <c r="S588" i="8"/>
  <c r="B617" i="6"/>
  <c r="O588" i="9"/>
  <c r="O588" i="8" s="1"/>
  <c r="A588" i="8"/>
  <c r="K588" i="9"/>
  <c r="K588" i="8" s="1"/>
  <c r="L588" i="9"/>
  <c r="L588" i="8" s="1"/>
  <c r="M588" i="9"/>
  <c r="M588" i="8" s="1"/>
  <c r="H617" i="6" s="1"/>
  <c r="N588" i="9"/>
  <c r="N588" i="8" s="1"/>
  <c r="P588" i="9"/>
  <c r="P588" i="8" s="1"/>
  <c r="Z587" i="8"/>
  <c r="F616" i="6"/>
  <c r="T587" i="8"/>
  <c r="D616" i="6" s="1"/>
  <c r="U587" i="8"/>
  <c r="Y587" i="8"/>
  <c r="C616" i="6"/>
  <c r="R587" i="8"/>
  <c r="A600" i="7" s="1"/>
  <c r="S587" i="8"/>
  <c r="B616" i="6"/>
  <c r="P587" i="9"/>
  <c r="P587" i="8" s="1"/>
  <c r="O587" i="9"/>
  <c r="O587" i="8" s="1"/>
  <c r="N587" i="9"/>
  <c r="N587" i="8" s="1"/>
  <c r="M587" i="9"/>
  <c r="M587" i="8" s="1"/>
  <c r="H616" i="6" s="1"/>
  <c r="L587" i="9"/>
  <c r="L587" i="8" s="1"/>
  <c r="A587" i="8"/>
  <c r="K587" i="9"/>
  <c r="K587" i="8" s="1"/>
  <c r="Z586" i="8"/>
  <c r="F615" i="6"/>
  <c r="T586" i="8"/>
  <c r="D615" i="6" s="1"/>
  <c r="U586" i="8"/>
  <c r="Y586" i="8"/>
  <c r="C615" i="6"/>
  <c r="R586" i="8"/>
  <c r="A599" i="7" s="1"/>
  <c r="S586" i="8"/>
  <c r="B615" i="6"/>
  <c r="L586" i="9"/>
  <c r="L586" i="8" s="1"/>
  <c r="P586" i="9"/>
  <c r="P586" i="8" s="1"/>
  <c r="K586" i="9"/>
  <c r="K586" i="8" s="1"/>
  <c r="A586" i="8"/>
  <c r="M586" i="9"/>
  <c r="M586" i="8" s="1"/>
  <c r="H615" i="6" s="1"/>
  <c r="N586" i="9"/>
  <c r="N586" i="8" s="1"/>
  <c r="O586" i="9"/>
  <c r="O586" i="8" s="1"/>
  <c r="Z585" i="8"/>
  <c r="F614" i="6"/>
  <c r="T585" i="8"/>
  <c r="D614" i="6" s="1"/>
  <c r="U585" i="8"/>
  <c r="Y585" i="8"/>
  <c r="C614" i="6"/>
  <c r="R585" i="8"/>
  <c r="A598" i="7" s="1"/>
  <c r="S585" i="8"/>
  <c r="B614" i="6"/>
  <c r="K585" i="9"/>
  <c r="K585" i="8" s="1"/>
  <c r="A585" i="8"/>
  <c r="P585" i="9"/>
  <c r="P585" i="8" s="1"/>
  <c r="O585" i="9"/>
  <c r="O585" i="8" s="1"/>
  <c r="N585" i="9"/>
  <c r="N585" i="8" s="1"/>
  <c r="M585" i="9"/>
  <c r="M585" i="8" s="1"/>
  <c r="H614" i="6" s="1"/>
  <c r="L585" i="9"/>
  <c r="L585" i="8" s="1"/>
  <c r="Z584" i="8"/>
  <c r="F613" i="6"/>
  <c r="T584" i="8"/>
  <c r="D613" i="6" s="1"/>
  <c r="U584" i="8"/>
  <c r="Y584" i="8"/>
  <c r="C613" i="6"/>
  <c r="R584" i="8"/>
  <c r="A597" i="7" s="1"/>
  <c r="S584" i="8"/>
  <c r="B613" i="6"/>
  <c r="O584" i="9"/>
  <c r="O584" i="8" s="1"/>
  <c r="P584" i="9"/>
  <c r="P584" i="8" s="1"/>
  <c r="N584" i="9"/>
  <c r="N584" i="8" s="1"/>
  <c r="M584" i="9"/>
  <c r="M584" i="8" s="1"/>
  <c r="H613" i="6" s="1"/>
  <c r="L584" i="9"/>
  <c r="L584" i="8" s="1"/>
  <c r="A584" i="8"/>
  <c r="K584" i="9"/>
  <c r="K584" i="8" s="1"/>
  <c r="Z583" i="8"/>
  <c r="F612" i="6"/>
  <c r="T583" i="8"/>
  <c r="D612" i="6" s="1"/>
  <c r="U583" i="8"/>
  <c r="Y583" i="8"/>
  <c r="C612" i="6"/>
  <c r="R583" i="8"/>
  <c r="A596" i="7" s="1"/>
  <c r="S583" i="8"/>
  <c r="B612" i="6"/>
  <c r="P583" i="9"/>
  <c r="P583" i="8" s="1"/>
  <c r="O583" i="9"/>
  <c r="O583" i="8" s="1"/>
  <c r="N583" i="9"/>
  <c r="N583" i="8" s="1"/>
  <c r="M583" i="9"/>
  <c r="M583" i="8" s="1"/>
  <c r="H612" i="6" s="1"/>
  <c r="L583" i="9"/>
  <c r="L583" i="8" s="1"/>
  <c r="K583" i="9"/>
  <c r="K583" i="8" s="1"/>
  <c r="A583" i="8"/>
  <c r="Z582" i="8"/>
  <c r="F611" i="6"/>
  <c r="T582" i="8"/>
  <c r="D611" i="6" s="1"/>
  <c r="U582" i="8"/>
  <c r="Y582" i="8"/>
  <c r="C611" i="6"/>
  <c r="R582" i="8"/>
  <c r="A595" i="7" s="1"/>
  <c r="S582" i="8"/>
  <c r="B611" i="6"/>
  <c r="M582" i="9"/>
  <c r="M582" i="8" s="1"/>
  <c r="H611" i="6" s="1"/>
  <c r="K582" i="9"/>
  <c r="K582" i="8" s="1"/>
  <c r="N582" i="9"/>
  <c r="N582" i="8" s="1"/>
  <c r="O582" i="9"/>
  <c r="O582" i="8" s="1"/>
  <c r="P582" i="9"/>
  <c r="P582" i="8" s="1"/>
  <c r="A582" i="8"/>
  <c r="L582" i="9"/>
  <c r="L582" i="8" s="1"/>
  <c r="Z581" i="8"/>
  <c r="F610" i="6"/>
  <c r="T581" i="8"/>
  <c r="D610" i="6" s="1"/>
  <c r="U581" i="8"/>
  <c r="Y581" i="8"/>
  <c r="C610" i="6"/>
  <c r="R581" i="8"/>
  <c r="A594" i="7" s="1"/>
  <c r="S581" i="8"/>
  <c r="B610" i="6"/>
  <c r="A581" i="8"/>
  <c r="O581" i="9"/>
  <c r="O581" i="8" s="1"/>
  <c r="N581" i="9"/>
  <c r="N581" i="8" s="1"/>
  <c r="M581" i="9"/>
  <c r="M581" i="8" s="1"/>
  <c r="H610" i="6" s="1"/>
  <c r="L581" i="9"/>
  <c r="L581" i="8" s="1"/>
  <c r="K581" i="9"/>
  <c r="K581" i="8" s="1"/>
  <c r="P581" i="9"/>
  <c r="P581" i="8" s="1"/>
  <c r="Z580" i="8"/>
  <c r="F609" i="6"/>
  <c r="T580" i="8"/>
  <c r="D609" i="6" s="1"/>
  <c r="U580" i="8"/>
  <c r="Y580" i="8"/>
  <c r="C609" i="6"/>
  <c r="R580" i="8"/>
  <c r="A593" i="7" s="1"/>
  <c r="S580" i="8"/>
  <c r="B609" i="6"/>
  <c r="P580" i="9"/>
  <c r="P580" i="8" s="1"/>
  <c r="O580" i="9"/>
  <c r="O580" i="8" s="1"/>
  <c r="N580" i="9"/>
  <c r="N580" i="8" s="1"/>
  <c r="M580" i="9"/>
  <c r="M580" i="8" s="1"/>
  <c r="H609" i="6" s="1"/>
  <c r="L580" i="9"/>
  <c r="L580" i="8" s="1"/>
  <c r="K580" i="9"/>
  <c r="K580" i="8" s="1"/>
  <c r="A580" i="8"/>
  <c r="Z579" i="8"/>
  <c r="F608" i="6"/>
  <c r="T579" i="8"/>
  <c r="D608" i="6" s="1"/>
  <c r="U579" i="8"/>
  <c r="Y579" i="8"/>
  <c r="C608" i="6"/>
  <c r="R579" i="8"/>
  <c r="A592" i="7" s="1"/>
  <c r="S579" i="8"/>
  <c r="B608" i="6"/>
  <c r="A579" i="8"/>
  <c r="P579" i="9"/>
  <c r="P579" i="8" s="1"/>
  <c r="O579" i="9"/>
  <c r="O579" i="8" s="1"/>
  <c r="N579" i="9"/>
  <c r="N579" i="8" s="1"/>
  <c r="M579" i="9"/>
  <c r="M579" i="8" s="1"/>
  <c r="H608" i="6" s="1"/>
  <c r="L579" i="9"/>
  <c r="L579" i="8" s="1"/>
  <c r="K579" i="9"/>
  <c r="K579" i="8" s="1"/>
  <c r="Z578" i="8"/>
  <c r="F607" i="6"/>
  <c r="T578" i="8"/>
  <c r="D607" i="6" s="1"/>
  <c r="U578" i="8"/>
  <c r="Y578" i="8"/>
  <c r="C607" i="6"/>
  <c r="R578" i="8"/>
  <c r="A591" i="7" s="1"/>
  <c r="S578" i="8"/>
  <c r="B607" i="6"/>
  <c r="A578" i="8"/>
  <c r="K578" i="9"/>
  <c r="K578" i="8" s="1"/>
  <c r="P578" i="9"/>
  <c r="P578" i="8" s="1"/>
  <c r="O578" i="9"/>
  <c r="O578" i="8" s="1"/>
  <c r="N578" i="9"/>
  <c r="N578" i="8" s="1"/>
  <c r="M578" i="9"/>
  <c r="M578" i="8" s="1"/>
  <c r="H607" i="6" s="1"/>
  <c r="L578" i="9"/>
  <c r="L578" i="8" s="1"/>
  <c r="Z577" i="8"/>
  <c r="F606" i="6"/>
  <c r="T577" i="8"/>
  <c r="D606" i="6" s="1"/>
  <c r="U577" i="8"/>
  <c r="Y577" i="8"/>
  <c r="C606" i="6"/>
  <c r="R577" i="8"/>
  <c r="A590" i="7" s="1"/>
  <c r="S577" i="8"/>
  <c r="B606" i="6"/>
  <c r="L577" i="9"/>
  <c r="L577" i="8" s="1"/>
  <c r="A577" i="8"/>
  <c r="P577" i="9"/>
  <c r="P577" i="8" s="1"/>
  <c r="N577" i="9"/>
  <c r="N577" i="8" s="1"/>
  <c r="M577" i="9"/>
  <c r="M577" i="8" s="1"/>
  <c r="H606" i="6" s="1"/>
  <c r="K577" i="9"/>
  <c r="K577" i="8" s="1"/>
  <c r="O577" i="9"/>
  <c r="O577" i="8" s="1"/>
  <c r="Z576" i="8"/>
  <c r="F605" i="6"/>
  <c r="T576" i="8"/>
  <c r="D605" i="6" s="1"/>
  <c r="U576" i="8"/>
  <c r="Y576" i="8"/>
  <c r="C605" i="6"/>
  <c r="R576" i="8"/>
  <c r="A589" i="7" s="1"/>
  <c r="S576" i="8"/>
  <c r="B605" i="6"/>
  <c r="L576" i="9"/>
  <c r="L576" i="8" s="1"/>
  <c r="M576" i="9"/>
  <c r="M576" i="8" s="1"/>
  <c r="H605" i="6" s="1"/>
  <c r="N576" i="9"/>
  <c r="N576" i="8" s="1"/>
  <c r="O576" i="9"/>
  <c r="O576" i="8" s="1"/>
  <c r="P576" i="9"/>
  <c r="P576" i="8" s="1"/>
  <c r="A576" i="8"/>
  <c r="K576" i="9"/>
  <c r="K576" i="8" s="1"/>
  <c r="Z575" i="8"/>
  <c r="F604" i="6"/>
  <c r="T575" i="8"/>
  <c r="D604" i="6" s="1"/>
  <c r="U575" i="8"/>
  <c r="Y575" i="8"/>
  <c r="C604" i="6"/>
  <c r="R575" i="8"/>
  <c r="A588" i="7" s="1"/>
  <c r="S575" i="8"/>
  <c r="B604" i="6"/>
  <c r="O575" i="9"/>
  <c r="O575" i="8" s="1"/>
  <c r="D70" i="4" s="1"/>
  <c r="N575" i="9"/>
  <c r="N575" i="8" s="1"/>
  <c r="M575" i="9"/>
  <c r="M575" i="8" s="1"/>
  <c r="H604" i="6" s="1"/>
  <c r="L575" i="9"/>
  <c r="L575" i="8" s="1"/>
  <c r="K575" i="9"/>
  <c r="K575" i="8" s="1"/>
  <c r="P575" i="9"/>
  <c r="P575" i="8" s="1"/>
  <c r="A575" i="8"/>
  <c r="Z574" i="8"/>
  <c r="F603" i="6"/>
  <c r="T574" i="8"/>
  <c r="D603" i="6" s="1"/>
  <c r="U574" i="8"/>
  <c r="Y574" i="8"/>
  <c r="C603" i="6"/>
  <c r="R574" i="8"/>
  <c r="A587" i="7" s="1"/>
  <c r="S574" i="8"/>
  <c r="B603" i="6"/>
  <c r="N574" i="9"/>
  <c r="N574" i="8" s="1"/>
  <c r="K574" i="9"/>
  <c r="K574" i="8" s="1"/>
  <c r="L574" i="9"/>
  <c r="L574" i="8" s="1"/>
  <c r="A574" i="8"/>
  <c r="O574" i="9"/>
  <c r="O574" i="8" s="1"/>
  <c r="P574" i="9"/>
  <c r="P574" i="8" s="1"/>
  <c r="M574" i="9"/>
  <c r="M574" i="8" s="1"/>
  <c r="H603" i="6" s="1"/>
  <c r="Z573" i="8"/>
  <c r="F602" i="6"/>
  <c r="T573" i="8"/>
  <c r="D602" i="6" s="1"/>
  <c r="U573" i="8"/>
  <c r="Y573" i="8"/>
  <c r="C602" i="6"/>
  <c r="R573" i="8"/>
  <c r="A586" i="7" s="1"/>
  <c r="S573" i="8"/>
  <c r="B602" i="6"/>
  <c r="K573" i="9"/>
  <c r="K573" i="8" s="1"/>
  <c r="A573" i="8"/>
  <c r="P573" i="9"/>
  <c r="P573" i="8" s="1"/>
  <c r="O573" i="9"/>
  <c r="O573" i="8" s="1"/>
  <c r="N573" i="9"/>
  <c r="N573" i="8" s="1"/>
  <c r="M573" i="9"/>
  <c r="M573" i="8" s="1"/>
  <c r="H602" i="6" s="1"/>
  <c r="L573" i="9"/>
  <c r="L573" i="8" s="1"/>
  <c r="Z572" i="8"/>
  <c r="F601" i="6"/>
  <c r="T572" i="8"/>
  <c r="D601" i="6" s="1"/>
  <c r="U572" i="8"/>
  <c r="Y572" i="8"/>
  <c r="C601" i="6"/>
  <c r="R572" i="8"/>
  <c r="A585" i="7" s="1"/>
  <c r="S572" i="8"/>
  <c r="B601" i="6"/>
  <c r="N572" i="9"/>
  <c r="N572" i="8" s="1"/>
  <c r="P572" i="9"/>
  <c r="P572" i="8" s="1"/>
  <c r="A572" i="8"/>
  <c r="M572" i="9"/>
  <c r="M572" i="8" s="1"/>
  <c r="H601" i="6" s="1"/>
  <c r="K572" i="9"/>
  <c r="K572" i="8" s="1"/>
  <c r="L572" i="9"/>
  <c r="L572" i="8" s="1"/>
  <c r="O572" i="9"/>
  <c r="O572" i="8" s="1"/>
  <c r="Z571" i="8"/>
  <c r="F600" i="6"/>
  <c r="T571" i="8"/>
  <c r="D600" i="6" s="1"/>
  <c r="U571" i="8"/>
  <c r="Y571" i="8"/>
  <c r="C600" i="6"/>
  <c r="R571" i="8"/>
  <c r="A584" i="7" s="1"/>
  <c r="S571" i="8"/>
  <c r="B600" i="6"/>
  <c r="K571" i="9"/>
  <c r="K571" i="8" s="1"/>
  <c r="A571" i="8"/>
  <c r="P571" i="9"/>
  <c r="P571" i="8" s="1"/>
  <c r="O571" i="9"/>
  <c r="O571" i="8" s="1"/>
  <c r="N571" i="9"/>
  <c r="N571" i="8" s="1"/>
  <c r="M571" i="9"/>
  <c r="M571" i="8" s="1"/>
  <c r="H600" i="6" s="1"/>
  <c r="L571" i="9"/>
  <c r="L571" i="8" s="1"/>
  <c r="Z570" i="8"/>
  <c r="F599" i="6"/>
  <c r="T570" i="8"/>
  <c r="D599" i="6" s="1"/>
  <c r="U570" i="8"/>
  <c r="Y570" i="8"/>
  <c r="C599" i="6"/>
  <c r="R570" i="8"/>
  <c r="A583" i="7" s="1"/>
  <c r="S570" i="8"/>
  <c r="B599" i="6"/>
  <c r="A570" i="8"/>
  <c r="K570" i="9"/>
  <c r="K570" i="8" s="1"/>
  <c r="L570" i="9"/>
  <c r="L570" i="8" s="1"/>
  <c r="M570" i="9"/>
  <c r="M570" i="8" s="1"/>
  <c r="H599" i="6" s="1"/>
  <c r="N570" i="9"/>
  <c r="N570" i="8" s="1"/>
  <c r="O570" i="9"/>
  <c r="O570" i="8" s="1"/>
  <c r="P570" i="9"/>
  <c r="P570" i="8" s="1"/>
  <c r="Z569" i="8"/>
  <c r="F598" i="6"/>
  <c r="T569" i="8"/>
  <c r="D598" i="6" s="1"/>
  <c r="U569" i="8"/>
  <c r="Y569" i="8"/>
  <c r="C598" i="6"/>
  <c r="R569" i="8"/>
  <c r="A582" i="7" s="1"/>
  <c r="S569" i="8"/>
  <c r="B598" i="6"/>
  <c r="N569" i="9"/>
  <c r="N569" i="8" s="1"/>
  <c r="M569" i="9"/>
  <c r="M569" i="8" s="1"/>
  <c r="H598" i="6" s="1"/>
  <c r="L569" i="9"/>
  <c r="L569" i="8" s="1"/>
  <c r="K569" i="9"/>
  <c r="K569" i="8" s="1"/>
  <c r="O569" i="9"/>
  <c r="O569" i="8" s="1"/>
  <c r="P569" i="9"/>
  <c r="P569" i="8" s="1"/>
  <c r="A569" i="8"/>
  <c r="Z568" i="8"/>
  <c r="F597" i="6"/>
  <c r="T568" i="8"/>
  <c r="D597" i="6" s="1"/>
  <c r="U568" i="8"/>
  <c r="Y568" i="8"/>
  <c r="C597" i="6"/>
  <c r="R568" i="8"/>
  <c r="A581" i="7" s="1"/>
  <c r="S568" i="8"/>
  <c r="B597" i="6"/>
  <c r="A568" i="8"/>
  <c r="K568" i="9"/>
  <c r="K568" i="8" s="1"/>
  <c r="L568" i="9"/>
  <c r="L568" i="8" s="1"/>
  <c r="M568" i="9"/>
  <c r="M568" i="8" s="1"/>
  <c r="H597" i="6" s="1"/>
  <c r="N568" i="9"/>
  <c r="N568" i="8" s="1"/>
  <c r="O568" i="9"/>
  <c r="O568" i="8" s="1"/>
  <c r="P568" i="9"/>
  <c r="P568" i="8" s="1"/>
  <c r="Z567" i="8"/>
  <c r="F596" i="6"/>
  <c r="T567" i="8"/>
  <c r="D596" i="6" s="1"/>
  <c r="U567" i="8"/>
  <c r="Y567" i="8"/>
  <c r="C596" i="6"/>
  <c r="R567" i="8"/>
  <c r="A580" i="7" s="1"/>
  <c r="S567" i="8"/>
  <c r="B596" i="6"/>
  <c r="L567" i="9"/>
  <c r="L567" i="8" s="1"/>
  <c r="A567" i="8"/>
  <c r="P567" i="9"/>
  <c r="P567" i="8" s="1"/>
  <c r="O567" i="9"/>
  <c r="O567" i="8" s="1"/>
  <c r="N567" i="9"/>
  <c r="N567" i="8" s="1"/>
  <c r="M567" i="9"/>
  <c r="M567" i="8" s="1"/>
  <c r="H596" i="6" s="1"/>
  <c r="K567" i="9"/>
  <c r="K567" i="8" s="1"/>
  <c r="Z566" i="8"/>
  <c r="F595" i="6"/>
  <c r="T566" i="8"/>
  <c r="D595" i="6" s="1"/>
  <c r="U566" i="8"/>
  <c r="Y566" i="8"/>
  <c r="C595" i="6"/>
  <c r="R566" i="8"/>
  <c r="A579" i="7" s="1"/>
  <c r="S566" i="8"/>
  <c r="B595" i="6"/>
  <c r="A566" i="8"/>
  <c r="K566" i="9"/>
  <c r="K566" i="8" s="1"/>
  <c r="L566" i="9"/>
  <c r="L566" i="8" s="1"/>
  <c r="M566" i="9"/>
  <c r="M566" i="8" s="1"/>
  <c r="H595" i="6" s="1"/>
  <c r="N566" i="9"/>
  <c r="N566" i="8" s="1"/>
  <c r="O566" i="9"/>
  <c r="O566" i="8" s="1"/>
  <c r="P566" i="9"/>
  <c r="P566" i="8" s="1"/>
  <c r="Z565" i="8"/>
  <c r="F594" i="6"/>
  <c r="T565" i="8"/>
  <c r="D594" i="6" s="1"/>
  <c r="U565" i="8"/>
  <c r="Y565" i="8"/>
  <c r="C594" i="6"/>
  <c r="R565" i="8"/>
  <c r="A578" i="7" s="1"/>
  <c r="S565" i="8"/>
  <c r="B594" i="6"/>
  <c r="K565" i="9"/>
  <c r="K565" i="8" s="1"/>
  <c r="P565" i="9"/>
  <c r="P565" i="8" s="1"/>
  <c r="N565" i="9"/>
  <c r="N565" i="8" s="1"/>
  <c r="M565" i="9"/>
  <c r="M565" i="8" s="1"/>
  <c r="H594" i="6" s="1"/>
  <c r="A565" i="8"/>
  <c r="L565" i="9"/>
  <c r="L565" i="8" s="1"/>
  <c r="O565" i="9"/>
  <c r="O565" i="8" s="1"/>
  <c r="Z564" i="8"/>
  <c r="F593" i="6"/>
  <c r="T564" i="8"/>
  <c r="D593" i="6" s="1"/>
  <c r="U564" i="8"/>
  <c r="Y564" i="8"/>
  <c r="C593" i="6"/>
  <c r="R564" i="8"/>
  <c r="A577" i="7" s="1"/>
  <c r="S564" i="8"/>
  <c r="B593" i="6"/>
  <c r="K564" i="9"/>
  <c r="K564" i="8" s="1"/>
  <c r="L564" i="9"/>
  <c r="L564" i="8" s="1"/>
  <c r="M564" i="9"/>
  <c r="M564" i="8" s="1"/>
  <c r="H593" i="6" s="1"/>
  <c r="N564" i="9"/>
  <c r="N564" i="8" s="1"/>
  <c r="O564" i="9"/>
  <c r="O564" i="8" s="1"/>
  <c r="P564" i="9"/>
  <c r="P564" i="8" s="1"/>
  <c r="A564" i="8"/>
  <c r="Z563" i="8"/>
  <c r="F592" i="6"/>
  <c r="T563" i="8"/>
  <c r="D592" i="6" s="1"/>
  <c r="U563" i="8"/>
  <c r="Y563" i="8"/>
  <c r="C592" i="6"/>
  <c r="R563" i="8"/>
  <c r="A576" i="7" s="1"/>
  <c r="S563" i="8"/>
  <c r="B592" i="6"/>
  <c r="K563" i="9"/>
  <c r="K563" i="8" s="1"/>
  <c r="L563" i="9"/>
  <c r="L563" i="8" s="1"/>
  <c r="M563" i="9"/>
  <c r="M563" i="8" s="1"/>
  <c r="H592" i="6" s="1"/>
  <c r="N563" i="9"/>
  <c r="N563" i="8" s="1"/>
  <c r="O563" i="9"/>
  <c r="O563" i="8" s="1"/>
  <c r="P563" i="9"/>
  <c r="P563" i="8" s="1"/>
  <c r="A563" i="8"/>
  <c r="Z562" i="8"/>
  <c r="F591" i="6"/>
  <c r="T562" i="8"/>
  <c r="D591" i="6" s="1"/>
  <c r="U562" i="8"/>
  <c r="Y562" i="8"/>
  <c r="C591" i="6"/>
  <c r="R562" i="8"/>
  <c r="A575" i="7" s="1"/>
  <c r="S562" i="8"/>
  <c r="B591" i="6"/>
  <c r="K562" i="9"/>
  <c r="K562" i="8" s="1"/>
  <c r="A562" i="8"/>
  <c r="O562" i="9"/>
  <c r="O562" i="8" s="1"/>
  <c r="M562" i="9"/>
  <c r="M562" i="8" s="1"/>
  <c r="H591" i="6" s="1"/>
  <c r="L562" i="9"/>
  <c r="L562" i="8" s="1"/>
  <c r="P562" i="9"/>
  <c r="P562" i="8" s="1"/>
  <c r="N562" i="9"/>
  <c r="N562" i="8" s="1"/>
  <c r="Z561" i="8"/>
  <c r="F590" i="6"/>
  <c r="T561" i="8"/>
  <c r="D590" i="6" s="1"/>
  <c r="U561" i="8"/>
  <c r="Y561" i="8"/>
  <c r="C590" i="6"/>
  <c r="R561" i="8"/>
  <c r="A574" i="7" s="1"/>
  <c r="S561" i="8"/>
  <c r="B590" i="6"/>
  <c r="K561" i="9"/>
  <c r="K561" i="8" s="1"/>
  <c r="L561" i="9"/>
  <c r="L561" i="8" s="1"/>
  <c r="M561" i="9"/>
  <c r="M561" i="8" s="1"/>
  <c r="H590" i="6" s="1"/>
  <c r="N561" i="9"/>
  <c r="N561" i="8" s="1"/>
  <c r="O561" i="9"/>
  <c r="O561" i="8" s="1"/>
  <c r="P561" i="9"/>
  <c r="P561" i="8" s="1"/>
  <c r="A561" i="8"/>
  <c r="Z560" i="8"/>
  <c r="F589" i="6"/>
  <c r="T560" i="8"/>
  <c r="D589" i="6" s="1"/>
  <c r="U560" i="8"/>
  <c r="Y560" i="8"/>
  <c r="C589" i="6"/>
  <c r="R560" i="8"/>
  <c r="A573" i="7" s="1"/>
  <c r="S560" i="8"/>
  <c r="B589" i="6"/>
  <c r="P560" i="9"/>
  <c r="P560" i="8" s="1"/>
  <c r="L560" i="9"/>
  <c r="L560" i="8" s="1"/>
  <c r="O560" i="9"/>
  <c r="O560" i="8" s="1"/>
  <c r="A560" i="8"/>
  <c r="K560" i="9"/>
  <c r="K560" i="8" s="1"/>
  <c r="N560" i="9"/>
  <c r="N560" i="8" s="1"/>
  <c r="M560" i="9"/>
  <c r="M560" i="8" s="1"/>
  <c r="H589" i="6" s="1"/>
  <c r="Z559" i="8"/>
  <c r="F588" i="6"/>
  <c r="T559" i="8"/>
  <c r="D588" i="6" s="1"/>
  <c r="U559" i="8"/>
  <c r="Y559" i="8"/>
  <c r="C588" i="6"/>
  <c r="R559" i="8"/>
  <c r="A572" i="7" s="1"/>
  <c r="S559" i="8"/>
  <c r="B588" i="6"/>
  <c r="N559" i="9"/>
  <c r="N559" i="8" s="1"/>
  <c r="K559" i="9"/>
  <c r="K559" i="8" s="1"/>
  <c r="A559" i="8"/>
  <c r="P559" i="9"/>
  <c r="P559" i="8" s="1"/>
  <c r="O559" i="9"/>
  <c r="O559" i="8" s="1"/>
  <c r="M559" i="9"/>
  <c r="M559" i="8" s="1"/>
  <c r="H588" i="6" s="1"/>
  <c r="L559" i="9"/>
  <c r="L559" i="8" s="1"/>
  <c r="Z558" i="8"/>
  <c r="F587" i="6"/>
  <c r="T558" i="8"/>
  <c r="D587" i="6" s="1"/>
  <c r="U558" i="8"/>
  <c r="Y558" i="8"/>
  <c r="C587" i="6"/>
  <c r="R558" i="8"/>
  <c r="A571" i="7" s="1"/>
  <c r="S558" i="8"/>
  <c r="B587" i="6"/>
  <c r="P558" i="9"/>
  <c r="P558" i="8" s="1"/>
  <c r="M558" i="9"/>
  <c r="M558" i="8" s="1"/>
  <c r="H587" i="6" s="1"/>
  <c r="L558" i="9"/>
  <c r="L558" i="8" s="1"/>
  <c r="K558" i="9"/>
  <c r="K558" i="8" s="1"/>
  <c r="A558" i="8"/>
  <c r="N558" i="9"/>
  <c r="N558" i="8" s="1"/>
  <c r="O558" i="9"/>
  <c r="O558" i="8" s="1"/>
  <c r="Z557" i="8"/>
  <c r="F586" i="6"/>
  <c r="T557" i="8"/>
  <c r="D586" i="6" s="1"/>
  <c r="U557" i="8"/>
  <c r="Y557" i="8"/>
  <c r="C586" i="6"/>
  <c r="R557" i="8"/>
  <c r="A570" i="7" s="1"/>
  <c r="S557" i="8"/>
  <c r="B586" i="6"/>
  <c r="N557" i="9"/>
  <c r="N557" i="8" s="1"/>
  <c r="O557" i="9"/>
  <c r="O557" i="8" s="1"/>
  <c r="L557" i="9"/>
  <c r="L557" i="8" s="1"/>
  <c r="M557" i="9"/>
  <c r="M557" i="8" s="1"/>
  <c r="H586" i="6" s="1"/>
  <c r="A557" i="8"/>
  <c r="P557" i="9"/>
  <c r="P557" i="8" s="1"/>
  <c r="K557" i="9"/>
  <c r="K557" i="8" s="1"/>
  <c r="Z556" i="8"/>
  <c r="F585" i="6"/>
  <c r="T556" i="8"/>
  <c r="D585" i="6" s="1"/>
  <c r="U556" i="8"/>
  <c r="Y556" i="8"/>
  <c r="C585" i="6"/>
  <c r="R556" i="8"/>
  <c r="A569" i="7" s="1"/>
  <c r="S556" i="8"/>
  <c r="B585" i="6"/>
  <c r="A556" i="8"/>
  <c r="O556" i="9"/>
  <c r="O556" i="8" s="1"/>
  <c r="M556" i="9"/>
  <c r="M556" i="8" s="1"/>
  <c r="H585" i="6" s="1"/>
  <c r="P556" i="9"/>
  <c r="P556" i="8" s="1"/>
  <c r="N556" i="9"/>
  <c r="N556" i="8" s="1"/>
  <c r="K556" i="9"/>
  <c r="K556" i="8" s="1"/>
  <c r="L556" i="9"/>
  <c r="L556" i="8" s="1"/>
  <c r="Z555" i="8"/>
  <c r="F584" i="6"/>
  <c r="T555" i="8"/>
  <c r="D584" i="6" s="1"/>
  <c r="U555" i="8"/>
  <c r="Y555" i="8"/>
  <c r="C584" i="6"/>
  <c r="R555" i="8"/>
  <c r="A568" i="7" s="1"/>
  <c r="S555" i="8"/>
  <c r="B584" i="6"/>
  <c r="N555" i="9"/>
  <c r="N555" i="8" s="1"/>
  <c r="A555" i="8"/>
  <c r="K555" i="9"/>
  <c r="K555" i="8" s="1"/>
  <c r="P555" i="9"/>
  <c r="P555" i="8" s="1"/>
  <c r="M555" i="9"/>
  <c r="M555" i="8" s="1"/>
  <c r="H584" i="6" s="1"/>
  <c r="L555" i="9"/>
  <c r="L555" i="8" s="1"/>
  <c r="O555" i="9"/>
  <c r="O555" i="8" s="1"/>
  <c r="Z554" i="8"/>
  <c r="F583" i="6"/>
  <c r="T554" i="8"/>
  <c r="D583" i="6" s="1"/>
  <c r="U554" i="8"/>
  <c r="Y554" i="8"/>
  <c r="C583" i="6"/>
  <c r="R554" i="8"/>
  <c r="A567" i="7" s="1"/>
  <c r="S554" i="8"/>
  <c r="B583" i="6"/>
  <c r="K554" i="9"/>
  <c r="K554" i="8" s="1"/>
  <c r="P554" i="9"/>
  <c r="P554" i="8" s="1"/>
  <c r="A554" i="8"/>
  <c r="N554" i="9"/>
  <c r="N554" i="8" s="1"/>
  <c r="O554" i="9"/>
  <c r="O554" i="8" s="1"/>
  <c r="M554" i="9"/>
  <c r="M554" i="8" s="1"/>
  <c r="H583" i="6" s="1"/>
  <c r="L554" i="9"/>
  <c r="L554" i="8" s="1"/>
  <c r="Z553" i="8"/>
  <c r="F582" i="6"/>
  <c r="T553" i="8"/>
  <c r="D582" i="6" s="1"/>
  <c r="U553" i="8"/>
  <c r="Y553" i="8"/>
  <c r="C582" i="6"/>
  <c r="R553" i="8"/>
  <c r="A566" i="7" s="1"/>
  <c r="S553" i="8"/>
  <c r="B582" i="6"/>
  <c r="O553" i="9"/>
  <c r="O553" i="8" s="1"/>
  <c r="A553" i="8"/>
  <c r="P553" i="9"/>
  <c r="P553" i="8" s="1"/>
  <c r="N553" i="9"/>
  <c r="N553" i="8" s="1"/>
  <c r="L553" i="9"/>
  <c r="L553" i="8" s="1"/>
  <c r="M553" i="9"/>
  <c r="M553" i="8" s="1"/>
  <c r="H582" i="6" s="1"/>
  <c r="K553" i="9"/>
  <c r="K553" i="8" s="1"/>
  <c r="Z552" i="8"/>
  <c r="F581" i="6"/>
  <c r="T552" i="8"/>
  <c r="D581" i="6" s="1"/>
  <c r="U552" i="8"/>
  <c r="Y552" i="8"/>
  <c r="C581" i="6"/>
  <c r="R552" i="8"/>
  <c r="A565" i="7" s="1"/>
  <c r="S552" i="8"/>
  <c r="B581" i="6"/>
  <c r="P552" i="9"/>
  <c r="P552" i="8" s="1"/>
  <c r="A552" i="8"/>
  <c r="O552" i="9"/>
  <c r="O552" i="8" s="1"/>
  <c r="D8" i="4" s="1"/>
  <c r="M552" i="9"/>
  <c r="M552" i="8" s="1"/>
  <c r="H581" i="6" s="1"/>
  <c r="K552" i="9"/>
  <c r="K552" i="8" s="1"/>
  <c r="N552" i="9"/>
  <c r="N552" i="8" s="1"/>
  <c r="H8" i="4" s="1"/>
  <c r="L552" i="9"/>
  <c r="L552" i="8" s="1"/>
  <c r="Z551" i="8"/>
  <c r="F580" i="6"/>
  <c r="T551" i="8"/>
  <c r="D580" i="6" s="1"/>
  <c r="U551" i="8"/>
  <c r="Y551" i="8"/>
  <c r="C580" i="6"/>
  <c r="R551" i="8"/>
  <c r="A564" i="7" s="1"/>
  <c r="S551" i="8"/>
  <c r="B580" i="6"/>
  <c r="A551" i="8"/>
  <c r="L551" i="9"/>
  <c r="L551" i="8" s="1"/>
  <c r="O551" i="9"/>
  <c r="O551" i="8" s="1"/>
  <c r="D7" i="4" s="1"/>
  <c r="K551" i="9"/>
  <c r="K551" i="8" s="1"/>
  <c r="M551" i="9"/>
  <c r="M551" i="8" s="1"/>
  <c r="H580" i="6" s="1"/>
  <c r="N551" i="9"/>
  <c r="N551" i="8" s="1"/>
  <c r="P551" i="9"/>
  <c r="P551" i="8" s="1"/>
  <c r="Z550" i="8"/>
  <c r="F579" i="6"/>
  <c r="T550" i="8"/>
  <c r="D579" i="6" s="1"/>
  <c r="U550" i="8"/>
  <c r="Y550" i="8"/>
  <c r="C579" i="6"/>
  <c r="R550" i="8"/>
  <c r="A563" i="7" s="1"/>
  <c r="S550" i="8"/>
  <c r="B579" i="6"/>
  <c r="A550" i="8"/>
  <c r="K550" i="9"/>
  <c r="K550" i="8" s="1"/>
  <c r="L550" i="9"/>
  <c r="L550" i="8" s="1"/>
  <c r="O550" i="9"/>
  <c r="O550" i="8" s="1"/>
  <c r="P550" i="9"/>
  <c r="P550" i="8" s="1"/>
  <c r="N550" i="9"/>
  <c r="N550" i="8" s="1"/>
  <c r="M550" i="9"/>
  <c r="M550" i="8" s="1"/>
  <c r="H579" i="6" s="1"/>
  <c r="Z549" i="8"/>
  <c r="F578" i="6"/>
  <c r="T549" i="8"/>
  <c r="D578" i="6" s="1"/>
  <c r="U549" i="8"/>
  <c r="Y549" i="8"/>
  <c r="C578" i="6"/>
  <c r="R549" i="8"/>
  <c r="A562" i="7" s="1"/>
  <c r="S549" i="8"/>
  <c r="B578" i="6"/>
  <c r="O549" i="9"/>
  <c r="O549" i="8" s="1"/>
  <c r="D29" i="4" s="1"/>
  <c r="P549" i="9"/>
  <c r="P549" i="8" s="1"/>
  <c r="N549" i="9"/>
  <c r="N549" i="8" s="1"/>
  <c r="M549" i="9"/>
  <c r="M549" i="8" s="1"/>
  <c r="H578" i="6" s="1"/>
  <c r="K549" i="9"/>
  <c r="K549" i="8" s="1"/>
  <c r="A549" i="8"/>
  <c r="L549" i="9"/>
  <c r="L549" i="8" s="1"/>
  <c r="Z548" i="8"/>
  <c r="F577" i="6"/>
  <c r="T548" i="8"/>
  <c r="D577" i="6" s="1"/>
  <c r="U548" i="8"/>
  <c r="Y548" i="8"/>
  <c r="C577" i="6"/>
  <c r="R548" i="8"/>
  <c r="A561" i="7" s="1"/>
  <c r="S548" i="8"/>
  <c r="B577" i="6"/>
  <c r="K548" i="9"/>
  <c r="K548" i="8" s="1"/>
  <c r="A548" i="8"/>
  <c r="L548" i="9"/>
  <c r="L548" i="8" s="1"/>
  <c r="N548" i="9"/>
  <c r="N548" i="8" s="1"/>
  <c r="P548" i="9"/>
  <c r="P548" i="8" s="1"/>
  <c r="E28" i="4" s="1"/>
  <c r="O548" i="9"/>
  <c r="O548" i="8" s="1"/>
  <c r="D28" i="4" s="1"/>
  <c r="M548" i="9"/>
  <c r="M548" i="8" s="1"/>
  <c r="H577" i="6" s="1"/>
  <c r="Z547" i="8"/>
  <c r="F576" i="6"/>
  <c r="T547" i="8"/>
  <c r="D576" i="6" s="1"/>
  <c r="U547" i="8"/>
  <c r="Y547" i="8"/>
  <c r="C576" i="6"/>
  <c r="R547" i="8"/>
  <c r="A560" i="7" s="1"/>
  <c r="S547" i="8"/>
  <c r="B576" i="6"/>
  <c r="A547" i="8"/>
  <c r="K547" i="9"/>
  <c r="K547" i="8" s="1"/>
  <c r="L547" i="9"/>
  <c r="L547" i="8" s="1"/>
  <c r="M547" i="9"/>
  <c r="M547" i="8" s="1"/>
  <c r="H576" i="6" s="1"/>
  <c r="O547" i="9"/>
  <c r="O547" i="8" s="1"/>
  <c r="N547" i="9"/>
  <c r="N547" i="8" s="1"/>
  <c r="P547" i="9"/>
  <c r="P547" i="8" s="1"/>
  <c r="Z546" i="8"/>
  <c r="F575" i="6"/>
  <c r="T546" i="8"/>
  <c r="D575" i="6" s="1"/>
  <c r="U546" i="8"/>
  <c r="Y546" i="8"/>
  <c r="C575" i="6"/>
  <c r="R546" i="8"/>
  <c r="A559" i="7" s="1"/>
  <c r="S546" i="8"/>
  <c r="B575" i="6"/>
  <c r="A546" i="8"/>
  <c r="N546" i="9"/>
  <c r="N546" i="8" s="1"/>
  <c r="L546" i="9"/>
  <c r="L546" i="8" s="1"/>
  <c r="P546" i="9"/>
  <c r="P546" i="8" s="1"/>
  <c r="G26" i="4" s="1"/>
  <c r="K546" i="9"/>
  <c r="K546" i="8" s="1"/>
  <c r="M546" i="9"/>
  <c r="M546" i="8" s="1"/>
  <c r="H575" i="6" s="1"/>
  <c r="O546" i="9"/>
  <c r="O546" i="8" s="1"/>
  <c r="D26" i="4" s="1"/>
  <c r="Z545" i="8"/>
  <c r="F574" i="6"/>
  <c r="T545" i="8"/>
  <c r="D574" i="6" s="1"/>
  <c r="U545" i="8"/>
  <c r="Y545" i="8"/>
  <c r="C574" i="6"/>
  <c r="R545" i="8"/>
  <c r="A558" i="7" s="1"/>
  <c r="S545" i="8"/>
  <c r="B574" i="6"/>
  <c r="A545" i="8"/>
  <c r="P545" i="9"/>
  <c r="P545" i="8" s="1"/>
  <c r="N545" i="9"/>
  <c r="N545" i="8" s="1"/>
  <c r="L545" i="9"/>
  <c r="L545" i="8" s="1"/>
  <c r="O545" i="9"/>
  <c r="O545" i="8" s="1"/>
  <c r="D25" i="4" s="1"/>
  <c r="K545" i="9"/>
  <c r="K545" i="8" s="1"/>
  <c r="M545" i="9"/>
  <c r="M545" i="8" s="1"/>
  <c r="H574" i="6" s="1"/>
  <c r="Z544" i="8"/>
  <c r="F573" i="6"/>
  <c r="T544" i="8"/>
  <c r="D573" i="6" s="1"/>
  <c r="U544" i="8"/>
  <c r="Y544" i="8"/>
  <c r="C573" i="6"/>
  <c r="R544" i="8"/>
  <c r="A557" i="7" s="1"/>
  <c r="S544" i="8"/>
  <c r="B573" i="6"/>
  <c r="N544" i="9"/>
  <c r="N544" i="8" s="1"/>
  <c r="H24" i="4" s="1"/>
  <c r="A544" i="8"/>
  <c r="K544" i="9"/>
  <c r="K544" i="8" s="1"/>
  <c r="O544" i="9"/>
  <c r="O544" i="8" s="1"/>
  <c r="D24" i="4" s="1"/>
  <c r="M544" i="9"/>
  <c r="M544" i="8" s="1"/>
  <c r="H573" i="6" s="1"/>
  <c r="L544" i="9"/>
  <c r="L544" i="8" s="1"/>
  <c r="P544" i="9"/>
  <c r="P544" i="8" s="1"/>
  <c r="Z543" i="8"/>
  <c r="F572" i="6"/>
  <c r="T543" i="8"/>
  <c r="D572" i="6" s="1"/>
  <c r="U543" i="8"/>
  <c r="Y543" i="8"/>
  <c r="C572" i="6"/>
  <c r="R543" i="8"/>
  <c r="A556" i="7" s="1"/>
  <c r="S543" i="8"/>
  <c r="B572" i="6"/>
  <c r="O543" i="9"/>
  <c r="O543" i="8" s="1"/>
  <c r="P543" i="9"/>
  <c r="P543" i="8" s="1"/>
  <c r="M543" i="9"/>
  <c r="M543" i="8" s="1"/>
  <c r="H572" i="6" s="1"/>
  <c r="K543" i="9"/>
  <c r="K543" i="8" s="1"/>
  <c r="A543" i="8"/>
  <c r="N543" i="9"/>
  <c r="N543" i="8" s="1"/>
  <c r="L543" i="9"/>
  <c r="L543" i="8" s="1"/>
  <c r="Z542" i="8"/>
  <c r="F571" i="6"/>
  <c r="T542" i="8"/>
  <c r="D571" i="6" s="1"/>
  <c r="U542" i="8"/>
  <c r="Y542" i="8"/>
  <c r="C571" i="6"/>
  <c r="R542" i="8"/>
  <c r="A555" i="7" s="1"/>
  <c r="S542" i="8"/>
  <c r="B571" i="6"/>
  <c r="A542" i="8"/>
  <c r="M542" i="9"/>
  <c r="M542" i="8" s="1"/>
  <c r="H571" i="6" s="1"/>
  <c r="O542" i="9"/>
  <c r="O542" i="8" s="1"/>
  <c r="D22" i="4" s="1"/>
  <c r="N542" i="9"/>
  <c r="N542" i="8" s="1"/>
  <c r="K542" i="9"/>
  <c r="K542" i="8" s="1"/>
  <c r="P542" i="9"/>
  <c r="P542" i="8" s="1"/>
  <c r="L542" i="9"/>
  <c r="L542" i="8" s="1"/>
  <c r="Z541" i="8"/>
  <c r="F570" i="6"/>
  <c r="T541" i="8"/>
  <c r="D570" i="6" s="1"/>
  <c r="U541" i="8"/>
  <c r="Y541" i="8"/>
  <c r="C570" i="6"/>
  <c r="R541" i="8"/>
  <c r="A554" i="7" s="1"/>
  <c r="S541" i="8"/>
  <c r="B570" i="6"/>
  <c r="K541" i="9"/>
  <c r="K541" i="8" s="1"/>
  <c r="P541" i="9"/>
  <c r="P541" i="8" s="1"/>
  <c r="O541" i="9"/>
  <c r="O541" i="8" s="1"/>
  <c r="D21" i="4" s="1"/>
  <c r="N541" i="9"/>
  <c r="N541" i="8" s="1"/>
  <c r="L541" i="9"/>
  <c r="L541" i="8" s="1"/>
  <c r="A541" i="8"/>
  <c r="M541" i="9"/>
  <c r="M541" i="8" s="1"/>
  <c r="H570" i="6" s="1"/>
  <c r="Z540" i="8"/>
  <c r="F569" i="6"/>
  <c r="T540" i="8"/>
  <c r="D569" i="6" s="1"/>
  <c r="U540" i="8"/>
  <c r="Y540" i="8"/>
  <c r="C569" i="6"/>
  <c r="R540" i="8"/>
  <c r="A553" i="7" s="1"/>
  <c r="S540" i="8"/>
  <c r="B569" i="6"/>
  <c r="A540" i="8"/>
  <c r="N540" i="9"/>
  <c r="N540" i="8" s="1"/>
  <c r="M540" i="9"/>
  <c r="M540" i="8" s="1"/>
  <c r="H569" i="6" s="1"/>
  <c r="P540" i="9"/>
  <c r="P540" i="8" s="1"/>
  <c r="L540" i="9"/>
  <c r="L540" i="8" s="1"/>
  <c r="K540" i="9"/>
  <c r="K540" i="8" s="1"/>
  <c r="O540" i="9"/>
  <c r="O540" i="8" s="1"/>
  <c r="D20" i="4" s="1"/>
  <c r="Z539" i="8"/>
  <c r="F568" i="6"/>
  <c r="T539" i="8"/>
  <c r="D568" i="6" s="1"/>
  <c r="U539" i="8"/>
  <c r="Y539" i="8"/>
  <c r="C568" i="6"/>
  <c r="R539" i="8"/>
  <c r="A552" i="7" s="1"/>
  <c r="S539" i="8"/>
  <c r="B568" i="6"/>
  <c r="K539" i="9"/>
  <c r="K539" i="8" s="1"/>
  <c r="N539" i="9"/>
  <c r="N539" i="8" s="1"/>
  <c r="P539" i="9"/>
  <c r="P539" i="8" s="1"/>
  <c r="A539" i="8"/>
  <c r="M539" i="9"/>
  <c r="M539" i="8" s="1"/>
  <c r="H568" i="6" s="1"/>
  <c r="O539" i="9"/>
  <c r="O539" i="8" s="1"/>
  <c r="D19" i="4" s="1"/>
  <c r="L539" i="9"/>
  <c r="L539" i="8" s="1"/>
  <c r="Z538" i="8"/>
  <c r="F567" i="6"/>
  <c r="T538" i="8"/>
  <c r="D567" i="6" s="1"/>
  <c r="U538" i="8"/>
  <c r="Y538" i="8"/>
  <c r="C567" i="6"/>
  <c r="R538" i="8"/>
  <c r="A551" i="7" s="1"/>
  <c r="S538" i="8"/>
  <c r="B567" i="6"/>
  <c r="P538" i="9"/>
  <c r="P538" i="8" s="1"/>
  <c r="L538" i="9"/>
  <c r="L538" i="8" s="1"/>
  <c r="O538" i="9"/>
  <c r="O538" i="8" s="1"/>
  <c r="M538" i="9"/>
  <c r="M538" i="8" s="1"/>
  <c r="H567" i="6" s="1"/>
  <c r="K538" i="9"/>
  <c r="K538" i="8" s="1"/>
  <c r="N538" i="9"/>
  <c r="N538" i="8" s="1"/>
  <c r="A538" i="8"/>
  <c r="Z537" i="8"/>
  <c r="F566" i="6"/>
  <c r="T537" i="8"/>
  <c r="D566" i="6" s="1"/>
  <c r="U537" i="8"/>
  <c r="Y537" i="8"/>
  <c r="C566" i="6"/>
  <c r="R537" i="8"/>
  <c r="A550" i="7" s="1"/>
  <c r="S537" i="8"/>
  <c r="B566" i="6"/>
  <c r="L537" i="9"/>
  <c r="L537" i="8" s="1"/>
  <c r="K537" i="9"/>
  <c r="K537" i="8" s="1"/>
  <c r="M537" i="9"/>
  <c r="M537" i="8" s="1"/>
  <c r="H566" i="6" s="1"/>
  <c r="O537" i="9"/>
  <c r="O537" i="8" s="1"/>
  <c r="D17" i="4" s="1"/>
  <c r="P537" i="9"/>
  <c r="P537" i="8" s="1"/>
  <c r="N537" i="9"/>
  <c r="N537" i="8" s="1"/>
  <c r="A537" i="8"/>
  <c r="Z536" i="8"/>
  <c r="F565" i="6"/>
  <c r="T536" i="8"/>
  <c r="D565" i="6" s="1"/>
  <c r="U536" i="8"/>
  <c r="Y536" i="8"/>
  <c r="C565" i="6"/>
  <c r="R536" i="8"/>
  <c r="A549" i="7" s="1"/>
  <c r="S536" i="8"/>
  <c r="B565" i="6"/>
  <c r="P536" i="9"/>
  <c r="P536" i="8" s="1"/>
  <c r="A536" i="8"/>
  <c r="O536" i="9"/>
  <c r="O536" i="8" s="1"/>
  <c r="M536" i="9"/>
  <c r="M536" i="8" s="1"/>
  <c r="H565" i="6" s="1"/>
  <c r="K536" i="9"/>
  <c r="K536" i="8" s="1"/>
  <c r="N536" i="9"/>
  <c r="N536" i="8" s="1"/>
  <c r="H16" i="4" s="1"/>
  <c r="L536" i="9"/>
  <c r="L536" i="8" s="1"/>
  <c r="Z535" i="8"/>
  <c r="F564" i="6"/>
  <c r="T535" i="8"/>
  <c r="D564" i="6" s="1"/>
  <c r="U535" i="8"/>
  <c r="Y535" i="8"/>
  <c r="C564" i="6"/>
  <c r="R535" i="8"/>
  <c r="A548" i="7" s="1"/>
  <c r="S535" i="8"/>
  <c r="B564" i="6"/>
  <c r="M535" i="9"/>
  <c r="M535" i="8" s="1"/>
  <c r="H564" i="6" s="1"/>
  <c r="A535" i="8"/>
  <c r="K535" i="9"/>
  <c r="K535" i="8" s="1"/>
  <c r="N535" i="9"/>
  <c r="N535" i="8" s="1"/>
  <c r="H15" i="4" s="1"/>
  <c r="P535" i="9"/>
  <c r="P535" i="8" s="1"/>
  <c r="L535" i="9"/>
  <c r="L535" i="8" s="1"/>
  <c r="O535" i="9"/>
  <c r="O535" i="8" s="1"/>
  <c r="D15" i="4" s="1"/>
  <c r="Z534" i="8"/>
  <c r="F563" i="6"/>
  <c r="T534" i="8"/>
  <c r="D563" i="6" s="1"/>
  <c r="U534" i="8"/>
  <c r="Y534" i="8"/>
  <c r="C563" i="6"/>
  <c r="R534" i="8"/>
  <c r="A547" i="7" s="1"/>
  <c r="S534" i="8"/>
  <c r="B563" i="6"/>
  <c r="L534" i="9"/>
  <c r="L534" i="8" s="1"/>
  <c r="A534" i="8"/>
  <c r="M534" i="9"/>
  <c r="M534" i="8" s="1"/>
  <c r="H563" i="6" s="1"/>
  <c r="P534" i="9"/>
  <c r="P534" i="8" s="1"/>
  <c r="N534" i="9"/>
  <c r="N534" i="8" s="1"/>
  <c r="K534" i="9"/>
  <c r="K534" i="8" s="1"/>
  <c r="O534" i="9"/>
  <c r="O534" i="8" s="1"/>
  <c r="D14" i="4" s="1"/>
  <c r="Z533" i="8"/>
  <c r="F562" i="6"/>
  <c r="T533" i="8"/>
  <c r="D562" i="6" s="1"/>
  <c r="U533" i="8"/>
  <c r="Y533" i="8"/>
  <c r="C562" i="6"/>
  <c r="R533" i="8"/>
  <c r="A546" i="7" s="1"/>
  <c r="S533" i="8"/>
  <c r="B562" i="6"/>
  <c r="A533" i="8"/>
  <c r="K533" i="9"/>
  <c r="K533" i="8" s="1"/>
  <c r="O533" i="9"/>
  <c r="O533" i="8" s="1"/>
  <c r="D13" i="4" s="1"/>
  <c r="N533" i="9"/>
  <c r="N533" i="8" s="1"/>
  <c r="P533" i="9"/>
  <c r="P533" i="8" s="1"/>
  <c r="M533" i="9"/>
  <c r="M533" i="8" s="1"/>
  <c r="H562" i="6" s="1"/>
  <c r="L533" i="9"/>
  <c r="L533" i="8" s="1"/>
  <c r="Z532" i="8"/>
  <c r="F561" i="6"/>
  <c r="T532" i="8"/>
  <c r="D561" i="6" s="1"/>
  <c r="U532" i="8"/>
  <c r="Y532" i="8"/>
  <c r="C561" i="6"/>
  <c r="R532" i="8"/>
  <c r="A545" i="7" s="1"/>
  <c r="S532" i="8"/>
  <c r="B561" i="6"/>
  <c r="M532" i="9"/>
  <c r="M532" i="8" s="1"/>
  <c r="H561" i="6" s="1"/>
  <c r="L532" i="9"/>
  <c r="L532" i="8" s="1"/>
  <c r="N532" i="9"/>
  <c r="N532" i="8" s="1"/>
  <c r="P532" i="9"/>
  <c r="P532" i="8" s="1"/>
  <c r="O532" i="9"/>
  <c r="O532" i="8" s="1"/>
  <c r="K532" i="9"/>
  <c r="K532" i="8" s="1"/>
  <c r="A532" i="8"/>
  <c r="Z531" i="8"/>
  <c r="F560" i="6"/>
  <c r="T531" i="8"/>
  <c r="D560" i="6" s="1"/>
  <c r="U531" i="8"/>
  <c r="Y531" i="8"/>
  <c r="C560" i="6"/>
  <c r="R531" i="8"/>
  <c r="A544" i="7" s="1"/>
  <c r="S531" i="8"/>
  <c r="B560" i="6"/>
  <c r="L531" i="9"/>
  <c r="L531" i="8" s="1"/>
  <c r="A531" i="8"/>
  <c r="K531" i="9"/>
  <c r="K531" i="8" s="1"/>
  <c r="M531" i="9"/>
  <c r="M531" i="8" s="1"/>
  <c r="H560" i="6" s="1"/>
  <c r="N531" i="9"/>
  <c r="N531" i="8" s="1"/>
  <c r="O531" i="9"/>
  <c r="O531" i="8" s="1"/>
  <c r="D11" i="4" s="1"/>
  <c r="P531" i="9"/>
  <c r="P531" i="8" s="1"/>
  <c r="Z530" i="8"/>
  <c r="F559" i="6"/>
  <c r="T530" i="8"/>
  <c r="D559" i="6" s="1"/>
  <c r="U530" i="8"/>
  <c r="Y530" i="8"/>
  <c r="C559" i="6"/>
  <c r="R530" i="8"/>
  <c r="A543" i="7" s="1"/>
  <c r="S530" i="8"/>
  <c r="B559" i="6"/>
  <c r="O530" i="9"/>
  <c r="O530" i="8" s="1"/>
  <c r="D10" i="4" s="1"/>
  <c r="A530" i="8"/>
  <c r="M530" i="9"/>
  <c r="M530" i="8" s="1"/>
  <c r="H559" i="6" s="1"/>
  <c r="P530" i="9"/>
  <c r="P530" i="8" s="1"/>
  <c r="K530" i="9"/>
  <c r="K530" i="8" s="1"/>
  <c r="N530" i="9"/>
  <c r="N530" i="8" s="1"/>
  <c r="L530" i="9"/>
  <c r="L530" i="8" s="1"/>
  <c r="Z529" i="8"/>
  <c r="F558" i="6"/>
  <c r="T529" i="8"/>
  <c r="D558" i="6" s="1"/>
  <c r="U529" i="8"/>
  <c r="Y529" i="8"/>
  <c r="C558" i="6"/>
  <c r="R529" i="8"/>
  <c r="A542" i="7" s="1"/>
  <c r="S529" i="8"/>
  <c r="B558" i="6"/>
  <c r="K529" i="9"/>
  <c r="K529" i="8" s="1"/>
  <c r="N529" i="9"/>
  <c r="N529" i="8" s="1"/>
  <c r="M529" i="9"/>
  <c r="M529" i="8" s="1"/>
  <c r="H558" i="6" s="1"/>
  <c r="O529" i="9"/>
  <c r="O529" i="8" s="1"/>
  <c r="D9" i="4" s="1"/>
  <c r="L529" i="9"/>
  <c r="L529" i="8" s="1"/>
  <c r="A529" i="8"/>
  <c r="P529" i="9"/>
  <c r="P529" i="8" s="1"/>
  <c r="Z528" i="8"/>
  <c r="F557" i="6"/>
  <c r="T528" i="8"/>
  <c r="D557" i="6" s="1"/>
  <c r="U528" i="8"/>
  <c r="Y528" i="8"/>
  <c r="C557" i="6"/>
  <c r="R528" i="8"/>
  <c r="A541" i="7" s="1"/>
  <c r="S528" i="8"/>
  <c r="B557" i="6"/>
  <c r="M528" i="9"/>
  <c r="M528" i="8" s="1"/>
  <c r="H557" i="6" s="1"/>
  <c r="O528" i="9"/>
  <c r="O528" i="8" s="1"/>
  <c r="P528" i="9"/>
  <c r="P528" i="8" s="1"/>
  <c r="K528" i="9"/>
  <c r="K528" i="8" s="1"/>
  <c r="A528" i="8"/>
  <c r="L528" i="9"/>
  <c r="L528" i="8" s="1"/>
  <c r="N528" i="9"/>
  <c r="N528" i="8" s="1"/>
  <c r="Z527" i="8"/>
  <c r="F556" i="6"/>
  <c r="T527" i="8"/>
  <c r="D556" i="6" s="1"/>
  <c r="U527" i="8"/>
  <c r="Y527" i="8"/>
  <c r="C556" i="6"/>
  <c r="R527" i="8"/>
  <c r="A540" i="7" s="1"/>
  <c r="S527" i="8"/>
  <c r="B556" i="6"/>
  <c r="N527" i="9"/>
  <c r="N527" i="8" s="1"/>
  <c r="A527" i="8"/>
  <c r="K527" i="9"/>
  <c r="K527" i="8" s="1"/>
  <c r="M527" i="9"/>
  <c r="M527" i="8" s="1"/>
  <c r="H556" i="6" s="1"/>
  <c r="O527" i="9"/>
  <c r="O527" i="8" s="1"/>
  <c r="L527" i="9"/>
  <c r="L527" i="8" s="1"/>
  <c r="P527" i="9"/>
  <c r="P527" i="8" s="1"/>
  <c r="Z526" i="8"/>
  <c r="F555" i="6"/>
  <c r="T526" i="8"/>
  <c r="D555" i="6" s="1"/>
  <c r="U526" i="8"/>
  <c r="Y526" i="8"/>
  <c r="C555" i="6"/>
  <c r="R526" i="8"/>
  <c r="A539" i="7" s="1"/>
  <c r="S526" i="8"/>
  <c r="B555" i="6"/>
  <c r="M526" i="9"/>
  <c r="M526" i="8" s="1"/>
  <c r="H555" i="6" s="1"/>
  <c r="P526" i="9"/>
  <c r="P526" i="8" s="1"/>
  <c r="K526" i="9"/>
  <c r="K526" i="8" s="1"/>
  <c r="O526" i="9"/>
  <c r="O526" i="8" s="1"/>
  <c r="A526" i="8"/>
  <c r="L526" i="9"/>
  <c r="L526" i="8" s="1"/>
  <c r="N526" i="9"/>
  <c r="N526" i="8" s="1"/>
  <c r="Z525" i="8"/>
  <c r="F554" i="6"/>
  <c r="T525" i="8"/>
  <c r="D554" i="6" s="1"/>
  <c r="U525" i="8"/>
  <c r="Y525" i="8"/>
  <c r="C554" i="6"/>
  <c r="R525" i="8"/>
  <c r="A538" i="7" s="1"/>
  <c r="S525" i="8"/>
  <c r="B554" i="6"/>
  <c r="K525" i="9"/>
  <c r="K525" i="8" s="1"/>
  <c r="M525" i="9"/>
  <c r="M525" i="8" s="1"/>
  <c r="H554" i="6" s="1"/>
  <c r="P525" i="9"/>
  <c r="P525" i="8" s="1"/>
  <c r="O525" i="9"/>
  <c r="O525" i="8" s="1"/>
  <c r="A525" i="8"/>
  <c r="N525" i="9"/>
  <c r="N525" i="8" s="1"/>
  <c r="L525" i="9"/>
  <c r="L525" i="8" s="1"/>
  <c r="Z524" i="8"/>
  <c r="F553" i="6"/>
  <c r="T524" i="8"/>
  <c r="D553" i="6" s="1"/>
  <c r="U524" i="8"/>
  <c r="Y524" i="8"/>
  <c r="C553" i="6"/>
  <c r="R524" i="8"/>
  <c r="A537" i="7" s="1"/>
  <c r="S524" i="8"/>
  <c r="B553" i="6"/>
  <c r="N524" i="9"/>
  <c r="N524" i="8" s="1"/>
  <c r="P524" i="9"/>
  <c r="P524" i="8" s="1"/>
  <c r="A524" i="8"/>
  <c r="O524" i="9"/>
  <c r="O524" i="8" s="1"/>
  <c r="K524" i="9"/>
  <c r="K524" i="8" s="1"/>
  <c r="M524" i="9"/>
  <c r="M524" i="8" s="1"/>
  <c r="H553" i="6" s="1"/>
  <c r="L524" i="9"/>
  <c r="L524" i="8" s="1"/>
  <c r="Z523" i="8"/>
  <c r="F552" i="6"/>
  <c r="T523" i="8"/>
  <c r="D552" i="6" s="1"/>
  <c r="U523" i="8"/>
  <c r="Y523" i="8"/>
  <c r="C552" i="6"/>
  <c r="R523" i="8"/>
  <c r="A536" i="7" s="1"/>
  <c r="S523" i="8"/>
  <c r="B552" i="6"/>
  <c r="O523" i="9"/>
  <c r="O523" i="8" s="1"/>
  <c r="M523" i="9"/>
  <c r="M523" i="8" s="1"/>
  <c r="H552" i="6" s="1"/>
  <c r="A523" i="8"/>
  <c r="K523" i="9"/>
  <c r="K523" i="8" s="1"/>
  <c r="N523" i="9"/>
  <c r="N523" i="8" s="1"/>
  <c r="L523" i="9"/>
  <c r="L523" i="8" s="1"/>
  <c r="P523" i="9"/>
  <c r="P523" i="8" s="1"/>
  <c r="Z522" i="8"/>
  <c r="F551" i="6"/>
  <c r="T522" i="8"/>
  <c r="D551" i="6" s="1"/>
  <c r="U522" i="8"/>
  <c r="Y522" i="8"/>
  <c r="C551" i="6"/>
  <c r="R522" i="8"/>
  <c r="A535" i="7" s="1"/>
  <c r="S522" i="8"/>
  <c r="B551" i="6"/>
  <c r="K522" i="9"/>
  <c r="K522" i="8" s="1"/>
  <c r="O522" i="9"/>
  <c r="O522" i="8" s="1"/>
  <c r="A522" i="8"/>
  <c r="L522" i="9"/>
  <c r="L522" i="8" s="1"/>
  <c r="N522" i="9"/>
  <c r="N522" i="8" s="1"/>
  <c r="P522" i="9"/>
  <c r="P522" i="8" s="1"/>
  <c r="M522" i="9"/>
  <c r="M522" i="8" s="1"/>
  <c r="H551" i="6" s="1"/>
  <c r="Z521" i="8"/>
  <c r="F550" i="6"/>
  <c r="T521" i="8"/>
  <c r="D550" i="6" s="1"/>
  <c r="U521" i="8"/>
  <c r="Y521" i="8"/>
  <c r="C550" i="6"/>
  <c r="R521" i="8"/>
  <c r="A534" i="7" s="1"/>
  <c r="S521" i="8"/>
  <c r="B550" i="6"/>
  <c r="A521" i="8"/>
  <c r="M521" i="9"/>
  <c r="M521" i="8" s="1"/>
  <c r="H550" i="6" s="1"/>
  <c r="P521" i="9"/>
  <c r="P521" i="8" s="1"/>
  <c r="L521" i="9"/>
  <c r="L521" i="8" s="1"/>
  <c r="K521" i="9"/>
  <c r="K521" i="8" s="1"/>
  <c r="N521" i="9"/>
  <c r="N521" i="8" s="1"/>
  <c r="O521" i="9"/>
  <c r="O521" i="8" s="1"/>
  <c r="Z520" i="8"/>
  <c r="F549" i="6"/>
  <c r="T520" i="8"/>
  <c r="D549" i="6" s="1"/>
  <c r="U520" i="8"/>
  <c r="Y520" i="8"/>
  <c r="C549" i="6"/>
  <c r="R520" i="8"/>
  <c r="A533" i="7" s="1"/>
  <c r="S520" i="8"/>
  <c r="B549" i="6"/>
  <c r="K520" i="9"/>
  <c r="K520" i="8" s="1"/>
  <c r="O520" i="9"/>
  <c r="O520" i="8" s="1"/>
  <c r="L520" i="9"/>
  <c r="L520" i="8" s="1"/>
  <c r="P520" i="9"/>
  <c r="P520" i="8" s="1"/>
  <c r="M520" i="9"/>
  <c r="M520" i="8" s="1"/>
  <c r="H549" i="6" s="1"/>
  <c r="A520" i="8"/>
  <c r="N520" i="9"/>
  <c r="N520" i="8" s="1"/>
  <c r="Z519" i="8"/>
  <c r="F548" i="6"/>
  <c r="T519" i="8"/>
  <c r="D548" i="6" s="1"/>
  <c r="U519" i="8"/>
  <c r="Y519" i="8"/>
  <c r="C548" i="6"/>
  <c r="R519" i="8"/>
  <c r="A532" i="7" s="1"/>
  <c r="S519" i="8"/>
  <c r="B548" i="6"/>
  <c r="O519" i="9"/>
  <c r="O519" i="8" s="1"/>
  <c r="P519" i="9"/>
  <c r="P519" i="8" s="1"/>
  <c r="M519" i="9"/>
  <c r="M519" i="8" s="1"/>
  <c r="H548" i="6" s="1"/>
  <c r="K519" i="9"/>
  <c r="K519" i="8" s="1"/>
  <c r="L519" i="9"/>
  <c r="L519" i="8" s="1"/>
  <c r="N519" i="9"/>
  <c r="N519" i="8" s="1"/>
  <c r="A519" i="8"/>
  <c r="Z518" i="8"/>
  <c r="F547" i="6"/>
  <c r="T518" i="8"/>
  <c r="D547" i="6" s="1"/>
  <c r="U518" i="8"/>
  <c r="Y518" i="8"/>
  <c r="C547" i="6"/>
  <c r="R518" i="8"/>
  <c r="A531" i="7" s="1"/>
  <c r="S518" i="8"/>
  <c r="B547" i="6"/>
  <c r="M518" i="9"/>
  <c r="M518" i="8" s="1"/>
  <c r="H547" i="6" s="1"/>
  <c r="L518" i="9"/>
  <c r="L518" i="8" s="1"/>
  <c r="K518" i="9"/>
  <c r="K518" i="8" s="1"/>
  <c r="N518" i="9"/>
  <c r="N518" i="8" s="1"/>
  <c r="P518" i="9"/>
  <c r="P518" i="8" s="1"/>
  <c r="A518" i="8"/>
  <c r="O518" i="9"/>
  <c r="O518" i="8" s="1"/>
  <c r="Z517" i="8"/>
  <c r="F546" i="6"/>
  <c r="T517" i="8"/>
  <c r="D546" i="6" s="1"/>
  <c r="U517" i="8"/>
  <c r="Y517" i="8"/>
  <c r="C546" i="6"/>
  <c r="R517" i="8"/>
  <c r="A530" i="7" s="1"/>
  <c r="S517" i="8"/>
  <c r="B546" i="6"/>
  <c r="A517" i="8"/>
  <c r="K517" i="9"/>
  <c r="K517" i="8" s="1"/>
  <c r="M517" i="9"/>
  <c r="M517" i="8" s="1"/>
  <c r="H546" i="6" s="1"/>
  <c r="O517" i="9"/>
  <c r="O517" i="8" s="1"/>
  <c r="P517" i="9"/>
  <c r="P517" i="8" s="1"/>
  <c r="L517" i="9"/>
  <c r="L517" i="8" s="1"/>
  <c r="N517" i="9"/>
  <c r="N517" i="8" s="1"/>
  <c r="Z516" i="8"/>
  <c r="F545" i="6"/>
  <c r="T516" i="8"/>
  <c r="D545" i="6" s="1"/>
  <c r="U516" i="8"/>
  <c r="Y516" i="8"/>
  <c r="C545" i="6"/>
  <c r="R516" i="8"/>
  <c r="A529" i="7" s="1"/>
  <c r="S516" i="8"/>
  <c r="B545" i="6"/>
  <c r="M516" i="9"/>
  <c r="M516" i="8" s="1"/>
  <c r="H545" i="6" s="1"/>
  <c r="P516" i="9"/>
  <c r="P516" i="8" s="1"/>
  <c r="O516" i="9"/>
  <c r="O516" i="8" s="1"/>
  <c r="N516" i="9"/>
  <c r="N516" i="8" s="1"/>
  <c r="K516" i="9"/>
  <c r="K516" i="8" s="1"/>
  <c r="L516" i="9"/>
  <c r="L516" i="8" s="1"/>
  <c r="A516" i="8"/>
  <c r="Z515" i="8"/>
  <c r="F544" i="6"/>
  <c r="T515" i="8"/>
  <c r="D544" i="6" s="1"/>
  <c r="U515" i="8"/>
  <c r="Y515" i="8"/>
  <c r="C544" i="6"/>
  <c r="R515" i="8"/>
  <c r="A528" i="7" s="1"/>
  <c r="S515" i="8"/>
  <c r="B544" i="6"/>
  <c r="M515" i="9"/>
  <c r="M515" i="8" s="1"/>
  <c r="H544" i="6" s="1"/>
  <c r="P515" i="9"/>
  <c r="P515" i="8" s="1"/>
  <c r="A515" i="8"/>
  <c r="N515" i="9"/>
  <c r="N515" i="8" s="1"/>
  <c r="O515" i="9"/>
  <c r="O515" i="8" s="1"/>
  <c r="L515" i="9"/>
  <c r="L515" i="8" s="1"/>
  <c r="K515" i="9"/>
  <c r="K515" i="8" s="1"/>
  <c r="Z514" i="8"/>
  <c r="F543" i="6"/>
  <c r="T514" i="8"/>
  <c r="D543" i="6" s="1"/>
  <c r="U514" i="8"/>
  <c r="Y514" i="8"/>
  <c r="C543" i="6"/>
  <c r="R514" i="8"/>
  <c r="A527" i="7" s="1"/>
  <c r="S514" i="8"/>
  <c r="B543" i="6"/>
  <c r="N514" i="9"/>
  <c r="N514" i="8" s="1"/>
  <c r="K514" i="9"/>
  <c r="K514" i="8" s="1"/>
  <c r="A514" i="8"/>
  <c r="P514" i="9"/>
  <c r="P514" i="8" s="1"/>
  <c r="M514" i="9"/>
  <c r="M514" i="8" s="1"/>
  <c r="H543" i="6" s="1"/>
  <c r="O514" i="9"/>
  <c r="O514" i="8" s="1"/>
  <c r="L514" i="9"/>
  <c r="L514" i="8" s="1"/>
  <c r="Z513" i="8"/>
  <c r="F542" i="6"/>
  <c r="T513" i="8"/>
  <c r="D542" i="6" s="1"/>
  <c r="U513" i="8"/>
  <c r="Y513" i="8"/>
  <c r="C542" i="6"/>
  <c r="R513" i="8"/>
  <c r="A526" i="7" s="1"/>
  <c r="S513" i="8"/>
  <c r="B542" i="6"/>
  <c r="O513" i="9"/>
  <c r="O513" i="8" s="1"/>
  <c r="M513" i="9"/>
  <c r="M513" i="8" s="1"/>
  <c r="H542" i="6" s="1"/>
  <c r="N513" i="9"/>
  <c r="N513" i="8" s="1"/>
  <c r="L513" i="9"/>
  <c r="L513" i="8" s="1"/>
  <c r="P513" i="9"/>
  <c r="P513" i="8" s="1"/>
  <c r="A513" i="8"/>
  <c r="Z512" i="8"/>
  <c r="F541" i="6"/>
  <c r="T512" i="8"/>
  <c r="D541" i="6" s="1"/>
  <c r="U512" i="8"/>
  <c r="Y512" i="8"/>
  <c r="C541" i="6"/>
  <c r="R512" i="8"/>
  <c r="A525" i="7" s="1"/>
  <c r="S512" i="8"/>
  <c r="B541" i="6"/>
  <c r="K512" i="9"/>
  <c r="K512" i="8" s="1"/>
  <c r="P512" i="9"/>
  <c r="P512" i="8" s="1"/>
  <c r="L512" i="9"/>
  <c r="L512" i="8" s="1"/>
  <c r="N512" i="9"/>
  <c r="N512" i="8" s="1"/>
  <c r="A512" i="8"/>
  <c r="O512" i="9"/>
  <c r="O512" i="8" s="1"/>
  <c r="M512" i="9"/>
  <c r="M512" i="8" s="1"/>
  <c r="H541" i="6" s="1"/>
  <c r="Z511" i="8"/>
  <c r="F540" i="6"/>
  <c r="T511" i="8"/>
  <c r="D540" i="6" s="1"/>
  <c r="U511" i="8"/>
  <c r="Y511" i="8"/>
  <c r="C540" i="6"/>
  <c r="R511" i="8"/>
  <c r="A524" i="7" s="1"/>
  <c r="S511" i="8"/>
  <c r="B540" i="6"/>
  <c r="K511" i="9"/>
  <c r="K511" i="8" s="1"/>
  <c r="L511" i="9"/>
  <c r="L511" i="8" s="1"/>
  <c r="N511" i="9"/>
  <c r="N511" i="8" s="1"/>
  <c r="M511" i="9"/>
  <c r="M511" i="8" s="1"/>
  <c r="H540" i="6" s="1"/>
  <c r="P511" i="9"/>
  <c r="P511" i="8" s="1"/>
  <c r="A511" i="8"/>
  <c r="O511" i="9"/>
  <c r="O511" i="8" s="1"/>
  <c r="Z510" i="8"/>
  <c r="F539" i="6"/>
  <c r="T510" i="8"/>
  <c r="D539" i="6" s="1"/>
  <c r="U510" i="8"/>
  <c r="Y510" i="8"/>
  <c r="C539" i="6"/>
  <c r="R510" i="8"/>
  <c r="A523" i="7" s="1"/>
  <c r="S510" i="8"/>
  <c r="B539" i="6"/>
  <c r="A510" i="8"/>
  <c r="M510" i="9"/>
  <c r="M510" i="8" s="1"/>
  <c r="H539" i="6" s="1"/>
  <c r="K510" i="9"/>
  <c r="K510" i="8" s="1"/>
  <c r="N510" i="9"/>
  <c r="N510" i="8" s="1"/>
  <c r="P510" i="9"/>
  <c r="P510" i="8" s="1"/>
  <c r="O510" i="9"/>
  <c r="O510" i="8" s="1"/>
  <c r="L510" i="9"/>
  <c r="L510" i="8" s="1"/>
  <c r="Z509" i="8"/>
  <c r="F538" i="6"/>
  <c r="T509" i="8"/>
  <c r="D538" i="6" s="1"/>
  <c r="U509" i="8"/>
  <c r="Y509" i="8"/>
  <c r="C538" i="6"/>
  <c r="R509" i="8"/>
  <c r="A522" i="7" s="1"/>
  <c r="S509" i="8"/>
  <c r="B538" i="6"/>
  <c r="O509" i="9"/>
  <c r="O509" i="8" s="1"/>
  <c r="A509" i="8"/>
  <c r="L509" i="9"/>
  <c r="L509" i="8" s="1"/>
  <c r="N509" i="9"/>
  <c r="N509" i="8" s="1"/>
  <c r="K509" i="9"/>
  <c r="K509" i="8" s="1"/>
  <c r="M509" i="9"/>
  <c r="M509" i="8" s="1"/>
  <c r="H538" i="6" s="1"/>
  <c r="P509" i="9"/>
  <c r="P509" i="8" s="1"/>
  <c r="Z508" i="8"/>
  <c r="F537" i="6"/>
  <c r="T508" i="8"/>
  <c r="D537" i="6" s="1"/>
  <c r="U508" i="8"/>
  <c r="Y508" i="8"/>
  <c r="C537" i="6"/>
  <c r="R508" i="8"/>
  <c r="A521" i="7" s="1"/>
  <c r="S508" i="8"/>
  <c r="B537" i="6"/>
  <c r="A508" i="8"/>
  <c r="L508" i="9"/>
  <c r="L508" i="8" s="1"/>
  <c r="N508" i="9"/>
  <c r="N508" i="8" s="1"/>
  <c r="K508" i="9"/>
  <c r="K508" i="8" s="1"/>
  <c r="O508" i="9"/>
  <c r="O508" i="8" s="1"/>
  <c r="P508" i="9"/>
  <c r="P508" i="8" s="1"/>
  <c r="M508" i="9"/>
  <c r="M508" i="8" s="1"/>
  <c r="H537" i="6" s="1"/>
  <c r="Z507" i="8"/>
  <c r="F536" i="6"/>
  <c r="T507" i="8"/>
  <c r="D536" i="6" s="1"/>
  <c r="U507" i="8"/>
  <c r="Y507" i="8"/>
  <c r="C536" i="6"/>
  <c r="R507" i="8"/>
  <c r="A520" i="7" s="1"/>
  <c r="S507" i="8"/>
  <c r="B536" i="6"/>
  <c r="A507" i="8"/>
  <c r="O507" i="9"/>
  <c r="O507" i="8" s="1"/>
  <c r="L507" i="9"/>
  <c r="L507" i="8" s="1"/>
  <c r="N507" i="9"/>
  <c r="N507" i="8" s="1"/>
  <c r="K507" i="9"/>
  <c r="K507" i="8" s="1"/>
  <c r="M507" i="9"/>
  <c r="M507" i="8" s="1"/>
  <c r="H536" i="6" s="1"/>
  <c r="P507" i="9"/>
  <c r="P507" i="8" s="1"/>
  <c r="Z506" i="8"/>
  <c r="F535" i="6"/>
  <c r="T506" i="8"/>
  <c r="D535" i="6" s="1"/>
  <c r="U506" i="8"/>
  <c r="Y506" i="8"/>
  <c r="C535" i="6"/>
  <c r="R506" i="8"/>
  <c r="A519" i="7" s="1"/>
  <c r="S506" i="8"/>
  <c r="B535" i="6"/>
  <c r="M506" i="9"/>
  <c r="M506" i="8" s="1"/>
  <c r="H535" i="6" s="1"/>
  <c r="A506" i="8"/>
  <c r="O506" i="9"/>
  <c r="O506" i="8" s="1"/>
  <c r="L506" i="9"/>
  <c r="L506" i="8" s="1"/>
  <c r="K506" i="9"/>
  <c r="K506" i="8" s="1"/>
  <c r="N506" i="9"/>
  <c r="N506" i="8" s="1"/>
  <c r="P506" i="9"/>
  <c r="P506" i="8" s="1"/>
  <c r="Z505" i="8"/>
  <c r="F534" i="6"/>
  <c r="T505" i="8"/>
  <c r="D534" i="6" s="1"/>
  <c r="U505" i="8"/>
  <c r="Y505" i="8"/>
  <c r="C534" i="6"/>
  <c r="R505" i="8"/>
  <c r="A518" i="7" s="1"/>
  <c r="S505" i="8"/>
  <c r="B534" i="6"/>
  <c r="M505" i="9"/>
  <c r="M505" i="8" s="1"/>
  <c r="H534" i="6" s="1"/>
  <c r="P505" i="9"/>
  <c r="P505" i="8" s="1"/>
  <c r="N505" i="9"/>
  <c r="N505" i="8" s="1"/>
  <c r="L505" i="9"/>
  <c r="L505" i="8" s="1"/>
  <c r="O505" i="9"/>
  <c r="O505" i="8" s="1"/>
  <c r="K505" i="9"/>
  <c r="K505" i="8" s="1"/>
  <c r="A505" i="8"/>
  <c r="Z504" i="8"/>
  <c r="F533" i="6"/>
  <c r="T504" i="8"/>
  <c r="D533" i="6" s="1"/>
  <c r="U504" i="8"/>
  <c r="Y504" i="8"/>
  <c r="C533" i="6"/>
  <c r="R504" i="8"/>
  <c r="A517" i="7" s="1"/>
  <c r="S504" i="8"/>
  <c r="B533" i="6"/>
  <c r="A504" i="8"/>
  <c r="P504" i="9"/>
  <c r="P504" i="8" s="1"/>
  <c r="N504" i="9"/>
  <c r="N504" i="8" s="1"/>
  <c r="L504" i="9"/>
  <c r="L504" i="8" s="1"/>
  <c r="O504" i="9"/>
  <c r="O504" i="8" s="1"/>
  <c r="M504" i="9"/>
  <c r="M504" i="8" s="1"/>
  <c r="H533" i="6" s="1"/>
  <c r="K504" i="9"/>
  <c r="K504" i="8" s="1"/>
  <c r="Z503" i="8"/>
  <c r="F532" i="6"/>
  <c r="T503" i="8"/>
  <c r="D532" i="6" s="1"/>
  <c r="U503" i="8"/>
  <c r="Y503" i="8"/>
  <c r="C532" i="6"/>
  <c r="R503" i="8"/>
  <c r="A516" i="7" s="1"/>
  <c r="S503" i="8"/>
  <c r="B532" i="6"/>
  <c r="K503" i="9"/>
  <c r="K503" i="8" s="1"/>
  <c r="M503" i="9"/>
  <c r="M503" i="8" s="1"/>
  <c r="H532" i="6" s="1"/>
  <c r="L503" i="9"/>
  <c r="L503" i="8" s="1"/>
  <c r="O503" i="9"/>
  <c r="O503" i="8" s="1"/>
  <c r="N503" i="9"/>
  <c r="N503" i="8" s="1"/>
  <c r="P503" i="9"/>
  <c r="P503" i="8" s="1"/>
  <c r="A503" i="8"/>
  <c r="Z502" i="8"/>
  <c r="F531" i="6"/>
  <c r="T502" i="8"/>
  <c r="D531" i="6" s="1"/>
  <c r="U502" i="8"/>
  <c r="Y502" i="8"/>
  <c r="C531" i="6"/>
  <c r="R502" i="8"/>
  <c r="A515" i="7" s="1"/>
  <c r="S502" i="8"/>
  <c r="B531" i="6"/>
  <c r="P502" i="9"/>
  <c r="P502" i="8" s="1"/>
  <c r="M502" i="9"/>
  <c r="M502" i="8" s="1"/>
  <c r="H531" i="6" s="1"/>
  <c r="K502" i="9"/>
  <c r="K502" i="8" s="1"/>
  <c r="N502" i="9"/>
  <c r="N502" i="8" s="1"/>
  <c r="O502" i="9"/>
  <c r="O502" i="8" s="1"/>
  <c r="L502" i="9"/>
  <c r="L502" i="8" s="1"/>
  <c r="A502" i="8"/>
  <c r="Z501" i="8"/>
  <c r="F530" i="6"/>
  <c r="T501" i="8"/>
  <c r="D530" i="6" s="1"/>
  <c r="U501" i="8"/>
  <c r="Y501" i="8"/>
  <c r="C530" i="6"/>
  <c r="R501" i="8"/>
  <c r="A514" i="7" s="1"/>
  <c r="S501" i="8"/>
  <c r="B530" i="6"/>
  <c r="M501" i="9"/>
  <c r="M501" i="8" s="1"/>
  <c r="H530" i="6" s="1"/>
  <c r="L501" i="9"/>
  <c r="L501" i="8" s="1"/>
  <c r="P501" i="9"/>
  <c r="P501" i="8" s="1"/>
  <c r="K501" i="9"/>
  <c r="K501" i="8" s="1"/>
  <c r="O501" i="9"/>
  <c r="O501" i="8" s="1"/>
  <c r="A501" i="8"/>
  <c r="N501" i="9"/>
  <c r="N501" i="8" s="1"/>
  <c r="Z500" i="8"/>
  <c r="F529" i="6"/>
  <c r="T500" i="8"/>
  <c r="D529" i="6" s="1"/>
  <c r="U500" i="8"/>
  <c r="Y500" i="8"/>
  <c r="C529" i="6"/>
  <c r="R500" i="8"/>
  <c r="A513" i="7" s="1"/>
  <c r="S500" i="8"/>
  <c r="B529" i="6"/>
  <c r="M500" i="9"/>
  <c r="M500" i="8" s="1"/>
  <c r="H529" i="6" s="1"/>
  <c r="L500" i="9"/>
  <c r="L500" i="8" s="1"/>
  <c r="O500" i="9"/>
  <c r="O500" i="8" s="1"/>
  <c r="K500" i="9"/>
  <c r="K500" i="8" s="1"/>
  <c r="N500" i="9"/>
  <c r="N500" i="8" s="1"/>
  <c r="P500" i="9"/>
  <c r="P500" i="8" s="1"/>
  <c r="A500" i="8"/>
  <c r="Z499" i="8"/>
  <c r="F528" i="6"/>
  <c r="T499" i="8"/>
  <c r="D528" i="6" s="1"/>
  <c r="U499" i="8"/>
  <c r="Y499" i="8"/>
  <c r="C528" i="6"/>
  <c r="R499" i="8"/>
  <c r="A512" i="7" s="1"/>
  <c r="S499" i="8"/>
  <c r="B528" i="6"/>
  <c r="P499" i="9"/>
  <c r="P499" i="8" s="1"/>
  <c r="A499" i="8"/>
  <c r="L499" i="9"/>
  <c r="L499" i="8" s="1"/>
  <c r="O499" i="9"/>
  <c r="O499" i="8" s="1"/>
  <c r="N499" i="9"/>
  <c r="N499" i="8" s="1"/>
  <c r="M499" i="9"/>
  <c r="M499" i="8" s="1"/>
  <c r="H528" i="6" s="1"/>
  <c r="K499" i="9"/>
  <c r="K499" i="8" s="1"/>
  <c r="Z498" i="8"/>
  <c r="F527" i="6"/>
  <c r="T498" i="8"/>
  <c r="D527" i="6" s="1"/>
  <c r="U498" i="8"/>
  <c r="Y498" i="8"/>
  <c r="C527" i="6"/>
  <c r="R498" i="8"/>
  <c r="A511" i="7" s="1"/>
  <c r="S498" i="8"/>
  <c r="B527" i="6"/>
  <c r="O498" i="9"/>
  <c r="O498" i="8" s="1"/>
  <c r="M498" i="9"/>
  <c r="M498" i="8" s="1"/>
  <c r="H527" i="6" s="1"/>
  <c r="N498" i="9"/>
  <c r="N498" i="8" s="1"/>
  <c r="K498" i="9"/>
  <c r="K498" i="8" s="1"/>
  <c r="P498" i="9"/>
  <c r="P498" i="8" s="1"/>
  <c r="A498" i="8"/>
  <c r="L498" i="9"/>
  <c r="L498" i="8" s="1"/>
  <c r="Z497" i="8"/>
  <c r="F526" i="6"/>
  <c r="T497" i="8"/>
  <c r="D526" i="6" s="1"/>
  <c r="U497" i="8"/>
  <c r="Y497" i="8"/>
  <c r="C526" i="6"/>
  <c r="R497" i="8"/>
  <c r="A510" i="7" s="1"/>
  <c r="S497" i="8"/>
  <c r="B526" i="6"/>
  <c r="O497" i="9"/>
  <c r="O497" i="8" s="1"/>
  <c r="M497" i="9"/>
  <c r="M497" i="8" s="1"/>
  <c r="H526" i="6" s="1"/>
  <c r="P497" i="9"/>
  <c r="P497" i="8" s="1"/>
  <c r="K497" i="9"/>
  <c r="K497" i="8" s="1"/>
  <c r="A497" i="8"/>
  <c r="L497" i="9"/>
  <c r="L497" i="8" s="1"/>
  <c r="N497" i="9"/>
  <c r="N497" i="8" s="1"/>
  <c r="Z496" i="8"/>
  <c r="F525" i="6"/>
  <c r="T496" i="8"/>
  <c r="D525" i="6" s="1"/>
  <c r="U496" i="8"/>
  <c r="Y496" i="8"/>
  <c r="C525" i="6"/>
  <c r="R496" i="8"/>
  <c r="A509" i="7" s="1"/>
  <c r="S496" i="8"/>
  <c r="B525" i="6"/>
  <c r="A496" i="8"/>
  <c r="K496" i="9"/>
  <c r="K496" i="8" s="1"/>
  <c r="O496" i="9"/>
  <c r="O496" i="8" s="1"/>
  <c r="L496" i="9"/>
  <c r="L496" i="8" s="1"/>
  <c r="N496" i="9"/>
  <c r="N496" i="8" s="1"/>
  <c r="P496" i="9"/>
  <c r="P496" i="8" s="1"/>
  <c r="M496" i="9"/>
  <c r="M496" i="8" s="1"/>
  <c r="H525" i="6" s="1"/>
  <c r="Z495" i="8"/>
  <c r="F524" i="6"/>
  <c r="T495" i="8"/>
  <c r="D524" i="6" s="1"/>
  <c r="U495" i="8"/>
  <c r="Y495" i="8"/>
  <c r="C524" i="6"/>
  <c r="R495" i="8"/>
  <c r="A508" i="7" s="1"/>
  <c r="S495" i="8"/>
  <c r="B524" i="6"/>
  <c r="P495" i="9"/>
  <c r="P495" i="8" s="1"/>
  <c r="M495" i="9"/>
  <c r="M495" i="8" s="1"/>
  <c r="H524" i="6" s="1"/>
  <c r="A495" i="8"/>
  <c r="N495" i="9"/>
  <c r="N495" i="8" s="1"/>
  <c r="K495" i="9"/>
  <c r="K495" i="8" s="1"/>
  <c r="O495" i="9"/>
  <c r="O495" i="8" s="1"/>
  <c r="L495" i="9"/>
  <c r="L495" i="8" s="1"/>
  <c r="Z494" i="8"/>
  <c r="F523" i="6"/>
  <c r="T494" i="8"/>
  <c r="D523" i="6" s="1"/>
  <c r="U494" i="8"/>
  <c r="Y494" i="8"/>
  <c r="C523" i="6"/>
  <c r="R494" i="8"/>
  <c r="A507" i="7" s="1"/>
  <c r="S494" i="8"/>
  <c r="B523" i="6"/>
  <c r="N494" i="9"/>
  <c r="N494" i="8" s="1"/>
  <c r="L494" i="9"/>
  <c r="L494" i="8" s="1"/>
  <c r="P494" i="9"/>
  <c r="P494" i="8" s="1"/>
  <c r="K494" i="9"/>
  <c r="K494" i="8" s="1"/>
  <c r="M494" i="9"/>
  <c r="M494" i="8" s="1"/>
  <c r="H523" i="6" s="1"/>
  <c r="O494" i="9"/>
  <c r="O494" i="8" s="1"/>
  <c r="A494" i="8"/>
  <c r="Z493" i="8"/>
  <c r="F522" i="6"/>
  <c r="T493" i="8"/>
  <c r="D522" i="6" s="1"/>
  <c r="U493" i="8"/>
  <c r="Y493" i="8"/>
  <c r="C522" i="6"/>
  <c r="R493" i="8"/>
  <c r="A506" i="7" s="1"/>
  <c r="S493" i="8"/>
  <c r="B522" i="6"/>
  <c r="K493" i="9"/>
  <c r="K493" i="8" s="1"/>
  <c r="O493" i="9"/>
  <c r="O493" i="8" s="1"/>
  <c r="M493" i="9"/>
  <c r="M493" i="8" s="1"/>
  <c r="H522" i="6" s="1"/>
  <c r="N493" i="9"/>
  <c r="N493" i="8" s="1"/>
  <c r="L493" i="9"/>
  <c r="L493" i="8" s="1"/>
  <c r="A493" i="8"/>
  <c r="P493" i="9"/>
  <c r="P493" i="8" s="1"/>
  <c r="Z492" i="8"/>
  <c r="F521" i="6"/>
  <c r="T492" i="8"/>
  <c r="D521" i="6" s="1"/>
  <c r="U492" i="8"/>
  <c r="Y492" i="8"/>
  <c r="C521" i="6"/>
  <c r="R492" i="8"/>
  <c r="A505" i="7" s="1"/>
  <c r="S492" i="8"/>
  <c r="B521" i="6"/>
  <c r="O492" i="9"/>
  <c r="O492" i="8" s="1"/>
  <c r="N492" i="9"/>
  <c r="N492" i="8" s="1"/>
  <c r="L492" i="9"/>
  <c r="L492" i="8" s="1"/>
  <c r="P492" i="9"/>
  <c r="P492" i="8" s="1"/>
  <c r="K492" i="9"/>
  <c r="K492" i="8" s="1"/>
  <c r="M492" i="9"/>
  <c r="M492" i="8" s="1"/>
  <c r="H521" i="6" s="1"/>
  <c r="A492" i="8"/>
  <c r="Z491" i="8"/>
  <c r="F520" i="6"/>
  <c r="T491" i="8"/>
  <c r="D520" i="6" s="1"/>
  <c r="U491" i="8"/>
  <c r="Y491" i="8"/>
  <c r="C520" i="6"/>
  <c r="R491" i="8"/>
  <c r="A504" i="7" s="1"/>
  <c r="S491" i="8"/>
  <c r="B520" i="6"/>
  <c r="L491" i="9"/>
  <c r="L491" i="8" s="1"/>
  <c r="A491" i="8"/>
  <c r="N491" i="9"/>
  <c r="N491" i="8" s="1"/>
  <c r="P491" i="9"/>
  <c r="P491" i="8" s="1"/>
  <c r="K491" i="9"/>
  <c r="K491" i="8" s="1"/>
  <c r="M491" i="9"/>
  <c r="M491" i="8" s="1"/>
  <c r="H520" i="6" s="1"/>
  <c r="O491" i="9"/>
  <c r="O491" i="8" s="1"/>
  <c r="Z490" i="8"/>
  <c r="F519" i="6"/>
  <c r="T490" i="8"/>
  <c r="D519" i="6" s="1"/>
  <c r="U490" i="8"/>
  <c r="Y490" i="8"/>
  <c r="C519" i="6"/>
  <c r="R490" i="8"/>
  <c r="A503" i="7" s="1"/>
  <c r="S490" i="8"/>
  <c r="B519" i="6"/>
  <c r="O490" i="9"/>
  <c r="O490" i="8" s="1"/>
  <c r="P490" i="9"/>
  <c r="P490" i="8" s="1"/>
  <c r="L490" i="9"/>
  <c r="L490" i="8" s="1"/>
  <c r="M490" i="9"/>
  <c r="M490" i="8" s="1"/>
  <c r="H519" i="6" s="1"/>
  <c r="N490" i="9"/>
  <c r="N490" i="8" s="1"/>
  <c r="K490" i="9"/>
  <c r="K490" i="8" s="1"/>
  <c r="A490" i="8"/>
  <c r="Z489" i="8"/>
  <c r="F518" i="6"/>
  <c r="T489" i="8"/>
  <c r="D518" i="6" s="1"/>
  <c r="U489" i="8"/>
  <c r="Y489" i="8"/>
  <c r="C518" i="6"/>
  <c r="R489" i="8"/>
  <c r="A502" i="7" s="1"/>
  <c r="S489" i="8"/>
  <c r="B518" i="6"/>
  <c r="P489" i="9"/>
  <c r="P489" i="8" s="1"/>
  <c r="N489" i="9"/>
  <c r="N489" i="8" s="1"/>
  <c r="K489" i="9"/>
  <c r="K489" i="8" s="1"/>
  <c r="A489" i="8"/>
  <c r="O489" i="9"/>
  <c r="O489" i="8" s="1"/>
  <c r="L489" i="9"/>
  <c r="L489" i="8" s="1"/>
  <c r="M489" i="9"/>
  <c r="M489" i="8" s="1"/>
  <c r="H518" i="6" s="1"/>
  <c r="Z488" i="8"/>
  <c r="F517" i="6"/>
  <c r="T488" i="8"/>
  <c r="D517" i="6" s="1"/>
  <c r="U488" i="8"/>
  <c r="Y488" i="8"/>
  <c r="C517" i="6"/>
  <c r="R488" i="8"/>
  <c r="A501" i="7" s="1"/>
  <c r="S488" i="8"/>
  <c r="B517" i="6"/>
  <c r="L488" i="9"/>
  <c r="L488" i="8" s="1"/>
  <c r="M488" i="9"/>
  <c r="M488" i="8" s="1"/>
  <c r="H517" i="6" s="1"/>
  <c r="O488" i="9"/>
  <c r="O488" i="8" s="1"/>
  <c r="K488" i="9"/>
  <c r="K488" i="8" s="1"/>
  <c r="N488" i="9"/>
  <c r="N488" i="8" s="1"/>
  <c r="P488" i="9"/>
  <c r="P488" i="8" s="1"/>
  <c r="A488" i="8"/>
  <c r="Z487" i="8"/>
  <c r="F516" i="6"/>
  <c r="T487" i="8"/>
  <c r="D516" i="6" s="1"/>
  <c r="U487" i="8"/>
  <c r="Y487" i="8"/>
  <c r="C516" i="6"/>
  <c r="R487" i="8"/>
  <c r="A500" i="7" s="1"/>
  <c r="S487" i="8"/>
  <c r="B516" i="6"/>
  <c r="K487" i="9"/>
  <c r="K487" i="8" s="1"/>
  <c r="O487" i="9"/>
  <c r="O487" i="8" s="1"/>
  <c r="L487" i="9"/>
  <c r="L487" i="8" s="1"/>
  <c r="N487" i="9"/>
  <c r="N487" i="8" s="1"/>
  <c r="A487" i="8"/>
  <c r="M487" i="9"/>
  <c r="M487" i="8" s="1"/>
  <c r="H516" i="6" s="1"/>
  <c r="P487" i="9"/>
  <c r="P487" i="8" s="1"/>
  <c r="Z486" i="8"/>
  <c r="F515" i="6"/>
  <c r="T486" i="8"/>
  <c r="D515" i="6" s="1"/>
  <c r="U486" i="8"/>
  <c r="Y486" i="8"/>
  <c r="C515" i="6"/>
  <c r="R486" i="8"/>
  <c r="A499" i="7" s="1"/>
  <c r="S486" i="8"/>
  <c r="B515" i="6"/>
  <c r="A486" i="8"/>
  <c r="K486" i="9"/>
  <c r="K486" i="8" s="1"/>
  <c r="N486" i="9"/>
  <c r="N486" i="8" s="1"/>
  <c r="M486" i="9"/>
  <c r="M486" i="8" s="1"/>
  <c r="H515" i="6" s="1"/>
  <c r="O486" i="9"/>
  <c r="O486" i="8" s="1"/>
  <c r="P486" i="9"/>
  <c r="P486" i="8" s="1"/>
  <c r="L486" i="9"/>
  <c r="L486" i="8" s="1"/>
  <c r="Z485" i="8"/>
  <c r="F514" i="6"/>
  <c r="T485" i="8"/>
  <c r="D514" i="6" s="1"/>
  <c r="U485" i="8"/>
  <c r="Y485" i="8"/>
  <c r="C514" i="6"/>
  <c r="R485" i="8"/>
  <c r="A498" i="7" s="1"/>
  <c r="S485" i="8"/>
  <c r="B514" i="6"/>
  <c r="A485" i="8"/>
  <c r="K485" i="9"/>
  <c r="K485" i="8" s="1"/>
  <c r="L485" i="9"/>
  <c r="L485" i="8" s="1"/>
  <c r="N485" i="9"/>
  <c r="N485" i="8" s="1"/>
  <c r="P485" i="9"/>
  <c r="P485" i="8" s="1"/>
  <c r="M485" i="9"/>
  <c r="M485" i="8" s="1"/>
  <c r="H514" i="6" s="1"/>
  <c r="O485" i="9"/>
  <c r="O485" i="8" s="1"/>
  <c r="Z484" i="8"/>
  <c r="F513" i="6"/>
  <c r="T484" i="8"/>
  <c r="D513" i="6" s="1"/>
  <c r="U484" i="8"/>
  <c r="Y484" i="8"/>
  <c r="C513" i="6"/>
  <c r="R484" i="8"/>
  <c r="A497" i="7" s="1"/>
  <c r="S484" i="8"/>
  <c r="B513" i="6"/>
  <c r="A484" i="8"/>
  <c r="O484" i="9"/>
  <c r="O484" i="8" s="1"/>
  <c r="K484" i="9"/>
  <c r="K484" i="8" s="1"/>
  <c r="P484" i="9"/>
  <c r="P484" i="8" s="1"/>
  <c r="N484" i="9"/>
  <c r="N484" i="8" s="1"/>
  <c r="L484" i="9"/>
  <c r="L484" i="8" s="1"/>
  <c r="M484" i="9"/>
  <c r="M484" i="8" s="1"/>
  <c r="H513" i="6" s="1"/>
  <c r="Z483" i="8"/>
  <c r="F512" i="6"/>
  <c r="T483" i="8"/>
  <c r="D512" i="6" s="1"/>
  <c r="U483" i="8"/>
  <c r="Y483" i="8"/>
  <c r="C512" i="6"/>
  <c r="R483" i="8"/>
  <c r="A496" i="7" s="1"/>
  <c r="S483" i="8"/>
  <c r="B512" i="6"/>
  <c r="A483" i="8"/>
  <c r="L483" i="9"/>
  <c r="L483" i="8" s="1"/>
  <c r="K483" i="9"/>
  <c r="K483" i="8" s="1"/>
  <c r="O483" i="9"/>
  <c r="O483" i="8" s="1"/>
  <c r="M483" i="9"/>
  <c r="M483" i="8" s="1"/>
  <c r="H512" i="6" s="1"/>
  <c r="N483" i="9"/>
  <c r="N483" i="8" s="1"/>
  <c r="P483" i="9"/>
  <c r="P483" i="8" s="1"/>
  <c r="Z482" i="8"/>
  <c r="F511" i="6"/>
  <c r="T482" i="8"/>
  <c r="D511" i="6" s="1"/>
  <c r="U482" i="8"/>
  <c r="Y482" i="8"/>
  <c r="C511" i="6"/>
  <c r="R482" i="8"/>
  <c r="A495" i="7" s="1"/>
  <c r="S482" i="8"/>
  <c r="B511" i="6"/>
  <c r="L482" i="9"/>
  <c r="L482" i="8" s="1"/>
  <c r="O482" i="9"/>
  <c r="O482" i="8" s="1"/>
  <c r="N482" i="9"/>
  <c r="N482" i="8" s="1"/>
  <c r="P482" i="9"/>
  <c r="P482" i="8" s="1"/>
  <c r="K482" i="9"/>
  <c r="K482" i="8" s="1"/>
  <c r="M482" i="9"/>
  <c r="M482" i="8" s="1"/>
  <c r="H511" i="6" s="1"/>
  <c r="A482" i="8"/>
  <c r="Z481" i="8"/>
  <c r="F510" i="6"/>
  <c r="T481" i="8"/>
  <c r="D510" i="6" s="1"/>
  <c r="U481" i="8"/>
  <c r="Y481" i="8"/>
  <c r="C510" i="6"/>
  <c r="R481" i="8"/>
  <c r="A494" i="7" s="1"/>
  <c r="S481" i="8"/>
  <c r="B510" i="6"/>
  <c r="N481" i="9"/>
  <c r="N481" i="8" s="1"/>
  <c r="L481" i="9"/>
  <c r="L481" i="8" s="1"/>
  <c r="P481" i="9"/>
  <c r="P481" i="8" s="1"/>
  <c r="O481" i="9"/>
  <c r="O481" i="8" s="1"/>
  <c r="M481" i="9"/>
  <c r="M481" i="8" s="1"/>
  <c r="H510" i="6" s="1"/>
  <c r="K481" i="9"/>
  <c r="K481" i="8" s="1"/>
  <c r="A481" i="8"/>
  <c r="Z480" i="8"/>
  <c r="F509" i="6"/>
  <c r="T480" i="8"/>
  <c r="D509" i="6" s="1"/>
  <c r="U480" i="8"/>
  <c r="Y480" i="8"/>
  <c r="C509" i="6"/>
  <c r="R480" i="8"/>
  <c r="A493" i="7" s="1"/>
  <c r="S480" i="8"/>
  <c r="B509" i="6"/>
  <c r="K480" i="9"/>
  <c r="K480" i="8" s="1"/>
  <c r="A480" i="8"/>
  <c r="O480" i="9"/>
  <c r="O480" i="8" s="1"/>
  <c r="P480" i="9"/>
  <c r="P480" i="8" s="1"/>
  <c r="N480" i="9"/>
  <c r="N480" i="8" s="1"/>
  <c r="L480" i="9"/>
  <c r="L480" i="8" s="1"/>
  <c r="M480" i="9"/>
  <c r="M480" i="8" s="1"/>
  <c r="H509" i="6" s="1"/>
  <c r="Z479" i="8"/>
  <c r="F508" i="6"/>
  <c r="T479" i="8"/>
  <c r="D508" i="6" s="1"/>
  <c r="U479" i="8"/>
  <c r="Y479" i="8"/>
  <c r="C508" i="6"/>
  <c r="R479" i="8"/>
  <c r="A492" i="7" s="1"/>
  <c r="S479" i="8"/>
  <c r="B508" i="6"/>
  <c r="A479" i="8"/>
  <c r="L479" i="9"/>
  <c r="L479" i="8" s="1"/>
  <c r="N479" i="9"/>
  <c r="N479" i="8" s="1"/>
  <c r="P479" i="9"/>
  <c r="P479" i="8" s="1"/>
  <c r="O479" i="9"/>
  <c r="O479" i="8" s="1"/>
  <c r="M479" i="9"/>
  <c r="M479" i="8" s="1"/>
  <c r="H508" i="6" s="1"/>
  <c r="K479" i="9"/>
  <c r="K479" i="8" s="1"/>
  <c r="Z478" i="8"/>
  <c r="F507" i="6"/>
  <c r="T478" i="8"/>
  <c r="D507" i="6" s="1"/>
  <c r="U478" i="8"/>
  <c r="Y478" i="8"/>
  <c r="C507" i="6"/>
  <c r="R478" i="8"/>
  <c r="A491" i="7" s="1"/>
  <c r="S478" i="8"/>
  <c r="B507" i="6"/>
  <c r="P478" i="9"/>
  <c r="P478" i="8" s="1"/>
  <c r="K478" i="9"/>
  <c r="K478" i="8" s="1"/>
  <c r="N478" i="9"/>
  <c r="N478" i="8" s="1"/>
  <c r="L478" i="9"/>
  <c r="L478" i="8" s="1"/>
  <c r="M478" i="9"/>
  <c r="M478" i="8" s="1"/>
  <c r="H507" i="6" s="1"/>
  <c r="A478" i="8"/>
  <c r="O478" i="9"/>
  <c r="O478" i="8" s="1"/>
  <c r="Z477" i="8"/>
  <c r="F506" i="6"/>
  <c r="T477" i="8"/>
  <c r="D506" i="6" s="1"/>
  <c r="U477" i="8"/>
  <c r="Y477" i="8"/>
  <c r="C506" i="6"/>
  <c r="R477" i="8"/>
  <c r="A490" i="7" s="1"/>
  <c r="S477" i="8"/>
  <c r="B506" i="6"/>
  <c r="A477" i="8"/>
  <c r="K477" i="9"/>
  <c r="K477" i="8" s="1"/>
  <c r="M477" i="9"/>
  <c r="M477" i="8" s="1"/>
  <c r="H506" i="6" s="1"/>
  <c r="P477" i="9"/>
  <c r="P477" i="8" s="1"/>
  <c r="L477" i="9"/>
  <c r="L477" i="8" s="1"/>
  <c r="N477" i="9"/>
  <c r="N477" i="8" s="1"/>
  <c r="O477" i="9"/>
  <c r="O477" i="8" s="1"/>
  <c r="Z476" i="8"/>
  <c r="F505" i="6"/>
  <c r="T476" i="8"/>
  <c r="D505" i="6" s="1"/>
  <c r="U476" i="8"/>
  <c r="Y476" i="8"/>
  <c r="C505" i="6"/>
  <c r="R476" i="8"/>
  <c r="A489" i="7" s="1"/>
  <c r="S476" i="8"/>
  <c r="B505" i="6"/>
  <c r="K476" i="9"/>
  <c r="K476" i="8" s="1"/>
  <c r="M476" i="9"/>
  <c r="M476" i="8" s="1"/>
  <c r="H505" i="6" s="1"/>
  <c r="P476" i="9"/>
  <c r="P476" i="8" s="1"/>
  <c r="A476" i="8"/>
  <c r="N476" i="9"/>
  <c r="N476" i="8" s="1"/>
  <c r="L476" i="9"/>
  <c r="L476" i="8" s="1"/>
  <c r="O476" i="9"/>
  <c r="O476" i="8" s="1"/>
  <c r="Z475" i="8"/>
  <c r="F504" i="6"/>
  <c r="T475" i="8"/>
  <c r="D504" i="6" s="1"/>
  <c r="U475" i="8"/>
  <c r="Y475" i="8"/>
  <c r="C504" i="6"/>
  <c r="R475" i="8"/>
  <c r="A488" i="7" s="1"/>
  <c r="S475" i="8"/>
  <c r="B504" i="6"/>
  <c r="M475" i="9"/>
  <c r="M475" i="8" s="1"/>
  <c r="H504" i="6" s="1"/>
  <c r="A475" i="8"/>
  <c r="K475" i="9"/>
  <c r="K475" i="8" s="1"/>
  <c r="N475" i="9"/>
  <c r="N475" i="8" s="1"/>
  <c r="P475" i="9"/>
  <c r="P475" i="8" s="1"/>
  <c r="O475" i="9"/>
  <c r="O475" i="8" s="1"/>
  <c r="L475" i="9"/>
  <c r="L475" i="8" s="1"/>
  <c r="Z474" i="8"/>
  <c r="F503" i="6"/>
  <c r="T474" i="8"/>
  <c r="D503" i="6" s="1"/>
  <c r="U474" i="8"/>
  <c r="Y474" i="8"/>
  <c r="C503" i="6"/>
  <c r="R474" i="8"/>
  <c r="A487" i="7" s="1"/>
  <c r="S474" i="8"/>
  <c r="B503" i="6"/>
  <c r="L474" i="9"/>
  <c r="L474" i="8" s="1"/>
  <c r="A474" i="8"/>
  <c r="K474" i="9"/>
  <c r="K474" i="8" s="1"/>
  <c r="O474" i="9"/>
  <c r="O474" i="8" s="1"/>
  <c r="P474" i="9"/>
  <c r="P474" i="8" s="1"/>
  <c r="M474" i="9"/>
  <c r="M474" i="8" s="1"/>
  <c r="H503" i="6" s="1"/>
  <c r="N474" i="9"/>
  <c r="N474" i="8" s="1"/>
  <c r="Z473" i="8"/>
  <c r="F502" i="6"/>
  <c r="T473" i="8"/>
  <c r="D502" i="6" s="1"/>
  <c r="U473" i="8"/>
  <c r="Y473" i="8"/>
  <c r="C502" i="6"/>
  <c r="R473" i="8"/>
  <c r="A486" i="7" s="1"/>
  <c r="S473" i="8"/>
  <c r="B502" i="6"/>
  <c r="L473" i="9"/>
  <c r="L473" i="8" s="1"/>
  <c r="O473" i="9"/>
  <c r="O473" i="8" s="1"/>
  <c r="A473" i="8"/>
  <c r="N473" i="9"/>
  <c r="N473" i="8" s="1"/>
  <c r="K473" i="9"/>
  <c r="K473" i="8" s="1"/>
  <c r="M473" i="9"/>
  <c r="M473" i="8" s="1"/>
  <c r="H502" i="6" s="1"/>
  <c r="P473" i="9"/>
  <c r="P473" i="8" s="1"/>
  <c r="Z472" i="8"/>
  <c r="F501" i="6"/>
  <c r="T472" i="8"/>
  <c r="D501" i="6" s="1"/>
  <c r="U472" i="8"/>
  <c r="Y472" i="8"/>
  <c r="C501" i="6"/>
  <c r="R472" i="8"/>
  <c r="A485" i="7" s="1"/>
  <c r="S472" i="8"/>
  <c r="B501" i="6"/>
  <c r="P472" i="9"/>
  <c r="P472" i="8" s="1"/>
  <c r="N472" i="9"/>
  <c r="N472" i="8" s="1"/>
  <c r="L472" i="9"/>
  <c r="L472" i="8" s="1"/>
  <c r="M472" i="9"/>
  <c r="M472" i="8" s="1"/>
  <c r="H501" i="6" s="1"/>
  <c r="O472" i="9"/>
  <c r="O472" i="8" s="1"/>
  <c r="K472" i="9"/>
  <c r="K472" i="8" s="1"/>
  <c r="A472" i="8"/>
  <c r="Z471" i="8"/>
  <c r="F500" i="6"/>
  <c r="T471" i="8"/>
  <c r="D500" i="6" s="1"/>
  <c r="U471" i="8"/>
  <c r="Y471" i="8"/>
  <c r="C500" i="6"/>
  <c r="R471" i="8"/>
  <c r="A484" i="7" s="1"/>
  <c r="S471" i="8"/>
  <c r="B500" i="6"/>
  <c r="A471" i="8"/>
  <c r="L471" i="9"/>
  <c r="L471" i="8" s="1"/>
  <c r="N471" i="9"/>
  <c r="N471" i="8" s="1"/>
  <c r="P471" i="9"/>
  <c r="P471" i="8" s="1"/>
  <c r="M471" i="9"/>
  <c r="M471" i="8" s="1"/>
  <c r="H500" i="6" s="1"/>
  <c r="K471" i="9"/>
  <c r="K471" i="8" s="1"/>
  <c r="O471" i="9"/>
  <c r="O471" i="8" s="1"/>
  <c r="Z470" i="8"/>
  <c r="F499" i="6"/>
  <c r="T470" i="8"/>
  <c r="D499" i="6" s="1"/>
  <c r="U470" i="8"/>
  <c r="Y470" i="8"/>
  <c r="C499" i="6"/>
  <c r="R470" i="8"/>
  <c r="A483" i="7" s="1"/>
  <c r="S470" i="8"/>
  <c r="B499" i="6"/>
  <c r="N470" i="9"/>
  <c r="N470" i="8" s="1"/>
  <c r="A470" i="8"/>
  <c r="L470" i="9"/>
  <c r="L470" i="8" s="1"/>
  <c r="P470" i="9"/>
  <c r="P470" i="8" s="1"/>
  <c r="O470" i="9"/>
  <c r="O470" i="8" s="1"/>
  <c r="K470" i="9"/>
  <c r="K470" i="8" s="1"/>
  <c r="M470" i="9"/>
  <c r="M470" i="8" s="1"/>
  <c r="H499" i="6" s="1"/>
  <c r="Z469" i="8"/>
  <c r="F498" i="6"/>
  <c r="T469" i="8"/>
  <c r="D498" i="6" s="1"/>
  <c r="U469" i="8"/>
  <c r="Y469" i="8"/>
  <c r="C498" i="6"/>
  <c r="R469" i="8"/>
  <c r="A482" i="7" s="1"/>
  <c r="S469" i="8"/>
  <c r="B498" i="6"/>
  <c r="L469" i="9"/>
  <c r="L469" i="8" s="1"/>
  <c r="A469" i="8"/>
  <c r="P469" i="9"/>
  <c r="P469" i="8" s="1"/>
  <c r="K469" i="9"/>
  <c r="K469" i="8" s="1"/>
  <c r="M469" i="9"/>
  <c r="M469" i="8" s="1"/>
  <c r="H498" i="6" s="1"/>
  <c r="O469" i="9"/>
  <c r="O469" i="8" s="1"/>
  <c r="N469" i="9"/>
  <c r="N469" i="8" s="1"/>
  <c r="Z468" i="8"/>
  <c r="F497" i="6"/>
  <c r="T468" i="8"/>
  <c r="D497" i="6" s="1"/>
  <c r="U468" i="8"/>
  <c r="Y468" i="8"/>
  <c r="C497" i="6"/>
  <c r="R468" i="8"/>
  <c r="A481" i="7" s="1"/>
  <c r="S468" i="8"/>
  <c r="B497" i="6"/>
  <c r="P468" i="9"/>
  <c r="P468" i="8" s="1"/>
  <c r="N468" i="9"/>
  <c r="N468" i="8" s="1"/>
  <c r="A468" i="8"/>
  <c r="L468" i="9"/>
  <c r="L468" i="8" s="1"/>
  <c r="M468" i="9"/>
  <c r="M468" i="8" s="1"/>
  <c r="H497" i="6" s="1"/>
  <c r="K468" i="9"/>
  <c r="K468" i="8" s="1"/>
  <c r="O468" i="9"/>
  <c r="O468" i="8" s="1"/>
  <c r="Z467" i="8"/>
  <c r="F496" i="6"/>
  <c r="T467" i="8"/>
  <c r="D496" i="6" s="1"/>
  <c r="U467" i="8"/>
  <c r="Y467" i="8"/>
  <c r="C496" i="6"/>
  <c r="R467" i="8"/>
  <c r="A480" i="7" s="1"/>
  <c r="S467" i="8"/>
  <c r="B496" i="6"/>
  <c r="L467" i="9"/>
  <c r="L467" i="8" s="1"/>
  <c r="N467" i="9"/>
  <c r="N467" i="8" s="1"/>
  <c r="M467" i="9"/>
  <c r="M467" i="8" s="1"/>
  <c r="H496" i="6" s="1"/>
  <c r="P467" i="9"/>
  <c r="P467" i="8" s="1"/>
  <c r="K467" i="9"/>
  <c r="K467" i="8" s="1"/>
  <c r="O467" i="9"/>
  <c r="O467" i="8" s="1"/>
  <c r="A467" i="8"/>
  <c r="Z466" i="8"/>
  <c r="F495" i="6"/>
  <c r="T466" i="8"/>
  <c r="D495" i="6" s="1"/>
  <c r="U466" i="8"/>
  <c r="Y466" i="8"/>
  <c r="C495" i="6"/>
  <c r="R466" i="8"/>
  <c r="A479" i="7" s="1"/>
  <c r="S466" i="8"/>
  <c r="B495" i="6"/>
  <c r="M466" i="9"/>
  <c r="M466" i="8" s="1"/>
  <c r="H495" i="6" s="1"/>
  <c r="K466" i="9"/>
  <c r="K466" i="8" s="1"/>
  <c r="O466" i="9"/>
  <c r="O466" i="8" s="1"/>
  <c r="L466" i="9"/>
  <c r="L466" i="8" s="1"/>
  <c r="P466" i="9"/>
  <c r="P466" i="8" s="1"/>
  <c r="N466" i="9"/>
  <c r="N466" i="8" s="1"/>
  <c r="A466" i="8"/>
  <c r="Z465" i="8"/>
  <c r="F494" i="6"/>
  <c r="T465" i="8"/>
  <c r="D494" i="6" s="1"/>
  <c r="U465" i="8"/>
  <c r="Y465" i="8"/>
  <c r="C494" i="6"/>
  <c r="R465" i="8"/>
  <c r="A478" i="7" s="1"/>
  <c r="S465" i="8"/>
  <c r="B494" i="6"/>
  <c r="M465" i="9"/>
  <c r="M465" i="8" s="1"/>
  <c r="H494" i="6" s="1"/>
  <c r="A465" i="8"/>
  <c r="K465" i="9"/>
  <c r="K465" i="8" s="1"/>
  <c r="N465" i="9"/>
  <c r="N465" i="8" s="1"/>
  <c r="L465" i="9"/>
  <c r="L465" i="8" s="1"/>
  <c r="O465" i="9"/>
  <c r="O465" i="8" s="1"/>
  <c r="P465" i="9"/>
  <c r="P465" i="8" s="1"/>
  <c r="Z464" i="8"/>
  <c r="F493" i="6"/>
  <c r="T464" i="8"/>
  <c r="D493" i="6" s="1"/>
  <c r="U464" i="8"/>
  <c r="Y464" i="8"/>
  <c r="C493" i="6"/>
  <c r="R464" i="8"/>
  <c r="A477" i="7" s="1"/>
  <c r="S464" i="8"/>
  <c r="B493" i="6"/>
  <c r="A464" i="8"/>
  <c r="O464" i="9"/>
  <c r="O464" i="8" s="1"/>
  <c r="M464" i="9"/>
  <c r="M464" i="8" s="1"/>
  <c r="H493" i="6" s="1"/>
  <c r="K464" i="9"/>
  <c r="K464" i="8" s="1"/>
  <c r="P464" i="9"/>
  <c r="P464" i="8" s="1"/>
  <c r="L464" i="9"/>
  <c r="L464" i="8" s="1"/>
  <c r="N464" i="9"/>
  <c r="N464" i="8" s="1"/>
  <c r="Z463" i="8"/>
  <c r="F492" i="6"/>
  <c r="T463" i="8"/>
  <c r="D492" i="6" s="1"/>
  <c r="U463" i="8"/>
  <c r="Y463" i="8"/>
  <c r="C492" i="6"/>
  <c r="R463" i="8"/>
  <c r="A476" i="7" s="1"/>
  <c r="S463" i="8"/>
  <c r="B492" i="6"/>
  <c r="K463" i="9"/>
  <c r="K463" i="8" s="1"/>
  <c r="M463" i="9"/>
  <c r="M463" i="8" s="1"/>
  <c r="H492" i="6" s="1"/>
  <c r="O463" i="9"/>
  <c r="O463" i="8" s="1"/>
  <c r="L463" i="9"/>
  <c r="L463" i="8" s="1"/>
  <c r="N463" i="9"/>
  <c r="N463" i="8" s="1"/>
  <c r="P463" i="9"/>
  <c r="P463" i="8" s="1"/>
  <c r="A463" i="8"/>
  <c r="Z462" i="8"/>
  <c r="F491" i="6"/>
  <c r="T462" i="8"/>
  <c r="D491" i="6" s="1"/>
  <c r="U462" i="8"/>
  <c r="Y462" i="8"/>
  <c r="C491" i="6"/>
  <c r="R462" i="8"/>
  <c r="A475" i="7" s="1"/>
  <c r="S462" i="8"/>
  <c r="B491" i="6"/>
  <c r="P462" i="9"/>
  <c r="P462" i="8" s="1"/>
  <c r="L462" i="9"/>
  <c r="L462" i="8" s="1"/>
  <c r="A462" i="8"/>
  <c r="N462" i="9"/>
  <c r="N462" i="8" s="1"/>
  <c r="O462" i="9"/>
  <c r="O462" i="8" s="1"/>
  <c r="M462" i="9"/>
  <c r="M462" i="8" s="1"/>
  <c r="H491" i="6" s="1"/>
  <c r="K462" i="9"/>
  <c r="K462" i="8" s="1"/>
  <c r="Z461" i="8"/>
  <c r="F490" i="6"/>
  <c r="T461" i="8"/>
  <c r="D490" i="6" s="1"/>
  <c r="U461" i="8"/>
  <c r="Y461" i="8"/>
  <c r="C490" i="6"/>
  <c r="R461" i="8"/>
  <c r="A474" i="7" s="1"/>
  <c r="S461" i="8"/>
  <c r="B490" i="6"/>
  <c r="A461" i="8"/>
  <c r="L461" i="9"/>
  <c r="L461" i="8" s="1"/>
  <c r="K461" i="9"/>
  <c r="K461" i="8" s="1"/>
  <c r="N461" i="9"/>
  <c r="N461" i="8" s="1"/>
  <c r="M461" i="9"/>
  <c r="M461" i="8" s="1"/>
  <c r="H490" i="6" s="1"/>
  <c r="P461" i="9"/>
  <c r="P461" i="8" s="1"/>
  <c r="O461" i="9"/>
  <c r="O461" i="8" s="1"/>
  <c r="Z460" i="8"/>
  <c r="F489" i="6"/>
  <c r="T460" i="8"/>
  <c r="D489" i="6" s="1"/>
  <c r="U460" i="8"/>
  <c r="Y460" i="8"/>
  <c r="C489" i="6"/>
  <c r="R460" i="8"/>
  <c r="A473" i="7" s="1"/>
  <c r="S460" i="8"/>
  <c r="B489" i="6"/>
  <c r="K460" i="9"/>
  <c r="K460" i="8" s="1"/>
  <c r="A460" i="8"/>
  <c r="M460" i="9"/>
  <c r="M460" i="8" s="1"/>
  <c r="H489" i="6" s="1"/>
  <c r="N460" i="9"/>
  <c r="N460" i="8" s="1"/>
  <c r="L460" i="9"/>
  <c r="L460" i="8" s="1"/>
  <c r="P460" i="9"/>
  <c r="P460" i="8" s="1"/>
  <c r="O460" i="9"/>
  <c r="O460" i="8" s="1"/>
  <c r="Z459" i="8"/>
  <c r="F488" i="6"/>
  <c r="T459" i="8"/>
  <c r="D488" i="6" s="1"/>
  <c r="U459" i="8"/>
  <c r="Y459" i="8"/>
  <c r="C488" i="6"/>
  <c r="R459" i="8"/>
  <c r="A472" i="7" s="1"/>
  <c r="S459" i="8"/>
  <c r="B488" i="6"/>
  <c r="A459" i="8"/>
  <c r="P459" i="9"/>
  <c r="P459" i="8" s="1"/>
  <c r="O459" i="9"/>
  <c r="O459" i="8" s="1"/>
  <c r="N459" i="9"/>
  <c r="N459" i="8" s="1"/>
  <c r="K459" i="9"/>
  <c r="K459" i="8" s="1"/>
  <c r="M459" i="9"/>
  <c r="M459" i="8" s="1"/>
  <c r="H488" i="6" s="1"/>
  <c r="L459" i="9"/>
  <c r="L459" i="8" s="1"/>
  <c r="Z458" i="8"/>
  <c r="F487" i="6"/>
  <c r="T458" i="8"/>
  <c r="D487" i="6" s="1"/>
  <c r="U458" i="8"/>
  <c r="Y458" i="8"/>
  <c r="C487" i="6"/>
  <c r="R458" i="8"/>
  <c r="A471" i="7" s="1"/>
  <c r="S458" i="8"/>
  <c r="B487" i="6"/>
  <c r="K458" i="9"/>
  <c r="K458" i="8" s="1"/>
  <c r="M458" i="9"/>
  <c r="M458" i="8" s="1"/>
  <c r="H487" i="6" s="1"/>
  <c r="N458" i="9"/>
  <c r="N458" i="8" s="1"/>
  <c r="P458" i="9"/>
  <c r="P458" i="8" s="1"/>
  <c r="O458" i="9"/>
  <c r="O458" i="8" s="1"/>
  <c r="A458" i="8"/>
  <c r="L458" i="9"/>
  <c r="L458" i="8" s="1"/>
  <c r="Z457" i="8"/>
  <c r="F486" i="6"/>
  <c r="T457" i="8"/>
  <c r="D486" i="6" s="1"/>
  <c r="U457" i="8"/>
  <c r="Y457" i="8"/>
  <c r="C486" i="6"/>
  <c r="R457" i="8"/>
  <c r="A470" i="7" s="1"/>
  <c r="S457" i="8"/>
  <c r="B486" i="6"/>
  <c r="A457" i="8"/>
  <c r="L457" i="9"/>
  <c r="L457" i="8" s="1"/>
  <c r="N457" i="9"/>
  <c r="N457" i="8" s="1"/>
  <c r="O457" i="9"/>
  <c r="O457" i="8" s="1"/>
  <c r="P457" i="9"/>
  <c r="P457" i="8" s="1"/>
  <c r="M457" i="9"/>
  <c r="M457" i="8" s="1"/>
  <c r="H486" i="6" s="1"/>
  <c r="K457" i="9"/>
  <c r="K457" i="8" s="1"/>
  <c r="Z456" i="8"/>
  <c r="F485" i="6"/>
  <c r="T456" i="8"/>
  <c r="D485" i="6" s="1"/>
  <c r="U456" i="8"/>
  <c r="Y456" i="8"/>
  <c r="C485" i="6"/>
  <c r="R456" i="8"/>
  <c r="A469" i="7" s="1"/>
  <c r="S456" i="8"/>
  <c r="B485" i="6"/>
  <c r="N456" i="9"/>
  <c r="N456" i="8" s="1"/>
  <c r="L456" i="9"/>
  <c r="L456" i="8" s="1"/>
  <c r="O456" i="9"/>
  <c r="O456" i="8" s="1"/>
  <c r="P456" i="9"/>
  <c r="P456" i="8" s="1"/>
  <c r="M456" i="9"/>
  <c r="M456" i="8" s="1"/>
  <c r="H485" i="6" s="1"/>
  <c r="A456" i="8"/>
  <c r="K456" i="9"/>
  <c r="K456" i="8" s="1"/>
  <c r="Z455" i="8"/>
  <c r="F484" i="6"/>
  <c r="T455" i="8"/>
  <c r="D484" i="6" s="1"/>
  <c r="U455" i="8"/>
  <c r="Y455" i="8"/>
  <c r="C484" i="6"/>
  <c r="R455" i="8"/>
  <c r="A468" i="7" s="1"/>
  <c r="S455" i="8"/>
  <c r="B484" i="6"/>
  <c r="A455" i="8"/>
  <c r="O455" i="9"/>
  <c r="O455" i="8" s="1"/>
  <c r="N455" i="9"/>
  <c r="N455" i="8" s="1"/>
  <c r="K455" i="9"/>
  <c r="K455" i="8" s="1"/>
  <c r="M455" i="9"/>
  <c r="M455" i="8" s="1"/>
  <c r="H484" i="6" s="1"/>
  <c r="P455" i="9"/>
  <c r="P455" i="8" s="1"/>
  <c r="L455" i="9"/>
  <c r="L455" i="8" s="1"/>
  <c r="Z454" i="8"/>
  <c r="F483" i="6"/>
  <c r="T454" i="8"/>
  <c r="D483" i="6" s="1"/>
  <c r="U454" i="8"/>
  <c r="Y454" i="8"/>
  <c r="C483" i="6"/>
  <c r="R454" i="8"/>
  <c r="A467" i="7" s="1"/>
  <c r="S454" i="8"/>
  <c r="B483" i="6"/>
  <c r="K454" i="9"/>
  <c r="K454" i="8" s="1"/>
  <c r="P454" i="9"/>
  <c r="P454" i="8" s="1"/>
  <c r="N454" i="9"/>
  <c r="N454" i="8" s="1"/>
  <c r="O454" i="9"/>
  <c r="O454" i="8" s="1"/>
  <c r="M454" i="9"/>
  <c r="M454" i="8" s="1"/>
  <c r="H483" i="6" s="1"/>
  <c r="L454" i="9"/>
  <c r="L454" i="8" s="1"/>
  <c r="A454" i="8"/>
  <c r="Z453" i="8"/>
  <c r="F482" i="6"/>
  <c r="T453" i="8"/>
  <c r="D482" i="6" s="1"/>
  <c r="U453" i="8"/>
  <c r="Y453" i="8"/>
  <c r="C482" i="6"/>
  <c r="R453" i="8"/>
  <c r="A466" i="7" s="1"/>
  <c r="S453" i="8"/>
  <c r="B482" i="6"/>
  <c r="P453" i="9"/>
  <c r="P453" i="8" s="1"/>
  <c r="A453" i="8"/>
  <c r="M453" i="9"/>
  <c r="M453" i="8" s="1"/>
  <c r="H482" i="6" s="1"/>
  <c r="K453" i="9"/>
  <c r="K453" i="8" s="1"/>
  <c r="O453" i="9"/>
  <c r="O453" i="8" s="1"/>
  <c r="L453" i="9"/>
  <c r="L453" i="8" s="1"/>
  <c r="N453" i="9"/>
  <c r="N453" i="8" s="1"/>
  <c r="Z452" i="8"/>
  <c r="F481" i="6"/>
  <c r="T452" i="8"/>
  <c r="D481" i="6" s="1"/>
  <c r="U452" i="8"/>
  <c r="Y452" i="8"/>
  <c r="C481" i="6"/>
  <c r="R452" i="8"/>
  <c r="A465" i="7" s="1"/>
  <c r="S452" i="8"/>
  <c r="B481" i="6"/>
  <c r="N452" i="9"/>
  <c r="N452" i="8" s="1"/>
  <c r="M452" i="9"/>
  <c r="M452" i="8" s="1"/>
  <c r="H481" i="6" s="1"/>
  <c r="K452" i="9"/>
  <c r="K452" i="8" s="1"/>
  <c r="O452" i="9"/>
  <c r="O452" i="8" s="1"/>
  <c r="L452" i="9"/>
  <c r="L452" i="8" s="1"/>
  <c r="A452" i="8"/>
  <c r="P452" i="9"/>
  <c r="P452" i="8" s="1"/>
  <c r="Z451" i="8"/>
  <c r="F480" i="6"/>
  <c r="T451" i="8"/>
  <c r="D480" i="6" s="1"/>
  <c r="U451" i="8"/>
  <c r="Y451" i="8"/>
  <c r="C480" i="6"/>
  <c r="R451" i="8"/>
  <c r="A464" i="7" s="1"/>
  <c r="S451" i="8"/>
  <c r="B480" i="6"/>
  <c r="M451" i="9"/>
  <c r="M451" i="8" s="1"/>
  <c r="H480" i="6" s="1"/>
  <c r="N451" i="9"/>
  <c r="N451" i="8" s="1"/>
  <c r="P451" i="9"/>
  <c r="P451" i="8" s="1"/>
  <c r="L451" i="9"/>
  <c r="L451" i="8" s="1"/>
  <c r="K451" i="9"/>
  <c r="K451" i="8" s="1"/>
  <c r="O451" i="9"/>
  <c r="O451" i="8" s="1"/>
  <c r="A451" i="8"/>
  <c r="Z450" i="8"/>
  <c r="F479" i="6"/>
  <c r="T450" i="8"/>
  <c r="D479" i="6" s="1"/>
  <c r="U450" i="8"/>
  <c r="Y450" i="8"/>
  <c r="C479" i="6"/>
  <c r="R450" i="8"/>
  <c r="A463" i="7" s="1"/>
  <c r="S450" i="8"/>
  <c r="B479" i="6"/>
  <c r="P450" i="9"/>
  <c r="P450" i="8" s="1"/>
  <c r="M450" i="9"/>
  <c r="M450" i="8" s="1"/>
  <c r="H479" i="6" s="1"/>
  <c r="O450" i="9"/>
  <c r="O450" i="8" s="1"/>
  <c r="K450" i="9"/>
  <c r="K450" i="8" s="1"/>
  <c r="N450" i="9"/>
  <c r="N450" i="8" s="1"/>
  <c r="L450" i="9"/>
  <c r="L450" i="8" s="1"/>
  <c r="A450" i="8"/>
  <c r="Z449" i="8"/>
  <c r="F478" i="6"/>
  <c r="T449" i="8"/>
  <c r="D478" i="6" s="1"/>
  <c r="U449" i="8"/>
  <c r="Y449" i="8"/>
  <c r="C478" i="6"/>
  <c r="R449" i="8"/>
  <c r="A462" i="7" s="1"/>
  <c r="S449" i="8"/>
  <c r="B478" i="6"/>
  <c r="M449" i="9"/>
  <c r="M449" i="8" s="1"/>
  <c r="H478" i="6" s="1"/>
  <c r="L449" i="9"/>
  <c r="L449" i="8" s="1"/>
  <c r="O449" i="9"/>
  <c r="O449" i="8" s="1"/>
  <c r="P449" i="9"/>
  <c r="P449" i="8" s="1"/>
  <c r="A449" i="8"/>
  <c r="K449" i="9"/>
  <c r="K449" i="8" s="1"/>
  <c r="N449" i="9"/>
  <c r="N449" i="8" s="1"/>
  <c r="Z448" i="8"/>
  <c r="F477" i="6"/>
  <c r="T448" i="8"/>
  <c r="D477" i="6" s="1"/>
  <c r="U448" i="8"/>
  <c r="Y448" i="8"/>
  <c r="C477" i="6"/>
  <c r="R448" i="8"/>
  <c r="A461" i="7" s="1"/>
  <c r="S448" i="8"/>
  <c r="B477" i="6"/>
  <c r="N448" i="9"/>
  <c r="N448" i="8" s="1"/>
  <c r="K448" i="9"/>
  <c r="K448" i="8" s="1"/>
  <c r="P448" i="9"/>
  <c r="P448" i="8" s="1"/>
  <c r="M448" i="9"/>
  <c r="M448" i="8" s="1"/>
  <c r="H477" i="6" s="1"/>
  <c r="L448" i="9"/>
  <c r="L448" i="8" s="1"/>
  <c r="A448" i="8"/>
  <c r="O448" i="9"/>
  <c r="O448" i="8" s="1"/>
  <c r="Z447" i="8"/>
  <c r="F476" i="6"/>
  <c r="T447" i="8"/>
  <c r="D476" i="6" s="1"/>
  <c r="U447" i="8"/>
  <c r="Y447" i="8"/>
  <c r="C476" i="6"/>
  <c r="R447" i="8"/>
  <c r="A460" i="7" s="1"/>
  <c r="S447" i="8"/>
  <c r="B476" i="6"/>
  <c r="P447" i="9"/>
  <c r="P447" i="8" s="1"/>
  <c r="M447" i="9"/>
  <c r="M447" i="8" s="1"/>
  <c r="H476" i="6" s="1"/>
  <c r="O447" i="9"/>
  <c r="O447" i="8" s="1"/>
  <c r="K447" i="9"/>
  <c r="K447" i="8" s="1"/>
  <c r="N447" i="9"/>
  <c r="N447" i="8" s="1"/>
  <c r="L447" i="9"/>
  <c r="L447" i="8" s="1"/>
  <c r="A447" i="8"/>
  <c r="Z446" i="8"/>
  <c r="F475" i="6"/>
  <c r="T446" i="8"/>
  <c r="D475" i="6" s="1"/>
  <c r="U446" i="8"/>
  <c r="Y446" i="8"/>
  <c r="C475" i="6"/>
  <c r="R446" i="8"/>
  <c r="A459" i="7" s="1"/>
  <c r="S446" i="8"/>
  <c r="B475" i="6"/>
  <c r="P446" i="9"/>
  <c r="P446" i="8" s="1"/>
  <c r="N446" i="9"/>
  <c r="N446" i="8" s="1"/>
  <c r="K446" i="9"/>
  <c r="K446" i="8" s="1"/>
  <c r="L446" i="9"/>
  <c r="L446" i="8" s="1"/>
  <c r="O446" i="9"/>
  <c r="O446" i="8" s="1"/>
  <c r="M446" i="9"/>
  <c r="M446" i="8" s="1"/>
  <c r="H475" i="6" s="1"/>
  <c r="A446" i="8"/>
  <c r="Z445" i="8"/>
  <c r="F474" i="6"/>
  <c r="T445" i="8"/>
  <c r="D474" i="6" s="1"/>
  <c r="U445" i="8"/>
  <c r="Y445" i="8"/>
  <c r="C474" i="6"/>
  <c r="R445" i="8"/>
  <c r="A458" i="7" s="1"/>
  <c r="S445" i="8"/>
  <c r="B474" i="6"/>
  <c r="O445" i="9"/>
  <c r="O445" i="8" s="1"/>
  <c r="K445" i="9"/>
  <c r="K445" i="8" s="1"/>
  <c r="M445" i="9"/>
  <c r="M445" i="8" s="1"/>
  <c r="H474" i="6" s="1"/>
  <c r="P445" i="9"/>
  <c r="P445" i="8" s="1"/>
  <c r="L445" i="9"/>
  <c r="L445" i="8" s="1"/>
  <c r="N445" i="9"/>
  <c r="N445" i="8" s="1"/>
  <c r="A445" i="8"/>
  <c r="Z444" i="8"/>
  <c r="F473" i="6"/>
  <c r="T444" i="8"/>
  <c r="D473" i="6" s="1"/>
  <c r="U444" i="8"/>
  <c r="Y444" i="8"/>
  <c r="C473" i="6"/>
  <c r="R444" i="8"/>
  <c r="A457" i="7" s="1"/>
  <c r="S444" i="8"/>
  <c r="B473" i="6"/>
  <c r="L444" i="9"/>
  <c r="L444" i="8" s="1"/>
  <c r="P444" i="9"/>
  <c r="P444" i="8" s="1"/>
  <c r="M444" i="9"/>
  <c r="M444" i="8" s="1"/>
  <c r="H473" i="6" s="1"/>
  <c r="K444" i="9"/>
  <c r="K444" i="8" s="1"/>
  <c r="A444" i="8"/>
  <c r="O444" i="9"/>
  <c r="O444" i="8" s="1"/>
  <c r="N444" i="9"/>
  <c r="N444" i="8" s="1"/>
  <c r="Z443" i="8"/>
  <c r="F472" i="6"/>
  <c r="T443" i="8"/>
  <c r="D472" i="6" s="1"/>
  <c r="U443" i="8"/>
  <c r="Y443" i="8"/>
  <c r="C472" i="6"/>
  <c r="R443" i="8"/>
  <c r="A456" i="7" s="1"/>
  <c r="S443" i="8"/>
  <c r="B472" i="6"/>
  <c r="A443" i="8"/>
  <c r="N443" i="9"/>
  <c r="N443" i="8" s="1"/>
  <c r="O443" i="9"/>
  <c r="O443" i="8" s="1"/>
  <c r="P443" i="9"/>
  <c r="P443" i="8" s="1"/>
  <c r="K443" i="9"/>
  <c r="K443" i="8" s="1"/>
  <c r="M443" i="9"/>
  <c r="M443" i="8" s="1"/>
  <c r="H472" i="6" s="1"/>
  <c r="L443" i="9"/>
  <c r="L443" i="8" s="1"/>
  <c r="Z442" i="8"/>
  <c r="F471" i="6"/>
  <c r="T442" i="8"/>
  <c r="D471" i="6" s="1"/>
  <c r="U442" i="8"/>
  <c r="Y442" i="8"/>
  <c r="C471" i="6"/>
  <c r="R442" i="8"/>
  <c r="A455" i="7" s="1"/>
  <c r="S442" i="8"/>
  <c r="B471" i="6"/>
  <c r="P442" i="9"/>
  <c r="P442" i="8" s="1"/>
  <c r="A442" i="8"/>
  <c r="L442" i="9"/>
  <c r="L442" i="8" s="1"/>
  <c r="O442" i="9"/>
  <c r="O442" i="8" s="1"/>
  <c r="K442" i="9"/>
  <c r="K442" i="8" s="1"/>
  <c r="N442" i="9"/>
  <c r="N442" i="8" s="1"/>
  <c r="M442" i="9"/>
  <c r="M442" i="8" s="1"/>
  <c r="H471" i="6" s="1"/>
  <c r="Z441" i="8"/>
  <c r="F470" i="6"/>
  <c r="T441" i="8"/>
  <c r="D470" i="6" s="1"/>
  <c r="U441" i="8"/>
  <c r="Y441" i="8"/>
  <c r="C470" i="6"/>
  <c r="R441" i="8"/>
  <c r="A454" i="7" s="1"/>
  <c r="S441" i="8"/>
  <c r="B470" i="6"/>
  <c r="A441" i="8"/>
  <c r="L441" i="9"/>
  <c r="L441" i="8" s="1"/>
  <c r="K441" i="9"/>
  <c r="K441" i="8" s="1"/>
  <c r="O441" i="9"/>
  <c r="O441" i="8" s="1"/>
  <c r="M441" i="9"/>
  <c r="M441" i="8" s="1"/>
  <c r="H470" i="6" s="1"/>
  <c r="N441" i="9"/>
  <c r="N441" i="8" s="1"/>
  <c r="P441" i="9"/>
  <c r="P441" i="8" s="1"/>
  <c r="Z440" i="8"/>
  <c r="F469" i="6"/>
  <c r="T440" i="8"/>
  <c r="D469" i="6" s="1"/>
  <c r="U440" i="8"/>
  <c r="Y440" i="8"/>
  <c r="C469" i="6"/>
  <c r="R440" i="8"/>
  <c r="A453" i="7" s="1"/>
  <c r="S440" i="8"/>
  <c r="B469" i="6"/>
  <c r="K440" i="9"/>
  <c r="K440" i="8" s="1"/>
  <c r="N440" i="9"/>
  <c r="N440" i="8" s="1"/>
  <c r="L440" i="9"/>
  <c r="L440" i="8" s="1"/>
  <c r="A440" i="8"/>
  <c r="P440" i="9"/>
  <c r="P440" i="8" s="1"/>
  <c r="O440" i="9"/>
  <c r="O440" i="8" s="1"/>
  <c r="M440" i="9"/>
  <c r="M440" i="8" s="1"/>
  <c r="H469" i="6" s="1"/>
  <c r="Z439" i="8"/>
  <c r="F468" i="6"/>
  <c r="T439" i="8"/>
  <c r="D468" i="6" s="1"/>
  <c r="U439" i="8"/>
  <c r="Y439" i="8"/>
  <c r="C468" i="6"/>
  <c r="R439" i="8"/>
  <c r="A452" i="7" s="1"/>
  <c r="S439" i="8"/>
  <c r="B468" i="6"/>
  <c r="L439" i="9"/>
  <c r="L439" i="8" s="1"/>
  <c r="M439" i="9"/>
  <c r="M439" i="8" s="1"/>
  <c r="H468" i="6" s="1"/>
  <c r="P439" i="9"/>
  <c r="P439" i="8" s="1"/>
  <c r="A439" i="8"/>
  <c r="O439" i="9"/>
  <c r="O439" i="8" s="1"/>
  <c r="K439" i="9"/>
  <c r="K439" i="8" s="1"/>
  <c r="N439" i="9"/>
  <c r="N439" i="8" s="1"/>
  <c r="Z438" i="8"/>
  <c r="F467" i="6"/>
  <c r="T438" i="8"/>
  <c r="D467" i="6" s="1"/>
  <c r="U438" i="8"/>
  <c r="Y438" i="8"/>
  <c r="C467" i="6"/>
  <c r="R438" i="8"/>
  <c r="A451" i="7" s="1"/>
  <c r="S438" i="8"/>
  <c r="B467" i="6"/>
  <c r="L438" i="9"/>
  <c r="L438" i="8" s="1"/>
  <c r="M438" i="9"/>
  <c r="M438" i="8" s="1"/>
  <c r="H467" i="6" s="1"/>
  <c r="K438" i="9"/>
  <c r="K438" i="8" s="1"/>
  <c r="N438" i="9"/>
  <c r="N438" i="8" s="1"/>
  <c r="O438" i="9"/>
  <c r="O438" i="8" s="1"/>
  <c r="A438" i="8"/>
  <c r="P438" i="9"/>
  <c r="P438" i="8" s="1"/>
  <c r="Z437" i="8"/>
  <c r="F466" i="6"/>
  <c r="T437" i="8"/>
  <c r="D466" i="6" s="1"/>
  <c r="U437" i="8"/>
  <c r="Y437" i="8"/>
  <c r="C466" i="6"/>
  <c r="R437" i="8"/>
  <c r="A450" i="7" s="1"/>
  <c r="S437" i="8"/>
  <c r="B466" i="6"/>
  <c r="A437" i="8"/>
  <c r="N437" i="9"/>
  <c r="N437" i="8" s="1"/>
  <c r="P437" i="9"/>
  <c r="P437" i="8" s="1"/>
  <c r="O437" i="9"/>
  <c r="O437" i="8" s="1"/>
  <c r="M437" i="9"/>
  <c r="M437" i="8" s="1"/>
  <c r="H466" i="6" s="1"/>
  <c r="K437" i="9"/>
  <c r="K437" i="8" s="1"/>
  <c r="L437" i="9"/>
  <c r="L437" i="8" s="1"/>
  <c r="Z436" i="8"/>
  <c r="F465" i="6"/>
  <c r="T436" i="8"/>
  <c r="D465" i="6" s="1"/>
  <c r="U436" i="8"/>
  <c r="Y436" i="8"/>
  <c r="C465" i="6"/>
  <c r="R436" i="8"/>
  <c r="A449" i="7" s="1"/>
  <c r="S436" i="8"/>
  <c r="B465" i="6"/>
  <c r="L436" i="9"/>
  <c r="L436" i="8" s="1"/>
  <c r="P436" i="9"/>
  <c r="P436" i="8" s="1"/>
  <c r="O436" i="9"/>
  <c r="O436" i="8" s="1"/>
  <c r="N436" i="9"/>
  <c r="N436" i="8" s="1"/>
  <c r="M436" i="9"/>
  <c r="M436" i="8" s="1"/>
  <c r="H465" i="6" s="1"/>
  <c r="K436" i="9"/>
  <c r="K436" i="8" s="1"/>
  <c r="A436" i="8"/>
  <c r="Z435" i="8"/>
  <c r="F464" i="6"/>
  <c r="T435" i="8"/>
  <c r="D464" i="6" s="1"/>
  <c r="U435" i="8"/>
  <c r="Y435" i="8"/>
  <c r="C464" i="6"/>
  <c r="R435" i="8"/>
  <c r="A448" i="7" s="1"/>
  <c r="S435" i="8"/>
  <c r="B464" i="6"/>
  <c r="P435" i="9"/>
  <c r="P435" i="8" s="1"/>
  <c r="L435" i="9"/>
  <c r="L435" i="8" s="1"/>
  <c r="N435" i="9"/>
  <c r="N435" i="8" s="1"/>
  <c r="K435" i="9"/>
  <c r="K435" i="8" s="1"/>
  <c r="O435" i="9"/>
  <c r="O435" i="8" s="1"/>
  <c r="M435" i="9"/>
  <c r="M435" i="8" s="1"/>
  <c r="H464" i="6" s="1"/>
  <c r="A435" i="8"/>
  <c r="Z434" i="8"/>
  <c r="F463" i="6"/>
  <c r="T434" i="8"/>
  <c r="D463" i="6" s="1"/>
  <c r="U434" i="8"/>
  <c r="Y434" i="8"/>
  <c r="C463" i="6"/>
  <c r="R434" i="8"/>
  <c r="A447" i="7" s="1"/>
  <c r="S434" i="8"/>
  <c r="B463" i="6"/>
  <c r="N434" i="9"/>
  <c r="N434" i="8" s="1"/>
  <c r="M434" i="9"/>
  <c r="M434" i="8" s="1"/>
  <c r="H463" i="6" s="1"/>
  <c r="K434" i="9"/>
  <c r="K434" i="8" s="1"/>
  <c r="P434" i="9"/>
  <c r="P434" i="8" s="1"/>
  <c r="L434" i="9"/>
  <c r="L434" i="8" s="1"/>
  <c r="A434" i="8"/>
  <c r="O434" i="9"/>
  <c r="O434" i="8" s="1"/>
  <c r="Z433" i="8"/>
  <c r="F462" i="6"/>
  <c r="T433" i="8"/>
  <c r="D462" i="6" s="1"/>
  <c r="U433" i="8"/>
  <c r="Y433" i="8"/>
  <c r="C462" i="6"/>
  <c r="R433" i="8"/>
  <c r="A446" i="7" s="1"/>
  <c r="S433" i="8"/>
  <c r="B462" i="6"/>
  <c r="O433" i="9"/>
  <c r="O433" i="8" s="1"/>
  <c r="M433" i="9"/>
  <c r="M433" i="8" s="1"/>
  <c r="H462" i="6" s="1"/>
  <c r="K433" i="9"/>
  <c r="K433" i="8" s="1"/>
  <c r="A433" i="8"/>
  <c r="L433" i="9"/>
  <c r="L433" i="8" s="1"/>
  <c r="N433" i="9"/>
  <c r="N433" i="8" s="1"/>
  <c r="P433" i="9"/>
  <c r="P433" i="8" s="1"/>
  <c r="Z432" i="8"/>
  <c r="F461" i="6"/>
  <c r="T432" i="8"/>
  <c r="D461" i="6" s="1"/>
  <c r="U432" i="8"/>
  <c r="Y432" i="8"/>
  <c r="C461" i="6"/>
  <c r="R432" i="8"/>
  <c r="A445" i="7" s="1"/>
  <c r="S432" i="8"/>
  <c r="B461" i="6"/>
  <c r="M432" i="9"/>
  <c r="M432" i="8" s="1"/>
  <c r="H461" i="6" s="1"/>
  <c r="N432" i="9"/>
  <c r="N432" i="8" s="1"/>
  <c r="A432" i="8"/>
  <c r="P432" i="9"/>
  <c r="P432" i="8" s="1"/>
  <c r="L432" i="9"/>
  <c r="L432" i="8" s="1"/>
  <c r="K432" i="9"/>
  <c r="K432" i="8" s="1"/>
  <c r="O432" i="9"/>
  <c r="O432" i="8" s="1"/>
  <c r="Z431" i="8"/>
  <c r="F460" i="6"/>
  <c r="T431" i="8"/>
  <c r="D460" i="6" s="1"/>
  <c r="U431" i="8"/>
  <c r="Y431" i="8"/>
  <c r="C460" i="6"/>
  <c r="R431" i="8"/>
  <c r="A444" i="7" s="1"/>
  <c r="S431" i="8"/>
  <c r="B460" i="6"/>
  <c r="N431" i="9"/>
  <c r="N431" i="8" s="1"/>
  <c r="O431" i="9"/>
  <c r="O431" i="8" s="1"/>
  <c r="M431" i="9"/>
  <c r="M431" i="8" s="1"/>
  <c r="H460" i="6" s="1"/>
  <c r="L431" i="9"/>
  <c r="L431" i="8" s="1"/>
  <c r="K431" i="9"/>
  <c r="K431" i="8" s="1"/>
  <c r="P431" i="9"/>
  <c r="P431" i="8" s="1"/>
  <c r="A431" i="8"/>
  <c r="Z430" i="8"/>
  <c r="F459" i="6"/>
  <c r="T430" i="8"/>
  <c r="D459" i="6" s="1"/>
  <c r="U430" i="8"/>
  <c r="Y430" i="8"/>
  <c r="C459" i="6"/>
  <c r="R430" i="8"/>
  <c r="A443" i="7" s="1"/>
  <c r="S430" i="8"/>
  <c r="B459" i="6"/>
  <c r="L430" i="9"/>
  <c r="L430" i="8" s="1"/>
  <c r="N430" i="9"/>
  <c r="N430" i="8" s="1"/>
  <c r="P430" i="9"/>
  <c r="P430" i="8" s="1"/>
  <c r="A430" i="8"/>
  <c r="O430" i="9"/>
  <c r="O430" i="8" s="1"/>
  <c r="K430" i="9"/>
  <c r="K430" i="8" s="1"/>
  <c r="M430" i="9"/>
  <c r="M430" i="8" s="1"/>
  <c r="H459" i="6" s="1"/>
  <c r="Z429" i="8"/>
  <c r="F458" i="6"/>
  <c r="T429" i="8"/>
  <c r="D458" i="6" s="1"/>
  <c r="U429" i="8"/>
  <c r="Y429" i="8"/>
  <c r="C458" i="6"/>
  <c r="R429" i="8"/>
  <c r="A442" i="7" s="1"/>
  <c r="S429" i="8"/>
  <c r="B458" i="6"/>
  <c r="P429" i="9"/>
  <c r="P429" i="8" s="1"/>
  <c r="N429" i="9"/>
  <c r="N429" i="8" s="1"/>
  <c r="A429" i="8"/>
  <c r="O429" i="9"/>
  <c r="O429" i="8" s="1"/>
  <c r="K429" i="9"/>
  <c r="K429" i="8" s="1"/>
  <c r="M429" i="9"/>
  <c r="M429" i="8" s="1"/>
  <c r="H458" i="6" s="1"/>
  <c r="L429" i="9"/>
  <c r="L429" i="8" s="1"/>
  <c r="Z428" i="8"/>
  <c r="F457" i="6"/>
  <c r="T428" i="8"/>
  <c r="D457" i="6" s="1"/>
  <c r="U428" i="8"/>
  <c r="Y428" i="8"/>
  <c r="C457" i="6"/>
  <c r="R428" i="8"/>
  <c r="A441" i="7" s="1"/>
  <c r="S428" i="8"/>
  <c r="B457" i="6"/>
  <c r="K428" i="9"/>
  <c r="K428" i="8" s="1"/>
  <c r="M428" i="9"/>
  <c r="M428" i="8" s="1"/>
  <c r="H457" i="6" s="1"/>
  <c r="A428" i="8"/>
  <c r="O428" i="9"/>
  <c r="O428" i="8" s="1"/>
  <c r="N428" i="9"/>
  <c r="N428" i="8" s="1"/>
  <c r="L428" i="9"/>
  <c r="L428" i="8" s="1"/>
  <c r="P428" i="9"/>
  <c r="P428" i="8" s="1"/>
  <c r="Z427" i="8"/>
  <c r="F456" i="6"/>
  <c r="T427" i="8"/>
  <c r="D456" i="6" s="1"/>
  <c r="U427" i="8"/>
  <c r="Y427" i="8"/>
  <c r="C456" i="6"/>
  <c r="R427" i="8"/>
  <c r="A440" i="7" s="1"/>
  <c r="S427" i="8"/>
  <c r="B456" i="6"/>
  <c r="P427" i="9"/>
  <c r="P427" i="8" s="1"/>
  <c r="O427" i="9"/>
  <c r="O427" i="8" s="1"/>
  <c r="L427" i="9"/>
  <c r="L427" i="8" s="1"/>
  <c r="A427" i="8"/>
  <c r="K427" i="9"/>
  <c r="K427" i="8" s="1"/>
  <c r="N427" i="9"/>
  <c r="N427" i="8" s="1"/>
  <c r="M427" i="9"/>
  <c r="M427" i="8" s="1"/>
  <c r="H456" i="6" s="1"/>
  <c r="Z426" i="8"/>
  <c r="F455" i="6"/>
  <c r="T426" i="8"/>
  <c r="D455" i="6" s="1"/>
  <c r="U426" i="8"/>
  <c r="Y426" i="8"/>
  <c r="C455" i="6"/>
  <c r="R426" i="8"/>
  <c r="A439" i="7" s="1"/>
  <c r="S426" i="8"/>
  <c r="B455" i="6"/>
  <c r="O426" i="9"/>
  <c r="O426" i="8" s="1"/>
  <c r="M426" i="9"/>
  <c r="M426" i="8" s="1"/>
  <c r="H455" i="6" s="1"/>
  <c r="K426" i="9"/>
  <c r="K426" i="8" s="1"/>
  <c r="A426" i="8"/>
  <c r="N426" i="9"/>
  <c r="N426" i="8" s="1"/>
  <c r="L426" i="9"/>
  <c r="L426" i="8" s="1"/>
  <c r="P426" i="9"/>
  <c r="P426" i="8" s="1"/>
  <c r="Z425" i="8"/>
  <c r="F454" i="6"/>
  <c r="T425" i="8"/>
  <c r="D454" i="6" s="1"/>
  <c r="U425" i="8"/>
  <c r="Y425" i="8"/>
  <c r="C454" i="6"/>
  <c r="R425" i="8"/>
  <c r="A438" i="7" s="1"/>
  <c r="S425" i="8"/>
  <c r="B454" i="6"/>
  <c r="L425" i="9"/>
  <c r="L425" i="8" s="1"/>
  <c r="N425" i="9"/>
  <c r="N425" i="8" s="1"/>
  <c r="P425" i="9"/>
  <c r="P425" i="8" s="1"/>
  <c r="K425" i="9"/>
  <c r="K425" i="8" s="1"/>
  <c r="M425" i="9"/>
  <c r="M425" i="8" s="1"/>
  <c r="H454" i="6" s="1"/>
  <c r="A425" i="8"/>
  <c r="O425" i="9"/>
  <c r="O425" i="8" s="1"/>
  <c r="Z424" i="8"/>
  <c r="F453" i="6"/>
  <c r="T424" i="8"/>
  <c r="D453" i="6" s="1"/>
  <c r="U424" i="8"/>
  <c r="Y424" i="8"/>
  <c r="C453" i="6"/>
  <c r="R424" i="8"/>
  <c r="A437" i="7" s="1"/>
  <c r="S424" i="8"/>
  <c r="B453" i="6"/>
  <c r="N424" i="9"/>
  <c r="N424" i="8" s="1"/>
  <c r="L424" i="9"/>
  <c r="L424" i="8" s="1"/>
  <c r="O424" i="9"/>
  <c r="O424" i="8" s="1"/>
  <c r="M424" i="9"/>
  <c r="M424" i="8" s="1"/>
  <c r="H453" i="6" s="1"/>
  <c r="K424" i="9"/>
  <c r="K424" i="8" s="1"/>
  <c r="P424" i="9"/>
  <c r="P424" i="8" s="1"/>
  <c r="A424" i="8"/>
  <c r="Z423" i="8"/>
  <c r="F452" i="6"/>
  <c r="T423" i="8"/>
  <c r="D452" i="6" s="1"/>
  <c r="U423" i="8"/>
  <c r="Y423" i="8"/>
  <c r="C452" i="6"/>
  <c r="R423" i="8"/>
  <c r="A436" i="7" s="1"/>
  <c r="S423" i="8"/>
  <c r="B452" i="6"/>
  <c r="L423" i="9"/>
  <c r="L423" i="8" s="1"/>
  <c r="A423" i="8"/>
  <c r="M423" i="9"/>
  <c r="M423" i="8" s="1"/>
  <c r="H452" i="6" s="1"/>
  <c r="N423" i="9"/>
  <c r="N423" i="8" s="1"/>
  <c r="K423" i="9"/>
  <c r="K423" i="8" s="1"/>
  <c r="O423" i="9"/>
  <c r="O423" i="8" s="1"/>
  <c r="P423" i="9"/>
  <c r="P423" i="8" s="1"/>
  <c r="Z422" i="8"/>
  <c r="F451" i="6"/>
  <c r="T422" i="8"/>
  <c r="D451" i="6" s="1"/>
  <c r="U422" i="8"/>
  <c r="Y422" i="8"/>
  <c r="C451" i="6"/>
  <c r="R422" i="8"/>
  <c r="A435" i="7" s="1"/>
  <c r="S422" i="8"/>
  <c r="B451" i="6"/>
  <c r="A422" i="8"/>
  <c r="N422" i="9"/>
  <c r="N422" i="8" s="1"/>
  <c r="P422" i="9"/>
  <c r="P422" i="8" s="1"/>
  <c r="L422" i="9"/>
  <c r="L422" i="8" s="1"/>
  <c r="O422" i="9"/>
  <c r="O422" i="8" s="1"/>
  <c r="M422" i="9"/>
  <c r="M422" i="8" s="1"/>
  <c r="H451" i="6" s="1"/>
  <c r="K422" i="9"/>
  <c r="K422" i="8" s="1"/>
  <c r="Z421" i="8"/>
  <c r="F450" i="6"/>
  <c r="T421" i="8"/>
  <c r="D450" i="6" s="1"/>
  <c r="U421" i="8"/>
  <c r="Y421" i="8"/>
  <c r="C450" i="6"/>
  <c r="R421" i="8"/>
  <c r="A434" i="7" s="1"/>
  <c r="S421" i="8"/>
  <c r="B450" i="6"/>
  <c r="A421" i="8"/>
  <c r="P421" i="9"/>
  <c r="P421" i="8" s="1"/>
  <c r="O421" i="9"/>
  <c r="O421" i="8" s="1"/>
  <c r="M421" i="9"/>
  <c r="M421" i="8" s="1"/>
  <c r="H450" i="6" s="1"/>
  <c r="L421" i="9"/>
  <c r="L421" i="8" s="1"/>
  <c r="N421" i="9"/>
  <c r="N421" i="8" s="1"/>
  <c r="K421" i="9"/>
  <c r="K421" i="8" s="1"/>
  <c r="Z420" i="8"/>
  <c r="F449" i="6"/>
  <c r="T420" i="8"/>
  <c r="D449" i="6" s="1"/>
  <c r="U420" i="8"/>
  <c r="Y420" i="8"/>
  <c r="C449" i="6"/>
  <c r="R420" i="8"/>
  <c r="A433" i="7" s="1"/>
  <c r="S420" i="8"/>
  <c r="B449" i="6"/>
  <c r="A420" i="8"/>
  <c r="K420" i="9"/>
  <c r="K420" i="8" s="1"/>
  <c r="M420" i="9"/>
  <c r="M420" i="8" s="1"/>
  <c r="H449" i="6" s="1"/>
  <c r="O420" i="9"/>
  <c r="O420" i="8" s="1"/>
  <c r="L420" i="9"/>
  <c r="L420" i="8" s="1"/>
  <c r="P420" i="9"/>
  <c r="P420" i="8" s="1"/>
  <c r="N420" i="9"/>
  <c r="N420" i="8" s="1"/>
  <c r="Z419" i="8"/>
  <c r="F448" i="6"/>
  <c r="T419" i="8"/>
  <c r="D448" i="6" s="1"/>
  <c r="U419" i="8"/>
  <c r="Y419" i="8"/>
  <c r="C448" i="6"/>
  <c r="R419" i="8"/>
  <c r="A432" i="7" s="1"/>
  <c r="S419" i="8"/>
  <c r="B448" i="6"/>
  <c r="P419" i="9"/>
  <c r="P419" i="8" s="1"/>
  <c r="N419" i="9"/>
  <c r="N419" i="8" s="1"/>
  <c r="M419" i="9"/>
  <c r="M419" i="8" s="1"/>
  <c r="H448" i="6" s="1"/>
  <c r="L419" i="9"/>
  <c r="L419" i="8" s="1"/>
  <c r="A419" i="8"/>
  <c r="O419" i="9"/>
  <c r="O419" i="8" s="1"/>
  <c r="K419" i="9"/>
  <c r="K419" i="8" s="1"/>
  <c r="Z418" i="8"/>
  <c r="F447" i="6"/>
  <c r="T418" i="8"/>
  <c r="D447" i="6" s="1"/>
  <c r="U418" i="8"/>
  <c r="Y418" i="8"/>
  <c r="C447" i="6"/>
  <c r="R418" i="8"/>
  <c r="A431" i="7" s="1"/>
  <c r="S418" i="8"/>
  <c r="B447" i="6"/>
  <c r="M418" i="9"/>
  <c r="M418" i="8" s="1"/>
  <c r="H447" i="6" s="1"/>
  <c r="O418" i="9"/>
  <c r="O418" i="8" s="1"/>
  <c r="K418" i="9"/>
  <c r="K418" i="8" s="1"/>
  <c r="N418" i="9"/>
  <c r="N418" i="8" s="1"/>
  <c r="L418" i="9"/>
  <c r="L418" i="8" s="1"/>
  <c r="A418" i="8"/>
  <c r="P418" i="9"/>
  <c r="P418" i="8" s="1"/>
  <c r="Z417" i="8"/>
  <c r="F446" i="6"/>
  <c r="T417" i="8"/>
  <c r="D446" i="6" s="1"/>
  <c r="U417" i="8"/>
  <c r="Y417" i="8"/>
  <c r="C446" i="6"/>
  <c r="R417" i="8"/>
  <c r="A430" i="7" s="1"/>
  <c r="S417" i="8"/>
  <c r="B446" i="6"/>
  <c r="M417" i="9"/>
  <c r="M417" i="8" s="1"/>
  <c r="H446" i="6" s="1"/>
  <c r="K417" i="9"/>
  <c r="K417" i="8" s="1"/>
  <c r="A417" i="8"/>
  <c r="O417" i="9"/>
  <c r="O417" i="8" s="1"/>
  <c r="N417" i="9"/>
  <c r="N417" i="8" s="1"/>
  <c r="L417" i="9"/>
  <c r="L417" i="8" s="1"/>
  <c r="P417" i="9"/>
  <c r="P417" i="8" s="1"/>
  <c r="Z416" i="8"/>
  <c r="F445" i="6"/>
  <c r="T416" i="8"/>
  <c r="D445" i="6" s="1"/>
  <c r="U416" i="8"/>
  <c r="Y416" i="8"/>
  <c r="C445" i="6"/>
  <c r="R416" i="8"/>
  <c r="A429" i="7" s="1"/>
  <c r="S416" i="8"/>
  <c r="B445" i="6"/>
  <c r="N416" i="9"/>
  <c r="N416" i="8" s="1"/>
  <c r="K416" i="9"/>
  <c r="K416" i="8" s="1"/>
  <c r="A416" i="8"/>
  <c r="M416" i="9"/>
  <c r="M416" i="8" s="1"/>
  <c r="H445" i="6" s="1"/>
  <c r="P416" i="9"/>
  <c r="P416" i="8" s="1"/>
  <c r="L416" i="9"/>
  <c r="L416" i="8" s="1"/>
  <c r="O416" i="9"/>
  <c r="O416" i="8" s="1"/>
  <c r="Z415" i="8"/>
  <c r="F444" i="6"/>
  <c r="T415" i="8"/>
  <c r="D444" i="6" s="1"/>
  <c r="U415" i="8"/>
  <c r="Y415" i="8"/>
  <c r="C444" i="6"/>
  <c r="R415" i="8"/>
  <c r="A428" i="7" s="1"/>
  <c r="S415" i="8"/>
  <c r="B444" i="6"/>
  <c r="O415" i="9"/>
  <c r="O415" i="8" s="1"/>
  <c r="K415" i="9"/>
  <c r="K415" i="8" s="1"/>
  <c r="P415" i="9"/>
  <c r="P415" i="8" s="1"/>
  <c r="A415" i="8"/>
  <c r="N415" i="9"/>
  <c r="N415" i="8" s="1"/>
  <c r="M415" i="9"/>
  <c r="M415" i="8" s="1"/>
  <c r="H444" i="6" s="1"/>
  <c r="L415" i="9"/>
  <c r="L415" i="8" s="1"/>
  <c r="Z414" i="8"/>
  <c r="F443" i="6"/>
  <c r="T414" i="8"/>
  <c r="D443" i="6" s="1"/>
  <c r="U414" i="8"/>
  <c r="Y414" i="8"/>
  <c r="C443" i="6"/>
  <c r="R414" i="8"/>
  <c r="A427" i="7" s="1"/>
  <c r="S414" i="8"/>
  <c r="B443" i="6"/>
  <c r="A414" i="8"/>
  <c r="L414" i="9"/>
  <c r="L414" i="8" s="1"/>
  <c r="P414" i="9"/>
  <c r="P414" i="8" s="1"/>
  <c r="N414" i="9"/>
  <c r="N414" i="8" s="1"/>
  <c r="K414" i="9"/>
  <c r="K414" i="8" s="1"/>
  <c r="M414" i="9"/>
  <c r="M414" i="8" s="1"/>
  <c r="H443" i="6" s="1"/>
  <c r="O414" i="9"/>
  <c r="O414" i="8" s="1"/>
  <c r="Z413" i="8"/>
  <c r="F442" i="6"/>
  <c r="T413" i="8"/>
  <c r="D442" i="6" s="1"/>
  <c r="U413" i="8"/>
  <c r="Y413" i="8"/>
  <c r="C442" i="6"/>
  <c r="R413" i="8"/>
  <c r="A426" i="7" s="1"/>
  <c r="S413" i="8"/>
  <c r="B442" i="6"/>
  <c r="L413" i="9"/>
  <c r="L413" i="8" s="1"/>
  <c r="A413" i="8"/>
  <c r="P413" i="9"/>
  <c r="P413" i="8" s="1"/>
  <c r="M413" i="9"/>
  <c r="M413" i="8" s="1"/>
  <c r="H442" i="6" s="1"/>
  <c r="N413" i="9"/>
  <c r="N413" i="8" s="1"/>
  <c r="K413" i="9"/>
  <c r="K413" i="8" s="1"/>
  <c r="O413" i="9"/>
  <c r="O413" i="8" s="1"/>
  <c r="Z412" i="8"/>
  <c r="F441" i="6"/>
  <c r="T412" i="8"/>
  <c r="D441" i="6" s="1"/>
  <c r="U412" i="8"/>
  <c r="Y412" i="8"/>
  <c r="C441" i="6"/>
  <c r="R412" i="8"/>
  <c r="A425" i="7" s="1"/>
  <c r="S412" i="8"/>
  <c r="B441" i="6"/>
  <c r="M412" i="9"/>
  <c r="M412" i="8" s="1"/>
  <c r="H441" i="6" s="1"/>
  <c r="K412" i="9"/>
  <c r="K412" i="8" s="1"/>
  <c r="A412" i="8"/>
  <c r="O412" i="9"/>
  <c r="O412" i="8" s="1"/>
  <c r="L412" i="9"/>
  <c r="L412" i="8" s="1"/>
  <c r="N412" i="9"/>
  <c r="N412" i="8" s="1"/>
  <c r="P412" i="9"/>
  <c r="P412" i="8" s="1"/>
  <c r="Z411" i="8"/>
  <c r="F440" i="6"/>
  <c r="T411" i="8"/>
  <c r="D440" i="6" s="1"/>
  <c r="U411" i="8"/>
  <c r="Y411" i="8"/>
  <c r="C440" i="6"/>
  <c r="R411" i="8"/>
  <c r="A424" i="7" s="1"/>
  <c r="S411" i="8"/>
  <c r="B440" i="6"/>
  <c r="K411" i="9"/>
  <c r="K411" i="8" s="1"/>
  <c r="A411" i="8"/>
  <c r="L411" i="9"/>
  <c r="L411" i="8" s="1"/>
  <c r="N411" i="9"/>
  <c r="N411" i="8" s="1"/>
  <c r="P411" i="9"/>
  <c r="P411" i="8" s="1"/>
  <c r="M411" i="9"/>
  <c r="M411" i="8" s="1"/>
  <c r="H440" i="6" s="1"/>
  <c r="O411" i="9"/>
  <c r="O411" i="8" s="1"/>
  <c r="Z410" i="8"/>
  <c r="F439" i="6"/>
  <c r="T410" i="8"/>
  <c r="D439" i="6" s="1"/>
  <c r="U410" i="8"/>
  <c r="Y410" i="8"/>
  <c r="C439" i="6"/>
  <c r="R410" i="8"/>
  <c r="A423" i="7" s="1"/>
  <c r="S410" i="8"/>
  <c r="B439" i="6"/>
  <c r="M410" i="9"/>
  <c r="M410" i="8" s="1"/>
  <c r="H439" i="6" s="1"/>
  <c r="L410" i="9"/>
  <c r="L410" i="8" s="1"/>
  <c r="A410" i="8"/>
  <c r="K410" i="9"/>
  <c r="K410" i="8" s="1"/>
  <c r="O410" i="9"/>
  <c r="O410" i="8" s="1"/>
  <c r="N410" i="9"/>
  <c r="N410" i="8" s="1"/>
  <c r="P410" i="9"/>
  <c r="P410" i="8" s="1"/>
  <c r="Z409" i="8"/>
  <c r="F438" i="6"/>
  <c r="T409" i="8"/>
  <c r="D438" i="6" s="1"/>
  <c r="U409" i="8"/>
  <c r="Y409" i="8"/>
  <c r="C438" i="6"/>
  <c r="R409" i="8"/>
  <c r="A422" i="7" s="1"/>
  <c r="S409" i="8"/>
  <c r="B438" i="6"/>
  <c r="L409" i="9"/>
  <c r="L409" i="8" s="1"/>
  <c r="O409" i="9"/>
  <c r="O409" i="8" s="1"/>
  <c r="P409" i="9"/>
  <c r="P409" i="8" s="1"/>
  <c r="N409" i="9"/>
  <c r="N409" i="8" s="1"/>
  <c r="A409" i="8"/>
  <c r="M409" i="9"/>
  <c r="M409" i="8" s="1"/>
  <c r="H438" i="6" s="1"/>
  <c r="K409" i="9"/>
  <c r="K409" i="8" s="1"/>
  <c r="Z408" i="8"/>
  <c r="F437" i="6"/>
  <c r="T408" i="8"/>
  <c r="D437" i="6" s="1"/>
  <c r="U408" i="8"/>
  <c r="Y408" i="8"/>
  <c r="C437" i="6"/>
  <c r="R408" i="8"/>
  <c r="A421" i="7" s="1"/>
  <c r="S408" i="8"/>
  <c r="B437" i="6"/>
  <c r="M408" i="9"/>
  <c r="M408" i="8" s="1"/>
  <c r="H437" i="6" s="1"/>
  <c r="K408" i="9"/>
  <c r="K408" i="8" s="1"/>
  <c r="P408" i="9"/>
  <c r="P408" i="8" s="1"/>
  <c r="L408" i="9"/>
  <c r="L408" i="8" s="1"/>
  <c r="N408" i="9"/>
  <c r="N408" i="8" s="1"/>
  <c r="A408" i="8"/>
  <c r="O408" i="9"/>
  <c r="O408" i="8" s="1"/>
  <c r="Z407" i="8"/>
  <c r="F436" i="6"/>
  <c r="T407" i="8"/>
  <c r="D436" i="6" s="1"/>
  <c r="U407" i="8"/>
  <c r="Y407" i="8"/>
  <c r="C436" i="6"/>
  <c r="R407" i="8"/>
  <c r="A420" i="7" s="1"/>
  <c r="S407" i="8"/>
  <c r="B436" i="6"/>
  <c r="M407" i="9"/>
  <c r="M407" i="8" s="1"/>
  <c r="H436" i="6" s="1"/>
  <c r="O407" i="9"/>
  <c r="O407" i="8" s="1"/>
  <c r="P407" i="9"/>
  <c r="P407" i="8" s="1"/>
  <c r="K407" i="9"/>
  <c r="K407" i="8" s="1"/>
  <c r="N407" i="9"/>
  <c r="N407" i="8" s="1"/>
  <c r="A407" i="8"/>
  <c r="L407" i="9"/>
  <c r="L407" i="8" s="1"/>
  <c r="Z406" i="8"/>
  <c r="F435" i="6"/>
  <c r="T406" i="8"/>
  <c r="D435" i="6" s="1"/>
  <c r="U406" i="8"/>
  <c r="Y406" i="8"/>
  <c r="C435" i="6"/>
  <c r="R406" i="8"/>
  <c r="A419" i="7" s="1"/>
  <c r="S406" i="8"/>
  <c r="B435" i="6"/>
  <c r="O406" i="9"/>
  <c r="O406" i="8" s="1"/>
  <c r="A406" i="8"/>
  <c r="L406" i="9"/>
  <c r="L406" i="8" s="1"/>
  <c r="N406" i="9"/>
  <c r="N406" i="8" s="1"/>
  <c r="K406" i="9"/>
  <c r="K406" i="8" s="1"/>
  <c r="M406" i="9"/>
  <c r="M406" i="8" s="1"/>
  <c r="H435" i="6" s="1"/>
  <c r="P406" i="9"/>
  <c r="P406" i="8" s="1"/>
  <c r="Z405" i="8"/>
  <c r="F434" i="6"/>
  <c r="T405" i="8"/>
  <c r="D434" i="6" s="1"/>
  <c r="U405" i="8"/>
  <c r="Y405" i="8"/>
  <c r="C434" i="6"/>
  <c r="R405" i="8"/>
  <c r="A418" i="7" s="1"/>
  <c r="S405" i="8"/>
  <c r="B434" i="6"/>
  <c r="N405" i="9"/>
  <c r="N405" i="8" s="1"/>
  <c r="O405" i="9"/>
  <c r="O405" i="8" s="1"/>
  <c r="K405" i="9"/>
  <c r="K405" i="8" s="1"/>
  <c r="M405" i="9"/>
  <c r="M405" i="8" s="1"/>
  <c r="H434" i="6" s="1"/>
  <c r="L405" i="9"/>
  <c r="L405" i="8" s="1"/>
  <c r="A405" i="8"/>
  <c r="P405" i="9"/>
  <c r="P405" i="8" s="1"/>
  <c r="Z404" i="8"/>
  <c r="F433" i="6"/>
  <c r="T404" i="8"/>
  <c r="D433" i="6" s="1"/>
  <c r="U404" i="8"/>
  <c r="Y404" i="8"/>
  <c r="C433" i="6"/>
  <c r="R404" i="8"/>
  <c r="A417" i="7" s="1"/>
  <c r="S404" i="8"/>
  <c r="B433" i="6"/>
  <c r="A404" i="8"/>
  <c r="K404" i="9"/>
  <c r="K404" i="8" s="1"/>
  <c r="L404" i="9"/>
  <c r="L404" i="8" s="1"/>
  <c r="P404" i="9"/>
  <c r="P404" i="8" s="1"/>
  <c r="M404" i="9"/>
  <c r="M404" i="8" s="1"/>
  <c r="H433" i="6" s="1"/>
  <c r="N404" i="9"/>
  <c r="N404" i="8" s="1"/>
  <c r="O404" i="9"/>
  <c r="O404" i="8" s="1"/>
  <c r="Z403" i="8"/>
  <c r="F432" i="6"/>
  <c r="T403" i="8"/>
  <c r="D432" i="6" s="1"/>
  <c r="U403" i="8"/>
  <c r="Y403" i="8"/>
  <c r="C432" i="6"/>
  <c r="R403" i="8"/>
  <c r="A416" i="7" s="1"/>
  <c r="S403" i="8"/>
  <c r="B432" i="6"/>
  <c r="P403" i="9"/>
  <c r="P403" i="8" s="1"/>
  <c r="N403" i="9"/>
  <c r="N403" i="8" s="1"/>
  <c r="L403" i="9"/>
  <c r="L403" i="8" s="1"/>
  <c r="O403" i="9"/>
  <c r="O403" i="8" s="1"/>
  <c r="A403" i="8"/>
  <c r="K403" i="9"/>
  <c r="K403" i="8" s="1"/>
  <c r="M403" i="9"/>
  <c r="M403" i="8" s="1"/>
  <c r="H432" i="6" s="1"/>
  <c r="Z402" i="8"/>
  <c r="F431" i="6"/>
  <c r="T402" i="8"/>
  <c r="D431" i="6" s="1"/>
  <c r="U402" i="8"/>
  <c r="Y402" i="8"/>
  <c r="C431" i="6"/>
  <c r="R402" i="8"/>
  <c r="A415" i="7" s="1"/>
  <c r="S402" i="8"/>
  <c r="B431" i="6"/>
  <c r="N402" i="9"/>
  <c r="N402" i="8" s="1"/>
  <c r="P402" i="9"/>
  <c r="P402" i="8" s="1"/>
  <c r="A402" i="8"/>
  <c r="O402" i="9"/>
  <c r="O402" i="8" s="1"/>
  <c r="K402" i="9"/>
  <c r="K402" i="8" s="1"/>
  <c r="L402" i="9"/>
  <c r="L402" i="8" s="1"/>
  <c r="M402" i="9"/>
  <c r="M402" i="8" s="1"/>
  <c r="H431" i="6" s="1"/>
  <c r="Z401" i="8"/>
  <c r="F430" i="6"/>
  <c r="T401" i="8"/>
  <c r="D430" i="6" s="1"/>
  <c r="U401" i="8"/>
  <c r="Y401" i="8"/>
  <c r="C430" i="6"/>
  <c r="R401" i="8"/>
  <c r="A414" i="7" s="1"/>
  <c r="S401" i="8"/>
  <c r="B430" i="6"/>
  <c r="P401" i="9"/>
  <c r="P401" i="8" s="1"/>
  <c r="N401" i="9"/>
  <c r="N401" i="8" s="1"/>
  <c r="L401" i="9"/>
  <c r="L401" i="8" s="1"/>
  <c r="O401" i="9"/>
  <c r="O401" i="8" s="1"/>
  <c r="M401" i="9"/>
  <c r="M401" i="8" s="1"/>
  <c r="H430" i="6" s="1"/>
  <c r="K401" i="9"/>
  <c r="K401" i="8" s="1"/>
  <c r="A401" i="8"/>
  <c r="Z400" i="8"/>
  <c r="F429" i="6"/>
  <c r="T400" i="8"/>
  <c r="D429" i="6" s="1"/>
  <c r="U400" i="8"/>
  <c r="Y400" i="8"/>
  <c r="C429" i="6"/>
  <c r="R400" i="8"/>
  <c r="A413" i="7" s="1"/>
  <c r="S400" i="8"/>
  <c r="B429" i="6"/>
  <c r="N400" i="9"/>
  <c r="N400" i="8" s="1"/>
  <c r="O400" i="9"/>
  <c r="O400" i="8" s="1"/>
  <c r="M400" i="9"/>
  <c r="M400" i="8" s="1"/>
  <c r="H429" i="6" s="1"/>
  <c r="A400" i="8"/>
  <c r="P400" i="9"/>
  <c r="P400" i="8" s="1"/>
  <c r="L400" i="9"/>
  <c r="L400" i="8" s="1"/>
  <c r="K400" i="9"/>
  <c r="K400" i="8" s="1"/>
  <c r="Z399" i="8"/>
  <c r="F428" i="6"/>
  <c r="T399" i="8"/>
  <c r="D428" i="6" s="1"/>
  <c r="U399" i="8"/>
  <c r="Y399" i="8"/>
  <c r="C428" i="6"/>
  <c r="R399" i="8"/>
  <c r="A412" i="7" s="1"/>
  <c r="S399" i="8"/>
  <c r="B428" i="6"/>
  <c r="N399" i="9"/>
  <c r="N399" i="8" s="1"/>
  <c r="P399" i="9"/>
  <c r="P399" i="8" s="1"/>
  <c r="A399" i="8"/>
  <c r="L399" i="9"/>
  <c r="L399" i="8" s="1"/>
  <c r="M399" i="9"/>
  <c r="M399" i="8" s="1"/>
  <c r="H428" i="6" s="1"/>
  <c r="K399" i="9"/>
  <c r="K399" i="8" s="1"/>
  <c r="O399" i="9"/>
  <c r="O399" i="8" s="1"/>
  <c r="Z398" i="8"/>
  <c r="F427" i="6"/>
  <c r="T398" i="8"/>
  <c r="D427" i="6" s="1"/>
  <c r="U398" i="8"/>
  <c r="Y398" i="8"/>
  <c r="C427" i="6"/>
  <c r="R398" i="8"/>
  <c r="A411" i="7" s="1"/>
  <c r="S398" i="8"/>
  <c r="B427" i="6"/>
  <c r="P398" i="9"/>
  <c r="P398" i="8" s="1"/>
  <c r="M398" i="9"/>
  <c r="M398" i="8" s="1"/>
  <c r="H427" i="6" s="1"/>
  <c r="L398" i="9"/>
  <c r="L398" i="8" s="1"/>
  <c r="O398" i="9"/>
  <c r="O398" i="8" s="1"/>
  <c r="K398" i="9"/>
  <c r="K398" i="8" s="1"/>
  <c r="N398" i="9"/>
  <c r="N398" i="8" s="1"/>
  <c r="A398" i="8"/>
  <c r="Z397" i="8"/>
  <c r="F426" i="6"/>
  <c r="T397" i="8"/>
  <c r="D426" i="6" s="1"/>
  <c r="U397" i="8"/>
  <c r="Y397" i="8"/>
  <c r="C426" i="6"/>
  <c r="R397" i="8"/>
  <c r="A410" i="7" s="1"/>
  <c r="S397" i="8"/>
  <c r="B426" i="6"/>
  <c r="P397" i="9"/>
  <c r="P397" i="8" s="1"/>
  <c r="A397" i="8"/>
  <c r="M397" i="9"/>
  <c r="M397" i="8" s="1"/>
  <c r="H426" i="6" s="1"/>
  <c r="K397" i="9"/>
  <c r="K397" i="8" s="1"/>
  <c r="O397" i="9"/>
  <c r="O397" i="8" s="1"/>
  <c r="L397" i="9"/>
  <c r="L397" i="8" s="1"/>
  <c r="N397" i="9"/>
  <c r="N397" i="8" s="1"/>
  <c r="Z396" i="8"/>
  <c r="F425" i="6"/>
  <c r="T396" i="8"/>
  <c r="D425" i="6" s="1"/>
  <c r="U396" i="8"/>
  <c r="Y396" i="8"/>
  <c r="C425" i="6"/>
  <c r="R396" i="8"/>
  <c r="A409" i="7" s="1"/>
  <c r="S396" i="8"/>
  <c r="B425" i="6"/>
  <c r="M396" i="9"/>
  <c r="M396" i="8" s="1"/>
  <c r="H425" i="6" s="1"/>
  <c r="N396" i="9"/>
  <c r="N396" i="8" s="1"/>
  <c r="L396" i="9"/>
  <c r="L396" i="8" s="1"/>
  <c r="O396" i="9"/>
  <c r="O396" i="8" s="1"/>
  <c r="K396" i="9"/>
  <c r="K396" i="8" s="1"/>
  <c r="A396" i="8"/>
  <c r="P396" i="9"/>
  <c r="P396" i="8" s="1"/>
  <c r="Z395" i="8"/>
  <c r="F424" i="6"/>
  <c r="T395" i="8"/>
  <c r="D424" i="6" s="1"/>
  <c r="U395" i="8"/>
  <c r="Y395" i="8"/>
  <c r="C424" i="6"/>
  <c r="R395" i="8"/>
  <c r="A408" i="7" s="1"/>
  <c r="S395" i="8"/>
  <c r="B424" i="6"/>
  <c r="L395" i="9"/>
  <c r="L395" i="8" s="1"/>
  <c r="K395" i="9"/>
  <c r="K395" i="8" s="1"/>
  <c r="N395" i="9"/>
  <c r="N395" i="8" s="1"/>
  <c r="P395" i="9"/>
  <c r="P395" i="8" s="1"/>
  <c r="O395" i="9"/>
  <c r="O395" i="8" s="1"/>
  <c r="M395" i="9"/>
  <c r="M395" i="8" s="1"/>
  <c r="H424" i="6" s="1"/>
  <c r="A395" i="8"/>
  <c r="Z394" i="8"/>
  <c r="F423" i="6"/>
  <c r="T394" i="8"/>
  <c r="D423" i="6" s="1"/>
  <c r="U394" i="8"/>
  <c r="Y394" i="8"/>
  <c r="C423" i="6"/>
  <c r="R394" i="8"/>
  <c r="A407" i="7" s="1"/>
  <c r="S394" i="8"/>
  <c r="B423" i="6"/>
  <c r="M394" i="9"/>
  <c r="M394" i="8" s="1"/>
  <c r="H423" i="6" s="1"/>
  <c r="A394" i="8"/>
  <c r="L394" i="9"/>
  <c r="L394" i="8" s="1"/>
  <c r="N394" i="9"/>
  <c r="N394" i="8" s="1"/>
  <c r="P394" i="9"/>
  <c r="P394" i="8" s="1"/>
  <c r="K394" i="9"/>
  <c r="K394" i="8" s="1"/>
  <c r="O394" i="9"/>
  <c r="O394" i="8" s="1"/>
  <c r="Z393" i="8"/>
  <c r="F422" i="6"/>
  <c r="T393" i="8"/>
  <c r="D422" i="6" s="1"/>
  <c r="U393" i="8"/>
  <c r="Y393" i="8"/>
  <c r="C422" i="6"/>
  <c r="R393" i="8"/>
  <c r="A406" i="7" s="1"/>
  <c r="S393" i="8"/>
  <c r="B422" i="6"/>
  <c r="K393" i="9"/>
  <c r="K393" i="8" s="1"/>
  <c r="N393" i="9"/>
  <c r="N393" i="8" s="1"/>
  <c r="L393" i="9"/>
  <c r="L393" i="8" s="1"/>
  <c r="A393" i="8"/>
  <c r="O393" i="9"/>
  <c r="O393" i="8" s="1"/>
  <c r="P393" i="9"/>
  <c r="P393" i="8" s="1"/>
  <c r="M393" i="9"/>
  <c r="M393" i="8" s="1"/>
  <c r="H422" i="6" s="1"/>
  <c r="Z392" i="8"/>
  <c r="F421" i="6"/>
  <c r="T392" i="8"/>
  <c r="D421" i="6" s="1"/>
  <c r="U392" i="8"/>
  <c r="Y392" i="8"/>
  <c r="C421" i="6"/>
  <c r="R392" i="8"/>
  <c r="A405" i="7" s="1"/>
  <c r="S392" i="8"/>
  <c r="B421" i="6"/>
  <c r="A392" i="8"/>
  <c r="K392" i="9"/>
  <c r="K392" i="8" s="1"/>
  <c r="O392" i="9"/>
  <c r="O392" i="8" s="1"/>
  <c r="P392" i="9"/>
  <c r="P392" i="8" s="1"/>
  <c r="N392" i="9"/>
  <c r="N392" i="8" s="1"/>
  <c r="L392" i="9"/>
  <c r="L392" i="8" s="1"/>
  <c r="M392" i="9"/>
  <c r="M392" i="8" s="1"/>
  <c r="H421" i="6" s="1"/>
  <c r="Z391" i="8"/>
  <c r="F420" i="6"/>
  <c r="T391" i="8"/>
  <c r="D420" i="6" s="1"/>
  <c r="U391" i="8"/>
  <c r="Y391" i="8"/>
  <c r="C420" i="6"/>
  <c r="R391" i="8"/>
  <c r="A404" i="7" s="1"/>
  <c r="S391" i="8"/>
  <c r="B420" i="6"/>
  <c r="O391" i="9"/>
  <c r="O391" i="8" s="1"/>
  <c r="L391" i="9"/>
  <c r="L391" i="8" s="1"/>
  <c r="K391" i="9"/>
  <c r="K391" i="8" s="1"/>
  <c r="M391" i="9"/>
  <c r="M391" i="8" s="1"/>
  <c r="H420" i="6" s="1"/>
  <c r="N391" i="9"/>
  <c r="N391" i="8" s="1"/>
  <c r="A391" i="8"/>
  <c r="P391" i="9"/>
  <c r="P391" i="8" s="1"/>
  <c r="Z390" i="8"/>
  <c r="F419" i="6"/>
  <c r="T390" i="8"/>
  <c r="D419" i="6" s="1"/>
  <c r="U390" i="8"/>
  <c r="Y390" i="8"/>
  <c r="C419" i="6"/>
  <c r="R390" i="8"/>
  <c r="A403" i="7" s="1"/>
  <c r="S390" i="8"/>
  <c r="B419" i="6"/>
  <c r="K390" i="9"/>
  <c r="K390" i="8" s="1"/>
  <c r="A390" i="8"/>
  <c r="M390" i="9"/>
  <c r="M390" i="8" s="1"/>
  <c r="H419" i="6" s="1"/>
  <c r="N390" i="9"/>
  <c r="N390" i="8" s="1"/>
  <c r="O390" i="9"/>
  <c r="O390" i="8" s="1"/>
  <c r="L390" i="9"/>
  <c r="L390" i="8" s="1"/>
  <c r="P390" i="9"/>
  <c r="P390" i="8" s="1"/>
  <c r="Z389" i="8"/>
  <c r="F418" i="6"/>
  <c r="T389" i="8"/>
  <c r="D418" i="6" s="1"/>
  <c r="U389" i="8"/>
  <c r="Y389" i="8"/>
  <c r="C418" i="6"/>
  <c r="R389" i="8"/>
  <c r="A402" i="7" s="1"/>
  <c r="S389" i="8"/>
  <c r="B418" i="6"/>
  <c r="K389" i="9"/>
  <c r="K389" i="8" s="1"/>
  <c r="M389" i="9"/>
  <c r="M389" i="8" s="1"/>
  <c r="H418" i="6" s="1"/>
  <c r="O389" i="9"/>
  <c r="O389" i="8" s="1"/>
  <c r="A389" i="8"/>
  <c r="N389" i="9"/>
  <c r="N389" i="8" s="1"/>
  <c r="L389" i="9"/>
  <c r="L389" i="8" s="1"/>
  <c r="P389" i="9"/>
  <c r="P389" i="8" s="1"/>
  <c r="Z388" i="8"/>
  <c r="F417" i="6"/>
  <c r="T388" i="8"/>
  <c r="D417" i="6" s="1"/>
  <c r="U388" i="8"/>
  <c r="Y388" i="8"/>
  <c r="C417" i="6"/>
  <c r="R388" i="8"/>
  <c r="A401" i="7" s="1"/>
  <c r="S388" i="8"/>
  <c r="B417" i="6"/>
  <c r="O388" i="9"/>
  <c r="O388" i="8" s="1"/>
  <c r="M388" i="9"/>
  <c r="M388" i="8" s="1"/>
  <c r="H417" i="6" s="1"/>
  <c r="K388" i="9"/>
  <c r="K388" i="8" s="1"/>
  <c r="N388" i="9"/>
  <c r="N388" i="8" s="1"/>
  <c r="A388" i="8"/>
  <c r="P388" i="9"/>
  <c r="P388" i="8" s="1"/>
  <c r="L388" i="9"/>
  <c r="L388" i="8" s="1"/>
  <c r="Z387" i="8"/>
  <c r="F416" i="6"/>
  <c r="T387" i="8"/>
  <c r="D416" i="6" s="1"/>
  <c r="U387" i="8"/>
  <c r="Y387" i="8"/>
  <c r="C416" i="6"/>
  <c r="R387" i="8"/>
  <c r="A400" i="7" s="1"/>
  <c r="S387" i="8"/>
  <c r="B416" i="6"/>
  <c r="L387" i="9"/>
  <c r="L387" i="8" s="1"/>
  <c r="N387" i="9"/>
  <c r="N387" i="8" s="1"/>
  <c r="A387" i="8"/>
  <c r="K387" i="9"/>
  <c r="K387" i="8" s="1"/>
  <c r="P387" i="9"/>
  <c r="P387" i="8" s="1"/>
  <c r="O387" i="9"/>
  <c r="O387" i="8" s="1"/>
  <c r="M387" i="9"/>
  <c r="M387" i="8" s="1"/>
  <c r="H416" i="6" s="1"/>
  <c r="Z386" i="8"/>
  <c r="F415" i="6"/>
  <c r="T386" i="8"/>
  <c r="D415" i="6" s="1"/>
  <c r="U386" i="8"/>
  <c r="Y386" i="8"/>
  <c r="C415" i="6"/>
  <c r="R386" i="8"/>
  <c r="A399" i="7" s="1"/>
  <c r="S386" i="8"/>
  <c r="B415" i="6"/>
  <c r="A386" i="8"/>
  <c r="K386" i="9"/>
  <c r="K386" i="8" s="1"/>
  <c r="O386" i="9"/>
  <c r="O386" i="8" s="1"/>
  <c r="L386" i="9"/>
  <c r="L386" i="8" s="1"/>
  <c r="N386" i="9"/>
  <c r="N386" i="8" s="1"/>
  <c r="P386" i="9"/>
  <c r="P386" i="8" s="1"/>
  <c r="M386" i="9"/>
  <c r="M386" i="8" s="1"/>
  <c r="H415" i="6" s="1"/>
  <c r="Z385" i="8"/>
  <c r="F414" i="6"/>
  <c r="T385" i="8"/>
  <c r="D414" i="6" s="1"/>
  <c r="U385" i="8"/>
  <c r="Y385" i="8"/>
  <c r="C414" i="6"/>
  <c r="R385" i="8"/>
  <c r="A398" i="7" s="1"/>
  <c r="S385" i="8"/>
  <c r="B414" i="6"/>
  <c r="M385" i="9"/>
  <c r="M385" i="8" s="1"/>
  <c r="H414" i="6" s="1"/>
  <c r="K385" i="9"/>
  <c r="K385" i="8" s="1"/>
  <c r="N385" i="9"/>
  <c r="N385" i="8" s="1"/>
  <c r="P385" i="9"/>
  <c r="P385" i="8" s="1"/>
  <c r="L385" i="9"/>
  <c r="L385" i="8" s="1"/>
  <c r="A385" i="8"/>
  <c r="O385" i="9"/>
  <c r="O385" i="8" s="1"/>
  <c r="Z384" i="8"/>
  <c r="F413" i="6"/>
  <c r="T384" i="8"/>
  <c r="D413" i="6" s="1"/>
  <c r="U384" i="8"/>
  <c r="Y384" i="8"/>
  <c r="C413" i="6"/>
  <c r="R384" i="8"/>
  <c r="A397" i="7" s="1"/>
  <c r="S384" i="8"/>
  <c r="B413" i="6"/>
  <c r="M384" i="9"/>
  <c r="M384" i="8" s="1"/>
  <c r="H413" i="6" s="1"/>
  <c r="P384" i="9"/>
  <c r="P384" i="8" s="1"/>
  <c r="N384" i="9"/>
  <c r="N384" i="8" s="1"/>
  <c r="O384" i="9"/>
  <c r="O384" i="8" s="1"/>
  <c r="K384" i="9"/>
  <c r="K384" i="8" s="1"/>
  <c r="L384" i="9"/>
  <c r="L384" i="8" s="1"/>
  <c r="A384" i="8"/>
  <c r="Z383" i="8"/>
  <c r="F412" i="6"/>
  <c r="T383" i="8"/>
  <c r="D412" i="6" s="1"/>
  <c r="U383" i="8"/>
  <c r="Y383" i="8"/>
  <c r="C412" i="6"/>
  <c r="R383" i="8"/>
  <c r="A396" i="7" s="1"/>
  <c r="S383" i="8"/>
  <c r="B412" i="6"/>
  <c r="P383" i="9"/>
  <c r="P383" i="8" s="1"/>
  <c r="A383" i="8"/>
  <c r="L383" i="9"/>
  <c r="L383" i="8" s="1"/>
  <c r="N383" i="9"/>
  <c r="N383" i="8" s="1"/>
  <c r="M383" i="9"/>
  <c r="M383" i="8" s="1"/>
  <c r="H412" i="6" s="1"/>
  <c r="K383" i="9"/>
  <c r="K383" i="8" s="1"/>
  <c r="O383" i="9"/>
  <c r="O383" i="8" s="1"/>
  <c r="Z382" i="8"/>
  <c r="F411" i="6"/>
  <c r="T382" i="8"/>
  <c r="D411" i="6" s="1"/>
  <c r="U382" i="8"/>
  <c r="Y382" i="8"/>
  <c r="C411" i="6"/>
  <c r="R382" i="8"/>
  <c r="A395" i="7" s="1"/>
  <c r="S382" i="8"/>
  <c r="B411" i="6"/>
  <c r="L382" i="9"/>
  <c r="L382" i="8" s="1"/>
  <c r="P382" i="9"/>
  <c r="P382" i="8" s="1"/>
  <c r="O382" i="9"/>
  <c r="O382" i="8" s="1"/>
  <c r="M382" i="9"/>
  <c r="M382" i="8" s="1"/>
  <c r="H411" i="6" s="1"/>
  <c r="N382" i="9"/>
  <c r="N382" i="8" s="1"/>
  <c r="K382" i="9"/>
  <c r="K382" i="8" s="1"/>
  <c r="A382" i="8"/>
  <c r="Z381" i="8"/>
  <c r="F410" i="6"/>
  <c r="T381" i="8"/>
  <c r="D410" i="6" s="1"/>
  <c r="U381" i="8"/>
  <c r="Y381" i="8"/>
  <c r="C410" i="6"/>
  <c r="R381" i="8"/>
  <c r="A394" i="7" s="1"/>
  <c r="S381" i="8"/>
  <c r="B410" i="6"/>
  <c r="K381" i="9"/>
  <c r="K381" i="8" s="1"/>
  <c r="N381" i="9"/>
  <c r="N381" i="8" s="1"/>
  <c r="L381" i="9"/>
  <c r="L381" i="8" s="1"/>
  <c r="O381" i="9"/>
  <c r="O381" i="8" s="1"/>
  <c r="P381" i="9"/>
  <c r="P381" i="8" s="1"/>
  <c r="A381" i="8"/>
  <c r="M381" i="9"/>
  <c r="M381" i="8" s="1"/>
  <c r="H410" i="6" s="1"/>
  <c r="Z380" i="8"/>
  <c r="F409" i="6"/>
  <c r="T380" i="8"/>
  <c r="D409" i="6" s="1"/>
  <c r="U380" i="8"/>
  <c r="Y380" i="8"/>
  <c r="C409" i="6"/>
  <c r="R380" i="8"/>
  <c r="A393" i="7" s="1"/>
  <c r="S380" i="8"/>
  <c r="B409" i="6"/>
  <c r="L380" i="9"/>
  <c r="L380" i="8" s="1"/>
  <c r="O380" i="9"/>
  <c r="O380" i="8" s="1"/>
  <c r="M380" i="9"/>
  <c r="M380" i="8" s="1"/>
  <c r="H409" i="6" s="1"/>
  <c r="P380" i="9"/>
  <c r="P380" i="8" s="1"/>
  <c r="N380" i="9"/>
  <c r="N380" i="8" s="1"/>
  <c r="K380" i="9"/>
  <c r="K380" i="8" s="1"/>
  <c r="A380" i="8"/>
  <c r="Z379" i="8"/>
  <c r="F408" i="6"/>
  <c r="T379" i="8"/>
  <c r="D408" i="6" s="1"/>
  <c r="U379" i="8"/>
  <c r="Y379" i="8"/>
  <c r="C408" i="6"/>
  <c r="R379" i="8"/>
  <c r="A392" i="7" s="1"/>
  <c r="S379" i="8"/>
  <c r="B408" i="6"/>
  <c r="A379" i="8"/>
  <c r="M379" i="9"/>
  <c r="M379" i="8" s="1"/>
  <c r="H408" i="6" s="1"/>
  <c r="O379" i="9"/>
  <c r="O379" i="8" s="1"/>
  <c r="P379" i="9"/>
  <c r="P379" i="8" s="1"/>
  <c r="L379" i="9"/>
  <c r="L379" i="8" s="1"/>
  <c r="N379" i="9"/>
  <c r="N379" i="8" s="1"/>
  <c r="K379" i="9"/>
  <c r="K379" i="8" s="1"/>
  <c r="Z378" i="8"/>
  <c r="F407" i="6"/>
  <c r="T378" i="8"/>
  <c r="D407" i="6" s="1"/>
  <c r="U378" i="8"/>
  <c r="Y378" i="8"/>
  <c r="C407" i="6"/>
  <c r="R378" i="8"/>
  <c r="A391" i="7" s="1"/>
  <c r="S378" i="8"/>
  <c r="B407" i="6"/>
  <c r="K378" i="9"/>
  <c r="K378" i="8" s="1"/>
  <c r="A378" i="8"/>
  <c r="O378" i="9"/>
  <c r="O378" i="8" s="1"/>
  <c r="P378" i="9"/>
  <c r="P378" i="8" s="1"/>
  <c r="M378" i="9"/>
  <c r="M378" i="8" s="1"/>
  <c r="H407" i="6" s="1"/>
  <c r="L378" i="9"/>
  <c r="L378" i="8" s="1"/>
  <c r="N378" i="9"/>
  <c r="N378" i="8" s="1"/>
  <c r="Z377" i="8"/>
  <c r="F406" i="6"/>
  <c r="T377" i="8"/>
  <c r="D406" i="6" s="1"/>
  <c r="U377" i="8"/>
  <c r="Y377" i="8"/>
  <c r="C406" i="6"/>
  <c r="R377" i="8"/>
  <c r="A390" i="7" s="1"/>
  <c r="S377" i="8"/>
  <c r="B406" i="6"/>
  <c r="M377" i="9"/>
  <c r="M377" i="8" s="1"/>
  <c r="H406" i="6" s="1"/>
  <c r="K377" i="9"/>
  <c r="K377" i="8" s="1"/>
  <c r="O377" i="9"/>
  <c r="O377" i="8" s="1"/>
  <c r="P377" i="9"/>
  <c r="P377" i="8" s="1"/>
  <c r="N377" i="9"/>
  <c r="N377" i="8" s="1"/>
  <c r="L377" i="9"/>
  <c r="L377" i="8" s="1"/>
  <c r="A377" i="8"/>
  <c r="Z376" i="8"/>
  <c r="F405" i="6"/>
  <c r="T376" i="8"/>
  <c r="D405" i="6" s="1"/>
  <c r="U376" i="8"/>
  <c r="Y376" i="8"/>
  <c r="C405" i="6"/>
  <c r="R376" i="8"/>
  <c r="A389" i="7" s="1"/>
  <c r="S376" i="8"/>
  <c r="B405" i="6"/>
  <c r="O376" i="9"/>
  <c r="O376" i="8" s="1"/>
  <c r="L376" i="9"/>
  <c r="L376" i="8" s="1"/>
  <c r="N376" i="9"/>
  <c r="N376" i="8" s="1"/>
  <c r="P376" i="9"/>
  <c r="P376" i="8" s="1"/>
  <c r="K376" i="9"/>
  <c r="K376" i="8" s="1"/>
  <c r="M376" i="9"/>
  <c r="M376" i="8" s="1"/>
  <c r="H405" i="6" s="1"/>
  <c r="A376" i="8"/>
  <c r="Z375" i="8"/>
  <c r="F404" i="6"/>
  <c r="T375" i="8"/>
  <c r="D404" i="6" s="1"/>
  <c r="U375" i="8"/>
  <c r="Y375" i="8"/>
  <c r="C404" i="6"/>
  <c r="R375" i="8"/>
  <c r="A388" i="7" s="1"/>
  <c r="S375" i="8"/>
  <c r="B404" i="6"/>
  <c r="P375" i="9"/>
  <c r="P375" i="8" s="1"/>
  <c r="N375" i="9"/>
  <c r="N375" i="8" s="1"/>
  <c r="L375" i="9"/>
  <c r="L375" i="8" s="1"/>
  <c r="O375" i="9"/>
  <c r="O375" i="8" s="1"/>
  <c r="K375" i="9"/>
  <c r="K375" i="8" s="1"/>
  <c r="M375" i="9"/>
  <c r="M375" i="8" s="1"/>
  <c r="H404" i="6" s="1"/>
  <c r="A375" i="8"/>
  <c r="Z374" i="8"/>
  <c r="F403" i="6"/>
  <c r="T374" i="8"/>
  <c r="D403" i="6" s="1"/>
  <c r="U374" i="8"/>
  <c r="Y374" i="8"/>
  <c r="C403" i="6"/>
  <c r="R374" i="8"/>
  <c r="A387" i="7" s="1"/>
  <c r="S374" i="8"/>
  <c r="B403" i="6"/>
  <c r="K374" i="9"/>
  <c r="K374" i="8" s="1"/>
  <c r="M374" i="9"/>
  <c r="M374" i="8" s="1"/>
  <c r="H403" i="6" s="1"/>
  <c r="L374" i="9"/>
  <c r="L374" i="8" s="1"/>
  <c r="O374" i="9"/>
  <c r="O374" i="8" s="1"/>
  <c r="A374" i="8"/>
  <c r="P374" i="9"/>
  <c r="P374" i="8" s="1"/>
  <c r="N374" i="9"/>
  <c r="N374" i="8" s="1"/>
  <c r="Z373" i="8"/>
  <c r="F402" i="6"/>
  <c r="T373" i="8"/>
  <c r="D402" i="6" s="1"/>
  <c r="U373" i="8"/>
  <c r="Y373" i="8"/>
  <c r="C402" i="6"/>
  <c r="R373" i="8"/>
  <c r="A386" i="7" s="1"/>
  <c r="S373" i="8"/>
  <c r="B402" i="6"/>
  <c r="K373" i="9"/>
  <c r="K373" i="8" s="1"/>
  <c r="N373" i="9"/>
  <c r="N373" i="8" s="1"/>
  <c r="O373" i="9"/>
  <c r="O373" i="8" s="1"/>
  <c r="L373" i="9"/>
  <c r="L373" i="8" s="1"/>
  <c r="M373" i="9"/>
  <c r="M373" i="8" s="1"/>
  <c r="H402" i="6" s="1"/>
  <c r="A373" i="8"/>
  <c r="P373" i="9"/>
  <c r="P373" i="8" s="1"/>
  <c r="Z372" i="8"/>
  <c r="F401" i="6"/>
  <c r="T372" i="8"/>
  <c r="D401" i="6" s="1"/>
  <c r="U372" i="8"/>
  <c r="Y372" i="8"/>
  <c r="C401" i="6"/>
  <c r="R372" i="8"/>
  <c r="A385" i="7" s="1"/>
  <c r="S372" i="8"/>
  <c r="B401" i="6"/>
  <c r="A372" i="8"/>
  <c r="L372" i="9"/>
  <c r="L372" i="8" s="1"/>
  <c r="P372" i="9"/>
  <c r="P372" i="8" s="1"/>
  <c r="N372" i="9"/>
  <c r="N372" i="8" s="1"/>
  <c r="O372" i="9"/>
  <c r="O372" i="8" s="1"/>
  <c r="M372" i="9"/>
  <c r="M372" i="8" s="1"/>
  <c r="H401" i="6" s="1"/>
  <c r="K372" i="9"/>
  <c r="K372" i="8" s="1"/>
  <c r="Z371" i="8"/>
  <c r="F400" i="6"/>
  <c r="T371" i="8"/>
  <c r="D400" i="6" s="1"/>
  <c r="U371" i="8"/>
  <c r="Y371" i="8"/>
  <c r="C400" i="6"/>
  <c r="R371" i="8"/>
  <c r="A384" i="7" s="1"/>
  <c r="S371" i="8"/>
  <c r="B400" i="6"/>
  <c r="P371" i="9"/>
  <c r="P371" i="8" s="1"/>
  <c r="O371" i="9"/>
  <c r="O371" i="8" s="1"/>
  <c r="A371" i="8"/>
  <c r="K371" i="9"/>
  <c r="K371" i="8" s="1"/>
  <c r="N371" i="9"/>
  <c r="N371" i="8" s="1"/>
  <c r="L371" i="9"/>
  <c r="L371" i="8" s="1"/>
  <c r="M371" i="9"/>
  <c r="M371" i="8" s="1"/>
  <c r="H400" i="6" s="1"/>
  <c r="Z370" i="8"/>
  <c r="F399" i="6"/>
  <c r="T370" i="8"/>
  <c r="D399" i="6" s="1"/>
  <c r="U370" i="8"/>
  <c r="Y370" i="8"/>
  <c r="C399" i="6"/>
  <c r="R370" i="8"/>
  <c r="A383" i="7" s="1"/>
  <c r="S370" i="8"/>
  <c r="B399" i="6"/>
  <c r="M370" i="9"/>
  <c r="M370" i="8" s="1"/>
  <c r="H399" i="6" s="1"/>
  <c r="L370" i="9"/>
  <c r="L370" i="8" s="1"/>
  <c r="O370" i="9"/>
  <c r="O370" i="8" s="1"/>
  <c r="P370" i="9"/>
  <c r="P370" i="8" s="1"/>
  <c r="N370" i="9"/>
  <c r="N370" i="8" s="1"/>
  <c r="A370" i="8"/>
  <c r="K370" i="9"/>
  <c r="K370" i="8" s="1"/>
  <c r="Z369" i="8"/>
  <c r="F398" i="6"/>
  <c r="T369" i="8"/>
  <c r="D398" i="6" s="1"/>
  <c r="U369" i="8"/>
  <c r="Y369" i="8"/>
  <c r="C398" i="6"/>
  <c r="R369" i="8"/>
  <c r="A382" i="7" s="1"/>
  <c r="S369" i="8"/>
  <c r="B398" i="6"/>
  <c r="L369" i="9"/>
  <c r="L369" i="8" s="1"/>
  <c r="N369" i="9"/>
  <c r="N369" i="8" s="1"/>
  <c r="A369" i="8"/>
  <c r="K369" i="9"/>
  <c r="K369" i="8" s="1"/>
  <c r="P369" i="9"/>
  <c r="P369" i="8" s="1"/>
  <c r="O369" i="9"/>
  <c r="O369" i="8" s="1"/>
  <c r="M369" i="9"/>
  <c r="M369" i="8" s="1"/>
  <c r="H398" i="6" s="1"/>
  <c r="Z368" i="8"/>
  <c r="F397" i="6"/>
  <c r="T368" i="8"/>
  <c r="D397" i="6" s="1"/>
  <c r="U368" i="8"/>
  <c r="Y368" i="8"/>
  <c r="C397" i="6"/>
  <c r="R368" i="8"/>
  <c r="A381" i="7" s="1"/>
  <c r="S368" i="8"/>
  <c r="B397" i="6"/>
  <c r="A368" i="8"/>
  <c r="K368" i="9"/>
  <c r="K368" i="8" s="1"/>
  <c r="N368" i="9"/>
  <c r="N368" i="8" s="1"/>
  <c r="P368" i="9"/>
  <c r="P368" i="8" s="1"/>
  <c r="O368" i="9"/>
  <c r="O368" i="8" s="1"/>
  <c r="M368" i="9"/>
  <c r="M368" i="8" s="1"/>
  <c r="H397" i="6" s="1"/>
  <c r="L368" i="9"/>
  <c r="L368" i="8" s="1"/>
  <c r="Z367" i="8"/>
  <c r="F396" i="6"/>
  <c r="T367" i="8"/>
  <c r="D396" i="6" s="1"/>
  <c r="U367" i="8"/>
  <c r="Y367" i="8"/>
  <c r="C396" i="6"/>
  <c r="R367" i="8"/>
  <c r="A380" i="7" s="1"/>
  <c r="S367" i="8"/>
  <c r="B396" i="6"/>
  <c r="A367" i="8"/>
  <c r="L367" i="9"/>
  <c r="L367" i="8" s="1"/>
  <c r="O367" i="9"/>
  <c r="O367" i="8" s="1"/>
  <c r="K367" i="9"/>
  <c r="K367" i="8" s="1"/>
  <c r="N367" i="9"/>
  <c r="N367" i="8" s="1"/>
  <c r="P367" i="9"/>
  <c r="P367" i="8" s="1"/>
  <c r="M367" i="9"/>
  <c r="M367" i="8" s="1"/>
  <c r="H396" i="6" s="1"/>
  <c r="Z366" i="8"/>
  <c r="F395" i="6"/>
  <c r="T366" i="8"/>
  <c r="D395" i="6" s="1"/>
  <c r="U366" i="8"/>
  <c r="Y366" i="8"/>
  <c r="C395" i="6"/>
  <c r="R366" i="8"/>
  <c r="A379" i="7" s="1"/>
  <c r="S366" i="8"/>
  <c r="B395" i="6"/>
  <c r="A366" i="8"/>
  <c r="K366" i="9"/>
  <c r="K366" i="8" s="1"/>
  <c r="N366" i="9"/>
  <c r="N366" i="8" s="1"/>
  <c r="O366" i="9"/>
  <c r="O366" i="8" s="1"/>
  <c r="P366" i="9"/>
  <c r="P366" i="8" s="1"/>
  <c r="L366" i="9"/>
  <c r="L366" i="8" s="1"/>
  <c r="M366" i="9"/>
  <c r="M366" i="8" s="1"/>
  <c r="H395" i="6" s="1"/>
  <c r="Z365" i="8"/>
  <c r="F394" i="6"/>
  <c r="T365" i="8"/>
  <c r="D394" i="6" s="1"/>
  <c r="U365" i="8"/>
  <c r="Y365" i="8"/>
  <c r="C394" i="6"/>
  <c r="R365" i="8"/>
  <c r="A378" i="7" s="1"/>
  <c r="S365" i="8"/>
  <c r="B394" i="6"/>
  <c r="P365" i="9"/>
  <c r="P365" i="8" s="1"/>
  <c r="L365" i="9"/>
  <c r="L365" i="8" s="1"/>
  <c r="N365" i="9"/>
  <c r="N365" i="8" s="1"/>
  <c r="M365" i="9"/>
  <c r="M365" i="8" s="1"/>
  <c r="H394" i="6" s="1"/>
  <c r="O365" i="9"/>
  <c r="O365" i="8" s="1"/>
  <c r="K365" i="9"/>
  <c r="K365" i="8" s="1"/>
  <c r="A365" i="8"/>
  <c r="Z364" i="8"/>
  <c r="F393" i="6"/>
  <c r="T364" i="8"/>
  <c r="D393" i="6" s="1"/>
  <c r="U364" i="8"/>
  <c r="Y364" i="8"/>
  <c r="C393" i="6"/>
  <c r="R364" i="8"/>
  <c r="A377" i="7" s="1"/>
  <c r="S364" i="8"/>
  <c r="B393" i="6"/>
  <c r="P364" i="9"/>
  <c r="P364" i="8" s="1"/>
  <c r="O364" i="9"/>
  <c r="O364" i="8" s="1"/>
  <c r="M364" i="9"/>
  <c r="M364" i="8" s="1"/>
  <c r="H393" i="6" s="1"/>
  <c r="K364" i="9"/>
  <c r="K364" i="8" s="1"/>
  <c r="L364" i="9"/>
  <c r="L364" i="8" s="1"/>
  <c r="A364" i="8"/>
  <c r="N364" i="9"/>
  <c r="N364" i="8" s="1"/>
  <c r="Z363" i="8"/>
  <c r="F392" i="6"/>
  <c r="T363" i="8"/>
  <c r="D392" i="6" s="1"/>
  <c r="U363" i="8"/>
  <c r="Y363" i="8"/>
  <c r="C392" i="6"/>
  <c r="R363" i="8"/>
  <c r="A376" i="7" s="1"/>
  <c r="S363" i="8"/>
  <c r="B392" i="6"/>
  <c r="O363" i="9"/>
  <c r="O363" i="8" s="1"/>
  <c r="L363" i="9"/>
  <c r="L363" i="8" s="1"/>
  <c r="N363" i="9"/>
  <c r="N363" i="8" s="1"/>
  <c r="M363" i="9"/>
  <c r="M363" i="8" s="1"/>
  <c r="H392" i="6" s="1"/>
  <c r="P363" i="9"/>
  <c r="P363" i="8" s="1"/>
  <c r="K363" i="9"/>
  <c r="K363" i="8" s="1"/>
  <c r="A363" i="8"/>
  <c r="Z362" i="8"/>
  <c r="F391" i="6"/>
  <c r="T362" i="8"/>
  <c r="D391" i="6" s="1"/>
  <c r="U362" i="8"/>
  <c r="Y362" i="8"/>
  <c r="C391" i="6"/>
  <c r="R362" i="8"/>
  <c r="A375" i="7" s="1"/>
  <c r="S362" i="8"/>
  <c r="B391" i="6"/>
  <c r="A362" i="8"/>
  <c r="N362" i="9"/>
  <c r="N362" i="8" s="1"/>
  <c r="K362" i="9"/>
  <c r="K362" i="8" s="1"/>
  <c r="P362" i="9"/>
  <c r="P362" i="8" s="1"/>
  <c r="O362" i="9"/>
  <c r="O362" i="8" s="1"/>
  <c r="M362" i="9"/>
  <c r="M362" i="8" s="1"/>
  <c r="H391" i="6" s="1"/>
  <c r="L362" i="9"/>
  <c r="L362" i="8" s="1"/>
  <c r="Z361" i="8"/>
  <c r="F390" i="6"/>
  <c r="T361" i="8"/>
  <c r="D390" i="6" s="1"/>
  <c r="U361" i="8"/>
  <c r="Y361" i="8"/>
  <c r="C390" i="6"/>
  <c r="R361" i="8"/>
  <c r="A374" i="7" s="1"/>
  <c r="S361" i="8"/>
  <c r="B390" i="6"/>
  <c r="O361" i="9"/>
  <c r="O361" i="8" s="1"/>
  <c r="M361" i="9"/>
  <c r="M361" i="8" s="1"/>
  <c r="H390" i="6" s="1"/>
  <c r="K361" i="9"/>
  <c r="K361" i="8" s="1"/>
  <c r="L361" i="9"/>
  <c r="L361" i="8" s="1"/>
  <c r="N361" i="9"/>
  <c r="N361" i="8" s="1"/>
  <c r="P361" i="9"/>
  <c r="P361" i="8" s="1"/>
  <c r="A361" i="8"/>
  <c r="Z360" i="8"/>
  <c r="F389" i="6"/>
  <c r="T360" i="8"/>
  <c r="D389" i="6" s="1"/>
  <c r="U360" i="8"/>
  <c r="Y360" i="8"/>
  <c r="C389" i="6"/>
  <c r="R360" i="8"/>
  <c r="A373" i="7" s="1"/>
  <c r="S360" i="8"/>
  <c r="B389" i="6"/>
  <c r="P360" i="9"/>
  <c r="P360" i="8" s="1"/>
  <c r="L360" i="9"/>
  <c r="L360" i="8" s="1"/>
  <c r="K360" i="9"/>
  <c r="K360" i="8" s="1"/>
  <c r="M360" i="9"/>
  <c r="M360" i="8" s="1"/>
  <c r="H389" i="6" s="1"/>
  <c r="N360" i="9"/>
  <c r="N360" i="8" s="1"/>
  <c r="O360" i="9"/>
  <c r="O360" i="8" s="1"/>
  <c r="A360" i="8"/>
  <c r="Z359" i="8"/>
  <c r="F388" i="6"/>
  <c r="T359" i="8"/>
  <c r="D388" i="6" s="1"/>
  <c r="U359" i="8"/>
  <c r="Y359" i="8"/>
  <c r="C388" i="6"/>
  <c r="R359" i="8"/>
  <c r="A372" i="7" s="1"/>
  <c r="S359" i="8"/>
  <c r="B388" i="6"/>
  <c r="N359" i="9"/>
  <c r="N359" i="8" s="1"/>
  <c r="A359" i="8"/>
  <c r="M359" i="9"/>
  <c r="M359" i="8" s="1"/>
  <c r="H388" i="6" s="1"/>
  <c r="L359" i="9"/>
  <c r="L359" i="8" s="1"/>
  <c r="O359" i="9"/>
  <c r="O359" i="8" s="1"/>
  <c r="P359" i="9"/>
  <c r="P359" i="8" s="1"/>
  <c r="K359" i="9"/>
  <c r="K359" i="8" s="1"/>
  <c r="Z358" i="8"/>
  <c r="F387" i="6"/>
  <c r="T358" i="8"/>
  <c r="D387" i="6" s="1"/>
  <c r="U358" i="8"/>
  <c r="Y358" i="8"/>
  <c r="C387" i="6"/>
  <c r="R358" i="8"/>
  <c r="A371" i="7" s="1"/>
  <c r="S358" i="8"/>
  <c r="B387" i="6"/>
  <c r="K358" i="9"/>
  <c r="K358" i="8" s="1"/>
  <c r="L358" i="9"/>
  <c r="L358" i="8" s="1"/>
  <c r="M358" i="9"/>
  <c r="M358" i="8" s="1"/>
  <c r="H387" i="6" s="1"/>
  <c r="A358" i="8"/>
  <c r="O358" i="9"/>
  <c r="O358" i="8" s="1"/>
  <c r="P358" i="9"/>
  <c r="P358" i="8" s="1"/>
  <c r="N358" i="9"/>
  <c r="N358" i="8" s="1"/>
  <c r="Z357" i="8"/>
  <c r="F386" i="6"/>
  <c r="T357" i="8"/>
  <c r="D386" i="6" s="1"/>
  <c r="U357" i="8"/>
  <c r="Y357" i="8"/>
  <c r="C386" i="6"/>
  <c r="R357" i="8"/>
  <c r="A370" i="7" s="1"/>
  <c r="S357" i="8"/>
  <c r="B386" i="6"/>
  <c r="A357" i="8"/>
  <c r="K357" i="9"/>
  <c r="K357" i="8" s="1"/>
  <c r="M357" i="9"/>
  <c r="M357" i="8" s="1"/>
  <c r="H386" i="6" s="1"/>
  <c r="P357" i="9"/>
  <c r="P357" i="8" s="1"/>
  <c r="O357" i="9"/>
  <c r="O357" i="8" s="1"/>
  <c r="N357" i="9"/>
  <c r="N357" i="8" s="1"/>
  <c r="L357" i="9"/>
  <c r="L357" i="8" s="1"/>
  <c r="Z356" i="8"/>
  <c r="F385" i="6"/>
  <c r="T356" i="8"/>
  <c r="D385" i="6" s="1"/>
  <c r="U356" i="8"/>
  <c r="Y356" i="8"/>
  <c r="C385" i="6"/>
  <c r="R356" i="8"/>
  <c r="A369" i="7" s="1"/>
  <c r="S356" i="8"/>
  <c r="B385" i="6"/>
  <c r="A356" i="8"/>
  <c r="K356" i="9"/>
  <c r="K356" i="8" s="1"/>
  <c r="M356" i="9"/>
  <c r="M356" i="8" s="1"/>
  <c r="H385" i="6" s="1"/>
  <c r="O356" i="9"/>
  <c r="O356" i="8" s="1"/>
  <c r="P356" i="9"/>
  <c r="P356" i="8" s="1"/>
  <c r="N356" i="9"/>
  <c r="N356" i="8" s="1"/>
  <c r="L356" i="9"/>
  <c r="L356" i="8" s="1"/>
  <c r="Z355" i="8"/>
  <c r="F384" i="6"/>
  <c r="T355" i="8"/>
  <c r="D384" i="6" s="1"/>
  <c r="U355" i="8"/>
  <c r="Y355" i="8"/>
  <c r="C384" i="6"/>
  <c r="R355" i="8"/>
  <c r="A368" i="7" s="1"/>
  <c r="S355" i="8"/>
  <c r="B384" i="6"/>
  <c r="N355" i="9"/>
  <c r="N355" i="8" s="1"/>
  <c r="A355" i="8"/>
  <c r="P355" i="9"/>
  <c r="P355" i="8" s="1"/>
  <c r="L355" i="9"/>
  <c r="L355" i="8" s="1"/>
  <c r="K355" i="9"/>
  <c r="K355" i="8" s="1"/>
  <c r="M355" i="9"/>
  <c r="M355" i="8" s="1"/>
  <c r="H384" i="6" s="1"/>
  <c r="O355" i="9"/>
  <c r="O355" i="8" s="1"/>
  <c r="Z354" i="8"/>
  <c r="F383" i="6"/>
  <c r="T354" i="8"/>
  <c r="D383" i="6" s="1"/>
  <c r="U354" i="8"/>
  <c r="Y354" i="8"/>
  <c r="C383" i="6"/>
  <c r="R354" i="8"/>
  <c r="A367" i="7" s="1"/>
  <c r="S354" i="8"/>
  <c r="B383" i="6"/>
  <c r="N354" i="9"/>
  <c r="N354" i="8" s="1"/>
  <c r="O354" i="9"/>
  <c r="O354" i="8" s="1"/>
  <c r="K354" i="9"/>
  <c r="K354" i="8" s="1"/>
  <c r="L354" i="9"/>
  <c r="L354" i="8" s="1"/>
  <c r="M354" i="9"/>
  <c r="M354" i="8" s="1"/>
  <c r="H383" i="6" s="1"/>
  <c r="P354" i="9"/>
  <c r="P354" i="8" s="1"/>
  <c r="A354" i="8"/>
  <c r="Z353" i="8"/>
  <c r="F382" i="6"/>
  <c r="T353" i="8"/>
  <c r="D382" i="6" s="1"/>
  <c r="U353" i="8"/>
  <c r="Y353" i="8"/>
  <c r="C382" i="6"/>
  <c r="R353" i="8"/>
  <c r="A366" i="7" s="1"/>
  <c r="S353" i="8"/>
  <c r="B382" i="6"/>
  <c r="N353" i="9"/>
  <c r="N353" i="8" s="1"/>
  <c r="L353" i="9"/>
  <c r="L353" i="8" s="1"/>
  <c r="P353" i="9"/>
  <c r="P353" i="8" s="1"/>
  <c r="K353" i="9"/>
  <c r="K353" i="8" s="1"/>
  <c r="M353" i="9"/>
  <c r="M353" i="8" s="1"/>
  <c r="H382" i="6" s="1"/>
  <c r="O353" i="9"/>
  <c r="O353" i="8" s="1"/>
  <c r="A353" i="8"/>
  <c r="Z352" i="8"/>
  <c r="F381" i="6"/>
  <c r="T352" i="8"/>
  <c r="D381" i="6" s="1"/>
  <c r="U352" i="8"/>
  <c r="Y352" i="8"/>
  <c r="C381" i="6"/>
  <c r="R352" i="8"/>
  <c r="A365" i="7" s="1"/>
  <c r="S352" i="8"/>
  <c r="B381" i="6"/>
  <c r="M352" i="9"/>
  <c r="M352" i="8" s="1"/>
  <c r="H381" i="6" s="1"/>
  <c r="O352" i="9"/>
  <c r="O352" i="8" s="1"/>
  <c r="L352" i="9"/>
  <c r="L352" i="8" s="1"/>
  <c r="A352" i="8"/>
  <c r="N352" i="9"/>
  <c r="N352" i="8" s="1"/>
  <c r="P352" i="9"/>
  <c r="P352" i="8" s="1"/>
  <c r="K352" i="9"/>
  <c r="K352" i="8" s="1"/>
  <c r="Z351" i="8"/>
  <c r="F380" i="6"/>
  <c r="T351" i="8"/>
  <c r="D380" i="6" s="1"/>
  <c r="U351" i="8"/>
  <c r="Y351" i="8"/>
  <c r="C380" i="6"/>
  <c r="R351" i="8"/>
  <c r="A364" i="7" s="1"/>
  <c r="S351" i="8"/>
  <c r="B380" i="6"/>
  <c r="P351" i="9"/>
  <c r="P351" i="8" s="1"/>
  <c r="N351" i="9"/>
  <c r="N351" i="8" s="1"/>
  <c r="L351" i="9"/>
  <c r="L351" i="8" s="1"/>
  <c r="M351" i="9"/>
  <c r="M351" i="8" s="1"/>
  <c r="H380" i="6" s="1"/>
  <c r="A351" i="8"/>
  <c r="K351" i="9"/>
  <c r="K351" i="8" s="1"/>
  <c r="O351" i="9"/>
  <c r="O351" i="8" s="1"/>
  <c r="Z350" i="8"/>
  <c r="F379" i="6"/>
  <c r="T350" i="8"/>
  <c r="D379" i="6" s="1"/>
  <c r="U350" i="8"/>
  <c r="Y350" i="8"/>
  <c r="C379" i="6"/>
  <c r="R350" i="8"/>
  <c r="A363" i="7" s="1"/>
  <c r="S350" i="8"/>
  <c r="B379" i="6"/>
  <c r="O350" i="9"/>
  <c r="O350" i="8" s="1"/>
  <c r="N350" i="9"/>
  <c r="N350" i="8" s="1"/>
  <c r="P350" i="9"/>
  <c r="P350" i="8" s="1"/>
  <c r="A350" i="8"/>
  <c r="L350" i="9"/>
  <c r="L350" i="8" s="1"/>
  <c r="K350" i="9"/>
  <c r="K350" i="8" s="1"/>
  <c r="M350" i="9"/>
  <c r="M350" i="8" s="1"/>
  <c r="H379" i="6" s="1"/>
  <c r="Z349" i="8"/>
  <c r="F378" i="6"/>
  <c r="T349" i="8"/>
  <c r="D378" i="6" s="1"/>
  <c r="U349" i="8"/>
  <c r="Y349" i="8"/>
  <c r="C378" i="6"/>
  <c r="R349" i="8"/>
  <c r="A362" i="7" s="1"/>
  <c r="S349" i="8"/>
  <c r="B378" i="6"/>
  <c r="A349" i="8"/>
  <c r="O349" i="9"/>
  <c r="O349" i="8" s="1"/>
  <c r="L349" i="9"/>
  <c r="L349" i="8" s="1"/>
  <c r="K349" i="9"/>
  <c r="K349" i="8" s="1"/>
  <c r="N349" i="9"/>
  <c r="N349" i="8" s="1"/>
  <c r="M349" i="9"/>
  <c r="M349" i="8" s="1"/>
  <c r="H378" i="6" s="1"/>
  <c r="P349" i="9"/>
  <c r="P349" i="8" s="1"/>
  <c r="Z348" i="8"/>
  <c r="F377" i="6"/>
  <c r="T348" i="8"/>
  <c r="D377" i="6" s="1"/>
  <c r="U348" i="8"/>
  <c r="Y348" i="8"/>
  <c r="C377" i="6"/>
  <c r="R348" i="8"/>
  <c r="A361" i="7" s="1"/>
  <c r="S348" i="8"/>
  <c r="B377" i="6"/>
  <c r="K348" i="9"/>
  <c r="K348" i="8" s="1"/>
  <c r="P348" i="9"/>
  <c r="P348" i="8" s="1"/>
  <c r="O348" i="9"/>
  <c r="O348" i="8" s="1"/>
  <c r="N348" i="9"/>
  <c r="N348" i="8" s="1"/>
  <c r="L348" i="9"/>
  <c r="L348" i="8" s="1"/>
  <c r="A348" i="8"/>
  <c r="M348" i="9"/>
  <c r="M348" i="8" s="1"/>
  <c r="H377" i="6" s="1"/>
  <c r="Z347" i="8"/>
  <c r="F376" i="6"/>
  <c r="T347" i="8"/>
  <c r="D376" i="6" s="1"/>
  <c r="U347" i="8"/>
  <c r="Y347" i="8"/>
  <c r="C376" i="6"/>
  <c r="R347" i="8"/>
  <c r="A360" i="7" s="1"/>
  <c r="S347" i="8"/>
  <c r="B376" i="6"/>
  <c r="M347" i="9"/>
  <c r="M347" i="8" s="1"/>
  <c r="H376" i="6" s="1"/>
  <c r="L347" i="9"/>
  <c r="L347" i="8" s="1"/>
  <c r="A347" i="8"/>
  <c r="K347" i="9"/>
  <c r="K347" i="8" s="1"/>
  <c r="N347" i="9"/>
  <c r="N347" i="8" s="1"/>
  <c r="P347" i="9"/>
  <c r="P347" i="8" s="1"/>
  <c r="O347" i="9"/>
  <c r="O347" i="8" s="1"/>
  <c r="Z346" i="8"/>
  <c r="F375" i="6"/>
  <c r="T346" i="8"/>
  <c r="D375" i="6" s="1"/>
  <c r="U346" i="8"/>
  <c r="Y346" i="8"/>
  <c r="C375" i="6"/>
  <c r="R346" i="8"/>
  <c r="A359" i="7" s="1"/>
  <c r="S346" i="8"/>
  <c r="B375" i="6"/>
  <c r="P346" i="9"/>
  <c r="P346" i="8" s="1"/>
  <c r="K346" i="9"/>
  <c r="K346" i="8" s="1"/>
  <c r="M346" i="9"/>
  <c r="M346" i="8" s="1"/>
  <c r="H375" i="6" s="1"/>
  <c r="O346" i="9"/>
  <c r="O346" i="8" s="1"/>
  <c r="A346" i="8"/>
  <c r="N346" i="9"/>
  <c r="N346" i="8" s="1"/>
  <c r="L346" i="9"/>
  <c r="L346" i="8" s="1"/>
  <c r="Z345" i="8"/>
  <c r="F374" i="6"/>
  <c r="T345" i="8"/>
  <c r="D374" i="6" s="1"/>
  <c r="U345" i="8"/>
  <c r="Y345" i="8"/>
  <c r="C374" i="6"/>
  <c r="R345" i="8"/>
  <c r="A358" i="7" s="1"/>
  <c r="S345" i="8"/>
  <c r="B374" i="6"/>
  <c r="K345" i="9"/>
  <c r="K345" i="8" s="1"/>
  <c r="L345" i="9"/>
  <c r="L345" i="8" s="1"/>
  <c r="N345" i="9"/>
  <c r="N345" i="8" s="1"/>
  <c r="O345" i="9"/>
  <c r="O345" i="8" s="1"/>
  <c r="A345" i="8"/>
  <c r="P345" i="9"/>
  <c r="P345" i="8" s="1"/>
  <c r="M345" i="9"/>
  <c r="M345" i="8" s="1"/>
  <c r="H374" i="6" s="1"/>
  <c r="Z344" i="8"/>
  <c r="F373" i="6"/>
  <c r="T344" i="8"/>
  <c r="D373" i="6" s="1"/>
  <c r="U344" i="8"/>
  <c r="Y344" i="8"/>
  <c r="C373" i="6"/>
  <c r="R344" i="8"/>
  <c r="A357" i="7" s="1"/>
  <c r="S344" i="8"/>
  <c r="B373" i="6"/>
  <c r="P344" i="9"/>
  <c r="P344" i="8" s="1"/>
  <c r="M344" i="9"/>
  <c r="M344" i="8" s="1"/>
  <c r="H373" i="6" s="1"/>
  <c r="N344" i="9"/>
  <c r="N344" i="8" s="1"/>
  <c r="K344" i="9"/>
  <c r="K344" i="8" s="1"/>
  <c r="L344" i="9"/>
  <c r="L344" i="8" s="1"/>
  <c r="A344" i="8"/>
  <c r="O344" i="9"/>
  <c r="O344" i="8" s="1"/>
  <c r="Z343" i="8"/>
  <c r="F372" i="6"/>
  <c r="T343" i="8"/>
  <c r="D372" i="6" s="1"/>
  <c r="U343" i="8"/>
  <c r="Y343" i="8"/>
  <c r="C372" i="6"/>
  <c r="R343" i="8"/>
  <c r="A356" i="7" s="1"/>
  <c r="S343" i="8"/>
  <c r="B372" i="6"/>
  <c r="N343" i="9"/>
  <c r="N343" i="8" s="1"/>
  <c r="M343" i="9"/>
  <c r="M343" i="8" s="1"/>
  <c r="H372" i="6" s="1"/>
  <c r="L343" i="9"/>
  <c r="L343" i="8" s="1"/>
  <c r="P343" i="9"/>
  <c r="P343" i="8" s="1"/>
  <c r="K343" i="9"/>
  <c r="K343" i="8" s="1"/>
  <c r="A343" i="8"/>
  <c r="O343" i="9"/>
  <c r="O343" i="8" s="1"/>
  <c r="Z342" i="8"/>
  <c r="F371" i="6"/>
  <c r="T342" i="8"/>
  <c r="D371" i="6" s="1"/>
  <c r="U342" i="8"/>
  <c r="Y342" i="8"/>
  <c r="C371" i="6"/>
  <c r="R342" i="8"/>
  <c r="A355" i="7" s="1"/>
  <c r="S342" i="8"/>
  <c r="B371" i="6"/>
  <c r="M342" i="9"/>
  <c r="M342" i="8" s="1"/>
  <c r="H371" i="6" s="1"/>
  <c r="K342" i="9"/>
  <c r="K342" i="8" s="1"/>
  <c r="N342" i="9"/>
  <c r="N342" i="8" s="1"/>
  <c r="P342" i="9"/>
  <c r="P342" i="8" s="1"/>
  <c r="L342" i="9"/>
  <c r="L342" i="8" s="1"/>
  <c r="O342" i="9"/>
  <c r="O342" i="8" s="1"/>
  <c r="A342" i="8"/>
  <c r="Z341" i="8"/>
  <c r="F370" i="6"/>
  <c r="T341" i="8"/>
  <c r="D370" i="6" s="1"/>
  <c r="U341" i="8"/>
  <c r="Y341" i="8"/>
  <c r="C370" i="6"/>
  <c r="R341" i="8"/>
  <c r="A354" i="7" s="1"/>
  <c r="S341" i="8"/>
  <c r="B370" i="6"/>
  <c r="K341" i="9"/>
  <c r="K341" i="8" s="1"/>
  <c r="L341" i="9"/>
  <c r="L341" i="8" s="1"/>
  <c r="O341" i="9"/>
  <c r="O341" i="8" s="1"/>
  <c r="P341" i="9"/>
  <c r="P341" i="8" s="1"/>
  <c r="M341" i="9"/>
  <c r="M341" i="8" s="1"/>
  <c r="H370" i="6" s="1"/>
  <c r="N341" i="9"/>
  <c r="N341" i="8" s="1"/>
  <c r="A341" i="8"/>
  <c r="Z340" i="8"/>
  <c r="F369" i="6"/>
  <c r="T340" i="8"/>
  <c r="D369" i="6" s="1"/>
  <c r="U340" i="8"/>
  <c r="Y340" i="8"/>
  <c r="C369" i="6"/>
  <c r="R340" i="8"/>
  <c r="A353" i="7" s="1"/>
  <c r="S340" i="8"/>
  <c r="B369" i="6"/>
  <c r="K340" i="9"/>
  <c r="K340" i="8" s="1"/>
  <c r="O340" i="9"/>
  <c r="O340" i="8" s="1"/>
  <c r="L340" i="9"/>
  <c r="L340" i="8" s="1"/>
  <c r="N340" i="9"/>
  <c r="N340" i="8" s="1"/>
  <c r="P340" i="9"/>
  <c r="P340" i="8" s="1"/>
  <c r="A340" i="8"/>
  <c r="M340" i="9"/>
  <c r="M340" i="8" s="1"/>
  <c r="H369" i="6" s="1"/>
  <c r="Z339" i="8"/>
  <c r="F368" i="6"/>
  <c r="T339" i="8"/>
  <c r="D368" i="6" s="1"/>
  <c r="U339" i="8"/>
  <c r="Y339" i="8"/>
  <c r="C368" i="6"/>
  <c r="R339" i="8"/>
  <c r="A352" i="7" s="1"/>
  <c r="S339" i="8"/>
  <c r="B368" i="6"/>
  <c r="K339" i="9"/>
  <c r="K339" i="8" s="1"/>
  <c r="A339" i="8"/>
  <c r="L339" i="9"/>
  <c r="L339" i="8" s="1"/>
  <c r="M339" i="9"/>
  <c r="M339" i="8" s="1"/>
  <c r="H368" i="6" s="1"/>
  <c r="N339" i="9"/>
  <c r="N339" i="8" s="1"/>
  <c r="O339" i="9"/>
  <c r="O339" i="8" s="1"/>
  <c r="P339" i="9"/>
  <c r="P339" i="8" s="1"/>
  <c r="Z338" i="8"/>
  <c r="F367" i="6"/>
  <c r="T338" i="8"/>
  <c r="D367" i="6" s="1"/>
  <c r="U338" i="8"/>
  <c r="Y338" i="8"/>
  <c r="C367" i="6"/>
  <c r="R338" i="8"/>
  <c r="A351" i="7" s="1"/>
  <c r="S338" i="8"/>
  <c r="B367" i="6"/>
  <c r="L338" i="9"/>
  <c r="L338" i="8" s="1"/>
  <c r="O338" i="9"/>
  <c r="O338" i="8" s="1"/>
  <c r="P338" i="9"/>
  <c r="P338" i="8" s="1"/>
  <c r="A338" i="8"/>
  <c r="M338" i="9"/>
  <c r="M338" i="8" s="1"/>
  <c r="H367" i="6" s="1"/>
  <c r="N338" i="9"/>
  <c r="N338" i="8" s="1"/>
  <c r="K338" i="9"/>
  <c r="K338" i="8" s="1"/>
  <c r="Z337" i="8"/>
  <c r="F366" i="6"/>
  <c r="T337" i="8"/>
  <c r="D366" i="6" s="1"/>
  <c r="U337" i="8"/>
  <c r="Y337" i="8"/>
  <c r="C366" i="6"/>
  <c r="R337" i="8"/>
  <c r="A350" i="7" s="1"/>
  <c r="S337" i="8"/>
  <c r="B366" i="6"/>
  <c r="N337" i="9"/>
  <c r="N337" i="8" s="1"/>
  <c r="P337" i="9"/>
  <c r="P337" i="8" s="1"/>
  <c r="L337" i="9"/>
  <c r="L337" i="8" s="1"/>
  <c r="O337" i="9"/>
  <c r="O337" i="8" s="1"/>
  <c r="A337" i="8"/>
  <c r="M337" i="9"/>
  <c r="M337" i="8" s="1"/>
  <c r="H366" i="6" s="1"/>
  <c r="K337" i="9"/>
  <c r="K337" i="8" s="1"/>
  <c r="Z336" i="8"/>
  <c r="F365" i="6"/>
  <c r="T336" i="8"/>
  <c r="D365" i="6" s="1"/>
  <c r="U336" i="8"/>
  <c r="Y336" i="8"/>
  <c r="C365" i="6"/>
  <c r="R336" i="8"/>
  <c r="A349" i="7" s="1"/>
  <c r="S336" i="8"/>
  <c r="B365" i="6"/>
  <c r="O336" i="9"/>
  <c r="O336" i="8" s="1"/>
  <c r="M336" i="9"/>
  <c r="M336" i="8" s="1"/>
  <c r="H365" i="6" s="1"/>
  <c r="L336" i="9"/>
  <c r="L336" i="8" s="1"/>
  <c r="A336" i="8"/>
  <c r="K336" i="9"/>
  <c r="K336" i="8" s="1"/>
  <c r="P336" i="9"/>
  <c r="P336" i="8" s="1"/>
  <c r="N336" i="9"/>
  <c r="N336" i="8" s="1"/>
  <c r="Z335" i="8"/>
  <c r="F364" i="6"/>
  <c r="T335" i="8"/>
  <c r="D364" i="6" s="1"/>
  <c r="U335" i="8"/>
  <c r="Y335" i="8"/>
  <c r="C364" i="6"/>
  <c r="R335" i="8"/>
  <c r="A348" i="7" s="1"/>
  <c r="S335" i="8"/>
  <c r="B364" i="6"/>
  <c r="P335" i="9"/>
  <c r="P335" i="8" s="1"/>
  <c r="O335" i="9"/>
  <c r="O335" i="8" s="1"/>
  <c r="N335" i="9"/>
  <c r="N335" i="8" s="1"/>
  <c r="M335" i="9"/>
  <c r="M335" i="8" s="1"/>
  <c r="H364" i="6" s="1"/>
  <c r="K335" i="9"/>
  <c r="K335" i="8" s="1"/>
  <c r="L335" i="9"/>
  <c r="L335" i="8" s="1"/>
  <c r="A335" i="8"/>
  <c r="Z334" i="8"/>
  <c r="F363" i="6"/>
  <c r="T334" i="8"/>
  <c r="D363" i="6" s="1"/>
  <c r="U334" i="8"/>
  <c r="Y334" i="8"/>
  <c r="C363" i="6"/>
  <c r="R334" i="8"/>
  <c r="A347" i="7" s="1"/>
  <c r="S334" i="8"/>
  <c r="B363" i="6"/>
  <c r="N334" i="9"/>
  <c r="N334" i="8" s="1"/>
  <c r="M334" i="9"/>
  <c r="M334" i="8" s="1"/>
  <c r="H363" i="6" s="1"/>
  <c r="P334" i="9"/>
  <c r="P334" i="8" s="1"/>
  <c r="K334" i="9"/>
  <c r="K334" i="8" s="1"/>
  <c r="O334" i="9"/>
  <c r="O334" i="8" s="1"/>
  <c r="L334" i="9"/>
  <c r="L334" i="8" s="1"/>
  <c r="A334" i="8"/>
  <c r="Z333" i="8"/>
  <c r="F362" i="6"/>
  <c r="T333" i="8"/>
  <c r="D362" i="6" s="1"/>
  <c r="U333" i="8"/>
  <c r="Y333" i="8"/>
  <c r="C362" i="6"/>
  <c r="R333" i="8"/>
  <c r="A346" i="7" s="1"/>
  <c r="S333" i="8"/>
  <c r="B362" i="6"/>
  <c r="L333" i="9"/>
  <c r="L333" i="8" s="1"/>
  <c r="N333" i="9"/>
  <c r="N333" i="8" s="1"/>
  <c r="K333" i="9"/>
  <c r="K333" i="8" s="1"/>
  <c r="O333" i="9"/>
  <c r="O333" i="8" s="1"/>
  <c r="M333" i="9"/>
  <c r="M333" i="8" s="1"/>
  <c r="H362" i="6" s="1"/>
  <c r="P333" i="9"/>
  <c r="P333" i="8" s="1"/>
  <c r="A333" i="8"/>
  <c r="Z332" i="8"/>
  <c r="F361" i="6"/>
  <c r="T332" i="8"/>
  <c r="D361" i="6" s="1"/>
  <c r="U332" i="8"/>
  <c r="Y332" i="8"/>
  <c r="C361" i="6"/>
  <c r="R332" i="8"/>
  <c r="A345" i="7" s="1"/>
  <c r="S332" i="8"/>
  <c r="B361" i="6"/>
  <c r="M332" i="9"/>
  <c r="M332" i="8" s="1"/>
  <c r="H361" i="6" s="1"/>
  <c r="L332" i="9"/>
  <c r="L332" i="8" s="1"/>
  <c r="O332" i="9"/>
  <c r="O332" i="8" s="1"/>
  <c r="P332" i="9"/>
  <c r="P332" i="8" s="1"/>
  <c r="N332" i="9"/>
  <c r="N332" i="8" s="1"/>
  <c r="K332" i="9"/>
  <c r="K332" i="8" s="1"/>
  <c r="A332" i="8"/>
  <c r="Z331" i="8"/>
  <c r="F360" i="6"/>
  <c r="T331" i="8"/>
  <c r="D360" i="6" s="1"/>
  <c r="U331" i="8"/>
  <c r="Y331" i="8"/>
  <c r="C360" i="6"/>
  <c r="R331" i="8"/>
  <c r="A344" i="7" s="1"/>
  <c r="S331" i="8"/>
  <c r="B360" i="6"/>
  <c r="A331" i="8"/>
  <c r="M331" i="9"/>
  <c r="M331" i="8" s="1"/>
  <c r="H360" i="6" s="1"/>
  <c r="O331" i="9"/>
  <c r="O331" i="8" s="1"/>
  <c r="K331" i="9"/>
  <c r="K331" i="8" s="1"/>
  <c r="P331" i="9"/>
  <c r="P331" i="8" s="1"/>
  <c r="N331" i="9"/>
  <c r="N331" i="8" s="1"/>
  <c r="L331" i="9"/>
  <c r="L331" i="8" s="1"/>
  <c r="Z330" i="8"/>
  <c r="F359" i="6"/>
  <c r="T330" i="8"/>
  <c r="D359" i="6" s="1"/>
  <c r="U330" i="8"/>
  <c r="Y330" i="8"/>
  <c r="C359" i="6"/>
  <c r="R330" i="8"/>
  <c r="A343" i="7" s="1"/>
  <c r="S330" i="8"/>
  <c r="B359" i="6"/>
  <c r="M330" i="9"/>
  <c r="M330" i="8" s="1"/>
  <c r="H359" i="6" s="1"/>
  <c r="L330" i="9"/>
  <c r="L330" i="8" s="1"/>
  <c r="N330" i="9"/>
  <c r="N330" i="8" s="1"/>
  <c r="K330" i="9"/>
  <c r="K330" i="8" s="1"/>
  <c r="P330" i="9"/>
  <c r="P330" i="8" s="1"/>
  <c r="O330" i="9"/>
  <c r="O330" i="8" s="1"/>
  <c r="A330" i="8"/>
  <c r="Z329" i="8"/>
  <c r="F358" i="6"/>
  <c r="T329" i="8"/>
  <c r="D358" i="6" s="1"/>
  <c r="U329" i="8"/>
  <c r="Y329" i="8"/>
  <c r="C358" i="6"/>
  <c r="R329" i="8"/>
  <c r="A342" i="7" s="1"/>
  <c r="S329" i="8"/>
  <c r="B358" i="6"/>
  <c r="L329" i="9"/>
  <c r="L329" i="8" s="1"/>
  <c r="M329" i="9"/>
  <c r="M329" i="8" s="1"/>
  <c r="H358" i="6" s="1"/>
  <c r="N329" i="9"/>
  <c r="N329" i="8" s="1"/>
  <c r="A329" i="8"/>
  <c r="O329" i="9"/>
  <c r="O329" i="8" s="1"/>
  <c r="P329" i="9"/>
  <c r="P329" i="8" s="1"/>
  <c r="K329" i="9"/>
  <c r="K329" i="8" s="1"/>
  <c r="Z328" i="8"/>
  <c r="F357" i="6"/>
  <c r="T328" i="8"/>
  <c r="D357" i="6" s="1"/>
  <c r="U328" i="8"/>
  <c r="Y328" i="8"/>
  <c r="C357" i="6"/>
  <c r="R328" i="8"/>
  <c r="A341" i="7" s="1"/>
  <c r="S328" i="8"/>
  <c r="B357" i="6"/>
  <c r="K328" i="9"/>
  <c r="K328" i="8" s="1"/>
  <c r="M328" i="9"/>
  <c r="M328" i="8" s="1"/>
  <c r="H357" i="6" s="1"/>
  <c r="L328" i="9"/>
  <c r="L328" i="8" s="1"/>
  <c r="N328" i="9"/>
  <c r="N328" i="8" s="1"/>
  <c r="P328" i="9"/>
  <c r="P328" i="8" s="1"/>
  <c r="O328" i="9"/>
  <c r="O328" i="8" s="1"/>
  <c r="A328" i="8"/>
  <c r="Z327" i="8"/>
  <c r="F356" i="6"/>
  <c r="T327" i="8"/>
  <c r="D356" i="6" s="1"/>
  <c r="U327" i="8"/>
  <c r="Y327" i="8"/>
  <c r="C356" i="6"/>
  <c r="R327" i="8"/>
  <c r="A340" i="7" s="1"/>
  <c r="S327" i="8"/>
  <c r="B356" i="6"/>
  <c r="N327" i="9"/>
  <c r="N327" i="8" s="1"/>
  <c r="L327" i="9"/>
  <c r="L327" i="8" s="1"/>
  <c r="M327" i="9"/>
  <c r="M327" i="8" s="1"/>
  <c r="H356" i="6" s="1"/>
  <c r="O327" i="9"/>
  <c r="O327" i="8" s="1"/>
  <c r="A327" i="8"/>
  <c r="K327" i="9"/>
  <c r="K327" i="8" s="1"/>
  <c r="P327" i="9"/>
  <c r="P327" i="8" s="1"/>
  <c r="Z326" i="8"/>
  <c r="F355" i="6"/>
  <c r="T326" i="8"/>
  <c r="D355" i="6" s="1"/>
  <c r="U326" i="8"/>
  <c r="Y326" i="8"/>
  <c r="C355" i="6"/>
  <c r="R326" i="8"/>
  <c r="A339" i="7" s="1"/>
  <c r="S326" i="8"/>
  <c r="B355" i="6"/>
  <c r="O326" i="9"/>
  <c r="O326" i="8" s="1"/>
  <c r="L326" i="9"/>
  <c r="L326" i="8" s="1"/>
  <c r="N326" i="9"/>
  <c r="N326" i="8" s="1"/>
  <c r="P326" i="9"/>
  <c r="P326" i="8" s="1"/>
  <c r="A326" i="8"/>
  <c r="K326" i="9"/>
  <c r="K326" i="8" s="1"/>
  <c r="M326" i="9"/>
  <c r="M326" i="8" s="1"/>
  <c r="H355" i="6" s="1"/>
  <c r="Z325" i="8"/>
  <c r="F354" i="6"/>
  <c r="T325" i="8"/>
  <c r="D354" i="6" s="1"/>
  <c r="U325" i="8"/>
  <c r="Y325" i="8"/>
  <c r="C354" i="6"/>
  <c r="R325" i="8"/>
  <c r="A338" i="7" s="1"/>
  <c r="S325" i="8"/>
  <c r="B354" i="6"/>
  <c r="L325" i="9"/>
  <c r="L325" i="8" s="1"/>
  <c r="O325" i="9"/>
  <c r="O325" i="8" s="1"/>
  <c r="M325" i="9"/>
  <c r="M325" i="8" s="1"/>
  <c r="H354" i="6" s="1"/>
  <c r="K325" i="9"/>
  <c r="K325" i="8" s="1"/>
  <c r="N325" i="9"/>
  <c r="N325" i="8" s="1"/>
  <c r="A325" i="8"/>
  <c r="P325" i="9"/>
  <c r="P325" i="8" s="1"/>
  <c r="Z324" i="8"/>
  <c r="F353" i="6"/>
  <c r="T324" i="8"/>
  <c r="D353" i="6" s="1"/>
  <c r="U324" i="8"/>
  <c r="Y324" i="8"/>
  <c r="C353" i="6"/>
  <c r="R324" i="8"/>
  <c r="A337" i="7" s="1"/>
  <c r="S324" i="8"/>
  <c r="B353" i="6"/>
  <c r="M324" i="9"/>
  <c r="M324" i="8" s="1"/>
  <c r="H353" i="6" s="1"/>
  <c r="L324" i="9"/>
  <c r="L324" i="8" s="1"/>
  <c r="N324" i="9"/>
  <c r="N324" i="8" s="1"/>
  <c r="K324" i="9"/>
  <c r="K324" i="8" s="1"/>
  <c r="P324" i="9"/>
  <c r="P324" i="8" s="1"/>
  <c r="O324" i="9"/>
  <c r="O324" i="8" s="1"/>
  <c r="A324" i="8"/>
  <c r="Z323" i="8"/>
  <c r="F352" i="6"/>
  <c r="T323" i="8"/>
  <c r="D352" i="6" s="1"/>
  <c r="U323" i="8"/>
  <c r="Y323" i="8"/>
  <c r="C352" i="6"/>
  <c r="R323" i="8"/>
  <c r="A336" i="7" s="1"/>
  <c r="S323" i="8"/>
  <c r="B352" i="6"/>
  <c r="A323" i="8"/>
  <c r="M323" i="9"/>
  <c r="M323" i="8" s="1"/>
  <c r="H352" i="6" s="1"/>
  <c r="P323" i="9"/>
  <c r="P323" i="8" s="1"/>
  <c r="N323" i="9"/>
  <c r="N323" i="8" s="1"/>
  <c r="L323" i="9"/>
  <c r="L323" i="8" s="1"/>
  <c r="O323" i="9"/>
  <c r="O323" i="8" s="1"/>
  <c r="K323" i="9"/>
  <c r="K323" i="8" s="1"/>
  <c r="Z322" i="8"/>
  <c r="F351" i="6"/>
  <c r="T322" i="8"/>
  <c r="D351" i="6" s="1"/>
  <c r="U322" i="8"/>
  <c r="Y322" i="8"/>
  <c r="C351" i="6"/>
  <c r="R322" i="8"/>
  <c r="A335" i="7" s="1"/>
  <c r="S322" i="8"/>
  <c r="B351" i="6"/>
  <c r="N322" i="9"/>
  <c r="N322" i="8" s="1"/>
  <c r="A322" i="8"/>
  <c r="K322" i="9"/>
  <c r="K322" i="8" s="1"/>
  <c r="M322" i="9"/>
  <c r="M322" i="8" s="1"/>
  <c r="H351" i="6" s="1"/>
  <c r="P322" i="9"/>
  <c r="P322" i="8" s="1"/>
  <c r="O322" i="9"/>
  <c r="O322" i="8" s="1"/>
  <c r="L322" i="9"/>
  <c r="L322" i="8" s="1"/>
  <c r="Z321" i="8"/>
  <c r="F350" i="6"/>
  <c r="T321" i="8"/>
  <c r="D350" i="6" s="1"/>
  <c r="U321" i="8"/>
  <c r="Y321" i="8"/>
  <c r="C350" i="6"/>
  <c r="R321" i="8"/>
  <c r="A334" i="7" s="1"/>
  <c r="S321" i="8"/>
  <c r="B350" i="6"/>
  <c r="N321" i="9"/>
  <c r="N321" i="8" s="1"/>
  <c r="O321" i="9"/>
  <c r="O321" i="8" s="1"/>
  <c r="P321" i="9"/>
  <c r="P321" i="8" s="1"/>
  <c r="A321" i="8"/>
  <c r="L321" i="9"/>
  <c r="L321" i="8" s="1"/>
  <c r="M321" i="9"/>
  <c r="M321" i="8" s="1"/>
  <c r="H350" i="6" s="1"/>
  <c r="K321" i="9"/>
  <c r="K321" i="8" s="1"/>
  <c r="Z320" i="8"/>
  <c r="F349" i="6"/>
  <c r="T320" i="8"/>
  <c r="D349" i="6" s="1"/>
  <c r="U320" i="8"/>
  <c r="Y320" i="8"/>
  <c r="C349" i="6"/>
  <c r="R320" i="8"/>
  <c r="A333" i="7" s="1"/>
  <c r="S320" i="8"/>
  <c r="B349" i="6"/>
  <c r="M320" i="9"/>
  <c r="M320" i="8" s="1"/>
  <c r="H349" i="6" s="1"/>
  <c r="O320" i="9"/>
  <c r="O320" i="8" s="1"/>
  <c r="L320" i="9"/>
  <c r="L320" i="8" s="1"/>
  <c r="A320" i="8"/>
  <c r="N320" i="9"/>
  <c r="N320" i="8" s="1"/>
  <c r="P320" i="9"/>
  <c r="P320" i="8" s="1"/>
  <c r="K320" i="9"/>
  <c r="K320" i="8" s="1"/>
  <c r="Z319" i="8"/>
  <c r="F348" i="6"/>
  <c r="T319" i="8"/>
  <c r="D348" i="6" s="1"/>
  <c r="U319" i="8"/>
  <c r="Y319" i="8"/>
  <c r="C348" i="6"/>
  <c r="R319" i="8"/>
  <c r="A332" i="7" s="1"/>
  <c r="S319" i="8"/>
  <c r="B348" i="6"/>
  <c r="K319" i="9"/>
  <c r="K319" i="8" s="1"/>
  <c r="A319" i="8"/>
  <c r="L319" i="9"/>
  <c r="L319" i="8" s="1"/>
  <c r="N319" i="9"/>
  <c r="N319" i="8" s="1"/>
  <c r="M319" i="9"/>
  <c r="M319" i="8" s="1"/>
  <c r="H348" i="6" s="1"/>
  <c r="O319" i="9"/>
  <c r="O319" i="8" s="1"/>
  <c r="P319" i="9"/>
  <c r="P319" i="8" s="1"/>
  <c r="Z318" i="8"/>
  <c r="F347" i="6"/>
  <c r="T318" i="8"/>
  <c r="D347" i="6" s="1"/>
  <c r="U318" i="8"/>
  <c r="Y318" i="8"/>
  <c r="C347" i="6"/>
  <c r="R318" i="8"/>
  <c r="A331" i="7" s="1"/>
  <c r="S318" i="8"/>
  <c r="B347" i="6"/>
  <c r="M318" i="9"/>
  <c r="M318" i="8" s="1"/>
  <c r="H347" i="6" s="1"/>
  <c r="L318" i="9"/>
  <c r="L318" i="8" s="1"/>
  <c r="N318" i="9"/>
  <c r="N318" i="8" s="1"/>
  <c r="K318" i="9"/>
  <c r="K318" i="8" s="1"/>
  <c r="P318" i="9"/>
  <c r="P318" i="8" s="1"/>
  <c r="O318" i="9"/>
  <c r="O318" i="8" s="1"/>
  <c r="A318" i="8"/>
  <c r="Z317" i="8"/>
  <c r="F346" i="6"/>
  <c r="T317" i="8"/>
  <c r="D346" i="6" s="1"/>
  <c r="U317" i="8"/>
  <c r="Y317" i="8"/>
  <c r="C346" i="6"/>
  <c r="R317" i="8"/>
  <c r="A330" i="7" s="1"/>
  <c r="S317" i="8"/>
  <c r="B346" i="6"/>
  <c r="N317" i="9"/>
  <c r="N317" i="8" s="1"/>
  <c r="O317" i="9"/>
  <c r="O317" i="8" s="1"/>
  <c r="A317" i="8"/>
  <c r="L317" i="9"/>
  <c r="L317" i="8" s="1"/>
  <c r="K317" i="9"/>
  <c r="K317" i="8" s="1"/>
  <c r="P317" i="9"/>
  <c r="P317" i="8" s="1"/>
  <c r="M317" i="9"/>
  <c r="M317" i="8" s="1"/>
  <c r="H346" i="6" s="1"/>
  <c r="Z316" i="8"/>
  <c r="F345" i="6"/>
  <c r="T316" i="8"/>
  <c r="D345" i="6" s="1"/>
  <c r="U316" i="8"/>
  <c r="Y316" i="8"/>
  <c r="C345" i="6"/>
  <c r="R316" i="8"/>
  <c r="A329" i="7" s="1"/>
  <c r="S316" i="8"/>
  <c r="B345" i="6"/>
  <c r="A316" i="8"/>
  <c r="K316" i="9"/>
  <c r="K316" i="8" s="1"/>
  <c r="M316" i="9"/>
  <c r="M316" i="8" s="1"/>
  <c r="H345" i="6" s="1"/>
  <c r="N316" i="9"/>
  <c r="N316" i="8" s="1"/>
  <c r="P316" i="9"/>
  <c r="P316" i="8" s="1"/>
  <c r="O316" i="9"/>
  <c r="O316" i="8" s="1"/>
  <c r="L316" i="9"/>
  <c r="L316" i="8" s="1"/>
  <c r="Z315" i="8"/>
  <c r="F344" i="6"/>
  <c r="T315" i="8"/>
  <c r="D344" i="6" s="1"/>
  <c r="U315" i="8"/>
  <c r="Y315" i="8"/>
  <c r="C344" i="6"/>
  <c r="R315" i="8"/>
  <c r="A328" i="7" s="1"/>
  <c r="S315" i="8"/>
  <c r="B344" i="6"/>
  <c r="M315" i="9"/>
  <c r="M315" i="8" s="1"/>
  <c r="H344" i="6" s="1"/>
  <c r="N315" i="9"/>
  <c r="N315" i="8" s="1"/>
  <c r="O315" i="9"/>
  <c r="O315" i="8" s="1"/>
  <c r="K315" i="9"/>
  <c r="K315" i="8" s="1"/>
  <c r="L315" i="9"/>
  <c r="L315" i="8" s="1"/>
  <c r="A315" i="8"/>
  <c r="P315" i="9"/>
  <c r="P315" i="8" s="1"/>
  <c r="Z314" i="8"/>
  <c r="F343" i="6"/>
  <c r="T314" i="8"/>
  <c r="D343" i="6" s="1"/>
  <c r="U314" i="8"/>
  <c r="Y314" i="8"/>
  <c r="C343" i="6"/>
  <c r="R314" i="8"/>
  <c r="A327" i="7" s="1"/>
  <c r="S314" i="8"/>
  <c r="B343" i="6"/>
  <c r="L314" i="9"/>
  <c r="L314" i="8" s="1"/>
  <c r="N314" i="9"/>
  <c r="N314" i="8" s="1"/>
  <c r="M314" i="9"/>
  <c r="M314" i="8" s="1"/>
  <c r="H343" i="6" s="1"/>
  <c r="K314" i="9"/>
  <c r="K314" i="8" s="1"/>
  <c r="P314" i="9"/>
  <c r="P314" i="8" s="1"/>
  <c r="A314" i="8"/>
  <c r="O314" i="9"/>
  <c r="O314" i="8" s="1"/>
  <c r="Z313" i="8"/>
  <c r="F342" i="6"/>
  <c r="T313" i="8"/>
  <c r="D342" i="6" s="1"/>
  <c r="U313" i="8"/>
  <c r="Y313" i="8"/>
  <c r="C342" i="6"/>
  <c r="R313" i="8"/>
  <c r="A326" i="7" s="1"/>
  <c r="S313" i="8"/>
  <c r="B342" i="6"/>
  <c r="M313" i="9"/>
  <c r="M313" i="8" s="1"/>
  <c r="H342" i="6" s="1"/>
  <c r="K313" i="9"/>
  <c r="K313" i="8" s="1"/>
  <c r="A313" i="8"/>
  <c r="L313" i="9"/>
  <c r="L313" i="8" s="1"/>
  <c r="O313" i="9"/>
  <c r="O313" i="8" s="1"/>
  <c r="N313" i="9"/>
  <c r="N313" i="8" s="1"/>
  <c r="P313" i="9"/>
  <c r="P313" i="8" s="1"/>
  <c r="Z312" i="8"/>
  <c r="F341" i="6"/>
  <c r="T312" i="8"/>
  <c r="D341" i="6" s="1"/>
  <c r="U312" i="8"/>
  <c r="Y312" i="8"/>
  <c r="C341" i="6"/>
  <c r="R312" i="8"/>
  <c r="A325" i="7" s="1"/>
  <c r="S312" i="8"/>
  <c r="B341" i="6"/>
  <c r="M312" i="9"/>
  <c r="M312" i="8" s="1"/>
  <c r="H341" i="6" s="1"/>
  <c r="O312" i="9"/>
  <c r="O312" i="8" s="1"/>
  <c r="P312" i="9"/>
  <c r="P312" i="8" s="1"/>
  <c r="K312" i="9"/>
  <c r="K312" i="8" s="1"/>
  <c r="A312" i="8"/>
  <c r="L312" i="9"/>
  <c r="L312" i="8" s="1"/>
  <c r="N312" i="9"/>
  <c r="N312" i="8" s="1"/>
  <c r="Z311" i="8"/>
  <c r="F340" i="6"/>
  <c r="T311" i="8"/>
  <c r="D340" i="6" s="1"/>
  <c r="U311" i="8"/>
  <c r="Y311" i="8"/>
  <c r="C340" i="6"/>
  <c r="R311" i="8"/>
  <c r="A324" i="7" s="1"/>
  <c r="S311" i="8"/>
  <c r="B340" i="6"/>
  <c r="P311" i="9"/>
  <c r="P311" i="8" s="1"/>
  <c r="N311" i="9"/>
  <c r="N311" i="8" s="1"/>
  <c r="O311" i="9"/>
  <c r="O311" i="8" s="1"/>
  <c r="A311" i="8"/>
  <c r="L311" i="9"/>
  <c r="L311" i="8" s="1"/>
  <c r="M311" i="9"/>
  <c r="M311" i="8" s="1"/>
  <c r="H340" i="6" s="1"/>
  <c r="K311" i="9"/>
  <c r="K311" i="8" s="1"/>
  <c r="Z310" i="8"/>
  <c r="F339" i="6"/>
  <c r="T310" i="8"/>
  <c r="D339" i="6" s="1"/>
  <c r="U310" i="8"/>
  <c r="Y310" i="8"/>
  <c r="C339" i="6"/>
  <c r="R310" i="8"/>
  <c r="A323" i="7" s="1"/>
  <c r="S310" i="8"/>
  <c r="B339" i="6"/>
  <c r="L310" i="9"/>
  <c r="L310" i="8" s="1"/>
  <c r="P310" i="9"/>
  <c r="P310" i="8" s="1"/>
  <c r="A310" i="8"/>
  <c r="O310" i="9"/>
  <c r="O310" i="8" s="1"/>
  <c r="M310" i="9"/>
  <c r="M310" i="8" s="1"/>
  <c r="H339" i="6" s="1"/>
  <c r="K310" i="9"/>
  <c r="K310" i="8" s="1"/>
  <c r="N310" i="9"/>
  <c r="N310" i="8" s="1"/>
  <c r="Z309" i="8"/>
  <c r="F338" i="6"/>
  <c r="T309" i="8"/>
  <c r="D338" i="6" s="1"/>
  <c r="U309" i="8"/>
  <c r="Y309" i="8"/>
  <c r="C338" i="6"/>
  <c r="R309" i="8"/>
  <c r="A322" i="7" s="1"/>
  <c r="S309" i="8"/>
  <c r="B338" i="6"/>
  <c r="A309" i="8"/>
  <c r="K309" i="9"/>
  <c r="K309" i="8" s="1"/>
  <c r="M309" i="9"/>
  <c r="M309" i="8" s="1"/>
  <c r="H338" i="6" s="1"/>
  <c r="O309" i="9"/>
  <c r="O309" i="8" s="1"/>
  <c r="N309" i="9"/>
  <c r="N309" i="8" s="1"/>
  <c r="P309" i="9"/>
  <c r="P309" i="8" s="1"/>
  <c r="L309" i="9"/>
  <c r="L309" i="8" s="1"/>
  <c r="Z308" i="8"/>
  <c r="F337" i="6"/>
  <c r="T308" i="8"/>
  <c r="D337" i="6" s="1"/>
  <c r="U308" i="8"/>
  <c r="Y308" i="8"/>
  <c r="C337" i="6"/>
  <c r="R308" i="8"/>
  <c r="A321" i="7" s="1"/>
  <c r="S308" i="8"/>
  <c r="B337" i="6"/>
  <c r="P308" i="9"/>
  <c r="P308" i="8" s="1"/>
  <c r="A308" i="8"/>
  <c r="O308" i="9"/>
  <c r="O308" i="8" s="1"/>
  <c r="M308" i="9"/>
  <c r="M308" i="8" s="1"/>
  <c r="H337" i="6" s="1"/>
  <c r="K308" i="9"/>
  <c r="K308" i="8" s="1"/>
  <c r="N308" i="9"/>
  <c r="N308" i="8" s="1"/>
  <c r="L308" i="9"/>
  <c r="L308" i="8" s="1"/>
  <c r="Z307" i="8"/>
  <c r="F336" i="6"/>
  <c r="T307" i="8"/>
  <c r="D336" i="6" s="1"/>
  <c r="U307" i="8"/>
  <c r="Y307" i="8"/>
  <c r="C336" i="6"/>
  <c r="R307" i="8"/>
  <c r="A320" i="7" s="1"/>
  <c r="S307" i="8"/>
  <c r="B336" i="6"/>
  <c r="O307" i="9"/>
  <c r="O307" i="8" s="1"/>
  <c r="K307" i="9"/>
  <c r="K307" i="8" s="1"/>
  <c r="P307" i="9"/>
  <c r="P307" i="8" s="1"/>
  <c r="N307" i="9"/>
  <c r="N307" i="8" s="1"/>
  <c r="A307" i="8"/>
  <c r="M307" i="9"/>
  <c r="M307" i="8" s="1"/>
  <c r="H336" i="6" s="1"/>
  <c r="L307" i="9"/>
  <c r="L307" i="8" s="1"/>
  <c r="Z306" i="8"/>
  <c r="F335" i="6"/>
  <c r="T306" i="8"/>
  <c r="D335" i="6" s="1"/>
  <c r="U306" i="8"/>
  <c r="Y306" i="8"/>
  <c r="C335" i="6"/>
  <c r="R306" i="8"/>
  <c r="A319" i="7" s="1"/>
  <c r="S306" i="8"/>
  <c r="B335" i="6"/>
  <c r="A306" i="8"/>
  <c r="M306" i="9"/>
  <c r="M306" i="8" s="1"/>
  <c r="H335" i="6" s="1"/>
  <c r="O306" i="9"/>
  <c r="O306" i="8" s="1"/>
  <c r="N306" i="9"/>
  <c r="N306" i="8" s="1"/>
  <c r="L306" i="9"/>
  <c r="L306" i="8" s="1"/>
  <c r="P306" i="9"/>
  <c r="P306" i="8" s="1"/>
  <c r="K306" i="9"/>
  <c r="K306" i="8" s="1"/>
  <c r="Z305" i="8"/>
  <c r="F334" i="6"/>
  <c r="T305" i="8"/>
  <c r="D334" i="6" s="1"/>
  <c r="U305" i="8"/>
  <c r="Y305" i="8"/>
  <c r="C334" i="6"/>
  <c r="R305" i="8"/>
  <c r="A318" i="7" s="1"/>
  <c r="S305" i="8"/>
  <c r="B334" i="6"/>
  <c r="O305" i="9"/>
  <c r="O305" i="8" s="1"/>
  <c r="K305" i="9"/>
  <c r="K305" i="8" s="1"/>
  <c r="P305" i="9"/>
  <c r="P305" i="8" s="1"/>
  <c r="N305" i="9"/>
  <c r="N305" i="8" s="1"/>
  <c r="L305" i="9"/>
  <c r="L305" i="8" s="1"/>
  <c r="A305" i="8"/>
  <c r="M305" i="9"/>
  <c r="M305" i="8" s="1"/>
  <c r="H334" i="6" s="1"/>
  <c r="Z304" i="8"/>
  <c r="F333" i="6"/>
  <c r="T304" i="8"/>
  <c r="D333" i="6" s="1"/>
  <c r="U304" i="8"/>
  <c r="Y304" i="8"/>
  <c r="C333" i="6"/>
  <c r="R304" i="8"/>
  <c r="A317" i="7" s="1"/>
  <c r="S304" i="8"/>
  <c r="B333" i="6"/>
  <c r="A304" i="8"/>
  <c r="N304" i="9"/>
  <c r="N304" i="8" s="1"/>
  <c r="P304" i="9"/>
  <c r="P304" i="8" s="1"/>
  <c r="M304" i="9"/>
  <c r="M304" i="8" s="1"/>
  <c r="H333" i="6" s="1"/>
  <c r="K304" i="9"/>
  <c r="K304" i="8" s="1"/>
  <c r="O304" i="9"/>
  <c r="O304" i="8" s="1"/>
  <c r="L304" i="9"/>
  <c r="L304" i="8" s="1"/>
  <c r="Z303" i="8"/>
  <c r="F332" i="6"/>
  <c r="T303" i="8"/>
  <c r="D332" i="6" s="1"/>
  <c r="U303" i="8"/>
  <c r="Y303" i="8"/>
  <c r="C332" i="6"/>
  <c r="R303" i="8"/>
  <c r="A316" i="7" s="1"/>
  <c r="S303" i="8"/>
  <c r="B332" i="6"/>
  <c r="A303" i="8"/>
  <c r="N303" i="9"/>
  <c r="N303" i="8" s="1"/>
  <c r="L303" i="9"/>
  <c r="L303" i="8" s="1"/>
  <c r="O303" i="9"/>
  <c r="O303" i="8" s="1"/>
  <c r="K303" i="9"/>
  <c r="K303" i="8" s="1"/>
  <c r="M303" i="9"/>
  <c r="M303" i="8" s="1"/>
  <c r="H332" i="6" s="1"/>
  <c r="P303" i="9"/>
  <c r="P303" i="8" s="1"/>
  <c r="Z302" i="8"/>
  <c r="F331" i="6"/>
  <c r="T302" i="8"/>
  <c r="D331" i="6" s="1"/>
  <c r="U302" i="8"/>
  <c r="Y302" i="8"/>
  <c r="C331" i="6"/>
  <c r="R302" i="8"/>
  <c r="A315" i="7" s="1"/>
  <c r="S302" i="8"/>
  <c r="B331" i="6"/>
  <c r="M302" i="9"/>
  <c r="M302" i="8" s="1"/>
  <c r="H331" i="6" s="1"/>
  <c r="O302" i="9"/>
  <c r="O302" i="8" s="1"/>
  <c r="L302" i="9"/>
  <c r="L302" i="8" s="1"/>
  <c r="K302" i="9"/>
  <c r="K302" i="8" s="1"/>
  <c r="N302" i="9"/>
  <c r="N302" i="8" s="1"/>
  <c r="P302" i="9"/>
  <c r="P302" i="8" s="1"/>
  <c r="A302" i="8"/>
  <c r="Z301" i="8"/>
  <c r="F330" i="6"/>
  <c r="T301" i="8"/>
  <c r="D330" i="6" s="1"/>
  <c r="U301" i="8"/>
  <c r="Y301" i="8"/>
  <c r="C330" i="6"/>
  <c r="R301" i="8"/>
  <c r="A314" i="7" s="1"/>
  <c r="S301" i="8"/>
  <c r="B330" i="6"/>
  <c r="O301" i="9"/>
  <c r="O301" i="8" s="1"/>
  <c r="A301" i="8"/>
  <c r="M301" i="9"/>
  <c r="M301" i="8" s="1"/>
  <c r="H330" i="6" s="1"/>
  <c r="P301" i="9"/>
  <c r="P301" i="8" s="1"/>
  <c r="N301" i="9"/>
  <c r="N301" i="8" s="1"/>
  <c r="K301" i="9"/>
  <c r="K301" i="8" s="1"/>
  <c r="L301" i="9"/>
  <c r="L301" i="8" s="1"/>
  <c r="Z300" i="8"/>
  <c r="F329" i="6"/>
  <c r="T300" i="8"/>
  <c r="D329" i="6" s="1"/>
  <c r="U300" i="8"/>
  <c r="Y300" i="8"/>
  <c r="C329" i="6"/>
  <c r="R300" i="8"/>
  <c r="A313" i="7" s="1"/>
  <c r="S300" i="8"/>
  <c r="B329" i="6"/>
  <c r="P300" i="9"/>
  <c r="P300" i="8" s="1"/>
  <c r="L300" i="9"/>
  <c r="L300" i="8" s="1"/>
  <c r="O300" i="9"/>
  <c r="O300" i="8" s="1"/>
  <c r="A300" i="8"/>
  <c r="K300" i="9"/>
  <c r="K300" i="8" s="1"/>
  <c r="N300" i="9"/>
  <c r="N300" i="8" s="1"/>
  <c r="M300" i="9"/>
  <c r="M300" i="8" s="1"/>
  <c r="H329" i="6" s="1"/>
  <c r="Z299" i="8"/>
  <c r="F328" i="6"/>
  <c r="T299" i="8"/>
  <c r="D328" i="6" s="1"/>
  <c r="U299" i="8"/>
  <c r="Y299" i="8"/>
  <c r="C328" i="6"/>
  <c r="R299" i="8"/>
  <c r="A312" i="7" s="1"/>
  <c r="S299" i="8"/>
  <c r="B328" i="6"/>
  <c r="O299" i="9"/>
  <c r="O299" i="8" s="1"/>
  <c r="P299" i="9"/>
  <c r="P299" i="8" s="1"/>
  <c r="M299" i="9"/>
  <c r="M299" i="8" s="1"/>
  <c r="H328" i="6" s="1"/>
  <c r="A299" i="8"/>
  <c r="K299" i="9"/>
  <c r="K299" i="8" s="1"/>
  <c r="N299" i="9"/>
  <c r="N299" i="8" s="1"/>
  <c r="L299" i="9"/>
  <c r="L299" i="8" s="1"/>
  <c r="Z298" i="8"/>
  <c r="F327" i="6"/>
  <c r="T298" i="8"/>
  <c r="D327" i="6" s="1"/>
  <c r="U298" i="8"/>
  <c r="Y298" i="8"/>
  <c r="C327" i="6"/>
  <c r="R298" i="8"/>
  <c r="A311" i="7" s="1"/>
  <c r="S298" i="8"/>
  <c r="B327" i="6"/>
  <c r="O298" i="9"/>
  <c r="O298" i="8" s="1"/>
  <c r="K298" i="9"/>
  <c r="K298" i="8" s="1"/>
  <c r="L298" i="9"/>
  <c r="L298" i="8" s="1"/>
  <c r="M298" i="9"/>
  <c r="M298" i="8" s="1"/>
  <c r="H327" i="6" s="1"/>
  <c r="N298" i="9"/>
  <c r="N298" i="8" s="1"/>
  <c r="P298" i="9"/>
  <c r="P298" i="8" s="1"/>
  <c r="A298" i="8"/>
  <c r="Z297" i="8"/>
  <c r="F326" i="6"/>
  <c r="T297" i="8"/>
  <c r="D326" i="6" s="1"/>
  <c r="U297" i="8"/>
  <c r="Y297" i="8"/>
  <c r="C326" i="6"/>
  <c r="R297" i="8"/>
  <c r="A310" i="7" s="1"/>
  <c r="S297" i="8"/>
  <c r="B326" i="6"/>
  <c r="M297" i="9"/>
  <c r="M297" i="8" s="1"/>
  <c r="H326" i="6" s="1"/>
  <c r="N297" i="9"/>
  <c r="N297" i="8" s="1"/>
  <c r="L297" i="9"/>
  <c r="L297" i="8" s="1"/>
  <c r="O297" i="9"/>
  <c r="O297" i="8" s="1"/>
  <c r="P297" i="9"/>
  <c r="P297" i="8" s="1"/>
  <c r="A297" i="8"/>
  <c r="Z296" i="8"/>
  <c r="F325" i="6"/>
  <c r="T296" i="8"/>
  <c r="D325" i="6" s="1"/>
  <c r="U296" i="8"/>
  <c r="Y296" i="8"/>
  <c r="C325" i="6"/>
  <c r="R296" i="8"/>
  <c r="A309" i="7" s="1"/>
  <c r="S296" i="8"/>
  <c r="B325" i="6"/>
  <c r="L296" i="9"/>
  <c r="L296" i="8" s="1"/>
  <c r="N296" i="9"/>
  <c r="N296" i="8" s="1"/>
  <c r="M296" i="9"/>
  <c r="M296" i="8" s="1"/>
  <c r="H325" i="6" s="1"/>
  <c r="P296" i="9"/>
  <c r="P296" i="8" s="1"/>
  <c r="O296" i="9"/>
  <c r="O296" i="8" s="1"/>
  <c r="K296" i="9"/>
  <c r="K296" i="8" s="1"/>
  <c r="A296" i="8"/>
  <c r="Z295" i="8"/>
  <c r="F324" i="6"/>
  <c r="T295" i="8"/>
  <c r="D324" i="6" s="1"/>
  <c r="U295" i="8"/>
  <c r="Y295" i="8"/>
  <c r="C324" i="6"/>
  <c r="R295" i="8"/>
  <c r="A308" i="7" s="1"/>
  <c r="S295" i="8"/>
  <c r="B324" i="6"/>
  <c r="K295" i="9"/>
  <c r="K295" i="8" s="1"/>
  <c r="A295" i="8"/>
  <c r="P295" i="9"/>
  <c r="P295" i="8" s="1"/>
  <c r="O295" i="9"/>
  <c r="O295" i="8" s="1"/>
  <c r="M295" i="9"/>
  <c r="M295" i="8" s="1"/>
  <c r="H324" i="6" s="1"/>
  <c r="N295" i="9"/>
  <c r="N295" i="8" s="1"/>
  <c r="L295" i="9"/>
  <c r="L295" i="8" s="1"/>
  <c r="Z294" i="8"/>
  <c r="F323" i="6"/>
  <c r="T294" i="8"/>
  <c r="D323" i="6" s="1"/>
  <c r="U294" i="8"/>
  <c r="Y294" i="8"/>
  <c r="C323" i="6"/>
  <c r="R294" i="8"/>
  <c r="A307" i="7" s="1"/>
  <c r="S294" i="8"/>
  <c r="B323" i="6"/>
  <c r="K294" i="9"/>
  <c r="K294" i="8" s="1"/>
  <c r="A294" i="8"/>
  <c r="N294" i="9"/>
  <c r="N294" i="8" s="1"/>
  <c r="O294" i="9"/>
  <c r="O294" i="8" s="1"/>
  <c r="P294" i="9"/>
  <c r="P294" i="8" s="1"/>
  <c r="M294" i="9"/>
  <c r="M294" i="8" s="1"/>
  <c r="H323" i="6" s="1"/>
  <c r="L294" i="9"/>
  <c r="L294" i="8" s="1"/>
  <c r="Z293" i="8"/>
  <c r="F322" i="6"/>
  <c r="T293" i="8"/>
  <c r="D322" i="6" s="1"/>
  <c r="U293" i="8"/>
  <c r="Y293" i="8"/>
  <c r="C322" i="6"/>
  <c r="R293" i="8"/>
  <c r="A306" i="7" s="1"/>
  <c r="S293" i="8"/>
  <c r="B322" i="6"/>
  <c r="K293" i="9"/>
  <c r="K293" i="8" s="1"/>
  <c r="L293" i="9"/>
  <c r="L293" i="8" s="1"/>
  <c r="M293" i="9"/>
  <c r="M293" i="8" s="1"/>
  <c r="H322" i="6" s="1"/>
  <c r="N293" i="9"/>
  <c r="N293" i="8" s="1"/>
  <c r="O293" i="9"/>
  <c r="O293" i="8" s="1"/>
  <c r="P293" i="9"/>
  <c r="P293" i="8" s="1"/>
  <c r="A293" i="8"/>
  <c r="Z292" i="8"/>
  <c r="F321" i="6"/>
  <c r="T292" i="8"/>
  <c r="D321" i="6" s="1"/>
  <c r="U292" i="8"/>
  <c r="Y292" i="8"/>
  <c r="C321" i="6"/>
  <c r="R292" i="8"/>
  <c r="A305" i="7" s="1"/>
  <c r="S292" i="8"/>
  <c r="B321" i="6"/>
  <c r="A292" i="8"/>
  <c r="P292" i="9"/>
  <c r="P292" i="8" s="1"/>
  <c r="O292" i="9"/>
  <c r="O292" i="8" s="1"/>
  <c r="N292" i="9"/>
  <c r="N292" i="8" s="1"/>
  <c r="M292" i="9"/>
  <c r="M292" i="8" s="1"/>
  <c r="H321" i="6" s="1"/>
  <c r="L292" i="9"/>
  <c r="L292" i="8" s="1"/>
  <c r="K292" i="9"/>
  <c r="K292" i="8" s="1"/>
  <c r="Z291" i="8"/>
  <c r="F320" i="6"/>
  <c r="T291" i="8"/>
  <c r="D320" i="6" s="1"/>
  <c r="U291" i="8"/>
  <c r="Y291" i="8"/>
  <c r="C320" i="6"/>
  <c r="R291" i="8"/>
  <c r="A304" i="7" s="1"/>
  <c r="S291" i="8"/>
  <c r="B320" i="6"/>
  <c r="M291" i="9"/>
  <c r="M291" i="8" s="1"/>
  <c r="H320" i="6" s="1"/>
  <c r="N291" i="9"/>
  <c r="N291" i="8" s="1"/>
  <c r="A291" i="8"/>
  <c r="K291" i="9"/>
  <c r="K291" i="8" s="1"/>
  <c r="L291" i="9"/>
  <c r="L291" i="8" s="1"/>
  <c r="P291" i="9"/>
  <c r="P291" i="8" s="1"/>
  <c r="O291" i="9"/>
  <c r="O291" i="8" s="1"/>
  <c r="Z290" i="8"/>
  <c r="F319" i="6"/>
  <c r="T290" i="8"/>
  <c r="D319" i="6" s="1"/>
  <c r="U290" i="8"/>
  <c r="Y290" i="8"/>
  <c r="C319" i="6"/>
  <c r="R290" i="8"/>
  <c r="A303" i="7" s="1"/>
  <c r="S290" i="8"/>
  <c r="B319" i="6"/>
  <c r="M290" i="9"/>
  <c r="M290" i="8" s="1"/>
  <c r="H319" i="6" s="1"/>
  <c r="L290" i="9"/>
  <c r="L290" i="8" s="1"/>
  <c r="K290" i="9"/>
  <c r="K290" i="8" s="1"/>
  <c r="A290" i="8"/>
  <c r="P290" i="9"/>
  <c r="P290" i="8" s="1"/>
  <c r="O290" i="9"/>
  <c r="O290" i="8" s="1"/>
  <c r="N290" i="9"/>
  <c r="N290" i="8" s="1"/>
  <c r="Z289" i="8"/>
  <c r="F318" i="6"/>
  <c r="T289" i="8"/>
  <c r="D318" i="6" s="1"/>
  <c r="U289" i="8"/>
  <c r="Y289" i="8"/>
  <c r="C318" i="6"/>
  <c r="R289" i="8"/>
  <c r="A302" i="7" s="1"/>
  <c r="S289" i="8"/>
  <c r="B318" i="6"/>
  <c r="K289" i="9"/>
  <c r="K289" i="8" s="1"/>
  <c r="L289" i="9"/>
  <c r="L289" i="8" s="1"/>
  <c r="M289" i="9"/>
  <c r="M289" i="8" s="1"/>
  <c r="H318" i="6" s="1"/>
  <c r="N289" i="9"/>
  <c r="N289" i="8" s="1"/>
  <c r="P289" i="9"/>
  <c r="P289" i="8" s="1"/>
  <c r="A289" i="8"/>
  <c r="O289" i="9"/>
  <c r="O289" i="8" s="1"/>
  <c r="Z288" i="8"/>
  <c r="F317" i="6"/>
  <c r="T288" i="8"/>
  <c r="D317" i="6" s="1"/>
  <c r="U288" i="8"/>
  <c r="Y288" i="8"/>
  <c r="C317" i="6"/>
  <c r="R288" i="8"/>
  <c r="A301" i="7" s="1"/>
  <c r="S288" i="8"/>
  <c r="B317" i="6"/>
  <c r="M288" i="9"/>
  <c r="M288" i="8" s="1"/>
  <c r="H317" i="6" s="1"/>
  <c r="N288" i="9"/>
  <c r="N288" i="8" s="1"/>
  <c r="L288" i="9"/>
  <c r="L288" i="8" s="1"/>
  <c r="K288" i="9"/>
  <c r="K288" i="8" s="1"/>
  <c r="O288" i="9"/>
  <c r="O288" i="8" s="1"/>
  <c r="P288" i="9"/>
  <c r="P288" i="8" s="1"/>
  <c r="A288" i="8"/>
  <c r="Z287" i="8"/>
  <c r="F316" i="6"/>
  <c r="T287" i="8"/>
  <c r="D316" i="6" s="1"/>
  <c r="U287" i="8"/>
  <c r="Y287" i="8"/>
  <c r="C316" i="6"/>
  <c r="R287" i="8"/>
  <c r="A300" i="7" s="1"/>
  <c r="S287" i="8"/>
  <c r="B316" i="6"/>
  <c r="A287" i="8"/>
  <c r="K287" i="9"/>
  <c r="K287" i="8" s="1"/>
  <c r="L287" i="9"/>
  <c r="L287" i="8" s="1"/>
  <c r="M287" i="9"/>
  <c r="M287" i="8" s="1"/>
  <c r="H316" i="6" s="1"/>
  <c r="N287" i="9"/>
  <c r="N287" i="8" s="1"/>
  <c r="O287" i="9"/>
  <c r="O287" i="8" s="1"/>
  <c r="P287" i="9"/>
  <c r="P287" i="8" s="1"/>
  <c r="Z286" i="8"/>
  <c r="F315" i="6"/>
  <c r="T286" i="8"/>
  <c r="D315" i="6" s="1"/>
  <c r="U286" i="8"/>
  <c r="Y286" i="8"/>
  <c r="C315" i="6"/>
  <c r="R286" i="8"/>
  <c r="A299" i="7" s="1"/>
  <c r="S286" i="8"/>
  <c r="B315" i="6"/>
  <c r="P286" i="9"/>
  <c r="P286" i="8" s="1"/>
  <c r="O286" i="9"/>
  <c r="O286" i="8" s="1"/>
  <c r="N286" i="9"/>
  <c r="N286" i="8" s="1"/>
  <c r="M286" i="9"/>
  <c r="M286" i="8" s="1"/>
  <c r="H315" i="6" s="1"/>
  <c r="L286" i="9"/>
  <c r="L286" i="8" s="1"/>
  <c r="K286" i="9"/>
  <c r="K286" i="8" s="1"/>
  <c r="A286" i="8"/>
  <c r="Z285" i="8"/>
  <c r="F314" i="6"/>
  <c r="T285" i="8"/>
  <c r="D314" i="6" s="1"/>
  <c r="U285" i="8"/>
  <c r="Y285" i="8"/>
  <c r="C314" i="6"/>
  <c r="R285" i="8"/>
  <c r="A298" i="7" s="1"/>
  <c r="S285" i="8"/>
  <c r="B314" i="6"/>
  <c r="M285" i="9"/>
  <c r="M285" i="8" s="1"/>
  <c r="H314" i="6" s="1"/>
  <c r="K285" i="9"/>
  <c r="K285" i="8" s="1"/>
  <c r="P285" i="9"/>
  <c r="P285" i="8" s="1"/>
  <c r="A285" i="8"/>
  <c r="O285" i="9"/>
  <c r="O285" i="8" s="1"/>
  <c r="N285" i="9"/>
  <c r="N285" i="8" s="1"/>
  <c r="L285" i="9"/>
  <c r="L285" i="8" s="1"/>
  <c r="Z284" i="8"/>
  <c r="F313" i="6"/>
  <c r="T284" i="8"/>
  <c r="D313" i="6" s="1"/>
  <c r="U284" i="8"/>
  <c r="Y284" i="8"/>
  <c r="C313" i="6"/>
  <c r="R284" i="8"/>
  <c r="A297" i="7" s="1"/>
  <c r="S284" i="8"/>
  <c r="B313" i="6"/>
  <c r="L284" i="9"/>
  <c r="L284" i="8" s="1"/>
  <c r="P284" i="9"/>
  <c r="P284" i="8" s="1"/>
  <c r="O284" i="9"/>
  <c r="O284" i="8" s="1"/>
  <c r="N284" i="9"/>
  <c r="N284" i="8" s="1"/>
  <c r="M284" i="9"/>
  <c r="M284" i="8" s="1"/>
  <c r="H313" i="6" s="1"/>
  <c r="K284" i="9"/>
  <c r="K284" i="8" s="1"/>
  <c r="A284" i="8"/>
  <c r="Z283" i="8"/>
  <c r="F312" i="6"/>
  <c r="T283" i="8"/>
  <c r="D312" i="6" s="1"/>
  <c r="U283" i="8"/>
  <c r="Y283" i="8"/>
  <c r="C312" i="6"/>
  <c r="R283" i="8"/>
  <c r="A296" i="7" s="1"/>
  <c r="S283" i="8"/>
  <c r="B312" i="6"/>
  <c r="L283" i="9"/>
  <c r="L283" i="8" s="1"/>
  <c r="K283" i="9"/>
  <c r="K283" i="8" s="1"/>
  <c r="M283" i="9"/>
  <c r="M283" i="8" s="1"/>
  <c r="H312" i="6" s="1"/>
  <c r="P283" i="9"/>
  <c r="P283" i="8" s="1"/>
  <c r="O283" i="9"/>
  <c r="O283" i="8" s="1"/>
  <c r="N283" i="9"/>
  <c r="N283" i="8" s="1"/>
  <c r="A283" i="8"/>
  <c r="Z282" i="8"/>
  <c r="F311" i="6"/>
  <c r="T282" i="8"/>
  <c r="D311" i="6" s="1"/>
  <c r="U282" i="8"/>
  <c r="Y282" i="8"/>
  <c r="C311" i="6"/>
  <c r="R282" i="8"/>
  <c r="A295" i="7" s="1"/>
  <c r="S282" i="8"/>
  <c r="B311" i="6"/>
  <c r="M282" i="9"/>
  <c r="M282" i="8" s="1"/>
  <c r="H311" i="6" s="1"/>
  <c r="L282" i="9"/>
  <c r="L282" i="8" s="1"/>
  <c r="K282" i="9"/>
  <c r="K282" i="8" s="1"/>
  <c r="P282" i="9"/>
  <c r="P282" i="8" s="1"/>
  <c r="O282" i="9"/>
  <c r="O282" i="8" s="1"/>
  <c r="N282" i="9"/>
  <c r="N282" i="8" s="1"/>
  <c r="A282" i="8"/>
  <c r="Z281" i="8"/>
  <c r="F310" i="6"/>
  <c r="T281" i="8"/>
  <c r="D310" i="6" s="1"/>
  <c r="U281" i="8"/>
  <c r="Y281" i="8"/>
  <c r="C310" i="6"/>
  <c r="R281" i="8"/>
  <c r="A294" i="7" s="1"/>
  <c r="S281" i="8"/>
  <c r="B310" i="6"/>
  <c r="A281" i="8"/>
  <c r="L281" i="9"/>
  <c r="L281" i="8" s="1"/>
  <c r="M281" i="9"/>
  <c r="M281" i="8" s="1"/>
  <c r="H310" i="6" s="1"/>
  <c r="N281" i="9"/>
  <c r="N281" i="8" s="1"/>
  <c r="K281" i="9"/>
  <c r="K281" i="8" s="1"/>
  <c r="O281" i="9"/>
  <c r="O281" i="8" s="1"/>
  <c r="P281" i="9"/>
  <c r="P281" i="8" s="1"/>
  <c r="Z280" i="8"/>
  <c r="F309" i="6"/>
  <c r="T280" i="8"/>
  <c r="D309" i="6" s="1"/>
  <c r="U280" i="8"/>
  <c r="Y280" i="8"/>
  <c r="C309" i="6"/>
  <c r="R280" i="8"/>
  <c r="A293" i="7" s="1"/>
  <c r="S280" i="8"/>
  <c r="B309" i="6"/>
  <c r="L280" i="9"/>
  <c r="L280" i="8" s="1"/>
  <c r="K280" i="9"/>
  <c r="K280" i="8" s="1"/>
  <c r="M280" i="9"/>
  <c r="M280" i="8" s="1"/>
  <c r="H309" i="6" s="1"/>
  <c r="N280" i="9"/>
  <c r="N280" i="8" s="1"/>
  <c r="O280" i="9"/>
  <c r="O280" i="8" s="1"/>
  <c r="P280" i="9"/>
  <c r="P280" i="8" s="1"/>
  <c r="A280" i="8"/>
  <c r="Z279" i="8"/>
  <c r="F308" i="6"/>
  <c r="T279" i="8"/>
  <c r="D308" i="6" s="1"/>
  <c r="U279" i="8"/>
  <c r="Y279" i="8"/>
  <c r="C308" i="6"/>
  <c r="R279" i="8"/>
  <c r="A292" i="7" s="1"/>
  <c r="S279" i="8"/>
  <c r="B308" i="6"/>
  <c r="N279" i="9"/>
  <c r="N279" i="8" s="1"/>
  <c r="A279" i="8"/>
  <c r="M279" i="9"/>
  <c r="M279" i="8" s="1"/>
  <c r="H308" i="6" s="1"/>
  <c r="L279" i="9"/>
  <c r="L279" i="8" s="1"/>
  <c r="K279" i="9"/>
  <c r="K279" i="8" s="1"/>
  <c r="P279" i="9"/>
  <c r="P279" i="8" s="1"/>
  <c r="O279" i="9"/>
  <c r="O279" i="8" s="1"/>
  <c r="Z278" i="8"/>
  <c r="F307" i="6"/>
  <c r="T278" i="8"/>
  <c r="D307" i="6" s="1"/>
  <c r="U278" i="8"/>
  <c r="Y278" i="8"/>
  <c r="C307" i="6"/>
  <c r="R278" i="8"/>
  <c r="A291" i="7" s="1"/>
  <c r="S278" i="8"/>
  <c r="B307" i="6"/>
  <c r="M278" i="9"/>
  <c r="M278" i="8" s="1"/>
  <c r="H307" i="6" s="1"/>
  <c r="L278" i="9"/>
  <c r="L278" i="8" s="1"/>
  <c r="N278" i="9"/>
  <c r="N278" i="8" s="1"/>
  <c r="O278" i="9"/>
  <c r="O278" i="8" s="1"/>
  <c r="P278" i="9"/>
  <c r="P278" i="8" s="1"/>
  <c r="A278" i="8"/>
  <c r="K278" i="9"/>
  <c r="K278" i="8" s="1"/>
  <c r="Z277" i="8"/>
  <c r="F306" i="6"/>
  <c r="T277" i="8"/>
  <c r="D306" i="6" s="1"/>
  <c r="U277" i="8"/>
  <c r="Y277" i="8"/>
  <c r="C306" i="6"/>
  <c r="R277" i="8"/>
  <c r="A290" i="7" s="1"/>
  <c r="S277" i="8"/>
  <c r="B306" i="6"/>
  <c r="N277" i="9"/>
  <c r="N277" i="8" s="1"/>
  <c r="A277" i="8"/>
  <c r="P277" i="9"/>
  <c r="P277" i="8" s="1"/>
  <c r="O277" i="9"/>
  <c r="O277" i="8" s="1"/>
  <c r="M277" i="9"/>
  <c r="M277" i="8" s="1"/>
  <c r="H306" i="6" s="1"/>
  <c r="L277" i="9"/>
  <c r="L277" i="8" s="1"/>
  <c r="K277" i="9"/>
  <c r="K277" i="8" s="1"/>
  <c r="Z276" i="8"/>
  <c r="F305" i="6"/>
  <c r="T276" i="8"/>
  <c r="D305" i="6" s="1"/>
  <c r="U276" i="8"/>
  <c r="Y276" i="8"/>
  <c r="C305" i="6"/>
  <c r="R276" i="8"/>
  <c r="A289" i="7" s="1"/>
  <c r="S276" i="8"/>
  <c r="B305" i="6"/>
  <c r="A276" i="8"/>
  <c r="K276" i="9"/>
  <c r="K276" i="8" s="1"/>
  <c r="M276" i="9"/>
  <c r="M276" i="8" s="1"/>
  <c r="H305" i="6" s="1"/>
  <c r="N276" i="9"/>
  <c r="N276" i="8" s="1"/>
  <c r="O276" i="9"/>
  <c r="O276" i="8" s="1"/>
  <c r="P276" i="9"/>
  <c r="P276" i="8" s="1"/>
  <c r="L276" i="9"/>
  <c r="L276" i="8" s="1"/>
  <c r="Z275" i="8"/>
  <c r="F304" i="6"/>
  <c r="T275" i="8"/>
  <c r="D304" i="6" s="1"/>
  <c r="U275" i="8"/>
  <c r="Y275" i="8"/>
  <c r="C304" i="6"/>
  <c r="R275" i="8"/>
  <c r="A288" i="7" s="1"/>
  <c r="S275" i="8"/>
  <c r="B304" i="6"/>
  <c r="A275" i="8"/>
  <c r="P275" i="9"/>
  <c r="P275" i="8" s="1"/>
  <c r="O275" i="9"/>
  <c r="O275" i="8" s="1"/>
  <c r="N275" i="9"/>
  <c r="N275" i="8" s="1"/>
  <c r="M275" i="9"/>
  <c r="M275" i="8" s="1"/>
  <c r="H304" i="6" s="1"/>
  <c r="L275" i="9"/>
  <c r="L275" i="8" s="1"/>
  <c r="K275" i="9"/>
  <c r="K275" i="8" s="1"/>
  <c r="Z274" i="8"/>
  <c r="F303" i="6"/>
  <c r="T274" i="8"/>
  <c r="D303" i="6" s="1"/>
  <c r="U274" i="8"/>
  <c r="Y274" i="8"/>
  <c r="C303" i="6"/>
  <c r="R274" i="8"/>
  <c r="A287" i="7" s="1"/>
  <c r="S274" i="8"/>
  <c r="B303" i="6"/>
  <c r="P274" i="9"/>
  <c r="P274" i="8" s="1"/>
  <c r="O274" i="9"/>
  <c r="O274" i="8" s="1"/>
  <c r="N274" i="9"/>
  <c r="N274" i="8" s="1"/>
  <c r="M274" i="9"/>
  <c r="M274" i="8" s="1"/>
  <c r="H303" i="6" s="1"/>
  <c r="L274" i="9"/>
  <c r="L274" i="8" s="1"/>
  <c r="K274" i="9"/>
  <c r="K274" i="8" s="1"/>
  <c r="A274" i="8"/>
  <c r="Z273" i="8"/>
  <c r="F302" i="6"/>
  <c r="T273" i="8"/>
  <c r="D302" i="6" s="1"/>
  <c r="U273" i="8"/>
  <c r="Y273" i="8"/>
  <c r="C302" i="6"/>
  <c r="R273" i="8"/>
  <c r="A286" i="7" s="1"/>
  <c r="S273" i="8"/>
  <c r="B302" i="6"/>
  <c r="K273" i="9"/>
  <c r="K273" i="8" s="1"/>
  <c r="L273" i="9"/>
  <c r="L273" i="8" s="1"/>
  <c r="M273" i="9"/>
  <c r="M273" i="8" s="1"/>
  <c r="H302" i="6" s="1"/>
  <c r="N273" i="9"/>
  <c r="N273" i="8" s="1"/>
  <c r="P273" i="9"/>
  <c r="P273" i="8" s="1"/>
  <c r="A273" i="8"/>
  <c r="O273" i="9"/>
  <c r="O273" i="8" s="1"/>
  <c r="Z272" i="8"/>
  <c r="F301" i="6"/>
  <c r="T272" i="8"/>
  <c r="D301" i="6" s="1"/>
  <c r="U272" i="8"/>
  <c r="Y272" i="8"/>
  <c r="C301" i="6"/>
  <c r="R272" i="8"/>
  <c r="A285" i="7" s="1"/>
  <c r="S272" i="8"/>
  <c r="B301" i="6"/>
  <c r="K272" i="9"/>
  <c r="K272" i="8" s="1"/>
  <c r="A272" i="8"/>
  <c r="P272" i="9"/>
  <c r="P272" i="8" s="1"/>
  <c r="O272" i="9"/>
  <c r="O272" i="8" s="1"/>
  <c r="N272" i="9"/>
  <c r="N272" i="8" s="1"/>
  <c r="M272" i="9"/>
  <c r="M272" i="8" s="1"/>
  <c r="H301" i="6" s="1"/>
  <c r="L272" i="9"/>
  <c r="L272" i="8" s="1"/>
  <c r="Z271" i="8"/>
  <c r="F300" i="6"/>
  <c r="T271" i="8"/>
  <c r="D300" i="6" s="1"/>
  <c r="U271" i="8"/>
  <c r="Y271" i="8"/>
  <c r="C300" i="6"/>
  <c r="R271" i="8"/>
  <c r="A284" i="7" s="1"/>
  <c r="S271" i="8"/>
  <c r="B300" i="6"/>
  <c r="K271" i="9"/>
  <c r="K271" i="8" s="1"/>
  <c r="M271" i="9"/>
  <c r="M271" i="8" s="1"/>
  <c r="H300" i="6" s="1"/>
  <c r="O271" i="9"/>
  <c r="O271" i="8" s="1"/>
  <c r="P271" i="9"/>
  <c r="P271" i="8" s="1"/>
  <c r="L271" i="9"/>
  <c r="L271" i="8" s="1"/>
  <c r="A271" i="8"/>
  <c r="N271" i="9"/>
  <c r="N271" i="8" s="1"/>
  <c r="Z270" i="8"/>
  <c r="F299" i="6"/>
  <c r="T270" i="8"/>
  <c r="D299" i="6" s="1"/>
  <c r="U270" i="8"/>
  <c r="Y270" i="8"/>
  <c r="C299" i="6"/>
  <c r="R270" i="8"/>
  <c r="A283" i="7" s="1"/>
  <c r="S270" i="8"/>
  <c r="B299" i="6"/>
  <c r="K270" i="9"/>
  <c r="K270" i="8" s="1"/>
  <c r="E8" i="13"/>
  <c r="F8" i="13"/>
  <c r="L270" i="9"/>
  <c r="L270" i="8" s="1"/>
  <c r="M270" i="9"/>
  <c r="M270" i="8" s="1"/>
  <c r="H299" i="6" s="1"/>
  <c r="N270" i="9"/>
  <c r="N270" i="8" s="1"/>
  <c r="O270" i="9"/>
  <c r="O270" i="8" s="1"/>
  <c r="P270" i="9"/>
  <c r="P270" i="8" s="1"/>
  <c r="A270" i="8"/>
  <c r="AC269" i="8"/>
  <c r="I298" i="6"/>
  <c r="C282" i="7"/>
  <c r="K269" i="9"/>
  <c r="K269" i="8" s="1"/>
  <c r="L269" i="9"/>
  <c r="L269" i="8" s="1"/>
  <c r="K268" i="9"/>
  <c r="K268" i="8" s="1"/>
  <c r="L268" i="9"/>
  <c r="L268" i="8" s="1"/>
  <c r="O268" i="9"/>
  <c r="O268" i="8" s="1"/>
  <c r="P268" i="9"/>
  <c r="P268" i="8" s="1"/>
  <c r="M268" i="9"/>
  <c r="M268" i="8" s="1"/>
  <c r="H297" i="6" s="1"/>
  <c r="N268" i="9"/>
  <c r="N268" i="8" s="1"/>
  <c r="L267" i="9"/>
  <c r="L267" i="8" s="1"/>
  <c r="M267" i="9"/>
  <c r="M267" i="8" s="1"/>
  <c r="H296" i="6" s="1"/>
  <c r="N267" i="9"/>
  <c r="N267" i="8" s="1"/>
  <c r="O267" i="9"/>
  <c r="O267" i="8" s="1"/>
  <c r="P267" i="9"/>
  <c r="P267" i="8" s="1"/>
  <c r="K267" i="9"/>
  <c r="K267" i="8" s="1"/>
  <c r="P266" i="9"/>
  <c r="P266" i="8" s="1"/>
  <c r="O266" i="9"/>
  <c r="O266" i="8" s="1"/>
  <c r="N266" i="9"/>
  <c r="N266" i="8" s="1"/>
  <c r="M266" i="9"/>
  <c r="M266" i="8" s="1"/>
  <c r="H295" i="6" s="1"/>
  <c r="L266" i="9"/>
  <c r="L266" i="8" s="1"/>
  <c r="K266" i="9"/>
  <c r="K266" i="8" s="1"/>
  <c r="P265" i="9"/>
  <c r="P265" i="8" s="1"/>
  <c r="O265" i="9"/>
  <c r="O265" i="8" s="1"/>
  <c r="N265" i="9"/>
  <c r="N265" i="8" s="1"/>
  <c r="M265" i="9"/>
  <c r="M265" i="8" s="1"/>
  <c r="H294" i="6" s="1"/>
  <c r="L265" i="9"/>
  <c r="L265" i="8" s="1"/>
  <c r="K265" i="9"/>
  <c r="K265" i="8" s="1"/>
  <c r="P264" i="9"/>
  <c r="P264" i="8" s="1"/>
  <c r="O264" i="9"/>
  <c r="O264" i="8" s="1"/>
  <c r="N264" i="9"/>
  <c r="N264" i="8" s="1"/>
  <c r="M264" i="9"/>
  <c r="M264" i="8" s="1"/>
  <c r="H293" i="6" s="1"/>
  <c r="L264" i="9"/>
  <c r="L264" i="8" s="1"/>
  <c r="K264" i="9"/>
  <c r="K264" i="8" s="1"/>
  <c r="P263" i="9"/>
  <c r="P263" i="8" s="1"/>
  <c r="O263" i="9"/>
  <c r="O263" i="8" s="1"/>
  <c r="K263" i="9"/>
  <c r="K263" i="8" s="1"/>
  <c r="L263" i="9"/>
  <c r="L263" i="8" s="1"/>
  <c r="M263" i="9"/>
  <c r="M263" i="8" s="1"/>
  <c r="H292" i="6" s="1"/>
  <c r="N263" i="9"/>
  <c r="N263" i="8" s="1"/>
  <c r="K262" i="9"/>
  <c r="K262" i="8" s="1"/>
  <c r="L262" i="9"/>
  <c r="L262" i="8" s="1"/>
  <c r="M262" i="9"/>
  <c r="M262" i="8" s="1"/>
  <c r="H291" i="6" s="1"/>
  <c r="N262" i="9"/>
  <c r="N262" i="8" s="1"/>
  <c r="O262" i="9"/>
  <c r="O262" i="8" s="1"/>
  <c r="P262" i="9"/>
  <c r="P262" i="8" s="1"/>
  <c r="K261" i="9"/>
  <c r="K261" i="8" s="1"/>
  <c r="L261" i="9"/>
  <c r="L261" i="8" s="1"/>
  <c r="M261" i="9"/>
  <c r="M261" i="8" s="1"/>
  <c r="H290" i="6" s="1"/>
  <c r="N261" i="9"/>
  <c r="N261" i="8" s="1"/>
  <c r="O261" i="9"/>
  <c r="O261" i="8" s="1"/>
  <c r="P261" i="9"/>
  <c r="P261" i="8" s="1"/>
  <c r="O260" i="9"/>
  <c r="O260" i="8" s="1"/>
  <c r="P260" i="9"/>
  <c r="P260" i="8" s="1"/>
  <c r="N260" i="9"/>
  <c r="N260" i="8" s="1"/>
  <c r="M260" i="9"/>
  <c r="M260" i="8" s="1"/>
  <c r="H289" i="6" s="1"/>
  <c r="L260" i="9"/>
  <c r="L260" i="8" s="1"/>
  <c r="K260" i="9"/>
  <c r="K260" i="8" s="1"/>
  <c r="L259" i="9"/>
  <c r="L259" i="8" s="1"/>
  <c r="K259" i="9"/>
  <c r="K259" i="8" s="1"/>
  <c r="P259" i="9"/>
  <c r="P259" i="8" s="1"/>
  <c r="O259" i="9"/>
  <c r="O259" i="8" s="1"/>
  <c r="N259" i="9"/>
  <c r="N259" i="8" s="1"/>
  <c r="M259" i="9"/>
  <c r="M259" i="8" s="1"/>
  <c r="H288" i="6" s="1"/>
  <c r="P258" i="9"/>
  <c r="P258" i="8" s="1"/>
  <c r="O258" i="9"/>
  <c r="O258" i="8" s="1"/>
  <c r="N258" i="9"/>
  <c r="N258" i="8" s="1"/>
  <c r="M258" i="9"/>
  <c r="M258" i="8" s="1"/>
  <c r="H287" i="6" s="1"/>
  <c r="L258" i="9"/>
  <c r="L258" i="8" s="1"/>
  <c r="K258" i="9"/>
  <c r="K258" i="8" s="1"/>
  <c r="P257" i="9"/>
  <c r="P257" i="8" s="1"/>
  <c r="O257" i="9"/>
  <c r="O257" i="8" s="1"/>
  <c r="N257" i="9"/>
  <c r="N257" i="8" s="1"/>
  <c r="M257" i="9"/>
  <c r="M257" i="8" s="1"/>
  <c r="H286" i="6" s="1"/>
  <c r="L257" i="9"/>
  <c r="L257" i="8" s="1"/>
  <c r="K257" i="9"/>
  <c r="K257" i="8" s="1"/>
  <c r="K256" i="9"/>
  <c r="K256" i="8" s="1"/>
  <c r="P256" i="9"/>
  <c r="P256" i="8" s="1"/>
  <c r="O256" i="9"/>
  <c r="O256" i="8" s="1"/>
  <c r="N256" i="9"/>
  <c r="N256" i="8" s="1"/>
  <c r="M256" i="9"/>
  <c r="M256" i="8" s="1"/>
  <c r="H285" i="6" s="1"/>
  <c r="L256" i="9"/>
  <c r="L256" i="8" s="1"/>
  <c r="K255" i="9"/>
  <c r="K255" i="8" s="1"/>
  <c r="L255" i="9"/>
  <c r="L255" i="8" s="1"/>
  <c r="M255" i="9"/>
  <c r="M255" i="8" s="1"/>
  <c r="H284" i="6" s="1"/>
  <c r="N255" i="9"/>
  <c r="N255" i="8" s="1"/>
  <c r="O255" i="9"/>
  <c r="O255" i="8" s="1"/>
  <c r="P255" i="9"/>
  <c r="P255" i="8" s="1"/>
  <c r="N254" i="9"/>
  <c r="N254" i="8" s="1"/>
  <c r="P254" i="9"/>
  <c r="P254" i="8" s="1"/>
  <c r="O254" i="9"/>
  <c r="O254" i="8" s="1"/>
  <c r="M254" i="9"/>
  <c r="M254" i="8" s="1"/>
  <c r="H283" i="6" s="1"/>
  <c r="L254" i="9"/>
  <c r="L254" i="8" s="1"/>
  <c r="K254" i="9"/>
  <c r="K254" i="8" s="1"/>
  <c r="P253" i="9"/>
  <c r="P253" i="8" s="1"/>
  <c r="O253" i="9"/>
  <c r="O253" i="8" s="1"/>
  <c r="N253" i="9"/>
  <c r="N253" i="8" s="1"/>
  <c r="M253" i="9"/>
  <c r="M253" i="8" s="1"/>
  <c r="H282" i="6" s="1"/>
  <c r="L253" i="9"/>
  <c r="L253" i="8" s="1"/>
  <c r="K253" i="9"/>
  <c r="K253" i="8" s="1"/>
  <c r="K252" i="9"/>
  <c r="K252" i="8" s="1"/>
  <c r="P252" i="9"/>
  <c r="P252" i="8" s="1"/>
  <c r="O252" i="9"/>
  <c r="O252" i="8" s="1"/>
  <c r="N252" i="9"/>
  <c r="N252" i="8" s="1"/>
  <c r="M252" i="9"/>
  <c r="M252" i="8" s="1"/>
  <c r="H281" i="6" s="1"/>
  <c r="L252" i="9"/>
  <c r="L252" i="8" s="1"/>
  <c r="P251" i="9"/>
  <c r="P251" i="8" s="1"/>
  <c r="K251" i="9"/>
  <c r="K251" i="8" s="1"/>
  <c r="L251" i="9"/>
  <c r="L251" i="8" s="1"/>
  <c r="M251" i="9"/>
  <c r="M251" i="8" s="1"/>
  <c r="H280" i="6" s="1"/>
  <c r="N251" i="9"/>
  <c r="N251" i="8" s="1"/>
  <c r="O251" i="9"/>
  <c r="O251" i="8" s="1"/>
  <c r="K250" i="9"/>
  <c r="K250" i="8" s="1"/>
  <c r="L250" i="9"/>
  <c r="L250" i="8" s="1"/>
  <c r="M250" i="9"/>
  <c r="M250" i="8" s="1"/>
  <c r="H279" i="6" s="1"/>
  <c r="N250" i="9"/>
  <c r="N250" i="8" s="1"/>
  <c r="O250" i="9"/>
  <c r="O250" i="8" s="1"/>
  <c r="P250" i="9"/>
  <c r="P250" i="8" s="1"/>
  <c r="K249" i="9"/>
  <c r="K249" i="8" s="1"/>
  <c r="L249" i="9"/>
  <c r="L249" i="8" s="1"/>
  <c r="M249" i="9"/>
  <c r="M249" i="8" s="1"/>
  <c r="H278" i="6" s="1"/>
  <c r="N249" i="9"/>
  <c r="N249" i="8" s="1"/>
  <c r="O249" i="9"/>
  <c r="O249" i="8" s="1"/>
  <c r="P249" i="9"/>
  <c r="P249" i="8" s="1"/>
  <c r="N248" i="9"/>
  <c r="N248" i="8" s="1"/>
  <c r="P248" i="9"/>
  <c r="P248" i="8" s="1"/>
  <c r="O248" i="9"/>
  <c r="O248" i="8" s="1"/>
  <c r="M248" i="9"/>
  <c r="M248" i="8" s="1"/>
  <c r="H277" i="6" s="1"/>
  <c r="L248" i="9"/>
  <c r="L248" i="8" s="1"/>
  <c r="K248" i="9"/>
  <c r="K248" i="8" s="1"/>
  <c r="P247" i="9"/>
  <c r="P247" i="8" s="1"/>
  <c r="O247" i="9"/>
  <c r="O247" i="8" s="1"/>
  <c r="N247" i="9"/>
  <c r="N247" i="8" s="1"/>
  <c r="M247" i="9"/>
  <c r="M247" i="8" s="1"/>
  <c r="H276" i="6" s="1"/>
  <c r="L247" i="9"/>
  <c r="L247" i="8" s="1"/>
  <c r="K247" i="9"/>
  <c r="K247" i="8" s="1"/>
  <c r="P246" i="9"/>
  <c r="P246" i="8" s="1"/>
  <c r="O246" i="9"/>
  <c r="O246" i="8" s="1"/>
  <c r="N246" i="9"/>
  <c r="N246" i="8" s="1"/>
  <c r="M246" i="9"/>
  <c r="M246" i="8" s="1"/>
  <c r="H275" i="6" s="1"/>
  <c r="L246" i="9"/>
  <c r="L246" i="8" s="1"/>
  <c r="K246" i="9"/>
  <c r="K246" i="8" s="1"/>
  <c r="P245" i="9"/>
  <c r="P245" i="8" s="1"/>
  <c r="O245" i="9"/>
  <c r="O245" i="8" s="1"/>
  <c r="N245" i="9"/>
  <c r="N245" i="8" s="1"/>
  <c r="M245" i="9"/>
  <c r="M245" i="8" s="1"/>
  <c r="H274" i="6" s="1"/>
  <c r="L245" i="9"/>
  <c r="L245" i="8" s="1"/>
  <c r="K245" i="9"/>
  <c r="K245" i="8" s="1"/>
  <c r="M244" i="9"/>
  <c r="M244" i="8" s="1"/>
  <c r="H273" i="6" s="1"/>
  <c r="P244" i="9"/>
  <c r="P244" i="8" s="1"/>
  <c r="K244" i="9"/>
  <c r="K244" i="8" s="1"/>
  <c r="N244" i="9"/>
  <c r="N244" i="8" s="1"/>
  <c r="L244" i="9"/>
  <c r="L244" i="8" s="1"/>
  <c r="O244" i="9"/>
  <c r="O244" i="8" s="1"/>
  <c r="M243" i="9"/>
  <c r="M243" i="8" s="1"/>
  <c r="H272" i="6" s="1"/>
  <c r="L243" i="9"/>
  <c r="L243" i="8" s="1"/>
  <c r="K243" i="9"/>
  <c r="K243" i="8" s="1"/>
  <c r="N243" i="9"/>
  <c r="N243" i="8" s="1"/>
  <c r="P243" i="9"/>
  <c r="P243" i="8" s="1"/>
  <c r="O243" i="9"/>
  <c r="O243" i="8" s="1"/>
  <c r="P242" i="9"/>
  <c r="P242" i="8" s="1"/>
  <c r="O242" i="9"/>
  <c r="O242" i="8" s="1"/>
  <c r="N242" i="9"/>
  <c r="N242" i="8" s="1"/>
  <c r="M242" i="9"/>
  <c r="M242" i="8" s="1"/>
  <c r="H271" i="6" s="1"/>
  <c r="L242" i="9"/>
  <c r="L242" i="8" s="1"/>
  <c r="K242" i="9"/>
  <c r="K242" i="8" s="1"/>
  <c r="M241" i="9"/>
  <c r="M241" i="8" s="1"/>
  <c r="H270" i="6" s="1"/>
  <c r="L241" i="9"/>
  <c r="L241" i="8" s="1"/>
  <c r="K241" i="9"/>
  <c r="K241" i="8" s="1"/>
  <c r="N241" i="9"/>
  <c r="N241" i="8" s="1"/>
  <c r="O241" i="9"/>
  <c r="O241" i="8" s="1"/>
  <c r="P241" i="9"/>
  <c r="P241" i="8" s="1"/>
  <c r="P240" i="9"/>
  <c r="P240" i="8" s="1"/>
  <c r="O240" i="9"/>
  <c r="O240" i="8" s="1"/>
  <c r="N240" i="9"/>
  <c r="N240" i="8" s="1"/>
  <c r="M240" i="9"/>
  <c r="M240" i="8" s="1"/>
  <c r="H269" i="6" s="1"/>
  <c r="L240" i="9"/>
  <c r="L240" i="8" s="1"/>
  <c r="K240" i="9"/>
  <c r="K240" i="8" s="1"/>
  <c r="M239" i="9"/>
  <c r="M239" i="8" s="1"/>
  <c r="H268" i="6" s="1"/>
  <c r="N239" i="9"/>
  <c r="N239" i="8" s="1"/>
  <c r="K239" i="9"/>
  <c r="K239" i="8" s="1"/>
  <c r="P239" i="9"/>
  <c r="P239" i="8" s="1"/>
  <c r="O239" i="9"/>
  <c r="O239" i="8" s="1"/>
  <c r="L239" i="9"/>
  <c r="L239" i="8" s="1"/>
  <c r="P238" i="9"/>
  <c r="P238" i="8" s="1"/>
  <c r="O238" i="9"/>
  <c r="O238" i="8" s="1"/>
  <c r="N238" i="9"/>
  <c r="N238" i="8" s="1"/>
  <c r="M238" i="9"/>
  <c r="M238" i="8" s="1"/>
  <c r="H267" i="6" s="1"/>
  <c r="L238" i="9"/>
  <c r="L238" i="8" s="1"/>
  <c r="K238" i="9"/>
  <c r="K238" i="8" s="1"/>
  <c r="M237" i="9"/>
  <c r="M237" i="8" s="1"/>
  <c r="H266" i="6" s="1"/>
  <c r="L237" i="9"/>
  <c r="L237" i="8" s="1"/>
  <c r="K237" i="9"/>
  <c r="K237" i="8" s="1"/>
  <c r="N237" i="9"/>
  <c r="N237" i="8" s="1"/>
  <c r="P237" i="9"/>
  <c r="P237" i="8" s="1"/>
  <c r="O237" i="9"/>
  <c r="O237" i="8" s="1"/>
  <c r="P236" i="9"/>
  <c r="P236" i="8" s="1"/>
  <c r="O236" i="9"/>
  <c r="O236" i="8" s="1"/>
  <c r="N236" i="9"/>
  <c r="N236" i="8" s="1"/>
  <c r="M236" i="9"/>
  <c r="M236" i="8" s="1"/>
  <c r="H265" i="6" s="1"/>
  <c r="L236" i="9"/>
  <c r="L236" i="8" s="1"/>
  <c r="K236" i="9"/>
  <c r="K236" i="8" s="1"/>
  <c r="P235" i="9"/>
  <c r="P235" i="8" s="1"/>
  <c r="B71" i="15" s="1"/>
  <c r="O235" i="9"/>
  <c r="O235" i="8" s="1"/>
  <c r="C71" i="15" s="1"/>
  <c r="N235" i="9"/>
  <c r="N235" i="8" s="1"/>
  <c r="D71" i="15" s="1"/>
  <c r="M235" i="9"/>
  <c r="M235" i="8" s="1"/>
  <c r="H264" i="6" s="1"/>
  <c r="L235" i="9"/>
  <c r="L235" i="8" s="1"/>
  <c r="K235" i="9"/>
  <c r="K235" i="8" s="1"/>
  <c r="P234" i="9"/>
  <c r="P234" i="8" s="1"/>
  <c r="L234" i="9"/>
  <c r="L234" i="8" s="1"/>
  <c r="K234" i="9"/>
  <c r="K234" i="8" s="1"/>
  <c r="M234" i="9"/>
  <c r="M234" i="8" s="1"/>
  <c r="H263" i="6" s="1"/>
  <c r="N234" i="9"/>
  <c r="N234" i="8" s="1"/>
  <c r="O234" i="9"/>
  <c r="O234" i="8" s="1"/>
  <c r="O233" i="9"/>
  <c r="O233" i="8" s="1"/>
  <c r="N233" i="9"/>
  <c r="N233" i="8" s="1"/>
  <c r="M233" i="9"/>
  <c r="M233" i="8" s="1"/>
  <c r="H262" i="6" s="1"/>
  <c r="L233" i="9"/>
  <c r="L233" i="8" s="1"/>
  <c r="K233" i="9"/>
  <c r="K233" i="8" s="1"/>
  <c r="P233" i="9"/>
  <c r="P233" i="8" s="1"/>
  <c r="P232" i="9"/>
  <c r="P232" i="8" s="1"/>
  <c r="O232" i="9"/>
  <c r="O232" i="8" s="1"/>
  <c r="N232" i="9"/>
  <c r="N232" i="8" s="1"/>
  <c r="M232" i="9"/>
  <c r="M232" i="8" s="1"/>
  <c r="H261" i="6" s="1"/>
  <c r="L232" i="9"/>
  <c r="L232" i="8" s="1"/>
  <c r="K232" i="9"/>
  <c r="K232" i="8" s="1"/>
  <c r="P231" i="9"/>
  <c r="P231" i="8" s="1"/>
  <c r="O231" i="9"/>
  <c r="O231" i="8" s="1"/>
  <c r="N231" i="9"/>
  <c r="N231" i="8" s="1"/>
  <c r="M231" i="9"/>
  <c r="M231" i="8" s="1"/>
  <c r="H260" i="6" s="1"/>
  <c r="L231" i="9"/>
  <c r="L231" i="8" s="1"/>
  <c r="K231" i="9"/>
  <c r="K231" i="8" s="1"/>
  <c r="L230" i="9"/>
  <c r="L230" i="8" s="1"/>
  <c r="P230" i="9"/>
  <c r="P230" i="8" s="1"/>
  <c r="O230" i="9"/>
  <c r="O230" i="8" s="1"/>
  <c r="N230" i="9"/>
  <c r="N230" i="8" s="1"/>
  <c r="M230" i="9"/>
  <c r="M230" i="8" s="1"/>
  <c r="H259" i="6" s="1"/>
  <c r="K230" i="9"/>
  <c r="K230" i="8" s="1"/>
  <c r="P229" i="9"/>
  <c r="P229" i="8" s="1"/>
  <c r="O229" i="9"/>
  <c r="O229" i="8" s="1"/>
  <c r="N229" i="9"/>
  <c r="N229" i="8" s="1"/>
  <c r="M229" i="9"/>
  <c r="M229" i="8" s="1"/>
  <c r="H258" i="6" s="1"/>
  <c r="L229" i="9"/>
  <c r="L229" i="8" s="1"/>
  <c r="K229" i="9"/>
  <c r="K229" i="8" s="1"/>
  <c r="K228" i="9"/>
  <c r="K228" i="8" s="1"/>
  <c r="P228" i="9"/>
  <c r="P228" i="8" s="1"/>
  <c r="B70" i="15" s="1"/>
  <c r="O228" i="9"/>
  <c r="O228" i="8" s="1"/>
  <c r="C70" i="15" s="1"/>
  <c r="N228" i="9"/>
  <c r="N228" i="8" s="1"/>
  <c r="D70" i="15" s="1"/>
  <c r="M228" i="9"/>
  <c r="M228" i="8" s="1"/>
  <c r="H257" i="6" s="1"/>
  <c r="L228" i="9"/>
  <c r="L228" i="8" s="1"/>
  <c r="L227" i="9"/>
  <c r="L227" i="8" s="1"/>
  <c r="K227" i="9"/>
  <c r="K227" i="8" s="1"/>
  <c r="M227" i="9"/>
  <c r="M227" i="8" s="1"/>
  <c r="H256" i="6" s="1"/>
  <c r="N227" i="9"/>
  <c r="N227" i="8" s="1"/>
  <c r="O227" i="9"/>
  <c r="O227" i="8" s="1"/>
  <c r="P227" i="9"/>
  <c r="P227" i="8" s="1"/>
  <c r="K226" i="9"/>
  <c r="K226" i="8" s="1"/>
  <c r="P226" i="9"/>
  <c r="P226" i="8" s="1"/>
  <c r="O226" i="9"/>
  <c r="O226" i="8" s="1"/>
  <c r="N226" i="9"/>
  <c r="N226" i="8" s="1"/>
  <c r="M226" i="9"/>
  <c r="M226" i="8" s="1"/>
  <c r="H255" i="6" s="1"/>
  <c r="L226" i="9"/>
  <c r="L226" i="8" s="1"/>
  <c r="P225" i="9"/>
  <c r="P225" i="8" s="1"/>
  <c r="N225" i="9"/>
  <c r="N225" i="8" s="1"/>
  <c r="M225" i="9"/>
  <c r="M225" i="8" s="1"/>
  <c r="H254" i="6" s="1"/>
  <c r="L225" i="9"/>
  <c r="L225" i="8" s="1"/>
  <c r="K225" i="9"/>
  <c r="K225" i="8" s="1"/>
  <c r="O225" i="9"/>
  <c r="O225" i="8" s="1"/>
  <c r="K224" i="9"/>
  <c r="K224" i="8" s="1"/>
  <c r="L224" i="9"/>
  <c r="L224" i="8" s="1"/>
  <c r="M224" i="9"/>
  <c r="M224" i="8" s="1"/>
  <c r="H253" i="6" s="1"/>
  <c r="N224" i="9"/>
  <c r="N224" i="8" s="1"/>
  <c r="O224" i="9"/>
  <c r="O224" i="8" s="1"/>
  <c r="P224" i="9"/>
  <c r="P224" i="8" s="1"/>
  <c r="O223" i="9"/>
  <c r="O223" i="8" s="1"/>
  <c r="K223" i="9"/>
  <c r="K223" i="8" s="1"/>
  <c r="L223" i="9"/>
  <c r="L223" i="8" s="1"/>
  <c r="M223" i="9"/>
  <c r="M223" i="8" s="1"/>
  <c r="H252" i="6" s="1"/>
  <c r="N223" i="9"/>
  <c r="N223" i="8" s="1"/>
  <c r="P223" i="9"/>
  <c r="P223" i="8" s="1"/>
  <c r="N222" i="9"/>
  <c r="N222" i="8" s="1"/>
  <c r="M222" i="9"/>
  <c r="M222" i="8" s="1"/>
  <c r="H251" i="6" s="1"/>
  <c r="L222" i="9"/>
  <c r="L222" i="8" s="1"/>
  <c r="K222" i="9"/>
  <c r="K222" i="8" s="1"/>
  <c r="O222" i="9"/>
  <c r="O222" i="8" s="1"/>
  <c r="P222" i="9"/>
  <c r="P222" i="8" s="1"/>
  <c r="L221" i="9"/>
  <c r="L221" i="8" s="1"/>
  <c r="N221" i="9"/>
  <c r="N221" i="8" s="1"/>
  <c r="O221" i="9"/>
  <c r="O221" i="8" s="1"/>
  <c r="P221" i="9"/>
  <c r="P221" i="8" s="1"/>
  <c r="K221" i="9"/>
  <c r="K221" i="8" s="1"/>
  <c r="M221" i="9"/>
  <c r="M221" i="8" s="1"/>
  <c r="H250" i="6" s="1"/>
  <c r="P220" i="9"/>
  <c r="P220" i="8" s="1"/>
  <c r="N220" i="9"/>
  <c r="N220" i="8" s="1"/>
  <c r="M220" i="9"/>
  <c r="M220" i="8" s="1"/>
  <c r="H249" i="6" s="1"/>
  <c r="L220" i="9"/>
  <c r="L220" i="8" s="1"/>
  <c r="K220" i="9"/>
  <c r="K220" i="8" s="1"/>
  <c r="O220" i="9"/>
  <c r="O220" i="8" s="1"/>
  <c r="L219" i="9"/>
  <c r="L219" i="8" s="1"/>
  <c r="N219" i="9"/>
  <c r="N219" i="8" s="1"/>
  <c r="M219" i="9"/>
  <c r="M219" i="8" s="1"/>
  <c r="H248" i="6" s="1"/>
  <c r="O219" i="9"/>
  <c r="O219" i="8" s="1"/>
  <c r="K219" i="9"/>
  <c r="K219" i="8" s="1"/>
  <c r="P219" i="9"/>
  <c r="P219" i="8" s="1"/>
  <c r="P218" i="9"/>
  <c r="P218" i="8" s="1"/>
  <c r="N218" i="9"/>
  <c r="N218" i="8" s="1"/>
  <c r="M218" i="9"/>
  <c r="M218" i="8" s="1"/>
  <c r="H247" i="6" s="1"/>
  <c r="L218" i="9"/>
  <c r="L218" i="8" s="1"/>
  <c r="K218" i="9"/>
  <c r="K218" i="8" s="1"/>
  <c r="O218" i="9"/>
  <c r="O218" i="8" s="1"/>
  <c r="P217" i="9"/>
  <c r="P217" i="8" s="1"/>
  <c r="O217" i="9"/>
  <c r="O217" i="8" s="1"/>
  <c r="N217" i="9"/>
  <c r="N217" i="8" s="1"/>
  <c r="M217" i="9"/>
  <c r="M217" i="8" s="1"/>
  <c r="H246" i="6" s="1"/>
  <c r="L217" i="9"/>
  <c r="L217" i="8" s="1"/>
  <c r="K217" i="9"/>
  <c r="K217" i="8" s="1"/>
  <c r="K216" i="9"/>
  <c r="K216" i="8" s="1"/>
  <c r="O216" i="9"/>
  <c r="O216" i="8" s="1"/>
  <c r="M216" i="9"/>
  <c r="M216" i="8" s="1"/>
  <c r="H245" i="6" s="1"/>
  <c r="N216" i="9"/>
  <c r="N216" i="8" s="1"/>
  <c r="L216" i="9"/>
  <c r="L216" i="8" s="1"/>
  <c r="P216" i="9"/>
  <c r="P216" i="8" s="1"/>
  <c r="M215" i="9"/>
  <c r="M215" i="8" s="1"/>
  <c r="H244" i="6" s="1"/>
  <c r="L215" i="9"/>
  <c r="L215" i="8" s="1"/>
  <c r="K215" i="9"/>
  <c r="K215" i="8" s="1"/>
  <c r="O215" i="9"/>
  <c r="O215" i="8" s="1"/>
  <c r="N215" i="9"/>
  <c r="N215" i="8" s="1"/>
  <c r="P215" i="9"/>
  <c r="P215" i="8" s="1"/>
  <c r="K214" i="9"/>
  <c r="K214" i="8" s="1"/>
  <c r="L214" i="9"/>
  <c r="L214" i="8" s="1"/>
  <c r="M214" i="9"/>
  <c r="M214" i="8" s="1"/>
  <c r="H243" i="6" s="1"/>
  <c r="N214" i="9"/>
  <c r="N214" i="8" s="1"/>
  <c r="O214" i="9"/>
  <c r="O214" i="8" s="1"/>
  <c r="P214" i="9"/>
  <c r="P214" i="8" s="1"/>
  <c r="K213" i="9"/>
  <c r="K213" i="8" s="1"/>
  <c r="L213" i="9"/>
  <c r="L213" i="8" s="1"/>
  <c r="M213" i="9"/>
  <c r="M213" i="8" s="1"/>
  <c r="H242" i="6" s="1"/>
  <c r="N213" i="9"/>
  <c r="N213" i="8" s="1"/>
  <c r="O213" i="9"/>
  <c r="O213" i="8" s="1"/>
  <c r="P213" i="9"/>
  <c r="P213" i="8" s="1"/>
  <c r="K212" i="9"/>
  <c r="K212" i="8" s="1"/>
  <c r="L212" i="9"/>
  <c r="L212" i="8" s="1"/>
  <c r="P212" i="9"/>
  <c r="P212" i="8" s="1"/>
  <c r="O212" i="9"/>
  <c r="O212" i="8" s="1"/>
  <c r="N212" i="9"/>
  <c r="N212" i="8" s="1"/>
  <c r="M212" i="9"/>
  <c r="M212" i="8" s="1"/>
  <c r="H241" i="6" s="1"/>
  <c r="K211" i="9"/>
  <c r="K211" i="8" s="1"/>
  <c r="M211" i="9"/>
  <c r="M211" i="8" s="1"/>
  <c r="H240" i="6" s="1"/>
  <c r="N211" i="9"/>
  <c r="N211" i="8" s="1"/>
  <c r="L211" i="9"/>
  <c r="L211" i="8" s="1"/>
  <c r="O211" i="9"/>
  <c r="O211" i="8" s="1"/>
  <c r="P211" i="9"/>
  <c r="P211" i="8" s="1"/>
  <c r="O210" i="9"/>
  <c r="O210" i="8" s="1"/>
  <c r="N210" i="9"/>
  <c r="N210" i="8" s="1"/>
  <c r="P210" i="9"/>
  <c r="P210" i="8" s="1"/>
  <c r="L210" i="9"/>
  <c r="L210" i="8" s="1"/>
  <c r="K210" i="9"/>
  <c r="K210" i="8" s="1"/>
  <c r="M210" i="9"/>
  <c r="M210" i="8" s="1"/>
  <c r="H239" i="6" s="1"/>
  <c r="O209" i="9"/>
  <c r="O209" i="8" s="1"/>
  <c r="N209" i="9"/>
  <c r="N209" i="8" s="1"/>
  <c r="M209" i="9"/>
  <c r="M209" i="8" s="1"/>
  <c r="H238" i="6" s="1"/>
  <c r="L209" i="9"/>
  <c r="L209" i="8" s="1"/>
  <c r="K209" i="9"/>
  <c r="K209" i="8" s="1"/>
  <c r="P209" i="9"/>
  <c r="P209" i="8" s="1"/>
  <c r="P208" i="9"/>
  <c r="P208" i="8" s="1"/>
  <c r="O208" i="9"/>
  <c r="O208" i="8" s="1"/>
  <c r="N208" i="9"/>
  <c r="N208" i="8" s="1"/>
  <c r="M208" i="9"/>
  <c r="M208" i="8" s="1"/>
  <c r="H237" i="6" s="1"/>
  <c r="L208" i="9"/>
  <c r="L208" i="8" s="1"/>
  <c r="K208" i="9"/>
  <c r="K208" i="8" s="1"/>
  <c r="L207" i="9"/>
  <c r="L207" i="8" s="1"/>
  <c r="K207" i="9"/>
  <c r="K207" i="8" s="1"/>
  <c r="P207" i="9"/>
  <c r="P207" i="8" s="1"/>
  <c r="O207" i="9"/>
  <c r="O207" i="8" s="1"/>
  <c r="M207" i="9"/>
  <c r="M207" i="8" s="1"/>
  <c r="H236" i="6" s="1"/>
  <c r="N207" i="9"/>
  <c r="N207" i="8" s="1"/>
  <c r="P206" i="9"/>
  <c r="P206" i="8" s="1"/>
  <c r="K206" i="9"/>
  <c r="K206" i="8" s="1"/>
  <c r="L206" i="9"/>
  <c r="L206" i="8" s="1"/>
  <c r="M206" i="9"/>
  <c r="M206" i="8" s="1"/>
  <c r="H235" i="6" s="1"/>
  <c r="N206" i="9"/>
  <c r="N206" i="8" s="1"/>
  <c r="O206" i="9"/>
  <c r="O206" i="8" s="1"/>
  <c r="P205" i="9"/>
  <c r="P205" i="8" s="1"/>
  <c r="M205" i="9"/>
  <c r="M205" i="8" s="1"/>
  <c r="H234" i="6" s="1"/>
  <c r="N205" i="9"/>
  <c r="N205" i="8" s="1"/>
  <c r="O205" i="9"/>
  <c r="O205" i="8" s="1"/>
  <c r="K205" i="9"/>
  <c r="K205" i="8" s="1"/>
  <c r="L205" i="9"/>
  <c r="L205" i="8" s="1"/>
  <c r="K204" i="9"/>
  <c r="K204" i="8" s="1"/>
  <c r="L204" i="9"/>
  <c r="L204" i="8" s="1"/>
  <c r="M204" i="9"/>
  <c r="M204" i="8" s="1"/>
  <c r="H233" i="6" s="1"/>
  <c r="N204" i="9"/>
  <c r="N204" i="8" s="1"/>
  <c r="O204" i="9"/>
  <c r="O204" i="8" s="1"/>
  <c r="P204" i="9"/>
  <c r="P204" i="8" s="1"/>
  <c r="K203" i="9"/>
  <c r="K203" i="8" s="1"/>
  <c r="L203" i="9"/>
  <c r="L203" i="8" s="1"/>
  <c r="M203" i="9"/>
  <c r="M203" i="8" s="1"/>
  <c r="H232" i="6" s="1"/>
  <c r="N203" i="9"/>
  <c r="N203" i="8" s="1"/>
  <c r="O203" i="9"/>
  <c r="O203" i="8" s="1"/>
  <c r="P203" i="9"/>
  <c r="P203" i="8" s="1"/>
  <c r="P202" i="9"/>
  <c r="P202" i="8" s="1"/>
  <c r="K202" i="9"/>
  <c r="K202" i="8" s="1"/>
  <c r="L202" i="9"/>
  <c r="L202" i="8" s="1"/>
  <c r="M202" i="9"/>
  <c r="M202" i="8" s="1"/>
  <c r="H231" i="6" s="1"/>
  <c r="N202" i="9"/>
  <c r="N202" i="8" s="1"/>
  <c r="O202" i="9"/>
  <c r="O202" i="8" s="1"/>
  <c r="K201" i="9"/>
  <c r="K201" i="8" s="1"/>
  <c r="L201" i="9"/>
  <c r="L201" i="8" s="1"/>
  <c r="N201" i="9"/>
  <c r="N201" i="8" s="1"/>
  <c r="O201" i="9"/>
  <c r="O201" i="8" s="1"/>
  <c r="P201" i="9"/>
  <c r="P201" i="8" s="1"/>
  <c r="M201" i="9"/>
  <c r="M201" i="8" s="1"/>
  <c r="H230" i="6" s="1"/>
  <c r="M200" i="9"/>
  <c r="M200" i="8" s="1"/>
  <c r="H229" i="6" s="1"/>
  <c r="P200" i="9"/>
  <c r="P200" i="8" s="1"/>
  <c r="O200" i="9"/>
  <c r="O200" i="8" s="1"/>
  <c r="N200" i="9"/>
  <c r="N200" i="8" s="1"/>
  <c r="L200" i="9"/>
  <c r="L200" i="8" s="1"/>
  <c r="K200" i="9"/>
  <c r="K200" i="8" s="1"/>
  <c r="P199" i="9"/>
  <c r="P199" i="8" s="1"/>
  <c r="O199" i="9"/>
  <c r="O199" i="8" s="1"/>
  <c r="N199" i="9"/>
  <c r="N199" i="8" s="1"/>
  <c r="M199" i="9"/>
  <c r="M199" i="8" s="1"/>
  <c r="H228" i="6" s="1"/>
  <c r="L199" i="9"/>
  <c r="L199" i="8" s="1"/>
  <c r="K199" i="9"/>
  <c r="K199" i="8" s="1"/>
  <c r="Z198" i="8"/>
  <c r="F227" i="6"/>
  <c r="T198" i="8"/>
  <c r="D227" i="6" s="1"/>
  <c r="U198" i="8"/>
  <c r="Y198" i="8"/>
  <c r="C227" i="6"/>
  <c r="R198" i="8"/>
  <c r="A211" i="7" s="1"/>
  <c r="S198" i="8"/>
  <c r="B227" i="6"/>
  <c r="N198" i="9"/>
  <c r="N198" i="8" s="1"/>
  <c r="O198" i="9"/>
  <c r="O198" i="8" s="1"/>
  <c r="M198" i="9"/>
  <c r="M198" i="8" s="1"/>
  <c r="H227" i="6" s="1"/>
  <c r="L198" i="9"/>
  <c r="L198" i="8" s="1"/>
  <c r="K198" i="9"/>
  <c r="K198" i="8" s="1"/>
  <c r="A198" i="8"/>
  <c r="P198" i="9"/>
  <c r="P198" i="8" s="1"/>
  <c r="Z197" i="8"/>
  <c r="F226" i="6"/>
  <c r="T197" i="8"/>
  <c r="D226" i="6" s="1"/>
  <c r="U197" i="8"/>
  <c r="Y197" i="8"/>
  <c r="C226" i="6"/>
  <c r="R197" i="8"/>
  <c r="A210" i="7" s="1"/>
  <c r="S197" i="8"/>
  <c r="B226" i="6"/>
  <c r="O197" i="9"/>
  <c r="O197" i="8" s="1"/>
  <c r="K197" i="9"/>
  <c r="K197" i="8" s="1"/>
  <c r="P197" i="9"/>
  <c r="P197" i="8" s="1"/>
  <c r="A197" i="8"/>
  <c r="N197" i="9"/>
  <c r="N197" i="8" s="1"/>
  <c r="M197" i="9"/>
  <c r="M197" i="8" s="1"/>
  <c r="H226" i="6" s="1"/>
  <c r="L197" i="9"/>
  <c r="L197" i="8" s="1"/>
  <c r="Z196" i="8"/>
  <c r="F225" i="6"/>
  <c r="T196" i="8"/>
  <c r="D225" i="6" s="1"/>
  <c r="U196" i="8"/>
  <c r="Y196" i="8"/>
  <c r="C225" i="6"/>
  <c r="R196" i="8"/>
  <c r="A209" i="7" s="1"/>
  <c r="S196" i="8"/>
  <c r="B225" i="6"/>
  <c r="A196" i="8"/>
  <c r="M196" i="9"/>
  <c r="M196" i="8" s="1"/>
  <c r="H225" i="6" s="1"/>
  <c r="N196" i="9"/>
  <c r="N196" i="8" s="1"/>
  <c r="O196" i="9"/>
  <c r="O196" i="8" s="1"/>
  <c r="P196" i="9"/>
  <c r="P196" i="8" s="1"/>
  <c r="L196" i="9"/>
  <c r="L196" i="8" s="1"/>
  <c r="K196" i="9"/>
  <c r="K196" i="8" s="1"/>
  <c r="Z195" i="8"/>
  <c r="F224" i="6"/>
  <c r="T195" i="8"/>
  <c r="D224" i="6" s="1"/>
  <c r="U195" i="8"/>
  <c r="Y195" i="8"/>
  <c r="C224" i="6"/>
  <c r="R195" i="8"/>
  <c r="A208" i="7" s="1"/>
  <c r="S195" i="8"/>
  <c r="B224" i="6"/>
  <c r="P195" i="9"/>
  <c r="P195" i="8" s="1"/>
  <c r="K195" i="9"/>
  <c r="K195" i="8" s="1"/>
  <c r="O195" i="9"/>
  <c r="O195" i="8" s="1"/>
  <c r="N195" i="9"/>
  <c r="N195" i="8" s="1"/>
  <c r="M195" i="9"/>
  <c r="M195" i="8" s="1"/>
  <c r="H224" i="6" s="1"/>
  <c r="L195" i="9"/>
  <c r="L195" i="8" s="1"/>
  <c r="A195" i="8"/>
  <c r="Z194" i="8"/>
  <c r="F223" i="6"/>
  <c r="T194" i="8"/>
  <c r="D223" i="6" s="1"/>
  <c r="U194" i="8"/>
  <c r="Y194" i="8"/>
  <c r="C223" i="6"/>
  <c r="R194" i="8"/>
  <c r="A207" i="7" s="1"/>
  <c r="S194" i="8"/>
  <c r="B223" i="6"/>
  <c r="K194" i="9"/>
  <c r="K194" i="8" s="1"/>
  <c r="L194" i="9"/>
  <c r="L194" i="8" s="1"/>
  <c r="M194" i="9"/>
  <c r="M194" i="8" s="1"/>
  <c r="H223" i="6" s="1"/>
  <c r="N194" i="9"/>
  <c r="N194" i="8" s="1"/>
  <c r="O194" i="9"/>
  <c r="O194" i="8" s="1"/>
  <c r="P194" i="9"/>
  <c r="P194" i="8" s="1"/>
  <c r="A194" i="8"/>
  <c r="Z193" i="8"/>
  <c r="F222" i="6"/>
  <c r="T193" i="8"/>
  <c r="D222" i="6" s="1"/>
  <c r="U193" i="8"/>
  <c r="Y193" i="8"/>
  <c r="C222" i="6"/>
  <c r="R193" i="8"/>
  <c r="A206" i="7" s="1"/>
  <c r="S193" i="8"/>
  <c r="B222" i="6"/>
  <c r="A193" i="8"/>
  <c r="K193" i="9"/>
  <c r="K193" i="8" s="1"/>
  <c r="L193" i="9"/>
  <c r="L193" i="8" s="1"/>
  <c r="M193" i="9"/>
  <c r="M193" i="8" s="1"/>
  <c r="H222" i="6" s="1"/>
  <c r="N193" i="9"/>
  <c r="N193" i="8" s="1"/>
  <c r="O193" i="9"/>
  <c r="O193" i="8" s="1"/>
  <c r="P193" i="9"/>
  <c r="P193" i="8" s="1"/>
  <c r="Z192" i="8"/>
  <c r="F221" i="6"/>
  <c r="T192" i="8"/>
  <c r="D221" i="6" s="1"/>
  <c r="U192" i="8"/>
  <c r="Y192" i="8"/>
  <c r="C221" i="6"/>
  <c r="R192" i="8"/>
  <c r="A205" i="7" s="1"/>
  <c r="S192" i="8"/>
  <c r="B221" i="6"/>
  <c r="A192" i="8"/>
  <c r="P192" i="9"/>
  <c r="P192" i="8" s="1"/>
  <c r="O192" i="9"/>
  <c r="O192" i="8" s="1"/>
  <c r="N192" i="9"/>
  <c r="N192" i="8" s="1"/>
  <c r="K192" i="9"/>
  <c r="K192" i="8" s="1"/>
  <c r="M192" i="9"/>
  <c r="M192" i="8" s="1"/>
  <c r="H221" i="6" s="1"/>
  <c r="L192" i="9"/>
  <c r="L192" i="8" s="1"/>
  <c r="Z191" i="8"/>
  <c r="F220" i="6"/>
  <c r="T191" i="8"/>
  <c r="D220" i="6" s="1"/>
  <c r="U191" i="8"/>
  <c r="Y191" i="8"/>
  <c r="C220" i="6"/>
  <c r="R191" i="8"/>
  <c r="A204" i="7" s="1"/>
  <c r="S191" i="8"/>
  <c r="B220" i="6"/>
  <c r="K191" i="9"/>
  <c r="K191" i="8" s="1"/>
  <c r="A191" i="8"/>
  <c r="P191" i="9"/>
  <c r="P191" i="8" s="1"/>
  <c r="O191" i="9"/>
  <c r="O191" i="8" s="1"/>
  <c r="N191" i="9"/>
  <c r="N191" i="8" s="1"/>
  <c r="M191" i="9"/>
  <c r="M191" i="8" s="1"/>
  <c r="H220" i="6" s="1"/>
  <c r="L191" i="9"/>
  <c r="L191" i="8" s="1"/>
  <c r="Z190" i="8"/>
  <c r="F219" i="6"/>
  <c r="T190" i="8"/>
  <c r="D219" i="6" s="1"/>
  <c r="U190" i="8"/>
  <c r="Y190" i="8"/>
  <c r="C219" i="6"/>
  <c r="R190" i="8"/>
  <c r="A203" i="7" s="1"/>
  <c r="S190" i="8"/>
  <c r="B219" i="6"/>
  <c r="P190" i="9"/>
  <c r="P190" i="8" s="1"/>
  <c r="K190" i="9"/>
  <c r="K190" i="8" s="1"/>
  <c r="A190" i="8"/>
  <c r="O190" i="9"/>
  <c r="O190" i="8" s="1"/>
  <c r="N190" i="9"/>
  <c r="N190" i="8" s="1"/>
  <c r="M190" i="9"/>
  <c r="M190" i="8" s="1"/>
  <c r="H219" i="6" s="1"/>
  <c r="L190" i="9"/>
  <c r="L190" i="8" s="1"/>
  <c r="Z189" i="8"/>
  <c r="F218" i="6"/>
  <c r="T189" i="8"/>
  <c r="D218" i="6" s="1"/>
  <c r="U189" i="8"/>
  <c r="Y189" i="8"/>
  <c r="C218" i="6"/>
  <c r="R189" i="8"/>
  <c r="A202" i="7" s="1"/>
  <c r="S189" i="8"/>
  <c r="B218" i="6"/>
  <c r="O189" i="9"/>
  <c r="O189" i="8" s="1"/>
  <c r="P189" i="9"/>
  <c r="P189" i="8" s="1"/>
  <c r="N189" i="9"/>
  <c r="N189" i="8" s="1"/>
  <c r="M189" i="9"/>
  <c r="M189" i="8" s="1"/>
  <c r="H218" i="6" s="1"/>
  <c r="L189" i="9"/>
  <c r="L189" i="8" s="1"/>
  <c r="K189" i="9"/>
  <c r="K189" i="8" s="1"/>
  <c r="A189" i="8"/>
  <c r="Z188" i="8"/>
  <c r="F217" i="6"/>
  <c r="T188" i="8"/>
  <c r="D217" i="6" s="1"/>
  <c r="U188" i="8"/>
  <c r="Y188" i="8"/>
  <c r="C217" i="6"/>
  <c r="R188" i="8"/>
  <c r="A201" i="7" s="1"/>
  <c r="S188" i="8"/>
  <c r="B217" i="6"/>
  <c r="P188" i="9"/>
  <c r="P188" i="8" s="1"/>
  <c r="O188" i="9"/>
  <c r="O188" i="8" s="1"/>
  <c r="N188" i="9"/>
  <c r="N188" i="8" s="1"/>
  <c r="M188" i="9"/>
  <c r="M188" i="8" s="1"/>
  <c r="H217" i="6" s="1"/>
  <c r="L188" i="9"/>
  <c r="L188" i="8" s="1"/>
  <c r="K188" i="9"/>
  <c r="K188" i="8" s="1"/>
  <c r="P187" i="9"/>
  <c r="P187" i="8" s="1"/>
  <c r="O187" i="9"/>
  <c r="O187" i="8" s="1"/>
  <c r="N187" i="9"/>
  <c r="N187" i="8" s="1"/>
  <c r="M187" i="9"/>
  <c r="M187" i="8" s="1"/>
  <c r="H216" i="6" s="1"/>
  <c r="L187" i="9"/>
  <c r="L187" i="8" s="1"/>
  <c r="K187" i="9"/>
  <c r="K187" i="8" s="1"/>
  <c r="K186" i="9"/>
  <c r="K186" i="8" s="1"/>
  <c r="P186" i="9"/>
  <c r="P186" i="8" s="1"/>
  <c r="O186" i="9"/>
  <c r="O186" i="8" s="1"/>
  <c r="N186" i="9"/>
  <c r="N186" i="8" s="1"/>
  <c r="M186" i="9"/>
  <c r="M186" i="8" s="1"/>
  <c r="H215" i="6" s="1"/>
  <c r="L186" i="9"/>
  <c r="L186" i="8" s="1"/>
  <c r="M185" i="9"/>
  <c r="M185" i="8" s="1"/>
  <c r="H214" i="6" s="1"/>
  <c r="O185" i="9"/>
  <c r="O185" i="8" s="1"/>
  <c r="N185" i="9"/>
  <c r="N185" i="8" s="1"/>
  <c r="P185" i="9"/>
  <c r="P185" i="8" s="1"/>
  <c r="L185" i="9"/>
  <c r="L185" i="8" s="1"/>
  <c r="K185" i="9"/>
  <c r="K185" i="8" s="1"/>
  <c r="K184" i="9"/>
  <c r="K184" i="8" s="1"/>
  <c r="P184" i="9"/>
  <c r="P184" i="8" s="1"/>
  <c r="O184" i="9"/>
  <c r="O184" i="8" s="1"/>
  <c r="N184" i="9"/>
  <c r="N184" i="8" s="1"/>
  <c r="M184" i="9"/>
  <c r="M184" i="8" s="1"/>
  <c r="H213" i="6" s="1"/>
  <c r="L184" i="9"/>
  <c r="L184" i="8" s="1"/>
  <c r="N183" i="9"/>
  <c r="N183" i="8" s="1"/>
  <c r="P183" i="9"/>
  <c r="P183" i="8" s="1"/>
  <c r="O183" i="9"/>
  <c r="O183" i="8" s="1"/>
  <c r="M183" i="9"/>
  <c r="M183" i="8" s="1"/>
  <c r="H212" i="6" s="1"/>
  <c r="L183" i="9"/>
  <c r="L183" i="8" s="1"/>
  <c r="K183" i="9"/>
  <c r="K183" i="8" s="1"/>
  <c r="P182" i="9"/>
  <c r="P182" i="8" s="1"/>
  <c r="O182" i="9"/>
  <c r="O182" i="8" s="1"/>
  <c r="N182" i="9"/>
  <c r="N182" i="8" s="1"/>
  <c r="M182" i="9"/>
  <c r="M182" i="8" s="1"/>
  <c r="H211" i="6" s="1"/>
  <c r="L182" i="9"/>
  <c r="L182" i="8" s="1"/>
  <c r="K182" i="9"/>
  <c r="K182" i="8" s="1"/>
  <c r="K181" i="9"/>
  <c r="K181" i="8" s="1"/>
  <c r="P181" i="9"/>
  <c r="P181" i="8" s="1"/>
  <c r="O181" i="9"/>
  <c r="O181" i="8" s="1"/>
  <c r="N181" i="9"/>
  <c r="N181" i="8" s="1"/>
  <c r="M181" i="9"/>
  <c r="M181" i="8" s="1"/>
  <c r="H210" i="6" s="1"/>
  <c r="L181" i="9"/>
  <c r="L181" i="8" s="1"/>
  <c r="K180" i="9"/>
  <c r="K180" i="8" s="1"/>
  <c r="P180" i="9"/>
  <c r="P180" i="8" s="1"/>
  <c r="O180" i="9"/>
  <c r="O180" i="8" s="1"/>
  <c r="N180" i="9"/>
  <c r="N180" i="8" s="1"/>
  <c r="M180" i="9"/>
  <c r="M180" i="8" s="1"/>
  <c r="H209" i="6" s="1"/>
  <c r="L180" i="9"/>
  <c r="L180" i="8" s="1"/>
  <c r="P179" i="9"/>
  <c r="P179" i="8" s="1"/>
  <c r="N179" i="9"/>
  <c r="N179" i="8" s="1"/>
  <c r="M179" i="9"/>
  <c r="M179" i="8" s="1"/>
  <c r="H208" i="6" s="1"/>
  <c r="L179" i="9"/>
  <c r="L179" i="8" s="1"/>
  <c r="K179" i="9"/>
  <c r="K179" i="8" s="1"/>
  <c r="O179" i="9"/>
  <c r="O179" i="8" s="1"/>
  <c r="O178" i="9"/>
  <c r="O178" i="8" s="1"/>
  <c r="P178" i="9"/>
  <c r="P178" i="8" s="1"/>
  <c r="N178" i="9"/>
  <c r="N178" i="8" s="1"/>
  <c r="M178" i="9"/>
  <c r="M178" i="8" s="1"/>
  <c r="H207" i="6" s="1"/>
  <c r="L178" i="9"/>
  <c r="L178" i="8" s="1"/>
  <c r="K178" i="9"/>
  <c r="K178" i="8" s="1"/>
  <c r="P177" i="9"/>
  <c r="P177" i="8" s="1"/>
  <c r="O177" i="9"/>
  <c r="O177" i="8" s="1"/>
  <c r="N177" i="9"/>
  <c r="N177" i="8" s="1"/>
  <c r="M177" i="9"/>
  <c r="M177" i="8" s="1"/>
  <c r="H206" i="6" s="1"/>
  <c r="L177" i="9"/>
  <c r="L177" i="8" s="1"/>
  <c r="K177" i="9"/>
  <c r="K177" i="8" s="1"/>
  <c r="K176" i="9"/>
  <c r="K176" i="8" s="1"/>
  <c r="P176" i="9"/>
  <c r="P176" i="8" s="1"/>
  <c r="O176" i="9"/>
  <c r="O176" i="8" s="1"/>
  <c r="N176" i="9"/>
  <c r="N176" i="8" s="1"/>
  <c r="M176" i="9"/>
  <c r="M176" i="8" s="1"/>
  <c r="H205" i="6" s="1"/>
  <c r="L176" i="9"/>
  <c r="L176" i="8" s="1"/>
  <c r="N175" i="9"/>
  <c r="N175" i="8" s="1"/>
  <c r="O175" i="9"/>
  <c r="O175" i="8" s="1"/>
  <c r="P175" i="9"/>
  <c r="P175" i="8" s="1"/>
  <c r="M175" i="9"/>
  <c r="M175" i="8" s="1"/>
  <c r="H204" i="6" s="1"/>
  <c r="L175" i="9"/>
  <c r="L175" i="8" s="1"/>
  <c r="K175" i="9"/>
  <c r="K175" i="8" s="1"/>
  <c r="K174" i="9"/>
  <c r="K174" i="8" s="1"/>
  <c r="P174" i="9"/>
  <c r="P174" i="8" s="1"/>
  <c r="O174" i="9"/>
  <c r="O174" i="8" s="1"/>
  <c r="N174" i="9"/>
  <c r="N174" i="8" s="1"/>
  <c r="M174" i="9"/>
  <c r="M174" i="8" s="1"/>
  <c r="H203" i="6" s="1"/>
  <c r="L174" i="9"/>
  <c r="L174" i="8" s="1"/>
  <c r="N173" i="9"/>
  <c r="N173" i="8" s="1"/>
  <c r="P173" i="9"/>
  <c r="P173" i="8" s="1"/>
  <c r="O173" i="9"/>
  <c r="O173" i="8" s="1"/>
  <c r="M173" i="9"/>
  <c r="M173" i="8" s="1"/>
  <c r="H202" i="6" s="1"/>
  <c r="L173" i="9"/>
  <c r="L173" i="8" s="1"/>
  <c r="K173" i="9"/>
  <c r="K173" i="8" s="1"/>
  <c r="P172" i="9"/>
  <c r="P172" i="8" s="1"/>
  <c r="O172" i="9"/>
  <c r="O172" i="8" s="1"/>
  <c r="N172" i="9"/>
  <c r="N172" i="8" s="1"/>
  <c r="M172" i="9"/>
  <c r="M172" i="8" s="1"/>
  <c r="H201" i="6" s="1"/>
  <c r="L172" i="9"/>
  <c r="L172" i="8" s="1"/>
  <c r="K172" i="9"/>
  <c r="K172" i="8" s="1"/>
  <c r="K171" i="9"/>
  <c r="K171" i="8" s="1"/>
  <c r="P171" i="9"/>
  <c r="P171" i="8" s="1"/>
  <c r="O171" i="9"/>
  <c r="O171" i="8" s="1"/>
  <c r="N171" i="9"/>
  <c r="N171" i="8" s="1"/>
  <c r="M171" i="9"/>
  <c r="M171" i="8" s="1"/>
  <c r="H200" i="6" s="1"/>
  <c r="L171" i="9"/>
  <c r="L171" i="8" s="1"/>
  <c r="K170" i="9"/>
  <c r="K170" i="8" s="1"/>
  <c r="P170" i="9"/>
  <c r="P170" i="8" s="1"/>
  <c r="O170" i="9"/>
  <c r="O170" i="8" s="1"/>
  <c r="N170" i="9"/>
  <c r="N170" i="8" s="1"/>
  <c r="M170" i="9"/>
  <c r="M170" i="8" s="1"/>
  <c r="H199" i="6" s="1"/>
  <c r="L170" i="9"/>
  <c r="L170" i="8" s="1"/>
  <c r="K169" i="9"/>
  <c r="K169" i="8" s="1"/>
  <c r="P169" i="9"/>
  <c r="P169" i="8" s="1"/>
  <c r="O169" i="9"/>
  <c r="O169" i="8" s="1"/>
  <c r="N169" i="9"/>
  <c r="N169" i="8" s="1"/>
  <c r="M169" i="9"/>
  <c r="M169" i="8" s="1"/>
  <c r="H198" i="6" s="1"/>
  <c r="L169" i="9"/>
  <c r="L169" i="8" s="1"/>
  <c r="O168" i="9"/>
  <c r="O168" i="8" s="1"/>
  <c r="N168" i="9"/>
  <c r="N168" i="8" s="1"/>
  <c r="P168" i="9"/>
  <c r="P168" i="8" s="1"/>
  <c r="M168" i="9"/>
  <c r="M168" i="8" s="1"/>
  <c r="H197" i="6" s="1"/>
  <c r="L168" i="9"/>
  <c r="L168" i="8" s="1"/>
  <c r="K168" i="9"/>
  <c r="K168" i="8" s="1"/>
  <c r="L167" i="9"/>
  <c r="L167" i="8" s="1"/>
  <c r="K167" i="9"/>
  <c r="K167" i="8" s="1"/>
  <c r="M167" i="9"/>
  <c r="M167" i="8" s="1"/>
  <c r="H196" i="6" s="1"/>
  <c r="N167" i="9"/>
  <c r="N167" i="8" s="1"/>
  <c r="O167" i="9"/>
  <c r="O167" i="8" s="1"/>
  <c r="P167" i="9"/>
  <c r="P167" i="8" s="1"/>
  <c r="O166" i="9"/>
  <c r="O166" i="8" s="1"/>
  <c r="P166" i="9"/>
  <c r="P166" i="8" s="1"/>
  <c r="N166" i="9"/>
  <c r="N166" i="8" s="1"/>
  <c r="M166" i="9"/>
  <c r="M166" i="8" s="1"/>
  <c r="H195" i="6" s="1"/>
  <c r="L166" i="9"/>
  <c r="L166" i="8" s="1"/>
  <c r="K166" i="9"/>
  <c r="K166" i="8" s="1"/>
  <c r="O165" i="9"/>
  <c r="O165" i="8" s="1"/>
  <c r="M165" i="9"/>
  <c r="M165" i="8" s="1"/>
  <c r="H194" i="6" s="1"/>
  <c r="K165" i="9"/>
  <c r="K165" i="8" s="1"/>
  <c r="P165" i="9"/>
  <c r="P165" i="8" s="1"/>
  <c r="L165" i="9"/>
  <c r="L165" i="8" s="1"/>
  <c r="N165" i="9"/>
  <c r="N165" i="8" s="1"/>
  <c r="O164" i="9"/>
  <c r="O164" i="8" s="1"/>
  <c r="L164" i="9"/>
  <c r="L164" i="8" s="1"/>
  <c r="K164" i="9"/>
  <c r="K164" i="8" s="1"/>
  <c r="P164" i="9"/>
  <c r="P164" i="8" s="1"/>
  <c r="M164" i="9"/>
  <c r="M164" i="8" s="1"/>
  <c r="H193" i="6" s="1"/>
  <c r="N164" i="9"/>
  <c r="N164" i="8" s="1"/>
  <c r="K163" i="9"/>
  <c r="K163" i="8" s="1"/>
  <c r="M163" i="9"/>
  <c r="M163" i="8" s="1"/>
  <c r="H192" i="6" s="1"/>
  <c r="L163" i="9"/>
  <c r="L163" i="8" s="1"/>
  <c r="N163" i="9"/>
  <c r="N163" i="8" s="1"/>
  <c r="O163" i="9"/>
  <c r="O163" i="8" s="1"/>
  <c r="P163" i="9"/>
  <c r="P163" i="8" s="1"/>
  <c r="P162" i="9"/>
  <c r="P162" i="8" s="1"/>
  <c r="O162" i="9"/>
  <c r="O162" i="8" s="1"/>
  <c r="M162" i="9"/>
  <c r="M162" i="8" s="1"/>
  <c r="H191" i="6" s="1"/>
  <c r="L162" i="9"/>
  <c r="L162" i="8" s="1"/>
  <c r="K162" i="9"/>
  <c r="K162" i="8" s="1"/>
  <c r="N162" i="9"/>
  <c r="N162" i="8" s="1"/>
  <c r="P161" i="9"/>
  <c r="P161" i="8" s="1"/>
  <c r="O161" i="9"/>
  <c r="O161" i="8" s="1"/>
  <c r="N161" i="9"/>
  <c r="N161" i="8" s="1"/>
  <c r="M161" i="9"/>
  <c r="M161" i="8" s="1"/>
  <c r="H190" i="6" s="1"/>
  <c r="L161" i="9"/>
  <c r="L161" i="8" s="1"/>
  <c r="K161" i="9"/>
  <c r="K161" i="8" s="1"/>
  <c r="N160" i="9"/>
  <c r="N160" i="8" s="1"/>
  <c r="M160" i="9"/>
  <c r="M160" i="8" s="1"/>
  <c r="H189" i="6" s="1"/>
  <c r="L160" i="9"/>
  <c r="L160" i="8" s="1"/>
  <c r="K160" i="9"/>
  <c r="K160" i="8" s="1"/>
  <c r="P160" i="9"/>
  <c r="P160" i="8" s="1"/>
  <c r="O160" i="9"/>
  <c r="O160" i="8" s="1"/>
  <c r="P159" i="9"/>
  <c r="P159" i="8" s="1"/>
  <c r="O159" i="9"/>
  <c r="O159" i="8" s="1"/>
  <c r="N159" i="9"/>
  <c r="N159" i="8" s="1"/>
  <c r="M159" i="9"/>
  <c r="M159" i="8" s="1"/>
  <c r="H188" i="6" s="1"/>
  <c r="L159" i="9"/>
  <c r="L159" i="8" s="1"/>
  <c r="K159" i="9"/>
  <c r="K159" i="8" s="1"/>
  <c r="K158" i="9"/>
  <c r="K158" i="8" s="1"/>
  <c r="M158" i="9"/>
  <c r="M158" i="8" s="1"/>
  <c r="H187" i="6" s="1"/>
  <c r="L158" i="9"/>
  <c r="L158" i="8" s="1"/>
  <c r="N158" i="9"/>
  <c r="N158" i="8" s="1"/>
  <c r="O158" i="9"/>
  <c r="O158" i="8" s="1"/>
  <c r="P158" i="9"/>
  <c r="P158" i="8" s="1"/>
  <c r="P157" i="9"/>
  <c r="P157" i="8" s="1"/>
  <c r="O157" i="9"/>
  <c r="O157" i="8" s="1"/>
  <c r="N157" i="9"/>
  <c r="N157" i="8" s="1"/>
  <c r="M157" i="9"/>
  <c r="M157" i="8" s="1"/>
  <c r="H186" i="6" s="1"/>
  <c r="L157" i="9"/>
  <c r="L157" i="8" s="1"/>
  <c r="K157" i="9"/>
  <c r="K157" i="8" s="1"/>
  <c r="P156" i="9"/>
  <c r="P156" i="8" s="1"/>
  <c r="O156" i="9"/>
  <c r="O156" i="8" s="1"/>
  <c r="N156" i="9"/>
  <c r="N156" i="8" s="1"/>
  <c r="M156" i="9"/>
  <c r="M156" i="8" s="1"/>
  <c r="H185" i="6" s="1"/>
  <c r="K156" i="9"/>
  <c r="K156" i="8" s="1"/>
  <c r="L156" i="9"/>
  <c r="L156" i="8" s="1"/>
  <c r="P155" i="9"/>
  <c r="P155" i="8" s="1"/>
  <c r="K155" i="9"/>
  <c r="K155" i="8" s="1"/>
  <c r="L155" i="9"/>
  <c r="L155" i="8" s="1"/>
  <c r="M155" i="9"/>
  <c r="M155" i="8" s="1"/>
  <c r="H184" i="6" s="1"/>
  <c r="N155" i="9"/>
  <c r="N155" i="8" s="1"/>
  <c r="O155" i="9"/>
  <c r="O155" i="8" s="1"/>
  <c r="M154" i="9"/>
  <c r="M154" i="8" s="1"/>
  <c r="H183" i="6" s="1"/>
  <c r="P154" i="9"/>
  <c r="P154" i="8" s="1"/>
  <c r="O154" i="9"/>
  <c r="O154" i="8" s="1"/>
  <c r="K154" i="9"/>
  <c r="K154" i="8" s="1"/>
  <c r="L154" i="9"/>
  <c r="L154" i="8" s="1"/>
  <c r="N154" i="9"/>
  <c r="N154" i="8" s="1"/>
  <c r="O153" i="9"/>
  <c r="O153" i="8" s="1"/>
  <c r="M153" i="9"/>
  <c r="M153" i="8" s="1"/>
  <c r="H182" i="6" s="1"/>
  <c r="L153" i="9"/>
  <c r="L153" i="8" s="1"/>
  <c r="K153" i="9"/>
  <c r="K153" i="8" s="1"/>
  <c r="P153" i="9"/>
  <c r="P153" i="8" s="1"/>
  <c r="N153" i="9"/>
  <c r="N153" i="8" s="1"/>
  <c r="K152" i="9"/>
  <c r="K152" i="8" s="1"/>
  <c r="M152" i="9"/>
  <c r="M152" i="8" s="1"/>
  <c r="H181" i="6" s="1"/>
  <c r="L152" i="9"/>
  <c r="L152" i="8" s="1"/>
  <c r="N152" i="9"/>
  <c r="N152" i="8" s="1"/>
  <c r="O152" i="9"/>
  <c r="O152" i="8" s="1"/>
  <c r="P152" i="9"/>
  <c r="P152" i="8" s="1"/>
  <c r="P151" i="9"/>
  <c r="P151" i="8" s="1"/>
  <c r="O151" i="9"/>
  <c r="O151" i="8" s="1"/>
  <c r="M151" i="9"/>
  <c r="M151" i="8" s="1"/>
  <c r="H180" i="6" s="1"/>
  <c r="L151" i="9"/>
  <c r="L151" i="8" s="1"/>
  <c r="K151" i="9"/>
  <c r="K151" i="8" s="1"/>
  <c r="N151" i="9"/>
  <c r="N151" i="8" s="1"/>
  <c r="P150" i="9"/>
  <c r="P150" i="8" s="1"/>
  <c r="O150" i="9"/>
  <c r="O150" i="8" s="1"/>
  <c r="N150" i="9"/>
  <c r="N150" i="8" s="1"/>
  <c r="M150" i="9"/>
  <c r="M150" i="8" s="1"/>
  <c r="H179" i="6" s="1"/>
  <c r="L150" i="9"/>
  <c r="L150" i="8" s="1"/>
  <c r="K150" i="9"/>
  <c r="K150" i="8" s="1"/>
  <c r="N149" i="9"/>
  <c r="N149" i="8" s="1"/>
  <c r="M149" i="9"/>
  <c r="M149" i="8" s="1"/>
  <c r="H178" i="6" s="1"/>
  <c r="L149" i="9"/>
  <c r="L149" i="8" s="1"/>
  <c r="K149" i="9"/>
  <c r="K149" i="8" s="1"/>
  <c r="P149" i="9"/>
  <c r="P149" i="8" s="1"/>
  <c r="O149" i="9"/>
  <c r="O149" i="8" s="1"/>
  <c r="P148" i="9"/>
  <c r="P148" i="8" s="1"/>
  <c r="O148" i="9"/>
  <c r="O148" i="8" s="1"/>
  <c r="N148" i="9"/>
  <c r="N148" i="8" s="1"/>
  <c r="M148" i="9"/>
  <c r="M148" i="8" s="1"/>
  <c r="H177" i="6" s="1"/>
  <c r="L148" i="9"/>
  <c r="L148" i="8" s="1"/>
  <c r="K148" i="9"/>
  <c r="K148" i="8" s="1"/>
  <c r="K147" i="9"/>
  <c r="K147" i="8" s="1"/>
  <c r="M147" i="9"/>
  <c r="M147" i="8" s="1"/>
  <c r="H176" i="6" s="1"/>
  <c r="L147" i="9"/>
  <c r="L147" i="8" s="1"/>
  <c r="N147" i="9"/>
  <c r="N147" i="8" s="1"/>
  <c r="O147" i="9"/>
  <c r="O147" i="8" s="1"/>
  <c r="P147" i="9"/>
  <c r="P147" i="8" s="1"/>
  <c r="P146" i="9"/>
  <c r="P146" i="8" s="1"/>
  <c r="O146" i="9"/>
  <c r="O146" i="8" s="1"/>
  <c r="N146" i="9"/>
  <c r="N146" i="8" s="1"/>
  <c r="M146" i="9"/>
  <c r="M146" i="8" s="1"/>
  <c r="H175" i="6" s="1"/>
  <c r="L146" i="9"/>
  <c r="L146" i="8" s="1"/>
  <c r="K146" i="9"/>
  <c r="K146" i="8" s="1"/>
  <c r="P145" i="9"/>
  <c r="P145" i="8" s="1"/>
  <c r="O145" i="9"/>
  <c r="O145" i="8" s="1"/>
  <c r="N145" i="9"/>
  <c r="N145" i="8" s="1"/>
  <c r="M145" i="9"/>
  <c r="M145" i="8" s="1"/>
  <c r="H174" i="6" s="1"/>
  <c r="L145" i="9"/>
  <c r="L145" i="8" s="1"/>
  <c r="K145" i="9"/>
  <c r="K145" i="8" s="1"/>
  <c r="K144" i="9"/>
  <c r="K144" i="8" s="1"/>
  <c r="O144" i="9"/>
  <c r="O144" i="8" s="1"/>
  <c r="N144" i="9"/>
  <c r="N144" i="8" s="1"/>
  <c r="M144" i="9"/>
  <c r="M144" i="8" s="1"/>
  <c r="H173" i="6" s="1"/>
  <c r="P144" i="9"/>
  <c r="P144" i="8" s="1"/>
  <c r="L144" i="9"/>
  <c r="L144" i="8" s="1"/>
  <c r="P143" i="9"/>
  <c r="P143" i="8" s="1"/>
  <c r="O143" i="9"/>
  <c r="O143" i="8" s="1"/>
  <c r="N143" i="9"/>
  <c r="N143" i="8" s="1"/>
  <c r="M143" i="9"/>
  <c r="M143" i="8" s="1"/>
  <c r="H172" i="6" s="1"/>
  <c r="L143" i="9"/>
  <c r="L143" i="8" s="1"/>
  <c r="K143" i="9"/>
  <c r="K143" i="8" s="1"/>
  <c r="P142" i="9"/>
  <c r="P142" i="8" s="1"/>
  <c r="O142" i="9"/>
  <c r="O142" i="8" s="1"/>
  <c r="N142" i="9"/>
  <c r="N142" i="8" s="1"/>
  <c r="M142" i="9"/>
  <c r="M142" i="8" s="1"/>
  <c r="H171" i="6" s="1"/>
  <c r="L142" i="9"/>
  <c r="L142" i="8" s="1"/>
  <c r="K142" i="9"/>
  <c r="K142" i="8" s="1"/>
  <c r="L141" i="9"/>
  <c r="L141" i="8" s="1"/>
  <c r="K141" i="9"/>
  <c r="K141" i="8" s="1"/>
  <c r="P141" i="9"/>
  <c r="P141" i="8" s="1"/>
  <c r="O141" i="9"/>
  <c r="O141" i="8" s="1"/>
  <c r="N141" i="9"/>
  <c r="N141" i="8" s="1"/>
  <c r="M141" i="9"/>
  <c r="M141" i="8" s="1"/>
  <c r="H170" i="6" s="1"/>
  <c r="L140" i="9"/>
  <c r="L140" i="8" s="1"/>
  <c r="K140" i="9"/>
  <c r="K140" i="8" s="1"/>
  <c r="P140" i="9"/>
  <c r="P140" i="8" s="1"/>
  <c r="B67" i="15" s="1"/>
  <c r="O140" i="9"/>
  <c r="O140" i="8" s="1"/>
  <c r="C67" i="15" s="1"/>
  <c r="N140" i="9"/>
  <c r="N140" i="8" s="1"/>
  <c r="D67" i="15" s="1"/>
  <c r="M140" i="9"/>
  <c r="M140" i="8" s="1"/>
  <c r="H169" i="6" s="1"/>
  <c r="K139" i="9"/>
  <c r="K139" i="8" s="1"/>
  <c r="P139" i="9"/>
  <c r="P139" i="8" s="1"/>
  <c r="M139" i="9"/>
  <c r="M139" i="8" s="1"/>
  <c r="H168" i="6" s="1"/>
  <c r="L139" i="9"/>
  <c r="L139" i="8" s="1"/>
  <c r="O139" i="9"/>
  <c r="O139" i="8" s="1"/>
  <c r="N139" i="9"/>
  <c r="N139" i="8" s="1"/>
  <c r="K138" i="9"/>
  <c r="K138" i="8" s="1"/>
  <c r="P138" i="9"/>
  <c r="P138" i="8" s="1"/>
  <c r="O138" i="9"/>
  <c r="O138" i="8" s="1"/>
  <c r="N138" i="9"/>
  <c r="N138" i="8" s="1"/>
  <c r="M138" i="9"/>
  <c r="M138" i="8" s="1"/>
  <c r="H167" i="6" s="1"/>
  <c r="L138" i="9"/>
  <c r="L138" i="8" s="1"/>
  <c r="K137" i="9"/>
  <c r="K137" i="8" s="1"/>
  <c r="P137" i="9"/>
  <c r="P137" i="8" s="1"/>
  <c r="O137" i="9"/>
  <c r="O137" i="8" s="1"/>
  <c r="N137" i="9"/>
  <c r="N137" i="8" s="1"/>
  <c r="M137" i="9"/>
  <c r="M137" i="8" s="1"/>
  <c r="H166" i="6" s="1"/>
  <c r="L137" i="9"/>
  <c r="L137" i="8" s="1"/>
  <c r="P136" i="9"/>
  <c r="P136" i="8" s="1"/>
  <c r="O136" i="9"/>
  <c r="O136" i="8" s="1"/>
  <c r="N136" i="9"/>
  <c r="N136" i="8" s="1"/>
  <c r="M136" i="9"/>
  <c r="M136" i="8" s="1"/>
  <c r="H165" i="6" s="1"/>
  <c r="L136" i="9"/>
  <c r="L136" i="8" s="1"/>
  <c r="K136" i="9"/>
  <c r="K136" i="8" s="1"/>
  <c r="P135" i="9"/>
  <c r="P135" i="8" s="1"/>
  <c r="O135" i="9"/>
  <c r="O135" i="8" s="1"/>
  <c r="N135" i="9"/>
  <c r="N135" i="8" s="1"/>
  <c r="M135" i="9"/>
  <c r="M135" i="8" s="1"/>
  <c r="H164" i="6" s="1"/>
  <c r="L135" i="9"/>
  <c r="L135" i="8" s="1"/>
  <c r="K135" i="9"/>
  <c r="K135" i="8" s="1"/>
  <c r="K134" i="9"/>
  <c r="K134" i="8" s="1"/>
  <c r="P134" i="9"/>
  <c r="P134" i="8" s="1"/>
  <c r="O134" i="9"/>
  <c r="O134" i="8" s="1"/>
  <c r="N134" i="9"/>
  <c r="N134" i="8" s="1"/>
  <c r="M134" i="9"/>
  <c r="M134" i="8" s="1"/>
  <c r="H163" i="6" s="1"/>
  <c r="L134" i="9"/>
  <c r="L134" i="8" s="1"/>
  <c r="L133" i="9"/>
  <c r="L133" i="8" s="1"/>
  <c r="P133" i="9"/>
  <c r="P133" i="8" s="1"/>
  <c r="O133" i="9"/>
  <c r="O133" i="8" s="1"/>
  <c r="N133" i="9"/>
  <c r="N133" i="8" s="1"/>
  <c r="M133" i="9"/>
  <c r="M133" i="8" s="1"/>
  <c r="H162" i="6" s="1"/>
  <c r="K133" i="9"/>
  <c r="K133" i="8" s="1"/>
  <c r="P132" i="9"/>
  <c r="P132" i="8" s="1"/>
  <c r="N132" i="9"/>
  <c r="N132" i="8" s="1"/>
  <c r="M132" i="9"/>
  <c r="M132" i="8" s="1"/>
  <c r="H161" i="6" s="1"/>
  <c r="L132" i="9"/>
  <c r="L132" i="8" s="1"/>
  <c r="K132" i="9"/>
  <c r="K132" i="8" s="1"/>
  <c r="O132" i="9"/>
  <c r="O132" i="8" s="1"/>
  <c r="P131" i="9"/>
  <c r="P131" i="8" s="1"/>
  <c r="O131" i="9"/>
  <c r="O131" i="8" s="1"/>
  <c r="N131" i="9"/>
  <c r="N131" i="8" s="1"/>
  <c r="M131" i="9"/>
  <c r="M131" i="8" s="1"/>
  <c r="H160" i="6" s="1"/>
  <c r="L131" i="9"/>
  <c r="L131" i="8" s="1"/>
  <c r="K131" i="9"/>
  <c r="K131" i="8" s="1"/>
  <c r="P130" i="9"/>
  <c r="P130" i="8" s="1"/>
  <c r="O130" i="9"/>
  <c r="O130" i="8" s="1"/>
  <c r="N130" i="9"/>
  <c r="N130" i="8" s="1"/>
  <c r="M130" i="9"/>
  <c r="M130" i="8" s="1"/>
  <c r="H159" i="6" s="1"/>
  <c r="L130" i="9"/>
  <c r="L130" i="8" s="1"/>
  <c r="K130" i="9"/>
  <c r="K130" i="8" s="1"/>
  <c r="K129" i="9"/>
  <c r="K129" i="8" s="1"/>
  <c r="P129" i="9"/>
  <c r="P129" i="8" s="1"/>
  <c r="O129" i="9"/>
  <c r="O129" i="8" s="1"/>
  <c r="N129" i="9"/>
  <c r="N129" i="8" s="1"/>
  <c r="M129" i="9"/>
  <c r="M129" i="8" s="1"/>
  <c r="H158" i="6" s="1"/>
  <c r="L129" i="9"/>
  <c r="L129" i="8" s="1"/>
  <c r="K128" i="9"/>
  <c r="K128" i="8" s="1"/>
  <c r="P128" i="9"/>
  <c r="P128" i="8" s="1"/>
  <c r="O128" i="9"/>
  <c r="O128" i="8" s="1"/>
  <c r="N128" i="9"/>
  <c r="N128" i="8" s="1"/>
  <c r="M128" i="9"/>
  <c r="M128" i="8" s="1"/>
  <c r="H157" i="6" s="1"/>
  <c r="L128" i="9"/>
  <c r="L128" i="8" s="1"/>
  <c r="K127" i="9"/>
  <c r="K127" i="8" s="1"/>
  <c r="O127" i="9"/>
  <c r="O127" i="8" s="1"/>
  <c r="N127" i="9"/>
  <c r="N127" i="8" s="1"/>
  <c r="M127" i="9"/>
  <c r="M127" i="8" s="1"/>
  <c r="H156" i="6" s="1"/>
  <c r="L127" i="9"/>
  <c r="L127" i="8" s="1"/>
  <c r="P127" i="9"/>
  <c r="P127" i="8" s="1"/>
  <c r="P126" i="9"/>
  <c r="P126" i="8" s="1"/>
  <c r="O126" i="9"/>
  <c r="O126" i="8" s="1"/>
  <c r="N126" i="9"/>
  <c r="N126" i="8" s="1"/>
  <c r="M126" i="9"/>
  <c r="M126" i="8" s="1"/>
  <c r="H155" i="6" s="1"/>
  <c r="L126" i="9"/>
  <c r="L126" i="8" s="1"/>
  <c r="K126" i="9"/>
  <c r="K126" i="8" s="1"/>
  <c r="K125" i="9"/>
  <c r="K125" i="8" s="1"/>
  <c r="P125" i="9"/>
  <c r="P125" i="8" s="1"/>
  <c r="O125" i="9"/>
  <c r="O125" i="8" s="1"/>
  <c r="N125" i="9"/>
  <c r="N125" i="8" s="1"/>
  <c r="M125" i="9"/>
  <c r="M125" i="8" s="1"/>
  <c r="H154" i="6" s="1"/>
  <c r="L125" i="9"/>
  <c r="L125" i="8" s="1"/>
  <c r="N124" i="9"/>
  <c r="N124" i="8" s="1"/>
  <c r="P124" i="9"/>
  <c r="P124" i="8" s="1"/>
  <c r="O124" i="9"/>
  <c r="O124" i="8" s="1"/>
  <c r="M124" i="9"/>
  <c r="M124" i="8" s="1"/>
  <c r="H153" i="6" s="1"/>
  <c r="L124" i="9"/>
  <c r="L124" i="8" s="1"/>
  <c r="K124" i="9"/>
  <c r="K124" i="8" s="1"/>
  <c r="P123" i="9"/>
  <c r="P123" i="8" s="1"/>
  <c r="O123" i="9"/>
  <c r="O123" i="8" s="1"/>
  <c r="N123" i="9"/>
  <c r="N123" i="8" s="1"/>
  <c r="M123" i="9"/>
  <c r="M123" i="8" s="1"/>
  <c r="H152" i="6" s="1"/>
  <c r="L123" i="9"/>
  <c r="L123" i="8" s="1"/>
  <c r="K123" i="9"/>
  <c r="K123" i="8" s="1"/>
  <c r="M122" i="9"/>
  <c r="M122" i="8" s="1"/>
  <c r="H151" i="6" s="1"/>
  <c r="P122" i="9"/>
  <c r="P122" i="8" s="1"/>
  <c r="O122" i="9"/>
  <c r="O122" i="8" s="1"/>
  <c r="N122" i="9"/>
  <c r="N122" i="8" s="1"/>
  <c r="K122" i="9"/>
  <c r="K122" i="8" s="1"/>
  <c r="L122" i="9"/>
  <c r="L122" i="8" s="1"/>
  <c r="P121" i="9"/>
  <c r="P121" i="8" s="1"/>
  <c r="O121" i="9"/>
  <c r="O121" i="8" s="1"/>
  <c r="N121" i="9"/>
  <c r="N121" i="8" s="1"/>
  <c r="M121" i="9"/>
  <c r="M121" i="8" s="1"/>
  <c r="H150" i="6" s="1"/>
  <c r="L121" i="9"/>
  <c r="L121" i="8" s="1"/>
  <c r="K121" i="9"/>
  <c r="K121" i="8" s="1"/>
  <c r="P120" i="9"/>
  <c r="P120" i="8" s="1"/>
  <c r="O120" i="9"/>
  <c r="O120" i="8" s="1"/>
  <c r="N120" i="9"/>
  <c r="N120" i="8" s="1"/>
  <c r="M120" i="9"/>
  <c r="M120" i="8" s="1"/>
  <c r="H149" i="6" s="1"/>
  <c r="L120" i="9"/>
  <c r="L120" i="8" s="1"/>
  <c r="K120" i="9"/>
  <c r="K120" i="8" s="1"/>
  <c r="L119" i="9"/>
  <c r="L119" i="8" s="1"/>
  <c r="K119" i="9"/>
  <c r="K119" i="8" s="1"/>
  <c r="P119" i="9"/>
  <c r="P119" i="8" s="1"/>
  <c r="O119" i="9"/>
  <c r="O119" i="8" s="1"/>
  <c r="N119" i="9"/>
  <c r="N119" i="8" s="1"/>
  <c r="M119" i="9"/>
  <c r="M119" i="8" s="1"/>
  <c r="H148" i="6" s="1"/>
  <c r="O118" i="9"/>
  <c r="O118" i="8" s="1"/>
  <c r="P118" i="9"/>
  <c r="P118" i="8" s="1"/>
  <c r="N118" i="9"/>
  <c r="N118" i="8" s="1"/>
  <c r="M118" i="9"/>
  <c r="M118" i="8" s="1"/>
  <c r="H147" i="6" s="1"/>
  <c r="L118" i="9"/>
  <c r="L118" i="8" s="1"/>
  <c r="K118" i="9"/>
  <c r="K118" i="8" s="1"/>
  <c r="P117" i="9"/>
  <c r="P117" i="8" s="1"/>
  <c r="B66" i="15" s="1"/>
  <c r="O117" i="9"/>
  <c r="O117" i="8" s="1"/>
  <c r="C66" i="15" s="1"/>
  <c r="N117" i="9"/>
  <c r="N117" i="8" s="1"/>
  <c r="D66" i="15" s="1"/>
  <c r="M117" i="9"/>
  <c r="M117" i="8" s="1"/>
  <c r="H146" i="6" s="1"/>
  <c r="L117" i="9"/>
  <c r="L117" i="8" s="1"/>
  <c r="K117" i="9"/>
  <c r="K117" i="8" s="1"/>
  <c r="L116" i="9"/>
  <c r="L116" i="8" s="1"/>
  <c r="K116" i="9"/>
  <c r="K116" i="8" s="1"/>
  <c r="P116" i="9"/>
  <c r="P116" i="8" s="1"/>
  <c r="O116" i="9"/>
  <c r="O116" i="8" s="1"/>
  <c r="N116" i="9"/>
  <c r="N116" i="8" s="1"/>
  <c r="M116" i="9"/>
  <c r="M116" i="8" s="1"/>
  <c r="H145" i="6" s="1"/>
  <c r="O115" i="9"/>
  <c r="O115" i="8" s="1"/>
  <c r="N115" i="9"/>
  <c r="N115" i="8" s="1"/>
  <c r="M115" i="9"/>
  <c r="M115" i="8" s="1"/>
  <c r="H144" i="6" s="1"/>
  <c r="L115" i="9"/>
  <c r="L115" i="8" s="1"/>
  <c r="K115" i="9"/>
  <c r="K115" i="8" s="1"/>
  <c r="P115" i="9"/>
  <c r="P115" i="8" s="1"/>
  <c r="O114" i="9"/>
  <c r="O114" i="8" s="1"/>
  <c r="N114" i="9"/>
  <c r="N114" i="8" s="1"/>
  <c r="M114" i="9"/>
  <c r="M114" i="8" s="1"/>
  <c r="H143" i="6" s="1"/>
  <c r="L114" i="9"/>
  <c r="L114" i="8" s="1"/>
  <c r="K114" i="9"/>
  <c r="K114" i="8" s="1"/>
  <c r="P114" i="9"/>
  <c r="P114" i="8" s="1"/>
  <c r="O113" i="9"/>
  <c r="O113" i="8" s="1"/>
  <c r="N113" i="9"/>
  <c r="N113" i="8" s="1"/>
  <c r="M113" i="9"/>
  <c r="M113" i="8" s="1"/>
  <c r="H142" i="6" s="1"/>
  <c r="L113" i="9"/>
  <c r="L113" i="8" s="1"/>
  <c r="K113" i="9"/>
  <c r="K113" i="8" s="1"/>
  <c r="P113" i="9"/>
  <c r="P113" i="8" s="1"/>
  <c r="O112" i="9"/>
  <c r="O112" i="8" s="1"/>
  <c r="N112" i="9"/>
  <c r="N112" i="8" s="1"/>
  <c r="M112" i="9"/>
  <c r="M112" i="8" s="1"/>
  <c r="H141" i="6" s="1"/>
  <c r="L112" i="9"/>
  <c r="L112" i="8" s="1"/>
  <c r="K112" i="9"/>
  <c r="K112" i="8" s="1"/>
  <c r="P112" i="9"/>
  <c r="P112" i="8" s="1"/>
  <c r="M111" i="9"/>
  <c r="M111" i="8" s="1"/>
  <c r="H140" i="6" s="1"/>
  <c r="L111" i="9"/>
  <c r="L111" i="8" s="1"/>
  <c r="P111" i="9"/>
  <c r="P111" i="8" s="1"/>
  <c r="O111" i="9"/>
  <c r="O111" i="8" s="1"/>
  <c r="N111" i="9"/>
  <c r="N111" i="8" s="1"/>
  <c r="K111" i="9"/>
  <c r="K111" i="8" s="1"/>
  <c r="N110" i="9"/>
  <c r="N110" i="8" s="1"/>
  <c r="O110" i="9"/>
  <c r="O110" i="8" s="1"/>
  <c r="P110" i="9"/>
  <c r="P110" i="8" s="1"/>
  <c r="L110" i="9"/>
  <c r="L110" i="8" s="1"/>
  <c r="K110" i="9"/>
  <c r="K110" i="8" s="1"/>
  <c r="M110" i="9"/>
  <c r="M110" i="8" s="1"/>
  <c r="H139" i="6" s="1"/>
  <c r="P109" i="9"/>
  <c r="P109" i="8" s="1"/>
  <c r="O109" i="9"/>
  <c r="O109" i="8" s="1"/>
  <c r="N109" i="9"/>
  <c r="N109" i="8" s="1"/>
  <c r="M109" i="9"/>
  <c r="M109" i="8" s="1"/>
  <c r="H138" i="6" s="1"/>
  <c r="L109" i="9"/>
  <c r="L109" i="8" s="1"/>
  <c r="K109" i="9"/>
  <c r="K109" i="8" s="1"/>
  <c r="M108" i="9"/>
  <c r="M108" i="8" s="1"/>
  <c r="H137" i="6" s="1"/>
  <c r="O108" i="9"/>
  <c r="O108" i="8" s="1"/>
  <c r="N108" i="9"/>
  <c r="N108" i="8" s="1"/>
  <c r="P108" i="9"/>
  <c r="P108" i="8" s="1"/>
  <c r="L108" i="9"/>
  <c r="L108" i="8" s="1"/>
  <c r="K108" i="9"/>
  <c r="K108" i="8" s="1"/>
  <c r="P107" i="9"/>
  <c r="P107" i="8" s="1"/>
  <c r="O107" i="9"/>
  <c r="O107" i="8" s="1"/>
  <c r="N107" i="9"/>
  <c r="N107" i="8" s="1"/>
  <c r="M107" i="9"/>
  <c r="M107" i="8" s="1"/>
  <c r="H136" i="6" s="1"/>
  <c r="L107" i="9"/>
  <c r="L107" i="8" s="1"/>
  <c r="K107" i="9"/>
  <c r="K107" i="8" s="1"/>
  <c r="P106" i="9"/>
  <c r="P106" i="8" s="1"/>
  <c r="O106" i="9"/>
  <c r="O106" i="8" s="1"/>
  <c r="N106" i="9"/>
  <c r="N106" i="8" s="1"/>
  <c r="M106" i="9"/>
  <c r="M106" i="8" s="1"/>
  <c r="H135" i="6" s="1"/>
  <c r="L106" i="9"/>
  <c r="L106" i="8" s="1"/>
  <c r="K106" i="9"/>
  <c r="K106" i="8" s="1"/>
  <c r="P105" i="9"/>
  <c r="P105" i="8" s="1"/>
  <c r="O105" i="9"/>
  <c r="O105" i="8" s="1"/>
  <c r="N105" i="9"/>
  <c r="N105" i="8" s="1"/>
  <c r="M105" i="9"/>
  <c r="M105" i="8" s="1"/>
  <c r="H134" i="6" s="1"/>
  <c r="L105" i="9"/>
  <c r="L105" i="8" s="1"/>
  <c r="K105" i="9"/>
  <c r="K105" i="8" s="1"/>
  <c r="K104" i="9"/>
  <c r="K104" i="8" s="1"/>
  <c r="M104" i="9"/>
  <c r="M104" i="8" s="1"/>
  <c r="H133" i="6" s="1"/>
  <c r="L104" i="9"/>
  <c r="L104" i="8" s="1"/>
  <c r="N104" i="9"/>
  <c r="N104" i="8" s="1"/>
  <c r="O104" i="9"/>
  <c r="O104" i="8" s="1"/>
  <c r="P104" i="9"/>
  <c r="P104" i="8" s="1"/>
  <c r="M103" i="9"/>
  <c r="M103" i="8" s="1"/>
  <c r="H132" i="6" s="1"/>
  <c r="N103" i="9"/>
  <c r="N103" i="8" s="1"/>
  <c r="O103" i="9"/>
  <c r="O103" i="8" s="1"/>
  <c r="P103" i="9"/>
  <c r="P103" i="8" s="1"/>
  <c r="L103" i="9"/>
  <c r="L103" i="8" s="1"/>
  <c r="K103" i="9"/>
  <c r="K103" i="8" s="1"/>
  <c r="P102" i="9"/>
  <c r="P102" i="8" s="1"/>
  <c r="O102" i="9"/>
  <c r="O102" i="8" s="1"/>
  <c r="N102" i="9"/>
  <c r="N102" i="8" s="1"/>
  <c r="M102" i="9"/>
  <c r="M102" i="8" s="1"/>
  <c r="H131" i="6" s="1"/>
  <c r="L102" i="9"/>
  <c r="L102" i="8" s="1"/>
  <c r="K102" i="9"/>
  <c r="K102" i="8" s="1"/>
  <c r="P101" i="9"/>
  <c r="P101" i="8" s="1"/>
  <c r="O101" i="9"/>
  <c r="O101" i="8" s="1"/>
  <c r="N101" i="9"/>
  <c r="N101" i="8" s="1"/>
  <c r="M101" i="9"/>
  <c r="M101" i="8" s="1"/>
  <c r="H130" i="6" s="1"/>
  <c r="L101" i="9"/>
  <c r="L101" i="8" s="1"/>
  <c r="K101" i="9"/>
  <c r="K101" i="8" s="1"/>
  <c r="P100" i="9"/>
  <c r="P100" i="8" s="1"/>
  <c r="O100" i="9"/>
  <c r="O100" i="8" s="1"/>
  <c r="N100" i="9"/>
  <c r="N100" i="8" s="1"/>
  <c r="M100" i="9"/>
  <c r="M100" i="8" s="1"/>
  <c r="H129" i="6" s="1"/>
  <c r="L100" i="9"/>
  <c r="L100" i="8" s="1"/>
  <c r="K100" i="9"/>
  <c r="K100" i="8" s="1"/>
  <c r="P99" i="9"/>
  <c r="P99" i="8" s="1"/>
  <c r="O99" i="9"/>
  <c r="O99" i="8" s="1"/>
  <c r="N99" i="9"/>
  <c r="N99" i="8" s="1"/>
  <c r="M99" i="9"/>
  <c r="M99" i="8" s="1"/>
  <c r="H128" i="6" s="1"/>
  <c r="K99" i="9"/>
  <c r="K99" i="8" s="1"/>
  <c r="L99" i="9"/>
  <c r="L99" i="8" s="1"/>
  <c r="P98" i="9"/>
  <c r="P98" i="8" s="1"/>
  <c r="O98" i="9"/>
  <c r="O98" i="8" s="1"/>
  <c r="N98" i="9"/>
  <c r="N98" i="8" s="1"/>
  <c r="M98" i="9"/>
  <c r="M98" i="8" s="1"/>
  <c r="H127" i="6" s="1"/>
  <c r="L98" i="9"/>
  <c r="L98" i="8" s="1"/>
  <c r="K98" i="9"/>
  <c r="K98" i="8" s="1"/>
  <c r="K97" i="9"/>
  <c r="K97" i="8" s="1"/>
  <c r="P97" i="9"/>
  <c r="P97" i="8" s="1"/>
  <c r="O97" i="9"/>
  <c r="O97" i="8" s="1"/>
  <c r="N97" i="9"/>
  <c r="N97" i="8" s="1"/>
  <c r="M97" i="9"/>
  <c r="M97" i="8" s="1"/>
  <c r="H126" i="6" s="1"/>
  <c r="L97" i="9"/>
  <c r="L97" i="8" s="1"/>
  <c r="P96" i="9"/>
  <c r="P96" i="8" s="1"/>
  <c r="O96" i="9"/>
  <c r="O96" i="8" s="1"/>
  <c r="N96" i="9"/>
  <c r="N96" i="8" s="1"/>
  <c r="M96" i="9"/>
  <c r="M96" i="8" s="1"/>
  <c r="H125" i="6" s="1"/>
  <c r="L96" i="9"/>
  <c r="L96" i="8" s="1"/>
  <c r="K96" i="9"/>
  <c r="K96" i="8" s="1"/>
  <c r="P95" i="9"/>
  <c r="P95" i="8" s="1"/>
  <c r="O95" i="9"/>
  <c r="O95" i="8" s="1"/>
  <c r="N95" i="9"/>
  <c r="N95" i="8" s="1"/>
  <c r="M95" i="9"/>
  <c r="M95" i="8" s="1"/>
  <c r="H124" i="6" s="1"/>
  <c r="L95" i="9"/>
  <c r="L95" i="8" s="1"/>
  <c r="K95" i="9"/>
  <c r="K95" i="8" s="1"/>
  <c r="P94" i="9"/>
  <c r="P94" i="8" s="1"/>
  <c r="B65" i="15" s="1"/>
  <c r="O94" i="9"/>
  <c r="O94" i="8" s="1"/>
  <c r="C65" i="15" s="1"/>
  <c r="N94" i="9"/>
  <c r="N94" i="8" s="1"/>
  <c r="D65" i="15" s="1"/>
  <c r="M94" i="9"/>
  <c r="M94" i="8" s="1"/>
  <c r="H123" i="6" s="1"/>
  <c r="L94" i="9"/>
  <c r="L94" i="8" s="1"/>
  <c r="K94" i="9"/>
  <c r="K94" i="8" s="1"/>
  <c r="P93" i="9"/>
  <c r="P93" i="8" s="1"/>
  <c r="O93" i="9"/>
  <c r="O93" i="8" s="1"/>
  <c r="N93" i="9"/>
  <c r="N93" i="8" s="1"/>
  <c r="M93" i="9"/>
  <c r="M93" i="8" s="1"/>
  <c r="H122" i="6" s="1"/>
  <c r="L93" i="9"/>
  <c r="L93" i="8" s="1"/>
  <c r="K93" i="9"/>
  <c r="K93" i="8" s="1"/>
  <c r="L92" i="9"/>
  <c r="L92" i="8" s="1"/>
  <c r="M92" i="9"/>
  <c r="M92" i="8" s="1"/>
  <c r="H121" i="6" s="1"/>
  <c r="N92" i="9"/>
  <c r="N92" i="8" s="1"/>
  <c r="O92" i="9"/>
  <c r="O92" i="8" s="1"/>
  <c r="P92" i="9"/>
  <c r="P92" i="8" s="1"/>
  <c r="K92" i="9"/>
  <c r="K92" i="8" s="1"/>
  <c r="O91" i="9"/>
  <c r="O91" i="8" s="1"/>
  <c r="K91" i="9"/>
  <c r="K91" i="8" s="1"/>
  <c r="L91" i="9"/>
  <c r="L91" i="8" s="1"/>
  <c r="M91" i="9"/>
  <c r="M91" i="8" s="1"/>
  <c r="H120" i="6" s="1"/>
  <c r="N91" i="9"/>
  <c r="N91" i="8" s="1"/>
  <c r="P91" i="9"/>
  <c r="P91" i="8" s="1"/>
  <c r="P90" i="9"/>
  <c r="P90" i="8" s="1"/>
  <c r="L90" i="9"/>
  <c r="L90" i="8" s="1"/>
  <c r="K90" i="9"/>
  <c r="K90" i="8" s="1"/>
  <c r="M90" i="9"/>
  <c r="M90" i="8" s="1"/>
  <c r="H119" i="6" s="1"/>
  <c r="N90" i="9"/>
  <c r="N90" i="8" s="1"/>
  <c r="O90" i="9"/>
  <c r="O90" i="8" s="1"/>
  <c r="P89" i="9"/>
  <c r="P89" i="8" s="1"/>
  <c r="O89" i="9"/>
  <c r="O89" i="8" s="1"/>
  <c r="N89" i="9"/>
  <c r="N89" i="8" s="1"/>
  <c r="L89" i="9"/>
  <c r="L89" i="8" s="1"/>
  <c r="K89" i="9"/>
  <c r="K89" i="8" s="1"/>
  <c r="M89" i="9"/>
  <c r="M89" i="8" s="1"/>
  <c r="H118" i="6" s="1"/>
  <c r="P88" i="9"/>
  <c r="P88" i="8" s="1"/>
  <c r="O88" i="9"/>
  <c r="O88" i="8" s="1"/>
  <c r="N88" i="9"/>
  <c r="N88" i="8" s="1"/>
  <c r="M88" i="9"/>
  <c r="M88" i="8" s="1"/>
  <c r="H117" i="6" s="1"/>
  <c r="L88" i="9"/>
  <c r="L88" i="8" s="1"/>
  <c r="K88" i="9"/>
  <c r="K88" i="8" s="1"/>
  <c r="P87" i="9"/>
  <c r="P87" i="8" s="1"/>
  <c r="O87" i="9"/>
  <c r="O87" i="8" s="1"/>
  <c r="N87" i="9"/>
  <c r="N87" i="8" s="1"/>
  <c r="M87" i="9"/>
  <c r="M87" i="8" s="1"/>
  <c r="H116" i="6" s="1"/>
  <c r="L87" i="9"/>
  <c r="L87" i="8" s="1"/>
  <c r="K87" i="9"/>
  <c r="K87" i="8" s="1"/>
  <c r="M86" i="9"/>
  <c r="M86" i="8" s="1"/>
  <c r="H115" i="6" s="1"/>
  <c r="P86" i="9"/>
  <c r="P86" i="8" s="1"/>
  <c r="N86" i="9"/>
  <c r="N86" i="8" s="1"/>
  <c r="O86" i="9"/>
  <c r="O86" i="8" s="1"/>
  <c r="L86" i="9"/>
  <c r="L86" i="8" s="1"/>
  <c r="K86" i="9"/>
  <c r="K86" i="8" s="1"/>
  <c r="O85" i="9"/>
  <c r="O85" i="8" s="1"/>
  <c r="N85" i="9"/>
  <c r="N85" i="8" s="1"/>
  <c r="M85" i="9"/>
  <c r="M85" i="8" s="1"/>
  <c r="H114" i="6" s="1"/>
  <c r="L85" i="9"/>
  <c r="L85" i="8" s="1"/>
  <c r="K85" i="9"/>
  <c r="K85" i="8" s="1"/>
  <c r="P85" i="9"/>
  <c r="P85" i="8" s="1"/>
  <c r="P84" i="9"/>
  <c r="P84" i="8" s="1"/>
  <c r="O84" i="9"/>
  <c r="O84" i="8" s="1"/>
  <c r="N84" i="9"/>
  <c r="N84" i="8" s="1"/>
  <c r="M84" i="9"/>
  <c r="M84" i="8" s="1"/>
  <c r="H113" i="6" s="1"/>
  <c r="L84" i="9"/>
  <c r="L84" i="8" s="1"/>
  <c r="K84" i="9"/>
  <c r="K84" i="8" s="1"/>
  <c r="K83" i="9"/>
  <c r="K83" i="8" s="1"/>
  <c r="P83" i="9"/>
  <c r="P83" i="8" s="1"/>
  <c r="O83" i="9"/>
  <c r="O83" i="8" s="1"/>
  <c r="N83" i="9"/>
  <c r="N83" i="8" s="1"/>
  <c r="M83" i="9"/>
  <c r="M83" i="8" s="1"/>
  <c r="H112" i="6" s="1"/>
  <c r="L83" i="9"/>
  <c r="L83" i="8" s="1"/>
  <c r="K82" i="9"/>
  <c r="K82" i="8" s="1"/>
  <c r="P82" i="9"/>
  <c r="P82" i="8" s="1"/>
  <c r="O82" i="9"/>
  <c r="O82" i="8" s="1"/>
  <c r="N82" i="9"/>
  <c r="N82" i="8" s="1"/>
  <c r="M82" i="9"/>
  <c r="M82" i="8" s="1"/>
  <c r="H111" i="6" s="1"/>
  <c r="L82" i="9"/>
  <c r="L82" i="8" s="1"/>
  <c r="N81" i="9"/>
  <c r="N81" i="8" s="1"/>
  <c r="O81" i="9"/>
  <c r="O81" i="8" s="1"/>
  <c r="P81" i="9"/>
  <c r="P81" i="8" s="1"/>
  <c r="M81" i="9"/>
  <c r="M81" i="8" s="1"/>
  <c r="H110" i="6" s="1"/>
  <c r="L81" i="9"/>
  <c r="L81" i="8" s="1"/>
  <c r="K81" i="9"/>
  <c r="K81" i="8" s="1"/>
  <c r="K80" i="9"/>
  <c r="K80" i="8" s="1"/>
  <c r="P80" i="9"/>
  <c r="P80" i="8" s="1"/>
  <c r="O80" i="9"/>
  <c r="O80" i="8" s="1"/>
  <c r="N80" i="9"/>
  <c r="N80" i="8" s="1"/>
  <c r="M80" i="9"/>
  <c r="M80" i="8" s="1"/>
  <c r="H109" i="6" s="1"/>
  <c r="L80" i="9"/>
  <c r="L80" i="8" s="1"/>
  <c r="N79" i="9"/>
  <c r="N79" i="8" s="1"/>
  <c r="P79" i="9"/>
  <c r="P79" i="8" s="1"/>
  <c r="O79" i="9"/>
  <c r="O79" i="8" s="1"/>
  <c r="M79" i="9"/>
  <c r="M79" i="8" s="1"/>
  <c r="H108" i="6" s="1"/>
  <c r="L79" i="9"/>
  <c r="L79" i="8" s="1"/>
  <c r="K79" i="9"/>
  <c r="K79" i="8" s="1"/>
  <c r="P78" i="9"/>
  <c r="P78" i="8" s="1"/>
  <c r="O78" i="9"/>
  <c r="O78" i="8" s="1"/>
  <c r="N78" i="9"/>
  <c r="N78" i="8" s="1"/>
  <c r="M78" i="9"/>
  <c r="M78" i="8" s="1"/>
  <c r="H107" i="6" s="1"/>
  <c r="L78" i="9"/>
  <c r="L78" i="8" s="1"/>
  <c r="K78" i="9"/>
  <c r="K78" i="8" s="1"/>
  <c r="K77" i="9"/>
  <c r="K77" i="8" s="1"/>
  <c r="N77" i="9"/>
  <c r="N77" i="8" s="1"/>
  <c r="O77" i="9"/>
  <c r="O77" i="8" s="1"/>
  <c r="P77" i="9"/>
  <c r="P77" i="8" s="1"/>
  <c r="M77" i="9"/>
  <c r="M77" i="8" s="1"/>
  <c r="H106" i="6" s="1"/>
  <c r="L77" i="9"/>
  <c r="L77" i="8" s="1"/>
  <c r="L76" i="9"/>
  <c r="L76" i="8" s="1"/>
  <c r="P76" i="9"/>
  <c r="P76" i="8" s="1"/>
  <c r="O76" i="9"/>
  <c r="O76" i="8" s="1"/>
  <c r="N76" i="9"/>
  <c r="N76" i="8" s="1"/>
  <c r="M76" i="9"/>
  <c r="M76" i="8" s="1"/>
  <c r="H105" i="6" s="1"/>
  <c r="K76" i="9"/>
  <c r="K76" i="8" s="1"/>
  <c r="O75" i="9"/>
  <c r="O75" i="8" s="1"/>
  <c r="P75" i="9"/>
  <c r="P75" i="8" s="1"/>
  <c r="N75" i="9"/>
  <c r="N75" i="8" s="1"/>
  <c r="M75" i="9"/>
  <c r="M75" i="8" s="1"/>
  <c r="H104" i="6" s="1"/>
  <c r="L75" i="9"/>
  <c r="L75" i="8" s="1"/>
  <c r="K75" i="9"/>
  <c r="K75" i="8" s="1"/>
  <c r="P74" i="9"/>
  <c r="P74" i="8" s="1"/>
  <c r="O74" i="9"/>
  <c r="O74" i="8" s="1"/>
  <c r="N74" i="9"/>
  <c r="N74" i="8" s="1"/>
  <c r="M74" i="9"/>
  <c r="M74" i="8" s="1"/>
  <c r="H103" i="6" s="1"/>
  <c r="L74" i="9"/>
  <c r="L74" i="8" s="1"/>
  <c r="K74" i="9"/>
  <c r="K74" i="8" s="1"/>
  <c r="P73" i="9"/>
  <c r="P73" i="8" s="1"/>
  <c r="O73" i="9"/>
  <c r="O73" i="8" s="1"/>
  <c r="N73" i="9"/>
  <c r="N73" i="8" s="1"/>
  <c r="M73" i="9"/>
  <c r="M73" i="8" s="1"/>
  <c r="H102" i="6" s="1"/>
  <c r="L73" i="9"/>
  <c r="L73" i="8" s="1"/>
  <c r="K73" i="9"/>
  <c r="K73" i="8" s="1"/>
  <c r="K72" i="9"/>
  <c r="K72" i="8" s="1"/>
  <c r="P72" i="9"/>
  <c r="P72" i="8" s="1"/>
  <c r="O72" i="9"/>
  <c r="O72" i="8" s="1"/>
  <c r="N72" i="9"/>
  <c r="N72" i="8" s="1"/>
  <c r="M72" i="9"/>
  <c r="M72" i="8" s="1"/>
  <c r="H101" i="6" s="1"/>
  <c r="L72" i="9"/>
  <c r="L72" i="8" s="1"/>
  <c r="K71" i="9"/>
  <c r="K71" i="8" s="1"/>
  <c r="O71" i="9"/>
  <c r="O71" i="8" s="1"/>
  <c r="C64" i="15" s="1"/>
  <c r="N71" i="9"/>
  <c r="N71" i="8" s="1"/>
  <c r="D64" i="15" s="1"/>
  <c r="M71" i="9"/>
  <c r="M71" i="8" s="1"/>
  <c r="H100" i="6" s="1"/>
  <c r="L71" i="9"/>
  <c r="L71" i="8" s="1"/>
  <c r="P71" i="9"/>
  <c r="P71" i="8" s="1"/>
  <c r="B64" i="15" s="1"/>
  <c r="K70" i="9"/>
  <c r="K70" i="8" s="1"/>
  <c r="P70" i="9"/>
  <c r="P70" i="8" s="1"/>
  <c r="O70" i="9"/>
  <c r="O70" i="8" s="1"/>
  <c r="N70" i="9"/>
  <c r="N70" i="8" s="1"/>
  <c r="M70" i="9"/>
  <c r="M70" i="8" s="1"/>
  <c r="H99" i="6" s="1"/>
  <c r="L70" i="9"/>
  <c r="L70" i="8" s="1"/>
  <c r="K69" i="9"/>
  <c r="K69" i="8" s="1"/>
  <c r="P69" i="9"/>
  <c r="P69" i="8" s="1"/>
  <c r="O69" i="9"/>
  <c r="O69" i="8" s="1"/>
  <c r="N69" i="9"/>
  <c r="N69" i="8" s="1"/>
  <c r="M69" i="9"/>
  <c r="M69" i="8" s="1"/>
  <c r="H98" i="6" s="1"/>
  <c r="L69" i="9"/>
  <c r="L69" i="8" s="1"/>
  <c r="P68" i="9"/>
  <c r="P68" i="8" s="1"/>
  <c r="O68" i="9"/>
  <c r="O68" i="8" s="1"/>
  <c r="N68" i="9"/>
  <c r="N68" i="8" s="1"/>
  <c r="M68" i="9"/>
  <c r="M68" i="8" s="1"/>
  <c r="H97" i="6" s="1"/>
  <c r="L68" i="9"/>
  <c r="L68" i="8" s="1"/>
  <c r="K68" i="9"/>
  <c r="K68" i="8" s="1"/>
  <c r="P67" i="9"/>
  <c r="P67" i="8" s="1"/>
  <c r="O67" i="9"/>
  <c r="O67" i="8" s="1"/>
  <c r="N67" i="9"/>
  <c r="N67" i="8" s="1"/>
  <c r="M67" i="9"/>
  <c r="M67" i="8" s="1"/>
  <c r="H96" i="6" s="1"/>
  <c r="L67" i="9"/>
  <c r="L67" i="8" s="1"/>
  <c r="K67" i="9"/>
  <c r="K67" i="8" s="1"/>
  <c r="K66" i="9"/>
  <c r="K66" i="8" s="1"/>
  <c r="L66" i="9"/>
  <c r="L66" i="8" s="1"/>
  <c r="P66" i="9"/>
  <c r="P66" i="8" s="1"/>
  <c r="O66" i="9"/>
  <c r="O66" i="8" s="1"/>
  <c r="N66" i="9"/>
  <c r="N66" i="8" s="1"/>
  <c r="M66" i="9"/>
  <c r="M66" i="8" s="1"/>
  <c r="H95" i="6" s="1"/>
  <c r="M65" i="9"/>
  <c r="M65" i="8" s="1"/>
  <c r="H94" i="6" s="1"/>
  <c r="P65" i="9"/>
  <c r="P65" i="8" s="1"/>
  <c r="O65" i="9"/>
  <c r="O65" i="8" s="1"/>
  <c r="N65" i="9"/>
  <c r="N65" i="8" s="1"/>
  <c r="K65" i="9"/>
  <c r="K65" i="8" s="1"/>
  <c r="L65" i="9"/>
  <c r="L65" i="8" s="1"/>
  <c r="K64" i="9"/>
  <c r="K64" i="8" s="1"/>
  <c r="L64" i="9"/>
  <c r="L64" i="8" s="1"/>
  <c r="M64" i="9"/>
  <c r="M64" i="8" s="1"/>
  <c r="H93" i="6" s="1"/>
  <c r="N64" i="9"/>
  <c r="N64" i="8" s="1"/>
  <c r="O64" i="9"/>
  <c r="O64" i="8" s="1"/>
  <c r="P64" i="9"/>
  <c r="P64" i="8" s="1"/>
  <c r="K63" i="9"/>
  <c r="K63" i="8" s="1"/>
  <c r="L63" i="9"/>
  <c r="L63" i="8" s="1"/>
  <c r="M63" i="9"/>
  <c r="M63" i="8" s="1"/>
  <c r="H92" i="6" s="1"/>
  <c r="N63" i="9"/>
  <c r="N63" i="8" s="1"/>
  <c r="O63" i="9"/>
  <c r="O63" i="8" s="1"/>
  <c r="P63" i="9"/>
  <c r="P63" i="8" s="1"/>
  <c r="L62" i="9"/>
  <c r="L62" i="8" s="1"/>
  <c r="K62" i="9"/>
  <c r="K62" i="8" s="1"/>
  <c r="M62" i="9"/>
  <c r="M62" i="8" s="1"/>
  <c r="H91" i="6" s="1"/>
  <c r="N62" i="9"/>
  <c r="N62" i="8" s="1"/>
  <c r="O62" i="9"/>
  <c r="O62" i="8" s="1"/>
  <c r="P62" i="9"/>
  <c r="P62" i="8" s="1"/>
  <c r="N61" i="9"/>
  <c r="N61" i="8" s="1"/>
  <c r="P61" i="9"/>
  <c r="P61" i="8" s="1"/>
  <c r="O61" i="9"/>
  <c r="O61" i="8" s="1"/>
  <c r="M61" i="9"/>
  <c r="M61" i="8" s="1"/>
  <c r="H90" i="6" s="1"/>
  <c r="K61" i="9"/>
  <c r="K61" i="8" s="1"/>
  <c r="L61" i="9"/>
  <c r="L61" i="8" s="1"/>
  <c r="O60" i="9"/>
  <c r="O60" i="8" s="1"/>
  <c r="N60" i="9"/>
  <c r="N60" i="8" s="1"/>
  <c r="M60" i="9"/>
  <c r="M60" i="8" s="1"/>
  <c r="H89" i="6" s="1"/>
  <c r="L60" i="9"/>
  <c r="L60" i="8" s="1"/>
  <c r="K60" i="9"/>
  <c r="K60" i="8" s="1"/>
  <c r="P60" i="9"/>
  <c r="P60" i="8" s="1"/>
  <c r="K59" i="9"/>
  <c r="K59" i="8" s="1"/>
  <c r="P59" i="9"/>
  <c r="P59" i="8" s="1"/>
  <c r="O59" i="9"/>
  <c r="O59" i="8" s="1"/>
  <c r="N59" i="9"/>
  <c r="N59" i="8" s="1"/>
  <c r="M59" i="9"/>
  <c r="M59" i="8" s="1"/>
  <c r="H88" i="6" s="1"/>
  <c r="L59" i="9"/>
  <c r="L59" i="8" s="1"/>
  <c r="K58" i="9"/>
  <c r="K58" i="8" s="1"/>
  <c r="P58" i="9"/>
  <c r="P58" i="8" s="1"/>
  <c r="O58" i="9"/>
  <c r="O58" i="8" s="1"/>
  <c r="N58" i="9"/>
  <c r="N58" i="8" s="1"/>
  <c r="M58" i="9"/>
  <c r="M58" i="8" s="1"/>
  <c r="H87" i="6" s="1"/>
  <c r="L58" i="9"/>
  <c r="L58" i="8" s="1"/>
  <c r="P57" i="9"/>
  <c r="P57" i="8" s="1"/>
  <c r="O57" i="9"/>
  <c r="O57" i="8" s="1"/>
  <c r="N57" i="9"/>
  <c r="N57" i="8" s="1"/>
  <c r="M57" i="9"/>
  <c r="M57" i="8" s="1"/>
  <c r="H86" i="6" s="1"/>
  <c r="L57" i="9"/>
  <c r="L57" i="8" s="1"/>
  <c r="K57" i="9"/>
  <c r="K57" i="8" s="1"/>
  <c r="P56" i="9"/>
  <c r="P56" i="8" s="1"/>
  <c r="O56" i="9"/>
  <c r="O56" i="8" s="1"/>
  <c r="N56" i="9"/>
  <c r="N56" i="8" s="1"/>
  <c r="M56" i="9"/>
  <c r="M56" i="8" s="1"/>
  <c r="H85" i="6" s="1"/>
  <c r="L56" i="9"/>
  <c r="L56" i="8" s="1"/>
  <c r="K56" i="9"/>
  <c r="K56" i="8" s="1"/>
  <c r="K55" i="9"/>
  <c r="K55" i="8" s="1"/>
  <c r="P55" i="9"/>
  <c r="P55" i="8" s="1"/>
  <c r="O55" i="9"/>
  <c r="O55" i="8" s="1"/>
  <c r="N55" i="9"/>
  <c r="N55" i="8" s="1"/>
  <c r="M55" i="9"/>
  <c r="M55" i="8" s="1"/>
  <c r="H84" i="6" s="1"/>
  <c r="L55" i="9"/>
  <c r="L55" i="8" s="1"/>
  <c r="M54" i="9"/>
  <c r="M54" i="8" s="1"/>
  <c r="H83" i="6" s="1"/>
  <c r="P54" i="9"/>
  <c r="P54" i="8" s="1"/>
  <c r="O54" i="9"/>
  <c r="O54" i="8" s="1"/>
  <c r="N54" i="9"/>
  <c r="N54" i="8" s="1"/>
  <c r="K54" i="9"/>
  <c r="K54" i="8" s="1"/>
  <c r="L54" i="9"/>
  <c r="L54" i="8" s="1"/>
  <c r="P53" i="9"/>
  <c r="P53" i="8" s="1"/>
  <c r="B63" i="15" s="1"/>
  <c r="N53" i="9"/>
  <c r="N53" i="8" s="1"/>
  <c r="D63" i="15" s="1"/>
  <c r="M53" i="9"/>
  <c r="M53" i="8" s="1"/>
  <c r="H82" i="6" s="1"/>
  <c r="L53" i="9"/>
  <c r="L53" i="8" s="1"/>
  <c r="K53" i="9"/>
  <c r="K53" i="8" s="1"/>
  <c r="O53" i="9"/>
  <c r="O53" i="8" s="1"/>
  <c r="C63" i="15" s="1"/>
  <c r="K52" i="9"/>
  <c r="K52" i="8" s="1"/>
  <c r="P52" i="9"/>
  <c r="P52" i="8" s="1"/>
  <c r="O52" i="9"/>
  <c r="O52" i="8" s="1"/>
  <c r="N52" i="9"/>
  <c r="N52" i="8" s="1"/>
  <c r="M52" i="9"/>
  <c r="M52" i="8" s="1"/>
  <c r="H81" i="6" s="1"/>
  <c r="L52" i="9"/>
  <c r="L52" i="8" s="1"/>
  <c r="K51" i="9"/>
  <c r="K51" i="8" s="1"/>
  <c r="P51" i="9"/>
  <c r="P51" i="8" s="1"/>
  <c r="O51" i="9"/>
  <c r="O51" i="8" s="1"/>
  <c r="N51" i="9"/>
  <c r="N51" i="8" s="1"/>
  <c r="M51" i="9"/>
  <c r="M51" i="8" s="1"/>
  <c r="H80" i="6" s="1"/>
  <c r="L51" i="9"/>
  <c r="L51" i="8" s="1"/>
  <c r="P50" i="9"/>
  <c r="P50" i="8" s="1"/>
  <c r="O50" i="9"/>
  <c r="O50" i="8" s="1"/>
  <c r="N50" i="9"/>
  <c r="N50" i="8" s="1"/>
  <c r="M50" i="9"/>
  <c r="M50" i="8" s="1"/>
  <c r="H79" i="6" s="1"/>
  <c r="L50" i="9"/>
  <c r="L50" i="8" s="1"/>
  <c r="K50" i="9"/>
  <c r="K50" i="8" s="1"/>
  <c r="P49" i="9"/>
  <c r="P49" i="8" s="1"/>
  <c r="O49" i="9"/>
  <c r="O49" i="8" s="1"/>
  <c r="N49" i="9"/>
  <c r="N49" i="8" s="1"/>
  <c r="M49" i="9"/>
  <c r="M49" i="8" s="1"/>
  <c r="H78" i="6" s="1"/>
  <c r="L49" i="9"/>
  <c r="L49" i="8" s="1"/>
  <c r="K49" i="9"/>
  <c r="K49" i="8" s="1"/>
  <c r="K48" i="9"/>
  <c r="K48" i="8" s="1"/>
  <c r="P48" i="9"/>
  <c r="P48" i="8" s="1"/>
  <c r="O48" i="9"/>
  <c r="O48" i="8" s="1"/>
  <c r="N48" i="9"/>
  <c r="N48" i="8" s="1"/>
  <c r="M48" i="9"/>
  <c r="M48" i="8" s="1"/>
  <c r="H77" i="6" s="1"/>
  <c r="L48" i="9"/>
  <c r="L48" i="8" s="1"/>
  <c r="L47" i="9"/>
  <c r="L47" i="8" s="1"/>
  <c r="P47" i="9"/>
  <c r="P47" i="8" s="1"/>
  <c r="O47" i="9"/>
  <c r="O47" i="8" s="1"/>
  <c r="N47" i="9"/>
  <c r="N47" i="8" s="1"/>
  <c r="K47" i="9"/>
  <c r="K47" i="8" s="1"/>
  <c r="M47" i="9"/>
  <c r="M47" i="8" s="1"/>
  <c r="H76" i="6" s="1"/>
  <c r="N46" i="9"/>
  <c r="N46" i="8" s="1"/>
  <c r="L46" i="9"/>
  <c r="L46" i="8" s="1"/>
  <c r="K46" i="9"/>
  <c r="K46" i="8" s="1"/>
  <c r="M46" i="9"/>
  <c r="M46" i="8" s="1"/>
  <c r="H75" i="6" s="1"/>
  <c r="P46" i="9"/>
  <c r="P46" i="8" s="1"/>
  <c r="O46" i="9"/>
  <c r="O46" i="8" s="1"/>
  <c r="P45" i="9"/>
  <c r="P45" i="8" s="1"/>
  <c r="O45" i="9"/>
  <c r="O45" i="8" s="1"/>
  <c r="N45" i="9"/>
  <c r="N45" i="8" s="1"/>
  <c r="M45" i="9"/>
  <c r="M45" i="8" s="1"/>
  <c r="H74" i="6" s="1"/>
  <c r="L45" i="9"/>
  <c r="L45" i="8" s="1"/>
  <c r="K45" i="9"/>
  <c r="K45" i="8" s="1"/>
  <c r="P44" i="9"/>
  <c r="P44" i="8" s="1"/>
  <c r="O44" i="9"/>
  <c r="O44" i="8" s="1"/>
  <c r="N44" i="9"/>
  <c r="N44" i="8" s="1"/>
  <c r="M44" i="9"/>
  <c r="M44" i="8" s="1"/>
  <c r="H73" i="6" s="1"/>
  <c r="L44" i="9"/>
  <c r="L44" i="8" s="1"/>
  <c r="K44" i="9"/>
  <c r="K44" i="8" s="1"/>
  <c r="P43" i="9"/>
  <c r="P43" i="8" s="1"/>
  <c r="O43" i="9"/>
  <c r="O43" i="8" s="1"/>
  <c r="K43" i="9"/>
  <c r="K43" i="8" s="1"/>
  <c r="L43" i="9"/>
  <c r="L43" i="8" s="1"/>
  <c r="N43" i="9"/>
  <c r="N43" i="8" s="1"/>
  <c r="M43" i="9"/>
  <c r="M43" i="8" s="1"/>
  <c r="H72" i="6" s="1"/>
  <c r="N42" i="9"/>
  <c r="N42" i="8" s="1"/>
  <c r="P42" i="9"/>
  <c r="P42" i="8" s="1"/>
  <c r="M42" i="9"/>
  <c r="M42" i="8" s="1"/>
  <c r="H71" i="6" s="1"/>
  <c r="L42" i="9"/>
  <c r="L42" i="8" s="1"/>
  <c r="K42" i="9"/>
  <c r="K42" i="8" s="1"/>
  <c r="O42" i="9"/>
  <c r="O42" i="8" s="1"/>
  <c r="P41" i="9"/>
  <c r="P41" i="8" s="1"/>
  <c r="O41" i="9"/>
  <c r="O41" i="8" s="1"/>
  <c r="N41" i="9"/>
  <c r="N41" i="8" s="1"/>
  <c r="M41" i="9"/>
  <c r="M41" i="8" s="1"/>
  <c r="H70" i="6" s="1"/>
  <c r="L41" i="9"/>
  <c r="L41" i="8" s="1"/>
  <c r="K41" i="9"/>
  <c r="K41" i="8" s="1"/>
  <c r="M40" i="9"/>
  <c r="M40" i="8" s="1"/>
  <c r="H69" i="6" s="1"/>
  <c r="P40" i="9"/>
  <c r="P40" i="8" s="1"/>
  <c r="L40" i="9"/>
  <c r="L40" i="8" s="1"/>
  <c r="K40" i="9"/>
  <c r="K40" i="8" s="1"/>
  <c r="N40" i="9"/>
  <c r="N40" i="8" s="1"/>
  <c r="O40" i="9"/>
  <c r="O40" i="8" s="1"/>
  <c r="O39" i="9"/>
  <c r="O39" i="8" s="1"/>
  <c r="P39" i="9"/>
  <c r="P39" i="8" s="1"/>
  <c r="N39" i="9"/>
  <c r="N39" i="8" s="1"/>
  <c r="M39" i="9"/>
  <c r="M39" i="8" s="1"/>
  <c r="H68" i="6" s="1"/>
  <c r="L39" i="9"/>
  <c r="L39" i="8" s="1"/>
  <c r="K39" i="9"/>
  <c r="K39" i="8" s="1"/>
  <c r="P38" i="9"/>
  <c r="P38" i="8" s="1"/>
  <c r="O38" i="9"/>
  <c r="O38" i="8" s="1"/>
  <c r="N38" i="9"/>
  <c r="N38" i="8" s="1"/>
  <c r="M38" i="9"/>
  <c r="M38" i="8" s="1"/>
  <c r="H67" i="6" s="1"/>
  <c r="L38" i="9"/>
  <c r="L38" i="8" s="1"/>
  <c r="K38" i="9"/>
  <c r="K38" i="8" s="1"/>
  <c r="P37" i="9"/>
  <c r="P37" i="8" s="1"/>
  <c r="O37" i="9"/>
  <c r="O37" i="8" s="1"/>
  <c r="N37" i="9"/>
  <c r="N37" i="8" s="1"/>
  <c r="M37" i="9"/>
  <c r="M37" i="8" s="1"/>
  <c r="H66" i="6" s="1"/>
  <c r="L37" i="9"/>
  <c r="L37" i="8" s="1"/>
  <c r="K37" i="9"/>
  <c r="K37" i="8" s="1"/>
  <c r="L36" i="9"/>
  <c r="L36" i="8" s="1"/>
  <c r="K36" i="9"/>
  <c r="K36" i="8" s="1"/>
  <c r="P36" i="9"/>
  <c r="P36" i="8" s="1"/>
  <c r="O36" i="9"/>
  <c r="O36" i="8" s="1"/>
  <c r="N36" i="9"/>
  <c r="N36" i="8" s="1"/>
  <c r="M36" i="9"/>
  <c r="M36" i="8" s="1"/>
  <c r="H65" i="6" s="1"/>
  <c r="L35" i="9"/>
  <c r="L35" i="8" s="1"/>
  <c r="K35" i="9"/>
  <c r="K35" i="8" s="1"/>
  <c r="P35" i="9"/>
  <c r="P35" i="8" s="1"/>
  <c r="O35" i="9"/>
  <c r="O35" i="8" s="1"/>
  <c r="N35" i="9"/>
  <c r="N35" i="8" s="1"/>
  <c r="M35" i="9"/>
  <c r="M35" i="8" s="1"/>
  <c r="H64" i="6" s="1"/>
  <c r="O34" i="9"/>
  <c r="O34" i="8" s="1"/>
  <c r="P34" i="9"/>
  <c r="P34" i="8" s="1"/>
  <c r="N34" i="9"/>
  <c r="N34" i="8" s="1"/>
  <c r="M34" i="9"/>
  <c r="M34" i="8" s="1"/>
  <c r="H63" i="6" s="1"/>
  <c r="L34" i="9"/>
  <c r="L34" i="8" s="1"/>
  <c r="K34" i="9"/>
  <c r="K34" i="8" s="1"/>
  <c r="K33" i="9"/>
  <c r="K33" i="8" s="1"/>
  <c r="P33" i="9"/>
  <c r="P33" i="8" s="1"/>
  <c r="O33" i="9"/>
  <c r="O33" i="8" s="1"/>
  <c r="N33" i="9"/>
  <c r="N33" i="8" s="1"/>
  <c r="M33" i="9"/>
  <c r="M33" i="8" s="1"/>
  <c r="H62" i="6" s="1"/>
  <c r="L33" i="9"/>
  <c r="L33" i="8" s="1"/>
  <c r="K32" i="9"/>
  <c r="K32" i="8" s="1"/>
  <c r="L32" i="9"/>
  <c r="L32" i="8" s="1"/>
  <c r="M32" i="9"/>
  <c r="M32" i="8" s="1"/>
  <c r="H61" i="6" s="1"/>
  <c r="N32" i="9"/>
  <c r="N32" i="8" s="1"/>
  <c r="O32" i="9"/>
  <c r="O32" i="8" s="1"/>
  <c r="P32" i="9"/>
  <c r="P32" i="8" s="1"/>
  <c r="K31" i="9"/>
  <c r="K31" i="8" s="1"/>
  <c r="L31" i="9"/>
  <c r="L31" i="8" s="1"/>
  <c r="M31" i="9"/>
  <c r="M31" i="8" s="1"/>
  <c r="H60" i="6" s="1"/>
  <c r="N31" i="9"/>
  <c r="N31" i="8" s="1"/>
  <c r="O31" i="9"/>
  <c r="O31" i="8" s="1"/>
  <c r="P31" i="9"/>
  <c r="P31" i="8" s="1"/>
  <c r="K30" i="9"/>
  <c r="K30" i="8" s="1"/>
  <c r="L30" i="9"/>
  <c r="L30" i="8" s="1"/>
  <c r="M30" i="9"/>
  <c r="M30" i="8" s="1"/>
  <c r="H59" i="6" s="1"/>
  <c r="N30" i="9"/>
  <c r="N30" i="8" s="1"/>
  <c r="P30" i="9"/>
  <c r="P30" i="8" s="1"/>
  <c r="O30" i="9"/>
  <c r="O30" i="8" s="1"/>
  <c r="L29" i="9"/>
  <c r="L29" i="8" s="1"/>
  <c r="P29" i="9"/>
  <c r="P29" i="8" s="1"/>
  <c r="O29" i="9"/>
  <c r="O29" i="8" s="1"/>
  <c r="N29" i="9"/>
  <c r="N29" i="8" s="1"/>
  <c r="M29" i="9"/>
  <c r="M29" i="8" s="1"/>
  <c r="H58" i="6" s="1"/>
  <c r="K29" i="9"/>
  <c r="K29" i="8" s="1"/>
  <c r="M28" i="9"/>
  <c r="M28" i="8" s="1"/>
  <c r="H57" i="6" s="1"/>
  <c r="K28" i="9"/>
  <c r="K28" i="8" s="1"/>
  <c r="P28" i="9"/>
  <c r="P28" i="8" s="1"/>
  <c r="O28" i="9"/>
  <c r="O28" i="8" s="1"/>
  <c r="L28" i="9"/>
  <c r="L28" i="8" s="1"/>
  <c r="N28" i="9"/>
  <c r="N28" i="8" s="1"/>
  <c r="O27" i="9"/>
  <c r="O27" i="8" s="1"/>
  <c r="P27" i="9"/>
  <c r="P27" i="8" s="1"/>
  <c r="K27" i="9"/>
  <c r="K27" i="8" s="1"/>
  <c r="L27" i="9"/>
  <c r="L27" i="8" s="1"/>
  <c r="M27" i="9"/>
  <c r="M27" i="8" s="1"/>
  <c r="H56" i="6" s="1"/>
  <c r="N27" i="9"/>
  <c r="N27" i="8" s="1"/>
  <c r="K26" i="9"/>
  <c r="K26" i="8" s="1"/>
  <c r="L26" i="9"/>
  <c r="L26" i="8" s="1"/>
  <c r="M26" i="9"/>
  <c r="M26" i="8" s="1"/>
  <c r="H55" i="6" s="1"/>
  <c r="N26" i="9"/>
  <c r="N26" i="8" s="1"/>
  <c r="O26" i="9"/>
  <c r="O26" i="8" s="1"/>
  <c r="P26" i="9"/>
  <c r="P26" i="8" s="1"/>
  <c r="K25" i="9"/>
  <c r="K25" i="8" s="1"/>
  <c r="L25" i="9"/>
  <c r="L25" i="8" s="1"/>
  <c r="M25" i="9"/>
  <c r="M25" i="8" s="1"/>
  <c r="H54" i="6" s="1"/>
  <c r="N25" i="9"/>
  <c r="N25" i="8" s="1"/>
  <c r="O25" i="9"/>
  <c r="O25" i="8" s="1"/>
  <c r="P25" i="9"/>
  <c r="P25" i="8" s="1"/>
  <c r="P24" i="9"/>
  <c r="P24" i="8" s="1"/>
  <c r="N24" i="9"/>
  <c r="N24" i="8" s="1"/>
  <c r="M24" i="9"/>
  <c r="M24" i="8" s="1"/>
  <c r="H53" i="6" s="1"/>
  <c r="L24" i="9"/>
  <c r="L24" i="8" s="1"/>
  <c r="K24" i="9"/>
  <c r="K24" i="8" s="1"/>
  <c r="O24" i="9"/>
  <c r="O24" i="8" s="1"/>
  <c r="N23" i="9"/>
  <c r="P23" i="9"/>
  <c r="K23" i="9"/>
  <c r="K23" i="8" s="1"/>
  <c r="M23" i="9"/>
  <c r="M23" i="8" s="1"/>
  <c r="H52" i="6" s="1"/>
  <c r="O23" i="9"/>
  <c r="L23" i="9"/>
  <c r="L23" i="8" s="1"/>
  <c r="M22" i="9"/>
  <c r="M22" i="8" s="1"/>
  <c r="H51" i="6" s="1"/>
  <c r="N22" i="9"/>
  <c r="N22" i="8" s="1"/>
  <c r="K22" i="9"/>
  <c r="K22" i="8" s="1"/>
  <c r="P22" i="9"/>
  <c r="P22" i="8" s="1"/>
  <c r="O22" i="9"/>
  <c r="O22" i="8" s="1"/>
  <c r="L22" i="9"/>
  <c r="L22" i="8" s="1"/>
  <c r="P21" i="9"/>
  <c r="P21" i="8" s="1"/>
  <c r="O21" i="9"/>
  <c r="O21" i="8" s="1"/>
  <c r="N21" i="9"/>
  <c r="N21" i="8" s="1"/>
  <c r="M21" i="9"/>
  <c r="M21" i="8" s="1"/>
  <c r="H50" i="6" s="1"/>
  <c r="L21" i="9"/>
  <c r="L21" i="8" s="1"/>
  <c r="K21" i="9"/>
  <c r="K21" i="8" s="1"/>
  <c r="M20" i="9"/>
  <c r="M20" i="8" s="1"/>
  <c r="H49" i="6" s="1"/>
  <c r="L20" i="9"/>
  <c r="L20" i="8" s="1"/>
  <c r="K20" i="9"/>
  <c r="K20" i="8" s="1"/>
  <c r="N20" i="9"/>
  <c r="N20" i="8" s="1"/>
  <c r="O20" i="9"/>
  <c r="O20" i="8" s="1"/>
  <c r="P20" i="9"/>
  <c r="P20" i="8" s="1"/>
  <c r="O19" i="9"/>
  <c r="N19" i="9"/>
  <c r="M19" i="9"/>
  <c r="M19" i="8" s="1"/>
  <c r="H48" i="6" s="1"/>
  <c r="L19" i="9"/>
  <c r="L19" i="8" s="1"/>
  <c r="K19" i="9"/>
  <c r="K19" i="8" s="1"/>
  <c r="P19" i="9"/>
  <c r="P18" i="9"/>
  <c r="P18" i="8" s="1"/>
  <c r="O18" i="9"/>
  <c r="O18" i="8" s="1"/>
  <c r="N18" i="9"/>
  <c r="N18" i="8" s="1"/>
  <c r="M18" i="9"/>
  <c r="M18" i="8" s="1"/>
  <c r="H47" i="6" s="1"/>
  <c r="L18" i="9"/>
  <c r="L18" i="8" s="1"/>
  <c r="K18" i="9"/>
  <c r="K18" i="8" s="1"/>
  <c r="O17" i="9"/>
  <c r="O17" i="8" s="1"/>
  <c r="L17" i="9"/>
  <c r="L17" i="8" s="1"/>
  <c r="M17" i="9"/>
  <c r="M17" i="8" s="1"/>
  <c r="H46" i="6" s="1"/>
  <c r="K17" i="9"/>
  <c r="K17" i="8" s="1"/>
  <c r="P17" i="9"/>
  <c r="P17" i="8" s="1"/>
  <c r="N17" i="9"/>
  <c r="N17" i="8" s="1"/>
  <c r="P16" i="9"/>
  <c r="P16" i="8" s="1"/>
  <c r="K16" i="9"/>
  <c r="K16" i="8" s="1"/>
  <c r="L16" i="9"/>
  <c r="L16" i="8" s="1"/>
  <c r="M16" i="9"/>
  <c r="M16" i="8" s="1"/>
  <c r="H45" i="6" s="1"/>
  <c r="N16" i="9"/>
  <c r="N16" i="8" s="1"/>
  <c r="O16" i="9"/>
  <c r="O16" i="8" s="1"/>
  <c r="K15" i="9"/>
  <c r="K15" i="8" s="1"/>
  <c r="L15" i="9"/>
  <c r="L15" i="8" s="1"/>
  <c r="M15" i="9"/>
  <c r="M15" i="8" s="1"/>
  <c r="H44" i="6" s="1"/>
  <c r="N15" i="9"/>
  <c r="N15" i="8" s="1"/>
  <c r="O15" i="9"/>
  <c r="O15" i="8" s="1"/>
  <c r="P15" i="9"/>
  <c r="P15" i="8" s="1"/>
  <c r="K14" i="9"/>
  <c r="K14" i="8" s="1"/>
  <c r="L14" i="9"/>
  <c r="L14" i="8" s="1"/>
  <c r="M14" i="9"/>
  <c r="M14" i="8" s="1"/>
  <c r="H43" i="6" s="1"/>
  <c r="O14" i="9"/>
  <c r="P14" i="9"/>
  <c r="N14" i="9"/>
  <c r="L13" i="9"/>
  <c r="L13" i="8" s="1"/>
  <c r="M13" i="9"/>
  <c r="M13" i="8" s="1"/>
  <c r="H42" i="6" s="1"/>
  <c r="N13" i="9"/>
  <c r="N13" i="8" s="1"/>
  <c r="O13" i="9"/>
  <c r="O13" i="8" s="1"/>
  <c r="P13" i="9"/>
  <c r="P13" i="8" s="1"/>
  <c r="K13" i="9"/>
  <c r="K13" i="8" s="1"/>
  <c r="M12" i="9"/>
  <c r="M12" i="8" s="1"/>
  <c r="H41" i="6" s="1"/>
  <c r="L12" i="9"/>
  <c r="L12" i="8" s="1"/>
  <c r="K12" i="9"/>
  <c r="K12" i="8" s="1"/>
  <c r="N12" i="9"/>
  <c r="N12" i="8" s="1"/>
  <c r="O12" i="9"/>
  <c r="O12" i="8" s="1"/>
  <c r="P12" i="9"/>
  <c r="P12" i="8" s="1"/>
  <c r="P11" i="9"/>
  <c r="P11" i="8" s="1"/>
  <c r="O11" i="9"/>
  <c r="O11" i="8" s="1"/>
  <c r="N11" i="9"/>
  <c r="N11" i="8" s="1"/>
  <c r="M11" i="9"/>
  <c r="M11" i="8" s="1"/>
  <c r="H40" i="6" s="1"/>
  <c r="L11" i="9"/>
  <c r="L11" i="8" s="1"/>
  <c r="K11" i="9"/>
  <c r="K11" i="8" s="1"/>
  <c r="Z10" i="8"/>
  <c r="F39" i="6"/>
  <c r="U10" i="8"/>
  <c r="T10" i="8"/>
  <c r="D39" i="6" s="1"/>
  <c r="Y10" i="8"/>
  <c r="C39" i="6"/>
  <c r="S10" i="8"/>
  <c r="R10" i="8"/>
  <c r="A23" i="7" s="1"/>
  <c r="B39" i="6"/>
  <c r="P10" i="9"/>
  <c r="P10" i="8" s="1"/>
  <c r="K10" i="9"/>
  <c r="K10" i="8" s="1"/>
  <c r="L10" i="9"/>
  <c r="L10" i="8" s="1"/>
  <c r="M10" i="9"/>
  <c r="M10" i="8" s="1"/>
  <c r="H39" i="6" s="1"/>
  <c r="A10" i="8"/>
  <c r="N10" i="9"/>
  <c r="N10" i="8" s="1"/>
  <c r="O10" i="9"/>
  <c r="O10" i="8" s="1"/>
  <c r="Z9" i="8"/>
  <c r="F38" i="6"/>
  <c r="T9" i="8"/>
  <c r="D38" i="6" s="1"/>
  <c r="U9" i="8"/>
  <c r="Y9" i="8"/>
  <c r="C38" i="6"/>
  <c r="R9" i="8"/>
  <c r="A22" i="7" s="1"/>
  <c r="S9" i="8"/>
  <c r="B38" i="6"/>
  <c r="N9" i="9"/>
  <c r="N9" i="8" s="1"/>
  <c r="A9" i="8"/>
  <c r="P9" i="9"/>
  <c r="P9" i="8" s="1"/>
  <c r="O9" i="9"/>
  <c r="O9" i="8" s="1"/>
  <c r="K9" i="9"/>
  <c r="K9" i="8" s="1"/>
  <c r="L9" i="9"/>
  <c r="L9" i="8" s="1"/>
  <c r="M9" i="9"/>
  <c r="M9" i="8" s="1"/>
  <c r="H38" i="6" s="1"/>
  <c r="Z8" i="8"/>
  <c r="F37" i="6"/>
  <c r="T8" i="8"/>
  <c r="D37" i="6" s="1"/>
  <c r="U8" i="8"/>
  <c r="Y8" i="8"/>
  <c r="C37" i="6"/>
  <c r="R8" i="8"/>
  <c r="A21" i="7" s="1"/>
  <c r="S8" i="8"/>
  <c r="B37" i="6"/>
  <c r="P8" i="9"/>
  <c r="O8" i="9"/>
  <c r="N8" i="9"/>
  <c r="M8" i="9"/>
  <c r="M8" i="8" s="1"/>
  <c r="H37" i="6" s="1"/>
  <c r="L8" i="9"/>
  <c r="L8" i="8" s="1"/>
  <c r="A8" i="8"/>
  <c r="K8" i="9"/>
  <c r="K8" i="8" s="1"/>
  <c r="Z7" i="8"/>
  <c r="F36" i="6"/>
  <c r="T7" i="8"/>
  <c r="D36" i="6" s="1"/>
  <c r="U7" i="8"/>
  <c r="Y7" i="8"/>
  <c r="C36" i="6"/>
  <c r="R7" i="8"/>
  <c r="A20" i="7" s="1"/>
  <c r="S7" i="8"/>
  <c r="B36" i="6"/>
  <c r="K7" i="9"/>
  <c r="K7" i="8" s="1"/>
  <c r="O7" i="9"/>
  <c r="O7" i="8" s="1"/>
  <c r="N7" i="9"/>
  <c r="N7" i="8" s="1"/>
  <c r="M7" i="9"/>
  <c r="M7" i="8" s="1"/>
  <c r="H36" i="6" s="1"/>
  <c r="L7" i="9"/>
  <c r="L7" i="8" s="1"/>
  <c r="A7" i="8"/>
  <c r="P7" i="9"/>
  <c r="P7" i="8" s="1"/>
  <c r="Z6" i="8"/>
  <c r="F35" i="6"/>
  <c r="T6" i="8"/>
  <c r="D35" i="6" s="1"/>
  <c r="U6" i="8"/>
  <c r="Y6" i="8"/>
  <c r="C35" i="6"/>
  <c r="R6" i="8"/>
  <c r="A19" i="7" s="1"/>
  <c r="S6" i="8"/>
  <c r="B35" i="6"/>
  <c r="N6" i="9"/>
  <c r="N6" i="8" s="1"/>
  <c r="M6" i="9"/>
  <c r="M6" i="8" s="1"/>
  <c r="H35" i="6" s="1"/>
  <c r="L6" i="9"/>
  <c r="L6" i="8" s="1"/>
  <c r="K6" i="9"/>
  <c r="K6" i="8" s="1"/>
  <c r="P6" i="9"/>
  <c r="P6" i="8" s="1"/>
  <c r="O6" i="9"/>
  <c r="O6" i="8" s="1"/>
  <c r="A6" i="8"/>
  <c r="Z5" i="8"/>
  <c r="F34" i="6"/>
  <c r="T5" i="8"/>
  <c r="D34" i="6" s="1"/>
  <c r="U5" i="8"/>
  <c r="Y5" i="8"/>
  <c r="C34" i="6"/>
  <c r="R5" i="8"/>
  <c r="A18" i="7" s="1"/>
  <c r="S5" i="8"/>
  <c r="B34" i="6"/>
  <c r="N5" i="9"/>
  <c r="N5" i="8" s="1"/>
  <c r="M5" i="9"/>
  <c r="M5" i="8" s="1"/>
  <c r="H34" i="6" s="1"/>
  <c r="P5" i="9"/>
  <c r="P5" i="8" s="1"/>
  <c r="A5" i="8"/>
  <c r="L5" i="9"/>
  <c r="L5" i="8" s="1"/>
  <c r="K5" i="9"/>
  <c r="K5" i="8" s="1"/>
  <c r="O5" i="9"/>
  <c r="O5" i="8" s="1"/>
  <c r="Z4" i="8"/>
  <c r="F33" i="6"/>
  <c r="T4" i="8"/>
  <c r="D33" i="6" s="1"/>
  <c r="U4" i="8"/>
  <c r="Y4" i="8"/>
  <c r="C33" i="6"/>
  <c r="R4" i="8"/>
  <c r="A17" i="7" s="1"/>
  <c r="S4" i="8"/>
  <c r="B33" i="6"/>
  <c r="K4" i="9"/>
  <c r="K4" i="8" s="1"/>
  <c r="L4" i="9"/>
  <c r="L4" i="8" s="1"/>
  <c r="M4" i="9"/>
  <c r="M4" i="8" s="1"/>
  <c r="H33" i="6" s="1"/>
  <c r="N4" i="9"/>
  <c r="N4" i="8" s="1"/>
  <c r="O4" i="9"/>
  <c r="O4" i="8" s="1"/>
  <c r="P4" i="9"/>
  <c r="P4" i="8" s="1"/>
  <c r="A4" i="8"/>
  <c r="Z3" i="8"/>
  <c r="F32" i="6"/>
  <c r="T3" i="8"/>
  <c r="D32" i="6" s="1"/>
  <c r="U3" i="8"/>
  <c r="Y3" i="8"/>
  <c r="C32" i="6"/>
  <c r="R3" i="8"/>
  <c r="A16" i="7" s="1"/>
  <c r="S3" i="8"/>
  <c r="B32" i="6"/>
  <c r="M3" i="9"/>
  <c r="M3" i="8" s="1"/>
  <c r="H32" i="6" s="1"/>
  <c r="L3" i="9"/>
  <c r="L3" i="8" s="1"/>
  <c r="K3" i="9"/>
  <c r="K3" i="8" s="1"/>
  <c r="A3" i="8"/>
  <c r="N3" i="9"/>
  <c r="N3" i="8" s="1"/>
  <c r="O3" i="9"/>
  <c r="O3" i="8" s="1"/>
  <c r="P3" i="9"/>
  <c r="P3" i="8" s="1"/>
  <c r="Z2" i="8"/>
  <c r="C37" i="5"/>
  <c r="C38" i="5"/>
  <c r="C39" i="5"/>
  <c r="C40" i="5"/>
  <c r="C41" i="5"/>
  <c r="C42" i="5"/>
  <c r="C44" i="5"/>
  <c r="C45" i="5"/>
  <c r="C46" i="5"/>
  <c r="C36" i="5"/>
  <c r="C34" i="5"/>
  <c r="C35" i="5"/>
  <c r="C51" i="5"/>
  <c r="F31" i="6"/>
  <c r="C43" i="5"/>
  <c r="D71" i="4"/>
  <c r="C15" i="5"/>
  <c r="F71" i="4"/>
  <c r="F70" i="4"/>
  <c r="F68" i="4"/>
  <c r="E31" i="6"/>
  <c r="F69" i="4"/>
  <c r="T2" i="8"/>
  <c r="U2" i="8"/>
  <c r="Y2" i="8"/>
  <c r="F18" i="4"/>
  <c r="F8" i="4"/>
  <c r="F16" i="4"/>
  <c r="F20" i="4"/>
  <c r="F28" i="4"/>
  <c r="F12" i="4"/>
  <c r="F19" i="4"/>
  <c r="F21" i="4"/>
  <c r="F22" i="4"/>
  <c r="F26" i="4"/>
  <c r="F27" i="4"/>
  <c r="F17" i="4"/>
  <c r="F23" i="4"/>
  <c r="F24" i="4"/>
  <c r="E12" i="6"/>
  <c r="E13" i="6"/>
  <c r="E14" i="6"/>
  <c r="E15" i="6"/>
  <c r="E16" i="6"/>
  <c r="E18" i="6"/>
  <c r="E20" i="6"/>
  <c r="E22" i="6"/>
  <c r="E24" i="6"/>
  <c r="C31" i="6"/>
  <c r="F6" i="4"/>
  <c r="F9" i="4"/>
  <c r="F10" i="4"/>
  <c r="F13" i="4"/>
  <c r="E26" i="4"/>
  <c r="E5" i="6"/>
  <c r="E6" i="6"/>
  <c r="F6" i="6"/>
  <c r="E7" i="6"/>
  <c r="F7" i="6"/>
  <c r="E8" i="6"/>
  <c r="E9" i="6"/>
  <c r="E10" i="6"/>
  <c r="E11" i="6"/>
  <c r="E17" i="6"/>
  <c r="F18" i="6"/>
  <c r="E19" i="6"/>
  <c r="F19" i="6"/>
  <c r="E21" i="6"/>
  <c r="F21" i="6"/>
  <c r="E23" i="6"/>
  <c r="F23" i="6"/>
  <c r="E25" i="6"/>
  <c r="F25" i="6"/>
  <c r="E26" i="6"/>
  <c r="E27" i="6"/>
  <c r="F27" i="6"/>
  <c r="E28" i="6"/>
  <c r="F28" i="6"/>
  <c r="F7" i="4"/>
  <c r="C8" i="4"/>
  <c r="E11" i="4"/>
  <c r="F11" i="4"/>
  <c r="F14" i="4"/>
  <c r="C15" i="4"/>
  <c r="F15" i="4"/>
  <c r="C16" i="4"/>
  <c r="D16" i="4"/>
  <c r="C24" i="4"/>
  <c r="F25" i="4"/>
  <c r="G28" i="4"/>
  <c r="F29" i="4"/>
  <c r="R2" i="8"/>
  <c r="A15" i="7" s="1"/>
  <c r="S2" i="8"/>
  <c r="D159" i="4"/>
  <c r="C160" i="4"/>
  <c r="F160" i="4"/>
  <c r="F169" i="4"/>
  <c r="C175" i="4"/>
  <c r="F186" i="4"/>
  <c r="E188" i="4"/>
  <c r="E189" i="4"/>
  <c r="F189" i="4"/>
  <c r="F190" i="4"/>
  <c r="F194" i="4"/>
  <c r="C197" i="4"/>
  <c r="D197" i="4"/>
  <c r="D154" i="4"/>
  <c r="E155" i="4"/>
  <c r="F156" i="4"/>
  <c r="F157" i="4"/>
  <c r="C165" i="4"/>
  <c r="C166" i="4"/>
  <c r="C168" i="4"/>
  <c r="E168" i="4"/>
  <c r="C169" i="4"/>
  <c r="E169" i="4"/>
  <c r="C170" i="4"/>
  <c r="C171" i="4"/>
  <c r="E175" i="4"/>
  <c r="D176" i="4"/>
  <c r="C177" i="4"/>
  <c r="E177" i="4"/>
  <c r="C181" i="4"/>
  <c r="D182" i="4"/>
  <c r="F183" i="4"/>
  <c r="C196" i="4"/>
  <c r="C159" i="4"/>
  <c r="D160" i="4"/>
  <c r="D161" i="4"/>
  <c r="C162" i="4"/>
  <c r="E162" i="4"/>
  <c r="E163" i="4"/>
  <c r="C164" i="4"/>
  <c r="D169" i="4"/>
  <c r="D170" i="4"/>
  <c r="D175" i="4"/>
  <c r="F176" i="4"/>
  <c r="F177" i="4"/>
  <c r="D178" i="4"/>
  <c r="E178" i="4"/>
  <c r="C179" i="4"/>
  <c r="D179" i="4"/>
  <c r="E179" i="4"/>
  <c r="F179" i="4"/>
  <c r="E180" i="4"/>
  <c r="E181" i="4"/>
  <c r="F182" i="4"/>
  <c r="D184" i="4"/>
  <c r="E185" i="4"/>
  <c r="D187" i="4"/>
  <c r="F192" i="4"/>
  <c r="C193" i="4"/>
  <c r="E193" i="4"/>
  <c r="C194" i="4"/>
  <c r="E194" i="4"/>
  <c r="C195" i="4"/>
  <c r="E195" i="4"/>
  <c r="E196" i="4"/>
  <c r="C154" i="4"/>
  <c r="C158" i="4"/>
  <c r="F159" i="4"/>
  <c r="E160" i="4"/>
  <c r="C161" i="4"/>
  <c r="E161" i="4"/>
  <c r="D162" i="4"/>
  <c r="E164" i="4"/>
  <c r="D165" i="4"/>
  <c r="F167" i="4"/>
  <c r="E171" i="4"/>
  <c r="C172" i="4"/>
  <c r="C173" i="4"/>
  <c r="E173" i="4"/>
  <c r="D174" i="4"/>
  <c r="F174" i="4"/>
  <c r="C180" i="4"/>
  <c r="F180" i="4"/>
  <c r="D185" i="4"/>
  <c r="C186" i="4"/>
  <c r="C188" i="4"/>
  <c r="F188" i="4"/>
  <c r="D189" i="4"/>
  <c r="C190" i="4"/>
  <c r="D190" i="4"/>
  <c r="F191" i="4"/>
  <c r="F193" i="4"/>
  <c r="D194" i="4"/>
  <c r="D195" i="4"/>
  <c r="C155" i="4"/>
  <c r="E156" i="4"/>
  <c r="D157" i="4"/>
  <c r="F162" i="4"/>
  <c r="F163" i="4"/>
  <c r="F164" i="4"/>
  <c r="F165" i="4"/>
  <c r="E166" i="4"/>
  <c r="D167" i="4"/>
  <c r="E167" i="4"/>
  <c r="D168" i="4"/>
  <c r="F168" i="4"/>
  <c r="F175" i="4"/>
  <c r="E176" i="4"/>
  <c r="F178" i="4"/>
  <c r="E184" i="4"/>
  <c r="F187" i="4"/>
  <c r="F153" i="4"/>
  <c r="E154" i="4"/>
  <c r="D155" i="4"/>
  <c r="C156" i="4"/>
  <c r="C157" i="4"/>
  <c r="F161" i="4"/>
  <c r="C163" i="4"/>
  <c r="D164" i="4"/>
  <c r="E172" i="4"/>
  <c r="D173" i="4"/>
  <c r="C178" i="4"/>
  <c r="D180" i="4"/>
  <c r="F181" i="4"/>
  <c r="F195" i="4"/>
  <c r="D196" i="4"/>
  <c r="F196" i="4"/>
  <c r="E197" i="4"/>
  <c r="G9" i="5"/>
  <c r="H9" i="5" s="1"/>
  <c r="F154" i="4"/>
  <c r="F155" i="4"/>
  <c r="D158" i="4"/>
  <c r="F158" i="4"/>
  <c r="E159" i="4"/>
  <c r="F166" i="4"/>
  <c r="C174" i="4"/>
  <c r="C185" i="4"/>
  <c r="D186" i="4"/>
  <c r="E187" i="4"/>
  <c r="C189" i="4"/>
  <c r="D193" i="4"/>
  <c r="B31" i="6"/>
  <c r="E165" i="4"/>
  <c r="E170" i="4"/>
  <c r="D171" i="4"/>
  <c r="F171" i="4"/>
  <c r="F172" i="4"/>
  <c r="F173" i="4"/>
  <c r="D181" i="4"/>
  <c r="E182" i="4"/>
  <c r="D183" i="4"/>
  <c r="C184" i="4"/>
  <c r="F185" i="4"/>
  <c r="C187" i="4"/>
  <c r="E190" i="4"/>
  <c r="C191" i="4"/>
  <c r="D191" i="4"/>
  <c r="E191" i="4"/>
  <c r="C192" i="4"/>
  <c r="D192" i="4"/>
  <c r="E192" i="4"/>
  <c r="D156" i="4"/>
  <c r="E157" i="4"/>
  <c r="E158" i="4"/>
  <c r="D163" i="4"/>
  <c r="D166" i="4"/>
  <c r="C167" i="4"/>
  <c r="F170" i="4"/>
  <c r="D172" i="4"/>
  <c r="E174" i="4"/>
  <c r="C176" i="4"/>
  <c r="D177" i="4"/>
  <c r="C182" i="4"/>
  <c r="C183" i="4"/>
  <c r="E183" i="4"/>
  <c r="F184" i="4"/>
  <c r="E186" i="4"/>
  <c r="D188" i="4"/>
  <c r="F197" i="4"/>
  <c r="A2" i="8"/>
  <c r="K2" i="9"/>
  <c r="L2" i="9"/>
  <c r="L2" i="8" s="1"/>
  <c r="E51" i="5" s="1"/>
  <c r="P2" i="9"/>
  <c r="O2" i="9"/>
  <c r="M2" i="9"/>
  <c r="M2" i="8" s="1"/>
  <c r="F51" i="5" s="1"/>
  <c r="N2" i="9"/>
  <c r="C1014" i="7"/>
  <c r="D1014" i="7" s="1"/>
  <c r="AC1001" i="8"/>
  <c r="T1001" i="8"/>
  <c r="D1030" i="6" s="1"/>
  <c r="U1001" i="8"/>
  <c r="R1001" i="8"/>
  <c r="A1014" i="7" s="1"/>
  <c r="B1014" i="7" s="1"/>
  <c r="S1001" i="8"/>
  <c r="Q1001" i="8"/>
  <c r="AE1001" i="8"/>
  <c r="C1013" i="7"/>
  <c r="AC1000" i="8"/>
  <c r="U1000" i="8"/>
  <c r="T1000" i="8"/>
  <c r="D1029" i="6" s="1"/>
  <c r="S1000" i="8"/>
  <c r="R1000" i="8"/>
  <c r="A1013" i="7" s="1"/>
  <c r="B1013" i="7" s="1"/>
  <c r="AE1000" i="8"/>
  <c r="Q1000" i="8"/>
  <c r="AC999" i="8"/>
  <c r="C1012" i="7"/>
  <c r="U999" i="8"/>
  <c r="T999" i="8"/>
  <c r="D1028" i="6" s="1"/>
  <c r="S999" i="8"/>
  <c r="R999" i="8"/>
  <c r="A1012" i="7" s="1"/>
  <c r="B1012" i="7" s="1"/>
  <c r="AE999" i="8"/>
  <c r="Q999" i="8"/>
  <c r="C1011" i="7"/>
  <c r="AC998" i="8"/>
  <c r="U998" i="8"/>
  <c r="T998" i="8"/>
  <c r="D1027" i="6" s="1"/>
  <c r="S998" i="8"/>
  <c r="R998" i="8"/>
  <c r="A1011" i="7" s="1"/>
  <c r="B1011" i="7" s="1"/>
  <c r="AE998" i="8"/>
  <c r="Q998" i="8"/>
  <c r="C1010" i="7"/>
  <c r="AC997" i="8"/>
  <c r="U997" i="8"/>
  <c r="T997" i="8"/>
  <c r="D1026" i="6" s="1"/>
  <c r="S997" i="8"/>
  <c r="R997" i="8"/>
  <c r="A1010" i="7" s="1"/>
  <c r="B1010" i="7" s="1"/>
  <c r="AE997" i="8"/>
  <c r="Q997" i="8"/>
  <c r="AC996" i="8"/>
  <c r="C1009" i="7"/>
  <c r="T996" i="8"/>
  <c r="D1025" i="6" s="1"/>
  <c r="U996" i="8"/>
  <c r="R996" i="8"/>
  <c r="A1009" i="7" s="1"/>
  <c r="B1009" i="7" s="1"/>
  <c r="S996" i="8"/>
  <c r="Q996" i="8"/>
  <c r="AE996" i="8"/>
  <c r="C1008" i="7"/>
  <c r="AC995" i="8"/>
  <c r="T995" i="8"/>
  <c r="D1024" i="6" s="1"/>
  <c r="U995" i="8"/>
  <c r="R995" i="8"/>
  <c r="A1008" i="7" s="1"/>
  <c r="B1008" i="7" s="1"/>
  <c r="S995" i="8"/>
  <c r="AE995" i="8"/>
  <c r="Q995" i="8"/>
  <c r="AC994" i="8"/>
  <c r="C1007" i="7"/>
  <c r="U994" i="8"/>
  <c r="D105" i="15" s="1"/>
  <c r="T994" i="8"/>
  <c r="D1023" i="6" s="1"/>
  <c r="S994" i="8"/>
  <c r="R994" i="8"/>
  <c r="A1007" i="7" s="1"/>
  <c r="B1007" i="7" s="1"/>
  <c r="AE994" i="8"/>
  <c r="Q994" i="8"/>
  <c r="C1006" i="7"/>
  <c r="AC993" i="8"/>
  <c r="U993" i="8"/>
  <c r="T993" i="8"/>
  <c r="D1022" i="6" s="1"/>
  <c r="S993" i="8"/>
  <c r="R993" i="8"/>
  <c r="A1006" i="7" s="1"/>
  <c r="B1006" i="7" s="1"/>
  <c r="Q993" i="8"/>
  <c r="AE993" i="8"/>
  <c r="C1005" i="7"/>
  <c r="AC992" i="8"/>
  <c r="U992" i="8"/>
  <c r="T992" i="8"/>
  <c r="D1021" i="6" s="1"/>
  <c r="S992" i="8"/>
  <c r="R992" i="8"/>
  <c r="A1005" i="7" s="1"/>
  <c r="B1005" i="7" s="1"/>
  <c r="Q992" i="8"/>
  <c r="AE992" i="8"/>
  <c r="C1004" i="7"/>
  <c r="AC991" i="8"/>
  <c r="U991" i="8"/>
  <c r="T991" i="8"/>
  <c r="D1020" i="6" s="1"/>
  <c r="S991" i="8"/>
  <c r="R991" i="8"/>
  <c r="A1004" i="7" s="1"/>
  <c r="B1004" i="7" s="1"/>
  <c r="Q991" i="8"/>
  <c r="AE991" i="8"/>
  <c r="C1003" i="7"/>
  <c r="AC990" i="8"/>
  <c r="U990" i="8"/>
  <c r="T990" i="8"/>
  <c r="D1019" i="6" s="1"/>
  <c r="R990" i="8"/>
  <c r="A1003" i="7" s="1"/>
  <c r="B1003" i="7" s="1"/>
  <c r="S990" i="8"/>
  <c r="Q990" i="8"/>
  <c r="AE990" i="8"/>
  <c r="AC989" i="8"/>
  <c r="C1002" i="7"/>
  <c r="T989" i="8"/>
  <c r="D1018" i="6" s="1"/>
  <c r="U989" i="8"/>
  <c r="S989" i="8"/>
  <c r="R989" i="8"/>
  <c r="A1002" i="7" s="1"/>
  <c r="B1002" i="7" s="1"/>
  <c r="Q989" i="8"/>
  <c r="AE989" i="8"/>
  <c r="AC988" i="8"/>
  <c r="C1001" i="7"/>
  <c r="U988" i="8"/>
  <c r="T988" i="8"/>
  <c r="D1017" i="6" s="1"/>
  <c r="R988" i="8"/>
  <c r="A1001" i="7" s="1"/>
  <c r="B1001" i="7" s="1"/>
  <c r="S988" i="8"/>
  <c r="AE988" i="8"/>
  <c r="Q988" i="8"/>
  <c r="C1000" i="7"/>
  <c r="AC987" i="8"/>
  <c r="U987" i="8"/>
  <c r="T987" i="8"/>
  <c r="D1016" i="6" s="1"/>
  <c r="S987" i="8"/>
  <c r="R987" i="8"/>
  <c r="A1000" i="7" s="1"/>
  <c r="B1000" i="7" s="1"/>
  <c r="Q987" i="8"/>
  <c r="AE987" i="8"/>
  <c r="AC986" i="8"/>
  <c r="C999" i="7"/>
  <c r="T986" i="8"/>
  <c r="D1015" i="6" s="1"/>
  <c r="U986" i="8"/>
  <c r="S986" i="8"/>
  <c r="R986" i="8"/>
  <c r="A999" i="7" s="1"/>
  <c r="B999" i="7" s="1"/>
  <c r="AE986" i="8"/>
  <c r="Q986" i="8"/>
  <c r="AC985" i="8"/>
  <c r="C998" i="7"/>
  <c r="U985" i="8"/>
  <c r="T985" i="8"/>
  <c r="D1014" i="6" s="1"/>
  <c r="R985" i="8"/>
  <c r="A998" i="7" s="1"/>
  <c r="B998" i="7" s="1"/>
  <c r="S985" i="8"/>
  <c r="AE985" i="8"/>
  <c r="Q985" i="8"/>
  <c r="C997" i="7"/>
  <c r="AC984" i="8"/>
  <c r="U984" i="8"/>
  <c r="T984" i="8"/>
  <c r="D1013" i="6" s="1"/>
  <c r="S984" i="8"/>
  <c r="R984" i="8"/>
  <c r="A997" i="7" s="1"/>
  <c r="B997" i="7" s="1"/>
  <c r="AE984" i="8"/>
  <c r="Q984" i="8"/>
  <c r="C996" i="7"/>
  <c r="AC983" i="8"/>
  <c r="T983" i="8"/>
  <c r="D1012" i="6" s="1"/>
  <c r="U983" i="8"/>
  <c r="R983" i="8"/>
  <c r="A996" i="7" s="1"/>
  <c r="B996" i="7" s="1"/>
  <c r="S983" i="8"/>
  <c r="Q983" i="8"/>
  <c r="AE983" i="8"/>
  <c r="C995" i="7"/>
  <c r="AC982" i="8"/>
  <c r="U982" i="8"/>
  <c r="T982" i="8"/>
  <c r="D1011" i="6" s="1"/>
  <c r="S982" i="8"/>
  <c r="R982" i="8"/>
  <c r="A995" i="7" s="1"/>
  <c r="B995" i="7" s="1"/>
  <c r="AE982" i="8"/>
  <c r="Q982" i="8"/>
  <c r="AC981" i="8"/>
  <c r="C994" i="7"/>
  <c r="U981" i="8"/>
  <c r="T981" i="8"/>
  <c r="D1010" i="6" s="1"/>
  <c r="S981" i="8"/>
  <c r="R981" i="8"/>
  <c r="A994" i="7" s="1"/>
  <c r="B994" i="7" s="1"/>
  <c r="AE981" i="8"/>
  <c r="Q981" i="8"/>
  <c r="C993" i="7"/>
  <c r="AC980" i="8"/>
  <c r="T980" i="8"/>
  <c r="D1009" i="6" s="1"/>
  <c r="U980" i="8"/>
  <c r="S980" i="8"/>
  <c r="R980" i="8"/>
  <c r="A993" i="7" s="1"/>
  <c r="B993" i="7" s="1"/>
  <c r="AE980" i="8"/>
  <c r="Q980" i="8"/>
  <c r="AC979" i="8"/>
  <c r="C992" i="7"/>
  <c r="U979" i="8"/>
  <c r="T979" i="8"/>
  <c r="D1008" i="6" s="1"/>
  <c r="S979" i="8"/>
  <c r="R979" i="8"/>
  <c r="A992" i="7" s="1"/>
  <c r="B992" i="7" s="1"/>
  <c r="Q979" i="8"/>
  <c r="AE979" i="8"/>
  <c r="AC978" i="8"/>
  <c r="C991" i="7"/>
  <c r="T978" i="8"/>
  <c r="D1007" i="6" s="1"/>
  <c r="U978" i="8"/>
  <c r="R978" i="8"/>
  <c r="A991" i="7" s="1"/>
  <c r="B991" i="7" s="1"/>
  <c r="S978" i="8"/>
  <c r="Q978" i="8"/>
  <c r="AE978" i="8"/>
  <c r="AC977" i="8"/>
  <c r="C990" i="7"/>
  <c r="U977" i="8"/>
  <c r="T977" i="8"/>
  <c r="D1006" i="6" s="1"/>
  <c r="R977" i="8"/>
  <c r="A990" i="7" s="1"/>
  <c r="B990" i="7" s="1"/>
  <c r="S977" i="8"/>
  <c r="AE977" i="8"/>
  <c r="Q977" i="8"/>
  <c r="C989" i="7"/>
  <c r="AC976" i="8"/>
  <c r="U976" i="8"/>
  <c r="T976" i="8"/>
  <c r="D1005" i="6" s="1"/>
  <c r="R976" i="8"/>
  <c r="A989" i="7" s="1"/>
  <c r="B989" i="7" s="1"/>
  <c r="S976" i="8"/>
  <c r="AE976" i="8"/>
  <c r="Q976" i="8"/>
  <c r="C988" i="7"/>
  <c r="AC975" i="8"/>
  <c r="U975" i="8"/>
  <c r="T975" i="8"/>
  <c r="D1004" i="6" s="1"/>
  <c r="R975" i="8"/>
  <c r="A988" i="7" s="1"/>
  <c r="B988" i="7" s="1"/>
  <c r="S975" i="8"/>
  <c r="AE975" i="8"/>
  <c r="Q975" i="8"/>
  <c r="C987" i="7"/>
  <c r="AC974" i="8"/>
  <c r="T974" i="8"/>
  <c r="D1003" i="6" s="1"/>
  <c r="U974" i="8"/>
  <c r="R974" i="8"/>
  <c r="A987" i="7" s="1"/>
  <c r="B987" i="7" s="1"/>
  <c r="S974" i="8"/>
  <c r="AE974" i="8"/>
  <c r="Q974" i="8"/>
  <c r="C986" i="7"/>
  <c r="AC973" i="8"/>
  <c r="U973" i="8"/>
  <c r="T973" i="8"/>
  <c r="D1002" i="6" s="1"/>
  <c r="S973" i="8"/>
  <c r="R973" i="8"/>
  <c r="A986" i="7" s="1"/>
  <c r="B986" i="7" s="1"/>
  <c r="AE973" i="8"/>
  <c r="Q973" i="8"/>
  <c r="C985" i="7"/>
  <c r="AC972" i="8"/>
  <c r="T972" i="8"/>
  <c r="D1001" i="6" s="1"/>
  <c r="U972" i="8"/>
  <c r="R972" i="8"/>
  <c r="A985" i="7" s="1"/>
  <c r="B985" i="7" s="1"/>
  <c r="S972" i="8"/>
  <c r="Q972" i="8"/>
  <c r="AE972" i="8"/>
  <c r="C984" i="7"/>
  <c r="AC971" i="8"/>
  <c r="T971" i="8"/>
  <c r="D1000" i="6" s="1"/>
  <c r="U971" i="8"/>
  <c r="S971" i="8"/>
  <c r="R971" i="8"/>
  <c r="A984" i="7" s="1"/>
  <c r="B984" i="7" s="1"/>
  <c r="Q971" i="8"/>
  <c r="AE971" i="8"/>
  <c r="C983" i="7"/>
  <c r="AC970" i="8"/>
  <c r="U970" i="8"/>
  <c r="T970" i="8"/>
  <c r="D999" i="6" s="1"/>
  <c r="S970" i="8"/>
  <c r="R970" i="8"/>
  <c r="A983" i="7" s="1"/>
  <c r="B983" i="7" s="1"/>
  <c r="Q970" i="8"/>
  <c r="AE970" i="8"/>
  <c r="C982" i="7"/>
  <c r="AC969" i="8"/>
  <c r="T969" i="8"/>
  <c r="D998" i="6" s="1"/>
  <c r="U969" i="8"/>
  <c r="S969" i="8"/>
  <c r="R969" i="8"/>
  <c r="A982" i="7" s="1"/>
  <c r="B982" i="7" s="1"/>
  <c r="AE969" i="8"/>
  <c r="Q969" i="8"/>
  <c r="C981" i="7"/>
  <c r="AC968" i="8"/>
  <c r="T968" i="8"/>
  <c r="D997" i="6" s="1"/>
  <c r="U968" i="8"/>
  <c r="R968" i="8"/>
  <c r="A981" i="7" s="1"/>
  <c r="B981" i="7" s="1"/>
  <c r="S968" i="8"/>
  <c r="AE968" i="8"/>
  <c r="Q968" i="8"/>
  <c r="C980" i="7"/>
  <c r="AC967" i="8"/>
  <c r="T967" i="8"/>
  <c r="D996" i="6" s="1"/>
  <c r="U967" i="8"/>
  <c r="R967" i="8"/>
  <c r="A980" i="7" s="1"/>
  <c r="B980" i="7" s="1"/>
  <c r="S967" i="8"/>
  <c r="Q967" i="8"/>
  <c r="AE967" i="8"/>
  <c r="C979" i="7"/>
  <c r="AC966" i="8"/>
  <c r="T966" i="8"/>
  <c r="D995" i="6" s="1"/>
  <c r="U966" i="8"/>
  <c r="R966" i="8"/>
  <c r="A979" i="7" s="1"/>
  <c r="B979" i="7" s="1"/>
  <c r="S966" i="8"/>
  <c r="Q966" i="8"/>
  <c r="AE966" i="8"/>
  <c r="AC965" i="8"/>
  <c r="C978" i="7"/>
  <c r="T965" i="8"/>
  <c r="D994" i="6" s="1"/>
  <c r="U965" i="8"/>
  <c r="S965" i="8"/>
  <c r="R965" i="8"/>
  <c r="A978" i="7" s="1"/>
  <c r="B978" i="7" s="1"/>
  <c r="Q965" i="8"/>
  <c r="AE965" i="8"/>
  <c r="AC964" i="8"/>
  <c r="C977" i="7"/>
  <c r="U964" i="8"/>
  <c r="T964" i="8"/>
  <c r="D993" i="6" s="1"/>
  <c r="S964" i="8"/>
  <c r="R964" i="8"/>
  <c r="A977" i="7" s="1"/>
  <c r="B977" i="7" s="1"/>
  <c r="AE964" i="8"/>
  <c r="Q964" i="8"/>
  <c r="C976" i="7"/>
  <c r="AC963" i="8"/>
  <c r="U963" i="8"/>
  <c r="T963" i="8"/>
  <c r="D992" i="6" s="1"/>
  <c r="S963" i="8"/>
  <c r="R963" i="8"/>
  <c r="A976" i="7" s="1"/>
  <c r="B976" i="7" s="1"/>
  <c r="Q963" i="8"/>
  <c r="AE963" i="8"/>
  <c r="C975" i="7"/>
  <c r="AC962" i="8"/>
  <c r="U962" i="8"/>
  <c r="T962" i="8"/>
  <c r="D991" i="6" s="1"/>
  <c r="S962" i="8"/>
  <c r="R962" i="8"/>
  <c r="A975" i="7" s="1"/>
  <c r="B975" i="7" s="1"/>
  <c r="Q962" i="8"/>
  <c r="AE962" i="8"/>
  <c r="C974" i="7"/>
  <c r="AC961" i="8"/>
  <c r="T961" i="8"/>
  <c r="D990" i="6" s="1"/>
  <c r="U961" i="8"/>
  <c r="S961" i="8"/>
  <c r="R961" i="8"/>
  <c r="A974" i="7" s="1"/>
  <c r="B974" i="7" s="1"/>
  <c r="Q961" i="8"/>
  <c r="AE961" i="8"/>
  <c r="AC960" i="8"/>
  <c r="C973" i="7"/>
  <c r="T960" i="8"/>
  <c r="D989" i="6" s="1"/>
  <c r="U960" i="8"/>
  <c r="R960" i="8"/>
  <c r="A973" i="7" s="1"/>
  <c r="B973" i="7" s="1"/>
  <c r="S960" i="8"/>
  <c r="Q960" i="8"/>
  <c r="AE960" i="8"/>
  <c r="C972" i="7"/>
  <c r="AC959" i="8"/>
  <c r="T959" i="8"/>
  <c r="D988" i="6" s="1"/>
  <c r="U959" i="8"/>
  <c r="R959" i="8"/>
  <c r="A972" i="7" s="1"/>
  <c r="B972" i="7" s="1"/>
  <c r="S959" i="8"/>
  <c r="AE959" i="8"/>
  <c r="Q959" i="8"/>
  <c r="C971" i="7"/>
  <c r="AC958" i="8"/>
  <c r="I987" i="6"/>
  <c r="AA958" i="8"/>
  <c r="G987" i="6"/>
  <c r="Z958" i="8"/>
  <c r="F987" i="6"/>
  <c r="T958" i="8"/>
  <c r="D987" i="6" s="1"/>
  <c r="U958" i="8"/>
  <c r="Y958" i="8"/>
  <c r="C987" i="6"/>
  <c r="R958" i="8"/>
  <c r="A971" i="7" s="1"/>
  <c r="B971" i="7" s="1"/>
  <c r="S958" i="8"/>
  <c r="B987" i="6"/>
  <c r="AE958" i="8"/>
  <c r="Q958" i="8"/>
  <c r="A987" i="6"/>
  <c r="C970" i="7"/>
  <c r="AC957" i="8"/>
  <c r="I986" i="6"/>
  <c r="AA957" i="8"/>
  <c r="G986" i="6"/>
  <c r="Z957" i="8"/>
  <c r="F986" i="6"/>
  <c r="T957" i="8"/>
  <c r="D986" i="6" s="1"/>
  <c r="U957" i="8"/>
  <c r="C986" i="6"/>
  <c r="Y957" i="8"/>
  <c r="B986" i="6"/>
  <c r="R957" i="8"/>
  <c r="A970" i="7" s="1"/>
  <c r="B970" i="7" s="1"/>
  <c r="S957" i="8"/>
  <c r="AE957" i="8"/>
  <c r="A986" i="6"/>
  <c r="Q957" i="8"/>
  <c r="AC956" i="8"/>
  <c r="I985" i="6"/>
  <c r="C969" i="7"/>
  <c r="AA956" i="8"/>
  <c r="G985" i="6"/>
  <c r="Z956" i="8"/>
  <c r="F985" i="6"/>
  <c r="T956" i="8"/>
  <c r="D985" i="6" s="1"/>
  <c r="U956" i="8"/>
  <c r="C985" i="6"/>
  <c r="Y956" i="8"/>
  <c r="R956" i="8"/>
  <c r="A969" i="7" s="1"/>
  <c r="B969" i="7" s="1"/>
  <c r="S956" i="8"/>
  <c r="B985" i="6"/>
  <c r="AE956" i="8"/>
  <c r="Q956" i="8"/>
  <c r="A985" i="6"/>
  <c r="I984" i="6"/>
  <c r="C968" i="7"/>
  <c r="AC955" i="8"/>
  <c r="AA955" i="8"/>
  <c r="G984" i="6"/>
  <c r="F984" i="6"/>
  <c r="Z955" i="8"/>
  <c r="T955" i="8"/>
  <c r="D984" i="6" s="1"/>
  <c r="U955" i="8"/>
  <c r="Y955" i="8"/>
  <c r="C984" i="6"/>
  <c r="S955" i="8"/>
  <c r="R955" i="8"/>
  <c r="A968" i="7" s="1"/>
  <c r="B968" i="7" s="1"/>
  <c r="B984" i="6"/>
  <c r="Q955" i="8"/>
  <c r="AE955" i="8"/>
  <c r="A984" i="6"/>
  <c r="C967" i="7"/>
  <c r="AC954" i="8"/>
  <c r="I983" i="6"/>
  <c r="AA954" i="8"/>
  <c r="G983" i="6"/>
  <c r="F983" i="6"/>
  <c r="Z954" i="8"/>
  <c r="T954" i="8"/>
  <c r="D983" i="6" s="1"/>
  <c r="U954" i="8"/>
  <c r="C983" i="6"/>
  <c r="Y954" i="8"/>
  <c r="B983" i="6"/>
  <c r="S954" i="8"/>
  <c r="R954" i="8"/>
  <c r="A967" i="7" s="1"/>
  <c r="B967" i="7" s="1"/>
  <c r="AE954" i="8"/>
  <c r="A983" i="6"/>
  <c r="Q954" i="8"/>
  <c r="I982" i="6"/>
  <c r="C966" i="7"/>
  <c r="AC953" i="8"/>
  <c r="G982" i="6"/>
  <c r="AA953" i="8"/>
  <c r="Z953" i="8"/>
  <c r="F982" i="6"/>
  <c r="U953" i="8"/>
  <c r="T953" i="8"/>
  <c r="D982" i="6" s="1"/>
  <c r="C982" i="6"/>
  <c r="Y953" i="8"/>
  <c r="B982" i="6"/>
  <c r="S953" i="8"/>
  <c r="R953" i="8"/>
  <c r="A966" i="7" s="1"/>
  <c r="B966" i="7" s="1"/>
  <c r="AE953" i="8"/>
  <c r="A982" i="6"/>
  <c r="Q953" i="8"/>
  <c r="AC952" i="8"/>
  <c r="I981" i="6"/>
  <c r="C965" i="7"/>
  <c r="AA952" i="8"/>
  <c r="G981" i="6"/>
  <c r="Z952" i="8"/>
  <c r="F981" i="6"/>
  <c r="T952" i="8"/>
  <c r="D981" i="6" s="1"/>
  <c r="U952" i="8"/>
  <c r="Y952" i="8"/>
  <c r="C981" i="6"/>
  <c r="R952" i="8"/>
  <c r="A965" i="7" s="1"/>
  <c r="B965" i="7" s="1"/>
  <c r="S952" i="8"/>
  <c r="B981" i="6"/>
  <c r="Q952" i="8"/>
  <c r="AE952" i="8"/>
  <c r="A981" i="6"/>
  <c r="U951" i="8"/>
  <c r="T951" i="8"/>
  <c r="D980" i="6" s="1"/>
  <c r="S951" i="8"/>
  <c r="R951" i="8"/>
  <c r="A964" i="7" s="1"/>
  <c r="B964" i="7" s="1"/>
  <c r="AC950" i="8"/>
  <c r="U950" i="8"/>
  <c r="T950" i="8"/>
  <c r="D979" i="6" s="1"/>
  <c r="S950" i="8"/>
  <c r="R950" i="8"/>
  <c r="A963" i="7" s="1"/>
  <c r="B963" i="7" s="1"/>
  <c r="Q950" i="8"/>
  <c r="AE950" i="8"/>
  <c r="AC949" i="8"/>
  <c r="U949" i="8"/>
  <c r="T949" i="8"/>
  <c r="D978" i="6" s="1"/>
  <c r="S949" i="8"/>
  <c r="R949" i="8"/>
  <c r="A962" i="7" s="1"/>
  <c r="B962" i="7" s="1"/>
  <c r="Q949" i="8"/>
  <c r="AE949" i="8"/>
  <c r="AC948" i="8"/>
  <c r="T948" i="8"/>
  <c r="D977" i="6" s="1"/>
  <c r="U948" i="8"/>
  <c r="R948" i="8"/>
  <c r="A961" i="7" s="1"/>
  <c r="B961" i="7" s="1"/>
  <c r="S948" i="8"/>
  <c r="Q948" i="8"/>
  <c r="AE948" i="8"/>
  <c r="AC947" i="8"/>
  <c r="T947" i="8"/>
  <c r="D976" i="6" s="1"/>
  <c r="U947" i="8"/>
  <c r="R947" i="8"/>
  <c r="A960" i="7" s="1"/>
  <c r="B960" i="7" s="1"/>
  <c r="S947" i="8"/>
  <c r="AE947" i="8"/>
  <c r="Q947" i="8"/>
  <c r="AC946" i="8"/>
  <c r="T946" i="8"/>
  <c r="D975" i="6" s="1"/>
  <c r="U946" i="8"/>
  <c r="R946" i="8"/>
  <c r="A959" i="7" s="1"/>
  <c r="B959" i="7" s="1"/>
  <c r="S946" i="8"/>
  <c r="AE946" i="8"/>
  <c r="Q946" i="8"/>
  <c r="AC945" i="8"/>
  <c r="U945" i="8"/>
  <c r="T945" i="8"/>
  <c r="D974" i="6" s="1"/>
  <c r="S945" i="8"/>
  <c r="R945" i="8"/>
  <c r="A958" i="7" s="1"/>
  <c r="B958" i="7" s="1"/>
  <c r="AE945" i="8"/>
  <c r="Q945" i="8"/>
  <c r="AC944" i="8"/>
  <c r="U944" i="8"/>
  <c r="T944" i="8"/>
  <c r="D973" i="6" s="1"/>
  <c r="S944" i="8"/>
  <c r="R944" i="8"/>
  <c r="A957" i="7" s="1"/>
  <c r="B957" i="7" s="1"/>
  <c r="AE944" i="8"/>
  <c r="Q944" i="8"/>
  <c r="AC943" i="8"/>
  <c r="U943" i="8"/>
  <c r="T943" i="8"/>
  <c r="D972" i="6" s="1"/>
  <c r="S943" i="8"/>
  <c r="R943" i="8"/>
  <c r="A956" i="7" s="1"/>
  <c r="B956" i="7" s="1"/>
  <c r="Q943" i="8"/>
  <c r="AE943" i="8"/>
  <c r="AC942" i="8"/>
  <c r="U942" i="8"/>
  <c r="T942" i="8"/>
  <c r="D971" i="6" s="1"/>
  <c r="S942" i="8"/>
  <c r="R942" i="8"/>
  <c r="A955" i="7" s="1"/>
  <c r="B955" i="7" s="1"/>
  <c r="Q942" i="8"/>
  <c r="AE942" i="8"/>
  <c r="AC941" i="8"/>
  <c r="U941" i="8"/>
  <c r="T941" i="8"/>
  <c r="D970" i="6" s="1"/>
  <c r="S941" i="8"/>
  <c r="R941" i="8"/>
  <c r="A954" i="7" s="1"/>
  <c r="B954" i="7" s="1"/>
  <c r="Q941" i="8"/>
  <c r="AE941" i="8"/>
  <c r="AC940" i="8"/>
  <c r="U940" i="8"/>
  <c r="T940" i="8"/>
  <c r="D969" i="6" s="1"/>
  <c r="R940" i="8"/>
  <c r="A953" i="7" s="1"/>
  <c r="B953" i="7" s="1"/>
  <c r="S940" i="8"/>
  <c r="AE940" i="8"/>
  <c r="Q940" i="8"/>
  <c r="AC939" i="8"/>
  <c r="U939" i="8"/>
  <c r="T939" i="8"/>
  <c r="D968" i="6" s="1"/>
  <c r="S939" i="8"/>
  <c r="R939" i="8"/>
  <c r="A952" i="7" s="1"/>
  <c r="B952" i="7" s="1"/>
  <c r="AE939" i="8"/>
  <c r="Q939" i="8"/>
  <c r="AC938" i="8"/>
  <c r="U938" i="8"/>
  <c r="T938" i="8"/>
  <c r="D967" i="6" s="1"/>
  <c r="R938" i="8"/>
  <c r="A951" i="7" s="1"/>
  <c r="B951" i="7" s="1"/>
  <c r="S938" i="8"/>
  <c r="Q938" i="8"/>
  <c r="AE938" i="8"/>
  <c r="AC937" i="8"/>
  <c r="U937" i="8"/>
  <c r="T937" i="8"/>
  <c r="D966" i="6" s="1"/>
  <c r="S937" i="8"/>
  <c r="R937" i="8"/>
  <c r="A950" i="7" s="1"/>
  <c r="B950" i="7" s="1"/>
  <c r="AE937" i="8"/>
  <c r="Q937" i="8"/>
  <c r="AC936" i="8"/>
  <c r="U936" i="8"/>
  <c r="T936" i="8"/>
  <c r="D965" i="6" s="1"/>
  <c r="S936" i="8"/>
  <c r="R936" i="8"/>
  <c r="A949" i="7" s="1"/>
  <c r="B949" i="7" s="1"/>
  <c r="Q936" i="8"/>
  <c r="AE936" i="8"/>
  <c r="AC935" i="8"/>
  <c r="T935" i="8"/>
  <c r="D964" i="6" s="1"/>
  <c r="U935" i="8"/>
  <c r="R935" i="8"/>
  <c r="A948" i="7" s="1"/>
  <c r="B948" i="7" s="1"/>
  <c r="S935" i="8"/>
  <c r="AE935" i="8"/>
  <c r="Q935" i="8"/>
  <c r="AC934" i="8"/>
  <c r="U934" i="8"/>
  <c r="T934" i="8"/>
  <c r="D963" i="6" s="1"/>
  <c r="S934" i="8"/>
  <c r="R934" i="8"/>
  <c r="A947" i="7" s="1"/>
  <c r="B947" i="7" s="1"/>
  <c r="Q934" i="8"/>
  <c r="AE934" i="8"/>
  <c r="AC933" i="8"/>
  <c r="U933" i="8"/>
  <c r="T933" i="8"/>
  <c r="D962" i="6" s="1"/>
  <c r="S933" i="8"/>
  <c r="R933" i="8"/>
  <c r="A946" i="7" s="1"/>
  <c r="B946" i="7" s="1"/>
  <c r="Q933" i="8"/>
  <c r="AE933" i="8"/>
  <c r="AC932" i="8"/>
  <c r="U932" i="8"/>
  <c r="T932" i="8"/>
  <c r="D961" i="6" s="1"/>
  <c r="S932" i="8"/>
  <c r="R932" i="8"/>
  <c r="A945" i="7" s="1"/>
  <c r="B945" i="7" s="1"/>
  <c r="AE932" i="8"/>
  <c r="Q932" i="8"/>
  <c r="AC931" i="8"/>
  <c r="U931" i="8"/>
  <c r="T931" i="8"/>
  <c r="D960" i="6" s="1"/>
  <c r="S931" i="8"/>
  <c r="R931" i="8"/>
  <c r="A944" i="7" s="1"/>
  <c r="B944" i="7" s="1"/>
  <c r="Q931" i="8"/>
  <c r="AE931" i="8"/>
  <c r="AC930" i="8"/>
  <c r="U930" i="8"/>
  <c r="T930" i="8"/>
  <c r="D959" i="6" s="1"/>
  <c r="S930" i="8"/>
  <c r="R930" i="8"/>
  <c r="A943" i="7" s="1"/>
  <c r="B943" i="7" s="1"/>
  <c r="AE930" i="8"/>
  <c r="Q930" i="8"/>
  <c r="AC929" i="8"/>
  <c r="U929" i="8"/>
  <c r="T929" i="8"/>
  <c r="D958" i="6" s="1"/>
  <c r="S929" i="8"/>
  <c r="R929" i="8"/>
  <c r="A942" i="7" s="1"/>
  <c r="B942" i="7" s="1"/>
  <c r="AE929" i="8"/>
  <c r="Q929" i="8"/>
  <c r="AC928" i="8"/>
  <c r="U928" i="8"/>
  <c r="T928" i="8"/>
  <c r="D957" i="6" s="1"/>
  <c r="S928" i="8"/>
  <c r="R928" i="8"/>
  <c r="A941" i="7" s="1"/>
  <c r="B941" i="7" s="1"/>
  <c r="Q928" i="8"/>
  <c r="AE928" i="8"/>
  <c r="AC927" i="8"/>
  <c r="U927" i="8"/>
  <c r="T927" i="8"/>
  <c r="D956" i="6" s="1"/>
  <c r="S927" i="8"/>
  <c r="R927" i="8"/>
  <c r="A940" i="7" s="1"/>
  <c r="B940" i="7" s="1"/>
  <c r="Q927" i="8"/>
  <c r="AE927" i="8"/>
  <c r="AC926" i="8"/>
  <c r="U926" i="8"/>
  <c r="T926" i="8"/>
  <c r="D955" i="6" s="1"/>
  <c r="S926" i="8"/>
  <c r="R926" i="8"/>
  <c r="A939" i="7" s="1"/>
  <c r="B939" i="7" s="1"/>
  <c r="Q926" i="8"/>
  <c r="AE926" i="8"/>
  <c r="AC925" i="8"/>
  <c r="U925" i="8"/>
  <c r="T925" i="8"/>
  <c r="D954" i="6" s="1"/>
  <c r="S925" i="8"/>
  <c r="R925" i="8"/>
  <c r="A938" i="7" s="1"/>
  <c r="B938" i="7" s="1"/>
  <c r="Q925" i="8"/>
  <c r="AE925" i="8"/>
  <c r="AC924" i="8"/>
  <c r="U924" i="8"/>
  <c r="T924" i="8"/>
  <c r="D953" i="6" s="1"/>
  <c r="S924" i="8"/>
  <c r="R924" i="8"/>
  <c r="A937" i="7" s="1"/>
  <c r="B937" i="7" s="1"/>
  <c r="Q924" i="8"/>
  <c r="AE924" i="8"/>
  <c r="AC923" i="8"/>
  <c r="U923" i="8"/>
  <c r="T923" i="8"/>
  <c r="D952" i="6" s="1"/>
  <c r="S923" i="8"/>
  <c r="R923" i="8"/>
  <c r="A936" i="7" s="1"/>
  <c r="B936" i="7" s="1"/>
  <c r="AE923" i="8"/>
  <c r="Q923" i="8"/>
  <c r="AC922" i="8"/>
  <c r="U922" i="8"/>
  <c r="T922" i="8"/>
  <c r="D951" i="6" s="1"/>
  <c r="S922" i="8"/>
  <c r="R922" i="8"/>
  <c r="A935" i="7" s="1"/>
  <c r="B935" i="7" s="1"/>
  <c r="Q922" i="8"/>
  <c r="AE922" i="8"/>
  <c r="AC921" i="8"/>
  <c r="U921" i="8"/>
  <c r="T921" i="8"/>
  <c r="D950" i="6" s="1"/>
  <c r="S921" i="8"/>
  <c r="R921" i="8"/>
  <c r="A934" i="7" s="1"/>
  <c r="B934" i="7" s="1"/>
  <c r="AE921" i="8"/>
  <c r="Q921" i="8"/>
  <c r="AC920" i="8"/>
  <c r="U920" i="8"/>
  <c r="T920" i="8"/>
  <c r="D949" i="6" s="1"/>
  <c r="R920" i="8"/>
  <c r="A933" i="7" s="1"/>
  <c r="B933" i="7" s="1"/>
  <c r="S920" i="8"/>
  <c r="AE920" i="8"/>
  <c r="Q920" i="8"/>
  <c r="AC919" i="8"/>
  <c r="U919" i="8"/>
  <c r="T919" i="8"/>
  <c r="D948" i="6" s="1"/>
  <c r="S919" i="8"/>
  <c r="R919" i="8"/>
  <c r="A932" i="7" s="1"/>
  <c r="B932" i="7" s="1"/>
  <c r="AE919" i="8"/>
  <c r="Q919" i="8"/>
  <c r="AC918" i="8"/>
  <c r="U918" i="8"/>
  <c r="T918" i="8"/>
  <c r="D947" i="6" s="1"/>
  <c r="S918" i="8"/>
  <c r="R918" i="8"/>
  <c r="A931" i="7" s="1"/>
  <c r="B931" i="7" s="1"/>
  <c r="AE918" i="8"/>
  <c r="Q918" i="8"/>
  <c r="AC917" i="8"/>
  <c r="T917" i="8"/>
  <c r="D946" i="6" s="1"/>
  <c r="U917" i="8"/>
  <c r="R917" i="8"/>
  <c r="A930" i="7" s="1"/>
  <c r="B930" i="7" s="1"/>
  <c r="S917" i="8"/>
  <c r="Q917" i="8"/>
  <c r="AE917" i="8"/>
  <c r="AC916" i="8"/>
  <c r="U916" i="8"/>
  <c r="T916" i="8"/>
  <c r="D945" i="6" s="1"/>
  <c r="S916" i="8"/>
  <c r="R916" i="8"/>
  <c r="A929" i="7" s="1"/>
  <c r="B929" i="7" s="1"/>
  <c r="AE916" i="8"/>
  <c r="Q916" i="8"/>
  <c r="AC915" i="8"/>
  <c r="U915" i="8"/>
  <c r="T915" i="8"/>
  <c r="D944" i="6" s="1"/>
  <c r="S915" i="8"/>
  <c r="R915" i="8"/>
  <c r="A928" i="7" s="1"/>
  <c r="B928" i="7" s="1"/>
  <c r="AE915" i="8"/>
  <c r="Q915" i="8"/>
  <c r="AC914" i="8"/>
  <c r="T914" i="8"/>
  <c r="D943" i="6" s="1"/>
  <c r="U914" i="8"/>
  <c r="R914" i="8"/>
  <c r="A927" i="7" s="1"/>
  <c r="B927" i="7" s="1"/>
  <c r="S914" i="8"/>
  <c r="AE914" i="8"/>
  <c r="Q914" i="8"/>
  <c r="AC913" i="8"/>
  <c r="U913" i="8"/>
  <c r="T913" i="8"/>
  <c r="D942" i="6" s="1"/>
  <c r="S913" i="8"/>
  <c r="R913" i="8"/>
  <c r="A926" i="7" s="1"/>
  <c r="B926" i="7" s="1"/>
  <c r="AE913" i="8"/>
  <c r="Q913" i="8"/>
  <c r="AC912" i="8"/>
  <c r="T912" i="8"/>
  <c r="D941" i="6" s="1"/>
  <c r="U912" i="8"/>
  <c r="S912" i="8"/>
  <c r="R912" i="8"/>
  <c r="A925" i="7" s="1"/>
  <c r="B925" i="7" s="1"/>
  <c r="AE912" i="8"/>
  <c r="Q912" i="8"/>
  <c r="AC911" i="8"/>
  <c r="U911" i="8"/>
  <c r="T911" i="8"/>
  <c r="D940" i="6" s="1"/>
  <c r="S911" i="8"/>
  <c r="R911" i="8"/>
  <c r="A924" i="7" s="1"/>
  <c r="B924" i="7" s="1"/>
  <c r="Q911" i="8"/>
  <c r="AE911" i="8"/>
  <c r="AC910" i="8"/>
  <c r="U910" i="8"/>
  <c r="T910" i="8"/>
  <c r="D939" i="6" s="1"/>
  <c r="S910" i="8"/>
  <c r="R910" i="8"/>
  <c r="A923" i="7" s="1"/>
  <c r="B923" i="7" s="1"/>
  <c r="Q910" i="8"/>
  <c r="AE910" i="8"/>
  <c r="AC909" i="8"/>
  <c r="U909" i="8"/>
  <c r="T909" i="8"/>
  <c r="D938" i="6" s="1"/>
  <c r="S909" i="8"/>
  <c r="R909" i="8"/>
  <c r="A922" i="7" s="1"/>
  <c r="B922" i="7" s="1"/>
  <c r="Q909" i="8"/>
  <c r="AE909" i="8"/>
  <c r="AC908" i="8"/>
  <c r="U908" i="8"/>
  <c r="T908" i="8"/>
  <c r="D937" i="6" s="1"/>
  <c r="S908" i="8"/>
  <c r="R908" i="8"/>
  <c r="A921" i="7" s="1"/>
  <c r="B921" i="7" s="1"/>
  <c r="Q908" i="8"/>
  <c r="AE908" i="8"/>
  <c r="AC907" i="8"/>
  <c r="U907" i="8"/>
  <c r="T907" i="8"/>
  <c r="D936" i="6" s="1"/>
  <c r="R907" i="8"/>
  <c r="A920" i="7" s="1"/>
  <c r="B920" i="7" s="1"/>
  <c r="S907" i="8"/>
  <c r="AE907" i="8"/>
  <c r="Q907" i="8"/>
  <c r="AC906" i="8"/>
  <c r="U906" i="8"/>
  <c r="T906" i="8"/>
  <c r="D935" i="6" s="1"/>
  <c r="S906" i="8"/>
  <c r="R906" i="8"/>
  <c r="A919" i="7" s="1"/>
  <c r="B919" i="7" s="1"/>
  <c r="Q906" i="8"/>
  <c r="AE906" i="8"/>
  <c r="AC905" i="8"/>
  <c r="U905" i="8"/>
  <c r="T905" i="8"/>
  <c r="D934" i="6" s="1"/>
  <c r="S905" i="8"/>
  <c r="R905" i="8"/>
  <c r="A918" i="7" s="1"/>
  <c r="B918" i="7" s="1"/>
  <c r="Q905" i="8"/>
  <c r="AE905" i="8"/>
  <c r="AC904" i="8"/>
  <c r="U904" i="8"/>
  <c r="T904" i="8"/>
  <c r="D933" i="6" s="1"/>
  <c r="S904" i="8"/>
  <c r="R904" i="8"/>
  <c r="A917" i="7" s="1"/>
  <c r="B917" i="7" s="1"/>
  <c r="Q904" i="8"/>
  <c r="AE904" i="8"/>
  <c r="C916" i="7"/>
  <c r="AC903" i="8"/>
  <c r="U903" i="8"/>
  <c r="T903" i="8"/>
  <c r="D932" i="6" s="1"/>
  <c r="S903" i="8"/>
  <c r="R903" i="8"/>
  <c r="A916" i="7" s="1"/>
  <c r="B916" i="7" s="1"/>
  <c r="AE903" i="8"/>
  <c r="Q903" i="8"/>
  <c r="AC902" i="8"/>
  <c r="C915" i="7"/>
  <c r="U902" i="8"/>
  <c r="T902" i="8"/>
  <c r="D931" i="6" s="1"/>
  <c r="S902" i="8"/>
  <c r="R902" i="8"/>
  <c r="A915" i="7" s="1"/>
  <c r="B915" i="7" s="1"/>
  <c r="Q902" i="8"/>
  <c r="AE902" i="8"/>
  <c r="C914" i="7"/>
  <c r="AC901" i="8"/>
  <c r="U901" i="8"/>
  <c r="T901" i="8"/>
  <c r="D930" i="6" s="1"/>
  <c r="R901" i="8"/>
  <c r="A914" i="7" s="1"/>
  <c r="B914" i="7" s="1"/>
  <c r="S901" i="8"/>
  <c r="Q901" i="8"/>
  <c r="AE901" i="8"/>
  <c r="C913" i="7"/>
  <c r="AC900" i="8"/>
  <c r="U900" i="8"/>
  <c r="T900" i="8"/>
  <c r="D929" i="6" s="1"/>
  <c r="S900" i="8"/>
  <c r="R900" i="8"/>
  <c r="A913" i="7" s="1"/>
  <c r="B913" i="7" s="1"/>
  <c r="AE900" i="8"/>
  <c r="Q900" i="8"/>
  <c r="C912" i="7"/>
  <c r="AC899" i="8"/>
  <c r="T899" i="8"/>
  <c r="D928" i="6" s="1"/>
  <c r="U899" i="8"/>
  <c r="S899" i="8"/>
  <c r="R899" i="8"/>
  <c r="A912" i="7" s="1"/>
  <c r="AE899" i="8"/>
  <c r="Q899" i="8"/>
  <c r="C911" i="7"/>
  <c r="AC898" i="8"/>
  <c r="U898" i="8"/>
  <c r="T898" i="8"/>
  <c r="D927" i="6" s="1"/>
  <c r="S898" i="8"/>
  <c r="R898" i="8"/>
  <c r="A911" i="7" s="1"/>
  <c r="Q898" i="8"/>
  <c r="AE898" i="8"/>
  <c r="C910" i="7"/>
  <c r="AC897" i="8"/>
  <c r="T897" i="8"/>
  <c r="D926" i="6" s="1"/>
  <c r="U897" i="8"/>
  <c r="S897" i="8"/>
  <c r="R897" i="8"/>
  <c r="A910" i="7" s="1"/>
  <c r="AE897" i="8"/>
  <c r="Q897" i="8"/>
  <c r="AC896" i="8"/>
  <c r="C909" i="7"/>
  <c r="T896" i="8"/>
  <c r="D925" i="6" s="1"/>
  <c r="U896" i="8"/>
  <c r="S896" i="8"/>
  <c r="R896" i="8"/>
  <c r="A909" i="7" s="1"/>
  <c r="Q896" i="8"/>
  <c r="AE896" i="8"/>
  <c r="AC895" i="8"/>
  <c r="C908" i="7"/>
  <c r="T895" i="8"/>
  <c r="D924" i="6" s="1"/>
  <c r="U895" i="8"/>
  <c r="R895" i="8"/>
  <c r="A908" i="7" s="1"/>
  <c r="S895" i="8"/>
  <c r="Q895" i="8"/>
  <c r="AE895" i="8"/>
  <c r="AC894" i="8"/>
  <c r="C907" i="7"/>
  <c r="T894" i="8"/>
  <c r="D923" i="6" s="1"/>
  <c r="U894" i="8"/>
  <c r="S894" i="8"/>
  <c r="R894" i="8"/>
  <c r="A907" i="7" s="1"/>
  <c r="AE894" i="8"/>
  <c r="Q894" i="8"/>
  <c r="C906" i="7"/>
  <c r="AC893" i="8"/>
  <c r="U893" i="8"/>
  <c r="T893" i="8"/>
  <c r="D922" i="6" s="1"/>
  <c r="S893" i="8"/>
  <c r="R893" i="8"/>
  <c r="A906" i="7" s="1"/>
  <c r="Q893" i="8"/>
  <c r="AE893" i="8"/>
  <c r="C905" i="7"/>
  <c r="AC892" i="8"/>
  <c r="T892" i="8"/>
  <c r="D921" i="6" s="1"/>
  <c r="U892" i="8"/>
  <c r="R892" i="8"/>
  <c r="A905" i="7" s="1"/>
  <c r="S892" i="8"/>
  <c r="Q892" i="8"/>
  <c r="AE892" i="8"/>
  <c r="C904" i="7"/>
  <c r="AC891" i="8"/>
  <c r="U891" i="8"/>
  <c r="T891" i="8"/>
  <c r="D920" i="6" s="1"/>
  <c r="S891" i="8"/>
  <c r="R891" i="8"/>
  <c r="A904" i="7" s="1"/>
  <c r="Q891" i="8"/>
  <c r="AE891" i="8"/>
  <c r="AC890" i="8"/>
  <c r="C903" i="7"/>
  <c r="T890" i="8"/>
  <c r="D919" i="6" s="1"/>
  <c r="U890" i="8"/>
  <c r="R890" i="8"/>
  <c r="A903" i="7" s="1"/>
  <c r="S890" i="8"/>
  <c r="AE890" i="8"/>
  <c r="Q890" i="8"/>
  <c r="AC889" i="8"/>
  <c r="C902" i="7"/>
  <c r="T889" i="8"/>
  <c r="D918" i="6" s="1"/>
  <c r="U889" i="8"/>
  <c r="R889" i="8"/>
  <c r="A902" i="7" s="1"/>
  <c r="S889" i="8"/>
  <c r="AE889" i="8"/>
  <c r="Q889" i="8"/>
  <c r="AC888" i="8"/>
  <c r="C901" i="7"/>
  <c r="T888" i="8"/>
  <c r="D917" i="6" s="1"/>
  <c r="U888" i="8"/>
  <c r="R888" i="8"/>
  <c r="A901" i="7" s="1"/>
  <c r="S888" i="8"/>
  <c r="Q888" i="8"/>
  <c r="AE888" i="8"/>
  <c r="C900" i="7"/>
  <c r="AC887" i="8"/>
  <c r="T887" i="8"/>
  <c r="D916" i="6" s="1"/>
  <c r="U887" i="8"/>
  <c r="R887" i="8"/>
  <c r="A900" i="7" s="1"/>
  <c r="S887" i="8"/>
  <c r="Q887" i="8"/>
  <c r="AE887" i="8"/>
  <c r="AC886" i="8"/>
  <c r="C899" i="7"/>
  <c r="T886" i="8"/>
  <c r="D915" i="6" s="1"/>
  <c r="U886" i="8"/>
  <c r="S886" i="8"/>
  <c r="R886" i="8"/>
  <c r="A899" i="7" s="1"/>
  <c r="AE886" i="8"/>
  <c r="Q886" i="8"/>
  <c r="AC885" i="8"/>
  <c r="C898" i="7"/>
  <c r="U885" i="8"/>
  <c r="T885" i="8"/>
  <c r="D914" i="6" s="1"/>
  <c r="S885" i="8"/>
  <c r="R885" i="8"/>
  <c r="A898" i="7" s="1"/>
  <c r="Q885" i="8"/>
  <c r="AE885" i="8"/>
  <c r="C897" i="7"/>
  <c r="AC884" i="8"/>
  <c r="T884" i="8"/>
  <c r="D913" i="6" s="1"/>
  <c r="U884" i="8"/>
  <c r="R884" i="8"/>
  <c r="A897" i="7" s="1"/>
  <c r="S884" i="8"/>
  <c r="AE884" i="8"/>
  <c r="Q884" i="8"/>
  <c r="C896" i="7"/>
  <c r="AC883" i="8"/>
  <c r="T883" i="8"/>
  <c r="D912" i="6" s="1"/>
  <c r="U883" i="8"/>
  <c r="R883" i="8"/>
  <c r="A896" i="7" s="1"/>
  <c r="S883" i="8"/>
  <c r="Q883" i="8"/>
  <c r="AE883" i="8"/>
  <c r="C895" i="7"/>
  <c r="AC882" i="8"/>
  <c r="U882" i="8"/>
  <c r="T882" i="8"/>
  <c r="D911" i="6" s="1"/>
  <c r="S882" i="8"/>
  <c r="R882" i="8"/>
  <c r="A895" i="7" s="1"/>
  <c r="Q882" i="8"/>
  <c r="AE882" i="8"/>
  <c r="AC881" i="8"/>
  <c r="C894" i="7"/>
  <c r="T881" i="8"/>
  <c r="D910" i="6" s="1"/>
  <c r="U881" i="8"/>
  <c r="R881" i="8"/>
  <c r="A894" i="7" s="1"/>
  <c r="S881" i="8"/>
  <c r="Q881" i="8"/>
  <c r="AE881" i="8"/>
  <c r="AC880" i="8"/>
  <c r="C893" i="7"/>
  <c r="T880" i="8"/>
  <c r="D909" i="6" s="1"/>
  <c r="U880" i="8"/>
  <c r="R880" i="8"/>
  <c r="A893" i="7" s="1"/>
  <c r="S880" i="8"/>
  <c r="Q880" i="8"/>
  <c r="AE880" i="8"/>
  <c r="AC879" i="8"/>
  <c r="C892" i="7"/>
  <c r="T879" i="8"/>
  <c r="D908" i="6" s="1"/>
  <c r="U879" i="8"/>
  <c r="S879" i="8"/>
  <c r="R879" i="8"/>
  <c r="A892" i="7" s="1"/>
  <c r="AE879" i="8"/>
  <c r="Q879" i="8"/>
  <c r="AC878" i="8"/>
  <c r="C891" i="7"/>
  <c r="U878" i="8"/>
  <c r="T878" i="8"/>
  <c r="D907" i="6" s="1"/>
  <c r="S878" i="8"/>
  <c r="R878" i="8"/>
  <c r="A891" i="7" s="1"/>
  <c r="AE878" i="8"/>
  <c r="Q878" i="8"/>
  <c r="AC877" i="8"/>
  <c r="C890" i="7"/>
  <c r="T877" i="8"/>
  <c r="D906" i="6" s="1"/>
  <c r="U877" i="8"/>
  <c r="S877" i="8"/>
  <c r="R877" i="8"/>
  <c r="A890" i="7" s="1"/>
  <c r="Q877" i="8"/>
  <c r="AE877" i="8"/>
  <c r="C889" i="7"/>
  <c r="AC876" i="8"/>
  <c r="U876" i="8"/>
  <c r="T876" i="8"/>
  <c r="D905" i="6" s="1"/>
  <c r="S876" i="8"/>
  <c r="R876" i="8"/>
  <c r="A889" i="7" s="1"/>
  <c r="AE876" i="8"/>
  <c r="Q876" i="8"/>
  <c r="AC875" i="8"/>
  <c r="C888" i="7"/>
  <c r="T875" i="8"/>
  <c r="D904" i="6" s="1"/>
  <c r="U875" i="8"/>
  <c r="R875" i="8"/>
  <c r="A888" i="7" s="1"/>
  <c r="S875" i="8"/>
  <c r="Q875" i="8"/>
  <c r="AE875" i="8"/>
  <c r="AC874" i="8"/>
  <c r="C887" i="7"/>
  <c r="T874" i="8"/>
  <c r="D903" i="6" s="1"/>
  <c r="U874" i="8"/>
  <c r="R874" i="8"/>
  <c r="A887" i="7" s="1"/>
  <c r="S874" i="8"/>
  <c r="Q874" i="8"/>
  <c r="AE874" i="8"/>
  <c r="C886" i="7"/>
  <c r="AC873" i="8"/>
  <c r="U873" i="8"/>
  <c r="T873" i="8"/>
  <c r="D902" i="6" s="1"/>
  <c r="R873" i="8"/>
  <c r="A886" i="7" s="1"/>
  <c r="S873" i="8"/>
  <c r="Q873" i="8"/>
  <c r="AE873" i="8"/>
  <c r="AC872" i="8"/>
  <c r="C885" i="7"/>
  <c r="T872" i="8"/>
  <c r="D901" i="6" s="1"/>
  <c r="U872" i="8"/>
  <c r="R872" i="8"/>
  <c r="A885" i="7" s="1"/>
  <c r="S872" i="8"/>
  <c r="AE872" i="8"/>
  <c r="Q872" i="8"/>
  <c r="AC871" i="8"/>
  <c r="C884" i="7"/>
  <c r="T871" i="8"/>
  <c r="D900" i="6" s="1"/>
  <c r="U871" i="8"/>
  <c r="R871" i="8"/>
  <c r="A884" i="7" s="1"/>
  <c r="S871" i="8"/>
  <c r="AE871" i="8"/>
  <c r="Q871" i="8"/>
  <c r="C883" i="7"/>
  <c r="AC870" i="8"/>
  <c r="U870" i="8"/>
  <c r="T870" i="8"/>
  <c r="D899" i="6" s="1"/>
  <c r="S870" i="8"/>
  <c r="R870" i="8"/>
  <c r="A883" i="7" s="1"/>
  <c r="AE870" i="8"/>
  <c r="Q870" i="8"/>
  <c r="C882" i="7"/>
  <c r="AC869" i="8"/>
  <c r="T869" i="8"/>
  <c r="D898" i="6" s="1"/>
  <c r="U869" i="8"/>
  <c r="S869" i="8"/>
  <c r="R869" i="8"/>
  <c r="A882" i="7" s="1"/>
  <c r="Q869" i="8"/>
  <c r="AE869" i="8"/>
  <c r="AC868" i="8"/>
  <c r="C881" i="7"/>
  <c r="T868" i="8"/>
  <c r="D897" i="6" s="1"/>
  <c r="U868" i="8"/>
  <c r="S868" i="8"/>
  <c r="R868" i="8"/>
  <c r="A881" i="7" s="1"/>
  <c r="AE868" i="8"/>
  <c r="Q868" i="8"/>
  <c r="AC867" i="8"/>
  <c r="C880" i="7"/>
  <c r="U867" i="8"/>
  <c r="T867" i="8"/>
  <c r="D896" i="6" s="1"/>
  <c r="S867" i="8"/>
  <c r="R867" i="8"/>
  <c r="A880" i="7" s="1"/>
  <c r="Q867" i="8"/>
  <c r="AE867" i="8"/>
  <c r="AC866" i="8"/>
  <c r="C879" i="7"/>
  <c r="U866" i="8"/>
  <c r="T866" i="8"/>
  <c r="D895" i="6" s="1"/>
  <c r="S866" i="8"/>
  <c r="R866" i="8"/>
  <c r="A879" i="7" s="1"/>
  <c r="Q866" i="8"/>
  <c r="AE866" i="8"/>
  <c r="C878" i="7"/>
  <c r="AC865" i="8"/>
  <c r="T865" i="8"/>
  <c r="D894" i="6" s="1"/>
  <c r="U865" i="8"/>
  <c r="S865" i="8"/>
  <c r="R865" i="8"/>
  <c r="A878" i="7" s="1"/>
  <c r="AE865" i="8"/>
  <c r="Q865" i="8"/>
  <c r="C877" i="7"/>
  <c r="AC864" i="8"/>
  <c r="T864" i="8"/>
  <c r="D893" i="6" s="1"/>
  <c r="U864" i="8"/>
  <c r="S864" i="8"/>
  <c r="R864" i="8"/>
  <c r="A877" i="7" s="1"/>
  <c r="Q864" i="8"/>
  <c r="AE864" i="8"/>
  <c r="AC863" i="8"/>
  <c r="C876" i="7"/>
  <c r="U863" i="8"/>
  <c r="T863" i="8"/>
  <c r="D892" i="6" s="1"/>
  <c r="S863" i="8"/>
  <c r="R863" i="8"/>
  <c r="A876" i="7" s="1"/>
  <c r="AE863" i="8"/>
  <c r="Q863" i="8"/>
  <c r="C875" i="7"/>
  <c r="AC862" i="8"/>
  <c r="U862" i="8"/>
  <c r="T862" i="8"/>
  <c r="D891" i="6" s="1"/>
  <c r="S862" i="8"/>
  <c r="R862" i="8"/>
  <c r="A875" i="7" s="1"/>
  <c r="Q862" i="8"/>
  <c r="AE862" i="8"/>
  <c r="AC861" i="8"/>
  <c r="C874" i="7"/>
  <c r="U861" i="8"/>
  <c r="T861" i="8"/>
  <c r="D890" i="6" s="1"/>
  <c r="S861" i="8"/>
  <c r="R861" i="8"/>
  <c r="A874" i="7" s="1"/>
  <c r="AE861" i="8"/>
  <c r="Q861" i="8"/>
  <c r="AC860" i="8"/>
  <c r="C873" i="7"/>
  <c r="U860" i="8"/>
  <c r="T860" i="8"/>
  <c r="D889" i="6" s="1"/>
  <c r="R860" i="8"/>
  <c r="A873" i="7" s="1"/>
  <c r="S860" i="8"/>
  <c r="Q860" i="8"/>
  <c r="AE860" i="8"/>
  <c r="AC859" i="8"/>
  <c r="C872" i="7"/>
  <c r="U859" i="8"/>
  <c r="T859" i="8"/>
  <c r="D888" i="6" s="1"/>
  <c r="S859" i="8"/>
  <c r="R859" i="8"/>
  <c r="A872" i="7" s="1"/>
  <c r="AE859" i="8"/>
  <c r="Q859" i="8"/>
  <c r="C871" i="7"/>
  <c r="AC858" i="8"/>
  <c r="T858" i="8"/>
  <c r="D887" i="6" s="1"/>
  <c r="U858" i="8"/>
  <c r="S858" i="8"/>
  <c r="R858" i="8"/>
  <c r="A871" i="7" s="1"/>
  <c r="Q858" i="8"/>
  <c r="AE858" i="8"/>
  <c r="AC857" i="8"/>
  <c r="C870" i="7"/>
  <c r="U857" i="8"/>
  <c r="T857" i="8"/>
  <c r="D886" i="6" s="1"/>
  <c r="S857" i="8"/>
  <c r="R857" i="8"/>
  <c r="A870" i="7" s="1"/>
  <c r="AE857" i="8"/>
  <c r="Q857" i="8"/>
  <c r="C869" i="7"/>
  <c r="AC856" i="8"/>
  <c r="T856" i="8"/>
  <c r="D885" i="6" s="1"/>
  <c r="U856" i="8"/>
  <c r="R856" i="8"/>
  <c r="A869" i="7" s="1"/>
  <c r="S856" i="8"/>
  <c r="AE856" i="8"/>
  <c r="Q856" i="8"/>
  <c r="C868" i="7"/>
  <c r="AC855" i="8"/>
  <c r="T855" i="8"/>
  <c r="D884" i="6" s="1"/>
  <c r="U855" i="8"/>
  <c r="R855" i="8"/>
  <c r="A868" i="7" s="1"/>
  <c r="S855" i="8"/>
  <c r="AE855" i="8"/>
  <c r="Q855" i="8"/>
  <c r="C867" i="7"/>
  <c r="AC854" i="8"/>
  <c r="T854" i="8"/>
  <c r="D883" i="6" s="1"/>
  <c r="U854" i="8"/>
  <c r="R854" i="8"/>
  <c r="A867" i="7" s="1"/>
  <c r="S854" i="8"/>
  <c r="AE854" i="8"/>
  <c r="Q854" i="8"/>
  <c r="C866" i="7"/>
  <c r="AC853" i="8"/>
  <c r="T853" i="8"/>
  <c r="D882" i="6" s="1"/>
  <c r="U853" i="8"/>
  <c r="S853" i="8"/>
  <c r="R853" i="8"/>
  <c r="A866" i="7" s="1"/>
  <c r="AE853" i="8"/>
  <c r="Q853" i="8"/>
  <c r="AC852" i="8"/>
  <c r="C865" i="7"/>
  <c r="U852" i="8"/>
  <c r="T852" i="8"/>
  <c r="D881" i="6" s="1"/>
  <c r="S852" i="8"/>
  <c r="R852" i="8"/>
  <c r="A865" i="7" s="1"/>
  <c r="Q852" i="8"/>
  <c r="AE852" i="8"/>
  <c r="AC851" i="8"/>
  <c r="C864" i="7"/>
  <c r="U851" i="8"/>
  <c r="T851" i="8"/>
  <c r="D880" i="6" s="1"/>
  <c r="R851" i="8"/>
  <c r="A864" i="7" s="1"/>
  <c r="S851" i="8"/>
  <c r="Q851" i="8"/>
  <c r="AE851" i="8"/>
  <c r="C863" i="7"/>
  <c r="AC850" i="8"/>
  <c r="T850" i="8"/>
  <c r="D879" i="6" s="1"/>
  <c r="U850" i="8"/>
  <c r="R850" i="8"/>
  <c r="A863" i="7" s="1"/>
  <c r="S850" i="8"/>
  <c r="Q850" i="8"/>
  <c r="AE850" i="8"/>
  <c r="AC849" i="8"/>
  <c r="C862" i="7"/>
  <c r="T849" i="8"/>
  <c r="D878" i="6" s="1"/>
  <c r="U849" i="8"/>
  <c r="R849" i="8"/>
  <c r="A862" i="7" s="1"/>
  <c r="S849" i="8"/>
  <c r="Q849" i="8"/>
  <c r="AE849" i="8"/>
  <c r="AC848" i="8"/>
  <c r="C861" i="7"/>
  <c r="U848" i="8"/>
  <c r="T848" i="8"/>
  <c r="D877" i="6" s="1"/>
  <c r="R848" i="8"/>
  <c r="A861" i="7" s="1"/>
  <c r="S848" i="8"/>
  <c r="Q848" i="8"/>
  <c r="AE848" i="8"/>
  <c r="C860" i="7"/>
  <c r="AC847" i="8"/>
  <c r="U847" i="8"/>
  <c r="T847" i="8"/>
  <c r="D876" i="6" s="1"/>
  <c r="S847" i="8"/>
  <c r="R847" i="8"/>
  <c r="A860" i="7" s="1"/>
  <c r="AE847" i="8"/>
  <c r="Q847" i="8"/>
  <c r="C859" i="7"/>
  <c r="AC846" i="8"/>
  <c r="U846" i="8"/>
  <c r="T846" i="8"/>
  <c r="D875" i="6" s="1"/>
  <c r="S846" i="8"/>
  <c r="R846" i="8"/>
  <c r="A859" i="7" s="1"/>
  <c r="Q846" i="8"/>
  <c r="AE846" i="8"/>
  <c r="AC845" i="8"/>
  <c r="C858" i="7"/>
  <c r="U845" i="8"/>
  <c r="T845" i="8"/>
  <c r="D874" i="6" s="1"/>
  <c r="R845" i="8"/>
  <c r="A858" i="7" s="1"/>
  <c r="S845" i="8"/>
  <c r="AE845" i="8"/>
  <c r="Q845" i="8"/>
  <c r="C857" i="7"/>
  <c r="AC844" i="8"/>
  <c r="U844" i="8"/>
  <c r="T844" i="8"/>
  <c r="D873" i="6" s="1"/>
  <c r="R844" i="8"/>
  <c r="A857" i="7" s="1"/>
  <c r="S844" i="8"/>
  <c r="AE844" i="8"/>
  <c r="Q844" i="8"/>
  <c r="AC843" i="8"/>
  <c r="C856" i="7"/>
  <c r="U843" i="8"/>
  <c r="T843" i="8"/>
  <c r="D872" i="6" s="1"/>
  <c r="S843" i="8"/>
  <c r="R843" i="8"/>
  <c r="A856" i="7" s="1"/>
  <c r="AE843" i="8"/>
  <c r="Q843" i="8"/>
  <c r="C855" i="7"/>
  <c r="AC842" i="8"/>
  <c r="T842" i="8"/>
  <c r="D871" i="6" s="1"/>
  <c r="U842" i="8"/>
  <c r="R842" i="8"/>
  <c r="A855" i="7" s="1"/>
  <c r="S842" i="8"/>
  <c r="AE842" i="8"/>
  <c r="Q842" i="8"/>
  <c r="C854" i="7"/>
  <c r="AC841" i="8"/>
  <c r="T841" i="8"/>
  <c r="D870" i="6" s="1"/>
  <c r="U841" i="8"/>
  <c r="R841" i="8"/>
  <c r="A854" i="7" s="1"/>
  <c r="S841" i="8"/>
  <c r="AE841" i="8"/>
  <c r="Q841" i="8"/>
  <c r="C853" i="7"/>
  <c r="AC840" i="8"/>
  <c r="T840" i="8"/>
  <c r="D869" i="6" s="1"/>
  <c r="U840" i="8"/>
  <c r="S840" i="8"/>
  <c r="R840" i="8"/>
  <c r="A853" i="7" s="1"/>
  <c r="AE840" i="8"/>
  <c r="Q840" i="8"/>
  <c r="C852" i="7"/>
  <c r="AC839" i="8"/>
  <c r="U839" i="8"/>
  <c r="T839" i="8"/>
  <c r="D868" i="6" s="1"/>
  <c r="S839" i="8"/>
  <c r="R839" i="8"/>
  <c r="A852" i="7" s="1"/>
  <c r="AE839" i="8"/>
  <c r="Q839" i="8"/>
  <c r="AC838" i="8"/>
  <c r="C851" i="7"/>
  <c r="U838" i="8"/>
  <c r="T838" i="8"/>
  <c r="D867" i="6" s="1"/>
  <c r="R838" i="8"/>
  <c r="A851" i="7" s="1"/>
  <c r="S838" i="8"/>
  <c r="AE838" i="8"/>
  <c r="Q838" i="8"/>
  <c r="C850" i="7"/>
  <c r="AC837" i="8"/>
  <c r="U837" i="8"/>
  <c r="T837" i="8"/>
  <c r="D866" i="6" s="1"/>
  <c r="S837" i="8"/>
  <c r="R837" i="8"/>
  <c r="A850" i="7" s="1"/>
  <c r="AE837" i="8"/>
  <c r="Q837" i="8"/>
  <c r="C849" i="7"/>
  <c r="AC836" i="8"/>
  <c r="T836" i="8"/>
  <c r="D865" i="6" s="1"/>
  <c r="U836" i="8"/>
  <c r="R836" i="8"/>
  <c r="A849" i="7" s="1"/>
  <c r="S836" i="8"/>
  <c r="Q836" i="8"/>
  <c r="AE836" i="8"/>
  <c r="C848" i="7"/>
  <c r="AC835" i="8"/>
  <c r="T835" i="8"/>
  <c r="D864" i="6" s="1"/>
  <c r="U835" i="8"/>
  <c r="S835" i="8"/>
  <c r="R835" i="8"/>
  <c r="A848" i="7" s="1"/>
  <c r="Q835" i="8"/>
  <c r="AE835" i="8"/>
  <c r="C847" i="7"/>
  <c r="AC834" i="8"/>
  <c r="T834" i="8"/>
  <c r="D863" i="6" s="1"/>
  <c r="U834" i="8"/>
  <c r="R834" i="8"/>
  <c r="A847" i="7" s="1"/>
  <c r="S834" i="8"/>
  <c r="AE834" i="8"/>
  <c r="Q834" i="8"/>
  <c r="AC833" i="8"/>
  <c r="C846" i="7"/>
  <c r="T833" i="8"/>
  <c r="D862" i="6" s="1"/>
  <c r="U833" i="8"/>
  <c r="S833" i="8"/>
  <c r="R833" i="8"/>
  <c r="A846" i="7" s="1"/>
  <c r="AE833" i="8"/>
  <c r="Q833" i="8"/>
  <c r="AC832" i="8"/>
  <c r="C845" i="7"/>
  <c r="U832" i="8"/>
  <c r="T832" i="8"/>
  <c r="D861" i="6" s="1"/>
  <c r="S832" i="8"/>
  <c r="R832" i="8"/>
  <c r="A845" i="7" s="1"/>
  <c r="AE832" i="8"/>
  <c r="Q832" i="8"/>
  <c r="C844" i="7"/>
  <c r="AC831" i="8"/>
  <c r="T831" i="8"/>
  <c r="D860" i="6" s="1"/>
  <c r="U831" i="8"/>
  <c r="S831" i="8"/>
  <c r="R831" i="8"/>
  <c r="A844" i="7" s="1"/>
  <c r="Q831" i="8"/>
  <c r="AE831" i="8"/>
  <c r="C843" i="7"/>
  <c r="AC830" i="8"/>
  <c r="U830" i="8"/>
  <c r="T830" i="8"/>
  <c r="D859" i="6" s="1"/>
  <c r="S830" i="8"/>
  <c r="R830" i="8"/>
  <c r="A843" i="7" s="1"/>
  <c r="Q830" i="8"/>
  <c r="AE830" i="8"/>
  <c r="AC829" i="8"/>
  <c r="C842" i="7"/>
  <c r="U829" i="8"/>
  <c r="T829" i="8"/>
  <c r="D858" i="6" s="1"/>
  <c r="S829" i="8"/>
  <c r="R829" i="8"/>
  <c r="A842" i="7" s="1"/>
  <c r="Q829" i="8"/>
  <c r="AE829" i="8"/>
  <c r="C841" i="7"/>
  <c r="AC828" i="8"/>
  <c r="U828" i="8"/>
  <c r="T828" i="8"/>
  <c r="D857" i="6" s="1"/>
  <c r="S828" i="8"/>
  <c r="R828" i="8"/>
  <c r="A841" i="7" s="1"/>
  <c r="Q828" i="8"/>
  <c r="AE828" i="8"/>
  <c r="AC827" i="8"/>
  <c r="C840" i="7"/>
  <c r="U827" i="8"/>
  <c r="T827" i="8"/>
  <c r="D856" i="6" s="1"/>
  <c r="S827" i="8"/>
  <c r="R827" i="8"/>
  <c r="A840" i="7" s="1"/>
  <c r="Q827" i="8"/>
  <c r="AE827" i="8"/>
  <c r="C839" i="7"/>
  <c r="AC826" i="8"/>
  <c r="U826" i="8"/>
  <c r="T826" i="8"/>
  <c r="D855" i="6" s="1"/>
  <c r="S826" i="8"/>
  <c r="R826" i="8"/>
  <c r="A839" i="7" s="1"/>
  <c r="Q826" i="8"/>
  <c r="AE826" i="8"/>
  <c r="AC825" i="8"/>
  <c r="C838" i="7"/>
  <c r="U825" i="8"/>
  <c r="T825" i="8"/>
  <c r="D854" i="6" s="1"/>
  <c r="S825" i="8"/>
  <c r="R825" i="8"/>
  <c r="A838" i="7" s="1"/>
  <c r="AE825" i="8"/>
  <c r="Q825" i="8"/>
  <c r="AC824" i="8"/>
  <c r="C837" i="7"/>
  <c r="U824" i="8"/>
  <c r="T824" i="8"/>
  <c r="D853" i="6" s="1"/>
  <c r="S824" i="8"/>
  <c r="R824" i="8"/>
  <c r="A837" i="7" s="1"/>
  <c r="AE824" i="8"/>
  <c r="Q824" i="8"/>
  <c r="C836" i="7"/>
  <c r="AC823" i="8"/>
  <c r="U823" i="8"/>
  <c r="T823" i="8"/>
  <c r="D852" i="6" s="1"/>
  <c r="R823" i="8"/>
  <c r="A836" i="7" s="1"/>
  <c r="S823" i="8"/>
  <c r="Q823" i="8"/>
  <c r="AE823" i="8"/>
  <c r="AC822" i="8"/>
  <c r="C835" i="7"/>
  <c r="I851" i="6"/>
  <c r="AA822" i="8"/>
  <c r="G851" i="6"/>
  <c r="F851" i="6"/>
  <c r="Z822" i="8"/>
  <c r="U822" i="8"/>
  <c r="T822" i="8"/>
  <c r="D851" i="6" s="1"/>
  <c r="C851" i="6"/>
  <c r="Y822" i="8"/>
  <c r="S822" i="8"/>
  <c r="R822" i="8"/>
  <c r="A835" i="7" s="1"/>
  <c r="B851" i="6"/>
  <c r="Q822" i="8"/>
  <c r="AE822" i="8"/>
  <c r="A851" i="6"/>
  <c r="AC821" i="8"/>
  <c r="C834" i="7"/>
  <c r="I850" i="6"/>
  <c r="AA821" i="8"/>
  <c r="G850" i="6"/>
  <c r="Z821" i="8"/>
  <c r="F850" i="6"/>
  <c r="U821" i="8"/>
  <c r="T821" i="8"/>
  <c r="D850" i="6" s="1"/>
  <c r="Y821" i="8"/>
  <c r="C850" i="6"/>
  <c r="B850" i="6"/>
  <c r="R821" i="8"/>
  <c r="A834" i="7" s="1"/>
  <c r="S821" i="8"/>
  <c r="A850" i="6"/>
  <c r="AE821" i="8"/>
  <c r="Q821" i="8"/>
  <c r="I849" i="6"/>
  <c r="C833" i="7"/>
  <c r="AC820" i="8"/>
  <c r="AA820" i="8"/>
  <c r="G849" i="6"/>
  <c r="Z820" i="8"/>
  <c r="F849" i="6"/>
  <c r="U820" i="8"/>
  <c r="T820" i="8"/>
  <c r="D849" i="6" s="1"/>
  <c r="Y820" i="8"/>
  <c r="C849" i="6"/>
  <c r="B849" i="6"/>
  <c r="R820" i="8"/>
  <c r="A833" i="7" s="1"/>
  <c r="S820" i="8"/>
  <c r="A849" i="6"/>
  <c r="Q820" i="8"/>
  <c r="AE820" i="8"/>
  <c r="C832" i="7"/>
  <c r="AC819" i="8"/>
  <c r="I848" i="6"/>
  <c r="AA819" i="8"/>
  <c r="G848" i="6"/>
  <c r="F848" i="6"/>
  <c r="Z819" i="8"/>
  <c r="T819" i="8"/>
  <c r="D848" i="6" s="1"/>
  <c r="U819" i="8"/>
  <c r="C848" i="6"/>
  <c r="Y819" i="8"/>
  <c r="B848" i="6"/>
  <c r="R819" i="8"/>
  <c r="A832" i="7" s="1"/>
  <c r="S819" i="8"/>
  <c r="A848" i="6"/>
  <c r="AE819" i="8"/>
  <c r="Q819" i="8"/>
  <c r="C831" i="7"/>
  <c r="AC818" i="8"/>
  <c r="I847" i="6"/>
  <c r="G847" i="6"/>
  <c r="AA818" i="8"/>
  <c r="Z818" i="8"/>
  <c r="F847" i="6"/>
  <c r="T818" i="8"/>
  <c r="D847" i="6" s="1"/>
  <c r="U818" i="8"/>
  <c r="C847" i="6"/>
  <c r="Y818" i="8"/>
  <c r="B847" i="6"/>
  <c r="R818" i="8"/>
  <c r="A831" i="7" s="1"/>
  <c r="S818" i="8"/>
  <c r="A847" i="6"/>
  <c r="AE818" i="8"/>
  <c r="Q818" i="8"/>
  <c r="I846" i="6"/>
  <c r="AC817" i="8"/>
  <c r="C830" i="7"/>
  <c r="G846" i="6"/>
  <c r="AA817" i="8"/>
  <c r="F846" i="6"/>
  <c r="Z817" i="8"/>
  <c r="U817" i="8"/>
  <c r="T817" i="8"/>
  <c r="D846" i="6" s="1"/>
  <c r="C846" i="6"/>
  <c r="Y817" i="8"/>
  <c r="B846" i="6"/>
  <c r="S817" i="8"/>
  <c r="R817" i="8"/>
  <c r="A830" i="7" s="1"/>
  <c r="A846" i="6"/>
  <c r="AE817" i="8"/>
  <c r="Q817" i="8"/>
  <c r="C829" i="7"/>
  <c r="I845" i="6"/>
  <c r="AC816" i="8"/>
  <c r="G845" i="6"/>
  <c r="AA816" i="8"/>
  <c r="Z816" i="8"/>
  <c r="F845" i="6"/>
  <c r="T816" i="8"/>
  <c r="D845" i="6" s="1"/>
  <c r="U816" i="8"/>
  <c r="C845" i="6"/>
  <c r="Y816" i="8"/>
  <c r="S816" i="8"/>
  <c r="B845" i="6"/>
  <c r="R816" i="8"/>
  <c r="A829" i="7" s="1"/>
  <c r="A845" i="6"/>
  <c r="AE816" i="8"/>
  <c r="Q816" i="8"/>
  <c r="C828" i="7"/>
  <c r="I844" i="6"/>
  <c r="AC815" i="8"/>
  <c r="AA815" i="8"/>
  <c r="G844" i="6"/>
  <c r="F844" i="6"/>
  <c r="Z815" i="8"/>
  <c r="U815" i="8"/>
  <c r="T815" i="8"/>
  <c r="D844" i="6" s="1"/>
  <c r="Y815" i="8"/>
  <c r="C844" i="6"/>
  <c r="S815" i="8"/>
  <c r="B844" i="6"/>
  <c r="R815" i="8"/>
  <c r="A828" i="7" s="1"/>
  <c r="AE815" i="8"/>
  <c r="Q815" i="8"/>
  <c r="A844" i="6"/>
  <c r="I843" i="6"/>
  <c r="AC814" i="8"/>
  <c r="C827" i="7"/>
  <c r="AA814" i="8"/>
  <c r="G843" i="6"/>
  <c r="Z814" i="8"/>
  <c r="F843" i="6"/>
  <c r="T814" i="8"/>
  <c r="D843" i="6" s="1"/>
  <c r="U814" i="8"/>
  <c r="Y814" i="8"/>
  <c r="C843" i="6"/>
  <c r="R814" i="8"/>
  <c r="A827" i="7" s="1"/>
  <c r="S814" i="8"/>
  <c r="B843" i="6"/>
  <c r="Q814" i="8"/>
  <c r="AE814" i="8"/>
  <c r="A843" i="6"/>
  <c r="C826" i="7"/>
  <c r="AC813" i="8"/>
  <c r="I842" i="6"/>
  <c r="AA813" i="8"/>
  <c r="G842" i="6"/>
  <c r="Z813" i="8"/>
  <c r="F842" i="6"/>
  <c r="U813" i="8"/>
  <c r="T813" i="8"/>
  <c r="D842" i="6" s="1"/>
  <c r="Y813" i="8"/>
  <c r="C842" i="6"/>
  <c r="S813" i="8"/>
  <c r="B842" i="6"/>
  <c r="R813" i="8"/>
  <c r="A826" i="7" s="1"/>
  <c r="AE813" i="8"/>
  <c r="Q813" i="8"/>
  <c r="A842" i="6"/>
  <c r="I841" i="6"/>
  <c r="AC812" i="8"/>
  <c r="C825" i="7"/>
  <c r="G841" i="6"/>
  <c r="AA812" i="8"/>
  <c r="Z812" i="8"/>
  <c r="F841" i="6"/>
  <c r="U812" i="8"/>
  <c r="T812" i="8"/>
  <c r="D841" i="6" s="1"/>
  <c r="C841" i="6"/>
  <c r="Y812" i="8"/>
  <c r="B841" i="6"/>
  <c r="S812" i="8"/>
  <c r="R812" i="8"/>
  <c r="A825" i="7" s="1"/>
  <c r="A841" i="6"/>
  <c r="AE812" i="8"/>
  <c r="Q812" i="8"/>
  <c r="C824" i="7"/>
  <c r="I840" i="6"/>
  <c r="AC811" i="8"/>
  <c r="G840" i="6"/>
  <c r="AA811" i="8"/>
  <c r="F840" i="6"/>
  <c r="Z811" i="8"/>
  <c r="U811" i="8"/>
  <c r="T811" i="8"/>
  <c r="D840" i="6" s="1"/>
  <c r="Y811" i="8"/>
  <c r="C840" i="6"/>
  <c r="B840" i="6"/>
  <c r="S811" i="8"/>
  <c r="R811" i="8"/>
  <c r="A824" i="7" s="1"/>
  <c r="Q811" i="8"/>
  <c r="A840" i="6"/>
  <c r="AE811" i="8"/>
  <c r="I839" i="6"/>
  <c r="C823" i="7"/>
  <c r="AC810" i="8"/>
  <c r="AA810" i="8"/>
  <c r="G839" i="6"/>
  <c r="Z810" i="8"/>
  <c r="F839" i="6"/>
  <c r="U810" i="8"/>
  <c r="T810" i="8"/>
  <c r="D839" i="6" s="1"/>
  <c r="C839" i="6"/>
  <c r="Y810" i="8"/>
  <c r="B839" i="6"/>
  <c r="S810" i="8"/>
  <c r="R810" i="8"/>
  <c r="A823" i="7" s="1"/>
  <c r="AE810" i="8"/>
  <c r="Q810" i="8"/>
  <c r="A839" i="6"/>
  <c r="C822" i="7"/>
  <c r="I838" i="6"/>
  <c r="AC809" i="8"/>
  <c r="G838" i="6"/>
  <c r="AA809" i="8"/>
  <c r="F838" i="6"/>
  <c r="Z809" i="8"/>
  <c r="U809" i="8"/>
  <c r="T809" i="8"/>
  <c r="D838" i="6" s="1"/>
  <c r="Y809" i="8"/>
  <c r="C838" i="6"/>
  <c r="B838" i="6"/>
  <c r="S809" i="8"/>
  <c r="R809" i="8"/>
  <c r="A822" i="7" s="1"/>
  <c r="AE809" i="8"/>
  <c r="A838" i="6"/>
  <c r="Q809" i="8"/>
  <c r="C821" i="7"/>
  <c r="AC808" i="8"/>
  <c r="I837" i="6"/>
  <c r="G837" i="6"/>
  <c r="AA808" i="8"/>
  <c r="F837" i="6"/>
  <c r="Z808" i="8"/>
  <c r="T808" i="8"/>
  <c r="D837" i="6" s="1"/>
  <c r="U808" i="8"/>
  <c r="C837" i="6"/>
  <c r="Y808" i="8"/>
  <c r="B837" i="6"/>
  <c r="R808" i="8"/>
  <c r="A821" i="7" s="1"/>
  <c r="S808" i="8"/>
  <c r="A837" i="6"/>
  <c r="AE808" i="8"/>
  <c r="Q808" i="8"/>
  <c r="AC807" i="8"/>
  <c r="C820" i="7"/>
  <c r="I836" i="6"/>
  <c r="AA807" i="8"/>
  <c r="G836" i="6"/>
  <c r="Z807" i="8"/>
  <c r="F836" i="6"/>
  <c r="T807" i="8"/>
  <c r="D836" i="6" s="1"/>
  <c r="U807" i="8"/>
  <c r="C836" i="6"/>
  <c r="Y807" i="8"/>
  <c r="S807" i="8"/>
  <c r="B836" i="6"/>
  <c r="R807" i="8"/>
  <c r="A820" i="7" s="1"/>
  <c r="AE807" i="8"/>
  <c r="A836" i="6"/>
  <c r="Q807" i="8"/>
  <c r="AC806" i="8"/>
  <c r="C819" i="7"/>
  <c r="I835" i="6"/>
  <c r="G835" i="6"/>
  <c r="AA806" i="8"/>
  <c r="F835" i="6"/>
  <c r="Z806" i="8"/>
  <c r="U806" i="8"/>
  <c r="T806" i="8"/>
  <c r="D835" i="6" s="1"/>
  <c r="C835" i="6"/>
  <c r="Y806" i="8"/>
  <c r="B835" i="6"/>
  <c r="S806" i="8"/>
  <c r="R806" i="8"/>
  <c r="A819" i="7" s="1"/>
  <c r="A835" i="6"/>
  <c r="AE806" i="8"/>
  <c r="Q806" i="8"/>
  <c r="C818" i="7"/>
  <c r="I834" i="6"/>
  <c r="AC805" i="8"/>
  <c r="G834" i="6"/>
  <c r="AA805" i="8"/>
  <c r="Z805" i="8"/>
  <c r="F834" i="6"/>
  <c r="T805" i="8"/>
  <c r="D834" i="6" s="1"/>
  <c r="U805" i="8"/>
  <c r="Y805" i="8"/>
  <c r="C834" i="6"/>
  <c r="R805" i="8"/>
  <c r="A818" i="7" s="1"/>
  <c r="S805" i="8"/>
  <c r="B834" i="6"/>
  <c r="Q805" i="8"/>
  <c r="AE805" i="8"/>
  <c r="A834" i="6"/>
  <c r="I833" i="6"/>
  <c r="C817" i="7"/>
  <c r="AC804" i="8"/>
  <c r="G833" i="6"/>
  <c r="AA804" i="8"/>
  <c r="F833" i="6"/>
  <c r="Z804" i="8"/>
  <c r="U804" i="8"/>
  <c r="T804" i="8"/>
  <c r="D833" i="6" s="1"/>
  <c r="C833" i="6"/>
  <c r="Y804" i="8"/>
  <c r="B833" i="6"/>
  <c r="S804" i="8"/>
  <c r="R804" i="8"/>
  <c r="A817" i="7" s="1"/>
  <c r="A833" i="6"/>
  <c r="AE804" i="8"/>
  <c r="Q804" i="8"/>
  <c r="C816" i="7"/>
  <c r="I832" i="6"/>
  <c r="AC803" i="8"/>
  <c r="G832" i="6"/>
  <c r="AA803" i="8"/>
  <c r="F832" i="6"/>
  <c r="Z803" i="8"/>
  <c r="T803" i="8"/>
  <c r="D832" i="6" s="1"/>
  <c r="U803" i="8"/>
  <c r="C832" i="6"/>
  <c r="Y803" i="8"/>
  <c r="S803" i="8"/>
  <c r="R803" i="8"/>
  <c r="A816" i="7" s="1"/>
  <c r="B832" i="6"/>
  <c r="A832" i="6"/>
  <c r="Q803" i="8"/>
  <c r="AE803" i="8"/>
  <c r="AC802" i="8"/>
  <c r="C815" i="7"/>
  <c r="I831" i="6"/>
  <c r="AA802" i="8"/>
  <c r="G831" i="6"/>
  <c r="Z802" i="8"/>
  <c r="F831" i="6"/>
  <c r="T802" i="8"/>
  <c r="D831" i="6" s="1"/>
  <c r="U802" i="8"/>
  <c r="Y802" i="8"/>
  <c r="C831" i="6"/>
  <c r="B831" i="6"/>
  <c r="S802" i="8"/>
  <c r="R802" i="8"/>
  <c r="A815" i="7" s="1"/>
  <c r="A831" i="6"/>
  <c r="AE802" i="8"/>
  <c r="Q802" i="8"/>
  <c r="AC801" i="8"/>
  <c r="C814" i="7"/>
  <c r="I830" i="6"/>
  <c r="G830" i="6"/>
  <c r="AA801" i="8"/>
  <c r="Z801" i="8"/>
  <c r="F830" i="6"/>
  <c r="U801" i="8"/>
  <c r="T801" i="8"/>
  <c r="D830" i="6" s="1"/>
  <c r="Y801" i="8"/>
  <c r="C830" i="6"/>
  <c r="R801" i="8"/>
  <c r="A814" i="7" s="1"/>
  <c r="S801" i="8"/>
  <c r="B830" i="6"/>
  <c r="Q801" i="8"/>
  <c r="A830" i="6"/>
  <c r="AE801" i="8"/>
  <c r="I829" i="6"/>
  <c r="C813" i="7"/>
  <c r="AC800" i="8"/>
  <c r="G829" i="6"/>
  <c r="AA800" i="8"/>
  <c r="F829" i="6"/>
  <c r="Z800" i="8"/>
  <c r="T800" i="8"/>
  <c r="D829" i="6" s="1"/>
  <c r="U800" i="8"/>
  <c r="C829" i="6"/>
  <c r="Y800" i="8"/>
  <c r="B829" i="6"/>
  <c r="R800" i="8"/>
  <c r="A813" i="7" s="1"/>
  <c r="S800" i="8"/>
  <c r="Q800" i="8"/>
  <c r="A829" i="6"/>
  <c r="AE800" i="8"/>
  <c r="AC799" i="8"/>
  <c r="I828" i="6"/>
  <c r="C812" i="7"/>
  <c r="AA799" i="8"/>
  <c r="G828" i="6"/>
  <c r="Z799" i="8"/>
  <c r="F828" i="6"/>
  <c r="U799" i="8"/>
  <c r="T799" i="8"/>
  <c r="D828" i="6" s="1"/>
  <c r="C828" i="6"/>
  <c r="Y799" i="8"/>
  <c r="R799" i="8"/>
  <c r="A812" i="7" s="1"/>
  <c r="B828" i="6"/>
  <c r="S799" i="8"/>
  <c r="Q799" i="8"/>
  <c r="AE799" i="8"/>
  <c r="A828" i="6"/>
  <c r="AC798" i="8"/>
  <c r="I827" i="6"/>
  <c r="C811" i="7"/>
  <c r="AA798" i="8"/>
  <c r="G827" i="6"/>
  <c r="F827" i="6"/>
  <c r="Z798" i="8"/>
  <c r="U798" i="8"/>
  <c r="T798" i="8"/>
  <c r="D827" i="6" s="1"/>
  <c r="C827" i="6"/>
  <c r="Y798" i="8"/>
  <c r="B827" i="6"/>
  <c r="S798" i="8"/>
  <c r="R798" i="8"/>
  <c r="A811" i="7" s="1"/>
  <c r="A827" i="6"/>
  <c r="AE798" i="8"/>
  <c r="Q798" i="8"/>
  <c r="I826" i="6"/>
  <c r="C810" i="7"/>
  <c r="AC797" i="8"/>
  <c r="G826" i="6"/>
  <c r="AA797" i="8"/>
  <c r="Z797" i="8"/>
  <c r="F826" i="6"/>
  <c r="U797" i="8"/>
  <c r="T797" i="8"/>
  <c r="D826" i="6" s="1"/>
  <c r="C826" i="6"/>
  <c r="Y797" i="8"/>
  <c r="S797" i="8"/>
  <c r="R797" i="8"/>
  <c r="A810" i="7" s="1"/>
  <c r="B826" i="6"/>
  <c r="Q797" i="8"/>
  <c r="A826" i="6"/>
  <c r="AE797" i="8"/>
  <c r="I825" i="6"/>
  <c r="C809" i="7"/>
  <c r="AC796" i="8"/>
  <c r="G825" i="6"/>
  <c r="AA796" i="8"/>
  <c r="F825" i="6"/>
  <c r="Z796" i="8"/>
  <c r="U796" i="8"/>
  <c r="T796" i="8"/>
  <c r="D825" i="6" s="1"/>
  <c r="C825" i="6"/>
  <c r="Y796" i="8"/>
  <c r="B825" i="6"/>
  <c r="R796" i="8"/>
  <c r="A809" i="7" s="1"/>
  <c r="S796" i="8"/>
  <c r="AE796" i="8"/>
  <c r="Q796" i="8"/>
  <c r="A825" i="6"/>
  <c r="C808" i="7"/>
  <c r="AC795" i="8"/>
  <c r="I824" i="6"/>
  <c r="G824" i="6"/>
  <c r="AA795" i="8"/>
  <c r="Z795" i="8"/>
  <c r="F824" i="6"/>
  <c r="U795" i="8"/>
  <c r="T795" i="8"/>
  <c r="D824" i="6" s="1"/>
  <c r="Y795" i="8"/>
  <c r="C824" i="6"/>
  <c r="R795" i="8"/>
  <c r="A808" i="7" s="1"/>
  <c r="S795" i="8"/>
  <c r="B824" i="6"/>
  <c r="AE795" i="8"/>
  <c r="Q795" i="8"/>
  <c r="A824" i="6"/>
  <c r="AC794" i="8"/>
  <c r="I823" i="6"/>
  <c r="C807" i="7"/>
  <c r="AA794" i="8"/>
  <c r="G823" i="6"/>
  <c r="F823" i="6"/>
  <c r="Z794" i="8"/>
  <c r="U794" i="8"/>
  <c r="T794" i="8"/>
  <c r="D823" i="6" s="1"/>
  <c r="C823" i="6"/>
  <c r="Y794" i="8"/>
  <c r="R794" i="8"/>
  <c r="A807" i="7" s="1"/>
  <c r="B823" i="6"/>
  <c r="S794" i="8"/>
  <c r="AE794" i="8"/>
  <c r="A823" i="6"/>
  <c r="Q794" i="8"/>
  <c r="C806" i="7"/>
  <c r="AC793" i="8"/>
  <c r="I822" i="6"/>
  <c r="G822" i="6"/>
  <c r="AA793" i="8"/>
  <c r="Z793" i="8"/>
  <c r="F822" i="6"/>
  <c r="U793" i="8"/>
  <c r="T793" i="8"/>
  <c r="D822" i="6" s="1"/>
  <c r="Y793" i="8"/>
  <c r="C822" i="6"/>
  <c r="S793" i="8"/>
  <c r="R793" i="8"/>
  <c r="A806" i="7" s="1"/>
  <c r="B822" i="6"/>
  <c r="AE793" i="8"/>
  <c r="Q793" i="8"/>
  <c r="A822" i="6"/>
  <c r="AC792" i="8"/>
  <c r="I821" i="6"/>
  <c r="C805" i="7"/>
  <c r="G821" i="6"/>
  <c r="AA792" i="8"/>
  <c r="Z792" i="8"/>
  <c r="F821" i="6"/>
  <c r="U792" i="8"/>
  <c r="T792" i="8"/>
  <c r="D821" i="6" s="1"/>
  <c r="C821" i="6"/>
  <c r="Y792" i="8"/>
  <c r="B821" i="6"/>
  <c r="S792" i="8"/>
  <c r="R792" i="8"/>
  <c r="A805" i="7" s="1"/>
  <c r="AE792" i="8"/>
  <c r="Q792" i="8"/>
  <c r="A821" i="6"/>
  <c r="AC791" i="8"/>
  <c r="C804" i="7"/>
  <c r="I820" i="6"/>
  <c r="AA791" i="8"/>
  <c r="G820" i="6"/>
  <c r="Z791" i="8"/>
  <c r="F820" i="6"/>
  <c r="U791" i="8"/>
  <c r="T791" i="8"/>
  <c r="D820" i="6" s="1"/>
  <c r="C820" i="6"/>
  <c r="Y791" i="8"/>
  <c r="S791" i="8"/>
  <c r="R791" i="8"/>
  <c r="A804" i="7" s="1"/>
  <c r="B820" i="6"/>
  <c r="AE791" i="8"/>
  <c r="Q791" i="8"/>
  <c r="A820" i="6"/>
  <c r="C803" i="7"/>
  <c r="AC790" i="8"/>
  <c r="I819" i="6"/>
  <c r="AA790" i="8"/>
  <c r="G819" i="6"/>
  <c r="F819" i="6"/>
  <c r="Z790" i="8"/>
  <c r="T790" i="8"/>
  <c r="D819" i="6" s="1"/>
  <c r="U790" i="8"/>
  <c r="Y790" i="8"/>
  <c r="C819" i="6"/>
  <c r="R790" i="8"/>
  <c r="A803" i="7" s="1"/>
  <c r="S790" i="8"/>
  <c r="B819" i="6"/>
  <c r="Q790" i="8"/>
  <c r="AE790" i="8"/>
  <c r="A819" i="6"/>
  <c r="C802" i="7"/>
  <c r="AC789" i="8"/>
  <c r="I818" i="6"/>
  <c r="AA789" i="8"/>
  <c r="G818" i="6"/>
  <c r="Z789" i="8"/>
  <c r="F818" i="6"/>
  <c r="U789" i="8"/>
  <c r="T789" i="8"/>
  <c r="D818" i="6" s="1"/>
  <c r="Y789" i="8"/>
  <c r="C818" i="6"/>
  <c r="S789" i="8"/>
  <c r="R789" i="8"/>
  <c r="A802" i="7" s="1"/>
  <c r="B818" i="6"/>
  <c r="AE789" i="8"/>
  <c r="Q789" i="8"/>
  <c r="A818" i="6"/>
  <c r="AC788" i="8"/>
  <c r="C801" i="7"/>
  <c r="I817" i="6"/>
  <c r="G817" i="6"/>
  <c r="AA788" i="8"/>
  <c r="F817" i="6"/>
  <c r="Z788" i="8"/>
  <c r="U788" i="8"/>
  <c r="T788" i="8"/>
  <c r="D817" i="6" s="1"/>
  <c r="Y788" i="8"/>
  <c r="C817" i="6"/>
  <c r="R788" i="8"/>
  <c r="A801" i="7" s="1"/>
  <c r="S788" i="8"/>
  <c r="B817" i="6"/>
  <c r="Q788" i="8"/>
  <c r="AE788" i="8"/>
  <c r="A817" i="6"/>
  <c r="AC787" i="8"/>
  <c r="I816" i="6"/>
  <c r="C800" i="7"/>
  <c r="AA787" i="8"/>
  <c r="G816" i="6"/>
  <c r="Z787" i="8"/>
  <c r="F816" i="6"/>
  <c r="T787" i="8"/>
  <c r="D816" i="6" s="1"/>
  <c r="U787" i="8"/>
  <c r="Y787" i="8"/>
  <c r="C816" i="6"/>
  <c r="R787" i="8"/>
  <c r="A800" i="7" s="1"/>
  <c r="S787" i="8"/>
  <c r="B816" i="6"/>
  <c r="AE787" i="8"/>
  <c r="A816" i="6"/>
  <c r="Q787" i="8"/>
  <c r="C799" i="7"/>
  <c r="I815" i="6"/>
  <c r="AC786" i="8"/>
  <c r="G815" i="6"/>
  <c r="AA786" i="8"/>
  <c r="F815" i="6"/>
  <c r="Z786" i="8"/>
  <c r="T786" i="8"/>
  <c r="D815" i="6" s="1"/>
  <c r="U786" i="8"/>
  <c r="Y786" i="8"/>
  <c r="C815" i="6"/>
  <c r="S786" i="8"/>
  <c r="R786" i="8"/>
  <c r="A799" i="7" s="1"/>
  <c r="B815" i="6"/>
  <c r="Q786" i="8"/>
  <c r="AE786" i="8"/>
  <c r="A815" i="6"/>
  <c r="C798" i="7"/>
  <c r="AC785" i="8"/>
  <c r="I814" i="6"/>
  <c r="G814" i="6"/>
  <c r="AA785" i="8"/>
  <c r="F814" i="6"/>
  <c r="Z785" i="8"/>
  <c r="U785" i="8"/>
  <c r="T785" i="8"/>
  <c r="D814" i="6" s="1"/>
  <c r="C814" i="6"/>
  <c r="Y785" i="8"/>
  <c r="R785" i="8"/>
  <c r="A798" i="7" s="1"/>
  <c r="S785" i="8"/>
  <c r="B814" i="6"/>
  <c r="Q785" i="8"/>
  <c r="A814" i="6"/>
  <c r="AE785" i="8"/>
  <c r="C797" i="7"/>
  <c r="AC784" i="8"/>
  <c r="I813" i="6"/>
  <c r="AA784" i="8"/>
  <c r="G813" i="6"/>
  <c r="Z784" i="8"/>
  <c r="F813" i="6"/>
  <c r="U784" i="8"/>
  <c r="T784" i="8"/>
  <c r="D813" i="6" s="1"/>
  <c r="C813" i="6"/>
  <c r="Y784" i="8"/>
  <c r="B813" i="6"/>
  <c r="S784" i="8"/>
  <c r="R784" i="8"/>
  <c r="A797" i="7" s="1"/>
  <c r="A813" i="6"/>
  <c r="AE784" i="8"/>
  <c r="Q784" i="8"/>
  <c r="I812" i="6"/>
  <c r="C796" i="7"/>
  <c r="AC783" i="8"/>
  <c r="G812" i="6"/>
  <c r="AA783" i="8"/>
  <c r="F812" i="6"/>
  <c r="Z783" i="8"/>
  <c r="U783" i="8"/>
  <c r="T783" i="8"/>
  <c r="D812" i="6" s="1"/>
  <c r="Y783" i="8"/>
  <c r="C812" i="6"/>
  <c r="B812" i="6"/>
  <c r="R783" i="8"/>
  <c r="A796" i="7" s="1"/>
  <c r="S783" i="8"/>
  <c r="AE783" i="8"/>
  <c r="Q783" i="8"/>
  <c r="A812" i="6"/>
  <c r="AC782" i="8"/>
  <c r="I811" i="6"/>
  <c r="C795" i="7"/>
  <c r="AA782" i="8"/>
  <c r="G811" i="6"/>
  <c r="F811" i="6"/>
  <c r="Z782" i="8"/>
  <c r="U782" i="8"/>
  <c r="T782" i="8"/>
  <c r="D811" i="6" s="1"/>
  <c r="Y782" i="8"/>
  <c r="C811" i="6"/>
  <c r="S782" i="8"/>
  <c r="R782" i="8"/>
  <c r="A795" i="7" s="1"/>
  <c r="B811" i="6"/>
  <c r="A811" i="6"/>
  <c r="Q782" i="8"/>
  <c r="AE782" i="8"/>
  <c r="I810" i="6"/>
  <c r="AC781" i="8"/>
  <c r="C794" i="7"/>
  <c r="AA781" i="8"/>
  <c r="G810" i="6"/>
  <c r="Z781" i="8"/>
  <c r="F810" i="6"/>
  <c r="U781" i="8"/>
  <c r="T781" i="8"/>
  <c r="D810" i="6" s="1"/>
  <c r="Y781" i="8"/>
  <c r="C810" i="6"/>
  <c r="S781" i="8"/>
  <c r="R781" i="8"/>
  <c r="A794" i="7" s="1"/>
  <c r="B810" i="6"/>
  <c r="Q781" i="8"/>
  <c r="AE781" i="8"/>
  <c r="A810" i="6"/>
  <c r="AC780" i="8"/>
  <c r="C793" i="7"/>
  <c r="I809" i="6"/>
  <c r="AA780" i="8"/>
  <c r="G809" i="6"/>
  <c r="Z780" i="8"/>
  <c r="F809" i="6"/>
  <c r="U780" i="8"/>
  <c r="T780" i="8"/>
  <c r="D809" i="6" s="1"/>
  <c r="C809" i="6"/>
  <c r="Y780" i="8"/>
  <c r="S780" i="8"/>
  <c r="R780" i="8"/>
  <c r="A793" i="7" s="1"/>
  <c r="B809" i="6"/>
  <c r="Q780" i="8"/>
  <c r="A809" i="6"/>
  <c r="AE780" i="8"/>
  <c r="C792" i="7"/>
  <c r="AC779" i="8"/>
  <c r="I808" i="6"/>
  <c r="AA779" i="8"/>
  <c r="G808" i="6"/>
  <c r="F808" i="6"/>
  <c r="Z779" i="8"/>
  <c r="T779" i="8"/>
  <c r="D808" i="6" s="1"/>
  <c r="U779" i="8"/>
  <c r="C808" i="6"/>
  <c r="Y779" i="8"/>
  <c r="B808" i="6"/>
  <c r="R779" i="8"/>
  <c r="A792" i="7" s="1"/>
  <c r="S779" i="8"/>
  <c r="A808" i="6"/>
  <c r="Q779" i="8"/>
  <c r="AE779" i="8"/>
  <c r="I807" i="6"/>
  <c r="C791" i="7"/>
  <c r="AC778" i="8"/>
  <c r="AA778" i="8"/>
  <c r="G807" i="6"/>
  <c r="F807" i="6"/>
  <c r="Z778" i="8"/>
  <c r="U778" i="8"/>
  <c r="T778" i="8"/>
  <c r="D807" i="6" s="1"/>
  <c r="Y778" i="8"/>
  <c r="C807" i="6"/>
  <c r="R778" i="8"/>
  <c r="A791" i="7" s="1"/>
  <c r="B807" i="6"/>
  <c r="S778" i="8"/>
  <c r="AE778" i="8"/>
  <c r="Q778" i="8"/>
  <c r="A807" i="6"/>
  <c r="AC777" i="8"/>
  <c r="C790" i="7"/>
  <c r="I806" i="6"/>
  <c r="G806" i="6"/>
  <c r="AA777" i="8"/>
  <c r="Z777" i="8"/>
  <c r="F806" i="6"/>
  <c r="T777" i="8"/>
  <c r="D806" i="6" s="1"/>
  <c r="U777" i="8"/>
  <c r="Y777" i="8"/>
  <c r="C806" i="6"/>
  <c r="B806" i="6"/>
  <c r="S777" i="8"/>
  <c r="R777" i="8"/>
  <c r="A790" i="7" s="1"/>
  <c r="Q777" i="8"/>
  <c r="AE777" i="8"/>
  <c r="A806" i="6"/>
  <c r="I805" i="6"/>
  <c r="C789" i="7"/>
  <c r="AC776" i="8"/>
  <c r="AA776" i="8"/>
  <c r="G805" i="6"/>
  <c r="Z776" i="8"/>
  <c r="F805" i="6"/>
  <c r="T776" i="8"/>
  <c r="D805" i="6" s="1"/>
  <c r="U776" i="8"/>
  <c r="Y776" i="8"/>
  <c r="C805" i="6"/>
  <c r="B805" i="6"/>
  <c r="R776" i="8"/>
  <c r="A789" i="7" s="1"/>
  <c r="S776" i="8"/>
  <c r="A805" i="6"/>
  <c r="Q776" i="8"/>
  <c r="AE776" i="8"/>
  <c r="I804" i="6"/>
  <c r="C788" i="7"/>
  <c r="AC775" i="8"/>
  <c r="AA775" i="8"/>
  <c r="G804" i="6"/>
  <c r="F804" i="6"/>
  <c r="Z775" i="8"/>
  <c r="T775" i="8"/>
  <c r="D804" i="6" s="1"/>
  <c r="U775" i="8"/>
  <c r="C804" i="6"/>
  <c r="Y775" i="8"/>
  <c r="S775" i="8"/>
  <c r="B804" i="6"/>
  <c r="R775" i="8"/>
  <c r="A788" i="7" s="1"/>
  <c r="A804" i="6"/>
  <c r="AE775" i="8"/>
  <c r="Q775" i="8"/>
  <c r="C787" i="7"/>
  <c r="I803" i="6"/>
  <c r="AC774" i="8"/>
  <c r="G803" i="6"/>
  <c r="AA774" i="8"/>
  <c r="F803" i="6"/>
  <c r="Z774" i="8"/>
  <c r="T774" i="8"/>
  <c r="D803" i="6" s="1"/>
  <c r="U774" i="8"/>
  <c r="C803" i="6"/>
  <c r="Y774" i="8"/>
  <c r="S774" i="8"/>
  <c r="B803" i="6"/>
  <c r="R774" i="8"/>
  <c r="A787" i="7" s="1"/>
  <c r="Q774" i="8"/>
  <c r="A803" i="6"/>
  <c r="AE774" i="8"/>
  <c r="AC773" i="8"/>
  <c r="I802" i="6"/>
  <c r="C786" i="7"/>
  <c r="AA773" i="8"/>
  <c r="G802" i="6"/>
  <c r="Z773" i="8"/>
  <c r="F802" i="6"/>
  <c r="U773" i="8"/>
  <c r="T773" i="8"/>
  <c r="D802" i="6" s="1"/>
  <c r="Y773" i="8"/>
  <c r="C802" i="6"/>
  <c r="B802" i="6"/>
  <c r="S773" i="8"/>
  <c r="R773" i="8"/>
  <c r="A786" i="7" s="1"/>
  <c r="AE773" i="8"/>
  <c r="A802" i="6"/>
  <c r="Q773" i="8"/>
  <c r="I801" i="6"/>
  <c r="C785" i="7"/>
  <c r="AC772" i="8"/>
  <c r="AA772" i="8"/>
  <c r="G801" i="6"/>
  <c r="Z772" i="8"/>
  <c r="F801" i="6"/>
  <c r="U772" i="8"/>
  <c r="T772" i="8"/>
  <c r="D801" i="6" s="1"/>
  <c r="Y772" i="8"/>
  <c r="C801" i="6"/>
  <c r="B801" i="6"/>
  <c r="R772" i="8"/>
  <c r="A785" i="7" s="1"/>
  <c r="S772" i="8"/>
  <c r="AE772" i="8"/>
  <c r="A801" i="6"/>
  <c r="Q772" i="8"/>
  <c r="I800" i="6"/>
  <c r="C784" i="7"/>
  <c r="AC771" i="8"/>
  <c r="G800" i="6"/>
  <c r="AA771" i="8"/>
  <c r="F800" i="6"/>
  <c r="Z771" i="8"/>
  <c r="T771" i="8"/>
  <c r="D800" i="6" s="1"/>
  <c r="U771" i="8"/>
  <c r="C800" i="6"/>
  <c r="Y771" i="8"/>
  <c r="B800" i="6"/>
  <c r="R771" i="8"/>
  <c r="A784" i="7" s="1"/>
  <c r="S771" i="8"/>
  <c r="AE771" i="8"/>
  <c r="Q771" i="8"/>
  <c r="A800" i="6"/>
  <c r="I799" i="6"/>
  <c r="C783" i="7"/>
  <c r="AC770" i="8"/>
  <c r="G799" i="6"/>
  <c r="AA770" i="8"/>
  <c r="F799" i="6"/>
  <c r="Z770" i="8"/>
  <c r="U770" i="8"/>
  <c r="T770" i="8"/>
  <c r="D799" i="6" s="1"/>
  <c r="Y770" i="8"/>
  <c r="C799" i="6"/>
  <c r="S770" i="8"/>
  <c r="R770" i="8"/>
  <c r="A783" i="7" s="1"/>
  <c r="B799" i="6"/>
  <c r="A799" i="6"/>
  <c r="Q770" i="8"/>
  <c r="AE770" i="8"/>
  <c r="AC769" i="8"/>
  <c r="I798" i="6"/>
  <c r="C782" i="7"/>
  <c r="G798" i="6"/>
  <c r="AA769" i="8"/>
  <c r="Z769" i="8"/>
  <c r="F798" i="6"/>
  <c r="U769" i="8"/>
  <c r="T769" i="8"/>
  <c r="D798" i="6" s="1"/>
  <c r="C798" i="6"/>
  <c r="Y769" i="8"/>
  <c r="B798" i="6"/>
  <c r="R769" i="8"/>
  <c r="A782" i="7" s="1"/>
  <c r="S769" i="8"/>
  <c r="Q769" i="8"/>
  <c r="A798" i="6"/>
  <c r="AE769" i="8"/>
  <c r="I797" i="6"/>
  <c r="AC768" i="8"/>
  <c r="C781" i="7"/>
  <c r="G797" i="6"/>
  <c r="AA768" i="8"/>
  <c r="F797" i="6"/>
  <c r="Z768" i="8"/>
  <c r="U768" i="8"/>
  <c r="T768" i="8"/>
  <c r="D797" i="6" s="1"/>
  <c r="C797" i="6"/>
  <c r="Y768" i="8"/>
  <c r="R768" i="8"/>
  <c r="A781" i="7" s="1"/>
  <c r="S768" i="8"/>
  <c r="B797" i="6"/>
  <c r="Q768" i="8"/>
  <c r="AE768" i="8"/>
  <c r="A797" i="6"/>
  <c r="C780" i="7"/>
  <c r="I796" i="6"/>
  <c r="AC767" i="8"/>
  <c r="G796" i="6"/>
  <c r="AA767" i="8"/>
  <c r="F796" i="6"/>
  <c r="Z767" i="8"/>
  <c r="T767" i="8"/>
  <c r="D796" i="6" s="1"/>
  <c r="U767" i="8"/>
  <c r="C796" i="6"/>
  <c r="Y767" i="8"/>
  <c r="R767" i="8"/>
  <c r="A780" i="7" s="1"/>
  <c r="S767" i="8"/>
  <c r="B796" i="6"/>
  <c r="Q767" i="8"/>
  <c r="A796" i="6"/>
  <c r="AE767" i="8"/>
  <c r="I795" i="6"/>
  <c r="C779" i="7"/>
  <c r="AC766" i="8"/>
  <c r="AA766" i="8"/>
  <c r="G795" i="6"/>
  <c r="Z766" i="8"/>
  <c r="F795" i="6"/>
  <c r="T766" i="8"/>
  <c r="D795" i="6" s="1"/>
  <c r="U766" i="8"/>
  <c r="Y766" i="8"/>
  <c r="C795" i="6"/>
  <c r="S766" i="8"/>
  <c r="B795" i="6"/>
  <c r="R766" i="8"/>
  <c r="A779" i="7" s="1"/>
  <c r="A795" i="6"/>
  <c r="AE766" i="8"/>
  <c r="Q766" i="8"/>
  <c r="I794" i="6"/>
  <c r="C778" i="7"/>
  <c r="AC765" i="8"/>
  <c r="AA765" i="8"/>
  <c r="G794" i="6"/>
  <c r="F794" i="6"/>
  <c r="Z765" i="8"/>
  <c r="T765" i="8"/>
  <c r="D794" i="6" s="1"/>
  <c r="U765" i="8"/>
  <c r="Y765" i="8"/>
  <c r="C794" i="6"/>
  <c r="S765" i="8"/>
  <c r="B794" i="6"/>
  <c r="R765" i="8"/>
  <c r="A778" i="7" s="1"/>
  <c r="Q765" i="8"/>
  <c r="A794" i="6"/>
  <c r="AE765" i="8"/>
  <c r="I793" i="6"/>
  <c r="AC764" i="8"/>
  <c r="C777" i="7"/>
  <c r="G793" i="6"/>
  <c r="AA764" i="8"/>
  <c r="F793" i="6"/>
  <c r="Z764" i="8"/>
  <c r="T764" i="8"/>
  <c r="D793" i="6" s="1"/>
  <c r="U764" i="8"/>
  <c r="Y764" i="8"/>
  <c r="C793" i="6"/>
  <c r="R764" i="8"/>
  <c r="A777" i="7" s="1"/>
  <c r="S764" i="8"/>
  <c r="B793" i="6"/>
  <c r="Q764" i="8"/>
  <c r="AE764" i="8"/>
  <c r="A793" i="6"/>
  <c r="V763" i="8"/>
  <c r="AB763" i="8"/>
  <c r="S763" i="8"/>
  <c r="R763" i="8"/>
  <c r="A776" i="7" s="1"/>
  <c r="I791" i="6"/>
  <c r="AC762" i="8"/>
  <c r="AA762" i="8"/>
  <c r="G791" i="6"/>
  <c r="F791" i="6"/>
  <c r="Z762" i="8"/>
  <c r="U762" i="8"/>
  <c r="T762" i="8"/>
  <c r="D791" i="6" s="1"/>
  <c r="C791" i="6"/>
  <c r="Y762" i="8"/>
  <c r="B791" i="6"/>
  <c r="R762" i="8"/>
  <c r="A775" i="7" s="1"/>
  <c r="S762" i="8"/>
  <c r="Q762" i="8"/>
  <c r="A791" i="6"/>
  <c r="AE762" i="8"/>
  <c r="AC761" i="8"/>
  <c r="I790" i="6"/>
  <c r="AA761" i="8"/>
  <c r="G790" i="6"/>
  <c r="Z761" i="8"/>
  <c r="F790" i="6"/>
  <c r="U761" i="8"/>
  <c r="T761" i="8"/>
  <c r="D790" i="6" s="1"/>
  <c r="C790" i="6"/>
  <c r="Y761" i="8"/>
  <c r="R761" i="8"/>
  <c r="A774" i="7" s="1"/>
  <c r="B790" i="6"/>
  <c r="S761" i="8"/>
  <c r="A790" i="6"/>
  <c r="AE761" i="8"/>
  <c r="Q761" i="8"/>
  <c r="AC760" i="8"/>
  <c r="I789" i="6"/>
  <c r="AA760" i="8"/>
  <c r="G789" i="6"/>
  <c r="Z760" i="8"/>
  <c r="F789" i="6"/>
  <c r="T760" i="8"/>
  <c r="D789" i="6" s="1"/>
  <c r="U760" i="8"/>
  <c r="Y760" i="8"/>
  <c r="C789" i="6"/>
  <c r="R760" i="8"/>
  <c r="A773" i="7" s="1"/>
  <c r="S760" i="8"/>
  <c r="B789" i="6"/>
  <c r="Q760" i="8"/>
  <c r="AE760" i="8"/>
  <c r="A789" i="6"/>
  <c r="I788" i="6"/>
  <c r="AC759" i="8"/>
  <c r="AA759" i="8"/>
  <c r="G788" i="6"/>
  <c r="F788" i="6"/>
  <c r="Z759" i="8"/>
  <c r="T759" i="8"/>
  <c r="D788" i="6" s="1"/>
  <c r="U759" i="8"/>
  <c r="C788" i="6"/>
  <c r="Y759" i="8"/>
  <c r="B788" i="6"/>
  <c r="R759" i="8"/>
  <c r="A772" i="7" s="1"/>
  <c r="S759" i="8"/>
  <c r="A788" i="6"/>
  <c r="Q759" i="8"/>
  <c r="AE759" i="8"/>
  <c r="AC758" i="8"/>
  <c r="I787" i="6"/>
  <c r="AA758" i="8"/>
  <c r="G787" i="6"/>
  <c r="F787" i="6"/>
  <c r="Z758" i="8"/>
  <c r="T758" i="8"/>
  <c r="D787" i="6" s="1"/>
  <c r="U758" i="8"/>
  <c r="C787" i="6"/>
  <c r="Y758" i="8"/>
  <c r="B787" i="6"/>
  <c r="S758" i="8"/>
  <c r="R758" i="8"/>
  <c r="A771" i="7" s="1"/>
  <c r="AE758" i="8"/>
  <c r="A787" i="6"/>
  <c r="Q758" i="8"/>
  <c r="AC757" i="8"/>
  <c r="I786" i="6"/>
  <c r="G786" i="6"/>
  <c r="AA757" i="8"/>
  <c r="Z757" i="8"/>
  <c r="F786" i="6"/>
  <c r="T757" i="8"/>
  <c r="D786" i="6" s="1"/>
  <c r="U757" i="8"/>
  <c r="Y757" i="8"/>
  <c r="C786" i="6"/>
  <c r="B786" i="6"/>
  <c r="S757" i="8"/>
  <c r="R757" i="8"/>
  <c r="A770" i="7" s="1"/>
  <c r="AE757" i="8"/>
  <c r="A786" i="6"/>
  <c r="Q757" i="8"/>
  <c r="AC756" i="8"/>
  <c r="I785" i="6"/>
  <c r="AA756" i="8"/>
  <c r="G785" i="6"/>
  <c r="Z756" i="8"/>
  <c r="F785" i="6"/>
  <c r="T756" i="8"/>
  <c r="D785" i="6" s="1"/>
  <c r="U756" i="8"/>
  <c r="Y756" i="8"/>
  <c r="C785" i="6"/>
  <c r="R756" i="8"/>
  <c r="A769" i="7" s="1"/>
  <c r="S756" i="8"/>
  <c r="B785" i="6"/>
  <c r="Q756" i="8"/>
  <c r="AE756" i="8"/>
  <c r="A785" i="6"/>
  <c r="AC755" i="8"/>
  <c r="I784" i="6"/>
  <c r="G784" i="6"/>
  <c r="AA755" i="8"/>
  <c r="Z755" i="8"/>
  <c r="F784" i="6"/>
  <c r="U755" i="8"/>
  <c r="T755" i="8"/>
  <c r="D784" i="6" s="1"/>
  <c r="C784" i="6"/>
  <c r="Y755" i="8"/>
  <c r="B784" i="6"/>
  <c r="R755" i="8"/>
  <c r="A768" i="7" s="1"/>
  <c r="S755" i="8"/>
  <c r="A784" i="6"/>
  <c r="AE755" i="8"/>
  <c r="Q755" i="8"/>
  <c r="AC754" i="8"/>
  <c r="I783" i="6"/>
  <c r="AA754" i="8"/>
  <c r="G783" i="6"/>
  <c r="F783" i="6"/>
  <c r="Z754" i="8"/>
  <c r="U754" i="8"/>
  <c r="T754" i="8"/>
  <c r="D783" i="6" s="1"/>
  <c r="Y754" i="8"/>
  <c r="C783" i="6"/>
  <c r="S754" i="8"/>
  <c r="B783" i="6"/>
  <c r="R754" i="8"/>
  <c r="A767" i="7" s="1"/>
  <c r="A783" i="6"/>
  <c r="AE754" i="8"/>
  <c r="Q754" i="8"/>
  <c r="AC753" i="8"/>
  <c r="I782" i="6"/>
  <c r="G782" i="6"/>
  <c r="AA753" i="8"/>
  <c r="F782" i="6"/>
  <c r="Z753" i="8"/>
  <c r="T753" i="8"/>
  <c r="D782" i="6" s="1"/>
  <c r="U753" i="8"/>
  <c r="Y753" i="8"/>
  <c r="C782" i="6"/>
  <c r="B782" i="6"/>
  <c r="S753" i="8"/>
  <c r="R753" i="8"/>
  <c r="A766" i="7" s="1"/>
  <c r="AE753" i="8"/>
  <c r="Q753" i="8"/>
  <c r="A782" i="6"/>
  <c r="AC752" i="8"/>
  <c r="I781" i="6"/>
  <c r="G781" i="6"/>
  <c r="AA752" i="8"/>
  <c r="F781" i="6"/>
  <c r="Z752" i="8"/>
  <c r="U752" i="8"/>
  <c r="T752" i="8"/>
  <c r="D781" i="6" s="1"/>
  <c r="C781" i="6"/>
  <c r="Y752" i="8"/>
  <c r="S752" i="8"/>
  <c r="B781" i="6"/>
  <c r="R752" i="8"/>
  <c r="A765" i="7" s="1"/>
  <c r="AE752" i="8"/>
  <c r="A781" i="6"/>
  <c r="Q752" i="8"/>
  <c r="I780" i="6"/>
  <c r="AC751" i="8"/>
  <c r="G780" i="6"/>
  <c r="AA751" i="8"/>
  <c r="F780" i="6"/>
  <c r="Z751" i="8"/>
  <c r="T751" i="8"/>
  <c r="D780" i="6" s="1"/>
  <c r="U751" i="8"/>
  <c r="C780" i="6"/>
  <c r="Y751" i="8"/>
  <c r="B780" i="6"/>
  <c r="S751" i="8"/>
  <c r="R751" i="8"/>
  <c r="A764" i="7" s="1"/>
  <c r="Q751" i="8"/>
  <c r="A780" i="6"/>
  <c r="AE751" i="8"/>
  <c r="I779" i="6"/>
  <c r="AC750" i="8"/>
  <c r="AA750" i="8"/>
  <c r="G779" i="6"/>
  <c r="Z750" i="8"/>
  <c r="F779" i="6"/>
  <c r="T750" i="8"/>
  <c r="D779" i="6" s="1"/>
  <c r="U750" i="8"/>
  <c r="Y750" i="8"/>
  <c r="C779" i="6"/>
  <c r="R750" i="8"/>
  <c r="A763" i="7" s="1"/>
  <c r="S750" i="8"/>
  <c r="B779" i="6"/>
  <c r="A779" i="6"/>
  <c r="Q750" i="8"/>
  <c r="AE750" i="8"/>
  <c r="AC749" i="8"/>
  <c r="I778" i="6"/>
  <c r="G778" i="6"/>
  <c r="AA749" i="8"/>
  <c r="Z749" i="8"/>
  <c r="F778" i="6"/>
  <c r="U749" i="8"/>
  <c r="T749" i="8"/>
  <c r="D778" i="6" s="1"/>
  <c r="C778" i="6"/>
  <c r="Y749" i="8"/>
  <c r="B778" i="6"/>
  <c r="S749" i="8"/>
  <c r="R749" i="8"/>
  <c r="A762" i="7" s="1"/>
  <c r="A778" i="6"/>
  <c r="Q749" i="8"/>
  <c r="AE749" i="8"/>
  <c r="I777" i="6"/>
  <c r="AC748" i="8"/>
  <c r="G777" i="6"/>
  <c r="AA748" i="8"/>
  <c r="F777" i="6"/>
  <c r="Z748" i="8"/>
  <c r="T748" i="8"/>
  <c r="D777" i="6" s="1"/>
  <c r="U748" i="8"/>
  <c r="C777" i="6"/>
  <c r="Y748" i="8"/>
  <c r="B777" i="6"/>
  <c r="S748" i="8"/>
  <c r="R748" i="8"/>
  <c r="A761" i="7" s="1"/>
  <c r="AE748" i="8"/>
  <c r="A777" i="6"/>
  <c r="Q748" i="8"/>
  <c r="I776" i="6"/>
  <c r="AC747" i="8"/>
  <c r="G776" i="6"/>
  <c r="AA747" i="8"/>
  <c r="Z747" i="8"/>
  <c r="F776" i="6"/>
  <c r="T747" i="8"/>
  <c r="D776" i="6" s="1"/>
  <c r="U747" i="8"/>
  <c r="C776" i="6"/>
  <c r="Y747" i="8"/>
  <c r="B776" i="6"/>
  <c r="R747" i="8"/>
  <c r="A760" i="7" s="1"/>
  <c r="S747" i="8"/>
  <c r="AE747" i="8"/>
  <c r="A776" i="6"/>
  <c r="Q747" i="8"/>
  <c r="AC746" i="8"/>
  <c r="I775" i="6"/>
  <c r="AA746" i="8"/>
  <c r="G775" i="6"/>
  <c r="F775" i="6"/>
  <c r="Z746" i="8"/>
  <c r="T746" i="8"/>
  <c r="D775" i="6" s="1"/>
  <c r="U746" i="8"/>
  <c r="C775" i="6"/>
  <c r="Y746" i="8"/>
  <c r="B775" i="6"/>
  <c r="S746" i="8"/>
  <c r="R746" i="8"/>
  <c r="A759" i="7" s="1"/>
  <c r="Q746" i="8"/>
  <c r="A775" i="6"/>
  <c r="AE746" i="8"/>
  <c r="I774" i="6"/>
  <c r="AC745" i="8"/>
  <c r="G774" i="6"/>
  <c r="AA745" i="8"/>
  <c r="Z745" i="8"/>
  <c r="F774" i="6"/>
  <c r="U745" i="8"/>
  <c r="T745" i="8"/>
  <c r="D774" i="6" s="1"/>
  <c r="Y745" i="8"/>
  <c r="C774" i="6"/>
  <c r="S745" i="8"/>
  <c r="R745" i="8"/>
  <c r="A758" i="7" s="1"/>
  <c r="B774" i="6"/>
  <c r="AE745" i="8"/>
  <c r="Q745" i="8"/>
  <c r="A774" i="6"/>
  <c r="AC744" i="8"/>
  <c r="I773" i="6"/>
  <c r="AA744" i="8"/>
  <c r="G773" i="6"/>
  <c r="F773" i="6"/>
  <c r="Z744" i="8"/>
  <c r="T744" i="8"/>
  <c r="D773" i="6" s="1"/>
  <c r="U744" i="8"/>
  <c r="C773" i="6"/>
  <c r="Y744" i="8"/>
  <c r="S744" i="8"/>
  <c r="B773" i="6"/>
  <c r="R744" i="8"/>
  <c r="A757" i="7" s="1"/>
  <c r="A773" i="6"/>
  <c r="AE744" i="8"/>
  <c r="Q744" i="8"/>
  <c r="I772" i="6"/>
  <c r="AC743" i="8"/>
  <c r="G772" i="6"/>
  <c r="AA743" i="8"/>
  <c r="F772" i="6"/>
  <c r="Z743" i="8"/>
  <c r="T743" i="8"/>
  <c r="D772" i="6" s="1"/>
  <c r="U743" i="8"/>
  <c r="Y743" i="8"/>
  <c r="C772" i="6"/>
  <c r="R743" i="8"/>
  <c r="A756" i="7" s="1"/>
  <c r="S743" i="8"/>
  <c r="B772" i="6"/>
  <c r="AE743" i="8"/>
  <c r="Q743" i="8"/>
  <c r="A772" i="6"/>
  <c r="AC742" i="8"/>
  <c r="I771" i="6"/>
  <c r="AA742" i="8"/>
  <c r="G771" i="6"/>
  <c r="F771" i="6"/>
  <c r="Z742" i="8"/>
  <c r="T742" i="8"/>
  <c r="D771" i="6" s="1"/>
  <c r="U742" i="8"/>
  <c r="C771" i="6"/>
  <c r="Y742" i="8"/>
  <c r="B771" i="6"/>
  <c r="R742" i="8"/>
  <c r="A755" i="7" s="1"/>
  <c r="S742" i="8"/>
  <c r="A771" i="6"/>
  <c r="Q742" i="8"/>
  <c r="AE742" i="8"/>
  <c r="I770" i="6"/>
  <c r="AC741" i="8"/>
  <c r="AA741" i="8"/>
  <c r="G770" i="6"/>
  <c r="F770" i="6"/>
  <c r="Z741" i="8"/>
  <c r="T741" i="8"/>
  <c r="D770" i="6" s="1"/>
  <c r="U741" i="8"/>
  <c r="C770" i="6"/>
  <c r="Y741" i="8"/>
  <c r="B770" i="6"/>
  <c r="R741" i="8"/>
  <c r="A754" i="7" s="1"/>
  <c r="S741" i="8"/>
  <c r="A770" i="6"/>
  <c r="Q741" i="8"/>
  <c r="AE741" i="8"/>
  <c r="AC740" i="8"/>
  <c r="I769" i="6"/>
  <c r="G769" i="6"/>
  <c r="AA740" i="8"/>
  <c r="Z740" i="8"/>
  <c r="F769" i="6"/>
  <c r="T740" i="8"/>
  <c r="D769" i="6" s="1"/>
  <c r="U740" i="8"/>
  <c r="Y740" i="8"/>
  <c r="C769" i="6"/>
  <c r="R740" i="8"/>
  <c r="A753" i="7" s="1"/>
  <c r="B769" i="6"/>
  <c r="S740" i="8"/>
  <c r="Q740" i="8"/>
  <c r="A769" i="6"/>
  <c r="AE740" i="8"/>
  <c r="I768" i="6"/>
  <c r="AC739" i="8"/>
  <c r="AA739" i="8"/>
  <c r="G768" i="6"/>
  <c r="F768" i="6"/>
  <c r="Z739" i="8"/>
  <c r="T739" i="8"/>
  <c r="D768" i="6" s="1"/>
  <c r="U739" i="8"/>
  <c r="C768" i="6"/>
  <c r="Y739" i="8"/>
  <c r="B768" i="6"/>
  <c r="R739" i="8"/>
  <c r="A752" i="7" s="1"/>
  <c r="S739" i="8"/>
  <c r="A768" i="6"/>
  <c r="Q739" i="8"/>
  <c r="AE739" i="8"/>
  <c r="I767" i="6"/>
  <c r="AC738" i="8"/>
  <c r="AA738" i="8"/>
  <c r="G767" i="6"/>
  <c r="F767" i="6"/>
  <c r="Z738" i="8"/>
  <c r="T738" i="8"/>
  <c r="D767" i="6" s="1"/>
  <c r="U738" i="8"/>
  <c r="Y738" i="8"/>
  <c r="C767" i="6"/>
  <c r="B767" i="6"/>
  <c r="R738" i="8"/>
  <c r="A751" i="7" s="1"/>
  <c r="S738" i="8"/>
  <c r="A767" i="6"/>
  <c r="Q738" i="8"/>
  <c r="AE738" i="8"/>
  <c r="AC737" i="8"/>
  <c r="I766" i="6"/>
  <c r="AA737" i="8"/>
  <c r="G766" i="6"/>
  <c r="F766" i="6"/>
  <c r="Z737" i="8"/>
  <c r="T737" i="8"/>
  <c r="D766" i="6" s="1"/>
  <c r="U737" i="8"/>
  <c r="C766" i="6"/>
  <c r="Y737" i="8"/>
  <c r="B766" i="6"/>
  <c r="R737" i="8"/>
  <c r="A750" i="7" s="1"/>
  <c r="S737" i="8"/>
  <c r="AE737" i="8"/>
  <c r="A766" i="6"/>
  <c r="Q737" i="8"/>
  <c r="AC736" i="8"/>
  <c r="I765" i="6"/>
  <c r="AA736" i="8"/>
  <c r="G765" i="6"/>
  <c r="F765" i="6"/>
  <c r="Z736" i="8"/>
  <c r="U736" i="8"/>
  <c r="T736" i="8"/>
  <c r="D765" i="6" s="1"/>
  <c r="C765" i="6"/>
  <c r="Y736" i="8"/>
  <c r="B765" i="6"/>
  <c r="R736" i="8"/>
  <c r="A749" i="7" s="1"/>
  <c r="S736" i="8"/>
  <c r="A765" i="6"/>
  <c r="AE736" i="8"/>
  <c r="Q736" i="8"/>
  <c r="I764" i="6"/>
  <c r="AC735" i="8"/>
  <c r="AA735" i="8"/>
  <c r="G764" i="6"/>
  <c r="Z735" i="8"/>
  <c r="F764" i="6"/>
  <c r="U735" i="8"/>
  <c r="T735" i="8"/>
  <c r="D764" i="6" s="1"/>
  <c r="C764" i="6"/>
  <c r="Y735" i="8"/>
  <c r="S735" i="8"/>
  <c r="R735" i="8"/>
  <c r="A748" i="7" s="1"/>
  <c r="B764" i="6"/>
  <c r="AE735" i="8"/>
  <c r="Q735" i="8"/>
  <c r="A764" i="6"/>
  <c r="AC734" i="8"/>
  <c r="I763" i="6"/>
  <c r="G763" i="6"/>
  <c r="AA734" i="8"/>
  <c r="F763" i="6"/>
  <c r="Z734" i="8"/>
  <c r="U734" i="8"/>
  <c r="T734" i="8"/>
  <c r="D763" i="6" s="1"/>
  <c r="C763" i="6"/>
  <c r="Y734" i="8"/>
  <c r="R734" i="8"/>
  <c r="A747" i="7" s="1"/>
  <c r="B763" i="6"/>
  <c r="S734" i="8"/>
  <c r="A763" i="6"/>
  <c r="AE734" i="8"/>
  <c r="Q734" i="8"/>
  <c r="AC733" i="8"/>
  <c r="I762" i="6"/>
  <c r="AA733" i="8"/>
  <c r="G762" i="6"/>
  <c r="Z733" i="8"/>
  <c r="F762" i="6"/>
  <c r="U733" i="8"/>
  <c r="T733" i="8"/>
  <c r="D762" i="6" s="1"/>
  <c r="Y733" i="8"/>
  <c r="C762" i="6"/>
  <c r="R733" i="8"/>
  <c r="A746" i="7" s="1"/>
  <c r="S733" i="8"/>
  <c r="B762" i="6"/>
  <c r="AE733" i="8"/>
  <c r="Q733" i="8"/>
  <c r="A762" i="6"/>
  <c r="I761" i="6"/>
  <c r="AC732" i="8"/>
  <c r="AA732" i="8"/>
  <c r="G761" i="6"/>
  <c r="Z732" i="8"/>
  <c r="F761" i="6"/>
  <c r="U732" i="8"/>
  <c r="T732" i="8"/>
  <c r="D761" i="6" s="1"/>
  <c r="C761" i="6"/>
  <c r="Y732" i="8"/>
  <c r="B761" i="6"/>
  <c r="S732" i="8"/>
  <c r="R732" i="8"/>
  <c r="A745" i="7" s="1"/>
  <c r="A761" i="6"/>
  <c r="AE732" i="8"/>
  <c r="Q732" i="8"/>
  <c r="AC731" i="8"/>
  <c r="I760" i="6"/>
  <c r="G760" i="6"/>
  <c r="AA731" i="8"/>
  <c r="Z731" i="8"/>
  <c r="F760" i="6"/>
  <c r="U731" i="8"/>
  <c r="T731" i="8"/>
  <c r="D760" i="6" s="1"/>
  <c r="C760" i="6"/>
  <c r="Y731" i="8"/>
  <c r="B760" i="6"/>
  <c r="S731" i="8"/>
  <c r="R731" i="8"/>
  <c r="A744" i="7" s="1"/>
  <c r="A760" i="6"/>
  <c r="AE731" i="8"/>
  <c r="Q731" i="8"/>
  <c r="I759" i="6"/>
  <c r="AC730" i="8"/>
  <c r="G759" i="6"/>
  <c r="AA730" i="8"/>
  <c r="F759" i="6"/>
  <c r="Z730" i="8"/>
  <c r="U730" i="8"/>
  <c r="T730" i="8"/>
  <c r="D759" i="6" s="1"/>
  <c r="C759" i="6"/>
  <c r="Y730" i="8"/>
  <c r="R730" i="8"/>
  <c r="A743" i="7" s="1"/>
  <c r="B759" i="6"/>
  <c r="S730" i="8"/>
  <c r="AE730" i="8"/>
  <c r="A759" i="6"/>
  <c r="Q730" i="8"/>
  <c r="AC729" i="8"/>
  <c r="I758" i="6"/>
  <c r="AA729" i="8"/>
  <c r="G758" i="6"/>
  <c r="Z729" i="8"/>
  <c r="F758" i="6"/>
  <c r="U729" i="8"/>
  <c r="T729" i="8"/>
  <c r="D758" i="6" s="1"/>
  <c r="Y729" i="8"/>
  <c r="C758" i="6"/>
  <c r="S729" i="8"/>
  <c r="R729" i="8"/>
  <c r="A742" i="7" s="1"/>
  <c r="B758" i="6"/>
  <c r="AE729" i="8"/>
  <c r="Q729" i="8"/>
  <c r="A758" i="6"/>
  <c r="AC728" i="8"/>
  <c r="I757" i="6"/>
  <c r="AA728" i="8"/>
  <c r="G757" i="6"/>
  <c r="Z728" i="8"/>
  <c r="F757" i="6"/>
  <c r="U728" i="8"/>
  <c r="T728" i="8"/>
  <c r="D757" i="6" s="1"/>
  <c r="Y728" i="8"/>
  <c r="C757" i="6"/>
  <c r="R728" i="8"/>
  <c r="A741" i="7" s="1"/>
  <c r="B757" i="6"/>
  <c r="S728" i="8"/>
  <c r="A757" i="6"/>
  <c r="Q728" i="8"/>
  <c r="AE728" i="8"/>
  <c r="I756" i="6"/>
  <c r="AC727" i="8"/>
  <c r="G756" i="6"/>
  <c r="AA727" i="8"/>
  <c r="F756" i="6"/>
  <c r="Z727" i="8"/>
  <c r="T727" i="8"/>
  <c r="D756" i="6" s="1"/>
  <c r="U727" i="8"/>
  <c r="C756" i="6"/>
  <c r="Y727" i="8"/>
  <c r="R727" i="8"/>
  <c r="A740" i="7" s="1"/>
  <c r="S727" i="8"/>
  <c r="B756" i="6"/>
  <c r="Q727" i="8"/>
  <c r="A756" i="6"/>
  <c r="AE727" i="8"/>
  <c r="AC726" i="8"/>
  <c r="I755" i="6"/>
  <c r="AA726" i="8"/>
  <c r="G755" i="6"/>
  <c r="Z726" i="8"/>
  <c r="F755" i="6"/>
  <c r="T726" i="8"/>
  <c r="D755" i="6" s="1"/>
  <c r="U726" i="8"/>
  <c r="C755" i="6"/>
  <c r="Y726" i="8"/>
  <c r="R726" i="8"/>
  <c r="A739" i="7" s="1"/>
  <c r="B755" i="6"/>
  <c r="S726" i="8"/>
  <c r="AE726" i="8"/>
  <c r="A755" i="6"/>
  <c r="Q726" i="8"/>
  <c r="I754" i="6"/>
  <c r="AC725" i="8"/>
  <c r="G754" i="6"/>
  <c r="AA725" i="8"/>
  <c r="Z725" i="8"/>
  <c r="F754" i="6"/>
  <c r="U725" i="8"/>
  <c r="T725" i="8"/>
  <c r="D754" i="6" s="1"/>
  <c r="Y725" i="8"/>
  <c r="C754" i="6"/>
  <c r="B754" i="6"/>
  <c r="S725" i="8"/>
  <c r="R725" i="8"/>
  <c r="A738" i="7" s="1"/>
  <c r="AE725" i="8"/>
  <c r="Q725" i="8"/>
  <c r="A754" i="6"/>
  <c r="AC724" i="8"/>
  <c r="I753" i="6"/>
  <c r="AA724" i="8"/>
  <c r="G753" i="6"/>
  <c r="Z724" i="8"/>
  <c r="F753" i="6"/>
  <c r="U724" i="8"/>
  <c r="T724" i="8"/>
  <c r="D753" i="6" s="1"/>
  <c r="Y724" i="8"/>
  <c r="C753" i="6"/>
  <c r="B753" i="6"/>
  <c r="S724" i="8"/>
  <c r="R724" i="8"/>
  <c r="A737" i="7" s="1"/>
  <c r="AE724" i="8"/>
  <c r="Q724" i="8"/>
  <c r="A753" i="6"/>
  <c r="AC723" i="8"/>
  <c r="I752" i="6"/>
  <c r="AA723" i="8"/>
  <c r="G752" i="6"/>
  <c r="Z723" i="8"/>
  <c r="F752" i="6"/>
  <c r="T723" i="8"/>
  <c r="D752" i="6" s="1"/>
  <c r="U723" i="8"/>
  <c r="C752" i="6"/>
  <c r="Y723" i="8"/>
  <c r="R723" i="8"/>
  <c r="A736" i="7" s="1"/>
  <c r="S723" i="8"/>
  <c r="B752" i="6"/>
  <c r="Q723" i="8"/>
  <c r="AE723" i="8"/>
  <c r="A752" i="6"/>
  <c r="I751" i="6"/>
  <c r="AC722" i="8"/>
  <c r="G751" i="6"/>
  <c r="AA722" i="8"/>
  <c r="Z722" i="8"/>
  <c r="F751" i="6"/>
  <c r="U722" i="8"/>
  <c r="T722" i="8"/>
  <c r="D751" i="6" s="1"/>
  <c r="C751" i="6"/>
  <c r="Y722" i="8"/>
  <c r="B751" i="6"/>
  <c r="S722" i="8"/>
  <c r="R722" i="8"/>
  <c r="A735" i="7" s="1"/>
  <c r="A751" i="6"/>
  <c r="AE722" i="8"/>
  <c r="Q722" i="8"/>
  <c r="AC721" i="8"/>
  <c r="I750" i="6"/>
  <c r="AA721" i="8"/>
  <c r="G750" i="6"/>
  <c r="Z721" i="8"/>
  <c r="F750" i="6"/>
  <c r="U721" i="8"/>
  <c r="T721" i="8"/>
  <c r="D750" i="6" s="1"/>
  <c r="Y721" i="8"/>
  <c r="C750" i="6"/>
  <c r="S721" i="8"/>
  <c r="B750" i="6"/>
  <c r="R721" i="8"/>
  <c r="A734" i="7" s="1"/>
  <c r="Q721" i="8"/>
  <c r="A750" i="6"/>
  <c r="AE721" i="8"/>
  <c r="AC720" i="8"/>
  <c r="I749" i="6"/>
  <c r="AA720" i="8"/>
  <c r="G749" i="6"/>
  <c r="Z720" i="8"/>
  <c r="F749" i="6"/>
  <c r="U720" i="8"/>
  <c r="T720" i="8"/>
  <c r="D749" i="6" s="1"/>
  <c r="Y720" i="8"/>
  <c r="C749" i="6"/>
  <c r="B749" i="6"/>
  <c r="R720" i="8"/>
  <c r="A733" i="7" s="1"/>
  <c r="S720" i="8"/>
  <c r="A749" i="6"/>
  <c r="Q720" i="8"/>
  <c r="AE720" i="8"/>
  <c r="I748" i="6"/>
  <c r="AC719" i="8"/>
  <c r="AA719" i="8"/>
  <c r="G748" i="6"/>
  <c r="F748" i="6"/>
  <c r="Z719" i="8"/>
  <c r="T719" i="8"/>
  <c r="D748" i="6" s="1"/>
  <c r="U719" i="8"/>
  <c r="Y719" i="8"/>
  <c r="C748" i="6"/>
  <c r="S719" i="8"/>
  <c r="R719" i="8"/>
  <c r="A732" i="7" s="1"/>
  <c r="B748" i="6"/>
  <c r="Q719" i="8"/>
  <c r="AE719" i="8"/>
  <c r="A748" i="6"/>
  <c r="AC718" i="8"/>
  <c r="I747" i="6"/>
  <c r="G747" i="6"/>
  <c r="AA718" i="8"/>
  <c r="Z718" i="8"/>
  <c r="F747" i="6"/>
  <c r="T718" i="8"/>
  <c r="D747" i="6" s="1"/>
  <c r="U718" i="8"/>
  <c r="Y718" i="8"/>
  <c r="C747" i="6"/>
  <c r="S718" i="8"/>
  <c r="B747" i="6"/>
  <c r="R718" i="8"/>
  <c r="A731" i="7" s="1"/>
  <c r="AE718" i="8"/>
  <c r="A747" i="6"/>
  <c r="Q718" i="8"/>
  <c r="I746" i="6"/>
  <c r="AC717" i="8"/>
  <c r="G746" i="6"/>
  <c r="AA717" i="8"/>
  <c r="F746" i="6"/>
  <c r="Z717" i="8"/>
  <c r="T717" i="8"/>
  <c r="D746" i="6" s="1"/>
  <c r="U717" i="8"/>
  <c r="C746" i="6"/>
  <c r="Y717" i="8"/>
  <c r="B746" i="6"/>
  <c r="R717" i="8"/>
  <c r="A730" i="7" s="1"/>
  <c r="S717" i="8"/>
  <c r="A746" i="6"/>
  <c r="Q717" i="8"/>
  <c r="AE717" i="8"/>
  <c r="AC716" i="8"/>
  <c r="I745" i="6"/>
  <c r="AA716" i="8"/>
  <c r="G745" i="6"/>
  <c r="Z716" i="8"/>
  <c r="F745" i="6"/>
  <c r="U716" i="8"/>
  <c r="T716" i="8"/>
  <c r="D745" i="6" s="1"/>
  <c r="Y716" i="8"/>
  <c r="C745" i="6"/>
  <c r="S716" i="8"/>
  <c r="R716" i="8"/>
  <c r="A729" i="7" s="1"/>
  <c r="B745" i="6"/>
  <c r="AE716" i="8"/>
  <c r="Q716" i="8"/>
  <c r="A745" i="6"/>
  <c r="AC715" i="8"/>
  <c r="I744" i="6"/>
  <c r="AA715" i="8"/>
  <c r="G744" i="6"/>
  <c r="F744" i="6"/>
  <c r="Z715" i="8"/>
  <c r="U715" i="8"/>
  <c r="T715" i="8"/>
  <c r="D744" i="6" s="1"/>
  <c r="Y715" i="8"/>
  <c r="C744" i="6"/>
  <c r="S715" i="8"/>
  <c r="R715" i="8"/>
  <c r="A728" i="7" s="1"/>
  <c r="B744" i="6"/>
  <c r="AE715" i="8"/>
  <c r="Q715" i="8"/>
  <c r="A744" i="6"/>
  <c r="AC714" i="8"/>
  <c r="I743" i="6"/>
  <c r="AA714" i="8"/>
  <c r="G743" i="6"/>
  <c r="Z714" i="8"/>
  <c r="F743" i="6"/>
  <c r="T714" i="8"/>
  <c r="D743" i="6" s="1"/>
  <c r="U714" i="8"/>
  <c r="C743" i="6"/>
  <c r="Y714" i="8"/>
  <c r="R714" i="8"/>
  <c r="A727" i="7" s="1"/>
  <c r="S714" i="8"/>
  <c r="B743" i="6"/>
  <c r="Q714" i="8"/>
  <c r="A743" i="6"/>
  <c r="AE714" i="8"/>
  <c r="AC713" i="8"/>
  <c r="I742" i="6"/>
  <c r="AA713" i="8"/>
  <c r="G742" i="6"/>
  <c r="Z713" i="8"/>
  <c r="F742" i="6"/>
  <c r="U713" i="8"/>
  <c r="T713" i="8"/>
  <c r="D742" i="6" s="1"/>
  <c r="Y713" i="8"/>
  <c r="C742" i="6"/>
  <c r="S713" i="8"/>
  <c r="R713" i="8"/>
  <c r="A726" i="7" s="1"/>
  <c r="B742" i="6"/>
  <c r="A742" i="6"/>
  <c r="Q713" i="8"/>
  <c r="AE713" i="8"/>
  <c r="I741" i="6"/>
  <c r="AC712" i="8"/>
  <c r="AA712" i="8"/>
  <c r="G741" i="6"/>
  <c r="Z712" i="8"/>
  <c r="F741" i="6"/>
  <c r="U712" i="8"/>
  <c r="T712" i="8"/>
  <c r="D741" i="6" s="1"/>
  <c r="C741" i="6"/>
  <c r="Y712" i="8"/>
  <c r="B741" i="6"/>
  <c r="R712" i="8"/>
  <c r="A725" i="7" s="1"/>
  <c r="S712" i="8"/>
  <c r="Q712" i="8"/>
  <c r="AE712" i="8"/>
  <c r="A741" i="6"/>
  <c r="AC711" i="8"/>
  <c r="I740" i="6"/>
  <c r="G740" i="6"/>
  <c r="AA711" i="8"/>
  <c r="Z711" i="8"/>
  <c r="F740" i="6"/>
  <c r="T711" i="8"/>
  <c r="D740" i="6" s="1"/>
  <c r="U711" i="8"/>
  <c r="Y711" i="8"/>
  <c r="C740" i="6"/>
  <c r="B740" i="6"/>
  <c r="S711" i="8"/>
  <c r="R711" i="8"/>
  <c r="A724" i="7" s="1"/>
  <c r="AE711" i="8"/>
  <c r="Q711" i="8"/>
  <c r="A740" i="6"/>
  <c r="AC710" i="8"/>
  <c r="I739" i="6"/>
  <c r="AA710" i="8"/>
  <c r="G739" i="6"/>
  <c r="Z710" i="8"/>
  <c r="F739" i="6"/>
  <c r="U710" i="8"/>
  <c r="T710" i="8"/>
  <c r="D739" i="6" s="1"/>
  <c r="C739" i="6"/>
  <c r="Y710" i="8"/>
  <c r="R710" i="8"/>
  <c r="A723" i="7" s="1"/>
  <c r="S710" i="8"/>
  <c r="B739" i="6"/>
  <c r="A739" i="6"/>
  <c r="AE710" i="8"/>
  <c r="Q710" i="8"/>
  <c r="I738" i="6"/>
  <c r="AC709" i="8"/>
  <c r="G738" i="6"/>
  <c r="AA709" i="8"/>
  <c r="F738" i="6"/>
  <c r="Z709" i="8"/>
  <c r="T709" i="8"/>
  <c r="D738" i="6" s="1"/>
  <c r="U709" i="8"/>
  <c r="C738" i="6"/>
  <c r="Y709" i="8"/>
  <c r="B738" i="6"/>
  <c r="R709" i="8"/>
  <c r="A722" i="7" s="1"/>
  <c r="S709" i="8"/>
  <c r="A738" i="6"/>
  <c r="Q709" i="8"/>
  <c r="AE709" i="8"/>
  <c r="I737" i="6"/>
  <c r="AC708" i="8"/>
  <c r="AA708" i="8"/>
  <c r="G737" i="6"/>
  <c r="Z708" i="8"/>
  <c r="F737" i="6"/>
  <c r="T708" i="8"/>
  <c r="D737" i="6" s="1"/>
  <c r="U708" i="8"/>
  <c r="Y708" i="8"/>
  <c r="C737" i="6"/>
  <c r="R708" i="8"/>
  <c r="A721" i="7" s="1"/>
  <c r="S708" i="8"/>
  <c r="B737" i="6"/>
  <c r="Q708" i="8"/>
  <c r="AE708" i="8"/>
  <c r="A737" i="6"/>
  <c r="AC707" i="8"/>
  <c r="I736" i="6"/>
  <c r="AA707" i="8"/>
  <c r="G736" i="6"/>
  <c r="F736" i="6"/>
  <c r="Z707" i="8"/>
  <c r="U707" i="8"/>
  <c r="T707" i="8"/>
  <c r="D736" i="6" s="1"/>
  <c r="C736" i="6"/>
  <c r="Y707" i="8"/>
  <c r="B736" i="6"/>
  <c r="S707" i="8"/>
  <c r="R707" i="8"/>
  <c r="A720" i="7" s="1"/>
  <c r="Q707" i="8"/>
  <c r="A736" i="6"/>
  <c r="AE707" i="8"/>
  <c r="I735" i="6"/>
  <c r="AC706" i="8"/>
  <c r="G735" i="6"/>
  <c r="AA706" i="8"/>
  <c r="Z706" i="8"/>
  <c r="F735" i="6"/>
  <c r="U706" i="8"/>
  <c r="T706" i="8"/>
  <c r="D735" i="6" s="1"/>
  <c r="C735" i="6"/>
  <c r="Y706" i="8"/>
  <c r="S706" i="8"/>
  <c r="R706" i="8"/>
  <c r="A719" i="7" s="1"/>
  <c r="B735" i="6"/>
  <c r="AE706" i="8"/>
  <c r="Q706" i="8"/>
  <c r="A735" i="6"/>
  <c r="I734" i="6"/>
  <c r="AC705" i="8"/>
  <c r="AA705" i="8"/>
  <c r="G734" i="6"/>
  <c r="Z705" i="8"/>
  <c r="F734" i="6"/>
  <c r="U705" i="8"/>
  <c r="T705" i="8"/>
  <c r="D734" i="6" s="1"/>
  <c r="Y705" i="8"/>
  <c r="C734" i="6"/>
  <c r="B734" i="6"/>
  <c r="S705" i="8"/>
  <c r="R705" i="8"/>
  <c r="A718" i="7" s="1"/>
  <c r="AE705" i="8"/>
  <c r="Q705" i="8"/>
  <c r="A734" i="6"/>
  <c r="AC704" i="8"/>
  <c r="I733" i="6"/>
  <c r="G733" i="6"/>
  <c r="AA704" i="8"/>
  <c r="F733" i="6"/>
  <c r="Z704" i="8"/>
  <c r="T704" i="8"/>
  <c r="D733" i="6" s="1"/>
  <c r="U704" i="8"/>
  <c r="C733" i="6"/>
  <c r="Y704" i="8"/>
  <c r="R704" i="8"/>
  <c r="A717" i="7" s="1"/>
  <c r="S704" i="8"/>
  <c r="B733" i="6"/>
  <c r="Q704" i="8"/>
  <c r="A733" i="6"/>
  <c r="AE704" i="8"/>
  <c r="AC703" i="8"/>
  <c r="I732" i="6"/>
  <c r="G732" i="6"/>
  <c r="AA703" i="8"/>
  <c r="Z703" i="8"/>
  <c r="F732" i="6"/>
  <c r="U703" i="8"/>
  <c r="T703" i="8"/>
  <c r="D732" i="6" s="1"/>
  <c r="C732" i="6"/>
  <c r="Y703" i="8"/>
  <c r="S703" i="8"/>
  <c r="R703" i="8"/>
  <c r="A716" i="7" s="1"/>
  <c r="B732" i="6"/>
  <c r="A732" i="6"/>
  <c r="Q703" i="8"/>
  <c r="AE703" i="8"/>
  <c r="AC702" i="8"/>
  <c r="I731" i="6"/>
  <c r="AA702" i="8"/>
  <c r="G731" i="6"/>
  <c r="Z702" i="8"/>
  <c r="F731" i="6"/>
  <c r="T702" i="8"/>
  <c r="D731" i="6" s="1"/>
  <c r="U702" i="8"/>
  <c r="Y702" i="8"/>
  <c r="C731" i="6"/>
  <c r="B731" i="6"/>
  <c r="S702" i="8"/>
  <c r="R702" i="8"/>
  <c r="A715" i="7" s="1"/>
  <c r="AE702" i="8"/>
  <c r="A731" i="6"/>
  <c r="Q702" i="8"/>
  <c r="I730" i="6"/>
  <c r="AC701" i="8"/>
  <c r="G730" i="6"/>
  <c r="AA701" i="8"/>
  <c r="Z701" i="8"/>
  <c r="F730" i="6"/>
  <c r="U701" i="8"/>
  <c r="T701" i="8"/>
  <c r="D730" i="6" s="1"/>
  <c r="Y701" i="8"/>
  <c r="C730" i="6"/>
  <c r="R701" i="8"/>
  <c r="A714" i="7" s="1"/>
  <c r="B730" i="6"/>
  <c r="S701" i="8"/>
  <c r="AE701" i="8"/>
  <c r="A730" i="6"/>
  <c r="Q701" i="8"/>
  <c r="AC700" i="8"/>
  <c r="C713" i="7"/>
  <c r="I729" i="6"/>
  <c r="AA700" i="8"/>
  <c r="G729" i="6"/>
  <c r="Z700" i="8"/>
  <c r="F729" i="6"/>
  <c r="U700" i="8"/>
  <c r="T700" i="8"/>
  <c r="D729" i="6" s="1"/>
  <c r="C729" i="6"/>
  <c r="Y700" i="8"/>
  <c r="B729" i="6"/>
  <c r="R700" i="8"/>
  <c r="A713" i="7" s="1"/>
  <c r="S700" i="8"/>
  <c r="AE700" i="8"/>
  <c r="A729" i="6"/>
  <c r="Q700" i="8"/>
  <c r="C712" i="7"/>
  <c r="I728" i="6"/>
  <c r="AC699" i="8"/>
  <c r="G728" i="6"/>
  <c r="AA699" i="8"/>
  <c r="Z699" i="8"/>
  <c r="F728" i="6"/>
  <c r="U699" i="8"/>
  <c r="T699" i="8"/>
  <c r="D728" i="6" s="1"/>
  <c r="Y699" i="8"/>
  <c r="C728" i="6"/>
  <c r="S699" i="8"/>
  <c r="R699" i="8"/>
  <c r="A712" i="7" s="1"/>
  <c r="B728" i="6"/>
  <c r="AE699" i="8"/>
  <c r="A728" i="6"/>
  <c r="Q699" i="8"/>
  <c r="AC698" i="8"/>
  <c r="C711" i="7"/>
  <c r="I727" i="6"/>
  <c r="AA698" i="8"/>
  <c r="G727" i="6"/>
  <c r="Z698" i="8"/>
  <c r="F727" i="6"/>
  <c r="U698" i="8"/>
  <c r="T698" i="8"/>
  <c r="D727" i="6" s="1"/>
  <c r="Y698" i="8"/>
  <c r="C727" i="6"/>
  <c r="B727" i="6"/>
  <c r="R698" i="8"/>
  <c r="A711" i="7" s="1"/>
  <c r="S698" i="8"/>
  <c r="AE698" i="8"/>
  <c r="Q698" i="8"/>
  <c r="A727" i="6"/>
  <c r="I726" i="6"/>
  <c r="C710" i="7"/>
  <c r="AC697" i="8"/>
  <c r="G726" i="6"/>
  <c r="AA697" i="8"/>
  <c r="Z697" i="8"/>
  <c r="F726" i="6"/>
  <c r="U697" i="8"/>
  <c r="T697" i="8"/>
  <c r="D726" i="6" s="1"/>
  <c r="Y697" i="8"/>
  <c r="C726" i="6"/>
  <c r="S697" i="8"/>
  <c r="R697" i="8"/>
  <c r="A710" i="7" s="1"/>
  <c r="B726" i="6"/>
  <c r="AE697" i="8"/>
  <c r="A726" i="6"/>
  <c r="Q697" i="8"/>
  <c r="C709" i="7"/>
  <c r="I725" i="6"/>
  <c r="AC696" i="8"/>
  <c r="G725" i="6"/>
  <c r="AA696" i="8"/>
  <c r="F725" i="6"/>
  <c r="Z696" i="8"/>
  <c r="T696" i="8"/>
  <c r="D725" i="6" s="1"/>
  <c r="U696" i="8"/>
  <c r="C725" i="6"/>
  <c r="Y696" i="8"/>
  <c r="R696" i="8"/>
  <c r="A709" i="7" s="1"/>
  <c r="B725" i="6"/>
  <c r="S696" i="8"/>
  <c r="Q696" i="8"/>
  <c r="AE696" i="8"/>
  <c r="A725" i="6"/>
  <c r="C708" i="7"/>
  <c r="I724" i="6"/>
  <c r="AC695" i="8"/>
  <c r="G724" i="6"/>
  <c r="AA695" i="8"/>
  <c r="F724" i="6"/>
  <c r="Z695" i="8"/>
  <c r="U695" i="8"/>
  <c r="T695" i="8"/>
  <c r="D724" i="6" s="1"/>
  <c r="C724" i="6"/>
  <c r="Y695" i="8"/>
  <c r="B724" i="6"/>
  <c r="S695" i="8"/>
  <c r="R695" i="8"/>
  <c r="A708" i="7" s="1"/>
  <c r="AE695" i="8"/>
  <c r="A724" i="6"/>
  <c r="Q695" i="8"/>
  <c r="AC694" i="8"/>
  <c r="I723" i="6"/>
  <c r="C707" i="7"/>
  <c r="AA694" i="8"/>
  <c r="G723" i="6"/>
  <c r="F723" i="6"/>
  <c r="Z694" i="8"/>
  <c r="U694" i="8"/>
  <c r="T694" i="8"/>
  <c r="D723" i="6" s="1"/>
  <c r="C723" i="6"/>
  <c r="Y694" i="8"/>
  <c r="B723" i="6"/>
  <c r="R694" i="8"/>
  <c r="A707" i="7" s="1"/>
  <c r="S694" i="8"/>
  <c r="Q694" i="8"/>
  <c r="A723" i="6"/>
  <c r="AE694" i="8"/>
  <c r="C706" i="7"/>
  <c r="AC693" i="8"/>
  <c r="I722" i="6"/>
  <c r="AA693" i="8"/>
  <c r="G722" i="6"/>
  <c r="Z693" i="8"/>
  <c r="F722" i="6"/>
  <c r="T693" i="8"/>
  <c r="D722" i="6" s="1"/>
  <c r="U693" i="8"/>
  <c r="C722" i="6"/>
  <c r="Y693" i="8"/>
  <c r="R693" i="8"/>
  <c r="A706" i="7" s="1"/>
  <c r="S693" i="8"/>
  <c r="B722" i="6"/>
  <c r="AE693" i="8"/>
  <c r="Q693" i="8"/>
  <c r="A722" i="6"/>
  <c r="AC692" i="8"/>
  <c r="I721" i="6"/>
  <c r="C705" i="7"/>
  <c r="G721" i="6"/>
  <c r="AA692" i="8"/>
  <c r="F721" i="6"/>
  <c r="Z692" i="8"/>
  <c r="T692" i="8"/>
  <c r="D721" i="6" s="1"/>
  <c r="U692" i="8"/>
  <c r="C721" i="6"/>
  <c r="Y692" i="8"/>
  <c r="B721" i="6"/>
  <c r="R692" i="8"/>
  <c r="A705" i="7" s="1"/>
  <c r="S692" i="8"/>
  <c r="A721" i="6"/>
  <c r="Q692" i="8"/>
  <c r="AE692" i="8"/>
  <c r="C704" i="7"/>
  <c r="I720" i="6"/>
  <c r="AC691" i="8"/>
  <c r="AA691" i="8"/>
  <c r="G720" i="6"/>
  <c r="F720" i="6"/>
  <c r="Z691" i="8"/>
  <c r="T691" i="8"/>
  <c r="D720" i="6" s="1"/>
  <c r="U691" i="8"/>
  <c r="Y691" i="8"/>
  <c r="C720" i="6"/>
  <c r="R691" i="8"/>
  <c r="A704" i="7" s="1"/>
  <c r="S691" i="8"/>
  <c r="B720" i="6"/>
  <c r="A720" i="6"/>
  <c r="Q691" i="8"/>
  <c r="AE691" i="8"/>
  <c r="C703" i="7"/>
  <c r="AC690" i="8"/>
  <c r="I719" i="6"/>
  <c r="AA690" i="8"/>
  <c r="G719" i="6"/>
  <c r="Z690" i="8"/>
  <c r="F719" i="6"/>
  <c r="T690" i="8"/>
  <c r="D719" i="6" s="1"/>
  <c r="U690" i="8"/>
  <c r="Y690" i="8"/>
  <c r="C719" i="6"/>
  <c r="R690" i="8"/>
  <c r="A703" i="7" s="1"/>
  <c r="S690" i="8"/>
  <c r="B719" i="6"/>
  <c r="A719" i="6"/>
  <c r="Q690" i="8"/>
  <c r="AE690" i="8"/>
  <c r="C702" i="7"/>
  <c r="I718" i="6"/>
  <c r="AC689" i="8"/>
  <c r="G718" i="6"/>
  <c r="AA689" i="8"/>
  <c r="F718" i="6"/>
  <c r="Z689" i="8"/>
  <c r="U689" i="8"/>
  <c r="T689" i="8"/>
  <c r="D718" i="6" s="1"/>
  <c r="C718" i="6"/>
  <c r="Y689" i="8"/>
  <c r="B718" i="6"/>
  <c r="S689" i="8"/>
  <c r="R689" i="8"/>
  <c r="A702" i="7" s="1"/>
  <c r="A718" i="6"/>
  <c r="Q689" i="8"/>
  <c r="AE689" i="8"/>
  <c r="I717" i="6"/>
  <c r="C701" i="7"/>
  <c r="AC688" i="8"/>
  <c r="G717" i="6"/>
  <c r="AA688" i="8"/>
  <c r="F717" i="6"/>
  <c r="Z688" i="8"/>
  <c r="U688" i="8"/>
  <c r="T688" i="8"/>
  <c r="D717" i="6" s="1"/>
  <c r="Y688" i="8"/>
  <c r="C717" i="6"/>
  <c r="B717" i="6"/>
  <c r="S688" i="8"/>
  <c r="R688" i="8"/>
  <c r="A701" i="7" s="1"/>
  <c r="AE688" i="8"/>
  <c r="Q688" i="8"/>
  <c r="A717" i="6"/>
  <c r="AC687" i="8"/>
  <c r="C700" i="7"/>
  <c r="I716" i="6"/>
  <c r="G716" i="6"/>
  <c r="AA687" i="8"/>
  <c r="F716" i="6"/>
  <c r="Z687" i="8"/>
  <c r="U687" i="8"/>
  <c r="T687" i="8"/>
  <c r="D716" i="6" s="1"/>
  <c r="Y687" i="8"/>
  <c r="C716" i="6"/>
  <c r="R687" i="8"/>
  <c r="A700" i="7" s="1"/>
  <c r="B716" i="6"/>
  <c r="S687" i="8"/>
  <c r="Q687" i="8"/>
  <c r="AE687" i="8"/>
  <c r="A716" i="6"/>
  <c r="AC686" i="8"/>
  <c r="C699" i="7"/>
  <c r="I715" i="6"/>
  <c r="AA686" i="8"/>
  <c r="G715" i="6"/>
  <c r="Z686" i="8"/>
  <c r="F715" i="6"/>
  <c r="U686" i="8"/>
  <c r="T686" i="8"/>
  <c r="D715" i="6" s="1"/>
  <c r="Y686" i="8"/>
  <c r="C715" i="6"/>
  <c r="S686" i="8"/>
  <c r="B715" i="6"/>
  <c r="R686" i="8"/>
  <c r="A699" i="7" s="1"/>
  <c r="A715" i="6"/>
  <c r="Q686" i="8"/>
  <c r="AE686" i="8"/>
  <c r="I714" i="6"/>
  <c r="AC685" i="8"/>
  <c r="C698" i="7"/>
  <c r="G714" i="6"/>
  <c r="AA685" i="8"/>
  <c r="F714" i="6"/>
  <c r="Z685" i="8"/>
  <c r="U685" i="8"/>
  <c r="T685" i="8"/>
  <c r="D714" i="6" s="1"/>
  <c r="Y685" i="8"/>
  <c r="C714" i="6"/>
  <c r="B714" i="6"/>
  <c r="S685" i="8"/>
  <c r="R685" i="8"/>
  <c r="A698" i="7" s="1"/>
  <c r="Q685" i="8"/>
  <c r="A714" i="6"/>
  <c r="AE685" i="8"/>
  <c r="I713" i="6"/>
  <c r="AC684" i="8"/>
  <c r="C697" i="7"/>
  <c r="AA684" i="8"/>
  <c r="G713" i="6"/>
  <c r="Z684" i="8"/>
  <c r="F713" i="6"/>
  <c r="U684" i="8"/>
  <c r="T684" i="8"/>
  <c r="D713" i="6" s="1"/>
  <c r="Y684" i="8"/>
  <c r="C713" i="6"/>
  <c r="B713" i="6"/>
  <c r="R684" i="8"/>
  <c r="A697" i="7" s="1"/>
  <c r="S684" i="8"/>
  <c r="Q684" i="8"/>
  <c r="AE684" i="8"/>
  <c r="A713" i="6"/>
  <c r="I712" i="6"/>
  <c r="C696" i="7"/>
  <c r="AC683" i="8"/>
  <c r="G712" i="6"/>
  <c r="AA683" i="8"/>
  <c r="F712" i="6"/>
  <c r="Z683" i="8"/>
  <c r="T683" i="8"/>
  <c r="D712" i="6" s="1"/>
  <c r="U683" i="8"/>
  <c r="C712" i="6"/>
  <c r="Y683" i="8"/>
  <c r="R683" i="8"/>
  <c r="A696" i="7" s="1"/>
  <c r="S683" i="8"/>
  <c r="B712" i="6"/>
  <c r="AE683" i="8"/>
  <c r="A712" i="6"/>
  <c r="Q683" i="8"/>
  <c r="C695" i="7"/>
  <c r="AC682" i="8"/>
  <c r="I711" i="6"/>
  <c r="AA682" i="8"/>
  <c r="G711" i="6"/>
  <c r="F711" i="6"/>
  <c r="Z682" i="8"/>
  <c r="T682" i="8"/>
  <c r="D711" i="6" s="1"/>
  <c r="U682" i="8"/>
  <c r="Y682" i="8"/>
  <c r="C711" i="6"/>
  <c r="R682" i="8"/>
  <c r="A695" i="7" s="1"/>
  <c r="B711" i="6"/>
  <c r="S682" i="8"/>
  <c r="Q682" i="8"/>
  <c r="AE682" i="8"/>
  <c r="A711" i="6"/>
  <c r="C694" i="7"/>
  <c r="AC681" i="8"/>
  <c r="I710" i="6"/>
  <c r="G710" i="6"/>
  <c r="AA681" i="8"/>
  <c r="Z681" i="8"/>
  <c r="F710" i="6"/>
  <c r="T681" i="8"/>
  <c r="D710" i="6" s="1"/>
  <c r="U681" i="8"/>
  <c r="C710" i="6"/>
  <c r="Y681" i="8"/>
  <c r="B710" i="6"/>
  <c r="S681" i="8"/>
  <c r="R681" i="8"/>
  <c r="A694" i="7" s="1"/>
  <c r="Q681" i="8"/>
  <c r="A710" i="6"/>
  <c r="AE681" i="8"/>
  <c r="I709" i="6"/>
  <c r="AC680" i="8"/>
  <c r="C693" i="7"/>
  <c r="AA680" i="8"/>
  <c r="G709" i="6"/>
  <c r="Z680" i="8"/>
  <c r="F709" i="6"/>
  <c r="T680" i="8"/>
  <c r="D709" i="6" s="1"/>
  <c r="U680" i="8"/>
  <c r="Y680" i="8"/>
  <c r="C709" i="6"/>
  <c r="R680" i="8"/>
  <c r="A693" i="7" s="1"/>
  <c r="B709" i="6"/>
  <c r="S680" i="8"/>
  <c r="A709" i="6"/>
  <c r="Q680" i="8"/>
  <c r="AE680" i="8"/>
  <c r="C692" i="7"/>
  <c r="I708" i="6"/>
  <c r="AC679" i="8"/>
  <c r="G708" i="6"/>
  <c r="AA679" i="8"/>
  <c r="F708" i="6"/>
  <c r="Z679" i="8"/>
  <c r="T679" i="8"/>
  <c r="D708" i="6" s="1"/>
  <c r="U679" i="8"/>
  <c r="Y679" i="8"/>
  <c r="C708" i="6"/>
  <c r="R679" i="8"/>
  <c r="A692" i="7" s="1"/>
  <c r="S679" i="8"/>
  <c r="B708" i="6"/>
  <c r="A708" i="6"/>
  <c r="AE679" i="8"/>
  <c r="Q679" i="8"/>
  <c r="C691" i="7"/>
  <c r="I707" i="6"/>
  <c r="AC678" i="8"/>
  <c r="G707" i="6"/>
  <c r="AA678" i="8"/>
  <c r="Z678" i="8"/>
  <c r="F707" i="6"/>
  <c r="T678" i="8"/>
  <c r="D707" i="6" s="1"/>
  <c r="U678" i="8"/>
  <c r="Y678" i="8"/>
  <c r="C707" i="6"/>
  <c r="B707" i="6"/>
  <c r="S678" i="8"/>
  <c r="R678" i="8"/>
  <c r="A691" i="7" s="1"/>
  <c r="AE678" i="8"/>
  <c r="Q678" i="8"/>
  <c r="A707" i="6"/>
  <c r="C690" i="7"/>
  <c r="I706" i="6"/>
  <c r="AC677" i="8"/>
  <c r="AA677" i="8"/>
  <c r="G706" i="6"/>
  <c r="F706" i="6"/>
  <c r="Z677" i="8"/>
  <c r="T677" i="8"/>
  <c r="D706" i="6" s="1"/>
  <c r="U677" i="8"/>
  <c r="C706" i="6"/>
  <c r="Y677" i="8"/>
  <c r="B706" i="6"/>
  <c r="R677" i="8"/>
  <c r="A690" i="7" s="1"/>
  <c r="S677" i="8"/>
  <c r="AE677" i="8"/>
  <c r="A706" i="6"/>
  <c r="Q677" i="8"/>
  <c r="C689" i="7"/>
  <c r="AC676" i="8"/>
  <c r="I705" i="6"/>
  <c r="AA676" i="8"/>
  <c r="G705" i="6"/>
  <c r="Z676" i="8"/>
  <c r="F705" i="6"/>
  <c r="U676" i="8"/>
  <c r="T676" i="8"/>
  <c r="D705" i="6" s="1"/>
  <c r="Y676" i="8"/>
  <c r="C705" i="6"/>
  <c r="B705" i="6"/>
  <c r="S676" i="8"/>
  <c r="R676" i="8"/>
  <c r="A689" i="7" s="1"/>
  <c r="AE676" i="8"/>
  <c r="Q676" i="8"/>
  <c r="A705" i="6"/>
  <c r="AC675" i="8"/>
  <c r="I704" i="6"/>
  <c r="C688" i="7"/>
  <c r="G704" i="6"/>
  <c r="AA675" i="8"/>
  <c r="F704" i="6"/>
  <c r="Z675" i="8"/>
  <c r="T675" i="8"/>
  <c r="D704" i="6" s="1"/>
  <c r="U675" i="8"/>
  <c r="C704" i="6"/>
  <c r="Y675" i="8"/>
  <c r="R675" i="8"/>
  <c r="A688" i="7" s="1"/>
  <c r="S675" i="8"/>
  <c r="B704" i="6"/>
  <c r="Q675" i="8"/>
  <c r="AE675" i="8"/>
  <c r="A704" i="6"/>
  <c r="C687" i="7"/>
  <c r="I703" i="6"/>
  <c r="AC674" i="8"/>
  <c r="G703" i="6"/>
  <c r="AA674" i="8"/>
  <c r="Z674" i="8"/>
  <c r="F703" i="6"/>
  <c r="U674" i="8"/>
  <c r="T674" i="8"/>
  <c r="D703" i="6" s="1"/>
  <c r="Y674" i="8"/>
  <c r="C703" i="6"/>
  <c r="S674" i="8"/>
  <c r="R674" i="8"/>
  <c r="A687" i="7" s="1"/>
  <c r="B703" i="6"/>
  <c r="A703" i="6"/>
  <c r="AE674" i="8"/>
  <c r="Q674" i="8"/>
  <c r="I702" i="6"/>
  <c r="AC673" i="8"/>
  <c r="C686" i="7"/>
  <c r="G702" i="6"/>
  <c r="AA673" i="8"/>
  <c r="F702" i="6"/>
  <c r="Z673" i="8"/>
  <c r="T673" i="8"/>
  <c r="D702" i="6" s="1"/>
  <c r="U673" i="8"/>
  <c r="C702" i="6"/>
  <c r="Y673" i="8"/>
  <c r="R673" i="8"/>
  <c r="A686" i="7" s="1"/>
  <c r="S673" i="8"/>
  <c r="B702" i="6"/>
  <c r="Q673" i="8"/>
  <c r="AE673" i="8"/>
  <c r="A702" i="6"/>
  <c r="AC672" i="8"/>
  <c r="C685" i="7"/>
  <c r="I701" i="6"/>
  <c r="G701" i="6"/>
  <c r="AA672" i="8"/>
  <c r="F701" i="6"/>
  <c r="Z672" i="8"/>
  <c r="U672" i="8"/>
  <c r="T672" i="8"/>
  <c r="D701" i="6" s="1"/>
  <c r="C701" i="6"/>
  <c r="Y672" i="8"/>
  <c r="R672" i="8"/>
  <c r="A685" i="7" s="1"/>
  <c r="B701" i="6"/>
  <c r="S672" i="8"/>
  <c r="A701" i="6"/>
  <c r="AE672" i="8"/>
  <c r="Q672" i="8"/>
  <c r="I700" i="6"/>
  <c r="AC671" i="8"/>
  <c r="C684" i="7"/>
  <c r="AA671" i="8"/>
  <c r="G700" i="6"/>
  <c r="F700" i="6"/>
  <c r="Z671" i="8"/>
  <c r="U671" i="8"/>
  <c r="T671" i="8"/>
  <c r="D700" i="6" s="1"/>
  <c r="C700" i="6"/>
  <c r="Y671" i="8"/>
  <c r="B700" i="6"/>
  <c r="S671" i="8"/>
  <c r="R671" i="8"/>
  <c r="A684" i="7" s="1"/>
  <c r="AE671" i="8"/>
  <c r="A700" i="6"/>
  <c r="Q671" i="8"/>
  <c r="I699" i="6"/>
  <c r="C683" i="7"/>
  <c r="AC670" i="8"/>
  <c r="G699" i="6"/>
  <c r="AA670" i="8"/>
  <c r="F699" i="6"/>
  <c r="Z670" i="8"/>
  <c r="U670" i="8"/>
  <c r="T670" i="8"/>
  <c r="D699" i="6" s="1"/>
  <c r="C699" i="6"/>
  <c r="Y670" i="8"/>
  <c r="B699" i="6"/>
  <c r="S670" i="8"/>
  <c r="R670" i="8"/>
  <c r="A683" i="7" s="1"/>
  <c r="Q670" i="8"/>
  <c r="A699" i="6"/>
  <c r="AE670" i="8"/>
  <c r="I698" i="6"/>
  <c r="AC669" i="8"/>
  <c r="C682" i="7"/>
  <c r="G698" i="6"/>
  <c r="AA669" i="8"/>
  <c r="F698" i="6"/>
  <c r="Z669" i="8"/>
  <c r="U669" i="8"/>
  <c r="T669" i="8"/>
  <c r="D698" i="6" s="1"/>
  <c r="C698" i="6"/>
  <c r="Y669" i="8"/>
  <c r="R669" i="8"/>
  <c r="A682" i="7" s="1"/>
  <c r="S669" i="8"/>
  <c r="B698" i="6"/>
  <c r="Q669" i="8"/>
  <c r="AE669" i="8"/>
  <c r="A698" i="6"/>
  <c r="AC668" i="8"/>
  <c r="C681" i="7"/>
  <c r="I697" i="6"/>
  <c r="AA668" i="8"/>
  <c r="G697" i="6"/>
  <c r="Z668" i="8"/>
  <c r="F697" i="6"/>
  <c r="U668" i="8"/>
  <c r="T668" i="8"/>
  <c r="D697" i="6" s="1"/>
  <c r="C697" i="6"/>
  <c r="Y668" i="8"/>
  <c r="B697" i="6"/>
  <c r="S668" i="8"/>
  <c r="R668" i="8"/>
  <c r="A681" i="7" s="1"/>
  <c r="A697" i="6"/>
  <c r="AE668" i="8"/>
  <c r="Q668" i="8"/>
  <c r="AC667" i="8"/>
  <c r="I696" i="6"/>
  <c r="C680" i="7"/>
  <c r="G696" i="6"/>
  <c r="AA667" i="8"/>
  <c r="Z667" i="8"/>
  <c r="F696" i="6"/>
  <c r="U667" i="8"/>
  <c r="T667" i="8"/>
  <c r="D696" i="6" s="1"/>
  <c r="C696" i="6"/>
  <c r="Y667" i="8"/>
  <c r="B696" i="6"/>
  <c r="R667" i="8"/>
  <c r="A680" i="7" s="1"/>
  <c r="S667" i="8"/>
  <c r="AE667" i="8"/>
  <c r="A696" i="6"/>
  <c r="Q667" i="8"/>
  <c r="AC666" i="8"/>
  <c r="I695" i="6"/>
  <c r="C679" i="7"/>
  <c r="G695" i="6"/>
  <c r="AA666" i="8"/>
  <c r="F695" i="6"/>
  <c r="Z666" i="8"/>
  <c r="U666" i="8"/>
  <c r="T666" i="8"/>
  <c r="D695" i="6" s="1"/>
  <c r="C695" i="6"/>
  <c r="Y666" i="8"/>
  <c r="R666" i="8"/>
  <c r="A679" i="7" s="1"/>
  <c r="B695" i="6"/>
  <c r="S666" i="8"/>
  <c r="Q666" i="8"/>
  <c r="AE666" i="8"/>
  <c r="A695" i="6"/>
  <c r="AC665" i="8"/>
  <c r="I694" i="6"/>
  <c r="C678" i="7"/>
  <c r="AA665" i="8"/>
  <c r="G694" i="6"/>
  <c r="Z665" i="8"/>
  <c r="F694" i="6"/>
  <c r="U665" i="8"/>
  <c r="T665" i="8"/>
  <c r="D694" i="6" s="1"/>
  <c r="C694" i="6"/>
  <c r="Y665" i="8"/>
  <c r="R665" i="8"/>
  <c r="A678" i="7" s="1"/>
  <c r="S665" i="8"/>
  <c r="B694" i="6"/>
  <c r="A694" i="6"/>
  <c r="AE665" i="8"/>
  <c r="Q665" i="8"/>
  <c r="I693" i="6"/>
  <c r="C677" i="7"/>
  <c r="AC664" i="8"/>
  <c r="G693" i="6"/>
  <c r="AA664" i="8"/>
  <c r="F693" i="6"/>
  <c r="Z664" i="8"/>
  <c r="U664" i="8"/>
  <c r="T664" i="8"/>
  <c r="D693" i="6" s="1"/>
  <c r="C693" i="6"/>
  <c r="Y664" i="8"/>
  <c r="R664" i="8"/>
  <c r="A677" i="7" s="1"/>
  <c r="B693" i="6"/>
  <c r="S664" i="8"/>
  <c r="Q664" i="8"/>
  <c r="A693" i="6"/>
  <c r="AE664" i="8"/>
  <c r="AC663" i="8"/>
  <c r="C676" i="7"/>
  <c r="I692" i="6"/>
  <c r="AA663" i="8"/>
  <c r="G692" i="6"/>
  <c r="F692" i="6"/>
  <c r="Z663" i="8"/>
  <c r="T663" i="8"/>
  <c r="D692" i="6" s="1"/>
  <c r="U663" i="8"/>
  <c r="C692" i="6"/>
  <c r="Y663" i="8"/>
  <c r="R663" i="8"/>
  <c r="A676" i="7" s="1"/>
  <c r="S663" i="8"/>
  <c r="B692" i="6"/>
  <c r="Q663" i="8"/>
  <c r="A692" i="6"/>
  <c r="AE663" i="8"/>
  <c r="I691" i="6"/>
  <c r="AC662" i="8"/>
  <c r="C675" i="7"/>
  <c r="AA662" i="8"/>
  <c r="G691" i="6"/>
  <c r="Z662" i="8"/>
  <c r="F691" i="6"/>
  <c r="U662" i="8"/>
  <c r="T662" i="8"/>
  <c r="D691" i="6" s="1"/>
  <c r="C691" i="6"/>
  <c r="Y662" i="8"/>
  <c r="B691" i="6"/>
  <c r="S662" i="8"/>
  <c r="R662" i="8"/>
  <c r="A675" i="7" s="1"/>
  <c r="A691" i="6"/>
  <c r="AE662" i="8"/>
  <c r="Q662" i="8"/>
  <c r="C674" i="7"/>
  <c r="AC661" i="8"/>
  <c r="I690" i="6"/>
  <c r="AA661" i="8"/>
  <c r="G690" i="6"/>
  <c r="Z661" i="8"/>
  <c r="F690" i="6"/>
  <c r="U661" i="8"/>
  <c r="T661" i="8"/>
  <c r="D690" i="6" s="1"/>
  <c r="Y661" i="8"/>
  <c r="C690" i="6"/>
  <c r="B690" i="6"/>
  <c r="S661" i="8"/>
  <c r="R661" i="8"/>
  <c r="A674" i="7" s="1"/>
  <c r="Q661" i="8"/>
  <c r="AE661" i="8"/>
  <c r="A690" i="6"/>
  <c r="I689" i="6"/>
  <c r="C673" i="7"/>
  <c r="AC660" i="8"/>
  <c r="G689" i="6"/>
  <c r="AA660" i="8"/>
  <c r="Z660" i="8"/>
  <c r="F689" i="6"/>
  <c r="U660" i="8"/>
  <c r="T660" i="8"/>
  <c r="D689" i="6" s="1"/>
  <c r="C689" i="6"/>
  <c r="Y660" i="8"/>
  <c r="S660" i="8"/>
  <c r="R660" i="8"/>
  <c r="A673" i="7" s="1"/>
  <c r="B689" i="6"/>
  <c r="AE660" i="8"/>
  <c r="Q660" i="8"/>
  <c r="A689" i="6"/>
  <c r="I688" i="6"/>
  <c r="AC659" i="8"/>
  <c r="C672" i="7"/>
  <c r="G688" i="6"/>
  <c r="AA659" i="8"/>
  <c r="F688" i="6"/>
  <c r="Z659" i="8"/>
  <c r="U659" i="8"/>
  <c r="T659" i="8"/>
  <c r="D688" i="6" s="1"/>
  <c r="Y659" i="8"/>
  <c r="C688" i="6"/>
  <c r="R659" i="8"/>
  <c r="A672" i="7" s="1"/>
  <c r="B688" i="6"/>
  <c r="S659" i="8"/>
  <c r="A688" i="6"/>
  <c r="AE659" i="8"/>
  <c r="Q659" i="8"/>
  <c r="I687" i="6"/>
  <c r="C671" i="7"/>
  <c r="AC658" i="8"/>
  <c r="G687" i="6"/>
  <c r="AA658" i="8"/>
  <c r="Z658" i="8"/>
  <c r="F687" i="6"/>
  <c r="T658" i="8"/>
  <c r="D687" i="6" s="1"/>
  <c r="U658" i="8"/>
  <c r="Y658" i="8"/>
  <c r="C687" i="6"/>
  <c r="B687" i="6"/>
  <c r="S658" i="8"/>
  <c r="R658" i="8"/>
  <c r="A671" i="7" s="1"/>
  <c r="AE658" i="8"/>
  <c r="A687" i="6"/>
  <c r="Q658" i="8"/>
  <c r="I686" i="6"/>
  <c r="C670" i="7"/>
  <c r="AC657" i="8"/>
  <c r="G686" i="6"/>
  <c r="AA657" i="8"/>
  <c r="F686" i="6"/>
  <c r="Z657" i="8"/>
  <c r="T657" i="8"/>
  <c r="D686" i="6" s="1"/>
  <c r="U657" i="8"/>
  <c r="Y657" i="8"/>
  <c r="C686" i="6"/>
  <c r="R657" i="8"/>
  <c r="A670" i="7" s="1"/>
  <c r="S657" i="8"/>
  <c r="B686" i="6"/>
  <c r="A686" i="6"/>
  <c r="AE657" i="8"/>
  <c r="Q657" i="8"/>
  <c r="I685" i="6"/>
  <c r="C669" i="7"/>
  <c r="AC656" i="8"/>
  <c r="G685" i="6"/>
  <c r="AA656" i="8"/>
  <c r="F685" i="6"/>
  <c r="Z656" i="8"/>
  <c r="T656" i="8"/>
  <c r="D685" i="6" s="1"/>
  <c r="U656" i="8"/>
  <c r="C685" i="6"/>
  <c r="Y656" i="8"/>
  <c r="B685" i="6"/>
  <c r="R656" i="8"/>
  <c r="A669" i="7" s="1"/>
  <c r="S656" i="8"/>
  <c r="AE656" i="8"/>
  <c r="A685" i="6"/>
  <c r="Q656" i="8"/>
  <c r="C668" i="7"/>
  <c r="I684" i="6"/>
  <c r="AC655" i="8"/>
  <c r="AA655" i="8"/>
  <c r="G684" i="6"/>
  <c r="F684" i="6"/>
  <c r="Z655" i="8"/>
  <c r="T655" i="8"/>
  <c r="D684" i="6" s="1"/>
  <c r="U655" i="8"/>
  <c r="C684" i="6"/>
  <c r="Y655" i="8"/>
  <c r="R655" i="8"/>
  <c r="A668" i="7" s="1"/>
  <c r="S655" i="8"/>
  <c r="B684" i="6"/>
  <c r="Q655" i="8"/>
  <c r="AE655" i="8"/>
  <c r="A684" i="6"/>
  <c r="C667" i="7"/>
  <c r="I683" i="6"/>
  <c r="AC654" i="8"/>
  <c r="G683" i="6"/>
  <c r="AA654" i="8"/>
  <c r="F683" i="6"/>
  <c r="Z654" i="8"/>
  <c r="U654" i="8"/>
  <c r="T654" i="8"/>
  <c r="D683" i="6" s="1"/>
  <c r="C683" i="6"/>
  <c r="Y654" i="8"/>
  <c r="S654" i="8"/>
  <c r="R654" i="8"/>
  <c r="A667" i="7" s="1"/>
  <c r="B683" i="6"/>
  <c r="AE654" i="8"/>
  <c r="A683" i="6"/>
  <c r="Q654" i="8"/>
  <c r="I682" i="6"/>
  <c r="AC653" i="8"/>
  <c r="C666" i="7"/>
  <c r="G682" i="6"/>
  <c r="AA653" i="8"/>
  <c r="Z653" i="8"/>
  <c r="F682" i="6"/>
  <c r="U653" i="8"/>
  <c r="T653" i="8"/>
  <c r="D682" i="6" s="1"/>
  <c r="Y653" i="8"/>
  <c r="C682" i="6"/>
  <c r="S653" i="8"/>
  <c r="R653" i="8"/>
  <c r="A666" i="7" s="1"/>
  <c r="B682" i="6"/>
  <c r="AE653" i="8"/>
  <c r="A682" i="6"/>
  <c r="Q653" i="8"/>
  <c r="I681" i="6"/>
  <c r="AC652" i="8"/>
  <c r="C665" i="7"/>
  <c r="G681" i="6"/>
  <c r="AA652" i="8"/>
  <c r="Z652" i="8"/>
  <c r="F681" i="6"/>
  <c r="T652" i="8"/>
  <c r="D681" i="6" s="1"/>
  <c r="U652" i="8"/>
  <c r="C681" i="6"/>
  <c r="Y652" i="8"/>
  <c r="B681" i="6"/>
  <c r="S652" i="8"/>
  <c r="R652" i="8"/>
  <c r="A665" i="7" s="1"/>
  <c r="Q652" i="8"/>
  <c r="A681" i="6"/>
  <c r="AE652" i="8"/>
  <c r="AC651" i="8"/>
  <c r="C664" i="7"/>
  <c r="I680" i="6"/>
  <c r="AA651" i="8"/>
  <c r="G680" i="6"/>
  <c r="F680" i="6"/>
  <c r="Z651" i="8"/>
  <c r="T651" i="8"/>
  <c r="D680" i="6" s="1"/>
  <c r="U651" i="8"/>
  <c r="C680" i="6"/>
  <c r="Y651" i="8"/>
  <c r="B680" i="6"/>
  <c r="R651" i="8"/>
  <c r="A664" i="7" s="1"/>
  <c r="S651" i="8"/>
  <c r="AE651" i="8"/>
  <c r="Q651" i="8"/>
  <c r="A680" i="6"/>
  <c r="AC650" i="8"/>
  <c r="I679" i="6"/>
  <c r="C663" i="7"/>
  <c r="AA650" i="8"/>
  <c r="G679" i="6"/>
  <c r="Z650" i="8"/>
  <c r="F679" i="6"/>
  <c r="U650" i="8"/>
  <c r="T650" i="8"/>
  <c r="D679" i="6" s="1"/>
  <c r="Y650" i="8"/>
  <c r="C679" i="6"/>
  <c r="S650" i="8"/>
  <c r="B679" i="6"/>
  <c r="R650" i="8"/>
  <c r="A663" i="7" s="1"/>
  <c r="A679" i="6"/>
  <c r="AE650" i="8"/>
  <c r="Q650" i="8"/>
  <c r="C662" i="7"/>
  <c r="I678" i="6"/>
  <c r="AC649" i="8"/>
  <c r="G678" i="6"/>
  <c r="AA649" i="8"/>
  <c r="Z649" i="8"/>
  <c r="F678" i="6"/>
  <c r="T649" i="8"/>
  <c r="D678" i="6" s="1"/>
  <c r="U649" i="8"/>
  <c r="C678" i="6"/>
  <c r="Y649" i="8"/>
  <c r="S649" i="8"/>
  <c r="R649" i="8"/>
  <c r="A662" i="7" s="1"/>
  <c r="B678" i="6"/>
  <c r="Q649" i="8"/>
  <c r="A678" i="6"/>
  <c r="AE649" i="8"/>
  <c r="AC648" i="8"/>
  <c r="C661" i="7"/>
  <c r="I677" i="6"/>
  <c r="G677" i="6"/>
  <c r="AA648" i="8"/>
  <c r="F677" i="6"/>
  <c r="Z648" i="8"/>
  <c r="U648" i="8"/>
  <c r="T648" i="8"/>
  <c r="D677" i="6" s="1"/>
  <c r="Y648" i="8"/>
  <c r="C677" i="6"/>
  <c r="S648" i="8"/>
  <c r="B677" i="6"/>
  <c r="R648" i="8"/>
  <c r="A661" i="7" s="1"/>
  <c r="A677" i="6"/>
  <c r="Q648" i="8"/>
  <c r="AE648" i="8"/>
  <c r="C660" i="7"/>
  <c r="AC647" i="8"/>
  <c r="I676" i="6"/>
  <c r="AA647" i="8"/>
  <c r="G676" i="6"/>
  <c r="Z647" i="8"/>
  <c r="F676" i="6"/>
  <c r="U647" i="8"/>
  <c r="T647" i="8"/>
  <c r="D676" i="6" s="1"/>
  <c r="Y647" i="8"/>
  <c r="C676" i="6"/>
  <c r="S647" i="8"/>
  <c r="R647" i="8"/>
  <c r="A660" i="7" s="1"/>
  <c r="B676" i="6"/>
  <c r="A676" i="6"/>
  <c r="AE647" i="8"/>
  <c r="Q647" i="8"/>
  <c r="AC646" i="8"/>
  <c r="C659" i="7"/>
  <c r="I675" i="6"/>
  <c r="AA646" i="8"/>
  <c r="G675" i="6"/>
  <c r="Z646" i="8"/>
  <c r="F675" i="6"/>
  <c r="U646" i="8"/>
  <c r="T646" i="8"/>
  <c r="D675" i="6" s="1"/>
  <c r="Y646" i="8"/>
  <c r="C675" i="6"/>
  <c r="S646" i="8"/>
  <c r="R646" i="8"/>
  <c r="A659" i="7" s="1"/>
  <c r="B675" i="6"/>
  <c r="Q646" i="8"/>
  <c r="A675" i="6"/>
  <c r="AE646" i="8"/>
  <c r="AC645" i="8"/>
  <c r="C658" i="7"/>
  <c r="I674" i="6"/>
  <c r="G674" i="6"/>
  <c r="AA645" i="8"/>
  <c r="F674" i="6"/>
  <c r="Z645" i="8"/>
  <c r="T645" i="8"/>
  <c r="D674" i="6" s="1"/>
  <c r="U645" i="8"/>
  <c r="Y645" i="8"/>
  <c r="C674" i="6"/>
  <c r="R645" i="8"/>
  <c r="A658" i="7" s="1"/>
  <c r="S645" i="8"/>
  <c r="B674" i="6"/>
  <c r="Q645" i="8"/>
  <c r="A674" i="6"/>
  <c r="AE645" i="8"/>
  <c r="C657" i="7"/>
  <c r="I673" i="6"/>
  <c r="AC644" i="8"/>
  <c r="G673" i="6"/>
  <c r="AA644" i="8"/>
  <c r="F673" i="6"/>
  <c r="Z644" i="8"/>
  <c r="T644" i="8"/>
  <c r="D673" i="6" s="1"/>
  <c r="U644" i="8"/>
  <c r="C673" i="6"/>
  <c r="Y644" i="8"/>
  <c r="S644" i="8"/>
  <c r="R644" i="8"/>
  <c r="A657" i="7" s="1"/>
  <c r="B673" i="6"/>
  <c r="Q644" i="8"/>
  <c r="AE644" i="8"/>
  <c r="A673" i="6"/>
  <c r="AC643" i="8"/>
  <c r="I672" i="6"/>
  <c r="C656" i="7"/>
  <c r="AA643" i="8"/>
  <c r="G672" i="6"/>
  <c r="Z643" i="8"/>
  <c r="F672" i="6"/>
  <c r="U643" i="8"/>
  <c r="T643" i="8"/>
  <c r="D672" i="6" s="1"/>
  <c r="Y643" i="8"/>
  <c r="C672" i="6"/>
  <c r="S643" i="8"/>
  <c r="R643" i="8"/>
  <c r="A656" i="7" s="1"/>
  <c r="B672" i="6"/>
  <c r="A672" i="6"/>
  <c r="Q643" i="8"/>
  <c r="AE643" i="8"/>
  <c r="AC642" i="8"/>
  <c r="I671" i="6"/>
  <c r="C655" i="7"/>
  <c r="AA642" i="8"/>
  <c r="G671" i="6"/>
  <c r="Z642" i="8"/>
  <c r="F671" i="6"/>
  <c r="U642" i="8"/>
  <c r="T642" i="8"/>
  <c r="D671" i="6" s="1"/>
  <c r="Y642" i="8"/>
  <c r="C671" i="6"/>
  <c r="B671" i="6"/>
  <c r="S642" i="8"/>
  <c r="R642" i="8"/>
  <c r="A655" i="7" s="1"/>
  <c r="AE642" i="8"/>
  <c r="Q642" i="8"/>
  <c r="A671" i="6"/>
  <c r="I670" i="6"/>
  <c r="C654" i="7"/>
  <c r="AC641" i="8"/>
  <c r="AA641" i="8"/>
  <c r="G670" i="6"/>
  <c r="Z641" i="8"/>
  <c r="F670" i="6"/>
  <c r="T641" i="8"/>
  <c r="D670" i="6" s="1"/>
  <c r="U641" i="8"/>
  <c r="Y641" i="8"/>
  <c r="C670" i="6"/>
  <c r="S641" i="8"/>
  <c r="B670" i="6"/>
  <c r="R641" i="8"/>
  <c r="A654" i="7" s="1"/>
  <c r="Q641" i="8"/>
  <c r="AE641" i="8"/>
  <c r="A670" i="6"/>
  <c r="I669" i="6"/>
  <c r="AC640" i="8"/>
  <c r="C653" i="7"/>
  <c r="G669" i="6"/>
  <c r="AA640" i="8"/>
  <c r="Z640" i="8"/>
  <c r="F669" i="6"/>
  <c r="T640" i="8"/>
  <c r="D669" i="6" s="1"/>
  <c r="U640" i="8"/>
  <c r="C669" i="6"/>
  <c r="Y640" i="8"/>
  <c r="R640" i="8"/>
  <c r="A653" i="7" s="1"/>
  <c r="S640" i="8"/>
  <c r="B669" i="6"/>
  <c r="AE640" i="8"/>
  <c r="Q640" i="8"/>
  <c r="A669" i="6"/>
  <c r="AC639" i="8"/>
  <c r="C652" i="7"/>
  <c r="I668" i="6"/>
  <c r="AA639" i="8"/>
  <c r="G668" i="6"/>
  <c r="Z639" i="8"/>
  <c r="F668" i="6"/>
  <c r="T639" i="8"/>
  <c r="D668" i="6" s="1"/>
  <c r="U639" i="8"/>
  <c r="C668" i="6"/>
  <c r="Y639" i="8"/>
  <c r="R639" i="8"/>
  <c r="A652" i="7" s="1"/>
  <c r="S639" i="8"/>
  <c r="B668" i="6"/>
  <c r="A668" i="6"/>
  <c r="Q639" i="8"/>
  <c r="AE639" i="8"/>
  <c r="I667" i="6"/>
  <c r="C651" i="7"/>
  <c r="AC638" i="8"/>
  <c r="AA638" i="8"/>
  <c r="G667" i="6"/>
  <c r="F667" i="6"/>
  <c r="Z638" i="8"/>
  <c r="T638" i="8"/>
  <c r="D667" i="6" s="1"/>
  <c r="U638" i="8"/>
  <c r="C667" i="6"/>
  <c r="Y638" i="8"/>
  <c r="S638" i="8"/>
  <c r="B667" i="6"/>
  <c r="R638" i="8"/>
  <c r="A651" i="7" s="1"/>
  <c r="AE638" i="8"/>
  <c r="A667" i="6"/>
  <c r="Q638" i="8"/>
  <c r="C650" i="7"/>
  <c r="I666" i="6"/>
  <c r="AC637" i="8"/>
  <c r="G666" i="6"/>
  <c r="AA637" i="8"/>
  <c r="Z637" i="8"/>
  <c r="F666" i="6"/>
  <c r="T637" i="8"/>
  <c r="D666" i="6" s="1"/>
  <c r="U637" i="8"/>
  <c r="C666" i="6"/>
  <c r="Y637" i="8"/>
  <c r="B666" i="6"/>
  <c r="R637" i="8"/>
  <c r="A650" i="7" s="1"/>
  <c r="S637" i="8"/>
  <c r="A666" i="6"/>
  <c r="AE637" i="8"/>
  <c r="Q637" i="8"/>
  <c r="C649" i="7"/>
  <c r="AC636" i="8"/>
  <c r="I665" i="6"/>
  <c r="AA636" i="8"/>
  <c r="G665" i="6"/>
  <c r="F665" i="6"/>
  <c r="Z636" i="8"/>
  <c r="U636" i="8"/>
  <c r="T636" i="8"/>
  <c r="D665" i="6" s="1"/>
  <c r="C665" i="6"/>
  <c r="Y636" i="8"/>
  <c r="S636" i="8"/>
  <c r="B665" i="6"/>
  <c r="R636" i="8"/>
  <c r="A649" i="7" s="1"/>
  <c r="A665" i="6"/>
  <c r="Q636" i="8"/>
  <c r="AE636" i="8"/>
  <c r="AC635" i="8"/>
  <c r="C648" i="7"/>
  <c r="I664" i="6"/>
  <c r="G664" i="6"/>
  <c r="AA635" i="8"/>
  <c r="Z635" i="8"/>
  <c r="F664" i="6"/>
  <c r="U635" i="8"/>
  <c r="T635" i="8"/>
  <c r="D664" i="6" s="1"/>
  <c r="Y635" i="8"/>
  <c r="C664" i="6"/>
  <c r="B664" i="6"/>
  <c r="S635" i="8"/>
  <c r="R635" i="8"/>
  <c r="A648" i="7" s="1"/>
  <c r="Q635" i="8"/>
  <c r="A664" i="6"/>
  <c r="AE635" i="8"/>
  <c r="AC634" i="8"/>
  <c r="I663" i="6"/>
  <c r="C647" i="7"/>
  <c r="G663" i="6"/>
  <c r="AA634" i="8"/>
  <c r="F663" i="6"/>
  <c r="Z634" i="8"/>
  <c r="T634" i="8"/>
  <c r="D663" i="6" s="1"/>
  <c r="U634" i="8"/>
  <c r="Y634" i="8"/>
  <c r="C663" i="6"/>
  <c r="B663" i="6"/>
  <c r="R634" i="8"/>
  <c r="A647" i="7" s="1"/>
  <c r="S634" i="8"/>
  <c r="Q634" i="8"/>
  <c r="AE634" i="8"/>
  <c r="A663" i="6"/>
  <c r="C646" i="7"/>
  <c r="I662" i="6"/>
  <c r="AC633" i="8"/>
  <c r="G662" i="6"/>
  <c r="AA633" i="8"/>
  <c r="F662" i="6"/>
  <c r="Z633" i="8"/>
  <c r="T633" i="8"/>
  <c r="D662" i="6" s="1"/>
  <c r="U633" i="8"/>
  <c r="C662" i="6"/>
  <c r="Y633" i="8"/>
  <c r="B662" i="6"/>
  <c r="R633" i="8"/>
  <c r="A646" i="7" s="1"/>
  <c r="S633" i="8"/>
  <c r="A662" i="6"/>
  <c r="Q633" i="8"/>
  <c r="AE633" i="8"/>
  <c r="I661" i="6"/>
  <c r="C645" i="7"/>
  <c r="AC632" i="8"/>
  <c r="G661" i="6"/>
  <c r="AA632" i="8"/>
  <c r="F661" i="6"/>
  <c r="Z632" i="8"/>
  <c r="T632" i="8"/>
  <c r="D661" i="6" s="1"/>
  <c r="U632" i="8"/>
  <c r="Y632" i="8"/>
  <c r="C661" i="6"/>
  <c r="B661" i="6"/>
  <c r="R632" i="8"/>
  <c r="A645" i="7" s="1"/>
  <c r="S632" i="8"/>
  <c r="AE632" i="8"/>
  <c r="A661" i="6"/>
  <c r="Q632" i="8"/>
  <c r="AC631" i="8"/>
  <c r="I660" i="6"/>
  <c r="C644" i="7"/>
  <c r="AA631" i="8"/>
  <c r="G660" i="6"/>
  <c r="F660" i="6"/>
  <c r="Z631" i="8"/>
  <c r="T631" i="8"/>
  <c r="D660" i="6" s="1"/>
  <c r="U631" i="8"/>
  <c r="Y631" i="8"/>
  <c r="C660" i="6"/>
  <c r="B660" i="6"/>
  <c r="R631" i="8"/>
  <c r="A644" i="7" s="1"/>
  <c r="S631" i="8"/>
  <c r="Q631" i="8"/>
  <c r="AE631" i="8"/>
  <c r="A660" i="6"/>
  <c r="I659" i="6"/>
  <c r="AC630" i="8"/>
  <c r="C643" i="7"/>
  <c r="AA630" i="8"/>
  <c r="G659" i="6"/>
  <c r="F659" i="6"/>
  <c r="Z630" i="8"/>
  <c r="T630" i="8"/>
  <c r="D659" i="6" s="1"/>
  <c r="U630" i="8"/>
  <c r="Y630" i="8"/>
  <c r="C659" i="6"/>
  <c r="S630" i="8"/>
  <c r="R630" i="8"/>
  <c r="A643" i="7" s="1"/>
  <c r="B659" i="6"/>
  <c r="Q630" i="8"/>
  <c r="AE630" i="8"/>
  <c r="A659" i="6"/>
  <c r="I658" i="6"/>
  <c r="C642" i="7"/>
  <c r="AC629" i="8"/>
  <c r="AA629" i="8"/>
  <c r="G658" i="6"/>
  <c r="F658" i="6"/>
  <c r="Z629" i="8"/>
  <c r="T629" i="8"/>
  <c r="D658" i="6" s="1"/>
  <c r="U629" i="8"/>
  <c r="C658" i="6"/>
  <c r="Y629" i="8"/>
  <c r="B658" i="6"/>
  <c r="S629" i="8"/>
  <c r="R629" i="8"/>
  <c r="A642" i="7" s="1"/>
  <c r="AE629" i="8"/>
  <c r="A658" i="6"/>
  <c r="Q629" i="8"/>
  <c r="C641" i="7"/>
  <c r="I657" i="6"/>
  <c r="AC628" i="8"/>
  <c r="AA628" i="8"/>
  <c r="G657" i="6"/>
  <c r="F657" i="6"/>
  <c r="Z628" i="8"/>
  <c r="T628" i="8"/>
  <c r="D657" i="6" s="1"/>
  <c r="U628" i="8"/>
  <c r="Y628" i="8"/>
  <c r="C657" i="6"/>
  <c r="B657" i="6"/>
  <c r="S628" i="8"/>
  <c r="R628" i="8"/>
  <c r="A641" i="7" s="1"/>
  <c r="AE628" i="8"/>
  <c r="A657" i="6"/>
  <c r="Q628" i="8"/>
  <c r="C640" i="7"/>
  <c r="I656" i="6"/>
  <c r="AC627" i="8"/>
  <c r="G656" i="6"/>
  <c r="AA627" i="8"/>
  <c r="F656" i="6"/>
  <c r="Z627" i="8"/>
  <c r="T627" i="8"/>
  <c r="D656" i="6" s="1"/>
  <c r="U627" i="8"/>
  <c r="Y627" i="8"/>
  <c r="C656" i="6"/>
  <c r="R627" i="8"/>
  <c r="A640" i="7" s="1"/>
  <c r="S627" i="8"/>
  <c r="B656" i="6"/>
  <c r="AE627" i="8"/>
  <c r="A656" i="6"/>
  <c r="Q627" i="8"/>
  <c r="I655" i="6"/>
  <c r="C639" i="7"/>
  <c r="AC626" i="8"/>
  <c r="G655" i="6"/>
  <c r="AA626" i="8"/>
  <c r="F655" i="6"/>
  <c r="Z626" i="8"/>
  <c r="T626" i="8"/>
  <c r="D655" i="6" s="1"/>
  <c r="U626" i="8"/>
  <c r="C655" i="6"/>
  <c r="Y626" i="8"/>
  <c r="B655" i="6"/>
  <c r="S626" i="8"/>
  <c r="R626" i="8"/>
  <c r="A639" i="7" s="1"/>
  <c r="AE626" i="8"/>
  <c r="Q626" i="8"/>
  <c r="A655" i="6"/>
  <c r="AC625" i="8"/>
  <c r="C638" i="7"/>
  <c r="I654" i="6"/>
  <c r="AA625" i="8"/>
  <c r="G654" i="6"/>
  <c r="Z625" i="8"/>
  <c r="F654" i="6"/>
  <c r="U625" i="8"/>
  <c r="T625" i="8"/>
  <c r="D654" i="6" s="1"/>
  <c r="Y625" i="8"/>
  <c r="C654" i="6"/>
  <c r="S625" i="8"/>
  <c r="B654" i="6"/>
  <c r="R625" i="8"/>
  <c r="A638" i="7" s="1"/>
  <c r="Q625" i="8"/>
  <c r="A654" i="6"/>
  <c r="AE625" i="8"/>
  <c r="AC624" i="8"/>
  <c r="I653" i="6"/>
  <c r="C637" i="7"/>
  <c r="G653" i="6"/>
  <c r="AA624" i="8"/>
  <c r="Z624" i="8"/>
  <c r="F653" i="6"/>
  <c r="U624" i="8"/>
  <c r="T624" i="8"/>
  <c r="D653" i="6" s="1"/>
  <c r="C653" i="6"/>
  <c r="Y624" i="8"/>
  <c r="S624" i="8"/>
  <c r="R624" i="8"/>
  <c r="A637" i="7" s="1"/>
  <c r="B653" i="6"/>
  <c r="AE624" i="8"/>
  <c r="Q624" i="8"/>
  <c r="A653" i="6"/>
  <c r="I652" i="6"/>
  <c r="C636" i="7"/>
  <c r="AC623" i="8"/>
  <c r="AA623" i="8"/>
  <c r="G652" i="6"/>
  <c r="F652" i="6"/>
  <c r="Z623" i="8"/>
  <c r="T623" i="8"/>
  <c r="D652" i="6" s="1"/>
  <c r="U623" i="8"/>
  <c r="Y623" i="8"/>
  <c r="C652" i="6"/>
  <c r="B652" i="6"/>
  <c r="S623" i="8"/>
  <c r="R623" i="8"/>
  <c r="A636" i="7" s="1"/>
  <c r="AE623" i="8"/>
  <c r="A652" i="6"/>
  <c r="Q623" i="8"/>
  <c r="I651" i="6"/>
  <c r="C635" i="7"/>
  <c r="AC622" i="8"/>
  <c r="G651" i="6"/>
  <c r="AA622" i="8"/>
  <c r="Z622" i="8"/>
  <c r="F651" i="6"/>
  <c r="U622" i="8"/>
  <c r="T622" i="8"/>
  <c r="D651" i="6" s="1"/>
  <c r="Y622" i="8"/>
  <c r="C651" i="6"/>
  <c r="B651" i="6"/>
  <c r="S622" i="8"/>
  <c r="R622" i="8"/>
  <c r="A635" i="7" s="1"/>
  <c r="A651" i="6"/>
  <c r="AE622" i="8"/>
  <c r="Q622" i="8"/>
  <c r="I650" i="6"/>
  <c r="C634" i="7"/>
  <c r="AC621" i="8"/>
  <c r="G650" i="6"/>
  <c r="AA621" i="8"/>
  <c r="F650" i="6"/>
  <c r="Z621" i="8"/>
  <c r="T621" i="8"/>
  <c r="D650" i="6" s="1"/>
  <c r="U621" i="8"/>
  <c r="C650" i="6"/>
  <c r="Y621" i="8"/>
  <c r="B650" i="6"/>
  <c r="R621" i="8"/>
  <c r="A634" i="7" s="1"/>
  <c r="S621" i="8"/>
  <c r="AE621" i="8"/>
  <c r="A650" i="6"/>
  <c r="Q621" i="8"/>
  <c r="C633" i="7"/>
  <c r="AC620" i="8"/>
  <c r="I649" i="6"/>
  <c r="AA620" i="8"/>
  <c r="G649" i="6"/>
  <c r="Z620" i="8"/>
  <c r="F649" i="6"/>
  <c r="U620" i="8"/>
  <c r="T620" i="8"/>
  <c r="D649" i="6" s="1"/>
  <c r="Y620" i="8"/>
  <c r="C649" i="6"/>
  <c r="R620" i="8"/>
  <c r="A633" i="7" s="1"/>
  <c r="S620" i="8"/>
  <c r="B649" i="6"/>
  <c r="Q620" i="8"/>
  <c r="A649" i="6"/>
  <c r="AE620" i="8"/>
  <c r="C632" i="7"/>
  <c r="I648" i="6"/>
  <c r="AC619" i="8"/>
  <c r="G648" i="6"/>
  <c r="AA619" i="8"/>
  <c r="F648" i="6"/>
  <c r="Z619" i="8"/>
  <c r="U619" i="8"/>
  <c r="T619" i="8"/>
  <c r="D648" i="6" s="1"/>
  <c r="Y619" i="8"/>
  <c r="C648" i="6"/>
  <c r="S619" i="8"/>
  <c r="B648" i="6"/>
  <c r="R619" i="8"/>
  <c r="A632" i="7" s="1"/>
  <c r="Q619" i="8"/>
  <c r="AE619" i="8"/>
  <c r="A648" i="6"/>
  <c r="C631" i="7"/>
  <c r="AC618" i="8"/>
  <c r="I647" i="6"/>
  <c r="AA618" i="8"/>
  <c r="G647" i="6"/>
  <c r="Z618" i="8"/>
  <c r="F647" i="6"/>
  <c r="T618" i="8"/>
  <c r="D647" i="6" s="1"/>
  <c r="U618" i="8"/>
  <c r="C647" i="6"/>
  <c r="Y618" i="8"/>
  <c r="S618" i="8"/>
  <c r="R618" i="8"/>
  <c r="A631" i="7" s="1"/>
  <c r="B647" i="6"/>
  <c r="A647" i="6"/>
  <c r="Q618" i="8"/>
  <c r="AE618" i="8"/>
  <c r="I646" i="6"/>
  <c r="C630" i="7"/>
  <c r="AC617" i="8"/>
  <c r="G646" i="6"/>
  <c r="AA617" i="8"/>
  <c r="F646" i="6"/>
  <c r="Z617" i="8"/>
  <c r="U617" i="8"/>
  <c r="T617" i="8"/>
  <c r="D646" i="6" s="1"/>
  <c r="C646" i="6"/>
  <c r="Y617" i="8"/>
  <c r="R617" i="8"/>
  <c r="A630" i="7" s="1"/>
  <c r="B646" i="6"/>
  <c r="S617" i="8"/>
  <c r="AE617" i="8"/>
  <c r="A646" i="6"/>
  <c r="Q617" i="8"/>
  <c r="C629" i="7"/>
  <c r="I645" i="6"/>
  <c r="AC616" i="8"/>
  <c r="AA616" i="8"/>
  <c r="G645" i="6"/>
  <c r="F645" i="6"/>
  <c r="Z616" i="8"/>
  <c r="U616" i="8"/>
  <c r="T616" i="8"/>
  <c r="D645" i="6" s="1"/>
  <c r="C645" i="6"/>
  <c r="Y616" i="8"/>
  <c r="R616" i="8"/>
  <c r="A629" i="7" s="1"/>
  <c r="B645" i="6"/>
  <c r="S616" i="8"/>
  <c r="A645" i="6"/>
  <c r="Q616" i="8"/>
  <c r="AE616" i="8"/>
  <c r="I644" i="6"/>
  <c r="C628" i="7"/>
  <c r="AC615" i="8"/>
  <c r="AA615" i="8"/>
  <c r="G644" i="6"/>
  <c r="F644" i="6"/>
  <c r="Z615" i="8"/>
  <c r="T615" i="8"/>
  <c r="D644" i="6" s="1"/>
  <c r="U615" i="8"/>
  <c r="Y615" i="8"/>
  <c r="C644" i="6"/>
  <c r="S615" i="8"/>
  <c r="B644" i="6"/>
  <c r="R615" i="8"/>
  <c r="A628" i="7" s="1"/>
  <c r="A644" i="6"/>
  <c r="Q615" i="8"/>
  <c r="AE615" i="8"/>
  <c r="I643" i="6"/>
  <c r="C627" i="7"/>
  <c r="AC614" i="8"/>
  <c r="AA614" i="8"/>
  <c r="G643" i="6"/>
  <c r="F643" i="6"/>
  <c r="Z614" i="8"/>
  <c r="U614" i="8"/>
  <c r="T614" i="8"/>
  <c r="D643" i="6" s="1"/>
  <c r="Y614" i="8"/>
  <c r="C643" i="6"/>
  <c r="R614" i="8"/>
  <c r="A627" i="7" s="1"/>
  <c r="B643" i="6"/>
  <c r="S614" i="8"/>
  <c r="A643" i="6"/>
  <c r="AE614" i="8"/>
  <c r="Q614" i="8"/>
  <c r="C626" i="7"/>
  <c r="I642" i="6"/>
  <c r="AC613" i="8"/>
  <c r="AA613" i="8"/>
  <c r="G642" i="6"/>
  <c r="Z613" i="8"/>
  <c r="F642" i="6"/>
  <c r="U613" i="8"/>
  <c r="T613" i="8"/>
  <c r="D642" i="6" s="1"/>
  <c r="Y613" i="8"/>
  <c r="C642" i="6"/>
  <c r="B642" i="6"/>
  <c r="S613" i="8"/>
  <c r="R613" i="8"/>
  <c r="A626" i="7" s="1"/>
  <c r="AE613" i="8"/>
  <c r="A642" i="6"/>
  <c r="Q613" i="8"/>
  <c r="I641" i="6"/>
  <c r="C625" i="7"/>
  <c r="AC612" i="8"/>
  <c r="G641" i="6"/>
  <c r="AA612" i="8"/>
  <c r="Z612" i="8"/>
  <c r="F641" i="6"/>
  <c r="U612" i="8"/>
  <c r="T612" i="8"/>
  <c r="D641" i="6" s="1"/>
  <c r="Y612" i="8"/>
  <c r="C641" i="6"/>
  <c r="R612" i="8"/>
  <c r="A625" i="7" s="1"/>
  <c r="S612" i="8"/>
  <c r="B641" i="6"/>
  <c r="A641" i="6"/>
  <c r="Q612" i="8"/>
  <c r="AE612" i="8"/>
  <c r="Z269" i="8"/>
  <c r="F298" i="6"/>
  <c r="T269" i="8"/>
  <c r="D298" i="6" s="1"/>
  <c r="U269" i="8"/>
  <c r="C298" i="6"/>
  <c r="Y269" i="8"/>
  <c r="B298" i="6"/>
  <c r="R269" i="8"/>
  <c r="A282" i="7" s="1"/>
  <c r="S269" i="8"/>
  <c r="A298" i="6"/>
  <c r="AE269" i="8"/>
  <c r="Q269" i="8"/>
  <c r="Z268" i="8"/>
  <c r="F297" i="6"/>
  <c r="T268" i="8"/>
  <c r="D297" i="6" s="1"/>
  <c r="U268" i="8"/>
  <c r="C297" i="6"/>
  <c r="Y268" i="8"/>
  <c r="S268" i="8"/>
  <c r="R268" i="8"/>
  <c r="A281" i="7" s="1"/>
  <c r="B297" i="6"/>
  <c r="AE268" i="8"/>
  <c r="A297" i="6"/>
  <c r="Q268" i="8"/>
  <c r="F296" i="6"/>
  <c r="Z267" i="8"/>
  <c r="T267" i="8"/>
  <c r="D296" i="6" s="1"/>
  <c r="U267" i="8"/>
  <c r="Y267" i="8"/>
  <c r="C296" i="6"/>
  <c r="S267" i="8"/>
  <c r="R267" i="8"/>
  <c r="A280" i="7" s="1"/>
  <c r="B296" i="6"/>
  <c r="A296" i="6"/>
  <c r="AE267" i="8"/>
  <c r="Q267" i="8"/>
  <c r="F295" i="6"/>
  <c r="Z266" i="8"/>
  <c r="T266" i="8"/>
  <c r="D295" i="6" s="1"/>
  <c r="U266" i="8"/>
  <c r="Y266" i="8"/>
  <c r="C295" i="6"/>
  <c r="S266" i="8"/>
  <c r="R266" i="8"/>
  <c r="A279" i="7" s="1"/>
  <c r="B295" i="6"/>
  <c r="Q266" i="8"/>
  <c r="AE266" i="8"/>
  <c r="A295" i="6"/>
  <c r="F294" i="6"/>
  <c r="Z265" i="8"/>
  <c r="T265" i="8"/>
  <c r="D294" i="6" s="1"/>
  <c r="U265" i="8"/>
  <c r="Y265" i="8"/>
  <c r="C294" i="6"/>
  <c r="S265" i="8"/>
  <c r="B294" i="6"/>
  <c r="R265" i="8"/>
  <c r="A278" i="7" s="1"/>
  <c r="Q265" i="8"/>
  <c r="A294" i="6"/>
  <c r="AE265" i="8"/>
  <c r="Z264" i="8"/>
  <c r="F293" i="6"/>
  <c r="U264" i="8"/>
  <c r="T264" i="8"/>
  <c r="D293" i="6" s="1"/>
  <c r="Y264" i="8"/>
  <c r="C293" i="6"/>
  <c r="R264" i="8"/>
  <c r="A277" i="7" s="1"/>
  <c r="B293" i="6"/>
  <c r="S264" i="8"/>
  <c r="Q264" i="8"/>
  <c r="A293" i="6"/>
  <c r="AE264" i="8"/>
  <c r="Z263" i="8"/>
  <c r="F292" i="6"/>
  <c r="U263" i="8"/>
  <c r="T263" i="8"/>
  <c r="D292" i="6" s="1"/>
  <c r="Y263" i="8"/>
  <c r="C292" i="6"/>
  <c r="S263" i="8"/>
  <c r="R263" i="8"/>
  <c r="A276" i="7" s="1"/>
  <c r="B292" i="6"/>
  <c r="Q263" i="8"/>
  <c r="AE263" i="8"/>
  <c r="A292" i="6"/>
  <c r="Z262" i="8"/>
  <c r="F291" i="6"/>
  <c r="U262" i="8"/>
  <c r="T262" i="8"/>
  <c r="D291" i="6" s="1"/>
  <c r="Y262" i="8"/>
  <c r="C291" i="6"/>
  <c r="B291" i="6"/>
  <c r="S262" i="8"/>
  <c r="R262" i="8"/>
  <c r="A275" i="7" s="1"/>
  <c r="A291" i="6"/>
  <c r="AE262" i="8"/>
  <c r="Q262" i="8"/>
  <c r="Z261" i="8"/>
  <c r="F290" i="6"/>
  <c r="U261" i="8"/>
  <c r="T261" i="8"/>
  <c r="D290" i="6" s="1"/>
  <c r="Y261" i="8"/>
  <c r="C290" i="6"/>
  <c r="S261" i="8"/>
  <c r="R261" i="8"/>
  <c r="A274" i="7" s="1"/>
  <c r="B290" i="6"/>
  <c r="AE261" i="8"/>
  <c r="Q261" i="8"/>
  <c r="A290" i="6"/>
  <c r="Z260" i="8"/>
  <c r="F289" i="6"/>
  <c r="U260" i="8"/>
  <c r="T260" i="8"/>
  <c r="D289" i="6" s="1"/>
  <c r="Y260" i="8"/>
  <c r="C289" i="6"/>
  <c r="S260" i="8"/>
  <c r="R260" i="8"/>
  <c r="A273" i="7" s="1"/>
  <c r="B289" i="6"/>
  <c r="A289" i="6"/>
  <c r="Q260" i="8"/>
  <c r="AE260" i="8"/>
  <c r="Z259" i="8"/>
  <c r="F288" i="6"/>
  <c r="U259" i="8"/>
  <c r="T259" i="8"/>
  <c r="D288" i="6" s="1"/>
  <c r="Y259" i="8"/>
  <c r="C288" i="6"/>
  <c r="B288" i="6"/>
  <c r="S259" i="8"/>
  <c r="R259" i="8"/>
  <c r="A272" i="7" s="1"/>
  <c r="A288" i="6"/>
  <c r="Q259" i="8"/>
  <c r="AE259" i="8"/>
  <c r="Z258" i="8"/>
  <c r="F287" i="6"/>
  <c r="T258" i="8"/>
  <c r="D287" i="6" s="1"/>
  <c r="U258" i="8"/>
  <c r="C287" i="6"/>
  <c r="Y258" i="8"/>
  <c r="R258" i="8"/>
  <c r="A271" i="7" s="1"/>
  <c r="S258" i="8"/>
  <c r="B287" i="6"/>
  <c r="Q258" i="8"/>
  <c r="A287" i="6"/>
  <c r="AE258" i="8"/>
  <c r="Z257" i="8"/>
  <c r="F286" i="6"/>
  <c r="U257" i="8"/>
  <c r="T257" i="8"/>
  <c r="D286" i="6" s="1"/>
  <c r="Y257" i="8"/>
  <c r="C286" i="6"/>
  <c r="B286" i="6"/>
  <c r="S257" i="8"/>
  <c r="R257" i="8"/>
  <c r="A270" i="7" s="1"/>
  <c r="Q257" i="8"/>
  <c r="AE257" i="8"/>
  <c r="A286" i="6"/>
  <c r="Z256" i="8"/>
  <c r="F285" i="6"/>
  <c r="T256" i="8"/>
  <c r="D285" i="6" s="1"/>
  <c r="U256" i="8"/>
  <c r="C285" i="6"/>
  <c r="Y256" i="8"/>
  <c r="S256" i="8"/>
  <c r="R256" i="8"/>
  <c r="A269" i="7" s="1"/>
  <c r="B285" i="6"/>
  <c r="Q256" i="8"/>
  <c r="AE256" i="8"/>
  <c r="A285" i="6"/>
  <c r="Z255" i="8"/>
  <c r="F284" i="6"/>
  <c r="U255" i="8"/>
  <c r="T255" i="8"/>
  <c r="D284" i="6" s="1"/>
  <c r="Y255" i="8"/>
  <c r="C284" i="6"/>
  <c r="B284" i="6"/>
  <c r="S255" i="8"/>
  <c r="R255" i="8"/>
  <c r="A268" i="7" s="1"/>
  <c r="A284" i="6"/>
  <c r="AE255" i="8"/>
  <c r="Q255" i="8"/>
  <c r="F283" i="6"/>
  <c r="Z254" i="8"/>
  <c r="T254" i="8"/>
  <c r="D283" i="6" s="1"/>
  <c r="U254" i="8"/>
  <c r="C283" i="6"/>
  <c r="Y254" i="8"/>
  <c r="B283" i="6"/>
  <c r="R254" i="8"/>
  <c r="A267" i="7" s="1"/>
  <c r="S254" i="8"/>
  <c r="Q254" i="8"/>
  <c r="AE254" i="8"/>
  <c r="A283" i="6"/>
  <c r="F282" i="6"/>
  <c r="Z253" i="8"/>
  <c r="T253" i="8"/>
  <c r="D282" i="6" s="1"/>
  <c r="U253" i="8"/>
  <c r="C282" i="6"/>
  <c r="Y253" i="8"/>
  <c r="S253" i="8"/>
  <c r="R253" i="8"/>
  <c r="A266" i="7" s="1"/>
  <c r="B282" i="6"/>
  <c r="AE253" i="8"/>
  <c r="Q253" i="8"/>
  <c r="A282" i="6"/>
  <c r="Z252" i="8"/>
  <c r="F281" i="6"/>
  <c r="T252" i="8"/>
  <c r="D281" i="6" s="1"/>
  <c r="U252" i="8"/>
  <c r="C281" i="6"/>
  <c r="Y252" i="8"/>
  <c r="R252" i="8"/>
  <c r="A265" i="7" s="1"/>
  <c r="B281" i="6"/>
  <c r="S252" i="8"/>
  <c r="AE252" i="8"/>
  <c r="Q252" i="8"/>
  <c r="A281" i="6"/>
  <c r="F280" i="6"/>
  <c r="Z251" i="8"/>
  <c r="U251" i="8"/>
  <c r="T251" i="8"/>
  <c r="D280" i="6" s="1"/>
  <c r="Y251" i="8"/>
  <c r="C280" i="6"/>
  <c r="S251" i="8"/>
  <c r="R251" i="8"/>
  <c r="A264" i="7" s="1"/>
  <c r="B280" i="6"/>
  <c r="AE251" i="8"/>
  <c r="Q251" i="8"/>
  <c r="A280" i="6"/>
  <c r="Z250" i="8"/>
  <c r="F279" i="6"/>
  <c r="U250" i="8"/>
  <c r="T250" i="8"/>
  <c r="D279" i="6" s="1"/>
  <c r="C279" i="6"/>
  <c r="Y250" i="8"/>
  <c r="S250" i="8"/>
  <c r="R250" i="8"/>
  <c r="A263" i="7" s="1"/>
  <c r="B279" i="6"/>
  <c r="Q250" i="8"/>
  <c r="A279" i="6"/>
  <c r="AE250" i="8"/>
  <c r="F278" i="6"/>
  <c r="Z249" i="8"/>
  <c r="U249" i="8"/>
  <c r="T249" i="8"/>
  <c r="D278" i="6" s="1"/>
  <c r="C278" i="6"/>
  <c r="Y249" i="8"/>
  <c r="B278" i="6"/>
  <c r="R249" i="8"/>
  <c r="A262" i="7" s="1"/>
  <c r="S249" i="8"/>
  <c r="Q249" i="8"/>
  <c r="A278" i="6"/>
  <c r="AE249" i="8"/>
  <c r="Z248" i="8"/>
  <c r="F277" i="6"/>
  <c r="U248" i="8"/>
  <c r="T248" i="8"/>
  <c r="D277" i="6" s="1"/>
  <c r="Y248" i="8"/>
  <c r="C277" i="6"/>
  <c r="B277" i="6"/>
  <c r="S248" i="8"/>
  <c r="R248" i="8"/>
  <c r="A261" i="7" s="1"/>
  <c r="AE248" i="8"/>
  <c r="Q248" i="8"/>
  <c r="A277" i="6"/>
  <c r="Z247" i="8"/>
  <c r="F276" i="6"/>
  <c r="U247" i="8"/>
  <c r="T247" i="8"/>
  <c r="D276" i="6" s="1"/>
  <c r="C276" i="6"/>
  <c r="Y247" i="8"/>
  <c r="S247" i="8"/>
  <c r="B276" i="6"/>
  <c r="R247" i="8"/>
  <c r="A260" i="7" s="1"/>
  <c r="A276" i="6"/>
  <c r="Q247" i="8"/>
  <c r="AE247" i="8"/>
  <c r="F275" i="6"/>
  <c r="Z246" i="8"/>
  <c r="U246" i="8"/>
  <c r="T246" i="8"/>
  <c r="D275" i="6" s="1"/>
  <c r="C275" i="6"/>
  <c r="Y246" i="8"/>
  <c r="B275" i="6"/>
  <c r="S246" i="8"/>
  <c r="R246" i="8"/>
  <c r="A259" i="7" s="1"/>
  <c r="A275" i="6"/>
  <c r="AE246" i="8"/>
  <c r="Q246" i="8"/>
  <c r="Z245" i="8"/>
  <c r="F274" i="6"/>
  <c r="U245" i="8"/>
  <c r="T245" i="8"/>
  <c r="D274" i="6" s="1"/>
  <c r="Y245" i="8"/>
  <c r="C274" i="6"/>
  <c r="S245" i="8"/>
  <c r="B274" i="6"/>
  <c r="R245" i="8"/>
  <c r="A258" i="7" s="1"/>
  <c r="Q245" i="8"/>
  <c r="AE245" i="8"/>
  <c r="A274" i="6"/>
  <c r="Z244" i="8"/>
  <c r="F273" i="6"/>
  <c r="U244" i="8"/>
  <c r="T244" i="8"/>
  <c r="D273" i="6" s="1"/>
  <c r="C273" i="6"/>
  <c r="Y244" i="8"/>
  <c r="R244" i="8"/>
  <c r="A257" i="7" s="1"/>
  <c r="B273" i="6"/>
  <c r="S244" i="8"/>
  <c r="A273" i="6"/>
  <c r="Q244" i="8"/>
  <c r="AE244" i="8"/>
  <c r="Z243" i="8"/>
  <c r="F272" i="6"/>
  <c r="U243" i="8"/>
  <c r="T243" i="8"/>
  <c r="D272" i="6" s="1"/>
  <c r="Y243" i="8"/>
  <c r="C272" i="6"/>
  <c r="S243" i="8"/>
  <c r="R243" i="8"/>
  <c r="A256" i="7" s="1"/>
  <c r="B272" i="6"/>
  <c r="AE243" i="8"/>
  <c r="Q243" i="8"/>
  <c r="A272" i="6"/>
  <c r="Z242" i="8"/>
  <c r="F271" i="6"/>
  <c r="U242" i="8"/>
  <c r="T242" i="8"/>
  <c r="D271" i="6" s="1"/>
  <c r="C271" i="6"/>
  <c r="Y242" i="8"/>
  <c r="B271" i="6"/>
  <c r="R242" i="8"/>
  <c r="A255" i="7" s="1"/>
  <c r="S242" i="8"/>
  <c r="A271" i="6"/>
  <c r="AE242" i="8"/>
  <c r="Q242" i="8"/>
  <c r="F270" i="6"/>
  <c r="Z241" i="8"/>
  <c r="U241" i="8"/>
  <c r="T241" i="8"/>
  <c r="D270" i="6" s="1"/>
  <c r="C270" i="6"/>
  <c r="Y241" i="8"/>
  <c r="S241" i="8"/>
  <c r="R241" i="8"/>
  <c r="A254" i="7" s="1"/>
  <c r="B270" i="6"/>
  <c r="Q241" i="8"/>
  <c r="AE241" i="8"/>
  <c r="A270" i="6"/>
  <c r="F269" i="6"/>
  <c r="Z240" i="8"/>
  <c r="T240" i="8"/>
  <c r="D269" i="6" s="1"/>
  <c r="U240" i="8"/>
  <c r="Y240" i="8"/>
  <c r="C269" i="6"/>
  <c r="R240" i="8"/>
  <c r="A253" i="7" s="1"/>
  <c r="B269" i="6"/>
  <c r="S240" i="8"/>
  <c r="AE240" i="8"/>
  <c r="A269" i="6"/>
  <c r="Q240" i="8"/>
  <c r="F268" i="6"/>
  <c r="Z239" i="8"/>
  <c r="T239" i="8"/>
  <c r="D268" i="6" s="1"/>
  <c r="U239" i="8"/>
  <c r="C268" i="6"/>
  <c r="Y239" i="8"/>
  <c r="B268" i="6"/>
  <c r="R239" i="8"/>
  <c r="A252" i="7" s="1"/>
  <c r="S239" i="8"/>
  <c r="AE239" i="8"/>
  <c r="A268" i="6"/>
  <c r="Q239" i="8"/>
  <c r="F267" i="6"/>
  <c r="Z238" i="8"/>
  <c r="U238" i="8"/>
  <c r="T238" i="8"/>
  <c r="D267" i="6" s="1"/>
  <c r="Y238" i="8"/>
  <c r="C267" i="6"/>
  <c r="S238" i="8"/>
  <c r="B267" i="6"/>
  <c r="R238" i="8"/>
  <c r="A251" i="7" s="1"/>
  <c r="Q238" i="8"/>
  <c r="A267" i="6"/>
  <c r="AE238" i="8"/>
  <c r="F266" i="6"/>
  <c r="Z237" i="8"/>
  <c r="T237" i="8"/>
  <c r="D266" i="6" s="1"/>
  <c r="U237" i="8"/>
  <c r="C266" i="6"/>
  <c r="Y237" i="8"/>
  <c r="R237" i="8"/>
  <c r="A250" i="7" s="1"/>
  <c r="B266" i="6"/>
  <c r="S237" i="8"/>
  <c r="Q237" i="8"/>
  <c r="A266" i="6"/>
  <c r="AE237" i="8"/>
  <c r="Z236" i="8"/>
  <c r="F265" i="6"/>
  <c r="U236" i="8"/>
  <c r="T236" i="8"/>
  <c r="D265" i="6" s="1"/>
  <c r="Y236" i="8"/>
  <c r="C265" i="6"/>
  <c r="R236" i="8"/>
  <c r="A249" i="7" s="1"/>
  <c r="S236" i="8"/>
  <c r="B265" i="6"/>
  <c r="AE236" i="8"/>
  <c r="Q236" i="8"/>
  <c r="A265" i="6"/>
  <c r="Z235" i="8"/>
  <c r="F264" i="6"/>
  <c r="T235" i="8"/>
  <c r="D264" i="6" s="1"/>
  <c r="U235" i="8"/>
  <c r="C264" i="6"/>
  <c r="Y235" i="8"/>
  <c r="S235" i="8"/>
  <c r="B264" i="6"/>
  <c r="R235" i="8"/>
  <c r="A248" i="7" s="1"/>
  <c r="A264" i="6"/>
  <c r="Q235" i="8"/>
  <c r="AE235" i="8"/>
  <c r="F263" i="6"/>
  <c r="Z234" i="8"/>
  <c r="U234" i="8"/>
  <c r="T234" i="8"/>
  <c r="D263" i="6" s="1"/>
  <c r="C263" i="6"/>
  <c r="Y234" i="8"/>
  <c r="S234" i="8"/>
  <c r="B263" i="6"/>
  <c r="R234" i="8"/>
  <c r="A247" i="7" s="1"/>
  <c r="Q234" i="8"/>
  <c r="AE234" i="8"/>
  <c r="A263" i="6"/>
  <c r="Z233" i="8"/>
  <c r="F262" i="6"/>
  <c r="U233" i="8"/>
  <c r="T233" i="8"/>
  <c r="D262" i="6" s="1"/>
  <c r="Y233" i="8"/>
  <c r="C262" i="6"/>
  <c r="S233" i="8"/>
  <c r="R233" i="8"/>
  <c r="A246" i="7" s="1"/>
  <c r="B262" i="6"/>
  <c r="AE233" i="8"/>
  <c r="Q233" i="8"/>
  <c r="A262" i="6"/>
  <c r="Z232" i="8"/>
  <c r="F261" i="6"/>
  <c r="U232" i="8"/>
  <c r="T232" i="8"/>
  <c r="D261" i="6" s="1"/>
  <c r="Y232" i="8"/>
  <c r="C261" i="6"/>
  <c r="S232" i="8"/>
  <c r="R232" i="8"/>
  <c r="A245" i="7" s="1"/>
  <c r="B261" i="6"/>
  <c r="Q232" i="8"/>
  <c r="A261" i="6"/>
  <c r="AE232" i="8"/>
  <c r="Z231" i="8"/>
  <c r="F260" i="6"/>
  <c r="U231" i="8"/>
  <c r="T231" i="8"/>
  <c r="D260" i="6" s="1"/>
  <c r="C260" i="6"/>
  <c r="Y231" i="8"/>
  <c r="S231" i="8"/>
  <c r="R231" i="8"/>
  <c r="A244" i="7" s="1"/>
  <c r="B260" i="6"/>
  <c r="Q231" i="8"/>
  <c r="A260" i="6"/>
  <c r="AE231" i="8"/>
  <c r="Z230" i="8"/>
  <c r="F259" i="6"/>
  <c r="T230" i="8"/>
  <c r="D259" i="6" s="1"/>
  <c r="U230" i="8"/>
  <c r="C259" i="6"/>
  <c r="Y230" i="8"/>
  <c r="B259" i="6"/>
  <c r="R230" i="8"/>
  <c r="A243" i="7" s="1"/>
  <c r="S230" i="8"/>
  <c r="A259" i="6"/>
  <c r="Q230" i="8"/>
  <c r="AE230" i="8"/>
  <c r="F258" i="6"/>
  <c r="Z229" i="8"/>
  <c r="U229" i="8"/>
  <c r="T229" i="8"/>
  <c r="D258" i="6" s="1"/>
  <c r="C258" i="6"/>
  <c r="Y229" i="8"/>
  <c r="S229" i="8"/>
  <c r="B258" i="6"/>
  <c r="R229" i="8"/>
  <c r="A242" i="7" s="1"/>
  <c r="A258" i="6"/>
  <c r="Q229" i="8"/>
  <c r="AE229" i="8"/>
  <c r="F257" i="6"/>
  <c r="Z228" i="8"/>
  <c r="U228" i="8"/>
  <c r="T228" i="8"/>
  <c r="D257" i="6" s="1"/>
  <c r="C257" i="6"/>
  <c r="Y228" i="8"/>
  <c r="S228" i="8"/>
  <c r="R228" i="8"/>
  <c r="A241" i="7" s="1"/>
  <c r="B257" i="6"/>
  <c r="AE228" i="8"/>
  <c r="A257" i="6"/>
  <c r="Q228" i="8"/>
  <c r="F256" i="6"/>
  <c r="Z227" i="8"/>
  <c r="U227" i="8"/>
  <c r="T227" i="8"/>
  <c r="D256" i="6" s="1"/>
  <c r="Y227" i="8"/>
  <c r="C256" i="6"/>
  <c r="R227" i="8"/>
  <c r="A240" i="7" s="1"/>
  <c r="B256" i="6"/>
  <c r="S227" i="8"/>
  <c r="Q227" i="8"/>
  <c r="A256" i="6"/>
  <c r="AE227" i="8"/>
  <c r="Z226" i="8"/>
  <c r="F255" i="6"/>
  <c r="T226" i="8"/>
  <c r="D255" i="6" s="1"/>
  <c r="U226" i="8"/>
  <c r="Y226" i="8"/>
  <c r="C255" i="6"/>
  <c r="S226" i="8"/>
  <c r="R226" i="8"/>
  <c r="A239" i="7" s="1"/>
  <c r="B255" i="6"/>
  <c r="Q226" i="8"/>
  <c r="AE226" i="8"/>
  <c r="A255" i="6"/>
  <c r="F254" i="6"/>
  <c r="Z225" i="8"/>
  <c r="T225" i="8"/>
  <c r="D254" i="6" s="1"/>
  <c r="U225" i="8"/>
  <c r="C254" i="6"/>
  <c r="Y225" i="8"/>
  <c r="B254" i="6"/>
  <c r="R225" i="8"/>
  <c r="A238" i="7" s="1"/>
  <c r="S225" i="8"/>
  <c r="AE225" i="8"/>
  <c r="Q225" i="8"/>
  <c r="A254" i="6"/>
  <c r="Z224" i="8"/>
  <c r="F253" i="6"/>
  <c r="U224" i="8"/>
  <c r="T224" i="8"/>
  <c r="D253" i="6" s="1"/>
  <c r="C253" i="6"/>
  <c r="Y224" i="8"/>
  <c r="B253" i="6"/>
  <c r="R224" i="8"/>
  <c r="A237" i="7" s="1"/>
  <c r="S224" i="8"/>
  <c r="A253" i="6"/>
  <c r="AE224" i="8"/>
  <c r="Q224" i="8"/>
  <c r="F252" i="6"/>
  <c r="Z223" i="8"/>
  <c r="T223" i="8"/>
  <c r="D252" i="6" s="1"/>
  <c r="U223" i="8"/>
  <c r="Y223" i="8"/>
  <c r="C252" i="6"/>
  <c r="R223" i="8"/>
  <c r="A236" i="7" s="1"/>
  <c r="S223" i="8"/>
  <c r="B252" i="6"/>
  <c r="AE223" i="8"/>
  <c r="A252" i="6"/>
  <c r="Q223" i="8"/>
  <c r="Z222" i="8"/>
  <c r="F251" i="6"/>
  <c r="U222" i="8"/>
  <c r="T222" i="8"/>
  <c r="D251" i="6" s="1"/>
  <c r="Y222" i="8"/>
  <c r="C251" i="6"/>
  <c r="S222" i="8"/>
  <c r="R222" i="8"/>
  <c r="A235" i="7" s="1"/>
  <c r="B251" i="6"/>
  <c r="AE222" i="8"/>
  <c r="Q222" i="8"/>
  <c r="A251" i="6"/>
  <c r="Z221" i="8"/>
  <c r="F250" i="6"/>
  <c r="U221" i="8"/>
  <c r="T221" i="8"/>
  <c r="D250" i="6" s="1"/>
  <c r="C250" i="6"/>
  <c r="Y221" i="8"/>
  <c r="B250" i="6"/>
  <c r="R221" i="8"/>
  <c r="A234" i="7" s="1"/>
  <c r="S221" i="8"/>
  <c r="Q221" i="8"/>
  <c r="A250" i="6"/>
  <c r="AE221" i="8"/>
  <c r="Z220" i="8"/>
  <c r="F249" i="6"/>
  <c r="T220" i="8"/>
  <c r="D249" i="6" s="1"/>
  <c r="U220" i="8"/>
  <c r="C249" i="6"/>
  <c r="Y220" i="8"/>
  <c r="R220" i="8"/>
  <c r="A233" i="7" s="1"/>
  <c r="S220" i="8"/>
  <c r="B249" i="6"/>
  <c r="Q220" i="8"/>
  <c r="AE220" i="8"/>
  <c r="A249" i="6"/>
  <c r="F248" i="6"/>
  <c r="Z219" i="8"/>
  <c r="U219" i="8"/>
  <c r="T219" i="8"/>
  <c r="D248" i="6" s="1"/>
  <c r="Y219" i="8"/>
  <c r="C248" i="6"/>
  <c r="S219" i="8"/>
  <c r="R219" i="8"/>
  <c r="A232" i="7" s="1"/>
  <c r="B248" i="6"/>
  <c r="AE219" i="8"/>
  <c r="A248" i="6"/>
  <c r="Q219" i="8"/>
  <c r="F247" i="6"/>
  <c r="Z218" i="8"/>
  <c r="T218" i="8"/>
  <c r="D247" i="6" s="1"/>
  <c r="U218" i="8"/>
  <c r="C247" i="6"/>
  <c r="Y218" i="8"/>
  <c r="B247" i="6"/>
  <c r="R218" i="8"/>
  <c r="A231" i="7" s="1"/>
  <c r="S218" i="8"/>
  <c r="AE218" i="8"/>
  <c r="A247" i="6"/>
  <c r="Q218" i="8"/>
  <c r="F246" i="6"/>
  <c r="Z217" i="8"/>
  <c r="T217" i="8"/>
  <c r="D246" i="6" s="1"/>
  <c r="U217" i="8"/>
  <c r="C246" i="6"/>
  <c r="Y217" i="8"/>
  <c r="S217" i="8"/>
  <c r="R217" i="8"/>
  <c r="A230" i="7" s="1"/>
  <c r="B246" i="6"/>
  <c r="Q217" i="8"/>
  <c r="AE217" i="8"/>
  <c r="A246" i="6"/>
  <c r="Z216" i="8"/>
  <c r="F245" i="6"/>
  <c r="U216" i="8"/>
  <c r="T216" i="8"/>
  <c r="D245" i="6" s="1"/>
  <c r="Y216" i="8"/>
  <c r="C245" i="6"/>
  <c r="S216" i="8"/>
  <c r="R216" i="8"/>
  <c r="A229" i="7" s="1"/>
  <c r="B245" i="6"/>
  <c r="Q216" i="8"/>
  <c r="A245" i="6"/>
  <c r="AE216" i="8"/>
  <c r="F244" i="6"/>
  <c r="Z215" i="8"/>
  <c r="U215" i="8"/>
  <c r="T215" i="8"/>
  <c r="D244" i="6" s="1"/>
  <c r="C244" i="6"/>
  <c r="Y215" i="8"/>
  <c r="R215" i="8"/>
  <c r="A228" i="7" s="1"/>
  <c r="B244" i="6"/>
  <c r="S215" i="8"/>
  <c r="AE215" i="8"/>
  <c r="Q215" i="8"/>
  <c r="A244" i="6"/>
  <c r="Z214" i="8"/>
  <c r="F243" i="6"/>
  <c r="T214" i="8"/>
  <c r="D243" i="6" s="1"/>
  <c r="U214" i="8"/>
  <c r="Y214" i="8"/>
  <c r="C243" i="6"/>
  <c r="R214" i="8"/>
  <c r="A227" i="7" s="1"/>
  <c r="S214" i="8"/>
  <c r="B243" i="6"/>
  <c r="AE214" i="8"/>
  <c r="Q214" i="8"/>
  <c r="A243" i="6"/>
  <c r="F242" i="6"/>
  <c r="Z213" i="8"/>
  <c r="T213" i="8"/>
  <c r="D242" i="6" s="1"/>
  <c r="U213" i="8"/>
  <c r="Y213" i="8"/>
  <c r="C242" i="6"/>
  <c r="B242" i="6"/>
  <c r="S213" i="8"/>
  <c r="R213" i="8"/>
  <c r="A226" i="7" s="1"/>
  <c r="Q213" i="8"/>
  <c r="AE213" i="8"/>
  <c r="A242" i="6"/>
  <c r="F241" i="6"/>
  <c r="Z212" i="8"/>
  <c r="T212" i="8"/>
  <c r="D241" i="6" s="1"/>
  <c r="U212" i="8"/>
  <c r="C241" i="6"/>
  <c r="Y212" i="8"/>
  <c r="S212" i="8"/>
  <c r="R212" i="8"/>
  <c r="A225" i="7" s="1"/>
  <c r="B241" i="6"/>
  <c r="A241" i="6"/>
  <c r="Q212" i="8"/>
  <c r="AE212" i="8"/>
  <c r="Z211" i="8"/>
  <c r="F240" i="6"/>
  <c r="T211" i="8"/>
  <c r="D240" i="6" s="1"/>
  <c r="U211" i="8"/>
  <c r="C240" i="6"/>
  <c r="Y211" i="8"/>
  <c r="R211" i="8"/>
  <c r="A224" i="7" s="1"/>
  <c r="S211" i="8"/>
  <c r="B240" i="6"/>
  <c r="Q211" i="8"/>
  <c r="AE211" i="8"/>
  <c r="A240" i="6"/>
  <c r="F239" i="6"/>
  <c r="Z210" i="8"/>
  <c r="U210" i="8"/>
  <c r="T210" i="8"/>
  <c r="D239" i="6" s="1"/>
  <c r="C239" i="6"/>
  <c r="Y210" i="8"/>
  <c r="B239" i="6"/>
  <c r="S210" i="8"/>
  <c r="R210" i="8"/>
  <c r="A223" i="7" s="1"/>
  <c r="Q210" i="8"/>
  <c r="A239" i="6"/>
  <c r="AE210" i="8"/>
  <c r="F238" i="6"/>
  <c r="Z209" i="8"/>
  <c r="T209" i="8"/>
  <c r="D238" i="6" s="1"/>
  <c r="U209" i="8"/>
  <c r="C238" i="6"/>
  <c r="Y209" i="8"/>
  <c r="R209" i="8"/>
  <c r="A222" i="7" s="1"/>
  <c r="B238" i="6"/>
  <c r="S209" i="8"/>
  <c r="AE209" i="8"/>
  <c r="A238" i="6"/>
  <c r="Q209" i="8"/>
  <c r="F237" i="6"/>
  <c r="Z208" i="8"/>
  <c r="T208" i="8"/>
  <c r="D237" i="6" s="1"/>
  <c r="U208" i="8"/>
  <c r="C237" i="6"/>
  <c r="Y208" i="8"/>
  <c r="B237" i="6"/>
  <c r="S208" i="8"/>
  <c r="R208" i="8"/>
  <c r="A221" i="7" s="1"/>
  <c r="Q208" i="8"/>
  <c r="AE208" i="8"/>
  <c r="A237" i="6"/>
  <c r="Z207" i="8"/>
  <c r="F236" i="6"/>
  <c r="U207" i="8"/>
  <c r="T207" i="8"/>
  <c r="D236" i="6" s="1"/>
  <c r="Y207" i="8"/>
  <c r="C236" i="6"/>
  <c r="B236" i="6"/>
  <c r="S207" i="8"/>
  <c r="R207" i="8"/>
  <c r="A220" i="7" s="1"/>
  <c r="A236" i="6"/>
  <c r="AE207" i="8"/>
  <c r="Q207" i="8"/>
  <c r="F235" i="6"/>
  <c r="Z206" i="8"/>
  <c r="U206" i="8"/>
  <c r="T206" i="8"/>
  <c r="D235" i="6" s="1"/>
  <c r="C235" i="6"/>
  <c r="Y206" i="8"/>
  <c r="R206" i="8"/>
  <c r="A219" i="7" s="1"/>
  <c r="S206" i="8"/>
  <c r="B235" i="6"/>
  <c r="Q206" i="8"/>
  <c r="A235" i="6"/>
  <c r="AE206" i="8"/>
  <c r="F234" i="6"/>
  <c r="Z205" i="8"/>
  <c r="T205" i="8"/>
  <c r="D234" i="6" s="1"/>
  <c r="U205" i="8"/>
  <c r="Y205" i="8"/>
  <c r="C234" i="6"/>
  <c r="R205" i="8"/>
  <c r="A218" i="7" s="1"/>
  <c r="S205" i="8"/>
  <c r="B234" i="6"/>
  <c r="AE205" i="8"/>
  <c r="Q205" i="8"/>
  <c r="A234" i="6"/>
  <c r="F233" i="6"/>
  <c r="Z204" i="8"/>
  <c r="U204" i="8"/>
  <c r="T204" i="8"/>
  <c r="D233" i="6" s="1"/>
  <c r="Y204" i="8"/>
  <c r="C233" i="6"/>
  <c r="R204" i="8"/>
  <c r="A217" i="7" s="1"/>
  <c r="B233" i="6"/>
  <c r="S204" i="8"/>
  <c r="A233" i="6"/>
  <c r="AE204" i="8"/>
  <c r="Q204" i="8"/>
  <c r="F232" i="6"/>
  <c r="Z203" i="8"/>
  <c r="T203" i="8"/>
  <c r="D232" i="6" s="1"/>
  <c r="U203" i="8"/>
  <c r="Y203" i="8"/>
  <c r="C232" i="6"/>
  <c r="R203" i="8"/>
  <c r="A216" i="7" s="1"/>
  <c r="S203" i="8"/>
  <c r="B232" i="6"/>
  <c r="AE203" i="8"/>
  <c r="A232" i="6"/>
  <c r="Q203" i="8"/>
  <c r="F231" i="6"/>
  <c r="Z202" i="8"/>
  <c r="U202" i="8"/>
  <c r="T202" i="8"/>
  <c r="D231" i="6" s="1"/>
  <c r="Y202" i="8"/>
  <c r="C231" i="6"/>
  <c r="S202" i="8"/>
  <c r="R202" i="8"/>
  <c r="A215" i="7" s="1"/>
  <c r="B231" i="6"/>
  <c r="AE202" i="8"/>
  <c r="A231" i="6"/>
  <c r="Q202" i="8"/>
  <c r="Z201" i="8"/>
  <c r="F230" i="6"/>
  <c r="T201" i="8"/>
  <c r="D230" i="6" s="1"/>
  <c r="U201" i="8"/>
  <c r="C230" i="6"/>
  <c r="Y201" i="8"/>
  <c r="B230" i="6"/>
  <c r="R201" i="8"/>
  <c r="A214" i="7" s="1"/>
  <c r="S201" i="8"/>
  <c r="AE201" i="8"/>
  <c r="A230" i="6"/>
  <c r="Q201" i="8"/>
  <c r="F229" i="6"/>
  <c r="Z200" i="8"/>
  <c r="T200" i="8"/>
  <c r="D229" i="6" s="1"/>
  <c r="U200" i="8"/>
  <c r="C229" i="6"/>
  <c r="Y200" i="8"/>
  <c r="B229" i="6"/>
  <c r="R200" i="8"/>
  <c r="A213" i="7" s="1"/>
  <c r="S200" i="8"/>
  <c r="A229" i="6"/>
  <c r="Q200" i="8"/>
  <c r="AE200" i="8"/>
  <c r="F228" i="6"/>
  <c r="Z199" i="8"/>
  <c r="T199" i="8"/>
  <c r="D228" i="6" s="1"/>
  <c r="U199" i="8"/>
  <c r="Y199" i="8"/>
  <c r="C228" i="6"/>
  <c r="S199" i="8"/>
  <c r="R199" i="8"/>
  <c r="A212" i="7" s="1"/>
  <c r="B228" i="6"/>
  <c r="AE199" i="8"/>
  <c r="Q199" i="8"/>
  <c r="A228" i="6"/>
  <c r="A217" i="6"/>
  <c r="AE188" i="8"/>
  <c r="Q188" i="8"/>
  <c r="F216" i="6"/>
  <c r="Z187" i="8"/>
  <c r="U187" i="8"/>
  <c r="T187" i="8"/>
  <c r="D216" i="6" s="1"/>
  <c r="Y187" i="8"/>
  <c r="C216" i="6"/>
  <c r="S187" i="8"/>
  <c r="R187" i="8"/>
  <c r="A200" i="7" s="1"/>
  <c r="B216" i="6"/>
  <c r="Q187" i="8"/>
  <c r="A216" i="6"/>
  <c r="AE187" i="8"/>
  <c r="Z186" i="8"/>
  <c r="F215" i="6"/>
  <c r="U186" i="8"/>
  <c r="T186" i="8"/>
  <c r="D215" i="6" s="1"/>
  <c r="Y186" i="8"/>
  <c r="C215" i="6"/>
  <c r="B215" i="6"/>
  <c r="S186" i="8"/>
  <c r="R186" i="8"/>
  <c r="A199" i="7" s="1"/>
  <c r="AE186" i="8"/>
  <c r="A215" i="6"/>
  <c r="Q186" i="8"/>
  <c r="F214" i="6"/>
  <c r="Z185" i="8"/>
  <c r="U185" i="8"/>
  <c r="T185" i="8"/>
  <c r="D214" i="6" s="1"/>
  <c r="C214" i="6"/>
  <c r="Y185" i="8"/>
  <c r="S185" i="8"/>
  <c r="R185" i="8"/>
  <c r="A198" i="7" s="1"/>
  <c r="B214" i="6"/>
  <c r="AE185" i="8"/>
  <c r="Q185" i="8"/>
  <c r="A214" i="6"/>
  <c r="F213" i="6"/>
  <c r="Z184" i="8"/>
  <c r="T184" i="8"/>
  <c r="D213" i="6" s="1"/>
  <c r="U184" i="8"/>
  <c r="C213" i="6"/>
  <c r="Y184" i="8"/>
  <c r="R184" i="8"/>
  <c r="A197" i="7" s="1"/>
  <c r="B213" i="6"/>
  <c r="S184" i="8"/>
  <c r="Q184" i="8"/>
  <c r="AE184" i="8"/>
  <c r="A213" i="6"/>
  <c r="Z183" i="8"/>
  <c r="F212" i="6"/>
  <c r="U183" i="8"/>
  <c r="T183" i="8"/>
  <c r="D212" i="6" s="1"/>
  <c r="Y183" i="8"/>
  <c r="C212" i="6"/>
  <c r="S183" i="8"/>
  <c r="R183" i="8"/>
  <c r="A196" i="7" s="1"/>
  <c r="B212" i="6"/>
  <c r="AE183" i="8"/>
  <c r="Q183" i="8"/>
  <c r="A212" i="6"/>
  <c r="Z182" i="8"/>
  <c r="F211" i="6"/>
  <c r="T182" i="8"/>
  <c r="D211" i="6" s="1"/>
  <c r="U182" i="8"/>
  <c r="C211" i="6"/>
  <c r="Y182" i="8"/>
  <c r="S182" i="8"/>
  <c r="B211" i="6"/>
  <c r="R182" i="8"/>
  <c r="A195" i="7" s="1"/>
  <c r="AE182" i="8"/>
  <c r="A211" i="6"/>
  <c r="Q182" i="8"/>
  <c r="F210" i="6"/>
  <c r="Z181" i="8"/>
  <c r="U181" i="8"/>
  <c r="T181" i="8"/>
  <c r="D210" i="6" s="1"/>
  <c r="C210" i="6"/>
  <c r="Y181" i="8"/>
  <c r="B210" i="6"/>
  <c r="S181" i="8"/>
  <c r="R181" i="8"/>
  <c r="A194" i="7" s="1"/>
  <c r="A210" i="6"/>
  <c r="AE181" i="8"/>
  <c r="Q181" i="8"/>
  <c r="F209" i="6"/>
  <c r="Z180" i="8"/>
  <c r="U180" i="8"/>
  <c r="T180" i="8"/>
  <c r="D209" i="6" s="1"/>
  <c r="Y180" i="8"/>
  <c r="C209" i="6"/>
  <c r="R180" i="8"/>
  <c r="A193" i="7" s="1"/>
  <c r="B209" i="6"/>
  <c r="S180" i="8"/>
  <c r="A209" i="6"/>
  <c r="AE180" i="8"/>
  <c r="Q180" i="8"/>
  <c r="Z179" i="8"/>
  <c r="F208" i="6"/>
  <c r="T179" i="8"/>
  <c r="D208" i="6" s="1"/>
  <c r="U179" i="8"/>
  <c r="C208" i="6"/>
  <c r="Y179" i="8"/>
  <c r="R179" i="8"/>
  <c r="A192" i="7" s="1"/>
  <c r="S179" i="8"/>
  <c r="B208" i="6"/>
  <c r="Q179" i="8"/>
  <c r="AE179" i="8"/>
  <c r="A208" i="6"/>
  <c r="Z178" i="8"/>
  <c r="F207" i="6"/>
  <c r="U178" i="8"/>
  <c r="T178" i="8"/>
  <c r="D207" i="6" s="1"/>
  <c r="Y178" i="8"/>
  <c r="C207" i="6"/>
  <c r="B207" i="6"/>
  <c r="R178" i="8"/>
  <c r="A191" i="7" s="1"/>
  <c r="S178" i="8"/>
  <c r="A207" i="6"/>
  <c r="Q178" i="8"/>
  <c r="AE178" i="8"/>
  <c r="F206" i="6"/>
  <c r="Z177" i="8"/>
  <c r="U177" i="8"/>
  <c r="T177" i="8"/>
  <c r="D206" i="6" s="1"/>
  <c r="C206" i="6"/>
  <c r="Y177" i="8"/>
  <c r="B206" i="6"/>
  <c r="R177" i="8"/>
  <c r="A190" i="7" s="1"/>
  <c r="S177" i="8"/>
  <c r="Q177" i="8"/>
  <c r="AE177" i="8"/>
  <c r="A206" i="6"/>
  <c r="Z176" i="8"/>
  <c r="F205" i="6"/>
  <c r="T176" i="8"/>
  <c r="D205" i="6" s="1"/>
  <c r="U176" i="8"/>
  <c r="Y176" i="8"/>
  <c r="C205" i="6"/>
  <c r="R176" i="8"/>
  <c r="A189" i="7" s="1"/>
  <c r="S176" i="8"/>
  <c r="B205" i="6"/>
  <c r="A205" i="6"/>
  <c r="Q176" i="8"/>
  <c r="AE176" i="8"/>
  <c r="F204" i="6"/>
  <c r="Z175" i="8"/>
  <c r="U175" i="8"/>
  <c r="T175" i="8"/>
  <c r="D204" i="6" s="1"/>
  <c r="C204" i="6"/>
  <c r="Y175" i="8"/>
  <c r="B204" i="6"/>
  <c r="S175" i="8"/>
  <c r="R175" i="8"/>
  <c r="A188" i="7" s="1"/>
  <c r="A204" i="6"/>
  <c r="AE175" i="8"/>
  <c r="Q175" i="8"/>
  <c r="F203" i="6"/>
  <c r="Z174" i="8"/>
  <c r="T174" i="8"/>
  <c r="D203" i="6" s="1"/>
  <c r="U174" i="8"/>
  <c r="C203" i="6"/>
  <c r="Y174" i="8"/>
  <c r="B203" i="6"/>
  <c r="R174" i="8"/>
  <c r="A187" i="7" s="1"/>
  <c r="S174" i="8"/>
  <c r="A203" i="6"/>
  <c r="Q174" i="8"/>
  <c r="AE174" i="8"/>
  <c r="F202" i="6"/>
  <c r="Z173" i="8"/>
  <c r="T173" i="8"/>
  <c r="D202" i="6" s="1"/>
  <c r="U173" i="8"/>
  <c r="C202" i="6"/>
  <c r="Y173" i="8"/>
  <c r="S173" i="8"/>
  <c r="B202" i="6"/>
  <c r="R173" i="8"/>
  <c r="A186" i="7" s="1"/>
  <c r="A202" i="6"/>
  <c r="Q173" i="8"/>
  <c r="AE173" i="8"/>
  <c r="F201" i="6"/>
  <c r="Z172" i="8"/>
  <c r="U172" i="8"/>
  <c r="T172" i="8"/>
  <c r="D201" i="6" s="1"/>
  <c r="C201" i="6"/>
  <c r="Y172" i="8"/>
  <c r="B201" i="6"/>
  <c r="S172" i="8"/>
  <c r="R172" i="8"/>
  <c r="A185" i="7" s="1"/>
  <c r="AE172" i="8"/>
  <c r="A201" i="6"/>
  <c r="Q172" i="8"/>
  <c r="Z171" i="8"/>
  <c r="F200" i="6"/>
  <c r="U171" i="8"/>
  <c r="T171" i="8"/>
  <c r="D200" i="6" s="1"/>
  <c r="Y171" i="8"/>
  <c r="C200" i="6"/>
  <c r="B200" i="6"/>
  <c r="S171" i="8"/>
  <c r="R171" i="8"/>
  <c r="A184" i="7" s="1"/>
  <c r="AE171" i="8"/>
  <c r="Q171" i="8"/>
  <c r="A200" i="6"/>
  <c r="Z170" i="8"/>
  <c r="F199" i="6"/>
  <c r="U170" i="8"/>
  <c r="T170" i="8"/>
  <c r="D199" i="6" s="1"/>
  <c r="C199" i="6"/>
  <c r="Y170" i="8"/>
  <c r="S170" i="8"/>
  <c r="R170" i="8"/>
  <c r="A183" i="7" s="1"/>
  <c r="B199" i="6"/>
  <c r="A199" i="6"/>
  <c r="AE170" i="8"/>
  <c r="Q170" i="8"/>
  <c r="F198" i="6"/>
  <c r="Z169" i="8"/>
  <c r="T169" i="8"/>
  <c r="D198" i="6" s="1"/>
  <c r="U169" i="8"/>
  <c r="C198" i="6"/>
  <c r="Y169" i="8"/>
  <c r="R169" i="8"/>
  <c r="A182" i="7" s="1"/>
  <c r="S169" i="8"/>
  <c r="B198" i="6"/>
  <c r="Q169" i="8"/>
  <c r="AE169" i="8"/>
  <c r="A198" i="6"/>
  <c r="Z168" i="8"/>
  <c r="F197" i="6"/>
  <c r="U168" i="8"/>
  <c r="T168" i="8"/>
  <c r="D197" i="6" s="1"/>
  <c r="Y168" i="8"/>
  <c r="C197" i="6"/>
  <c r="R168" i="8"/>
  <c r="A181" i="7" s="1"/>
  <c r="S168" i="8"/>
  <c r="B197" i="6"/>
  <c r="Q168" i="8"/>
  <c r="AE168" i="8"/>
  <c r="A197" i="6"/>
  <c r="Z167" i="8"/>
  <c r="F196" i="6"/>
  <c r="T167" i="8"/>
  <c r="D196" i="6" s="1"/>
  <c r="U167" i="8"/>
  <c r="Y167" i="8"/>
  <c r="C196" i="6"/>
  <c r="B196" i="6"/>
  <c r="R167" i="8"/>
  <c r="A180" i="7" s="1"/>
  <c r="S167" i="8"/>
  <c r="Q167" i="8"/>
  <c r="AE167" i="8"/>
  <c r="A196" i="6"/>
  <c r="F195" i="6"/>
  <c r="Z166" i="8"/>
  <c r="T166" i="8"/>
  <c r="D195" i="6" s="1"/>
  <c r="U166" i="8"/>
  <c r="C195" i="6"/>
  <c r="Y166" i="8"/>
  <c r="R166" i="8"/>
  <c r="A179" i="7" s="1"/>
  <c r="S166" i="8"/>
  <c r="B195" i="6"/>
  <c r="A195" i="6"/>
  <c r="Q166" i="8"/>
  <c r="AE166" i="8"/>
  <c r="Z165" i="8"/>
  <c r="F194" i="6"/>
  <c r="U165" i="8"/>
  <c r="T165" i="8"/>
  <c r="D194" i="6" s="1"/>
  <c r="Y165" i="8"/>
  <c r="C194" i="6"/>
  <c r="S165" i="8"/>
  <c r="B194" i="6"/>
  <c r="R165" i="8"/>
  <c r="A178" i="7" s="1"/>
  <c r="A194" i="6"/>
  <c r="AE165" i="8"/>
  <c r="Q165" i="8"/>
  <c r="Z164" i="8"/>
  <c r="F193" i="6"/>
  <c r="T164" i="8"/>
  <c r="D193" i="6" s="1"/>
  <c r="U164" i="8"/>
  <c r="C193" i="6"/>
  <c r="Y164" i="8"/>
  <c r="S164" i="8"/>
  <c r="R164" i="8"/>
  <c r="A177" i="7" s="1"/>
  <c r="B193" i="6"/>
  <c r="AE164" i="8"/>
  <c r="A193" i="6"/>
  <c r="Q164" i="8"/>
  <c r="F192" i="6"/>
  <c r="Z163" i="8"/>
  <c r="U163" i="8"/>
  <c r="T163" i="8"/>
  <c r="D192" i="6" s="1"/>
  <c r="C192" i="6"/>
  <c r="Y163" i="8"/>
  <c r="B192" i="6"/>
  <c r="S163" i="8"/>
  <c r="R163" i="8"/>
  <c r="A176" i="7" s="1"/>
  <c r="A192" i="6"/>
  <c r="AE163" i="8"/>
  <c r="Q163" i="8"/>
  <c r="Z162" i="8"/>
  <c r="F191" i="6"/>
  <c r="T162" i="8"/>
  <c r="D191" i="6" s="1"/>
  <c r="U162" i="8"/>
  <c r="C191" i="6"/>
  <c r="Y162" i="8"/>
  <c r="B191" i="6"/>
  <c r="R162" i="8"/>
  <c r="A175" i="7" s="1"/>
  <c r="S162" i="8"/>
  <c r="A191" i="6"/>
  <c r="Q162" i="8"/>
  <c r="AE162" i="8"/>
  <c r="F190" i="6"/>
  <c r="Z161" i="8"/>
  <c r="T161" i="8"/>
  <c r="D190" i="6" s="1"/>
  <c r="U161" i="8"/>
  <c r="C190" i="6"/>
  <c r="Y161" i="8"/>
  <c r="B190" i="6"/>
  <c r="S161" i="8"/>
  <c r="R161" i="8"/>
  <c r="A174" i="7" s="1"/>
  <c r="Q161" i="8"/>
  <c r="AE161" i="8"/>
  <c r="A190" i="6"/>
  <c r="Z160" i="8"/>
  <c r="F189" i="6"/>
  <c r="T160" i="8"/>
  <c r="D189" i="6" s="1"/>
  <c r="U160" i="8"/>
  <c r="Y160" i="8"/>
  <c r="C189" i="6"/>
  <c r="R160" i="8"/>
  <c r="A173" i="7" s="1"/>
  <c r="S160" i="8"/>
  <c r="B189" i="6"/>
  <c r="Q160" i="8"/>
  <c r="AE160" i="8"/>
  <c r="A189" i="6"/>
  <c r="F188" i="6"/>
  <c r="Z159" i="8"/>
  <c r="U159" i="8"/>
  <c r="T159" i="8"/>
  <c r="D188" i="6" s="1"/>
  <c r="C188" i="6"/>
  <c r="Y159" i="8"/>
  <c r="R159" i="8"/>
  <c r="A172" i="7" s="1"/>
  <c r="B188" i="6"/>
  <c r="S159" i="8"/>
  <c r="AE159" i="8"/>
  <c r="A188" i="6"/>
  <c r="Q159" i="8"/>
  <c r="F187" i="6"/>
  <c r="Z158" i="8"/>
  <c r="T158" i="8"/>
  <c r="D187" i="6" s="1"/>
  <c r="U158" i="8"/>
  <c r="C187" i="6"/>
  <c r="Y158" i="8"/>
  <c r="R158" i="8"/>
  <c r="A171" i="7" s="1"/>
  <c r="B187" i="6"/>
  <c r="S158" i="8"/>
  <c r="A187" i="6"/>
  <c r="AE158" i="8"/>
  <c r="Q158" i="8"/>
  <c r="Z157" i="8"/>
  <c r="F186" i="6"/>
  <c r="T157" i="8"/>
  <c r="D186" i="6" s="1"/>
  <c r="U157" i="8"/>
  <c r="Y157" i="8"/>
  <c r="C186" i="6"/>
  <c r="B186" i="6"/>
  <c r="R157" i="8"/>
  <c r="A170" i="7" s="1"/>
  <c r="S157" i="8"/>
  <c r="A186" i="6"/>
  <c r="Q157" i="8"/>
  <c r="AE157" i="8"/>
  <c r="Z156" i="8"/>
  <c r="F185" i="6"/>
  <c r="U156" i="8"/>
  <c r="T156" i="8"/>
  <c r="D185" i="6" s="1"/>
  <c r="C185" i="6"/>
  <c r="Y156" i="8"/>
  <c r="B185" i="6"/>
  <c r="S156" i="8"/>
  <c r="R156" i="8"/>
  <c r="A169" i="7" s="1"/>
  <c r="A185" i="6"/>
  <c r="AE156" i="8"/>
  <c r="Q156" i="8"/>
  <c r="F184" i="6"/>
  <c r="Z155" i="8"/>
  <c r="T155" i="8"/>
  <c r="D184" i="6" s="1"/>
  <c r="U155" i="8"/>
  <c r="C184" i="6"/>
  <c r="Y155" i="8"/>
  <c r="B184" i="6"/>
  <c r="S155" i="8"/>
  <c r="R155" i="8"/>
  <c r="A168" i="7" s="1"/>
  <c r="Q155" i="8"/>
  <c r="AE155" i="8"/>
  <c r="A184" i="6"/>
  <c r="F183" i="6"/>
  <c r="Z154" i="8"/>
  <c r="T154" i="8"/>
  <c r="D183" i="6" s="1"/>
  <c r="U154" i="8"/>
  <c r="Y154" i="8"/>
  <c r="C183" i="6"/>
  <c r="R154" i="8"/>
  <c r="A167" i="7" s="1"/>
  <c r="B183" i="6"/>
  <c r="S154" i="8"/>
  <c r="A183" i="6"/>
  <c r="AE154" i="8"/>
  <c r="Q154" i="8"/>
  <c r="F182" i="6"/>
  <c r="Z153" i="8"/>
  <c r="T153" i="8"/>
  <c r="D182" i="6" s="1"/>
  <c r="U153" i="8"/>
  <c r="C182" i="6"/>
  <c r="Y153" i="8"/>
  <c r="B182" i="6"/>
  <c r="R153" i="8"/>
  <c r="A166" i="7" s="1"/>
  <c r="S153" i="8"/>
  <c r="Q153" i="8"/>
  <c r="AE153" i="8"/>
  <c r="A182" i="6"/>
  <c r="Z152" i="8"/>
  <c r="F181" i="6"/>
  <c r="U152" i="8"/>
  <c r="T152" i="8"/>
  <c r="D181" i="6" s="1"/>
  <c r="Y152" i="8"/>
  <c r="C181" i="6"/>
  <c r="S152" i="8"/>
  <c r="B181" i="6"/>
  <c r="R152" i="8"/>
  <c r="A165" i="7" s="1"/>
  <c r="AE152" i="8"/>
  <c r="A181" i="6"/>
  <c r="Q152" i="8"/>
  <c r="F180" i="6"/>
  <c r="Z151" i="8"/>
  <c r="U151" i="8"/>
  <c r="T151" i="8"/>
  <c r="D180" i="6" s="1"/>
  <c r="Y151" i="8"/>
  <c r="C180" i="6"/>
  <c r="R151" i="8"/>
  <c r="A164" i="7" s="1"/>
  <c r="S151" i="8"/>
  <c r="B180" i="6"/>
  <c r="Q151" i="8"/>
  <c r="AE151" i="8"/>
  <c r="A180" i="6"/>
  <c r="Z150" i="8"/>
  <c r="F179" i="6"/>
  <c r="U150" i="8"/>
  <c r="T150" i="8"/>
  <c r="D179" i="6" s="1"/>
  <c r="Y150" i="8"/>
  <c r="C179" i="6"/>
  <c r="S150" i="8"/>
  <c r="B179" i="6"/>
  <c r="R150" i="8"/>
  <c r="A163" i="7" s="1"/>
  <c r="Q150" i="8"/>
  <c r="AE150" i="8"/>
  <c r="A179" i="6"/>
  <c r="Z149" i="8"/>
  <c r="F178" i="6"/>
  <c r="T149" i="8"/>
  <c r="D178" i="6" s="1"/>
  <c r="U149" i="8"/>
  <c r="C178" i="6"/>
  <c r="Y149" i="8"/>
  <c r="R149" i="8"/>
  <c r="A162" i="7" s="1"/>
  <c r="S149" i="8"/>
  <c r="B178" i="6"/>
  <c r="Q149" i="8"/>
  <c r="A178" i="6"/>
  <c r="AE149" i="8"/>
  <c r="F177" i="6"/>
  <c r="Z148" i="8"/>
  <c r="T148" i="8"/>
  <c r="D177" i="6" s="1"/>
  <c r="U148" i="8"/>
  <c r="C177" i="6"/>
  <c r="Y148" i="8"/>
  <c r="B177" i="6"/>
  <c r="R148" i="8"/>
  <c r="A161" i="7" s="1"/>
  <c r="S148" i="8"/>
  <c r="A177" i="6"/>
  <c r="AE148" i="8"/>
  <c r="Q148" i="8"/>
  <c r="F176" i="6"/>
  <c r="Z147" i="8"/>
  <c r="T147" i="8"/>
  <c r="D176" i="6" s="1"/>
  <c r="U147" i="8"/>
  <c r="Y147" i="8"/>
  <c r="C176" i="6"/>
  <c r="R147" i="8"/>
  <c r="A160" i="7" s="1"/>
  <c r="S147" i="8"/>
  <c r="B176" i="6"/>
  <c r="AE147" i="8"/>
  <c r="A176" i="6"/>
  <c r="Q147" i="8"/>
  <c r="Z146" i="8"/>
  <c r="F175" i="6"/>
  <c r="U146" i="8"/>
  <c r="T146" i="8"/>
  <c r="D175" i="6" s="1"/>
  <c r="Y146" i="8"/>
  <c r="C175" i="6"/>
  <c r="S146" i="8"/>
  <c r="B175" i="6"/>
  <c r="R146" i="8"/>
  <c r="A159" i="7" s="1"/>
  <c r="Q146" i="8"/>
  <c r="AE146" i="8"/>
  <c r="A175" i="6"/>
  <c r="F174" i="6"/>
  <c r="Z145" i="8"/>
  <c r="U145" i="8"/>
  <c r="T145" i="8"/>
  <c r="D174" i="6" s="1"/>
  <c r="Y145" i="8"/>
  <c r="C174" i="6"/>
  <c r="S145" i="8"/>
  <c r="R145" i="8"/>
  <c r="A158" i="7" s="1"/>
  <c r="B174" i="6"/>
  <c r="Q145" i="8"/>
  <c r="AE145" i="8"/>
  <c r="A174" i="6"/>
  <c r="Z144" i="8"/>
  <c r="F173" i="6"/>
  <c r="U144" i="8"/>
  <c r="T144" i="8"/>
  <c r="D173" i="6" s="1"/>
  <c r="Y144" i="8"/>
  <c r="C173" i="6"/>
  <c r="B173" i="6"/>
  <c r="S144" i="8"/>
  <c r="R144" i="8"/>
  <c r="A157" i="7" s="1"/>
  <c r="AE144" i="8"/>
  <c r="Q144" i="8"/>
  <c r="A173" i="6"/>
  <c r="F172" i="6"/>
  <c r="Z143" i="8"/>
  <c r="U143" i="8"/>
  <c r="T143" i="8"/>
  <c r="D172" i="6" s="1"/>
  <c r="Y143" i="8"/>
  <c r="C172" i="6"/>
  <c r="S143" i="8"/>
  <c r="R143" i="8"/>
  <c r="A156" i="7" s="1"/>
  <c r="B172" i="6"/>
  <c r="A172" i="6"/>
  <c r="AE143" i="8"/>
  <c r="Q143" i="8"/>
  <c r="F171" i="6"/>
  <c r="Z142" i="8"/>
  <c r="U142" i="8"/>
  <c r="T142" i="8"/>
  <c r="D171" i="6" s="1"/>
  <c r="Y142" i="8"/>
  <c r="C171" i="6"/>
  <c r="S142" i="8"/>
  <c r="R142" i="8"/>
  <c r="A155" i="7" s="1"/>
  <c r="B171" i="6"/>
  <c r="AE142" i="8"/>
  <c r="Q142" i="8"/>
  <c r="A171" i="6"/>
  <c r="F170" i="6"/>
  <c r="Z141" i="8"/>
  <c r="T141" i="8"/>
  <c r="D170" i="6" s="1"/>
  <c r="U141" i="8"/>
  <c r="Y141" i="8"/>
  <c r="C170" i="6"/>
  <c r="B170" i="6"/>
  <c r="R141" i="8"/>
  <c r="A154" i="7" s="1"/>
  <c r="S141" i="8"/>
  <c r="A170" i="6"/>
  <c r="AE141" i="8"/>
  <c r="Q141" i="8"/>
  <c r="Z140" i="8"/>
  <c r="F169" i="6"/>
  <c r="T140" i="8"/>
  <c r="D169" i="6" s="1"/>
  <c r="U140" i="8"/>
  <c r="C169" i="6"/>
  <c r="Y140" i="8"/>
  <c r="B169" i="6"/>
  <c r="S140" i="8"/>
  <c r="R140" i="8"/>
  <c r="A153" i="7" s="1"/>
  <c r="Q140" i="8"/>
  <c r="AE140" i="8"/>
  <c r="A169" i="6"/>
  <c r="Z139" i="8"/>
  <c r="F168" i="6"/>
  <c r="U139" i="8"/>
  <c r="T139" i="8"/>
  <c r="D168" i="6" s="1"/>
  <c r="Y139" i="8"/>
  <c r="C168" i="6"/>
  <c r="B168" i="6"/>
  <c r="S139" i="8"/>
  <c r="R139" i="8"/>
  <c r="A152" i="7" s="1"/>
  <c r="A168" i="6"/>
  <c r="Q139" i="8"/>
  <c r="AE139" i="8"/>
  <c r="Z138" i="8"/>
  <c r="F167" i="6"/>
  <c r="U138" i="8"/>
  <c r="T138" i="8"/>
  <c r="D167" i="6" s="1"/>
  <c r="C167" i="6"/>
  <c r="Y138" i="8"/>
  <c r="B167" i="6"/>
  <c r="S138" i="8"/>
  <c r="R138" i="8"/>
  <c r="A151" i="7" s="1"/>
  <c r="A167" i="6"/>
  <c r="Q138" i="8"/>
  <c r="AE138" i="8"/>
  <c r="F166" i="6"/>
  <c r="Z137" i="8"/>
  <c r="T137" i="8"/>
  <c r="D166" i="6" s="1"/>
  <c r="U137" i="8"/>
  <c r="Y137" i="8"/>
  <c r="C166" i="6"/>
  <c r="B166" i="6"/>
  <c r="S137" i="8"/>
  <c r="R137" i="8"/>
  <c r="A150" i="7" s="1"/>
  <c r="A166" i="6"/>
  <c r="AE137" i="8"/>
  <c r="Q137" i="8"/>
  <c r="Z136" i="8"/>
  <c r="F165" i="6"/>
  <c r="T136" i="8"/>
  <c r="D165" i="6" s="1"/>
  <c r="U136" i="8"/>
  <c r="Y136" i="8"/>
  <c r="C165" i="6"/>
  <c r="R136" i="8"/>
  <c r="A149" i="7" s="1"/>
  <c r="B165" i="6"/>
  <c r="S136" i="8"/>
  <c r="Q136" i="8"/>
  <c r="AE136" i="8"/>
  <c r="A165" i="6"/>
  <c r="F164" i="6"/>
  <c r="Z135" i="8"/>
  <c r="U135" i="8"/>
  <c r="T135" i="8"/>
  <c r="D164" i="6" s="1"/>
  <c r="Y135" i="8"/>
  <c r="C164" i="6"/>
  <c r="S135" i="8"/>
  <c r="R135" i="8"/>
  <c r="A148" i="7" s="1"/>
  <c r="B164" i="6"/>
  <c r="AE135" i="8"/>
  <c r="Q135" i="8"/>
  <c r="A164" i="6"/>
  <c r="Z134" i="8"/>
  <c r="F163" i="6"/>
  <c r="T134" i="8"/>
  <c r="D163" i="6" s="1"/>
  <c r="U134" i="8"/>
  <c r="C163" i="6"/>
  <c r="Y134" i="8"/>
  <c r="S134" i="8"/>
  <c r="R134" i="8"/>
  <c r="A147" i="7" s="1"/>
  <c r="B163" i="6"/>
  <c r="AE134" i="8"/>
  <c r="Q134" i="8"/>
  <c r="A163" i="6"/>
  <c r="Z133" i="8"/>
  <c r="F162" i="6"/>
  <c r="U133" i="8"/>
  <c r="T133" i="8"/>
  <c r="D162" i="6" s="1"/>
  <c r="C162" i="6"/>
  <c r="Y133" i="8"/>
  <c r="B162" i="6"/>
  <c r="R133" i="8"/>
  <c r="A146" i="7" s="1"/>
  <c r="S133" i="8"/>
  <c r="AE133" i="8"/>
  <c r="A162" i="6"/>
  <c r="Q133" i="8"/>
  <c r="Z132" i="8"/>
  <c r="F161" i="6"/>
  <c r="U132" i="8"/>
  <c r="T132" i="8"/>
  <c r="D161" i="6" s="1"/>
  <c r="Y132" i="8"/>
  <c r="C161" i="6"/>
  <c r="S132" i="8"/>
  <c r="R132" i="8"/>
  <c r="A145" i="7" s="1"/>
  <c r="B161" i="6"/>
  <c r="AE132" i="8"/>
  <c r="Q132" i="8"/>
  <c r="A161" i="6"/>
  <c r="Z131" i="8"/>
  <c r="F160" i="6"/>
  <c r="T131" i="8"/>
  <c r="D160" i="6" s="1"/>
  <c r="U131" i="8"/>
  <c r="Y131" i="8"/>
  <c r="C160" i="6"/>
  <c r="R131" i="8"/>
  <c r="A144" i="7" s="1"/>
  <c r="S131" i="8"/>
  <c r="B160" i="6"/>
  <c r="Q131" i="8"/>
  <c r="A160" i="6"/>
  <c r="AE131" i="8"/>
  <c r="F159" i="6"/>
  <c r="Z130" i="8"/>
  <c r="T130" i="8"/>
  <c r="D159" i="6" s="1"/>
  <c r="U130" i="8"/>
  <c r="C159" i="6"/>
  <c r="Y130" i="8"/>
  <c r="B159" i="6"/>
  <c r="R130" i="8"/>
  <c r="A143" i="7" s="1"/>
  <c r="S130" i="8"/>
  <c r="A159" i="6"/>
  <c r="Q130" i="8"/>
  <c r="AE130" i="8"/>
  <c r="Z129" i="8"/>
  <c r="F158" i="6"/>
  <c r="T129" i="8"/>
  <c r="D158" i="6" s="1"/>
  <c r="U129" i="8"/>
  <c r="Y129" i="8"/>
  <c r="C158" i="6"/>
  <c r="R129" i="8"/>
  <c r="A142" i="7" s="1"/>
  <c r="S129" i="8"/>
  <c r="B158" i="6"/>
  <c r="AE129" i="8"/>
  <c r="Q129" i="8"/>
  <c r="A158" i="6"/>
  <c r="Z128" i="8"/>
  <c r="F157" i="6"/>
  <c r="T128" i="8"/>
  <c r="D157" i="6" s="1"/>
  <c r="U128" i="8"/>
  <c r="Y128" i="8"/>
  <c r="C157" i="6"/>
  <c r="R128" i="8"/>
  <c r="A141" i="7" s="1"/>
  <c r="S128" i="8"/>
  <c r="B157" i="6"/>
  <c r="Q128" i="8"/>
  <c r="AE128" i="8"/>
  <c r="A157" i="6"/>
  <c r="F156" i="6"/>
  <c r="Z127" i="8"/>
  <c r="T127" i="8"/>
  <c r="D156" i="6" s="1"/>
  <c r="U127" i="8"/>
  <c r="C156" i="6"/>
  <c r="Y127" i="8"/>
  <c r="B156" i="6"/>
  <c r="S127" i="8"/>
  <c r="R127" i="8"/>
  <c r="A140" i="7" s="1"/>
  <c r="A156" i="6"/>
  <c r="Q127" i="8"/>
  <c r="AE127" i="8"/>
  <c r="Z126" i="8"/>
  <c r="F155" i="6"/>
  <c r="U126" i="8"/>
  <c r="T126" i="8"/>
  <c r="D155" i="6" s="1"/>
  <c r="C155" i="6"/>
  <c r="Y126" i="8"/>
  <c r="S126" i="8"/>
  <c r="B155" i="6"/>
  <c r="R126" i="8"/>
  <c r="A139" i="7" s="1"/>
  <c r="A155" i="6"/>
  <c r="AE126" i="8"/>
  <c r="Q126" i="8"/>
  <c r="F154" i="6"/>
  <c r="Z125" i="8"/>
  <c r="U125" i="8"/>
  <c r="T125" i="8"/>
  <c r="D154" i="6" s="1"/>
  <c r="C154" i="6"/>
  <c r="Y125" i="8"/>
  <c r="B154" i="6"/>
  <c r="S125" i="8"/>
  <c r="R125" i="8"/>
  <c r="A138" i="7" s="1"/>
  <c r="Q125" i="8"/>
  <c r="AE125" i="8"/>
  <c r="A154" i="6"/>
  <c r="F153" i="6"/>
  <c r="Z124" i="8"/>
  <c r="T124" i="8"/>
  <c r="D153" i="6" s="1"/>
  <c r="U124" i="8"/>
  <c r="C153" i="6"/>
  <c r="Y124" i="8"/>
  <c r="B153" i="6"/>
  <c r="S124" i="8"/>
  <c r="R124" i="8"/>
  <c r="A137" i="7" s="1"/>
  <c r="A153" i="6"/>
  <c r="AE124" i="8"/>
  <c r="Q124" i="8"/>
  <c r="F152" i="6"/>
  <c r="Z123" i="8"/>
  <c r="U123" i="8"/>
  <c r="T123" i="8"/>
  <c r="D152" i="6" s="1"/>
  <c r="C152" i="6"/>
  <c r="Y123" i="8"/>
  <c r="S123" i="8"/>
  <c r="R123" i="8"/>
  <c r="A136" i="7" s="1"/>
  <c r="B152" i="6"/>
  <c r="A152" i="6"/>
  <c r="AE123" i="8"/>
  <c r="Q123" i="8"/>
  <c r="Z122" i="8"/>
  <c r="F151" i="6"/>
  <c r="U122" i="8"/>
  <c r="T122" i="8"/>
  <c r="D151" i="6" s="1"/>
  <c r="Y122" i="8"/>
  <c r="C151" i="6"/>
  <c r="R122" i="8"/>
  <c r="A135" i="7" s="1"/>
  <c r="S122" i="8"/>
  <c r="B151" i="6"/>
  <c r="Q122" i="8"/>
  <c r="AE122" i="8"/>
  <c r="A151" i="6"/>
  <c r="F150" i="6"/>
  <c r="Z121" i="8"/>
  <c r="T121" i="8"/>
  <c r="D150" i="6" s="1"/>
  <c r="U121" i="8"/>
  <c r="Y121" i="8"/>
  <c r="C150" i="6"/>
  <c r="S121" i="8"/>
  <c r="B150" i="6"/>
  <c r="R121" i="8"/>
  <c r="A134" i="7" s="1"/>
  <c r="A150" i="6"/>
  <c r="Q121" i="8"/>
  <c r="AE121" i="8"/>
  <c r="F149" i="6"/>
  <c r="Z120" i="8"/>
  <c r="U120" i="8"/>
  <c r="T120" i="8"/>
  <c r="D149" i="6" s="1"/>
  <c r="Y120" i="8"/>
  <c r="C149" i="6"/>
  <c r="B149" i="6"/>
  <c r="S120" i="8"/>
  <c r="R120" i="8"/>
  <c r="A133" i="7" s="1"/>
  <c r="Q120" i="8"/>
  <c r="A149" i="6"/>
  <c r="AE120" i="8"/>
  <c r="Z119" i="8"/>
  <c r="F148" i="6"/>
  <c r="U119" i="8"/>
  <c r="T119" i="8"/>
  <c r="D148" i="6" s="1"/>
  <c r="C148" i="6"/>
  <c r="Y119" i="8"/>
  <c r="S119" i="8"/>
  <c r="B148" i="6"/>
  <c r="R119" i="8"/>
  <c r="A132" i="7" s="1"/>
  <c r="Q119" i="8"/>
  <c r="A148" i="6"/>
  <c r="AE119" i="8"/>
  <c r="F147" i="6"/>
  <c r="Z118" i="8"/>
  <c r="U118" i="8"/>
  <c r="T118" i="8"/>
  <c r="D147" i="6" s="1"/>
  <c r="Y118" i="8"/>
  <c r="C147" i="6"/>
  <c r="B147" i="6"/>
  <c r="R118" i="8"/>
  <c r="A131" i="7" s="1"/>
  <c r="S118" i="8"/>
  <c r="A147" i="6"/>
  <c r="AE118" i="8"/>
  <c r="Q118" i="8"/>
  <c r="F146" i="6"/>
  <c r="Z117" i="8"/>
  <c r="T117" i="8"/>
  <c r="D146" i="6" s="1"/>
  <c r="U117" i="8"/>
  <c r="Y117" i="8"/>
  <c r="C146" i="6"/>
  <c r="R117" i="8"/>
  <c r="A130" i="7" s="1"/>
  <c r="S117" i="8"/>
  <c r="B146" i="6"/>
  <c r="A146" i="6"/>
  <c r="AE117" i="8"/>
  <c r="Q117" i="8"/>
  <c r="Z116" i="8"/>
  <c r="F145" i="6"/>
  <c r="T116" i="8"/>
  <c r="D145" i="6" s="1"/>
  <c r="U116" i="8"/>
  <c r="Y116" i="8"/>
  <c r="C145" i="6"/>
  <c r="B145" i="6"/>
  <c r="S116" i="8"/>
  <c r="R116" i="8"/>
  <c r="A129" i="7" s="1"/>
  <c r="Q116" i="8"/>
  <c r="A145" i="6"/>
  <c r="AE116" i="8"/>
  <c r="F144" i="6"/>
  <c r="Z115" i="8"/>
  <c r="T115" i="8"/>
  <c r="D144" i="6" s="1"/>
  <c r="U115" i="8"/>
  <c r="C144" i="6"/>
  <c r="Y115" i="8"/>
  <c r="B144" i="6"/>
  <c r="S115" i="8"/>
  <c r="R115" i="8"/>
  <c r="A128" i="7" s="1"/>
  <c r="AE115" i="8"/>
  <c r="Q115" i="8"/>
  <c r="A144" i="6"/>
  <c r="F143" i="6"/>
  <c r="Z114" i="8"/>
  <c r="U114" i="8"/>
  <c r="T114" i="8"/>
  <c r="D143" i="6" s="1"/>
  <c r="Y114" i="8"/>
  <c r="C143" i="6"/>
  <c r="R114" i="8"/>
  <c r="A127" i="7" s="1"/>
  <c r="S114" i="8"/>
  <c r="B143" i="6"/>
  <c r="Q114" i="8"/>
  <c r="AE114" i="8"/>
  <c r="A143" i="6"/>
  <c r="Z113" i="8"/>
  <c r="F142" i="6"/>
  <c r="T113" i="8"/>
  <c r="D142" i="6" s="1"/>
  <c r="U113" i="8"/>
  <c r="C142" i="6"/>
  <c r="Y113" i="8"/>
  <c r="B142" i="6"/>
  <c r="R113" i="8"/>
  <c r="A126" i="7" s="1"/>
  <c r="S113" i="8"/>
  <c r="AE113" i="8"/>
  <c r="A142" i="6"/>
  <c r="Q113" i="8"/>
  <c r="Z112" i="8"/>
  <c r="F141" i="6"/>
  <c r="U112" i="8"/>
  <c r="T112" i="8"/>
  <c r="D141" i="6" s="1"/>
  <c r="Y112" i="8"/>
  <c r="C141" i="6"/>
  <c r="B141" i="6"/>
  <c r="S112" i="8"/>
  <c r="R112" i="8"/>
  <c r="A125" i="7" s="1"/>
  <c r="AE112" i="8"/>
  <c r="Q112" i="8"/>
  <c r="A141" i="6"/>
  <c r="F140" i="6"/>
  <c r="Z111" i="8"/>
  <c r="T111" i="8"/>
  <c r="D140" i="6" s="1"/>
  <c r="U111" i="8"/>
  <c r="Y111" i="8"/>
  <c r="C140" i="6"/>
  <c r="R111" i="8"/>
  <c r="A124" i="7" s="1"/>
  <c r="S111" i="8"/>
  <c r="B140" i="6"/>
  <c r="AE111" i="8"/>
  <c r="Q111" i="8"/>
  <c r="A140" i="6"/>
  <c r="Z110" i="8"/>
  <c r="F139" i="6"/>
  <c r="T110" i="8"/>
  <c r="D139" i="6" s="1"/>
  <c r="U110" i="8"/>
  <c r="Y110" i="8"/>
  <c r="C139" i="6"/>
  <c r="R110" i="8"/>
  <c r="A123" i="7" s="1"/>
  <c r="S110" i="8"/>
  <c r="B139" i="6"/>
  <c r="A139" i="6"/>
  <c r="AE110" i="8"/>
  <c r="Q110" i="8"/>
  <c r="F138" i="6"/>
  <c r="Z109" i="8"/>
  <c r="T109" i="8"/>
  <c r="D138" i="6" s="1"/>
  <c r="U109" i="8"/>
  <c r="C138" i="6"/>
  <c r="Y109" i="8"/>
  <c r="B138" i="6"/>
  <c r="R109" i="8"/>
  <c r="A122" i="7" s="1"/>
  <c r="S109" i="8"/>
  <c r="A138" i="6"/>
  <c r="Q109" i="8"/>
  <c r="AE109" i="8"/>
  <c r="F137" i="6"/>
  <c r="Z108" i="8"/>
  <c r="T108" i="8"/>
  <c r="D137" i="6" s="1"/>
  <c r="U108" i="8"/>
  <c r="C137" i="6"/>
  <c r="Y108" i="8"/>
  <c r="S108" i="8"/>
  <c r="B137" i="6"/>
  <c r="R108" i="8"/>
  <c r="A121" i="7" s="1"/>
  <c r="A137" i="6"/>
  <c r="AE108" i="8"/>
  <c r="Q108" i="8"/>
  <c r="Z107" i="8"/>
  <c r="F136" i="6"/>
  <c r="U107" i="8"/>
  <c r="T107" i="8"/>
  <c r="D136" i="6" s="1"/>
  <c r="Y107" i="8"/>
  <c r="C136" i="6"/>
  <c r="B136" i="6"/>
  <c r="S107" i="8"/>
  <c r="R107" i="8"/>
  <c r="A120" i="7" s="1"/>
  <c r="Q107" i="8"/>
  <c r="AE107" i="8"/>
  <c r="A136" i="6"/>
  <c r="Z106" i="8"/>
  <c r="F135" i="6"/>
  <c r="U106" i="8"/>
  <c r="T106" i="8"/>
  <c r="D135" i="6" s="1"/>
  <c r="C135" i="6"/>
  <c r="Y106" i="8"/>
  <c r="B135" i="6"/>
  <c r="R106" i="8"/>
  <c r="A119" i="7" s="1"/>
  <c r="S106" i="8"/>
  <c r="AE106" i="8"/>
  <c r="Q106" i="8"/>
  <c r="A135" i="6"/>
  <c r="Z105" i="8"/>
  <c r="F134" i="6"/>
  <c r="T105" i="8"/>
  <c r="D134" i="6" s="1"/>
  <c r="U105" i="8"/>
  <c r="C134" i="6"/>
  <c r="Y105" i="8"/>
  <c r="R105" i="8"/>
  <c r="A118" i="7" s="1"/>
  <c r="S105" i="8"/>
  <c r="B134" i="6"/>
  <c r="A134" i="6"/>
  <c r="Q105" i="8"/>
  <c r="AE105" i="8"/>
  <c r="F133" i="6"/>
  <c r="Z104" i="8"/>
  <c r="U104" i="8"/>
  <c r="T104" i="8"/>
  <c r="D133" i="6" s="1"/>
  <c r="C133" i="6"/>
  <c r="Y104" i="8"/>
  <c r="R104" i="8"/>
  <c r="A117" i="7" s="1"/>
  <c r="S104" i="8"/>
  <c r="B133" i="6"/>
  <c r="Q104" i="8"/>
  <c r="AE104" i="8"/>
  <c r="A133" i="6"/>
  <c r="Z103" i="8"/>
  <c r="F132" i="6"/>
  <c r="T103" i="8"/>
  <c r="D132" i="6" s="1"/>
  <c r="U103" i="8"/>
  <c r="C132" i="6"/>
  <c r="Y103" i="8"/>
  <c r="B132" i="6"/>
  <c r="S103" i="8"/>
  <c r="R103" i="8"/>
  <c r="A116" i="7" s="1"/>
  <c r="A132" i="6"/>
  <c r="AE103" i="8"/>
  <c r="Q103" i="8"/>
  <c r="F131" i="6"/>
  <c r="Z102" i="8"/>
  <c r="T102" i="8"/>
  <c r="D131" i="6" s="1"/>
  <c r="U102" i="8"/>
  <c r="Y102" i="8"/>
  <c r="C131" i="6"/>
  <c r="B131" i="6"/>
  <c r="R102" i="8"/>
  <c r="A115" i="7" s="1"/>
  <c r="S102" i="8"/>
  <c r="Q102" i="8"/>
  <c r="A131" i="6"/>
  <c r="AE102" i="8"/>
  <c r="F130" i="6"/>
  <c r="Z101" i="8"/>
  <c r="U101" i="8"/>
  <c r="T101" i="8"/>
  <c r="D130" i="6" s="1"/>
  <c r="C130" i="6"/>
  <c r="Y101" i="8"/>
  <c r="S101" i="8"/>
  <c r="R101" i="8"/>
  <c r="A114" i="7" s="1"/>
  <c r="B130" i="6"/>
  <c r="AE101" i="8"/>
  <c r="Q101" i="8"/>
  <c r="A130" i="6"/>
  <c r="Z100" i="8"/>
  <c r="F129" i="6"/>
  <c r="U100" i="8"/>
  <c r="T100" i="8"/>
  <c r="D129" i="6" s="1"/>
  <c r="Y100" i="8"/>
  <c r="C129" i="6"/>
  <c r="B129" i="6"/>
  <c r="R100" i="8"/>
  <c r="A113" i="7" s="1"/>
  <c r="S100" i="8"/>
  <c r="AE100" i="8"/>
  <c r="A129" i="6"/>
  <c r="Q100" i="8"/>
  <c r="Z99" i="8"/>
  <c r="F128" i="6"/>
  <c r="U99" i="8"/>
  <c r="T99" i="8"/>
  <c r="D128" i="6" s="1"/>
  <c r="Y99" i="8"/>
  <c r="C128" i="6"/>
  <c r="R99" i="8"/>
  <c r="A112" i="7" s="1"/>
  <c r="B128" i="6"/>
  <c r="S99" i="8"/>
  <c r="A128" i="6"/>
  <c r="AE99" i="8"/>
  <c r="Q99" i="8"/>
  <c r="F127" i="6"/>
  <c r="Z98" i="8"/>
  <c r="T98" i="8"/>
  <c r="D127" i="6" s="1"/>
  <c r="U98" i="8"/>
  <c r="Y98" i="8"/>
  <c r="C127" i="6"/>
  <c r="B127" i="6"/>
  <c r="R98" i="8"/>
  <c r="A111" i="7" s="1"/>
  <c r="S98" i="8"/>
  <c r="Q98" i="8"/>
  <c r="A127" i="6"/>
  <c r="AE98" i="8"/>
  <c r="F126" i="6"/>
  <c r="Z97" i="8"/>
  <c r="U97" i="8"/>
  <c r="T97" i="8"/>
  <c r="D126" i="6" s="1"/>
  <c r="Y97" i="8"/>
  <c r="C126" i="6"/>
  <c r="S97" i="8"/>
  <c r="B126" i="6"/>
  <c r="R97" i="8"/>
  <c r="A110" i="7" s="1"/>
  <c r="AE97" i="8"/>
  <c r="Q97" i="8"/>
  <c r="A126" i="6"/>
  <c r="Z96" i="8"/>
  <c r="F125" i="6"/>
  <c r="U96" i="8"/>
  <c r="T96" i="8"/>
  <c r="D125" i="6" s="1"/>
  <c r="Y96" i="8"/>
  <c r="C125" i="6"/>
  <c r="S96" i="8"/>
  <c r="R96" i="8"/>
  <c r="A109" i="7" s="1"/>
  <c r="B125" i="6"/>
  <c r="AE96" i="8"/>
  <c r="A125" i="6"/>
  <c r="Q96" i="8"/>
  <c r="F124" i="6"/>
  <c r="Z95" i="8"/>
  <c r="U95" i="8"/>
  <c r="T95" i="8"/>
  <c r="D124" i="6" s="1"/>
  <c r="Y95" i="8"/>
  <c r="C124" i="6"/>
  <c r="R95" i="8"/>
  <c r="A108" i="7" s="1"/>
  <c r="B124" i="6"/>
  <c r="S95" i="8"/>
  <c r="A124" i="6"/>
  <c r="AE95" i="8"/>
  <c r="Q95" i="8"/>
  <c r="Z94" i="8"/>
  <c r="F123" i="6"/>
  <c r="U94" i="8"/>
  <c r="T94" i="8"/>
  <c r="D123" i="6" s="1"/>
  <c r="Y94" i="8"/>
  <c r="C123" i="6"/>
  <c r="B123" i="6"/>
  <c r="S94" i="8"/>
  <c r="R94" i="8"/>
  <c r="A107" i="7" s="1"/>
  <c r="A123" i="6"/>
  <c r="AE94" i="8"/>
  <c r="Q94" i="8"/>
  <c r="F122" i="6"/>
  <c r="Z93" i="8"/>
  <c r="U93" i="8"/>
  <c r="T93" i="8"/>
  <c r="D122" i="6" s="1"/>
  <c r="C122" i="6"/>
  <c r="Y93" i="8"/>
  <c r="B122" i="6"/>
  <c r="R93" i="8"/>
  <c r="A106" i="7" s="1"/>
  <c r="S93" i="8"/>
  <c r="A122" i="6"/>
  <c r="Q93" i="8"/>
  <c r="AE93" i="8"/>
  <c r="Z92" i="8"/>
  <c r="F121" i="6"/>
  <c r="T92" i="8"/>
  <c r="D121" i="6" s="1"/>
  <c r="U92" i="8"/>
  <c r="C121" i="6"/>
  <c r="Y92" i="8"/>
  <c r="B121" i="6"/>
  <c r="S92" i="8"/>
  <c r="R92" i="8"/>
  <c r="A105" i="7" s="1"/>
  <c r="AE92" i="8"/>
  <c r="Q92" i="8"/>
  <c r="A121" i="6"/>
  <c r="Z91" i="8"/>
  <c r="F120" i="6"/>
  <c r="T91" i="8"/>
  <c r="D120" i="6" s="1"/>
  <c r="U91" i="8"/>
  <c r="C120" i="6"/>
  <c r="Y91" i="8"/>
  <c r="B120" i="6"/>
  <c r="S91" i="8"/>
  <c r="R91" i="8"/>
  <c r="A104" i="7" s="1"/>
  <c r="A120" i="6"/>
  <c r="AE91" i="8"/>
  <c r="Q91" i="8"/>
  <c r="Z90" i="8"/>
  <c r="F119" i="6"/>
  <c r="T90" i="8"/>
  <c r="D119" i="6" s="1"/>
  <c r="U90" i="8"/>
  <c r="Y90" i="8"/>
  <c r="C119" i="6"/>
  <c r="B119" i="6"/>
  <c r="R90" i="8"/>
  <c r="A103" i="7" s="1"/>
  <c r="S90" i="8"/>
  <c r="Q90" i="8"/>
  <c r="A119" i="6"/>
  <c r="AE90" i="8"/>
  <c r="Z89" i="8"/>
  <c r="F118" i="6"/>
  <c r="U89" i="8"/>
  <c r="T89" i="8"/>
  <c r="D118" i="6" s="1"/>
  <c r="Y89" i="8"/>
  <c r="C118" i="6"/>
  <c r="S89" i="8"/>
  <c r="B118" i="6"/>
  <c r="R89" i="8"/>
  <c r="A102" i="7" s="1"/>
  <c r="Q89" i="8"/>
  <c r="AE89" i="8"/>
  <c r="A118" i="6"/>
  <c r="Z88" i="8"/>
  <c r="F117" i="6"/>
  <c r="U88" i="8"/>
  <c r="T88" i="8"/>
  <c r="D117" i="6" s="1"/>
  <c r="Y88" i="8"/>
  <c r="C117" i="6"/>
  <c r="R88" i="8"/>
  <c r="A101" i="7" s="1"/>
  <c r="B117" i="6"/>
  <c r="S88" i="8"/>
  <c r="A117" i="6"/>
  <c r="Q88" i="8"/>
  <c r="AE88" i="8"/>
  <c r="F116" i="6"/>
  <c r="Z87" i="8"/>
  <c r="T87" i="8"/>
  <c r="D116" i="6" s="1"/>
  <c r="U87" i="8"/>
  <c r="C116" i="6"/>
  <c r="Y87" i="8"/>
  <c r="S87" i="8"/>
  <c r="R87" i="8"/>
  <c r="A100" i="7" s="1"/>
  <c r="B116" i="6"/>
  <c r="Q87" i="8"/>
  <c r="AE87" i="8"/>
  <c r="A116" i="6"/>
  <c r="Z86" i="8"/>
  <c r="F115" i="6"/>
  <c r="U86" i="8"/>
  <c r="T86" i="8"/>
  <c r="D115" i="6" s="1"/>
  <c r="C115" i="6"/>
  <c r="Y86" i="8"/>
  <c r="S86" i="8"/>
  <c r="R86" i="8"/>
  <c r="A99" i="7" s="1"/>
  <c r="B115" i="6"/>
  <c r="Q86" i="8"/>
  <c r="A115" i="6"/>
  <c r="AE86" i="8"/>
  <c r="F114" i="6"/>
  <c r="Z85" i="8"/>
  <c r="T85" i="8"/>
  <c r="D114" i="6" s="1"/>
  <c r="U85" i="8"/>
  <c r="Y85" i="8"/>
  <c r="C114" i="6"/>
  <c r="B114" i="6"/>
  <c r="S85" i="8"/>
  <c r="R85" i="8"/>
  <c r="A98" i="7" s="1"/>
  <c r="A114" i="6"/>
  <c r="Q85" i="8"/>
  <c r="AE85" i="8"/>
  <c r="F113" i="6"/>
  <c r="Z84" i="8"/>
  <c r="T84" i="8"/>
  <c r="D113" i="6" s="1"/>
  <c r="U84" i="8"/>
  <c r="Y84" i="8"/>
  <c r="C113" i="6"/>
  <c r="R84" i="8"/>
  <c r="A97" i="7" s="1"/>
  <c r="S84" i="8"/>
  <c r="B113" i="6"/>
  <c r="A113" i="6"/>
  <c r="AE84" i="8"/>
  <c r="Q84" i="8"/>
  <c r="F112" i="6"/>
  <c r="Z83" i="8"/>
  <c r="U83" i="8"/>
  <c r="T83" i="8"/>
  <c r="D112" i="6" s="1"/>
  <c r="Y83" i="8"/>
  <c r="C112" i="6"/>
  <c r="S83" i="8"/>
  <c r="R83" i="8"/>
  <c r="A96" i="7" s="1"/>
  <c r="B112" i="6"/>
  <c r="A112" i="6"/>
  <c r="AE83" i="8"/>
  <c r="Q83" i="8"/>
  <c r="Z82" i="8"/>
  <c r="F111" i="6"/>
  <c r="U82" i="8"/>
  <c r="T82" i="8"/>
  <c r="D111" i="6" s="1"/>
  <c r="Y82" i="8"/>
  <c r="C111" i="6"/>
  <c r="B111" i="6"/>
  <c r="R82" i="8"/>
  <c r="A95" i="7" s="1"/>
  <c r="S82" i="8"/>
  <c r="Q82" i="8"/>
  <c r="AE82" i="8"/>
  <c r="A111" i="6"/>
  <c r="Z81" i="8"/>
  <c r="F110" i="6"/>
  <c r="U81" i="8"/>
  <c r="T81" i="8"/>
  <c r="D110" i="6" s="1"/>
  <c r="Y81" i="8"/>
  <c r="C110" i="6"/>
  <c r="B110" i="6"/>
  <c r="R81" i="8"/>
  <c r="A94" i="7" s="1"/>
  <c r="S81" i="8"/>
  <c r="Q81" i="8"/>
  <c r="AE81" i="8"/>
  <c r="A110" i="6"/>
  <c r="Z80" i="8"/>
  <c r="F109" i="6"/>
  <c r="U80" i="8"/>
  <c r="T80" i="8"/>
  <c r="D109" i="6" s="1"/>
  <c r="Y80" i="8"/>
  <c r="C109" i="6"/>
  <c r="S80" i="8"/>
  <c r="R80" i="8"/>
  <c r="A93" i="7" s="1"/>
  <c r="B109" i="6"/>
  <c r="Q80" i="8"/>
  <c r="A109" i="6"/>
  <c r="AE80" i="8"/>
  <c r="F108" i="6"/>
  <c r="Z79" i="8"/>
  <c r="T79" i="8"/>
  <c r="D108" i="6" s="1"/>
  <c r="U79" i="8"/>
  <c r="C108" i="6"/>
  <c r="Y79" i="8"/>
  <c r="S79" i="8"/>
  <c r="B108" i="6"/>
  <c r="R79" i="8"/>
  <c r="A92" i="7" s="1"/>
  <c r="AE79" i="8"/>
  <c r="A108" i="6"/>
  <c r="Q79" i="8"/>
  <c r="F107" i="6"/>
  <c r="Z78" i="8"/>
  <c r="T78" i="8"/>
  <c r="D107" i="6" s="1"/>
  <c r="U78" i="8"/>
  <c r="C107" i="6"/>
  <c r="Y78" i="8"/>
  <c r="R78" i="8"/>
  <c r="A91" i="7" s="1"/>
  <c r="B107" i="6"/>
  <c r="S78" i="8"/>
  <c r="Q78" i="8"/>
  <c r="A107" i="6"/>
  <c r="AE78" i="8"/>
  <c r="F106" i="6"/>
  <c r="Z77" i="8"/>
  <c r="U77" i="8"/>
  <c r="T77" i="8"/>
  <c r="D106" i="6" s="1"/>
  <c r="Y77" i="8"/>
  <c r="C106" i="6"/>
  <c r="R77" i="8"/>
  <c r="A90" i="7" s="1"/>
  <c r="B106" i="6"/>
  <c r="S77" i="8"/>
  <c r="AE77" i="8"/>
  <c r="A106" i="6"/>
  <c r="Q77" i="8"/>
  <c r="F105" i="6"/>
  <c r="Z76" i="8"/>
  <c r="T76" i="8"/>
  <c r="D105" i="6" s="1"/>
  <c r="U76" i="8"/>
  <c r="Y76" i="8"/>
  <c r="C105" i="6"/>
  <c r="B105" i="6"/>
  <c r="R76" i="8"/>
  <c r="A89" i="7" s="1"/>
  <c r="S76" i="8"/>
  <c r="Q76" i="8"/>
  <c r="AE76" i="8"/>
  <c r="A105" i="6"/>
  <c r="F104" i="6"/>
  <c r="Z75" i="8"/>
  <c r="T75" i="8"/>
  <c r="D104" i="6" s="1"/>
  <c r="U75" i="8"/>
  <c r="Y75" i="8"/>
  <c r="C104" i="6"/>
  <c r="S75" i="8"/>
  <c r="R75" i="8"/>
  <c r="A88" i="7" s="1"/>
  <c r="B104" i="6"/>
  <c r="AE75" i="8"/>
  <c r="A104" i="6"/>
  <c r="Q75" i="8"/>
  <c r="F103" i="6"/>
  <c r="Z74" i="8"/>
  <c r="T74" i="8"/>
  <c r="D103" i="6" s="1"/>
  <c r="U74" i="8"/>
  <c r="C103" i="6"/>
  <c r="Y74" i="8"/>
  <c r="S74" i="8"/>
  <c r="B103" i="6"/>
  <c r="R74" i="8"/>
  <c r="A87" i="7" s="1"/>
  <c r="A103" i="6"/>
  <c r="AE74" i="8"/>
  <c r="Q74" i="8"/>
  <c r="F102" i="6"/>
  <c r="Z73" i="8"/>
  <c r="T73" i="8"/>
  <c r="D102" i="6" s="1"/>
  <c r="U73" i="8"/>
  <c r="C102" i="6"/>
  <c r="Y73" i="8"/>
  <c r="B102" i="6"/>
  <c r="R73" i="8"/>
  <c r="A86" i="7" s="1"/>
  <c r="S73" i="8"/>
  <c r="A102" i="6"/>
  <c r="AE73" i="8"/>
  <c r="Q73" i="8"/>
  <c r="Z72" i="8"/>
  <c r="F101" i="6"/>
  <c r="U72" i="8"/>
  <c r="T72" i="8"/>
  <c r="D101" i="6" s="1"/>
  <c r="C101" i="6"/>
  <c r="Y72" i="8"/>
  <c r="R72" i="8"/>
  <c r="A85" i="7" s="1"/>
  <c r="S72" i="8"/>
  <c r="B101" i="6"/>
  <c r="Q72" i="8"/>
  <c r="A101" i="6"/>
  <c r="AE72" i="8"/>
  <c r="F100" i="6"/>
  <c r="Z71" i="8"/>
  <c r="U71" i="8"/>
  <c r="T71" i="8"/>
  <c r="D100" i="6" s="1"/>
  <c r="Y71" i="8"/>
  <c r="C100" i="6"/>
  <c r="S71" i="8"/>
  <c r="R71" i="8"/>
  <c r="A84" i="7" s="1"/>
  <c r="B100" i="6"/>
  <c r="Q71" i="8"/>
  <c r="A100" i="6"/>
  <c r="AE71" i="8"/>
  <c r="F99" i="6"/>
  <c r="Z70" i="8"/>
  <c r="U70" i="8"/>
  <c r="T70" i="8"/>
  <c r="D99" i="6" s="1"/>
  <c r="Y70" i="8"/>
  <c r="C99" i="6"/>
  <c r="R70" i="8"/>
  <c r="A83" i="7" s="1"/>
  <c r="B99" i="6"/>
  <c r="S70" i="8"/>
  <c r="A99" i="6"/>
  <c r="Q70" i="8"/>
  <c r="AE70" i="8"/>
  <c r="F98" i="6"/>
  <c r="Z69" i="8"/>
  <c r="T69" i="8"/>
  <c r="D98" i="6" s="1"/>
  <c r="U69" i="8"/>
  <c r="Y69" i="8"/>
  <c r="C98" i="6"/>
  <c r="R69" i="8"/>
  <c r="A82" i="7" s="1"/>
  <c r="B98" i="6"/>
  <c r="S69" i="8"/>
  <c r="AE69" i="8"/>
  <c r="Q69" i="8"/>
  <c r="A98" i="6"/>
  <c r="Z68" i="8"/>
  <c r="F97" i="6"/>
  <c r="U68" i="8"/>
  <c r="T68" i="8"/>
  <c r="D97" i="6" s="1"/>
  <c r="C97" i="6"/>
  <c r="Y68" i="8"/>
  <c r="B97" i="6"/>
  <c r="R68" i="8"/>
  <c r="A81" i="7" s="1"/>
  <c r="S68" i="8"/>
  <c r="Q68" i="8"/>
  <c r="AE68" i="8"/>
  <c r="A97" i="6"/>
  <c r="Z67" i="8"/>
  <c r="F96" i="6"/>
  <c r="T67" i="8"/>
  <c r="D96" i="6" s="1"/>
  <c r="U67" i="8"/>
  <c r="C96" i="6"/>
  <c r="Y67" i="8"/>
  <c r="S67" i="8"/>
  <c r="R67" i="8"/>
  <c r="A80" i="7" s="1"/>
  <c r="B96" i="6"/>
  <c r="A96" i="6"/>
  <c r="Q67" i="8"/>
  <c r="AE67" i="8"/>
  <c r="Z66" i="8"/>
  <c r="F95" i="6"/>
  <c r="T66" i="8"/>
  <c r="D95" i="6" s="1"/>
  <c r="U66" i="8"/>
  <c r="Y66" i="8"/>
  <c r="C95" i="6"/>
  <c r="R66" i="8"/>
  <c r="A79" i="7" s="1"/>
  <c r="B95" i="6"/>
  <c r="S66" i="8"/>
  <c r="A95" i="6"/>
  <c r="Q66" i="8"/>
  <c r="AE66" i="8"/>
  <c r="F94" i="6"/>
  <c r="Z65" i="8"/>
  <c r="U65" i="8"/>
  <c r="T65" i="8"/>
  <c r="D94" i="6" s="1"/>
  <c r="C94" i="6"/>
  <c r="Y65" i="8"/>
  <c r="B94" i="6"/>
  <c r="R65" i="8"/>
  <c r="A78" i="7" s="1"/>
  <c r="S65" i="8"/>
  <c r="A94" i="6"/>
  <c r="Q65" i="8"/>
  <c r="AE65" i="8"/>
  <c r="Z64" i="8"/>
  <c r="F93" i="6"/>
  <c r="T64" i="8"/>
  <c r="D93" i="6" s="1"/>
  <c r="U64" i="8"/>
  <c r="C93" i="6"/>
  <c r="Y64" i="8"/>
  <c r="S64" i="8"/>
  <c r="B93" i="6"/>
  <c r="R64" i="8"/>
  <c r="A77" i="7" s="1"/>
  <c r="AE64" i="8"/>
  <c r="Q64" i="8"/>
  <c r="A93" i="6"/>
  <c r="Z63" i="8"/>
  <c r="F92" i="6"/>
  <c r="T63" i="8"/>
  <c r="D92" i="6" s="1"/>
  <c r="U63" i="8"/>
  <c r="Y63" i="8"/>
  <c r="C92" i="6"/>
  <c r="R63" i="8"/>
  <c r="A76" i="7" s="1"/>
  <c r="S63" i="8"/>
  <c r="B92" i="6"/>
  <c r="A92" i="6"/>
  <c r="AE63" i="8"/>
  <c r="Q63" i="8"/>
  <c r="F91" i="6"/>
  <c r="Z62" i="8"/>
  <c r="U62" i="8"/>
  <c r="T62" i="8"/>
  <c r="D91" i="6" s="1"/>
  <c r="C91" i="6"/>
  <c r="Y62" i="8"/>
  <c r="B91" i="6"/>
  <c r="S62" i="8"/>
  <c r="R62" i="8"/>
  <c r="A75" i="7" s="1"/>
  <c r="A91" i="6"/>
  <c r="AE62" i="8"/>
  <c r="Q62" i="8"/>
  <c r="Z61" i="8"/>
  <c r="F90" i="6"/>
  <c r="U61" i="8"/>
  <c r="T61" i="8"/>
  <c r="D90" i="6" s="1"/>
  <c r="Y61" i="8"/>
  <c r="C90" i="6"/>
  <c r="R61" i="8"/>
  <c r="A74" i="7" s="1"/>
  <c r="S61" i="8"/>
  <c r="B90" i="6"/>
  <c r="Q61" i="8"/>
  <c r="AE61" i="8"/>
  <c r="A90" i="6"/>
  <c r="Z60" i="8"/>
  <c r="F89" i="6"/>
  <c r="U60" i="8"/>
  <c r="T60" i="8"/>
  <c r="D89" i="6" s="1"/>
  <c r="C89" i="6"/>
  <c r="Y60" i="8"/>
  <c r="B89" i="6"/>
  <c r="S60" i="8"/>
  <c r="R60" i="8"/>
  <c r="A73" i="7" s="1"/>
  <c r="A89" i="6"/>
  <c r="AE60" i="8"/>
  <c r="Q60" i="8"/>
  <c r="F88" i="6"/>
  <c r="Z59" i="8"/>
  <c r="U59" i="8"/>
  <c r="T59" i="8"/>
  <c r="D88" i="6" s="1"/>
  <c r="Y59" i="8"/>
  <c r="C88" i="6"/>
  <c r="B88" i="6"/>
  <c r="S59" i="8"/>
  <c r="R59" i="8"/>
  <c r="A72" i="7" s="1"/>
  <c r="A88" i="6"/>
  <c r="Q59" i="8"/>
  <c r="AE59" i="8"/>
  <c r="F87" i="6"/>
  <c r="Z58" i="8"/>
  <c r="U58" i="8"/>
  <c r="T58" i="8"/>
  <c r="D87" i="6" s="1"/>
  <c r="C87" i="6"/>
  <c r="Y58" i="8"/>
  <c r="R58" i="8"/>
  <c r="A71" i="7" s="1"/>
  <c r="S58" i="8"/>
  <c r="B87" i="6"/>
  <c r="A87" i="6"/>
  <c r="Q58" i="8"/>
  <c r="AE58" i="8"/>
  <c r="F86" i="6"/>
  <c r="Z57" i="8"/>
  <c r="T57" i="8"/>
  <c r="D86" i="6" s="1"/>
  <c r="U57" i="8"/>
  <c r="Y57" i="8"/>
  <c r="C86" i="6"/>
  <c r="R57" i="8"/>
  <c r="A70" i="7" s="1"/>
  <c r="B86" i="6"/>
  <c r="S57" i="8"/>
  <c r="Q57" i="8"/>
  <c r="AE57" i="8"/>
  <c r="A86" i="6"/>
  <c r="F85" i="6"/>
  <c r="Z56" i="8"/>
  <c r="U56" i="8"/>
  <c r="T56" i="8"/>
  <c r="D85" i="6" s="1"/>
  <c r="C85" i="6"/>
  <c r="Y56" i="8"/>
  <c r="S56" i="8"/>
  <c r="B85" i="6"/>
  <c r="R56" i="8"/>
  <c r="A69" i="7" s="1"/>
  <c r="Q56" i="8"/>
  <c r="AE56" i="8"/>
  <c r="A85" i="6"/>
  <c r="Z55" i="8"/>
  <c r="F84" i="6"/>
  <c r="U55" i="8"/>
  <c r="T55" i="8"/>
  <c r="D84" i="6" s="1"/>
  <c r="C84" i="6"/>
  <c r="Y55" i="8"/>
  <c r="S55" i="8"/>
  <c r="R55" i="8"/>
  <c r="A68" i="7" s="1"/>
  <c r="B84" i="6"/>
  <c r="A84" i="6"/>
  <c r="AE55" i="8"/>
  <c r="Q55" i="8"/>
  <c r="Z54" i="8"/>
  <c r="F83" i="6"/>
  <c r="T54" i="8"/>
  <c r="D83" i="6" s="1"/>
  <c r="U54" i="8"/>
  <c r="Y54" i="8"/>
  <c r="C83" i="6"/>
  <c r="B83" i="6"/>
  <c r="R54" i="8"/>
  <c r="A67" i="7" s="1"/>
  <c r="S54" i="8"/>
  <c r="A83" i="6"/>
  <c r="AE54" i="8"/>
  <c r="Q54" i="8"/>
  <c r="F82" i="6"/>
  <c r="Z53" i="8"/>
  <c r="U53" i="8"/>
  <c r="T53" i="8"/>
  <c r="D82" i="6" s="1"/>
  <c r="C82" i="6"/>
  <c r="Y53" i="8"/>
  <c r="B82" i="6"/>
  <c r="S53" i="8"/>
  <c r="R53" i="8"/>
  <c r="A66" i="7" s="1"/>
  <c r="A82" i="6"/>
  <c r="Q53" i="8"/>
  <c r="AE53" i="8"/>
  <c r="F81" i="6"/>
  <c r="Z52" i="8"/>
  <c r="T52" i="8"/>
  <c r="D81" i="6" s="1"/>
  <c r="U52" i="8"/>
  <c r="Y52" i="8"/>
  <c r="C81" i="6"/>
  <c r="B81" i="6"/>
  <c r="S52" i="8"/>
  <c r="R52" i="8"/>
  <c r="A65" i="7" s="1"/>
  <c r="Q52" i="8"/>
  <c r="A81" i="6"/>
  <c r="AE52" i="8"/>
  <c r="F80" i="6"/>
  <c r="Z51" i="8"/>
  <c r="U51" i="8"/>
  <c r="T51" i="8"/>
  <c r="D80" i="6" s="1"/>
  <c r="C80" i="6"/>
  <c r="Y51" i="8"/>
  <c r="R51" i="8"/>
  <c r="A64" i="7" s="1"/>
  <c r="B80" i="6"/>
  <c r="S51" i="8"/>
  <c r="AE51" i="8"/>
  <c r="A80" i="6"/>
  <c r="Q51" i="8"/>
  <c r="Z50" i="8"/>
  <c r="F79" i="6"/>
  <c r="T50" i="8"/>
  <c r="D79" i="6" s="1"/>
  <c r="U50" i="8"/>
  <c r="C79" i="6"/>
  <c r="Y50" i="8"/>
  <c r="B79" i="6"/>
  <c r="R50" i="8"/>
  <c r="A63" i="7" s="1"/>
  <c r="S50" i="8"/>
  <c r="A79" i="6"/>
  <c r="Q50" i="8"/>
  <c r="AE50" i="8"/>
  <c r="F78" i="6"/>
  <c r="Z49" i="8"/>
  <c r="T49" i="8"/>
  <c r="D78" i="6" s="1"/>
  <c r="U49" i="8"/>
  <c r="C78" i="6"/>
  <c r="Y49" i="8"/>
  <c r="S49" i="8"/>
  <c r="B78" i="6"/>
  <c r="R49" i="8"/>
  <c r="A62" i="7" s="1"/>
  <c r="A78" i="6"/>
  <c r="Q49" i="8"/>
  <c r="AE49" i="8"/>
  <c r="Z48" i="8"/>
  <c r="F77" i="6"/>
  <c r="T48" i="8"/>
  <c r="D77" i="6" s="1"/>
  <c r="U48" i="8"/>
  <c r="Y48" i="8"/>
  <c r="C77" i="6"/>
  <c r="B77" i="6"/>
  <c r="S48" i="8"/>
  <c r="R48" i="8"/>
  <c r="A61" i="7" s="1"/>
  <c r="A77" i="6"/>
  <c r="Q48" i="8"/>
  <c r="AE48" i="8"/>
  <c r="Z47" i="8"/>
  <c r="F76" i="6"/>
  <c r="T47" i="8"/>
  <c r="D76" i="6" s="1"/>
  <c r="U47" i="8"/>
  <c r="C76" i="6"/>
  <c r="Y47" i="8"/>
  <c r="R47" i="8"/>
  <c r="A60" i="7" s="1"/>
  <c r="B76" i="6"/>
  <c r="S47" i="8"/>
  <c r="Q47" i="8"/>
  <c r="A76" i="6"/>
  <c r="AE47" i="8"/>
  <c r="Z46" i="8"/>
  <c r="F75" i="6"/>
  <c r="U46" i="8"/>
  <c r="T46" i="8"/>
  <c r="D75" i="6" s="1"/>
  <c r="C75" i="6"/>
  <c r="Y46" i="8"/>
  <c r="B75" i="6"/>
  <c r="S46" i="8"/>
  <c r="R46" i="8"/>
  <c r="A59" i="7" s="1"/>
  <c r="Q46" i="8"/>
  <c r="A75" i="6"/>
  <c r="AE46" i="8"/>
  <c r="Z45" i="8"/>
  <c r="F74" i="6"/>
  <c r="U45" i="8"/>
  <c r="T45" i="8"/>
  <c r="D74" i="6" s="1"/>
  <c r="Y45" i="8"/>
  <c r="C74" i="6"/>
  <c r="B74" i="6"/>
  <c r="S45" i="8"/>
  <c r="R45" i="8"/>
  <c r="A58" i="7" s="1"/>
  <c r="Q45" i="8"/>
  <c r="AE45" i="8"/>
  <c r="A74" i="6"/>
  <c r="F73" i="6"/>
  <c r="Z44" i="8"/>
  <c r="U44" i="8"/>
  <c r="T44" i="8"/>
  <c r="D73" i="6" s="1"/>
  <c r="Y44" i="8"/>
  <c r="C73" i="6"/>
  <c r="S44" i="8"/>
  <c r="B73" i="6"/>
  <c r="R44" i="8"/>
  <c r="A57" i="7" s="1"/>
  <c r="A73" i="6"/>
  <c r="Q44" i="8"/>
  <c r="AE44" i="8"/>
  <c r="Z43" i="8"/>
  <c r="F72" i="6"/>
  <c r="T43" i="8"/>
  <c r="D72" i="6" s="1"/>
  <c r="U43" i="8"/>
  <c r="C72" i="6"/>
  <c r="Y43" i="8"/>
  <c r="B72" i="6"/>
  <c r="S43" i="8"/>
  <c r="R43" i="8"/>
  <c r="A56" i="7" s="1"/>
  <c r="A72" i="6"/>
  <c r="Q43" i="8"/>
  <c r="AE43" i="8"/>
  <c r="F71" i="6"/>
  <c r="Z42" i="8"/>
  <c r="T42" i="8"/>
  <c r="D71" i="6" s="1"/>
  <c r="U42" i="8"/>
  <c r="Y42" i="8"/>
  <c r="C71" i="6"/>
  <c r="S42" i="8"/>
  <c r="B71" i="6"/>
  <c r="R42" i="8"/>
  <c r="A55" i="7" s="1"/>
  <c r="Q42" i="8"/>
  <c r="AE42" i="8"/>
  <c r="A71" i="6"/>
  <c r="F70" i="6"/>
  <c r="Z41" i="8"/>
  <c r="U41" i="8"/>
  <c r="T41" i="8"/>
  <c r="D70" i="6" s="1"/>
  <c r="Y41" i="8"/>
  <c r="C70" i="6"/>
  <c r="S41" i="8"/>
  <c r="R41" i="8"/>
  <c r="A54" i="7" s="1"/>
  <c r="B70" i="6"/>
  <c r="A70" i="6"/>
  <c r="Q41" i="8"/>
  <c r="AE41" i="8"/>
  <c r="F69" i="6"/>
  <c r="Z40" i="8"/>
  <c r="U40" i="8"/>
  <c r="T40" i="8"/>
  <c r="D69" i="6" s="1"/>
  <c r="Y40" i="8"/>
  <c r="C69" i="6"/>
  <c r="S40" i="8"/>
  <c r="B69" i="6"/>
  <c r="R40" i="8"/>
  <c r="A53" i="7" s="1"/>
  <c r="A69" i="6"/>
  <c r="Q40" i="8"/>
  <c r="AE40" i="8"/>
  <c r="Z39" i="8"/>
  <c r="F68" i="6"/>
  <c r="U39" i="8"/>
  <c r="T39" i="8"/>
  <c r="D68" i="6" s="1"/>
  <c r="Y39" i="8"/>
  <c r="C68" i="6"/>
  <c r="R39" i="8"/>
  <c r="A52" i="7" s="1"/>
  <c r="S39" i="8"/>
  <c r="B68" i="6"/>
  <c r="AE39" i="8"/>
  <c r="Q39" i="8"/>
  <c r="A68" i="6"/>
  <c r="Z38" i="8"/>
  <c r="F67" i="6"/>
  <c r="T38" i="8"/>
  <c r="D67" i="6" s="1"/>
  <c r="U38" i="8"/>
  <c r="Y38" i="8"/>
  <c r="C67" i="6"/>
  <c r="R38" i="8"/>
  <c r="A51" i="7" s="1"/>
  <c r="B67" i="6"/>
  <c r="S38" i="8"/>
  <c r="AE38" i="8"/>
  <c r="A67" i="6"/>
  <c r="Q38" i="8"/>
  <c r="F66" i="6"/>
  <c r="Z37" i="8"/>
  <c r="T37" i="8"/>
  <c r="D66" i="6" s="1"/>
  <c r="U37" i="8"/>
  <c r="C66" i="6"/>
  <c r="Y37" i="8"/>
  <c r="B66" i="6"/>
  <c r="S37" i="8"/>
  <c r="R37" i="8"/>
  <c r="A50" i="7" s="1"/>
  <c r="Q37" i="8"/>
  <c r="A66" i="6"/>
  <c r="AE37" i="8"/>
  <c r="F65" i="6"/>
  <c r="Z36" i="8"/>
  <c r="T36" i="8"/>
  <c r="D65" i="6" s="1"/>
  <c r="U36" i="8"/>
  <c r="Y36" i="8"/>
  <c r="C65" i="6"/>
  <c r="R36" i="8"/>
  <c r="A49" i="7" s="1"/>
  <c r="B65" i="6"/>
  <c r="S36" i="8"/>
  <c r="Q36" i="8"/>
  <c r="A65" i="6"/>
  <c r="AE36" i="8"/>
  <c r="Z35" i="8"/>
  <c r="F64" i="6"/>
  <c r="T35" i="8"/>
  <c r="D64" i="6" s="1"/>
  <c r="U35" i="8"/>
  <c r="C64" i="6"/>
  <c r="Y35" i="8"/>
  <c r="B64" i="6"/>
  <c r="S35" i="8"/>
  <c r="R35" i="8"/>
  <c r="A48" i="7" s="1"/>
  <c r="A64" i="6"/>
  <c r="AE35" i="8"/>
  <c r="Q35" i="8"/>
  <c r="F63" i="6"/>
  <c r="Z34" i="8"/>
  <c r="T34" i="8"/>
  <c r="D63" i="6" s="1"/>
  <c r="U34" i="8"/>
  <c r="C63" i="6"/>
  <c r="Y34" i="8"/>
  <c r="R34" i="8"/>
  <c r="A47" i="7" s="1"/>
  <c r="B63" i="6"/>
  <c r="S34" i="8"/>
  <c r="AE34" i="8"/>
  <c r="A63" i="6"/>
  <c r="Q34" i="8"/>
  <c r="Z33" i="8"/>
  <c r="F62" i="6"/>
  <c r="U33" i="8"/>
  <c r="T33" i="8"/>
  <c r="D62" i="6" s="1"/>
  <c r="C62" i="6"/>
  <c r="Y33" i="8"/>
  <c r="B62" i="6"/>
  <c r="S33" i="8"/>
  <c r="R33" i="8"/>
  <c r="A46" i="7" s="1"/>
  <c r="A62" i="6"/>
  <c r="AE33" i="8"/>
  <c r="Q33" i="8"/>
  <c r="F61" i="6"/>
  <c r="Z32" i="8"/>
  <c r="T32" i="8"/>
  <c r="D61" i="6" s="1"/>
  <c r="U32" i="8"/>
  <c r="Y32" i="8"/>
  <c r="C61" i="6"/>
  <c r="S32" i="8"/>
  <c r="B61" i="6"/>
  <c r="R32" i="8"/>
  <c r="A45" i="7" s="1"/>
  <c r="Q32" i="8"/>
  <c r="A61" i="6"/>
  <c r="AE32" i="8"/>
  <c r="F60" i="6"/>
  <c r="Z31" i="8"/>
  <c r="T31" i="8"/>
  <c r="D60" i="6" s="1"/>
  <c r="U31" i="8"/>
  <c r="Y31" i="8"/>
  <c r="C60" i="6"/>
  <c r="R31" i="8"/>
  <c r="A44" i="7" s="1"/>
  <c r="S31" i="8"/>
  <c r="B60" i="6"/>
  <c r="AE31" i="8"/>
  <c r="A60" i="6"/>
  <c r="Q31" i="8"/>
  <c r="Z30" i="8"/>
  <c r="F59" i="6"/>
  <c r="T30" i="8"/>
  <c r="D59" i="6" s="1"/>
  <c r="U30" i="8"/>
  <c r="C59" i="6"/>
  <c r="Y30" i="8"/>
  <c r="S30" i="8"/>
  <c r="R30" i="8"/>
  <c r="A43" i="7" s="1"/>
  <c r="B59" i="6"/>
  <c r="AE30" i="8"/>
  <c r="Q30" i="8"/>
  <c r="A59" i="6"/>
  <c r="Z29" i="8"/>
  <c r="F58" i="6"/>
  <c r="T29" i="8"/>
  <c r="D58" i="6" s="1"/>
  <c r="U29" i="8"/>
  <c r="Y29" i="8"/>
  <c r="C58" i="6"/>
  <c r="R29" i="8"/>
  <c r="A42" i="7" s="1"/>
  <c r="B58" i="6"/>
  <c r="S29" i="8"/>
  <c r="A58" i="6"/>
  <c r="Q29" i="8"/>
  <c r="AE29" i="8"/>
  <c r="Z28" i="8"/>
  <c r="F57" i="6"/>
  <c r="U28" i="8"/>
  <c r="T28" i="8"/>
  <c r="D57" i="6" s="1"/>
  <c r="C57" i="6"/>
  <c r="Y28" i="8"/>
  <c r="S28" i="8"/>
  <c r="R28" i="8"/>
  <c r="A41" i="7" s="1"/>
  <c r="B57" i="6"/>
  <c r="AE28" i="8"/>
  <c r="A57" i="6"/>
  <c r="Q28" i="8"/>
  <c r="Z27" i="8"/>
  <c r="F56" i="6"/>
  <c r="T27" i="8"/>
  <c r="D56" i="6" s="1"/>
  <c r="U27" i="8"/>
  <c r="C56" i="6"/>
  <c r="Y27" i="8"/>
  <c r="B56" i="6"/>
  <c r="S27" i="8"/>
  <c r="R27" i="8"/>
  <c r="A40" i="7" s="1"/>
  <c r="Q27" i="8"/>
  <c r="AE27" i="8"/>
  <c r="A56" i="6"/>
  <c r="Z26" i="8"/>
  <c r="F55" i="6"/>
  <c r="U26" i="8"/>
  <c r="T26" i="8"/>
  <c r="D55" i="6" s="1"/>
  <c r="Y26" i="8"/>
  <c r="C55" i="6"/>
  <c r="R26" i="8"/>
  <c r="A39" i="7" s="1"/>
  <c r="B55" i="6"/>
  <c r="S26" i="8"/>
  <c r="Q26" i="8"/>
  <c r="A55" i="6"/>
  <c r="AE26" i="8"/>
  <c r="Z25" i="8"/>
  <c r="F54" i="6"/>
  <c r="T25" i="8"/>
  <c r="D54" i="6" s="1"/>
  <c r="U25" i="8"/>
  <c r="Y25" i="8"/>
  <c r="C54" i="6"/>
  <c r="B54" i="6"/>
  <c r="S25" i="8"/>
  <c r="R25" i="8"/>
  <c r="A38" i="7" s="1"/>
  <c r="A54" i="6"/>
  <c r="Q25" i="8"/>
  <c r="AE25" i="8"/>
  <c r="Z24" i="8"/>
  <c r="F53" i="6"/>
  <c r="T24" i="8"/>
  <c r="D53" i="6" s="1"/>
  <c r="U24" i="8"/>
  <c r="Y24" i="8"/>
  <c r="C53" i="6"/>
  <c r="R24" i="8"/>
  <c r="A37" i="7" s="1"/>
  <c r="S24" i="8"/>
  <c r="B53" i="6"/>
  <c r="Q24" i="8"/>
  <c r="AE24" i="8"/>
  <c r="A53" i="6"/>
  <c r="F52" i="6"/>
  <c r="Z23" i="8"/>
  <c r="T23" i="8"/>
  <c r="D52" i="6" s="1"/>
  <c r="U23" i="8"/>
  <c r="C52" i="6"/>
  <c r="Y23" i="8"/>
  <c r="R23" i="8"/>
  <c r="A36" i="7" s="1"/>
  <c r="S23" i="8"/>
  <c r="B52" i="6"/>
  <c r="AE23" i="8"/>
  <c r="Q23" i="8"/>
  <c r="A52" i="6"/>
  <c r="Z22" i="8"/>
  <c r="F51" i="6"/>
  <c r="U22" i="8"/>
  <c r="T22" i="8"/>
  <c r="D51" i="6" s="1"/>
  <c r="Y22" i="8"/>
  <c r="C51" i="6"/>
  <c r="R22" i="8"/>
  <c r="A35" i="7" s="1"/>
  <c r="B51" i="6"/>
  <c r="S22" i="8"/>
  <c r="Q22" i="8"/>
  <c r="AE22" i="8"/>
  <c r="A51" i="6"/>
  <c r="Z21" i="8"/>
  <c r="F50" i="6"/>
  <c r="U21" i="8"/>
  <c r="T21" i="8"/>
  <c r="D50" i="6" s="1"/>
  <c r="Y21" i="8"/>
  <c r="C50" i="6"/>
  <c r="R21" i="8"/>
  <c r="A34" i="7" s="1"/>
  <c r="B50" i="6"/>
  <c r="S21" i="8"/>
  <c r="A50" i="6"/>
  <c r="AE21" i="8"/>
  <c r="Q21" i="8"/>
  <c r="F49" i="6"/>
  <c r="Z20" i="8"/>
  <c r="T20" i="8"/>
  <c r="D49" i="6" s="1"/>
  <c r="U20" i="8"/>
  <c r="Y20" i="8"/>
  <c r="C49" i="6"/>
  <c r="S20" i="8"/>
  <c r="B49" i="6"/>
  <c r="R20" i="8"/>
  <c r="A33" i="7" s="1"/>
  <c r="AE20" i="8"/>
  <c r="Q20" i="8"/>
  <c r="A49" i="6"/>
  <c r="Z19" i="8"/>
  <c r="F48" i="6"/>
  <c r="U19" i="8"/>
  <c r="T19" i="8"/>
  <c r="D48" i="6" s="1"/>
  <c r="C48" i="6"/>
  <c r="Y19" i="8"/>
  <c r="R19" i="8"/>
  <c r="A32" i="7" s="1"/>
  <c r="B48" i="6"/>
  <c r="S19" i="8"/>
  <c r="Q19" i="8"/>
  <c r="AE19" i="8"/>
  <c r="A48" i="6"/>
  <c r="Z18" i="8"/>
  <c r="F47" i="6"/>
  <c r="T18" i="8"/>
  <c r="D47" i="6" s="1"/>
  <c r="U18" i="8"/>
  <c r="Y18" i="8"/>
  <c r="C47" i="6"/>
  <c r="R18" i="8"/>
  <c r="A31" i="7" s="1"/>
  <c r="S18" i="8"/>
  <c r="B47" i="6"/>
  <c r="AE18" i="8"/>
  <c r="A47" i="6"/>
  <c r="Q18" i="8"/>
  <c r="Z17" i="8"/>
  <c r="F46" i="6"/>
  <c r="U17" i="8"/>
  <c r="T17" i="8"/>
  <c r="D46" i="6" s="1"/>
  <c r="C46" i="6"/>
  <c r="Y17" i="8"/>
  <c r="R17" i="8"/>
  <c r="A30" i="7" s="1"/>
  <c r="B46" i="6"/>
  <c r="S17" i="8"/>
  <c r="AE17" i="8"/>
  <c r="Q17" i="8"/>
  <c r="A46" i="6"/>
  <c r="Z16" i="8"/>
  <c r="F45" i="6"/>
  <c r="T16" i="8"/>
  <c r="D45" i="6" s="1"/>
  <c r="U16" i="8"/>
  <c r="Y16" i="8"/>
  <c r="C45" i="6"/>
  <c r="B45" i="6"/>
  <c r="R16" i="8"/>
  <c r="A29" i="7" s="1"/>
  <c r="S16" i="8"/>
  <c r="A45" i="6"/>
  <c r="AE16" i="8"/>
  <c r="Q16" i="8"/>
  <c r="F44" i="6"/>
  <c r="Z15" i="8"/>
  <c r="U15" i="8"/>
  <c r="T15" i="8"/>
  <c r="D44" i="6" s="1"/>
  <c r="Y15" i="8"/>
  <c r="C44" i="6"/>
  <c r="R15" i="8"/>
  <c r="A28" i="7" s="1"/>
  <c r="B44" i="6"/>
  <c r="S15" i="8"/>
  <c r="A44" i="6"/>
  <c r="Q15" i="8"/>
  <c r="AE15" i="8"/>
  <c r="Z14" i="8"/>
  <c r="F43" i="6"/>
  <c r="U14" i="8"/>
  <c r="T14" i="8"/>
  <c r="D43" i="6" s="1"/>
  <c r="C43" i="6"/>
  <c r="Y14" i="8"/>
  <c r="R14" i="8"/>
  <c r="A27" i="7" s="1"/>
  <c r="B43" i="6"/>
  <c r="S14" i="8"/>
  <c r="A43" i="6"/>
  <c r="AE14" i="8"/>
  <c r="Q14" i="8"/>
  <c r="Z13" i="8"/>
  <c r="F42" i="6"/>
  <c r="U13" i="8"/>
  <c r="T13" i="8"/>
  <c r="D42" i="6" s="1"/>
  <c r="C42" i="6"/>
  <c r="Y13" i="8"/>
  <c r="B42" i="6"/>
  <c r="S13" i="8"/>
  <c r="R13" i="8"/>
  <c r="A26" i="7" s="1"/>
  <c r="A42" i="6"/>
  <c r="AE13" i="8"/>
  <c r="Q13" i="8"/>
  <c r="Z12" i="8"/>
  <c r="F41" i="6"/>
  <c r="T12" i="8"/>
  <c r="D41" i="6" s="1"/>
  <c r="U12" i="8"/>
  <c r="Y12" i="8"/>
  <c r="C41" i="6"/>
  <c r="S12" i="8"/>
  <c r="R12" i="8"/>
  <c r="A25" i="7" s="1"/>
  <c r="B41" i="6"/>
  <c r="A41" i="6"/>
  <c r="AE12" i="8"/>
  <c r="Q12" i="8"/>
  <c r="Z11" i="8"/>
  <c r="F40" i="6"/>
  <c r="U11" i="8"/>
  <c r="T11" i="8"/>
  <c r="D40" i="6" s="1"/>
  <c r="C40" i="6"/>
  <c r="Y11" i="8"/>
  <c r="B40" i="6"/>
  <c r="S11" i="8"/>
  <c r="R11" i="8"/>
  <c r="A24" i="7" s="1"/>
  <c r="AE11" i="8"/>
  <c r="Q11" i="8"/>
  <c r="A40" i="6"/>
  <c r="V611" i="8" l="1"/>
  <c r="AB611" i="8"/>
  <c r="AA611" i="8"/>
  <c r="G640" i="6"/>
  <c r="Q611" i="8"/>
  <c r="AE611" i="8"/>
  <c r="A640" i="6"/>
  <c r="AC611" i="8"/>
  <c r="I640" i="6"/>
  <c r="C624" i="7"/>
  <c r="V610" i="8"/>
  <c r="AB610" i="8"/>
  <c r="J639" i="6"/>
  <c r="AA610" i="8"/>
  <c r="G639" i="6"/>
  <c r="Q610" i="8"/>
  <c r="AE610" i="8"/>
  <c r="A639" i="6"/>
  <c r="AC610" i="8"/>
  <c r="I639" i="6"/>
  <c r="C623" i="7"/>
  <c r="V609" i="8"/>
  <c r="AB609" i="8"/>
  <c r="J638" i="6"/>
  <c r="AC609" i="8"/>
  <c r="I638" i="6"/>
  <c r="C622" i="7"/>
  <c r="AA609" i="8"/>
  <c r="G638" i="6"/>
  <c r="Q609" i="8"/>
  <c r="AE609" i="8"/>
  <c r="A638" i="6"/>
  <c r="V608" i="8"/>
  <c r="AB608" i="8"/>
  <c r="AA608" i="8"/>
  <c r="G637" i="6"/>
  <c r="AC608" i="8"/>
  <c r="I637" i="6"/>
  <c r="C621" i="7"/>
  <c r="Q608" i="8"/>
  <c r="AE608" i="8"/>
  <c r="A637" i="6"/>
  <c r="V607" i="8"/>
  <c r="AB607" i="8"/>
  <c r="Q607" i="8"/>
  <c r="AE607" i="8"/>
  <c r="A636" i="6"/>
  <c r="AC607" i="8"/>
  <c r="I636" i="6"/>
  <c r="C620" i="7"/>
  <c r="AA607" i="8"/>
  <c r="G636" i="6"/>
  <c r="V606" i="8"/>
  <c r="AB606" i="8"/>
  <c r="AC606" i="8"/>
  <c r="I635" i="6"/>
  <c r="C619" i="7"/>
  <c r="AA606" i="8"/>
  <c r="G635" i="6"/>
  <c r="Q606" i="8"/>
  <c r="AE606" i="8"/>
  <c r="A635" i="6"/>
  <c r="V605" i="8"/>
  <c r="AB605" i="8"/>
  <c r="AA605" i="8"/>
  <c r="G634" i="6"/>
  <c r="Q605" i="8"/>
  <c r="AE605" i="8"/>
  <c r="A634" i="6"/>
  <c r="AC605" i="8"/>
  <c r="I634" i="6"/>
  <c r="C618" i="7"/>
  <c r="V604" i="8"/>
  <c r="AB604" i="8"/>
  <c r="Q604" i="8"/>
  <c r="AE604" i="8"/>
  <c r="A633" i="6"/>
  <c r="AA604" i="8"/>
  <c r="G633" i="6"/>
  <c r="AC604" i="8"/>
  <c r="I633" i="6"/>
  <c r="C617" i="7"/>
  <c r="V603" i="8"/>
  <c r="AB603" i="8"/>
  <c r="AA603" i="8"/>
  <c r="G632" i="6"/>
  <c r="AC603" i="8"/>
  <c r="I632" i="6"/>
  <c r="C616" i="7"/>
  <c r="Q603" i="8"/>
  <c r="AE603" i="8"/>
  <c r="A632" i="6"/>
  <c r="V602" i="8"/>
  <c r="AB602" i="8"/>
  <c r="AC602" i="8"/>
  <c r="I631" i="6"/>
  <c r="C615" i="7"/>
  <c r="Q602" i="8"/>
  <c r="AE602" i="8"/>
  <c r="A631" i="6"/>
  <c r="AA602" i="8"/>
  <c r="G631" i="6"/>
  <c r="V601" i="8"/>
  <c r="AB601" i="8"/>
  <c r="Q601" i="8"/>
  <c r="AE601" i="8"/>
  <c r="A630" i="6"/>
  <c r="AA601" i="8"/>
  <c r="G630" i="6"/>
  <c r="AC601" i="8"/>
  <c r="I630" i="6"/>
  <c r="C614" i="7"/>
  <c r="V600" i="8"/>
  <c r="AB600" i="8"/>
  <c r="AC600" i="8"/>
  <c r="I629" i="6"/>
  <c r="C613" i="7"/>
  <c r="AA600" i="8"/>
  <c r="G629" i="6"/>
  <c r="Q600" i="8"/>
  <c r="AE600" i="8"/>
  <c r="A629" i="6"/>
  <c r="V599" i="8"/>
  <c r="AB599" i="8"/>
  <c r="J628" i="6"/>
  <c r="AC599" i="8"/>
  <c r="I628" i="6"/>
  <c r="C612" i="7"/>
  <c r="Q599" i="8"/>
  <c r="AE599" i="8"/>
  <c r="A628" i="6"/>
  <c r="AA599" i="8"/>
  <c r="G628" i="6"/>
  <c r="V598" i="8"/>
  <c r="AB598" i="8"/>
  <c r="J627" i="6"/>
  <c r="Q598" i="8"/>
  <c r="AE598" i="8"/>
  <c r="A627" i="6"/>
  <c r="AC598" i="8"/>
  <c r="I627" i="6"/>
  <c r="C611" i="7"/>
  <c r="AA598" i="8"/>
  <c r="G627" i="6"/>
  <c r="V597" i="8"/>
  <c r="AB597" i="8"/>
  <c r="Q597" i="8"/>
  <c r="AE597" i="8"/>
  <c r="A626" i="6"/>
  <c r="AC597" i="8"/>
  <c r="I626" i="6"/>
  <c r="C610" i="7"/>
  <c r="AA597" i="8"/>
  <c r="G626" i="6"/>
  <c r="V596" i="8"/>
  <c r="AB596" i="8"/>
  <c r="J625" i="6"/>
  <c r="Q596" i="8"/>
  <c r="AE596" i="8"/>
  <c r="A625" i="6"/>
  <c r="AA596" i="8"/>
  <c r="G625" i="6"/>
  <c r="AC596" i="8"/>
  <c r="I625" i="6"/>
  <c r="C609" i="7"/>
  <c r="V595" i="8"/>
  <c r="AB595" i="8"/>
  <c r="J624" i="6"/>
  <c r="Q595" i="8"/>
  <c r="AE595" i="8"/>
  <c r="A624" i="6"/>
  <c r="AC595" i="8"/>
  <c r="I624" i="6"/>
  <c r="C608" i="7"/>
  <c r="AA595" i="8"/>
  <c r="G624" i="6"/>
  <c r="V594" i="8"/>
  <c r="AB594" i="8"/>
  <c r="Q594" i="8"/>
  <c r="AE594" i="8"/>
  <c r="A623" i="6"/>
  <c r="AC594" i="8"/>
  <c r="I623" i="6"/>
  <c r="C607" i="7"/>
  <c r="AA594" i="8"/>
  <c r="G623" i="6"/>
  <c r="V593" i="8"/>
  <c r="AB593" i="8"/>
  <c r="J622" i="6"/>
  <c r="Q593" i="8"/>
  <c r="AE593" i="8"/>
  <c r="A622" i="6"/>
  <c r="AC593" i="8"/>
  <c r="I622" i="6"/>
  <c r="C606" i="7"/>
  <c r="AA593" i="8"/>
  <c r="G622" i="6"/>
  <c r="V592" i="8"/>
  <c r="AB592" i="8"/>
  <c r="Q592" i="8"/>
  <c r="AE592" i="8"/>
  <c r="A621" i="6"/>
  <c r="AC592" i="8"/>
  <c r="I621" i="6"/>
  <c r="C605" i="7"/>
  <c r="AA592" i="8"/>
  <c r="G621" i="6"/>
  <c r="V591" i="8"/>
  <c r="AB591" i="8"/>
  <c r="J620" i="6"/>
  <c r="AA591" i="8"/>
  <c r="G620" i="6"/>
  <c r="AC591" i="8"/>
  <c r="I620" i="6"/>
  <c r="C604" i="7"/>
  <c r="Q591" i="8"/>
  <c r="AE591" i="8"/>
  <c r="A620" i="6"/>
  <c r="V590" i="8"/>
  <c r="AB590" i="8"/>
  <c r="AC590" i="8"/>
  <c r="I619" i="6"/>
  <c r="C603" i="7"/>
  <c r="AA590" i="8"/>
  <c r="G619" i="6"/>
  <c r="Q590" i="8"/>
  <c r="AE590" i="8"/>
  <c r="A619" i="6"/>
  <c r="V589" i="8"/>
  <c r="AB589" i="8"/>
  <c r="J618" i="6"/>
  <c r="AC589" i="8"/>
  <c r="I618" i="6"/>
  <c r="C602" i="7"/>
  <c r="Q589" i="8"/>
  <c r="AE589" i="8"/>
  <c r="A618" i="6"/>
  <c r="AA589" i="8"/>
  <c r="G618" i="6"/>
  <c r="V588" i="8"/>
  <c r="AB588" i="8"/>
  <c r="Q588" i="8"/>
  <c r="AE588" i="8"/>
  <c r="A617" i="6"/>
  <c r="AA588" i="8"/>
  <c r="G617" i="6"/>
  <c r="AC588" i="8"/>
  <c r="I617" i="6"/>
  <c r="C601" i="7"/>
  <c r="V587" i="8"/>
  <c r="AB587" i="8"/>
  <c r="J616" i="6"/>
  <c r="AC587" i="8"/>
  <c r="I616" i="6"/>
  <c r="C600" i="7"/>
  <c r="AA587" i="8"/>
  <c r="G616" i="6"/>
  <c r="Q587" i="8"/>
  <c r="AE587" i="8"/>
  <c r="A616" i="6"/>
  <c r="V586" i="8"/>
  <c r="AB586" i="8"/>
  <c r="AA586" i="8"/>
  <c r="G615" i="6"/>
  <c r="AC586" i="8"/>
  <c r="I615" i="6"/>
  <c r="C599" i="7"/>
  <c r="Q586" i="8"/>
  <c r="AE586" i="8"/>
  <c r="A615" i="6"/>
  <c r="V585" i="8"/>
  <c r="AB585" i="8"/>
  <c r="J614" i="6"/>
  <c r="Q585" i="8"/>
  <c r="AE585" i="8"/>
  <c r="A614" i="6"/>
  <c r="AC585" i="8"/>
  <c r="I614" i="6"/>
  <c r="C598" i="7"/>
  <c r="AA585" i="8"/>
  <c r="G614" i="6"/>
  <c r="V584" i="8"/>
  <c r="AB584" i="8"/>
  <c r="J613" i="6"/>
  <c r="AC584" i="8"/>
  <c r="I613" i="6"/>
  <c r="C597" i="7"/>
  <c r="AA584" i="8"/>
  <c r="G613" i="6"/>
  <c r="Q584" i="8"/>
  <c r="AE584" i="8"/>
  <c r="A613" i="6"/>
  <c r="V583" i="8"/>
  <c r="AB583" i="8"/>
  <c r="AC583" i="8"/>
  <c r="I612" i="6"/>
  <c r="C596" i="7"/>
  <c r="AA583" i="8"/>
  <c r="G612" i="6"/>
  <c r="Q583" i="8"/>
  <c r="AE583" i="8"/>
  <c r="A612" i="6"/>
  <c r="V582" i="8"/>
  <c r="AB582" i="8"/>
  <c r="AC582" i="8"/>
  <c r="I611" i="6"/>
  <c r="C595" i="7"/>
  <c r="Q582" i="8"/>
  <c r="AE582" i="8"/>
  <c r="A611" i="6"/>
  <c r="AA582" i="8"/>
  <c r="G611" i="6"/>
  <c r="V581" i="8"/>
  <c r="AB581" i="8"/>
  <c r="Q581" i="8"/>
  <c r="AE581" i="8"/>
  <c r="A610" i="6"/>
  <c r="AA581" i="8"/>
  <c r="G610" i="6"/>
  <c r="AC581" i="8"/>
  <c r="I610" i="6"/>
  <c r="C594" i="7"/>
  <c r="V580" i="8"/>
  <c r="AB580" i="8"/>
  <c r="AC580" i="8"/>
  <c r="I609" i="6"/>
  <c r="C593" i="7"/>
  <c r="AA580" i="8"/>
  <c r="G609" i="6"/>
  <c r="Q580" i="8"/>
  <c r="AE580" i="8"/>
  <c r="A609" i="6"/>
  <c r="V579" i="8"/>
  <c r="AB579" i="8"/>
  <c r="Q579" i="8"/>
  <c r="AE579" i="8"/>
  <c r="A608" i="6"/>
  <c r="AC579" i="8"/>
  <c r="I608" i="6"/>
  <c r="C592" i="7"/>
  <c r="AA579" i="8"/>
  <c r="G608" i="6"/>
  <c r="V578" i="8"/>
  <c r="AB578" i="8"/>
  <c r="Q578" i="8"/>
  <c r="AE578" i="8"/>
  <c r="A607" i="6"/>
  <c r="AC578" i="8"/>
  <c r="I607" i="6"/>
  <c r="C591" i="7"/>
  <c r="AA578" i="8"/>
  <c r="G607" i="6"/>
  <c r="V577" i="8"/>
  <c r="AB577" i="8"/>
  <c r="AA577" i="8"/>
  <c r="G606" i="6"/>
  <c r="Q577" i="8"/>
  <c r="AE577" i="8"/>
  <c r="A606" i="6"/>
  <c r="AC577" i="8"/>
  <c r="I606" i="6"/>
  <c r="C590" i="7"/>
  <c r="V576" i="8"/>
  <c r="AB576" i="8"/>
  <c r="AA576" i="8"/>
  <c r="G605" i="6"/>
  <c r="AC576" i="8"/>
  <c r="I605" i="6"/>
  <c r="C589" i="7"/>
  <c r="Q576" i="8"/>
  <c r="AE576" i="8"/>
  <c r="A605" i="6"/>
  <c r="V575" i="8"/>
  <c r="AB575" i="8"/>
  <c r="J604" i="6"/>
  <c r="AA575" i="8"/>
  <c r="G604" i="6"/>
  <c r="AC575" i="8"/>
  <c r="I604" i="6"/>
  <c r="C588" i="7"/>
  <c r="Q575" i="8"/>
  <c r="AE575" i="8"/>
  <c r="A604" i="6"/>
  <c r="V574" i="8"/>
  <c r="AB574" i="8"/>
  <c r="J603" i="6"/>
  <c r="AA574" i="8"/>
  <c r="G603" i="6"/>
  <c r="Q574" i="8"/>
  <c r="AE574" i="8"/>
  <c r="A603" i="6"/>
  <c r="AC574" i="8"/>
  <c r="I603" i="6"/>
  <c r="C587" i="7"/>
  <c r="V573" i="8"/>
  <c r="AB573" i="8"/>
  <c r="Q573" i="8"/>
  <c r="AE573" i="8"/>
  <c r="A602" i="6"/>
  <c r="AC573" i="8"/>
  <c r="I602" i="6"/>
  <c r="C586" i="7"/>
  <c r="AA573" i="8"/>
  <c r="G602" i="6"/>
  <c r="V572" i="8"/>
  <c r="AB572" i="8"/>
  <c r="J601" i="6"/>
  <c r="AC572" i="8"/>
  <c r="I601" i="6"/>
  <c r="C585" i="7"/>
  <c r="Q572" i="8"/>
  <c r="AE572" i="8"/>
  <c r="A601" i="6"/>
  <c r="AA572" i="8"/>
  <c r="G601" i="6"/>
  <c r="V571" i="8"/>
  <c r="AB571" i="8"/>
  <c r="J600" i="6"/>
  <c r="Q571" i="8"/>
  <c r="AE571" i="8"/>
  <c r="A600" i="6"/>
  <c r="AC571" i="8"/>
  <c r="I600" i="6"/>
  <c r="C584" i="7"/>
  <c r="AA571" i="8"/>
  <c r="G600" i="6"/>
  <c r="V570" i="8"/>
  <c r="AB570" i="8"/>
  <c r="Q570" i="8"/>
  <c r="AE570" i="8"/>
  <c r="A599" i="6"/>
  <c r="AA570" i="8"/>
  <c r="G599" i="6"/>
  <c r="AC570" i="8"/>
  <c r="I599" i="6"/>
  <c r="C583" i="7"/>
  <c r="V569" i="8"/>
  <c r="AB569" i="8"/>
  <c r="J598" i="6"/>
  <c r="AA569" i="8"/>
  <c r="G598" i="6"/>
  <c r="AC569" i="8"/>
  <c r="I598" i="6"/>
  <c r="C582" i="7"/>
  <c r="Q569" i="8"/>
  <c r="AE569" i="8"/>
  <c r="A598" i="6"/>
  <c r="V568" i="8"/>
  <c r="AB568" i="8"/>
  <c r="Q568" i="8"/>
  <c r="AE568" i="8"/>
  <c r="A597" i="6"/>
  <c r="AA568" i="8"/>
  <c r="G597" i="6"/>
  <c r="AC568" i="8"/>
  <c r="I597" i="6"/>
  <c r="C581" i="7"/>
  <c r="V567" i="8"/>
  <c r="AB567" i="8"/>
  <c r="J596" i="6"/>
  <c r="AA567" i="8"/>
  <c r="G596" i="6"/>
  <c r="Q567" i="8"/>
  <c r="AE567" i="8"/>
  <c r="A596" i="6"/>
  <c r="AC567" i="8"/>
  <c r="I596" i="6"/>
  <c r="C580" i="7"/>
  <c r="V566" i="8"/>
  <c r="AB566" i="8"/>
  <c r="Q566" i="8"/>
  <c r="AE566" i="8"/>
  <c r="A595" i="6"/>
  <c r="AA566" i="8"/>
  <c r="G595" i="6"/>
  <c r="AC566" i="8"/>
  <c r="I595" i="6"/>
  <c r="C579" i="7"/>
  <c r="V565" i="8"/>
  <c r="AB565" i="8"/>
  <c r="J594" i="6"/>
  <c r="AC565" i="8"/>
  <c r="I594" i="6"/>
  <c r="C578" i="7"/>
  <c r="Q565" i="8"/>
  <c r="AE565" i="8"/>
  <c r="A594" i="6"/>
  <c r="AA565" i="8"/>
  <c r="G594" i="6"/>
  <c r="V564" i="8"/>
  <c r="AB564" i="8"/>
  <c r="AA564" i="8"/>
  <c r="G593" i="6"/>
  <c r="AC564" i="8"/>
  <c r="I593" i="6"/>
  <c r="C577" i="7"/>
  <c r="Q564" i="8"/>
  <c r="AE564" i="8"/>
  <c r="A593" i="6"/>
  <c r="V563" i="8"/>
  <c r="AB563" i="8"/>
  <c r="J592" i="6"/>
  <c r="AA563" i="8"/>
  <c r="G592" i="6"/>
  <c r="AC563" i="8"/>
  <c r="I592" i="6"/>
  <c r="C576" i="7"/>
  <c r="Q563" i="8"/>
  <c r="AE563" i="8"/>
  <c r="A592" i="6"/>
  <c r="V562" i="8"/>
  <c r="AB562" i="8"/>
  <c r="J591" i="6"/>
  <c r="Q562" i="8"/>
  <c r="AE562" i="8"/>
  <c r="A591" i="6"/>
  <c r="AA562" i="8"/>
  <c r="G591" i="6"/>
  <c r="AC562" i="8"/>
  <c r="I591" i="6"/>
  <c r="C575" i="7"/>
  <c r="V561" i="8"/>
  <c r="AB561" i="8"/>
  <c r="AA561" i="8"/>
  <c r="G590" i="6"/>
  <c r="AC561" i="8"/>
  <c r="I590" i="6"/>
  <c r="C574" i="7"/>
  <c r="Q561" i="8"/>
  <c r="AE561" i="8"/>
  <c r="A590" i="6"/>
  <c r="V560" i="8"/>
  <c r="AB560" i="8"/>
  <c r="AC560" i="8"/>
  <c r="I589" i="6"/>
  <c r="C573" i="7"/>
  <c r="AA560" i="8"/>
  <c r="G589" i="6"/>
  <c r="Q560" i="8"/>
  <c r="AE560" i="8"/>
  <c r="A589" i="6"/>
  <c r="V559" i="8"/>
  <c r="AB559" i="8"/>
  <c r="Q559" i="8"/>
  <c r="AE559" i="8"/>
  <c r="A588" i="6"/>
  <c r="AC559" i="8"/>
  <c r="I588" i="6"/>
  <c r="C572" i="7"/>
  <c r="AA559" i="8"/>
  <c r="G588" i="6"/>
  <c r="V558" i="8"/>
  <c r="AB558" i="8"/>
  <c r="AC558" i="8"/>
  <c r="I587" i="6"/>
  <c r="C571" i="7"/>
  <c r="AA558" i="8"/>
  <c r="G587" i="6"/>
  <c r="Q558" i="8"/>
  <c r="AE558" i="8"/>
  <c r="A587" i="6"/>
  <c r="V557" i="8"/>
  <c r="AB557" i="8"/>
  <c r="AA557" i="8"/>
  <c r="G586" i="6"/>
  <c r="Q557" i="8"/>
  <c r="AE557" i="8"/>
  <c r="A586" i="6"/>
  <c r="AC557" i="8"/>
  <c r="I586" i="6"/>
  <c r="C570" i="7"/>
  <c r="V556" i="8"/>
  <c r="AB556" i="8"/>
  <c r="Q556" i="8"/>
  <c r="AE556" i="8"/>
  <c r="A585" i="6"/>
  <c r="AC556" i="8"/>
  <c r="I585" i="6"/>
  <c r="C569" i="7"/>
  <c r="AA556" i="8"/>
  <c r="G585" i="6"/>
  <c r="V555" i="8"/>
  <c r="AB555" i="8"/>
  <c r="Q555" i="8"/>
  <c r="AE555" i="8"/>
  <c r="A584" i="6"/>
  <c r="AC555" i="8"/>
  <c r="I584" i="6"/>
  <c r="C568" i="7"/>
  <c r="AA555" i="8"/>
  <c r="G584" i="6"/>
  <c r="V554" i="8"/>
  <c r="AB554" i="8"/>
  <c r="AC554" i="8"/>
  <c r="I583" i="6"/>
  <c r="C567" i="7"/>
  <c r="Q554" i="8"/>
  <c r="AE554" i="8"/>
  <c r="A583" i="6"/>
  <c r="AA554" i="8"/>
  <c r="G583" i="6"/>
  <c r="V553" i="8"/>
  <c r="AB553" i="8"/>
  <c r="Q553" i="8"/>
  <c r="AE553" i="8"/>
  <c r="A582" i="6"/>
  <c r="AC553" i="8"/>
  <c r="I582" i="6"/>
  <c r="C566" i="7"/>
  <c r="AA553" i="8"/>
  <c r="G582" i="6"/>
  <c r="V552" i="8"/>
  <c r="AB552" i="8"/>
  <c r="J581" i="6"/>
  <c r="AC552" i="8"/>
  <c r="I581" i="6"/>
  <c r="C565" i="7"/>
  <c r="Q552" i="8"/>
  <c r="AE552" i="8"/>
  <c r="A581" i="6"/>
  <c r="AA552" i="8"/>
  <c r="G581" i="6"/>
  <c r="V551" i="8"/>
  <c r="AB551" i="8"/>
  <c r="J580" i="6"/>
  <c r="Q551" i="8"/>
  <c r="AE551" i="8"/>
  <c r="A580" i="6"/>
  <c r="AA551" i="8"/>
  <c r="G580" i="6"/>
  <c r="AC551" i="8"/>
  <c r="I580" i="6"/>
  <c r="C564" i="7"/>
  <c r="V550" i="8"/>
  <c r="AB550" i="8"/>
  <c r="Q550" i="8"/>
  <c r="AE550" i="8"/>
  <c r="A579" i="6"/>
  <c r="AA550" i="8"/>
  <c r="G579" i="6"/>
  <c r="AC550" i="8"/>
  <c r="I579" i="6"/>
  <c r="C563" i="7"/>
  <c r="V549" i="8"/>
  <c r="AB549" i="8"/>
  <c r="J578" i="6"/>
  <c r="AC549" i="8"/>
  <c r="I578" i="6"/>
  <c r="C562" i="7"/>
  <c r="Q549" i="8"/>
  <c r="AE549" i="8"/>
  <c r="A578" i="6"/>
  <c r="AA549" i="8"/>
  <c r="G578" i="6"/>
  <c r="V548" i="8"/>
  <c r="AB548" i="8"/>
  <c r="J577" i="6"/>
  <c r="Q548" i="8"/>
  <c r="AE548" i="8"/>
  <c r="A577" i="6"/>
  <c r="AA548" i="8"/>
  <c r="G577" i="6"/>
  <c r="AC548" i="8"/>
  <c r="I577" i="6"/>
  <c r="C561" i="7"/>
  <c r="V547" i="8"/>
  <c r="AB547" i="8"/>
  <c r="Q547" i="8"/>
  <c r="AE547" i="8"/>
  <c r="A576" i="6"/>
  <c r="AA547" i="8"/>
  <c r="G576" i="6"/>
  <c r="AC547" i="8"/>
  <c r="I576" i="6"/>
  <c r="C560" i="7"/>
  <c r="V546" i="8"/>
  <c r="AB546" i="8"/>
  <c r="J575" i="6"/>
  <c r="Q546" i="8"/>
  <c r="AE546" i="8"/>
  <c r="A575" i="6"/>
  <c r="AA546" i="8"/>
  <c r="G575" i="6"/>
  <c r="AC546" i="8"/>
  <c r="I575" i="6"/>
  <c r="C559" i="7"/>
  <c r="V545" i="8"/>
  <c r="AB545" i="8"/>
  <c r="Q545" i="8"/>
  <c r="AE545" i="8"/>
  <c r="A574" i="6"/>
  <c r="AC545" i="8"/>
  <c r="I574" i="6"/>
  <c r="C558" i="7"/>
  <c r="AA545" i="8"/>
  <c r="G574" i="6"/>
  <c r="V544" i="8"/>
  <c r="AB544" i="8"/>
  <c r="J573" i="6"/>
  <c r="Q544" i="8"/>
  <c r="AE544" i="8"/>
  <c r="A573" i="6"/>
  <c r="AA544" i="8"/>
  <c r="G573" i="6"/>
  <c r="AC544" i="8"/>
  <c r="I573" i="6"/>
  <c r="C557" i="7"/>
  <c r="V543" i="8"/>
  <c r="AB543" i="8"/>
  <c r="AC543" i="8"/>
  <c r="I572" i="6"/>
  <c r="C556" i="7"/>
  <c r="Q543" i="8"/>
  <c r="AE543" i="8"/>
  <c r="A572" i="6"/>
  <c r="AA543" i="8"/>
  <c r="G572" i="6"/>
  <c r="V542" i="8"/>
  <c r="AB542" i="8"/>
  <c r="J571" i="6"/>
  <c r="Q542" i="8"/>
  <c r="AE542" i="8"/>
  <c r="A571" i="6"/>
  <c r="AC542" i="8"/>
  <c r="I571" i="6"/>
  <c r="C555" i="7"/>
  <c r="AA542" i="8"/>
  <c r="G571" i="6"/>
  <c r="V541" i="8"/>
  <c r="AB541" i="8"/>
  <c r="AC541" i="8"/>
  <c r="I570" i="6"/>
  <c r="C554" i="7"/>
  <c r="AA541" i="8"/>
  <c r="G570" i="6"/>
  <c r="Q541" i="8"/>
  <c r="AE541" i="8"/>
  <c r="A570" i="6"/>
  <c r="V540" i="8"/>
  <c r="AB540" i="8"/>
  <c r="J569" i="6"/>
  <c r="Q540" i="8"/>
  <c r="AE540" i="8"/>
  <c r="A569" i="6"/>
  <c r="AC540" i="8"/>
  <c r="I569" i="6"/>
  <c r="C553" i="7"/>
  <c r="AA540" i="8"/>
  <c r="G569" i="6"/>
  <c r="V539" i="8"/>
  <c r="AB539" i="8"/>
  <c r="J568" i="6"/>
  <c r="AC539" i="8"/>
  <c r="I568" i="6"/>
  <c r="C552" i="7"/>
  <c r="Q539" i="8"/>
  <c r="AE539" i="8"/>
  <c r="A568" i="6"/>
  <c r="AA539" i="8"/>
  <c r="G568" i="6"/>
  <c r="V538" i="8"/>
  <c r="AB538" i="8"/>
  <c r="AC538" i="8"/>
  <c r="I567" i="6"/>
  <c r="C551" i="7"/>
  <c r="AA538" i="8"/>
  <c r="G567" i="6"/>
  <c r="Q538" i="8"/>
  <c r="AE538" i="8"/>
  <c r="A567" i="6"/>
  <c r="V537" i="8"/>
  <c r="AB537" i="8"/>
  <c r="AA537" i="8"/>
  <c r="G566" i="6"/>
  <c r="AC537" i="8"/>
  <c r="I566" i="6"/>
  <c r="C550" i="7"/>
  <c r="Q537" i="8"/>
  <c r="AE537" i="8"/>
  <c r="A566" i="6"/>
  <c r="V536" i="8"/>
  <c r="AB536" i="8"/>
  <c r="AC536" i="8"/>
  <c r="I565" i="6"/>
  <c r="C549" i="7"/>
  <c r="Q536" i="8"/>
  <c r="AE536" i="8"/>
  <c r="A565" i="6"/>
  <c r="AA536" i="8"/>
  <c r="G565" i="6"/>
  <c r="V535" i="8"/>
  <c r="AB535" i="8"/>
  <c r="Q535" i="8"/>
  <c r="AE535" i="8"/>
  <c r="A564" i="6"/>
  <c r="AC535" i="8"/>
  <c r="I564" i="6"/>
  <c r="C548" i="7"/>
  <c r="AA535" i="8"/>
  <c r="G564" i="6"/>
  <c r="V534" i="8"/>
  <c r="AB534" i="8"/>
  <c r="AA534" i="8"/>
  <c r="G563" i="6"/>
  <c r="Q534" i="8"/>
  <c r="AE534" i="8"/>
  <c r="A563" i="6"/>
  <c r="AC534" i="8"/>
  <c r="I563" i="6"/>
  <c r="C547" i="7"/>
  <c r="V533" i="8"/>
  <c r="AB533" i="8"/>
  <c r="Q533" i="8"/>
  <c r="AE533" i="8"/>
  <c r="A562" i="6"/>
  <c r="AC533" i="8"/>
  <c r="I562" i="6"/>
  <c r="C546" i="7"/>
  <c r="AA533" i="8"/>
  <c r="G562" i="6"/>
  <c r="V532" i="8"/>
  <c r="AB532" i="8"/>
  <c r="AA532" i="8"/>
  <c r="G561" i="6"/>
  <c r="AC532" i="8"/>
  <c r="I561" i="6"/>
  <c r="C545" i="7"/>
  <c r="Q532" i="8"/>
  <c r="AE532" i="8"/>
  <c r="A561" i="6"/>
  <c r="V531" i="8"/>
  <c r="AB531" i="8"/>
  <c r="AA531" i="8"/>
  <c r="G560" i="6"/>
  <c r="Q531" i="8"/>
  <c r="AE531" i="8"/>
  <c r="A560" i="6"/>
  <c r="AC531" i="8"/>
  <c r="I560" i="6"/>
  <c r="C544" i="7"/>
  <c r="V530" i="8"/>
  <c r="AB530" i="8"/>
  <c r="Q530" i="8"/>
  <c r="AE530" i="8"/>
  <c r="A559" i="6"/>
  <c r="AC530" i="8"/>
  <c r="I559" i="6"/>
  <c r="C543" i="7"/>
  <c r="AA530" i="8"/>
  <c r="G559" i="6"/>
  <c r="V529" i="8"/>
  <c r="AB529" i="8"/>
  <c r="AA529" i="8"/>
  <c r="G558" i="6"/>
  <c r="Q529" i="8"/>
  <c r="AE529" i="8"/>
  <c r="A558" i="6"/>
  <c r="AC529" i="8"/>
  <c r="I558" i="6"/>
  <c r="C542" i="7"/>
  <c r="V528" i="8"/>
  <c r="AB528" i="8"/>
  <c r="J557" i="6"/>
  <c r="AC528" i="8"/>
  <c r="I557" i="6"/>
  <c r="C541" i="7"/>
  <c r="Q528" i="8"/>
  <c r="AE528" i="8"/>
  <c r="A557" i="6"/>
  <c r="AA528" i="8"/>
  <c r="G557" i="6"/>
  <c r="V527" i="8"/>
  <c r="AB527" i="8"/>
  <c r="Q527" i="8"/>
  <c r="AE527" i="8"/>
  <c r="A556" i="6"/>
  <c r="AA527" i="8"/>
  <c r="G556" i="6"/>
  <c r="AC527" i="8"/>
  <c r="I556" i="6"/>
  <c r="C540" i="7"/>
  <c r="V526" i="8"/>
  <c r="AB526" i="8"/>
  <c r="J555" i="6"/>
  <c r="AC526" i="8"/>
  <c r="I555" i="6"/>
  <c r="C539" i="7"/>
  <c r="Q526" i="8"/>
  <c r="AE526" i="8"/>
  <c r="A555" i="6"/>
  <c r="AA526" i="8"/>
  <c r="G555" i="6"/>
  <c r="V525" i="8"/>
  <c r="AB525" i="8"/>
  <c r="J554" i="6"/>
  <c r="AC525" i="8"/>
  <c r="I554" i="6"/>
  <c r="C538" i="7"/>
  <c r="Q525" i="8"/>
  <c r="AE525" i="8"/>
  <c r="A554" i="6"/>
  <c r="AA525" i="8"/>
  <c r="G554" i="6"/>
  <c r="V524" i="8"/>
  <c r="AB524" i="8"/>
  <c r="AC524" i="8"/>
  <c r="I553" i="6"/>
  <c r="C537" i="7"/>
  <c r="Q524" i="8"/>
  <c r="AE524" i="8"/>
  <c r="A553" i="6"/>
  <c r="AA524" i="8"/>
  <c r="G553" i="6"/>
  <c r="V523" i="8"/>
  <c r="AB523" i="8"/>
  <c r="J552" i="6"/>
  <c r="Q523" i="8"/>
  <c r="AE523" i="8"/>
  <c r="A552" i="6"/>
  <c r="AA523" i="8"/>
  <c r="G552" i="6"/>
  <c r="AC523" i="8"/>
  <c r="I552" i="6"/>
  <c r="C536" i="7"/>
  <c r="V522" i="8"/>
  <c r="AB522" i="8"/>
  <c r="Q522" i="8"/>
  <c r="AE522" i="8"/>
  <c r="A551" i="6"/>
  <c r="AA522" i="8"/>
  <c r="G551" i="6"/>
  <c r="AC522" i="8"/>
  <c r="I551" i="6"/>
  <c r="C535" i="7"/>
  <c r="V521" i="8"/>
  <c r="AB521" i="8"/>
  <c r="J550" i="6"/>
  <c r="Q521" i="8"/>
  <c r="AE521" i="8"/>
  <c r="A550" i="6"/>
  <c r="AC521" i="8"/>
  <c r="I550" i="6"/>
  <c r="C534" i="7"/>
  <c r="AA521" i="8"/>
  <c r="G550" i="6"/>
  <c r="V520" i="8"/>
  <c r="AB520" i="8"/>
  <c r="AA520" i="8"/>
  <c r="G549" i="6"/>
  <c r="AC520" i="8"/>
  <c r="I549" i="6"/>
  <c r="C533" i="7"/>
  <c r="Q520" i="8"/>
  <c r="AE520" i="8"/>
  <c r="A549" i="6"/>
  <c r="V519" i="8"/>
  <c r="AB519" i="8"/>
  <c r="J548" i="6"/>
  <c r="AC519" i="8"/>
  <c r="I548" i="6"/>
  <c r="C532" i="7"/>
  <c r="AA519" i="8"/>
  <c r="G548" i="6"/>
  <c r="Q519" i="8"/>
  <c r="AE519" i="8"/>
  <c r="A548" i="6"/>
  <c r="V518" i="8"/>
  <c r="AB518" i="8"/>
  <c r="AA518" i="8"/>
  <c r="G547" i="6"/>
  <c r="AC518" i="8"/>
  <c r="I547" i="6"/>
  <c r="C531" i="7"/>
  <c r="Q518" i="8"/>
  <c r="AE518" i="8"/>
  <c r="A547" i="6"/>
  <c r="V517" i="8"/>
  <c r="AB517" i="8"/>
  <c r="J546" i="6"/>
  <c r="Q517" i="8"/>
  <c r="AE517" i="8"/>
  <c r="A546" i="6"/>
  <c r="AC517" i="8"/>
  <c r="I546" i="6"/>
  <c r="C530" i="7"/>
  <c r="AA517" i="8"/>
  <c r="G546" i="6"/>
  <c r="V516" i="8"/>
  <c r="AB516" i="8"/>
  <c r="J545" i="6"/>
  <c r="AC516" i="8"/>
  <c r="I545" i="6"/>
  <c r="C529" i="7"/>
  <c r="AA516" i="8"/>
  <c r="G545" i="6"/>
  <c r="Q516" i="8"/>
  <c r="AE516" i="8"/>
  <c r="A545" i="6"/>
  <c r="V515" i="8"/>
  <c r="AB515" i="8"/>
  <c r="AC515" i="8"/>
  <c r="I544" i="6"/>
  <c r="C528" i="7"/>
  <c r="Q515" i="8"/>
  <c r="AE515" i="8"/>
  <c r="A544" i="6"/>
  <c r="AA515" i="8"/>
  <c r="G544" i="6"/>
  <c r="V514" i="8"/>
  <c r="AB514" i="8"/>
  <c r="Q514" i="8"/>
  <c r="AE514" i="8"/>
  <c r="A543" i="6"/>
  <c r="AC514" i="8"/>
  <c r="I543" i="6"/>
  <c r="C527" i="7"/>
  <c r="AA514" i="8"/>
  <c r="G543" i="6"/>
  <c r="V513" i="8"/>
  <c r="AB513" i="8"/>
  <c r="AA513" i="8"/>
  <c r="G542" i="6"/>
  <c r="AC513" i="8"/>
  <c r="I542" i="6"/>
  <c r="C526" i="7"/>
  <c r="Q513" i="8"/>
  <c r="AE513" i="8"/>
  <c r="A542" i="6"/>
  <c r="V512" i="8"/>
  <c r="AB512" i="8"/>
  <c r="AC512" i="8"/>
  <c r="I541" i="6"/>
  <c r="C525" i="7"/>
  <c r="AA512" i="8"/>
  <c r="G541" i="6"/>
  <c r="Q512" i="8"/>
  <c r="AE512" i="8"/>
  <c r="A541" i="6"/>
  <c r="V511" i="8"/>
  <c r="AB511" i="8"/>
  <c r="AA511" i="8"/>
  <c r="G540" i="6"/>
  <c r="AC511" i="8"/>
  <c r="I540" i="6"/>
  <c r="C524" i="7"/>
  <c r="Q511" i="8"/>
  <c r="AE511" i="8"/>
  <c r="A540" i="6"/>
  <c r="V510" i="8"/>
  <c r="AB510" i="8"/>
  <c r="Q510" i="8"/>
  <c r="AE510" i="8"/>
  <c r="A539" i="6"/>
  <c r="AC510" i="8"/>
  <c r="I539" i="6"/>
  <c r="C523" i="7"/>
  <c r="AA510" i="8"/>
  <c r="G539" i="6"/>
  <c r="V509" i="8"/>
  <c r="AB509" i="8"/>
  <c r="Q509" i="8"/>
  <c r="AE509" i="8"/>
  <c r="A538" i="6"/>
  <c r="AA509" i="8"/>
  <c r="G538" i="6"/>
  <c r="AC509" i="8"/>
  <c r="I538" i="6"/>
  <c r="C522" i="7"/>
  <c r="V508" i="8"/>
  <c r="AB508" i="8"/>
  <c r="Q508" i="8"/>
  <c r="AE508" i="8"/>
  <c r="A537" i="6"/>
  <c r="AA508" i="8"/>
  <c r="G537" i="6"/>
  <c r="AC508" i="8"/>
  <c r="I537" i="6"/>
  <c r="C521" i="7"/>
  <c r="V507" i="8"/>
  <c r="AB507" i="8"/>
  <c r="Q507" i="8"/>
  <c r="AE507" i="8"/>
  <c r="A536" i="6"/>
  <c r="AA507" i="8"/>
  <c r="G536" i="6"/>
  <c r="AC507" i="8"/>
  <c r="I536" i="6"/>
  <c r="C520" i="7"/>
  <c r="V506" i="8"/>
  <c r="AB506" i="8"/>
  <c r="J535" i="6"/>
  <c r="Q506" i="8"/>
  <c r="AE506" i="8"/>
  <c r="A535" i="6"/>
  <c r="AA506" i="8"/>
  <c r="G535" i="6"/>
  <c r="AC506" i="8"/>
  <c r="I535" i="6"/>
  <c r="C519" i="7"/>
  <c r="V505" i="8"/>
  <c r="AB505" i="8"/>
  <c r="J534" i="6"/>
  <c r="AC505" i="8"/>
  <c r="I534" i="6"/>
  <c r="C518" i="7"/>
  <c r="AA505" i="8"/>
  <c r="G534" i="6"/>
  <c r="Q505" i="8"/>
  <c r="AE505" i="8"/>
  <c r="A534" i="6"/>
  <c r="V504" i="8"/>
  <c r="AB504" i="8"/>
  <c r="Q504" i="8"/>
  <c r="AE504" i="8"/>
  <c r="A533" i="6"/>
  <c r="AC504" i="8"/>
  <c r="I533" i="6"/>
  <c r="C517" i="7"/>
  <c r="AA504" i="8"/>
  <c r="G533" i="6"/>
  <c r="V503" i="8"/>
  <c r="AB503" i="8"/>
  <c r="J532" i="6"/>
  <c r="AA503" i="8"/>
  <c r="G532" i="6"/>
  <c r="AC503" i="8"/>
  <c r="I532" i="6"/>
  <c r="C516" i="7"/>
  <c r="Q503" i="8"/>
  <c r="AE503" i="8"/>
  <c r="A532" i="6"/>
  <c r="V502" i="8"/>
  <c r="AB502" i="8"/>
  <c r="J531" i="6"/>
  <c r="AC502" i="8"/>
  <c r="I531" i="6"/>
  <c r="C515" i="7"/>
  <c r="AA502" i="8"/>
  <c r="G531" i="6"/>
  <c r="Q502" i="8"/>
  <c r="AE502" i="8"/>
  <c r="A531" i="6"/>
  <c r="V501" i="8"/>
  <c r="AB501" i="8"/>
  <c r="AA501" i="8"/>
  <c r="G530" i="6"/>
  <c r="AC501" i="8"/>
  <c r="I530" i="6"/>
  <c r="C514" i="7"/>
  <c r="Q501" i="8"/>
  <c r="AE501" i="8"/>
  <c r="A530" i="6"/>
  <c r="V500" i="8"/>
  <c r="AB500" i="8"/>
  <c r="J529" i="6"/>
  <c r="AA500" i="8"/>
  <c r="G529" i="6"/>
  <c r="AC500" i="8"/>
  <c r="I529" i="6"/>
  <c r="C513" i="7"/>
  <c r="Q500" i="8"/>
  <c r="AE500" i="8"/>
  <c r="A529" i="6"/>
  <c r="V499" i="8"/>
  <c r="AB499" i="8"/>
  <c r="AC499" i="8"/>
  <c r="I528" i="6"/>
  <c r="C512" i="7"/>
  <c r="Q499" i="8"/>
  <c r="AE499" i="8"/>
  <c r="A528" i="6"/>
  <c r="AA499" i="8"/>
  <c r="G528" i="6"/>
  <c r="V498" i="8"/>
  <c r="AB498" i="8"/>
  <c r="J527" i="6"/>
  <c r="AC498" i="8"/>
  <c r="I527" i="6"/>
  <c r="C511" i="7"/>
  <c r="Q498" i="8"/>
  <c r="AE498" i="8"/>
  <c r="A527" i="6"/>
  <c r="AA498" i="8"/>
  <c r="G527" i="6"/>
  <c r="V497" i="8"/>
  <c r="AB497" i="8"/>
  <c r="AC497" i="8"/>
  <c r="I526" i="6"/>
  <c r="C510" i="7"/>
  <c r="Q497" i="8"/>
  <c r="AE497" i="8"/>
  <c r="A526" i="6"/>
  <c r="AA497" i="8"/>
  <c r="G526" i="6"/>
  <c r="V496" i="8"/>
  <c r="AB496" i="8"/>
  <c r="J525" i="6"/>
  <c r="Q496" i="8"/>
  <c r="AE496" i="8"/>
  <c r="A525" i="6"/>
  <c r="AA496" i="8"/>
  <c r="G525" i="6"/>
  <c r="AC496" i="8"/>
  <c r="I525" i="6"/>
  <c r="C509" i="7"/>
  <c r="V495" i="8"/>
  <c r="AB495" i="8"/>
  <c r="AC495" i="8"/>
  <c r="I524" i="6"/>
  <c r="C508" i="7"/>
  <c r="Q495" i="8"/>
  <c r="AE495" i="8"/>
  <c r="A524" i="6"/>
  <c r="AA495" i="8"/>
  <c r="G524" i="6"/>
  <c r="V494" i="8"/>
  <c r="AB494" i="8"/>
  <c r="J523" i="6"/>
  <c r="AA494" i="8"/>
  <c r="G523" i="6"/>
  <c r="AC494" i="8"/>
  <c r="I523" i="6"/>
  <c r="C507" i="7"/>
  <c r="Q494" i="8"/>
  <c r="AE494" i="8"/>
  <c r="A523" i="6"/>
  <c r="V493" i="8"/>
  <c r="AB493" i="8"/>
  <c r="J522" i="6"/>
  <c r="AA493" i="8"/>
  <c r="G522" i="6"/>
  <c r="Q493" i="8"/>
  <c r="AE493" i="8"/>
  <c r="A522" i="6"/>
  <c r="AC493" i="8"/>
  <c r="I522" i="6"/>
  <c r="C506" i="7"/>
  <c r="V492" i="8"/>
  <c r="AB492" i="8"/>
  <c r="AA492" i="8"/>
  <c r="G521" i="6"/>
  <c r="AC492" i="8"/>
  <c r="I521" i="6"/>
  <c r="C505" i="7"/>
  <c r="Q492" i="8"/>
  <c r="AE492" i="8"/>
  <c r="A521" i="6"/>
  <c r="V491" i="8"/>
  <c r="AB491" i="8"/>
  <c r="AA491" i="8"/>
  <c r="G520" i="6"/>
  <c r="Q491" i="8"/>
  <c r="AE491" i="8"/>
  <c r="A520" i="6"/>
  <c r="AC491" i="8"/>
  <c r="I520" i="6"/>
  <c r="C504" i="7"/>
  <c r="V490" i="8"/>
  <c r="AB490" i="8"/>
  <c r="AC490" i="8"/>
  <c r="I519" i="6"/>
  <c r="C503" i="7"/>
  <c r="AA490" i="8"/>
  <c r="G519" i="6"/>
  <c r="Q490" i="8"/>
  <c r="AE490" i="8"/>
  <c r="A519" i="6"/>
  <c r="V489" i="8"/>
  <c r="AB489" i="8"/>
  <c r="AC489" i="8"/>
  <c r="I518" i="6"/>
  <c r="C502" i="7"/>
  <c r="Q489" i="8"/>
  <c r="AE489" i="8"/>
  <c r="A518" i="6"/>
  <c r="AA489" i="8"/>
  <c r="G518" i="6"/>
  <c r="V488" i="8"/>
  <c r="AB488" i="8"/>
  <c r="AA488" i="8"/>
  <c r="G517" i="6"/>
  <c r="AC488" i="8"/>
  <c r="I517" i="6"/>
  <c r="C501" i="7"/>
  <c r="Q488" i="8"/>
  <c r="AE488" i="8"/>
  <c r="A517" i="6"/>
  <c r="V487" i="8"/>
  <c r="AB487" i="8"/>
  <c r="AA487" i="8"/>
  <c r="G516" i="6"/>
  <c r="Q487" i="8"/>
  <c r="AE487" i="8"/>
  <c r="A516" i="6"/>
  <c r="AC487" i="8"/>
  <c r="I516" i="6"/>
  <c r="C500" i="7"/>
  <c r="V486" i="8"/>
  <c r="AB486" i="8"/>
  <c r="Q486" i="8"/>
  <c r="AE486" i="8"/>
  <c r="A515" i="6"/>
  <c r="AC486" i="8"/>
  <c r="I515" i="6"/>
  <c r="C499" i="7"/>
  <c r="AA486" i="8"/>
  <c r="G515" i="6"/>
  <c r="V485" i="8"/>
  <c r="AB485" i="8"/>
  <c r="Q485" i="8"/>
  <c r="AE485" i="8"/>
  <c r="A514" i="6"/>
  <c r="AA485" i="8"/>
  <c r="G514" i="6"/>
  <c r="AC485" i="8"/>
  <c r="I514" i="6"/>
  <c r="C498" i="7"/>
  <c r="V484" i="8"/>
  <c r="AB484" i="8"/>
  <c r="Q484" i="8"/>
  <c r="AE484" i="8"/>
  <c r="A513" i="6"/>
  <c r="AC484" i="8"/>
  <c r="I513" i="6"/>
  <c r="C497" i="7"/>
  <c r="AA484" i="8"/>
  <c r="G513" i="6"/>
  <c r="V483" i="8"/>
  <c r="AB483" i="8"/>
  <c r="J512" i="6"/>
  <c r="Q483" i="8"/>
  <c r="AE483" i="8"/>
  <c r="A512" i="6"/>
  <c r="AA483" i="8"/>
  <c r="G512" i="6"/>
  <c r="AC483" i="8"/>
  <c r="I512" i="6"/>
  <c r="C496" i="7"/>
  <c r="V482" i="8"/>
  <c r="AB482" i="8"/>
  <c r="J511" i="6"/>
  <c r="AA482" i="8"/>
  <c r="G511" i="6"/>
  <c r="AC482" i="8"/>
  <c r="I511" i="6"/>
  <c r="C495" i="7"/>
  <c r="Q482" i="8"/>
  <c r="AE482" i="8"/>
  <c r="A511" i="6"/>
  <c r="V481" i="8"/>
  <c r="AB481" i="8"/>
  <c r="AA481" i="8"/>
  <c r="G510" i="6"/>
  <c r="AC481" i="8"/>
  <c r="I510" i="6"/>
  <c r="C494" i="7"/>
  <c r="Q481" i="8"/>
  <c r="AE481" i="8"/>
  <c r="A510" i="6"/>
  <c r="V480" i="8"/>
  <c r="AB480" i="8"/>
  <c r="J509" i="6"/>
  <c r="Q480" i="8"/>
  <c r="AE480" i="8"/>
  <c r="A509" i="6"/>
  <c r="AC480" i="8"/>
  <c r="I509" i="6"/>
  <c r="C493" i="7"/>
  <c r="AA480" i="8"/>
  <c r="G509" i="6"/>
  <c r="V479" i="8"/>
  <c r="AB479" i="8"/>
  <c r="J508" i="6"/>
  <c r="Q479" i="8"/>
  <c r="AE479" i="8"/>
  <c r="A508" i="6"/>
  <c r="AA479" i="8"/>
  <c r="G508" i="6"/>
  <c r="AC479" i="8"/>
  <c r="I508" i="6"/>
  <c r="C492" i="7"/>
  <c r="V478" i="8"/>
  <c r="AB478" i="8"/>
  <c r="AC478" i="8"/>
  <c r="I507" i="6"/>
  <c r="C491" i="7"/>
  <c r="AA478" i="8"/>
  <c r="G507" i="6"/>
  <c r="Q478" i="8"/>
  <c r="AE478" i="8"/>
  <c r="A507" i="6"/>
  <c r="V477" i="8"/>
  <c r="AB477" i="8"/>
  <c r="J506" i="6"/>
  <c r="Q477" i="8"/>
  <c r="AE477" i="8"/>
  <c r="A506" i="6"/>
  <c r="AC477" i="8"/>
  <c r="I506" i="6"/>
  <c r="C490" i="7"/>
  <c r="AA477" i="8"/>
  <c r="G506" i="6"/>
  <c r="V476" i="8"/>
  <c r="AB476" i="8"/>
  <c r="AC476" i="8"/>
  <c r="I505" i="6"/>
  <c r="C489" i="7"/>
  <c r="Q476" i="8"/>
  <c r="AE476" i="8"/>
  <c r="A505" i="6"/>
  <c r="AA476" i="8"/>
  <c r="G505" i="6"/>
  <c r="V475" i="8"/>
  <c r="AB475" i="8"/>
  <c r="J504" i="6"/>
  <c r="Q475" i="8"/>
  <c r="AE475" i="8"/>
  <c r="A504" i="6"/>
  <c r="AC475" i="8"/>
  <c r="I504" i="6"/>
  <c r="C488" i="7"/>
  <c r="AA475" i="8"/>
  <c r="G504" i="6"/>
  <c r="V474" i="8"/>
  <c r="AB474" i="8"/>
  <c r="AA474" i="8"/>
  <c r="G503" i="6"/>
  <c r="Q474" i="8"/>
  <c r="AE474" i="8"/>
  <c r="A503" i="6"/>
  <c r="AC474" i="8"/>
  <c r="I503" i="6"/>
  <c r="C487" i="7"/>
  <c r="V473" i="8"/>
  <c r="AB473" i="8"/>
  <c r="J502" i="6"/>
  <c r="AA473" i="8"/>
  <c r="G502" i="6"/>
  <c r="Q473" i="8"/>
  <c r="AE473" i="8"/>
  <c r="A502" i="6"/>
  <c r="AC473" i="8"/>
  <c r="I502" i="6"/>
  <c r="C486" i="7"/>
  <c r="V472" i="8"/>
  <c r="AB472" i="8"/>
  <c r="AC472" i="8"/>
  <c r="I501" i="6"/>
  <c r="C485" i="7"/>
  <c r="AA472" i="8"/>
  <c r="G501" i="6"/>
  <c r="Q472" i="8"/>
  <c r="AE472" i="8"/>
  <c r="A501" i="6"/>
  <c r="V471" i="8"/>
  <c r="AB471" i="8"/>
  <c r="J500" i="6"/>
  <c r="Q471" i="8"/>
  <c r="AE471" i="8"/>
  <c r="A500" i="6"/>
  <c r="AA471" i="8"/>
  <c r="G500" i="6"/>
  <c r="AC471" i="8"/>
  <c r="I500" i="6"/>
  <c r="C484" i="7"/>
  <c r="V470" i="8"/>
  <c r="AB470" i="8"/>
  <c r="J499" i="6"/>
  <c r="Q470" i="8"/>
  <c r="AE470" i="8"/>
  <c r="A499" i="6"/>
  <c r="AA470" i="8"/>
  <c r="G499" i="6"/>
  <c r="AC470" i="8"/>
  <c r="I499" i="6"/>
  <c r="C483" i="7"/>
  <c r="V469" i="8"/>
  <c r="AB469" i="8"/>
  <c r="AA469" i="8"/>
  <c r="G498" i="6"/>
  <c r="Q469" i="8"/>
  <c r="AE469" i="8"/>
  <c r="A498" i="6"/>
  <c r="AC469" i="8"/>
  <c r="I498" i="6"/>
  <c r="C482" i="7"/>
  <c r="V468" i="8"/>
  <c r="AB468" i="8"/>
  <c r="AC468" i="8"/>
  <c r="I497" i="6"/>
  <c r="C481" i="7"/>
  <c r="Q468" i="8"/>
  <c r="AE468" i="8"/>
  <c r="A497" i="6"/>
  <c r="AA468" i="8"/>
  <c r="G497" i="6"/>
  <c r="V467" i="8"/>
  <c r="AB467" i="8"/>
  <c r="AA467" i="8"/>
  <c r="G496" i="6"/>
  <c r="AC467" i="8"/>
  <c r="I496" i="6"/>
  <c r="C480" i="7"/>
  <c r="Q467" i="8"/>
  <c r="AE467" i="8"/>
  <c r="A496" i="6"/>
  <c r="V466" i="8"/>
  <c r="AB466" i="8"/>
  <c r="AA466" i="8"/>
  <c r="G495" i="6"/>
  <c r="AC466" i="8"/>
  <c r="I495" i="6"/>
  <c r="C479" i="7"/>
  <c r="Q466" i="8"/>
  <c r="AE466" i="8"/>
  <c r="A495" i="6"/>
  <c r="V465" i="8"/>
  <c r="AB465" i="8"/>
  <c r="Q465" i="8"/>
  <c r="AE465" i="8"/>
  <c r="A494" i="6"/>
  <c r="AA465" i="8"/>
  <c r="G494" i="6"/>
  <c r="AC465" i="8"/>
  <c r="I494" i="6"/>
  <c r="C478" i="7"/>
  <c r="V464" i="8"/>
  <c r="AB464" i="8"/>
  <c r="Q464" i="8"/>
  <c r="AE464" i="8"/>
  <c r="A493" i="6"/>
  <c r="AC464" i="8"/>
  <c r="I493" i="6"/>
  <c r="C477" i="7"/>
  <c r="AA464" i="8"/>
  <c r="G493" i="6"/>
  <c r="V463" i="8"/>
  <c r="AB463" i="8"/>
  <c r="AA463" i="8"/>
  <c r="G492" i="6"/>
  <c r="AC463" i="8"/>
  <c r="I492" i="6"/>
  <c r="C476" i="7"/>
  <c r="Q463" i="8"/>
  <c r="AE463" i="8"/>
  <c r="A492" i="6"/>
  <c r="V462" i="8"/>
  <c r="AB462" i="8"/>
  <c r="AC462" i="8"/>
  <c r="I491" i="6"/>
  <c r="C475" i="7"/>
  <c r="AA462" i="8"/>
  <c r="G491" i="6"/>
  <c r="Q462" i="8"/>
  <c r="AE462" i="8"/>
  <c r="A491" i="6"/>
  <c r="V461" i="8"/>
  <c r="AB461" i="8"/>
  <c r="Q461" i="8"/>
  <c r="AE461" i="8"/>
  <c r="A490" i="6"/>
  <c r="AA461" i="8"/>
  <c r="G490" i="6"/>
  <c r="AC461" i="8"/>
  <c r="I490" i="6"/>
  <c r="C474" i="7"/>
  <c r="V460" i="8"/>
  <c r="AB460" i="8"/>
  <c r="Q460" i="8"/>
  <c r="AE460" i="8"/>
  <c r="A489" i="6"/>
  <c r="AA460" i="8"/>
  <c r="G489" i="6"/>
  <c r="AC460" i="8"/>
  <c r="I489" i="6"/>
  <c r="C473" i="7"/>
  <c r="V459" i="8"/>
  <c r="AB459" i="8"/>
  <c r="J488" i="6"/>
  <c r="Q459" i="8"/>
  <c r="AE459" i="8"/>
  <c r="A488" i="6"/>
  <c r="AC459" i="8"/>
  <c r="I488" i="6"/>
  <c r="C472" i="7"/>
  <c r="AA459" i="8"/>
  <c r="G488" i="6"/>
  <c r="V458" i="8"/>
  <c r="AB458" i="8"/>
  <c r="J487" i="6"/>
  <c r="AC458" i="8"/>
  <c r="I487" i="6"/>
  <c r="C471" i="7"/>
  <c r="Q458" i="8"/>
  <c r="AE458" i="8"/>
  <c r="A487" i="6"/>
  <c r="AA458" i="8"/>
  <c r="G487" i="6"/>
  <c r="V457" i="8"/>
  <c r="AB457" i="8"/>
  <c r="Q457" i="8"/>
  <c r="AE457" i="8"/>
  <c r="A486" i="6"/>
  <c r="AA457" i="8"/>
  <c r="G486" i="6"/>
  <c r="AC457" i="8"/>
  <c r="I486" i="6"/>
  <c r="C470" i="7"/>
  <c r="V456" i="8"/>
  <c r="AB456" i="8"/>
  <c r="J485" i="6"/>
  <c r="AA456" i="8"/>
  <c r="G485" i="6"/>
  <c r="AC456" i="8"/>
  <c r="I485" i="6"/>
  <c r="C469" i="7"/>
  <c r="Q456" i="8"/>
  <c r="AE456" i="8"/>
  <c r="A485" i="6"/>
  <c r="V455" i="8"/>
  <c r="AB455" i="8"/>
  <c r="J484" i="6"/>
  <c r="Q455" i="8"/>
  <c r="AE455" i="8"/>
  <c r="A484" i="6"/>
  <c r="AC455" i="8"/>
  <c r="I484" i="6"/>
  <c r="C468" i="7"/>
  <c r="AA455" i="8"/>
  <c r="G484" i="6"/>
  <c r="V454" i="8"/>
  <c r="AB454" i="8"/>
  <c r="AC454" i="8"/>
  <c r="I483" i="6"/>
  <c r="C467" i="7"/>
  <c r="AA454" i="8"/>
  <c r="G483" i="6"/>
  <c r="Q454" i="8"/>
  <c r="AE454" i="8"/>
  <c r="A483" i="6"/>
  <c r="V453" i="8"/>
  <c r="AB453" i="8"/>
  <c r="J482" i="6"/>
  <c r="AC453" i="8"/>
  <c r="I482" i="6"/>
  <c r="C466" i="7"/>
  <c r="Q453" i="8"/>
  <c r="AE453" i="8"/>
  <c r="A482" i="6"/>
  <c r="AA453" i="8"/>
  <c r="G482" i="6"/>
  <c r="V452" i="8"/>
  <c r="AB452" i="8"/>
  <c r="AA452" i="8"/>
  <c r="G481" i="6"/>
  <c r="Q452" i="8"/>
  <c r="AE452" i="8"/>
  <c r="A481" i="6"/>
  <c r="AC452" i="8"/>
  <c r="I481" i="6"/>
  <c r="C465" i="7"/>
  <c r="V451" i="8"/>
  <c r="AB451" i="8"/>
  <c r="J480" i="6"/>
  <c r="AC451" i="8"/>
  <c r="I480" i="6"/>
  <c r="C464" i="7"/>
  <c r="AA451" i="8"/>
  <c r="G480" i="6"/>
  <c r="Q451" i="8"/>
  <c r="AE451" i="8"/>
  <c r="A480" i="6"/>
  <c r="V450" i="8"/>
  <c r="AB450" i="8"/>
  <c r="AC450" i="8"/>
  <c r="I479" i="6"/>
  <c r="C463" i="7"/>
  <c r="AA450" i="8"/>
  <c r="G479" i="6"/>
  <c r="Q450" i="8"/>
  <c r="AE450" i="8"/>
  <c r="A479" i="6"/>
  <c r="V449" i="8"/>
  <c r="AB449" i="8"/>
  <c r="J478" i="6"/>
  <c r="AA449" i="8"/>
  <c r="G478" i="6"/>
  <c r="AC449" i="8"/>
  <c r="I478" i="6"/>
  <c r="C462" i="7"/>
  <c r="Q449" i="8"/>
  <c r="AE449" i="8"/>
  <c r="A478" i="6"/>
  <c r="V448" i="8"/>
  <c r="AB448" i="8"/>
  <c r="AC448" i="8"/>
  <c r="I477" i="6"/>
  <c r="C461" i="7"/>
  <c r="AA448" i="8"/>
  <c r="G477" i="6"/>
  <c r="Q448" i="8"/>
  <c r="AE448" i="8"/>
  <c r="A477" i="6"/>
  <c r="V447" i="8"/>
  <c r="AB447" i="8"/>
  <c r="J476" i="6"/>
  <c r="AC447" i="8"/>
  <c r="I476" i="6"/>
  <c r="C460" i="7"/>
  <c r="AA447" i="8"/>
  <c r="G476" i="6"/>
  <c r="Q447" i="8"/>
  <c r="AE447" i="8"/>
  <c r="A476" i="6"/>
  <c r="V446" i="8"/>
  <c r="AB446" i="8"/>
  <c r="J475" i="6"/>
  <c r="AC446" i="8"/>
  <c r="I475" i="6"/>
  <c r="C459" i="7"/>
  <c r="AA446" i="8"/>
  <c r="G475" i="6"/>
  <c r="Q446" i="8"/>
  <c r="AE446" i="8"/>
  <c r="A475" i="6"/>
  <c r="V445" i="8"/>
  <c r="AB445" i="8"/>
  <c r="AC445" i="8"/>
  <c r="I474" i="6"/>
  <c r="C458" i="7"/>
  <c r="AA445" i="8"/>
  <c r="G474" i="6"/>
  <c r="Q445" i="8"/>
  <c r="AE445" i="8"/>
  <c r="A474" i="6"/>
  <c r="V444" i="8"/>
  <c r="AB444" i="8"/>
  <c r="AA444" i="8"/>
  <c r="G473" i="6"/>
  <c r="AC444" i="8"/>
  <c r="I473" i="6"/>
  <c r="C457" i="7"/>
  <c r="Q444" i="8"/>
  <c r="AE444" i="8"/>
  <c r="A473" i="6"/>
  <c r="V443" i="8"/>
  <c r="AB443" i="8"/>
  <c r="Q443" i="8"/>
  <c r="AE443" i="8"/>
  <c r="A472" i="6"/>
  <c r="AC443" i="8"/>
  <c r="I472" i="6"/>
  <c r="C456" i="7"/>
  <c r="AA443" i="8"/>
  <c r="G472" i="6"/>
  <c r="V442" i="8"/>
  <c r="AB442" i="8"/>
  <c r="AC442" i="8"/>
  <c r="I471" i="6"/>
  <c r="C455" i="7"/>
  <c r="Q442" i="8"/>
  <c r="AE442" i="8"/>
  <c r="A471" i="6"/>
  <c r="AA442" i="8"/>
  <c r="G471" i="6"/>
  <c r="V441" i="8"/>
  <c r="AB441" i="8"/>
  <c r="Q441" i="8"/>
  <c r="AE441" i="8"/>
  <c r="A470" i="6"/>
  <c r="AA441" i="8"/>
  <c r="G470" i="6"/>
  <c r="AC441" i="8"/>
  <c r="I470" i="6"/>
  <c r="C454" i="7"/>
  <c r="V440" i="8"/>
  <c r="AB440" i="8"/>
  <c r="AA440" i="8"/>
  <c r="G469" i="6"/>
  <c r="Q440" i="8"/>
  <c r="AE440" i="8"/>
  <c r="A469" i="6"/>
  <c r="AC440" i="8"/>
  <c r="I469" i="6"/>
  <c r="C453" i="7"/>
  <c r="V439" i="8"/>
  <c r="AB439" i="8"/>
  <c r="AA439" i="8"/>
  <c r="G468" i="6"/>
  <c r="AC439" i="8"/>
  <c r="I468" i="6"/>
  <c r="C452" i="7"/>
  <c r="Q439" i="8"/>
  <c r="AE439" i="8"/>
  <c r="A468" i="6"/>
  <c r="V438" i="8"/>
  <c r="AB438" i="8"/>
  <c r="AA438" i="8"/>
  <c r="G467" i="6"/>
  <c r="Q438" i="8"/>
  <c r="AE438" i="8"/>
  <c r="A467" i="6"/>
  <c r="AC438" i="8"/>
  <c r="I467" i="6"/>
  <c r="C451" i="7"/>
  <c r="V437" i="8"/>
  <c r="AB437" i="8"/>
  <c r="Q437" i="8"/>
  <c r="AE437" i="8"/>
  <c r="A466" i="6"/>
  <c r="AC437" i="8"/>
  <c r="I466" i="6"/>
  <c r="C450" i="7"/>
  <c r="AA437" i="8"/>
  <c r="G466" i="6"/>
  <c r="V436" i="8"/>
  <c r="AB436" i="8"/>
  <c r="AA436" i="8"/>
  <c r="G465" i="6"/>
  <c r="AC436" i="8"/>
  <c r="I465" i="6"/>
  <c r="C449" i="7"/>
  <c r="Q436" i="8"/>
  <c r="AE436" i="8"/>
  <c r="A465" i="6"/>
  <c r="V435" i="8"/>
  <c r="AB435" i="8"/>
  <c r="J464" i="6"/>
  <c r="AC435" i="8"/>
  <c r="I464" i="6"/>
  <c r="C448" i="7"/>
  <c r="AA435" i="8"/>
  <c r="G464" i="6"/>
  <c r="Q435" i="8"/>
  <c r="AE435" i="8"/>
  <c r="A464" i="6"/>
  <c r="V434" i="8"/>
  <c r="AB434" i="8"/>
  <c r="J463" i="6"/>
  <c r="AC434" i="8"/>
  <c r="I463" i="6"/>
  <c r="C447" i="7"/>
  <c r="AA434" i="8"/>
  <c r="G463" i="6"/>
  <c r="Q434" i="8"/>
  <c r="AE434" i="8"/>
  <c r="A463" i="6"/>
  <c r="V433" i="8"/>
  <c r="AB433" i="8"/>
  <c r="Q433" i="8"/>
  <c r="AE433" i="8"/>
  <c r="A462" i="6"/>
  <c r="AA433" i="8"/>
  <c r="G462" i="6"/>
  <c r="AC433" i="8"/>
  <c r="I462" i="6"/>
  <c r="C446" i="7"/>
  <c r="V432" i="8"/>
  <c r="AB432" i="8"/>
  <c r="J461" i="6"/>
  <c r="Q432" i="8"/>
  <c r="AE432" i="8"/>
  <c r="A461" i="6"/>
  <c r="AC432" i="8"/>
  <c r="I461" i="6"/>
  <c r="C445" i="7"/>
  <c r="AA432" i="8"/>
  <c r="G461" i="6"/>
  <c r="V431" i="8"/>
  <c r="AB431" i="8"/>
  <c r="J460" i="6"/>
  <c r="AA431" i="8"/>
  <c r="G460" i="6"/>
  <c r="AC431" i="8"/>
  <c r="I460" i="6"/>
  <c r="C444" i="7"/>
  <c r="Q431" i="8"/>
  <c r="AE431" i="8"/>
  <c r="A460" i="6"/>
  <c r="V430" i="8"/>
  <c r="AB430" i="8"/>
  <c r="AA430" i="8"/>
  <c r="G459" i="6"/>
  <c r="AC430" i="8"/>
  <c r="I459" i="6"/>
  <c r="C443" i="7"/>
  <c r="Q430" i="8"/>
  <c r="AE430" i="8"/>
  <c r="A459" i="6"/>
  <c r="V429" i="8"/>
  <c r="AB429" i="8"/>
  <c r="J458" i="6"/>
  <c r="AC429" i="8"/>
  <c r="I458" i="6"/>
  <c r="C442" i="7"/>
  <c r="Q429" i="8"/>
  <c r="AE429" i="8"/>
  <c r="A458" i="6"/>
  <c r="AA429" i="8"/>
  <c r="G458" i="6"/>
  <c r="V428" i="8"/>
  <c r="AB428" i="8"/>
  <c r="Q428" i="8"/>
  <c r="AE428" i="8"/>
  <c r="A457" i="6"/>
  <c r="AA428" i="8"/>
  <c r="G457" i="6"/>
  <c r="AC428" i="8"/>
  <c r="I457" i="6"/>
  <c r="C441" i="7"/>
  <c r="V427" i="8"/>
  <c r="AB427" i="8"/>
  <c r="J456" i="6"/>
  <c r="AC427" i="8"/>
  <c r="I456" i="6"/>
  <c r="C440" i="7"/>
  <c r="AA427" i="8"/>
  <c r="G456" i="6"/>
  <c r="Q427" i="8"/>
  <c r="AE427" i="8"/>
  <c r="A456" i="6"/>
  <c r="V426" i="8"/>
  <c r="AB426" i="8"/>
  <c r="Q426" i="8"/>
  <c r="AE426" i="8"/>
  <c r="A455" i="6"/>
  <c r="AA426" i="8"/>
  <c r="G455" i="6"/>
  <c r="AC426" i="8"/>
  <c r="I455" i="6"/>
  <c r="C439" i="7"/>
  <c r="V425" i="8"/>
  <c r="AB425" i="8"/>
  <c r="J454" i="6"/>
  <c r="AA425" i="8"/>
  <c r="G454" i="6"/>
  <c r="AC425" i="8"/>
  <c r="I454" i="6"/>
  <c r="C438" i="7"/>
  <c r="Q425" i="8"/>
  <c r="AE425" i="8"/>
  <c r="A454" i="6"/>
  <c r="V424" i="8"/>
  <c r="AB424" i="8"/>
  <c r="AA424" i="8"/>
  <c r="G453" i="6"/>
  <c r="AC424" i="8"/>
  <c r="I453" i="6"/>
  <c r="C437" i="7"/>
  <c r="Q424" i="8"/>
  <c r="AE424" i="8"/>
  <c r="A453" i="6"/>
  <c r="V423" i="8"/>
  <c r="AB423" i="8"/>
  <c r="J452" i="6"/>
  <c r="AA423" i="8"/>
  <c r="G452" i="6"/>
  <c r="Q423" i="8"/>
  <c r="AE423" i="8"/>
  <c r="A452" i="6"/>
  <c r="AC423" i="8"/>
  <c r="I452" i="6"/>
  <c r="C436" i="7"/>
  <c r="V422" i="8"/>
  <c r="AB422" i="8"/>
  <c r="J451" i="6"/>
  <c r="Q422" i="8"/>
  <c r="AE422" i="8"/>
  <c r="A451" i="6"/>
  <c r="AC422" i="8"/>
  <c r="I451" i="6"/>
  <c r="C435" i="7"/>
  <c r="AA422" i="8"/>
  <c r="G451" i="6"/>
  <c r="V421" i="8"/>
  <c r="AB421" i="8"/>
  <c r="Q421" i="8"/>
  <c r="AE421" i="8"/>
  <c r="A450" i="6"/>
  <c r="AC421" i="8"/>
  <c r="I450" i="6"/>
  <c r="C434" i="7"/>
  <c r="AA421" i="8"/>
  <c r="G450" i="6"/>
  <c r="V420" i="8"/>
  <c r="AB420" i="8"/>
  <c r="Q420" i="8"/>
  <c r="AE420" i="8"/>
  <c r="A449" i="6"/>
  <c r="AA420" i="8"/>
  <c r="G449" i="6"/>
  <c r="AC420" i="8"/>
  <c r="I449" i="6"/>
  <c r="C433" i="7"/>
  <c r="V419" i="8"/>
  <c r="AB419" i="8"/>
  <c r="AC419" i="8"/>
  <c r="I448" i="6"/>
  <c r="C432" i="7"/>
  <c r="AA419" i="8"/>
  <c r="G448" i="6"/>
  <c r="Q419" i="8"/>
  <c r="AE419" i="8"/>
  <c r="A448" i="6"/>
  <c r="V418" i="8"/>
  <c r="AB418" i="8"/>
  <c r="AA418" i="8"/>
  <c r="G447" i="6"/>
  <c r="Q418" i="8"/>
  <c r="AE418" i="8"/>
  <c r="A447" i="6"/>
  <c r="AC418" i="8"/>
  <c r="I447" i="6"/>
  <c r="C431" i="7"/>
  <c r="V417" i="8"/>
  <c r="AB417" i="8"/>
  <c r="Q417" i="8"/>
  <c r="AE417" i="8"/>
  <c r="A446" i="6"/>
  <c r="AA417" i="8"/>
  <c r="G446" i="6"/>
  <c r="AC417" i="8"/>
  <c r="I446" i="6"/>
  <c r="C430" i="7"/>
  <c r="V416" i="8"/>
  <c r="AB416" i="8"/>
  <c r="Q416" i="8"/>
  <c r="AE416" i="8"/>
  <c r="A445" i="6"/>
  <c r="AC416" i="8"/>
  <c r="I445" i="6"/>
  <c r="C429" i="7"/>
  <c r="AA416" i="8"/>
  <c r="G445" i="6"/>
  <c r="V415" i="8"/>
  <c r="AB415" i="8"/>
  <c r="AC415" i="8"/>
  <c r="I444" i="6"/>
  <c r="C428" i="7"/>
  <c r="Q415" i="8"/>
  <c r="AE415" i="8"/>
  <c r="A444" i="6"/>
  <c r="AA415" i="8"/>
  <c r="G444" i="6"/>
  <c r="V414" i="8"/>
  <c r="AB414" i="8"/>
  <c r="Q414" i="8"/>
  <c r="AE414" i="8"/>
  <c r="A443" i="6"/>
  <c r="AA414" i="8"/>
  <c r="G443" i="6"/>
  <c r="AC414" i="8"/>
  <c r="I443" i="6"/>
  <c r="C427" i="7"/>
  <c r="V413" i="8"/>
  <c r="AB413" i="8"/>
  <c r="AA413" i="8"/>
  <c r="G442" i="6"/>
  <c r="Q413" i="8"/>
  <c r="AE413" i="8"/>
  <c r="A442" i="6"/>
  <c r="AC413" i="8"/>
  <c r="I442" i="6"/>
  <c r="C426" i="7"/>
  <c r="V412" i="8"/>
  <c r="AB412" i="8"/>
  <c r="J441" i="6"/>
  <c r="Q412" i="8"/>
  <c r="AE412" i="8"/>
  <c r="A441" i="6"/>
  <c r="AA412" i="8"/>
  <c r="G441" i="6"/>
  <c r="AC412" i="8"/>
  <c r="I441" i="6"/>
  <c r="C425" i="7"/>
  <c r="V411" i="8"/>
  <c r="AB411" i="8"/>
  <c r="J440" i="6"/>
  <c r="Q411" i="8"/>
  <c r="AE411" i="8"/>
  <c r="A440" i="6"/>
  <c r="AA411" i="8"/>
  <c r="G440" i="6"/>
  <c r="AC411" i="8"/>
  <c r="I440" i="6"/>
  <c r="C424" i="7"/>
  <c r="V410" i="8"/>
  <c r="AB410" i="8"/>
  <c r="AA410" i="8"/>
  <c r="G439" i="6"/>
  <c r="Q410" i="8"/>
  <c r="AE410" i="8"/>
  <c r="A439" i="6"/>
  <c r="AC410" i="8"/>
  <c r="I439" i="6"/>
  <c r="C423" i="7"/>
  <c r="V409" i="8"/>
  <c r="AB409" i="8"/>
  <c r="J438" i="6"/>
  <c r="AA409" i="8"/>
  <c r="G438" i="6"/>
  <c r="AC409" i="8"/>
  <c r="I438" i="6"/>
  <c r="C422" i="7"/>
  <c r="Q409" i="8"/>
  <c r="AE409" i="8"/>
  <c r="A438" i="6"/>
  <c r="V408" i="8"/>
  <c r="AB408" i="8"/>
  <c r="J437" i="6"/>
  <c r="AC408" i="8"/>
  <c r="I437" i="6"/>
  <c r="C421" i="7"/>
  <c r="AA408" i="8"/>
  <c r="G437" i="6"/>
  <c r="Q408" i="8"/>
  <c r="AE408" i="8"/>
  <c r="A437" i="6"/>
  <c r="V407" i="8"/>
  <c r="AB407" i="8"/>
  <c r="AC407" i="8"/>
  <c r="I436" i="6"/>
  <c r="C420" i="7"/>
  <c r="Q407" i="8"/>
  <c r="AE407" i="8"/>
  <c r="A436" i="6"/>
  <c r="AA407" i="8"/>
  <c r="G436" i="6"/>
  <c r="V406" i="8"/>
  <c r="AB406" i="8"/>
  <c r="J435" i="6"/>
  <c r="Q406" i="8"/>
  <c r="AE406" i="8"/>
  <c r="A435" i="6"/>
  <c r="AA406" i="8"/>
  <c r="G435" i="6"/>
  <c r="AC406" i="8"/>
  <c r="I435" i="6"/>
  <c r="C419" i="7"/>
  <c r="V405" i="8"/>
  <c r="AB405" i="8"/>
  <c r="AA405" i="8"/>
  <c r="G434" i="6"/>
  <c r="Q405" i="8"/>
  <c r="AE405" i="8"/>
  <c r="A434" i="6"/>
  <c r="AC405" i="8"/>
  <c r="I434" i="6"/>
  <c r="C418" i="7"/>
  <c r="V404" i="8"/>
  <c r="AB404" i="8"/>
  <c r="J433" i="6"/>
  <c r="Q404" i="8"/>
  <c r="AE404" i="8"/>
  <c r="A433" i="6"/>
  <c r="AA404" i="8"/>
  <c r="G433" i="6"/>
  <c r="AC404" i="8"/>
  <c r="I433" i="6"/>
  <c r="C417" i="7"/>
  <c r="V403" i="8"/>
  <c r="AB403" i="8"/>
  <c r="AC403" i="8"/>
  <c r="I432" i="6"/>
  <c r="C416" i="7"/>
  <c r="AA403" i="8"/>
  <c r="G432" i="6"/>
  <c r="Q403" i="8"/>
  <c r="AE403" i="8"/>
  <c r="A432" i="6"/>
  <c r="V402" i="8"/>
  <c r="AB402" i="8"/>
  <c r="J431" i="6"/>
  <c r="AC402" i="8"/>
  <c r="I431" i="6"/>
  <c r="C415" i="7"/>
  <c r="Q402" i="8"/>
  <c r="AE402" i="8"/>
  <c r="A431" i="6"/>
  <c r="AA402" i="8"/>
  <c r="G431" i="6"/>
  <c r="V401" i="8"/>
  <c r="AB401" i="8"/>
  <c r="AC401" i="8"/>
  <c r="I430" i="6"/>
  <c r="C414" i="7"/>
  <c r="AA401" i="8"/>
  <c r="G430" i="6"/>
  <c r="Q401" i="8"/>
  <c r="AE401" i="8"/>
  <c r="A430" i="6"/>
  <c r="V400" i="8"/>
  <c r="AB400" i="8"/>
  <c r="J429" i="6"/>
  <c r="Q400" i="8"/>
  <c r="AE400" i="8"/>
  <c r="A429" i="6"/>
  <c r="AC400" i="8"/>
  <c r="I429" i="6"/>
  <c r="C413" i="7"/>
  <c r="AA400" i="8"/>
  <c r="G429" i="6"/>
  <c r="V399" i="8"/>
  <c r="AB399" i="8"/>
  <c r="J428" i="6"/>
  <c r="AC399" i="8"/>
  <c r="I428" i="6"/>
  <c r="C412" i="7"/>
  <c r="Q399" i="8"/>
  <c r="AE399" i="8"/>
  <c r="A428" i="6"/>
  <c r="AA399" i="8"/>
  <c r="G428" i="6"/>
  <c r="V398" i="8"/>
  <c r="AB398" i="8"/>
  <c r="AC398" i="8"/>
  <c r="I427" i="6"/>
  <c r="C411" i="7"/>
  <c r="AA398" i="8"/>
  <c r="G427" i="6"/>
  <c r="Q398" i="8"/>
  <c r="AE398" i="8"/>
  <c r="A427" i="6"/>
  <c r="V397" i="8"/>
  <c r="AB397" i="8"/>
  <c r="J426" i="6"/>
  <c r="AC397" i="8"/>
  <c r="I426" i="6"/>
  <c r="C410" i="7"/>
  <c r="Q397" i="8"/>
  <c r="AE397" i="8"/>
  <c r="A426" i="6"/>
  <c r="AA397" i="8"/>
  <c r="G426" i="6"/>
  <c r="V396" i="8"/>
  <c r="AB396" i="8"/>
  <c r="J425" i="6"/>
  <c r="AA396" i="8"/>
  <c r="G425" i="6"/>
  <c r="Q396" i="8"/>
  <c r="AE396" i="8"/>
  <c r="A425" i="6"/>
  <c r="AC396" i="8"/>
  <c r="I425" i="6"/>
  <c r="C409" i="7"/>
  <c r="V395" i="8"/>
  <c r="AB395" i="8"/>
  <c r="AA395" i="8"/>
  <c r="G424" i="6"/>
  <c r="AC395" i="8"/>
  <c r="I424" i="6"/>
  <c r="C408" i="7"/>
  <c r="Q395" i="8"/>
  <c r="AE395" i="8"/>
  <c r="A424" i="6"/>
  <c r="V394" i="8"/>
  <c r="AB394" i="8"/>
  <c r="J423" i="6"/>
  <c r="Q394" i="8"/>
  <c r="AE394" i="8"/>
  <c r="A423" i="6"/>
  <c r="AA394" i="8"/>
  <c r="G423" i="6"/>
  <c r="AC394" i="8"/>
  <c r="I423" i="6"/>
  <c r="C407" i="7"/>
  <c r="V393" i="8"/>
  <c r="AB393" i="8"/>
  <c r="AA393" i="8"/>
  <c r="G422" i="6"/>
  <c r="Q393" i="8"/>
  <c r="AE393" i="8"/>
  <c r="A422" i="6"/>
  <c r="AC393" i="8"/>
  <c r="I422" i="6"/>
  <c r="C406" i="7"/>
  <c r="V392" i="8"/>
  <c r="AB392" i="8"/>
  <c r="J421" i="6"/>
  <c r="Q392" i="8"/>
  <c r="AE392" i="8"/>
  <c r="A421" i="6"/>
  <c r="AC392" i="8"/>
  <c r="I421" i="6"/>
  <c r="C405" i="7"/>
  <c r="AA392" i="8"/>
  <c r="G421" i="6"/>
  <c r="V391" i="8"/>
  <c r="AB391" i="8"/>
  <c r="AA391" i="8"/>
  <c r="G420" i="6"/>
  <c r="Q391" i="8"/>
  <c r="AE391" i="8"/>
  <c r="A420" i="6"/>
  <c r="AC391" i="8"/>
  <c r="I420" i="6"/>
  <c r="C404" i="7"/>
  <c r="V390" i="8"/>
  <c r="AB390" i="8"/>
  <c r="J419" i="6"/>
  <c r="Q390" i="8"/>
  <c r="AE390" i="8"/>
  <c r="A419" i="6"/>
  <c r="AA390" i="8"/>
  <c r="G419" i="6"/>
  <c r="AC390" i="8"/>
  <c r="I419" i="6"/>
  <c r="C403" i="7"/>
  <c r="V389" i="8"/>
  <c r="AB389" i="8"/>
  <c r="Q389" i="8"/>
  <c r="AE389" i="8"/>
  <c r="A418" i="6"/>
  <c r="AA389" i="8"/>
  <c r="G418" i="6"/>
  <c r="AC389" i="8"/>
  <c r="I418" i="6"/>
  <c r="C402" i="7"/>
  <c r="V388" i="8"/>
  <c r="AB388" i="8"/>
  <c r="J417" i="6"/>
  <c r="Q388" i="8"/>
  <c r="AE388" i="8"/>
  <c r="A417" i="6"/>
  <c r="AC388" i="8"/>
  <c r="I417" i="6"/>
  <c r="C401" i="7"/>
  <c r="AA388" i="8"/>
  <c r="G417" i="6"/>
  <c r="V387" i="8"/>
  <c r="AB387" i="8"/>
  <c r="J416" i="6"/>
  <c r="AA387" i="8"/>
  <c r="G416" i="6"/>
  <c r="Q387" i="8"/>
  <c r="AE387" i="8"/>
  <c r="A416" i="6"/>
  <c r="AC387" i="8"/>
  <c r="I416" i="6"/>
  <c r="C400" i="7"/>
  <c r="V386" i="8"/>
  <c r="AB386" i="8"/>
  <c r="Q386" i="8"/>
  <c r="AE386" i="8"/>
  <c r="A415" i="6"/>
  <c r="AA386" i="8"/>
  <c r="G415" i="6"/>
  <c r="AC386" i="8"/>
  <c r="I415" i="6"/>
  <c r="C399" i="7"/>
  <c r="V385" i="8"/>
  <c r="AB385" i="8"/>
  <c r="AC385" i="8"/>
  <c r="I414" i="6"/>
  <c r="C398" i="7"/>
  <c r="AA385" i="8"/>
  <c r="G414" i="6"/>
  <c r="Q385" i="8"/>
  <c r="AE385" i="8"/>
  <c r="A414" i="6"/>
  <c r="V384" i="8"/>
  <c r="AB384" i="8"/>
  <c r="AC384" i="8"/>
  <c r="I413" i="6"/>
  <c r="C397" i="7"/>
  <c r="AA384" i="8"/>
  <c r="G413" i="6"/>
  <c r="Q384" i="8"/>
  <c r="AE384" i="8"/>
  <c r="A413" i="6"/>
  <c r="V383" i="8"/>
  <c r="AB383" i="8"/>
  <c r="AC383" i="8"/>
  <c r="I412" i="6"/>
  <c r="C396" i="7"/>
  <c r="Q383" i="8"/>
  <c r="AE383" i="8"/>
  <c r="A412" i="6"/>
  <c r="AA383" i="8"/>
  <c r="G412" i="6"/>
  <c r="V382" i="8"/>
  <c r="AB382" i="8"/>
  <c r="AA382" i="8"/>
  <c r="G411" i="6"/>
  <c r="AC382" i="8"/>
  <c r="I411" i="6"/>
  <c r="C395" i="7"/>
  <c r="Q382" i="8"/>
  <c r="AE382" i="8"/>
  <c r="A411" i="6"/>
  <c r="V381" i="8"/>
  <c r="AB381" i="8"/>
  <c r="AA381" i="8"/>
  <c r="G410" i="6"/>
  <c r="AC381" i="8"/>
  <c r="I410" i="6"/>
  <c r="C394" i="7"/>
  <c r="Q381" i="8"/>
  <c r="AE381" i="8"/>
  <c r="A410" i="6"/>
  <c r="V380" i="8"/>
  <c r="AB380" i="8"/>
  <c r="AA380" i="8"/>
  <c r="G409" i="6"/>
  <c r="AC380" i="8"/>
  <c r="I409" i="6"/>
  <c r="C393" i="7"/>
  <c r="Q380" i="8"/>
  <c r="AE380" i="8"/>
  <c r="A409" i="6"/>
  <c r="V379" i="8"/>
  <c r="AB379" i="8"/>
  <c r="Q379" i="8"/>
  <c r="AE379" i="8"/>
  <c r="A408" i="6"/>
  <c r="AC379" i="8"/>
  <c r="I408" i="6"/>
  <c r="C392" i="7"/>
  <c r="AA379" i="8"/>
  <c r="G408" i="6"/>
  <c r="V378" i="8"/>
  <c r="AB378" i="8"/>
  <c r="Q378" i="8"/>
  <c r="AE378" i="8"/>
  <c r="A407" i="6"/>
  <c r="AC378" i="8"/>
  <c r="I407" i="6"/>
  <c r="C391" i="7"/>
  <c r="AA378" i="8"/>
  <c r="G407" i="6"/>
  <c r="V377" i="8"/>
  <c r="AB377" i="8"/>
  <c r="AC377" i="8"/>
  <c r="I406" i="6"/>
  <c r="C390" i="7"/>
  <c r="AA377" i="8"/>
  <c r="G406" i="6"/>
  <c r="Q377" i="8"/>
  <c r="AE377" i="8"/>
  <c r="A406" i="6"/>
  <c r="V376" i="8"/>
  <c r="AB376" i="8"/>
  <c r="J405" i="6"/>
  <c r="AA376" i="8"/>
  <c r="G405" i="6"/>
  <c r="AC376" i="8"/>
  <c r="I405" i="6"/>
  <c r="C389" i="7"/>
  <c r="Q376" i="8"/>
  <c r="AE376" i="8"/>
  <c r="A405" i="6"/>
  <c r="V375" i="8"/>
  <c r="AB375" i="8"/>
  <c r="J404" i="6"/>
  <c r="AC375" i="8"/>
  <c r="I404" i="6"/>
  <c r="C388" i="7"/>
  <c r="AA375" i="8"/>
  <c r="G404" i="6"/>
  <c r="Q375" i="8"/>
  <c r="AE375" i="8"/>
  <c r="A404" i="6"/>
  <c r="V374" i="8"/>
  <c r="AB374" i="8"/>
  <c r="AA374" i="8"/>
  <c r="G403" i="6"/>
  <c r="Q374" i="8"/>
  <c r="AE374" i="8"/>
  <c r="A403" i="6"/>
  <c r="AC374" i="8"/>
  <c r="I403" i="6"/>
  <c r="C387" i="7"/>
  <c r="V373" i="8"/>
  <c r="AB373" i="8"/>
  <c r="J402" i="6"/>
  <c r="AA373" i="8"/>
  <c r="G402" i="6"/>
  <c r="Q373" i="8"/>
  <c r="AE373" i="8"/>
  <c r="A402" i="6"/>
  <c r="AC373" i="8"/>
  <c r="I402" i="6"/>
  <c r="C386" i="7"/>
  <c r="V372" i="8"/>
  <c r="AB372" i="8"/>
  <c r="J401" i="6"/>
  <c r="Q372" i="8"/>
  <c r="AE372" i="8"/>
  <c r="A401" i="6"/>
  <c r="AA372" i="8"/>
  <c r="G401" i="6"/>
  <c r="AC372" i="8"/>
  <c r="I401" i="6"/>
  <c r="C385" i="7"/>
  <c r="V371" i="8"/>
  <c r="AB371" i="8"/>
  <c r="AC371" i="8"/>
  <c r="I400" i="6"/>
  <c r="C384" i="7"/>
  <c r="Q371" i="8"/>
  <c r="AE371" i="8"/>
  <c r="A400" i="6"/>
  <c r="AA371" i="8"/>
  <c r="G400" i="6"/>
  <c r="V370" i="8"/>
  <c r="AB370" i="8"/>
  <c r="J399" i="6"/>
  <c r="AA370" i="8"/>
  <c r="G399" i="6"/>
  <c r="AC370" i="8"/>
  <c r="I399" i="6"/>
  <c r="C383" i="7"/>
  <c r="Q370" i="8"/>
  <c r="AE370" i="8"/>
  <c r="A399" i="6"/>
  <c r="V369" i="8"/>
  <c r="AB369" i="8"/>
  <c r="AA369" i="8"/>
  <c r="G398" i="6"/>
  <c r="Q369" i="8"/>
  <c r="AE369" i="8"/>
  <c r="A398" i="6"/>
  <c r="AC369" i="8"/>
  <c r="I398" i="6"/>
  <c r="C382" i="7"/>
  <c r="V368" i="8"/>
  <c r="AB368" i="8"/>
  <c r="J397" i="6"/>
  <c r="Q368" i="8"/>
  <c r="AE368" i="8"/>
  <c r="A397" i="6"/>
  <c r="AC368" i="8"/>
  <c r="I397" i="6"/>
  <c r="C381" i="7"/>
  <c r="AA368" i="8"/>
  <c r="G397" i="6"/>
  <c r="V367" i="8"/>
  <c r="AB367" i="8"/>
  <c r="Q367" i="8"/>
  <c r="AE367" i="8"/>
  <c r="A396" i="6"/>
  <c r="AA367" i="8"/>
  <c r="G396" i="6"/>
  <c r="AC367" i="8"/>
  <c r="I396" i="6"/>
  <c r="C380" i="7"/>
  <c r="V366" i="8"/>
  <c r="AB366" i="8"/>
  <c r="J395" i="6"/>
  <c r="Q366" i="8"/>
  <c r="AE366" i="8"/>
  <c r="A395" i="6"/>
  <c r="AC366" i="8"/>
  <c r="I395" i="6"/>
  <c r="C379" i="7"/>
  <c r="AA366" i="8"/>
  <c r="G395" i="6"/>
  <c r="V365" i="8"/>
  <c r="AB365" i="8"/>
  <c r="AC365" i="8"/>
  <c r="I394" i="6"/>
  <c r="C378" i="7"/>
  <c r="AA365" i="8"/>
  <c r="G394" i="6"/>
  <c r="Q365" i="8"/>
  <c r="AE365" i="8"/>
  <c r="A394" i="6"/>
  <c r="V364" i="8"/>
  <c r="AB364" i="8"/>
  <c r="J393" i="6"/>
  <c r="AC364" i="8"/>
  <c r="I393" i="6"/>
  <c r="C377" i="7"/>
  <c r="AA364" i="8"/>
  <c r="G393" i="6"/>
  <c r="Q364" i="8"/>
  <c r="AE364" i="8"/>
  <c r="A393" i="6"/>
  <c r="V363" i="8"/>
  <c r="AB363" i="8"/>
  <c r="J392" i="6"/>
  <c r="AA363" i="8"/>
  <c r="G392" i="6"/>
  <c r="AC363" i="8"/>
  <c r="I392" i="6"/>
  <c r="C376" i="7"/>
  <c r="Q363" i="8"/>
  <c r="AE363" i="8"/>
  <c r="A392" i="6"/>
  <c r="V362" i="8"/>
  <c r="AB362" i="8"/>
  <c r="Q362" i="8"/>
  <c r="AE362" i="8"/>
  <c r="A391" i="6"/>
  <c r="AC362" i="8"/>
  <c r="I391" i="6"/>
  <c r="C375" i="7"/>
  <c r="AA362" i="8"/>
  <c r="G391" i="6"/>
  <c r="V361" i="8"/>
  <c r="AB361" i="8"/>
  <c r="AA361" i="8"/>
  <c r="G390" i="6"/>
  <c r="AC361" i="8"/>
  <c r="I390" i="6"/>
  <c r="C374" i="7"/>
  <c r="Q361" i="8"/>
  <c r="AE361" i="8"/>
  <c r="A390" i="6"/>
  <c r="V360" i="8"/>
  <c r="AB360" i="8"/>
  <c r="AC360" i="8"/>
  <c r="I389" i="6"/>
  <c r="C373" i="7"/>
  <c r="AA360" i="8"/>
  <c r="G389" i="6"/>
  <c r="Q360" i="8"/>
  <c r="AE360" i="8"/>
  <c r="A389" i="6"/>
  <c r="V359" i="8"/>
  <c r="AB359" i="8"/>
  <c r="Q359" i="8"/>
  <c r="AE359" i="8"/>
  <c r="A388" i="6"/>
  <c r="AA359" i="8"/>
  <c r="G388" i="6"/>
  <c r="AC359" i="8"/>
  <c r="I388" i="6"/>
  <c r="C372" i="7"/>
  <c r="V358" i="8"/>
  <c r="AB358" i="8"/>
  <c r="AA358" i="8"/>
  <c r="G387" i="6"/>
  <c r="Q358" i="8"/>
  <c r="AE358" i="8"/>
  <c r="A387" i="6"/>
  <c r="AC358" i="8"/>
  <c r="I387" i="6"/>
  <c r="C371" i="7"/>
  <c r="V357" i="8"/>
  <c r="AB357" i="8"/>
  <c r="Q357" i="8"/>
  <c r="AE357" i="8"/>
  <c r="A386" i="6"/>
  <c r="AC357" i="8"/>
  <c r="I386" i="6"/>
  <c r="C370" i="7"/>
  <c r="AA357" i="8"/>
  <c r="G386" i="6"/>
  <c r="V356" i="8"/>
  <c r="AB356" i="8"/>
  <c r="Q356" i="8"/>
  <c r="AE356" i="8"/>
  <c r="A385" i="6"/>
  <c r="AC356" i="8"/>
  <c r="I385" i="6"/>
  <c r="C369" i="7"/>
  <c r="AA356" i="8"/>
  <c r="G385" i="6"/>
  <c r="V355" i="8"/>
  <c r="AB355" i="8"/>
  <c r="Q355" i="8"/>
  <c r="AE355" i="8"/>
  <c r="A384" i="6"/>
  <c r="AC355" i="8"/>
  <c r="I384" i="6"/>
  <c r="C368" i="7"/>
  <c r="AA355" i="8"/>
  <c r="G384" i="6"/>
  <c r="V354" i="8"/>
  <c r="AB354" i="8"/>
  <c r="AA354" i="8"/>
  <c r="G383" i="6"/>
  <c r="AC354" i="8"/>
  <c r="I383" i="6"/>
  <c r="C367" i="7"/>
  <c r="Q354" i="8"/>
  <c r="AE354" i="8"/>
  <c r="A383" i="6"/>
  <c r="V353" i="8"/>
  <c r="AB353" i="8"/>
  <c r="AA353" i="8"/>
  <c r="G382" i="6"/>
  <c r="AC353" i="8"/>
  <c r="I382" i="6"/>
  <c r="C366" i="7"/>
  <c r="Q353" i="8"/>
  <c r="AE353" i="8"/>
  <c r="A382" i="6"/>
  <c r="V352" i="8"/>
  <c r="AB352" i="8"/>
  <c r="J381" i="6"/>
  <c r="AA352" i="8"/>
  <c r="G381" i="6"/>
  <c r="Q352" i="8"/>
  <c r="AE352" i="8"/>
  <c r="A381" i="6"/>
  <c r="AC352" i="8"/>
  <c r="I381" i="6"/>
  <c r="C365" i="7"/>
  <c r="V351" i="8"/>
  <c r="AB351" i="8"/>
  <c r="J380" i="6"/>
  <c r="AC351" i="8"/>
  <c r="I380" i="6"/>
  <c r="C364" i="7"/>
  <c r="AA351" i="8"/>
  <c r="G380" i="6"/>
  <c r="Q351" i="8"/>
  <c r="AE351" i="8"/>
  <c r="A380" i="6"/>
  <c r="V350" i="8"/>
  <c r="AB350" i="8"/>
  <c r="AC350" i="8"/>
  <c r="I379" i="6"/>
  <c r="C363" i="7"/>
  <c r="Q350" i="8"/>
  <c r="AE350" i="8"/>
  <c r="A379" i="6"/>
  <c r="AA350" i="8"/>
  <c r="G379" i="6"/>
  <c r="V349" i="8"/>
  <c r="AB349" i="8"/>
  <c r="J378" i="6"/>
  <c r="Q349" i="8"/>
  <c r="AE349" i="8"/>
  <c r="A378" i="6"/>
  <c r="AA349" i="8"/>
  <c r="G378" i="6"/>
  <c r="AC349" i="8"/>
  <c r="I378" i="6"/>
  <c r="C362" i="7"/>
  <c r="V348" i="8"/>
  <c r="AB348" i="8"/>
  <c r="J377" i="6"/>
  <c r="AC348" i="8"/>
  <c r="I377" i="6"/>
  <c r="C361" i="7"/>
  <c r="AA348" i="8"/>
  <c r="G377" i="6"/>
  <c r="Q348" i="8"/>
  <c r="AE348" i="8"/>
  <c r="A377" i="6"/>
  <c r="V347" i="8"/>
  <c r="AB347" i="8"/>
  <c r="AA347" i="8"/>
  <c r="G376" i="6"/>
  <c r="Q347" i="8"/>
  <c r="AE347" i="8"/>
  <c r="A376" i="6"/>
  <c r="AC347" i="8"/>
  <c r="I376" i="6"/>
  <c r="C360" i="7"/>
  <c r="V346" i="8"/>
  <c r="AB346" i="8"/>
  <c r="J375" i="6"/>
  <c r="AC346" i="8"/>
  <c r="I375" i="6"/>
  <c r="C359" i="7"/>
  <c r="Q346" i="8"/>
  <c r="AE346" i="8"/>
  <c r="A375" i="6"/>
  <c r="AA346" i="8"/>
  <c r="G375" i="6"/>
  <c r="V345" i="8"/>
  <c r="AB345" i="8"/>
  <c r="AA345" i="8"/>
  <c r="G374" i="6"/>
  <c r="Q345" i="8"/>
  <c r="AE345" i="8"/>
  <c r="A374" i="6"/>
  <c r="AC345" i="8"/>
  <c r="I374" i="6"/>
  <c r="C358" i="7"/>
  <c r="V344" i="8"/>
  <c r="AB344" i="8"/>
  <c r="J373" i="6"/>
  <c r="AC344" i="8"/>
  <c r="I373" i="6"/>
  <c r="C357" i="7"/>
  <c r="AA344" i="8"/>
  <c r="G373" i="6"/>
  <c r="Q344" i="8"/>
  <c r="AE344" i="8"/>
  <c r="A373" i="6"/>
  <c r="V343" i="8"/>
  <c r="AB343" i="8"/>
  <c r="AA343" i="8"/>
  <c r="G372" i="6"/>
  <c r="AC343" i="8"/>
  <c r="I372" i="6"/>
  <c r="C356" i="7"/>
  <c r="Q343" i="8"/>
  <c r="AE343" i="8"/>
  <c r="A372" i="6"/>
  <c r="V342" i="8"/>
  <c r="AB342" i="8"/>
  <c r="J371" i="6"/>
  <c r="AC342" i="8"/>
  <c r="I371" i="6"/>
  <c r="C355" i="7"/>
  <c r="AA342" i="8"/>
  <c r="G371" i="6"/>
  <c r="Q342" i="8"/>
  <c r="AE342" i="8"/>
  <c r="A371" i="6"/>
  <c r="V341" i="8"/>
  <c r="AB341" i="8"/>
  <c r="AA341" i="8"/>
  <c r="G370" i="6"/>
  <c r="AC341" i="8"/>
  <c r="I370" i="6"/>
  <c r="C354" i="7"/>
  <c r="Q341" i="8"/>
  <c r="AE341" i="8"/>
  <c r="A370" i="6"/>
  <c r="V340" i="8"/>
  <c r="AB340" i="8"/>
  <c r="J369" i="6"/>
  <c r="AA340" i="8"/>
  <c r="G369" i="6"/>
  <c r="AC340" i="8"/>
  <c r="I369" i="6"/>
  <c r="C353" i="7"/>
  <c r="Q340" i="8"/>
  <c r="AE340" i="8"/>
  <c r="A369" i="6"/>
  <c r="V339" i="8"/>
  <c r="AB339" i="8"/>
  <c r="J368" i="6"/>
  <c r="Q339" i="8"/>
  <c r="AE339" i="8"/>
  <c r="A368" i="6"/>
  <c r="AA339" i="8"/>
  <c r="G368" i="6"/>
  <c r="AC339" i="8"/>
  <c r="I368" i="6"/>
  <c r="C352" i="7"/>
  <c r="V338" i="8"/>
  <c r="AB338" i="8"/>
  <c r="AA338" i="8"/>
  <c r="G367" i="6"/>
  <c r="AC338" i="8"/>
  <c r="I367" i="6"/>
  <c r="C351" i="7"/>
  <c r="Q338" i="8"/>
  <c r="AE338" i="8"/>
  <c r="A367" i="6"/>
  <c r="V337" i="8"/>
  <c r="AB337" i="8"/>
  <c r="AC337" i="8"/>
  <c r="I366" i="6"/>
  <c r="C350" i="7"/>
  <c r="AA337" i="8"/>
  <c r="G366" i="6"/>
  <c r="Q337" i="8"/>
  <c r="AE337" i="8"/>
  <c r="A366" i="6"/>
  <c r="V336" i="8"/>
  <c r="AB336" i="8"/>
  <c r="AA336" i="8"/>
  <c r="G365" i="6"/>
  <c r="Q336" i="8"/>
  <c r="AE336" i="8"/>
  <c r="A365" i="6"/>
  <c r="AC336" i="8"/>
  <c r="I365" i="6"/>
  <c r="C349" i="7"/>
  <c r="V335" i="8"/>
  <c r="AB335" i="8"/>
  <c r="AC335" i="8"/>
  <c r="I364" i="6"/>
  <c r="C348" i="7"/>
  <c r="AA335" i="8"/>
  <c r="G364" i="6"/>
  <c r="Q335" i="8"/>
  <c r="AE335" i="8"/>
  <c r="A364" i="6"/>
  <c r="V334" i="8"/>
  <c r="AB334" i="8"/>
  <c r="AC334" i="8"/>
  <c r="I363" i="6"/>
  <c r="C347" i="7"/>
  <c r="AA334" i="8"/>
  <c r="G363" i="6"/>
  <c r="Q334" i="8"/>
  <c r="AE334" i="8"/>
  <c r="A363" i="6"/>
  <c r="V333" i="8"/>
  <c r="AB333" i="8"/>
  <c r="AA333" i="8"/>
  <c r="G362" i="6"/>
  <c r="AC333" i="8"/>
  <c r="I362" i="6"/>
  <c r="C346" i="7"/>
  <c r="Q333" i="8"/>
  <c r="AE333" i="8"/>
  <c r="A362" i="6"/>
  <c r="V332" i="8"/>
  <c r="AB332" i="8"/>
  <c r="AA332" i="8"/>
  <c r="G361" i="6"/>
  <c r="AC332" i="8"/>
  <c r="I361" i="6"/>
  <c r="C345" i="7"/>
  <c r="Q332" i="8"/>
  <c r="AE332" i="8"/>
  <c r="A361" i="6"/>
  <c r="V331" i="8"/>
  <c r="AB331" i="8"/>
  <c r="Q331" i="8"/>
  <c r="AE331" i="8"/>
  <c r="A360" i="6"/>
  <c r="AC331" i="8"/>
  <c r="I360" i="6"/>
  <c r="C344" i="7"/>
  <c r="AA331" i="8"/>
  <c r="G360" i="6"/>
  <c r="V330" i="8"/>
  <c r="AB330" i="8"/>
  <c r="AA330" i="8"/>
  <c r="G359" i="6"/>
  <c r="AC330" i="8"/>
  <c r="I359" i="6"/>
  <c r="C343" i="7"/>
  <c r="Q330" i="8"/>
  <c r="AE330" i="8"/>
  <c r="A359" i="6"/>
  <c r="V329" i="8"/>
  <c r="AB329" i="8"/>
  <c r="AA329" i="8"/>
  <c r="G358" i="6"/>
  <c r="Q329" i="8"/>
  <c r="AE329" i="8"/>
  <c r="A358" i="6"/>
  <c r="AC329" i="8"/>
  <c r="I358" i="6"/>
  <c r="C342" i="7"/>
  <c r="V328" i="8"/>
  <c r="AB328" i="8"/>
  <c r="J357" i="6"/>
  <c r="AA328" i="8"/>
  <c r="G357" i="6"/>
  <c r="AC328" i="8"/>
  <c r="I357" i="6"/>
  <c r="C341" i="7"/>
  <c r="Q328" i="8"/>
  <c r="AE328" i="8"/>
  <c r="A357" i="6"/>
  <c r="V327" i="8"/>
  <c r="AB327" i="8"/>
  <c r="J356" i="6"/>
  <c r="AA327" i="8"/>
  <c r="G356" i="6"/>
  <c r="Q327" i="8"/>
  <c r="AE327" i="8"/>
  <c r="A356" i="6"/>
  <c r="AC327" i="8"/>
  <c r="I356" i="6"/>
  <c r="C340" i="7"/>
  <c r="V326" i="8"/>
  <c r="AB326" i="8"/>
  <c r="AA326" i="8"/>
  <c r="G355" i="6"/>
  <c r="AC326" i="8"/>
  <c r="I355" i="6"/>
  <c r="C339" i="7"/>
  <c r="Q326" i="8"/>
  <c r="AE326" i="8"/>
  <c r="A355" i="6"/>
  <c r="V325" i="8"/>
  <c r="AB325" i="8"/>
  <c r="J354" i="6"/>
  <c r="AA325" i="8"/>
  <c r="G354" i="6"/>
  <c r="Q325" i="8"/>
  <c r="AE325" i="8"/>
  <c r="A354" i="6"/>
  <c r="AC325" i="8"/>
  <c r="I354" i="6"/>
  <c r="C338" i="7"/>
  <c r="V324" i="8"/>
  <c r="AB324" i="8"/>
  <c r="J353" i="6"/>
  <c r="AA324" i="8"/>
  <c r="G353" i="6"/>
  <c r="AC324" i="8"/>
  <c r="I353" i="6"/>
  <c r="C337" i="7"/>
  <c r="Q324" i="8"/>
  <c r="AE324" i="8"/>
  <c r="A353" i="6"/>
  <c r="V323" i="8"/>
  <c r="AB323" i="8"/>
  <c r="Q323" i="8"/>
  <c r="AE323" i="8"/>
  <c r="A352" i="6"/>
  <c r="AC323" i="8"/>
  <c r="I352" i="6"/>
  <c r="C336" i="7"/>
  <c r="AA323" i="8"/>
  <c r="G352" i="6"/>
  <c r="V322" i="8"/>
  <c r="AB322" i="8"/>
  <c r="J351" i="6"/>
  <c r="Q322" i="8"/>
  <c r="AE322" i="8"/>
  <c r="A351" i="6"/>
  <c r="AC322" i="8"/>
  <c r="I351" i="6"/>
  <c r="C335" i="7"/>
  <c r="AA322" i="8"/>
  <c r="G351" i="6"/>
  <c r="V321" i="8"/>
  <c r="AB321" i="8"/>
  <c r="J350" i="6"/>
  <c r="AC321" i="8"/>
  <c r="I350" i="6"/>
  <c r="C334" i="7"/>
  <c r="Q321" i="8"/>
  <c r="AE321" i="8"/>
  <c r="A350" i="6"/>
  <c r="AA321" i="8"/>
  <c r="G350" i="6"/>
  <c r="V320" i="8"/>
  <c r="AB320" i="8"/>
  <c r="J349" i="6"/>
  <c r="AA320" i="8"/>
  <c r="G349" i="6"/>
  <c r="Q320" i="8"/>
  <c r="AE320" i="8"/>
  <c r="A349" i="6"/>
  <c r="AC320" i="8"/>
  <c r="I349" i="6"/>
  <c r="C333" i="7"/>
  <c r="V319" i="8"/>
  <c r="AB319" i="8"/>
  <c r="Q319" i="8"/>
  <c r="AE319" i="8"/>
  <c r="A348" i="6"/>
  <c r="AA319" i="8"/>
  <c r="G348" i="6"/>
  <c r="AC319" i="8"/>
  <c r="I348" i="6"/>
  <c r="C332" i="7"/>
  <c r="V318" i="8"/>
  <c r="AB318" i="8"/>
  <c r="J347" i="6"/>
  <c r="AA318" i="8"/>
  <c r="G347" i="6"/>
  <c r="AC318" i="8"/>
  <c r="I347" i="6"/>
  <c r="C331" i="7"/>
  <c r="Q318" i="8"/>
  <c r="AE318" i="8"/>
  <c r="A347" i="6"/>
  <c r="V317" i="8"/>
  <c r="AB317" i="8"/>
  <c r="J346" i="6"/>
  <c r="Q317" i="8"/>
  <c r="AE317" i="8"/>
  <c r="A346" i="6"/>
  <c r="AA317" i="8"/>
  <c r="G346" i="6"/>
  <c r="AC317" i="8"/>
  <c r="I346" i="6"/>
  <c r="C330" i="7"/>
  <c r="V316" i="8"/>
  <c r="AB316" i="8"/>
  <c r="J345" i="6"/>
  <c r="Q316" i="8"/>
  <c r="AE316" i="8"/>
  <c r="A345" i="6"/>
  <c r="AC316" i="8"/>
  <c r="I345" i="6"/>
  <c r="C329" i="7"/>
  <c r="AA316" i="8"/>
  <c r="G345" i="6"/>
  <c r="V315" i="8"/>
  <c r="AB315" i="8"/>
  <c r="J344" i="6"/>
  <c r="AA315" i="8"/>
  <c r="G344" i="6"/>
  <c r="Q315" i="8"/>
  <c r="AE315" i="8"/>
  <c r="A344" i="6"/>
  <c r="AC315" i="8"/>
  <c r="I344" i="6"/>
  <c r="C328" i="7"/>
  <c r="V314" i="8"/>
  <c r="AB314" i="8"/>
  <c r="AA314" i="8"/>
  <c r="G343" i="6"/>
  <c r="AC314" i="8"/>
  <c r="I343" i="6"/>
  <c r="C327" i="7"/>
  <c r="Q314" i="8"/>
  <c r="AE314" i="8"/>
  <c r="A343" i="6"/>
  <c r="V313" i="8"/>
  <c r="AB313" i="8"/>
  <c r="Q313" i="8"/>
  <c r="AE313" i="8"/>
  <c r="A342" i="6"/>
  <c r="AA313" i="8"/>
  <c r="G342" i="6"/>
  <c r="AC313" i="8"/>
  <c r="I342" i="6"/>
  <c r="C326" i="7"/>
  <c r="V312" i="8"/>
  <c r="AB312" i="8"/>
  <c r="AC312" i="8"/>
  <c r="I341" i="6"/>
  <c r="C325" i="7"/>
  <c r="Q312" i="8"/>
  <c r="AE312" i="8"/>
  <c r="A341" i="6"/>
  <c r="AA312" i="8"/>
  <c r="G341" i="6"/>
  <c r="V311" i="8"/>
  <c r="AB311" i="8"/>
  <c r="AC311" i="8"/>
  <c r="I340" i="6"/>
  <c r="C324" i="7"/>
  <c r="Q311" i="8"/>
  <c r="AE311" i="8"/>
  <c r="A340" i="6"/>
  <c r="AA311" i="8"/>
  <c r="G340" i="6"/>
  <c r="V310" i="8"/>
  <c r="AB310" i="8"/>
  <c r="AA310" i="8"/>
  <c r="G339" i="6"/>
  <c r="AC310" i="8"/>
  <c r="I339" i="6"/>
  <c r="C323" i="7"/>
  <c r="Q310" i="8"/>
  <c r="AE310" i="8"/>
  <c r="A339" i="6"/>
  <c r="V309" i="8"/>
  <c r="AB309" i="8"/>
  <c r="Q309" i="8"/>
  <c r="AE309" i="8"/>
  <c r="A338" i="6"/>
  <c r="AC309" i="8"/>
  <c r="I338" i="6"/>
  <c r="C322" i="7"/>
  <c r="AA309" i="8"/>
  <c r="G338" i="6"/>
  <c r="V308" i="8"/>
  <c r="AB308" i="8"/>
  <c r="AC308" i="8"/>
  <c r="I337" i="6"/>
  <c r="C321" i="7"/>
  <c r="Q308" i="8"/>
  <c r="AE308" i="8"/>
  <c r="A337" i="6"/>
  <c r="AA308" i="8"/>
  <c r="G337" i="6"/>
  <c r="V307" i="8"/>
  <c r="AB307" i="8"/>
  <c r="AC307" i="8"/>
  <c r="I336" i="6"/>
  <c r="C320" i="7"/>
  <c r="Q307" i="8"/>
  <c r="AE307" i="8"/>
  <c r="A336" i="6"/>
  <c r="AA307" i="8"/>
  <c r="G336" i="6"/>
  <c r="V306" i="8"/>
  <c r="AB306" i="8"/>
  <c r="Q306" i="8"/>
  <c r="AE306" i="8"/>
  <c r="A335" i="6"/>
  <c r="AA306" i="8"/>
  <c r="G335" i="6"/>
  <c r="AC306" i="8"/>
  <c r="I335" i="6"/>
  <c r="C319" i="7"/>
  <c r="V305" i="8"/>
  <c r="AB305" i="8"/>
  <c r="J334" i="6"/>
  <c r="AC305" i="8"/>
  <c r="I334" i="6"/>
  <c r="C318" i="7"/>
  <c r="AA305" i="8"/>
  <c r="G334" i="6"/>
  <c r="Q305" i="8"/>
  <c r="AE305" i="8"/>
  <c r="F35" i="2" s="1"/>
  <c r="A334" i="6"/>
  <c r="V304" i="8"/>
  <c r="AB304" i="8"/>
  <c r="J333" i="6"/>
  <c r="Q304" i="8"/>
  <c r="AE304" i="8"/>
  <c r="A333" i="6"/>
  <c r="AC304" i="8"/>
  <c r="I333" i="6"/>
  <c r="C317" i="7"/>
  <c r="AA304" i="8"/>
  <c r="G333" i="6"/>
  <c r="V303" i="8"/>
  <c r="AB303" i="8"/>
  <c r="Q303" i="8"/>
  <c r="AE303" i="8"/>
  <c r="A332" i="6"/>
  <c r="AA303" i="8"/>
  <c r="G332" i="6"/>
  <c r="AC303" i="8"/>
  <c r="I332" i="6"/>
  <c r="C316" i="7"/>
  <c r="V302" i="8"/>
  <c r="AB302" i="8"/>
  <c r="J331" i="6"/>
  <c r="AA302" i="8"/>
  <c r="G331" i="6"/>
  <c r="AC302" i="8"/>
  <c r="I331" i="6"/>
  <c r="C315" i="7"/>
  <c r="Q302" i="8"/>
  <c r="AE302" i="8"/>
  <c r="A331" i="6"/>
  <c r="V301" i="8"/>
  <c r="AB301" i="8"/>
  <c r="J330" i="6"/>
  <c r="Q301" i="8"/>
  <c r="AE301" i="8"/>
  <c r="A330" i="6"/>
  <c r="AC301" i="8"/>
  <c r="I330" i="6"/>
  <c r="C314" i="7"/>
  <c r="AA301" i="8"/>
  <c r="G330" i="6"/>
  <c r="V300" i="8"/>
  <c r="AB300" i="8"/>
  <c r="AC300" i="8"/>
  <c r="I329" i="6"/>
  <c r="C313" i="7"/>
  <c r="AA300" i="8"/>
  <c r="G329" i="6"/>
  <c r="Q300" i="8"/>
  <c r="AE300" i="8"/>
  <c r="A329" i="6"/>
  <c r="V299" i="8"/>
  <c r="AB299" i="8"/>
  <c r="J328" i="6"/>
  <c r="AC299" i="8"/>
  <c r="I328" i="6"/>
  <c r="C312" i="7"/>
  <c r="Q299" i="8"/>
  <c r="AE299" i="8"/>
  <c r="A328" i="6"/>
  <c r="AA299" i="8"/>
  <c r="G328" i="6"/>
  <c r="V298" i="8"/>
  <c r="AB298" i="8"/>
  <c r="J327" i="6"/>
  <c r="AA298" i="8"/>
  <c r="G327" i="6"/>
  <c r="AC298" i="8"/>
  <c r="I327" i="6"/>
  <c r="C311" i="7"/>
  <c r="Q298" i="8"/>
  <c r="AE298" i="8"/>
  <c r="W34" i="2" s="1"/>
  <c r="A327" i="6"/>
  <c r="V297" i="8"/>
  <c r="AB297" i="8"/>
  <c r="J326" i="6"/>
  <c r="AA297" i="8"/>
  <c r="G326" i="6"/>
  <c r="AC297" i="8"/>
  <c r="I326" i="6"/>
  <c r="C310" i="7"/>
  <c r="Q297" i="8"/>
  <c r="AE297" i="8"/>
  <c r="A326" i="6"/>
  <c r="V296" i="8"/>
  <c r="AB296" i="8"/>
  <c r="AA296" i="8"/>
  <c r="G325" i="6"/>
  <c r="AC296" i="8"/>
  <c r="I325" i="6"/>
  <c r="C309" i="7"/>
  <c r="Q296" i="8"/>
  <c r="AE296" i="8"/>
  <c r="A325" i="6"/>
  <c r="V295" i="8"/>
  <c r="AB295" i="8"/>
  <c r="J324" i="6"/>
  <c r="Q295" i="8"/>
  <c r="AE295" i="8"/>
  <c r="A324" i="6"/>
  <c r="AC295" i="8"/>
  <c r="I324" i="6"/>
  <c r="C308" i="7"/>
  <c r="AA295" i="8"/>
  <c r="G324" i="6"/>
  <c r="V294" i="8"/>
  <c r="AB294" i="8"/>
  <c r="J323" i="6"/>
  <c r="Q294" i="8"/>
  <c r="AE294" i="8"/>
  <c r="A323" i="6"/>
  <c r="AC294" i="8"/>
  <c r="I323" i="6"/>
  <c r="C307" i="7"/>
  <c r="AA294" i="8"/>
  <c r="G323" i="6"/>
  <c r="V293" i="8"/>
  <c r="AB293" i="8"/>
  <c r="J322" i="6"/>
  <c r="AA293" i="8"/>
  <c r="G322" i="6"/>
  <c r="AC293" i="8"/>
  <c r="I322" i="6"/>
  <c r="C306" i="7"/>
  <c r="Q293" i="8"/>
  <c r="AE293" i="8"/>
  <c r="A322" i="6"/>
  <c r="V292" i="8"/>
  <c r="AB292" i="8"/>
  <c r="J321" i="6"/>
  <c r="Q292" i="8"/>
  <c r="AE292" i="8"/>
  <c r="A321" i="6"/>
  <c r="AC292" i="8"/>
  <c r="I321" i="6"/>
  <c r="C305" i="7"/>
  <c r="AA292" i="8"/>
  <c r="G321" i="6"/>
  <c r="V291" i="8"/>
  <c r="AB291" i="8"/>
  <c r="Q291" i="8"/>
  <c r="AE291" i="8"/>
  <c r="A320" i="6"/>
  <c r="AA291" i="8"/>
  <c r="G320" i="6"/>
  <c r="AC291" i="8"/>
  <c r="I320" i="6"/>
  <c r="C304" i="7"/>
  <c r="V290" i="8"/>
  <c r="AB290" i="8"/>
  <c r="J319" i="6"/>
  <c r="AA290" i="8"/>
  <c r="G319" i="6"/>
  <c r="Q290" i="8"/>
  <c r="AE290" i="8"/>
  <c r="A319" i="6"/>
  <c r="AC290" i="8"/>
  <c r="I319" i="6"/>
  <c r="C303" i="7"/>
  <c r="V289" i="8"/>
  <c r="AB289" i="8"/>
  <c r="J318" i="6"/>
  <c r="AA289" i="8"/>
  <c r="G318" i="6"/>
  <c r="AC289" i="8"/>
  <c r="I318" i="6"/>
  <c r="C302" i="7"/>
  <c r="Q289" i="8"/>
  <c r="AE289" i="8"/>
  <c r="A318" i="6"/>
  <c r="V288" i="8"/>
  <c r="AB288" i="8"/>
  <c r="J317" i="6"/>
  <c r="AA288" i="8"/>
  <c r="G317" i="6"/>
  <c r="AC288" i="8"/>
  <c r="I317" i="6"/>
  <c r="C301" i="7"/>
  <c r="Q288" i="8"/>
  <c r="AE288" i="8"/>
  <c r="A317" i="6"/>
  <c r="V287" i="8"/>
  <c r="AB287" i="8"/>
  <c r="J316" i="6"/>
  <c r="Q287" i="8"/>
  <c r="AE287" i="8"/>
  <c r="A316" i="6"/>
  <c r="AA287" i="8"/>
  <c r="G316" i="6"/>
  <c r="AC287" i="8"/>
  <c r="I316" i="6"/>
  <c r="C300" i="7"/>
  <c r="V286" i="8"/>
  <c r="AB286" i="8"/>
  <c r="AC286" i="8"/>
  <c r="I315" i="6"/>
  <c r="C299" i="7"/>
  <c r="AA286" i="8"/>
  <c r="G315" i="6"/>
  <c r="Q286" i="8"/>
  <c r="AE286" i="8"/>
  <c r="A315" i="6"/>
  <c r="V285" i="8"/>
  <c r="AB285" i="8"/>
  <c r="AC285" i="8"/>
  <c r="I314" i="6"/>
  <c r="C298" i="7"/>
  <c r="Q285" i="8"/>
  <c r="AE285" i="8"/>
  <c r="A314" i="6"/>
  <c r="AA285" i="8"/>
  <c r="G314" i="6"/>
  <c r="V284" i="8"/>
  <c r="AB284" i="8"/>
  <c r="AA284" i="8"/>
  <c r="G313" i="6"/>
  <c r="AC284" i="8"/>
  <c r="I313" i="6"/>
  <c r="C297" i="7"/>
  <c r="Q284" i="8"/>
  <c r="AE284" i="8"/>
  <c r="A313" i="6"/>
  <c r="V283" i="8"/>
  <c r="AB283" i="8"/>
  <c r="AA283" i="8"/>
  <c r="G312" i="6"/>
  <c r="AC283" i="8"/>
  <c r="I312" i="6"/>
  <c r="C296" i="7"/>
  <c r="Q283" i="8"/>
  <c r="AE283" i="8"/>
  <c r="A312" i="6"/>
  <c r="V282" i="8"/>
  <c r="AB282" i="8"/>
  <c r="AA282" i="8"/>
  <c r="G311" i="6"/>
  <c r="AC282" i="8"/>
  <c r="I311" i="6"/>
  <c r="C295" i="7"/>
  <c r="Q282" i="8"/>
  <c r="AE282" i="8"/>
  <c r="A311" i="6"/>
  <c r="V281" i="8"/>
  <c r="AB281" i="8"/>
  <c r="J310" i="6"/>
  <c r="Q281" i="8"/>
  <c r="AE281" i="8"/>
  <c r="A310" i="6"/>
  <c r="AA281" i="8"/>
  <c r="G310" i="6"/>
  <c r="AC281" i="8"/>
  <c r="I310" i="6"/>
  <c r="C294" i="7"/>
  <c r="V280" i="8"/>
  <c r="AB280" i="8"/>
  <c r="J309" i="6"/>
  <c r="AA280" i="8"/>
  <c r="G309" i="6"/>
  <c r="AC280" i="8"/>
  <c r="I309" i="6"/>
  <c r="C293" i="7"/>
  <c r="Q280" i="8"/>
  <c r="AE280" i="8"/>
  <c r="A309" i="6"/>
  <c r="V279" i="8"/>
  <c r="AB279" i="8"/>
  <c r="Q279" i="8"/>
  <c r="AE279" i="8"/>
  <c r="A308" i="6"/>
  <c r="AA279" i="8"/>
  <c r="G308" i="6"/>
  <c r="AC279" i="8"/>
  <c r="I308" i="6"/>
  <c r="C292" i="7"/>
  <c r="V278" i="8"/>
  <c r="AB278" i="8"/>
  <c r="J307" i="6"/>
  <c r="AA278" i="8"/>
  <c r="G307" i="6"/>
  <c r="AC278" i="8"/>
  <c r="I307" i="6"/>
  <c r="C291" i="7"/>
  <c r="Q278" i="8"/>
  <c r="AE278" i="8"/>
  <c r="C57" i="15" s="1"/>
  <c r="A307" i="6"/>
  <c r="V277" i="8"/>
  <c r="AB277" i="8"/>
  <c r="J306" i="6"/>
  <c r="Q277" i="8"/>
  <c r="AE277" i="8"/>
  <c r="A306" i="6"/>
  <c r="AC277" i="8"/>
  <c r="I306" i="6"/>
  <c r="C290" i="7"/>
  <c r="AA277" i="8"/>
  <c r="G306" i="6"/>
  <c r="V276" i="8"/>
  <c r="AB276" i="8"/>
  <c r="Q276" i="8"/>
  <c r="AE276" i="8"/>
  <c r="A305" i="6"/>
  <c r="AC276" i="8"/>
  <c r="I305" i="6"/>
  <c r="C289" i="7"/>
  <c r="AA276" i="8"/>
  <c r="G305" i="6"/>
  <c r="V275" i="8"/>
  <c r="AB275" i="8"/>
  <c r="J304" i="6"/>
  <c r="Q275" i="8"/>
  <c r="AE275" i="8"/>
  <c r="A304" i="6"/>
  <c r="AC275" i="8"/>
  <c r="I304" i="6"/>
  <c r="C288" i="7"/>
  <c r="AA275" i="8"/>
  <c r="G304" i="6"/>
  <c r="V274" i="8"/>
  <c r="AB274" i="8"/>
  <c r="J303" i="6"/>
  <c r="AC274" i="8"/>
  <c r="I303" i="6"/>
  <c r="C287" i="7"/>
  <c r="AA274" i="8"/>
  <c r="G303" i="6"/>
  <c r="Q274" i="8"/>
  <c r="AE274" i="8"/>
  <c r="A303" i="6"/>
  <c r="V273" i="8"/>
  <c r="AB273" i="8"/>
  <c r="J302" i="6"/>
  <c r="AA273" i="8"/>
  <c r="G302" i="6"/>
  <c r="AC273" i="8"/>
  <c r="I302" i="6"/>
  <c r="C286" i="7"/>
  <c r="Q273" i="8"/>
  <c r="AE273" i="8"/>
  <c r="A302" i="6"/>
  <c r="V272" i="8"/>
  <c r="AB272" i="8"/>
  <c r="Q272" i="8"/>
  <c r="AE272" i="8"/>
  <c r="A301" i="6"/>
  <c r="AC272" i="8"/>
  <c r="I301" i="6"/>
  <c r="C285" i="7"/>
  <c r="AA272" i="8"/>
  <c r="G301" i="6"/>
  <c r="V271" i="8"/>
  <c r="AB271" i="8"/>
  <c r="J300" i="6"/>
  <c r="AC271" i="8"/>
  <c r="I300" i="6"/>
  <c r="C284" i="7"/>
  <c r="AA271" i="8"/>
  <c r="G300" i="6"/>
  <c r="Q271" i="8"/>
  <c r="AE271" i="8"/>
  <c r="A300" i="6"/>
  <c r="V270" i="8"/>
  <c r="AB270" i="8"/>
  <c r="J299" i="6"/>
  <c r="AA270" i="8"/>
  <c r="G299" i="6"/>
  <c r="AC270" i="8"/>
  <c r="I299" i="6"/>
  <c r="C283" i="7"/>
  <c r="Q270" i="8"/>
  <c r="AE270" i="8"/>
  <c r="A299" i="6"/>
  <c r="AA269" i="8"/>
  <c r="G298" i="6"/>
  <c r="AA268" i="8"/>
  <c r="G297" i="6"/>
  <c r="AC268" i="8"/>
  <c r="I297" i="6"/>
  <c r="C281" i="7"/>
  <c r="AA267" i="8"/>
  <c r="G296" i="6"/>
  <c r="AC267" i="8"/>
  <c r="I296" i="6"/>
  <c r="C280" i="7"/>
  <c r="AC266" i="8"/>
  <c r="I295" i="6"/>
  <c r="C279" i="7"/>
  <c r="AA266" i="8"/>
  <c r="G295" i="6"/>
  <c r="AC265" i="8"/>
  <c r="I294" i="6"/>
  <c r="C278" i="7"/>
  <c r="AA265" i="8"/>
  <c r="G294" i="6"/>
  <c r="AC264" i="8"/>
  <c r="I293" i="6"/>
  <c r="C277" i="7"/>
  <c r="AA264" i="8"/>
  <c r="G293" i="6"/>
  <c r="AC263" i="8"/>
  <c r="I292" i="6"/>
  <c r="C276" i="7"/>
  <c r="AA263" i="8"/>
  <c r="G292" i="6"/>
  <c r="AA262" i="8"/>
  <c r="G291" i="6"/>
  <c r="AC262" i="8"/>
  <c r="I291" i="6"/>
  <c r="C275" i="7"/>
  <c r="AA261" i="8"/>
  <c r="G290" i="6"/>
  <c r="AC261" i="8"/>
  <c r="I290" i="6"/>
  <c r="C274" i="7"/>
  <c r="AC260" i="8"/>
  <c r="I289" i="6"/>
  <c r="C273" i="7"/>
  <c r="AA260" i="8"/>
  <c r="G289" i="6"/>
  <c r="AA259" i="8"/>
  <c r="G288" i="6"/>
  <c r="AC259" i="8"/>
  <c r="I288" i="6"/>
  <c r="C272" i="7"/>
  <c r="AC258" i="8"/>
  <c r="I287" i="6"/>
  <c r="C271" i="7"/>
  <c r="AA258" i="8"/>
  <c r="G287" i="6"/>
  <c r="AC257" i="8"/>
  <c r="I286" i="6"/>
  <c r="C270" i="7"/>
  <c r="AA257" i="8"/>
  <c r="G286" i="6"/>
  <c r="AC256" i="8"/>
  <c r="I285" i="6"/>
  <c r="C269" i="7"/>
  <c r="AA256" i="8"/>
  <c r="G285" i="6"/>
  <c r="AA255" i="8"/>
  <c r="G284" i="6"/>
  <c r="AC255" i="8"/>
  <c r="I284" i="6"/>
  <c r="C268" i="7"/>
  <c r="AC254" i="8"/>
  <c r="I283" i="6"/>
  <c r="C267" i="7"/>
  <c r="AA254" i="8"/>
  <c r="G283" i="6"/>
  <c r="AC253" i="8"/>
  <c r="I282" i="6"/>
  <c r="C266" i="7"/>
  <c r="AA253" i="8"/>
  <c r="G282" i="6"/>
  <c r="AC252" i="8"/>
  <c r="I281" i="6"/>
  <c r="C265" i="7"/>
  <c r="AA252" i="8"/>
  <c r="G281" i="6"/>
  <c r="AC251" i="8"/>
  <c r="I280" i="6"/>
  <c r="C264" i="7"/>
  <c r="AA251" i="8"/>
  <c r="G280" i="6"/>
  <c r="AA250" i="8"/>
  <c r="G279" i="6"/>
  <c r="AC250" i="8"/>
  <c r="I279" i="6"/>
  <c r="C263" i="7"/>
  <c r="AA249" i="8"/>
  <c r="G278" i="6"/>
  <c r="AC249" i="8"/>
  <c r="I278" i="6"/>
  <c r="C262" i="7"/>
  <c r="AC248" i="8"/>
  <c r="I277" i="6"/>
  <c r="C261" i="7"/>
  <c r="AA248" i="8"/>
  <c r="G277" i="6"/>
  <c r="AC247" i="8"/>
  <c r="I276" i="6"/>
  <c r="C260" i="7"/>
  <c r="AA247" i="8"/>
  <c r="G276" i="6"/>
  <c r="AC246" i="8"/>
  <c r="I275" i="6"/>
  <c r="C259" i="7"/>
  <c r="AA246" i="8"/>
  <c r="G275" i="6"/>
  <c r="AC245" i="8"/>
  <c r="I274" i="6"/>
  <c r="C258" i="7"/>
  <c r="AA245" i="8"/>
  <c r="G274" i="6"/>
  <c r="AC244" i="8"/>
  <c r="I273" i="6"/>
  <c r="C257" i="7"/>
  <c r="AA244" i="8"/>
  <c r="G273" i="6"/>
  <c r="AA243" i="8"/>
  <c r="G272" i="6"/>
  <c r="AC243" i="8"/>
  <c r="I272" i="6"/>
  <c r="C256" i="7"/>
  <c r="AC242" i="8"/>
  <c r="I271" i="6"/>
  <c r="C255" i="7"/>
  <c r="AA242" i="8"/>
  <c r="G271" i="6"/>
  <c r="AA241" i="8"/>
  <c r="G270" i="6"/>
  <c r="AC241" i="8"/>
  <c r="I270" i="6"/>
  <c r="C254" i="7"/>
  <c r="AC240" i="8"/>
  <c r="I269" i="6"/>
  <c r="C253" i="7"/>
  <c r="AA240" i="8"/>
  <c r="G269" i="6"/>
  <c r="AC239" i="8"/>
  <c r="I268" i="6"/>
  <c r="C252" i="7"/>
  <c r="AA239" i="8"/>
  <c r="G268" i="6"/>
  <c r="AC238" i="8"/>
  <c r="I267" i="6"/>
  <c r="C251" i="7"/>
  <c r="AA238" i="8"/>
  <c r="G267" i="6"/>
  <c r="AA237" i="8"/>
  <c r="G266" i="6"/>
  <c r="AC237" i="8"/>
  <c r="I266" i="6"/>
  <c r="C250" i="7"/>
  <c r="AC236" i="8"/>
  <c r="I265" i="6"/>
  <c r="C249" i="7"/>
  <c r="AA236" i="8"/>
  <c r="G265" i="6"/>
  <c r="AC235" i="8"/>
  <c r="I264" i="6"/>
  <c r="C248" i="7"/>
  <c r="AA235" i="8"/>
  <c r="G264" i="6"/>
  <c r="AC234" i="8"/>
  <c r="I263" i="6"/>
  <c r="C247" i="7"/>
  <c r="AA234" i="8"/>
  <c r="G263" i="6"/>
  <c r="AA233" i="8"/>
  <c r="G262" i="6"/>
  <c r="AC233" i="8"/>
  <c r="I262" i="6"/>
  <c r="C246" i="7"/>
  <c r="AC232" i="8"/>
  <c r="I261" i="6"/>
  <c r="C245" i="7"/>
  <c r="AA232" i="8"/>
  <c r="G261" i="6"/>
  <c r="AC231" i="8"/>
  <c r="I260" i="6"/>
  <c r="C244" i="7"/>
  <c r="AA231" i="8"/>
  <c r="G260" i="6"/>
  <c r="AA230" i="8"/>
  <c r="G259" i="6"/>
  <c r="AC230" i="8"/>
  <c r="I259" i="6"/>
  <c r="C243" i="7"/>
  <c r="AC229" i="8"/>
  <c r="I258" i="6"/>
  <c r="C242" i="7"/>
  <c r="AA229" i="8"/>
  <c r="G258" i="6"/>
  <c r="AC228" i="8"/>
  <c r="I257" i="6"/>
  <c r="C241" i="7"/>
  <c r="AA228" i="8"/>
  <c r="G257" i="6"/>
  <c r="AA227" i="8"/>
  <c r="G256" i="6"/>
  <c r="AC227" i="8"/>
  <c r="I256" i="6"/>
  <c r="C240" i="7"/>
  <c r="AC226" i="8"/>
  <c r="I255" i="6"/>
  <c r="C239" i="7"/>
  <c r="AA226" i="8"/>
  <c r="G255" i="6"/>
  <c r="AC225" i="8"/>
  <c r="I254" i="6"/>
  <c r="C238" i="7"/>
  <c r="AA225" i="8"/>
  <c r="G254" i="6"/>
  <c r="AA224" i="8"/>
  <c r="G253" i="6"/>
  <c r="AC224" i="8"/>
  <c r="I253" i="6"/>
  <c r="C237" i="7"/>
  <c r="AA223" i="8"/>
  <c r="G252" i="6"/>
  <c r="AC223" i="8"/>
  <c r="I252" i="6"/>
  <c r="C236" i="7"/>
  <c r="AA222" i="8"/>
  <c r="G251" i="6"/>
  <c r="AC222" i="8"/>
  <c r="I251" i="6"/>
  <c r="C235" i="7"/>
  <c r="AA221" i="8"/>
  <c r="G250" i="6"/>
  <c r="AC221" i="8"/>
  <c r="I250" i="6"/>
  <c r="C234" i="7"/>
  <c r="AC220" i="8"/>
  <c r="I249" i="6"/>
  <c r="C233" i="7"/>
  <c r="AA220" i="8"/>
  <c r="G249" i="6"/>
  <c r="AA219" i="8"/>
  <c r="G248" i="6"/>
  <c r="AC219" i="8"/>
  <c r="I248" i="6"/>
  <c r="C232" i="7"/>
  <c r="AC218" i="8"/>
  <c r="I247" i="6"/>
  <c r="C231" i="7"/>
  <c r="AA218" i="8"/>
  <c r="G247" i="6"/>
  <c r="AC217" i="8"/>
  <c r="I246" i="6"/>
  <c r="C230" i="7"/>
  <c r="AA217" i="8"/>
  <c r="G246" i="6"/>
  <c r="AA216" i="8"/>
  <c r="G245" i="6"/>
  <c r="AC216" i="8"/>
  <c r="I245" i="6"/>
  <c r="C229" i="7"/>
  <c r="AA215" i="8"/>
  <c r="G244" i="6"/>
  <c r="AC215" i="8"/>
  <c r="I244" i="6"/>
  <c r="C228" i="7"/>
  <c r="AA214" i="8"/>
  <c r="G243" i="6"/>
  <c r="AC214" i="8"/>
  <c r="I243" i="6"/>
  <c r="C227" i="7"/>
  <c r="AA213" i="8"/>
  <c r="G242" i="6"/>
  <c r="AC213" i="8"/>
  <c r="I242" i="6"/>
  <c r="C226" i="7"/>
  <c r="AA212" i="8"/>
  <c r="G241" i="6"/>
  <c r="AC212" i="8"/>
  <c r="I241" i="6"/>
  <c r="C225" i="7"/>
  <c r="AA211" i="8"/>
  <c r="G240" i="6"/>
  <c r="AC211" i="8"/>
  <c r="I240" i="6"/>
  <c r="C224" i="7"/>
  <c r="AC210" i="8"/>
  <c r="I239" i="6"/>
  <c r="C223" i="7"/>
  <c r="AA210" i="8"/>
  <c r="G239" i="6"/>
  <c r="AA209" i="8"/>
  <c r="G238" i="6"/>
  <c r="AC209" i="8"/>
  <c r="I238" i="6"/>
  <c r="C222" i="7"/>
  <c r="AC208" i="8"/>
  <c r="I237" i="6"/>
  <c r="C221" i="7"/>
  <c r="AA208" i="8"/>
  <c r="G237" i="6"/>
  <c r="AA207" i="8"/>
  <c r="G236" i="6"/>
  <c r="AC207" i="8"/>
  <c r="I236" i="6"/>
  <c r="C220" i="7"/>
  <c r="AC206" i="8"/>
  <c r="I235" i="6"/>
  <c r="C219" i="7"/>
  <c r="AA206" i="8"/>
  <c r="G235" i="6"/>
  <c r="AC205" i="8"/>
  <c r="I234" i="6"/>
  <c r="C218" i="7"/>
  <c r="G234" i="6"/>
  <c r="AA205" i="8"/>
  <c r="AA204" i="8"/>
  <c r="G233" i="6"/>
  <c r="I233" i="6"/>
  <c r="C217" i="7"/>
  <c r="AC204" i="8"/>
  <c r="AA203" i="8"/>
  <c r="G232" i="6"/>
  <c r="I232" i="6"/>
  <c r="C216" i="7"/>
  <c r="AC203" i="8"/>
  <c r="AC202" i="8"/>
  <c r="I231" i="6"/>
  <c r="C215" i="7"/>
  <c r="G231" i="6"/>
  <c r="AA202" i="8"/>
  <c r="AA201" i="8"/>
  <c r="G230" i="6"/>
  <c r="AC201" i="8"/>
  <c r="I230" i="6"/>
  <c r="C214" i="7"/>
  <c r="I229" i="6"/>
  <c r="C213" i="7"/>
  <c r="AC200" i="8"/>
  <c r="AA200" i="8"/>
  <c r="G229" i="6"/>
  <c r="AC199" i="8"/>
  <c r="I228" i="6"/>
  <c r="C212" i="7"/>
  <c r="AA199" i="8"/>
  <c r="G228" i="6"/>
  <c r="V198" i="8"/>
  <c r="AB198" i="8"/>
  <c r="J227" i="6"/>
  <c r="AA198" i="8"/>
  <c r="G227" i="6"/>
  <c r="Q198" i="8"/>
  <c r="AE198" i="8"/>
  <c r="A227" i="6"/>
  <c r="AC198" i="8"/>
  <c r="I227" i="6"/>
  <c r="C211" i="7"/>
  <c r="V197" i="8"/>
  <c r="AB197" i="8"/>
  <c r="J226" i="6"/>
  <c r="AC197" i="8"/>
  <c r="I226" i="6"/>
  <c r="C210" i="7"/>
  <c r="Q197" i="8"/>
  <c r="AE197" i="8"/>
  <c r="A226" i="6"/>
  <c r="AA197" i="8"/>
  <c r="G226" i="6"/>
  <c r="V196" i="8"/>
  <c r="AB196" i="8"/>
  <c r="J225" i="6"/>
  <c r="Q196" i="8"/>
  <c r="AE196" i="8"/>
  <c r="A225" i="6"/>
  <c r="AC196" i="8"/>
  <c r="I225" i="6"/>
  <c r="C209" i="7"/>
  <c r="AA196" i="8"/>
  <c r="G225" i="6"/>
  <c r="V195" i="8"/>
  <c r="AB195" i="8"/>
  <c r="J224" i="6"/>
  <c r="AC195" i="8"/>
  <c r="I224" i="6"/>
  <c r="C208" i="7"/>
  <c r="AA195" i="8"/>
  <c r="G224" i="6"/>
  <c r="Q195" i="8"/>
  <c r="AE195" i="8"/>
  <c r="A224" i="6"/>
  <c r="V194" i="8"/>
  <c r="AB194" i="8"/>
  <c r="J223" i="6"/>
  <c r="AA194" i="8"/>
  <c r="G223" i="6"/>
  <c r="AC194" i="8"/>
  <c r="I223" i="6"/>
  <c r="C207" i="7"/>
  <c r="Q194" i="8"/>
  <c r="AE194" i="8"/>
  <c r="K37" i="2" s="1"/>
  <c r="A223" i="6"/>
  <c r="V193" i="8"/>
  <c r="AB193" i="8"/>
  <c r="Q193" i="8"/>
  <c r="AE193" i="8"/>
  <c r="A222" i="6"/>
  <c r="AA193" i="8"/>
  <c r="G222" i="6"/>
  <c r="AC193" i="8"/>
  <c r="I222" i="6"/>
  <c r="C206" i="7"/>
  <c r="V192" i="8"/>
  <c r="AB192" i="8"/>
  <c r="J221" i="6"/>
  <c r="Q192" i="8"/>
  <c r="AE192" i="8"/>
  <c r="A221" i="6"/>
  <c r="AC192" i="8"/>
  <c r="I221" i="6"/>
  <c r="C205" i="7"/>
  <c r="AA192" i="8"/>
  <c r="G221" i="6"/>
  <c r="V191" i="8"/>
  <c r="AB191" i="8"/>
  <c r="J220" i="6"/>
  <c r="Q191" i="8"/>
  <c r="AE191" i="8"/>
  <c r="A220" i="6"/>
  <c r="AC191" i="8"/>
  <c r="I220" i="6"/>
  <c r="C204" i="7"/>
  <c r="AA191" i="8"/>
  <c r="G220" i="6"/>
  <c r="V190" i="8"/>
  <c r="AB190" i="8"/>
  <c r="J219" i="6"/>
  <c r="AC190" i="8"/>
  <c r="I219" i="6"/>
  <c r="C203" i="7"/>
  <c r="Q190" i="8"/>
  <c r="AE190" i="8"/>
  <c r="A219" i="6"/>
  <c r="AA190" i="8"/>
  <c r="G219" i="6"/>
  <c r="V189" i="8"/>
  <c r="AB189" i="8"/>
  <c r="J218" i="6"/>
  <c r="AC189" i="8"/>
  <c r="I218" i="6"/>
  <c r="C202" i="7"/>
  <c r="AA189" i="8"/>
  <c r="G218" i="6"/>
  <c r="Q189" i="8"/>
  <c r="AE189" i="8"/>
  <c r="A218" i="6"/>
  <c r="V188" i="8"/>
  <c r="AB188" i="8"/>
  <c r="J217" i="6"/>
  <c r="AC188" i="8"/>
  <c r="I217" i="6"/>
  <c r="C201" i="7"/>
  <c r="AA188" i="8"/>
  <c r="G217" i="6"/>
  <c r="AC187" i="8"/>
  <c r="I216" i="6"/>
  <c r="C200" i="7"/>
  <c r="AA187" i="8"/>
  <c r="G216" i="6"/>
  <c r="AC186" i="8"/>
  <c r="I215" i="6"/>
  <c r="C199" i="7"/>
  <c r="AA186" i="8"/>
  <c r="G215" i="6"/>
  <c r="AC185" i="8"/>
  <c r="I214" i="6"/>
  <c r="C198" i="7"/>
  <c r="AA185" i="8"/>
  <c r="G214" i="6"/>
  <c r="AC184" i="8"/>
  <c r="I213" i="6"/>
  <c r="C197" i="7"/>
  <c r="AA184" i="8"/>
  <c r="G213" i="6"/>
  <c r="AC183" i="8"/>
  <c r="I212" i="6"/>
  <c r="C196" i="7"/>
  <c r="AA183" i="8"/>
  <c r="G212" i="6"/>
  <c r="AC182" i="8"/>
  <c r="I211" i="6"/>
  <c r="C195" i="7"/>
  <c r="AA182" i="8"/>
  <c r="G211" i="6"/>
  <c r="AC181" i="8"/>
  <c r="I210" i="6"/>
  <c r="C194" i="7"/>
  <c r="AA181" i="8"/>
  <c r="G210" i="6"/>
  <c r="AC180" i="8"/>
  <c r="I209" i="6"/>
  <c r="C193" i="7"/>
  <c r="AA180" i="8"/>
  <c r="G209" i="6"/>
  <c r="AC179" i="8"/>
  <c r="I208" i="6"/>
  <c r="C192" i="7"/>
  <c r="AA179" i="8"/>
  <c r="G208" i="6"/>
  <c r="AC178" i="8"/>
  <c r="I207" i="6"/>
  <c r="C191" i="7"/>
  <c r="AA178" i="8"/>
  <c r="G207" i="6"/>
  <c r="AC177" i="8"/>
  <c r="I206" i="6"/>
  <c r="C190" i="7"/>
  <c r="AA177" i="8"/>
  <c r="G206" i="6"/>
  <c r="AC176" i="8"/>
  <c r="I205" i="6"/>
  <c r="C189" i="7"/>
  <c r="AA176" i="8"/>
  <c r="G205" i="6"/>
  <c r="AC175" i="8"/>
  <c r="I204" i="6"/>
  <c r="C188" i="7"/>
  <c r="AA175" i="8"/>
  <c r="G204" i="6"/>
  <c r="AC174" i="8"/>
  <c r="I203" i="6"/>
  <c r="C187" i="7"/>
  <c r="AA174" i="8"/>
  <c r="G203" i="6"/>
  <c r="AC173" i="8"/>
  <c r="I202" i="6"/>
  <c r="C186" i="7"/>
  <c r="AA173" i="8"/>
  <c r="G202" i="6"/>
  <c r="AC172" i="8"/>
  <c r="I201" i="6"/>
  <c r="C185" i="7"/>
  <c r="AA172" i="8"/>
  <c r="G201" i="6"/>
  <c r="AC171" i="8"/>
  <c r="I200" i="6"/>
  <c r="C184" i="7"/>
  <c r="AA171" i="8"/>
  <c r="G200" i="6"/>
  <c r="AC170" i="8"/>
  <c r="I199" i="6"/>
  <c r="C183" i="7"/>
  <c r="AA170" i="8"/>
  <c r="G199" i="6"/>
  <c r="AC169" i="8"/>
  <c r="I198" i="6"/>
  <c r="C182" i="7"/>
  <c r="AA169" i="8"/>
  <c r="G198" i="6"/>
  <c r="AC168" i="8"/>
  <c r="I197" i="6"/>
  <c r="C181" i="7"/>
  <c r="AA168" i="8"/>
  <c r="G197" i="6"/>
  <c r="AA167" i="8"/>
  <c r="G196" i="6"/>
  <c r="AC167" i="8"/>
  <c r="I196" i="6"/>
  <c r="C180" i="7"/>
  <c r="AC166" i="8"/>
  <c r="I195" i="6"/>
  <c r="C179" i="7"/>
  <c r="AA166" i="8"/>
  <c r="G195" i="6"/>
  <c r="AC165" i="8"/>
  <c r="I194" i="6"/>
  <c r="C178" i="7"/>
  <c r="AA165" i="8"/>
  <c r="G194" i="6"/>
  <c r="AA164" i="8"/>
  <c r="G193" i="6"/>
  <c r="AC164" i="8"/>
  <c r="I193" i="6"/>
  <c r="C177" i="7"/>
  <c r="AA163" i="8"/>
  <c r="G192" i="6"/>
  <c r="AC163" i="8"/>
  <c r="I192" i="6"/>
  <c r="C176" i="7"/>
  <c r="AC162" i="8"/>
  <c r="I191" i="6"/>
  <c r="C175" i="7"/>
  <c r="AA162" i="8"/>
  <c r="G191" i="6"/>
  <c r="AC161" i="8"/>
  <c r="I190" i="6"/>
  <c r="C174" i="7"/>
  <c r="AA161" i="8"/>
  <c r="G190" i="6"/>
  <c r="AA160" i="8"/>
  <c r="G189" i="6"/>
  <c r="AC160" i="8"/>
  <c r="I189" i="6"/>
  <c r="C173" i="7"/>
  <c r="AC159" i="8"/>
  <c r="I188" i="6"/>
  <c r="C172" i="7"/>
  <c r="AA159" i="8"/>
  <c r="G188" i="6"/>
  <c r="AA158" i="8"/>
  <c r="G187" i="6"/>
  <c r="AC158" i="8"/>
  <c r="I187" i="6"/>
  <c r="C171" i="7"/>
  <c r="AC157" i="8"/>
  <c r="I186" i="6"/>
  <c r="C170" i="7"/>
  <c r="AA157" i="8"/>
  <c r="G186" i="6"/>
  <c r="AC156" i="8"/>
  <c r="I185" i="6"/>
  <c r="C169" i="7"/>
  <c r="AA156" i="8"/>
  <c r="G185" i="6"/>
  <c r="AC155" i="8"/>
  <c r="I184" i="6"/>
  <c r="C168" i="7"/>
  <c r="AA155" i="8"/>
  <c r="G184" i="6"/>
  <c r="AC154" i="8"/>
  <c r="I183" i="6"/>
  <c r="C167" i="7"/>
  <c r="AA154" i="8"/>
  <c r="G183" i="6"/>
  <c r="AA153" i="8"/>
  <c r="G182" i="6"/>
  <c r="AC153" i="8"/>
  <c r="I182" i="6"/>
  <c r="C166" i="7"/>
  <c r="AA152" i="8"/>
  <c r="G181" i="6"/>
  <c r="AC152" i="8"/>
  <c r="I181" i="6"/>
  <c r="C165" i="7"/>
  <c r="AC151" i="8"/>
  <c r="I180" i="6"/>
  <c r="C164" i="7"/>
  <c r="AA151" i="8"/>
  <c r="G180" i="6"/>
  <c r="AC150" i="8"/>
  <c r="I179" i="6"/>
  <c r="C163" i="7"/>
  <c r="AA150" i="8"/>
  <c r="G179" i="6"/>
  <c r="AA149" i="8"/>
  <c r="G178" i="6"/>
  <c r="AC149" i="8"/>
  <c r="I178" i="6"/>
  <c r="C162" i="7"/>
  <c r="AC148" i="8"/>
  <c r="I177" i="6"/>
  <c r="C161" i="7"/>
  <c r="AA148" i="8"/>
  <c r="G177" i="6"/>
  <c r="AA147" i="8"/>
  <c r="G176" i="6"/>
  <c r="AC147" i="8"/>
  <c r="I176" i="6"/>
  <c r="C160" i="7"/>
  <c r="AC146" i="8"/>
  <c r="I175" i="6"/>
  <c r="C159" i="7"/>
  <c r="AA146" i="8"/>
  <c r="G175" i="6"/>
  <c r="AC145" i="8"/>
  <c r="I174" i="6"/>
  <c r="C158" i="7"/>
  <c r="AA145" i="8"/>
  <c r="G174" i="6"/>
  <c r="AC144" i="8"/>
  <c r="I173" i="6"/>
  <c r="C157" i="7"/>
  <c r="AA144" i="8"/>
  <c r="G173" i="6"/>
  <c r="AC143" i="8"/>
  <c r="I172" i="6"/>
  <c r="C156" i="7"/>
  <c r="AA143" i="8"/>
  <c r="G172" i="6"/>
  <c r="AC142" i="8"/>
  <c r="I171" i="6"/>
  <c r="C155" i="7"/>
  <c r="AA142" i="8"/>
  <c r="G171" i="6"/>
  <c r="AA141" i="8"/>
  <c r="G170" i="6"/>
  <c r="AC141" i="8"/>
  <c r="I170" i="6"/>
  <c r="C154" i="7"/>
  <c r="AA140" i="8"/>
  <c r="G169" i="6"/>
  <c r="AC140" i="8"/>
  <c r="I169" i="6"/>
  <c r="C153" i="7"/>
  <c r="AC139" i="8"/>
  <c r="I168" i="6"/>
  <c r="C152" i="7"/>
  <c r="AA139" i="8"/>
  <c r="G168" i="6"/>
  <c r="AC138" i="8"/>
  <c r="I167" i="6"/>
  <c r="C151" i="7"/>
  <c r="AA138" i="8"/>
  <c r="G167" i="6"/>
  <c r="AC137" i="8"/>
  <c r="I166" i="6"/>
  <c r="C150" i="7"/>
  <c r="AA137" i="8"/>
  <c r="G166" i="6"/>
  <c r="AC136" i="8"/>
  <c r="I165" i="6"/>
  <c r="C149" i="7"/>
  <c r="AA136" i="8"/>
  <c r="G165" i="6"/>
  <c r="AC135" i="8"/>
  <c r="I164" i="6"/>
  <c r="C148" i="7"/>
  <c r="AA135" i="8"/>
  <c r="G164" i="6"/>
  <c r="AC134" i="8"/>
  <c r="I163" i="6"/>
  <c r="C147" i="7"/>
  <c r="AA134" i="8"/>
  <c r="G163" i="6"/>
  <c r="G162" i="6"/>
  <c r="AA133" i="8"/>
  <c r="I162" i="6"/>
  <c r="C146" i="7"/>
  <c r="AC133" i="8"/>
  <c r="I161" i="6"/>
  <c r="C145" i="7"/>
  <c r="AC132" i="8"/>
  <c r="AA132" i="8"/>
  <c r="G161" i="6"/>
  <c r="AC131" i="8"/>
  <c r="I160" i="6"/>
  <c r="C144" i="7"/>
  <c r="G160" i="6"/>
  <c r="AA131" i="8"/>
  <c r="I159" i="6"/>
  <c r="C143" i="7"/>
  <c r="AC130" i="8"/>
  <c r="G159" i="6"/>
  <c r="AA130" i="8"/>
  <c r="I158" i="6"/>
  <c r="C142" i="7"/>
  <c r="AC129" i="8"/>
  <c r="AA129" i="8"/>
  <c r="G158" i="6"/>
  <c r="AC128" i="8"/>
  <c r="I157" i="6"/>
  <c r="C141" i="7"/>
  <c r="AA128" i="8"/>
  <c r="G157" i="6"/>
  <c r="AA127" i="8"/>
  <c r="G156" i="6"/>
  <c r="AC127" i="8"/>
  <c r="I156" i="6"/>
  <c r="C140" i="7"/>
  <c r="AC126" i="8"/>
  <c r="I155" i="6"/>
  <c r="C139" i="7"/>
  <c r="G155" i="6"/>
  <c r="AA126" i="8"/>
  <c r="I154" i="6"/>
  <c r="C138" i="7"/>
  <c r="AC125" i="8"/>
  <c r="AA125" i="8"/>
  <c r="G154" i="6"/>
  <c r="AC124" i="8"/>
  <c r="I153" i="6"/>
  <c r="C137" i="7"/>
  <c r="AA124" i="8"/>
  <c r="G153" i="6"/>
  <c r="AC123" i="8"/>
  <c r="I152" i="6"/>
  <c r="C136" i="7"/>
  <c r="AA123" i="8"/>
  <c r="G152" i="6"/>
  <c r="AC122" i="8"/>
  <c r="I151" i="6"/>
  <c r="C135" i="7"/>
  <c r="AA122" i="8"/>
  <c r="G151" i="6"/>
  <c r="AC121" i="8"/>
  <c r="I150" i="6"/>
  <c r="C134" i="7"/>
  <c r="AA121" i="8"/>
  <c r="G150" i="6"/>
  <c r="AC120" i="8"/>
  <c r="I149" i="6"/>
  <c r="C133" i="7"/>
  <c r="AA120" i="8"/>
  <c r="G149" i="6"/>
  <c r="G148" i="6"/>
  <c r="AA119" i="8"/>
  <c r="AC119" i="8"/>
  <c r="I148" i="6"/>
  <c r="C132" i="7"/>
  <c r="AC118" i="8"/>
  <c r="I147" i="6"/>
  <c r="C131" i="7"/>
  <c r="AA118" i="8"/>
  <c r="G147" i="6"/>
  <c r="I146" i="6"/>
  <c r="C130" i="7"/>
  <c r="AC117" i="8"/>
  <c r="G146" i="6"/>
  <c r="AA117" i="8"/>
  <c r="AA116" i="8"/>
  <c r="G145" i="6"/>
  <c r="AC116" i="8"/>
  <c r="I145" i="6"/>
  <c r="C129" i="7"/>
  <c r="AA115" i="8"/>
  <c r="G144" i="6"/>
  <c r="I144" i="6"/>
  <c r="C128" i="7"/>
  <c r="AC115" i="8"/>
  <c r="G143" i="6"/>
  <c r="AA114" i="8"/>
  <c r="AC114" i="8"/>
  <c r="I143" i="6"/>
  <c r="C127" i="7"/>
  <c r="AA113" i="8"/>
  <c r="G142" i="6"/>
  <c r="AC113" i="8"/>
  <c r="I142" i="6"/>
  <c r="C126" i="7"/>
  <c r="AA112" i="8"/>
  <c r="G141" i="6"/>
  <c r="I141" i="6"/>
  <c r="C125" i="7"/>
  <c r="AC112" i="8"/>
  <c r="AA111" i="8"/>
  <c r="G140" i="6"/>
  <c r="AC111" i="8"/>
  <c r="I140" i="6"/>
  <c r="C124" i="7"/>
  <c r="I139" i="6"/>
  <c r="C123" i="7"/>
  <c r="AC110" i="8"/>
  <c r="AA110" i="8"/>
  <c r="G139" i="6"/>
  <c r="AC109" i="8"/>
  <c r="I138" i="6"/>
  <c r="C122" i="7"/>
  <c r="AA109" i="8"/>
  <c r="G138" i="6"/>
  <c r="AC108" i="8"/>
  <c r="I137" i="6"/>
  <c r="C121" i="7"/>
  <c r="AA108" i="8"/>
  <c r="G137" i="6"/>
  <c r="AC107" i="8"/>
  <c r="I136" i="6"/>
  <c r="C120" i="7"/>
  <c r="G136" i="6"/>
  <c r="AA107" i="8"/>
  <c r="AC106" i="8"/>
  <c r="I135" i="6"/>
  <c r="C119" i="7"/>
  <c r="G135" i="6"/>
  <c r="AA106" i="8"/>
  <c r="AC105" i="8"/>
  <c r="I134" i="6"/>
  <c r="C118" i="7"/>
  <c r="G134" i="6"/>
  <c r="AA105" i="8"/>
  <c r="AA104" i="8"/>
  <c r="G133" i="6"/>
  <c r="I133" i="6"/>
  <c r="C117" i="7"/>
  <c r="AC104" i="8"/>
  <c r="AC103" i="8"/>
  <c r="I132" i="6"/>
  <c r="C116" i="7"/>
  <c r="AA103" i="8"/>
  <c r="G132" i="6"/>
  <c r="I131" i="6"/>
  <c r="C115" i="7"/>
  <c r="AC102" i="8"/>
  <c r="AA102" i="8"/>
  <c r="G131" i="6"/>
  <c r="I130" i="6"/>
  <c r="C114" i="7"/>
  <c r="AC101" i="8"/>
  <c r="G130" i="6"/>
  <c r="AA101" i="8"/>
  <c r="I129" i="6"/>
  <c r="C113" i="7"/>
  <c r="AC100" i="8"/>
  <c r="AA100" i="8"/>
  <c r="G129" i="6"/>
  <c r="I128" i="6"/>
  <c r="C112" i="7"/>
  <c r="AC99" i="8"/>
  <c r="AA99" i="8"/>
  <c r="G128" i="6"/>
  <c r="I127" i="6"/>
  <c r="C111" i="7"/>
  <c r="AC98" i="8"/>
  <c r="AA98" i="8"/>
  <c r="G127" i="6"/>
  <c r="AC97" i="8"/>
  <c r="I126" i="6"/>
  <c r="C110" i="7"/>
  <c r="AA97" i="8"/>
  <c r="G126" i="6"/>
  <c r="I125" i="6"/>
  <c r="C109" i="7"/>
  <c r="AC96" i="8"/>
  <c r="G125" i="6"/>
  <c r="AA96" i="8"/>
  <c r="I124" i="6"/>
  <c r="C108" i="7"/>
  <c r="AC95" i="8"/>
  <c r="AA95" i="8"/>
  <c r="G124" i="6"/>
  <c r="AC94" i="8"/>
  <c r="I123" i="6"/>
  <c r="C107" i="7"/>
  <c r="AA94" i="8"/>
  <c r="G123" i="6"/>
  <c r="AC93" i="8"/>
  <c r="I122" i="6"/>
  <c r="C106" i="7"/>
  <c r="G122" i="6"/>
  <c r="AA93" i="8"/>
  <c r="G121" i="6"/>
  <c r="AA92" i="8"/>
  <c r="AC92" i="8"/>
  <c r="I121" i="6"/>
  <c r="C105" i="7"/>
  <c r="AA91" i="8"/>
  <c r="G120" i="6"/>
  <c r="AC91" i="8"/>
  <c r="I120" i="6"/>
  <c r="C104" i="7"/>
  <c r="AC90" i="8"/>
  <c r="I119" i="6"/>
  <c r="C103" i="7"/>
  <c r="AA90" i="8"/>
  <c r="G119" i="6"/>
  <c r="AC89" i="8"/>
  <c r="I118" i="6"/>
  <c r="C102" i="7"/>
  <c r="AA89" i="8"/>
  <c r="G118" i="6"/>
  <c r="AC88" i="8"/>
  <c r="I117" i="6"/>
  <c r="C101" i="7"/>
  <c r="AA88" i="8"/>
  <c r="G117" i="6"/>
  <c r="AC87" i="8"/>
  <c r="I116" i="6"/>
  <c r="C100" i="7"/>
  <c r="AA87" i="8"/>
  <c r="G116" i="6"/>
  <c r="AC86" i="8"/>
  <c r="I115" i="6"/>
  <c r="C99" i="7"/>
  <c r="G115" i="6"/>
  <c r="AA86" i="8"/>
  <c r="AA85" i="8"/>
  <c r="G114" i="6"/>
  <c r="AC85" i="8"/>
  <c r="I114" i="6"/>
  <c r="C98" i="7"/>
  <c r="I113" i="6"/>
  <c r="C97" i="7"/>
  <c r="AC84" i="8"/>
  <c r="G113" i="6"/>
  <c r="AA84" i="8"/>
  <c r="AC83" i="8"/>
  <c r="I112" i="6"/>
  <c r="C96" i="7"/>
  <c r="AA83" i="8"/>
  <c r="G112" i="6"/>
  <c r="I111" i="6"/>
  <c r="C95" i="7"/>
  <c r="AC82" i="8"/>
  <c r="AA82" i="8"/>
  <c r="G111" i="6"/>
  <c r="AC81" i="8"/>
  <c r="I110" i="6"/>
  <c r="C94" i="7"/>
  <c r="AA81" i="8"/>
  <c r="G110" i="6"/>
  <c r="AC80" i="8"/>
  <c r="I109" i="6"/>
  <c r="C93" i="7"/>
  <c r="G109" i="6"/>
  <c r="AA80" i="8"/>
  <c r="AC79" i="8"/>
  <c r="I108" i="6"/>
  <c r="C92" i="7"/>
  <c r="AA79" i="8"/>
  <c r="G108" i="6"/>
  <c r="AC78" i="8"/>
  <c r="I107" i="6"/>
  <c r="C91" i="7"/>
  <c r="AA78" i="8"/>
  <c r="G107" i="6"/>
  <c r="AC77" i="8"/>
  <c r="I106" i="6"/>
  <c r="C90" i="7"/>
  <c r="AA77" i="8"/>
  <c r="G106" i="6"/>
  <c r="AA76" i="8"/>
  <c r="G105" i="6"/>
  <c r="AC76" i="8"/>
  <c r="I105" i="6"/>
  <c r="C89" i="7"/>
  <c r="AC75" i="8"/>
  <c r="I104" i="6"/>
  <c r="C88" i="7"/>
  <c r="G104" i="6"/>
  <c r="AA75" i="8"/>
  <c r="AC74" i="8"/>
  <c r="I103" i="6"/>
  <c r="C87" i="7"/>
  <c r="AA74" i="8"/>
  <c r="G103" i="6"/>
  <c r="AC73" i="8"/>
  <c r="I102" i="6"/>
  <c r="C86" i="7"/>
  <c r="AA73" i="8"/>
  <c r="G102" i="6"/>
  <c r="AC72" i="8"/>
  <c r="I101" i="6"/>
  <c r="C85" i="7"/>
  <c r="G101" i="6"/>
  <c r="AA72" i="8"/>
  <c r="AA71" i="8"/>
  <c r="G100" i="6"/>
  <c r="AC71" i="8"/>
  <c r="I100" i="6"/>
  <c r="C84" i="7"/>
  <c r="AC70" i="8"/>
  <c r="I99" i="6"/>
  <c r="C83" i="7"/>
  <c r="AA70" i="8"/>
  <c r="G99" i="6"/>
  <c r="AC69" i="8"/>
  <c r="I98" i="6"/>
  <c r="C82" i="7"/>
  <c r="AA69" i="8"/>
  <c r="G98" i="6"/>
  <c r="AC68" i="8"/>
  <c r="I97" i="6"/>
  <c r="C81" i="7"/>
  <c r="AA68" i="8"/>
  <c r="G97" i="6"/>
  <c r="AC67" i="8"/>
  <c r="I96" i="6"/>
  <c r="C80" i="7"/>
  <c r="G96" i="6"/>
  <c r="AA67" i="8"/>
  <c r="AA66" i="8"/>
  <c r="G95" i="6"/>
  <c r="AC66" i="8"/>
  <c r="I95" i="6"/>
  <c r="C79" i="7"/>
  <c r="AC65" i="8"/>
  <c r="I94" i="6"/>
  <c r="C78" i="7"/>
  <c r="AA65" i="8"/>
  <c r="G94" i="6"/>
  <c r="AA64" i="8"/>
  <c r="G93" i="6"/>
  <c r="AC64" i="8"/>
  <c r="I93" i="6"/>
  <c r="C77" i="7"/>
  <c r="AA63" i="8"/>
  <c r="G92" i="6"/>
  <c r="AC63" i="8"/>
  <c r="I92" i="6"/>
  <c r="C76" i="7"/>
  <c r="AA62" i="8"/>
  <c r="G91" i="6"/>
  <c r="I91" i="6"/>
  <c r="C75" i="7"/>
  <c r="AC62" i="8"/>
  <c r="I90" i="6"/>
  <c r="C74" i="7"/>
  <c r="AC61" i="8"/>
  <c r="AA61" i="8"/>
  <c r="G90" i="6"/>
  <c r="G89" i="6"/>
  <c r="AA60" i="8"/>
  <c r="AC60" i="8"/>
  <c r="I89" i="6"/>
  <c r="C73" i="7"/>
  <c r="I88" i="6"/>
  <c r="C72" i="7"/>
  <c r="AC59" i="8"/>
  <c r="AA59" i="8"/>
  <c r="G88" i="6"/>
  <c r="I87" i="6"/>
  <c r="C71" i="7"/>
  <c r="AC58" i="8"/>
  <c r="AA58" i="8"/>
  <c r="G87" i="6"/>
  <c r="AC57" i="8"/>
  <c r="I86" i="6"/>
  <c r="C70" i="7"/>
  <c r="G86" i="6"/>
  <c r="AA57" i="8"/>
  <c r="I85" i="6"/>
  <c r="C69" i="7"/>
  <c r="AC56" i="8"/>
  <c r="AA56" i="8"/>
  <c r="G85" i="6"/>
  <c r="I84" i="6"/>
  <c r="C68" i="7"/>
  <c r="AC55" i="8"/>
  <c r="AA55" i="8"/>
  <c r="G84" i="6"/>
  <c r="AC54" i="8"/>
  <c r="I83" i="6"/>
  <c r="C67" i="7"/>
  <c r="AA54" i="8"/>
  <c r="G83" i="6"/>
  <c r="AC53" i="8"/>
  <c r="I82" i="6"/>
  <c r="C66" i="7"/>
  <c r="AA53" i="8"/>
  <c r="G82" i="6"/>
  <c r="I81" i="6"/>
  <c r="C65" i="7"/>
  <c r="AC52" i="8"/>
  <c r="G81" i="6"/>
  <c r="AA52" i="8"/>
  <c r="I80" i="6"/>
  <c r="C64" i="7"/>
  <c r="AC51" i="8"/>
  <c r="AA51" i="8"/>
  <c r="G80" i="6"/>
  <c r="AC50" i="8"/>
  <c r="I79" i="6"/>
  <c r="C63" i="7"/>
  <c r="G79" i="6"/>
  <c r="AA50" i="8"/>
  <c r="I78" i="6"/>
  <c r="C62" i="7"/>
  <c r="AC49" i="8"/>
  <c r="AA49" i="8"/>
  <c r="G78" i="6"/>
  <c r="I77" i="6"/>
  <c r="C61" i="7"/>
  <c r="AC48" i="8"/>
  <c r="G77" i="6"/>
  <c r="AA48" i="8"/>
  <c r="AA47" i="8"/>
  <c r="G76" i="6"/>
  <c r="AC47" i="8"/>
  <c r="I76" i="6"/>
  <c r="C60" i="7"/>
  <c r="AA46" i="8"/>
  <c r="G75" i="6"/>
  <c r="AC46" i="8"/>
  <c r="I75" i="6"/>
  <c r="C59" i="7"/>
  <c r="AC45" i="8"/>
  <c r="I74" i="6"/>
  <c r="C58" i="7"/>
  <c r="AA45" i="8"/>
  <c r="G74" i="6"/>
  <c r="AC44" i="8"/>
  <c r="I73" i="6"/>
  <c r="C57" i="7"/>
  <c r="AA44" i="8"/>
  <c r="G73" i="6"/>
  <c r="I72" i="6"/>
  <c r="C56" i="7"/>
  <c r="AC43" i="8"/>
  <c r="G72" i="6"/>
  <c r="AA43" i="8"/>
  <c r="AC42" i="8"/>
  <c r="I71" i="6"/>
  <c r="C55" i="7"/>
  <c r="G71" i="6"/>
  <c r="AA42" i="8"/>
  <c r="AC41" i="8"/>
  <c r="I70" i="6"/>
  <c r="C54" i="7"/>
  <c r="AA41" i="8"/>
  <c r="G70" i="6"/>
  <c r="AC40" i="8"/>
  <c r="I69" i="6"/>
  <c r="C53" i="7"/>
  <c r="AA40" i="8"/>
  <c r="G69" i="6"/>
  <c r="AC39" i="8"/>
  <c r="I68" i="6"/>
  <c r="C52" i="7"/>
  <c r="AA39" i="8"/>
  <c r="G68" i="6"/>
  <c r="AC38" i="8"/>
  <c r="I67" i="6"/>
  <c r="C51" i="7"/>
  <c r="AA38" i="8"/>
  <c r="G67" i="6"/>
  <c r="AC37" i="8"/>
  <c r="I66" i="6"/>
  <c r="C50" i="7"/>
  <c r="G66" i="6"/>
  <c r="AA37" i="8"/>
  <c r="AA36" i="8"/>
  <c r="G65" i="6"/>
  <c r="I65" i="6"/>
  <c r="C49" i="7"/>
  <c r="AC36" i="8"/>
  <c r="G64" i="6"/>
  <c r="AA35" i="8"/>
  <c r="I64" i="6"/>
  <c r="C48" i="7"/>
  <c r="AC35" i="8"/>
  <c r="AC34" i="8"/>
  <c r="I63" i="6"/>
  <c r="C47" i="7"/>
  <c r="G63" i="6"/>
  <c r="AA34" i="8"/>
  <c r="I62" i="6"/>
  <c r="C46" i="7"/>
  <c r="AC33" i="8"/>
  <c r="AA33" i="8"/>
  <c r="G62" i="6"/>
  <c r="AA32" i="8"/>
  <c r="G61" i="6"/>
  <c r="I61" i="6"/>
  <c r="C45" i="7"/>
  <c r="AC32" i="8"/>
  <c r="AA31" i="8"/>
  <c r="G60" i="6"/>
  <c r="I60" i="6"/>
  <c r="C44" i="7"/>
  <c r="AC31" i="8"/>
  <c r="G59" i="6"/>
  <c r="AA30" i="8"/>
  <c r="I59" i="6"/>
  <c r="C43" i="7"/>
  <c r="AC30" i="8"/>
  <c r="AA29" i="8"/>
  <c r="G58" i="6"/>
  <c r="AC29" i="8"/>
  <c r="I58" i="6"/>
  <c r="C42" i="7"/>
  <c r="I57" i="6"/>
  <c r="C41" i="7"/>
  <c r="AC28" i="8"/>
  <c r="G57" i="6"/>
  <c r="AA28" i="8"/>
  <c r="AC27" i="8"/>
  <c r="I56" i="6"/>
  <c r="C40" i="7"/>
  <c r="AA27" i="8"/>
  <c r="G56" i="6"/>
  <c r="G55" i="6"/>
  <c r="AA26" i="8"/>
  <c r="AC26" i="8"/>
  <c r="I55" i="6"/>
  <c r="C39" i="7"/>
  <c r="G54" i="6"/>
  <c r="AA25" i="8"/>
  <c r="AC25" i="8"/>
  <c r="I54" i="6"/>
  <c r="C38" i="7"/>
  <c r="AC24" i="8"/>
  <c r="I53" i="6"/>
  <c r="C37" i="7"/>
  <c r="G53" i="6"/>
  <c r="AA24" i="8"/>
  <c r="F35" i="13"/>
  <c r="N23" i="8"/>
  <c r="H35" i="13"/>
  <c r="P23" i="8"/>
  <c r="G35" i="13"/>
  <c r="O23" i="8"/>
  <c r="D27" i="4" s="1"/>
  <c r="AA23" i="8"/>
  <c r="G52" i="6"/>
  <c r="AC22" i="8"/>
  <c r="I51" i="6"/>
  <c r="C35" i="7"/>
  <c r="AA22" i="8"/>
  <c r="G51" i="6"/>
  <c r="I50" i="6"/>
  <c r="C34" i="7"/>
  <c r="AC21" i="8"/>
  <c r="G50" i="6"/>
  <c r="AA21" i="8"/>
  <c r="G49" i="6"/>
  <c r="AA20" i="8"/>
  <c r="I49" i="6"/>
  <c r="C33" i="7"/>
  <c r="AC20" i="8"/>
  <c r="G34" i="13"/>
  <c r="O19" i="8"/>
  <c r="F34" i="13"/>
  <c r="N19" i="8"/>
  <c r="AA19" i="8"/>
  <c r="G48" i="6"/>
  <c r="H34" i="13"/>
  <c r="P19" i="8"/>
  <c r="D51" i="15" s="1"/>
  <c r="AC18" i="8"/>
  <c r="I47" i="6"/>
  <c r="C31" i="7"/>
  <c r="AA18" i="8"/>
  <c r="G47" i="6"/>
  <c r="AA17" i="8"/>
  <c r="G46" i="6"/>
  <c r="I46" i="6"/>
  <c r="C30" i="7"/>
  <c r="AC17" i="8"/>
  <c r="I45" i="6"/>
  <c r="C29" i="7"/>
  <c r="AC16" i="8"/>
  <c r="AA16" i="8"/>
  <c r="G45" i="6"/>
  <c r="G44" i="6"/>
  <c r="AA15" i="8"/>
  <c r="AC15" i="8"/>
  <c r="I44" i="6"/>
  <c r="C28" i="7"/>
  <c r="AA14" i="8"/>
  <c r="G43" i="6"/>
  <c r="G33" i="13"/>
  <c r="O14" i="8"/>
  <c r="D18" i="4" s="1"/>
  <c r="H33" i="13"/>
  <c r="P14" i="8"/>
  <c r="F33" i="13"/>
  <c r="N14" i="8"/>
  <c r="AA13" i="8"/>
  <c r="G42" i="6"/>
  <c r="I42" i="6"/>
  <c r="C26" i="7"/>
  <c r="AC13" i="8"/>
  <c r="AA12" i="8"/>
  <c r="G41" i="6"/>
  <c r="AC12" i="8"/>
  <c r="I41" i="6"/>
  <c r="C25" i="7"/>
  <c r="AC11" i="8"/>
  <c r="I40" i="6"/>
  <c r="C24" i="7"/>
  <c r="G40" i="6"/>
  <c r="AA11" i="8"/>
  <c r="AB10" i="8"/>
  <c r="V10" i="8"/>
  <c r="J39" i="6"/>
  <c r="AC10" i="8"/>
  <c r="I39" i="6"/>
  <c r="C23" i="7"/>
  <c r="AA10" i="8"/>
  <c r="G39" i="6"/>
  <c r="Q10" i="8"/>
  <c r="AE10" i="8"/>
  <c r="A39" i="6"/>
  <c r="V9" i="8"/>
  <c r="AB9" i="8"/>
  <c r="J38" i="6"/>
  <c r="Q9" i="8"/>
  <c r="AE9" i="8"/>
  <c r="A38" i="6"/>
  <c r="AC9" i="8"/>
  <c r="I38" i="6"/>
  <c r="C22" i="7"/>
  <c r="AA9" i="8"/>
  <c r="G38" i="6"/>
  <c r="V8" i="8"/>
  <c r="AB8" i="8"/>
  <c r="H32" i="13"/>
  <c r="P8" i="8"/>
  <c r="G32" i="13"/>
  <c r="O8" i="8"/>
  <c r="D12" i="4" s="1"/>
  <c r="F32" i="13"/>
  <c r="N8" i="8"/>
  <c r="AA8" i="8"/>
  <c r="G37" i="6"/>
  <c r="Q8" i="8"/>
  <c r="AE8" i="8"/>
  <c r="A37" i="6"/>
  <c r="V7" i="8"/>
  <c r="AB7" i="8"/>
  <c r="J36" i="6"/>
  <c r="AA7" i="8"/>
  <c r="G36" i="6"/>
  <c r="Q7" i="8"/>
  <c r="AE7" i="8"/>
  <c r="A36" i="6"/>
  <c r="AC7" i="8"/>
  <c r="I36" i="6"/>
  <c r="C20" i="7"/>
  <c r="V6" i="8"/>
  <c r="AB6" i="8"/>
  <c r="J35" i="6"/>
  <c r="AA6" i="8"/>
  <c r="G35" i="6"/>
  <c r="AC6" i="8"/>
  <c r="I35" i="6"/>
  <c r="C19" i="7"/>
  <c r="Q6" i="8"/>
  <c r="AE6" i="8"/>
  <c r="A35" i="6"/>
  <c r="V5" i="8"/>
  <c r="AB5" i="8"/>
  <c r="J34" i="6"/>
  <c r="AC5" i="8"/>
  <c r="I34" i="6"/>
  <c r="C18" i="7"/>
  <c r="Q5" i="8"/>
  <c r="AE5" i="8"/>
  <c r="A34" i="6"/>
  <c r="AA5" i="8"/>
  <c r="G34" i="6"/>
  <c r="V4" i="8"/>
  <c r="AB4" i="8"/>
  <c r="J33" i="6"/>
  <c r="AA4" i="8"/>
  <c r="G33" i="6"/>
  <c r="AC4" i="8"/>
  <c r="I33" i="6"/>
  <c r="C17" i="7"/>
  <c r="Q4" i="8"/>
  <c r="AE4" i="8"/>
  <c r="A33" i="6"/>
  <c r="V3" i="8"/>
  <c r="AB3" i="8"/>
  <c r="J32" i="6"/>
  <c r="AA3" i="8"/>
  <c r="G32" i="6"/>
  <c r="Q3" i="8"/>
  <c r="AE3" i="8"/>
  <c r="A32" i="6"/>
  <c r="AC3" i="8"/>
  <c r="I32" i="6"/>
  <c r="C16" i="7"/>
  <c r="C102" i="4"/>
  <c r="G102" i="4"/>
  <c r="C104" i="4"/>
  <c r="F103" i="4"/>
  <c r="H104" i="4"/>
  <c r="E102" i="4"/>
  <c r="H102" i="4"/>
  <c r="E104" i="4"/>
  <c r="R41" i="2" s="1"/>
  <c r="F104" i="4"/>
  <c r="D102" i="4"/>
  <c r="F102" i="4"/>
  <c r="G104" i="4"/>
  <c r="D104" i="4"/>
  <c r="D34" i="4"/>
  <c r="G34" i="4"/>
  <c r="G36" i="4"/>
  <c r="E37" i="4"/>
  <c r="D38" i="4"/>
  <c r="E34" i="4"/>
  <c r="C35" i="4"/>
  <c r="H35" i="4"/>
  <c r="D40" i="4"/>
  <c r="H34" i="4"/>
  <c r="C37" i="4"/>
  <c r="G38" i="4"/>
  <c r="F39" i="4"/>
  <c r="E38" i="4"/>
  <c r="E40" i="4"/>
  <c r="C34" i="4"/>
  <c r="E35" i="4"/>
  <c r="F38" i="4"/>
  <c r="C40" i="4"/>
  <c r="F35" i="4"/>
  <c r="D36" i="4"/>
  <c r="H37" i="4"/>
  <c r="H38" i="4"/>
  <c r="G8" i="5"/>
  <c r="H8" i="5" s="1"/>
  <c r="G10" i="5"/>
  <c r="H10" i="5" s="1"/>
  <c r="G35" i="4"/>
  <c r="E36" i="4"/>
  <c r="H36" i="4"/>
  <c r="F37" i="4"/>
  <c r="F40" i="4"/>
  <c r="D31" i="6"/>
  <c r="F36" i="4"/>
  <c r="D37" i="4"/>
  <c r="G37" i="4"/>
  <c r="G40" i="4"/>
  <c r="H40" i="4"/>
  <c r="F34" i="4"/>
  <c r="D35" i="4"/>
  <c r="C36" i="4"/>
  <c r="C38" i="4"/>
  <c r="V2" i="8"/>
  <c r="AB2" i="8"/>
  <c r="J31" i="2"/>
  <c r="Q31" i="2"/>
  <c r="X31" i="2"/>
  <c r="AA32" i="2"/>
  <c r="G33" i="2"/>
  <c r="K33" i="2"/>
  <c r="S33" i="2"/>
  <c r="Z33" i="2"/>
  <c r="F34" i="2"/>
  <c r="Y34" i="2"/>
  <c r="J35" i="2"/>
  <c r="Q35" i="2"/>
  <c r="W35" i="2"/>
  <c r="F36" i="2"/>
  <c r="L36" i="2"/>
  <c r="R36" i="2"/>
  <c r="W36" i="2"/>
  <c r="D37" i="2"/>
  <c r="I37" i="2"/>
  <c r="U37" i="2"/>
  <c r="N31" i="2"/>
  <c r="V31" i="2"/>
  <c r="Z31" i="2"/>
  <c r="F32" i="2"/>
  <c r="L32" i="2"/>
  <c r="S32" i="2"/>
  <c r="X32" i="2"/>
  <c r="D33" i="2"/>
  <c r="T33" i="2"/>
  <c r="J34" i="2"/>
  <c r="T34" i="2"/>
  <c r="D35" i="2"/>
  <c r="R35" i="2"/>
  <c r="K36" i="2"/>
  <c r="X36" i="2"/>
  <c r="P37" i="2"/>
  <c r="T37" i="2"/>
  <c r="I31" i="2"/>
  <c r="P31" i="2"/>
  <c r="W31" i="2"/>
  <c r="E32" i="2"/>
  <c r="K32" i="2"/>
  <c r="Q32" i="2"/>
  <c r="W32" i="2"/>
  <c r="H33" i="2"/>
  <c r="P34" i="2"/>
  <c r="Z34" i="2"/>
  <c r="E35" i="2"/>
  <c r="L35" i="2"/>
  <c r="T35" i="2"/>
  <c r="Y35" i="2"/>
  <c r="H36" i="2"/>
  <c r="O36" i="2"/>
  <c r="V36" i="2"/>
  <c r="Z37" i="2"/>
  <c r="H31" i="2"/>
  <c r="O31" i="2"/>
  <c r="T31" i="2"/>
  <c r="G32" i="2"/>
  <c r="N32" i="2"/>
  <c r="Q33" i="2"/>
  <c r="X33" i="2"/>
  <c r="E34" i="2"/>
  <c r="S34" i="2"/>
  <c r="G35" i="2"/>
  <c r="K35" i="2"/>
  <c r="U35" i="2"/>
  <c r="J36" i="2"/>
  <c r="Q36" i="2"/>
  <c r="U36" i="2"/>
  <c r="Z36" i="2"/>
  <c r="G37" i="2"/>
  <c r="L37" i="2"/>
  <c r="Q37" i="2"/>
  <c r="AA37" i="2"/>
  <c r="M31" i="2"/>
  <c r="Y31" i="2"/>
  <c r="R32" i="2"/>
  <c r="E33" i="2"/>
  <c r="I33" i="2"/>
  <c r="M33" i="2"/>
  <c r="R33" i="2"/>
  <c r="AA33" i="2"/>
  <c r="V34" i="2"/>
  <c r="AA34" i="2"/>
  <c r="I35" i="2"/>
  <c r="P35" i="2"/>
  <c r="V35" i="2"/>
  <c r="E36" i="2"/>
  <c r="M36" i="2"/>
  <c r="T36" i="2"/>
  <c r="F37" i="2"/>
  <c r="N37" i="2"/>
  <c r="V37" i="2"/>
  <c r="F31" i="2"/>
  <c r="L31" i="2"/>
  <c r="S31" i="2"/>
  <c r="D32" i="2"/>
  <c r="V32" i="2"/>
  <c r="Z32" i="2"/>
  <c r="F33" i="2"/>
  <c r="O33" i="2"/>
  <c r="W33" i="2"/>
  <c r="H34" i="2"/>
  <c r="L34" i="2"/>
  <c r="N35" i="2"/>
  <c r="E37" i="2"/>
  <c r="X37" i="2"/>
  <c r="G31" i="2"/>
  <c r="U31" i="2"/>
  <c r="I32" i="2"/>
  <c r="O32" i="2"/>
  <c r="N33" i="2"/>
  <c r="U33" i="2"/>
  <c r="G34" i="2"/>
  <c r="M34" i="2"/>
  <c r="Q34" i="2"/>
  <c r="U34" i="2"/>
  <c r="M35" i="2"/>
  <c r="AA35" i="2"/>
  <c r="S36" i="2"/>
  <c r="H37" i="2"/>
  <c r="W37" i="2"/>
  <c r="E31" i="2"/>
  <c r="R31" i="2"/>
  <c r="AA31" i="2"/>
  <c r="J32" i="2"/>
  <c r="P32" i="2"/>
  <c r="T32" i="2"/>
  <c r="J33" i="2"/>
  <c r="P33" i="2"/>
  <c r="V33" i="2"/>
  <c r="D34" i="2"/>
  <c r="I34" i="2"/>
  <c r="N34" i="2"/>
  <c r="R34" i="2"/>
  <c r="X34" i="2"/>
  <c r="O35" i="2"/>
  <c r="S35" i="2"/>
  <c r="Z35" i="2"/>
  <c r="I36" i="2"/>
  <c r="P36" i="2"/>
  <c r="Y36" i="2"/>
  <c r="Y37" i="2"/>
  <c r="D31" i="2"/>
  <c r="K31" i="2"/>
  <c r="H32" i="2"/>
  <c r="M32" i="2"/>
  <c r="U32" i="2"/>
  <c r="Y32" i="2"/>
  <c r="L33" i="2"/>
  <c r="Y33" i="2"/>
  <c r="K34" i="2"/>
  <c r="O34" i="2"/>
  <c r="H35" i="2"/>
  <c r="X35" i="2"/>
  <c r="G36" i="2"/>
  <c r="N36" i="2"/>
  <c r="AA36" i="2"/>
  <c r="J37" i="2"/>
  <c r="M37" i="2"/>
  <c r="O37" i="2"/>
  <c r="R37" i="2"/>
  <c r="S37" i="2"/>
  <c r="C17" i="5"/>
  <c r="D86" i="4"/>
  <c r="H86" i="4"/>
  <c r="E87" i="4"/>
  <c r="D87" i="4"/>
  <c r="C88" i="4"/>
  <c r="E88" i="4"/>
  <c r="F89" i="4"/>
  <c r="F86" i="4"/>
  <c r="F87" i="4"/>
  <c r="D88" i="4"/>
  <c r="G88" i="4"/>
  <c r="G89" i="4"/>
  <c r="F85" i="4"/>
  <c r="C86" i="4"/>
  <c r="E86" i="4"/>
  <c r="G86" i="4"/>
  <c r="G87" i="4"/>
  <c r="C89" i="4"/>
  <c r="H88" i="4"/>
  <c r="H89" i="4"/>
  <c r="E89" i="4"/>
  <c r="C87" i="4"/>
  <c r="H87" i="4"/>
  <c r="F88" i="4"/>
  <c r="D89" i="4"/>
  <c r="B15" i="7"/>
  <c r="F137" i="4"/>
  <c r="F136" i="4"/>
  <c r="C137" i="4"/>
  <c r="H137" i="4"/>
  <c r="E137" i="4"/>
  <c r="D137" i="4"/>
  <c r="G137" i="4"/>
  <c r="Q2" i="8"/>
  <c r="AE2" i="8"/>
  <c r="E9" i="13"/>
  <c r="F9" i="13"/>
  <c r="A31" i="6"/>
  <c r="D8" i="13"/>
  <c r="K2" i="8"/>
  <c r="D9" i="13" s="1"/>
  <c r="AA2" i="8"/>
  <c r="E38" i="5"/>
  <c r="E39" i="5"/>
  <c r="E40" i="5"/>
  <c r="E42" i="5"/>
  <c r="E44" i="5"/>
  <c r="E46" i="5"/>
  <c r="E37" i="5"/>
  <c r="E34" i="5"/>
  <c r="E35" i="5"/>
  <c r="E45" i="5"/>
  <c r="E41" i="5"/>
  <c r="E43" i="5"/>
  <c r="E53" i="5"/>
  <c r="E36" i="5"/>
  <c r="F53" i="5"/>
  <c r="D53" i="5"/>
  <c r="G31" i="6"/>
  <c r="C53" i="5"/>
  <c r="H31" i="13"/>
  <c r="P2" i="8"/>
  <c r="G31" i="13"/>
  <c r="O2" i="8"/>
  <c r="F39" i="5"/>
  <c r="F40" i="5"/>
  <c r="F42" i="5"/>
  <c r="F45" i="5"/>
  <c r="F37" i="5"/>
  <c r="F38" i="5"/>
  <c r="H54" i="5"/>
  <c r="F34" i="5"/>
  <c r="F35" i="5"/>
  <c r="F36" i="5"/>
  <c r="F41" i="5"/>
  <c r="F44" i="5"/>
  <c r="F46" i="5"/>
  <c r="I54" i="5"/>
  <c r="F54" i="5"/>
  <c r="F43" i="5"/>
  <c r="D54" i="5"/>
  <c r="H31" i="6"/>
  <c r="C54" i="5"/>
  <c r="E54" i="5"/>
  <c r="F31" i="13"/>
  <c r="N2" i="8"/>
  <c r="G8" i="13"/>
  <c r="V1001" i="8"/>
  <c r="AB1001" i="8"/>
  <c r="B1015" i="7"/>
  <c r="A1015" i="7" s="1"/>
  <c r="B1016" i="7"/>
  <c r="A1016" i="7" s="1"/>
  <c r="B1017" i="7"/>
  <c r="A1017" i="7" s="1"/>
  <c r="B1018" i="7"/>
  <c r="A1018" i="7" s="1"/>
  <c r="B1019" i="7"/>
  <c r="A1019" i="7" s="1"/>
  <c r="B1020" i="7"/>
  <c r="A1020" i="7" s="1"/>
  <c r="B1021" i="7"/>
  <c r="A1021" i="7" s="1"/>
  <c r="B1022" i="7"/>
  <c r="A1022" i="7" s="1"/>
  <c r="B1023" i="7"/>
  <c r="A1023" i="7" s="1"/>
  <c r="B1024" i="7"/>
  <c r="A1024" i="7" s="1"/>
  <c r="B1025" i="7"/>
  <c r="A1025" i="7" s="1"/>
  <c r="B1026" i="7"/>
  <c r="A1026" i="7" s="1"/>
  <c r="B1027" i="7"/>
  <c r="A1027" i="7" s="1"/>
  <c r="B1028" i="7"/>
  <c r="A1028" i="7" s="1"/>
  <c r="B1029" i="7"/>
  <c r="A1029" i="7" s="1"/>
  <c r="B1030" i="7"/>
  <c r="A1030" i="7" s="1"/>
  <c r="B1031" i="7"/>
  <c r="A1031" i="7" s="1"/>
  <c r="B1032" i="7"/>
  <c r="A1032" i="7" s="1"/>
  <c r="B1033" i="7"/>
  <c r="A1033" i="7" s="1"/>
  <c r="B1034" i="7"/>
  <c r="A1034" i="7" s="1"/>
  <c r="B1035" i="7"/>
  <c r="A1035" i="7" s="1"/>
  <c r="B1036" i="7"/>
  <c r="A1036" i="7" s="1"/>
  <c r="B1037" i="7"/>
  <c r="A1037" i="7" s="1"/>
  <c r="B1038" i="7"/>
  <c r="A1038" i="7" s="1"/>
  <c r="B1039" i="7"/>
  <c r="A1039" i="7" s="1"/>
  <c r="B1040" i="7"/>
  <c r="A1040" i="7" s="1"/>
  <c r="B1041" i="7"/>
  <c r="A1041" i="7" s="1"/>
  <c r="B1042" i="7"/>
  <c r="A1042" i="7" s="1"/>
  <c r="B1043" i="7"/>
  <c r="A1043" i="7" s="1"/>
  <c r="B1044" i="7"/>
  <c r="A1044" i="7" s="1"/>
  <c r="B1045" i="7"/>
  <c r="A1045" i="7" s="1"/>
  <c r="B1046" i="7"/>
  <c r="A1046" i="7" s="1"/>
  <c r="B1047" i="7"/>
  <c r="A1047" i="7" s="1"/>
  <c r="B1048" i="7"/>
  <c r="A1048" i="7" s="1"/>
  <c r="B1049" i="7"/>
  <c r="A1049" i="7" s="1"/>
  <c r="B1050" i="7"/>
  <c r="A1050" i="7" s="1"/>
  <c r="B1051" i="7"/>
  <c r="A1051" i="7" s="1"/>
  <c r="B1052" i="7"/>
  <c r="A1052" i="7" s="1"/>
  <c r="B1053" i="7"/>
  <c r="A1053" i="7" s="1"/>
  <c r="B1054" i="7"/>
  <c r="A1054" i="7" s="1"/>
  <c r="B1055" i="7"/>
  <c r="A1055" i="7" s="1"/>
  <c r="B1056" i="7"/>
  <c r="A1056" i="7" s="1"/>
  <c r="B1057" i="7"/>
  <c r="A1057" i="7" s="1"/>
  <c r="B1058" i="7"/>
  <c r="A1058" i="7" s="1"/>
  <c r="B1059" i="7"/>
  <c r="A1059" i="7" s="1"/>
  <c r="B1060" i="7"/>
  <c r="A1060" i="7" s="1"/>
  <c r="B1061" i="7"/>
  <c r="A1061" i="7" s="1"/>
  <c r="B1062" i="7"/>
  <c r="A1062" i="7" s="1"/>
  <c r="V1000" i="8"/>
  <c r="AB1000" i="8"/>
  <c r="V999" i="8"/>
  <c r="AB999" i="8"/>
  <c r="V998" i="8"/>
  <c r="AB998" i="8"/>
  <c r="V997" i="8"/>
  <c r="AB997" i="8"/>
  <c r="V996" i="8"/>
  <c r="AB996" i="8"/>
  <c r="V995" i="8"/>
  <c r="AB995" i="8"/>
  <c r="V994" i="8"/>
  <c r="AB994" i="8"/>
  <c r="V993" i="8"/>
  <c r="AB993" i="8"/>
  <c r="V992" i="8"/>
  <c r="AB992" i="8"/>
  <c r="V991" i="8"/>
  <c r="AB991" i="8"/>
  <c r="V990" i="8"/>
  <c r="AB990" i="8"/>
  <c r="V989" i="8"/>
  <c r="AB989" i="8"/>
  <c r="V988" i="8"/>
  <c r="AB988" i="8"/>
  <c r="V987" i="8"/>
  <c r="AB987" i="8"/>
  <c r="V986" i="8"/>
  <c r="AB986" i="8"/>
  <c r="V985" i="8"/>
  <c r="AB985" i="8"/>
  <c r="V984" i="8"/>
  <c r="AB984" i="8"/>
  <c r="V983" i="8"/>
  <c r="AB983" i="8"/>
  <c r="V982" i="8"/>
  <c r="AB982" i="8"/>
  <c r="V981" i="8"/>
  <c r="AB981" i="8"/>
  <c r="V980" i="8"/>
  <c r="AB980" i="8"/>
  <c r="V979" i="8"/>
  <c r="AB979" i="8"/>
  <c r="V978" i="8"/>
  <c r="AB978" i="8"/>
  <c r="V977" i="8"/>
  <c r="AB977" i="8"/>
  <c r="V976" i="8"/>
  <c r="AB976" i="8"/>
  <c r="V975" i="8"/>
  <c r="AB975" i="8"/>
  <c r="V974" i="8"/>
  <c r="AB974" i="8"/>
  <c r="V973" i="8"/>
  <c r="AB973" i="8"/>
  <c r="V972" i="8"/>
  <c r="AB972" i="8"/>
  <c r="V971" i="8"/>
  <c r="AB971" i="8"/>
  <c r="V970" i="8"/>
  <c r="AB970" i="8"/>
  <c r="V969" i="8"/>
  <c r="AB969" i="8"/>
  <c r="V968" i="8"/>
  <c r="AB968" i="8"/>
  <c r="V967" i="8"/>
  <c r="AB967" i="8"/>
  <c r="V966" i="8"/>
  <c r="AB966" i="8"/>
  <c r="V965" i="8"/>
  <c r="AB965" i="8"/>
  <c r="V964" i="8"/>
  <c r="AB964" i="8"/>
  <c r="V963" i="8"/>
  <c r="AB963" i="8"/>
  <c r="V962" i="8"/>
  <c r="AB962" i="8"/>
  <c r="V961" i="8"/>
  <c r="AB961" i="8"/>
  <c r="V960" i="8"/>
  <c r="AB960" i="8"/>
  <c r="V959" i="8"/>
  <c r="AB959" i="8"/>
  <c r="V958" i="8"/>
  <c r="AB958" i="8"/>
  <c r="J987" i="6"/>
  <c r="V957" i="8"/>
  <c r="AB957" i="8"/>
  <c r="J986" i="6"/>
  <c r="V956" i="8"/>
  <c r="AB956" i="8"/>
  <c r="J985" i="6"/>
  <c r="V955" i="8"/>
  <c r="AB955" i="8"/>
  <c r="J984" i="6"/>
  <c r="V954" i="8"/>
  <c r="AB954" i="8"/>
  <c r="J983" i="6"/>
  <c r="V953" i="8"/>
  <c r="AB953" i="8"/>
  <c r="V952" i="8"/>
  <c r="AB952" i="8"/>
  <c r="J981" i="6"/>
  <c r="V951" i="8"/>
  <c r="AB951" i="8"/>
  <c r="V950" i="8"/>
  <c r="AB950" i="8"/>
  <c r="V949" i="8"/>
  <c r="AB949" i="8"/>
  <c r="V948" i="8"/>
  <c r="AB948" i="8"/>
  <c r="V947" i="8"/>
  <c r="AB947" i="8"/>
  <c r="V946" i="8"/>
  <c r="AB946" i="8"/>
  <c r="V945" i="8"/>
  <c r="AB945" i="8"/>
  <c r="V944" i="8"/>
  <c r="AB944" i="8"/>
  <c r="V943" i="8"/>
  <c r="AB943" i="8"/>
  <c r="V942" i="8"/>
  <c r="AB942" i="8"/>
  <c r="V941" i="8"/>
  <c r="AB941" i="8"/>
  <c r="V940" i="8"/>
  <c r="AB940" i="8"/>
  <c r="V939" i="8"/>
  <c r="AB939" i="8"/>
  <c r="V938" i="8"/>
  <c r="AB938" i="8"/>
  <c r="V937" i="8"/>
  <c r="AB937" i="8"/>
  <c r="V936" i="8"/>
  <c r="AB936" i="8"/>
  <c r="V935" i="8"/>
  <c r="AB935" i="8"/>
  <c r="V934" i="8"/>
  <c r="AB934" i="8"/>
  <c r="V933" i="8"/>
  <c r="AB933" i="8"/>
  <c r="V932" i="8"/>
  <c r="AB932" i="8"/>
  <c r="V931" i="8"/>
  <c r="AB931" i="8"/>
  <c r="V930" i="8"/>
  <c r="AB930" i="8"/>
  <c r="V929" i="8"/>
  <c r="AB929" i="8"/>
  <c r="V928" i="8"/>
  <c r="AB928" i="8"/>
  <c r="V927" i="8"/>
  <c r="AB927" i="8"/>
  <c r="V926" i="8"/>
  <c r="AB926" i="8"/>
  <c r="V925" i="8"/>
  <c r="AB925" i="8"/>
  <c r="V924" i="8"/>
  <c r="AB924" i="8"/>
  <c r="V923" i="8"/>
  <c r="AB923" i="8"/>
  <c r="V922" i="8"/>
  <c r="AB922" i="8"/>
  <c r="V921" i="8"/>
  <c r="AB921" i="8"/>
  <c r="V920" i="8"/>
  <c r="AB920" i="8"/>
  <c r="V919" i="8"/>
  <c r="AB919" i="8"/>
  <c r="V918" i="8"/>
  <c r="AB918" i="8"/>
  <c r="V917" i="8"/>
  <c r="AB917" i="8"/>
  <c r="V916" i="8"/>
  <c r="AB916" i="8"/>
  <c r="V915" i="8"/>
  <c r="AB915" i="8"/>
  <c r="V914" i="8"/>
  <c r="AB914" i="8"/>
  <c r="V913" i="8"/>
  <c r="AB913" i="8"/>
  <c r="V912" i="8"/>
  <c r="AB912" i="8"/>
  <c r="V911" i="8"/>
  <c r="AB911" i="8"/>
  <c r="V910" i="8"/>
  <c r="AB910" i="8"/>
  <c r="V909" i="8"/>
  <c r="AB909" i="8"/>
  <c r="V908" i="8"/>
  <c r="AB908" i="8"/>
  <c r="V907" i="8"/>
  <c r="AB907" i="8"/>
  <c r="V906" i="8"/>
  <c r="AB906" i="8"/>
  <c r="V905" i="8"/>
  <c r="AB905" i="8"/>
  <c r="V904" i="8"/>
  <c r="AB904" i="8"/>
  <c r="V903" i="8"/>
  <c r="AB903" i="8"/>
  <c r="V902" i="8"/>
  <c r="AB902" i="8"/>
  <c r="V901" i="8"/>
  <c r="AB901" i="8"/>
  <c r="V900" i="8"/>
  <c r="AB900" i="8"/>
  <c r="V899" i="8"/>
  <c r="AB899" i="8"/>
  <c r="V898" i="8"/>
  <c r="AB898" i="8"/>
  <c r="V897" i="8"/>
  <c r="AB897" i="8"/>
  <c r="V896" i="8"/>
  <c r="AB896" i="8"/>
  <c r="V895" i="8"/>
  <c r="AB895" i="8"/>
  <c r="V894" i="8"/>
  <c r="AB894" i="8"/>
  <c r="V893" i="8"/>
  <c r="AB893" i="8"/>
  <c r="V892" i="8"/>
  <c r="AB892" i="8"/>
  <c r="V891" i="8"/>
  <c r="AB891" i="8"/>
  <c r="V890" i="8"/>
  <c r="AB890" i="8"/>
  <c r="V889" i="8"/>
  <c r="AB889" i="8"/>
  <c r="V888" i="8"/>
  <c r="AB888" i="8"/>
  <c r="V887" i="8"/>
  <c r="AB887" i="8"/>
  <c r="V886" i="8"/>
  <c r="AB886" i="8"/>
  <c r="V885" i="8"/>
  <c r="AB885" i="8"/>
  <c r="V884" i="8"/>
  <c r="AB884" i="8"/>
  <c r="V883" i="8"/>
  <c r="AB883" i="8"/>
  <c r="V882" i="8"/>
  <c r="AB882" i="8"/>
  <c r="V881" i="8"/>
  <c r="AB881" i="8"/>
  <c r="V880" i="8"/>
  <c r="AB880" i="8"/>
  <c r="V879" i="8"/>
  <c r="AB879" i="8"/>
  <c r="V878" i="8"/>
  <c r="AB878" i="8"/>
  <c r="V877" i="8"/>
  <c r="AB877" i="8"/>
  <c r="V876" i="8"/>
  <c r="AB876" i="8"/>
  <c r="V875" i="8"/>
  <c r="AB875" i="8"/>
  <c r="V874" i="8"/>
  <c r="AB874" i="8"/>
  <c r="V873" i="8"/>
  <c r="AB873" i="8"/>
  <c r="V872" i="8"/>
  <c r="AB872" i="8"/>
  <c r="V871" i="8"/>
  <c r="AB871" i="8"/>
  <c r="V870" i="8"/>
  <c r="AB870" i="8"/>
  <c r="V869" i="8"/>
  <c r="AB869" i="8"/>
  <c r="V868" i="8"/>
  <c r="AB868" i="8"/>
  <c r="V867" i="8"/>
  <c r="AB867" i="8"/>
  <c r="V866" i="8"/>
  <c r="AB866" i="8"/>
  <c r="V865" i="8"/>
  <c r="AB865" i="8"/>
  <c r="V864" i="8"/>
  <c r="AB864" i="8"/>
  <c r="V863" i="8"/>
  <c r="AB863" i="8"/>
  <c r="V862" i="8"/>
  <c r="AB862" i="8"/>
  <c r="V861" i="8"/>
  <c r="AB861" i="8"/>
  <c r="V860" i="8"/>
  <c r="AB860" i="8"/>
  <c r="V859" i="8"/>
  <c r="AB859" i="8"/>
  <c r="V858" i="8"/>
  <c r="AB858" i="8"/>
  <c r="V857" i="8"/>
  <c r="AB857" i="8"/>
  <c r="V856" i="8"/>
  <c r="AB856" i="8"/>
  <c r="V855" i="8"/>
  <c r="AB855" i="8"/>
  <c r="V854" i="8"/>
  <c r="AB854" i="8"/>
  <c r="V853" i="8"/>
  <c r="AB853" i="8"/>
  <c r="V852" i="8"/>
  <c r="AB852" i="8"/>
  <c r="V851" i="8"/>
  <c r="AB851" i="8"/>
  <c r="V850" i="8"/>
  <c r="AB850" i="8"/>
  <c r="V849" i="8"/>
  <c r="AB849" i="8"/>
  <c r="V848" i="8"/>
  <c r="AB848" i="8"/>
  <c r="V847" i="8"/>
  <c r="AB847" i="8"/>
  <c r="V846" i="8"/>
  <c r="AB846" i="8"/>
  <c r="V845" i="8"/>
  <c r="AB845" i="8"/>
  <c r="V844" i="8"/>
  <c r="AB844" i="8"/>
  <c r="V843" i="8"/>
  <c r="AB843" i="8"/>
  <c r="V842" i="8"/>
  <c r="AB842" i="8"/>
  <c r="V841" i="8"/>
  <c r="AB841" i="8"/>
  <c r="V840" i="8"/>
  <c r="AB840" i="8"/>
  <c r="V839" i="8"/>
  <c r="AB839" i="8"/>
  <c r="V838" i="8"/>
  <c r="AB838" i="8"/>
  <c r="V837" i="8"/>
  <c r="AB837" i="8"/>
  <c r="V836" i="8"/>
  <c r="AB836" i="8"/>
  <c r="V835" i="8"/>
  <c r="AB835" i="8"/>
  <c r="V834" i="8"/>
  <c r="AB834" i="8"/>
  <c r="V833" i="8"/>
  <c r="AB833" i="8"/>
  <c r="V832" i="8"/>
  <c r="AB832" i="8"/>
  <c r="V831" i="8"/>
  <c r="AB831" i="8"/>
  <c r="V830" i="8"/>
  <c r="AB830" i="8"/>
  <c r="V829" i="8"/>
  <c r="AB829" i="8"/>
  <c r="V828" i="8"/>
  <c r="AB828" i="8"/>
  <c r="V827" i="8"/>
  <c r="AB827" i="8"/>
  <c r="V826" i="8"/>
  <c r="AB826" i="8"/>
  <c r="V825" i="8"/>
  <c r="AB825" i="8"/>
  <c r="V824" i="8"/>
  <c r="AB824" i="8"/>
  <c r="V823" i="8"/>
  <c r="AB823" i="8"/>
  <c r="V822" i="8"/>
  <c r="AB822" i="8"/>
  <c r="J851" i="6"/>
  <c r="V821" i="8"/>
  <c r="AB821" i="8"/>
  <c r="J850" i="6"/>
  <c r="AB820" i="8"/>
  <c r="V820" i="8"/>
  <c r="J849" i="6"/>
  <c r="V819" i="8"/>
  <c r="AB819" i="8"/>
  <c r="V818" i="8"/>
  <c r="AB818" i="8"/>
  <c r="J847" i="6"/>
  <c r="AB817" i="8"/>
  <c r="V817" i="8"/>
  <c r="J846" i="6"/>
  <c r="V816" i="8"/>
  <c r="AB816" i="8"/>
  <c r="J845" i="6"/>
  <c r="V815" i="8"/>
  <c r="AB815" i="8"/>
  <c r="J844" i="6"/>
  <c r="AB814" i="8"/>
  <c r="V814" i="8"/>
  <c r="J843" i="6"/>
  <c r="V813" i="8"/>
  <c r="AB813" i="8"/>
  <c r="V812" i="8"/>
  <c r="AB812" i="8"/>
  <c r="J841" i="6"/>
  <c r="V811" i="8"/>
  <c r="AB811" i="8"/>
  <c r="J840" i="6"/>
  <c r="V810" i="8"/>
  <c r="AB810" i="8"/>
  <c r="J839" i="6"/>
  <c r="V809" i="8"/>
  <c r="AB809" i="8"/>
  <c r="J838" i="6"/>
  <c r="V808" i="8"/>
  <c r="AB808" i="8"/>
  <c r="J837" i="6"/>
  <c r="V807" i="8"/>
  <c r="AB807" i="8"/>
  <c r="V806" i="8"/>
  <c r="AB806" i="8"/>
  <c r="J835" i="6"/>
  <c r="V805" i="8"/>
  <c r="AB805" i="8"/>
  <c r="J834" i="6"/>
  <c r="V804" i="8"/>
  <c r="AB804" i="8"/>
  <c r="V803" i="8"/>
  <c r="AB803" i="8"/>
  <c r="J832" i="6"/>
  <c r="V802" i="8"/>
  <c r="AB802" i="8"/>
  <c r="J831" i="6"/>
  <c r="V801" i="8"/>
  <c r="AB801" i="8"/>
  <c r="J830" i="6"/>
  <c r="V800" i="8"/>
  <c r="AB800" i="8"/>
  <c r="V799" i="8"/>
  <c r="AB799" i="8"/>
  <c r="J828" i="6"/>
  <c r="V798" i="8"/>
  <c r="AB798" i="8"/>
  <c r="J827" i="6"/>
  <c r="V797" i="8"/>
  <c r="AB797" i="8"/>
  <c r="J826" i="6"/>
  <c r="V796" i="8"/>
  <c r="AB796" i="8"/>
  <c r="J825" i="6"/>
  <c r="V795" i="8"/>
  <c r="AB795" i="8"/>
  <c r="V794" i="8"/>
  <c r="AB794" i="8"/>
  <c r="J823" i="6"/>
  <c r="V793" i="8"/>
  <c r="AB793" i="8"/>
  <c r="J822" i="6"/>
  <c r="V792" i="8"/>
  <c r="AB792" i="8"/>
  <c r="J821" i="6"/>
  <c r="V791" i="8"/>
  <c r="AB791" i="8"/>
  <c r="J820" i="6"/>
  <c r="V790" i="8"/>
  <c r="AB790" i="8"/>
  <c r="J819" i="6"/>
  <c r="V789" i="8"/>
  <c r="AB789" i="8"/>
  <c r="V788" i="8"/>
  <c r="AB788" i="8"/>
  <c r="J817" i="6"/>
  <c r="V787" i="8"/>
  <c r="AB787" i="8"/>
  <c r="J816" i="6"/>
  <c r="V786" i="8"/>
  <c r="AB786" i="8"/>
  <c r="J815" i="6"/>
  <c r="V785" i="8"/>
  <c r="AB785" i="8"/>
  <c r="J814" i="6"/>
  <c r="V784" i="8"/>
  <c r="AB784" i="8"/>
  <c r="J813" i="6"/>
  <c r="V783" i="8"/>
  <c r="AB783" i="8"/>
  <c r="V782" i="8"/>
  <c r="AB782" i="8"/>
  <c r="J811" i="6"/>
  <c r="V781" i="8"/>
  <c r="AB781" i="8"/>
  <c r="J810" i="6"/>
  <c r="V780" i="8"/>
  <c r="AB780" i="8"/>
  <c r="V779" i="8"/>
  <c r="AB779" i="8"/>
  <c r="J808" i="6"/>
  <c r="V778" i="8"/>
  <c r="AB778" i="8"/>
  <c r="J807" i="6"/>
  <c r="V777" i="8"/>
  <c r="AB777" i="8"/>
  <c r="J806" i="6"/>
  <c r="V776" i="8"/>
  <c r="AB776" i="8"/>
  <c r="V775" i="8"/>
  <c r="AB775" i="8"/>
  <c r="J804" i="6"/>
  <c r="V774" i="8"/>
  <c r="AB774" i="8"/>
  <c r="J803" i="6"/>
  <c r="V773" i="8"/>
  <c r="AB773" i="8"/>
  <c r="J802" i="6"/>
  <c r="V772" i="8"/>
  <c r="AB772" i="8"/>
  <c r="J801" i="6"/>
  <c r="V771" i="8"/>
  <c r="AB771" i="8"/>
  <c r="V770" i="8"/>
  <c r="AB770" i="8"/>
  <c r="J799" i="6"/>
  <c r="V769" i="8"/>
  <c r="AB769" i="8"/>
  <c r="J798" i="6"/>
  <c r="V768" i="8"/>
  <c r="AB768" i="8"/>
  <c r="J797" i="6"/>
  <c r="V767" i="8"/>
  <c r="AB767" i="8"/>
  <c r="J796" i="6"/>
  <c r="V766" i="8"/>
  <c r="AB766" i="8"/>
  <c r="J795" i="6"/>
  <c r="V765" i="8"/>
  <c r="AB765" i="8"/>
  <c r="V764" i="8"/>
  <c r="AB764" i="8"/>
  <c r="J793" i="6"/>
  <c r="V762" i="8"/>
  <c r="AB762" i="8"/>
  <c r="J791" i="6"/>
  <c r="V761" i="8"/>
  <c r="AB761" i="8"/>
  <c r="J790" i="6"/>
  <c r="V760" i="8"/>
  <c r="AB760" i="8"/>
  <c r="V759" i="8"/>
  <c r="AB759" i="8"/>
  <c r="J788" i="6"/>
  <c r="V758" i="8"/>
  <c r="AB758" i="8"/>
  <c r="J787" i="6"/>
  <c r="V757" i="8"/>
  <c r="AB757" i="8"/>
  <c r="V756" i="8"/>
  <c r="AB756" i="8"/>
  <c r="J785" i="6"/>
  <c r="V755" i="8"/>
  <c r="AB755" i="8"/>
  <c r="J784" i="6"/>
  <c r="V754" i="8"/>
  <c r="AB754" i="8"/>
  <c r="J783" i="6"/>
  <c r="V753" i="8"/>
  <c r="AB753" i="8"/>
  <c r="V752" i="8"/>
  <c r="AB752" i="8"/>
  <c r="J781" i="6"/>
  <c r="V751" i="8"/>
  <c r="AB751" i="8"/>
  <c r="J780" i="6"/>
  <c r="V750" i="8"/>
  <c r="AB750" i="8"/>
  <c r="J779" i="6"/>
  <c r="V749" i="8"/>
  <c r="AB749" i="8"/>
  <c r="J778" i="6"/>
  <c r="V748" i="8"/>
  <c r="AB748" i="8"/>
  <c r="V747" i="8"/>
  <c r="AB747" i="8"/>
  <c r="V746" i="8"/>
  <c r="AB746" i="8"/>
  <c r="V745" i="8"/>
  <c r="AB745" i="8"/>
  <c r="V744" i="8"/>
  <c r="AB744" i="8"/>
  <c r="V743" i="8"/>
  <c r="AB743" i="8"/>
  <c r="V742" i="8"/>
  <c r="AB742" i="8"/>
  <c r="V741" i="8"/>
  <c r="AB741" i="8"/>
  <c r="V740" i="8"/>
  <c r="AB740" i="8"/>
  <c r="V739" i="8"/>
  <c r="AB739" i="8"/>
  <c r="J768" i="6"/>
  <c r="V738" i="8"/>
  <c r="AB738" i="8"/>
  <c r="J767" i="6"/>
  <c r="V737" i="8"/>
  <c r="AB737" i="8"/>
  <c r="V736" i="8"/>
  <c r="AB736" i="8"/>
  <c r="J765" i="6"/>
  <c r="V735" i="8"/>
  <c r="AB735" i="8"/>
  <c r="J764" i="6"/>
  <c r="V734" i="8"/>
  <c r="AB734" i="8"/>
  <c r="V733" i="8"/>
  <c r="AB733" i="8"/>
  <c r="J762" i="6"/>
  <c r="V732" i="8"/>
  <c r="AB732" i="8"/>
  <c r="V731" i="8"/>
  <c r="AB731" i="8"/>
  <c r="J760" i="6"/>
  <c r="V730" i="8"/>
  <c r="AB730" i="8"/>
  <c r="V729" i="8"/>
  <c r="AB729" i="8"/>
  <c r="J758" i="6"/>
  <c r="V728" i="8"/>
  <c r="AB728" i="8"/>
  <c r="V727" i="8"/>
  <c r="AB727" i="8"/>
  <c r="J756" i="6"/>
  <c r="V726" i="8"/>
  <c r="AB726" i="8"/>
  <c r="J755" i="6"/>
  <c r="V725" i="8"/>
  <c r="AB725" i="8"/>
  <c r="V724" i="8"/>
  <c r="AB724" i="8"/>
  <c r="V723" i="8"/>
  <c r="AB723" i="8"/>
  <c r="V722" i="8"/>
  <c r="AB722" i="8"/>
  <c r="V721" i="8"/>
  <c r="AB721" i="8"/>
  <c r="V720" i="8"/>
  <c r="AB720" i="8"/>
  <c r="V719" i="8"/>
  <c r="AB719" i="8"/>
  <c r="V718" i="8"/>
  <c r="AB718" i="8"/>
  <c r="V717" i="8"/>
  <c r="AB717" i="8"/>
  <c r="V716" i="8"/>
  <c r="AB716" i="8"/>
  <c r="V715" i="8"/>
  <c r="AB715" i="8"/>
  <c r="J744" i="6"/>
  <c r="V714" i="8"/>
  <c r="AB714" i="8"/>
  <c r="J743" i="6"/>
  <c r="V713" i="8"/>
  <c r="AB713" i="8"/>
  <c r="V712" i="8"/>
  <c r="AB712" i="8"/>
  <c r="J741" i="6"/>
  <c r="V711" i="8"/>
  <c r="AB711" i="8"/>
  <c r="J740" i="6"/>
  <c r="V710" i="8"/>
  <c r="AB710" i="8"/>
  <c r="V709" i="8"/>
  <c r="AB709" i="8"/>
  <c r="J738" i="6"/>
  <c r="V708" i="8"/>
  <c r="AB708" i="8"/>
  <c r="V707" i="8"/>
  <c r="AB707" i="8"/>
  <c r="J736" i="6"/>
  <c r="V706" i="8"/>
  <c r="AB706" i="8"/>
  <c r="V705" i="8"/>
  <c r="AB705" i="8"/>
  <c r="J734" i="6"/>
  <c r="V704" i="8"/>
  <c r="AB704" i="8"/>
  <c r="V703" i="8"/>
  <c r="AB703" i="8"/>
  <c r="J732" i="6"/>
  <c r="V702" i="8"/>
  <c r="AB702" i="8"/>
  <c r="J731" i="6"/>
  <c r="V701" i="8"/>
  <c r="AB701" i="8"/>
  <c r="V700" i="8"/>
  <c r="AB700" i="8"/>
  <c r="V699" i="8"/>
  <c r="AB699" i="8"/>
  <c r="V698" i="8"/>
  <c r="AB698" i="8"/>
  <c r="V697" i="8"/>
  <c r="AB697" i="8"/>
  <c r="V696" i="8"/>
  <c r="AB696" i="8"/>
  <c r="V695" i="8"/>
  <c r="AB695" i="8"/>
  <c r="V694" i="8"/>
  <c r="AB694" i="8"/>
  <c r="V693" i="8"/>
  <c r="AB693" i="8"/>
  <c r="V692" i="8"/>
  <c r="AB692" i="8"/>
  <c r="J721" i="6"/>
  <c r="V691" i="8"/>
  <c r="AB691" i="8"/>
  <c r="J720" i="6"/>
  <c r="V690" i="8"/>
  <c r="AB690" i="8"/>
  <c r="V689" i="8"/>
  <c r="AB689" i="8"/>
  <c r="J718" i="6"/>
  <c r="V688" i="8"/>
  <c r="AB688" i="8"/>
  <c r="J717" i="6"/>
  <c r="V687" i="8"/>
  <c r="AB687" i="8"/>
  <c r="V686" i="8"/>
  <c r="AB686" i="8"/>
  <c r="J715" i="6"/>
  <c r="V685" i="8"/>
  <c r="AB685" i="8"/>
  <c r="V684" i="8"/>
  <c r="AB684" i="8"/>
  <c r="J713" i="6"/>
  <c r="V683" i="8"/>
  <c r="AB683" i="8"/>
  <c r="V682" i="8"/>
  <c r="AB682" i="8"/>
  <c r="J711" i="6"/>
  <c r="V681" i="8"/>
  <c r="AB681" i="8"/>
  <c r="V680" i="8"/>
  <c r="AB680" i="8"/>
  <c r="J709" i="6"/>
  <c r="V679" i="8"/>
  <c r="AB679" i="8"/>
  <c r="J708" i="6"/>
  <c r="V678" i="8"/>
  <c r="AB678" i="8"/>
  <c r="V677" i="8"/>
  <c r="AB677" i="8"/>
  <c r="V676" i="8"/>
  <c r="AB676" i="8"/>
  <c r="V675" i="8"/>
  <c r="AB675" i="8"/>
  <c r="V674" i="8"/>
  <c r="AB674" i="8"/>
  <c r="V673" i="8"/>
  <c r="AB673" i="8"/>
  <c r="V672" i="8"/>
  <c r="AB672" i="8"/>
  <c r="V671" i="8"/>
  <c r="AB671" i="8"/>
  <c r="V670" i="8"/>
  <c r="AB670" i="8"/>
  <c r="V669" i="8"/>
  <c r="AB669" i="8"/>
  <c r="V668" i="8"/>
  <c r="AB668" i="8"/>
  <c r="J697" i="6"/>
  <c r="V667" i="8"/>
  <c r="AB667" i="8"/>
  <c r="J696" i="6"/>
  <c r="V666" i="8"/>
  <c r="AB666" i="8"/>
  <c r="V665" i="8"/>
  <c r="AB665" i="8"/>
  <c r="J694" i="6"/>
  <c r="V664" i="8"/>
  <c r="AB664" i="8"/>
  <c r="J693" i="6"/>
  <c r="V663" i="8"/>
  <c r="AB663" i="8"/>
  <c r="V662" i="8"/>
  <c r="AB662" i="8"/>
  <c r="J691" i="6"/>
  <c r="V661" i="8"/>
  <c r="AB661" i="8"/>
  <c r="V660" i="8"/>
  <c r="AB660" i="8"/>
  <c r="J689" i="6"/>
  <c r="V659" i="8"/>
  <c r="AB659" i="8"/>
  <c r="V658" i="8"/>
  <c r="AB658" i="8"/>
  <c r="J687" i="6"/>
  <c r="V657" i="8"/>
  <c r="AB657" i="8"/>
  <c r="V656" i="8"/>
  <c r="AB656" i="8"/>
  <c r="J685" i="6"/>
  <c r="V655" i="8"/>
  <c r="AB655" i="8"/>
  <c r="J684" i="6"/>
  <c r="V654" i="8"/>
  <c r="AB654" i="8"/>
  <c r="V653" i="8"/>
  <c r="AB653" i="8"/>
  <c r="V652" i="8"/>
  <c r="AB652" i="8"/>
  <c r="V651" i="8"/>
  <c r="AB651" i="8"/>
  <c r="V650" i="8"/>
  <c r="AB650" i="8"/>
  <c r="V649" i="8"/>
  <c r="AB649" i="8"/>
  <c r="V648" i="8"/>
  <c r="AB648" i="8"/>
  <c r="V647" i="8"/>
  <c r="AB647" i="8"/>
  <c r="V646" i="8"/>
  <c r="AB646" i="8"/>
  <c r="V645" i="8"/>
  <c r="AB645" i="8"/>
  <c r="J674" i="6"/>
  <c r="V644" i="8"/>
  <c r="AB644" i="8"/>
  <c r="J673" i="6"/>
  <c r="V643" i="8"/>
  <c r="AB643" i="8"/>
  <c r="V642" i="8"/>
  <c r="AB642" i="8"/>
  <c r="J671" i="6"/>
  <c r="V641" i="8"/>
  <c r="AB641" i="8"/>
  <c r="J670" i="6"/>
  <c r="V640" i="8"/>
  <c r="AB640" i="8"/>
  <c r="V639" i="8"/>
  <c r="AB639" i="8"/>
  <c r="J668" i="6"/>
  <c r="V638" i="8"/>
  <c r="AB638" i="8"/>
  <c r="V637" i="8"/>
  <c r="AB637" i="8"/>
  <c r="J666" i="6"/>
  <c r="V636" i="8"/>
  <c r="AB636" i="8"/>
  <c r="V635" i="8"/>
  <c r="AB635" i="8"/>
  <c r="J664" i="6"/>
  <c r="V634" i="8"/>
  <c r="AB634" i="8"/>
  <c r="V633" i="8"/>
  <c r="AB633" i="8"/>
  <c r="J662" i="6"/>
  <c r="V632" i="8"/>
  <c r="AB632" i="8"/>
  <c r="J661" i="6"/>
  <c r="V631" i="8"/>
  <c r="AB631" i="8"/>
  <c r="V630" i="8"/>
  <c r="AB630" i="8"/>
  <c r="V629" i="8"/>
  <c r="AB629" i="8"/>
  <c r="V628" i="8"/>
  <c r="AB628" i="8"/>
  <c r="V627" i="8"/>
  <c r="AB627" i="8"/>
  <c r="V626" i="8"/>
  <c r="AB626" i="8"/>
  <c r="V625" i="8"/>
  <c r="AB625" i="8"/>
  <c r="V624" i="8"/>
  <c r="AB624" i="8"/>
  <c r="V623" i="8"/>
  <c r="AB623" i="8"/>
  <c r="V622" i="8"/>
  <c r="AB622" i="8"/>
  <c r="J651" i="6"/>
  <c r="V621" i="8"/>
  <c r="AB621" i="8"/>
  <c r="J650" i="6"/>
  <c r="V620" i="8"/>
  <c r="AB620" i="8"/>
  <c r="V619" i="8"/>
  <c r="AB619" i="8"/>
  <c r="J648" i="6"/>
  <c r="V618" i="8"/>
  <c r="AB618" i="8"/>
  <c r="J647" i="6"/>
  <c r="V617" i="8"/>
  <c r="AB617" i="8"/>
  <c r="V616" i="8"/>
  <c r="AB616" i="8"/>
  <c r="J645" i="6"/>
  <c r="V615" i="8"/>
  <c r="AB615" i="8"/>
  <c r="V614" i="8"/>
  <c r="AB614" i="8"/>
  <c r="J643" i="6"/>
  <c r="V613" i="8"/>
  <c r="AB613" i="8"/>
  <c r="V612" i="8"/>
  <c r="AB612" i="8"/>
  <c r="J641" i="6"/>
  <c r="V269" i="8"/>
  <c r="AB269" i="8"/>
  <c r="J298" i="6"/>
  <c r="V268" i="8"/>
  <c r="AB268" i="8"/>
  <c r="J297" i="6"/>
  <c r="V267" i="8"/>
  <c r="AB267" i="8"/>
  <c r="V266" i="8"/>
  <c r="AB266" i="8"/>
  <c r="V265" i="8"/>
  <c r="AB265" i="8"/>
  <c r="V264" i="8"/>
  <c r="AB264" i="8"/>
  <c r="V263" i="8"/>
  <c r="AB263" i="8"/>
  <c r="V262" i="8"/>
  <c r="AB262" i="8"/>
  <c r="V261" i="8"/>
  <c r="AB261" i="8"/>
  <c r="V260" i="8"/>
  <c r="AB260" i="8"/>
  <c r="V259" i="8"/>
  <c r="AB259" i="8"/>
  <c r="J288" i="6"/>
  <c r="V258" i="8"/>
  <c r="AB258" i="8"/>
  <c r="J287" i="6"/>
  <c r="V257" i="8"/>
  <c r="AB257" i="8"/>
  <c r="V256" i="8"/>
  <c r="AB256" i="8"/>
  <c r="J285" i="6"/>
  <c r="V255" i="8"/>
  <c r="AB255" i="8"/>
  <c r="J284" i="6"/>
  <c r="V254" i="8"/>
  <c r="AB254" i="8"/>
  <c r="V253" i="8"/>
  <c r="AB253" i="8"/>
  <c r="J282" i="6"/>
  <c r="V252" i="8"/>
  <c r="AB252" i="8"/>
  <c r="V251" i="8"/>
  <c r="AB251" i="8"/>
  <c r="J280" i="6"/>
  <c r="V250" i="8"/>
  <c r="AB250" i="8"/>
  <c r="V249" i="8"/>
  <c r="AB249" i="8"/>
  <c r="J278" i="6"/>
  <c r="V248" i="8"/>
  <c r="AB248" i="8"/>
  <c r="V247" i="8"/>
  <c r="AB247" i="8"/>
  <c r="J276" i="6"/>
  <c r="V246" i="8"/>
  <c r="AB246" i="8"/>
  <c r="J275" i="6"/>
  <c r="V245" i="8"/>
  <c r="AB245" i="8"/>
  <c r="V244" i="8"/>
  <c r="AB244" i="8"/>
  <c r="V243" i="8"/>
  <c r="AB243" i="8"/>
  <c r="V242" i="8"/>
  <c r="AB242" i="8"/>
  <c r="V241" i="8"/>
  <c r="AB241" i="8"/>
  <c r="V240" i="8"/>
  <c r="AB240" i="8"/>
  <c r="V239" i="8"/>
  <c r="AB239" i="8"/>
  <c r="V238" i="8"/>
  <c r="AB238" i="8"/>
  <c r="V237" i="8"/>
  <c r="AB237" i="8"/>
  <c r="J266" i="6"/>
  <c r="V236" i="8"/>
  <c r="AB236" i="8"/>
  <c r="J265" i="6"/>
  <c r="V235" i="8"/>
  <c r="AB235" i="8"/>
  <c r="V234" i="8"/>
  <c r="AB234" i="8"/>
  <c r="J263" i="6"/>
  <c r="V233" i="8"/>
  <c r="AB233" i="8"/>
  <c r="J262" i="6"/>
  <c r="V232" i="8"/>
  <c r="AB232" i="8"/>
  <c r="V231" i="8"/>
  <c r="AB231" i="8"/>
  <c r="J260" i="6"/>
  <c r="V230" i="8"/>
  <c r="AB230" i="8"/>
  <c r="V229" i="8"/>
  <c r="AB229" i="8"/>
  <c r="J258" i="6"/>
  <c r="V228" i="8"/>
  <c r="AB228" i="8"/>
  <c r="V227" i="8"/>
  <c r="AB227" i="8"/>
  <c r="J256" i="6"/>
  <c r="V226" i="8"/>
  <c r="AB226" i="8"/>
  <c r="V225" i="8"/>
  <c r="AB225" i="8"/>
  <c r="J254" i="6"/>
  <c r="V224" i="8"/>
  <c r="AB224" i="8"/>
  <c r="J253" i="6"/>
  <c r="V223" i="8"/>
  <c r="AB223" i="8"/>
  <c r="V222" i="8"/>
  <c r="AB222" i="8"/>
  <c r="V221" i="8"/>
  <c r="AB221" i="8"/>
  <c r="V220" i="8"/>
  <c r="AB220" i="8"/>
  <c r="V219" i="8"/>
  <c r="AB219" i="8"/>
  <c r="V218" i="8"/>
  <c r="AB218" i="8"/>
  <c r="V217" i="8"/>
  <c r="AB217" i="8"/>
  <c r="V216" i="8"/>
  <c r="AB216" i="8"/>
  <c r="V215" i="8"/>
  <c r="AB215" i="8"/>
  <c r="V214" i="8"/>
  <c r="AB214" i="8"/>
  <c r="V213" i="8"/>
  <c r="AB213" i="8"/>
  <c r="J242" i="6"/>
  <c r="V212" i="8"/>
  <c r="AB212" i="8"/>
  <c r="J241" i="6"/>
  <c r="V211" i="8"/>
  <c r="AB211" i="8"/>
  <c r="V210" i="8"/>
  <c r="AB210" i="8"/>
  <c r="J239" i="6"/>
  <c r="V209" i="8"/>
  <c r="AB209" i="8"/>
  <c r="J238" i="6"/>
  <c r="V208" i="8"/>
  <c r="AB208" i="8"/>
  <c r="V207" i="8"/>
  <c r="AB207" i="8"/>
  <c r="J236" i="6"/>
  <c r="V206" i="8"/>
  <c r="AB206" i="8"/>
  <c r="AB205" i="8"/>
  <c r="V205" i="8"/>
  <c r="J234" i="6"/>
  <c r="V204" i="8"/>
  <c r="AB204" i="8"/>
  <c r="AB203" i="8"/>
  <c r="V203" i="8"/>
  <c r="J232" i="6"/>
  <c r="V202" i="8"/>
  <c r="AB202" i="8"/>
  <c r="AB201" i="8"/>
  <c r="V201" i="8"/>
  <c r="J230" i="6"/>
  <c r="V200" i="8"/>
  <c r="AB200" i="8"/>
  <c r="J229" i="6"/>
  <c r="AB199" i="8"/>
  <c r="V199" i="8"/>
  <c r="V187" i="8"/>
  <c r="AB187" i="8"/>
  <c r="V186" i="8"/>
  <c r="AB186" i="8"/>
  <c r="J215" i="6"/>
  <c r="V185" i="8"/>
  <c r="AB185" i="8"/>
  <c r="J214" i="6"/>
  <c r="V184" i="8"/>
  <c r="AB184" i="8"/>
  <c r="V183" i="8"/>
  <c r="AB183" i="8"/>
  <c r="J212" i="6"/>
  <c r="V182" i="8"/>
  <c r="AB182" i="8"/>
  <c r="V181" i="8"/>
  <c r="AB181" i="8"/>
  <c r="J210" i="6"/>
  <c r="V180" i="8"/>
  <c r="AB180" i="8"/>
  <c r="V179" i="8"/>
  <c r="AB179" i="8"/>
  <c r="J208" i="6"/>
  <c r="V178" i="8"/>
  <c r="AB178" i="8"/>
  <c r="V177" i="8"/>
  <c r="AB177" i="8"/>
  <c r="J206" i="6"/>
  <c r="V176" i="8"/>
  <c r="AB176" i="8"/>
  <c r="J205" i="6"/>
  <c r="V175" i="8"/>
  <c r="AB175" i="8"/>
  <c r="V174" i="8"/>
  <c r="AB174" i="8"/>
  <c r="V173" i="8"/>
  <c r="AB173" i="8"/>
  <c r="V172" i="8"/>
  <c r="AB172" i="8"/>
  <c r="V171" i="8"/>
  <c r="AB171" i="8"/>
  <c r="V170" i="8"/>
  <c r="AB170" i="8"/>
  <c r="V169" i="8"/>
  <c r="AB169" i="8"/>
  <c r="V168" i="8"/>
  <c r="AB168" i="8"/>
  <c r="V167" i="8"/>
  <c r="AB167" i="8"/>
  <c r="V166" i="8"/>
  <c r="AB166" i="8"/>
  <c r="V165" i="8"/>
  <c r="AB165" i="8"/>
  <c r="J194" i="6"/>
  <c r="V164" i="8"/>
  <c r="AB164" i="8"/>
  <c r="J193" i="6"/>
  <c r="V163" i="8"/>
  <c r="AB163" i="8"/>
  <c r="V162" i="8"/>
  <c r="AB162" i="8"/>
  <c r="J191" i="6"/>
  <c r="V161" i="8"/>
  <c r="AB161" i="8"/>
  <c r="J190" i="6"/>
  <c r="V160" i="8"/>
  <c r="AB160" i="8"/>
  <c r="V159" i="8"/>
  <c r="AB159" i="8"/>
  <c r="J188" i="6"/>
  <c r="V158" i="8"/>
  <c r="AB158" i="8"/>
  <c r="V157" i="8"/>
  <c r="AB157" i="8"/>
  <c r="J186" i="6"/>
  <c r="V156" i="8"/>
  <c r="AB156" i="8"/>
  <c r="V155" i="8"/>
  <c r="AB155" i="8"/>
  <c r="J184" i="6"/>
  <c r="V154" i="8"/>
  <c r="AB154" i="8"/>
  <c r="V153" i="8"/>
  <c r="AB153" i="8"/>
  <c r="J182" i="6"/>
  <c r="V152" i="8"/>
  <c r="AB152" i="8"/>
  <c r="J181" i="6"/>
  <c r="V151" i="8"/>
  <c r="AB151" i="8"/>
  <c r="V150" i="8"/>
  <c r="AB150" i="8"/>
  <c r="V149" i="8"/>
  <c r="AB149" i="8"/>
  <c r="V148" i="8"/>
  <c r="AB148" i="8"/>
  <c r="V147" i="8"/>
  <c r="AB147" i="8"/>
  <c r="V146" i="8"/>
  <c r="AB146" i="8"/>
  <c r="V145" i="8"/>
  <c r="AB145" i="8"/>
  <c r="V144" i="8"/>
  <c r="AB144" i="8"/>
  <c r="V143" i="8"/>
  <c r="AB143" i="8"/>
  <c r="V142" i="8"/>
  <c r="AB142" i="8"/>
  <c r="J171" i="6"/>
  <c r="V141" i="8"/>
  <c r="AB141" i="8"/>
  <c r="J170" i="6"/>
  <c r="V140" i="8"/>
  <c r="AB140" i="8"/>
  <c r="V139" i="8"/>
  <c r="AB139" i="8"/>
  <c r="J168" i="6"/>
  <c r="V138" i="8"/>
  <c r="AB138" i="8"/>
  <c r="J167" i="6"/>
  <c r="V137" i="8"/>
  <c r="AB137" i="8"/>
  <c r="V136" i="8"/>
  <c r="AB136" i="8"/>
  <c r="J165" i="6"/>
  <c r="V135" i="8"/>
  <c r="AB135" i="8"/>
  <c r="V134" i="8"/>
  <c r="AB134" i="8"/>
  <c r="J163" i="6"/>
  <c r="V133" i="8"/>
  <c r="AB133" i="8"/>
  <c r="V132" i="8"/>
  <c r="AB132" i="8"/>
  <c r="J161" i="6"/>
  <c r="V131" i="8"/>
  <c r="AB131" i="8"/>
  <c r="V130" i="8"/>
  <c r="AB130" i="8"/>
  <c r="J159" i="6"/>
  <c r="V129" i="8"/>
  <c r="AB129" i="8"/>
  <c r="J158" i="6"/>
  <c r="V128" i="8"/>
  <c r="AB128" i="8"/>
  <c r="V127" i="8"/>
  <c r="AB127" i="8"/>
  <c r="AB126" i="8"/>
  <c r="V126" i="8"/>
  <c r="V125" i="8"/>
  <c r="AB125" i="8"/>
  <c r="V124" i="8"/>
  <c r="AB124" i="8"/>
  <c r="AB123" i="8"/>
  <c r="V123" i="8"/>
  <c r="AB122" i="8"/>
  <c r="V122" i="8"/>
  <c r="AB121" i="8"/>
  <c r="V121" i="8"/>
  <c r="AB120" i="8"/>
  <c r="V120" i="8"/>
  <c r="AB119" i="8"/>
  <c r="V119" i="8"/>
  <c r="J148" i="6"/>
  <c r="AB118" i="8"/>
  <c r="V118" i="8"/>
  <c r="J147" i="6"/>
  <c r="V117" i="8"/>
  <c r="AB117" i="8"/>
  <c r="V116" i="8"/>
  <c r="AB116" i="8"/>
  <c r="J145" i="6"/>
  <c r="AB115" i="8"/>
  <c r="V115" i="8"/>
  <c r="J144" i="6"/>
  <c r="V114" i="8"/>
  <c r="AB114" i="8"/>
  <c r="V113" i="8"/>
  <c r="AB113" i="8"/>
  <c r="J142" i="6"/>
  <c r="V112" i="8"/>
  <c r="AB112" i="8"/>
  <c r="V111" i="8"/>
  <c r="AB111" i="8"/>
  <c r="J140" i="6"/>
  <c r="AB110" i="8"/>
  <c r="V110" i="8"/>
  <c r="AB109" i="8"/>
  <c r="V109" i="8"/>
  <c r="J138" i="6"/>
  <c r="V108" i="8"/>
  <c r="AB108" i="8"/>
  <c r="AB107" i="8"/>
  <c r="V107" i="8"/>
  <c r="J136" i="6"/>
  <c r="V106" i="8"/>
  <c r="AB106" i="8"/>
  <c r="J135" i="6"/>
  <c r="V105" i="8"/>
  <c r="AB105" i="8"/>
  <c r="V104" i="8"/>
  <c r="AB104" i="8"/>
  <c r="V103" i="8"/>
  <c r="AB103" i="8"/>
  <c r="V102" i="8"/>
  <c r="AB102" i="8"/>
  <c r="AB101" i="8"/>
  <c r="V101" i="8"/>
  <c r="V100" i="8"/>
  <c r="AB100" i="8"/>
  <c r="AB99" i="8"/>
  <c r="V99" i="8"/>
  <c r="AB98" i="8"/>
  <c r="V98" i="8"/>
  <c r="AB97" i="8"/>
  <c r="V97" i="8"/>
  <c r="AB96" i="8"/>
  <c r="V96" i="8"/>
  <c r="J125" i="6"/>
  <c r="AB95" i="8"/>
  <c r="V95" i="8"/>
  <c r="J124" i="6"/>
  <c r="V94" i="8"/>
  <c r="AB94" i="8"/>
  <c r="V93" i="8"/>
  <c r="AB93" i="8"/>
  <c r="J122" i="6"/>
  <c r="AB92" i="8"/>
  <c r="V92" i="8"/>
  <c r="J121" i="6"/>
  <c r="AB91" i="8"/>
  <c r="V91" i="8"/>
  <c r="AB90" i="8"/>
  <c r="V90" i="8"/>
  <c r="J119" i="6"/>
  <c r="AB89" i="8"/>
  <c r="V89" i="8"/>
  <c r="AB88" i="8"/>
  <c r="V88" i="8"/>
  <c r="J117" i="6"/>
  <c r="AB87" i="8"/>
  <c r="V87" i="8"/>
  <c r="V86" i="8"/>
  <c r="AB86" i="8"/>
  <c r="J115" i="6"/>
  <c r="AB85" i="8"/>
  <c r="V85" i="8"/>
  <c r="AB84" i="8"/>
  <c r="V84" i="8"/>
  <c r="J113" i="6"/>
  <c r="V83" i="8"/>
  <c r="AB83" i="8"/>
  <c r="J112" i="6"/>
  <c r="V82" i="8"/>
  <c r="AB82" i="8"/>
  <c r="AB81" i="8"/>
  <c r="V81" i="8"/>
  <c r="V80" i="8"/>
  <c r="AB80" i="8"/>
  <c r="V79" i="8"/>
  <c r="AB79" i="8"/>
  <c r="V78" i="8"/>
  <c r="AB78" i="8"/>
  <c r="V77" i="8"/>
  <c r="AB77" i="8"/>
  <c r="AB76" i="8"/>
  <c r="V76" i="8"/>
  <c r="V75" i="8"/>
  <c r="AB75" i="8"/>
  <c r="V74" i="8"/>
  <c r="AB74" i="8"/>
  <c r="V73" i="8"/>
  <c r="AB73" i="8"/>
  <c r="J102" i="6"/>
  <c r="V72" i="8"/>
  <c r="AB72" i="8"/>
  <c r="J101" i="6"/>
  <c r="AB71" i="8"/>
  <c r="V71" i="8"/>
  <c r="AB70" i="8"/>
  <c r="V70" i="8"/>
  <c r="J99" i="6"/>
  <c r="AB69" i="8"/>
  <c r="V69" i="8"/>
  <c r="J98" i="6"/>
  <c r="V68" i="8"/>
  <c r="AB68" i="8"/>
  <c r="AB67" i="8"/>
  <c r="V67" i="8"/>
  <c r="J96" i="6"/>
  <c r="V66" i="8"/>
  <c r="AB66" i="8"/>
  <c r="V65" i="8"/>
  <c r="AB65" i="8"/>
  <c r="J94" i="6"/>
  <c r="AB64" i="8"/>
  <c r="V64" i="8"/>
  <c r="AB63" i="8"/>
  <c r="V63" i="8"/>
  <c r="J92" i="6"/>
  <c r="AB62" i="8"/>
  <c r="V62" i="8"/>
  <c r="AB61" i="8"/>
  <c r="V61" i="8"/>
  <c r="J90" i="6"/>
  <c r="AB60" i="8"/>
  <c r="V60" i="8"/>
  <c r="J89" i="6"/>
  <c r="AB59" i="8"/>
  <c r="V59" i="8"/>
  <c r="AB58" i="8"/>
  <c r="V58" i="8"/>
  <c r="AB57" i="8"/>
  <c r="V57" i="8"/>
  <c r="V56" i="8"/>
  <c r="AB56" i="8"/>
  <c r="AB55" i="8"/>
  <c r="V55" i="8"/>
  <c r="V54" i="8"/>
  <c r="AB54" i="8"/>
  <c r="V53" i="8"/>
  <c r="AB53" i="8"/>
  <c r="AB52" i="8"/>
  <c r="V52" i="8"/>
  <c r="V51" i="8"/>
  <c r="AB51" i="8"/>
  <c r="V50" i="8"/>
  <c r="AB50" i="8"/>
  <c r="J79" i="6"/>
  <c r="AB49" i="8"/>
  <c r="V49" i="8"/>
  <c r="V48" i="8"/>
  <c r="AB48" i="8"/>
  <c r="J77" i="6"/>
  <c r="V47" i="8"/>
  <c r="AB47" i="8"/>
  <c r="J76" i="6"/>
  <c r="AB46" i="8"/>
  <c r="V46" i="8"/>
  <c r="AB45" i="8"/>
  <c r="V45" i="8"/>
  <c r="J74" i="6"/>
  <c r="V44" i="8"/>
  <c r="AB44" i="8"/>
  <c r="V43" i="8"/>
  <c r="AB43" i="8"/>
  <c r="J72" i="6"/>
  <c r="V42" i="8"/>
  <c r="AB42" i="8"/>
  <c r="V41" i="8"/>
  <c r="AB41" i="8"/>
  <c r="J70" i="6"/>
  <c r="V40" i="8"/>
  <c r="AB40" i="8"/>
  <c r="V39" i="8"/>
  <c r="AB39" i="8"/>
  <c r="J68" i="6"/>
  <c r="AB38" i="8"/>
  <c r="V38" i="8"/>
  <c r="J67" i="6"/>
  <c r="V37" i="8"/>
  <c r="AB37" i="8"/>
  <c r="V36" i="8"/>
  <c r="AB36" i="8"/>
  <c r="AB35" i="8"/>
  <c r="V35" i="8"/>
  <c r="V34" i="8"/>
  <c r="AB34" i="8"/>
  <c r="V33" i="8"/>
  <c r="AB33" i="8"/>
  <c r="AB32" i="8"/>
  <c r="V32" i="8"/>
  <c r="V31" i="8"/>
  <c r="AB31" i="8"/>
  <c r="AB30" i="8"/>
  <c r="V30" i="8"/>
  <c r="V29" i="8"/>
  <c r="AB29" i="8"/>
  <c r="V28" i="8"/>
  <c r="AB28" i="8"/>
  <c r="J57" i="6"/>
  <c r="AB27" i="8"/>
  <c r="V27" i="8"/>
  <c r="J56" i="6"/>
  <c r="V26" i="8"/>
  <c r="AB26" i="8"/>
  <c r="AB25" i="8"/>
  <c r="V25" i="8"/>
  <c r="J54" i="6"/>
  <c r="V24" i="8"/>
  <c r="AB24" i="8"/>
  <c r="J53" i="6"/>
  <c r="AB23" i="8"/>
  <c r="V23" i="8"/>
  <c r="V22" i="8"/>
  <c r="AB22" i="8"/>
  <c r="J51" i="6"/>
  <c r="V21" i="8"/>
  <c r="AB21" i="8"/>
  <c r="V20" i="8"/>
  <c r="AB20" i="8"/>
  <c r="J49" i="6"/>
  <c r="AB19" i="8"/>
  <c r="V19" i="8"/>
  <c r="V18" i="8"/>
  <c r="AB18" i="8"/>
  <c r="J47" i="6"/>
  <c r="AB17" i="8"/>
  <c r="V17" i="8"/>
  <c r="V16" i="8"/>
  <c r="AB16" i="8"/>
  <c r="J45" i="6"/>
  <c r="V15" i="8"/>
  <c r="AB15" i="8"/>
  <c r="J44" i="6"/>
  <c r="AB14" i="8"/>
  <c r="V14" i="8"/>
  <c r="AB13" i="8"/>
  <c r="V13" i="8"/>
  <c r="AB12" i="8"/>
  <c r="V12" i="8"/>
  <c r="V11" i="8"/>
  <c r="AB11" i="8"/>
  <c r="B623" i="7"/>
  <c r="B622" i="7"/>
  <c r="B618" i="7"/>
  <c r="B614" i="7"/>
  <c r="B609" i="7"/>
  <c r="B608" i="7"/>
  <c r="B606" i="7"/>
  <c r="B604" i="7"/>
  <c r="B602" i="7"/>
  <c r="B598" i="7"/>
  <c r="B597" i="7"/>
  <c r="B594" i="7"/>
  <c r="B591" i="7"/>
  <c r="B588" i="7"/>
  <c r="B586" i="7"/>
  <c r="B583" i="7"/>
  <c r="B582" i="7"/>
  <c r="B581" i="7"/>
  <c r="B580" i="7"/>
  <c r="B577" i="7"/>
  <c r="B574" i="7"/>
  <c r="B573" i="7"/>
  <c r="B571" i="7"/>
  <c r="B567" i="7"/>
  <c r="B566" i="7"/>
  <c r="B562" i="7"/>
  <c r="B551" i="7"/>
  <c r="B544" i="7"/>
  <c r="B542" i="7"/>
  <c r="B541" i="7"/>
  <c r="B540" i="7"/>
  <c r="B539" i="7"/>
  <c r="B538" i="7"/>
  <c r="B537" i="7"/>
  <c r="B536" i="7"/>
  <c r="B535" i="7"/>
  <c r="B534" i="7"/>
  <c r="B533" i="7"/>
  <c r="B532" i="7"/>
  <c r="B531" i="7"/>
  <c r="B530" i="7"/>
  <c r="B529" i="7"/>
  <c r="B528" i="7"/>
  <c r="B527" i="7"/>
  <c r="B526" i="7"/>
  <c r="B525" i="7"/>
  <c r="B524" i="7"/>
  <c r="B523" i="7"/>
  <c r="B522" i="7"/>
  <c r="B521" i="7"/>
  <c r="B520" i="7"/>
  <c r="B519" i="7"/>
  <c r="B518" i="7"/>
  <c r="B517" i="7"/>
  <c r="B516" i="7"/>
  <c r="B515" i="7"/>
  <c r="B514" i="7"/>
  <c r="B513" i="7"/>
  <c r="B512" i="7"/>
  <c r="B511" i="7"/>
  <c r="B510" i="7"/>
  <c r="B509" i="7"/>
  <c r="B508" i="7"/>
  <c r="B507" i="7"/>
  <c r="B506" i="7"/>
  <c r="B505" i="7"/>
  <c r="B504" i="7"/>
  <c r="B503" i="7"/>
  <c r="B502" i="7"/>
  <c r="B501" i="7"/>
  <c r="B500" i="7"/>
  <c r="B499" i="7"/>
  <c r="B498" i="7"/>
  <c r="B497" i="7"/>
  <c r="B496" i="7"/>
  <c r="B495" i="7"/>
  <c r="B494" i="7"/>
  <c r="B493" i="7"/>
  <c r="B492" i="7"/>
  <c r="B491" i="7"/>
  <c r="B490" i="7"/>
  <c r="B489" i="7"/>
  <c r="B488" i="7"/>
  <c r="B487" i="7"/>
  <c r="B486" i="7"/>
  <c r="B485" i="7"/>
  <c r="B484" i="7"/>
  <c r="B483" i="7"/>
  <c r="B482" i="7"/>
  <c r="B481" i="7"/>
  <c r="B480" i="7"/>
  <c r="B479" i="7"/>
  <c r="B478" i="7"/>
  <c r="B477" i="7"/>
  <c r="B476" i="7"/>
  <c r="B475" i="7"/>
  <c r="B474" i="7"/>
  <c r="B473" i="7"/>
  <c r="B472" i="7"/>
  <c r="B471" i="7"/>
  <c r="B470" i="7"/>
  <c r="B469" i="7"/>
  <c r="B468" i="7"/>
  <c r="B467" i="7"/>
  <c r="B466" i="7"/>
  <c r="B465" i="7"/>
  <c r="B464" i="7"/>
  <c r="B463" i="7"/>
  <c r="B462" i="7"/>
  <c r="B461" i="7"/>
  <c r="B460" i="7"/>
  <c r="B459" i="7"/>
  <c r="B458" i="7"/>
  <c r="B457" i="7"/>
  <c r="B456" i="7"/>
  <c r="B455" i="7"/>
  <c r="B454" i="7"/>
  <c r="B453" i="7"/>
  <c r="B452" i="7"/>
  <c r="B451" i="7"/>
  <c r="B450" i="7"/>
  <c r="B449" i="7"/>
  <c r="B448" i="7"/>
  <c r="B435" i="7"/>
  <c r="B434" i="7"/>
  <c r="B433" i="7"/>
  <c r="B432" i="7"/>
  <c r="B431" i="7"/>
  <c r="B430" i="7"/>
  <c r="B429" i="7"/>
  <c r="B428" i="7"/>
  <c r="B427" i="7"/>
  <c r="B426" i="7"/>
  <c r="B425" i="7"/>
  <c r="B424" i="7"/>
  <c r="B423" i="7"/>
  <c r="B422" i="7"/>
  <c r="B421" i="7"/>
  <c r="B420" i="7"/>
  <c r="B419" i="7"/>
  <c r="B418" i="7"/>
  <c r="B417" i="7"/>
  <c r="B416" i="7"/>
  <c r="B415" i="7"/>
  <c r="B414" i="7"/>
  <c r="B413" i="7"/>
  <c r="B412" i="7"/>
  <c r="B411" i="7"/>
  <c r="B410" i="7"/>
  <c r="B409" i="7"/>
  <c r="B408" i="7"/>
  <c r="B407" i="7"/>
  <c r="B406" i="7"/>
  <c r="B405" i="7"/>
  <c r="B404" i="7"/>
  <c r="B403" i="7"/>
  <c r="B402" i="7"/>
  <c r="B401" i="7"/>
  <c r="B398" i="7"/>
  <c r="B397" i="7"/>
  <c r="B396" i="7"/>
  <c r="B395" i="7"/>
  <c r="B394" i="7"/>
  <c r="B391" i="7"/>
  <c r="B389" i="7"/>
  <c r="B388" i="7"/>
  <c r="B387" i="7"/>
  <c r="B385" i="7"/>
  <c r="B384" i="7"/>
  <c r="B383" i="7"/>
  <c r="B381" i="7"/>
  <c r="B380" i="7"/>
  <c r="B379" i="7"/>
  <c r="B377" i="7"/>
  <c r="B375" i="7"/>
  <c r="B373" i="7"/>
  <c r="B371" i="7"/>
  <c r="B370" i="7"/>
  <c r="B369" i="7"/>
  <c r="B368" i="7"/>
  <c r="B366" i="7"/>
  <c r="B365" i="7"/>
  <c r="B364" i="7"/>
  <c r="B363" i="7"/>
  <c r="B362" i="7"/>
  <c r="B360" i="7"/>
  <c r="B358" i="7"/>
  <c r="B356" i="7"/>
  <c r="B355" i="7"/>
  <c r="B294" i="7"/>
  <c r="B292" i="7"/>
  <c r="B290" i="7"/>
  <c r="B289" i="7"/>
  <c r="B288" i="7"/>
  <c r="B286" i="7"/>
  <c r="B285" i="7"/>
  <c r="B283" i="7"/>
  <c r="B447" i="7"/>
  <c r="B446" i="7"/>
  <c r="B445" i="7"/>
  <c r="B444" i="7"/>
  <c r="B443" i="7"/>
  <c r="B442" i="7"/>
  <c r="B441" i="7"/>
  <c r="B440" i="7"/>
  <c r="B439" i="7"/>
  <c r="B438" i="7"/>
  <c r="B437" i="7"/>
  <c r="B436" i="7"/>
  <c r="B400" i="7"/>
  <c r="B399" i="7"/>
  <c r="B393" i="7"/>
  <c r="B392" i="7"/>
  <c r="B390" i="7"/>
  <c r="B386" i="7"/>
  <c r="B382" i="7"/>
  <c r="B378" i="7"/>
  <c r="B376" i="7"/>
  <c r="B374" i="7"/>
  <c r="B372" i="7"/>
  <c r="B367" i="7"/>
  <c r="B361" i="7"/>
  <c r="B359" i="7"/>
  <c r="B357" i="7"/>
  <c r="B354" i="7"/>
  <c r="B353" i="7"/>
  <c r="B352" i="7"/>
  <c r="B351" i="7"/>
  <c r="B350" i="7"/>
  <c r="B349" i="7"/>
  <c r="B348" i="7"/>
  <c r="B347" i="7"/>
  <c r="B346" i="7"/>
  <c r="B345" i="7"/>
  <c r="B344" i="7"/>
  <c r="B343" i="7"/>
  <c r="B342" i="7"/>
  <c r="B341" i="7"/>
  <c r="B340" i="7"/>
  <c r="B339" i="7"/>
  <c r="B338" i="7"/>
  <c r="B337" i="7"/>
  <c r="B336" i="7"/>
  <c r="B335" i="7"/>
  <c r="B334" i="7"/>
  <c r="B333" i="7"/>
  <c r="B332" i="7"/>
  <c r="B331" i="7"/>
  <c r="B330" i="7"/>
  <c r="B329" i="7"/>
  <c r="B328" i="7"/>
  <c r="B327" i="7"/>
  <c r="B326" i="7"/>
  <c r="B325" i="7"/>
  <c r="B324" i="7"/>
  <c r="B323" i="7"/>
  <c r="B322" i="7"/>
  <c r="B321" i="7"/>
  <c r="B320" i="7"/>
  <c r="B319" i="7"/>
  <c r="B318" i="7"/>
  <c r="B317" i="7"/>
  <c r="B316" i="7"/>
  <c r="B315" i="7"/>
  <c r="B314" i="7"/>
  <c r="B313" i="7"/>
  <c r="B312" i="7"/>
  <c r="B311" i="7"/>
  <c r="B310" i="7"/>
  <c r="B309" i="7"/>
  <c r="B308" i="7"/>
  <c r="B307" i="7"/>
  <c r="B306" i="7"/>
  <c r="B305" i="7"/>
  <c r="B304" i="7"/>
  <c r="B303" i="7"/>
  <c r="B302" i="7"/>
  <c r="B301" i="7"/>
  <c r="B300" i="7"/>
  <c r="B299" i="7"/>
  <c r="B298" i="7"/>
  <c r="B297" i="7"/>
  <c r="B296" i="7"/>
  <c r="B295" i="7"/>
  <c r="B293" i="7"/>
  <c r="B291" i="7"/>
  <c r="B287" i="7"/>
  <c r="B284" i="7"/>
  <c r="B211" i="7"/>
  <c r="B210" i="7"/>
  <c r="B209" i="7"/>
  <c r="B208" i="7"/>
  <c r="B207" i="7"/>
  <c r="B206" i="7"/>
  <c r="B205" i="7"/>
  <c r="B204" i="7"/>
  <c r="B203" i="7"/>
  <c r="B202" i="7"/>
  <c r="B201" i="7"/>
  <c r="B23" i="7"/>
  <c r="B22" i="7"/>
  <c r="B21" i="7"/>
  <c r="B20" i="7"/>
  <c r="B19" i="7"/>
  <c r="B18" i="7"/>
  <c r="B17" i="7"/>
  <c r="B16" i="7"/>
  <c r="B912" i="7"/>
  <c r="B911" i="7"/>
  <c r="B910" i="7"/>
  <c r="B909" i="7"/>
  <c r="B908" i="7"/>
  <c r="B907" i="7"/>
  <c r="B906" i="7"/>
  <c r="B905" i="7"/>
  <c r="B904" i="7"/>
  <c r="B903" i="7"/>
  <c r="B902" i="7"/>
  <c r="B901" i="7"/>
  <c r="B900" i="7"/>
  <c r="B899" i="7"/>
  <c r="B898" i="7"/>
  <c r="B897" i="7"/>
  <c r="B896" i="7"/>
  <c r="B895" i="7"/>
  <c r="B894" i="7"/>
  <c r="B893" i="7"/>
  <c r="B892" i="7"/>
  <c r="B891" i="7"/>
  <c r="B890" i="7"/>
  <c r="B889" i="7"/>
  <c r="B888" i="7"/>
  <c r="B887" i="7"/>
  <c r="B886" i="7"/>
  <c r="B885" i="7"/>
  <c r="B884" i="7"/>
  <c r="B883" i="7"/>
  <c r="B882" i="7"/>
  <c r="B881" i="7"/>
  <c r="B880" i="7"/>
  <c r="B879" i="7"/>
  <c r="B878" i="7"/>
  <c r="B877" i="7"/>
  <c r="B876" i="7"/>
  <c r="B875" i="7"/>
  <c r="B874" i="7"/>
  <c r="B873" i="7"/>
  <c r="B872" i="7"/>
  <c r="B871" i="7"/>
  <c r="B870" i="7"/>
  <c r="B869" i="7"/>
  <c r="B868" i="7"/>
  <c r="B867" i="7"/>
  <c r="B866" i="7"/>
  <c r="B865" i="7"/>
  <c r="B864" i="7"/>
  <c r="B863" i="7"/>
  <c r="B862" i="7"/>
  <c r="B861" i="7"/>
  <c r="B860" i="7"/>
  <c r="B859" i="7"/>
  <c r="B858" i="7"/>
  <c r="B857" i="7"/>
  <c r="B856" i="7"/>
  <c r="B855" i="7"/>
  <c r="B854" i="7"/>
  <c r="B853" i="7"/>
  <c r="B852" i="7"/>
  <c r="B851" i="7"/>
  <c r="B850" i="7"/>
  <c r="B849" i="7"/>
  <c r="B848" i="7"/>
  <c r="B847" i="7"/>
  <c r="B846" i="7"/>
  <c r="B845" i="7"/>
  <c r="B844" i="7"/>
  <c r="B843" i="7"/>
  <c r="B842" i="7"/>
  <c r="B841" i="7"/>
  <c r="B840" i="7"/>
  <c r="B839" i="7"/>
  <c r="B838" i="7"/>
  <c r="B837" i="7"/>
  <c r="B836" i="7"/>
  <c r="B835" i="7"/>
  <c r="B834" i="7"/>
  <c r="B833" i="7"/>
  <c r="B832" i="7"/>
  <c r="B831" i="7"/>
  <c r="B830" i="7"/>
  <c r="B829" i="7"/>
  <c r="B828" i="7"/>
  <c r="B827" i="7"/>
  <c r="B826" i="7"/>
  <c r="B825" i="7"/>
  <c r="B824" i="7"/>
  <c r="B823" i="7"/>
  <c r="B822" i="7"/>
  <c r="B821" i="7"/>
  <c r="B820" i="7"/>
  <c r="B819" i="7"/>
  <c r="B818" i="7"/>
  <c r="B817" i="7"/>
  <c r="B816" i="7"/>
  <c r="B815" i="7"/>
  <c r="B814" i="7"/>
  <c r="B813" i="7"/>
  <c r="B812" i="7"/>
  <c r="B811" i="7"/>
  <c r="B810" i="7"/>
  <c r="B809" i="7"/>
  <c r="B808" i="7"/>
  <c r="B807" i="7"/>
  <c r="B806" i="7"/>
  <c r="B805" i="7"/>
  <c r="B804" i="7"/>
  <c r="B803" i="7"/>
  <c r="B802" i="7"/>
  <c r="B801" i="7"/>
  <c r="B800" i="7"/>
  <c r="B799" i="7"/>
  <c r="B798" i="7"/>
  <c r="B797" i="7"/>
  <c r="B796" i="7"/>
  <c r="B795" i="7"/>
  <c r="B794" i="7"/>
  <c r="B793" i="7"/>
  <c r="B792" i="7"/>
  <c r="B791" i="7"/>
  <c r="B790" i="7"/>
  <c r="B789" i="7"/>
  <c r="B788" i="7"/>
  <c r="B787" i="7"/>
  <c r="B786" i="7"/>
  <c r="B785" i="7"/>
  <c r="B784" i="7"/>
  <c r="B783" i="7"/>
  <c r="B782" i="7"/>
  <c r="B781" i="7"/>
  <c r="B780" i="7"/>
  <c r="B779" i="7"/>
  <c r="B778" i="7"/>
  <c r="B777" i="7"/>
  <c r="B776" i="7"/>
  <c r="B775" i="7"/>
  <c r="B774" i="7"/>
  <c r="B773" i="7"/>
  <c r="B772" i="7"/>
  <c r="B771" i="7"/>
  <c r="B770" i="7"/>
  <c r="B769" i="7"/>
  <c r="B768" i="7"/>
  <c r="B767" i="7"/>
  <c r="B766" i="7"/>
  <c r="B765" i="7"/>
  <c r="B764" i="7"/>
  <c r="B763" i="7"/>
  <c r="B143" i="7"/>
  <c r="B140" i="7"/>
  <c r="B624" i="7"/>
  <c r="B621" i="7"/>
  <c r="B620" i="7"/>
  <c r="B619" i="7"/>
  <c r="B617" i="7"/>
  <c r="B615" i="7"/>
  <c r="B612" i="7"/>
  <c r="B611" i="7"/>
  <c r="B610" i="7"/>
  <c r="B607" i="7"/>
  <c r="B605" i="7"/>
  <c r="B603" i="7"/>
  <c r="B601" i="7"/>
  <c r="B600" i="7"/>
  <c r="B599" i="7"/>
  <c r="B595" i="7"/>
  <c r="B593" i="7"/>
  <c r="B576" i="7"/>
  <c r="B550" i="7"/>
  <c r="B547" i="7"/>
  <c r="B762" i="7"/>
  <c r="B761" i="7"/>
  <c r="B760" i="7"/>
  <c r="B759" i="7"/>
  <c r="B758" i="7"/>
  <c r="B757" i="7"/>
  <c r="B756" i="7"/>
  <c r="B755" i="7"/>
  <c r="B754" i="7"/>
  <c r="B753" i="7"/>
  <c r="B752" i="7"/>
  <c r="B751" i="7"/>
  <c r="B750" i="7"/>
  <c r="B749" i="7"/>
  <c r="B748" i="7"/>
  <c r="B747" i="7"/>
  <c r="B746" i="7"/>
  <c r="B745" i="7"/>
  <c r="B744" i="7"/>
  <c r="B743" i="7"/>
  <c r="B742" i="7"/>
  <c r="B741" i="7"/>
  <c r="B740" i="7"/>
  <c r="B739" i="7"/>
  <c r="B738" i="7"/>
  <c r="B737" i="7"/>
  <c r="B736" i="7"/>
  <c r="B735" i="7"/>
  <c r="B734" i="7"/>
  <c r="B733" i="7"/>
  <c r="B732" i="7"/>
  <c r="B731" i="7"/>
  <c r="B730" i="7"/>
  <c r="B729" i="7"/>
  <c r="B728" i="7"/>
  <c r="B727" i="7"/>
  <c r="B726" i="7"/>
  <c r="B725" i="7"/>
  <c r="B724" i="7"/>
  <c r="B723" i="7"/>
  <c r="B722" i="7"/>
  <c r="B721" i="7"/>
  <c r="B720" i="7"/>
  <c r="B719" i="7"/>
  <c r="B718" i="7"/>
  <c r="B717" i="7"/>
  <c r="B716" i="7"/>
  <c r="B715" i="7"/>
  <c r="B714" i="7"/>
  <c r="B713" i="7"/>
  <c r="B712" i="7"/>
  <c r="B711" i="7"/>
  <c r="B710" i="7"/>
  <c r="B709" i="7"/>
  <c r="B708" i="7"/>
  <c r="B707" i="7"/>
  <c r="B706" i="7"/>
  <c r="B705" i="7"/>
  <c r="B704" i="7"/>
  <c r="B703" i="7"/>
  <c r="B702" i="7"/>
  <c r="B701" i="7"/>
  <c r="B700" i="7"/>
  <c r="B699" i="7"/>
  <c r="B698" i="7"/>
  <c r="B697" i="7"/>
  <c r="B696" i="7"/>
  <c r="B695" i="7"/>
  <c r="B694" i="7"/>
  <c r="B693" i="7"/>
  <c r="B692" i="7"/>
  <c r="B691" i="7"/>
  <c r="B690" i="7"/>
  <c r="B689" i="7"/>
  <c r="B688" i="7"/>
  <c r="B687" i="7"/>
  <c r="B686" i="7"/>
  <c r="B685" i="7"/>
  <c r="B684" i="7"/>
  <c r="B683" i="7"/>
  <c r="B682" i="7"/>
  <c r="B681" i="7"/>
  <c r="B680" i="7"/>
  <c r="B679" i="7"/>
  <c r="B678" i="7"/>
  <c r="B677" i="7"/>
  <c r="B676" i="7"/>
  <c r="B675" i="7"/>
  <c r="B674" i="7"/>
  <c r="B673" i="7"/>
  <c r="B672" i="7"/>
  <c r="B671" i="7"/>
  <c r="B670" i="7"/>
  <c r="B669" i="7"/>
  <c r="B668" i="7"/>
  <c r="B667" i="7"/>
  <c r="B666" i="7"/>
  <c r="B665" i="7"/>
  <c r="B664" i="7"/>
  <c r="B663" i="7"/>
  <c r="B662" i="7"/>
  <c r="B661" i="7"/>
  <c r="B660" i="7"/>
  <c r="B659" i="7"/>
  <c r="B658" i="7"/>
  <c r="B657" i="7"/>
  <c r="B656" i="7"/>
  <c r="B655" i="7"/>
  <c r="B654" i="7"/>
  <c r="B653" i="7"/>
  <c r="B652" i="7"/>
  <c r="B651" i="7"/>
  <c r="B650" i="7"/>
  <c r="B649" i="7"/>
  <c r="B648" i="7"/>
  <c r="B647" i="7"/>
  <c r="B646" i="7"/>
  <c r="B148" i="7"/>
  <c r="B145" i="7"/>
  <c r="B141" i="7"/>
  <c r="B616" i="7"/>
  <c r="B613" i="7"/>
  <c r="B596" i="7"/>
  <c r="B592" i="7"/>
  <c r="B575" i="7"/>
  <c r="B572" i="7"/>
  <c r="B570" i="7"/>
  <c r="B569" i="7"/>
  <c r="B561" i="7"/>
  <c r="B556" i="7"/>
  <c r="B548" i="7"/>
  <c r="B645" i="7"/>
  <c r="B644" i="7"/>
  <c r="B643" i="7"/>
  <c r="B642" i="7"/>
  <c r="B641" i="7"/>
  <c r="B640" i="7"/>
  <c r="B639" i="7"/>
  <c r="B638" i="7"/>
  <c r="B637" i="7"/>
  <c r="B636" i="7"/>
  <c r="B635" i="7"/>
  <c r="B634" i="7"/>
  <c r="B633" i="7"/>
  <c r="B632" i="7"/>
  <c r="B631" i="7"/>
  <c r="B630" i="7"/>
  <c r="B629" i="7"/>
  <c r="B628" i="7"/>
  <c r="B627" i="7"/>
  <c r="B626" i="7"/>
  <c r="B625" i="7"/>
  <c r="B282" i="7"/>
  <c r="B281" i="7"/>
  <c r="B280" i="7"/>
  <c r="B279" i="7"/>
  <c r="B278" i="7"/>
  <c r="B277" i="7"/>
  <c r="B276" i="7"/>
  <c r="B275" i="7"/>
  <c r="B274" i="7"/>
  <c r="B273" i="7"/>
  <c r="B272" i="7"/>
  <c r="B271" i="7"/>
  <c r="B270" i="7"/>
  <c r="B269" i="7"/>
  <c r="B268" i="7"/>
  <c r="B267" i="7"/>
  <c r="B266" i="7"/>
  <c r="B265" i="7"/>
  <c r="B264" i="7"/>
  <c r="B263" i="7"/>
  <c r="B262" i="7"/>
  <c r="B261" i="7"/>
  <c r="B260" i="7"/>
  <c r="B259" i="7"/>
  <c r="B258" i="7"/>
  <c r="B257" i="7"/>
  <c r="B256" i="7"/>
  <c r="B255" i="7"/>
  <c r="B254" i="7"/>
  <c r="B253" i="7"/>
  <c r="B252" i="7"/>
  <c r="B251" i="7"/>
  <c r="B250" i="7"/>
  <c r="B249" i="7"/>
  <c r="B248" i="7"/>
  <c r="B247" i="7"/>
  <c r="B246" i="7"/>
  <c r="B245" i="7"/>
  <c r="B244" i="7"/>
  <c r="B243" i="7"/>
  <c r="B242" i="7"/>
  <c r="B241" i="7"/>
  <c r="B240" i="7"/>
  <c r="B239" i="7"/>
  <c r="B238" i="7"/>
  <c r="B237" i="7"/>
  <c r="B236" i="7"/>
  <c r="B235" i="7"/>
  <c r="B234" i="7"/>
  <c r="B233" i="7"/>
  <c r="B232" i="7"/>
  <c r="B231" i="7"/>
  <c r="B230" i="7"/>
  <c r="B229" i="7"/>
  <c r="B228" i="7"/>
  <c r="B227" i="7"/>
  <c r="B226" i="7"/>
  <c r="B225" i="7"/>
  <c r="B224" i="7"/>
  <c r="B223" i="7"/>
  <c r="B222" i="7"/>
  <c r="B221" i="7"/>
  <c r="B220" i="7"/>
  <c r="B219" i="7"/>
  <c r="B218" i="7"/>
  <c r="B217" i="7"/>
  <c r="B216" i="7"/>
  <c r="B215" i="7"/>
  <c r="B214" i="7"/>
  <c r="B213" i="7"/>
  <c r="B212" i="7"/>
  <c r="B200" i="7"/>
  <c r="B199" i="7"/>
  <c r="B198" i="7"/>
  <c r="B197" i="7"/>
  <c r="B196" i="7"/>
  <c r="B195" i="7"/>
  <c r="B194" i="7"/>
  <c r="B193" i="7"/>
  <c r="B192" i="7"/>
  <c r="B191" i="7"/>
  <c r="B190" i="7"/>
  <c r="B189" i="7"/>
  <c r="B188" i="7"/>
  <c r="B187" i="7"/>
  <c r="B186" i="7"/>
  <c r="B185" i="7"/>
  <c r="B184" i="7"/>
  <c r="B183" i="7"/>
  <c r="B182" i="7"/>
  <c r="B181" i="7"/>
  <c r="B180" i="7"/>
  <c r="B179" i="7"/>
  <c r="B178" i="7"/>
  <c r="B177" i="7"/>
  <c r="B176" i="7"/>
  <c r="B175" i="7"/>
  <c r="B174" i="7"/>
  <c r="B173" i="7"/>
  <c r="B172" i="7"/>
  <c r="B171" i="7"/>
  <c r="B170" i="7"/>
  <c r="B169" i="7"/>
  <c r="B168" i="7"/>
  <c r="B167" i="7"/>
  <c r="B166" i="7"/>
  <c r="B165" i="7"/>
  <c r="B164" i="7"/>
  <c r="B163" i="7"/>
  <c r="B162" i="7"/>
  <c r="B161" i="7"/>
  <c r="B160" i="7"/>
  <c r="B159" i="7"/>
  <c r="B158" i="7"/>
  <c r="B157" i="7"/>
  <c r="B156" i="7"/>
  <c r="B155" i="7"/>
  <c r="B154" i="7"/>
  <c r="B153" i="7"/>
  <c r="B152" i="7"/>
  <c r="B151" i="7"/>
  <c r="B150" i="7"/>
  <c r="B149" i="7"/>
  <c r="B147" i="7"/>
  <c r="B146" i="7"/>
  <c r="B144" i="7"/>
  <c r="B142" i="7"/>
  <c r="B590" i="7"/>
  <c r="B589" i="7"/>
  <c r="B587" i="7"/>
  <c r="B585" i="7"/>
  <c r="B584" i="7"/>
  <c r="B578" i="7"/>
  <c r="B564" i="7"/>
  <c r="B563" i="7"/>
  <c r="B560" i="7"/>
  <c r="B559" i="7"/>
  <c r="B558" i="7"/>
  <c r="B557" i="7"/>
  <c r="B555" i="7"/>
  <c r="B554" i="7"/>
  <c r="B549" i="7"/>
  <c r="B546" i="7"/>
  <c r="B545" i="7"/>
  <c r="B543" i="7"/>
  <c r="B139" i="7"/>
  <c r="B138" i="7"/>
  <c r="B137" i="7"/>
  <c r="B136" i="7"/>
  <c r="B135" i="7"/>
  <c r="B134" i="7"/>
  <c r="B133" i="7"/>
  <c r="B132" i="7"/>
  <c r="B131" i="7"/>
  <c r="B130" i="7"/>
  <c r="B129" i="7"/>
  <c r="B128" i="7"/>
  <c r="B127" i="7"/>
  <c r="B126" i="7"/>
  <c r="B125" i="7"/>
  <c r="B124" i="7"/>
  <c r="B123" i="7"/>
  <c r="B122" i="7"/>
  <c r="B121" i="7"/>
  <c r="B120" i="7"/>
  <c r="B119" i="7"/>
  <c r="B118" i="7"/>
  <c r="B117" i="7"/>
  <c r="B116" i="7"/>
  <c r="B115" i="7"/>
  <c r="B114" i="7"/>
  <c r="B113" i="7"/>
  <c r="B112" i="7"/>
  <c r="B111" i="7"/>
  <c r="B110" i="7"/>
  <c r="B109" i="7"/>
  <c r="B108" i="7"/>
  <c r="B107" i="7"/>
  <c r="B106" i="7"/>
  <c r="B105" i="7"/>
  <c r="B104" i="7"/>
  <c r="B103" i="7"/>
  <c r="B102" i="7"/>
  <c r="B101" i="7"/>
  <c r="B100" i="7"/>
  <c r="B99" i="7"/>
  <c r="B98" i="7"/>
  <c r="B97" i="7"/>
  <c r="B96" i="7"/>
  <c r="B95" i="7"/>
  <c r="B94" i="7"/>
  <c r="B93" i="7"/>
  <c r="B92" i="7"/>
  <c r="B91" i="7"/>
  <c r="B90" i="7"/>
  <c r="B89" i="7"/>
  <c r="B88" i="7"/>
  <c r="B87" i="7"/>
  <c r="B86" i="7"/>
  <c r="B85" i="7"/>
  <c r="B84" i="7"/>
  <c r="B83" i="7"/>
  <c r="B82" i="7"/>
  <c r="B81" i="7"/>
  <c r="B80" i="7"/>
  <c r="B79" i="7"/>
  <c r="B78" i="7"/>
  <c r="B77" i="7"/>
  <c r="B76" i="7"/>
  <c r="B75" i="7"/>
  <c r="B74" i="7"/>
  <c r="B73" i="7"/>
  <c r="B72" i="7"/>
  <c r="B71" i="7"/>
  <c r="B70" i="7"/>
  <c r="B69" i="7"/>
  <c r="B68" i="7"/>
  <c r="B67" i="7"/>
  <c r="B66" i="7"/>
  <c r="B65" i="7"/>
  <c r="B64" i="7"/>
  <c r="B63" i="7"/>
  <c r="B62" i="7"/>
  <c r="B61" i="7"/>
  <c r="B60" i="7"/>
  <c r="B59" i="7"/>
  <c r="B58" i="7"/>
  <c r="B57" i="7"/>
  <c r="B56" i="7"/>
  <c r="B55" i="7"/>
  <c r="B54" i="7"/>
  <c r="B53" i="7"/>
  <c r="B52" i="7"/>
  <c r="B51" i="7"/>
  <c r="B50" i="7"/>
  <c r="B49" i="7"/>
  <c r="B48" i="7"/>
  <c r="B47" i="7"/>
  <c r="B46" i="7"/>
  <c r="B45" i="7"/>
  <c r="B44" i="7"/>
  <c r="B43" i="7"/>
  <c r="B42" i="7"/>
  <c r="B41" i="7"/>
  <c r="B40" i="7"/>
  <c r="B39" i="7"/>
  <c r="B38" i="7"/>
  <c r="B37" i="7"/>
  <c r="B36" i="7"/>
  <c r="B35" i="7"/>
  <c r="B34" i="7"/>
  <c r="B33" i="7"/>
  <c r="B32" i="7"/>
  <c r="B31" i="7"/>
  <c r="B30" i="7"/>
  <c r="B29" i="7"/>
  <c r="B28" i="7"/>
  <c r="B27" i="7"/>
  <c r="B26" i="7"/>
  <c r="B25" i="7"/>
  <c r="B24" i="7"/>
  <c r="B579" i="7"/>
  <c r="B568" i="7"/>
  <c r="B565" i="7"/>
  <c r="B553" i="7"/>
  <c r="B552" i="7"/>
  <c r="C87" i="15"/>
  <c r="B87" i="15"/>
  <c r="G71" i="4"/>
  <c r="E71" i="4"/>
  <c r="C71" i="4"/>
  <c r="H71" i="4"/>
  <c r="C70" i="4"/>
  <c r="H70" i="4"/>
  <c r="E70" i="4"/>
  <c r="G70" i="4"/>
  <c r="D86" i="15"/>
  <c r="B86" i="15"/>
  <c r="C86" i="15"/>
  <c r="G8" i="4"/>
  <c r="E8" i="4"/>
  <c r="H7" i="4"/>
  <c r="C7" i="4"/>
  <c r="G7" i="4"/>
  <c r="E7" i="4"/>
  <c r="B85" i="15"/>
  <c r="D85" i="15"/>
  <c r="C85" i="15"/>
  <c r="G29" i="4"/>
  <c r="E29" i="4"/>
  <c r="H29" i="4"/>
  <c r="C29" i="4"/>
  <c r="C28" i="4"/>
  <c r="H28" i="4"/>
  <c r="C26" i="4"/>
  <c r="H26" i="4"/>
  <c r="E25" i="4"/>
  <c r="G25" i="4"/>
  <c r="F24" i="6"/>
  <c r="C25" i="4"/>
  <c r="H25" i="4"/>
  <c r="G24" i="4"/>
  <c r="E24" i="4"/>
  <c r="H22" i="4"/>
  <c r="C22" i="4"/>
  <c r="E22" i="4"/>
  <c r="G22" i="4"/>
  <c r="F20" i="6"/>
  <c r="G21" i="4"/>
  <c r="E21" i="4"/>
  <c r="C21" i="4"/>
  <c r="H21" i="4"/>
  <c r="C20" i="4"/>
  <c r="H20" i="4"/>
  <c r="G20" i="4"/>
  <c r="E20" i="4"/>
  <c r="C19" i="4"/>
  <c r="H19" i="4"/>
  <c r="G19" i="4"/>
  <c r="E19" i="4"/>
  <c r="E17" i="4"/>
  <c r="F16" i="6"/>
  <c r="G17" i="4"/>
  <c r="C17" i="4"/>
  <c r="H17" i="4"/>
  <c r="F15" i="6"/>
  <c r="G16" i="4"/>
  <c r="E16" i="4"/>
  <c r="G15" i="4"/>
  <c r="E15" i="4"/>
  <c r="F14" i="6"/>
  <c r="F13" i="6"/>
  <c r="G14" i="4"/>
  <c r="E14" i="4"/>
  <c r="C14" i="4"/>
  <c r="H14" i="4"/>
  <c r="C13" i="4"/>
  <c r="H13" i="4"/>
  <c r="F12" i="6"/>
  <c r="G13" i="4"/>
  <c r="E13" i="4"/>
  <c r="H11" i="4"/>
  <c r="C11" i="4"/>
  <c r="G11" i="4"/>
  <c r="F10" i="6"/>
  <c r="G10" i="4"/>
  <c r="F9" i="6"/>
  <c r="E10" i="4"/>
  <c r="C10" i="4"/>
  <c r="H10" i="4"/>
  <c r="H9" i="4"/>
  <c r="C9" i="4"/>
  <c r="G9" i="4"/>
  <c r="E9" i="4"/>
  <c r="F8" i="6"/>
  <c r="C105" i="15"/>
  <c r="C96" i="15"/>
  <c r="D95" i="15"/>
  <c r="B95" i="15"/>
  <c r="B94" i="15"/>
  <c r="B93" i="15"/>
  <c r="D91" i="15"/>
  <c r="D90" i="15"/>
  <c r="B90" i="15"/>
  <c r="C89" i="15"/>
  <c r="C88" i="15"/>
  <c r="D87" i="15"/>
  <c r="C97" i="15"/>
  <c r="B98" i="15"/>
  <c r="B99" i="15"/>
  <c r="B57" i="15"/>
  <c r="H34" i="15"/>
  <c r="H38" i="15"/>
  <c r="K37" i="15"/>
  <c r="J37" i="15"/>
  <c r="F37" i="15"/>
  <c r="L36" i="15"/>
  <c r="H36" i="15"/>
  <c r="F35" i="15"/>
  <c r="F34" i="15"/>
  <c r="D98" i="15"/>
  <c r="D92" i="15"/>
  <c r="H35" i="15"/>
  <c r="G36" i="15"/>
  <c r="B56" i="15"/>
  <c r="D45" i="15"/>
  <c r="D56" i="15"/>
  <c r="C55" i="15"/>
  <c r="C54" i="15"/>
  <c r="D53" i="15"/>
  <c r="B53" i="15"/>
  <c r="C52" i="15"/>
  <c r="B51" i="15"/>
  <c r="C50" i="15"/>
  <c r="D49" i="15"/>
  <c r="B49" i="15"/>
  <c r="C48" i="15"/>
  <c r="D47" i="15"/>
  <c r="B47" i="15"/>
  <c r="D46" i="15"/>
  <c r="B46" i="15"/>
  <c r="P45" i="15"/>
  <c r="C45" i="15"/>
  <c r="C44" i="15"/>
  <c r="C43" i="15"/>
  <c r="C42" i="15"/>
  <c r="C41" i="15"/>
  <c r="H40" i="15"/>
  <c r="F40" i="15"/>
  <c r="G38" i="15"/>
  <c r="M37" i="15"/>
  <c r="G37" i="15"/>
  <c r="M36" i="15"/>
  <c r="J36" i="15"/>
  <c r="F36" i="15"/>
  <c r="L35" i="15"/>
  <c r="G35" i="15"/>
  <c r="G34" i="15"/>
  <c r="C99" i="15"/>
  <c r="D96" i="15"/>
  <c r="B96" i="15"/>
  <c r="C95" i="15"/>
  <c r="D94" i="15"/>
  <c r="C94" i="15"/>
  <c r="C93" i="15"/>
  <c r="B92" i="15"/>
  <c r="C91" i="15"/>
  <c r="B91" i="15"/>
  <c r="C90" i="15"/>
  <c r="D89" i="15"/>
  <c r="D88" i="15"/>
  <c r="B88" i="15"/>
  <c r="K36" i="15"/>
  <c r="H37" i="15"/>
  <c r="L37" i="15"/>
  <c r="F38" i="15"/>
  <c r="G40" i="15"/>
  <c r="B41" i="15"/>
  <c r="D41" i="15"/>
  <c r="D57" i="15"/>
  <c r="C56" i="15"/>
  <c r="D55" i="15"/>
  <c r="D54" i="15"/>
  <c r="B97" i="15"/>
  <c r="C53" i="15"/>
  <c r="D52" i="15"/>
  <c r="B52" i="15"/>
  <c r="C51" i="15"/>
  <c r="D50" i="15"/>
  <c r="B50" i="15"/>
  <c r="C49" i="15"/>
  <c r="D48" i="15"/>
  <c r="B48" i="15"/>
  <c r="C47" i="15"/>
  <c r="P46" i="15"/>
  <c r="B45" i="15"/>
  <c r="D44" i="15"/>
  <c r="B44" i="15"/>
  <c r="D43" i="15"/>
  <c r="B43" i="15"/>
  <c r="D42" i="15"/>
  <c r="B42" i="15"/>
  <c r="B89" i="15"/>
  <c r="C92" i="15"/>
  <c r="D93" i="15"/>
  <c r="D97" i="15"/>
  <c r="C98" i="15"/>
  <c r="D99" i="15"/>
  <c r="B100" i="15"/>
  <c r="C100" i="15"/>
  <c r="D100" i="15"/>
  <c r="B101" i="15"/>
  <c r="C101" i="15"/>
  <c r="D101" i="15"/>
  <c r="B102" i="15"/>
  <c r="C102" i="15"/>
  <c r="D102" i="15"/>
  <c r="B103" i="15"/>
  <c r="C103" i="15"/>
  <c r="D103" i="15"/>
  <c r="B104" i="15"/>
  <c r="C104" i="15"/>
  <c r="D104" i="15"/>
  <c r="B105" i="15"/>
  <c r="B54" i="15"/>
  <c r="J1001" i="6"/>
  <c r="J977" i="6"/>
  <c r="J932" i="6"/>
  <c r="J955" i="6"/>
  <c r="J861" i="6"/>
  <c r="J909" i="6"/>
  <c r="J1024" i="6"/>
  <c r="J885" i="6"/>
  <c r="J1002" i="6"/>
  <c r="J978" i="6"/>
  <c r="J933" i="6"/>
  <c r="J1025" i="6"/>
  <c r="J956" i="6"/>
  <c r="J862" i="6"/>
  <c r="J910" i="6"/>
  <c r="J886" i="6"/>
  <c r="J897" i="6"/>
  <c r="J989" i="6"/>
  <c r="J943" i="6"/>
  <c r="J965" i="6"/>
  <c r="J920" i="6"/>
  <c r="J873" i="6"/>
  <c r="J1012" i="6"/>
  <c r="J1013" i="6"/>
  <c r="J874" i="6"/>
  <c r="J990" i="6"/>
  <c r="J944" i="6"/>
  <c r="J966" i="6"/>
  <c r="J898" i="6"/>
  <c r="J921" i="6"/>
  <c r="J876" i="6"/>
  <c r="J1015" i="6"/>
  <c r="J923" i="6"/>
  <c r="J992" i="6"/>
  <c r="J900" i="6"/>
  <c r="J852" i="6"/>
  <c r="J946" i="6"/>
  <c r="J968" i="6"/>
  <c r="J970" i="6"/>
  <c r="J878" i="6"/>
  <c r="J994" i="6"/>
  <c r="J948" i="6"/>
  <c r="J854" i="6"/>
  <c r="J925" i="6"/>
  <c r="J902" i="6"/>
  <c r="J1017" i="6"/>
  <c r="J904" i="6"/>
  <c r="J972" i="6"/>
  <c r="J927" i="6"/>
  <c r="J856" i="6"/>
  <c r="J1019" i="6"/>
  <c r="J880" i="6"/>
  <c r="J996" i="6"/>
  <c r="J950" i="6"/>
  <c r="J974" i="6"/>
  <c r="J1021" i="6"/>
  <c r="J882" i="6"/>
  <c r="J858" i="6"/>
  <c r="J998" i="6"/>
  <c r="J906" i="6"/>
  <c r="J952" i="6"/>
  <c r="J929" i="6"/>
  <c r="J953" i="6"/>
  <c r="J999" i="6"/>
  <c r="J975" i="6"/>
  <c r="J859" i="6"/>
  <c r="J883" i="6"/>
  <c r="J1022" i="6"/>
  <c r="J907" i="6"/>
  <c r="J930" i="6"/>
  <c r="C46" i="15"/>
  <c r="B55" i="15"/>
  <c r="D84" i="15" l="1"/>
  <c r="B84" i="15"/>
  <c r="C84" i="15"/>
  <c r="C83" i="15"/>
  <c r="D83" i="15"/>
  <c r="B83" i="15"/>
  <c r="B82" i="15"/>
  <c r="D82" i="15"/>
  <c r="C82" i="15"/>
  <c r="D81" i="15"/>
  <c r="B81" i="15"/>
  <c r="C81" i="15"/>
  <c r="C80" i="15"/>
  <c r="D80" i="15"/>
  <c r="B80" i="15"/>
  <c r="B79" i="15"/>
  <c r="D79" i="15"/>
  <c r="C79" i="15"/>
  <c r="D78" i="15"/>
  <c r="C78" i="15"/>
  <c r="B78" i="15"/>
  <c r="C77" i="15"/>
  <c r="D77" i="15"/>
  <c r="B77" i="15"/>
  <c r="C76" i="15"/>
  <c r="B76" i="15"/>
  <c r="D76" i="15"/>
  <c r="B75" i="15"/>
  <c r="D75" i="15"/>
  <c r="C75" i="15"/>
  <c r="D74" i="15"/>
  <c r="C74" i="15"/>
  <c r="B74" i="15"/>
  <c r="C73" i="15"/>
  <c r="D73" i="15"/>
  <c r="B73" i="15"/>
  <c r="C72" i="15"/>
  <c r="D72" i="15"/>
  <c r="B72" i="15"/>
  <c r="C69" i="15"/>
  <c r="B69" i="15"/>
  <c r="D69" i="15"/>
  <c r="C27" i="4"/>
  <c r="H27" i="4"/>
  <c r="G27" i="4"/>
  <c r="F26" i="6"/>
  <c r="E27" i="4"/>
  <c r="AC23" i="8"/>
  <c r="I52" i="6"/>
  <c r="C36" i="7"/>
  <c r="D69" i="4"/>
  <c r="D23" i="4"/>
  <c r="H69" i="4"/>
  <c r="C69" i="4"/>
  <c r="C23" i="4"/>
  <c r="H23" i="4"/>
  <c r="E23" i="4"/>
  <c r="E69" i="4"/>
  <c r="G69" i="4"/>
  <c r="F22" i="6"/>
  <c r="G23" i="4"/>
  <c r="I48" i="6"/>
  <c r="C32" i="7"/>
  <c r="AC19" i="8"/>
  <c r="E18" i="4"/>
  <c r="G18" i="4"/>
  <c r="F17" i="6"/>
  <c r="AC14" i="8"/>
  <c r="I43" i="6"/>
  <c r="C27" i="7"/>
  <c r="C18" i="4"/>
  <c r="H18" i="4"/>
  <c r="F11" i="6"/>
  <c r="G12" i="4"/>
  <c r="E12" i="4"/>
  <c r="AC8" i="8"/>
  <c r="I37" i="6"/>
  <c r="C21" i="7"/>
  <c r="H12" i="4"/>
  <c r="C12" i="4"/>
  <c r="C40" i="15"/>
  <c r="B40" i="15"/>
  <c r="D40" i="15"/>
  <c r="C39" i="15"/>
  <c r="D39" i="15"/>
  <c r="B39" i="15"/>
  <c r="C38" i="15"/>
  <c r="D38" i="15"/>
  <c r="B38" i="15"/>
  <c r="C37" i="15"/>
  <c r="B37" i="15"/>
  <c r="D37" i="15"/>
  <c r="B36" i="15"/>
  <c r="C36" i="15"/>
  <c r="D36" i="15"/>
  <c r="B35" i="15"/>
  <c r="C35" i="15"/>
  <c r="D35" i="15"/>
  <c r="D52" i="4"/>
  <c r="C52" i="4"/>
  <c r="E52" i="4"/>
  <c r="H52" i="4"/>
  <c r="F52" i="4"/>
  <c r="E51" i="4"/>
  <c r="F51" i="4"/>
  <c r="G52" i="4"/>
  <c r="G51" i="4"/>
  <c r="C51" i="4"/>
  <c r="D51" i="4"/>
  <c r="H51" i="4"/>
  <c r="E4" i="7"/>
  <c r="E5" i="7"/>
  <c r="E6" i="7"/>
  <c r="E7" i="7"/>
  <c r="B12" i="3" s="1"/>
  <c r="E8" i="7"/>
  <c r="E9" i="7"/>
  <c r="E10" i="7"/>
  <c r="G6" i="5"/>
  <c r="H6" i="5" s="1"/>
  <c r="G7" i="5"/>
  <c r="H7" i="5" s="1"/>
  <c r="G5" i="5"/>
  <c r="H5" i="5" s="1"/>
  <c r="D51" i="5"/>
  <c r="D37" i="5"/>
  <c r="D39" i="5"/>
  <c r="D40" i="5"/>
  <c r="D42" i="5"/>
  <c r="D45" i="5"/>
  <c r="I52" i="5"/>
  <c r="D38" i="5"/>
  <c r="G52" i="5"/>
  <c r="D43" i="5"/>
  <c r="D34" i="5"/>
  <c r="D35" i="5"/>
  <c r="D44" i="5"/>
  <c r="D46" i="5"/>
  <c r="H52" i="5"/>
  <c r="E52" i="5"/>
  <c r="F52" i="5"/>
  <c r="D36" i="5"/>
  <c r="D52" i="5"/>
  <c r="C52" i="5"/>
  <c r="D41" i="5"/>
  <c r="E121" i="4"/>
  <c r="F120" i="4"/>
  <c r="H121" i="4"/>
  <c r="H119" i="4"/>
  <c r="G120" i="4"/>
  <c r="C121" i="4"/>
  <c r="D121" i="4"/>
  <c r="F121" i="4"/>
  <c r="C119" i="4"/>
  <c r="F119" i="4"/>
  <c r="G121" i="4"/>
  <c r="G119" i="4"/>
  <c r="C120" i="4"/>
  <c r="D119" i="4"/>
  <c r="E119" i="4"/>
  <c r="D120" i="4"/>
  <c r="H120" i="4"/>
  <c r="E120" i="4"/>
  <c r="G68" i="4"/>
  <c r="E68" i="4"/>
  <c r="B8" i="3" s="1"/>
  <c r="C22" i="5"/>
  <c r="I51" i="5"/>
  <c r="G6" i="4"/>
  <c r="E6" i="4"/>
  <c r="C153" i="4"/>
  <c r="F5" i="6"/>
  <c r="AC2" i="8"/>
  <c r="C5" i="5"/>
  <c r="I38" i="5"/>
  <c r="I39" i="5"/>
  <c r="I40" i="5"/>
  <c r="I41" i="5"/>
  <c r="I43" i="5"/>
  <c r="I36" i="5"/>
  <c r="I37" i="5"/>
  <c r="F57" i="5"/>
  <c r="E57" i="5"/>
  <c r="C29" i="5"/>
  <c r="C30" i="5"/>
  <c r="I34" i="5"/>
  <c r="I35" i="5"/>
  <c r="I44" i="5"/>
  <c r="I45" i="5"/>
  <c r="I46" i="5"/>
  <c r="C57" i="5"/>
  <c r="C6" i="5"/>
  <c r="C11" i="5"/>
  <c r="D57" i="5"/>
  <c r="I42" i="5"/>
  <c r="G57" i="5"/>
  <c r="I31" i="6"/>
  <c r="B6" i="6" s="1"/>
  <c r="I57" i="5"/>
  <c r="C7" i="5"/>
  <c r="C8" i="5"/>
  <c r="C9" i="5"/>
  <c r="C10" i="5"/>
  <c r="H57" i="5"/>
  <c r="C15" i="7"/>
  <c r="D153" i="4"/>
  <c r="D6" i="4"/>
  <c r="H51" i="5"/>
  <c r="D68" i="4"/>
  <c r="H36" i="5"/>
  <c r="H39" i="5"/>
  <c r="H40" i="5"/>
  <c r="H44" i="5"/>
  <c r="H45" i="5"/>
  <c r="H46" i="5"/>
  <c r="I56" i="5"/>
  <c r="H38" i="5"/>
  <c r="E56" i="5"/>
  <c r="C24" i="5"/>
  <c r="H34" i="5"/>
  <c r="H35" i="5"/>
  <c r="H43" i="5"/>
  <c r="D56" i="5"/>
  <c r="H56" i="5"/>
  <c r="G56" i="5"/>
  <c r="H41" i="5"/>
  <c r="F56" i="5"/>
  <c r="H37" i="5"/>
  <c r="C56" i="5"/>
  <c r="C12" i="5"/>
  <c r="C14" i="5" s="1"/>
  <c r="H42" i="5"/>
  <c r="H6" i="4"/>
  <c r="G51" i="5"/>
  <c r="H68" i="4"/>
  <c r="C68" i="4"/>
  <c r="C6" i="4"/>
  <c r="E153" i="4"/>
  <c r="G37" i="5"/>
  <c r="G38" i="5"/>
  <c r="G39" i="5"/>
  <c r="G40" i="5"/>
  <c r="G42" i="5"/>
  <c r="G46" i="5"/>
  <c r="C55" i="5"/>
  <c r="H55" i="5"/>
  <c r="G43" i="5"/>
  <c r="G34" i="5"/>
  <c r="G35" i="5"/>
  <c r="G44" i="5"/>
  <c r="G45" i="5"/>
  <c r="I55" i="5"/>
  <c r="F55" i="5"/>
  <c r="C13" i="5"/>
  <c r="G41" i="5"/>
  <c r="G55" i="5"/>
  <c r="G9" i="13"/>
  <c r="E55" i="5"/>
  <c r="G36" i="5"/>
  <c r="D55" i="5"/>
  <c r="G24" i="6"/>
  <c r="J855" i="6"/>
  <c r="J879" i="6"/>
  <c r="J903" i="6"/>
  <c r="J926" i="6"/>
  <c r="J949" i="6"/>
  <c r="J971" i="6"/>
  <c r="J995" i="6"/>
  <c r="J1018" i="6"/>
  <c r="G20" i="6"/>
  <c r="J875" i="6"/>
  <c r="J899" i="6"/>
  <c r="J922" i="6"/>
  <c r="J945" i="6"/>
  <c r="J967" i="6"/>
  <c r="J991" i="6"/>
  <c r="J1014" i="6"/>
  <c r="G16" i="6"/>
  <c r="J871" i="6"/>
  <c r="J895" i="6"/>
  <c r="J918" i="6"/>
  <c r="J941" i="6"/>
  <c r="J963" i="6"/>
  <c r="J1010" i="6"/>
  <c r="G15" i="6"/>
  <c r="J870" i="6"/>
  <c r="J894" i="6"/>
  <c r="J917" i="6"/>
  <c r="J940" i="6"/>
  <c r="J962" i="6"/>
  <c r="J1009" i="6"/>
  <c r="G14" i="6"/>
  <c r="J869" i="6"/>
  <c r="J893" i="6"/>
  <c r="J916" i="6"/>
  <c r="J939" i="6"/>
  <c r="J961" i="6"/>
  <c r="J1008" i="6"/>
  <c r="G13" i="6"/>
  <c r="J868" i="6"/>
  <c r="J892" i="6"/>
  <c r="J915" i="6"/>
  <c r="J938" i="6"/>
  <c r="J960" i="6"/>
  <c r="J1007" i="6"/>
  <c r="G12" i="6"/>
  <c r="J867" i="6"/>
  <c r="J891" i="6"/>
  <c r="J914" i="6"/>
  <c r="J937" i="6"/>
  <c r="J959" i="6"/>
  <c r="J1006" i="6"/>
  <c r="J1030" i="6"/>
  <c r="G10" i="6"/>
  <c r="J865" i="6"/>
  <c r="J889" i="6"/>
  <c r="J912" i="6"/>
  <c r="J935" i="6"/>
  <c r="J957" i="6"/>
  <c r="J1028" i="6"/>
  <c r="G9" i="6"/>
  <c r="J864" i="6"/>
  <c r="J888" i="6"/>
  <c r="J934" i="6"/>
  <c r="J980" i="6"/>
  <c r="J1004" i="6"/>
  <c r="J1027" i="6"/>
  <c r="G8" i="6"/>
  <c r="J792" i="6"/>
  <c r="J863" i="6"/>
  <c r="J887" i="6"/>
  <c r="J911" i="6"/>
  <c r="J979" i="6"/>
  <c r="J1003" i="6"/>
  <c r="J1026" i="6"/>
  <c r="C19" i="5"/>
  <c r="J35" i="15"/>
  <c r="M35" i="15"/>
  <c r="K35" i="15"/>
  <c r="F39" i="15"/>
  <c r="B34" i="15"/>
  <c r="D61" i="15"/>
  <c r="P37" i="15"/>
  <c r="B14" i="15"/>
  <c r="D36" i="2"/>
  <c r="C34" i="15"/>
  <c r="H39" i="15"/>
  <c r="D34" i="15"/>
  <c r="B15" i="15"/>
  <c r="C61" i="15"/>
  <c r="B13" i="15"/>
  <c r="M34" i="15"/>
  <c r="L34" i="15"/>
  <c r="P34" i="15"/>
  <c r="K34" i="15"/>
  <c r="P44" i="15"/>
  <c r="P43" i="15"/>
  <c r="P42" i="15"/>
  <c r="G39" i="15"/>
  <c r="B16" i="15"/>
  <c r="B11" i="2" s="1"/>
  <c r="P36" i="15"/>
  <c r="B61" i="15"/>
  <c r="B27" i="15"/>
  <c r="Q11" i="2" s="1"/>
  <c r="J34" i="15"/>
  <c r="P35" i="15"/>
  <c r="G103" i="4"/>
  <c r="C18" i="5"/>
  <c r="B7" i="3" s="1"/>
  <c r="G25" i="6"/>
  <c r="G6" i="6"/>
  <c r="G28" i="6"/>
  <c r="E103" i="4"/>
  <c r="C16" i="5"/>
  <c r="G23" i="6"/>
  <c r="I53" i="5"/>
  <c r="G19" i="6"/>
  <c r="E136" i="4"/>
  <c r="E39" i="4"/>
  <c r="G27" i="6"/>
  <c r="G39" i="4"/>
  <c r="G85" i="4"/>
  <c r="G21" i="6"/>
  <c r="G7" i="6"/>
  <c r="G136" i="4"/>
  <c r="G18" i="6"/>
  <c r="C23" i="5"/>
  <c r="E85" i="4"/>
  <c r="B10" i="3" s="1"/>
  <c r="D39" i="4"/>
  <c r="D103" i="4"/>
  <c r="H53" i="5"/>
  <c r="D85" i="4"/>
  <c r="D136" i="4"/>
  <c r="H85" i="4"/>
  <c r="C136" i="4"/>
  <c r="H39" i="4"/>
  <c r="G54" i="5"/>
  <c r="C39" i="4"/>
  <c r="H136" i="4"/>
  <c r="H103" i="4"/>
  <c r="C85" i="4"/>
  <c r="G53" i="5"/>
  <c r="C103" i="4"/>
  <c r="J667" i="6"/>
  <c r="J281" i="6"/>
  <c r="J211" i="6"/>
  <c r="J597" i="6"/>
  <c r="J481" i="6"/>
  <c r="J644" i="6"/>
  <c r="J621" i="6"/>
  <c r="J398" i="6"/>
  <c r="J422" i="6"/>
  <c r="J574" i="6"/>
  <c r="J434" i="6"/>
  <c r="J374" i="6"/>
  <c r="J551" i="6"/>
  <c r="J528" i="6"/>
  <c r="J50" i="6"/>
  <c r="J73" i="6"/>
  <c r="J95" i="6"/>
  <c r="J505" i="6"/>
  <c r="J118" i="6"/>
  <c r="J457" i="6"/>
  <c r="J259" i="6"/>
  <c r="J141" i="6"/>
  <c r="J164" i="6"/>
  <c r="J761" i="6"/>
  <c r="J737" i="6"/>
  <c r="J187" i="6"/>
  <c r="J714" i="6"/>
  <c r="J690" i="6"/>
  <c r="J235" i="6"/>
  <c r="J640" i="6"/>
  <c r="J710" i="6"/>
  <c r="J183" i="6"/>
  <c r="J370" i="6"/>
  <c r="J524" i="6"/>
  <c r="J160" i="6"/>
  <c r="J686" i="6"/>
  <c r="J733" i="6"/>
  <c r="J615" i="6"/>
  <c r="J207" i="6"/>
  <c r="J231" i="6"/>
  <c r="J547" i="6"/>
  <c r="J663" i="6"/>
  <c r="J394" i="6"/>
  <c r="J757" i="6"/>
  <c r="J137" i="6"/>
  <c r="J46" i="6"/>
  <c r="J501" i="6"/>
  <c r="J114" i="6"/>
  <c r="J477" i="6"/>
  <c r="J570" i="6"/>
  <c r="J277" i="6"/>
  <c r="J418" i="6"/>
  <c r="J430" i="6"/>
  <c r="J593" i="6"/>
  <c r="J69" i="6"/>
  <c r="J91" i="6"/>
  <c r="J453" i="6"/>
  <c r="J255" i="6"/>
  <c r="J449" i="6"/>
  <c r="J706" i="6"/>
  <c r="J87" i="6"/>
  <c r="J589" i="6"/>
  <c r="J273" i="6"/>
  <c r="J776" i="6"/>
  <c r="J414" i="6"/>
  <c r="J65" i="6"/>
  <c r="J295" i="6"/>
  <c r="J342" i="6"/>
  <c r="J566" i="6"/>
  <c r="J110" i="6"/>
  <c r="J133" i="6"/>
  <c r="J611" i="6"/>
  <c r="J753" i="6"/>
  <c r="J42" i="6"/>
  <c r="J659" i="6"/>
  <c r="J390" i="6"/>
  <c r="J473" i="6"/>
  <c r="J179" i="6"/>
  <c r="J497" i="6"/>
  <c r="J682" i="6"/>
  <c r="J636" i="6"/>
  <c r="J203" i="6"/>
  <c r="J729" i="6"/>
  <c r="J156" i="6"/>
  <c r="J520" i="6"/>
  <c r="J366" i="6"/>
  <c r="J543" i="6"/>
  <c r="J251" i="6"/>
  <c r="J178" i="6"/>
  <c r="J294" i="6"/>
  <c r="J681" i="6"/>
  <c r="J542" i="6"/>
  <c r="J705" i="6"/>
  <c r="J496" i="6"/>
  <c r="J155" i="6"/>
  <c r="J202" i="6"/>
  <c r="J389" i="6"/>
  <c r="J610" i="6"/>
  <c r="J519" i="6"/>
  <c r="J472" i="6"/>
  <c r="J728" i="6"/>
  <c r="J365" i="6"/>
  <c r="J635" i="6"/>
  <c r="J413" i="6"/>
  <c r="J341" i="6"/>
  <c r="J109" i="6"/>
  <c r="J132" i="6"/>
  <c r="J588" i="6"/>
  <c r="J41" i="6"/>
  <c r="J86" i="6"/>
  <c r="J250" i="6"/>
  <c r="J448" i="6"/>
  <c r="J658" i="6"/>
  <c r="J272" i="6"/>
  <c r="J775" i="6"/>
  <c r="J752" i="6"/>
  <c r="J64" i="6"/>
  <c r="J565" i="6"/>
  <c r="J471" i="6"/>
  <c r="J518" i="6"/>
  <c r="J541" i="6"/>
  <c r="J293" i="6"/>
  <c r="J495" i="6"/>
  <c r="J63" i="6"/>
  <c r="J564" i="6"/>
  <c r="J774" i="6"/>
  <c r="J704" i="6"/>
  <c r="J364" i="6"/>
  <c r="J657" i="6"/>
  <c r="J271" i="6"/>
  <c r="J634" i="6"/>
  <c r="J587" i="6"/>
  <c r="J201" i="6"/>
  <c r="J85" i="6"/>
  <c r="J751" i="6"/>
  <c r="J447" i="6"/>
  <c r="J388" i="6"/>
  <c r="J249" i="6"/>
  <c r="J154" i="6"/>
  <c r="J340" i="6"/>
  <c r="J727" i="6"/>
  <c r="J40" i="6"/>
  <c r="J609" i="6"/>
  <c r="J412" i="6"/>
  <c r="J131" i="6"/>
  <c r="J680" i="6"/>
  <c r="J108" i="6"/>
  <c r="J177" i="6"/>
  <c r="J773" i="6"/>
  <c r="J176" i="6"/>
  <c r="J130" i="6"/>
  <c r="J411" i="6"/>
  <c r="J517" i="6"/>
  <c r="J470" i="6"/>
  <c r="J608" i="6"/>
  <c r="J107" i="6"/>
  <c r="J446" i="6"/>
  <c r="J563" i="6"/>
  <c r="J726" i="6"/>
  <c r="J153" i="6"/>
  <c r="J248" i="6"/>
  <c r="J750" i="6"/>
  <c r="J494" i="6"/>
  <c r="J387" i="6"/>
  <c r="J633" i="6"/>
  <c r="J540" i="6"/>
  <c r="J84" i="6"/>
  <c r="J200" i="6"/>
  <c r="J703" i="6"/>
  <c r="J270" i="6"/>
  <c r="J586" i="6"/>
  <c r="J656" i="6"/>
  <c r="J292" i="6"/>
  <c r="J62" i="6"/>
  <c r="J679" i="6"/>
  <c r="J363" i="6"/>
  <c r="J339" i="6"/>
  <c r="J338" i="6"/>
  <c r="J315" i="6"/>
  <c r="J632" i="6"/>
  <c r="J386" i="6"/>
  <c r="J362" i="6"/>
  <c r="J607" i="6"/>
  <c r="J445" i="6"/>
  <c r="J199" i="6"/>
  <c r="J493" i="6"/>
  <c r="J585" i="6"/>
  <c r="J152" i="6"/>
  <c r="J772" i="6"/>
  <c r="J749" i="6"/>
  <c r="J562" i="6"/>
  <c r="J469" i="6"/>
  <c r="J410" i="6"/>
  <c r="J129" i="6"/>
  <c r="J725" i="6"/>
  <c r="J702" i="6"/>
  <c r="J539" i="6"/>
  <c r="J678" i="6"/>
  <c r="J175" i="6"/>
  <c r="J655" i="6"/>
  <c r="J516" i="6"/>
  <c r="J106" i="6"/>
  <c r="J61" i="6"/>
  <c r="J291" i="6"/>
  <c r="J269" i="6"/>
  <c r="J83" i="6"/>
  <c r="J247" i="6"/>
  <c r="J677" i="6"/>
  <c r="J537" i="6"/>
  <c r="J267" i="6"/>
  <c r="J384" i="6"/>
  <c r="J81" i="6"/>
  <c r="J173" i="6"/>
  <c r="J630" i="6"/>
  <c r="J336" i="6"/>
  <c r="J313" i="6"/>
  <c r="J289" i="6"/>
  <c r="J408" i="6"/>
  <c r="J605" i="6"/>
  <c r="J104" i="6"/>
  <c r="J443" i="6"/>
  <c r="J197" i="6"/>
  <c r="J491" i="6"/>
  <c r="J583" i="6"/>
  <c r="J127" i="6"/>
  <c r="J150" i="6"/>
  <c r="J770" i="6"/>
  <c r="J467" i="6"/>
  <c r="J360" i="6"/>
  <c r="J747" i="6"/>
  <c r="J560" i="6"/>
  <c r="J700" i="6"/>
  <c r="J723" i="6"/>
  <c r="J245" i="6"/>
  <c r="J466" i="6"/>
  <c r="J746" i="6"/>
  <c r="J383" i="6"/>
  <c r="J244" i="6"/>
  <c r="J126" i="6"/>
  <c r="J80" i="6"/>
  <c r="J514" i="6"/>
  <c r="J559" i="6"/>
  <c r="J699" i="6"/>
  <c r="J312" i="6"/>
  <c r="J359" i="6"/>
  <c r="J407" i="6"/>
  <c r="J172" i="6"/>
  <c r="J490" i="6"/>
  <c r="J149" i="6"/>
  <c r="J103" i="6"/>
  <c r="J196" i="6"/>
  <c r="J676" i="6"/>
  <c r="J442" i="6"/>
  <c r="J582" i="6"/>
  <c r="J653" i="6"/>
  <c r="J59" i="6"/>
  <c r="J311" i="6"/>
  <c r="J465" i="6"/>
  <c r="J58" i="6"/>
  <c r="J243" i="6"/>
  <c r="J675" i="6"/>
  <c r="J652" i="6"/>
  <c r="J769" i="6"/>
  <c r="J335" i="6"/>
  <c r="J195" i="6"/>
  <c r="J358" i="6"/>
  <c r="J513" i="6"/>
  <c r="J698" i="6"/>
  <c r="J629" i="6"/>
  <c r="J558" i="6"/>
  <c r="J489" i="6"/>
  <c r="J536" i="6"/>
  <c r="J722" i="6"/>
  <c r="J382" i="6"/>
  <c r="J406" i="6"/>
  <c r="J745" i="6"/>
  <c r="C41" i="2" l="1"/>
  <c r="J809" i="6"/>
  <c r="J833" i="6"/>
  <c r="J52" i="6"/>
  <c r="J75" i="6"/>
  <c r="J97" i="6"/>
  <c r="J120" i="6"/>
  <c r="J143" i="6"/>
  <c r="J166" i="6"/>
  <c r="J189" i="6"/>
  <c r="J213" i="6"/>
  <c r="J237" i="6"/>
  <c r="J261" i="6"/>
  <c r="J283" i="6"/>
  <c r="J646" i="6"/>
  <c r="J669" i="6"/>
  <c r="J692" i="6"/>
  <c r="J716" i="6"/>
  <c r="J739" i="6"/>
  <c r="J763" i="6"/>
  <c r="J786" i="6"/>
  <c r="J352" i="6"/>
  <c r="J400" i="6"/>
  <c r="J305" i="6"/>
  <c r="J424" i="6"/>
  <c r="J436" i="6"/>
  <c r="J459" i="6"/>
  <c r="J507" i="6"/>
  <c r="J530" i="6"/>
  <c r="J553" i="6"/>
  <c r="J329" i="6"/>
  <c r="J376" i="6"/>
  <c r="J483" i="6"/>
  <c r="J576" i="6"/>
  <c r="J599" i="6"/>
  <c r="J623" i="6"/>
  <c r="G26" i="6"/>
  <c r="J857" i="6"/>
  <c r="J881" i="6"/>
  <c r="J905" i="6"/>
  <c r="J928" i="6"/>
  <c r="J951" i="6"/>
  <c r="J973" i="6"/>
  <c r="J997" i="6"/>
  <c r="J1020" i="6"/>
  <c r="J48" i="6"/>
  <c r="J71" i="6"/>
  <c r="J93" i="6"/>
  <c r="J116" i="6"/>
  <c r="J162" i="6"/>
  <c r="J185" i="6"/>
  <c r="J209" i="6"/>
  <c r="J233" i="6"/>
  <c r="J139" i="6"/>
  <c r="J257" i="6"/>
  <c r="J279" i="6"/>
  <c r="J642" i="6"/>
  <c r="J665" i="6"/>
  <c r="J688" i="6"/>
  <c r="J712" i="6"/>
  <c r="J735" i="6"/>
  <c r="J759" i="6"/>
  <c r="J301" i="6"/>
  <c r="J348" i="6"/>
  <c r="J396" i="6"/>
  <c r="J325" i="6"/>
  <c r="J420" i="6"/>
  <c r="J432" i="6"/>
  <c r="J455" i="6"/>
  <c r="J479" i="6"/>
  <c r="J782" i="6"/>
  <c r="J805" i="6"/>
  <c r="J829" i="6"/>
  <c r="J372" i="6"/>
  <c r="J503" i="6"/>
  <c r="J526" i="6"/>
  <c r="J549" i="6"/>
  <c r="J572" i="6"/>
  <c r="J595" i="6"/>
  <c r="J617" i="6"/>
  <c r="J619" i="6"/>
  <c r="G22" i="6"/>
  <c r="J853" i="6"/>
  <c r="J877" i="6"/>
  <c r="J901" i="6"/>
  <c r="J924" i="6"/>
  <c r="J947" i="6"/>
  <c r="J969" i="6"/>
  <c r="J993" i="6"/>
  <c r="J1016" i="6"/>
  <c r="J824" i="6"/>
  <c r="J43" i="6"/>
  <c r="J66" i="6"/>
  <c r="J88" i="6"/>
  <c r="J111" i="6"/>
  <c r="J157" i="6"/>
  <c r="J180" i="6"/>
  <c r="J204" i="6"/>
  <c r="J228" i="6"/>
  <c r="J134" i="6"/>
  <c r="J252" i="6"/>
  <c r="J274" i="6"/>
  <c r="J296" i="6"/>
  <c r="J660" i="6"/>
  <c r="J683" i="6"/>
  <c r="J707" i="6"/>
  <c r="J730" i="6"/>
  <c r="J754" i="6"/>
  <c r="J777" i="6"/>
  <c r="J800" i="6"/>
  <c r="J848" i="6"/>
  <c r="J391" i="6"/>
  <c r="J415" i="6"/>
  <c r="J427" i="6"/>
  <c r="J450" i="6"/>
  <c r="J474" i="6"/>
  <c r="J320" i="6"/>
  <c r="J498" i="6"/>
  <c r="J521" i="6"/>
  <c r="J544" i="6"/>
  <c r="J343" i="6"/>
  <c r="J367" i="6"/>
  <c r="J567" i="6"/>
  <c r="J590" i="6"/>
  <c r="J612" i="6"/>
  <c r="J637" i="6"/>
  <c r="G17" i="6"/>
  <c r="J872" i="6"/>
  <c r="J896" i="6"/>
  <c r="J919" i="6"/>
  <c r="J942" i="6"/>
  <c r="J964" i="6"/>
  <c r="J988" i="6"/>
  <c r="J1011" i="6"/>
  <c r="J818" i="6"/>
  <c r="J794" i="6"/>
  <c r="J842" i="6"/>
  <c r="J982" i="6"/>
  <c r="J60" i="6"/>
  <c r="J82" i="6"/>
  <c r="J105" i="6"/>
  <c r="J128" i="6"/>
  <c r="J151" i="6"/>
  <c r="J174" i="6"/>
  <c r="J198" i="6"/>
  <c r="J246" i="6"/>
  <c r="J268" i="6"/>
  <c r="J290" i="6"/>
  <c r="J654" i="6"/>
  <c r="J701" i="6"/>
  <c r="J724" i="6"/>
  <c r="J748" i="6"/>
  <c r="J771" i="6"/>
  <c r="J37" i="6"/>
  <c r="J222" i="6"/>
  <c r="J337" i="6"/>
  <c r="J361" i="6"/>
  <c r="J385" i="6"/>
  <c r="J314" i="6"/>
  <c r="J444" i="6"/>
  <c r="J468" i="6"/>
  <c r="J492" i="6"/>
  <c r="J515" i="6"/>
  <c r="J538" i="6"/>
  <c r="J561" i="6"/>
  <c r="J409" i="6"/>
  <c r="J584" i="6"/>
  <c r="J606" i="6"/>
  <c r="J631" i="6"/>
  <c r="G11" i="6"/>
  <c r="J866" i="6"/>
  <c r="J890" i="6"/>
  <c r="J913" i="6"/>
  <c r="J936" i="6"/>
  <c r="J958" i="6"/>
  <c r="J1005" i="6"/>
  <c r="J1029" i="6"/>
  <c r="J789" i="6"/>
  <c r="J836" i="6"/>
  <c r="J55" i="6"/>
  <c r="J78" i="6"/>
  <c r="J100" i="6"/>
  <c r="J123" i="6"/>
  <c r="J146" i="6"/>
  <c r="J169" i="6"/>
  <c r="J192" i="6"/>
  <c r="J216" i="6"/>
  <c r="J240" i="6"/>
  <c r="J264" i="6"/>
  <c r="J286" i="6"/>
  <c r="J649" i="6"/>
  <c r="J672" i="6"/>
  <c r="J695" i="6"/>
  <c r="J719" i="6"/>
  <c r="J742" i="6"/>
  <c r="J766" i="6"/>
  <c r="J812" i="6"/>
  <c r="J31" i="6"/>
  <c r="J308" i="6"/>
  <c r="J355" i="6"/>
  <c r="J403" i="6"/>
  <c r="J439" i="6"/>
  <c r="J462" i="6"/>
  <c r="J379" i="6"/>
  <c r="J510" i="6"/>
  <c r="J533" i="6"/>
  <c r="J556" i="6"/>
  <c r="J332" i="6"/>
  <c r="J486" i="6"/>
  <c r="J579" i="6"/>
  <c r="J602" i="6"/>
  <c r="J626" i="6"/>
  <c r="G5" i="6"/>
  <c r="J860" i="6"/>
  <c r="J884" i="6"/>
  <c r="J908" i="6"/>
  <c r="J931" i="6"/>
  <c r="J954" i="6"/>
  <c r="J976" i="6"/>
  <c r="J1000" i="6"/>
  <c r="J1023" i="6"/>
  <c r="AD15" i="8"/>
  <c r="AD16" i="8"/>
  <c r="AD17" i="8"/>
  <c r="AD18" i="8"/>
  <c r="AD9" i="8"/>
  <c r="AD10" i="8"/>
  <c r="AD11" i="8"/>
  <c r="AD12" i="8"/>
  <c r="AD13" i="8"/>
  <c r="AD36" i="8"/>
  <c r="AD37" i="8"/>
  <c r="AD56" i="8"/>
  <c r="AD72" i="8"/>
  <c r="AD84" i="8"/>
  <c r="AD87" i="8"/>
  <c r="AD88" i="8"/>
  <c r="AD89" i="8"/>
  <c r="AD92" i="8"/>
  <c r="AD99" i="8"/>
  <c r="AD103" i="8"/>
  <c r="AD106" i="8"/>
  <c r="AD128" i="8"/>
  <c r="AD133" i="8"/>
  <c r="AD134" i="8"/>
  <c r="AD136" i="8"/>
  <c r="AD137" i="8"/>
  <c r="AD138" i="8"/>
  <c r="AD142" i="8"/>
  <c r="AD143" i="8"/>
  <c r="AD145" i="8"/>
  <c r="AD146" i="8"/>
  <c r="AD148" i="8"/>
  <c r="AD149" i="8"/>
  <c r="AD153" i="8"/>
  <c r="AD156" i="8"/>
  <c r="AD170" i="8"/>
  <c r="AD174" i="8"/>
  <c r="AD178" i="8"/>
  <c r="AD180" i="8"/>
  <c r="AD183" i="8"/>
  <c r="AD191" i="8"/>
  <c r="AD192" i="8"/>
  <c r="AD193" i="8"/>
  <c r="AD194" i="8"/>
  <c r="AD196" i="8"/>
  <c r="AD198" i="8"/>
  <c r="AD205" i="8"/>
  <c r="AD215" i="8"/>
  <c r="AD226" i="8"/>
  <c r="AD227" i="8"/>
  <c r="AD228" i="8"/>
  <c r="AD234" i="8"/>
  <c r="AD235" i="8"/>
  <c r="AD237" i="8"/>
  <c r="AD251" i="8"/>
  <c r="AD253" i="8"/>
  <c r="AD274" i="8"/>
  <c r="AD323" i="8"/>
  <c r="AD327" i="8"/>
  <c r="AD333" i="8"/>
  <c r="AD341" i="8"/>
  <c r="AD351" i="8"/>
  <c r="AD353" i="8"/>
  <c r="AD354" i="8"/>
  <c r="AD355" i="8"/>
  <c r="AD356" i="8"/>
  <c r="AD357" i="8"/>
  <c r="AD358" i="8"/>
  <c r="AD359" i="8"/>
  <c r="AD360" i="8"/>
  <c r="AD361" i="8"/>
  <c r="AD362" i="8"/>
  <c r="AD363" i="8"/>
  <c r="AD364" i="8"/>
  <c r="AD365" i="8"/>
  <c r="AD366" i="8"/>
  <c r="AD367" i="8"/>
  <c r="AD368" i="8"/>
  <c r="AD369" i="8"/>
  <c r="AD370" i="8"/>
  <c r="AD371" i="8"/>
  <c r="AD372" i="8"/>
  <c r="AD373" i="8"/>
  <c r="AD374" i="8"/>
  <c r="AD375" i="8"/>
  <c r="AD24" i="8"/>
  <c r="AD27" i="8"/>
  <c r="AD28" i="8"/>
  <c r="AD38" i="8"/>
  <c r="AD39" i="8"/>
  <c r="AD40" i="8"/>
  <c r="AD43" i="8"/>
  <c r="AD45" i="8"/>
  <c r="AD46" i="8"/>
  <c r="AD48" i="8"/>
  <c r="AD50" i="8"/>
  <c r="AD51" i="8"/>
  <c r="AD53" i="8"/>
  <c r="AD54" i="8"/>
  <c r="AD60" i="8"/>
  <c r="AD61" i="8"/>
  <c r="AD63" i="8"/>
  <c r="AD66" i="8"/>
  <c r="AD68" i="8"/>
  <c r="AD91" i="8"/>
  <c r="AD93" i="8"/>
  <c r="AD96" i="8"/>
  <c r="AD105" i="8"/>
  <c r="AD107" i="8"/>
  <c r="AD110" i="8"/>
  <c r="AD113" i="8"/>
  <c r="AD115" i="8"/>
  <c r="AD117" i="8"/>
  <c r="AD119" i="8"/>
  <c r="AD120" i="8"/>
  <c r="AD122" i="8"/>
  <c r="AD123" i="8"/>
  <c r="AD125" i="8"/>
  <c r="AD141" i="8"/>
  <c r="AD147" i="8"/>
  <c r="AD151" i="8"/>
  <c r="AD154" i="8"/>
  <c r="AD162" i="8"/>
  <c r="AD163" i="8"/>
  <c r="AD165" i="8"/>
  <c r="AD168" i="8"/>
  <c r="AD169" i="8"/>
  <c r="AD172" i="8"/>
  <c r="AD176" i="8"/>
  <c r="AD177" i="8"/>
  <c r="AD185" i="8"/>
  <c r="AD187" i="8"/>
  <c r="AD190" i="8"/>
  <c r="AD197" i="8"/>
  <c r="AD200" i="8"/>
  <c r="AD202" i="8"/>
  <c r="AD210" i="8"/>
  <c r="AD212" i="8"/>
  <c r="AD214" i="8"/>
  <c r="AD217" i="8"/>
  <c r="AD220" i="8"/>
  <c r="AD221" i="8"/>
  <c r="AD223" i="8"/>
  <c r="AD229" i="8"/>
  <c r="AD230" i="8"/>
  <c r="AD231" i="8"/>
  <c r="AD232" i="8"/>
  <c r="AD236" i="8"/>
  <c r="AD239" i="8"/>
  <c r="AD245" i="8"/>
  <c r="AD247" i="8"/>
  <c r="AD248" i="8"/>
  <c r="AD250" i="8"/>
  <c r="AD252" i="8"/>
  <c r="AD257" i="8"/>
  <c r="AD264" i="8"/>
  <c r="AD265" i="8"/>
  <c r="AD266" i="8"/>
  <c r="AD268" i="8"/>
  <c r="AD270" i="8"/>
  <c r="AD275" i="8"/>
  <c r="AD277" i="8"/>
  <c r="AD279" i="8"/>
  <c r="AD286" i="8"/>
  <c r="AD291" i="8"/>
  <c r="AD292" i="8"/>
  <c r="AD293" i="8"/>
  <c r="AD296" i="8"/>
  <c r="AD298" i="8"/>
  <c r="AD301" i="8"/>
  <c r="AD305" i="8"/>
  <c r="AD308" i="8"/>
  <c r="AD309" i="8"/>
  <c r="AD310" i="8"/>
  <c r="AD314" i="8"/>
  <c r="AD316" i="8"/>
  <c r="AD319" i="8"/>
  <c r="AD320" i="8"/>
  <c r="AD321" i="8"/>
  <c r="AD329" i="8"/>
  <c r="AD330" i="8"/>
  <c r="AD331" i="8"/>
  <c r="AD340" i="8"/>
  <c r="AD343" i="8"/>
  <c r="AD350" i="8"/>
  <c r="AD352" i="8"/>
  <c r="AD378" i="8"/>
  <c r="AD381" i="8"/>
  <c r="AD382" i="8"/>
  <c r="AD384" i="8"/>
  <c r="AD385" i="8"/>
  <c r="AD386" i="8"/>
  <c r="AD387" i="8"/>
  <c r="AD388" i="8"/>
  <c r="AD389" i="8"/>
  <c r="AD390" i="8"/>
  <c r="AD391" i="8"/>
  <c r="AD392" i="8"/>
  <c r="AD393" i="8"/>
  <c r="AD394" i="8"/>
  <c r="AD395" i="8"/>
  <c r="AD396" i="8"/>
  <c r="AD397" i="8"/>
  <c r="AD398" i="8"/>
  <c r="AD399" i="8"/>
  <c r="AD400" i="8"/>
  <c r="AD401" i="8"/>
  <c r="AD402" i="8"/>
  <c r="AD403" i="8"/>
  <c r="AD404" i="8"/>
  <c r="AD405" i="8"/>
  <c r="AD406" i="8"/>
  <c r="AD407" i="8"/>
  <c r="AD408" i="8"/>
  <c r="AD409" i="8"/>
  <c r="AD410" i="8"/>
  <c r="AD411" i="8"/>
  <c r="AD412" i="8"/>
  <c r="AD413" i="8"/>
  <c r="AD414" i="8"/>
  <c r="AD415" i="8"/>
  <c r="AD416" i="8"/>
  <c r="AD417" i="8"/>
  <c r="AD418" i="8"/>
  <c r="AD419" i="8"/>
  <c r="AD420" i="8"/>
  <c r="AD421" i="8"/>
  <c r="AD422" i="8"/>
  <c r="AD423" i="8"/>
  <c r="AD424" i="8"/>
  <c r="AD425" i="8"/>
  <c r="AD426" i="8"/>
  <c r="AD427" i="8"/>
  <c r="AD428" i="8"/>
  <c r="AD429" i="8"/>
  <c r="AD430" i="8"/>
  <c r="AD431" i="8"/>
  <c r="AD432" i="8"/>
  <c r="AD433" i="8"/>
  <c r="AD434" i="8"/>
  <c r="AD435" i="8"/>
  <c r="AD436" i="8"/>
  <c r="AD437" i="8"/>
  <c r="AD438" i="8"/>
  <c r="AD439" i="8"/>
  <c r="AD440" i="8"/>
  <c r="AD441" i="8"/>
  <c r="AD442" i="8"/>
  <c r="AD443" i="8"/>
  <c r="AD444" i="8"/>
  <c r="AD445" i="8"/>
  <c r="AD446" i="8"/>
  <c r="AD447" i="8"/>
  <c r="AD448" i="8"/>
  <c r="AD449" i="8"/>
  <c r="AD450" i="8"/>
  <c r="AD451" i="8"/>
  <c r="AD452" i="8"/>
  <c r="AD453" i="8"/>
  <c r="AD454" i="8"/>
  <c r="AD3" i="8"/>
  <c r="AD4" i="8"/>
  <c r="AD5" i="8"/>
  <c r="AD6" i="8"/>
  <c r="AD7" i="8"/>
  <c r="AD20" i="8"/>
  <c r="AD21" i="8"/>
  <c r="AD22" i="8"/>
  <c r="AD26" i="8"/>
  <c r="AD29" i="8"/>
  <c r="AD30" i="8"/>
  <c r="AD31" i="8"/>
  <c r="AD33" i="8"/>
  <c r="AD41" i="8"/>
  <c r="AD42" i="8"/>
  <c r="AD47" i="8"/>
  <c r="AD57" i="8"/>
  <c r="AD64" i="8"/>
  <c r="AD65" i="8"/>
  <c r="AD67" i="8"/>
  <c r="AD73" i="8"/>
  <c r="AD74" i="8"/>
  <c r="AD78" i="8"/>
  <c r="AD80" i="8"/>
  <c r="AD82" i="8"/>
  <c r="AD85" i="8"/>
  <c r="AD97" i="8"/>
  <c r="AD98" i="8"/>
  <c r="AD100" i="8"/>
  <c r="AD102" i="8"/>
  <c r="AD104" i="8"/>
  <c r="AD109" i="8"/>
  <c r="AD111" i="8"/>
  <c r="AD112" i="8"/>
  <c r="AD116" i="8"/>
  <c r="AD121" i="8"/>
  <c r="AD127" i="8"/>
  <c r="AD130" i="8"/>
  <c r="AD131" i="8"/>
  <c r="AD132" i="8"/>
  <c r="AD139" i="8"/>
  <c r="AD140" i="8"/>
  <c r="AD144" i="8"/>
  <c r="AD152" i="8"/>
  <c r="AD158" i="8"/>
  <c r="AD159" i="8"/>
  <c r="AD160" i="8"/>
  <c r="AD161" i="8"/>
  <c r="AD166" i="8"/>
  <c r="AD181" i="8"/>
  <c r="AD184" i="8"/>
  <c r="AD188" i="8"/>
  <c r="AD199" i="8"/>
  <c r="AD204" i="8"/>
  <c r="AD209" i="8"/>
  <c r="AD213" i="8"/>
  <c r="AD218" i="8"/>
  <c r="AD219" i="8"/>
  <c r="AD222" i="8"/>
  <c r="AD238" i="8"/>
  <c r="AD242" i="8"/>
  <c r="AD246" i="8"/>
  <c r="AD249" i="8"/>
  <c r="AD254" i="8"/>
  <c r="AD259" i="8"/>
  <c r="AD261" i="8"/>
  <c r="AD263" i="8"/>
  <c r="AD281" i="8"/>
  <c r="AD283" i="8"/>
  <c r="AD284" i="8"/>
  <c r="AD289" i="8"/>
  <c r="AD290" i="8"/>
  <c r="AD294" i="8"/>
  <c r="AD297" i="8"/>
  <c r="AD300" i="8"/>
  <c r="AD303" i="8"/>
  <c r="AD304" i="8"/>
  <c r="AD306" i="8"/>
  <c r="AD307" i="8"/>
  <c r="AD315" i="8"/>
  <c r="AD322" i="8"/>
  <c r="AD326" i="8"/>
  <c r="AD328" i="8"/>
  <c r="AD332" i="8"/>
  <c r="AD336" i="8"/>
  <c r="AD338" i="8"/>
  <c r="AD347" i="8"/>
  <c r="AD377" i="8"/>
  <c r="AD379" i="8"/>
  <c r="AD380" i="8"/>
  <c r="AD455" i="8"/>
  <c r="AD457" i="8"/>
  <c r="AD461" i="8"/>
  <c r="AD462" i="8"/>
  <c r="AD463" i="8"/>
  <c r="AD464" i="8"/>
  <c r="AD465" i="8"/>
  <c r="AD466" i="8"/>
  <c r="AD467" i="8"/>
  <c r="AD468" i="8"/>
  <c r="AD469" i="8"/>
  <c r="AD470" i="8"/>
  <c r="AD471" i="8"/>
  <c r="AD472" i="8"/>
  <c r="AD473" i="8"/>
  <c r="AD474" i="8"/>
  <c r="AD475" i="8"/>
  <c r="AD476" i="8"/>
  <c r="AD477" i="8"/>
  <c r="AD478" i="8"/>
  <c r="AD479" i="8"/>
  <c r="AD480" i="8"/>
  <c r="AD481" i="8"/>
  <c r="AD482" i="8"/>
  <c r="AD483" i="8"/>
  <c r="AD484" i="8"/>
  <c r="AD485" i="8"/>
  <c r="AD486" i="8"/>
  <c r="AD487" i="8"/>
  <c r="AD488" i="8"/>
  <c r="AD489" i="8"/>
  <c r="AD490" i="8"/>
  <c r="AD491" i="8"/>
  <c r="AD492" i="8"/>
  <c r="AD493" i="8"/>
  <c r="AD494" i="8"/>
  <c r="AD495" i="8"/>
  <c r="AD496" i="8"/>
  <c r="AD497" i="8"/>
  <c r="AD498" i="8"/>
  <c r="AD499" i="8"/>
  <c r="AD500" i="8"/>
  <c r="AD501" i="8"/>
  <c r="AD502" i="8"/>
  <c r="AD503" i="8"/>
  <c r="AD504" i="8"/>
  <c r="AD505" i="8"/>
  <c r="AD506" i="8"/>
  <c r="AD507" i="8"/>
  <c r="AD508" i="8"/>
  <c r="AD509" i="8"/>
  <c r="AD510" i="8"/>
  <c r="AD511" i="8"/>
  <c r="AD512" i="8"/>
  <c r="AD513" i="8"/>
  <c r="AD514" i="8"/>
  <c r="AD515" i="8"/>
  <c r="AD516" i="8"/>
  <c r="AD517" i="8"/>
  <c r="AD518" i="8"/>
  <c r="AD519" i="8"/>
  <c r="AD520" i="8"/>
  <c r="AD521" i="8"/>
  <c r="AD522" i="8"/>
  <c r="AD523" i="8"/>
  <c r="AD524" i="8"/>
  <c r="AD525" i="8"/>
  <c r="AD526" i="8"/>
  <c r="AD527" i="8"/>
  <c r="AD528" i="8"/>
  <c r="AD529" i="8"/>
  <c r="AD530" i="8"/>
  <c r="AD531" i="8"/>
  <c r="AD532" i="8"/>
  <c r="AD533" i="8"/>
  <c r="AD25" i="8"/>
  <c r="AD32" i="8"/>
  <c r="AD34" i="8"/>
  <c r="AD35" i="8"/>
  <c r="AD44" i="8"/>
  <c r="AD49" i="8"/>
  <c r="AD52" i="8"/>
  <c r="AD55" i="8"/>
  <c r="AD58" i="8"/>
  <c r="AD59" i="8"/>
  <c r="AD62" i="8"/>
  <c r="AD69" i="8"/>
  <c r="AD70" i="8"/>
  <c r="AD71" i="8"/>
  <c r="AD75" i="8"/>
  <c r="AD76" i="8"/>
  <c r="AD77" i="8"/>
  <c r="AD79" i="8"/>
  <c r="AD81" i="8"/>
  <c r="AD83" i="8"/>
  <c r="AD86" i="8"/>
  <c r="AD90" i="8"/>
  <c r="AD94" i="8"/>
  <c r="AD95" i="8"/>
  <c r="AD101" i="8"/>
  <c r="AD108" i="8"/>
  <c r="AD114" i="8"/>
  <c r="AD118" i="8"/>
  <c r="AD124" i="8"/>
  <c r="AD126" i="8"/>
  <c r="AD129" i="8"/>
  <c r="AD135" i="8"/>
  <c r="AD150" i="8"/>
  <c r="AD155" i="8"/>
  <c r="AD157" i="8"/>
  <c r="AD164" i="8"/>
  <c r="AD167" i="8"/>
  <c r="AD171" i="8"/>
  <c r="AD173" i="8"/>
  <c r="AD175" i="8"/>
  <c r="AD179" i="8"/>
  <c r="AD182" i="8"/>
  <c r="AD186" i="8"/>
  <c r="AD189" i="8"/>
  <c r="AD195" i="8"/>
  <c r="AD201" i="8"/>
  <c r="AD203" i="8"/>
  <c r="AD206" i="8"/>
  <c r="AD207" i="8"/>
  <c r="AD208" i="8"/>
  <c r="AD211" i="8"/>
  <c r="AD216" i="8"/>
  <c r="AD224" i="8"/>
  <c r="AD225" i="8"/>
  <c r="AD233" i="8"/>
  <c r="AD240" i="8"/>
  <c r="AD241" i="8"/>
  <c r="AD243" i="8"/>
  <c r="AD244" i="8"/>
  <c r="AD255" i="8"/>
  <c r="AD256" i="8"/>
  <c r="AD258" i="8"/>
  <c r="AD260" i="8"/>
  <c r="AD262" i="8"/>
  <c r="AD267" i="8"/>
  <c r="AD271" i="8"/>
  <c r="AD272" i="8"/>
  <c r="AD273" i="8"/>
  <c r="AD276" i="8"/>
  <c r="AD278" i="8"/>
  <c r="AD280" i="8"/>
  <c r="AD282" i="8"/>
  <c r="AD285" i="8"/>
  <c r="AD287" i="8"/>
  <c r="AD288" i="8"/>
  <c r="AD295" i="8"/>
  <c r="AD299" i="8"/>
  <c r="AD302" i="8"/>
  <c r="AD311" i="8"/>
  <c r="AD312" i="8"/>
  <c r="AD313" i="8"/>
  <c r="AD317" i="8"/>
  <c r="AD318" i="8"/>
  <c r="AD324" i="8"/>
  <c r="AD325" i="8"/>
  <c r="AD334" i="8"/>
  <c r="AD335" i="8"/>
  <c r="AD337" i="8"/>
  <c r="AD339" i="8"/>
  <c r="AD342" i="8"/>
  <c r="AD344" i="8"/>
  <c r="AD345" i="8"/>
  <c r="AD346" i="8"/>
  <c r="AD348" i="8"/>
  <c r="AD349" i="8"/>
  <c r="AD376" i="8"/>
  <c r="AD383" i="8"/>
  <c r="AD456" i="8"/>
  <c r="AD458" i="8"/>
  <c r="AD459" i="8"/>
  <c r="AD460" i="8"/>
  <c r="AD534" i="8"/>
  <c r="AD535" i="8"/>
  <c r="AD536" i="8"/>
  <c r="AD537" i="8"/>
  <c r="AD538" i="8"/>
  <c r="AD539" i="8"/>
  <c r="AD540" i="8"/>
  <c r="AD541" i="8"/>
  <c r="AD542" i="8"/>
  <c r="AD543" i="8"/>
  <c r="AD544" i="8"/>
  <c r="AD545" i="8"/>
  <c r="AD546" i="8"/>
  <c r="AD547" i="8"/>
  <c r="AD548" i="8"/>
  <c r="AD549" i="8"/>
  <c r="AD550" i="8"/>
  <c r="AD551" i="8"/>
  <c r="AD552" i="8"/>
  <c r="AD553" i="8"/>
  <c r="AD554" i="8"/>
  <c r="AD555" i="8"/>
  <c r="AD556" i="8"/>
  <c r="AD557" i="8"/>
  <c r="AD558" i="8"/>
  <c r="AD559" i="8"/>
  <c r="AD560" i="8"/>
  <c r="AD561" i="8"/>
  <c r="AD562" i="8"/>
  <c r="AD563" i="8"/>
  <c r="AD564" i="8"/>
  <c r="AD565" i="8"/>
  <c r="AD566" i="8"/>
  <c r="AD567" i="8"/>
  <c r="AD568" i="8"/>
  <c r="AD569" i="8"/>
  <c r="AD570" i="8"/>
  <c r="AD571" i="8"/>
  <c r="AD572" i="8"/>
  <c r="AD573" i="8"/>
  <c r="AD574" i="8"/>
  <c r="AD575" i="8"/>
  <c r="AD576" i="8"/>
  <c r="AD577" i="8"/>
  <c r="AD578" i="8"/>
  <c r="AD579" i="8"/>
  <c r="AD580" i="8"/>
  <c r="AD581" i="8"/>
  <c r="AD582" i="8"/>
  <c r="AD583" i="8"/>
  <c r="AD584" i="8"/>
  <c r="AD585" i="8"/>
  <c r="AD586" i="8"/>
  <c r="AD587" i="8"/>
  <c r="AD588" i="8"/>
  <c r="AD589" i="8"/>
  <c r="AD590" i="8"/>
  <c r="AD591" i="8"/>
  <c r="AD592" i="8"/>
  <c r="AD593" i="8"/>
  <c r="AD594" i="8"/>
  <c r="AD595" i="8"/>
  <c r="AD596" i="8"/>
  <c r="AD597" i="8"/>
  <c r="AD598" i="8"/>
  <c r="AD599" i="8"/>
  <c r="AD600" i="8"/>
  <c r="AD601" i="8"/>
  <c r="AD602" i="8"/>
  <c r="AD603" i="8"/>
  <c r="AD604" i="8"/>
  <c r="AD605" i="8"/>
  <c r="AD606" i="8"/>
  <c r="AD607" i="8"/>
  <c r="AD608" i="8"/>
  <c r="AD609" i="8"/>
  <c r="AD610" i="8"/>
  <c r="AD611" i="8"/>
  <c r="AD904" i="8"/>
  <c r="AD925" i="8"/>
  <c r="AD950" i="8"/>
  <c r="AD973" i="8"/>
  <c r="AD980" i="8"/>
  <c r="AD991" i="8"/>
  <c r="AD612" i="8"/>
  <c r="AD613" i="8"/>
  <c r="AD614" i="8"/>
  <c r="AD615" i="8"/>
  <c r="AD616" i="8"/>
  <c r="AD617" i="8"/>
  <c r="AD618" i="8"/>
  <c r="AD619" i="8"/>
  <c r="AD620" i="8"/>
  <c r="AD621" i="8"/>
  <c r="AD622" i="8"/>
  <c r="AD623" i="8"/>
  <c r="AD624" i="8"/>
  <c r="AD625" i="8"/>
  <c r="AD626" i="8"/>
  <c r="AD627" i="8"/>
  <c r="AD628" i="8"/>
  <c r="AD629" i="8"/>
  <c r="AD630" i="8"/>
  <c r="AD631" i="8"/>
  <c r="AD632" i="8"/>
  <c r="AD633" i="8"/>
  <c r="AD634" i="8"/>
  <c r="AD635" i="8"/>
  <c r="AD636" i="8"/>
  <c r="AD637" i="8"/>
  <c r="AD638" i="8"/>
  <c r="AD639" i="8"/>
  <c r="AD640" i="8"/>
  <c r="AD641" i="8"/>
  <c r="AD642" i="8"/>
  <c r="AD643" i="8"/>
  <c r="AD644" i="8"/>
  <c r="AD645" i="8"/>
  <c r="AD646" i="8"/>
  <c r="AD647" i="8"/>
  <c r="AD648" i="8"/>
  <c r="AD649" i="8"/>
  <c r="AD650" i="8"/>
  <c r="AD651" i="8"/>
  <c r="AD652" i="8"/>
  <c r="AD653" i="8"/>
  <c r="AD654" i="8"/>
  <c r="AD655" i="8"/>
  <c r="AD656" i="8"/>
  <c r="AD657" i="8"/>
  <c r="AD658" i="8"/>
  <c r="AD659" i="8"/>
  <c r="AD660" i="8"/>
  <c r="AD661" i="8"/>
  <c r="AD662" i="8"/>
  <c r="AD663" i="8"/>
  <c r="AD664" i="8"/>
  <c r="AD665" i="8"/>
  <c r="AD666" i="8"/>
  <c r="AD667" i="8"/>
  <c r="AD668" i="8"/>
  <c r="AD669" i="8"/>
  <c r="AD670" i="8"/>
  <c r="AD671" i="8"/>
  <c r="AD672" i="8"/>
  <c r="AD673" i="8"/>
  <c r="AD674" i="8"/>
  <c r="AD675" i="8"/>
  <c r="AD676" i="8"/>
  <c r="AD677" i="8"/>
  <c r="AD678" i="8"/>
  <c r="AD679" i="8"/>
  <c r="AD680" i="8"/>
  <c r="AD681" i="8"/>
  <c r="AD682" i="8"/>
  <c r="AD683" i="8"/>
  <c r="AD684" i="8"/>
  <c r="AD685" i="8"/>
  <c r="AD686" i="8"/>
  <c r="AD687" i="8"/>
  <c r="AD688" i="8"/>
  <c r="AD689" i="8"/>
  <c r="AD690" i="8"/>
  <c r="AD691" i="8"/>
  <c r="AD692" i="8"/>
  <c r="AD693" i="8"/>
  <c r="AD694" i="8"/>
  <c r="AD695" i="8"/>
  <c r="AD696" i="8"/>
  <c r="AD697" i="8"/>
  <c r="AD698" i="8"/>
  <c r="AD699" i="8"/>
  <c r="AD700" i="8"/>
  <c r="AD701" i="8"/>
  <c r="AD702" i="8"/>
  <c r="AD703" i="8"/>
  <c r="AD704" i="8"/>
  <c r="AD705" i="8"/>
  <c r="AD706" i="8"/>
  <c r="AD707" i="8"/>
  <c r="AD708" i="8"/>
  <c r="AD709" i="8"/>
  <c r="AD710" i="8"/>
  <c r="AD711" i="8"/>
  <c r="AD712" i="8"/>
  <c r="AD713" i="8"/>
  <c r="AD714" i="8"/>
  <c r="AD715" i="8"/>
  <c r="AD716" i="8"/>
  <c r="AD717" i="8"/>
  <c r="AD718" i="8"/>
  <c r="AD719" i="8"/>
  <c r="AD720" i="8"/>
  <c r="AD721" i="8"/>
  <c r="AD722" i="8"/>
  <c r="AD723" i="8"/>
  <c r="AD724" i="8"/>
  <c r="AD725" i="8"/>
  <c r="AD726" i="8"/>
  <c r="AD727" i="8"/>
  <c r="AD728" i="8"/>
  <c r="AD729" i="8"/>
  <c r="AD730" i="8"/>
  <c r="AD731" i="8"/>
  <c r="AD732" i="8"/>
  <c r="AD733" i="8"/>
  <c r="AD734" i="8"/>
  <c r="AD735" i="8"/>
  <c r="AD736" i="8"/>
  <c r="AD737" i="8"/>
  <c r="AD738" i="8"/>
  <c r="AD739" i="8"/>
  <c r="AD740" i="8"/>
  <c r="AD741" i="8"/>
  <c r="AD742" i="8"/>
  <c r="AD743" i="8"/>
  <c r="AD744" i="8"/>
  <c r="AD745" i="8"/>
  <c r="AD746" i="8"/>
  <c r="AD747" i="8"/>
  <c r="AD748" i="8"/>
  <c r="AD749" i="8"/>
  <c r="AD899" i="8"/>
  <c r="AD912" i="8"/>
  <c r="AD913" i="8"/>
  <c r="AD921" i="8"/>
  <c r="AD926" i="8"/>
  <c r="AD938" i="8"/>
  <c r="AD939" i="8"/>
  <c r="AD940" i="8"/>
  <c r="AD942" i="8"/>
  <c r="AD943" i="8"/>
  <c r="AD962" i="8"/>
  <c r="AD965" i="8"/>
  <c r="AD968" i="8"/>
  <c r="AD972" i="8"/>
  <c r="AD978" i="8"/>
  <c r="AD987" i="8"/>
  <c r="AD988" i="8"/>
  <c r="AD993" i="8"/>
  <c r="AD996" i="8"/>
  <c r="AD1000" i="8"/>
  <c r="AD750" i="8"/>
  <c r="AD751" i="8"/>
  <c r="AD752" i="8"/>
  <c r="AD753" i="8"/>
  <c r="AD754" i="8"/>
  <c r="AD755" i="8"/>
  <c r="AD756" i="8"/>
  <c r="AD757" i="8"/>
  <c r="AD758" i="8"/>
  <c r="AD759" i="8"/>
  <c r="AD760" i="8"/>
  <c r="AD761" i="8"/>
  <c r="AD762" i="8"/>
  <c r="AD764" i="8"/>
  <c r="AD765" i="8"/>
  <c r="AD766" i="8"/>
  <c r="AD767" i="8"/>
  <c r="AD768" i="8"/>
  <c r="AD769" i="8"/>
  <c r="AD770" i="8"/>
  <c r="AD771" i="8"/>
  <c r="AD772" i="8"/>
  <c r="AD773" i="8"/>
  <c r="AD774" i="8"/>
  <c r="AD775" i="8"/>
  <c r="AD776" i="8"/>
  <c r="AD777" i="8"/>
  <c r="AD778" i="8"/>
  <c r="AD779" i="8"/>
  <c r="AD780" i="8"/>
  <c r="AD781" i="8"/>
  <c r="AD782" i="8"/>
  <c r="AD783" i="8"/>
  <c r="AD784" i="8"/>
  <c r="AD785" i="8"/>
  <c r="AD786" i="8"/>
  <c r="AD787" i="8"/>
  <c r="AD788" i="8"/>
  <c r="AD789" i="8"/>
  <c r="AD790" i="8"/>
  <c r="AD791" i="8"/>
  <c r="AD792" i="8"/>
  <c r="AD793" i="8"/>
  <c r="AD794" i="8"/>
  <c r="AD795" i="8"/>
  <c r="AD796" i="8"/>
  <c r="AD797" i="8"/>
  <c r="AD798" i="8"/>
  <c r="AD799" i="8"/>
  <c r="AD800" i="8"/>
  <c r="AD801" i="8"/>
  <c r="AD802" i="8"/>
  <c r="AD803" i="8"/>
  <c r="AD804" i="8"/>
  <c r="AD805" i="8"/>
  <c r="AD806" i="8"/>
  <c r="AD807" i="8"/>
  <c r="AD808" i="8"/>
  <c r="AD809" i="8"/>
  <c r="AD810" i="8"/>
  <c r="AD811" i="8"/>
  <c r="AD812" i="8"/>
  <c r="AD813" i="8"/>
  <c r="AD814" i="8"/>
  <c r="AD815" i="8"/>
  <c r="AD816" i="8"/>
  <c r="AD817" i="8"/>
  <c r="AD818" i="8"/>
  <c r="AD819" i="8"/>
  <c r="AD820" i="8"/>
  <c r="AD821" i="8"/>
  <c r="AD822" i="8"/>
  <c r="AD823" i="8"/>
  <c r="AD824" i="8"/>
  <c r="AD825" i="8"/>
  <c r="AD826" i="8"/>
  <c r="AD827" i="8"/>
  <c r="AD828" i="8"/>
  <c r="AD829" i="8"/>
  <c r="AD830" i="8"/>
  <c r="AD831" i="8"/>
  <c r="AD832" i="8"/>
  <c r="AD833" i="8"/>
  <c r="AD834" i="8"/>
  <c r="AD835" i="8"/>
  <c r="AD836" i="8"/>
  <c r="AD837" i="8"/>
  <c r="AD838" i="8"/>
  <c r="AD839" i="8"/>
  <c r="AD840" i="8"/>
  <c r="AD841" i="8"/>
  <c r="AD842" i="8"/>
  <c r="AD843" i="8"/>
  <c r="AD844" i="8"/>
  <c r="AD845" i="8"/>
  <c r="AD846" i="8"/>
  <c r="AD847" i="8"/>
  <c r="AD848" i="8"/>
  <c r="AD849" i="8"/>
  <c r="AD850" i="8"/>
  <c r="AD851" i="8"/>
  <c r="AD852" i="8"/>
  <c r="AD853" i="8"/>
  <c r="AD854" i="8"/>
  <c r="AD855" i="8"/>
  <c r="AD856" i="8"/>
  <c r="AD857" i="8"/>
  <c r="AD858" i="8"/>
  <c r="AD859" i="8"/>
  <c r="AD860" i="8"/>
  <c r="AD861" i="8"/>
  <c r="AD862" i="8"/>
  <c r="AD863" i="8"/>
  <c r="AD864" i="8"/>
  <c r="AD865" i="8"/>
  <c r="AD866" i="8"/>
  <c r="AD867" i="8"/>
  <c r="AD868" i="8"/>
  <c r="AD869" i="8"/>
  <c r="AD870" i="8"/>
  <c r="AD871" i="8"/>
  <c r="AD872" i="8"/>
  <c r="AD873" i="8"/>
  <c r="AD874" i="8"/>
  <c r="AD875" i="8"/>
  <c r="AD876" i="8"/>
  <c r="AD877" i="8"/>
  <c r="AD878" i="8"/>
  <c r="AD879" i="8"/>
  <c r="AD880" i="8"/>
  <c r="AD881" i="8"/>
  <c r="AD882" i="8"/>
  <c r="AD883" i="8"/>
  <c r="AD884" i="8"/>
  <c r="AD885" i="8"/>
  <c r="AD886" i="8"/>
  <c r="AD887" i="8"/>
  <c r="AD888" i="8"/>
  <c r="AD889" i="8"/>
  <c r="AD890" i="8"/>
  <c r="AD891" i="8"/>
  <c r="AD892" i="8"/>
  <c r="AD893" i="8"/>
  <c r="AD894" i="8"/>
  <c r="AD895" i="8"/>
  <c r="AD896" i="8"/>
  <c r="AD897" i="8"/>
  <c r="AD898" i="8"/>
  <c r="AD916" i="8"/>
  <c r="AD917" i="8"/>
  <c r="AD919" i="8"/>
  <c r="AD927" i="8"/>
  <c r="AD931" i="8"/>
  <c r="AD932" i="8"/>
  <c r="AD933" i="8"/>
  <c r="AD935" i="8"/>
  <c r="AD947" i="8"/>
  <c r="AD949" i="8"/>
  <c r="AD957" i="8"/>
  <c r="AD964" i="8"/>
  <c r="AD967" i="8"/>
  <c r="AD970" i="8"/>
  <c r="AD975" i="8"/>
  <c r="AD976" i="8"/>
  <c r="AD977" i="8"/>
  <c r="AD983" i="8"/>
  <c r="AD984" i="8"/>
  <c r="AD1001" i="8"/>
  <c r="AD901" i="8"/>
  <c r="AD903" i="8"/>
  <c r="AD909" i="8"/>
  <c r="AD910" i="8"/>
  <c r="AD911" i="8"/>
  <c r="AD920" i="8"/>
  <c r="AD923" i="8"/>
  <c r="AD902" i="8"/>
  <c r="AD907" i="8"/>
  <c r="AD908" i="8"/>
  <c r="AD915" i="8"/>
  <c r="AD928" i="8"/>
  <c r="AD929" i="8"/>
  <c r="AD930" i="8"/>
  <c r="AD937" i="8"/>
  <c r="AD941" i="8"/>
  <c r="AD946" i="8"/>
  <c r="AD948" i="8"/>
  <c r="AD958" i="8"/>
  <c r="AD960" i="8"/>
  <c r="AD966" i="8"/>
  <c r="AD969" i="8"/>
  <c r="AD982" i="8"/>
  <c r="AD995" i="8"/>
  <c r="AD997" i="8"/>
  <c r="AD998" i="8"/>
  <c r="AD269" i="8"/>
  <c r="AD900" i="8"/>
  <c r="AD905" i="8"/>
  <c r="AD906" i="8"/>
  <c r="AD914" i="8"/>
  <c r="AD918" i="8"/>
  <c r="AD922" i="8"/>
  <c r="AD924" i="8"/>
  <c r="AD934" i="8"/>
  <c r="AD936" i="8"/>
  <c r="AD944" i="8"/>
  <c r="AD945" i="8"/>
  <c r="AD952" i="8"/>
  <c r="AD953" i="8"/>
  <c r="AD954" i="8"/>
  <c r="AD955" i="8"/>
  <c r="AD956" i="8"/>
  <c r="AD959" i="8"/>
  <c r="AD961" i="8"/>
  <c r="AD963" i="8"/>
  <c r="AD971" i="8"/>
  <c r="AD974" i="8"/>
  <c r="AD979" i="8"/>
  <c r="AD981" i="8"/>
  <c r="AD985" i="8"/>
  <c r="AD986" i="8"/>
  <c r="AD989" i="8"/>
  <c r="AD990" i="8"/>
  <c r="AD992" i="8"/>
  <c r="AD994" i="8"/>
  <c r="AD999" i="8"/>
  <c r="AD763" i="8"/>
  <c r="AD951" i="8"/>
  <c r="D1062" i="7"/>
  <c r="D1058" i="7"/>
  <c r="D1053" i="7"/>
  <c r="D1048" i="7"/>
  <c r="D1043" i="7"/>
  <c r="D1039" i="7"/>
  <c r="D1034" i="7"/>
  <c r="D1027" i="7"/>
  <c r="D1060" i="7"/>
  <c r="D1056" i="7"/>
  <c r="D1051" i="7"/>
  <c r="D1047" i="7"/>
  <c r="D1041" i="7"/>
  <c r="D1038" i="7"/>
  <c r="D1033" i="7"/>
  <c r="D1028" i="7"/>
  <c r="D1023" i="7"/>
  <c r="D1020" i="7"/>
  <c r="D1017" i="7"/>
  <c r="D1059" i="7"/>
  <c r="D1054" i="7"/>
  <c r="D1050" i="7"/>
  <c r="D1046" i="7"/>
  <c r="D1040" i="7"/>
  <c r="D1036" i="7"/>
  <c r="D1032" i="7"/>
  <c r="D1030" i="7"/>
  <c r="D1025" i="7"/>
  <c r="D1022" i="7"/>
  <c r="D1019" i="7"/>
  <c r="D1016" i="7"/>
  <c r="D1061" i="7"/>
  <c r="D1057" i="7"/>
  <c r="D1052" i="7"/>
  <c r="D1045" i="7"/>
  <c r="D1042" i="7"/>
  <c r="D1037" i="7"/>
  <c r="D1031" i="7"/>
  <c r="D1029" i="7"/>
  <c r="D1026" i="7"/>
  <c r="D1024" i="7"/>
  <c r="D1021" i="7"/>
  <c r="D1018" i="7"/>
  <c r="D1015" i="7"/>
  <c r="D1055" i="7"/>
  <c r="D1049" i="7"/>
  <c r="D1044" i="7"/>
  <c r="D1035" i="7"/>
  <c r="C40" i="2"/>
  <c r="B5" i="3"/>
  <c r="K784" i="6"/>
  <c r="L784" i="6" s="1"/>
  <c r="M784" i="6" s="1"/>
  <c r="K50" i="6"/>
  <c r="L50" i="6" s="1"/>
  <c r="M50" i="6" s="1"/>
  <c r="K73" i="6"/>
  <c r="L73" i="6" s="1"/>
  <c r="M73" i="6" s="1"/>
  <c r="K95" i="6"/>
  <c r="L95" i="6" s="1"/>
  <c r="M95" i="6" s="1"/>
  <c r="K118" i="6"/>
  <c r="L118" i="6" s="1"/>
  <c r="M118" i="6" s="1"/>
  <c r="K141" i="6"/>
  <c r="L141" i="6" s="1"/>
  <c r="M141" i="6" s="1"/>
  <c r="K164" i="6"/>
  <c r="L164" i="6" s="1"/>
  <c r="M164" i="6" s="1"/>
  <c r="K187" i="6"/>
  <c r="L187" i="6" s="1"/>
  <c r="M187" i="6" s="1"/>
  <c r="K211" i="6"/>
  <c r="L211" i="6" s="1"/>
  <c r="M211" i="6" s="1"/>
  <c r="K235" i="6"/>
  <c r="L235" i="6" s="1"/>
  <c r="M235" i="6" s="1"/>
  <c r="K259" i="6"/>
  <c r="L259" i="6" s="1"/>
  <c r="M259" i="6" s="1"/>
  <c r="K281" i="6"/>
  <c r="L281" i="6" s="1"/>
  <c r="M281" i="6" s="1"/>
  <c r="K644" i="6"/>
  <c r="L644" i="6" s="1"/>
  <c r="M644" i="6" s="1"/>
  <c r="K667" i="6"/>
  <c r="L667" i="6" s="1"/>
  <c r="M667" i="6" s="1"/>
  <c r="K690" i="6"/>
  <c r="L690" i="6" s="1"/>
  <c r="M690" i="6" s="1"/>
  <c r="K714" i="6"/>
  <c r="L714" i="6" s="1"/>
  <c r="M714" i="6" s="1"/>
  <c r="K737" i="6"/>
  <c r="L737" i="6" s="1"/>
  <c r="M737" i="6" s="1"/>
  <c r="K761" i="6"/>
  <c r="L761" i="6" s="1"/>
  <c r="M761" i="6" s="1"/>
  <c r="K831" i="6"/>
  <c r="L831" i="6" s="1"/>
  <c r="M831" i="6" s="1"/>
  <c r="K807" i="6"/>
  <c r="L807" i="6" s="1"/>
  <c r="M807" i="6" s="1"/>
  <c r="K374" i="6"/>
  <c r="L374" i="6" s="1"/>
  <c r="M374" i="6" s="1"/>
  <c r="K398" i="6"/>
  <c r="L398" i="6" s="1"/>
  <c r="M398" i="6" s="1"/>
  <c r="K422" i="6"/>
  <c r="L422" i="6" s="1"/>
  <c r="M422" i="6" s="1"/>
  <c r="K434" i="6"/>
  <c r="L434" i="6" s="1"/>
  <c r="M434" i="6" s="1"/>
  <c r="K457" i="6"/>
  <c r="L457" i="6" s="1"/>
  <c r="M457" i="6" s="1"/>
  <c r="K481" i="6"/>
  <c r="L481" i="6" s="1"/>
  <c r="M481" i="6" s="1"/>
  <c r="K505" i="6"/>
  <c r="L505" i="6" s="1"/>
  <c r="M505" i="6" s="1"/>
  <c r="K528" i="6"/>
  <c r="L528" i="6" s="1"/>
  <c r="M528" i="6" s="1"/>
  <c r="K551" i="6"/>
  <c r="L551" i="6" s="1"/>
  <c r="M551" i="6" s="1"/>
  <c r="K303" i="6"/>
  <c r="L303" i="6" s="1"/>
  <c r="M303" i="6" s="1"/>
  <c r="K327" i="6"/>
  <c r="L327" i="6" s="1"/>
  <c r="M327" i="6" s="1"/>
  <c r="K350" i="6"/>
  <c r="L350" i="6" s="1"/>
  <c r="M350" i="6" s="1"/>
  <c r="K574" i="6"/>
  <c r="L574" i="6" s="1"/>
  <c r="M574" i="6" s="1"/>
  <c r="K597" i="6"/>
  <c r="L597" i="6" s="1"/>
  <c r="M597" i="6" s="1"/>
  <c r="K621" i="6"/>
  <c r="L621" i="6" s="1"/>
  <c r="M621" i="6" s="1"/>
  <c r="K855" i="6"/>
  <c r="L855" i="6" s="1"/>
  <c r="M855" i="6" s="1"/>
  <c r="K879" i="6"/>
  <c r="L879" i="6" s="1"/>
  <c r="M879" i="6" s="1"/>
  <c r="K903" i="6"/>
  <c r="L903" i="6" s="1"/>
  <c r="M903" i="6" s="1"/>
  <c r="K926" i="6"/>
  <c r="L926" i="6" s="1"/>
  <c r="M926" i="6" s="1"/>
  <c r="K949" i="6"/>
  <c r="L949" i="6" s="1"/>
  <c r="M949" i="6" s="1"/>
  <c r="K971" i="6"/>
  <c r="L971" i="6" s="1"/>
  <c r="M971" i="6" s="1"/>
  <c r="K995" i="6"/>
  <c r="L995" i="6" s="1"/>
  <c r="M995" i="6" s="1"/>
  <c r="K1018" i="6"/>
  <c r="L1018" i="6" s="1"/>
  <c r="M1018" i="6" s="1"/>
  <c r="K851" i="6"/>
  <c r="L851" i="6" s="1"/>
  <c r="M851" i="6" s="1"/>
  <c r="K46" i="6"/>
  <c r="L46" i="6" s="1"/>
  <c r="M46" i="6" s="1"/>
  <c r="K69" i="6"/>
  <c r="L69" i="6" s="1"/>
  <c r="M69" i="6" s="1"/>
  <c r="K91" i="6"/>
  <c r="L91" i="6" s="1"/>
  <c r="M91" i="6" s="1"/>
  <c r="K114" i="6"/>
  <c r="L114" i="6" s="1"/>
  <c r="M114" i="6" s="1"/>
  <c r="K137" i="6"/>
  <c r="L137" i="6" s="1"/>
  <c r="M137" i="6" s="1"/>
  <c r="K160" i="6"/>
  <c r="L160" i="6" s="1"/>
  <c r="M160" i="6" s="1"/>
  <c r="K183" i="6"/>
  <c r="L183" i="6" s="1"/>
  <c r="M183" i="6" s="1"/>
  <c r="K207" i="6"/>
  <c r="L207" i="6" s="1"/>
  <c r="M207" i="6" s="1"/>
  <c r="K231" i="6"/>
  <c r="L231" i="6" s="1"/>
  <c r="M231" i="6" s="1"/>
  <c r="K255" i="6"/>
  <c r="L255" i="6" s="1"/>
  <c r="M255" i="6" s="1"/>
  <c r="K277" i="6"/>
  <c r="L277" i="6" s="1"/>
  <c r="M277" i="6" s="1"/>
  <c r="K663" i="6"/>
  <c r="L663" i="6" s="1"/>
  <c r="M663" i="6" s="1"/>
  <c r="K686" i="6"/>
  <c r="L686" i="6" s="1"/>
  <c r="M686" i="6" s="1"/>
  <c r="K710" i="6"/>
  <c r="L710" i="6" s="1"/>
  <c r="M710" i="6" s="1"/>
  <c r="K733" i="6"/>
  <c r="L733" i="6" s="1"/>
  <c r="M733" i="6" s="1"/>
  <c r="K757" i="6"/>
  <c r="L757" i="6" s="1"/>
  <c r="M757" i="6" s="1"/>
  <c r="K803" i="6"/>
  <c r="L803" i="6" s="1"/>
  <c r="M803" i="6" s="1"/>
  <c r="K346" i="6"/>
  <c r="L346" i="6" s="1"/>
  <c r="M346" i="6" s="1"/>
  <c r="K394" i="6"/>
  <c r="L394" i="6" s="1"/>
  <c r="M394" i="6" s="1"/>
  <c r="K418" i="6"/>
  <c r="L418" i="6" s="1"/>
  <c r="M418" i="6" s="1"/>
  <c r="K430" i="6"/>
  <c r="L430" i="6" s="1"/>
  <c r="M430" i="6" s="1"/>
  <c r="K453" i="6"/>
  <c r="L453" i="6" s="1"/>
  <c r="M453" i="6" s="1"/>
  <c r="K477" i="6"/>
  <c r="L477" i="6" s="1"/>
  <c r="M477" i="6" s="1"/>
  <c r="K780" i="6"/>
  <c r="L780" i="6" s="1"/>
  <c r="M780" i="6" s="1"/>
  <c r="K370" i="6"/>
  <c r="L370" i="6" s="1"/>
  <c r="M370" i="6" s="1"/>
  <c r="K501" i="6"/>
  <c r="L501" i="6" s="1"/>
  <c r="M501" i="6" s="1"/>
  <c r="K524" i="6"/>
  <c r="L524" i="6" s="1"/>
  <c r="M524" i="6" s="1"/>
  <c r="K547" i="6"/>
  <c r="L547" i="6" s="1"/>
  <c r="M547" i="6" s="1"/>
  <c r="K827" i="6"/>
  <c r="L827" i="6" s="1"/>
  <c r="M827" i="6" s="1"/>
  <c r="K299" i="6"/>
  <c r="L299" i="6" s="1"/>
  <c r="M299" i="6" s="1"/>
  <c r="K323" i="6"/>
  <c r="L323" i="6" s="1"/>
  <c r="M323" i="6" s="1"/>
  <c r="K570" i="6"/>
  <c r="L570" i="6" s="1"/>
  <c r="M570" i="6" s="1"/>
  <c r="K593" i="6"/>
  <c r="L593" i="6" s="1"/>
  <c r="M593" i="6" s="1"/>
  <c r="K615" i="6"/>
  <c r="L615" i="6" s="1"/>
  <c r="M615" i="6" s="1"/>
  <c r="K640" i="6"/>
  <c r="L640" i="6" s="1"/>
  <c r="M640" i="6" s="1"/>
  <c r="K875" i="6"/>
  <c r="L875" i="6" s="1"/>
  <c r="M875" i="6" s="1"/>
  <c r="K899" i="6"/>
  <c r="L899" i="6" s="1"/>
  <c r="M899" i="6" s="1"/>
  <c r="K922" i="6"/>
  <c r="L922" i="6" s="1"/>
  <c r="M922" i="6" s="1"/>
  <c r="K945" i="6"/>
  <c r="L945" i="6" s="1"/>
  <c r="M945" i="6" s="1"/>
  <c r="K967" i="6"/>
  <c r="L967" i="6" s="1"/>
  <c r="M967" i="6" s="1"/>
  <c r="K991" i="6"/>
  <c r="L991" i="6" s="1"/>
  <c r="M991" i="6" s="1"/>
  <c r="K1014" i="6"/>
  <c r="L1014" i="6" s="1"/>
  <c r="M1014" i="6" s="1"/>
  <c r="K42" i="6"/>
  <c r="L42" i="6" s="1"/>
  <c r="M42" i="6" s="1"/>
  <c r="K65" i="6"/>
  <c r="L65" i="6" s="1"/>
  <c r="M65" i="6" s="1"/>
  <c r="K87" i="6"/>
  <c r="L87" i="6" s="1"/>
  <c r="M87" i="6" s="1"/>
  <c r="K110" i="6"/>
  <c r="L110" i="6" s="1"/>
  <c r="M110" i="6" s="1"/>
  <c r="K133" i="6"/>
  <c r="L133" i="6" s="1"/>
  <c r="M133" i="6" s="1"/>
  <c r="K156" i="6"/>
  <c r="L156" i="6" s="1"/>
  <c r="M156" i="6" s="1"/>
  <c r="K179" i="6"/>
  <c r="L179" i="6" s="1"/>
  <c r="M179" i="6" s="1"/>
  <c r="K203" i="6"/>
  <c r="L203" i="6" s="1"/>
  <c r="M203" i="6" s="1"/>
  <c r="K251" i="6"/>
  <c r="L251" i="6" s="1"/>
  <c r="M251" i="6" s="1"/>
  <c r="K273" i="6"/>
  <c r="L273" i="6" s="1"/>
  <c r="M273" i="6" s="1"/>
  <c r="K295" i="6"/>
  <c r="L295" i="6" s="1"/>
  <c r="M295" i="6" s="1"/>
  <c r="K659" i="6"/>
  <c r="L659" i="6" s="1"/>
  <c r="M659" i="6" s="1"/>
  <c r="K682" i="6"/>
  <c r="L682" i="6" s="1"/>
  <c r="M682" i="6" s="1"/>
  <c r="K706" i="6"/>
  <c r="L706" i="6" s="1"/>
  <c r="M706" i="6" s="1"/>
  <c r="K729" i="6"/>
  <c r="L729" i="6" s="1"/>
  <c r="M729" i="6" s="1"/>
  <c r="K753" i="6"/>
  <c r="L753" i="6" s="1"/>
  <c r="M753" i="6" s="1"/>
  <c r="K776" i="6"/>
  <c r="L776" i="6" s="1"/>
  <c r="M776" i="6" s="1"/>
  <c r="K987" i="6"/>
  <c r="L987" i="6" s="1"/>
  <c r="M987" i="6" s="1"/>
  <c r="K823" i="6"/>
  <c r="L823" i="6" s="1"/>
  <c r="M823" i="6" s="1"/>
  <c r="K390" i="6"/>
  <c r="L390" i="6" s="1"/>
  <c r="M390" i="6" s="1"/>
  <c r="K227" i="6"/>
  <c r="L227" i="6" s="1"/>
  <c r="M227" i="6" s="1"/>
  <c r="K319" i="6"/>
  <c r="L319" i="6" s="1"/>
  <c r="M319" i="6" s="1"/>
  <c r="K366" i="6"/>
  <c r="L366" i="6" s="1"/>
  <c r="M366" i="6" s="1"/>
  <c r="K414" i="6"/>
  <c r="L414" i="6" s="1"/>
  <c r="M414" i="6" s="1"/>
  <c r="K449" i="6"/>
  <c r="L449" i="6" s="1"/>
  <c r="M449" i="6" s="1"/>
  <c r="K473" i="6"/>
  <c r="L473" i="6" s="1"/>
  <c r="M473" i="6" s="1"/>
  <c r="K799" i="6"/>
  <c r="L799" i="6" s="1"/>
  <c r="M799" i="6" s="1"/>
  <c r="K342" i="6"/>
  <c r="L342" i="6" s="1"/>
  <c r="M342" i="6" s="1"/>
  <c r="K497" i="6"/>
  <c r="L497" i="6" s="1"/>
  <c r="M497" i="6" s="1"/>
  <c r="K520" i="6"/>
  <c r="L520" i="6" s="1"/>
  <c r="M520" i="6" s="1"/>
  <c r="K543" i="6"/>
  <c r="L543" i="6" s="1"/>
  <c r="M543" i="6" s="1"/>
  <c r="K847" i="6"/>
  <c r="L847" i="6" s="1"/>
  <c r="M847" i="6" s="1"/>
  <c r="K566" i="6"/>
  <c r="L566" i="6" s="1"/>
  <c r="M566" i="6" s="1"/>
  <c r="K589" i="6"/>
  <c r="L589" i="6" s="1"/>
  <c r="M589" i="6" s="1"/>
  <c r="K611" i="6"/>
  <c r="L611" i="6" s="1"/>
  <c r="M611" i="6" s="1"/>
  <c r="K636" i="6"/>
  <c r="L636" i="6" s="1"/>
  <c r="M636" i="6" s="1"/>
  <c r="K871" i="6"/>
  <c r="L871" i="6" s="1"/>
  <c r="M871" i="6" s="1"/>
  <c r="K895" i="6"/>
  <c r="L895" i="6" s="1"/>
  <c r="M895" i="6" s="1"/>
  <c r="K918" i="6"/>
  <c r="L918" i="6" s="1"/>
  <c r="M918" i="6" s="1"/>
  <c r="K941" i="6"/>
  <c r="L941" i="6" s="1"/>
  <c r="M941" i="6" s="1"/>
  <c r="K963" i="6"/>
  <c r="L963" i="6" s="1"/>
  <c r="M963" i="6" s="1"/>
  <c r="K1010" i="6"/>
  <c r="L1010" i="6" s="1"/>
  <c r="M1010" i="6" s="1"/>
  <c r="K846" i="6"/>
  <c r="L846" i="6" s="1"/>
  <c r="M846" i="6" s="1"/>
  <c r="K41" i="6"/>
  <c r="L41" i="6" s="1"/>
  <c r="M41" i="6" s="1"/>
  <c r="K64" i="6"/>
  <c r="L64" i="6" s="1"/>
  <c r="M64" i="6" s="1"/>
  <c r="K86" i="6"/>
  <c r="L86" i="6" s="1"/>
  <c r="M86" i="6" s="1"/>
  <c r="K109" i="6"/>
  <c r="L109" i="6" s="1"/>
  <c r="M109" i="6" s="1"/>
  <c r="K155" i="6"/>
  <c r="L155" i="6" s="1"/>
  <c r="M155" i="6" s="1"/>
  <c r="K178" i="6"/>
  <c r="L178" i="6" s="1"/>
  <c r="M178" i="6" s="1"/>
  <c r="K202" i="6"/>
  <c r="L202" i="6" s="1"/>
  <c r="M202" i="6" s="1"/>
  <c r="K132" i="6"/>
  <c r="L132" i="6" s="1"/>
  <c r="M132" i="6" s="1"/>
  <c r="K250" i="6"/>
  <c r="L250" i="6" s="1"/>
  <c r="M250" i="6" s="1"/>
  <c r="K272" i="6"/>
  <c r="L272" i="6" s="1"/>
  <c r="M272" i="6" s="1"/>
  <c r="K294" i="6"/>
  <c r="L294" i="6" s="1"/>
  <c r="M294" i="6" s="1"/>
  <c r="K658" i="6"/>
  <c r="L658" i="6" s="1"/>
  <c r="M658" i="6" s="1"/>
  <c r="K681" i="6"/>
  <c r="L681" i="6" s="1"/>
  <c r="M681" i="6" s="1"/>
  <c r="K705" i="6"/>
  <c r="L705" i="6" s="1"/>
  <c r="M705" i="6" s="1"/>
  <c r="K728" i="6"/>
  <c r="L728" i="6" s="1"/>
  <c r="M728" i="6" s="1"/>
  <c r="K752" i="6"/>
  <c r="L752" i="6" s="1"/>
  <c r="M752" i="6" s="1"/>
  <c r="K775" i="6"/>
  <c r="L775" i="6" s="1"/>
  <c r="M775" i="6" s="1"/>
  <c r="K822" i="6"/>
  <c r="L822" i="6" s="1"/>
  <c r="M822" i="6" s="1"/>
  <c r="K341" i="6"/>
  <c r="L341" i="6" s="1"/>
  <c r="M341" i="6" s="1"/>
  <c r="K389" i="6"/>
  <c r="L389" i="6" s="1"/>
  <c r="M389" i="6" s="1"/>
  <c r="K365" i="6"/>
  <c r="L365" i="6" s="1"/>
  <c r="M365" i="6" s="1"/>
  <c r="K413" i="6"/>
  <c r="L413" i="6" s="1"/>
  <c r="M413" i="6" s="1"/>
  <c r="K448" i="6"/>
  <c r="L448" i="6" s="1"/>
  <c r="M448" i="6" s="1"/>
  <c r="K472" i="6"/>
  <c r="L472" i="6" s="1"/>
  <c r="M472" i="6" s="1"/>
  <c r="K798" i="6"/>
  <c r="L798" i="6" s="1"/>
  <c r="M798" i="6" s="1"/>
  <c r="K986" i="6"/>
  <c r="L986" i="6" s="1"/>
  <c r="M986" i="6" s="1"/>
  <c r="K226" i="6"/>
  <c r="L226" i="6" s="1"/>
  <c r="M226" i="6" s="1"/>
  <c r="K496" i="6"/>
  <c r="L496" i="6" s="1"/>
  <c r="M496" i="6" s="1"/>
  <c r="K519" i="6"/>
  <c r="L519" i="6" s="1"/>
  <c r="M519" i="6" s="1"/>
  <c r="K542" i="6"/>
  <c r="L542" i="6" s="1"/>
  <c r="M542" i="6" s="1"/>
  <c r="K318" i="6"/>
  <c r="L318" i="6" s="1"/>
  <c r="M318" i="6" s="1"/>
  <c r="K565" i="6"/>
  <c r="L565" i="6" s="1"/>
  <c r="M565" i="6" s="1"/>
  <c r="K588" i="6"/>
  <c r="L588" i="6" s="1"/>
  <c r="M588" i="6" s="1"/>
  <c r="K610" i="6"/>
  <c r="L610" i="6" s="1"/>
  <c r="M610" i="6" s="1"/>
  <c r="K635" i="6"/>
  <c r="L635" i="6" s="1"/>
  <c r="M635" i="6" s="1"/>
  <c r="K870" i="6"/>
  <c r="L870" i="6" s="1"/>
  <c r="M870" i="6" s="1"/>
  <c r="K894" i="6"/>
  <c r="L894" i="6" s="1"/>
  <c r="M894" i="6" s="1"/>
  <c r="K917" i="6"/>
  <c r="L917" i="6" s="1"/>
  <c r="M917" i="6" s="1"/>
  <c r="K940" i="6"/>
  <c r="L940" i="6" s="1"/>
  <c r="M940" i="6" s="1"/>
  <c r="K962" i="6"/>
  <c r="L962" i="6" s="1"/>
  <c r="M962" i="6" s="1"/>
  <c r="K1009" i="6"/>
  <c r="L1009" i="6" s="1"/>
  <c r="M1009" i="6" s="1"/>
  <c r="K845" i="6"/>
  <c r="L845" i="6" s="1"/>
  <c r="M845" i="6" s="1"/>
  <c r="K40" i="6"/>
  <c r="L40" i="6" s="1"/>
  <c r="M40" i="6" s="1"/>
  <c r="K63" i="6"/>
  <c r="L63" i="6" s="1"/>
  <c r="M63" i="6" s="1"/>
  <c r="K85" i="6"/>
  <c r="L85" i="6" s="1"/>
  <c r="M85" i="6" s="1"/>
  <c r="K108" i="6"/>
  <c r="L108" i="6" s="1"/>
  <c r="M108" i="6" s="1"/>
  <c r="K154" i="6"/>
  <c r="L154" i="6" s="1"/>
  <c r="M154" i="6" s="1"/>
  <c r="K177" i="6"/>
  <c r="L177" i="6" s="1"/>
  <c r="M177" i="6" s="1"/>
  <c r="K201" i="6"/>
  <c r="L201" i="6" s="1"/>
  <c r="M201" i="6" s="1"/>
  <c r="K131" i="6"/>
  <c r="L131" i="6" s="1"/>
  <c r="M131" i="6" s="1"/>
  <c r="K249" i="6"/>
  <c r="L249" i="6" s="1"/>
  <c r="M249" i="6" s="1"/>
  <c r="K271" i="6"/>
  <c r="L271" i="6" s="1"/>
  <c r="M271" i="6" s="1"/>
  <c r="K293" i="6"/>
  <c r="L293" i="6" s="1"/>
  <c r="M293" i="6" s="1"/>
  <c r="K657" i="6"/>
  <c r="L657" i="6" s="1"/>
  <c r="M657" i="6" s="1"/>
  <c r="K680" i="6"/>
  <c r="L680" i="6" s="1"/>
  <c r="M680" i="6" s="1"/>
  <c r="K704" i="6"/>
  <c r="L704" i="6" s="1"/>
  <c r="M704" i="6" s="1"/>
  <c r="K727" i="6"/>
  <c r="L727" i="6" s="1"/>
  <c r="M727" i="6" s="1"/>
  <c r="K751" i="6"/>
  <c r="L751" i="6" s="1"/>
  <c r="M751" i="6" s="1"/>
  <c r="K774" i="6"/>
  <c r="L774" i="6" s="1"/>
  <c r="M774" i="6" s="1"/>
  <c r="K821" i="6"/>
  <c r="L821" i="6" s="1"/>
  <c r="M821" i="6" s="1"/>
  <c r="K388" i="6"/>
  <c r="L388" i="6" s="1"/>
  <c r="M388" i="6" s="1"/>
  <c r="K797" i="6"/>
  <c r="L797" i="6" s="1"/>
  <c r="M797" i="6" s="1"/>
  <c r="K364" i="6"/>
  <c r="L364" i="6" s="1"/>
  <c r="M364" i="6" s="1"/>
  <c r="K447" i="6"/>
  <c r="L447" i="6" s="1"/>
  <c r="M447" i="6" s="1"/>
  <c r="K471" i="6"/>
  <c r="L471" i="6" s="1"/>
  <c r="M471" i="6" s="1"/>
  <c r="K985" i="6"/>
  <c r="L985" i="6" s="1"/>
  <c r="M985" i="6" s="1"/>
  <c r="K412" i="6"/>
  <c r="L412" i="6" s="1"/>
  <c r="M412" i="6" s="1"/>
  <c r="K495" i="6"/>
  <c r="L495" i="6" s="1"/>
  <c r="M495" i="6" s="1"/>
  <c r="K518" i="6"/>
  <c r="L518" i="6" s="1"/>
  <c r="M518" i="6" s="1"/>
  <c r="K541" i="6"/>
  <c r="L541" i="6" s="1"/>
  <c r="M541" i="6" s="1"/>
  <c r="K225" i="6"/>
  <c r="L225" i="6" s="1"/>
  <c r="M225" i="6" s="1"/>
  <c r="K317" i="6"/>
  <c r="L317" i="6" s="1"/>
  <c r="M317" i="6" s="1"/>
  <c r="K340" i="6"/>
  <c r="L340" i="6" s="1"/>
  <c r="M340" i="6" s="1"/>
  <c r="K564" i="6"/>
  <c r="L564" i="6" s="1"/>
  <c r="M564" i="6" s="1"/>
  <c r="K587" i="6"/>
  <c r="L587" i="6" s="1"/>
  <c r="M587" i="6" s="1"/>
  <c r="K609" i="6"/>
  <c r="L609" i="6" s="1"/>
  <c r="M609" i="6" s="1"/>
  <c r="K634" i="6"/>
  <c r="L634" i="6" s="1"/>
  <c r="M634" i="6" s="1"/>
  <c r="K869" i="6"/>
  <c r="L869" i="6" s="1"/>
  <c r="M869" i="6" s="1"/>
  <c r="K893" i="6"/>
  <c r="L893" i="6" s="1"/>
  <c r="M893" i="6" s="1"/>
  <c r="K916" i="6"/>
  <c r="L916" i="6" s="1"/>
  <c r="M916" i="6" s="1"/>
  <c r="K939" i="6"/>
  <c r="L939" i="6" s="1"/>
  <c r="M939" i="6" s="1"/>
  <c r="K961" i="6"/>
  <c r="L961" i="6" s="1"/>
  <c r="M961" i="6" s="1"/>
  <c r="K1008" i="6"/>
  <c r="L1008" i="6" s="1"/>
  <c r="M1008" i="6" s="1"/>
  <c r="K796" i="6"/>
  <c r="L796" i="6" s="1"/>
  <c r="M796" i="6" s="1"/>
  <c r="K62" i="6"/>
  <c r="L62" i="6" s="1"/>
  <c r="M62" i="6" s="1"/>
  <c r="K84" i="6"/>
  <c r="L84" i="6" s="1"/>
  <c r="M84" i="6" s="1"/>
  <c r="K107" i="6"/>
  <c r="L107" i="6" s="1"/>
  <c r="M107" i="6" s="1"/>
  <c r="K153" i="6"/>
  <c r="L153" i="6" s="1"/>
  <c r="M153" i="6" s="1"/>
  <c r="K176" i="6"/>
  <c r="L176" i="6" s="1"/>
  <c r="M176" i="6" s="1"/>
  <c r="K200" i="6"/>
  <c r="L200" i="6" s="1"/>
  <c r="M200" i="6" s="1"/>
  <c r="K130" i="6"/>
  <c r="L130" i="6" s="1"/>
  <c r="M130" i="6" s="1"/>
  <c r="K248" i="6"/>
  <c r="L248" i="6" s="1"/>
  <c r="M248" i="6" s="1"/>
  <c r="K270" i="6"/>
  <c r="L270" i="6" s="1"/>
  <c r="M270" i="6" s="1"/>
  <c r="K292" i="6"/>
  <c r="L292" i="6" s="1"/>
  <c r="M292" i="6" s="1"/>
  <c r="K656" i="6"/>
  <c r="L656" i="6" s="1"/>
  <c r="M656" i="6" s="1"/>
  <c r="K679" i="6"/>
  <c r="L679" i="6" s="1"/>
  <c r="M679" i="6" s="1"/>
  <c r="K703" i="6"/>
  <c r="L703" i="6" s="1"/>
  <c r="M703" i="6" s="1"/>
  <c r="K726" i="6"/>
  <c r="L726" i="6" s="1"/>
  <c r="M726" i="6" s="1"/>
  <c r="K750" i="6"/>
  <c r="L750" i="6" s="1"/>
  <c r="M750" i="6" s="1"/>
  <c r="K773" i="6"/>
  <c r="L773" i="6" s="1"/>
  <c r="M773" i="6" s="1"/>
  <c r="K844" i="6"/>
  <c r="L844" i="6" s="1"/>
  <c r="M844" i="6" s="1"/>
  <c r="K984" i="6"/>
  <c r="L984" i="6" s="1"/>
  <c r="M984" i="6" s="1"/>
  <c r="K39" i="6"/>
  <c r="L39" i="6" s="1"/>
  <c r="M39" i="6" s="1"/>
  <c r="K316" i="6"/>
  <c r="L316" i="6" s="1"/>
  <c r="M316" i="6" s="1"/>
  <c r="K363" i="6"/>
  <c r="L363" i="6" s="1"/>
  <c r="M363" i="6" s="1"/>
  <c r="K387" i="6"/>
  <c r="L387" i="6" s="1"/>
  <c r="M387" i="6" s="1"/>
  <c r="K820" i="6"/>
  <c r="L820" i="6" s="1"/>
  <c r="M820" i="6" s="1"/>
  <c r="K446" i="6"/>
  <c r="L446" i="6" s="1"/>
  <c r="M446" i="6" s="1"/>
  <c r="K470" i="6"/>
  <c r="L470" i="6" s="1"/>
  <c r="M470" i="6" s="1"/>
  <c r="K224" i="6"/>
  <c r="L224" i="6" s="1"/>
  <c r="M224" i="6" s="1"/>
  <c r="K339" i="6"/>
  <c r="L339" i="6" s="1"/>
  <c r="M339" i="6" s="1"/>
  <c r="K494" i="6"/>
  <c r="L494" i="6" s="1"/>
  <c r="M494" i="6" s="1"/>
  <c r="K517" i="6"/>
  <c r="L517" i="6" s="1"/>
  <c r="M517" i="6" s="1"/>
  <c r="K540" i="6"/>
  <c r="L540" i="6" s="1"/>
  <c r="M540" i="6" s="1"/>
  <c r="K411" i="6"/>
  <c r="L411" i="6" s="1"/>
  <c r="M411" i="6" s="1"/>
  <c r="K563" i="6"/>
  <c r="L563" i="6" s="1"/>
  <c r="M563" i="6" s="1"/>
  <c r="K586" i="6"/>
  <c r="L586" i="6" s="1"/>
  <c r="M586" i="6" s="1"/>
  <c r="K608" i="6"/>
  <c r="L608" i="6" s="1"/>
  <c r="M608" i="6" s="1"/>
  <c r="K633" i="6"/>
  <c r="L633" i="6" s="1"/>
  <c r="M633" i="6" s="1"/>
  <c r="K868" i="6"/>
  <c r="L868" i="6" s="1"/>
  <c r="M868" i="6" s="1"/>
  <c r="K892" i="6"/>
  <c r="L892" i="6" s="1"/>
  <c r="M892" i="6" s="1"/>
  <c r="K915" i="6"/>
  <c r="L915" i="6" s="1"/>
  <c r="M915" i="6" s="1"/>
  <c r="K938" i="6"/>
  <c r="L938" i="6" s="1"/>
  <c r="M938" i="6" s="1"/>
  <c r="K960" i="6"/>
  <c r="L960" i="6" s="1"/>
  <c r="M960" i="6" s="1"/>
  <c r="K1007" i="6"/>
  <c r="L1007" i="6" s="1"/>
  <c r="M1007" i="6" s="1"/>
  <c r="K795" i="6"/>
  <c r="L795" i="6" s="1"/>
  <c r="M795" i="6" s="1"/>
  <c r="K61" i="6"/>
  <c r="L61" i="6" s="1"/>
  <c r="M61" i="6" s="1"/>
  <c r="K83" i="6"/>
  <c r="L83" i="6" s="1"/>
  <c r="M83" i="6" s="1"/>
  <c r="K106" i="6"/>
  <c r="L106" i="6" s="1"/>
  <c r="M106" i="6" s="1"/>
  <c r="K129" i="6"/>
  <c r="L129" i="6" s="1"/>
  <c r="M129" i="6" s="1"/>
  <c r="K152" i="6"/>
  <c r="L152" i="6" s="1"/>
  <c r="M152" i="6" s="1"/>
  <c r="K175" i="6"/>
  <c r="L175" i="6" s="1"/>
  <c r="M175" i="6" s="1"/>
  <c r="K199" i="6"/>
  <c r="L199" i="6" s="1"/>
  <c r="M199" i="6" s="1"/>
  <c r="K247" i="6"/>
  <c r="L247" i="6" s="1"/>
  <c r="M247" i="6" s="1"/>
  <c r="K269" i="6"/>
  <c r="L269" i="6" s="1"/>
  <c r="M269" i="6" s="1"/>
  <c r="K291" i="6"/>
  <c r="L291" i="6" s="1"/>
  <c r="M291" i="6" s="1"/>
  <c r="K655" i="6"/>
  <c r="L655" i="6" s="1"/>
  <c r="M655" i="6" s="1"/>
  <c r="K678" i="6"/>
  <c r="L678" i="6" s="1"/>
  <c r="M678" i="6" s="1"/>
  <c r="K702" i="6"/>
  <c r="L702" i="6" s="1"/>
  <c r="M702" i="6" s="1"/>
  <c r="K725" i="6"/>
  <c r="L725" i="6" s="1"/>
  <c r="M725" i="6" s="1"/>
  <c r="K749" i="6"/>
  <c r="L749" i="6" s="1"/>
  <c r="M749" i="6" s="1"/>
  <c r="K772" i="6"/>
  <c r="L772" i="6" s="1"/>
  <c r="M772" i="6" s="1"/>
  <c r="K843" i="6"/>
  <c r="L843" i="6" s="1"/>
  <c r="M843" i="6" s="1"/>
  <c r="K983" i="6"/>
  <c r="L983" i="6" s="1"/>
  <c r="M983" i="6" s="1"/>
  <c r="K38" i="6"/>
  <c r="L38" i="6" s="1"/>
  <c r="M38" i="6" s="1"/>
  <c r="K386" i="6"/>
  <c r="L386" i="6" s="1"/>
  <c r="M386" i="6" s="1"/>
  <c r="K819" i="6"/>
  <c r="L819" i="6" s="1"/>
  <c r="M819" i="6" s="1"/>
  <c r="K223" i="6"/>
  <c r="L223" i="6" s="1"/>
  <c r="M223" i="6" s="1"/>
  <c r="K315" i="6"/>
  <c r="L315" i="6" s="1"/>
  <c r="M315" i="6" s="1"/>
  <c r="K362" i="6"/>
  <c r="L362" i="6" s="1"/>
  <c r="M362" i="6" s="1"/>
  <c r="K410" i="6"/>
  <c r="L410" i="6" s="1"/>
  <c r="M410" i="6" s="1"/>
  <c r="K445" i="6"/>
  <c r="L445" i="6" s="1"/>
  <c r="M445" i="6" s="1"/>
  <c r="K469" i="6"/>
  <c r="L469" i="6" s="1"/>
  <c r="M469" i="6" s="1"/>
  <c r="K338" i="6"/>
  <c r="L338" i="6" s="1"/>
  <c r="M338" i="6" s="1"/>
  <c r="K493" i="6"/>
  <c r="L493" i="6" s="1"/>
  <c r="M493" i="6" s="1"/>
  <c r="K516" i="6"/>
  <c r="L516" i="6" s="1"/>
  <c r="M516" i="6" s="1"/>
  <c r="K539" i="6"/>
  <c r="L539" i="6" s="1"/>
  <c r="M539" i="6" s="1"/>
  <c r="K562" i="6"/>
  <c r="L562" i="6" s="1"/>
  <c r="M562" i="6" s="1"/>
  <c r="K585" i="6"/>
  <c r="L585" i="6" s="1"/>
  <c r="M585" i="6" s="1"/>
  <c r="K607" i="6"/>
  <c r="L607" i="6" s="1"/>
  <c r="M607" i="6" s="1"/>
  <c r="K632" i="6"/>
  <c r="L632" i="6" s="1"/>
  <c r="M632" i="6" s="1"/>
  <c r="K867" i="6"/>
  <c r="L867" i="6" s="1"/>
  <c r="M867" i="6" s="1"/>
  <c r="K891" i="6"/>
  <c r="L891" i="6" s="1"/>
  <c r="M891" i="6" s="1"/>
  <c r="K914" i="6"/>
  <c r="L914" i="6" s="1"/>
  <c r="M914" i="6" s="1"/>
  <c r="K937" i="6"/>
  <c r="L937" i="6" s="1"/>
  <c r="M937" i="6" s="1"/>
  <c r="K959" i="6"/>
  <c r="L959" i="6" s="1"/>
  <c r="M959" i="6" s="1"/>
  <c r="K1006" i="6"/>
  <c r="L1006" i="6" s="1"/>
  <c r="M1006" i="6" s="1"/>
  <c r="K1030" i="6"/>
  <c r="L1030" i="6" s="1"/>
  <c r="M1030" i="6" s="1"/>
  <c r="K81" i="6"/>
  <c r="L81" i="6" s="1"/>
  <c r="M81" i="6" s="1"/>
  <c r="K104" i="6"/>
  <c r="L104" i="6" s="1"/>
  <c r="M104" i="6" s="1"/>
  <c r="K127" i="6"/>
  <c r="L127" i="6" s="1"/>
  <c r="M127" i="6" s="1"/>
  <c r="K150" i="6"/>
  <c r="L150" i="6" s="1"/>
  <c r="M150" i="6" s="1"/>
  <c r="K173" i="6"/>
  <c r="L173" i="6" s="1"/>
  <c r="M173" i="6" s="1"/>
  <c r="K197" i="6"/>
  <c r="L197" i="6" s="1"/>
  <c r="M197" i="6" s="1"/>
  <c r="K245" i="6"/>
  <c r="L245" i="6" s="1"/>
  <c r="M245" i="6" s="1"/>
  <c r="K267" i="6"/>
  <c r="L267" i="6" s="1"/>
  <c r="M267" i="6" s="1"/>
  <c r="K289" i="6"/>
  <c r="L289" i="6" s="1"/>
  <c r="M289" i="6" s="1"/>
  <c r="K677" i="6"/>
  <c r="L677" i="6" s="1"/>
  <c r="M677" i="6" s="1"/>
  <c r="K700" i="6"/>
  <c r="L700" i="6" s="1"/>
  <c r="M700" i="6" s="1"/>
  <c r="K723" i="6"/>
  <c r="L723" i="6" s="1"/>
  <c r="M723" i="6" s="1"/>
  <c r="K747" i="6"/>
  <c r="L747" i="6" s="1"/>
  <c r="M747" i="6" s="1"/>
  <c r="K770" i="6"/>
  <c r="L770" i="6" s="1"/>
  <c r="M770" i="6" s="1"/>
  <c r="K793" i="6"/>
  <c r="L793" i="6" s="1"/>
  <c r="M793" i="6" s="1"/>
  <c r="K817" i="6"/>
  <c r="L817" i="6" s="1"/>
  <c r="M817" i="6" s="1"/>
  <c r="K841" i="6"/>
  <c r="L841" i="6" s="1"/>
  <c r="M841" i="6" s="1"/>
  <c r="K981" i="6"/>
  <c r="L981" i="6" s="1"/>
  <c r="M981" i="6" s="1"/>
  <c r="K360" i="6"/>
  <c r="L360" i="6" s="1"/>
  <c r="M360" i="6" s="1"/>
  <c r="K384" i="6"/>
  <c r="L384" i="6" s="1"/>
  <c r="M384" i="6" s="1"/>
  <c r="K221" i="6"/>
  <c r="L221" i="6" s="1"/>
  <c r="M221" i="6" s="1"/>
  <c r="K313" i="6"/>
  <c r="L313" i="6" s="1"/>
  <c r="M313" i="6" s="1"/>
  <c r="K408" i="6"/>
  <c r="L408" i="6" s="1"/>
  <c r="M408" i="6" s="1"/>
  <c r="K443" i="6"/>
  <c r="L443" i="6" s="1"/>
  <c r="M443" i="6" s="1"/>
  <c r="K467" i="6"/>
  <c r="L467" i="6" s="1"/>
  <c r="M467" i="6" s="1"/>
  <c r="K36" i="6"/>
  <c r="L36" i="6" s="1"/>
  <c r="M36" i="6" s="1"/>
  <c r="K491" i="6"/>
  <c r="L491" i="6" s="1"/>
  <c r="M491" i="6" s="1"/>
  <c r="K537" i="6"/>
  <c r="L537" i="6" s="1"/>
  <c r="M537" i="6" s="1"/>
  <c r="K560" i="6"/>
  <c r="L560" i="6" s="1"/>
  <c r="M560" i="6" s="1"/>
  <c r="K336" i="6"/>
  <c r="L336" i="6" s="1"/>
  <c r="M336" i="6" s="1"/>
  <c r="K583" i="6"/>
  <c r="L583" i="6" s="1"/>
  <c r="M583" i="6" s="1"/>
  <c r="K605" i="6"/>
  <c r="L605" i="6" s="1"/>
  <c r="M605" i="6" s="1"/>
  <c r="K630" i="6"/>
  <c r="L630" i="6" s="1"/>
  <c r="M630" i="6" s="1"/>
  <c r="K865" i="6"/>
  <c r="L865" i="6" s="1"/>
  <c r="M865" i="6" s="1"/>
  <c r="K889" i="6"/>
  <c r="L889" i="6" s="1"/>
  <c r="M889" i="6" s="1"/>
  <c r="K912" i="6"/>
  <c r="L912" i="6" s="1"/>
  <c r="M912" i="6" s="1"/>
  <c r="K935" i="6"/>
  <c r="L935" i="6" s="1"/>
  <c r="M935" i="6" s="1"/>
  <c r="K957" i="6"/>
  <c r="L957" i="6" s="1"/>
  <c r="M957" i="6" s="1"/>
  <c r="K1028" i="6"/>
  <c r="L1028" i="6" s="1"/>
  <c r="M1028" i="6" s="1"/>
  <c r="K59" i="6"/>
  <c r="L59" i="6" s="1"/>
  <c r="M59" i="6" s="1"/>
  <c r="K80" i="6"/>
  <c r="L80" i="6" s="1"/>
  <c r="M80" i="6" s="1"/>
  <c r="K103" i="6"/>
  <c r="L103" i="6" s="1"/>
  <c r="M103" i="6" s="1"/>
  <c r="K149" i="6"/>
  <c r="L149" i="6" s="1"/>
  <c r="M149" i="6" s="1"/>
  <c r="K172" i="6"/>
  <c r="L172" i="6" s="1"/>
  <c r="M172" i="6" s="1"/>
  <c r="K196" i="6"/>
  <c r="L196" i="6" s="1"/>
  <c r="M196" i="6" s="1"/>
  <c r="K126" i="6"/>
  <c r="L126" i="6" s="1"/>
  <c r="M126" i="6" s="1"/>
  <c r="K244" i="6"/>
  <c r="L244" i="6" s="1"/>
  <c r="M244" i="6" s="1"/>
  <c r="K653" i="6"/>
  <c r="L653" i="6" s="1"/>
  <c r="M653" i="6" s="1"/>
  <c r="K676" i="6"/>
  <c r="L676" i="6" s="1"/>
  <c r="M676" i="6" s="1"/>
  <c r="K699" i="6"/>
  <c r="L699" i="6" s="1"/>
  <c r="M699" i="6" s="1"/>
  <c r="K746" i="6"/>
  <c r="L746" i="6" s="1"/>
  <c r="M746" i="6" s="1"/>
  <c r="K816" i="6"/>
  <c r="L816" i="6" s="1"/>
  <c r="M816" i="6" s="1"/>
  <c r="K383" i="6"/>
  <c r="L383" i="6" s="1"/>
  <c r="M383" i="6" s="1"/>
  <c r="K359" i="6"/>
  <c r="L359" i="6" s="1"/>
  <c r="M359" i="6" s="1"/>
  <c r="K442" i="6"/>
  <c r="L442" i="6" s="1"/>
  <c r="M442" i="6" s="1"/>
  <c r="K466" i="6"/>
  <c r="L466" i="6" s="1"/>
  <c r="M466" i="6" s="1"/>
  <c r="K35" i="6"/>
  <c r="L35" i="6" s="1"/>
  <c r="M35" i="6" s="1"/>
  <c r="K220" i="6"/>
  <c r="L220" i="6" s="1"/>
  <c r="M220" i="6" s="1"/>
  <c r="K407" i="6"/>
  <c r="L407" i="6" s="1"/>
  <c r="M407" i="6" s="1"/>
  <c r="K490" i="6"/>
  <c r="L490" i="6" s="1"/>
  <c r="M490" i="6" s="1"/>
  <c r="K514" i="6"/>
  <c r="L514" i="6" s="1"/>
  <c r="M514" i="6" s="1"/>
  <c r="K559" i="6"/>
  <c r="L559" i="6" s="1"/>
  <c r="M559" i="6" s="1"/>
  <c r="K840" i="6"/>
  <c r="L840" i="6" s="1"/>
  <c r="M840" i="6" s="1"/>
  <c r="K312" i="6"/>
  <c r="L312" i="6" s="1"/>
  <c r="M312" i="6" s="1"/>
  <c r="K582" i="6"/>
  <c r="L582" i="6" s="1"/>
  <c r="M582" i="6" s="1"/>
  <c r="K864" i="6"/>
  <c r="L864" i="6" s="1"/>
  <c r="M864" i="6" s="1"/>
  <c r="K888" i="6"/>
  <c r="L888" i="6" s="1"/>
  <c r="M888" i="6" s="1"/>
  <c r="K934" i="6"/>
  <c r="L934" i="6" s="1"/>
  <c r="M934" i="6" s="1"/>
  <c r="K980" i="6"/>
  <c r="L980" i="6" s="1"/>
  <c r="M980" i="6" s="1"/>
  <c r="K1004" i="6"/>
  <c r="L1004" i="6" s="1"/>
  <c r="M1004" i="6" s="1"/>
  <c r="K1027" i="6"/>
  <c r="L1027" i="6" s="1"/>
  <c r="M1027" i="6" s="1"/>
  <c r="K839" i="6"/>
  <c r="L839" i="6" s="1"/>
  <c r="M839" i="6" s="1"/>
  <c r="K58" i="6"/>
  <c r="L58" i="6" s="1"/>
  <c r="M58" i="6" s="1"/>
  <c r="K195" i="6"/>
  <c r="L195" i="6" s="1"/>
  <c r="M195" i="6" s="1"/>
  <c r="K243" i="6"/>
  <c r="L243" i="6" s="1"/>
  <c r="M243" i="6" s="1"/>
  <c r="K652" i="6"/>
  <c r="L652" i="6" s="1"/>
  <c r="M652" i="6" s="1"/>
  <c r="K675" i="6"/>
  <c r="L675" i="6" s="1"/>
  <c r="M675" i="6" s="1"/>
  <c r="K698" i="6"/>
  <c r="L698" i="6" s="1"/>
  <c r="M698" i="6" s="1"/>
  <c r="K722" i="6"/>
  <c r="L722" i="6" s="1"/>
  <c r="M722" i="6" s="1"/>
  <c r="K745" i="6"/>
  <c r="L745" i="6" s="1"/>
  <c r="M745" i="6" s="1"/>
  <c r="K769" i="6"/>
  <c r="L769" i="6" s="1"/>
  <c r="M769" i="6" s="1"/>
  <c r="K815" i="6"/>
  <c r="L815" i="6" s="1"/>
  <c r="M815" i="6" s="1"/>
  <c r="K358" i="6"/>
  <c r="L358" i="6" s="1"/>
  <c r="M358" i="6" s="1"/>
  <c r="K382" i="6"/>
  <c r="L382" i="6" s="1"/>
  <c r="M382" i="6" s="1"/>
  <c r="K311" i="6"/>
  <c r="L311" i="6" s="1"/>
  <c r="M311" i="6" s="1"/>
  <c r="K465" i="6"/>
  <c r="L465" i="6" s="1"/>
  <c r="M465" i="6" s="1"/>
  <c r="K34" i="6"/>
  <c r="L34" i="6" s="1"/>
  <c r="M34" i="6" s="1"/>
  <c r="K219" i="6"/>
  <c r="L219" i="6" s="1"/>
  <c r="M219" i="6" s="1"/>
  <c r="K489" i="6"/>
  <c r="L489" i="6" s="1"/>
  <c r="M489" i="6" s="1"/>
  <c r="K513" i="6"/>
  <c r="L513" i="6" s="1"/>
  <c r="M513" i="6" s="1"/>
  <c r="K536" i="6"/>
  <c r="L536" i="6" s="1"/>
  <c r="M536" i="6" s="1"/>
  <c r="K558" i="6"/>
  <c r="L558" i="6" s="1"/>
  <c r="M558" i="6" s="1"/>
  <c r="K335" i="6"/>
  <c r="L335" i="6" s="1"/>
  <c r="M335" i="6" s="1"/>
  <c r="K406" i="6"/>
  <c r="L406" i="6" s="1"/>
  <c r="M406" i="6" s="1"/>
  <c r="K629" i="6"/>
  <c r="L629" i="6" s="1"/>
  <c r="M629" i="6" s="1"/>
  <c r="K792" i="6"/>
  <c r="L792" i="6" s="1"/>
  <c r="M792" i="6" s="1"/>
  <c r="K863" i="6"/>
  <c r="L863" i="6" s="1"/>
  <c r="M863" i="6" s="1"/>
  <c r="K887" i="6"/>
  <c r="L887" i="6" s="1"/>
  <c r="M887" i="6" s="1"/>
  <c r="K911" i="6"/>
  <c r="L911" i="6" s="1"/>
  <c r="M911" i="6" s="1"/>
  <c r="K979" i="6"/>
  <c r="L979" i="6" s="1"/>
  <c r="M979" i="6" s="1"/>
  <c r="K1003" i="6"/>
  <c r="L1003" i="6" s="1"/>
  <c r="M1003" i="6" s="1"/>
  <c r="K1026" i="6"/>
  <c r="L1026" i="6" s="1"/>
  <c r="M1026" i="6" s="1"/>
  <c r="Q37" i="15"/>
  <c r="R37" i="15"/>
  <c r="B18" i="15"/>
  <c r="G11" i="2" s="1"/>
  <c r="H9" i="2"/>
  <c r="B20" i="15"/>
  <c r="W9" i="2" s="1"/>
  <c r="B21" i="15"/>
  <c r="V11" i="2" s="1"/>
  <c r="B19" i="15"/>
  <c r="L11" i="2" s="1"/>
  <c r="M9" i="2"/>
  <c r="B17" i="15"/>
  <c r="R9" i="2" s="1"/>
  <c r="C9" i="2"/>
  <c r="B25" i="15"/>
  <c r="B24" i="15"/>
  <c r="Q34" i="15"/>
  <c r="R34" i="15"/>
  <c r="Q36" i="15"/>
  <c r="R36" i="15"/>
  <c r="Q35" i="15"/>
  <c r="R35" i="15"/>
  <c r="K1019" i="6"/>
  <c r="L1019" i="6" s="1"/>
  <c r="M1019" i="6" s="1"/>
  <c r="K996" i="6"/>
  <c r="L996" i="6" s="1"/>
  <c r="M996" i="6" s="1"/>
  <c r="K972" i="6"/>
  <c r="L972" i="6" s="1"/>
  <c r="M972" i="6" s="1"/>
  <c r="K950" i="6"/>
  <c r="L950" i="6" s="1"/>
  <c r="M950" i="6" s="1"/>
  <c r="K927" i="6"/>
  <c r="L927" i="6" s="1"/>
  <c r="M927" i="6" s="1"/>
  <c r="K904" i="6"/>
  <c r="L904" i="6" s="1"/>
  <c r="M904" i="6" s="1"/>
  <c r="K880" i="6"/>
  <c r="L880" i="6" s="1"/>
  <c r="M880" i="6" s="1"/>
  <c r="K856" i="6"/>
  <c r="L856" i="6" s="1"/>
  <c r="M856" i="6" s="1"/>
  <c r="I25" i="6"/>
  <c r="H25" i="6"/>
  <c r="K51" i="6"/>
  <c r="L51" i="6" s="1"/>
  <c r="M51" i="6" s="1"/>
  <c r="K74" i="6"/>
  <c r="L74" i="6" s="1"/>
  <c r="M74" i="6" s="1"/>
  <c r="K96" i="6"/>
  <c r="L96" i="6" s="1"/>
  <c r="M96" i="6" s="1"/>
  <c r="K119" i="6"/>
  <c r="L119" i="6" s="1"/>
  <c r="M119" i="6" s="1"/>
  <c r="K165" i="6"/>
  <c r="L165" i="6" s="1"/>
  <c r="M165" i="6" s="1"/>
  <c r="K188" i="6"/>
  <c r="L188" i="6" s="1"/>
  <c r="M188" i="6" s="1"/>
  <c r="K212" i="6"/>
  <c r="L212" i="6" s="1"/>
  <c r="M212" i="6" s="1"/>
  <c r="K236" i="6"/>
  <c r="L236" i="6" s="1"/>
  <c r="M236" i="6" s="1"/>
  <c r="K142" i="6"/>
  <c r="L142" i="6" s="1"/>
  <c r="M142" i="6" s="1"/>
  <c r="K260" i="6"/>
  <c r="L260" i="6" s="1"/>
  <c r="M260" i="6" s="1"/>
  <c r="K282" i="6"/>
  <c r="L282" i="6" s="1"/>
  <c r="M282" i="6" s="1"/>
  <c r="K645" i="6"/>
  <c r="L645" i="6" s="1"/>
  <c r="M645" i="6" s="1"/>
  <c r="K668" i="6"/>
  <c r="L668" i="6" s="1"/>
  <c r="M668" i="6" s="1"/>
  <c r="K691" i="6"/>
  <c r="L691" i="6" s="1"/>
  <c r="M691" i="6" s="1"/>
  <c r="K715" i="6"/>
  <c r="L715" i="6" s="1"/>
  <c r="M715" i="6" s="1"/>
  <c r="K738" i="6"/>
  <c r="L738" i="6" s="1"/>
  <c r="M738" i="6" s="1"/>
  <c r="K762" i="6"/>
  <c r="L762" i="6" s="1"/>
  <c r="M762" i="6" s="1"/>
  <c r="K785" i="6"/>
  <c r="L785" i="6" s="1"/>
  <c r="M785" i="6" s="1"/>
  <c r="K808" i="6"/>
  <c r="L808" i="6" s="1"/>
  <c r="M808" i="6" s="1"/>
  <c r="K832" i="6"/>
  <c r="L832" i="6" s="1"/>
  <c r="M832" i="6" s="1"/>
  <c r="K328" i="6"/>
  <c r="L328" i="6" s="1"/>
  <c r="M328" i="6" s="1"/>
  <c r="K399" i="6"/>
  <c r="L399" i="6" s="1"/>
  <c r="M399" i="6" s="1"/>
  <c r="K304" i="6"/>
  <c r="L304" i="6" s="1"/>
  <c r="M304" i="6" s="1"/>
  <c r="K375" i="6"/>
  <c r="L375" i="6" s="1"/>
  <c r="M375" i="6" s="1"/>
  <c r="K423" i="6"/>
  <c r="L423" i="6" s="1"/>
  <c r="M423" i="6" s="1"/>
  <c r="K435" i="6"/>
  <c r="L435" i="6" s="1"/>
  <c r="M435" i="6" s="1"/>
  <c r="K458" i="6"/>
  <c r="L458" i="6" s="1"/>
  <c r="M458" i="6" s="1"/>
  <c r="K482" i="6"/>
  <c r="L482" i="6" s="1"/>
  <c r="M482" i="6" s="1"/>
  <c r="K351" i="6"/>
  <c r="L351" i="6" s="1"/>
  <c r="M351" i="6" s="1"/>
  <c r="K506" i="6"/>
  <c r="L506" i="6" s="1"/>
  <c r="M506" i="6" s="1"/>
  <c r="K529" i="6"/>
  <c r="L529" i="6" s="1"/>
  <c r="M529" i="6" s="1"/>
  <c r="K552" i="6"/>
  <c r="L552" i="6" s="1"/>
  <c r="M552" i="6" s="1"/>
  <c r="K575" i="6"/>
  <c r="L575" i="6" s="1"/>
  <c r="M575" i="6" s="1"/>
  <c r="K598" i="6"/>
  <c r="L598" i="6" s="1"/>
  <c r="M598" i="6" s="1"/>
  <c r="K622" i="6"/>
  <c r="L622" i="6" s="1"/>
  <c r="M622" i="6" s="1"/>
  <c r="K1024" i="6"/>
  <c r="L1024" i="6" s="1"/>
  <c r="M1024" i="6" s="1"/>
  <c r="K1001" i="6"/>
  <c r="L1001" i="6" s="1"/>
  <c r="M1001" i="6" s="1"/>
  <c r="K977" i="6"/>
  <c r="L977" i="6" s="1"/>
  <c r="M977" i="6" s="1"/>
  <c r="K955" i="6"/>
  <c r="L955" i="6" s="1"/>
  <c r="M955" i="6" s="1"/>
  <c r="K932" i="6"/>
  <c r="L932" i="6" s="1"/>
  <c r="M932" i="6" s="1"/>
  <c r="K909" i="6"/>
  <c r="L909" i="6" s="1"/>
  <c r="M909" i="6" s="1"/>
  <c r="K885" i="6"/>
  <c r="L885" i="6" s="1"/>
  <c r="M885" i="6" s="1"/>
  <c r="K861" i="6"/>
  <c r="L861" i="6" s="1"/>
  <c r="M861" i="6" s="1"/>
  <c r="K309" i="6"/>
  <c r="L309" i="6" s="1"/>
  <c r="M309" i="6" s="1"/>
  <c r="K380" i="6"/>
  <c r="L380" i="6" s="1"/>
  <c r="M380" i="6" s="1"/>
  <c r="K580" i="6"/>
  <c r="L580" i="6" s="1"/>
  <c r="M580" i="6" s="1"/>
  <c r="K603" i="6"/>
  <c r="L603" i="6" s="1"/>
  <c r="M603" i="6" s="1"/>
  <c r="K627" i="6"/>
  <c r="L627" i="6" s="1"/>
  <c r="M627" i="6" s="1"/>
  <c r="K790" i="6"/>
  <c r="L790" i="6" s="1"/>
  <c r="M790" i="6" s="1"/>
  <c r="K56" i="6"/>
  <c r="L56" i="6" s="1"/>
  <c r="M56" i="6" s="1"/>
  <c r="K79" i="6"/>
  <c r="L79" i="6" s="1"/>
  <c r="M79" i="6" s="1"/>
  <c r="K101" i="6"/>
  <c r="L101" i="6" s="1"/>
  <c r="M101" i="6" s="1"/>
  <c r="K124" i="6"/>
  <c r="L124" i="6" s="1"/>
  <c r="M124" i="6" s="1"/>
  <c r="K170" i="6"/>
  <c r="L170" i="6" s="1"/>
  <c r="M170" i="6" s="1"/>
  <c r="K193" i="6"/>
  <c r="L193" i="6" s="1"/>
  <c r="M193" i="6" s="1"/>
  <c r="K147" i="6"/>
  <c r="L147" i="6" s="1"/>
  <c r="M147" i="6" s="1"/>
  <c r="K241" i="6"/>
  <c r="L241" i="6" s="1"/>
  <c r="M241" i="6" s="1"/>
  <c r="K265" i="6"/>
  <c r="L265" i="6" s="1"/>
  <c r="M265" i="6" s="1"/>
  <c r="K287" i="6"/>
  <c r="L287" i="6" s="1"/>
  <c r="M287" i="6" s="1"/>
  <c r="K650" i="6"/>
  <c r="L650" i="6" s="1"/>
  <c r="M650" i="6" s="1"/>
  <c r="K673" i="6"/>
  <c r="L673" i="6" s="1"/>
  <c r="M673" i="6" s="1"/>
  <c r="K696" i="6"/>
  <c r="L696" i="6" s="1"/>
  <c r="M696" i="6" s="1"/>
  <c r="K720" i="6"/>
  <c r="L720" i="6" s="1"/>
  <c r="M720" i="6" s="1"/>
  <c r="K743" i="6"/>
  <c r="L743" i="6" s="1"/>
  <c r="M743" i="6" s="1"/>
  <c r="K767" i="6"/>
  <c r="L767" i="6" s="1"/>
  <c r="M767" i="6" s="1"/>
  <c r="I6" i="6"/>
  <c r="K813" i="6"/>
  <c r="L813" i="6" s="1"/>
  <c r="M813" i="6" s="1"/>
  <c r="K217" i="6"/>
  <c r="L217" i="6" s="1"/>
  <c r="M217" i="6" s="1"/>
  <c r="K333" i="6"/>
  <c r="L333" i="6" s="1"/>
  <c r="M333" i="6" s="1"/>
  <c r="K404" i="6"/>
  <c r="L404" i="6" s="1"/>
  <c r="M404" i="6" s="1"/>
  <c r="H6" i="6"/>
  <c r="K356" i="6"/>
  <c r="L356" i="6" s="1"/>
  <c r="M356" i="6" s="1"/>
  <c r="K440" i="6"/>
  <c r="L440" i="6" s="1"/>
  <c r="M440" i="6" s="1"/>
  <c r="K463" i="6"/>
  <c r="L463" i="6" s="1"/>
  <c r="M463" i="6" s="1"/>
  <c r="K32" i="6"/>
  <c r="L32" i="6" s="1"/>
  <c r="M32" i="6" s="1"/>
  <c r="K487" i="6"/>
  <c r="L487" i="6" s="1"/>
  <c r="M487" i="6" s="1"/>
  <c r="K511" i="6"/>
  <c r="L511" i="6" s="1"/>
  <c r="M511" i="6" s="1"/>
  <c r="K534" i="6"/>
  <c r="L534" i="6" s="1"/>
  <c r="M534" i="6" s="1"/>
  <c r="K557" i="6"/>
  <c r="L557" i="6" s="1"/>
  <c r="M557" i="6" s="1"/>
  <c r="K837" i="6"/>
  <c r="L837" i="6" s="1"/>
  <c r="M837" i="6" s="1"/>
  <c r="K1022" i="6"/>
  <c r="L1022" i="6" s="1"/>
  <c r="M1022" i="6" s="1"/>
  <c r="K999" i="6"/>
  <c r="L999" i="6" s="1"/>
  <c r="M999" i="6" s="1"/>
  <c r="K975" i="6"/>
  <c r="L975" i="6" s="1"/>
  <c r="M975" i="6" s="1"/>
  <c r="K953" i="6"/>
  <c r="L953" i="6" s="1"/>
  <c r="M953" i="6" s="1"/>
  <c r="K930" i="6"/>
  <c r="L930" i="6" s="1"/>
  <c r="M930" i="6" s="1"/>
  <c r="K907" i="6"/>
  <c r="L907" i="6" s="1"/>
  <c r="M907" i="6" s="1"/>
  <c r="K883" i="6"/>
  <c r="L883" i="6" s="1"/>
  <c r="M883" i="6" s="1"/>
  <c r="K859" i="6"/>
  <c r="L859" i="6" s="1"/>
  <c r="M859" i="6" s="1"/>
  <c r="K307" i="6"/>
  <c r="L307" i="6" s="1"/>
  <c r="M307" i="6" s="1"/>
  <c r="K578" i="6"/>
  <c r="L578" i="6" s="1"/>
  <c r="M578" i="6" s="1"/>
  <c r="K601" i="6"/>
  <c r="L601" i="6" s="1"/>
  <c r="M601" i="6" s="1"/>
  <c r="K625" i="6"/>
  <c r="L625" i="6" s="1"/>
  <c r="M625" i="6" s="1"/>
  <c r="I28" i="6"/>
  <c r="H28" i="6"/>
  <c r="K54" i="6"/>
  <c r="L54" i="6" s="1"/>
  <c r="M54" i="6" s="1"/>
  <c r="K77" i="6"/>
  <c r="L77" i="6" s="1"/>
  <c r="M77" i="6" s="1"/>
  <c r="K99" i="6"/>
  <c r="L99" i="6" s="1"/>
  <c r="M99" i="6" s="1"/>
  <c r="K122" i="6"/>
  <c r="L122" i="6" s="1"/>
  <c r="M122" i="6" s="1"/>
  <c r="K145" i="6"/>
  <c r="L145" i="6" s="1"/>
  <c r="M145" i="6" s="1"/>
  <c r="K168" i="6"/>
  <c r="L168" i="6" s="1"/>
  <c r="M168" i="6" s="1"/>
  <c r="K191" i="6"/>
  <c r="L191" i="6" s="1"/>
  <c r="M191" i="6" s="1"/>
  <c r="K215" i="6"/>
  <c r="L215" i="6" s="1"/>
  <c r="M215" i="6" s="1"/>
  <c r="K239" i="6"/>
  <c r="L239" i="6" s="1"/>
  <c r="M239" i="6" s="1"/>
  <c r="K263" i="6"/>
  <c r="L263" i="6" s="1"/>
  <c r="M263" i="6" s="1"/>
  <c r="K285" i="6"/>
  <c r="L285" i="6" s="1"/>
  <c r="M285" i="6" s="1"/>
  <c r="K648" i="6"/>
  <c r="L648" i="6" s="1"/>
  <c r="M648" i="6" s="1"/>
  <c r="K671" i="6"/>
  <c r="L671" i="6" s="1"/>
  <c r="M671" i="6" s="1"/>
  <c r="K694" i="6"/>
  <c r="L694" i="6" s="1"/>
  <c r="M694" i="6" s="1"/>
  <c r="K718" i="6"/>
  <c r="L718" i="6" s="1"/>
  <c r="M718" i="6" s="1"/>
  <c r="K741" i="6"/>
  <c r="L741" i="6" s="1"/>
  <c r="M741" i="6" s="1"/>
  <c r="K765" i="6"/>
  <c r="L765" i="6" s="1"/>
  <c r="M765" i="6" s="1"/>
  <c r="K811" i="6"/>
  <c r="L811" i="6" s="1"/>
  <c r="M811" i="6" s="1"/>
  <c r="K354" i="6"/>
  <c r="L354" i="6" s="1"/>
  <c r="M354" i="6" s="1"/>
  <c r="K378" i="6"/>
  <c r="L378" i="6" s="1"/>
  <c r="M378" i="6" s="1"/>
  <c r="K402" i="6"/>
  <c r="L402" i="6" s="1"/>
  <c r="M402" i="6" s="1"/>
  <c r="K788" i="6"/>
  <c r="L788" i="6" s="1"/>
  <c r="M788" i="6" s="1"/>
  <c r="K835" i="6"/>
  <c r="L835" i="6" s="1"/>
  <c r="M835" i="6" s="1"/>
  <c r="K426" i="6"/>
  <c r="L426" i="6" s="1"/>
  <c r="M426" i="6" s="1"/>
  <c r="K438" i="6"/>
  <c r="L438" i="6" s="1"/>
  <c r="M438" i="6" s="1"/>
  <c r="K461" i="6"/>
  <c r="L461" i="6" s="1"/>
  <c r="M461" i="6" s="1"/>
  <c r="K331" i="6"/>
  <c r="L331" i="6" s="1"/>
  <c r="M331" i="6" s="1"/>
  <c r="K485" i="6"/>
  <c r="L485" i="6" s="1"/>
  <c r="M485" i="6" s="1"/>
  <c r="K509" i="6"/>
  <c r="L509" i="6" s="1"/>
  <c r="M509" i="6" s="1"/>
  <c r="K532" i="6"/>
  <c r="L532" i="6" s="1"/>
  <c r="M532" i="6" s="1"/>
  <c r="K555" i="6"/>
  <c r="L555" i="6" s="1"/>
  <c r="M555" i="6" s="1"/>
  <c r="K1017" i="6"/>
  <c r="L1017" i="6" s="1"/>
  <c r="M1017" i="6" s="1"/>
  <c r="K994" i="6"/>
  <c r="L994" i="6" s="1"/>
  <c r="M994" i="6" s="1"/>
  <c r="K970" i="6"/>
  <c r="L970" i="6" s="1"/>
  <c r="M970" i="6" s="1"/>
  <c r="K948" i="6"/>
  <c r="L948" i="6" s="1"/>
  <c r="M948" i="6" s="1"/>
  <c r="K925" i="6"/>
  <c r="L925" i="6" s="1"/>
  <c r="M925" i="6" s="1"/>
  <c r="K902" i="6"/>
  <c r="L902" i="6" s="1"/>
  <c r="M902" i="6" s="1"/>
  <c r="K878" i="6"/>
  <c r="L878" i="6" s="1"/>
  <c r="M878" i="6" s="1"/>
  <c r="K854" i="6"/>
  <c r="L854" i="6" s="1"/>
  <c r="M854" i="6" s="1"/>
  <c r="K326" i="6"/>
  <c r="L326" i="6" s="1"/>
  <c r="M326" i="6" s="1"/>
  <c r="K397" i="6"/>
  <c r="L397" i="6" s="1"/>
  <c r="M397" i="6" s="1"/>
  <c r="K806" i="6"/>
  <c r="L806" i="6" s="1"/>
  <c r="M806" i="6" s="1"/>
  <c r="K349" i="6"/>
  <c r="L349" i="6" s="1"/>
  <c r="M349" i="6" s="1"/>
  <c r="K421" i="6"/>
  <c r="L421" i="6" s="1"/>
  <c r="M421" i="6" s="1"/>
  <c r="K433" i="6"/>
  <c r="L433" i="6" s="1"/>
  <c r="M433" i="6" s="1"/>
  <c r="K456" i="6"/>
  <c r="L456" i="6" s="1"/>
  <c r="M456" i="6" s="1"/>
  <c r="K480" i="6"/>
  <c r="L480" i="6" s="1"/>
  <c r="M480" i="6" s="1"/>
  <c r="K504" i="6"/>
  <c r="L504" i="6" s="1"/>
  <c r="M504" i="6" s="1"/>
  <c r="K527" i="6"/>
  <c r="L527" i="6" s="1"/>
  <c r="M527" i="6" s="1"/>
  <c r="K550" i="6"/>
  <c r="L550" i="6" s="1"/>
  <c r="M550" i="6" s="1"/>
  <c r="K302" i="6"/>
  <c r="L302" i="6" s="1"/>
  <c r="M302" i="6" s="1"/>
  <c r="K373" i="6"/>
  <c r="L373" i="6" s="1"/>
  <c r="M373" i="6" s="1"/>
  <c r="K573" i="6"/>
  <c r="L573" i="6" s="1"/>
  <c r="M573" i="6" s="1"/>
  <c r="K596" i="6"/>
  <c r="L596" i="6" s="1"/>
  <c r="M596" i="6" s="1"/>
  <c r="K620" i="6"/>
  <c r="L620" i="6" s="1"/>
  <c r="M620" i="6" s="1"/>
  <c r="I23" i="6"/>
  <c r="H23" i="6"/>
  <c r="K783" i="6"/>
  <c r="L783" i="6" s="1"/>
  <c r="M783" i="6" s="1"/>
  <c r="K830" i="6"/>
  <c r="L830" i="6" s="1"/>
  <c r="M830" i="6" s="1"/>
  <c r="K49" i="6"/>
  <c r="L49" i="6" s="1"/>
  <c r="M49" i="6" s="1"/>
  <c r="K72" i="6"/>
  <c r="L72" i="6" s="1"/>
  <c r="M72" i="6" s="1"/>
  <c r="K94" i="6"/>
  <c r="L94" i="6" s="1"/>
  <c r="M94" i="6" s="1"/>
  <c r="K117" i="6"/>
  <c r="L117" i="6" s="1"/>
  <c r="M117" i="6" s="1"/>
  <c r="K163" i="6"/>
  <c r="L163" i="6" s="1"/>
  <c r="M163" i="6" s="1"/>
  <c r="K186" i="6"/>
  <c r="L186" i="6" s="1"/>
  <c r="M186" i="6" s="1"/>
  <c r="K210" i="6"/>
  <c r="L210" i="6" s="1"/>
  <c r="M210" i="6" s="1"/>
  <c r="K234" i="6"/>
  <c r="L234" i="6" s="1"/>
  <c r="M234" i="6" s="1"/>
  <c r="K140" i="6"/>
  <c r="L140" i="6" s="1"/>
  <c r="M140" i="6" s="1"/>
  <c r="K258" i="6"/>
  <c r="L258" i="6" s="1"/>
  <c r="M258" i="6" s="1"/>
  <c r="K280" i="6"/>
  <c r="L280" i="6" s="1"/>
  <c r="M280" i="6" s="1"/>
  <c r="K643" i="6"/>
  <c r="L643" i="6" s="1"/>
  <c r="M643" i="6" s="1"/>
  <c r="K666" i="6"/>
  <c r="L666" i="6" s="1"/>
  <c r="M666" i="6" s="1"/>
  <c r="K689" i="6"/>
  <c r="L689" i="6" s="1"/>
  <c r="M689" i="6" s="1"/>
  <c r="K713" i="6"/>
  <c r="L713" i="6" s="1"/>
  <c r="M713" i="6" s="1"/>
  <c r="K736" i="6"/>
  <c r="L736" i="6" s="1"/>
  <c r="M736" i="6" s="1"/>
  <c r="K760" i="6"/>
  <c r="L760" i="6" s="1"/>
  <c r="M760" i="6" s="1"/>
  <c r="K1013" i="6"/>
  <c r="L1013" i="6" s="1"/>
  <c r="M1013" i="6" s="1"/>
  <c r="K990" i="6"/>
  <c r="L990" i="6" s="1"/>
  <c r="M990" i="6" s="1"/>
  <c r="K966" i="6"/>
  <c r="L966" i="6" s="1"/>
  <c r="M966" i="6" s="1"/>
  <c r="K944" i="6"/>
  <c r="L944" i="6" s="1"/>
  <c r="M944" i="6" s="1"/>
  <c r="K921" i="6"/>
  <c r="L921" i="6" s="1"/>
  <c r="M921" i="6" s="1"/>
  <c r="K898" i="6"/>
  <c r="L898" i="6" s="1"/>
  <c r="M898" i="6" s="1"/>
  <c r="K874" i="6"/>
  <c r="L874" i="6" s="1"/>
  <c r="M874" i="6" s="1"/>
  <c r="K322" i="6"/>
  <c r="L322" i="6" s="1"/>
  <c r="M322" i="6" s="1"/>
  <c r="K417" i="6"/>
  <c r="L417" i="6" s="1"/>
  <c r="M417" i="6" s="1"/>
  <c r="K429" i="6"/>
  <c r="L429" i="6" s="1"/>
  <c r="M429" i="6" s="1"/>
  <c r="K452" i="6"/>
  <c r="L452" i="6" s="1"/>
  <c r="M452" i="6" s="1"/>
  <c r="K476" i="6"/>
  <c r="L476" i="6" s="1"/>
  <c r="M476" i="6" s="1"/>
  <c r="I19" i="6"/>
  <c r="H19" i="6"/>
  <c r="K345" i="6"/>
  <c r="L345" i="6" s="1"/>
  <c r="M345" i="6" s="1"/>
  <c r="K500" i="6"/>
  <c r="L500" i="6" s="1"/>
  <c r="M500" i="6" s="1"/>
  <c r="K523" i="6"/>
  <c r="L523" i="6" s="1"/>
  <c r="M523" i="6" s="1"/>
  <c r="K546" i="6"/>
  <c r="L546" i="6" s="1"/>
  <c r="M546" i="6" s="1"/>
  <c r="K569" i="6"/>
  <c r="L569" i="6" s="1"/>
  <c r="M569" i="6" s="1"/>
  <c r="K592" i="6"/>
  <c r="L592" i="6" s="1"/>
  <c r="M592" i="6" s="1"/>
  <c r="K614" i="6"/>
  <c r="L614" i="6" s="1"/>
  <c r="M614" i="6" s="1"/>
  <c r="K639" i="6"/>
  <c r="L639" i="6" s="1"/>
  <c r="M639" i="6" s="1"/>
  <c r="K826" i="6"/>
  <c r="L826" i="6" s="1"/>
  <c r="M826" i="6" s="1"/>
  <c r="K802" i="6"/>
  <c r="L802" i="6" s="1"/>
  <c r="M802" i="6" s="1"/>
  <c r="K45" i="6"/>
  <c r="L45" i="6" s="1"/>
  <c r="M45" i="6" s="1"/>
  <c r="K68" i="6"/>
  <c r="L68" i="6" s="1"/>
  <c r="M68" i="6" s="1"/>
  <c r="K90" i="6"/>
  <c r="L90" i="6" s="1"/>
  <c r="M90" i="6" s="1"/>
  <c r="K113" i="6"/>
  <c r="L113" i="6" s="1"/>
  <c r="M113" i="6" s="1"/>
  <c r="K159" i="6"/>
  <c r="L159" i="6" s="1"/>
  <c r="M159" i="6" s="1"/>
  <c r="K182" i="6"/>
  <c r="L182" i="6" s="1"/>
  <c r="M182" i="6" s="1"/>
  <c r="K206" i="6"/>
  <c r="L206" i="6" s="1"/>
  <c r="M206" i="6" s="1"/>
  <c r="K230" i="6"/>
  <c r="L230" i="6" s="1"/>
  <c r="M230" i="6" s="1"/>
  <c r="K136" i="6"/>
  <c r="L136" i="6" s="1"/>
  <c r="M136" i="6" s="1"/>
  <c r="K254" i="6"/>
  <c r="L254" i="6" s="1"/>
  <c r="M254" i="6" s="1"/>
  <c r="K276" i="6"/>
  <c r="L276" i="6" s="1"/>
  <c r="M276" i="6" s="1"/>
  <c r="K298" i="6"/>
  <c r="L298" i="6" s="1"/>
  <c r="M298" i="6" s="1"/>
  <c r="K662" i="6"/>
  <c r="L662" i="6" s="1"/>
  <c r="M662" i="6" s="1"/>
  <c r="K685" i="6"/>
  <c r="L685" i="6" s="1"/>
  <c r="M685" i="6" s="1"/>
  <c r="K709" i="6"/>
  <c r="L709" i="6" s="1"/>
  <c r="M709" i="6" s="1"/>
  <c r="K732" i="6"/>
  <c r="L732" i="6" s="1"/>
  <c r="M732" i="6" s="1"/>
  <c r="K756" i="6"/>
  <c r="L756" i="6" s="1"/>
  <c r="M756" i="6" s="1"/>
  <c r="K779" i="6"/>
  <c r="L779" i="6" s="1"/>
  <c r="M779" i="6" s="1"/>
  <c r="K850" i="6"/>
  <c r="L850" i="6" s="1"/>
  <c r="M850" i="6" s="1"/>
  <c r="K369" i="6"/>
  <c r="L369" i="6" s="1"/>
  <c r="M369" i="6" s="1"/>
  <c r="K393" i="6"/>
  <c r="L393" i="6" s="1"/>
  <c r="M393" i="6" s="1"/>
  <c r="K1021" i="6"/>
  <c r="L1021" i="6" s="1"/>
  <c r="M1021" i="6" s="1"/>
  <c r="K998" i="6"/>
  <c r="L998" i="6" s="1"/>
  <c r="M998" i="6" s="1"/>
  <c r="K974" i="6"/>
  <c r="L974" i="6" s="1"/>
  <c r="M974" i="6" s="1"/>
  <c r="K952" i="6"/>
  <c r="L952" i="6" s="1"/>
  <c r="M952" i="6" s="1"/>
  <c r="K929" i="6"/>
  <c r="L929" i="6" s="1"/>
  <c r="M929" i="6" s="1"/>
  <c r="K906" i="6"/>
  <c r="L906" i="6" s="1"/>
  <c r="M906" i="6" s="1"/>
  <c r="K882" i="6"/>
  <c r="L882" i="6" s="1"/>
  <c r="M882" i="6" s="1"/>
  <c r="K858" i="6"/>
  <c r="L858" i="6" s="1"/>
  <c r="M858" i="6" s="1"/>
  <c r="K53" i="6"/>
  <c r="L53" i="6" s="1"/>
  <c r="M53" i="6" s="1"/>
  <c r="K76" i="6"/>
  <c r="L76" i="6" s="1"/>
  <c r="M76" i="6" s="1"/>
  <c r="K98" i="6"/>
  <c r="L98" i="6" s="1"/>
  <c r="M98" i="6" s="1"/>
  <c r="K121" i="6"/>
  <c r="L121" i="6" s="1"/>
  <c r="M121" i="6" s="1"/>
  <c r="K144" i="6"/>
  <c r="L144" i="6" s="1"/>
  <c r="M144" i="6" s="1"/>
  <c r="K167" i="6"/>
  <c r="L167" i="6" s="1"/>
  <c r="M167" i="6" s="1"/>
  <c r="K190" i="6"/>
  <c r="L190" i="6" s="1"/>
  <c r="M190" i="6" s="1"/>
  <c r="K214" i="6"/>
  <c r="L214" i="6" s="1"/>
  <c r="M214" i="6" s="1"/>
  <c r="K238" i="6"/>
  <c r="L238" i="6" s="1"/>
  <c r="M238" i="6" s="1"/>
  <c r="K262" i="6"/>
  <c r="L262" i="6" s="1"/>
  <c r="M262" i="6" s="1"/>
  <c r="K284" i="6"/>
  <c r="L284" i="6" s="1"/>
  <c r="M284" i="6" s="1"/>
  <c r="K647" i="6"/>
  <c r="L647" i="6" s="1"/>
  <c r="M647" i="6" s="1"/>
  <c r="K670" i="6"/>
  <c r="L670" i="6" s="1"/>
  <c r="M670" i="6" s="1"/>
  <c r="K693" i="6"/>
  <c r="L693" i="6" s="1"/>
  <c r="M693" i="6" s="1"/>
  <c r="K717" i="6"/>
  <c r="L717" i="6" s="1"/>
  <c r="M717" i="6" s="1"/>
  <c r="K740" i="6"/>
  <c r="L740" i="6" s="1"/>
  <c r="M740" i="6" s="1"/>
  <c r="K764" i="6"/>
  <c r="L764" i="6" s="1"/>
  <c r="M764" i="6" s="1"/>
  <c r="K810" i="6"/>
  <c r="L810" i="6" s="1"/>
  <c r="M810" i="6" s="1"/>
  <c r="K377" i="6"/>
  <c r="L377" i="6" s="1"/>
  <c r="M377" i="6" s="1"/>
  <c r="K401" i="6"/>
  <c r="L401" i="6" s="1"/>
  <c r="M401" i="6" s="1"/>
  <c r="K306" i="6"/>
  <c r="L306" i="6" s="1"/>
  <c r="M306" i="6" s="1"/>
  <c r="K353" i="6"/>
  <c r="L353" i="6" s="1"/>
  <c r="M353" i="6" s="1"/>
  <c r="K425" i="6"/>
  <c r="L425" i="6" s="1"/>
  <c r="M425" i="6" s="1"/>
  <c r="K437" i="6"/>
  <c r="L437" i="6" s="1"/>
  <c r="M437" i="6" s="1"/>
  <c r="K460" i="6"/>
  <c r="L460" i="6" s="1"/>
  <c r="M460" i="6" s="1"/>
  <c r="K834" i="6"/>
  <c r="L834" i="6" s="1"/>
  <c r="M834" i="6" s="1"/>
  <c r="K484" i="6"/>
  <c r="L484" i="6" s="1"/>
  <c r="M484" i="6" s="1"/>
  <c r="K508" i="6"/>
  <c r="L508" i="6" s="1"/>
  <c r="M508" i="6" s="1"/>
  <c r="K531" i="6"/>
  <c r="L531" i="6" s="1"/>
  <c r="M531" i="6" s="1"/>
  <c r="K554" i="6"/>
  <c r="L554" i="6" s="1"/>
  <c r="M554" i="6" s="1"/>
  <c r="I27" i="6"/>
  <c r="H27" i="6"/>
  <c r="K330" i="6"/>
  <c r="L330" i="6" s="1"/>
  <c r="M330" i="6" s="1"/>
  <c r="K577" i="6"/>
  <c r="L577" i="6" s="1"/>
  <c r="M577" i="6" s="1"/>
  <c r="K600" i="6"/>
  <c r="L600" i="6" s="1"/>
  <c r="M600" i="6" s="1"/>
  <c r="K624" i="6"/>
  <c r="L624" i="6" s="1"/>
  <c r="M624" i="6" s="1"/>
  <c r="K787" i="6"/>
  <c r="L787" i="6" s="1"/>
  <c r="M787" i="6" s="1"/>
  <c r="K1015" i="6"/>
  <c r="L1015" i="6" s="1"/>
  <c r="M1015" i="6" s="1"/>
  <c r="K992" i="6"/>
  <c r="L992" i="6" s="1"/>
  <c r="M992" i="6" s="1"/>
  <c r="K968" i="6"/>
  <c r="L968" i="6" s="1"/>
  <c r="M968" i="6" s="1"/>
  <c r="K946" i="6"/>
  <c r="L946" i="6" s="1"/>
  <c r="M946" i="6" s="1"/>
  <c r="K923" i="6"/>
  <c r="L923" i="6" s="1"/>
  <c r="M923" i="6" s="1"/>
  <c r="K900" i="6"/>
  <c r="L900" i="6" s="1"/>
  <c r="M900" i="6" s="1"/>
  <c r="K876" i="6"/>
  <c r="L876" i="6" s="1"/>
  <c r="M876" i="6" s="1"/>
  <c r="K852" i="6"/>
  <c r="L852" i="6" s="1"/>
  <c r="M852" i="6" s="1"/>
  <c r="K324" i="6"/>
  <c r="L324" i="6" s="1"/>
  <c r="M324" i="6" s="1"/>
  <c r="K502" i="6"/>
  <c r="L502" i="6" s="1"/>
  <c r="M502" i="6" s="1"/>
  <c r="K525" i="6"/>
  <c r="L525" i="6" s="1"/>
  <c r="M525" i="6" s="1"/>
  <c r="K548" i="6"/>
  <c r="L548" i="6" s="1"/>
  <c r="M548" i="6" s="1"/>
  <c r="K571" i="6"/>
  <c r="L571" i="6" s="1"/>
  <c r="M571" i="6" s="1"/>
  <c r="K594" i="6"/>
  <c r="L594" i="6" s="1"/>
  <c r="M594" i="6" s="1"/>
  <c r="K616" i="6"/>
  <c r="L616" i="6" s="1"/>
  <c r="M616" i="6" s="1"/>
  <c r="K618" i="6"/>
  <c r="L618" i="6" s="1"/>
  <c r="M618" i="6" s="1"/>
  <c r="K47" i="6"/>
  <c r="L47" i="6" s="1"/>
  <c r="M47" i="6" s="1"/>
  <c r="J21" i="6" s="1"/>
  <c r="K70" i="6"/>
  <c r="L70" i="6" s="1"/>
  <c r="M70" i="6" s="1"/>
  <c r="K92" i="6"/>
  <c r="L92" i="6" s="1"/>
  <c r="M92" i="6" s="1"/>
  <c r="K115" i="6"/>
  <c r="L115" i="6" s="1"/>
  <c r="M115" i="6" s="1"/>
  <c r="K161" i="6"/>
  <c r="L161" i="6" s="1"/>
  <c r="M161" i="6" s="1"/>
  <c r="K184" i="6"/>
  <c r="L184" i="6" s="1"/>
  <c r="M184" i="6" s="1"/>
  <c r="K208" i="6"/>
  <c r="L208" i="6" s="1"/>
  <c r="M208" i="6" s="1"/>
  <c r="K232" i="6"/>
  <c r="L232" i="6" s="1"/>
  <c r="M232" i="6" s="1"/>
  <c r="K138" i="6"/>
  <c r="L138" i="6" s="1"/>
  <c r="M138" i="6" s="1"/>
  <c r="K256" i="6"/>
  <c r="L256" i="6" s="1"/>
  <c r="M256" i="6" s="1"/>
  <c r="K278" i="6"/>
  <c r="L278" i="6" s="1"/>
  <c r="M278" i="6" s="1"/>
  <c r="K641" i="6"/>
  <c r="L641" i="6" s="1"/>
  <c r="M641" i="6" s="1"/>
  <c r="K664" i="6"/>
  <c r="L664" i="6" s="1"/>
  <c r="M664" i="6" s="1"/>
  <c r="K687" i="6"/>
  <c r="L687" i="6" s="1"/>
  <c r="M687" i="6" s="1"/>
  <c r="K711" i="6"/>
  <c r="L711" i="6" s="1"/>
  <c r="M711" i="6" s="1"/>
  <c r="K734" i="6"/>
  <c r="L734" i="6" s="1"/>
  <c r="M734" i="6" s="1"/>
  <c r="K758" i="6"/>
  <c r="L758" i="6" s="1"/>
  <c r="M758" i="6" s="1"/>
  <c r="K781" i="6"/>
  <c r="L781" i="6" s="1"/>
  <c r="M781" i="6" s="1"/>
  <c r="K804" i="6"/>
  <c r="L804" i="6" s="1"/>
  <c r="M804" i="6" s="1"/>
  <c r="I21" i="6"/>
  <c r="H21" i="6"/>
  <c r="K300" i="6"/>
  <c r="L300" i="6" s="1"/>
  <c r="M300" i="6" s="1"/>
  <c r="K395" i="6"/>
  <c r="L395" i="6" s="1"/>
  <c r="M395" i="6" s="1"/>
  <c r="K828" i="6"/>
  <c r="L828" i="6" s="1"/>
  <c r="M828" i="6" s="1"/>
  <c r="K347" i="6"/>
  <c r="L347" i="6" s="1"/>
  <c r="M347" i="6" s="1"/>
  <c r="K371" i="6"/>
  <c r="L371" i="6" s="1"/>
  <c r="M371" i="6" s="1"/>
  <c r="K419" i="6"/>
  <c r="L419" i="6" s="1"/>
  <c r="M419" i="6" s="1"/>
  <c r="K431" i="6"/>
  <c r="L431" i="6" s="1"/>
  <c r="M431" i="6" s="1"/>
  <c r="K454" i="6"/>
  <c r="L454" i="6" s="1"/>
  <c r="M454" i="6" s="1"/>
  <c r="K478" i="6"/>
  <c r="L478" i="6" s="1"/>
  <c r="M478" i="6" s="1"/>
  <c r="K1025" i="6"/>
  <c r="L1025" i="6" s="1"/>
  <c r="M1025" i="6" s="1"/>
  <c r="K1002" i="6"/>
  <c r="L1002" i="6" s="1"/>
  <c r="M1002" i="6" s="1"/>
  <c r="K978" i="6"/>
  <c r="L978" i="6" s="1"/>
  <c r="M978" i="6" s="1"/>
  <c r="K956" i="6"/>
  <c r="L956" i="6" s="1"/>
  <c r="M956" i="6" s="1"/>
  <c r="K933" i="6"/>
  <c r="L933" i="6" s="1"/>
  <c r="M933" i="6" s="1"/>
  <c r="K910" i="6"/>
  <c r="L910" i="6" s="1"/>
  <c r="M910" i="6" s="1"/>
  <c r="K886" i="6"/>
  <c r="L886" i="6" s="1"/>
  <c r="M886" i="6" s="1"/>
  <c r="K862" i="6"/>
  <c r="L862" i="6" s="1"/>
  <c r="M862" i="6" s="1"/>
  <c r="K218" i="6"/>
  <c r="L218" i="6" s="1"/>
  <c r="M218" i="6" s="1"/>
  <c r="K791" i="6"/>
  <c r="L791" i="6" s="1"/>
  <c r="M791" i="6" s="1"/>
  <c r="K838" i="6"/>
  <c r="L838" i="6" s="1"/>
  <c r="M838" i="6" s="1"/>
  <c r="I7" i="6"/>
  <c r="H7" i="6"/>
  <c r="K310" i="6"/>
  <c r="L310" i="6" s="1"/>
  <c r="M310" i="6" s="1"/>
  <c r="K334" i="6"/>
  <c r="L334" i="6" s="1"/>
  <c r="M334" i="6" s="1"/>
  <c r="K357" i="6"/>
  <c r="L357" i="6" s="1"/>
  <c r="M357" i="6" s="1"/>
  <c r="K441" i="6"/>
  <c r="L441" i="6" s="1"/>
  <c r="M441" i="6" s="1"/>
  <c r="K464" i="6"/>
  <c r="L464" i="6" s="1"/>
  <c r="M464" i="6" s="1"/>
  <c r="K33" i="6"/>
  <c r="L33" i="6" s="1"/>
  <c r="M33" i="6" s="1"/>
  <c r="K488" i="6"/>
  <c r="L488" i="6" s="1"/>
  <c r="M488" i="6" s="1"/>
  <c r="K512" i="6"/>
  <c r="L512" i="6" s="1"/>
  <c r="M512" i="6" s="1"/>
  <c r="K535" i="6"/>
  <c r="L535" i="6" s="1"/>
  <c r="M535" i="6" s="1"/>
  <c r="K381" i="6"/>
  <c r="L381" i="6" s="1"/>
  <c r="M381" i="6" s="1"/>
  <c r="K405" i="6"/>
  <c r="L405" i="6" s="1"/>
  <c r="M405" i="6" s="1"/>
  <c r="K581" i="6"/>
  <c r="L581" i="6" s="1"/>
  <c r="M581" i="6" s="1"/>
  <c r="K604" i="6"/>
  <c r="L604" i="6" s="1"/>
  <c r="M604" i="6" s="1"/>
  <c r="K628" i="6"/>
  <c r="L628" i="6" s="1"/>
  <c r="M628" i="6" s="1"/>
  <c r="K814" i="6"/>
  <c r="L814" i="6" s="1"/>
  <c r="M814" i="6" s="1"/>
  <c r="K57" i="6"/>
  <c r="L57" i="6" s="1"/>
  <c r="M57" i="6" s="1"/>
  <c r="K102" i="6"/>
  <c r="L102" i="6" s="1"/>
  <c r="M102" i="6" s="1"/>
  <c r="K125" i="6"/>
  <c r="L125" i="6" s="1"/>
  <c r="M125" i="6" s="1"/>
  <c r="K148" i="6"/>
  <c r="L148" i="6" s="1"/>
  <c r="M148" i="6" s="1"/>
  <c r="K171" i="6"/>
  <c r="L171" i="6" s="1"/>
  <c r="M171" i="6" s="1"/>
  <c r="K194" i="6"/>
  <c r="L194" i="6" s="1"/>
  <c r="M194" i="6" s="1"/>
  <c r="K242" i="6"/>
  <c r="L242" i="6" s="1"/>
  <c r="M242" i="6" s="1"/>
  <c r="K266" i="6"/>
  <c r="L266" i="6" s="1"/>
  <c r="M266" i="6" s="1"/>
  <c r="K288" i="6"/>
  <c r="L288" i="6" s="1"/>
  <c r="M288" i="6" s="1"/>
  <c r="K651" i="6"/>
  <c r="L651" i="6" s="1"/>
  <c r="M651" i="6" s="1"/>
  <c r="K674" i="6"/>
  <c r="L674" i="6" s="1"/>
  <c r="M674" i="6" s="1"/>
  <c r="K697" i="6"/>
  <c r="L697" i="6" s="1"/>
  <c r="M697" i="6" s="1"/>
  <c r="K721" i="6"/>
  <c r="L721" i="6" s="1"/>
  <c r="M721" i="6" s="1"/>
  <c r="K744" i="6"/>
  <c r="L744" i="6" s="1"/>
  <c r="M744" i="6" s="1"/>
  <c r="K768" i="6"/>
  <c r="L768" i="6" s="1"/>
  <c r="M768" i="6" s="1"/>
  <c r="K1012" i="6"/>
  <c r="L1012" i="6" s="1"/>
  <c r="M1012" i="6" s="1"/>
  <c r="K989" i="6"/>
  <c r="L989" i="6" s="1"/>
  <c r="M989" i="6" s="1"/>
  <c r="K965" i="6"/>
  <c r="L965" i="6" s="1"/>
  <c r="M965" i="6" s="1"/>
  <c r="K943" i="6"/>
  <c r="L943" i="6" s="1"/>
  <c r="M943" i="6" s="1"/>
  <c r="K920" i="6"/>
  <c r="L920" i="6" s="1"/>
  <c r="M920" i="6" s="1"/>
  <c r="K897" i="6"/>
  <c r="L897" i="6" s="1"/>
  <c r="M897" i="6" s="1"/>
  <c r="K873" i="6"/>
  <c r="L873" i="6" s="1"/>
  <c r="M873" i="6" s="1"/>
  <c r="K801" i="6"/>
  <c r="L801" i="6" s="1"/>
  <c r="M801" i="6" s="1"/>
  <c r="K392" i="6"/>
  <c r="L392" i="6" s="1"/>
  <c r="M392" i="6" s="1"/>
  <c r="I18" i="6"/>
  <c r="H18" i="6"/>
  <c r="K321" i="6"/>
  <c r="L321" i="6" s="1"/>
  <c r="M321" i="6" s="1"/>
  <c r="K416" i="6"/>
  <c r="L416" i="6" s="1"/>
  <c r="M416" i="6" s="1"/>
  <c r="K428" i="6"/>
  <c r="L428" i="6" s="1"/>
  <c r="M428" i="6" s="1"/>
  <c r="K451" i="6"/>
  <c r="L451" i="6" s="1"/>
  <c r="M451" i="6" s="1"/>
  <c r="K475" i="6"/>
  <c r="L475" i="6" s="1"/>
  <c r="M475" i="6" s="1"/>
  <c r="K499" i="6"/>
  <c r="L499" i="6" s="1"/>
  <c r="M499" i="6" s="1"/>
  <c r="K522" i="6"/>
  <c r="L522" i="6" s="1"/>
  <c r="M522" i="6" s="1"/>
  <c r="K545" i="6"/>
  <c r="L545" i="6" s="1"/>
  <c r="M545" i="6" s="1"/>
  <c r="K344" i="6"/>
  <c r="L344" i="6" s="1"/>
  <c r="M344" i="6" s="1"/>
  <c r="K368" i="6"/>
  <c r="L368" i="6" s="1"/>
  <c r="M368" i="6" s="1"/>
  <c r="K568" i="6"/>
  <c r="L568" i="6" s="1"/>
  <c r="M568" i="6" s="1"/>
  <c r="K591" i="6"/>
  <c r="L591" i="6" s="1"/>
  <c r="M591" i="6" s="1"/>
  <c r="K613" i="6"/>
  <c r="L613" i="6" s="1"/>
  <c r="M613" i="6" s="1"/>
  <c r="K638" i="6"/>
  <c r="L638" i="6" s="1"/>
  <c r="M638" i="6" s="1"/>
  <c r="K825" i="6"/>
  <c r="L825" i="6" s="1"/>
  <c r="M825" i="6" s="1"/>
  <c r="K849" i="6"/>
  <c r="L849" i="6" s="1"/>
  <c r="M849" i="6" s="1"/>
  <c r="K44" i="6"/>
  <c r="L44" i="6" s="1"/>
  <c r="M44" i="6" s="1"/>
  <c r="K67" i="6"/>
  <c r="L67" i="6" s="1"/>
  <c r="M67" i="6" s="1"/>
  <c r="K89" i="6"/>
  <c r="L89" i="6" s="1"/>
  <c r="M89" i="6" s="1"/>
  <c r="K112" i="6"/>
  <c r="L112" i="6" s="1"/>
  <c r="M112" i="6" s="1"/>
  <c r="K135" i="6"/>
  <c r="L135" i="6" s="1"/>
  <c r="M135" i="6" s="1"/>
  <c r="K158" i="6"/>
  <c r="L158" i="6" s="1"/>
  <c r="M158" i="6" s="1"/>
  <c r="K181" i="6"/>
  <c r="L181" i="6" s="1"/>
  <c r="M181" i="6" s="1"/>
  <c r="K205" i="6"/>
  <c r="L205" i="6" s="1"/>
  <c r="M205" i="6" s="1"/>
  <c r="K229" i="6"/>
  <c r="L229" i="6" s="1"/>
  <c r="M229" i="6" s="1"/>
  <c r="K253" i="6"/>
  <c r="L253" i="6" s="1"/>
  <c r="M253" i="6" s="1"/>
  <c r="K275" i="6"/>
  <c r="L275" i="6" s="1"/>
  <c r="M275" i="6" s="1"/>
  <c r="K297" i="6"/>
  <c r="L297" i="6" s="1"/>
  <c r="M297" i="6" s="1"/>
  <c r="K661" i="6"/>
  <c r="L661" i="6" s="1"/>
  <c r="M661" i="6" s="1"/>
  <c r="K684" i="6"/>
  <c r="L684" i="6" s="1"/>
  <c r="M684" i="6" s="1"/>
  <c r="K708" i="6"/>
  <c r="L708" i="6" s="1"/>
  <c r="M708" i="6" s="1"/>
  <c r="K731" i="6"/>
  <c r="L731" i="6" s="1"/>
  <c r="M731" i="6" s="1"/>
  <c r="K755" i="6"/>
  <c r="L755" i="6" s="1"/>
  <c r="M755" i="6" s="1"/>
  <c r="K778" i="6"/>
  <c r="L778" i="6" s="1"/>
  <c r="M778" i="6" s="1"/>
  <c r="C20" i="5"/>
  <c r="B9" i="3"/>
  <c r="AD19" i="8"/>
  <c r="AD23" i="8"/>
  <c r="AD2" i="8"/>
  <c r="AD8" i="8"/>
  <c r="AD14" i="8"/>
  <c r="I24" i="6"/>
  <c r="H24" i="6"/>
  <c r="H20" i="6"/>
  <c r="I20" i="6"/>
  <c r="H16" i="6"/>
  <c r="I16" i="6"/>
  <c r="I15" i="6"/>
  <c r="H15" i="6"/>
  <c r="I14" i="6"/>
  <c r="H14" i="6"/>
  <c r="I13" i="6"/>
  <c r="H13" i="6"/>
  <c r="H12" i="6"/>
  <c r="I12" i="6"/>
  <c r="I10" i="6"/>
  <c r="H10" i="6"/>
  <c r="I9" i="6"/>
  <c r="H9" i="6"/>
  <c r="I8" i="6"/>
  <c r="H8" i="6"/>
  <c r="B23" i="15"/>
  <c r="AA11" i="2" s="1"/>
  <c r="B22" i="15"/>
  <c r="AB9" i="2" s="1"/>
  <c r="K786" i="6" l="1"/>
  <c r="L786" i="6" s="1"/>
  <c r="M786" i="6" s="1"/>
  <c r="K52" i="6"/>
  <c r="L52" i="6" s="1"/>
  <c r="M52" i="6" s="1"/>
  <c r="K75" i="6"/>
  <c r="L75" i="6" s="1"/>
  <c r="M75" i="6" s="1"/>
  <c r="K97" i="6"/>
  <c r="L97" i="6" s="1"/>
  <c r="M97" i="6" s="1"/>
  <c r="K120" i="6"/>
  <c r="L120" i="6" s="1"/>
  <c r="M120" i="6" s="1"/>
  <c r="K143" i="6"/>
  <c r="L143" i="6" s="1"/>
  <c r="M143" i="6" s="1"/>
  <c r="K166" i="6"/>
  <c r="L166" i="6" s="1"/>
  <c r="M166" i="6" s="1"/>
  <c r="K189" i="6"/>
  <c r="L189" i="6" s="1"/>
  <c r="M189" i="6" s="1"/>
  <c r="K213" i="6"/>
  <c r="L213" i="6" s="1"/>
  <c r="M213" i="6" s="1"/>
  <c r="K237" i="6"/>
  <c r="L237" i="6" s="1"/>
  <c r="M237" i="6" s="1"/>
  <c r="K261" i="6"/>
  <c r="L261" i="6" s="1"/>
  <c r="M261" i="6" s="1"/>
  <c r="K283" i="6"/>
  <c r="L283" i="6" s="1"/>
  <c r="M283" i="6" s="1"/>
  <c r="K646" i="6"/>
  <c r="L646" i="6" s="1"/>
  <c r="M646" i="6" s="1"/>
  <c r="K669" i="6"/>
  <c r="L669" i="6" s="1"/>
  <c r="M669" i="6" s="1"/>
  <c r="K692" i="6"/>
  <c r="L692" i="6" s="1"/>
  <c r="M692" i="6" s="1"/>
  <c r="K716" i="6"/>
  <c r="L716" i="6" s="1"/>
  <c r="M716" i="6" s="1"/>
  <c r="K739" i="6"/>
  <c r="L739" i="6" s="1"/>
  <c r="M739" i="6" s="1"/>
  <c r="K763" i="6"/>
  <c r="L763" i="6" s="1"/>
  <c r="M763" i="6" s="1"/>
  <c r="K809" i="6"/>
  <c r="L809" i="6" s="1"/>
  <c r="M809" i="6" s="1"/>
  <c r="K833" i="6"/>
  <c r="L833" i="6" s="1"/>
  <c r="M833" i="6" s="1"/>
  <c r="K376" i="6"/>
  <c r="L376" i="6" s="1"/>
  <c r="M376" i="6" s="1"/>
  <c r="K400" i="6"/>
  <c r="L400" i="6" s="1"/>
  <c r="M400" i="6" s="1"/>
  <c r="K329" i="6"/>
  <c r="L329" i="6" s="1"/>
  <c r="M329" i="6" s="1"/>
  <c r="K424" i="6"/>
  <c r="L424" i="6" s="1"/>
  <c r="M424" i="6" s="1"/>
  <c r="K436" i="6"/>
  <c r="L436" i="6" s="1"/>
  <c r="M436" i="6" s="1"/>
  <c r="K459" i="6"/>
  <c r="L459" i="6" s="1"/>
  <c r="M459" i="6" s="1"/>
  <c r="K352" i="6"/>
  <c r="L352" i="6" s="1"/>
  <c r="M352" i="6" s="1"/>
  <c r="K483" i="6"/>
  <c r="L483" i="6" s="1"/>
  <c r="M483" i="6" s="1"/>
  <c r="K507" i="6"/>
  <c r="L507" i="6" s="1"/>
  <c r="M507" i="6" s="1"/>
  <c r="K530" i="6"/>
  <c r="L530" i="6" s="1"/>
  <c r="M530" i="6" s="1"/>
  <c r="K553" i="6"/>
  <c r="L553" i="6" s="1"/>
  <c r="M553" i="6" s="1"/>
  <c r="K305" i="6"/>
  <c r="L305" i="6" s="1"/>
  <c r="M305" i="6" s="1"/>
  <c r="K576" i="6"/>
  <c r="L576" i="6" s="1"/>
  <c r="M576" i="6" s="1"/>
  <c r="K599" i="6"/>
  <c r="L599" i="6" s="1"/>
  <c r="M599" i="6" s="1"/>
  <c r="K623" i="6"/>
  <c r="L623" i="6" s="1"/>
  <c r="M623" i="6" s="1"/>
  <c r="K857" i="6"/>
  <c r="L857" i="6" s="1"/>
  <c r="M857" i="6" s="1"/>
  <c r="K881" i="6"/>
  <c r="L881" i="6" s="1"/>
  <c r="M881" i="6" s="1"/>
  <c r="K905" i="6"/>
  <c r="L905" i="6" s="1"/>
  <c r="M905" i="6" s="1"/>
  <c r="K928" i="6"/>
  <c r="L928" i="6" s="1"/>
  <c r="M928" i="6" s="1"/>
  <c r="K951" i="6"/>
  <c r="L951" i="6" s="1"/>
  <c r="M951" i="6" s="1"/>
  <c r="K973" i="6"/>
  <c r="L973" i="6" s="1"/>
  <c r="M973" i="6" s="1"/>
  <c r="K997" i="6"/>
  <c r="L997" i="6" s="1"/>
  <c r="M997" i="6" s="1"/>
  <c r="K1020" i="6"/>
  <c r="L1020" i="6" s="1"/>
  <c r="M1020" i="6" s="1"/>
  <c r="K782" i="6"/>
  <c r="L782" i="6" s="1"/>
  <c r="M782" i="6" s="1"/>
  <c r="K48" i="6"/>
  <c r="L48" i="6" s="1"/>
  <c r="M48" i="6" s="1"/>
  <c r="K71" i="6"/>
  <c r="L71" i="6" s="1"/>
  <c r="M71" i="6" s="1"/>
  <c r="K93" i="6"/>
  <c r="L93" i="6" s="1"/>
  <c r="M93" i="6" s="1"/>
  <c r="K116" i="6"/>
  <c r="L116" i="6" s="1"/>
  <c r="M116" i="6" s="1"/>
  <c r="K139" i="6"/>
  <c r="L139" i="6" s="1"/>
  <c r="M139" i="6" s="1"/>
  <c r="K162" i="6"/>
  <c r="L162" i="6" s="1"/>
  <c r="M162" i="6" s="1"/>
  <c r="K185" i="6"/>
  <c r="L185" i="6" s="1"/>
  <c r="M185" i="6" s="1"/>
  <c r="K209" i="6"/>
  <c r="L209" i="6" s="1"/>
  <c r="M209" i="6" s="1"/>
  <c r="K233" i="6"/>
  <c r="L233" i="6" s="1"/>
  <c r="M233" i="6" s="1"/>
  <c r="K257" i="6"/>
  <c r="L257" i="6" s="1"/>
  <c r="M257" i="6" s="1"/>
  <c r="K279" i="6"/>
  <c r="L279" i="6" s="1"/>
  <c r="M279" i="6" s="1"/>
  <c r="K642" i="6"/>
  <c r="L642" i="6" s="1"/>
  <c r="M642" i="6" s="1"/>
  <c r="K665" i="6"/>
  <c r="L665" i="6" s="1"/>
  <c r="M665" i="6" s="1"/>
  <c r="K688" i="6"/>
  <c r="L688" i="6" s="1"/>
  <c r="M688" i="6" s="1"/>
  <c r="K712" i="6"/>
  <c r="L712" i="6" s="1"/>
  <c r="M712" i="6" s="1"/>
  <c r="K735" i="6"/>
  <c r="L735" i="6" s="1"/>
  <c r="M735" i="6" s="1"/>
  <c r="K759" i="6"/>
  <c r="L759" i="6" s="1"/>
  <c r="M759" i="6" s="1"/>
  <c r="K805" i="6"/>
  <c r="L805" i="6" s="1"/>
  <c r="M805" i="6" s="1"/>
  <c r="K829" i="6"/>
  <c r="L829" i="6" s="1"/>
  <c r="M829" i="6" s="1"/>
  <c r="K396" i="6"/>
  <c r="L396" i="6" s="1"/>
  <c r="M396" i="6" s="1"/>
  <c r="K325" i="6"/>
  <c r="L325" i="6" s="1"/>
  <c r="M325" i="6" s="1"/>
  <c r="K420" i="6"/>
  <c r="L420" i="6" s="1"/>
  <c r="M420" i="6" s="1"/>
  <c r="K432" i="6"/>
  <c r="L432" i="6" s="1"/>
  <c r="M432" i="6" s="1"/>
  <c r="K455" i="6"/>
  <c r="L455" i="6" s="1"/>
  <c r="M455" i="6" s="1"/>
  <c r="K479" i="6"/>
  <c r="L479" i="6" s="1"/>
  <c r="M479" i="6" s="1"/>
  <c r="K348" i="6"/>
  <c r="L348" i="6" s="1"/>
  <c r="M348" i="6" s="1"/>
  <c r="K372" i="6"/>
  <c r="L372" i="6" s="1"/>
  <c r="M372" i="6" s="1"/>
  <c r="K503" i="6"/>
  <c r="L503" i="6" s="1"/>
  <c r="M503" i="6" s="1"/>
  <c r="K526" i="6"/>
  <c r="L526" i="6" s="1"/>
  <c r="M526" i="6" s="1"/>
  <c r="K549" i="6"/>
  <c r="L549" i="6" s="1"/>
  <c r="M549" i="6" s="1"/>
  <c r="K301" i="6"/>
  <c r="L301" i="6" s="1"/>
  <c r="M301" i="6" s="1"/>
  <c r="K572" i="6"/>
  <c r="L572" i="6" s="1"/>
  <c r="M572" i="6" s="1"/>
  <c r="K595" i="6"/>
  <c r="L595" i="6" s="1"/>
  <c r="M595" i="6" s="1"/>
  <c r="K617" i="6"/>
  <c r="L617" i="6" s="1"/>
  <c r="M617" i="6" s="1"/>
  <c r="K619" i="6"/>
  <c r="L619" i="6" s="1"/>
  <c r="M619" i="6" s="1"/>
  <c r="K853" i="6"/>
  <c r="L853" i="6" s="1"/>
  <c r="M853" i="6" s="1"/>
  <c r="K877" i="6"/>
  <c r="L877" i="6" s="1"/>
  <c r="M877" i="6" s="1"/>
  <c r="K901" i="6"/>
  <c r="L901" i="6" s="1"/>
  <c r="M901" i="6" s="1"/>
  <c r="K924" i="6"/>
  <c r="L924" i="6" s="1"/>
  <c r="M924" i="6" s="1"/>
  <c r="K947" i="6"/>
  <c r="L947" i="6" s="1"/>
  <c r="M947" i="6" s="1"/>
  <c r="K969" i="6"/>
  <c r="L969" i="6" s="1"/>
  <c r="M969" i="6" s="1"/>
  <c r="K993" i="6"/>
  <c r="L993" i="6" s="1"/>
  <c r="M993" i="6" s="1"/>
  <c r="K1016" i="6"/>
  <c r="L1016" i="6" s="1"/>
  <c r="M1016" i="6" s="1"/>
  <c r="K848" i="6"/>
  <c r="L848" i="6" s="1"/>
  <c r="M848" i="6" s="1"/>
  <c r="K43" i="6"/>
  <c r="L43" i="6" s="1"/>
  <c r="M43" i="6" s="1"/>
  <c r="K66" i="6"/>
  <c r="L66" i="6" s="1"/>
  <c r="M66" i="6" s="1"/>
  <c r="K88" i="6"/>
  <c r="L88" i="6" s="1"/>
  <c r="M88" i="6" s="1"/>
  <c r="K111" i="6"/>
  <c r="L111" i="6" s="1"/>
  <c r="M111" i="6" s="1"/>
  <c r="K157" i="6"/>
  <c r="L157" i="6" s="1"/>
  <c r="M157" i="6" s="1"/>
  <c r="K180" i="6"/>
  <c r="L180" i="6" s="1"/>
  <c r="M180" i="6" s="1"/>
  <c r="K204" i="6"/>
  <c r="L204" i="6" s="1"/>
  <c r="M204" i="6" s="1"/>
  <c r="K228" i="6"/>
  <c r="L228" i="6" s="1"/>
  <c r="M228" i="6" s="1"/>
  <c r="K134" i="6"/>
  <c r="L134" i="6" s="1"/>
  <c r="M134" i="6" s="1"/>
  <c r="K252" i="6"/>
  <c r="L252" i="6" s="1"/>
  <c r="M252" i="6" s="1"/>
  <c r="K274" i="6"/>
  <c r="L274" i="6" s="1"/>
  <c r="M274" i="6" s="1"/>
  <c r="K296" i="6"/>
  <c r="L296" i="6" s="1"/>
  <c r="M296" i="6" s="1"/>
  <c r="K660" i="6"/>
  <c r="L660" i="6" s="1"/>
  <c r="M660" i="6" s="1"/>
  <c r="K683" i="6"/>
  <c r="L683" i="6" s="1"/>
  <c r="M683" i="6" s="1"/>
  <c r="K707" i="6"/>
  <c r="L707" i="6" s="1"/>
  <c r="M707" i="6" s="1"/>
  <c r="K730" i="6"/>
  <c r="L730" i="6" s="1"/>
  <c r="M730" i="6" s="1"/>
  <c r="K754" i="6"/>
  <c r="L754" i="6" s="1"/>
  <c r="M754" i="6" s="1"/>
  <c r="K777" i="6"/>
  <c r="L777" i="6" s="1"/>
  <c r="M777" i="6" s="1"/>
  <c r="K824" i="6"/>
  <c r="L824" i="6" s="1"/>
  <c r="M824" i="6" s="1"/>
  <c r="K391" i="6"/>
  <c r="L391" i="6" s="1"/>
  <c r="M391" i="6" s="1"/>
  <c r="K320" i="6"/>
  <c r="L320" i="6" s="1"/>
  <c r="M320" i="6" s="1"/>
  <c r="K367" i="6"/>
  <c r="L367" i="6" s="1"/>
  <c r="M367" i="6" s="1"/>
  <c r="K415" i="6"/>
  <c r="L415" i="6" s="1"/>
  <c r="M415" i="6" s="1"/>
  <c r="K427" i="6"/>
  <c r="L427" i="6" s="1"/>
  <c r="M427" i="6" s="1"/>
  <c r="K450" i="6"/>
  <c r="L450" i="6" s="1"/>
  <c r="M450" i="6" s="1"/>
  <c r="K474" i="6"/>
  <c r="L474" i="6" s="1"/>
  <c r="M474" i="6" s="1"/>
  <c r="K800" i="6"/>
  <c r="L800" i="6" s="1"/>
  <c r="M800" i="6" s="1"/>
  <c r="K343" i="6"/>
  <c r="L343" i="6" s="1"/>
  <c r="M343" i="6" s="1"/>
  <c r="K498" i="6"/>
  <c r="L498" i="6" s="1"/>
  <c r="M498" i="6" s="1"/>
  <c r="K521" i="6"/>
  <c r="L521" i="6" s="1"/>
  <c r="M521" i="6" s="1"/>
  <c r="K544" i="6"/>
  <c r="L544" i="6" s="1"/>
  <c r="M544" i="6" s="1"/>
  <c r="K567" i="6"/>
  <c r="L567" i="6" s="1"/>
  <c r="M567" i="6" s="1"/>
  <c r="K590" i="6"/>
  <c r="L590" i="6" s="1"/>
  <c r="M590" i="6" s="1"/>
  <c r="K612" i="6"/>
  <c r="L612" i="6" s="1"/>
  <c r="M612" i="6" s="1"/>
  <c r="K637" i="6"/>
  <c r="L637" i="6" s="1"/>
  <c r="M637" i="6" s="1"/>
  <c r="K872" i="6"/>
  <c r="L872" i="6" s="1"/>
  <c r="M872" i="6" s="1"/>
  <c r="K896" i="6"/>
  <c r="L896" i="6" s="1"/>
  <c r="M896" i="6" s="1"/>
  <c r="K919" i="6"/>
  <c r="L919" i="6" s="1"/>
  <c r="M919" i="6" s="1"/>
  <c r="K942" i="6"/>
  <c r="L942" i="6" s="1"/>
  <c r="M942" i="6" s="1"/>
  <c r="K964" i="6"/>
  <c r="L964" i="6" s="1"/>
  <c r="M964" i="6" s="1"/>
  <c r="K988" i="6"/>
  <c r="L988" i="6" s="1"/>
  <c r="M988" i="6" s="1"/>
  <c r="K1011" i="6"/>
  <c r="L1011" i="6" s="1"/>
  <c r="M1011" i="6" s="1"/>
  <c r="K842" i="6"/>
  <c r="L842" i="6" s="1"/>
  <c r="M842" i="6" s="1"/>
  <c r="K60" i="6"/>
  <c r="L60" i="6" s="1"/>
  <c r="M60" i="6" s="1"/>
  <c r="K82" i="6"/>
  <c r="L82" i="6" s="1"/>
  <c r="M82" i="6" s="1"/>
  <c r="K105" i="6"/>
  <c r="L105" i="6" s="1"/>
  <c r="M105" i="6" s="1"/>
  <c r="K151" i="6"/>
  <c r="L151" i="6" s="1"/>
  <c r="M151" i="6" s="1"/>
  <c r="K174" i="6"/>
  <c r="L174" i="6" s="1"/>
  <c r="M174" i="6" s="1"/>
  <c r="K198" i="6"/>
  <c r="L198" i="6" s="1"/>
  <c r="M198" i="6" s="1"/>
  <c r="K128" i="6"/>
  <c r="L128" i="6" s="1"/>
  <c r="M128" i="6" s="1"/>
  <c r="K246" i="6"/>
  <c r="L246" i="6" s="1"/>
  <c r="M246" i="6" s="1"/>
  <c r="K268" i="6"/>
  <c r="L268" i="6" s="1"/>
  <c r="M268" i="6" s="1"/>
  <c r="K290" i="6"/>
  <c r="L290" i="6" s="1"/>
  <c r="M290" i="6" s="1"/>
  <c r="K654" i="6"/>
  <c r="L654" i="6" s="1"/>
  <c r="M654" i="6" s="1"/>
  <c r="K701" i="6"/>
  <c r="L701" i="6" s="1"/>
  <c r="M701" i="6" s="1"/>
  <c r="K724" i="6"/>
  <c r="L724" i="6" s="1"/>
  <c r="M724" i="6" s="1"/>
  <c r="K748" i="6"/>
  <c r="L748" i="6" s="1"/>
  <c r="M748" i="6" s="1"/>
  <c r="K771" i="6"/>
  <c r="L771" i="6" s="1"/>
  <c r="M771" i="6" s="1"/>
  <c r="K794" i="6"/>
  <c r="L794" i="6" s="1"/>
  <c r="M794" i="6" s="1"/>
  <c r="K37" i="6"/>
  <c r="L37" i="6" s="1"/>
  <c r="M37" i="6" s="1"/>
  <c r="K385" i="6"/>
  <c r="L385" i="6" s="1"/>
  <c r="M385" i="6" s="1"/>
  <c r="K818" i="6"/>
  <c r="L818" i="6" s="1"/>
  <c r="M818" i="6" s="1"/>
  <c r="K314" i="6"/>
  <c r="L314" i="6" s="1"/>
  <c r="M314" i="6" s="1"/>
  <c r="K337" i="6"/>
  <c r="L337" i="6" s="1"/>
  <c r="M337" i="6" s="1"/>
  <c r="K361" i="6"/>
  <c r="L361" i="6" s="1"/>
  <c r="M361" i="6" s="1"/>
  <c r="K409" i="6"/>
  <c r="L409" i="6" s="1"/>
  <c r="M409" i="6" s="1"/>
  <c r="K444" i="6"/>
  <c r="L444" i="6" s="1"/>
  <c r="M444" i="6" s="1"/>
  <c r="K468" i="6"/>
  <c r="L468" i="6" s="1"/>
  <c r="M468" i="6" s="1"/>
  <c r="K222" i="6"/>
  <c r="L222" i="6" s="1"/>
  <c r="M222" i="6" s="1"/>
  <c r="K492" i="6"/>
  <c r="L492" i="6" s="1"/>
  <c r="M492" i="6" s="1"/>
  <c r="K515" i="6"/>
  <c r="L515" i="6" s="1"/>
  <c r="M515" i="6" s="1"/>
  <c r="K538" i="6"/>
  <c r="L538" i="6" s="1"/>
  <c r="M538" i="6" s="1"/>
  <c r="K561" i="6"/>
  <c r="L561" i="6" s="1"/>
  <c r="M561" i="6" s="1"/>
  <c r="K982" i="6"/>
  <c r="L982" i="6" s="1"/>
  <c r="M982" i="6" s="1"/>
  <c r="K584" i="6"/>
  <c r="L584" i="6" s="1"/>
  <c r="M584" i="6" s="1"/>
  <c r="K606" i="6"/>
  <c r="L606" i="6" s="1"/>
  <c r="M606" i="6" s="1"/>
  <c r="K631" i="6"/>
  <c r="L631" i="6" s="1"/>
  <c r="M631" i="6" s="1"/>
  <c r="K866" i="6"/>
  <c r="L866" i="6" s="1"/>
  <c r="M866" i="6" s="1"/>
  <c r="K890" i="6"/>
  <c r="L890" i="6" s="1"/>
  <c r="M890" i="6" s="1"/>
  <c r="K913" i="6"/>
  <c r="L913" i="6" s="1"/>
  <c r="M913" i="6" s="1"/>
  <c r="K936" i="6"/>
  <c r="L936" i="6" s="1"/>
  <c r="M936" i="6" s="1"/>
  <c r="K958" i="6"/>
  <c r="L958" i="6" s="1"/>
  <c r="M958" i="6" s="1"/>
  <c r="K1005" i="6"/>
  <c r="L1005" i="6" s="1"/>
  <c r="M1005" i="6" s="1"/>
  <c r="K1029" i="6"/>
  <c r="L1029" i="6" s="1"/>
  <c r="M1029" i="6" s="1"/>
  <c r="K789" i="6"/>
  <c r="L789" i="6" s="1"/>
  <c r="M789" i="6" s="1"/>
  <c r="K55" i="6"/>
  <c r="L55" i="6" s="1"/>
  <c r="M55" i="6" s="1"/>
  <c r="K78" i="6"/>
  <c r="L78" i="6" s="1"/>
  <c r="M78" i="6" s="1"/>
  <c r="K100" i="6"/>
  <c r="L100" i="6" s="1"/>
  <c r="M100" i="6" s="1"/>
  <c r="K123" i="6"/>
  <c r="L123" i="6" s="1"/>
  <c r="M123" i="6" s="1"/>
  <c r="K146" i="6"/>
  <c r="L146" i="6" s="1"/>
  <c r="M146" i="6" s="1"/>
  <c r="K169" i="6"/>
  <c r="L169" i="6" s="1"/>
  <c r="M169" i="6" s="1"/>
  <c r="K192" i="6"/>
  <c r="L192" i="6" s="1"/>
  <c r="M192" i="6" s="1"/>
  <c r="K216" i="6"/>
  <c r="L216" i="6" s="1"/>
  <c r="M216" i="6" s="1"/>
  <c r="K240" i="6"/>
  <c r="L240" i="6" s="1"/>
  <c r="M240" i="6" s="1"/>
  <c r="K31" i="6"/>
  <c r="L31" i="6" s="1"/>
  <c r="M31" i="6" s="1"/>
  <c r="K264" i="6"/>
  <c r="L264" i="6" s="1"/>
  <c r="M264" i="6" s="1"/>
  <c r="K286" i="6"/>
  <c r="L286" i="6" s="1"/>
  <c r="M286" i="6" s="1"/>
  <c r="K649" i="6"/>
  <c r="L649" i="6" s="1"/>
  <c r="M649" i="6" s="1"/>
  <c r="K672" i="6"/>
  <c r="L672" i="6" s="1"/>
  <c r="M672" i="6" s="1"/>
  <c r="K695" i="6"/>
  <c r="L695" i="6" s="1"/>
  <c r="M695" i="6" s="1"/>
  <c r="K719" i="6"/>
  <c r="L719" i="6" s="1"/>
  <c r="M719" i="6" s="1"/>
  <c r="K742" i="6"/>
  <c r="L742" i="6" s="1"/>
  <c r="M742" i="6" s="1"/>
  <c r="K766" i="6"/>
  <c r="L766" i="6" s="1"/>
  <c r="M766" i="6" s="1"/>
  <c r="K812" i="6"/>
  <c r="L812" i="6" s="1"/>
  <c r="M812" i="6" s="1"/>
  <c r="K403" i="6"/>
  <c r="L403" i="6" s="1"/>
  <c r="M403" i="6" s="1"/>
  <c r="K332" i="6"/>
  <c r="L332" i="6" s="1"/>
  <c r="M332" i="6" s="1"/>
  <c r="K439" i="6"/>
  <c r="L439" i="6" s="1"/>
  <c r="M439" i="6" s="1"/>
  <c r="K462" i="6"/>
  <c r="L462" i="6" s="1"/>
  <c r="M462" i="6" s="1"/>
  <c r="K836" i="6"/>
  <c r="L836" i="6" s="1"/>
  <c r="M836" i="6" s="1"/>
  <c r="K355" i="6"/>
  <c r="L355" i="6" s="1"/>
  <c r="M355" i="6" s="1"/>
  <c r="K510" i="6"/>
  <c r="L510" i="6" s="1"/>
  <c r="M510" i="6" s="1"/>
  <c r="K533" i="6"/>
  <c r="L533" i="6" s="1"/>
  <c r="M533" i="6" s="1"/>
  <c r="K556" i="6"/>
  <c r="L556" i="6" s="1"/>
  <c r="M556" i="6" s="1"/>
  <c r="K308" i="6"/>
  <c r="L308" i="6" s="1"/>
  <c r="M308" i="6" s="1"/>
  <c r="K379" i="6"/>
  <c r="L379" i="6" s="1"/>
  <c r="M379" i="6" s="1"/>
  <c r="K486" i="6"/>
  <c r="L486" i="6" s="1"/>
  <c r="M486" i="6" s="1"/>
  <c r="K579" i="6"/>
  <c r="L579" i="6" s="1"/>
  <c r="M579" i="6" s="1"/>
  <c r="K602" i="6"/>
  <c r="L602" i="6" s="1"/>
  <c r="M602" i="6" s="1"/>
  <c r="K626" i="6"/>
  <c r="L626" i="6" s="1"/>
  <c r="M626" i="6" s="1"/>
  <c r="K860" i="6"/>
  <c r="L860" i="6" s="1"/>
  <c r="M860" i="6" s="1"/>
  <c r="K884" i="6"/>
  <c r="L884" i="6" s="1"/>
  <c r="M884" i="6" s="1"/>
  <c r="K908" i="6"/>
  <c r="L908" i="6" s="1"/>
  <c r="M908" i="6" s="1"/>
  <c r="K931" i="6"/>
  <c r="L931" i="6" s="1"/>
  <c r="M931" i="6" s="1"/>
  <c r="K954" i="6"/>
  <c r="L954" i="6" s="1"/>
  <c r="M954" i="6" s="1"/>
  <c r="K976" i="6"/>
  <c r="L976" i="6" s="1"/>
  <c r="M976" i="6" s="1"/>
  <c r="K1000" i="6"/>
  <c r="L1000" i="6" s="1"/>
  <c r="M1000" i="6" s="1"/>
  <c r="K1023" i="6"/>
  <c r="L1023" i="6" s="1"/>
  <c r="M1023" i="6" s="1"/>
  <c r="F1062" i="7"/>
  <c r="E1062" i="7"/>
  <c r="F1058" i="7"/>
  <c r="E1058" i="7"/>
  <c r="F1053" i="7"/>
  <c r="E1053" i="7"/>
  <c r="F1048" i="7"/>
  <c r="E1048" i="7"/>
  <c r="F1043" i="7"/>
  <c r="E1043" i="7"/>
  <c r="F1039" i="7"/>
  <c r="E1039" i="7"/>
  <c r="F1034" i="7"/>
  <c r="E1034" i="7"/>
  <c r="F1027" i="7"/>
  <c r="E1027" i="7"/>
  <c r="F1060" i="7"/>
  <c r="E1060" i="7"/>
  <c r="F1056" i="7"/>
  <c r="E1056" i="7"/>
  <c r="F1051" i="7"/>
  <c r="E1051" i="7"/>
  <c r="F1047" i="7"/>
  <c r="E1047" i="7"/>
  <c r="F1041" i="7"/>
  <c r="E1041" i="7"/>
  <c r="F1038" i="7"/>
  <c r="E1038" i="7"/>
  <c r="F1033" i="7"/>
  <c r="E1033" i="7"/>
  <c r="F1028" i="7"/>
  <c r="E1028" i="7"/>
  <c r="F1023" i="7"/>
  <c r="E1023" i="7"/>
  <c r="F1020" i="7"/>
  <c r="E1020" i="7"/>
  <c r="F1017" i="7"/>
  <c r="E1017" i="7"/>
  <c r="F1059" i="7"/>
  <c r="E1059" i="7"/>
  <c r="F1054" i="7"/>
  <c r="E1054" i="7"/>
  <c r="F1050" i="7"/>
  <c r="E1050" i="7"/>
  <c r="F1046" i="7"/>
  <c r="E1046" i="7"/>
  <c r="F1040" i="7"/>
  <c r="E1040" i="7"/>
  <c r="F1036" i="7"/>
  <c r="E1036" i="7"/>
  <c r="F1032" i="7"/>
  <c r="E1032" i="7"/>
  <c r="F1030" i="7"/>
  <c r="E1030" i="7"/>
  <c r="F1025" i="7"/>
  <c r="E1025" i="7"/>
  <c r="F1022" i="7"/>
  <c r="E1022" i="7"/>
  <c r="F1019" i="7"/>
  <c r="E1019" i="7"/>
  <c r="F1016" i="7"/>
  <c r="E1016" i="7"/>
  <c r="F1061" i="7"/>
  <c r="E1061" i="7"/>
  <c r="F1057" i="7"/>
  <c r="E1057" i="7"/>
  <c r="F1052" i="7"/>
  <c r="E1052" i="7"/>
  <c r="F1045" i="7"/>
  <c r="E1045" i="7"/>
  <c r="F1042" i="7"/>
  <c r="E1042" i="7"/>
  <c r="F1037" i="7"/>
  <c r="E1037" i="7"/>
  <c r="F1031" i="7"/>
  <c r="E1031" i="7"/>
  <c r="F1029" i="7"/>
  <c r="E1029" i="7"/>
  <c r="F1026" i="7"/>
  <c r="E1026" i="7"/>
  <c r="F1024" i="7"/>
  <c r="E1024" i="7"/>
  <c r="F1021" i="7"/>
  <c r="E1021" i="7"/>
  <c r="F1018" i="7"/>
  <c r="E1018" i="7"/>
  <c r="B28" i="15"/>
  <c r="F1015" i="7"/>
  <c r="E1015" i="7"/>
  <c r="F1055" i="7"/>
  <c r="E1055" i="7"/>
  <c r="F1049" i="7"/>
  <c r="E1049" i="7"/>
  <c r="F1044" i="7"/>
  <c r="E1044" i="7"/>
  <c r="F1035" i="7"/>
  <c r="E1035" i="7"/>
  <c r="R40" i="2"/>
  <c r="AG9" i="2"/>
  <c r="C42" i="2"/>
  <c r="B6" i="3"/>
  <c r="J16" i="6"/>
  <c r="J15" i="6"/>
  <c r="J14" i="6"/>
  <c r="J24" i="6"/>
  <c r="J20" i="6"/>
  <c r="J13" i="6"/>
  <c r="J12" i="6"/>
  <c r="J10" i="6"/>
  <c r="J9" i="6"/>
  <c r="J8" i="6"/>
  <c r="J25" i="6"/>
  <c r="J6" i="6"/>
  <c r="J28" i="6"/>
  <c r="J19" i="6"/>
  <c r="J27" i="6"/>
  <c r="J23" i="6"/>
  <c r="J7" i="6"/>
  <c r="J18" i="6"/>
  <c r="C21" i="5"/>
  <c r="I26" i="6"/>
  <c r="H26" i="6"/>
  <c r="I22" i="6"/>
  <c r="H22" i="6"/>
  <c r="I17" i="6"/>
  <c r="H17" i="6"/>
  <c r="I11" i="6"/>
  <c r="H11" i="6"/>
  <c r="I5" i="6"/>
  <c r="H5" i="6"/>
  <c r="B8" i="6" l="1"/>
  <c r="B7" i="6"/>
  <c r="J5" i="6"/>
  <c r="J26" i="6"/>
  <c r="J22" i="6"/>
  <c r="J17" i="6"/>
  <c r="J11" i="6"/>
  <c r="B9" i="6" l="1"/>
  <c r="B26" i="15"/>
  <c r="AL9" i="2" s="1"/>
  <c r="B11"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Analyst</author>
  </authors>
  <commentList>
    <comment ref="B2" authorId="0" shapeId="0" xr:uid="{00000000-0006-0000-0000-000001000000}">
      <text>
        <r>
          <rPr>
            <sz val="11"/>
            <color rgb="FF000000"/>
            <rFont val="Calibri"/>
            <family val="2"/>
          </rPr>
          <t>Start with the Dashboard, then read Insights. Every number in this workbook is a live formula, so changing an input or a filter updates everything.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Analyst</author>
  </authors>
  <commentList>
    <comment ref="B5" authorId="0" shapeId="0" xr:uid="{00000000-0006-0000-0100-000001000000}">
      <text>
        <r>
          <rPr>
            <sz val="11"/>
            <color theme="1"/>
            <rFont val="Calibri"/>
            <family val="2"/>
            <scheme val="minor"/>
          </rPr>
          <t>HOW TO USE: click a white filter box and pick from the drop-down arrow. "All" removes the filter. From/To dates work like a timeline (1 Jan – 14 Feb 2011). Every KPI card, chart and the heatmap recalculates.</t>
        </r>
      </text>
    </comment>
    <comment ref="C8" authorId="0" shapeId="0" xr:uid="{00000000-0006-0000-0100-000002000000}">
      <text>
        <r>
          <rPr>
            <sz val="11"/>
            <color theme="1"/>
            <rFont val="Calibri"/>
            <family val="2"/>
            <scheme val="minor"/>
          </rPr>
          <t>KPI cards follow the filters. Total = SUMIFS of cnt over the filtered rows; shares = registered (or casual) / total.</t>
        </r>
      </text>
    </comment>
    <comment ref="AF8" authorId="0" shapeId="0" xr:uid="{00000000-0006-0000-0100-000003000000}">
      <text>
        <r>
          <rPr>
            <sz val="11"/>
            <color theme="1"/>
            <rFont val="Calibri"/>
            <family val="2"/>
            <scheme val="minor"/>
          </rPr>
          <t>Rain impact = average rentals per hour in Light Rain/Snow hours divided by Clear hours, minus 1. About -46% on the full data.</t>
        </r>
      </text>
    </comment>
    <comment ref="AK8" authorId="0" shapeId="0" xr:uid="{00000000-0006-0000-0100-000004000000}">
      <text>
        <r>
          <rPr>
            <sz val="11"/>
            <color rgb="FF000000"/>
            <rFont val="Calibri"/>
            <family val="2"/>
          </rPr>
          <t>Hours whose rentals are 3+ standard deviations away from the normal for that hour of day (see Anomalies sheet). Not filtered.</t>
        </r>
      </text>
    </comment>
    <comment ref="B13" authorId="0" shapeId="0" xr:uid="{00000000-0006-0000-0100-000005000000}">
      <text>
        <r>
          <rPr>
            <sz val="11"/>
            <color rgb="FF000000"/>
            <rFont val="Calibri"/>
            <family val="2"/>
          </rPr>
          <t>Two commuter peaks (8 AM and 5–6 PM) driven by registered riders. Casual riders peak in the early afternoon, mostly at weekends.</t>
        </r>
      </text>
    </comment>
    <comment ref="L13" authorId="0" shapeId="0" xr:uid="{00000000-0006-0000-0100-000006000000}">
      <text>
        <r>
          <rPr>
            <sz val="11"/>
            <color rgb="FF000000"/>
            <rFont val="Calibri"/>
            <family val="2"/>
          </rPr>
          <t>Midweek (Tue–Fri) is busiest. Weekends have fewer rentals overall but 2–3x more casual riders.</t>
        </r>
      </text>
    </comment>
    <comment ref="V13" authorId="0" shapeId="0" xr:uid="{00000000-0006-0000-0100-000007000000}">
      <text>
        <r>
          <rPr>
            <sz val="11"/>
            <color rgb="FF000000"/>
            <rFont val="Calibri"/>
            <family val="2"/>
          </rPr>
          <t>Daily totals average ~1,300. The dips on 26–27 Jan match bad-weather days; 14 Feb is a partial day in the data, not a real collapse.</t>
        </r>
      </text>
    </comment>
    <comment ref="AF13" authorId="0" shapeId="0" xr:uid="{00000000-0006-0000-0100-000008000000}">
      <text>
        <r>
          <rPr>
            <sz val="11"/>
            <color rgb="FF000000"/>
            <rFont val="Calibri"/>
            <family val="2"/>
          </rPr>
          <t>Rain is the strongest weather effect: light rain/snow hours have ~46% fewer rentals than clear hours. Heavy rain appears in a single hour only.</t>
        </r>
      </text>
    </comment>
    <comment ref="B29" authorId="0" shapeId="0" xr:uid="{00000000-0006-0000-0100-000009000000}">
      <text>
        <r>
          <rPr>
            <sz val="11"/>
            <color rgb="FF000000"/>
            <rFont val="Calibri"/>
            <family val="2"/>
          </rPr>
          <t>Each cell = average rentals in that hour on that weekday (after filters). Weekday 8 AM and 5–6 PM light up; weekends shift to an 11 AM–4 PM block.</t>
        </r>
      </text>
    </comment>
    <comment ref="AF29" authorId="0" shapeId="0" xr:uid="{00000000-0006-0000-0100-00000A000000}">
      <text>
        <r>
          <rPr>
            <sz val="11"/>
            <color theme="1"/>
            <rFont val="Calibri"/>
            <family val="2"/>
            <scheme val="minor"/>
          </rPr>
          <t>Funnel: of all rentals, about 7 in 10 happen on working days, ~43% fall in the weekday commute peaks (7–9 AM, 4–7 PM), and almost all of those peak rentals are by registered riders. This is where bike availability matters most.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Analyst</author>
  </authors>
  <commentList>
    <comment ref="B4" authorId="0" shapeId="0" xr:uid="{00000000-0006-0000-0300-000001000000}">
      <text>
        <r>
          <rPr>
            <sz val="11"/>
            <color rgb="FF000000"/>
            <rFont val="Calibri"/>
            <family val="2"/>
          </rPr>
          <t>Classic two-peak commuter curve: 8 AM (avg ~128/hr) and 5 PM (~140/hr) are the busiest hours, 6 PM close behind. 1–5 AM is almost idle (&lt;10/hr). Registered riders create both peaks; casual riders are flat and peak in the early afternoon.</t>
        </r>
      </text>
    </comment>
    <comment ref="B32" authorId="0" shapeId="0" xr:uid="{00000000-0006-0000-0300-000002000000}">
      <text>
        <r>
          <rPr>
            <sz val="11"/>
            <color theme="1"/>
            <rFont val="Calibri"/>
            <family val="2"/>
            <scheme val="minor"/>
          </rPr>
          <t>Tue–Fri are the strongest days (~66/hr). Weekends drop to ~47–50/hr overall, but casual riders more than double at weekends (Sun ~9/hr vs ~3/hr midweek). Weekend demand is leisure-driven.</t>
        </r>
      </text>
    </comment>
    <comment ref="B49" authorId="0" shapeId="0" xr:uid="{00000000-0006-0000-0300-000003000000}">
      <text>
        <r>
          <rPr>
            <sz val="11"/>
            <color theme="1"/>
            <rFont val="Calibri"/>
            <family val="2"/>
            <scheme val="minor"/>
          </rPr>
          <t>Working days average ~61 rentals/hr vs ~48 on non-working days (weekends + holidays). Casual share is much higher on non-working days.</t>
        </r>
      </text>
    </comment>
    <comment ref="B66" authorId="0" shapeId="0" xr:uid="{00000000-0006-0000-0300-000004000000}">
      <text>
        <r>
          <rPr>
            <sz val="11"/>
            <color theme="1"/>
            <rFont val="Calibri"/>
            <family val="2"/>
            <scheme val="minor"/>
          </rPr>
          <t>Clear and Cloudy/Mist hours are similar (~62 and ~59/hr). Light rain/snow cuts demand by ~46% (~33/hr). Heavy rain occurs in only 1 hour, too few to draw a conclusion.</t>
        </r>
      </text>
    </comment>
    <comment ref="B83" authorId="0" shapeId="0" xr:uid="{00000000-0006-0000-0300-000005000000}">
      <text>
        <r>
          <rPr>
            <sz val="11"/>
            <color theme="1"/>
            <rFont val="Calibri"/>
            <family val="2"/>
            <scheme val="minor"/>
          </rPr>
          <t>Evening (5–8 PM) is the strongest band at ~103/hr, followed by Afternoon (~79) and Morning (~67). Night hours average only 8/hr: the best window for rebalancing and maintenance.</t>
        </r>
      </text>
    </comment>
    <comment ref="B100" authorId="0" shapeId="0" xr:uid="{00000000-0006-0000-0300-000006000000}">
      <text>
        <r>
          <rPr>
            <sz val="11"/>
            <color theme="1"/>
            <rFont val="Calibri"/>
            <family val="2"/>
            <scheme val="minor"/>
          </rPr>
          <t>Rentals rise steadily with temperature: Cold ~48/hr, Mild ~60/hr, Warm ~86/hr. Casual riders are the most weather-sensitive (Warm hours have 6x the casual riders of Cold hours).</t>
        </r>
      </text>
    </comment>
    <comment ref="B117" authorId="0" shapeId="0" xr:uid="{00000000-0006-0000-0300-000007000000}">
      <text>
        <r>
          <rPr>
            <sz val="11"/>
            <color theme="1"/>
            <rFont val="Calibri"/>
            <family val="2"/>
            <scheme val="minor"/>
          </rPr>
          <t>Low-humidity hours average ~73/hr vs ~42/hr in high humidity. High humidity often coincides with rain and mist.</t>
        </r>
      </text>
    </comment>
    <comment ref="B134" authorId="0" shapeId="0" xr:uid="{00000000-0006-0000-0300-000008000000}">
      <text>
        <r>
          <rPr>
            <sz val="11"/>
            <color rgb="FF000000"/>
            <rFont val="Calibri"/>
            <family val="2"/>
          </rPr>
          <t>February (1–14 only) runs ~16% higher per hour than January, consistent with gradually warming weather. Only 6 weeks of data, so seasonality cannot be confirmed.</t>
        </r>
      </text>
    </comment>
    <comment ref="B151" authorId="0" shapeId="0" xr:uid="{00000000-0006-0000-0300-000009000000}">
      <text>
        <r>
          <rPr>
            <sz val="11"/>
            <color rgb="FF000000"/>
            <rFont val="Calibri"/>
            <family val="2"/>
          </rPr>
          <t>Daily totals average ~1,300 rentals. The lowest full days (26–27 Jan, ~430–500) line up with bad-weather days. 14 Feb is a partial day (data ends early that day), so its low total is not a real drop.</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Analyst</author>
  </authors>
  <commentList>
    <comment ref="F4" authorId="0" shapeId="0" xr:uid="{00000000-0006-0000-0400-000001000000}">
      <text>
        <r>
          <rPr>
            <sz val="11"/>
            <color rgb="FF000000"/>
            <rFont val="Calibri"/>
            <family val="2"/>
          </rPr>
          <t>Brief task 1 asks for TEXT functions (LEFT, RIGHT, LEN). They are applied to the Record_ID built in Final_Dataset.</t>
        </r>
      </text>
    </comment>
    <comment ref="C14" authorId="0" shapeId="0" xr:uid="{00000000-0006-0000-0400-000002000000}">
      <text>
        <r>
          <rPr>
            <sz val="11"/>
            <color rgb="FF000000"/>
            <rFont val="Calibri"/>
            <family val="2"/>
          </rPr>
          <t>About 9 in every 10 rentals come from registered (subscribed) users, so commuters drive this business.</t>
        </r>
      </text>
    </comment>
    <comment ref="C20" authorId="0" shapeId="0" xr:uid="{00000000-0006-0000-0400-000003000000}">
      <text>
        <r>
          <rPr>
            <sz val="11"/>
            <color rgb="FF000000"/>
            <rFont val="Calibri"/>
            <family val="2"/>
          </rPr>
          <t>Weekday commute hours (7–9 AM, 4–7 PM) are only 7 of 24 hours on 5 of 7 days, yet they carry over 40% of all rentals. Fleet availability at those hours matters most.</t>
        </r>
      </text>
    </comment>
    <comment ref="C22" authorId="0" shapeId="0" xr:uid="{00000000-0006-0000-0400-000004000000}">
      <text>
        <r>
          <rPr>
            <sz val="11"/>
            <color rgb="FF000000"/>
            <rFont val="Calibri"/>
            <family val="2"/>
          </rPr>
          <t>Weak positive correlation: warmer hours see somewhat more rentals, but temperature alone explains little. Hour of day matters far more.</t>
        </r>
      </text>
    </comment>
    <comment ref="C23" authorId="0" shapeId="0" xr:uid="{00000000-0006-0000-0400-000005000000}">
      <text>
        <r>
          <rPr>
            <sz val="11"/>
            <color rgb="FF000000"/>
            <rFont val="Calibri"/>
            <family val="2"/>
          </rPr>
          <t>Weak negative correlation: more humid (often wet) hours see fewer rentals.</t>
        </r>
      </text>
    </comment>
    <comment ref="C29" authorId="0" shapeId="0" xr:uid="{00000000-0006-0000-0400-000006000000}">
      <text>
        <r>
          <rPr>
            <sz val="11"/>
            <color rgb="FF000000"/>
            <rFont val="Calibri"/>
            <family val="2"/>
          </rPr>
          <t>These two quartiles are the thresholds used by Final_Dataset[Demand_Level].</t>
        </r>
      </text>
    </comment>
    <comment ref="B33" authorId="0" shapeId="0" xr:uid="{00000000-0006-0000-0400-000007000000}">
      <text>
        <r>
          <rPr>
            <sz val="11"/>
            <color theme="1"/>
            <rFont val="Calibri"/>
            <family val="2"/>
            <scheme val="minor"/>
          </rPr>
          <t>Same output as Data &gt; Data Analysis &gt; Descriptive Statistics (Analysis ToolPak), built with formulas so it updates automatically.
Reading it: casual and cnt are strongly right-skewed (most hours are quiet, a few commute hours are very busy), so the median is a better "typical hour" than the mean.</t>
        </r>
      </text>
    </comment>
    <comment ref="B50" authorId="0" shapeId="0" xr:uid="{00000000-0006-0000-0400-000008000000}">
      <text>
        <r>
          <rPr>
            <sz val="11"/>
            <color theme="1"/>
            <rFont val="Calibri"/>
            <family val="2"/>
            <scheme val="minor"/>
          </rPr>
          <t>Teal = positive, orange = negative correlation.
Key reads: temp and atemp are almost the same signal (0.9+), so use one of them. Registered tracks total rentals almost perfectly; weather variables have only weak links with demand. Correlation is association, not causation.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Analyst</author>
  </authors>
  <commentList>
    <comment ref="B4" authorId="0" shapeId="0" xr:uid="{00000000-0006-0000-0500-000001000000}">
      <text>
        <r>
          <rPr>
            <sz val="11"/>
            <color rgb="FF000000"/>
            <rFont val="Calibri"/>
            <family val="2"/>
          </rPr>
          <t>INPUT: change this (e.g. 2.5) to make detection more or less strict. Everything below updates.</t>
        </r>
      </text>
    </comment>
    <comment ref="G4" authorId="0" shapeId="0" xr:uid="{00000000-0006-0000-0500-000002000000}">
      <text>
        <r>
          <rPr>
            <sz val="11"/>
            <color theme="1"/>
            <rFont val="Calibri"/>
            <family val="2"/>
            <scheme val="minor"/>
          </rPr>
          <t>Standard deviation per hour = SQRT( SUMPRODUCT( (hr = h) * (cnt - mean)^2 ) / (n - 1) ), the same as STDEV.S for that hour.</t>
        </r>
      </text>
    </comment>
    <comment ref="A7" authorId="0" shapeId="0" xr:uid="{00000000-0006-0000-0500-000003000000}">
      <text>
        <r>
          <rPr>
            <sz val="11"/>
            <color rgb="FF000000"/>
            <rFont val="Calibri"/>
            <family val="2"/>
          </rPr>
          <t>Treatment (as advised in the session): only a handful of points are flagged, so they are KEPT in the data and noted rather than deleted; they are real busy hours (e.g. weekday rush hours on mild days), not data errors. If many were flagged we would cap them instead.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Analyst</author>
  </authors>
  <commentList>
    <comment ref="B4" authorId="0" shapeId="0" xr:uid="{00000000-0006-0000-0600-000001000000}">
      <text>
        <r>
          <rPr>
            <sz val="11"/>
            <color theme="1"/>
            <rFont val="Calibri"/>
            <family val="2"/>
            <scheme val="minor"/>
          </rPr>
          <t>INPUT. 24 tells Excel demand repeats every 24 hours (the commute pattern). 64 hours are missing in the source timeline; option 1 interpolates them.</t>
        </r>
      </text>
    </comment>
    <comment ref="D7" authorId="0" shapeId="0" xr:uid="{00000000-0006-0000-0600-000002000000}">
      <text>
        <r>
          <rPr>
            <sz val="11"/>
            <color theme="1"/>
            <rFont val="Calibri"/>
            <family val="2"/>
            <scheme val="minor"/>
          </rPr>
          <t>MASE &lt; 1 means the model beats a naive "same as last period" forecast. MAE and RMSE are the typical error in rentals per hour.</t>
        </r>
      </text>
    </comment>
    <comment ref="A1015" authorId="0" shapeId="0" xr:uid="{00000000-0006-0000-0600-000003000000}">
      <text>
        <r>
          <rPr>
            <sz val="11"/>
            <color theme="1"/>
            <rFont val="Calibri"/>
            <family val="2"/>
            <scheme val="minor"/>
          </rPr>
          <t>Forecast rows start here (shaded). Demand is expected to repeat the daily commute shape; the band widens because hourly demand is volatile.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Analyst</author>
  </authors>
  <commentList>
    <comment ref="A1" authorId="0" shapeId="0" xr:uid="{00000000-0006-0000-0700-000001000000}">
      <text>
        <r>
          <rPr>
            <sz val="11"/>
            <color theme="1"/>
            <rFont val="Calibri"/>
            <family val="2"/>
            <scheme val="minor"/>
          </rPr>
          <t>FINAL DATASET = Dataset A (rows 2–611) with Dataset 3 appended underneath (rows 612–1001). 1,000 unique hourly records, 1 Jan–14 Feb 2011.
Navy columns: original fields. Teal columns: features created with IF / VLOOKUP / INDEX-MATCH / TEXT formulas.
This is an Excel Table (tblFinal): Table Design &gt; Insert Slicer works on it.</t>
        </r>
      </text>
    </comment>
    <comment ref="P1" authorId="0" shapeId="0" xr:uid="{00000000-0006-0000-0700-000002000000}">
      <text>
        <r>
          <rPr>
            <sz val="11"/>
            <color theme="1"/>
            <rFont val="Calibri"/>
            <family val="2"/>
            <scheme val="minor"/>
          </rPr>
          <t>Total rentals in the hour. Data bars show size at a glance; the longest bars sit in the 8 AM and 5–6 PM commute hours.</t>
        </r>
      </text>
    </comment>
    <comment ref="Q1" authorId="0" shapeId="0" xr:uid="{00000000-0006-0000-0700-000003000000}">
      <text>
        <r>
          <rPr>
            <sz val="11"/>
            <color rgb="FF000000"/>
            <rFont val="Calibri"/>
            <family val="2"/>
          </rPr>
          <t>TEXT function demo: ="REC-"&amp;TEXT(instant,"0000") builds a readable ID. Stats sheet applies LEFT, RIGHT and LEN to it.</t>
        </r>
      </text>
    </comment>
    <comment ref="S1" authorId="0" shapeId="0" xr:uid="{00000000-0006-0000-0700-000004000000}">
      <text>
        <r>
          <rPr>
            <sz val="11"/>
            <color theme="1"/>
            <rFont val="Calibri"/>
            <family val="2"/>
            <scheme val="minor"/>
          </rPr>
          <t>TEXT(dteday,"mmm") gives Jan / Feb, used by the Month filter on the Dashboard.</t>
        </r>
      </text>
    </comment>
    <comment ref="T1" authorId="0" shapeId="0" xr:uid="{00000000-0006-0000-0700-000005000000}">
      <text>
        <r>
          <rPr>
            <sz val="11"/>
            <color theme="1"/>
            <rFont val="Calibri"/>
            <family val="2"/>
            <scheme val="minor"/>
          </rPr>
          <t>INDEX/MATCH on the weekday code (Lookups). Weekday code 0 = Sunday.</t>
        </r>
      </text>
    </comment>
    <comment ref="U1" authorId="0" shapeId="0" xr:uid="{00000000-0006-0000-0700-000006000000}">
      <text>
        <r>
          <rPr>
            <sz val="11"/>
            <color theme="1"/>
            <rFont val="Calibri"/>
            <family val="2"/>
            <scheme val="minor"/>
          </rPr>
          <t>IF classification (brief task 3): weekday code 0 or 6 = Weekend, else Weekday.</t>
        </r>
      </text>
    </comment>
    <comment ref="V1" authorId="0" shapeId="0" xr:uid="{00000000-0006-0000-0700-000007000000}">
      <text>
        <r>
          <rPr>
            <sz val="11"/>
            <color theme="1"/>
            <rFont val="Calibri"/>
            <family val="2"/>
            <scheme val="minor"/>
          </rPr>
          <t>Nested IF with OR: a day is non-working if it is a weekend OR a public holiday.</t>
        </r>
      </text>
    </comment>
    <comment ref="X1" authorId="0" shapeId="0" xr:uid="{00000000-0006-0000-0700-000008000000}">
      <text>
        <r>
          <rPr>
            <sz val="11"/>
            <color theme="1"/>
            <rFont val="Calibri"/>
            <family val="2"/>
            <scheme val="minor"/>
          </rPr>
          <t>VLOOKUP of weathersit in tbl_weather. Colour-coded with conditional formatting.</t>
        </r>
      </text>
    </comment>
    <comment ref="Y1" authorId="0" shapeId="0" xr:uid="{00000000-0006-0000-0700-000009000000}">
      <text>
        <r>
          <rPr>
            <sz val="11"/>
            <color theme="1"/>
            <rFont val="Calibri"/>
            <family val="2"/>
            <scheme val="minor"/>
          </rPr>
          <t>Approximate MATCH against the band start hours in Lookups (Night, Morning, Afternoon, Evening, Late Evening).</t>
        </r>
      </text>
    </comment>
    <comment ref="Z1" authorId="0" shapeId="0" xr:uid="{00000000-0006-0000-0700-00000A000000}">
      <text>
        <r>
          <rPr>
            <sz val="11"/>
            <color theme="1"/>
            <rFont val="Calibri"/>
            <family val="2"/>
            <scheme val="minor"/>
          </rPr>
          <t>Relative band of normalised temp: Cold &lt; 0.20, Mild 0.20–0.29, Warm &gt;= 0.30 (thresholds editable in Lookups). No unit conversion, as advised.</t>
        </r>
      </text>
    </comment>
    <comment ref="AB1" authorId="0" shapeId="0" xr:uid="{00000000-0006-0000-0700-00000B000000}">
      <text>
        <r>
          <rPr>
            <sz val="11"/>
            <color theme="1"/>
            <rFont val="Calibri"/>
            <family val="2"/>
            <scheme val="minor"/>
          </rPr>
          <t>Commute peak = weekday AND hour 7–9 or 16–19. Nested IF + AND + OR.</t>
        </r>
      </text>
    </comment>
    <comment ref="AC1" authorId="0" shapeId="0" xr:uid="{00000000-0006-0000-0700-00000C000000}">
      <text>
        <r>
          <rPr>
            <sz val="11"/>
            <color theme="1"/>
            <rFont val="Calibri"/>
            <family val="2"/>
            <scheme val="minor"/>
          </rPr>
          <t>Calculated field: casual / cnt for the hour.</t>
        </r>
      </text>
    </comment>
    <comment ref="AD1" authorId="0" shapeId="0" xr:uid="{00000000-0006-0000-0700-00000D000000}">
      <text>
        <r>
          <rPr>
            <sz val="11"/>
            <color theme="1"/>
            <rFont val="Calibri"/>
            <family val="2"/>
            <scheme val="minor"/>
          </rPr>
          <t>High if cnt &gt;= 75th percentile, Low if &lt;= 25th percentile of all hours (thresholds on Stats!C29:C30).</t>
        </r>
      </text>
    </comment>
    <comment ref="AE1" authorId="0" shapeId="0" xr:uid="{00000000-0006-0000-0700-00000E000000}">
      <text>
        <r>
          <rPr>
            <sz val="11"/>
            <color theme="1"/>
            <rFont val="Calibri"/>
            <family val="2"/>
            <scheme val="minor"/>
          </rPr>
          <t>SUBTOTAL(103, …) returns 1 for rows currently shown and 0 for rows hidden by a filter or slicer. Dashboard formulas count only visible rows, so if you add slicers to this table in Excel, the dashboard follows them too.</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Analyst</author>
  </authors>
  <commentList>
    <comment ref="A1" authorId="0" shapeId="0" xr:uid="{00000000-0006-0000-0800-000001000000}">
      <text>
        <r>
          <rPr>
            <sz val="11"/>
            <color theme="1"/>
            <rFont val="Calibri"/>
            <family val="2"/>
            <scheme val="minor"/>
          </rPr>
          <t>DATASET A = Dataset 1 merged side-by-side with Dataset 2 on the common key "instant".
Navy headers: pulled from Dataset_1.
Teal headers: looked up from Dataset_2 with INDEX/MATCH (same result as a Power Query Merge, Left Outer join).
Result: 610 rows x 16 columns, all 610 instants matched (see Data_Quality).</t>
        </r>
      </text>
    </comment>
    <comment ref="K1" authorId="0" shapeId="0" xr:uid="{00000000-0006-0000-0800-000002000000}">
      <text>
        <r>
          <rPr>
            <sz val="11"/>
            <color rgb="FF000000"/>
            <rFont val="Calibri"/>
            <family val="2"/>
          </rPr>
          <t>Formula pattern: =INDEX(Dataset_2!B:B, MATCH(instant, Dataset_2!A:A, 0)). MATCH finds the row of the same instant in Dataset 2; INDEX returns the value from that row.</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Analyst</author>
  </authors>
  <commentList>
    <comment ref="A1" authorId="0" shapeId="0" xr:uid="{00000000-0006-0000-0900-000001000000}">
      <text>
        <r>
          <rPr>
            <sz val="11"/>
            <color theme="1"/>
            <rFont val="Calibri"/>
            <family val="2"/>
            <scheme val="minor"/>
          </rPr>
          <t>DATASET 1 (source: dataset_1.xlsx). 610 hourly records, instant 1–610 (1 Jan–28 Jan 2011). Time &amp; weather attributes only. Quality check: 0 blanks, 0 duplicate instants, types correct (dteday = date, holiday = TRUE/FALSE). See Data_Quality.</t>
        </r>
      </text>
    </comment>
    <comment ref="I1" authorId="0" shapeId="0" xr:uid="{00000000-0006-0000-0900-000002000000}">
      <text>
        <r>
          <rPr>
            <sz val="11"/>
            <color theme="1"/>
            <rFont val="Calibri"/>
            <family val="2"/>
            <scheme val="minor"/>
          </rPr>
          <t>weathersit: 1 Clear, 2 Cloudy/Mist, 3 Light Rain/Snow, 4 Heavy Rain (see Lookups).</t>
        </r>
      </text>
    </comment>
    <comment ref="J1" authorId="0" shapeId="0" xr:uid="{00000000-0006-0000-0900-000003000000}">
      <text>
        <r>
          <rPr>
            <sz val="11"/>
            <color theme="1"/>
            <rFont val="Calibri"/>
            <family val="2"/>
            <scheme val="minor"/>
          </rPr>
          <t>temp = normalised temperature (0–1). Units are not given in the source, so it is analysed as-is (no °C/°F conversion).</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Analyst</author>
  </authors>
  <commentList>
    <comment ref="A1" authorId="0" shapeId="0" xr:uid="{00000000-0006-0000-0A00-000001000000}">
      <text>
        <r>
          <rPr>
            <sz val="11"/>
            <color theme="1"/>
            <rFont val="Calibri"/>
            <family val="2"/>
            <scheme val="minor"/>
          </rPr>
          <t>DATASET 2 (source: dataset_2.xlsx). 610 records keyed by instant: feels-like temp, humidity, wind and the rental counts.
Cleaning done here:
1) Dropped "Unnamed: 0" (a leftover row index, not data).
2) 11 blank atemp values filled (yellow cells, each has a comment).
Check: cnt = casual + registered on every row.</t>
        </r>
      </text>
    </comment>
    <comment ref="G1" authorId="0" shapeId="0" xr:uid="{00000000-0006-0000-0A00-000002000000}">
      <text>
        <r>
          <rPr>
            <sz val="11"/>
            <color theme="1"/>
            <rFont val="Calibri"/>
            <family val="2"/>
            <scheme val="minor"/>
          </rPr>
          <t>cnt (total rentals) = casual + registered. Verified on all rows in Data_Quality.</t>
        </r>
      </text>
    </comment>
    <comment ref="B10" authorId="0" shapeId="0" xr:uid="{00000000-0006-0000-0A00-000003000000}">
      <text>
        <r>
          <rPr>
            <sz val="11"/>
            <color theme="1"/>
            <rFont val="Calibri"/>
            <family val="2"/>
            <scheme val="minor"/>
          </rPr>
          <t>Blank in source (instant 9). Filled with the average of the previous and next hour (B9, B11). atemp moves smoothly hour to hour (corr. with temp = 0.93), so the neighbour average is a safe estimate.</t>
        </r>
      </text>
    </comment>
    <comment ref="B19" authorId="0" shapeId="0" xr:uid="{00000000-0006-0000-0A00-000004000000}">
      <text>
        <r>
          <rPr>
            <sz val="11"/>
            <color theme="1"/>
            <rFont val="Calibri"/>
            <family val="2"/>
            <scheme val="minor"/>
          </rPr>
          <t>Blank in source (instant 18). Filled with the average of the previous and next hour (B18, B20). atemp moves smoothly hour to hour (corr. with temp = 0.93), so the neighbour average is a safe estimate.</t>
        </r>
      </text>
    </comment>
    <comment ref="B25" authorId="0" shapeId="0" xr:uid="{00000000-0006-0000-0A00-000005000000}">
      <text>
        <r>
          <rPr>
            <sz val="11"/>
            <color theme="1"/>
            <rFont val="Calibri"/>
            <family val="2"/>
            <scheme val="minor"/>
          </rPr>
          <t>Blank in source (instant 24). Filled with the average of the previous and next hour (B24, B26). atemp moves smoothly hour to hour (corr. with temp = 0.93), so the neighbour average is a safe estimate.</t>
        </r>
      </text>
    </comment>
    <comment ref="B30" authorId="0" shapeId="0" xr:uid="{00000000-0006-0000-0A00-000006000000}">
      <text>
        <r>
          <rPr>
            <sz val="11"/>
            <color theme="1"/>
            <rFont val="Calibri"/>
            <family val="2"/>
            <scheme val="minor"/>
          </rPr>
          <t>Blank in source (instant 29). Filled with the average of the previous and next hour (B29, B31). atemp moves smoothly hour to hour (corr. with temp = 0.93), so the neighbour average is a safe estimate.</t>
        </r>
      </text>
    </comment>
    <comment ref="B34" authorId="0" shapeId="0" xr:uid="{00000000-0006-0000-0A00-000007000000}">
      <text>
        <r>
          <rPr>
            <sz val="11"/>
            <color theme="1"/>
            <rFont val="Calibri"/>
            <family val="2"/>
            <scheme val="minor"/>
          </rPr>
          <t>Blank in source (instant 33). Filled with the average of the previous and next hour (B33, B35). atemp moves smoothly hour to hour (corr. with temp = 0.93), so the neighbour average is a safe estimate.</t>
        </r>
      </text>
    </comment>
    <comment ref="B39" authorId="0" shapeId="0" xr:uid="{00000000-0006-0000-0A00-000008000000}">
      <text>
        <r>
          <rPr>
            <sz val="11"/>
            <color theme="1"/>
            <rFont val="Calibri"/>
            <family val="2"/>
            <scheme val="minor"/>
          </rPr>
          <t>Blank in source (instant 38). Filled with the average of the previous and next hour (B38, B40). atemp moves smoothly hour to hour (corr. with temp = 0.93), so the neighbour average is a safe estimate.</t>
        </r>
      </text>
    </comment>
    <comment ref="B45" authorId="0" shapeId="0" xr:uid="{00000000-0006-0000-0A00-000009000000}">
      <text>
        <r>
          <rPr>
            <sz val="11"/>
            <color theme="1"/>
            <rFont val="Calibri"/>
            <family val="2"/>
            <scheme val="minor"/>
          </rPr>
          <t>Blank in source (instant 44). Filled with the average of the previous and next hour (B44, B46). atemp moves smoothly hour to hour (corr. with temp = 0.93), so the neighbour average is a safe estimate.</t>
        </r>
      </text>
    </comment>
    <comment ref="B50" authorId="0" shapeId="0" xr:uid="{00000000-0006-0000-0A00-00000A000000}">
      <text>
        <r>
          <rPr>
            <sz val="11"/>
            <color theme="1"/>
            <rFont val="Calibri"/>
            <family val="2"/>
            <scheme val="minor"/>
          </rPr>
          <t>Blank in source (instant 49). Filled with the average of the previous and next hour (B49, B51). atemp moves smoothly hour to hour (corr. with temp = 0.93), so the neighbour average is a safe estimate.</t>
        </r>
      </text>
    </comment>
    <comment ref="B60" authorId="0" shapeId="0" xr:uid="{00000000-0006-0000-0A00-00000B000000}">
      <text>
        <r>
          <rPr>
            <sz val="11"/>
            <color theme="1"/>
            <rFont val="Calibri"/>
            <family val="2"/>
            <scheme val="minor"/>
          </rPr>
          <t>Blank in source (instant 59). Filled with the average of the previous and next hour (B59, B61). atemp moves smoothly hour to hour (corr. with temp = 0.93), so the neighbour average is a safe estimate.</t>
        </r>
      </text>
    </comment>
    <comment ref="B67" authorId="0" shapeId="0" xr:uid="{00000000-0006-0000-0A00-00000C000000}">
      <text>
        <r>
          <rPr>
            <sz val="11"/>
            <color theme="1"/>
            <rFont val="Calibri"/>
            <family val="2"/>
            <scheme val="minor"/>
          </rPr>
          <t>Blank in source (instant 66). Filled with the average of the previous and next hour (B66, B68). atemp moves smoothly hour to hour (corr. with temp = 0.93), so the neighbour average is a safe estimate.</t>
        </r>
      </text>
    </comment>
    <comment ref="B71" authorId="0" shapeId="0" xr:uid="{00000000-0006-0000-0A00-00000D000000}">
      <text>
        <r>
          <rPr>
            <sz val="11"/>
            <color theme="1"/>
            <rFont val="Calibri"/>
            <family val="2"/>
            <scheme val="minor"/>
          </rPr>
          <t>Blank in source (instant 70). Filled with the average of the previous and next hour (B70, B72). atemp moves smoothly hour to hour (corr. with temp = 0.93), so the neighbour average is a safe estimate.</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Analyst</author>
  </authors>
  <commentList>
    <comment ref="A1" authorId="0" shapeId="0" xr:uid="{00000000-0006-0000-0B00-000001000000}">
      <text>
        <r>
          <rPr>
            <sz val="11"/>
            <color theme="1"/>
            <rFont val="Calibri"/>
            <family val="2"/>
            <scheme val="minor"/>
          </rPr>
          <t>DATASET 3 (source: dataset_3.xlsx). 390 complete records, instant 611–1000 (28 Jan–14 Feb 2011), same 16 columns as Dataset A.
Cleaning: sorted by instant (the source file starts at 620, then 611–619 appear later). 0 blanks, 0 duplicates.
Note: an earlier version of the workbook appended this table to itself in Power Query, creating 390 false duplicates. Fixed here.</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Analyst</author>
  </authors>
  <commentList>
    <comment ref="A4" authorId="0" shapeId="0" xr:uid="{00000000-0006-0000-0C00-000001000000}">
      <text>
        <r>
          <rPr>
            <sz val="11"/>
            <color theme="1"/>
            <rFont val="Calibri"/>
            <family val="2"/>
            <scheme val="minor"/>
          </rPr>
          <t>Green = clean (0 blanks / 0 duplicates). The duplicate test uses SUMPRODUCT(1/COUNTIF(range,range)), which counts unique instants.</t>
        </r>
      </text>
    </comment>
    <comment ref="A23" authorId="0" shapeId="0" xr:uid="{00000000-0006-0000-0C00-000002000000}">
      <text>
        <r>
          <rPr>
            <sz val="11"/>
            <color theme="1"/>
            <rFont val="Calibri"/>
            <family val="2"/>
            <scheme val="minor"/>
          </rPr>
          <t>Dataset 1 alone has no rentals, so we study conditions: most hours are Clear; rainy hours are on average colder.</t>
        </r>
      </text>
    </comment>
    <comment ref="E23" authorId="0" shapeId="0" xr:uid="{00000000-0006-0000-0C00-000003000000}">
      <text>
        <r>
          <rPr>
            <sz val="11"/>
            <color theme="1"/>
            <rFont val="Calibri"/>
            <family val="2"/>
            <scheme val="minor"/>
          </rPr>
          <t>Dataset 2 (first 610 hours): registered riders already dominate (~92% of rentals). Casual demand is small but highly variable.</t>
        </r>
      </text>
    </comment>
    <comment ref="A30" authorId="0" shapeId="0" xr:uid="{00000000-0006-0000-0C00-000004000000}">
      <text>
        <r>
          <rPr>
            <sz val="11"/>
            <color theme="1"/>
            <rFont val="Calibri"/>
            <family val="2"/>
            <scheme val="minor"/>
          </rPr>
          <t>Dataset 3 (28 Jan–14 Feb) shows the same weather effect as the full data: rainy hours have far fewer rentals.</t>
        </r>
      </text>
    </comment>
    <comment ref="E30" authorId="0" shapeId="0" xr:uid="{00000000-0006-0000-0C00-000005000000}">
      <text>
        <r>
          <rPr>
            <sz val="11"/>
            <color theme="1"/>
            <rFont val="Calibri"/>
            <family val="2"/>
            <scheme val="minor"/>
          </rPr>
          <t>Dataset A (January) already shows the evening commute as the busiest period, so the pattern is stable before and after the append.</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Analyst</author>
  </authors>
  <commentList>
    <comment ref="A4" authorId="0" shapeId="0" xr:uid="{00000000-0006-0000-0D00-000001000000}">
      <text>
        <r>
          <rPr>
            <sz val="11"/>
            <color theme="1"/>
            <rFont val="Calibri"/>
            <family val="2"/>
            <scheme val="minor"/>
          </rPr>
          <t>weathersit codes come from the dataset documentation. Final_Dataset uses VLOOKUP(weathersit, tbl_weather, 2, FALSE) to turn the code into a readable label.</t>
        </r>
      </text>
    </comment>
    <comment ref="E4" authorId="0" shapeId="0" xr:uid="{00000000-0006-0000-0D00-000002000000}">
      <text>
        <r>
          <rPr>
            <sz val="11"/>
            <color theme="1"/>
            <rFont val="Calibri"/>
            <family val="2"/>
            <scheme val="minor"/>
          </rPr>
          <t>These lists feed the drop-down filters on the Dashboard (Data &gt; Data Validation &gt; List).</t>
        </r>
      </text>
    </comment>
    <comment ref="A11" authorId="0" shapeId="0" xr:uid="{00000000-0006-0000-0D00-000003000000}">
      <text>
        <r>
          <rPr>
            <sz val="11"/>
            <color theme="1"/>
            <rFont val="Calibri"/>
            <family val="2"/>
            <scheme val="minor"/>
          </rPr>
          <t>Season code 1 = Spring in the source data dictionary (Jan–Mar 2011 is coded 1). Only season 1 appears in this project data.</t>
        </r>
      </text>
    </comment>
    <comment ref="A18" authorId="0" shapeId="0" xr:uid="{00000000-0006-0000-0D00-000004000000}">
      <text>
        <r>
          <rPr>
            <sz val="11"/>
            <color theme="1"/>
            <rFont val="Calibri"/>
            <family val="2"/>
            <scheme val="minor"/>
          </rPr>
          <t>Approximate MATCH (match_type 1) finds the last start hour that is &lt;= the record hour, so hour 8 maps to Morning, 18 to Evening.</t>
        </r>
      </text>
    </comment>
    <comment ref="A26" authorId="0" shapeId="0" xr:uid="{00000000-0006-0000-0D00-000005000000}">
      <text>
        <r>
          <rPr>
            <sz val="11"/>
            <color theme="1"/>
            <rFont val="Calibri"/>
            <family val="2"/>
            <scheme val="minor"/>
          </rPr>
          <t>temp is normalised (0–1) in the source. Per the facilitator, we do NOT convert it to °C/°F; we only group it into relative bands. Thresholds are inputs: change them here.</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Analyst</author>
  </authors>
  <commentList>
    <comment ref="B5" authorId="0" shapeId="0" xr:uid="{00000000-0006-0000-0E00-000001000000}">
      <text>
        <r>
          <rPr>
            <sz val="11"/>
            <color rgb="FF000000"/>
            <rFont val="Calibri"/>
            <family val="2"/>
          </rPr>
          <t>"All" becomes the wildcard "*", which matches every text value in SUMIFS/AVERAGEIFS. So one formula works for both "All" and a single choice.</t>
        </r>
      </text>
    </comment>
    <comment ref="O33" authorId="0" shapeId="0" xr:uid="{00000000-0006-0000-0E00-000002000000}">
      <text>
        <r>
          <rPr>
            <sz val="11"/>
            <color rgb="FF000000"/>
            <rFont val="Calibri"/>
            <family val="2"/>
          </rPr>
          <t>Funnel chart trick: a stacked bar where the first (invisible) series is a spacer = (largest - value) / 2, which centres each bar and gives the funnel shape.</t>
        </r>
      </text>
    </comment>
  </commentList>
</comments>
</file>

<file path=xl/sharedStrings.xml><?xml version="1.0" encoding="utf-8"?>
<sst xmlns="http://schemas.openxmlformats.org/spreadsheetml/2006/main" count="648" uniqueCount="398">
  <si>
    <t>Bike Sharing Demand Analysis</t>
  </si>
  <si>
    <t>Problem statement</t>
  </si>
  <si>
    <t>Understand how weather, time and holidays affect hourly bike rentals, and turn the findings into decisions for fleet availability, staffing and marketing.</t>
  </si>
  <si>
    <t>Data</t>
  </si>
  <si>
    <t>Three source files: Dataset 1 (time &amp; weather, 610 rows), Dataset 2 (feels-like temp, humidity, wind, rentals, 610 rows), Dataset 3 (all fields, 390 rows). Combined: 1,000 hourly records, 1 Jan–14 Feb 2011.</t>
  </si>
  <si>
    <t>Data flow</t>
  </si>
  <si>
    <t>Dataset_1 + Dataset_2  →  (merge on instant)  →  Dataset_A  →  (append Dataset_3)  →  Final_Dataset  →  Analysis / Stats / Anomalies / Forecast  →  Dashboard</t>
  </si>
  <si>
    <t>Sheet guide</t>
  </si>
  <si>
    <t>Dashboard</t>
  </si>
  <si>
    <t>Interactive one-page view: KPI cards, filters (day type, weather, month, time band, date range), charts, funnel and heatmap.</t>
  </si>
  <si>
    <t>Insights</t>
  </si>
  <si>
    <t>Key findings, recommendations and limitations in plain language.</t>
  </si>
  <si>
    <t>Analysis</t>
  </si>
  <si>
    <t>Pivot-style summaries by hour, weekday, working day, weather, time band, temperature, humidity, month and day, each with a chart.</t>
  </si>
  <si>
    <t>Stats</t>
  </si>
  <si>
    <t>Basic and text functions, COUNTIF/SUMIF, descriptive statistics and the correlation matrix.</t>
  </si>
  <si>
    <t>Anomalies</t>
  </si>
  <si>
    <t>Z-score anomaly detection per hour of day, with an adjustable threshold.</t>
  </si>
  <si>
    <t>Forecast</t>
  </si>
  <si>
    <t>48-hour FORECAST.ETS forecast with a 95% confidence band and accuracy statistics.</t>
  </si>
  <si>
    <t>Final_Dataset</t>
  </si>
  <si>
    <t>Clean merged table (1,000 × 31) with engineered features. Excel Table "tblFinal".</t>
  </si>
  <si>
    <t>Dataset_A</t>
  </si>
  <si>
    <t>Dataset 1 merged with Dataset 2 on instant (INDEX/MATCH).</t>
  </si>
  <si>
    <t>Dataset_1</t>
  </si>
  <si>
    <t>Source dataset 1, checked.</t>
  </si>
  <si>
    <t>Dataset_2</t>
  </si>
  <si>
    <t>Source dataset 2, cleaned (index column removed, 11 blanks filled).</t>
  </si>
  <si>
    <t>Dataset_3</t>
  </si>
  <si>
    <t>Source dataset 3, sorted and checked.</t>
  </si>
  <si>
    <t>Data_Quality</t>
  </si>
  <si>
    <t>Checks at every stage, cleaning steps and a small study of each dataset.</t>
  </si>
  <si>
    <t>Lookups</t>
  </si>
  <si>
    <t>Reference tables and drop-down lists (editable).</t>
  </si>
  <si>
    <t>Dashboard_Calc</t>
  </si>
  <si>
    <t>Behind-the-scenes calculations for the Dashboard.</t>
  </si>
  <si>
    <t>Reading tips</t>
  </si>
  <si>
    <t>•  Cells with a small red triangle have a comment: hover over them to read what the data means.</t>
  </si>
  <si>
    <t>•  Blue numbers on a yellow background are inputs you can change (thresholds, forecast settings).</t>
  </si>
  <si>
    <t>•  Green text marks values that were filled during cleaning.</t>
  </si>
  <si>
    <t>•  Optional in Excel: select any cell in Final_Dataset &gt; Table Design &gt; Insert Slicer to add slicers; the Dashboard follows them through the Visible column.</t>
  </si>
  <si>
    <t>BIKE SHARING DEMAND DASHBOARD</t>
  </si>
  <si>
    <t>NextHikes IT Solutions  |  Hourly bike rentals, 1 Jan – 14 Feb 2011  |  1,000 records  |  Pick a filter below: every number, chart and the heatmap updates</t>
  </si>
  <si>
    <t>DAY TYPE</t>
  </si>
  <si>
    <t>WEATHER</t>
  </si>
  <si>
    <t>MONTH</t>
  </si>
  <si>
    <t>TIME BAND</t>
  </si>
  <si>
    <t>FROM DATE</t>
  </si>
  <si>
    <t>TO DATE</t>
  </si>
  <si>
    <t>▲ white boxes
are filters</t>
  </si>
  <si>
    <t>All</t>
  </si>
  <si>
    <t>TOTAL RENTALS</t>
  </si>
  <si>
    <t>REGISTERED</t>
  </si>
  <si>
    <t>CASUAL</t>
  </si>
  <si>
    <t>AVG / HOUR</t>
  </si>
  <si>
    <t>PEAK HOUR</t>
  </si>
  <si>
    <t>BUSIEST DAY</t>
  </si>
  <si>
    <t>RAIN IMPACT</t>
  </si>
  <si>
    <t>ANOMALIES</t>
  </si>
  <si>
    <t>Demand by Hour of Day</t>
  </si>
  <si>
    <t>Demand by Day of Week</t>
  </si>
  <si>
    <t>Daily Rentals Trend</t>
  </si>
  <si>
    <t>Demand by Weather</t>
  </si>
  <si>
    <t>Heatmap: average rentals by day and hour  (darker = busier)</t>
  </si>
  <si>
    <t>Commute Funnel</t>
  </si>
  <si>
    <t>Hour →</t>
  </si>
  <si>
    <t>Mon</t>
  </si>
  <si>
    <t>Weekday
commute peaks</t>
  </si>
  <si>
    <t>Tue</t>
  </si>
  <si>
    <t>Wed</t>
  </si>
  <si>
    <t>Thu</t>
  </si>
  <si>
    <t>Fri</t>
  </si>
  <si>
    <t>Sat</t>
  </si>
  <si>
    <t>Weekend
midday leisure</t>
  </si>
  <si>
    <t>Sun</t>
  </si>
  <si>
    <t>Key insights</t>
  </si>
  <si>
    <t>Data: NextHikes Project 1 datasets 1-3 merged on instant. Averages are rentals per hourly record; temp/humidity are normalised source values. Formulas only, works in Excel for Mac and Windows without macros. Detail: Analysis, Stats, Anomalies, Forecast sheets.</t>
  </si>
  <si>
    <t>Findings, Recommendations &amp; Limitations</t>
  </si>
  <si>
    <t>Plain-language summary for the reader and the source for the summary document / PPT. Numbers in brackets are live from the analysis sheets.</t>
  </si>
  <si>
    <t>Key findings</t>
  </si>
  <si>
    <t>Recommendations</t>
  </si>
  <si>
    <t>Guarantee bike availability at stations near offices and transit hubs before 8 AM and 5 PM on weekdays; this is where most revenue is.</t>
  </si>
  <si>
    <t>Use the night window (0–5 AM) for rebalancing, maintenance and battery/repair work: demand is lowest then.</t>
  </si>
  <si>
    <t>Grow casual and weekend use with leisure offers (weekend day passes, park/tourist routes), since casual riders are the weekend segment.</t>
  </si>
  <si>
    <t>Plan for rain: reduce field staff and shift rebalancing on rainy days; push "ride after the rain" offers when forecasts show clearing.</t>
  </si>
  <si>
    <t>Use the hourly forecast to schedule staff and pre-position bikes for the next day.</t>
  </si>
  <si>
    <t>Collect more data (full year, all seasons) before deciding on seasonal pricing or fleet size.</t>
  </si>
  <si>
    <t>Limitations</t>
  </si>
  <si>
    <t>Only 1,000 hours (1 Jan–14 Feb 2011), all in season 1 (winter/spring), so seasonal effects cannot be tested.</t>
  </si>
  <si>
    <t>64 hours are missing from the timeline in the source data; 14 Feb is a partial day.</t>
  </si>
  <si>
    <t>temp, atemp, humidity and windspeed are normalised with unknown units, so results are relative (no °C/°F).</t>
  </si>
  <si>
    <t>Heavy Rain appears in a single hour: no conclusion can be drawn for that category.</t>
  </si>
  <si>
    <t>Correlation shows association, not causation.</t>
  </si>
  <si>
    <t>Demand Analysis</t>
  </si>
  <si>
    <t>Pivot-style summaries built with AVERAGEIFS / SUMIFS / COUNTIFS on the final dataset (brief task 4). Each table has a chart and a comment with the takeaway.</t>
  </si>
  <si>
    <t>1. Demand by Hour of Day</t>
  </si>
  <si>
    <t>Hour</t>
  </si>
  <si>
    <t>Avg Casual</t>
  </si>
  <si>
    <t>Avg Registered</t>
  </si>
  <si>
    <t>Avg Total</t>
  </si>
  <si>
    <t>Hours</t>
  </si>
  <si>
    <t>Total Rentals</t>
  </si>
  <si>
    <t>Casual Share</t>
  </si>
  <si>
    <t>2. Demand by Day of Week</t>
  </si>
  <si>
    <t>Day</t>
  </si>
  <si>
    <t>3. Working vs Non-Working Day</t>
  </si>
  <si>
    <t>Day Category</t>
  </si>
  <si>
    <t>Working Day</t>
  </si>
  <si>
    <t>Non-Working Day</t>
  </si>
  <si>
    <t>4. Demand by Weather</t>
  </si>
  <si>
    <t>Weather</t>
  </si>
  <si>
    <t>Clear</t>
  </si>
  <si>
    <t>Cloudy/Mist</t>
  </si>
  <si>
    <t>Light Rain/Snow</t>
  </si>
  <si>
    <t>Heavy Rain</t>
  </si>
  <si>
    <t>5. Demand by Time Band</t>
  </si>
  <si>
    <t>Time Band</t>
  </si>
  <si>
    <t>Night</t>
  </si>
  <si>
    <t>Morning</t>
  </si>
  <si>
    <t>Afternoon</t>
  </si>
  <si>
    <t>Evening</t>
  </si>
  <si>
    <t>Late Evening</t>
  </si>
  <si>
    <t>6. Demand by Temperature Band</t>
  </si>
  <si>
    <t>Temp Band</t>
  </si>
  <si>
    <t>Cold</t>
  </si>
  <si>
    <t>Mild</t>
  </si>
  <si>
    <t>Warm</t>
  </si>
  <si>
    <t>7. Demand by Humidity Band</t>
  </si>
  <si>
    <t>Humidity</t>
  </si>
  <si>
    <t>Low</t>
  </si>
  <si>
    <t>Medium</t>
  </si>
  <si>
    <t>High</t>
  </si>
  <si>
    <t>8. Demand by Month</t>
  </si>
  <si>
    <t>Month</t>
  </si>
  <si>
    <t>Jan</t>
  </si>
  <si>
    <t>Feb</t>
  </si>
  <si>
    <t>9. Daily Rentals Trend</t>
  </si>
  <si>
    <t>Date</t>
  </si>
  <si>
    <t>Registered</t>
  </si>
  <si>
    <t>Casual</t>
  </si>
  <si>
    <t>Weather (most hours)</t>
  </si>
  <si>
    <t>Statistics &amp; Excel Functions</t>
  </si>
  <si>
    <t>Basic, text, conditional and statistical functions on the final dataset (brief tasks 1, 3 and 4). All values are live formulas.</t>
  </si>
  <si>
    <t>Measure (cnt = rentals per hour)</t>
  </si>
  <si>
    <t>Value</t>
  </si>
  <si>
    <t>Formula used</t>
  </si>
  <si>
    <t>Text function</t>
  </si>
  <si>
    <t>Example input</t>
  </si>
  <si>
    <t>Result</t>
  </si>
  <si>
    <t>What it does</t>
  </si>
  <si>
    <t>Total rentals</t>
  </si>
  <si>
    <t>SUM</t>
  </si>
  <si>
    <t>LEFT</t>
  </si>
  <si>
    <t>First 3 characters: the ID prefix</t>
  </si>
  <si>
    <t>Average rentals per hour</t>
  </si>
  <si>
    <t>AVERAGE</t>
  </si>
  <si>
    <t>RIGHT</t>
  </si>
  <si>
    <t>Last 4 characters: the number</t>
  </si>
  <si>
    <t>Number of hourly records</t>
  </si>
  <si>
    <t>COUNT</t>
  </si>
  <si>
    <t>LEN</t>
  </si>
  <si>
    <t>Length of the ID</t>
  </si>
  <si>
    <t>Median rentals per hour</t>
  </si>
  <si>
    <t>MEDIAN</t>
  </si>
  <si>
    <t>UPPER</t>
  </si>
  <si>
    <t>Day name in capitals</t>
  </si>
  <si>
    <t>Minimum rentals in an hour</t>
  </si>
  <si>
    <t>MIN</t>
  </si>
  <si>
    <t>TEXT</t>
  </si>
  <si>
    <t>Formats a date as words</t>
  </si>
  <si>
    <t>Maximum rentals in an hour</t>
  </si>
  <si>
    <t>MAX</t>
  </si>
  <si>
    <t>CONCATENATE (&amp;)</t>
  </si>
  <si>
    <t>Joins fields into a label</t>
  </si>
  <si>
    <t>Std deviation (sample)</t>
  </si>
  <si>
    <t>STDEV</t>
  </si>
  <si>
    <t>Total registered rentals</t>
  </si>
  <si>
    <t>Total casual rentals</t>
  </si>
  <si>
    <t>Registered share</t>
  </si>
  <si>
    <t>ratio</t>
  </si>
  <si>
    <t>Hours with Clear weather</t>
  </si>
  <si>
    <t>COUNTIF</t>
  </si>
  <si>
    <t>Rentals on weekends</t>
  </si>
  <si>
    <t>SUMIF</t>
  </si>
  <si>
    <t>Avg rentals: weekday hour</t>
  </si>
  <si>
    <t>AVERAGEIF</t>
  </si>
  <si>
    <t>Avg rentals: weekend hour</t>
  </si>
  <si>
    <t>Rentals in weekday peak hours</t>
  </si>
  <si>
    <t>SUMIFS</t>
  </si>
  <si>
    <t>Share of all rentals in peak hours</t>
  </si>
  <si>
    <t>High-demand hours (&gt;= P75)</t>
  </si>
  <si>
    <t>Correlation temp vs cnt</t>
  </si>
  <si>
    <t>CORREL</t>
  </si>
  <si>
    <t>Correlation humidity vs cnt</t>
  </si>
  <si>
    <t>Correlation registered vs cnt</t>
  </si>
  <si>
    <t>Demand thresholds</t>
  </si>
  <si>
    <t>25th percentile of cnt (Low threshold)</t>
  </si>
  <si>
    <t>QUARTILE</t>
  </si>
  <si>
    <t>75th percentile of cnt (High threshold)</t>
  </si>
  <si>
    <t>Descriptive Statistics</t>
  </si>
  <si>
    <t>Statistic</t>
  </si>
  <si>
    <t>temp</t>
  </si>
  <si>
    <t>atemp</t>
  </si>
  <si>
    <t>hum</t>
  </si>
  <si>
    <t>windspeed</t>
  </si>
  <si>
    <t>casual</t>
  </si>
  <si>
    <t>registered</t>
  </si>
  <si>
    <t>cnt</t>
  </si>
  <si>
    <t>Mean</t>
  </si>
  <si>
    <t>Median</t>
  </si>
  <si>
    <t>Mode</t>
  </si>
  <si>
    <t>Std Deviation</t>
  </si>
  <si>
    <t>Variance</t>
  </si>
  <si>
    <t>Skewness</t>
  </si>
  <si>
    <t>Kurtosis</t>
  </si>
  <si>
    <t>Minimum</t>
  </si>
  <si>
    <t>1st Quartile</t>
  </si>
  <si>
    <t>3rd Quartile</t>
  </si>
  <si>
    <t>Maximum</t>
  </si>
  <si>
    <t>Range</t>
  </si>
  <si>
    <t>Count</t>
  </si>
  <si>
    <t>Correlation Matrix (CORREL)</t>
  </si>
  <si>
    <t>Anomaly Detection: Hourly Rentals</t>
  </si>
  <si>
    <t>Each hour is compared with the normal demand for the SAME hour of day (Z-score), so ordinary rush-hour peaks are not flagged.</t>
  </si>
  <si>
    <t>Z-score threshold (±)</t>
  </si>
  <si>
    <t>Obs</t>
  </si>
  <si>
    <t>Mean cnt</t>
  </si>
  <si>
    <t>StDev cnt</t>
  </si>
  <si>
    <t>Upper limit</t>
  </si>
  <si>
    <t>Lower limit</t>
  </si>
  <si>
    <t>Flagged</t>
  </si>
  <si>
    <t>Hours analysed</t>
  </si>
  <si>
    <t>High anomalies (unusually busy)</t>
  </si>
  <si>
    <t>Low anomalies (unusually quiet)</t>
  </si>
  <si>
    <t>% of hours flagged</t>
  </si>
  <si>
    <t>Row-level detail (orange row = flagged). Use the filter arrows to show only flagged hours.</t>
  </si>
  <si>
    <t>Instant</t>
  </si>
  <si>
    <t>Temp</t>
  </si>
  <si>
    <t>Windspeed</t>
  </si>
  <si>
    <t>Hour mean</t>
  </si>
  <si>
    <t>Hour StDev</t>
  </si>
  <si>
    <t>Z-score</t>
  </si>
  <si>
    <t>Flag</t>
  </si>
  <si>
    <t>Forecast: Next 48 Hours of Rentals</t>
  </si>
  <si>
    <t>Excel's FORECAST.ETS (the engine behind Data &gt; Forecast Sheet): exponential smoothing with a 24-hour daily cycle, 95% confidence band.</t>
  </si>
  <si>
    <t>Seasonality (hours)</t>
  </si>
  <si>
    <t>Alpha (level)</t>
  </si>
  <si>
    <t>Confidence level</t>
  </si>
  <si>
    <t>Beta (trend)</t>
  </si>
  <si>
    <t>Data completion (1 = interpolate gaps)</t>
  </si>
  <si>
    <t>Gamma (seasonality)</t>
  </si>
  <si>
    <t>Aggregation (1 = average)</t>
  </si>
  <si>
    <t>MASE</t>
  </si>
  <si>
    <t>SMAPE</t>
  </si>
  <si>
    <t>MAE</t>
  </si>
  <si>
    <t>RMSE</t>
  </si>
  <si>
    <t>Timestamp</t>
  </si>
  <si>
    <t>Hour index</t>
  </si>
  <si>
    <t>Actual rentals</t>
  </si>
  <si>
    <t>Lower 95%</t>
  </si>
  <si>
    <t>Upper 95%</t>
  </si>
  <si>
    <t>instant</t>
  </si>
  <si>
    <t>dteday</t>
  </si>
  <si>
    <t>season</t>
  </si>
  <si>
    <t>yr</t>
  </si>
  <si>
    <t>mnth</t>
  </si>
  <si>
    <t>hr</t>
  </si>
  <si>
    <t>holiday</t>
  </si>
  <si>
    <t>weekday</t>
  </si>
  <si>
    <t>weathersit</t>
  </si>
  <si>
    <t>Record_ID</t>
  </si>
  <si>
    <t>DateTime</t>
  </si>
  <si>
    <t>Day_Name</t>
  </si>
  <si>
    <t>Day_Type</t>
  </si>
  <si>
    <t>Working_Day</t>
  </si>
  <si>
    <t>Season_Name</t>
  </si>
  <si>
    <t>Time_Band</t>
  </si>
  <si>
    <t>Temp_Band</t>
  </si>
  <si>
    <t>Humidity_Band</t>
  </si>
  <si>
    <t>Peak_Hour</t>
  </si>
  <si>
    <t>Casual_Share</t>
  </si>
  <si>
    <t>Demand_Level</t>
  </si>
  <si>
    <t>Visible</t>
  </si>
  <si>
    <t>Data Quality Log &amp; Stage-by-Stage Study</t>
  </si>
  <si>
    <t>Every stage of the pipeline is checked with formulas (brief task 2). The facilitator asked that each dataset be studied, not only the final one.</t>
  </si>
  <si>
    <t>Stage</t>
  </si>
  <si>
    <t>Rows</t>
  </si>
  <si>
    <t>Columns</t>
  </si>
  <si>
    <t>Blank cells</t>
  </si>
  <si>
    <t>Duplicate instants</t>
  </si>
  <si>
    <t>Instant range</t>
  </si>
  <si>
    <t>cnt = casual + registered?</t>
  </si>
  <si>
    <t>What was done</t>
  </si>
  <si>
    <t>n/a (no counts)</t>
  </si>
  <si>
    <t>Loaded as-is. Types checked (date, TRUE/FALSE, numbers).</t>
  </si>
  <si>
    <t>Dropped "Unnamed: 0" index column. Filled 11 blank atemp with neighbour average (blank count is now 0).</t>
  </si>
  <si>
    <t>Sorted by instant. No blanks or duplicates in the source.</t>
  </si>
  <si>
    <t>Dataset_A (D1+D2)</t>
  </si>
  <si>
    <t>Merged on instant with INDEX/MATCH (Left Outer). All 610 keys matched.</t>
  </si>
  <si>
    <t>Final_Dataset (A + D3)</t>
  </si>
  <si>
    <t>Dataset 3 appended under Dataset A. 15 feature columns added.</t>
  </si>
  <si>
    <t>Cleaning &amp; merging steps (pipeline)</t>
  </si>
  <si>
    <t>1. Pre-process each dataset separately: check types, blanks and duplicates (table above).</t>
  </si>
  <si>
    <t>2. Dataset 2: remove the "Unnamed: 0" column; fill the 11 blank atemp values with the average of the neighbouring hours.</t>
  </si>
  <si>
    <t>3. Dataset 3: sort by instant; confirm 390 unique records, no blanks.</t>
  </si>
  <si>
    <t>4. Merge Dataset 1 + Dataset 2 side-by-side on instant → Dataset A (610 × 16). INDEX/MATCH here; Power Query "Merge Queries (Left Outer)" gives the same result.</t>
  </si>
  <si>
    <t>5. Append Dataset 3 under Dataset A → Final_Dataset (1,000 × 16). Power Query equivalent: "Append Queries".</t>
  </si>
  <si>
    <t>6. Add features with formulas: Day_Type (IF), Weather &amp; Season (VLOOKUP), Time/Temp/Humidity bands (INDEX-MATCH), Peak_Hour (IF/AND/OR), Casual_Share, Demand_Level.</t>
  </si>
  <si>
    <t>7. Not done on purpose: temp/atemp are NOT converted to °C/°F (units unknown); outliers are kept and flagged (see Anomalies).</t>
  </si>
  <si>
    <t>Stage-by-stage study (each dataset analysed on its own)</t>
  </si>
  <si>
    <t>Dataset 1: Weather</t>
  </si>
  <si>
    <t>Avg temp</t>
  </si>
  <si>
    <t>Dataset 2: Measure</t>
  </si>
  <si>
    <t>Total (cnt)</t>
  </si>
  <si>
    <t>Sum</t>
  </si>
  <si>
    <t>Average</t>
  </si>
  <si>
    <t>Max</t>
  </si>
  <si>
    <t>Std Dev</t>
  </si>
  <si>
    <t>Dataset 3: Weather</t>
  </si>
  <si>
    <t>Avg rentals</t>
  </si>
  <si>
    <t>Dataset A: Hour group</t>
  </si>
  <si>
    <t>Avg casual</t>
  </si>
  <si>
    <t>Avg registered</t>
  </si>
  <si>
    <t>Avg total</t>
  </si>
  <si>
    <t>Night 0–5</t>
  </si>
  <si>
    <t>Morning 6–11</t>
  </si>
  <si>
    <t>Afternoon 12–16</t>
  </si>
  <si>
    <t>Evening 17–20</t>
  </si>
  <si>
    <t>Late 21–23</t>
  </si>
  <si>
    <t>Lookup Tables</t>
  </si>
  <si>
    <t>Reference tables used by VLOOKUP / INDEX-MATCH formulas and dashboard drop-downs. Edit labels here and every sheet updates.</t>
  </si>
  <si>
    <t>Weather Code</t>
  </si>
  <si>
    <t>Weather Label</t>
  </si>
  <si>
    <t>Meaning (UCI data dictionary)</t>
  </si>
  <si>
    <t>Day Type list</t>
  </si>
  <si>
    <t>Weather list</t>
  </si>
  <si>
    <t>Month list</t>
  </si>
  <si>
    <t>Time Band list</t>
  </si>
  <si>
    <t>Clear, few clouds, partly cloudy</t>
  </si>
  <si>
    <t>Mist + cloudy, broken clouds</t>
  </si>
  <si>
    <t>Weekday</t>
  </si>
  <si>
    <t>Light snow, light rain + thunderstorm</t>
  </si>
  <si>
    <t>Weekend</t>
  </si>
  <si>
    <t>Heavy rain + ice pellets, snow + fog</t>
  </si>
  <si>
    <t>Season Code</t>
  </si>
  <si>
    <t>Season Name</t>
  </si>
  <si>
    <t>Spring</t>
  </si>
  <si>
    <t>Summer</t>
  </si>
  <si>
    <t>Fall</t>
  </si>
  <si>
    <t>Winter</t>
  </si>
  <si>
    <t>Start Hour</t>
  </si>
  <si>
    <t>00–05</t>
  </si>
  <si>
    <t>06–11</t>
  </si>
  <si>
    <t>12–16</t>
  </si>
  <si>
    <t>17–20</t>
  </si>
  <si>
    <t>21–23</t>
  </si>
  <si>
    <t>Temp From (normalised)</t>
  </si>
  <si>
    <t>Temperature Band</t>
  </si>
  <si>
    <t>Humidity From</t>
  </si>
  <si>
    <t>Humidity Band</t>
  </si>
  <si>
    <t>Weekday Code</t>
  </si>
  <si>
    <t>Day Name</t>
  </si>
  <si>
    <t>Day Type</t>
  </si>
  <si>
    <t>Dashboard Calculations</t>
  </si>
  <si>
    <t>Feeds every number and chart on the Dashboard. Responds to the drop-down filters (and to slicers if added to tblFinal in Excel, via the Visible column).</t>
  </si>
  <si>
    <t>Active filters</t>
  </si>
  <si>
    <t>Date from</t>
  </si>
  <si>
    <t>Date to</t>
  </si>
  <si>
    <t>KPIs</t>
  </si>
  <si>
    <t>Registered rentals</t>
  </si>
  <si>
    <t>Casual rentals</t>
  </si>
  <si>
    <t>Hours in selection</t>
  </si>
  <si>
    <t>Avg rentals per hour</t>
  </si>
  <si>
    <t>Casual share</t>
  </si>
  <si>
    <t>Peak hour (avg)</t>
  </si>
  <si>
    <t>Peak hour avg rentals</t>
  </si>
  <si>
    <t>Best day (avg)</t>
  </si>
  <si>
    <t>Best day avg rentals</t>
  </si>
  <si>
    <t>Best weather (avg)</t>
  </si>
  <si>
    <t>Rain impact vs Clear</t>
  </si>
  <si>
    <t>Anomalies flagged (all data)</t>
  </si>
  <si>
    <t>Peak-hour share of rentals</t>
  </si>
  <si>
    <t>Forecast: next 24h total</t>
  </si>
  <si>
    <t>Funnel stage</t>
  </si>
  <si>
    <t>Rentals</t>
  </si>
  <si>
    <t>Spacer</t>
  </si>
  <si>
    <t>% of total</t>
  </si>
  <si>
    <t>All rentals</t>
  </si>
  <si>
    <t>Working-day rentals</t>
  </si>
  <si>
    <t>Working-day peak hours</t>
  </si>
  <si>
    <t>…by registered riders</t>
  </si>
  <si>
    <t>NextHikes IT Solutions  | Data Analysis with Excel</t>
  </si>
  <si>
    <t>Row Labels</t>
  </si>
  <si>
    <t>Grand Total</t>
  </si>
  <si>
    <t>Sum of casual</t>
  </si>
  <si>
    <t>Sum of registered</t>
  </si>
  <si>
    <t>Sum of cnt</t>
  </si>
  <si>
    <t>Sum of Casual Share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</si>
</sst>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dd\-mmm\-yyyy"/>
    <numFmt numFmtId="165" formatCode="dd\-mmm\-yy\ hh:mm"/>
    <numFmt numFmtId="166" formatCode="0.0%"/>
    <numFmt numFmtId="167" formatCode="0.0"/>
    <numFmt numFmtId="168" formatCode="0.000"/>
    <numFmt numFmtId="169" formatCode="dd\-mmm\ hh:mm"/>
    <numFmt numFmtId="170" formatCode="#,##0.0"/>
  </numFmts>
  <fonts count="30" x14ac:knownFonts="1">
    <font>
      <sz val="11"/>
      <color theme="1"/>
      <name val="Calibri"/>
      <family val="2"/>
      <scheme val="minor"/>
    </font>
    <font>
      <b/>
      <sz val="16"/>
      <color rgb="FF1F3A5F"/>
      <name val="Arial"/>
      <family val="2"/>
    </font>
    <font>
      <i/>
      <sz val="10"/>
      <color rgb="FF6B7785"/>
      <name val="Arial"/>
      <family val="2"/>
    </font>
    <font>
      <b/>
      <sz val="10"/>
      <color rgb="FFFFFFFF"/>
      <name val="Arial"/>
      <family val="2"/>
    </font>
    <font>
      <sz val="10"/>
      <color rgb="FF0000FF"/>
      <name val="Arial"/>
      <family val="2"/>
    </font>
    <font>
      <sz val="10"/>
      <color rgb="FF008000"/>
      <name val="Arial"/>
      <family val="2"/>
    </font>
    <font>
      <sz val="9"/>
      <color rgb="FF6B7785"/>
      <name val="Arial"/>
      <family val="2"/>
    </font>
    <font>
      <b/>
      <sz val="10"/>
      <color rgb="FF1F3A5F"/>
      <name val="Arial"/>
      <family val="2"/>
    </font>
    <font>
      <b/>
      <sz val="12"/>
      <color rgb="FF1F3A5F"/>
      <name val="Arial"/>
      <family val="2"/>
    </font>
    <font>
      <b/>
      <sz val="10"/>
      <color rgb="FF1B1F24"/>
      <name val="Arial"/>
      <family val="2"/>
    </font>
    <font>
      <b/>
      <sz val="10"/>
      <color rgb="FF0000FF"/>
      <name val="Arial"/>
      <family val="2"/>
    </font>
    <font>
      <b/>
      <sz val="11"/>
      <color rgb="FF1F3A5F"/>
      <name val="Arial"/>
      <family val="2"/>
    </font>
    <font>
      <b/>
      <sz val="18"/>
      <color rgb="FFFFFFFF"/>
      <name val="Arial"/>
      <family val="2"/>
    </font>
    <font>
      <i/>
      <sz val="9"/>
      <color rgb="FFDDE6EE"/>
      <name val="Arial"/>
      <family val="2"/>
    </font>
    <font>
      <b/>
      <sz val="7"/>
      <color rgb="FF6B7785"/>
      <name val="Arial"/>
      <family val="2"/>
    </font>
    <font>
      <i/>
      <sz val="7"/>
      <color rgb="FF6B7785"/>
      <name val="Arial"/>
      <family val="2"/>
    </font>
    <font>
      <b/>
      <sz val="16"/>
      <color rgb="FF2A9D8F"/>
      <name val="Arial"/>
      <family val="2"/>
    </font>
    <font>
      <b/>
      <sz val="16"/>
      <color rgb="FFE76F51"/>
      <name val="Arial"/>
      <family val="2"/>
    </font>
    <font>
      <b/>
      <sz val="16"/>
      <color rgb="FF606C76"/>
      <name val="Arial"/>
      <family val="2"/>
    </font>
    <font>
      <b/>
      <sz val="7"/>
      <color rgb="FF1F3A5F"/>
      <name val="Arial"/>
      <family val="2"/>
    </font>
    <font>
      <b/>
      <sz val="8"/>
      <color rgb="FF1F3A5F"/>
      <name val="Arial"/>
      <family val="2"/>
    </font>
    <font>
      <sz val="7"/>
      <color rgb="FF1B1F24"/>
      <name val="Arial"/>
      <family val="2"/>
    </font>
    <font>
      <b/>
      <sz val="10"/>
      <color rgb="FFE76F51"/>
      <name val="Arial"/>
      <family val="2"/>
    </font>
    <font>
      <b/>
      <sz val="8"/>
      <color rgb="FFFFFFFF"/>
      <name val="Arial"/>
      <family val="2"/>
    </font>
    <font>
      <sz val="8"/>
      <color rgb="FF1B1F24"/>
      <name val="Arial"/>
      <family val="2"/>
    </font>
    <font>
      <b/>
      <sz val="13"/>
      <color rgb="FF1F3A5F"/>
      <name val="Arial"/>
      <family val="2"/>
    </font>
    <font>
      <b/>
      <sz val="22"/>
      <color rgb="FFFFFFFF"/>
      <name val="Arial"/>
      <family val="2"/>
    </font>
    <font>
      <sz val="11"/>
      <color rgb="FFDDE6EE"/>
      <name val="Arial"/>
      <family val="2"/>
    </font>
    <font>
      <u/>
      <sz val="10"/>
      <color rgb="FF1F5FAD"/>
      <name val="Arial"/>
      <family val="2"/>
    </font>
    <font>
      <sz val="11"/>
      <color rgb="FF000000"/>
      <name val="Calibri"/>
      <family val="2"/>
    </font>
  </fonts>
  <fills count="10">
    <fill>
      <patternFill patternType="none"/>
    </fill>
    <fill>
      <patternFill patternType="gray125"/>
    </fill>
    <fill>
      <patternFill patternType="solid">
        <fgColor rgb="FF1F3A5F"/>
        <bgColor rgb="FF1F3A5F"/>
      </patternFill>
    </fill>
    <fill>
      <patternFill patternType="solid">
        <fgColor rgb="FFE9C46A"/>
        <bgColor rgb="FFE9C46A"/>
      </patternFill>
    </fill>
    <fill>
      <patternFill patternType="solid">
        <fgColor rgb="FFFFF2CC"/>
        <bgColor rgb="FFFFF2CC"/>
      </patternFill>
    </fill>
    <fill>
      <patternFill patternType="solid">
        <fgColor rgb="FF2A9D8F"/>
        <bgColor rgb="FF2A9D8F"/>
      </patternFill>
    </fill>
    <fill>
      <patternFill patternType="solid">
        <fgColor rgb="FFFDEBD0"/>
        <bgColor rgb="FFFDEBD0"/>
      </patternFill>
    </fill>
    <fill>
      <patternFill patternType="solid">
        <fgColor rgb="FFF4F6F8"/>
        <bgColor rgb="FFF4F6F8"/>
      </patternFill>
    </fill>
    <fill>
      <patternFill patternType="solid">
        <fgColor rgb="FFFFFFFF"/>
        <bgColor rgb="FFFFFFFF"/>
      </patternFill>
    </fill>
    <fill>
      <patternFill patternType="solid">
        <fgColor rgb="FFE76F51"/>
        <bgColor rgb="FFE76F51"/>
      </patternFill>
    </fill>
  </fills>
  <borders count="29">
    <border>
      <left/>
      <right/>
      <top/>
      <bottom/>
      <diagonal/>
    </border>
    <border>
      <left style="thin">
        <color rgb="FFD0D7DE"/>
      </left>
      <right style="thin">
        <color rgb="FFD0D7DE"/>
      </right>
      <top style="thin">
        <color rgb="FFD0D7DE"/>
      </top>
      <bottom style="thin">
        <color rgb="FFD0D7DE"/>
      </bottom>
      <diagonal/>
    </border>
    <border>
      <left style="thin">
        <color rgb="FFD0D7DE"/>
      </left>
      <right/>
      <top style="thin">
        <color rgb="FFD0D7DE"/>
      </top>
      <bottom style="medium">
        <color rgb="FFE76F51"/>
      </bottom>
      <diagonal/>
    </border>
    <border>
      <left/>
      <right/>
      <top style="thin">
        <color rgb="FFD0D7DE"/>
      </top>
      <bottom style="medium">
        <color rgb="FFE76F51"/>
      </bottom>
      <diagonal/>
    </border>
    <border>
      <left/>
      <right style="thin">
        <color rgb="FFD0D7DE"/>
      </right>
      <top style="thin">
        <color rgb="FFD0D7DE"/>
      </top>
      <bottom style="medium">
        <color rgb="FFE76F51"/>
      </bottom>
      <diagonal/>
    </border>
    <border>
      <left style="thick">
        <color rgb="FF1F3A5F"/>
      </left>
      <right/>
      <top/>
      <bottom/>
      <diagonal/>
    </border>
    <border>
      <left style="thick">
        <color rgb="FF1F3A5F"/>
      </left>
      <right/>
      <top/>
      <bottom/>
      <diagonal/>
    </border>
    <border>
      <left style="thick">
        <color rgb="FF2A9D8F"/>
      </left>
      <right/>
      <top/>
      <bottom/>
      <diagonal/>
    </border>
    <border>
      <left style="thick">
        <color rgb="FF2A9D8F"/>
      </left>
      <right/>
      <top/>
      <bottom/>
      <diagonal/>
    </border>
    <border>
      <left style="thick">
        <color rgb="FFE76F51"/>
      </left>
      <right/>
      <top/>
      <bottom/>
      <diagonal/>
    </border>
    <border>
      <left style="thick">
        <color rgb="FFE76F51"/>
      </left>
      <right/>
      <top/>
      <bottom/>
      <diagonal/>
    </border>
    <border>
      <left style="thick">
        <color rgb="FF606C76"/>
      </left>
      <right/>
      <top/>
      <bottom/>
      <diagonal/>
    </border>
    <border>
      <left style="thick">
        <color rgb="FF606C76"/>
      </left>
      <right/>
      <top/>
      <bottom/>
      <diagonal/>
    </border>
    <border>
      <left style="thin">
        <color rgb="FFFFFFFF"/>
      </left>
      <right style="thin">
        <color rgb="FFFFFFFF"/>
      </right>
      <top style="thin">
        <color rgb="FFFFFFFF"/>
      </top>
      <bottom style="thin">
        <color rgb="FFFFFFFF"/>
      </bottom>
      <diagonal/>
    </border>
    <border>
      <left/>
      <right/>
      <top/>
      <bottom style="hair">
        <color rgb="FFD0D7DE"/>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133">
    <xf numFmtId="0" fontId="0" fillId="0" borderId="0" xfId="0"/>
    <xf numFmtId="0" fontId="0" fillId="2" borderId="0" xfId="0" applyFill="1"/>
    <xf numFmtId="0" fontId="26" fillId="2" borderId="0" xfId="0" applyFont="1" applyFill="1"/>
    <xf numFmtId="0" fontId="27" fillId="2" borderId="0" xfId="0" applyFont="1" applyFill="1"/>
    <xf numFmtId="0" fontId="13" fillId="2" borderId="0" xfId="0" applyFont="1" applyFill="1"/>
    <xf numFmtId="0" fontId="8" fillId="0" borderId="0" xfId="0" applyFont="1"/>
    <xf numFmtId="0" fontId="0" fillId="0" borderId="0" xfId="0" applyAlignment="1">
      <alignment horizontal="left" vertical="center" wrapText="1"/>
    </xf>
    <xf numFmtId="0" fontId="28" fillId="0" borderId="14" xfId="0" applyFont="1" applyBorder="1"/>
    <xf numFmtId="0" fontId="0" fillId="0" borderId="14" xfId="0" applyBorder="1" applyAlignment="1">
      <alignment horizontal="left" vertical="center" wrapText="1"/>
    </xf>
    <xf numFmtId="0" fontId="0" fillId="7" borderId="0" xfId="0" applyFill="1"/>
    <xf numFmtId="0" fontId="14" fillId="7" borderId="0" xfId="0" applyFont="1" applyFill="1"/>
    <xf numFmtId="0" fontId="0" fillId="8" borderId="5" xfId="0" applyFill="1" applyBorder="1"/>
    <xf numFmtId="0" fontId="0" fillId="8" borderId="7" xfId="0" applyFill="1" applyBorder="1"/>
    <xf numFmtId="0" fontId="0" fillId="8" borderId="9" xfId="0" applyFill="1" applyBorder="1"/>
    <xf numFmtId="0" fontId="0" fillId="8" borderId="11" xfId="0" applyFill="1" applyBorder="1"/>
    <xf numFmtId="0" fontId="7" fillId="8" borderId="0" xfId="0" applyFont="1" applyFill="1"/>
    <xf numFmtId="0" fontId="0" fillId="8" borderId="0" xfId="0" applyFill="1"/>
    <xf numFmtId="0" fontId="14" fillId="8" borderId="0" xfId="0" applyFont="1" applyFill="1"/>
    <xf numFmtId="0" fontId="19" fillId="8" borderId="0" xfId="0" applyFont="1" applyFill="1" applyAlignment="1">
      <alignment horizontal="center" vertical="center" wrapText="1"/>
    </xf>
    <xf numFmtId="0" fontId="20" fillId="8" borderId="0" xfId="0" applyFont="1" applyFill="1" applyAlignment="1">
      <alignment horizontal="center" vertical="center" wrapText="1"/>
    </xf>
    <xf numFmtId="1" fontId="21" fillId="8" borderId="13" xfId="0" applyNumberFormat="1" applyFont="1" applyFill="1" applyBorder="1" applyAlignment="1">
      <alignment horizontal="center" vertical="center" wrapText="1"/>
    </xf>
    <xf numFmtId="0" fontId="22" fillId="8" borderId="0" xfId="0" applyFont="1" applyFill="1"/>
    <xf numFmtId="0" fontId="23" fillId="9" borderId="0" xfId="0" applyFont="1" applyFill="1" applyAlignment="1">
      <alignment horizontal="center" vertical="center" wrapText="1"/>
    </xf>
    <xf numFmtId="0" fontId="23" fillId="2" borderId="0" xfId="0" applyFont="1" applyFill="1" applyAlignment="1">
      <alignment horizontal="center" vertical="center" wrapText="1"/>
    </xf>
    <xf numFmtId="0" fontId="1" fillId="0" borderId="0" xfId="0" applyFont="1"/>
    <xf numFmtId="0" fontId="2" fillId="0" borderId="0" xfId="0" applyFont="1"/>
    <xf numFmtId="0" fontId="25" fillId="0" borderId="0" xfId="0" applyFont="1"/>
    <xf numFmtId="0" fontId="22" fillId="0" borderId="0" xfId="0" applyFont="1" applyAlignment="1">
      <alignment horizontal="center" vertical="top"/>
    </xf>
    <xf numFmtId="0" fontId="0" fillId="0" borderId="0" xfId="0" applyAlignment="1">
      <alignment horizontal="left" vertical="top" wrapText="1"/>
    </xf>
    <xf numFmtId="0" fontId="3" fillId="2" borderId="1" xfId="0" applyFont="1" applyFill="1" applyBorder="1" applyAlignment="1">
      <alignment horizontal="center" vertical="center" wrapText="1"/>
    </xf>
    <xf numFmtId="0" fontId="0" fillId="0" borderId="1" xfId="0" applyBorder="1" applyAlignment="1">
      <alignment horizontal="center" vertical="center" wrapText="1"/>
    </xf>
    <xf numFmtId="167" fontId="0" fillId="0" borderId="1" xfId="0" applyNumberFormat="1" applyBorder="1"/>
    <xf numFmtId="3" fontId="0" fillId="0" borderId="1" xfId="0" applyNumberFormat="1" applyBorder="1"/>
    <xf numFmtId="166" fontId="0" fillId="0" borderId="1" xfId="0" applyNumberFormat="1" applyBorder="1"/>
    <xf numFmtId="16" fontId="0" fillId="0" borderId="1" xfId="0" applyNumberFormat="1" applyBorder="1"/>
    <xf numFmtId="0" fontId="0" fillId="0" borderId="1" xfId="0" applyBorder="1"/>
    <xf numFmtId="3" fontId="0" fillId="0" borderId="1" xfId="0" applyNumberFormat="1" applyBorder="1" applyAlignment="1">
      <alignment horizontal="right"/>
    </xf>
    <xf numFmtId="0" fontId="6" fillId="0" borderId="1" xfId="0" applyFont="1" applyBorder="1"/>
    <xf numFmtId="2" fontId="0" fillId="0" borderId="1" xfId="0" applyNumberFormat="1" applyBorder="1" applyAlignment="1">
      <alignment horizontal="right"/>
    </xf>
    <xf numFmtId="0" fontId="0" fillId="0" borderId="1" xfId="0" applyBorder="1" applyAlignment="1">
      <alignment horizontal="right"/>
    </xf>
    <xf numFmtId="164" fontId="0" fillId="0" borderId="1" xfId="0" applyNumberFormat="1" applyBorder="1"/>
    <xf numFmtId="166" fontId="0" fillId="0" borderId="1" xfId="0" applyNumberFormat="1" applyBorder="1" applyAlignment="1">
      <alignment horizontal="right"/>
    </xf>
    <xf numFmtId="167" fontId="0" fillId="0" borderId="1" xfId="0" applyNumberFormat="1" applyBorder="1" applyAlignment="1">
      <alignment horizontal="right"/>
    </xf>
    <xf numFmtId="168" fontId="0" fillId="0" borderId="1" xfId="0" applyNumberFormat="1" applyBorder="1" applyAlignment="1">
      <alignment horizontal="right"/>
    </xf>
    <xf numFmtId="0" fontId="7" fillId="0" borderId="0" xfId="0" applyFont="1"/>
    <xf numFmtId="0" fontId="9" fillId="0" borderId="1" xfId="0" applyFont="1" applyBorder="1"/>
    <xf numFmtId="168" fontId="0" fillId="0" borderId="1" xfId="0" applyNumberFormat="1" applyBorder="1"/>
    <xf numFmtId="2" fontId="0" fillId="0" borderId="1" xfId="0" applyNumberFormat="1" applyBorder="1"/>
    <xf numFmtId="1" fontId="0" fillId="0" borderId="1" xfId="0" applyNumberFormat="1" applyBorder="1"/>
    <xf numFmtId="0" fontId="3" fillId="2" borderId="1" xfId="0" applyFont="1" applyFill="1" applyBorder="1"/>
    <xf numFmtId="2" fontId="0" fillId="0" borderId="1" xfId="0" applyNumberFormat="1" applyBorder="1" applyAlignment="1">
      <alignment horizontal="center" vertical="center" wrapText="1"/>
    </xf>
    <xf numFmtId="0" fontId="10" fillId="4" borderId="1" xfId="0" applyFont="1" applyFill="1" applyBorder="1"/>
    <xf numFmtId="166" fontId="9" fillId="0" borderId="1" xfId="0" applyNumberFormat="1" applyFont="1" applyBorder="1"/>
    <xf numFmtId="15" fontId="0" fillId="0" borderId="0" xfId="0" applyNumberFormat="1"/>
    <xf numFmtId="167" fontId="0" fillId="0" borderId="0" xfId="0" applyNumberFormat="1"/>
    <xf numFmtId="2" fontId="0" fillId="0" borderId="0" xfId="0" applyNumberFormat="1"/>
    <xf numFmtId="169" fontId="0" fillId="0" borderId="0" xfId="0" applyNumberFormat="1"/>
    <xf numFmtId="169" fontId="0" fillId="6" borderId="0" xfId="0" applyNumberFormat="1" applyFill="1"/>
    <xf numFmtId="0" fontId="0" fillId="6" borderId="0" xfId="0" applyFill="1"/>
    <xf numFmtId="1" fontId="0" fillId="6" borderId="0" xfId="0" applyNumberFormat="1" applyFill="1"/>
    <xf numFmtId="0" fontId="3" fillId="5" borderId="1" xfId="0" applyFont="1" applyFill="1" applyBorder="1" applyAlignment="1">
      <alignment horizontal="center" vertical="center" wrapText="1"/>
    </xf>
    <xf numFmtId="164" fontId="0" fillId="0" borderId="0" xfId="0" applyNumberFormat="1"/>
    <xf numFmtId="165" fontId="0" fillId="0" borderId="0" xfId="0" applyNumberFormat="1"/>
    <xf numFmtId="166" fontId="0" fillId="0" borderId="0" xfId="0" applyNumberFormat="1"/>
    <xf numFmtId="0" fontId="5" fillId="4" borderId="0" xfId="0" applyFont="1" applyFill="1"/>
    <xf numFmtId="0" fontId="9" fillId="0" borderId="1" xfId="0" applyFont="1" applyBorder="1" applyAlignment="1">
      <alignment horizontal="left" vertical="center" wrapText="1"/>
    </xf>
    <xf numFmtId="0" fontId="0" fillId="0" borderId="1" xfId="0" applyBorder="1" applyAlignment="1">
      <alignment horizontal="left" vertical="center" wrapText="1"/>
    </xf>
    <xf numFmtId="170" fontId="0" fillId="0" borderId="1" xfId="0" applyNumberFormat="1" applyBorder="1"/>
    <xf numFmtId="0" fontId="3" fillId="3" borderId="1" xfId="0" applyFont="1" applyFill="1" applyBorder="1" applyAlignment="1">
      <alignment horizontal="center" vertical="center" wrapText="1"/>
    </xf>
    <xf numFmtId="0" fontId="4" fillId="0" borderId="1" xfId="0" applyFont="1" applyBorder="1"/>
    <xf numFmtId="0" fontId="0" fillId="0" borderId="15" xfId="0" applyBorder="1"/>
    <xf numFmtId="3" fontId="0" fillId="0" borderId="15" xfId="0" applyNumberFormat="1" applyBorder="1"/>
    <xf numFmtId="167" fontId="0" fillId="0" borderId="15" xfId="0" applyNumberFormat="1" applyBorder="1"/>
    <xf numFmtId="0" fontId="0" fillId="0" borderId="16" xfId="0" applyBorder="1"/>
    <xf numFmtId="0" fontId="0" fillId="0" borderId="17" xfId="0" applyBorder="1"/>
    <xf numFmtId="164" fontId="0" fillId="0" borderId="17" xfId="0" applyNumberFormat="1" applyBorder="1"/>
    <xf numFmtId="0" fontId="0" fillId="0" borderId="18" xfId="0" applyBorder="1"/>
    <xf numFmtId="164" fontId="0" fillId="0" borderId="19" xfId="0" applyNumberFormat="1" applyBorder="1"/>
    <xf numFmtId="0" fontId="0" fillId="0" borderId="20" xfId="0" applyBorder="1"/>
    <xf numFmtId="0" fontId="0" fillId="0" borderId="21" xfId="0" applyBorder="1"/>
    <xf numFmtId="3" fontId="0" fillId="0" borderId="17" xfId="0" applyNumberFormat="1" applyBorder="1"/>
    <xf numFmtId="167" fontId="0" fillId="0" borderId="17" xfId="0" applyNumberFormat="1" applyBorder="1"/>
    <xf numFmtId="166" fontId="0" fillId="0" borderId="17" xfId="0" applyNumberFormat="1" applyBorder="1"/>
    <xf numFmtId="3" fontId="0" fillId="0" borderId="19" xfId="0" applyNumberFormat="1" applyBorder="1"/>
    <xf numFmtId="167" fontId="0" fillId="0" borderId="24" xfId="0" applyNumberFormat="1" applyBorder="1"/>
    <xf numFmtId="0" fontId="0" fillId="0" borderId="24" xfId="0" applyBorder="1"/>
    <xf numFmtId="0" fontId="0" fillId="0" borderId="19" xfId="0" applyBorder="1"/>
    <xf numFmtId="9" fontId="0" fillId="0" borderId="17" xfId="0" applyNumberFormat="1" applyBorder="1"/>
    <xf numFmtId="3" fontId="0" fillId="0" borderId="24" xfId="0" applyNumberFormat="1" applyBorder="1"/>
    <xf numFmtId="9" fontId="0" fillId="0" borderId="19" xfId="0" applyNumberFormat="1" applyBorder="1"/>
    <xf numFmtId="167" fontId="0" fillId="0" borderId="19" xfId="0" applyNumberFormat="1" applyBorder="1"/>
    <xf numFmtId="16" fontId="0" fillId="0" borderId="16" xfId="0" applyNumberFormat="1" applyBorder="1"/>
    <xf numFmtId="16" fontId="0" fillId="0" borderId="18" xfId="0" applyNumberFormat="1" applyBorder="1"/>
    <xf numFmtId="3" fontId="0" fillId="0" borderId="21" xfId="0" applyNumberFormat="1" applyBorder="1"/>
    <xf numFmtId="3" fontId="0" fillId="0" borderId="25" xfId="0" applyNumberFormat="1" applyBorder="1"/>
    <xf numFmtId="9" fontId="0" fillId="0" borderId="21" xfId="0" applyNumberFormat="1" applyBorder="1"/>
    <xf numFmtId="0" fontId="3" fillId="2" borderId="26" xfId="0" applyFont="1" applyFill="1" applyBorder="1" applyAlignment="1">
      <alignment horizontal="center" vertical="center" wrapText="1"/>
    </xf>
    <xf numFmtId="0" fontId="3" fillId="2" borderId="27" xfId="0" applyFont="1" applyFill="1" applyBorder="1" applyAlignment="1">
      <alignment horizontal="center" vertical="center" wrapText="1"/>
    </xf>
    <xf numFmtId="0" fontId="3" fillId="2" borderId="28" xfId="0" applyFont="1" applyFill="1" applyBorder="1" applyAlignment="1">
      <alignment horizontal="center" vertical="center" wrapText="1"/>
    </xf>
    <xf numFmtId="167" fontId="0" fillId="0" borderId="25" xfId="0" applyNumberFormat="1" applyBorder="1"/>
    <xf numFmtId="0" fontId="0" fillId="0" borderId="25" xfId="0" applyBorder="1"/>
    <xf numFmtId="167" fontId="0" fillId="0" borderId="21" xfId="0" applyNumberFormat="1" applyBorder="1"/>
    <xf numFmtId="16" fontId="0" fillId="0" borderId="20" xfId="0" applyNumberFormat="1" applyBorder="1"/>
    <xf numFmtId="0" fontId="13" fillId="2" borderId="0" xfId="0" applyFont="1" applyFill="1" applyAlignment="1">
      <alignment horizontal="left" vertical="center" indent="1"/>
    </xf>
    <xf numFmtId="0" fontId="0" fillId="0" borderId="0" xfId="0"/>
    <xf numFmtId="3" fontId="17" fillId="8" borderId="0" xfId="0" applyNumberFormat="1" applyFont="1" applyFill="1" applyAlignment="1">
      <alignment horizontal="right" vertical="center" indent="1"/>
    </xf>
    <xf numFmtId="0" fontId="15" fillId="8" borderId="12" xfId="0" applyFont="1" applyFill="1" applyBorder="1" applyAlignment="1">
      <alignment horizontal="right" vertical="top" indent="1" shrinkToFit="1"/>
    </xf>
    <xf numFmtId="0" fontId="24" fillId="8" borderId="0" xfId="0" applyFont="1" applyFill="1" applyAlignment="1">
      <alignment horizontal="left" vertical="center" indent="1" shrinkToFit="1"/>
    </xf>
    <xf numFmtId="0" fontId="14" fillId="8" borderId="0" xfId="0" applyFont="1" applyFill="1" applyAlignment="1">
      <alignment horizontal="right" indent="1"/>
    </xf>
    <xf numFmtId="0" fontId="7" fillId="8" borderId="2" xfId="0" applyFont="1" applyFill="1" applyBorder="1" applyAlignment="1">
      <alignment horizontal="center" vertical="center" wrapText="1"/>
    </xf>
    <xf numFmtId="0" fontId="0" fillId="8" borderId="3" xfId="0" applyFill="1" applyBorder="1"/>
    <xf numFmtId="0" fontId="0" fillId="8" borderId="4" xfId="0" applyFill="1" applyBorder="1"/>
    <xf numFmtId="3" fontId="16" fillId="8" borderId="0" xfId="0" applyNumberFormat="1" applyFont="1" applyFill="1" applyAlignment="1">
      <alignment horizontal="right" vertical="center" indent="1"/>
    </xf>
    <xf numFmtId="9" fontId="17" fillId="8" borderId="0" xfId="0" applyNumberFormat="1" applyFont="1" applyFill="1" applyAlignment="1">
      <alignment horizontal="right" vertical="center" indent="1"/>
    </xf>
    <xf numFmtId="164" fontId="7" fillId="8" borderId="2" xfId="0" applyNumberFormat="1" applyFont="1" applyFill="1" applyBorder="1" applyAlignment="1">
      <alignment horizontal="center" vertical="center" wrapText="1"/>
    </xf>
    <xf numFmtId="49" fontId="16" fillId="8" borderId="0" xfId="0" applyNumberFormat="1" applyFont="1" applyFill="1" applyAlignment="1">
      <alignment horizontal="right" vertical="center" indent="1"/>
    </xf>
    <xf numFmtId="167" fontId="18" fillId="8" borderId="0" xfId="0" applyNumberFormat="1" applyFont="1" applyFill="1" applyAlignment="1">
      <alignment horizontal="right" vertical="center" indent="1"/>
    </xf>
    <xf numFmtId="0" fontId="15" fillId="8" borderId="6" xfId="0" applyFont="1" applyFill="1" applyBorder="1" applyAlignment="1">
      <alignment horizontal="right" vertical="top" indent="1" shrinkToFit="1"/>
    </xf>
    <xf numFmtId="0" fontId="15" fillId="8" borderId="8" xfId="0" applyFont="1" applyFill="1" applyBorder="1" applyAlignment="1">
      <alignment horizontal="right" vertical="top" indent="1" shrinkToFit="1"/>
    </xf>
    <xf numFmtId="1" fontId="18" fillId="8" borderId="0" xfId="0" applyNumberFormat="1" applyFont="1" applyFill="1" applyAlignment="1">
      <alignment horizontal="right" vertical="center" indent="1"/>
    </xf>
    <xf numFmtId="0" fontId="15" fillId="8" borderId="10" xfId="0" applyFont="1" applyFill="1" applyBorder="1" applyAlignment="1">
      <alignment horizontal="right" vertical="top" indent="1" shrinkToFit="1"/>
    </xf>
    <xf numFmtId="0" fontId="15" fillId="7" borderId="0" xfId="0" applyFont="1" applyFill="1" applyAlignment="1">
      <alignment horizontal="left" vertical="center" wrapText="1"/>
    </xf>
    <xf numFmtId="0" fontId="12" fillId="2" borderId="0" xfId="0" applyFont="1" applyFill="1" applyAlignment="1">
      <alignment horizontal="left" vertical="center" indent="1"/>
    </xf>
    <xf numFmtId="0" fontId="15" fillId="8" borderId="0" xfId="0" applyFont="1" applyFill="1" applyAlignment="1">
      <alignment horizontal="center" vertical="center" wrapText="1"/>
    </xf>
    <xf numFmtId="0" fontId="15" fillId="7" borderId="0" xfId="0" applyFont="1" applyFill="1" applyAlignment="1">
      <alignment horizontal="center" vertical="center" wrapText="1"/>
    </xf>
    <xf numFmtId="49" fontId="1" fillId="8" borderId="0" xfId="0" applyNumberFormat="1" applyFont="1" applyFill="1" applyAlignment="1">
      <alignment horizontal="right" vertical="center" indent="1"/>
    </xf>
    <xf numFmtId="3" fontId="1" fillId="8" borderId="0" xfId="0" applyNumberFormat="1" applyFont="1" applyFill="1" applyAlignment="1">
      <alignment horizontal="right" vertical="center" indent="1"/>
    </xf>
    <xf numFmtId="0" fontId="0" fillId="0" borderId="0" xfId="0" applyAlignment="1">
      <alignment horizontal="left" vertical="center" wrapText="1"/>
    </xf>
    <xf numFmtId="0" fontId="11" fillId="0" borderId="22" xfId="0" applyFont="1" applyBorder="1" applyAlignment="1">
      <alignment horizontal="left"/>
    </xf>
    <xf numFmtId="0" fontId="11" fillId="0" borderId="23" xfId="0" applyFont="1" applyBorder="1" applyAlignment="1">
      <alignment horizontal="left"/>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8">
    <dxf>
      <fill>
        <patternFill patternType="solid">
          <fgColor rgb="FFD8F3DC"/>
          <bgColor rgb="FFD8F3DC"/>
        </patternFill>
      </fill>
    </dxf>
    <dxf>
      <fill>
        <patternFill patternType="solid">
          <fgColor rgb="FFFFADAD"/>
          <bgColor rgb="FFFFADAD"/>
        </patternFill>
      </fill>
    </dxf>
    <dxf>
      <font>
        <b/>
        <color rgb="FFC0392B"/>
        <name val="Arial"/>
      </font>
    </dxf>
    <dxf>
      <fill>
        <patternFill patternType="solid">
          <fgColor rgb="FFFFADAD"/>
          <bgColor rgb="FFFFADAD"/>
        </patternFill>
      </fill>
    </dxf>
    <dxf>
      <fill>
        <patternFill patternType="solid">
          <fgColor rgb="FFFFD6A5"/>
          <bgColor rgb="FFFFD6A5"/>
        </patternFill>
      </fill>
    </dxf>
    <dxf>
      <fill>
        <patternFill patternType="solid">
          <fgColor rgb="FFFFF3B0"/>
          <bgColor rgb="FFFFF3B0"/>
        </patternFill>
      </fill>
    </dxf>
    <dxf>
      <fill>
        <patternFill patternType="solid">
          <fgColor rgb="FFD8F3DC"/>
          <bgColor rgb="FFD8F3DC"/>
        </patternFill>
      </fill>
    </dxf>
    <dxf>
      <fill>
        <patternFill patternType="solid">
          <fgColor rgb="FFFFD6C9"/>
          <bgColor rgb="FFFFD6C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11/relationships/timelineCache" Target="timelineCaches/timeline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lineChart>
        <c:grouping val="standard"/>
        <c:varyColors val="1"/>
        <c:ser>
          <c:idx val="0"/>
          <c:order val="0"/>
          <c:tx>
            <c:strRef>
              <c:f>Dashboard_Calc!$B$33</c:f>
              <c:strCache>
                <c:ptCount val="1"/>
                <c:pt idx="0">
                  <c:v>Avg Casual</c:v>
                </c:pt>
              </c:strCache>
            </c:strRef>
          </c:tx>
          <c:spPr>
            <a:ln w="22000">
              <a:solidFill>
                <a:srgbClr val="9AA5B1"/>
              </a:solidFill>
              <a:prstDash val="solid"/>
            </a:ln>
          </c:spPr>
          <c:marker>
            <c:symbol val="none"/>
          </c:marker>
          <c:cat>
            <c:numRef>
              <c:f>Dashboard_Calc!$A$34:$A$57</c:f>
              <c:numCache>
                <c:formatCode>General</c:formatCod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numCache>
            </c:numRef>
          </c:cat>
          <c:val>
            <c:numRef>
              <c:f>Dashboard_Calc!$B$34:$B$57</c:f>
              <c:numCache>
                <c:formatCode>0.0</c:formatCode>
                <c:ptCount val="24"/>
                <c:pt idx="0">
                  <c:v>1.7209302325581395</c:v>
                </c:pt>
                <c:pt idx="1">
                  <c:v>1.1162790697674418</c:v>
                </c:pt>
                <c:pt idx="2">
                  <c:v>0.80487804878048785</c:v>
                </c:pt>
                <c:pt idx="3">
                  <c:v>1.096774193548387</c:v>
                </c:pt>
                <c:pt idx="4">
                  <c:v>0.21875</c:v>
                </c:pt>
                <c:pt idx="5">
                  <c:v>7.6923076923076927E-2</c:v>
                </c:pt>
                <c:pt idx="6">
                  <c:v>0.5</c:v>
                </c:pt>
                <c:pt idx="7">
                  <c:v>1.4883720930232558</c:v>
                </c:pt>
                <c:pt idx="8">
                  <c:v>3.0238095238095237</c:v>
                </c:pt>
                <c:pt idx="9">
                  <c:v>4.0952380952380949</c:v>
                </c:pt>
                <c:pt idx="10">
                  <c:v>5.1428571428571432</c:v>
                </c:pt>
                <c:pt idx="11">
                  <c:v>8.7380952380952372</c:v>
                </c:pt>
                <c:pt idx="12">
                  <c:v>11.209302325581396</c:v>
                </c:pt>
                <c:pt idx="13">
                  <c:v>11.930232558139535</c:v>
                </c:pt>
                <c:pt idx="14">
                  <c:v>10.837209302325581</c:v>
                </c:pt>
                <c:pt idx="15">
                  <c:v>12.465116279069768</c:v>
                </c:pt>
                <c:pt idx="16">
                  <c:v>11.204545454545455</c:v>
                </c:pt>
                <c:pt idx="17">
                  <c:v>8.9772727272727266</c:v>
                </c:pt>
                <c:pt idx="18">
                  <c:v>5.1627906976744189</c:v>
                </c:pt>
                <c:pt idx="19">
                  <c:v>4.3488372093023253</c:v>
                </c:pt>
                <c:pt idx="20">
                  <c:v>3.2558139534883721</c:v>
                </c:pt>
                <c:pt idx="21">
                  <c:v>2.7209302325581395</c:v>
                </c:pt>
                <c:pt idx="22">
                  <c:v>2.3953488372093021</c:v>
                </c:pt>
                <c:pt idx="23">
                  <c:v>2.3488372093023258</c:v>
                </c:pt>
              </c:numCache>
            </c:numRef>
          </c:val>
          <c:smooth val="0"/>
          <c:extLst>
            <c:ext xmlns:c16="http://schemas.microsoft.com/office/drawing/2014/chart" uri="{C3380CC4-5D6E-409C-BE32-E72D297353CC}">
              <c16:uniqueId val="{00000000-2699-7243-B747-3188EBF588E5}"/>
            </c:ext>
          </c:extLst>
        </c:ser>
        <c:ser>
          <c:idx val="1"/>
          <c:order val="1"/>
          <c:tx>
            <c:strRef>
              <c:f>Dashboard_Calc!$C$33</c:f>
              <c:strCache>
                <c:ptCount val="1"/>
                <c:pt idx="0">
                  <c:v>Avg Registered</c:v>
                </c:pt>
              </c:strCache>
            </c:strRef>
          </c:tx>
          <c:spPr>
            <a:ln w="22000">
              <a:solidFill>
                <a:srgbClr val="2A9D8F"/>
              </a:solidFill>
              <a:prstDash val="solid"/>
            </a:ln>
          </c:spPr>
          <c:marker>
            <c:symbol val="none"/>
          </c:marker>
          <c:cat>
            <c:numRef>
              <c:f>Dashboard_Calc!$A$34:$A$57</c:f>
              <c:numCache>
                <c:formatCode>General</c:formatCod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numCache>
            </c:numRef>
          </c:cat>
          <c:val>
            <c:numRef>
              <c:f>Dashboard_Calc!$C$34:$C$57</c:f>
              <c:numCache>
                <c:formatCode>0.0</c:formatCode>
                <c:ptCount val="24"/>
                <c:pt idx="0">
                  <c:v>14.627906976744185</c:v>
                </c:pt>
                <c:pt idx="1">
                  <c:v>9.5813953488372086</c:v>
                </c:pt>
                <c:pt idx="2">
                  <c:v>6.3658536585365857</c:v>
                </c:pt>
                <c:pt idx="3">
                  <c:v>3.774193548387097</c:v>
                </c:pt>
                <c:pt idx="4">
                  <c:v>1.9375</c:v>
                </c:pt>
                <c:pt idx="5">
                  <c:v>4.1282051282051286</c:v>
                </c:pt>
                <c:pt idx="6">
                  <c:v>19.071428571428573</c:v>
                </c:pt>
                <c:pt idx="7">
                  <c:v>52.906976744186046</c:v>
                </c:pt>
                <c:pt idx="8">
                  <c:v>125.26190476190476</c:v>
                </c:pt>
                <c:pt idx="9">
                  <c:v>83.333333333333329</c:v>
                </c:pt>
                <c:pt idx="10">
                  <c:v>48.5</c:v>
                </c:pt>
                <c:pt idx="11">
                  <c:v>50.642857142857146</c:v>
                </c:pt>
                <c:pt idx="12">
                  <c:v>65.139534883720927</c:v>
                </c:pt>
                <c:pt idx="13">
                  <c:v>66.581395348837205</c:v>
                </c:pt>
                <c:pt idx="14">
                  <c:v>63.581395348837212</c:v>
                </c:pt>
                <c:pt idx="15">
                  <c:v>65.488372093023258</c:v>
                </c:pt>
                <c:pt idx="16">
                  <c:v>78.068181818181813</c:v>
                </c:pt>
                <c:pt idx="17">
                  <c:v>131.22727272727272</c:v>
                </c:pt>
                <c:pt idx="18">
                  <c:v>117.69767441860465</c:v>
                </c:pt>
                <c:pt idx="19">
                  <c:v>80.79069767441861</c:v>
                </c:pt>
                <c:pt idx="20">
                  <c:v>58.511627906976742</c:v>
                </c:pt>
                <c:pt idx="21">
                  <c:v>43.697674418604649</c:v>
                </c:pt>
                <c:pt idx="22">
                  <c:v>32.674418604651166</c:v>
                </c:pt>
                <c:pt idx="23">
                  <c:v>22.837209302325583</c:v>
                </c:pt>
              </c:numCache>
            </c:numRef>
          </c:val>
          <c:smooth val="0"/>
          <c:extLst>
            <c:ext xmlns:c16="http://schemas.microsoft.com/office/drawing/2014/chart" uri="{C3380CC4-5D6E-409C-BE32-E72D297353CC}">
              <c16:uniqueId val="{00000001-2699-7243-B747-3188EBF588E5}"/>
            </c:ext>
          </c:extLst>
        </c:ser>
        <c:ser>
          <c:idx val="2"/>
          <c:order val="2"/>
          <c:tx>
            <c:strRef>
              <c:f>Dashboard_Calc!$D$33</c:f>
              <c:strCache>
                <c:ptCount val="1"/>
                <c:pt idx="0">
                  <c:v>Avg Total</c:v>
                </c:pt>
              </c:strCache>
            </c:strRef>
          </c:tx>
          <c:spPr>
            <a:ln w="22000">
              <a:solidFill>
                <a:srgbClr val="E76F51"/>
              </a:solidFill>
              <a:prstDash val="solid"/>
            </a:ln>
          </c:spPr>
          <c:marker>
            <c:symbol val="none"/>
          </c:marker>
          <c:cat>
            <c:numRef>
              <c:f>Dashboard_Calc!$A$34:$A$57</c:f>
              <c:numCache>
                <c:formatCode>General</c:formatCod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numCache>
            </c:numRef>
          </c:cat>
          <c:val>
            <c:numRef>
              <c:f>Dashboard_Calc!$D$34:$D$57</c:f>
              <c:numCache>
                <c:formatCode>0.0</c:formatCode>
                <c:ptCount val="24"/>
                <c:pt idx="0">
                  <c:v>16.348837209302324</c:v>
                </c:pt>
                <c:pt idx="1">
                  <c:v>10.697674418604651</c:v>
                </c:pt>
                <c:pt idx="2">
                  <c:v>7.1707317073170733</c:v>
                </c:pt>
                <c:pt idx="3">
                  <c:v>4.870967741935484</c:v>
                </c:pt>
                <c:pt idx="4">
                  <c:v>2.15625</c:v>
                </c:pt>
                <c:pt idx="5">
                  <c:v>4.2051282051282053</c:v>
                </c:pt>
                <c:pt idx="6">
                  <c:v>19.571428571428573</c:v>
                </c:pt>
                <c:pt idx="7">
                  <c:v>54.395348837209305</c:v>
                </c:pt>
                <c:pt idx="8">
                  <c:v>128.28571428571428</c:v>
                </c:pt>
                <c:pt idx="9">
                  <c:v>87.428571428571431</c:v>
                </c:pt>
                <c:pt idx="10">
                  <c:v>53.642857142857146</c:v>
                </c:pt>
                <c:pt idx="11">
                  <c:v>59.38095238095238</c:v>
                </c:pt>
                <c:pt idx="12">
                  <c:v>76.348837209302332</c:v>
                </c:pt>
                <c:pt idx="13">
                  <c:v>78.511627906976742</c:v>
                </c:pt>
                <c:pt idx="14">
                  <c:v>74.418604651162795</c:v>
                </c:pt>
                <c:pt idx="15">
                  <c:v>77.95348837209302</c:v>
                </c:pt>
                <c:pt idx="16">
                  <c:v>89.272727272727266</c:v>
                </c:pt>
                <c:pt idx="17">
                  <c:v>140.20454545454547</c:v>
                </c:pt>
                <c:pt idx="18">
                  <c:v>122.86046511627907</c:v>
                </c:pt>
                <c:pt idx="19">
                  <c:v>85.139534883720927</c:v>
                </c:pt>
                <c:pt idx="20">
                  <c:v>61.767441860465119</c:v>
                </c:pt>
                <c:pt idx="21">
                  <c:v>46.418604651162788</c:v>
                </c:pt>
                <c:pt idx="22">
                  <c:v>35.069767441860463</c:v>
                </c:pt>
                <c:pt idx="23">
                  <c:v>25.186046511627907</c:v>
                </c:pt>
              </c:numCache>
            </c:numRef>
          </c:val>
          <c:smooth val="0"/>
          <c:extLst>
            <c:ext xmlns:c16="http://schemas.microsoft.com/office/drawing/2014/chart" uri="{C3380CC4-5D6E-409C-BE32-E72D297353CC}">
              <c16:uniqueId val="{00000002-2699-7243-B747-3188EBF588E5}"/>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tickLblSkip val="2"/>
        <c:noMultiLvlLbl val="1"/>
      </c:catAx>
      <c:valAx>
        <c:axId val="100"/>
        <c:scaling>
          <c:orientation val="minMax"/>
        </c:scaling>
        <c:delete val="0"/>
        <c:axPos val="l"/>
        <c:majorGridlines>
          <c:spPr>
            <a:ln>
              <a:solidFill>
                <a:srgbClr val="E5E8EB"/>
              </a:solidFill>
              <a:prstDash val="solid"/>
            </a:ln>
          </c:spPr>
        </c:majorGridlines>
        <c:numFmt formatCode="#,##0" sourceLinked="0"/>
        <c:majorTickMark val="none"/>
        <c:minorTickMark val="none"/>
        <c:tickLblPos val="nextTo"/>
        <c:crossAx val="10"/>
        <c:crosses val="autoZero"/>
        <c:crossBetween val="between"/>
      </c:valAx>
    </c:plotArea>
    <c:legend>
      <c:legendPos val="b"/>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barChart>
        <c:barDir val="col"/>
        <c:grouping val="clustered"/>
        <c:varyColors val="1"/>
        <c:ser>
          <c:idx val="0"/>
          <c:order val="0"/>
          <c:tx>
            <c:strRef>
              <c:f>Dashboard_Calc!$F$33</c:f>
              <c:strCache>
                <c:ptCount val="1"/>
                <c:pt idx="0">
                  <c:v>Avg Casual</c:v>
                </c:pt>
              </c:strCache>
            </c:strRef>
          </c:tx>
          <c:spPr>
            <a:solidFill>
              <a:srgbClr val="9AA5B1"/>
            </a:solidFill>
            <a:ln>
              <a:solidFill>
                <a:srgbClr val="9AA5B1"/>
              </a:solidFill>
              <a:prstDash val="solid"/>
            </a:ln>
          </c:spPr>
          <c:invertIfNegative val="1"/>
          <c:cat>
            <c:strRef>
              <c:f>Dashboard_Calc!$E$34:$E$40</c:f>
              <c:strCache>
                <c:ptCount val="7"/>
                <c:pt idx="0">
                  <c:v>Mon</c:v>
                </c:pt>
                <c:pt idx="1">
                  <c:v>Tue</c:v>
                </c:pt>
                <c:pt idx="2">
                  <c:v>Wed</c:v>
                </c:pt>
                <c:pt idx="3">
                  <c:v>Thu</c:v>
                </c:pt>
                <c:pt idx="4">
                  <c:v>Fri</c:v>
                </c:pt>
                <c:pt idx="5">
                  <c:v>Sat</c:v>
                </c:pt>
                <c:pt idx="6">
                  <c:v>Sun</c:v>
                </c:pt>
              </c:strCache>
            </c:strRef>
          </c:cat>
          <c:val>
            <c:numRef>
              <c:f>Dashboard_Calc!$F$34:$F$40</c:f>
              <c:numCache>
                <c:formatCode>0.0</c:formatCode>
                <c:ptCount val="7"/>
                <c:pt idx="0">
                  <c:v>3.5838926174496644</c:v>
                </c:pt>
                <c:pt idx="1">
                  <c:v>3.5984251968503935</c:v>
                </c:pt>
                <c:pt idx="2">
                  <c:v>2.6259541984732824</c:v>
                </c:pt>
                <c:pt idx="3">
                  <c:v>2.6560000000000001</c:v>
                </c:pt>
                <c:pt idx="4">
                  <c:v>4</c:v>
                </c:pt>
                <c:pt idx="5">
                  <c:v>7.3795180722891569</c:v>
                </c:pt>
                <c:pt idx="6">
                  <c:v>9.0060975609756095</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AA5B1"/>
                    </a:solidFill>
                    <a:prstDash val="solid"/>
                  </a:ln>
                </c14:spPr>
              </c14:invertSolidFillFmt>
            </c:ext>
            <c:ext xmlns:c16="http://schemas.microsoft.com/office/drawing/2014/chart" uri="{C3380CC4-5D6E-409C-BE32-E72D297353CC}">
              <c16:uniqueId val="{00000000-8C04-104A-803B-D2F68140B2BE}"/>
            </c:ext>
          </c:extLst>
        </c:ser>
        <c:ser>
          <c:idx val="1"/>
          <c:order val="1"/>
          <c:tx>
            <c:strRef>
              <c:f>Dashboard_Calc!$G$33</c:f>
              <c:strCache>
                <c:ptCount val="1"/>
                <c:pt idx="0">
                  <c:v>Avg Registered</c:v>
                </c:pt>
              </c:strCache>
            </c:strRef>
          </c:tx>
          <c:spPr>
            <a:solidFill>
              <a:srgbClr val="2A9D8F"/>
            </a:solidFill>
            <a:ln>
              <a:solidFill>
                <a:srgbClr val="2A9D8F"/>
              </a:solidFill>
              <a:prstDash val="solid"/>
            </a:ln>
          </c:spPr>
          <c:invertIfNegative val="1"/>
          <c:cat>
            <c:strRef>
              <c:f>Dashboard_Calc!$E$34:$E$40</c:f>
              <c:strCache>
                <c:ptCount val="7"/>
                <c:pt idx="0">
                  <c:v>Mon</c:v>
                </c:pt>
                <c:pt idx="1">
                  <c:v>Tue</c:v>
                </c:pt>
                <c:pt idx="2">
                  <c:v>Wed</c:v>
                </c:pt>
                <c:pt idx="3">
                  <c:v>Thu</c:v>
                </c:pt>
                <c:pt idx="4">
                  <c:v>Fri</c:v>
                </c:pt>
                <c:pt idx="5">
                  <c:v>Sat</c:v>
                </c:pt>
                <c:pt idx="6">
                  <c:v>Sun</c:v>
                </c:pt>
              </c:strCache>
            </c:strRef>
          </c:cat>
          <c:val>
            <c:numRef>
              <c:f>Dashboard_Calc!$G$34:$G$40</c:f>
              <c:numCache>
                <c:formatCode>0.0</c:formatCode>
                <c:ptCount val="7"/>
                <c:pt idx="0">
                  <c:v>53.127516778523493</c:v>
                </c:pt>
                <c:pt idx="1">
                  <c:v>62.409448818897637</c:v>
                </c:pt>
                <c:pt idx="2">
                  <c:v>58.81679389312977</c:v>
                </c:pt>
                <c:pt idx="3">
                  <c:v>65.007999999999996</c:v>
                </c:pt>
                <c:pt idx="4">
                  <c:v>61.905797101449274</c:v>
                </c:pt>
                <c:pt idx="5">
                  <c:v>39.295180722891565</c:v>
                </c:pt>
                <c:pt idx="6">
                  <c:v>40.512195121951223</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2A9D8F"/>
                    </a:solidFill>
                    <a:prstDash val="solid"/>
                  </a:ln>
                </c14:spPr>
              </c14:invertSolidFillFmt>
            </c:ext>
            <c:ext xmlns:c16="http://schemas.microsoft.com/office/drawing/2014/chart" uri="{C3380CC4-5D6E-409C-BE32-E72D297353CC}">
              <c16:uniqueId val="{00000001-8C04-104A-803B-D2F68140B2BE}"/>
            </c:ext>
          </c:extLst>
        </c:ser>
        <c:ser>
          <c:idx val="2"/>
          <c:order val="2"/>
          <c:tx>
            <c:strRef>
              <c:f>Dashboard_Calc!$H$33</c:f>
              <c:strCache>
                <c:ptCount val="1"/>
                <c:pt idx="0">
                  <c:v>Avg Total</c:v>
                </c:pt>
              </c:strCache>
            </c:strRef>
          </c:tx>
          <c:spPr>
            <a:solidFill>
              <a:srgbClr val="E76F51"/>
            </a:solidFill>
            <a:ln>
              <a:solidFill>
                <a:srgbClr val="E76F51"/>
              </a:solidFill>
              <a:prstDash val="solid"/>
            </a:ln>
          </c:spPr>
          <c:invertIfNegative val="1"/>
          <c:cat>
            <c:strRef>
              <c:f>Dashboard_Calc!$E$34:$E$40</c:f>
              <c:strCache>
                <c:ptCount val="7"/>
                <c:pt idx="0">
                  <c:v>Mon</c:v>
                </c:pt>
                <c:pt idx="1">
                  <c:v>Tue</c:v>
                </c:pt>
                <c:pt idx="2">
                  <c:v>Wed</c:v>
                </c:pt>
                <c:pt idx="3">
                  <c:v>Thu</c:v>
                </c:pt>
                <c:pt idx="4">
                  <c:v>Fri</c:v>
                </c:pt>
                <c:pt idx="5">
                  <c:v>Sat</c:v>
                </c:pt>
                <c:pt idx="6">
                  <c:v>Sun</c:v>
                </c:pt>
              </c:strCache>
            </c:strRef>
          </c:cat>
          <c:val>
            <c:numRef>
              <c:f>Dashboard_Calc!$H$34:$H$40</c:f>
              <c:numCache>
                <c:formatCode>0.0</c:formatCode>
                <c:ptCount val="7"/>
                <c:pt idx="0">
                  <c:v>56.711409395973156</c:v>
                </c:pt>
                <c:pt idx="1">
                  <c:v>66.00787401574803</c:v>
                </c:pt>
                <c:pt idx="2">
                  <c:v>61.44274809160305</c:v>
                </c:pt>
                <c:pt idx="3">
                  <c:v>67.664000000000001</c:v>
                </c:pt>
                <c:pt idx="4">
                  <c:v>65.905797101449281</c:v>
                </c:pt>
                <c:pt idx="5">
                  <c:v>46.674698795180724</c:v>
                </c:pt>
                <c:pt idx="6">
                  <c:v>49.518292682926827</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E76F51"/>
                    </a:solidFill>
                    <a:prstDash val="solid"/>
                  </a:ln>
                </c14:spPr>
              </c14:invertSolidFillFmt>
            </c:ext>
            <c:ext xmlns:c16="http://schemas.microsoft.com/office/drawing/2014/chart" uri="{C3380CC4-5D6E-409C-BE32-E72D297353CC}">
              <c16:uniqueId val="{00000002-8C04-104A-803B-D2F68140B2BE}"/>
            </c:ext>
          </c:extLst>
        </c:ser>
        <c:dLbls>
          <c:showLegendKey val="0"/>
          <c:showVal val="0"/>
          <c:showCatName val="0"/>
          <c:showSerName val="0"/>
          <c:showPercent val="0"/>
          <c:showBubbleSize val="0"/>
        </c:dLbls>
        <c:gapWidth val="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spPr>
            <a:ln>
              <a:solidFill>
                <a:srgbClr val="E5E8EB"/>
              </a:solidFill>
              <a:prstDash val="solid"/>
            </a:ln>
          </c:spPr>
        </c:majorGridlines>
        <c:numFmt formatCode="#,##0" sourceLinked="0"/>
        <c:majorTickMark val="none"/>
        <c:minorTickMark val="none"/>
        <c:tickLblPos val="nextTo"/>
        <c:crossAx val="10"/>
        <c:crosses val="autoZero"/>
        <c:crossBetween val="between"/>
      </c:valAx>
    </c:plotArea>
    <c:legend>
      <c:legendPos val="b"/>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lineChart>
        <c:grouping val="standard"/>
        <c:varyColors val="1"/>
        <c:ser>
          <c:idx val="0"/>
          <c:order val="0"/>
          <c:tx>
            <c:strRef>
              <c:f>Dashboard_Calc!$B$60</c:f>
              <c:strCache>
                <c:ptCount val="1"/>
                <c:pt idx="0">
                  <c:v>Total Rentals</c:v>
                </c:pt>
              </c:strCache>
            </c:strRef>
          </c:tx>
          <c:spPr>
            <a:ln w="22000">
              <a:solidFill>
                <a:srgbClr val="E76F51"/>
              </a:solidFill>
              <a:prstDash val="solid"/>
            </a:ln>
          </c:spPr>
          <c:marker>
            <c:symbol val="none"/>
          </c:marker>
          <c:cat>
            <c:numRef>
              <c:f>Dashboard_Calc!$A$61:$A$105</c:f>
              <c:numCache>
                <c:formatCode>d\-mmm</c:formatCode>
                <c:ptCount val="45"/>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numCache>
            </c:numRef>
          </c:cat>
          <c:val>
            <c:numRef>
              <c:f>Dashboard_Calc!$B$61:$B$105</c:f>
              <c:numCache>
                <c:formatCode>#,##0</c:formatCode>
                <c:ptCount val="4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smooth val="0"/>
          <c:extLst>
            <c:ext xmlns:c16="http://schemas.microsoft.com/office/drawing/2014/chart" uri="{C3380CC4-5D6E-409C-BE32-E72D297353CC}">
              <c16:uniqueId val="{00000000-84F4-7549-A6C5-DDB1683C3BBC}"/>
            </c:ext>
          </c:extLst>
        </c:ser>
        <c:ser>
          <c:idx val="1"/>
          <c:order val="1"/>
          <c:tx>
            <c:strRef>
              <c:f>Dashboard_Calc!$C$60</c:f>
              <c:strCache>
                <c:ptCount val="1"/>
                <c:pt idx="0">
                  <c:v>Registered</c:v>
                </c:pt>
              </c:strCache>
            </c:strRef>
          </c:tx>
          <c:spPr>
            <a:ln w="22000">
              <a:solidFill>
                <a:srgbClr val="2A9D8F"/>
              </a:solidFill>
              <a:prstDash val="solid"/>
            </a:ln>
          </c:spPr>
          <c:marker>
            <c:symbol val="none"/>
          </c:marker>
          <c:cat>
            <c:numRef>
              <c:f>Dashboard_Calc!$A$61:$A$105</c:f>
              <c:numCache>
                <c:formatCode>d\-mmm</c:formatCode>
                <c:ptCount val="45"/>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numCache>
            </c:numRef>
          </c:cat>
          <c:val>
            <c:numRef>
              <c:f>Dashboard_Calc!$C$61:$C$105</c:f>
              <c:numCache>
                <c:formatCode>#,##0</c:formatCode>
                <c:ptCount val="45"/>
                <c:pt idx="0">
                  <c:v>654</c:v>
                </c:pt>
                <c:pt idx="1">
                  <c:v>670</c:v>
                </c:pt>
                <c:pt idx="2">
                  <c:v>1229</c:v>
                </c:pt>
                <c:pt idx="3">
                  <c:v>1454</c:v>
                </c:pt>
                <c:pt idx="4">
                  <c:v>1518</c:v>
                </c:pt>
                <c:pt idx="5">
                  <c:v>1518</c:v>
                </c:pt>
                <c:pt idx="6">
                  <c:v>1362</c:v>
                </c:pt>
                <c:pt idx="7">
                  <c:v>891</c:v>
                </c:pt>
                <c:pt idx="8">
                  <c:v>768</c:v>
                </c:pt>
                <c:pt idx="9">
                  <c:v>1280</c:v>
                </c:pt>
                <c:pt idx="10">
                  <c:v>1220</c:v>
                </c:pt>
                <c:pt idx="11">
                  <c:v>1137</c:v>
                </c:pt>
                <c:pt idx="12">
                  <c:v>1368</c:v>
                </c:pt>
                <c:pt idx="13">
                  <c:v>1367</c:v>
                </c:pt>
                <c:pt idx="14">
                  <c:v>1026</c:v>
                </c:pt>
                <c:pt idx="15">
                  <c:v>953</c:v>
                </c:pt>
                <c:pt idx="16">
                  <c:v>883</c:v>
                </c:pt>
                <c:pt idx="17">
                  <c:v>674</c:v>
                </c:pt>
                <c:pt idx="18">
                  <c:v>1572</c:v>
                </c:pt>
                <c:pt idx="19">
                  <c:v>1844</c:v>
                </c:pt>
                <c:pt idx="20">
                  <c:v>1468</c:v>
                </c:pt>
                <c:pt idx="21">
                  <c:v>888</c:v>
                </c:pt>
                <c:pt idx="22">
                  <c:v>836</c:v>
                </c:pt>
                <c:pt idx="23">
                  <c:v>1330</c:v>
                </c:pt>
                <c:pt idx="24">
                  <c:v>1799</c:v>
                </c:pt>
                <c:pt idx="25">
                  <c:v>472</c:v>
                </c:pt>
                <c:pt idx="26">
                  <c:v>416</c:v>
                </c:pt>
                <c:pt idx="27">
                  <c:v>1129</c:v>
                </c:pt>
                <c:pt idx="28">
                  <c:v>975</c:v>
                </c:pt>
                <c:pt idx="29">
                  <c:v>956</c:v>
                </c:pt>
                <c:pt idx="30">
                  <c:v>1459</c:v>
                </c:pt>
                <c:pt idx="31">
                  <c:v>1313</c:v>
                </c:pt>
                <c:pt idx="32">
                  <c:v>1454</c:v>
                </c:pt>
                <c:pt idx="33">
                  <c:v>1489</c:v>
                </c:pt>
                <c:pt idx="34">
                  <c:v>1620</c:v>
                </c:pt>
                <c:pt idx="35">
                  <c:v>905</c:v>
                </c:pt>
                <c:pt idx="36">
                  <c:v>1269</c:v>
                </c:pt>
                <c:pt idx="37">
                  <c:v>1592</c:v>
                </c:pt>
                <c:pt idx="38">
                  <c:v>1466</c:v>
                </c:pt>
                <c:pt idx="39">
                  <c:v>1552</c:v>
                </c:pt>
                <c:pt idx="40">
                  <c:v>1491</c:v>
                </c:pt>
                <c:pt idx="41">
                  <c:v>1597</c:v>
                </c:pt>
                <c:pt idx="42">
                  <c:v>1184</c:v>
                </c:pt>
                <c:pt idx="43">
                  <c:v>1192</c:v>
                </c:pt>
                <c:pt idx="44">
                  <c:v>143</c:v>
                </c:pt>
              </c:numCache>
            </c:numRef>
          </c:val>
          <c:smooth val="0"/>
          <c:extLst>
            <c:ext xmlns:c16="http://schemas.microsoft.com/office/drawing/2014/chart" uri="{C3380CC4-5D6E-409C-BE32-E72D297353CC}">
              <c16:uniqueId val="{00000001-84F4-7549-A6C5-DDB1683C3BBC}"/>
            </c:ext>
          </c:extLst>
        </c:ser>
        <c:ser>
          <c:idx val="2"/>
          <c:order val="2"/>
          <c:tx>
            <c:strRef>
              <c:f>Dashboard_Calc!$D$60</c:f>
              <c:strCache>
                <c:ptCount val="1"/>
                <c:pt idx="0">
                  <c:v>Casual</c:v>
                </c:pt>
              </c:strCache>
            </c:strRef>
          </c:tx>
          <c:spPr>
            <a:ln w="22000">
              <a:solidFill>
                <a:srgbClr val="9AA5B1"/>
              </a:solidFill>
              <a:prstDash val="solid"/>
            </a:ln>
          </c:spPr>
          <c:marker>
            <c:symbol val="none"/>
          </c:marker>
          <c:cat>
            <c:numRef>
              <c:f>Dashboard_Calc!$A$61:$A$105</c:f>
              <c:numCache>
                <c:formatCode>d\-mmm</c:formatCode>
                <c:ptCount val="45"/>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numCache>
            </c:numRef>
          </c:cat>
          <c:val>
            <c:numRef>
              <c:f>Dashboard_Calc!$D$61:$D$105</c:f>
              <c:numCache>
                <c:formatCode>#,##0</c:formatCode>
                <c:ptCount val="45"/>
                <c:pt idx="0">
                  <c:v>331</c:v>
                </c:pt>
                <c:pt idx="1">
                  <c:v>131</c:v>
                </c:pt>
                <c:pt idx="2">
                  <c:v>120</c:v>
                </c:pt>
                <c:pt idx="3">
                  <c:v>108</c:v>
                </c:pt>
                <c:pt idx="4">
                  <c:v>82</c:v>
                </c:pt>
                <c:pt idx="5">
                  <c:v>88</c:v>
                </c:pt>
                <c:pt idx="6">
                  <c:v>148</c:v>
                </c:pt>
                <c:pt idx="7">
                  <c:v>68</c:v>
                </c:pt>
                <c:pt idx="8">
                  <c:v>54</c:v>
                </c:pt>
                <c:pt idx="9">
                  <c:v>41</c:v>
                </c:pt>
                <c:pt idx="10">
                  <c:v>43</c:v>
                </c:pt>
                <c:pt idx="11">
                  <c:v>25</c:v>
                </c:pt>
                <c:pt idx="12">
                  <c:v>38</c:v>
                </c:pt>
                <c:pt idx="13">
                  <c:v>54</c:v>
                </c:pt>
                <c:pt idx="14">
                  <c:v>222</c:v>
                </c:pt>
                <c:pt idx="15">
                  <c:v>251</c:v>
                </c:pt>
                <c:pt idx="16">
                  <c:v>117</c:v>
                </c:pt>
                <c:pt idx="17">
                  <c:v>9</c:v>
                </c:pt>
                <c:pt idx="18">
                  <c:v>78</c:v>
                </c:pt>
                <c:pt idx="19">
                  <c:v>83</c:v>
                </c:pt>
                <c:pt idx="20">
                  <c:v>75</c:v>
                </c:pt>
                <c:pt idx="21">
                  <c:v>93</c:v>
                </c:pt>
                <c:pt idx="22">
                  <c:v>150</c:v>
                </c:pt>
                <c:pt idx="23">
                  <c:v>86</c:v>
                </c:pt>
                <c:pt idx="24">
                  <c:v>186</c:v>
                </c:pt>
                <c:pt idx="25">
                  <c:v>34</c:v>
                </c:pt>
                <c:pt idx="26">
                  <c:v>15</c:v>
                </c:pt>
                <c:pt idx="27">
                  <c:v>38</c:v>
                </c:pt>
                <c:pt idx="28">
                  <c:v>123</c:v>
                </c:pt>
                <c:pt idx="29">
                  <c:v>140</c:v>
                </c:pt>
                <c:pt idx="30">
                  <c:v>42</c:v>
                </c:pt>
                <c:pt idx="31">
                  <c:v>47</c:v>
                </c:pt>
                <c:pt idx="32">
                  <c:v>72</c:v>
                </c:pt>
                <c:pt idx="33">
                  <c:v>61</c:v>
                </c:pt>
                <c:pt idx="34">
                  <c:v>88</c:v>
                </c:pt>
                <c:pt idx="35">
                  <c:v>100</c:v>
                </c:pt>
                <c:pt idx="36">
                  <c:v>354</c:v>
                </c:pt>
                <c:pt idx="37">
                  <c:v>120</c:v>
                </c:pt>
                <c:pt idx="38">
                  <c:v>64</c:v>
                </c:pt>
                <c:pt idx="39">
                  <c:v>53</c:v>
                </c:pt>
                <c:pt idx="40">
                  <c:v>47</c:v>
                </c:pt>
                <c:pt idx="41">
                  <c:v>149</c:v>
                </c:pt>
                <c:pt idx="42">
                  <c:v>288</c:v>
                </c:pt>
                <c:pt idx="43">
                  <c:v>397</c:v>
                </c:pt>
                <c:pt idx="44">
                  <c:v>8</c:v>
                </c:pt>
              </c:numCache>
            </c:numRef>
          </c:val>
          <c:smooth val="0"/>
          <c:extLst>
            <c:ext xmlns:c16="http://schemas.microsoft.com/office/drawing/2014/chart" uri="{C3380CC4-5D6E-409C-BE32-E72D297353CC}">
              <c16:uniqueId val="{00000002-84F4-7549-A6C5-DDB1683C3BBC}"/>
            </c:ext>
          </c:extLst>
        </c:ser>
        <c:dLbls>
          <c:showLegendKey val="0"/>
          <c:showVal val="0"/>
          <c:showCatName val="0"/>
          <c:showSerName val="0"/>
          <c:showPercent val="0"/>
          <c:showBubbleSize val="0"/>
        </c:dLbls>
        <c:smooth val="0"/>
        <c:axId val="10"/>
        <c:axId val="100"/>
      </c:lineChart>
      <c:dateAx>
        <c:axId val="10"/>
        <c:scaling>
          <c:orientation val="minMax"/>
        </c:scaling>
        <c:delete val="0"/>
        <c:axPos val="b"/>
        <c:numFmt formatCode="dd\-mmm" sourceLinked="0"/>
        <c:majorTickMark val="none"/>
        <c:minorTickMark val="none"/>
        <c:tickLblPos val="nextTo"/>
        <c:crossAx val="100"/>
        <c:crosses val="autoZero"/>
        <c:auto val="1"/>
        <c:lblOffset val="100"/>
        <c:baseTimeUnit val="days"/>
        <c:majorUnit val="7"/>
      </c:dateAx>
      <c:valAx>
        <c:axId val="100"/>
        <c:scaling>
          <c:orientation val="minMax"/>
        </c:scaling>
        <c:delete val="0"/>
        <c:axPos val="l"/>
        <c:majorGridlines>
          <c:spPr>
            <a:ln>
              <a:solidFill>
                <a:srgbClr val="E5E8EB"/>
              </a:solidFill>
              <a:prstDash val="solid"/>
            </a:ln>
          </c:spPr>
        </c:majorGridlines>
        <c:numFmt formatCode="#,##0" sourceLinked="0"/>
        <c:majorTickMark val="none"/>
        <c:minorTickMark val="none"/>
        <c:tickLblPos val="nextTo"/>
        <c:crossAx val="10"/>
        <c:crosses val="autoZero"/>
        <c:crossBetween val="between"/>
      </c:valAx>
    </c:plotArea>
    <c:legend>
      <c:legendPos val="b"/>
      <c:overlay val="1"/>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barChart>
        <c:barDir val="col"/>
        <c:grouping val="clustered"/>
        <c:varyColors val="1"/>
        <c:ser>
          <c:idx val="0"/>
          <c:order val="0"/>
          <c:tx>
            <c:strRef>
              <c:f>Dashboard_Calc!$J$33</c:f>
              <c:strCache>
                <c:ptCount val="1"/>
                <c:pt idx="0">
                  <c:v>Avg Casual</c:v>
                </c:pt>
              </c:strCache>
            </c:strRef>
          </c:tx>
          <c:spPr>
            <a:solidFill>
              <a:srgbClr val="9AA5B1"/>
            </a:solidFill>
            <a:ln>
              <a:solidFill>
                <a:srgbClr val="9AA5B1"/>
              </a:solidFill>
              <a:prstDash val="solid"/>
            </a:ln>
          </c:spPr>
          <c:invertIfNegative val="1"/>
          <c:cat>
            <c:strRef>
              <c:f>Dashboard_Calc!$I$34:$I$37</c:f>
              <c:strCache>
                <c:ptCount val="4"/>
                <c:pt idx="0">
                  <c:v>Clear</c:v>
                </c:pt>
                <c:pt idx="1">
                  <c:v>Cloudy/Mist</c:v>
                </c:pt>
                <c:pt idx="2">
                  <c:v>Light Rain/Snow</c:v>
                </c:pt>
                <c:pt idx="3">
                  <c:v>Heavy Rain</c:v>
                </c:pt>
              </c:strCache>
            </c:strRef>
          </c:cat>
          <c:val>
            <c:numRef>
              <c:f>Dashboard_Calc!$J$34:$J$37</c:f>
              <c:numCache>
                <c:formatCode>0.0</c:formatCode>
                <c:ptCount val="4"/>
                <c:pt idx="0">
                  <c:v>5.2986798679867988</c:v>
                </c:pt>
                <c:pt idx="1">
                  <c:v>4.9773462783171523</c:v>
                </c:pt>
                <c:pt idx="2">
                  <c:v>2.0357142857142856</c:v>
                </c:pt>
                <c:pt idx="3">
                  <c:v>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AA5B1"/>
                    </a:solidFill>
                    <a:prstDash val="solid"/>
                  </a:ln>
                </c14:spPr>
              </c14:invertSolidFillFmt>
            </c:ext>
            <c:ext xmlns:c16="http://schemas.microsoft.com/office/drawing/2014/chart" uri="{C3380CC4-5D6E-409C-BE32-E72D297353CC}">
              <c16:uniqueId val="{00000000-D01B-E942-930C-FDE5D45A05B7}"/>
            </c:ext>
          </c:extLst>
        </c:ser>
        <c:ser>
          <c:idx val="1"/>
          <c:order val="1"/>
          <c:tx>
            <c:strRef>
              <c:f>Dashboard_Calc!$K$33</c:f>
              <c:strCache>
                <c:ptCount val="1"/>
                <c:pt idx="0">
                  <c:v>Avg Registered</c:v>
                </c:pt>
              </c:strCache>
            </c:strRef>
          </c:tx>
          <c:spPr>
            <a:solidFill>
              <a:srgbClr val="2A9D8F"/>
            </a:solidFill>
            <a:ln>
              <a:solidFill>
                <a:srgbClr val="2A9D8F"/>
              </a:solidFill>
              <a:prstDash val="solid"/>
            </a:ln>
          </c:spPr>
          <c:invertIfNegative val="1"/>
          <c:cat>
            <c:strRef>
              <c:f>Dashboard_Calc!$I$34:$I$37</c:f>
              <c:strCache>
                <c:ptCount val="4"/>
                <c:pt idx="0">
                  <c:v>Clear</c:v>
                </c:pt>
                <c:pt idx="1">
                  <c:v>Cloudy/Mist</c:v>
                </c:pt>
                <c:pt idx="2">
                  <c:v>Light Rain/Snow</c:v>
                </c:pt>
                <c:pt idx="3">
                  <c:v>Heavy Rain</c:v>
                </c:pt>
              </c:strCache>
            </c:strRef>
          </c:cat>
          <c:val>
            <c:numRef>
              <c:f>Dashboard_Calc!$K$34:$K$37</c:f>
              <c:numCache>
                <c:formatCode>0.0</c:formatCode>
                <c:ptCount val="4"/>
                <c:pt idx="0">
                  <c:v>56.372937293729372</c:v>
                </c:pt>
                <c:pt idx="1">
                  <c:v>53.618122977346282</c:v>
                </c:pt>
                <c:pt idx="2">
                  <c:v>31.166666666666668</c:v>
                </c:pt>
                <c:pt idx="3">
                  <c:v>35</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2A9D8F"/>
                    </a:solidFill>
                    <a:prstDash val="solid"/>
                  </a:ln>
                </c14:spPr>
              </c14:invertSolidFillFmt>
            </c:ext>
            <c:ext xmlns:c16="http://schemas.microsoft.com/office/drawing/2014/chart" uri="{C3380CC4-5D6E-409C-BE32-E72D297353CC}">
              <c16:uniqueId val="{00000001-D01B-E942-930C-FDE5D45A05B7}"/>
            </c:ext>
          </c:extLst>
        </c:ser>
        <c:ser>
          <c:idx val="2"/>
          <c:order val="2"/>
          <c:tx>
            <c:strRef>
              <c:f>Dashboard_Calc!$L$33</c:f>
              <c:strCache>
                <c:ptCount val="1"/>
                <c:pt idx="0">
                  <c:v>Avg Total</c:v>
                </c:pt>
              </c:strCache>
            </c:strRef>
          </c:tx>
          <c:spPr>
            <a:solidFill>
              <a:srgbClr val="E76F51"/>
            </a:solidFill>
            <a:ln>
              <a:solidFill>
                <a:srgbClr val="E76F51"/>
              </a:solidFill>
              <a:prstDash val="solid"/>
            </a:ln>
          </c:spPr>
          <c:invertIfNegative val="1"/>
          <c:cat>
            <c:strRef>
              <c:f>Dashboard_Calc!$I$34:$I$37</c:f>
              <c:strCache>
                <c:ptCount val="4"/>
                <c:pt idx="0">
                  <c:v>Clear</c:v>
                </c:pt>
                <c:pt idx="1">
                  <c:v>Cloudy/Mist</c:v>
                </c:pt>
                <c:pt idx="2">
                  <c:v>Light Rain/Snow</c:v>
                </c:pt>
                <c:pt idx="3">
                  <c:v>Heavy Rain</c:v>
                </c:pt>
              </c:strCache>
            </c:strRef>
          </c:cat>
          <c:val>
            <c:numRef>
              <c:f>Dashboard_Calc!$L$34:$L$37</c:f>
              <c:numCache>
                <c:formatCode>0.0</c:formatCode>
                <c:ptCount val="4"/>
                <c:pt idx="0">
                  <c:v>61.671617161716171</c:v>
                </c:pt>
                <c:pt idx="1">
                  <c:v>58.595469255663431</c:v>
                </c:pt>
                <c:pt idx="2">
                  <c:v>33.202380952380949</c:v>
                </c:pt>
                <c:pt idx="3">
                  <c:v>36</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E76F51"/>
                    </a:solidFill>
                    <a:prstDash val="solid"/>
                  </a:ln>
                </c14:spPr>
              </c14:invertSolidFillFmt>
            </c:ext>
            <c:ext xmlns:c16="http://schemas.microsoft.com/office/drawing/2014/chart" uri="{C3380CC4-5D6E-409C-BE32-E72D297353CC}">
              <c16:uniqueId val="{00000002-D01B-E942-930C-FDE5D45A05B7}"/>
            </c:ext>
          </c:extLst>
        </c:ser>
        <c:dLbls>
          <c:showLegendKey val="0"/>
          <c:showVal val="0"/>
          <c:showCatName val="0"/>
          <c:showSerName val="0"/>
          <c:showPercent val="0"/>
          <c:showBubbleSize val="0"/>
        </c:dLbls>
        <c:gapWidth val="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spPr>
            <a:ln>
              <a:solidFill>
                <a:srgbClr val="E5E8EB"/>
              </a:solidFill>
              <a:prstDash val="solid"/>
            </a:ln>
          </c:spPr>
        </c:majorGridlines>
        <c:numFmt formatCode="#,##0" sourceLinked="0"/>
        <c:majorTickMark val="none"/>
        <c:minorTickMark val="none"/>
        <c:tickLblPos val="nextTo"/>
        <c:crossAx val="10"/>
        <c:crosses val="autoZero"/>
        <c:crossBetween val="between"/>
      </c:valAx>
    </c:plotArea>
    <c:legend>
      <c:legendPos val="b"/>
      <c:overlay val="1"/>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barChart>
        <c:barDir val="bar"/>
        <c:grouping val="stacked"/>
        <c:varyColors val="1"/>
        <c:ser>
          <c:idx val="0"/>
          <c:order val="0"/>
          <c:tx>
            <c:strRef>
              <c:f>Dashboard_Calc!$Q$33</c:f>
              <c:strCache>
                <c:ptCount val="1"/>
                <c:pt idx="0">
                  <c:v>Spacer</c:v>
                </c:pt>
              </c:strCache>
            </c:strRef>
          </c:tx>
          <c:spPr>
            <a:noFill/>
            <a:ln>
              <a:noFill/>
              <a:prstDash val="solid"/>
            </a:ln>
          </c:spPr>
          <c:invertIfNegative val="1"/>
          <c:cat>
            <c:strRef>
              <c:f>Dashboard_Calc!$O$34:$O$37</c:f>
              <c:strCache>
                <c:ptCount val="4"/>
                <c:pt idx="0">
                  <c:v>All rentals</c:v>
                </c:pt>
                <c:pt idx="1">
                  <c:v>Working-day rentals</c:v>
                </c:pt>
                <c:pt idx="2">
                  <c:v>Working-day peak hours</c:v>
                </c:pt>
                <c:pt idx="3">
                  <c:v>…by registered riders</c:v>
                </c:pt>
              </c:strCache>
            </c:strRef>
          </c:cat>
          <c:val>
            <c:numRef>
              <c:f>Dashboard_Calc!$Q$34:$Q$37</c:f>
              <c:numCache>
                <c:formatCode>#,##0</c:formatCode>
                <c:ptCount val="4"/>
                <c:pt idx="0">
                  <c:v>0</c:v>
                </c:pt>
                <c:pt idx="1">
                  <c:v>8434.5</c:v>
                </c:pt>
                <c:pt idx="2">
                  <c:v>16635.5</c:v>
                </c:pt>
                <c:pt idx="3">
                  <c:v>17061</c:v>
                </c:pt>
              </c:numCache>
            </c:numRef>
          </c:val>
          <c:extLst>
            <c:ext xmlns:c16="http://schemas.microsoft.com/office/drawing/2014/chart" uri="{C3380CC4-5D6E-409C-BE32-E72D297353CC}">
              <c16:uniqueId val="{00000000-9E28-F746-941E-FB36E1B4ED60}"/>
            </c:ext>
          </c:extLst>
        </c:ser>
        <c:ser>
          <c:idx val="1"/>
          <c:order val="1"/>
          <c:tx>
            <c:strRef>
              <c:f>Dashboard_Calc!$P$33</c:f>
              <c:strCache>
                <c:ptCount val="1"/>
                <c:pt idx="0">
                  <c:v>Rentals</c:v>
                </c:pt>
              </c:strCache>
            </c:strRef>
          </c:tx>
          <c:spPr>
            <a:solidFill>
              <a:srgbClr val="E76F51"/>
            </a:solidFill>
            <a:ln>
              <a:solidFill>
                <a:srgbClr val="E76F51"/>
              </a:solidFill>
              <a:prstDash val="solid"/>
            </a:ln>
          </c:spPr>
          <c:invertIfNegative val="1"/>
          <c:dLbls>
            <c:spPr>
              <a:noFill/>
              <a:ln>
                <a:noFill/>
              </a:ln>
              <a:effectLst/>
            </c:spPr>
            <c:showLegendKey val="0"/>
            <c:showVal val="1"/>
            <c:showCatName val="0"/>
            <c:showSerName val="0"/>
            <c:showPercent val="1"/>
            <c:showBubbleSize val="1"/>
            <c:showLeaderLines val="0"/>
            <c:extLst>
              <c:ext xmlns:c15="http://schemas.microsoft.com/office/drawing/2012/chart" uri="{CE6537A1-D6FC-4f65-9D91-7224C49458BB}">
                <c15:showLeaderLines val="0"/>
              </c:ext>
            </c:extLst>
          </c:dLbls>
          <c:cat>
            <c:strRef>
              <c:f>Dashboard_Calc!$O$34:$O$37</c:f>
              <c:strCache>
                <c:ptCount val="4"/>
                <c:pt idx="0">
                  <c:v>All rentals</c:v>
                </c:pt>
                <c:pt idx="1">
                  <c:v>Working-day rentals</c:v>
                </c:pt>
                <c:pt idx="2">
                  <c:v>Working-day peak hours</c:v>
                </c:pt>
                <c:pt idx="3">
                  <c:v>…by registered riders</c:v>
                </c:pt>
              </c:strCache>
            </c:strRef>
          </c:cat>
          <c:val>
            <c:numRef>
              <c:f>Dashboard_Calc!$P$34:$P$37</c:f>
              <c:numCache>
                <c:formatCode>#,##0</c:formatCode>
                <c:ptCount val="4"/>
                <c:pt idx="0">
                  <c:v>58304</c:v>
                </c:pt>
                <c:pt idx="1">
                  <c:v>41435</c:v>
                </c:pt>
                <c:pt idx="2">
                  <c:v>25033</c:v>
                </c:pt>
                <c:pt idx="3">
                  <c:v>24182</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E76F51"/>
                    </a:solidFill>
                    <a:prstDash val="solid"/>
                  </a:ln>
                </c14:spPr>
              </c14:invertSolidFillFmt>
            </c:ext>
            <c:ext xmlns:c16="http://schemas.microsoft.com/office/drawing/2014/chart" uri="{C3380CC4-5D6E-409C-BE32-E72D297353CC}">
              <c16:uniqueId val="{00000001-9E28-F746-941E-FB36E1B4ED60}"/>
            </c:ext>
          </c:extLst>
        </c:ser>
        <c:dLbls>
          <c:showLegendKey val="0"/>
          <c:showVal val="0"/>
          <c:showCatName val="0"/>
          <c:showSerName val="0"/>
          <c:showPercent val="0"/>
          <c:showBubbleSize val="0"/>
        </c:dLbls>
        <c:gapWidth val="25"/>
        <c:overlap val="100"/>
        <c:axId val="10"/>
        <c:axId val="100"/>
      </c:ba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t"/>
        <c:numFmt formatCode="#,##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IN"/>
              <a:t>Demand by Hour of Day</a:t>
            </a:r>
          </a:p>
        </c:rich>
      </c:tx>
      <c:overlay val="1"/>
    </c:title>
    <c:autoTitleDeleted val="0"/>
    <c:plotArea>
      <c:layout>
        <c:manualLayout>
          <c:layoutTarget val="inner"/>
          <c:xMode val="edge"/>
          <c:yMode val="edge"/>
          <c:x val="5.5632331672826614E-2"/>
          <c:y val="1.8492483894058696E-2"/>
          <c:w val="0.92210421749229399"/>
          <c:h val="0.89044189930804107"/>
        </c:manualLayout>
      </c:layout>
      <c:lineChart>
        <c:grouping val="standard"/>
        <c:varyColors val="1"/>
        <c:ser>
          <c:idx val="0"/>
          <c:order val="0"/>
          <c:tx>
            <c:strRef>
              <c:f>Analysis!$C$5</c:f>
              <c:strCache>
                <c:ptCount val="1"/>
                <c:pt idx="0">
                  <c:v>Avg Casual</c:v>
                </c:pt>
              </c:strCache>
            </c:strRef>
          </c:tx>
          <c:spPr>
            <a:ln w="22000">
              <a:solidFill>
                <a:srgbClr val="9AA5B1"/>
              </a:solidFill>
              <a:prstDash val="solid"/>
            </a:ln>
          </c:spPr>
          <c:marker>
            <c:symbol val="none"/>
          </c:marker>
          <c:cat>
            <c:numRef>
              <c:f>Analysis!$B$6:$B$29</c:f>
              <c:numCache>
                <c:formatCode>General</c:formatCod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numCache>
            </c:numRef>
          </c:cat>
          <c:val>
            <c:numRef>
              <c:f>Analysis!$C$6:$C$29</c:f>
              <c:numCache>
                <c:formatCode>0.0</c:formatCode>
                <c:ptCount val="24"/>
                <c:pt idx="0">
                  <c:v>1.7209302325581395</c:v>
                </c:pt>
                <c:pt idx="1">
                  <c:v>1.1162790697674418</c:v>
                </c:pt>
                <c:pt idx="2">
                  <c:v>0.80487804878048785</c:v>
                </c:pt>
                <c:pt idx="3">
                  <c:v>1.096774193548387</c:v>
                </c:pt>
                <c:pt idx="4">
                  <c:v>0.21875</c:v>
                </c:pt>
                <c:pt idx="5">
                  <c:v>7.6923076923076927E-2</c:v>
                </c:pt>
                <c:pt idx="6">
                  <c:v>0.5</c:v>
                </c:pt>
                <c:pt idx="7">
                  <c:v>1.4883720930232558</c:v>
                </c:pt>
                <c:pt idx="8">
                  <c:v>3.0238095238095237</c:v>
                </c:pt>
                <c:pt idx="9">
                  <c:v>4.0952380952380949</c:v>
                </c:pt>
                <c:pt idx="10">
                  <c:v>5.1428571428571432</c:v>
                </c:pt>
                <c:pt idx="11">
                  <c:v>8.7380952380952372</c:v>
                </c:pt>
                <c:pt idx="12">
                  <c:v>11.209302325581396</c:v>
                </c:pt>
                <c:pt idx="13">
                  <c:v>11.930232558139535</c:v>
                </c:pt>
                <c:pt idx="14">
                  <c:v>10.837209302325581</c:v>
                </c:pt>
                <c:pt idx="15">
                  <c:v>12.465116279069768</c:v>
                </c:pt>
                <c:pt idx="16">
                  <c:v>11.204545454545455</c:v>
                </c:pt>
                <c:pt idx="17">
                  <c:v>8.9772727272727266</c:v>
                </c:pt>
                <c:pt idx="18">
                  <c:v>5.1627906976744189</c:v>
                </c:pt>
                <c:pt idx="19">
                  <c:v>4.3488372093023253</c:v>
                </c:pt>
                <c:pt idx="20">
                  <c:v>3.2558139534883721</c:v>
                </c:pt>
                <c:pt idx="21">
                  <c:v>2.7209302325581395</c:v>
                </c:pt>
                <c:pt idx="22">
                  <c:v>2.3953488372093021</c:v>
                </c:pt>
                <c:pt idx="23">
                  <c:v>2.3488372093023258</c:v>
                </c:pt>
              </c:numCache>
            </c:numRef>
          </c:val>
          <c:smooth val="0"/>
          <c:extLst>
            <c:ext xmlns:c16="http://schemas.microsoft.com/office/drawing/2014/chart" uri="{C3380CC4-5D6E-409C-BE32-E72D297353CC}">
              <c16:uniqueId val="{00000000-21FA-4541-8CAF-888A8314E118}"/>
            </c:ext>
          </c:extLst>
        </c:ser>
        <c:ser>
          <c:idx val="1"/>
          <c:order val="1"/>
          <c:tx>
            <c:strRef>
              <c:f>Analysis!$D$5</c:f>
              <c:strCache>
                <c:ptCount val="1"/>
                <c:pt idx="0">
                  <c:v>Avg Registered</c:v>
                </c:pt>
              </c:strCache>
            </c:strRef>
          </c:tx>
          <c:spPr>
            <a:ln w="22000">
              <a:solidFill>
                <a:srgbClr val="1F3A5F"/>
              </a:solidFill>
              <a:prstDash val="solid"/>
            </a:ln>
          </c:spPr>
          <c:marker>
            <c:symbol val="none"/>
          </c:marker>
          <c:cat>
            <c:numRef>
              <c:f>Analysis!$B$6:$B$29</c:f>
              <c:numCache>
                <c:formatCode>General</c:formatCod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numCache>
            </c:numRef>
          </c:cat>
          <c:val>
            <c:numRef>
              <c:f>Analysis!$D$6:$D$29</c:f>
              <c:numCache>
                <c:formatCode>0.0</c:formatCode>
                <c:ptCount val="24"/>
                <c:pt idx="0">
                  <c:v>14.627906976744185</c:v>
                </c:pt>
                <c:pt idx="1">
                  <c:v>9.5813953488372086</c:v>
                </c:pt>
                <c:pt idx="2">
                  <c:v>6.3658536585365857</c:v>
                </c:pt>
                <c:pt idx="3">
                  <c:v>3.774193548387097</c:v>
                </c:pt>
                <c:pt idx="4">
                  <c:v>1.9375</c:v>
                </c:pt>
                <c:pt idx="5">
                  <c:v>4.1282051282051286</c:v>
                </c:pt>
                <c:pt idx="6">
                  <c:v>19.071428571428573</c:v>
                </c:pt>
                <c:pt idx="7">
                  <c:v>52.906976744186046</c:v>
                </c:pt>
                <c:pt idx="8">
                  <c:v>125.26190476190476</c:v>
                </c:pt>
                <c:pt idx="9">
                  <c:v>83.333333333333329</c:v>
                </c:pt>
                <c:pt idx="10">
                  <c:v>48.5</c:v>
                </c:pt>
                <c:pt idx="11">
                  <c:v>50.642857142857146</c:v>
                </c:pt>
                <c:pt idx="12">
                  <c:v>65.139534883720927</c:v>
                </c:pt>
                <c:pt idx="13">
                  <c:v>66.581395348837205</c:v>
                </c:pt>
                <c:pt idx="14">
                  <c:v>63.581395348837212</c:v>
                </c:pt>
                <c:pt idx="15">
                  <c:v>65.488372093023258</c:v>
                </c:pt>
                <c:pt idx="16">
                  <c:v>78.068181818181813</c:v>
                </c:pt>
                <c:pt idx="17">
                  <c:v>131.22727272727272</c:v>
                </c:pt>
                <c:pt idx="18">
                  <c:v>117.69767441860465</c:v>
                </c:pt>
                <c:pt idx="19">
                  <c:v>80.79069767441861</c:v>
                </c:pt>
                <c:pt idx="20">
                  <c:v>58.511627906976742</c:v>
                </c:pt>
                <c:pt idx="21">
                  <c:v>43.697674418604649</c:v>
                </c:pt>
                <c:pt idx="22">
                  <c:v>32.674418604651166</c:v>
                </c:pt>
                <c:pt idx="23">
                  <c:v>22.837209302325583</c:v>
                </c:pt>
              </c:numCache>
            </c:numRef>
          </c:val>
          <c:smooth val="0"/>
          <c:extLst>
            <c:ext xmlns:c16="http://schemas.microsoft.com/office/drawing/2014/chart" uri="{C3380CC4-5D6E-409C-BE32-E72D297353CC}">
              <c16:uniqueId val="{00000001-21FA-4541-8CAF-888A8314E118}"/>
            </c:ext>
          </c:extLst>
        </c:ser>
        <c:ser>
          <c:idx val="2"/>
          <c:order val="2"/>
          <c:tx>
            <c:strRef>
              <c:f>Analysis!$E$5</c:f>
              <c:strCache>
                <c:ptCount val="1"/>
                <c:pt idx="0">
                  <c:v>Avg Total</c:v>
                </c:pt>
              </c:strCache>
            </c:strRef>
          </c:tx>
          <c:spPr>
            <a:ln w="22000">
              <a:solidFill>
                <a:srgbClr val="E76F51"/>
              </a:solidFill>
              <a:prstDash val="solid"/>
            </a:ln>
          </c:spPr>
          <c:marker>
            <c:symbol val="none"/>
          </c:marker>
          <c:cat>
            <c:numRef>
              <c:f>Analysis!$B$6:$B$29</c:f>
              <c:numCache>
                <c:formatCode>General</c:formatCod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numCache>
            </c:numRef>
          </c:cat>
          <c:val>
            <c:numRef>
              <c:f>Analysis!$E$6:$E$29</c:f>
              <c:numCache>
                <c:formatCode>#,##0</c:formatCode>
                <c:ptCount val="24"/>
                <c:pt idx="0">
                  <c:v>16.348837209302324</c:v>
                </c:pt>
                <c:pt idx="1">
                  <c:v>10.697674418604651</c:v>
                </c:pt>
                <c:pt idx="2">
                  <c:v>7.1707317073170733</c:v>
                </c:pt>
                <c:pt idx="3">
                  <c:v>4.870967741935484</c:v>
                </c:pt>
                <c:pt idx="4">
                  <c:v>2.15625</c:v>
                </c:pt>
                <c:pt idx="5">
                  <c:v>4.2051282051282053</c:v>
                </c:pt>
                <c:pt idx="6">
                  <c:v>19.571428571428573</c:v>
                </c:pt>
                <c:pt idx="7">
                  <c:v>54.395348837209305</c:v>
                </c:pt>
                <c:pt idx="8">
                  <c:v>128.28571428571428</c:v>
                </c:pt>
                <c:pt idx="9">
                  <c:v>87.428571428571431</c:v>
                </c:pt>
                <c:pt idx="10">
                  <c:v>53.642857142857146</c:v>
                </c:pt>
                <c:pt idx="11">
                  <c:v>59.38095238095238</c:v>
                </c:pt>
                <c:pt idx="12">
                  <c:v>76.348837209302332</c:v>
                </c:pt>
                <c:pt idx="13">
                  <c:v>78.511627906976742</c:v>
                </c:pt>
                <c:pt idx="14">
                  <c:v>74.418604651162795</c:v>
                </c:pt>
                <c:pt idx="15">
                  <c:v>77.95348837209302</c:v>
                </c:pt>
                <c:pt idx="16">
                  <c:v>89.272727272727266</c:v>
                </c:pt>
                <c:pt idx="17">
                  <c:v>140.20454545454547</c:v>
                </c:pt>
                <c:pt idx="18">
                  <c:v>122.86046511627907</c:v>
                </c:pt>
                <c:pt idx="19">
                  <c:v>85.139534883720927</c:v>
                </c:pt>
                <c:pt idx="20">
                  <c:v>61.767441860465119</c:v>
                </c:pt>
                <c:pt idx="21">
                  <c:v>46.418604651162788</c:v>
                </c:pt>
                <c:pt idx="22">
                  <c:v>35.069767441860463</c:v>
                </c:pt>
                <c:pt idx="23">
                  <c:v>25.186046511627907</c:v>
                </c:pt>
              </c:numCache>
            </c:numRef>
          </c:val>
          <c:smooth val="0"/>
          <c:extLst>
            <c:ext xmlns:c16="http://schemas.microsoft.com/office/drawing/2014/chart" uri="{C3380CC4-5D6E-409C-BE32-E72D297353CC}">
              <c16:uniqueId val="{00000002-21FA-4541-8CAF-888A8314E118}"/>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spPr>
            <a:ln>
              <a:solidFill>
                <a:srgbClr val="E5E8EB"/>
              </a:solidFill>
              <a:prstDash val="solid"/>
            </a:ln>
          </c:spPr>
        </c:majorGridlines>
        <c:title>
          <c:tx>
            <c:rich>
              <a:bodyPr/>
              <a:lstStyle/>
              <a:p>
                <a:pPr>
                  <a:defRPr/>
                </a:pPr>
                <a:r>
                  <a:rPr lang="en-IN"/>
                  <a:t>Avg rentals per hour</a:t>
                </a:r>
              </a:p>
            </c:rich>
          </c:tx>
          <c:overlay val="1"/>
        </c:title>
        <c:numFmt formatCode="#,##0" sourceLinked="0"/>
        <c:majorTickMark val="none"/>
        <c:minorTickMark val="none"/>
        <c:tickLblPos val="nextTo"/>
        <c:crossAx val="10"/>
        <c:crosses val="autoZero"/>
        <c:crossBetween val="between"/>
      </c:valAx>
    </c:plotArea>
    <c:legend>
      <c:legendPos val="b"/>
      <c:layout>
        <c:manualLayout>
          <c:xMode val="edge"/>
          <c:yMode val="edge"/>
          <c:x val="0.28392678187953774"/>
          <c:y val="0.95941523519934646"/>
          <c:w val="0.43771229894964431"/>
          <c:h val="2.6175542898636227E-2"/>
        </c:manualLayout>
      </c:layout>
      <c:overlay val="1"/>
    </c:legend>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IN"/>
              <a:t>Demand by Day of Week</a:t>
            </a:r>
          </a:p>
        </c:rich>
      </c:tx>
      <c:overlay val="1"/>
    </c:title>
    <c:autoTitleDeleted val="0"/>
    <c:plotArea>
      <c:layout>
        <c:manualLayout>
          <c:layoutTarget val="inner"/>
          <c:xMode val="edge"/>
          <c:yMode val="edge"/>
          <c:x val="4.7291654692798439E-2"/>
          <c:y val="1.85486920517914E-2"/>
          <c:w val="0.93263535260647168"/>
          <c:h val="0.89010889596247278"/>
        </c:manualLayout>
      </c:layout>
      <c:barChart>
        <c:barDir val="col"/>
        <c:grouping val="clustered"/>
        <c:varyColors val="1"/>
        <c:ser>
          <c:idx val="0"/>
          <c:order val="0"/>
          <c:tx>
            <c:strRef>
              <c:f>Analysis!$C$33</c:f>
              <c:strCache>
                <c:ptCount val="1"/>
                <c:pt idx="0">
                  <c:v>Avg Casual</c:v>
                </c:pt>
              </c:strCache>
            </c:strRef>
          </c:tx>
          <c:spPr>
            <a:solidFill>
              <a:srgbClr val="9AA5B1"/>
            </a:solidFill>
            <a:ln>
              <a:solidFill>
                <a:srgbClr val="9AA5B1"/>
              </a:solidFill>
              <a:prstDash val="solid"/>
            </a:ln>
          </c:spPr>
          <c:invertIfNegative val="1"/>
          <c:cat>
            <c:strRef>
              <c:f>Analysis!$B$34:$B$40</c:f>
              <c:strCache>
                <c:ptCount val="7"/>
                <c:pt idx="0">
                  <c:v>Mon</c:v>
                </c:pt>
                <c:pt idx="1">
                  <c:v>Tue</c:v>
                </c:pt>
                <c:pt idx="2">
                  <c:v>Wed</c:v>
                </c:pt>
                <c:pt idx="3">
                  <c:v>Thu</c:v>
                </c:pt>
                <c:pt idx="4">
                  <c:v>Fri</c:v>
                </c:pt>
                <c:pt idx="5">
                  <c:v>Sat</c:v>
                </c:pt>
                <c:pt idx="6">
                  <c:v>Sun</c:v>
                </c:pt>
              </c:strCache>
            </c:strRef>
          </c:cat>
          <c:val>
            <c:numRef>
              <c:f>Analysis!$C$34:$C$40</c:f>
              <c:numCache>
                <c:formatCode>0.0</c:formatCode>
                <c:ptCount val="7"/>
                <c:pt idx="0">
                  <c:v>3.5838926174496644</c:v>
                </c:pt>
                <c:pt idx="1">
                  <c:v>3.5984251968503935</c:v>
                </c:pt>
                <c:pt idx="2">
                  <c:v>2.6259541984732824</c:v>
                </c:pt>
                <c:pt idx="3">
                  <c:v>2.6560000000000001</c:v>
                </c:pt>
                <c:pt idx="4">
                  <c:v>4</c:v>
                </c:pt>
                <c:pt idx="5">
                  <c:v>7.3795180722891569</c:v>
                </c:pt>
                <c:pt idx="6">
                  <c:v>9.0060975609756095</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AA5B1"/>
                    </a:solidFill>
                    <a:prstDash val="solid"/>
                  </a:ln>
                </c14:spPr>
              </c14:invertSolidFillFmt>
            </c:ext>
            <c:ext xmlns:c16="http://schemas.microsoft.com/office/drawing/2014/chart" uri="{C3380CC4-5D6E-409C-BE32-E72D297353CC}">
              <c16:uniqueId val="{00000000-BCA4-6E44-A433-DDB7E5E72DAE}"/>
            </c:ext>
          </c:extLst>
        </c:ser>
        <c:ser>
          <c:idx val="1"/>
          <c:order val="1"/>
          <c:tx>
            <c:strRef>
              <c:f>Analysis!$D$33</c:f>
              <c:strCache>
                <c:ptCount val="1"/>
                <c:pt idx="0">
                  <c:v>Avg Registered</c:v>
                </c:pt>
              </c:strCache>
            </c:strRef>
          </c:tx>
          <c:spPr>
            <a:solidFill>
              <a:srgbClr val="1F3A5F"/>
            </a:solidFill>
            <a:ln>
              <a:solidFill>
                <a:srgbClr val="1F3A5F"/>
              </a:solidFill>
              <a:prstDash val="solid"/>
            </a:ln>
          </c:spPr>
          <c:invertIfNegative val="1"/>
          <c:cat>
            <c:strRef>
              <c:f>Analysis!$B$34:$B$40</c:f>
              <c:strCache>
                <c:ptCount val="7"/>
                <c:pt idx="0">
                  <c:v>Mon</c:v>
                </c:pt>
                <c:pt idx="1">
                  <c:v>Tue</c:v>
                </c:pt>
                <c:pt idx="2">
                  <c:v>Wed</c:v>
                </c:pt>
                <c:pt idx="3">
                  <c:v>Thu</c:v>
                </c:pt>
                <c:pt idx="4">
                  <c:v>Fri</c:v>
                </c:pt>
                <c:pt idx="5">
                  <c:v>Sat</c:v>
                </c:pt>
                <c:pt idx="6">
                  <c:v>Sun</c:v>
                </c:pt>
              </c:strCache>
            </c:strRef>
          </c:cat>
          <c:val>
            <c:numRef>
              <c:f>Analysis!$D$34:$D$40</c:f>
              <c:numCache>
                <c:formatCode>0.0</c:formatCode>
                <c:ptCount val="7"/>
                <c:pt idx="0">
                  <c:v>53.127516778523493</c:v>
                </c:pt>
                <c:pt idx="1">
                  <c:v>62.409448818897637</c:v>
                </c:pt>
                <c:pt idx="2">
                  <c:v>58.81679389312977</c:v>
                </c:pt>
                <c:pt idx="3">
                  <c:v>65.007999999999996</c:v>
                </c:pt>
                <c:pt idx="4">
                  <c:v>61.905797101449274</c:v>
                </c:pt>
                <c:pt idx="5">
                  <c:v>39.295180722891565</c:v>
                </c:pt>
                <c:pt idx="6">
                  <c:v>40.512195121951223</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1F3A5F"/>
                    </a:solidFill>
                    <a:prstDash val="solid"/>
                  </a:ln>
                </c14:spPr>
              </c14:invertSolidFillFmt>
            </c:ext>
            <c:ext xmlns:c16="http://schemas.microsoft.com/office/drawing/2014/chart" uri="{C3380CC4-5D6E-409C-BE32-E72D297353CC}">
              <c16:uniqueId val="{00000001-BCA4-6E44-A433-DDB7E5E72DAE}"/>
            </c:ext>
          </c:extLst>
        </c:ser>
        <c:ser>
          <c:idx val="2"/>
          <c:order val="2"/>
          <c:tx>
            <c:strRef>
              <c:f>Analysis!$E$33</c:f>
              <c:strCache>
                <c:ptCount val="1"/>
                <c:pt idx="0">
                  <c:v>Avg Total</c:v>
                </c:pt>
              </c:strCache>
            </c:strRef>
          </c:tx>
          <c:spPr>
            <a:solidFill>
              <a:srgbClr val="E76F51"/>
            </a:solidFill>
            <a:ln>
              <a:solidFill>
                <a:srgbClr val="E76F51"/>
              </a:solidFill>
              <a:prstDash val="solid"/>
            </a:ln>
          </c:spPr>
          <c:invertIfNegative val="1"/>
          <c:cat>
            <c:strRef>
              <c:f>Analysis!$B$34:$B$40</c:f>
              <c:strCache>
                <c:ptCount val="7"/>
                <c:pt idx="0">
                  <c:v>Mon</c:v>
                </c:pt>
                <c:pt idx="1">
                  <c:v>Tue</c:v>
                </c:pt>
                <c:pt idx="2">
                  <c:v>Wed</c:v>
                </c:pt>
                <c:pt idx="3">
                  <c:v>Thu</c:v>
                </c:pt>
                <c:pt idx="4">
                  <c:v>Fri</c:v>
                </c:pt>
                <c:pt idx="5">
                  <c:v>Sat</c:v>
                </c:pt>
                <c:pt idx="6">
                  <c:v>Sun</c:v>
                </c:pt>
              </c:strCache>
            </c:strRef>
          </c:cat>
          <c:val>
            <c:numRef>
              <c:f>Analysis!$E$34:$E$40</c:f>
              <c:numCache>
                <c:formatCode>#,##0</c:formatCode>
                <c:ptCount val="7"/>
                <c:pt idx="0">
                  <c:v>56.711409395973156</c:v>
                </c:pt>
                <c:pt idx="1">
                  <c:v>66.00787401574803</c:v>
                </c:pt>
                <c:pt idx="2">
                  <c:v>61.44274809160305</c:v>
                </c:pt>
                <c:pt idx="3">
                  <c:v>67.664000000000001</c:v>
                </c:pt>
                <c:pt idx="4">
                  <c:v>65.905797101449281</c:v>
                </c:pt>
                <c:pt idx="5">
                  <c:v>46.674698795180724</c:v>
                </c:pt>
                <c:pt idx="6">
                  <c:v>49.518292682926827</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E76F51"/>
                    </a:solidFill>
                    <a:prstDash val="solid"/>
                  </a:ln>
                </c14:spPr>
              </c14:invertSolidFillFmt>
            </c:ext>
            <c:ext xmlns:c16="http://schemas.microsoft.com/office/drawing/2014/chart" uri="{C3380CC4-5D6E-409C-BE32-E72D297353CC}">
              <c16:uniqueId val="{00000002-BCA4-6E44-A433-DDB7E5E72DAE}"/>
            </c:ext>
          </c:extLst>
        </c:ser>
        <c:dLbls>
          <c:showLegendKey val="0"/>
          <c:showVal val="0"/>
          <c:showCatName val="0"/>
          <c:showSerName val="0"/>
          <c:showPercent val="0"/>
          <c:showBubbleSize val="0"/>
        </c:dLbls>
        <c:gapWidth val="6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spPr>
            <a:ln>
              <a:solidFill>
                <a:srgbClr val="E5E8EB"/>
              </a:solidFill>
              <a:prstDash val="solid"/>
            </a:ln>
          </c:spPr>
        </c:majorGridlines>
        <c:title>
          <c:tx>
            <c:rich>
              <a:bodyPr/>
              <a:lstStyle/>
              <a:p>
                <a:pPr>
                  <a:defRPr/>
                </a:pPr>
                <a:r>
                  <a:rPr lang="en-IN"/>
                  <a:t>Avg rentals per hour</a:t>
                </a:r>
              </a:p>
            </c:rich>
          </c:tx>
          <c:overlay val="1"/>
        </c:title>
        <c:numFmt formatCode="#,##0" sourceLinked="0"/>
        <c:majorTickMark val="none"/>
        <c:minorTickMark val="none"/>
        <c:tickLblPos val="nextTo"/>
        <c:crossAx val="10"/>
        <c:crosses val="autoZero"/>
        <c:crossBetween val="between"/>
      </c:valAx>
    </c:plotArea>
    <c:legend>
      <c:legendPos val="b"/>
      <c:layout>
        <c:manualLayout>
          <c:xMode val="edge"/>
          <c:yMode val="edge"/>
          <c:x val="0.32110293695039943"/>
          <c:y val="0.96519732905727196"/>
          <c:w val="0.35414434737628597"/>
          <c:h val="3.4802670942727904E-2"/>
        </c:manualLayout>
      </c:layout>
      <c:overlay val="1"/>
    </c:legend>
    <c:plotVisOnly val="1"/>
    <c:dispBlanksAs val="gap"/>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IN"/>
              <a:t>Working vs Non-Working Day</a:t>
            </a:r>
          </a:p>
        </c:rich>
      </c:tx>
      <c:overlay val="1"/>
    </c:title>
    <c:autoTitleDeleted val="0"/>
    <c:plotArea>
      <c:layout/>
      <c:barChart>
        <c:barDir val="col"/>
        <c:grouping val="clustered"/>
        <c:varyColors val="1"/>
        <c:ser>
          <c:idx val="0"/>
          <c:order val="0"/>
          <c:tx>
            <c:strRef>
              <c:f>Analysis!$C$50</c:f>
              <c:strCache>
                <c:ptCount val="1"/>
                <c:pt idx="0">
                  <c:v>Avg Casual</c:v>
                </c:pt>
              </c:strCache>
            </c:strRef>
          </c:tx>
          <c:spPr>
            <a:solidFill>
              <a:srgbClr val="9AA5B1"/>
            </a:solidFill>
            <a:ln>
              <a:solidFill>
                <a:srgbClr val="9AA5B1"/>
              </a:solidFill>
              <a:prstDash val="solid"/>
            </a:ln>
          </c:spPr>
          <c:invertIfNegative val="1"/>
          <c:cat>
            <c:strRef>
              <c:f>Analysis!$B$51:$B$52</c:f>
              <c:strCache>
                <c:ptCount val="2"/>
                <c:pt idx="0">
                  <c:v>Working Day</c:v>
                </c:pt>
                <c:pt idx="1">
                  <c:v>Non-Working Day</c:v>
                </c:pt>
              </c:strCache>
            </c:strRef>
          </c:cat>
          <c:val>
            <c:numRef>
              <c:f>Analysis!$C$51:$C$52</c:f>
              <c:numCache>
                <c:formatCode>0.0</c:formatCode>
                <c:ptCount val="2"/>
                <c:pt idx="0">
                  <c:v>3.2538699690402475</c:v>
                </c:pt>
                <c:pt idx="1">
                  <c:v>7.963276836158192</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AA5B1"/>
                    </a:solidFill>
                    <a:prstDash val="solid"/>
                  </a:ln>
                </c14:spPr>
              </c14:invertSolidFillFmt>
            </c:ext>
            <c:ext xmlns:c16="http://schemas.microsoft.com/office/drawing/2014/chart" uri="{C3380CC4-5D6E-409C-BE32-E72D297353CC}">
              <c16:uniqueId val="{00000000-639C-BB47-8000-742076327386}"/>
            </c:ext>
          </c:extLst>
        </c:ser>
        <c:ser>
          <c:idx val="1"/>
          <c:order val="1"/>
          <c:tx>
            <c:strRef>
              <c:f>Analysis!$D$50</c:f>
              <c:strCache>
                <c:ptCount val="1"/>
                <c:pt idx="0">
                  <c:v>Avg Registered</c:v>
                </c:pt>
              </c:strCache>
            </c:strRef>
          </c:tx>
          <c:spPr>
            <a:solidFill>
              <a:srgbClr val="1F3A5F"/>
            </a:solidFill>
            <a:ln>
              <a:solidFill>
                <a:srgbClr val="1F3A5F"/>
              </a:solidFill>
              <a:prstDash val="solid"/>
            </a:ln>
          </c:spPr>
          <c:invertIfNegative val="1"/>
          <c:cat>
            <c:strRef>
              <c:f>Analysis!$B$51:$B$52</c:f>
              <c:strCache>
                <c:ptCount val="2"/>
                <c:pt idx="0">
                  <c:v>Working Day</c:v>
                </c:pt>
                <c:pt idx="1">
                  <c:v>Non-Working Day</c:v>
                </c:pt>
              </c:strCache>
            </c:strRef>
          </c:cat>
          <c:val>
            <c:numRef>
              <c:f>Analysis!$D$51:$D$52</c:f>
              <c:numCache>
                <c:formatCode>0.0</c:formatCode>
                <c:ptCount val="2"/>
                <c:pt idx="0">
                  <c:v>60.88699690402477</c:v>
                </c:pt>
                <c:pt idx="1">
                  <c:v>39.689265536723163</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1F3A5F"/>
                    </a:solidFill>
                    <a:prstDash val="solid"/>
                  </a:ln>
                </c14:spPr>
              </c14:invertSolidFillFmt>
            </c:ext>
            <c:ext xmlns:c16="http://schemas.microsoft.com/office/drawing/2014/chart" uri="{C3380CC4-5D6E-409C-BE32-E72D297353CC}">
              <c16:uniqueId val="{00000001-639C-BB47-8000-742076327386}"/>
            </c:ext>
          </c:extLst>
        </c:ser>
        <c:ser>
          <c:idx val="2"/>
          <c:order val="2"/>
          <c:tx>
            <c:strRef>
              <c:f>Analysis!$E$50</c:f>
              <c:strCache>
                <c:ptCount val="1"/>
                <c:pt idx="0">
                  <c:v>Avg Total</c:v>
                </c:pt>
              </c:strCache>
            </c:strRef>
          </c:tx>
          <c:spPr>
            <a:solidFill>
              <a:srgbClr val="E76F51"/>
            </a:solidFill>
            <a:ln>
              <a:solidFill>
                <a:srgbClr val="E76F51"/>
              </a:solidFill>
              <a:prstDash val="solid"/>
            </a:ln>
          </c:spPr>
          <c:invertIfNegative val="1"/>
          <c:cat>
            <c:strRef>
              <c:f>Analysis!$B$51:$B$52</c:f>
              <c:strCache>
                <c:ptCount val="2"/>
                <c:pt idx="0">
                  <c:v>Working Day</c:v>
                </c:pt>
                <c:pt idx="1">
                  <c:v>Non-Working Day</c:v>
                </c:pt>
              </c:strCache>
            </c:strRef>
          </c:cat>
          <c:val>
            <c:numRef>
              <c:f>Analysis!$E$51:$E$52</c:f>
              <c:numCache>
                <c:formatCode>#,##0</c:formatCode>
                <c:ptCount val="2"/>
                <c:pt idx="0">
                  <c:v>64.140866873065022</c:v>
                </c:pt>
                <c:pt idx="1">
                  <c:v>47.652542372881356</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E76F51"/>
                    </a:solidFill>
                    <a:prstDash val="solid"/>
                  </a:ln>
                </c14:spPr>
              </c14:invertSolidFillFmt>
            </c:ext>
            <c:ext xmlns:c16="http://schemas.microsoft.com/office/drawing/2014/chart" uri="{C3380CC4-5D6E-409C-BE32-E72D297353CC}">
              <c16:uniqueId val="{00000002-639C-BB47-8000-742076327386}"/>
            </c:ext>
          </c:extLst>
        </c:ser>
        <c:dLbls>
          <c:showLegendKey val="0"/>
          <c:showVal val="0"/>
          <c:showCatName val="0"/>
          <c:showSerName val="0"/>
          <c:showPercent val="0"/>
          <c:showBubbleSize val="0"/>
        </c:dLbls>
        <c:gapWidth val="6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spPr>
            <a:ln>
              <a:solidFill>
                <a:srgbClr val="E5E8EB"/>
              </a:solidFill>
              <a:prstDash val="solid"/>
            </a:ln>
          </c:spPr>
        </c:majorGridlines>
        <c:title>
          <c:tx>
            <c:rich>
              <a:bodyPr/>
              <a:lstStyle/>
              <a:p>
                <a:pPr>
                  <a:defRPr/>
                </a:pPr>
                <a:r>
                  <a:rPr lang="en-IN"/>
                  <a:t>Avg rentals per hour</a:t>
                </a:r>
              </a:p>
            </c:rich>
          </c:tx>
          <c:overlay val="1"/>
        </c:title>
        <c:numFmt formatCode="#,##0" sourceLinked="0"/>
        <c:majorTickMark val="none"/>
        <c:minorTickMark val="none"/>
        <c:tickLblPos val="nextTo"/>
        <c:crossAx val="10"/>
        <c:crosses val="autoZero"/>
        <c:crossBetween val="between"/>
      </c:valAx>
    </c:plotArea>
    <c:legend>
      <c:legendPos val="b"/>
      <c:overlay val="1"/>
    </c:legend>
    <c:plotVisOnly val="1"/>
    <c:dispBlanksAs val="gap"/>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IN"/>
              <a:t>Demand by Weather</a:t>
            </a:r>
          </a:p>
        </c:rich>
      </c:tx>
      <c:overlay val="1"/>
    </c:title>
    <c:autoTitleDeleted val="0"/>
    <c:plotArea>
      <c:layout/>
      <c:barChart>
        <c:barDir val="col"/>
        <c:grouping val="clustered"/>
        <c:varyColors val="1"/>
        <c:ser>
          <c:idx val="0"/>
          <c:order val="0"/>
          <c:tx>
            <c:strRef>
              <c:f>Analysis!$C$67</c:f>
              <c:strCache>
                <c:ptCount val="1"/>
                <c:pt idx="0">
                  <c:v>Avg Casual</c:v>
                </c:pt>
              </c:strCache>
            </c:strRef>
          </c:tx>
          <c:spPr>
            <a:solidFill>
              <a:srgbClr val="9AA5B1"/>
            </a:solidFill>
            <a:ln>
              <a:solidFill>
                <a:srgbClr val="9AA5B1"/>
              </a:solidFill>
              <a:prstDash val="solid"/>
            </a:ln>
          </c:spPr>
          <c:invertIfNegative val="1"/>
          <c:cat>
            <c:strRef>
              <c:f>Analysis!$B$68:$B$71</c:f>
              <c:strCache>
                <c:ptCount val="4"/>
                <c:pt idx="0">
                  <c:v>Clear</c:v>
                </c:pt>
                <c:pt idx="1">
                  <c:v>Cloudy/Mist</c:v>
                </c:pt>
                <c:pt idx="2">
                  <c:v>Light Rain/Snow</c:v>
                </c:pt>
                <c:pt idx="3">
                  <c:v>Heavy Rain</c:v>
                </c:pt>
              </c:strCache>
            </c:strRef>
          </c:cat>
          <c:val>
            <c:numRef>
              <c:f>Analysis!$C$68:$C$71</c:f>
              <c:numCache>
                <c:formatCode>0.0</c:formatCode>
                <c:ptCount val="4"/>
                <c:pt idx="0">
                  <c:v>5.2986798679867988</c:v>
                </c:pt>
                <c:pt idx="1">
                  <c:v>4.9773462783171523</c:v>
                </c:pt>
                <c:pt idx="2">
                  <c:v>2.0357142857142856</c:v>
                </c:pt>
                <c:pt idx="3">
                  <c:v>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AA5B1"/>
                    </a:solidFill>
                    <a:prstDash val="solid"/>
                  </a:ln>
                </c14:spPr>
              </c14:invertSolidFillFmt>
            </c:ext>
            <c:ext xmlns:c16="http://schemas.microsoft.com/office/drawing/2014/chart" uri="{C3380CC4-5D6E-409C-BE32-E72D297353CC}">
              <c16:uniqueId val="{00000000-9F57-CE42-9838-C4CCF40FD0A2}"/>
            </c:ext>
          </c:extLst>
        </c:ser>
        <c:ser>
          <c:idx val="1"/>
          <c:order val="1"/>
          <c:tx>
            <c:strRef>
              <c:f>Analysis!$D$67</c:f>
              <c:strCache>
                <c:ptCount val="1"/>
                <c:pt idx="0">
                  <c:v>Avg Registered</c:v>
                </c:pt>
              </c:strCache>
            </c:strRef>
          </c:tx>
          <c:spPr>
            <a:solidFill>
              <a:srgbClr val="1F3A5F"/>
            </a:solidFill>
            <a:ln>
              <a:solidFill>
                <a:srgbClr val="1F3A5F"/>
              </a:solidFill>
              <a:prstDash val="solid"/>
            </a:ln>
          </c:spPr>
          <c:invertIfNegative val="1"/>
          <c:cat>
            <c:strRef>
              <c:f>Analysis!$B$68:$B$71</c:f>
              <c:strCache>
                <c:ptCount val="4"/>
                <c:pt idx="0">
                  <c:v>Clear</c:v>
                </c:pt>
                <c:pt idx="1">
                  <c:v>Cloudy/Mist</c:v>
                </c:pt>
                <c:pt idx="2">
                  <c:v>Light Rain/Snow</c:v>
                </c:pt>
                <c:pt idx="3">
                  <c:v>Heavy Rain</c:v>
                </c:pt>
              </c:strCache>
            </c:strRef>
          </c:cat>
          <c:val>
            <c:numRef>
              <c:f>Analysis!$D$68:$D$71</c:f>
              <c:numCache>
                <c:formatCode>0.0</c:formatCode>
                <c:ptCount val="4"/>
                <c:pt idx="0">
                  <c:v>56.372937293729372</c:v>
                </c:pt>
                <c:pt idx="1">
                  <c:v>53.618122977346282</c:v>
                </c:pt>
                <c:pt idx="2">
                  <c:v>31.166666666666668</c:v>
                </c:pt>
                <c:pt idx="3">
                  <c:v>35</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1F3A5F"/>
                    </a:solidFill>
                    <a:prstDash val="solid"/>
                  </a:ln>
                </c14:spPr>
              </c14:invertSolidFillFmt>
            </c:ext>
            <c:ext xmlns:c16="http://schemas.microsoft.com/office/drawing/2014/chart" uri="{C3380CC4-5D6E-409C-BE32-E72D297353CC}">
              <c16:uniqueId val="{00000001-9F57-CE42-9838-C4CCF40FD0A2}"/>
            </c:ext>
          </c:extLst>
        </c:ser>
        <c:ser>
          <c:idx val="2"/>
          <c:order val="2"/>
          <c:tx>
            <c:strRef>
              <c:f>Analysis!$E$67</c:f>
              <c:strCache>
                <c:ptCount val="1"/>
                <c:pt idx="0">
                  <c:v>Avg Total</c:v>
                </c:pt>
              </c:strCache>
            </c:strRef>
          </c:tx>
          <c:spPr>
            <a:solidFill>
              <a:srgbClr val="E76F51"/>
            </a:solidFill>
            <a:ln>
              <a:solidFill>
                <a:srgbClr val="E76F51"/>
              </a:solidFill>
              <a:prstDash val="solid"/>
            </a:ln>
          </c:spPr>
          <c:invertIfNegative val="1"/>
          <c:cat>
            <c:strRef>
              <c:f>Analysis!$B$68:$B$71</c:f>
              <c:strCache>
                <c:ptCount val="4"/>
                <c:pt idx="0">
                  <c:v>Clear</c:v>
                </c:pt>
                <c:pt idx="1">
                  <c:v>Cloudy/Mist</c:v>
                </c:pt>
                <c:pt idx="2">
                  <c:v>Light Rain/Snow</c:v>
                </c:pt>
                <c:pt idx="3">
                  <c:v>Heavy Rain</c:v>
                </c:pt>
              </c:strCache>
            </c:strRef>
          </c:cat>
          <c:val>
            <c:numRef>
              <c:f>Analysis!$E$68:$E$71</c:f>
              <c:numCache>
                <c:formatCode>#,##0</c:formatCode>
                <c:ptCount val="4"/>
                <c:pt idx="0">
                  <c:v>61.671617161716171</c:v>
                </c:pt>
                <c:pt idx="1">
                  <c:v>58.595469255663431</c:v>
                </c:pt>
                <c:pt idx="2">
                  <c:v>33.202380952380949</c:v>
                </c:pt>
                <c:pt idx="3">
                  <c:v>36</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E76F51"/>
                    </a:solidFill>
                    <a:prstDash val="solid"/>
                  </a:ln>
                </c14:spPr>
              </c14:invertSolidFillFmt>
            </c:ext>
            <c:ext xmlns:c16="http://schemas.microsoft.com/office/drawing/2014/chart" uri="{C3380CC4-5D6E-409C-BE32-E72D297353CC}">
              <c16:uniqueId val="{00000002-9F57-CE42-9838-C4CCF40FD0A2}"/>
            </c:ext>
          </c:extLst>
        </c:ser>
        <c:dLbls>
          <c:showLegendKey val="0"/>
          <c:showVal val="0"/>
          <c:showCatName val="0"/>
          <c:showSerName val="0"/>
          <c:showPercent val="0"/>
          <c:showBubbleSize val="0"/>
        </c:dLbls>
        <c:gapWidth val="6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spPr>
            <a:ln>
              <a:solidFill>
                <a:srgbClr val="E5E8EB"/>
              </a:solidFill>
              <a:prstDash val="solid"/>
            </a:ln>
          </c:spPr>
        </c:majorGridlines>
        <c:title>
          <c:tx>
            <c:rich>
              <a:bodyPr/>
              <a:lstStyle/>
              <a:p>
                <a:pPr>
                  <a:defRPr/>
                </a:pPr>
                <a:r>
                  <a:rPr lang="en-IN"/>
                  <a:t>Avg rentals per hour</a:t>
                </a:r>
              </a:p>
            </c:rich>
          </c:tx>
          <c:overlay val="1"/>
        </c:title>
        <c:numFmt formatCode="#,##0" sourceLinked="0"/>
        <c:majorTickMark val="none"/>
        <c:minorTickMark val="none"/>
        <c:tickLblPos val="nextTo"/>
        <c:crossAx val="10"/>
        <c:crosses val="autoZero"/>
        <c:crossBetween val="between"/>
      </c:valAx>
    </c:plotArea>
    <c:legend>
      <c:legendPos val="b"/>
      <c:overlay val="1"/>
    </c:legend>
    <c:plotVisOnly val="1"/>
    <c:dispBlanksAs val="gap"/>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IN"/>
              <a:t>Demand by Time Band</a:t>
            </a:r>
          </a:p>
        </c:rich>
      </c:tx>
      <c:overlay val="1"/>
    </c:title>
    <c:autoTitleDeleted val="0"/>
    <c:plotArea>
      <c:layout/>
      <c:barChart>
        <c:barDir val="col"/>
        <c:grouping val="clustered"/>
        <c:varyColors val="1"/>
        <c:ser>
          <c:idx val="0"/>
          <c:order val="0"/>
          <c:tx>
            <c:strRef>
              <c:f>Analysis!$C$84</c:f>
              <c:strCache>
                <c:ptCount val="1"/>
                <c:pt idx="0">
                  <c:v>Avg Casual</c:v>
                </c:pt>
              </c:strCache>
            </c:strRef>
          </c:tx>
          <c:spPr>
            <a:solidFill>
              <a:srgbClr val="9AA5B1"/>
            </a:solidFill>
            <a:ln>
              <a:solidFill>
                <a:srgbClr val="9AA5B1"/>
              </a:solidFill>
              <a:prstDash val="solid"/>
            </a:ln>
          </c:spPr>
          <c:invertIfNegative val="1"/>
          <c:cat>
            <c:strRef>
              <c:f>Analysis!$B$85:$B$89</c:f>
              <c:strCache>
                <c:ptCount val="5"/>
                <c:pt idx="0">
                  <c:v>Night</c:v>
                </c:pt>
                <c:pt idx="1">
                  <c:v>Morning</c:v>
                </c:pt>
                <c:pt idx="2">
                  <c:v>Afternoon</c:v>
                </c:pt>
                <c:pt idx="3">
                  <c:v>Evening</c:v>
                </c:pt>
                <c:pt idx="4">
                  <c:v>Late Evening</c:v>
                </c:pt>
              </c:strCache>
            </c:strRef>
          </c:cat>
          <c:val>
            <c:numRef>
              <c:f>Analysis!$C$85:$C$89</c:f>
              <c:numCache>
                <c:formatCode>0.0</c:formatCode>
                <c:ptCount val="5"/>
                <c:pt idx="0">
                  <c:v>0.86899563318777295</c:v>
                </c:pt>
                <c:pt idx="1">
                  <c:v>3.8221343873517788</c:v>
                </c:pt>
                <c:pt idx="2">
                  <c:v>11.527777777777779</c:v>
                </c:pt>
                <c:pt idx="3">
                  <c:v>5.4566473988439306</c:v>
                </c:pt>
                <c:pt idx="4">
                  <c:v>2.4883720930232558</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AA5B1"/>
                    </a:solidFill>
                    <a:prstDash val="solid"/>
                  </a:ln>
                </c14:spPr>
              </c14:invertSolidFillFmt>
            </c:ext>
            <c:ext xmlns:c16="http://schemas.microsoft.com/office/drawing/2014/chart" uri="{C3380CC4-5D6E-409C-BE32-E72D297353CC}">
              <c16:uniqueId val="{00000000-F971-444B-8D6F-0919C8C3DCC4}"/>
            </c:ext>
          </c:extLst>
        </c:ser>
        <c:ser>
          <c:idx val="1"/>
          <c:order val="1"/>
          <c:tx>
            <c:strRef>
              <c:f>Analysis!$D$84</c:f>
              <c:strCache>
                <c:ptCount val="1"/>
                <c:pt idx="0">
                  <c:v>Avg Registered</c:v>
                </c:pt>
              </c:strCache>
            </c:strRef>
          </c:tx>
          <c:spPr>
            <a:solidFill>
              <a:srgbClr val="1F3A5F"/>
            </a:solidFill>
            <a:ln>
              <a:solidFill>
                <a:srgbClr val="1F3A5F"/>
              </a:solidFill>
              <a:prstDash val="solid"/>
            </a:ln>
          </c:spPr>
          <c:invertIfNegative val="1"/>
          <c:cat>
            <c:strRef>
              <c:f>Analysis!$B$85:$B$89</c:f>
              <c:strCache>
                <c:ptCount val="5"/>
                <c:pt idx="0">
                  <c:v>Night</c:v>
                </c:pt>
                <c:pt idx="1">
                  <c:v>Morning</c:v>
                </c:pt>
                <c:pt idx="2">
                  <c:v>Afternoon</c:v>
                </c:pt>
                <c:pt idx="3">
                  <c:v>Evening</c:v>
                </c:pt>
                <c:pt idx="4">
                  <c:v>Late Evening</c:v>
                </c:pt>
              </c:strCache>
            </c:strRef>
          </c:cat>
          <c:val>
            <c:numRef>
              <c:f>Analysis!$D$85:$D$89</c:f>
              <c:numCache>
                <c:formatCode>0.0</c:formatCode>
                <c:ptCount val="5"/>
                <c:pt idx="0">
                  <c:v>7.1703056768558948</c:v>
                </c:pt>
                <c:pt idx="1">
                  <c:v>63.245059288537547</c:v>
                </c:pt>
                <c:pt idx="2">
                  <c:v>67.819444444444443</c:v>
                </c:pt>
                <c:pt idx="3">
                  <c:v>97.25433526011561</c:v>
                </c:pt>
                <c:pt idx="4">
                  <c:v>33.069767441860463</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1F3A5F"/>
                    </a:solidFill>
                    <a:prstDash val="solid"/>
                  </a:ln>
                </c14:spPr>
              </c14:invertSolidFillFmt>
            </c:ext>
            <c:ext xmlns:c16="http://schemas.microsoft.com/office/drawing/2014/chart" uri="{C3380CC4-5D6E-409C-BE32-E72D297353CC}">
              <c16:uniqueId val="{00000001-F971-444B-8D6F-0919C8C3DCC4}"/>
            </c:ext>
          </c:extLst>
        </c:ser>
        <c:ser>
          <c:idx val="2"/>
          <c:order val="2"/>
          <c:tx>
            <c:strRef>
              <c:f>Analysis!$E$84</c:f>
              <c:strCache>
                <c:ptCount val="1"/>
                <c:pt idx="0">
                  <c:v>Avg Total</c:v>
                </c:pt>
              </c:strCache>
            </c:strRef>
          </c:tx>
          <c:spPr>
            <a:solidFill>
              <a:srgbClr val="E76F51"/>
            </a:solidFill>
            <a:ln>
              <a:solidFill>
                <a:srgbClr val="E76F51"/>
              </a:solidFill>
              <a:prstDash val="solid"/>
            </a:ln>
          </c:spPr>
          <c:invertIfNegative val="1"/>
          <c:cat>
            <c:strRef>
              <c:f>Analysis!$B$85:$B$89</c:f>
              <c:strCache>
                <c:ptCount val="5"/>
                <c:pt idx="0">
                  <c:v>Night</c:v>
                </c:pt>
                <c:pt idx="1">
                  <c:v>Morning</c:v>
                </c:pt>
                <c:pt idx="2">
                  <c:v>Afternoon</c:v>
                </c:pt>
                <c:pt idx="3">
                  <c:v>Evening</c:v>
                </c:pt>
                <c:pt idx="4">
                  <c:v>Late Evening</c:v>
                </c:pt>
              </c:strCache>
            </c:strRef>
          </c:cat>
          <c:val>
            <c:numRef>
              <c:f>Analysis!$E$85:$E$89</c:f>
              <c:numCache>
                <c:formatCode>#,##0</c:formatCode>
                <c:ptCount val="5"/>
                <c:pt idx="0">
                  <c:v>8.039301310043669</c:v>
                </c:pt>
                <c:pt idx="1">
                  <c:v>67.067193675889328</c:v>
                </c:pt>
                <c:pt idx="2">
                  <c:v>79.347222222222229</c:v>
                </c:pt>
                <c:pt idx="3">
                  <c:v>102.71098265895954</c:v>
                </c:pt>
                <c:pt idx="4">
                  <c:v>35.558139534883722</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E76F51"/>
                    </a:solidFill>
                    <a:prstDash val="solid"/>
                  </a:ln>
                </c14:spPr>
              </c14:invertSolidFillFmt>
            </c:ext>
            <c:ext xmlns:c16="http://schemas.microsoft.com/office/drawing/2014/chart" uri="{C3380CC4-5D6E-409C-BE32-E72D297353CC}">
              <c16:uniqueId val="{00000002-F971-444B-8D6F-0919C8C3DCC4}"/>
            </c:ext>
          </c:extLst>
        </c:ser>
        <c:dLbls>
          <c:showLegendKey val="0"/>
          <c:showVal val="0"/>
          <c:showCatName val="0"/>
          <c:showSerName val="0"/>
          <c:showPercent val="0"/>
          <c:showBubbleSize val="0"/>
        </c:dLbls>
        <c:gapWidth val="6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spPr>
            <a:ln>
              <a:solidFill>
                <a:srgbClr val="E5E8EB"/>
              </a:solidFill>
              <a:prstDash val="solid"/>
            </a:ln>
          </c:spPr>
        </c:majorGridlines>
        <c:title>
          <c:tx>
            <c:rich>
              <a:bodyPr/>
              <a:lstStyle/>
              <a:p>
                <a:pPr>
                  <a:defRPr/>
                </a:pPr>
                <a:r>
                  <a:rPr lang="en-IN"/>
                  <a:t>Avg rentals per hour</a:t>
                </a:r>
              </a:p>
            </c:rich>
          </c:tx>
          <c:overlay val="1"/>
        </c:title>
        <c:numFmt formatCode="#,##0" sourceLinked="0"/>
        <c:majorTickMark val="none"/>
        <c:minorTickMark val="none"/>
        <c:tickLblPos val="nextTo"/>
        <c:crossAx val="10"/>
        <c:crosses val="autoZero"/>
        <c:crossBetween val="between"/>
      </c:valAx>
    </c:plotArea>
    <c:legend>
      <c:legendPos val="b"/>
      <c:overlay val="1"/>
    </c:legend>
    <c:plotVisOnly val="1"/>
    <c:dispBlanksAs val="gap"/>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IN"/>
              <a:t>Demand by Temperature Band</a:t>
            </a:r>
          </a:p>
        </c:rich>
      </c:tx>
      <c:overlay val="1"/>
    </c:title>
    <c:autoTitleDeleted val="0"/>
    <c:plotArea>
      <c:layout/>
      <c:barChart>
        <c:barDir val="col"/>
        <c:grouping val="clustered"/>
        <c:varyColors val="1"/>
        <c:ser>
          <c:idx val="0"/>
          <c:order val="0"/>
          <c:tx>
            <c:strRef>
              <c:f>Analysis!$C$101</c:f>
              <c:strCache>
                <c:ptCount val="1"/>
                <c:pt idx="0">
                  <c:v>Avg Casual</c:v>
                </c:pt>
              </c:strCache>
            </c:strRef>
          </c:tx>
          <c:spPr>
            <a:solidFill>
              <a:srgbClr val="9AA5B1"/>
            </a:solidFill>
            <a:ln>
              <a:solidFill>
                <a:srgbClr val="9AA5B1"/>
              </a:solidFill>
              <a:prstDash val="solid"/>
            </a:ln>
          </c:spPr>
          <c:invertIfNegative val="1"/>
          <c:cat>
            <c:strRef>
              <c:f>Analysis!$B$102:$B$104</c:f>
              <c:strCache>
                <c:ptCount val="3"/>
                <c:pt idx="0">
                  <c:v>Cold</c:v>
                </c:pt>
                <c:pt idx="1">
                  <c:v>Mild</c:v>
                </c:pt>
                <c:pt idx="2">
                  <c:v>Warm</c:v>
                </c:pt>
              </c:strCache>
            </c:strRef>
          </c:cat>
          <c:val>
            <c:numRef>
              <c:f>Analysis!$C$102:$C$104</c:f>
              <c:numCache>
                <c:formatCode>0.0</c:formatCode>
                <c:ptCount val="3"/>
                <c:pt idx="0">
                  <c:v>2.2823529411764705</c:v>
                </c:pt>
                <c:pt idx="1">
                  <c:v>4.5400457665903886</c:v>
                </c:pt>
                <c:pt idx="2">
                  <c:v>14.253623188405797</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AA5B1"/>
                    </a:solidFill>
                    <a:prstDash val="solid"/>
                  </a:ln>
                </c14:spPr>
              </c14:invertSolidFillFmt>
            </c:ext>
            <c:ext xmlns:c16="http://schemas.microsoft.com/office/drawing/2014/chart" uri="{C3380CC4-5D6E-409C-BE32-E72D297353CC}">
              <c16:uniqueId val="{00000000-5F8C-1244-A685-70E4C0BF2BB9}"/>
            </c:ext>
          </c:extLst>
        </c:ser>
        <c:ser>
          <c:idx val="1"/>
          <c:order val="1"/>
          <c:tx>
            <c:strRef>
              <c:f>Analysis!$D$101</c:f>
              <c:strCache>
                <c:ptCount val="1"/>
                <c:pt idx="0">
                  <c:v>Avg Registered</c:v>
                </c:pt>
              </c:strCache>
            </c:strRef>
          </c:tx>
          <c:spPr>
            <a:solidFill>
              <a:srgbClr val="1F3A5F"/>
            </a:solidFill>
            <a:ln>
              <a:solidFill>
                <a:srgbClr val="1F3A5F"/>
              </a:solidFill>
              <a:prstDash val="solid"/>
            </a:ln>
          </c:spPr>
          <c:invertIfNegative val="1"/>
          <c:cat>
            <c:strRef>
              <c:f>Analysis!$B$102:$B$104</c:f>
              <c:strCache>
                <c:ptCount val="3"/>
                <c:pt idx="0">
                  <c:v>Cold</c:v>
                </c:pt>
                <c:pt idx="1">
                  <c:v>Mild</c:v>
                </c:pt>
                <c:pt idx="2">
                  <c:v>Warm</c:v>
                </c:pt>
              </c:strCache>
            </c:strRef>
          </c:cat>
          <c:val>
            <c:numRef>
              <c:f>Analysis!$D$102:$D$104</c:f>
              <c:numCache>
                <c:formatCode>0.0</c:formatCode>
                <c:ptCount val="3"/>
                <c:pt idx="0">
                  <c:v>45.402352941176474</c:v>
                </c:pt>
                <c:pt idx="1">
                  <c:v>55.455377574370708</c:v>
                </c:pt>
                <c:pt idx="2">
                  <c:v>71.398550724637687</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1F3A5F"/>
                    </a:solidFill>
                    <a:prstDash val="solid"/>
                  </a:ln>
                </c14:spPr>
              </c14:invertSolidFillFmt>
            </c:ext>
            <c:ext xmlns:c16="http://schemas.microsoft.com/office/drawing/2014/chart" uri="{C3380CC4-5D6E-409C-BE32-E72D297353CC}">
              <c16:uniqueId val="{00000001-5F8C-1244-A685-70E4C0BF2BB9}"/>
            </c:ext>
          </c:extLst>
        </c:ser>
        <c:ser>
          <c:idx val="2"/>
          <c:order val="2"/>
          <c:tx>
            <c:strRef>
              <c:f>Analysis!$E$101</c:f>
              <c:strCache>
                <c:ptCount val="1"/>
                <c:pt idx="0">
                  <c:v>Avg Total</c:v>
                </c:pt>
              </c:strCache>
            </c:strRef>
          </c:tx>
          <c:spPr>
            <a:solidFill>
              <a:srgbClr val="E76F51"/>
            </a:solidFill>
            <a:ln>
              <a:solidFill>
                <a:srgbClr val="E76F51"/>
              </a:solidFill>
              <a:prstDash val="solid"/>
            </a:ln>
          </c:spPr>
          <c:invertIfNegative val="1"/>
          <c:cat>
            <c:strRef>
              <c:f>Analysis!$B$102:$B$104</c:f>
              <c:strCache>
                <c:ptCount val="3"/>
                <c:pt idx="0">
                  <c:v>Cold</c:v>
                </c:pt>
                <c:pt idx="1">
                  <c:v>Mild</c:v>
                </c:pt>
                <c:pt idx="2">
                  <c:v>Warm</c:v>
                </c:pt>
              </c:strCache>
            </c:strRef>
          </c:cat>
          <c:val>
            <c:numRef>
              <c:f>Analysis!$E$102:$E$104</c:f>
              <c:numCache>
                <c:formatCode>#,##0</c:formatCode>
                <c:ptCount val="3"/>
                <c:pt idx="0">
                  <c:v>47.684705882352944</c:v>
                </c:pt>
                <c:pt idx="1">
                  <c:v>59.995423340961096</c:v>
                </c:pt>
                <c:pt idx="2">
                  <c:v>85.652173913043484</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E76F51"/>
                    </a:solidFill>
                    <a:prstDash val="solid"/>
                  </a:ln>
                </c14:spPr>
              </c14:invertSolidFillFmt>
            </c:ext>
            <c:ext xmlns:c16="http://schemas.microsoft.com/office/drawing/2014/chart" uri="{C3380CC4-5D6E-409C-BE32-E72D297353CC}">
              <c16:uniqueId val="{00000002-5F8C-1244-A685-70E4C0BF2BB9}"/>
            </c:ext>
          </c:extLst>
        </c:ser>
        <c:dLbls>
          <c:showLegendKey val="0"/>
          <c:showVal val="0"/>
          <c:showCatName val="0"/>
          <c:showSerName val="0"/>
          <c:showPercent val="0"/>
          <c:showBubbleSize val="0"/>
        </c:dLbls>
        <c:gapWidth val="6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spPr>
            <a:ln>
              <a:solidFill>
                <a:srgbClr val="E5E8EB"/>
              </a:solidFill>
              <a:prstDash val="solid"/>
            </a:ln>
          </c:spPr>
        </c:majorGridlines>
        <c:title>
          <c:tx>
            <c:rich>
              <a:bodyPr/>
              <a:lstStyle/>
              <a:p>
                <a:pPr>
                  <a:defRPr/>
                </a:pPr>
                <a:r>
                  <a:rPr lang="en-IN"/>
                  <a:t>Avg rentals per hour</a:t>
                </a:r>
              </a:p>
            </c:rich>
          </c:tx>
          <c:overlay val="1"/>
        </c:title>
        <c:numFmt formatCode="#,##0" sourceLinked="0"/>
        <c:majorTickMark val="none"/>
        <c:minorTickMark val="none"/>
        <c:tickLblPos val="nextTo"/>
        <c:crossAx val="10"/>
        <c:crosses val="autoZero"/>
        <c:crossBetween val="between"/>
      </c:valAx>
    </c:plotArea>
    <c:legend>
      <c:legendPos val="b"/>
      <c:overlay val="1"/>
    </c:legend>
    <c:plotVisOnly val="1"/>
    <c:dispBlanksAs val="gap"/>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IN"/>
              <a:t>Demand by Humidity Band</a:t>
            </a:r>
          </a:p>
        </c:rich>
      </c:tx>
      <c:overlay val="1"/>
    </c:title>
    <c:autoTitleDeleted val="0"/>
    <c:plotArea>
      <c:layout/>
      <c:barChart>
        <c:barDir val="col"/>
        <c:grouping val="clustered"/>
        <c:varyColors val="1"/>
        <c:ser>
          <c:idx val="0"/>
          <c:order val="0"/>
          <c:tx>
            <c:strRef>
              <c:f>Analysis!$C$118</c:f>
              <c:strCache>
                <c:ptCount val="1"/>
                <c:pt idx="0">
                  <c:v>Avg Casual</c:v>
                </c:pt>
              </c:strCache>
            </c:strRef>
          </c:tx>
          <c:spPr>
            <a:solidFill>
              <a:srgbClr val="9AA5B1"/>
            </a:solidFill>
            <a:ln>
              <a:solidFill>
                <a:srgbClr val="9AA5B1"/>
              </a:solidFill>
              <a:prstDash val="solid"/>
            </a:ln>
          </c:spPr>
          <c:invertIfNegative val="1"/>
          <c:cat>
            <c:strRef>
              <c:f>Analysis!$B$119:$B$121</c:f>
              <c:strCache>
                <c:ptCount val="3"/>
                <c:pt idx="0">
                  <c:v>Low</c:v>
                </c:pt>
                <c:pt idx="1">
                  <c:v>Medium</c:v>
                </c:pt>
                <c:pt idx="2">
                  <c:v>High</c:v>
                </c:pt>
              </c:strCache>
            </c:strRef>
          </c:cat>
          <c:val>
            <c:numRef>
              <c:f>Analysis!$C$119:$C$121</c:f>
              <c:numCache>
                <c:formatCode>0.0</c:formatCode>
                <c:ptCount val="3"/>
                <c:pt idx="0">
                  <c:v>7.5447368421052632</c:v>
                </c:pt>
                <c:pt idx="1">
                  <c:v>3.4239401496259352</c:v>
                </c:pt>
                <c:pt idx="2">
                  <c:v>3.1095890410958904</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AA5B1"/>
                    </a:solidFill>
                    <a:prstDash val="solid"/>
                  </a:ln>
                </c14:spPr>
              </c14:invertSolidFillFmt>
            </c:ext>
            <c:ext xmlns:c16="http://schemas.microsoft.com/office/drawing/2014/chart" uri="{C3380CC4-5D6E-409C-BE32-E72D297353CC}">
              <c16:uniqueId val="{00000000-FFEF-2B45-A507-F1B9EA2FBE70}"/>
            </c:ext>
          </c:extLst>
        </c:ser>
        <c:ser>
          <c:idx val="1"/>
          <c:order val="1"/>
          <c:tx>
            <c:strRef>
              <c:f>Analysis!$D$118</c:f>
              <c:strCache>
                <c:ptCount val="1"/>
                <c:pt idx="0">
                  <c:v>Avg Registered</c:v>
                </c:pt>
              </c:strCache>
            </c:strRef>
          </c:tx>
          <c:spPr>
            <a:solidFill>
              <a:srgbClr val="1F3A5F"/>
            </a:solidFill>
            <a:ln>
              <a:solidFill>
                <a:srgbClr val="1F3A5F"/>
              </a:solidFill>
              <a:prstDash val="solid"/>
            </a:ln>
          </c:spPr>
          <c:invertIfNegative val="1"/>
          <c:cat>
            <c:strRef>
              <c:f>Analysis!$B$119:$B$121</c:f>
              <c:strCache>
                <c:ptCount val="3"/>
                <c:pt idx="0">
                  <c:v>Low</c:v>
                </c:pt>
                <c:pt idx="1">
                  <c:v>Medium</c:v>
                </c:pt>
                <c:pt idx="2">
                  <c:v>High</c:v>
                </c:pt>
              </c:strCache>
            </c:strRef>
          </c:cat>
          <c:val>
            <c:numRef>
              <c:f>Analysis!$D$119:$D$121</c:f>
              <c:numCache>
                <c:formatCode>0.0</c:formatCode>
                <c:ptCount val="3"/>
                <c:pt idx="0">
                  <c:v>65.563157894736847</c:v>
                </c:pt>
                <c:pt idx="1">
                  <c:v>49.710723192019948</c:v>
                </c:pt>
                <c:pt idx="2">
                  <c:v>38.972602739726028</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1F3A5F"/>
                    </a:solidFill>
                    <a:prstDash val="solid"/>
                  </a:ln>
                </c14:spPr>
              </c14:invertSolidFillFmt>
            </c:ext>
            <c:ext xmlns:c16="http://schemas.microsoft.com/office/drawing/2014/chart" uri="{C3380CC4-5D6E-409C-BE32-E72D297353CC}">
              <c16:uniqueId val="{00000001-FFEF-2B45-A507-F1B9EA2FBE70}"/>
            </c:ext>
          </c:extLst>
        </c:ser>
        <c:ser>
          <c:idx val="2"/>
          <c:order val="2"/>
          <c:tx>
            <c:strRef>
              <c:f>Analysis!$E$118</c:f>
              <c:strCache>
                <c:ptCount val="1"/>
                <c:pt idx="0">
                  <c:v>Avg Total</c:v>
                </c:pt>
              </c:strCache>
            </c:strRef>
          </c:tx>
          <c:spPr>
            <a:solidFill>
              <a:srgbClr val="E76F51"/>
            </a:solidFill>
            <a:ln>
              <a:solidFill>
                <a:srgbClr val="E76F51"/>
              </a:solidFill>
              <a:prstDash val="solid"/>
            </a:ln>
          </c:spPr>
          <c:invertIfNegative val="1"/>
          <c:cat>
            <c:strRef>
              <c:f>Analysis!$B$119:$B$121</c:f>
              <c:strCache>
                <c:ptCount val="3"/>
                <c:pt idx="0">
                  <c:v>Low</c:v>
                </c:pt>
                <c:pt idx="1">
                  <c:v>Medium</c:v>
                </c:pt>
                <c:pt idx="2">
                  <c:v>High</c:v>
                </c:pt>
              </c:strCache>
            </c:strRef>
          </c:cat>
          <c:val>
            <c:numRef>
              <c:f>Analysis!$E$119:$E$121</c:f>
              <c:numCache>
                <c:formatCode>#,##0</c:formatCode>
                <c:ptCount val="3"/>
                <c:pt idx="0">
                  <c:v>73.107894736842098</c:v>
                </c:pt>
                <c:pt idx="1">
                  <c:v>53.134663341645883</c:v>
                </c:pt>
                <c:pt idx="2">
                  <c:v>42.082191780821915</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E76F51"/>
                    </a:solidFill>
                    <a:prstDash val="solid"/>
                  </a:ln>
                </c14:spPr>
              </c14:invertSolidFillFmt>
            </c:ext>
            <c:ext xmlns:c16="http://schemas.microsoft.com/office/drawing/2014/chart" uri="{C3380CC4-5D6E-409C-BE32-E72D297353CC}">
              <c16:uniqueId val="{00000002-FFEF-2B45-A507-F1B9EA2FBE70}"/>
            </c:ext>
          </c:extLst>
        </c:ser>
        <c:dLbls>
          <c:showLegendKey val="0"/>
          <c:showVal val="0"/>
          <c:showCatName val="0"/>
          <c:showSerName val="0"/>
          <c:showPercent val="0"/>
          <c:showBubbleSize val="0"/>
        </c:dLbls>
        <c:gapWidth val="6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spPr>
            <a:ln>
              <a:solidFill>
                <a:srgbClr val="E5E8EB"/>
              </a:solidFill>
              <a:prstDash val="solid"/>
            </a:ln>
          </c:spPr>
        </c:majorGridlines>
        <c:title>
          <c:tx>
            <c:rich>
              <a:bodyPr/>
              <a:lstStyle/>
              <a:p>
                <a:pPr>
                  <a:defRPr/>
                </a:pPr>
                <a:r>
                  <a:rPr lang="en-IN"/>
                  <a:t>Avg rentals per hour</a:t>
                </a:r>
              </a:p>
            </c:rich>
          </c:tx>
          <c:overlay val="1"/>
        </c:title>
        <c:numFmt formatCode="#,##0" sourceLinked="0"/>
        <c:majorTickMark val="none"/>
        <c:minorTickMark val="none"/>
        <c:tickLblPos val="nextTo"/>
        <c:crossAx val="10"/>
        <c:crosses val="autoZero"/>
        <c:crossBetween val="between"/>
      </c:valAx>
    </c:plotArea>
    <c:legend>
      <c:legendPos val="b"/>
      <c:overlay val="1"/>
    </c:legend>
    <c:plotVisOnly val="1"/>
    <c:dispBlanksAs val="gap"/>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IN"/>
              <a:t>Demand by Month</a:t>
            </a:r>
          </a:p>
        </c:rich>
      </c:tx>
      <c:overlay val="1"/>
    </c:title>
    <c:autoTitleDeleted val="0"/>
    <c:plotArea>
      <c:layout/>
      <c:barChart>
        <c:barDir val="col"/>
        <c:grouping val="clustered"/>
        <c:varyColors val="1"/>
        <c:ser>
          <c:idx val="0"/>
          <c:order val="0"/>
          <c:tx>
            <c:strRef>
              <c:f>Analysis!$C$135</c:f>
              <c:strCache>
                <c:ptCount val="1"/>
                <c:pt idx="0">
                  <c:v>Avg Casual</c:v>
                </c:pt>
              </c:strCache>
            </c:strRef>
          </c:tx>
          <c:spPr>
            <a:solidFill>
              <a:srgbClr val="9AA5B1"/>
            </a:solidFill>
            <a:ln>
              <a:solidFill>
                <a:srgbClr val="9AA5B1"/>
              </a:solidFill>
              <a:prstDash val="solid"/>
            </a:ln>
          </c:spPr>
          <c:invertIfNegative val="1"/>
          <c:cat>
            <c:strRef>
              <c:f>Analysis!$B$136:$B$137</c:f>
              <c:strCache>
                <c:ptCount val="2"/>
                <c:pt idx="0">
                  <c:v>Jan</c:v>
                </c:pt>
                <c:pt idx="1">
                  <c:v>Feb</c:v>
                </c:pt>
              </c:strCache>
            </c:strRef>
          </c:cat>
          <c:val>
            <c:numRef>
              <c:f>Analysis!$C$136:$C$137</c:f>
              <c:numCache>
                <c:formatCode>0.0</c:formatCode>
                <c:ptCount val="2"/>
                <c:pt idx="0">
                  <c:v>4.4665697674418601</c:v>
                </c:pt>
                <c:pt idx="1">
                  <c:v>5.9230769230769234</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AA5B1"/>
                    </a:solidFill>
                    <a:prstDash val="solid"/>
                  </a:ln>
                </c14:spPr>
              </c14:invertSolidFillFmt>
            </c:ext>
            <c:ext xmlns:c16="http://schemas.microsoft.com/office/drawing/2014/chart" uri="{C3380CC4-5D6E-409C-BE32-E72D297353CC}">
              <c16:uniqueId val="{00000000-D670-1740-87D2-838A5DD92392}"/>
            </c:ext>
          </c:extLst>
        </c:ser>
        <c:ser>
          <c:idx val="1"/>
          <c:order val="1"/>
          <c:tx>
            <c:strRef>
              <c:f>Analysis!$D$135</c:f>
              <c:strCache>
                <c:ptCount val="1"/>
                <c:pt idx="0">
                  <c:v>Avg Registered</c:v>
                </c:pt>
              </c:strCache>
            </c:strRef>
          </c:tx>
          <c:spPr>
            <a:solidFill>
              <a:srgbClr val="1F3A5F"/>
            </a:solidFill>
            <a:ln>
              <a:solidFill>
                <a:srgbClr val="1F3A5F"/>
              </a:solidFill>
              <a:prstDash val="solid"/>
            </a:ln>
          </c:spPr>
          <c:invertIfNegative val="1"/>
          <c:cat>
            <c:strRef>
              <c:f>Analysis!$B$136:$B$137</c:f>
              <c:strCache>
                <c:ptCount val="2"/>
                <c:pt idx="0">
                  <c:v>Jan</c:v>
                </c:pt>
                <c:pt idx="1">
                  <c:v>Feb</c:v>
                </c:pt>
              </c:strCache>
            </c:strRef>
          </c:cat>
          <c:val>
            <c:numRef>
              <c:f>Analysis!$D$136:$D$137</c:f>
              <c:numCache>
                <c:formatCode>0.0</c:formatCode>
                <c:ptCount val="2"/>
                <c:pt idx="0">
                  <c:v>51.040697674418603</c:v>
                </c:pt>
                <c:pt idx="1">
                  <c:v>58.54807692307692</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1F3A5F"/>
                    </a:solidFill>
                    <a:prstDash val="solid"/>
                  </a:ln>
                </c14:spPr>
              </c14:invertSolidFillFmt>
            </c:ext>
            <c:ext xmlns:c16="http://schemas.microsoft.com/office/drawing/2014/chart" uri="{C3380CC4-5D6E-409C-BE32-E72D297353CC}">
              <c16:uniqueId val="{00000001-D670-1740-87D2-838A5DD92392}"/>
            </c:ext>
          </c:extLst>
        </c:ser>
        <c:ser>
          <c:idx val="2"/>
          <c:order val="2"/>
          <c:tx>
            <c:strRef>
              <c:f>Analysis!$E$135</c:f>
              <c:strCache>
                <c:ptCount val="1"/>
                <c:pt idx="0">
                  <c:v>Avg Total</c:v>
                </c:pt>
              </c:strCache>
            </c:strRef>
          </c:tx>
          <c:spPr>
            <a:solidFill>
              <a:srgbClr val="E76F51"/>
            </a:solidFill>
            <a:ln>
              <a:solidFill>
                <a:srgbClr val="E76F51"/>
              </a:solidFill>
              <a:prstDash val="solid"/>
            </a:ln>
          </c:spPr>
          <c:invertIfNegative val="1"/>
          <c:cat>
            <c:strRef>
              <c:f>Analysis!$B$136:$B$137</c:f>
              <c:strCache>
                <c:ptCount val="2"/>
                <c:pt idx="0">
                  <c:v>Jan</c:v>
                </c:pt>
                <c:pt idx="1">
                  <c:v>Feb</c:v>
                </c:pt>
              </c:strCache>
            </c:strRef>
          </c:cat>
          <c:val>
            <c:numRef>
              <c:f>Analysis!$E$136:$E$137</c:f>
              <c:numCache>
                <c:formatCode>#,##0</c:formatCode>
                <c:ptCount val="2"/>
                <c:pt idx="0">
                  <c:v>55.507267441860463</c:v>
                </c:pt>
                <c:pt idx="1">
                  <c:v>64.47115384615384</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E76F51"/>
                    </a:solidFill>
                    <a:prstDash val="solid"/>
                  </a:ln>
                </c14:spPr>
              </c14:invertSolidFillFmt>
            </c:ext>
            <c:ext xmlns:c16="http://schemas.microsoft.com/office/drawing/2014/chart" uri="{C3380CC4-5D6E-409C-BE32-E72D297353CC}">
              <c16:uniqueId val="{00000002-D670-1740-87D2-838A5DD92392}"/>
            </c:ext>
          </c:extLst>
        </c:ser>
        <c:dLbls>
          <c:showLegendKey val="0"/>
          <c:showVal val="0"/>
          <c:showCatName val="0"/>
          <c:showSerName val="0"/>
          <c:showPercent val="0"/>
          <c:showBubbleSize val="0"/>
        </c:dLbls>
        <c:gapWidth val="6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spPr>
            <a:ln>
              <a:solidFill>
                <a:srgbClr val="E5E8EB"/>
              </a:solidFill>
              <a:prstDash val="solid"/>
            </a:ln>
          </c:spPr>
        </c:majorGridlines>
        <c:title>
          <c:tx>
            <c:rich>
              <a:bodyPr/>
              <a:lstStyle/>
              <a:p>
                <a:pPr>
                  <a:defRPr/>
                </a:pPr>
                <a:r>
                  <a:rPr lang="en-IN"/>
                  <a:t>Avg rentals per hour</a:t>
                </a:r>
              </a:p>
            </c:rich>
          </c:tx>
          <c:overlay val="1"/>
        </c:title>
        <c:numFmt formatCode="#,##0" sourceLinked="0"/>
        <c:majorTickMark val="none"/>
        <c:minorTickMark val="none"/>
        <c:tickLblPos val="nextTo"/>
        <c:crossAx val="10"/>
        <c:crosses val="autoZero"/>
        <c:crossBetween val="between"/>
      </c:valAx>
    </c:plotArea>
    <c:legend>
      <c:legendPos val="b"/>
      <c:overlay val="1"/>
    </c:legend>
    <c:plotVisOnly val="1"/>
    <c:dispBlanksAs val="gap"/>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IN"/>
              <a:t>Daily Rentals Trend</a:t>
            </a:r>
          </a:p>
        </c:rich>
      </c:tx>
      <c:overlay val="1"/>
    </c:title>
    <c:autoTitleDeleted val="0"/>
    <c:plotArea>
      <c:layout/>
      <c:lineChart>
        <c:grouping val="standard"/>
        <c:varyColors val="1"/>
        <c:ser>
          <c:idx val="0"/>
          <c:order val="0"/>
          <c:tx>
            <c:strRef>
              <c:f>Analysis!$C$152</c:f>
              <c:strCache>
                <c:ptCount val="1"/>
                <c:pt idx="0">
                  <c:v>Total Rentals</c:v>
                </c:pt>
              </c:strCache>
            </c:strRef>
          </c:tx>
          <c:spPr>
            <a:ln w="22000">
              <a:solidFill>
                <a:srgbClr val="E76F51"/>
              </a:solidFill>
              <a:prstDash val="solid"/>
            </a:ln>
          </c:spPr>
          <c:marker>
            <c:symbol val="none"/>
          </c:marker>
          <c:cat>
            <c:numRef>
              <c:f>Analysis!$B$153:$B$197</c:f>
              <c:numCache>
                <c:formatCode>d\-mmm</c:formatCode>
                <c:ptCount val="45"/>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numCache>
            </c:numRef>
          </c:cat>
          <c:val>
            <c:numRef>
              <c:f>Analysis!$C$153:$C$197</c:f>
              <c:numCache>
                <c:formatCode>#,##0</c:formatCode>
                <c:ptCount val="4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smooth val="0"/>
          <c:extLst>
            <c:ext xmlns:c16="http://schemas.microsoft.com/office/drawing/2014/chart" uri="{C3380CC4-5D6E-409C-BE32-E72D297353CC}">
              <c16:uniqueId val="{00000000-E8E8-E148-85EA-94A0D70B46A3}"/>
            </c:ext>
          </c:extLst>
        </c:ser>
        <c:ser>
          <c:idx val="1"/>
          <c:order val="1"/>
          <c:tx>
            <c:strRef>
              <c:f>Analysis!$D$152</c:f>
              <c:strCache>
                <c:ptCount val="1"/>
                <c:pt idx="0">
                  <c:v>Registered</c:v>
                </c:pt>
              </c:strCache>
            </c:strRef>
          </c:tx>
          <c:spPr>
            <a:ln w="22000">
              <a:solidFill>
                <a:srgbClr val="1F3A5F"/>
              </a:solidFill>
              <a:prstDash val="solid"/>
            </a:ln>
          </c:spPr>
          <c:marker>
            <c:symbol val="none"/>
          </c:marker>
          <c:cat>
            <c:numRef>
              <c:f>Analysis!$B$153:$B$197</c:f>
              <c:numCache>
                <c:formatCode>d\-mmm</c:formatCode>
                <c:ptCount val="45"/>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numCache>
            </c:numRef>
          </c:cat>
          <c:val>
            <c:numRef>
              <c:f>Analysis!$D$153:$D$197</c:f>
              <c:numCache>
                <c:formatCode>#,##0</c:formatCode>
                <c:ptCount val="45"/>
                <c:pt idx="0">
                  <c:v>654</c:v>
                </c:pt>
                <c:pt idx="1">
                  <c:v>670</c:v>
                </c:pt>
                <c:pt idx="2">
                  <c:v>1229</c:v>
                </c:pt>
                <c:pt idx="3">
                  <c:v>1454</c:v>
                </c:pt>
                <c:pt idx="4">
                  <c:v>1518</c:v>
                </c:pt>
                <c:pt idx="5">
                  <c:v>1518</c:v>
                </c:pt>
                <c:pt idx="6">
                  <c:v>1362</c:v>
                </c:pt>
                <c:pt idx="7">
                  <c:v>891</c:v>
                </c:pt>
                <c:pt idx="8">
                  <c:v>768</c:v>
                </c:pt>
                <c:pt idx="9">
                  <c:v>1280</c:v>
                </c:pt>
                <c:pt idx="10">
                  <c:v>1220</c:v>
                </c:pt>
                <c:pt idx="11">
                  <c:v>1137</c:v>
                </c:pt>
                <c:pt idx="12">
                  <c:v>1368</c:v>
                </c:pt>
                <c:pt idx="13">
                  <c:v>1367</c:v>
                </c:pt>
                <c:pt idx="14">
                  <c:v>1026</c:v>
                </c:pt>
                <c:pt idx="15">
                  <c:v>953</c:v>
                </c:pt>
                <c:pt idx="16">
                  <c:v>883</c:v>
                </c:pt>
                <c:pt idx="17">
                  <c:v>674</c:v>
                </c:pt>
                <c:pt idx="18">
                  <c:v>1572</c:v>
                </c:pt>
                <c:pt idx="19">
                  <c:v>1844</c:v>
                </c:pt>
                <c:pt idx="20">
                  <c:v>1468</c:v>
                </c:pt>
                <c:pt idx="21">
                  <c:v>888</c:v>
                </c:pt>
                <c:pt idx="22">
                  <c:v>836</c:v>
                </c:pt>
                <c:pt idx="23">
                  <c:v>1330</c:v>
                </c:pt>
                <c:pt idx="24">
                  <c:v>1799</c:v>
                </c:pt>
                <c:pt idx="25">
                  <c:v>472</c:v>
                </c:pt>
                <c:pt idx="26">
                  <c:v>416</c:v>
                </c:pt>
                <c:pt idx="27">
                  <c:v>1129</c:v>
                </c:pt>
                <c:pt idx="28">
                  <c:v>975</c:v>
                </c:pt>
                <c:pt idx="29">
                  <c:v>956</c:v>
                </c:pt>
                <c:pt idx="30">
                  <c:v>1459</c:v>
                </c:pt>
                <c:pt idx="31">
                  <c:v>1313</c:v>
                </c:pt>
                <c:pt idx="32">
                  <c:v>1454</c:v>
                </c:pt>
                <c:pt idx="33">
                  <c:v>1489</c:v>
                </c:pt>
                <c:pt idx="34">
                  <c:v>1620</c:v>
                </c:pt>
                <c:pt idx="35">
                  <c:v>905</c:v>
                </c:pt>
                <c:pt idx="36">
                  <c:v>1269</c:v>
                </c:pt>
                <c:pt idx="37">
                  <c:v>1592</c:v>
                </c:pt>
                <c:pt idx="38">
                  <c:v>1466</c:v>
                </c:pt>
                <c:pt idx="39">
                  <c:v>1552</c:v>
                </c:pt>
                <c:pt idx="40">
                  <c:v>1491</c:v>
                </c:pt>
                <c:pt idx="41">
                  <c:v>1597</c:v>
                </c:pt>
                <c:pt idx="42">
                  <c:v>1184</c:v>
                </c:pt>
                <c:pt idx="43">
                  <c:v>1192</c:v>
                </c:pt>
                <c:pt idx="44">
                  <c:v>143</c:v>
                </c:pt>
              </c:numCache>
            </c:numRef>
          </c:val>
          <c:smooth val="0"/>
          <c:extLst>
            <c:ext xmlns:c16="http://schemas.microsoft.com/office/drawing/2014/chart" uri="{C3380CC4-5D6E-409C-BE32-E72D297353CC}">
              <c16:uniqueId val="{00000001-E8E8-E148-85EA-94A0D70B46A3}"/>
            </c:ext>
          </c:extLst>
        </c:ser>
        <c:ser>
          <c:idx val="2"/>
          <c:order val="2"/>
          <c:tx>
            <c:strRef>
              <c:f>Analysis!$E$152</c:f>
              <c:strCache>
                <c:ptCount val="1"/>
                <c:pt idx="0">
                  <c:v>Casual</c:v>
                </c:pt>
              </c:strCache>
            </c:strRef>
          </c:tx>
          <c:spPr>
            <a:ln w="22000">
              <a:solidFill>
                <a:srgbClr val="9AA5B1"/>
              </a:solidFill>
              <a:prstDash val="solid"/>
            </a:ln>
          </c:spPr>
          <c:marker>
            <c:symbol val="none"/>
          </c:marker>
          <c:cat>
            <c:numRef>
              <c:f>Analysis!$B$153:$B$197</c:f>
              <c:numCache>
                <c:formatCode>d\-mmm</c:formatCode>
                <c:ptCount val="45"/>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numCache>
            </c:numRef>
          </c:cat>
          <c:val>
            <c:numRef>
              <c:f>Analysis!$E$153:$E$197</c:f>
              <c:numCache>
                <c:formatCode>#,##0</c:formatCode>
                <c:ptCount val="45"/>
                <c:pt idx="0">
                  <c:v>331</c:v>
                </c:pt>
                <c:pt idx="1">
                  <c:v>131</c:v>
                </c:pt>
                <c:pt idx="2">
                  <c:v>120</c:v>
                </c:pt>
                <c:pt idx="3">
                  <c:v>108</c:v>
                </c:pt>
                <c:pt idx="4">
                  <c:v>82</c:v>
                </c:pt>
                <c:pt idx="5">
                  <c:v>88</c:v>
                </c:pt>
                <c:pt idx="6">
                  <c:v>148</c:v>
                </c:pt>
                <c:pt idx="7">
                  <c:v>68</c:v>
                </c:pt>
                <c:pt idx="8">
                  <c:v>54</c:v>
                </c:pt>
                <c:pt idx="9">
                  <c:v>41</c:v>
                </c:pt>
                <c:pt idx="10">
                  <c:v>43</c:v>
                </c:pt>
                <c:pt idx="11">
                  <c:v>25</c:v>
                </c:pt>
                <c:pt idx="12">
                  <c:v>38</c:v>
                </c:pt>
                <c:pt idx="13">
                  <c:v>54</c:v>
                </c:pt>
                <c:pt idx="14">
                  <c:v>222</c:v>
                </c:pt>
                <c:pt idx="15">
                  <c:v>251</c:v>
                </c:pt>
                <c:pt idx="16">
                  <c:v>117</c:v>
                </c:pt>
                <c:pt idx="17">
                  <c:v>9</c:v>
                </c:pt>
                <c:pt idx="18">
                  <c:v>78</c:v>
                </c:pt>
                <c:pt idx="19">
                  <c:v>83</c:v>
                </c:pt>
                <c:pt idx="20">
                  <c:v>75</c:v>
                </c:pt>
                <c:pt idx="21">
                  <c:v>93</c:v>
                </c:pt>
                <c:pt idx="22">
                  <c:v>150</c:v>
                </c:pt>
                <c:pt idx="23">
                  <c:v>86</c:v>
                </c:pt>
                <c:pt idx="24">
                  <c:v>186</c:v>
                </c:pt>
                <c:pt idx="25">
                  <c:v>34</c:v>
                </c:pt>
                <c:pt idx="26">
                  <c:v>15</c:v>
                </c:pt>
                <c:pt idx="27">
                  <c:v>38</c:v>
                </c:pt>
                <c:pt idx="28">
                  <c:v>123</c:v>
                </c:pt>
                <c:pt idx="29">
                  <c:v>140</c:v>
                </c:pt>
                <c:pt idx="30">
                  <c:v>42</c:v>
                </c:pt>
                <c:pt idx="31">
                  <c:v>47</c:v>
                </c:pt>
                <c:pt idx="32">
                  <c:v>72</c:v>
                </c:pt>
                <c:pt idx="33">
                  <c:v>61</c:v>
                </c:pt>
                <c:pt idx="34">
                  <c:v>88</c:v>
                </c:pt>
                <c:pt idx="35">
                  <c:v>100</c:v>
                </c:pt>
                <c:pt idx="36">
                  <c:v>354</c:v>
                </c:pt>
                <c:pt idx="37">
                  <c:v>120</c:v>
                </c:pt>
                <c:pt idx="38">
                  <c:v>64</c:v>
                </c:pt>
                <c:pt idx="39">
                  <c:v>53</c:v>
                </c:pt>
                <c:pt idx="40">
                  <c:v>47</c:v>
                </c:pt>
                <c:pt idx="41">
                  <c:v>149</c:v>
                </c:pt>
                <c:pt idx="42">
                  <c:v>288</c:v>
                </c:pt>
                <c:pt idx="43">
                  <c:v>397</c:v>
                </c:pt>
                <c:pt idx="44">
                  <c:v>8</c:v>
                </c:pt>
              </c:numCache>
            </c:numRef>
          </c:val>
          <c:smooth val="0"/>
          <c:extLst>
            <c:ext xmlns:c16="http://schemas.microsoft.com/office/drawing/2014/chart" uri="{C3380CC4-5D6E-409C-BE32-E72D297353CC}">
              <c16:uniqueId val="{00000002-E8E8-E148-85EA-94A0D70B46A3}"/>
            </c:ext>
          </c:extLst>
        </c:ser>
        <c:dLbls>
          <c:showLegendKey val="0"/>
          <c:showVal val="0"/>
          <c:showCatName val="0"/>
          <c:showSerName val="0"/>
          <c:showPercent val="0"/>
          <c:showBubbleSize val="0"/>
        </c:dLbls>
        <c:smooth val="0"/>
        <c:axId val="10"/>
        <c:axId val="100"/>
      </c:lineChart>
      <c:dateAx>
        <c:axId val="10"/>
        <c:scaling>
          <c:orientation val="minMax"/>
        </c:scaling>
        <c:delete val="0"/>
        <c:axPos val="b"/>
        <c:numFmt formatCode="dd\-mmm" sourceLinked="0"/>
        <c:majorTickMark val="none"/>
        <c:minorTickMark val="none"/>
        <c:tickLblPos val="nextTo"/>
        <c:crossAx val="100"/>
        <c:crosses val="autoZero"/>
        <c:auto val="1"/>
        <c:lblOffset val="100"/>
        <c:baseTimeUnit val="days"/>
      </c:dateAx>
      <c:valAx>
        <c:axId val="100"/>
        <c:scaling>
          <c:orientation val="minMax"/>
        </c:scaling>
        <c:delete val="0"/>
        <c:axPos val="l"/>
        <c:majorGridlines>
          <c:spPr>
            <a:ln>
              <a:solidFill>
                <a:srgbClr val="E5E8EB"/>
              </a:solidFill>
              <a:prstDash val="solid"/>
            </a:ln>
          </c:spPr>
        </c:majorGridlines>
        <c:title>
          <c:tx>
            <c:rich>
              <a:bodyPr/>
              <a:lstStyle/>
              <a:p>
                <a:pPr>
                  <a:defRPr/>
                </a:pPr>
                <a:r>
                  <a:rPr lang="en-IN"/>
                  <a:t>Rentals per day</a:t>
                </a:r>
              </a:p>
            </c:rich>
          </c:tx>
          <c:overlay val="1"/>
        </c:title>
        <c:numFmt formatCode="#,##0" sourceLinked="0"/>
        <c:majorTickMark val="none"/>
        <c:minorTickMark val="none"/>
        <c:tickLblPos val="nextTo"/>
        <c:crossAx val="10"/>
        <c:crosses val="autoZero"/>
        <c:crossBetween val="between"/>
      </c:valAx>
    </c:plotArea>
    <c:legend>
      <c:legendPos val="b"/>
      <c:overlay val="1"/>
    </c:legend>
    <c:plotVisOnly val="1"/>
    <c:dispBlanksAs val="gap"/>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IN"/>
              <a:t>Normal demand by hour (mean) used as the baseline</a:t>
            </a:r>
          </a:p>
        </c:rich>
      </c:tx>
      <c:overlay val="1"/>
    </c:title>
    <c:autoTitleDeleted val="0"/>
    <c:plotArea>
      <c:layout>
        <c:manualLayout>
          <c:layoutTarget val="inner"/>
          <c:xMode val="edge"/>
          <c:yMode val="edge"/>
          <c:x val="7.7729360534478639E-2"/>
          <c:y val="4.073596647193295E-2"/>
          <c:w val="0.92048138869005014"/>
          <c:h val="0.85421704343408689"/>
        </c:manualLayout>
      </c:layout>
      <c:barChart>
        <c:barDir val="col"/>
        <c:grouping val="clustered"/>
        <c:varyColors val="1"/>
        <c:ser>
          <c:idx val="0"/>
          <c:order val="0"/>
          <c:tx>
            <c:strRef>
              <c:f>Anomalies!$F$4</c:f>
              <c:strCache>
                <c:ptCount val="1"/>
                <c:pt idx="0">
                  <c:v>Mean cnt</c:v>
                </c:pt>
              </c:strCache>
            </c:strRef>
          </c:tx>
          <c:spPr>
            <a:solidFill>
              <a:srgbClr val="1F3A5F"/>
            </a:solidFill>
            <a:ln>
              <a:solidFill>
                <a:srgbClr val="1F3A5F"/>
              </a:solidFill>
              <a:prstDash val="solid"/>
            </a:ln>
          </c:spPr>
          <c:invertIfNegative val="1"/>
          <c:cat>
            <c:numRef>
              <c:f>Anomalies!$D$5:$D$28</c:f>
              <c:numCache>
                <c:formatCode>General</c:formatCod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numCache>
            </c:numRef>
          </c:cat>
          <c:val>
            <c:numRef>
              <c:f>Anomalies!$F$5:$F$28</c:f>
              <c:numCache>
                <c:formatCode>0.0</c:formatCode>
                <c:ptCount val="24"/>
                <c:pt idx="0">
                  <c:v>16.348837209302324</c:v>
                </c:pt>
                <c:pt idx="1">
                  <c:v>10.697674418604651</c:v>
                </c:pt>
                <c:pt idx="2">
                  <c:v>7.1707317073170733</c:v>
                </c:pt>
                <c:pt idx="3">
                  <c:v>4.870967741935484</c:v>
                </c:pt>
                <c:pt idx="4">
                  <c:v>2.15625</c:v>
                </c:pt>
                <c:pt idx="5">
                  <c:v>4.2051282051282053</c:v>
                </c:pt>
                <c:pt idx="6">
                  <c:v>19.571428571428573</c:v>
                </c:pt>
                <c:pt idx="7">
                  <c:v>54.395348837209305</c:v>
                </c:pt>
                <c:pt idx="8">
                  <c:v>128.28571428571428</c:v>
                </c:pt>
                <c:pt idx="9">
                  <c:v>87.428571428571431</c:v>
                </c:pt>
                <c:pt idx="10">
                  <c:v>53.642857142857146</c:v>
                </c:pt>
                <c:pt idx="11">
                  <c:v>59.38095238095238</c:v>
                </c:pt>
                <c:pt idx="12">
                  <c:v>76.348837209302332</c:v>
                </c:pt>
                <c:pt idx="13">
                  <c:v>78.511627906976742</c:v>
                </c:pt>
                <c:pt idx="14">
                  <c:v>74.418604651162795</c:v>
                </c:pt>
                <c:pt idx="15">
                  <c:v>77.95348837209302</c:v>
                </c:pt>
                <c:pt idx="16">
                  <c:v>89.272727272727266</c:v>
                </c:pt>
                <c:pt idx="17">
                  <c:v>140.20454545454547</c:v>
                </c:pt>
                <c:pt idx="18">
                  <c:v>122.86046511627907</c:v>
                </c:pt>
                <c:pt idx="19">
                  <c:v>85.139534883720927</c:v>
                </c:pt>
                <c:pt idx="20">
                  <c:v>61.767441860465119</c:v>
                </c:pt>
                <c:pt idx="21">
                  <c:v>46.418604651162788</c:v>
                </c:pt>
                <c:pt idx="22">
                  <c:v>35.069767441860463</c:v>
                </c:pt>
                <c:pt idx="23">
                  <c:v>25.186046511627907</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1F3A5F"/>
                    </a:solidFill>
                    <a:prstDash val="solid"/>
                  </a:ln>
                </c14:spPr>
              </c14:invertSolidFillFmt>
            </c:ext>
            <c:ext xmlns:c16="http://schemas.microsoft.com/office/drawing/2014/chart" uri="{C3380CC4-5D6E-409C-BE32-E72D297353CC}">
              <c16:uniqueId val="{00000000-F5E4-AD47-9E80-C74F7843EC66}"/>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spPr>
            <a:ln>
              <a:solidFill>
                <a:srgbClr val="E5E8EB"/>
              </a:solidFill>
              <a:prstDash val="solid"/>
            </a:ln>
          </c:spPr>
        </c:majorGridlines>
        <c:title>
          <c:tx>
            <c:rich>
              <a:bodyPr/>
              <a:lstStyle/>
              <a:p>
                <a:pPr>
                  <a:defRPr/>
                </a:pPr>
                <a:r>
                  <a:rPr lang="en-IN"/>
                  <a:t>Mean rentals</a:t>
                </a:r>
              </a:p>
            </c:rich>
          </c:tx>
          <c:overlay val="1"/>
        </c:title>
        <c:numFmt formatCode="#,##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IN"/>
              <a:t>Last 7 days of actual rentals and the 48-hour forecast</a:t>
            </a:r>
          </a:p>
        </c:rich>
      </c:tx>
      <c:overlay val="1"/>
    </c:title>
    <c:autoTitleDeleted val="0"/>
    <c:plotArea>
      <c:layout/>
      <c:lineChart>
        <c:grouping val="standard"/>
        <c:varyColors val="1"/>
        <c:ser>
          <c:idx val="0"/>
          <c:order val="0"/>
          <c:tx>
            <c:v>Actual</c:v>
          </c:tx>
          <c:spPr>
            <a:ln w="22000">
              <a:solidFill>
                <a:srgbClr val="1F3A5F"/>
              </a:solidFill>
              <a:prstDash val="solid"/>
            </a:ln>
          </c:spPr>
          <c:marker>
            <c:symbol val="none"/>
          </c:marker>
          <c:cat>
            <c:numRef>
              <c:f>Forecast!$A$847:$A$1062</c:f>
              <c:numCache>
                <c:formatCode>dd\-mmm\ hh:mm</c:formatCode>
                <c:ptCount val="216"/>
                <c:pt idx="0">
                  <c:v>40581.125</c:v>
                </c:pt>
                <c:pt idx="1">
                  <c:v>40581.166666666664</c:v>
                </c:pt>
                <c:pt idx="2">
                  <c:v>40581.208333333336</c:v>
                </c:pt>
                <c:pt idx="3">
                  <c:v>40581.25</c:v>
                </c:pt>
                <c:pt idx="4">
                  <c:v>40581.291666666664</c:v>
                </c:pt>
                <c:pt idx="5">
                  <c:v>40581.333333333336</c:v>
                </c:pt>
                <c:pt idx="6">
                  <c:v>40581.375</c:v>
                </c:pt>
                <c:pt idx="7">
                  <c:v>40581.416666666664</c:v>
                </c:pt>
                <c:pt idx="8">
                  <c:v>40581.458333333336</c:v>
                </c:pt>
                <c:pt idx="9">
                  <c:v>40581.5</c:v>
                </c:pt>
                <c:pt idx="10">
                  <c:v>40581.541666666664</c:v>
                </c:pt>
                <c:pt idx="11">
                  <c:v>40581.583333333336</c:v>
                </c:pt>
                <c:pt idx="12">
                  <c:v>40581.625</c:v>
                </c:pt>
                <c:pt idx="13">
                  <c:v>40581.666666666664</c:v>
                </c:pt>
                <c:pt idx="14">
                  <c:v>40581.708333333336</c:v>
                </c:pt>
                <c:pt idx="15">
                  <c:v>40581.75</c:v>
                </c:pt>
                <c:pt idx="16">
                  <c:v>40581.791666666664</c:v>
                </c:pt>
                <c:pt idx="17">
                  <c:v>40581.833333333336</c:v>
                </c:pt>
                <c:pt idx="18">
                  <c:v>40581.875</c:v>
                </c:pt>
                <c:pt idx="19">
                  <c:v>40581.916666666664</c:v>
                </c:pt>
                <c:pt idx="20">
                  <c:v>40581.958333333336</c:v>
                </c:pt>
                <c:pt idx="21">
                  <c:v>40582</c:v>
                </c:pt>
                <c:pt idx="22">
                  <c:v>40582.041666666664</c:v>
                </c:pt>
                <c:pt idx="23">
                  <c:v>40582.083333333336</c:v>
                </c:pt>
                <c:pt idx="24">
                  <c:v>40582.125</c:v>
                </c:pt>
                <c:pt idx="25">
                  <c:v>40582.166666666664</c:v>
                </c:pt>
                <c:pt idx="26">
                  <c:v>40582.208333333336</c:v>
                </c:pt>
                <c:pt idx="27">
                  <c:v>40582.25</c:v>
                </c:pt>
                <c:pt idx="28">
                  <c:v>40582.291666666664</c:v>
                </c:pt>
                <c:pt idx="29">
                  <c:v>40582.333333333336</c:v>
                </c:pt>
                <c:pt idx="30">
                  <c:v>40582.375</c:v>
                </c:pt>
                <c:pt idx="31">
                  <c:v>40582.416666666664</c:v>
                </c:pt>
                <c:pt idx="32">
                  <c:v>40582.458333333336</c:v>
                </c:pt>
                <c:pt idx="33">
                  <c:v>40582.5</c:v>
                </c:pt>
                <c:pt idx="34">
                  <c:v>40582.541666666664</c:v>
                </c:pt>
                <c:pt idx="35">
                  <c:v>40582.583333333336</c:v>
                </c:pt>
                <c:pt idx="36">
                  <c:v>40582.625</c:v>
                </c:pt>
                <c:pt idx="37">
                  <c:v>40582.666666666664</c:v>
                </c:pt>
                <c:pt idx="38">
                  <c:v>40582.708333333336</c:v>
                </c:pt>
                <c:pt idx="39">
                  <c:v>40582.75</c:v>
                </c:pt>
                <c:pt idx="40">
                  <c:v>40582.791666666664</c:v>
                </c:pt>
                <c:pt idx="41">
                  <c:v>40582.833333333336</c:v>
                </c:pt>
                <c:pt idx="42">
                  <c:v>40582.875</c:v>
                </c:pt>
                <c:pt idx="43">
                  <c:v>40582.916666666664</c:v>
                </c:pt>
                <c:pt idx="44">
                  <c:v>40582.958333333336</c:v>
                </c:pt>
                <c:pt idx="45">
                  <c:v>40583</c:v>
                </c:pt>
                <c:pt idx="46">
                  <c:v>40583.041666666664</c:v>
                </c:pt>
                <c:pt idx="47">
                  <c:v>40583.083333333336</c:v>
                </c:pt>
                <c:pt idx="48">
                  <c:v>40583.125</c:v>
                </c:pt>
                <c:pt idx="49">
                  <c:v>40583.208333333336</c:v>
                </c:pt>
                <c:pt idx="50">
                  <c:v>40583.25</c:v>
                </c:pt>
                <c:pt idx="51">
                  <c:v>40583.291666666664</c:v>
                </c:pt>
                <c:pt idx="52">
                  <c:v>40583.333333333336</c:v>
                </c:pt>
                <c:pt idx="53">
                  <c:v>40583.375</c:v>
                </c:pt>
                <c:pt idx="54">
                  <c:v>40583.416666666664</c:v>
                </c:pt>
                <c:pt idx="55">
                  <c:v>40583.458333333336</c:v>
                </c:pt>
                <c:pt idx="56">
                  <c:v>40583.5</c:v>
                </c:pt>
                <c:pt idx="57">
                  <c:v>40583.541666666664</c:v>
                </c:pt>
                <c:pt idx="58">
                  <c:v>40583.583333333336</c:v>
                </c:pt>
                <c:pt idx="59">
                  <c:v>40583.625</c:v>
                </c:pt>
                <c:pt idx="60">
                  <c:v>40583.666666666664</c:v>
                </c:pt>
                <c:pt idx="61">
                  <c:v>40583.708333333336</c:v>
                </c:pt>
                <c:pt idx="62">
                  <c:v>40583.75</c:v>
                </c:pt>
                <c:pt idx="63">
                  <c:v>40583.791666666664</c:v>
                </c:pt>
                <c:pt idx="64">
                  <c:v>40583.833333333336</c:v>
                </c:pt>
                <c:pt idx="65">
                  <c:v>40583.875</c:v>
                </c:pt>
                <c:pt idx="66">
                  <c:v>40583.916666666664</c:v>
                </c:pt>
                <c:pt idx="67">
                  <c:v>40583.958333333336</c:v>
                </c:pt>
                <c:pt idx="68">
                  <c:v>40584</c:v>
                </c:pt>
                <c:pt idx="69">
                  <c:v>40584.041666666664</c:v>
                </c:pt>
                <c:pt idx="70">
                  <c:v>40584.083333333336</c:v>
                </c:pt>
                <c:pt idx="71">
                  <c:v>40584.166666666664</c:v>
                </c:pt>
                <c:pt idx="72">
                  <c:v>40584.208333333336</c:v>
                </c:pt>
                <c:pt idx="73">
                  <c:v>40584.25</c:v>
                </c:pt>
                <c:pt idx="74">
                  <c:v>40584.291666666664</c:v>
                </c:pt>
                <c:pt idx="75">
                  <c:v>40584.333333333336</c:v>
                </c:pt>
                <c:pt idx="76">
                  <c:v>40584.375</c:v>
                </c:pt>
                <c:pt idx="77">
                  <c:v>40584.416666666664</c:v>
                </c:pt>
                <c:pt idx="78">
                  <c:v>40584.458333333336</c:v>
                </c:pt>
                <c:pt idx="79">
                  <c:v>40584.5</c:v>
                </c:pt>
                <c:pt idx="80">
                  <c:v>40584.541666666664</c:v>
                </c:pt>
                <c:pt idx="81">
                  <c:v>40584.583333333336</c:v>
                </c:pt>
                <c:pt idx="82">
                  <c:v>40584.625</c:v>
                </c:pt>
                <c:pt idx="83">
                  <c:v>40584.666666666664</c:v>
                </c:pt>
                <c:pt idx="84">
                  <c:v>40584.708333333336</c:v>
                </c:pt>
                <c:pt idx="85">
                  <c:v>40584.75</c:v>
                </c:pt>
                <c:pt idx="86">
                  <c:v>40584.791666666664</c:v>
                </c:pt>
                <c:pt idx="87">
                  <c:v>40584.833333333336</c:v>
                </c:pt>
                <c:pt idx="88">
                  <c:v>40584.875</c:v>
                </c:pt>
                <c:pt idx="89">
                  <c:v>40584.916666666664</c:v>
                </c:pt>
                <c:pt idx="90">
                  <c:v>40584.958333333336</c:v>
                </c:pt>
                <c:pt idx="91">
                  <c:v>40585</c:v>
                </c:pt>
                <c:pt idx="92">
                  <c:v>40585.041666666664</c:v>
                </c:pt>
                <c:pt idx="93">
                  <c:v>40585.083333333336</c:v>
                </c:pt>
                <c:pt idx="94">
                  <c:v>40585.208333333336</c:v>
                </c:pt>
                <c:pt idx="95">
                  <c:v>40585.25</c:v>
                </c:pt>
                <c:pt idx="96">
                  <c:v>40585.291666666664</c:v>
                </c:pt>
                <c:pt idx="97">
                  <c:v>40585.333333333336</c:v>
                </c:pt>
                <c:pt idx="98">
                  <c:v>40585.375</c:v>
                </c:pt>
                <c:pt idx="99">
                  <c:v>40585.416666666664</c:v>
                </c:pt>
                <c:pt idx="100">
                  <c:v>40585.458333333336</c:v>
                </c:pt>
                <c:pt idx="101">
                  <c:v>40585.5</c:v>
                </c:pt>
                <c:pt idx="102">
                  <c:v>40585.541666666664</c:v>
                </c:pt>
                <c:pt idx="103">
                  <c:v>40585.583333333336</c:v>
                </c:pt>
                <c:pt idx="104">
                  <c:v>40585.625</c:v>
                </c:pt>
                <c:pt idx="105">
                  <c:v>40585.666666666664</c:v>
                </c:pt>
                <c:pt idx="106">
                  <c:v>40585.708333333336</c:v>
                </c:pt>
                <c:pt idx="107">
                  <c:v>40585.75</c:v>
                </c:pt>
                <c:pt idx="108">
                  <c:v>40585.791666666664</c:v>
                </c:pt>
                <c:pt idx="109">
                  <c:v>40585.833333333336</c:v>
                </c:pt>
                <c:pt idx="110">
                  <c:v>40585.875</c:v>
                </c:pt>
                <c:pt idx="111">
                  <c:v>40585.916666666664</c:v>
                </c:pt>
                <c:pt idx="112">
                  <c:v>40585.958333333336</c:v>
                </c:pt>
                <c:pt idx="113">
                  <c:v>40586</c:v>
                </c:pt>
                <c:pt idx="114">
                  <c:v>40586.041666666664</c:v>
                </c:pt>
                <c:pt idx="115">
                  <c:v>40586.083333333336</c:v>
                </c:pt>
                <c:pt idx="116">
                  <c:v>40586.125</c:v>
                </c:pt>
                <c:pt idx="117">
                  <c:v>40586.166666666664</c:v>
                </c:pt>
                <c:pt idx="118">
                  <c:v>40586.208333333336</c:v>
                </c:pt>
                <c:pt idx="119">
                  <c:v>40586.25</c:v>
                </c:pt>
                <c:pt idx="120">
                  <c:v>40586.291666666664</c:v>
                </c:pt>
                <c:pt idx="121">
                  <c:v>40586.333333333336</c:v>
                </c:pt>
                <c:pt idx="122">
                  <c:v>40586.375</c:v>
                </c:pt>
                <c:pt idx="123">
                  <c:v>40586.416666666664</c:v>
                </c:pt>
                <c:pt idx="124">
                  <c:v>40586.458333333336</c:v>
                </c:pt>
                <c:pt idx="125">
                  <c:v>40586.5</c:v>
                </c:pt>
                <c:pt idx="126">
                  <c:v>40586.541666666664</c:v>
                </c:pt>
                <c:pt idx="127">
                  <c:v>40586.583333333336</c:v>
                </c:pt>
                <c:pt idx="128">
                  <c:v>40586.625</c:v>
                </c:pt>
                <c:pt idx="129">
                  <c:v>40586.666666666664</c:v>
                </c:pt>
                <c:pt idx="130">
                  <c:v>40586.708333333336</c:v>
                </c:pt>
                <c:pt idx="131">
                  <c:v>40586.75</c:v>
                </c:pt>
                <c:pt idx="132">
                  <c:v>40586.791666666664</c:v>
                </c:pt>
                <c:pt idx="133">
                  <c:v>40586.833333333336</c:v>
                </c:pt>
                <c:pt idx="134">
                  <c:v>40586.875</c:v>
                </c:pt>
                <c:pt idx="135">
                  <c:v>40586.916666666664</c:v>
                </c:pt>
                <c:pt idx="136">
                  <c:v>40586.958333333336</c:v>
                </c:pt>
                <c:pt idx="137">
                  <c:v>40587</c:v>
                </c:pt>
                <c:pt idx="138">
                  <c:v>40587.041666666664</c:v>
                </c:pt>
                <c:pt idx="139">
                  <c:v>40587.083333333336</c:v>
                </c:pt>
                <c:pt idx="140">
                  <c:v>40587.125</c:v>
                </c:pt>
                <c:pt idx="141">
                  <c:v>40587.166666666664</c:v>
                </c:pt>
                <c:pt idx="142">
                  <c:v>40587.25</c:v>
                </c:pt>
                <c:pt idx="143">
                  <c:v>40587.291666666664</c:v>
                </c:pt>
                <c:pt idx="144">
                  <c:v>40587.333333333336</c:v>
                </c:pt>
                <c:pt idx="145">
                  <c:v>40587.375</c:v>
                </c:pt>
                <c:pt idx="146">
                  <c:v>40587.416666666664</c:v>
                </c:pt>
                <c:pt idx="147">
                  <c:v>40587.458333333336</c:v>
                </c:pt>
                <c:pt idx="148">
                  <c:v>40587.5</c:v>
                </c:pt>
                <c:pt idx="149">
                  <c:v>40587.541666666664</c:v>
                </c:pt>
                <c:pt idx="150">
                  <c:v>40587.583333333336</c:v>
                </c:pt>
                <c:pt idx="151">
                  <c:v>40587.625</c:v>
                </c:pt>
                <c:pt idx="152">
                  <c:v>40587.666666666664</c:v>
                </c:pt>
                <c:pt idx="153">
                  <c:v>40587.708333333336</c:v>
                </c:pt>
                <c:pt idx="154">
                  <c:v>40587.75</c:v>
                </c:pt>
                <c:pt idx="155">
                  <c:v>40587.791666666664</c:v>
                </c:pt>
                <c:pt idx="156">
                  <c:v>40587.833333333336</c:v>
                </c:pt>
                <c:pt idx="157">
                  <c:v>40587.875</c:v>
                </c:pt>
                <c:pt idx="158">
                  <c:v>40587.916666666664</c:v>
                </c:pt>
                <c:pt idx="159">
                  <c:v>40587.958333333336</c:v>
                </c:pt>
                <c:pt idx="160">
                  <c:v>40588</c:v>
                </c:pt>
                <c:pt idx="161">
                  <c:v>40588.041666666664</c:v>
                </c:pt>
                <c:pt idx="162">
                  <c:v>40588.083333333336</c:v>
                </c:pt>
                <c:pt idx="163">
                  <c:v>40588.125</c:v>
                </c:pt>
                <c:pt idx="164">
                  <c:v>40588.166666666664</c:v>
                </c:pt>
                <c:pt idx="165">
                  <c:v>40588.208333333336</c:v>
                </c:pt>
                <c:pt idx="166">
                  <c:v>40588.25</c:v>
                </c:pt>
                <c:pt idx="167">
                  <c:v>40588.291666666664</c:v>
                </c:pt>
                <c:pt idx="168">
                  <c:v>40588.333333333336</c:v>
                </c:pt>
                <c:pt idx="169">
                  <c:v>40588.375</c:v>
                </c:pt>
                <c:pt idx="170">
                  <c:v>40588.416666666664</c:v>
                </c:pt>
                <c:pt idx="171">
                  <c:v>40588.458333333336</c:v>
                </c:pt>
                <c:pt idx="172">
                  <c:v>40588.5</c:v>
                </c:pt>
                <c:pt idx="173">
                  <c:v>40588.541666666664</c:v>
                </c:pt>
                <c:pt idx="174">
                  <c:v>40588.583333333336</c:v>
                </c:pt>
                <c:pt idx="175">
                  <c:v>40588.625</c:v>
                </c:pt>
                <c:pt idx="176">
                  <c:v>40588.666666666664</c:v>
                </c:pt>
                <c:pt idx="177">
                  <c:v>40588.708333333336</c:v>
                </c:pt>
                <c:pt idx="178">
                  <c:v>40588.75</c:v>
                </c:pt>
                <c:pt idx="179">
                  <c:v>40588.791666666664</c:v>
                </c:pt>
                <c:pt idx="180">
                  <c:v>40588.833333333336</c:v>
                </c:pt>
                <c:pt idx="181">
                  <c:v>40588.875</c:v>
                </c:pt>
                <c:pt idx="182">
                  <c:v>40588.916666666664</c:v>
                </c:pt>
                <c:pt idx="183">
                  <c:v>40588.958333333336</c:v>
                </c:pt>
                <c:pt idx="184">
                  <c:v>40589</c:v>
                </c:pt>
                <c:pt idx="185">
                  <c:v>40589.041666666664</c:v>
                </c:pt>
                <c:pt idx="186">
                  <c:v>40589.083333333336</c:v>
                </c:pt>
                <c:pt idx="187">
                  <c:v>40589.125</c:v>
                </c:pt>
                <c:pt idx="188">
                  <c:v>40589.166666666664</c:v>
                </c:pt>
                <c:pt idx="189">
                  <c:v>40589.208333333336</c:v>
                </c:pt>
                <c:pt idx="190">
                  <c:v>40589.25</c:v>
                </c:pt>
                <c:pt idx="191">
                  <c:v>40589.291666666664</c:v>
                </c:pt>
                <c:pt idx="192">
                  <c:v>40589.333333333336</c:v>
                </c:pt>
                <c:pt idx="193">
                  <c:v>40589.375</c:v>
                </c:pt>
                <c:pt idx="194">
                  <c:v>40589.416666666664</c:v>
                </c:pt>
                <c:pt idx="195">
                  <c:v>40589.458333333336</c:v>
                </c:pt>
                <c:pt idx="196">
                  <c:v>40589.5</c:v>
                </c:pt>
                <c:pt idx="197">
                  <c:v>40589.541666666664</c:v>
                </c:pt>
                <c:pt idx="198">
                  <c:v>40589.583333333336</c:v>
                </c:pt>
                <c:pt idx="199">
                  <c:v>40589.625</c:v>
                </c:pt>
                <c:pt idx="200">
                  <c:v>40589.666666666664</c:v>
                </c:pt>
                <c:pt idx="201">
                  <c:v>40589.708333333336</c:v>
                </c:pt>
                <c:pt idx="202">
                  <c:v>40589.75</c:v>
                </c:pt>
                <c:pt idx="203">
                  <c:v>40589.791666666664</c:v>
                </c:pt>
                <c:pt idx="204">
                  <c:v>40589.833333333336</c:v>
                </c:pt>
                <c:pt idx="205">
                  <c:v>40589.875</c:v>
                </c:pt>
                <c:pt idx="206">
                  <c:v>40589.916666666664</c:v>
                </c:pt>
                <c:pt idx="207">
                  <c:v>40589.958333333336</c:v>
                </c:pt>
                <c:pt idx="208">
                  <c:v>40590</c:v>
                </c:pt>
                <c:pt idx="209">
                  <c:v>40590.041666666664</c:v>
                </c:pt>
                <c:pt idx="210">
                  <c:v>40590.083333333336</c:v>
                </c:pt>
                <c:pt idx="211">
                  <c:v>40590.125</c:v>
                </c:pt>
                <c:pt idx="212">
                  <c:v>40590.166666666664</c:v>
                </c:pt>
                <c:pt idx="213">
                  <c:v>40590.208333333336</c:v>
                </c:pt>
                <c:pt idx="214">
                  <c:v>40590.25</c:v>
                </c:pt>
                <c:pt idx="215">
                  <c:v>40590.291666666664</c:v>
                </c:pt>
              </c:numCache>
            </c:numRef>
          </c:cat>
          <c:val>
            <c:numRef>
              <c:f>Forecast!$C$847:$C$1062</c:f>
              <c:numCache>
                <c:formatCode>General</c:formatCode>
                <c:ptCount val="216"/>
                <c:pt idx="0">
                  <c:v>1</c:v>
                </c:pt>
                <c:pt idx="1">
                  <c:v>2</c:v>
                </c:pt>
                <c:pt idx="2">
                  <c:v>10</c:v>
                </c:pt>
                <c:pt idx="3">
                  <c:v>30</c:v>
                </c:pt>
                <c:pt idx="4">
                  <c:v>95</c:v>
                </c:pt>
                <c:pt idx="5">
                  <c:v>230</c:v>
                </c:pt>
                <c:pt idx="6">
                  <c:v>118</c:v>
                </c:pt>
                <c:pt idx="7">
                  <c:v>55</c:v>
                </c:pt>
                <c:pt idx="8">
                  <c:v>47</c:v>
                </c:pt>
                <c:pt idx="9">
                  <c:v>66</c:v>
                </c:pt>
                <c:pt idx="10">
                  <c:v>64</c:v>
                </c:pt>
                <c:pt idx="11">
                  <c:v>60</c:v>
                </c:pt>
                <c:pt idx="12">
                  <c:v>50</c:v>
                </c:pt>
                <c:pt idx="13">
                  <c:v>114</c:v>
                </c:pt>
                <c:pt idx="14">
                  <c:v>216</c:v>
                </c:pt>
                <c:pt idx="15">
                  <c:v>175</c:v>
                </c:pt>
                <c:pt idx="16">
                  <c:v>128</c:v>
                </c:pt>
                <c:pt idx="17">
                  <c:v>88</c:v>
                </c:pt>
                <c:pt idx="18">
                  <c:v>78</c:v>
                </c:pt>
                <c:pt idx="19">
                  <c:v>37</c:v>
                </c:pt>
                <c:pt idx="20">
                  <c:v>25</c:v>
                </c:pt>
                <c:pt idx="21">
                  <c:v>10</c:v>
                </c:pt>
                <c:pt idx="22">
                  <c:v>4</c:v>
                </c:pt>
                <c:pt idx="23">
                  <c:v>2</c:v>
                </c:pt>
                <c:pt idx="24">
                  <c:v>1</c:v>
                </c:pt>
                <c:pt idx="25">
                  <c:v>3</c:v>
                </c:pt>
                <c:pt idx="26">
                  <c:v>2</c:v>
                </c:pt>
                <c:pt idx="27">
                  <c:v>39</c:v>
                </c:pt>
                <c:pt idx="28">
                  <c:v>100</c:v>
                </c:pt>
                <c:pt idx="29">
                  <c:v>243</c:v>
                </c:pt>
                <c:pt idx="30">
                  <c:v>135</c:v>
                </c:pt>
                <c:pt idx="31">
                  <c:v>48</c:v>
                </c:pt>
                <c:pt idx="32">
                  <c:v>50</c:v>
                </c:pt>
                <c:pt idx="33">
                  <c:v>65</c:v>
                </c:pt>
                <c:pt idx="34">
                  <c:v>50</c:v>
                </c:pt>
                <c:pt idx="35">
                  <c:v>64</c:v>
                </c:pt>
                <c:pt idx="36">
                  <c:v>51</c:v>
                </c:pt>
                <c:pt idx="37">
                  <c:v>83</c:v>
                </c:pt>
                <c:pt idx="38">
                  <c:v>176</c:v>
                </c:pt>
                <c:pt idx="39">
                  <c:v>152</c:v>
                </c:pt>
                <c:pt idx="40">
                  <c:v>101</c:v>
                </c:pt>
                <c:pt idx="41">
                  <c:v>56</c:v>
                </c:pt>
                <c:pt idx="42">
                  <c:v>54</c:v>
                </c:pt>
                <c:pt idx="43">
                  <c:v>29</c:v>
                </c:pt>
                <c:pt idx="44">
                  <c:v>12</c:v>
                </c:pt>
                <c:pt idx="45">
                  <c:v>17</c:v>
                </c:pt>
                <c:pt idx="46">
                  <c:v>7</c:v>
                </c:pt>
                <c:pt idx="47">
                  <c:v>3</c:v>
                </c:pt>
                <c:pt idx="48">
                  <c:v>2</c:v>
                </c:pt>
                <c:pt idx="49">
                  <c:v>7</c:v>
                </c:pt>
                <c:pt idx="50">
                  <c:v>43</c:v>
                </c:pt>
                <c:pt idx="51">
                  <c:v>99</c:v>
                </c:pt>
                <c:pt idx="52">
                  <c:v>199</c:v>
                </c:pt>
                <c:pt idx="53">
                  <c:v>123</c:v>
                </c:pt>
                <c:pt idx="54">
                  <c:v>59</c:v>
                </c:pt>
                <c:pt idx="55">
                  <c:v>41</c:v>
                </c:pt>
                <c:pt idx="56">
                  <c:v>61</c:v>
                </c:pt>
                <c:pt idx="57">
                  <c:v>69</c:v>
                </c:pt>
                <c:pt idx="58">
                  <c:v>58</c:v>
                </c:pt>
                <c:pt idx="59">
                  <c:v>64</c:v>
                </c:pt>
                <c:pt idx="60">
                  <c:v>79</c:v>
                </c:pt>
                <c:pt idx="61">
                  <c:v>166</c:v>
                </c:pt>
                <c:pt idx="62">
                  <c:v>170</c:v>
                </c:pt>
                <c:pt idx="63">
                  <c:v>88</c:v>
                </c:pt>
                <c:pt idx="64">
                  <c:v>84</c:v>
                </c:pt>
                <c:pt idx="65">
                  <c:v>83</c:v>
                </c:pt>
                <c:pt idx="66">
                  <c:v>46</c:v>
                </c:pt>
                <c:pt idx="67">
                  <c:v>37</c:v>
                </c:pt>
                <c:pt idx="68">
                  <c:v>16</c:v>
                </c:pt>
                <c:pt idx="69">
                  <c:v>7</c:v>
                </c:pt>
                <c:pt idx="70">
                  <c:v>3</c:v>
                </c:pt>
                <c:pt idx="71">
                  <c:v>1</c:v>
                </c:pt>
                <c:pt idx="72">
                  <c:v>6</c:v>
                </c:pt>
                <c:pt idx="73">
                  <c:v>26</c:v>
                </c:pt>
                <c:pt idx="74">
                  <c:v>99</c:v>
                </c:pt>
                <c:pt idx="75">
                  <c:v>178</c:v>
                </c:pt>
                <c:pt idx="76">
                  <c:v>122</c:v>
                </c:pt>
                <c:pt idx="77">
                  <c:v>35</c:v>
                </c:pt>
                <c:pt idx="78">
                  <c:v>45</c:v>
                </c:pt>
                <c:pt idx="79">
                  <c:v>69</c:v>
                </c:pt>
                <c:pt idx="80">
                  <c:v>62</c:v>
                </c:pt>
                <c:pt idx="81">
                  <c:v>48</c:v>
                </c:pt>
                <c:pt idx="82">
                  <c:v>50</c:v>
                </c:pt>
                <c:pt idx="83">
                  <c:v>80</c:v>
                </c:pt>
                <c:pt idx="84">
                  <c:v>165</c:v>
                </c:pt>
                <c:pt idx="85">
                  <c:v>160</c:v>
                </c:pt>
                <c:pt idx="86">
                  <c:v>112</c:v>
                </c:pt>
                <c:pt idx="87">
                  <c:v>97</c:v>
                </c:pt>
                <c:pt idx="88">
                  <c:v>72</c:v>
                </c:pt>
                <c:pt idx="89">
                  <c:v>51</c:v>
                </c:pt>
                <c:pt idx="90">
                  <c:v>34</c:v>
                </c:pt>
                <c:pt idx="91">
                  <c:v>14</c:v>
                </c:pt>
                <c:pt idx="92">
                  <c:v>7</c:v>
                </c:pt>
                <c:pt idx="93">
                  <c:v>3</c:v>
                </c:pt>
                <c:pt idx="94">
                  <c:v>4</c:v>
                </c:pt>
                <c:pt idx="95">
                  <c:v>24</c:v>
                </c:pt>
                <c:pt idx="96">
                  <c:v>74</c:v>
                </c:pt>
                <c:pt idx="97">
                  <c:v>216</c:v>
                </c:pt>
                <c:pt idx="98">
                  <c:v>140</c:v>
                </c:pt>
                <c:pt idx="99">
                  <c:v>44</c:v>
                </c:pt>
                <c:pt idx="100">
                  <c:v>64</c:v>
                </c:pt>
                <c:pt idx="101">
                  <c:v>71</c:v>
                </c:pt>
                <c:pt idx="102">
                  <c:v>110</c:v>
                </c:pt>
                <c:pt idx="103">
                  <c:v>84</c:v>
                </c:pt>
                <c:pt idx="104">
                  <c:v>74</c:v>
                </c:pt>
                <c:pt idx="105">
                  <c:v>125</c:v>
                </c:pt>
                <c:pt idx="106">
                  <c:v>211</c:v>
                </c:pt>
                <c:pt idx="107">
                  <c:v>174</c:v>
                </c:pt>
                <c:pt idx="108">
                  <c:v>101</c:v>
                </c:pt>
                <c:pt idx="109">
                  <c:v>63</c:v>
                </c:pt>
                <c:pt idx="110">
                  <c:v>47</c:v>
                </c:pt>
                <c:pt idx="111">
                  <c:v>43</c:v>
                </c:pt>
                <c:pt idx="112">
                  <c:v>53</c:v>
                </c:pt>
                <c:pt idx="113">
                  <c:v>30</c:v>
                </c:pt>
                <c:pt idx="114">
                  <c:v>24</c:v>
                </c:pt>
                <c:pt idx="115">
                  <c:v>15</c:v>
                </c:pt>
                <c:pt idx="116">
                  <c:v>10</c:v>
                </c:pt>
                <c:pt idx="117">
                  <c:v>4</c:v>
                </c:pt>
                <c:pt idx="118">
                  <c:v>1</c:v>
                </c:pt>
                <c:pt idx="119">
                  <c:v>2</c:v>
                </c:pt>
                <c:pt idx="120">
                  <c:v>11</c:v>
                </c:pt>
                <c:pt idx="121">
                  <c:v>30</c:v>
                </c:pt>
                <c:pt idx="122">
                  <c:v>43</c:v>
                </c:pt>
                <c:pt idx="123">
                  <c:v>84</c:v>
                </c:pt>
                <c:pt idx="124">
                  <c:v>114</c:v>
                </c:pt>
                <c:pt idx="125">
                  <c:v>120</c:v>
                </c:pt>
                <c:pt idx="126">
                  <c:v>135</c:v>
                </c:pt>
                <c:pt idx="127">
                  <c:v>120</c:v>
                </c:pt>
                <c:pt idx="128">
                  <c:v>174</c:v>
                </c:pt>
                <c:pt idx="129">
                  <c:v>145</c:v>
                </c:pt>
                <c:pt idx="130">
                  <c:v>137</c:v>
                </c:pt>
                <c:pt idx="131">
                  <c:v>64</c:v>
                </c:pt>
                <c:pt idx="132">
                  <c:v>41</c:v>
                </c:pt>
                <c:pt idx="133">
                  <c:v>40</c:v>
                </c:pt>
                <c:pt idx="134">
                  <c:v>51</c:v>
                </c:pt>
                <c:pt idx="135">
                  <c:v>45</c:v>
                </c:pt>
                <c:pt idx="136">
                  <c:v>32</c:v>
                </c:pt>
                <c:pt idx="137">
                  <c:v>39</c:v>
                </c:pt>
                <c:pt idx="138">
                  <c:v>24</c:v>
                </c:pt>
                <c:pt idx="139">
                  <c:v>20</c:v>
                </c:pt>
                <c:pt idx="140">
                  <c:v>12</c:v>
                </c:pt>
                <c:pt idx="141">
                  <c:v>2</c:v>
                </c:pt>
                <c:pt idx="142">
                  <c:v>5</c:v>
                </c:pt>
                <c:pt idx="143">
                  <c:v>3</c:v>
                </c:pt>
                <c:pt idx="144">
                  <c:v>12</c:v>
                </c:pt>
                <c:pt idx="145">
                  <c:v>47</c:v>
                </c:pt>
                <c:pt idx="146">
                  <c:v>105</c:v>
                </c:pt>
                <c:pt idx="147">
                  <c:v>112</c:v>
                </c:pt>
                <c:pt idx="148">
                  <c:v>152</c:v>
                </c:pt>
                <c:pt idx="149">
                  <c:v>154</c:v>
                </c:pt>
                <c:pt idx="150">
                  <c:v>161</c:v>
                </c:pt>
                <c:pt idx="151">
                  <c:v>162</c:v>
                </c:pt>
                <c:pt idx="152">
                  <c:v>134</c:v>
                </c:pt>
                <c:pt idx="153">
                  <c:v>125</c:v>
                </c:pt>
                <c:pt idx="154">
                  <c:v>95</c:v>
                </c:pt>
                <c:pt idx="155">
                  <c:v>61</c:v>
                </c:pt>
                <c:pt idx="156">
                  <c:v>47</c:v>
                </c:pt>
                <c:pt idx="157">
                  <c:v>51</c:v>
                </c:pt>
                <c:pt idx="158">
                  <c:v>36</c:v>
                </c:pt>
                <c:pt idx="159">
                  <c:v>30</c:v>
                </c:pt>
                <c:pt idx="160">
                  <c:v>11</c:v>
                </c:pt>
                <c:pt idx="161">
                  <c:v>7</c:v>
                </c:pt>
                <c:pt idx="162">
                  <c:v>2</c:v>
                </c:pt>
                <c:pt idx="163">
                  <c:v>2</c:v>
                </c:pt>
                <c:pt idx="164">
                  <c:v>2</c:v>
                </c:pt>
                <c:pt idx="165">
                  <c:v>3</c:v>
                </c:pt>
                <c:pt idx="166">
                  <c:v>26</c:v>
                </c:pt>
                <c:pt idx="167">
                  <c:v>98</c:v>
                </c:pt>
              </c:numCache>
            </c:numRef>
          </c:val>
          <c:smooth val="0"/>
          <c:extLst>
            <c:ext xmlns:c16="http://schemas.microsoft.com/office/drawing/2014/chart" uri="{C3380CC4-5D6E-409C-BE32-E72D297353CC}">
              <c16:uniqueId val="{00000000-E259-F848-8C63-F01D77845254}"/>
            </c:ext>
          </c:extLst>
        </c:ser>
        <c:ser>
          <c:idx val="1"/>
          <c:order val="1"/>
          <c:tx>
            <c:v>Forecast</c:v>
          </c:tx>
          <c:spPr>
            <a:ln w="22000">
              <a:solidFill>
                <a:srgbClr val="E76F51"/>
              </a:solidFill>
              <a:prstDash val="solid"/>
            </a:ln>
          </c:spPr>
          <c:marker>
            <c:symbol val="none"/>
          </c:marker>
          <c:cat>
            <c:numRef>
              <c:f>Forecast!$A$847:$A$1062</c:f>
              <c:numCache>
                <c:formatCode>dd\-mmm\ hh:mm</c:formatCode>
                <c:ptCount val="216"/>
                <c:pt idx="0">
                  <c:v>40581.125</c:v>
                </c:pt>
                <c:pt idx="1">
                  <c:v>40581.166666666664</c:v>
                </c:pt>
                <c:pt idx="2">
                  <c:v>40581.208333333336</c:v>
                </c:pt>
                <c:pt idx="3">
                  <c:v>40581.25</c:v>
                </c:pt>
                <c:pt idx="4">
                  <c:v>40581.291666666664</c:v>
                </c:pt>
                <c:pt idx="5">
                  <c:v>40581.333333333336</c:v>
                </c:pt>
                <c:pt idx="6">
                  <c:v>40581.375</c:v>
                </c:pt>
                <c:pt idx="7">
                  <c:v>40581.416666666664</c:v>
                </c:pt>
                <c:pt idx="8">
                  <c:v>40581.458333333336</c:v>
                </c:pt>
                <c:pt idx="9">
                  <c:v>40581.5</c:v>
                </c:pt>
                <c:pt idx="10">
                  <c:v>40581.541666666664</c:v>
                </c:pt>
                <c:pt idx="11">
                  <c:v>40581.583333333336</c:v>
                </c:pt>
                <c:pt idx="12">
                  <c:v>40581.625</c:v>
                </c:pt>
                <c:pt idx="13">
                  <c:v>40581.666666666664</c:v>
                </c:pt>
                <c:pt idx="14">
                  <c:v>40581.708333333336</c:v>
                </c:pt>
                <c:pt idx="15">
                  <c:v>40581.75</c:v>
                </c:pt>
                <c:pt idx="16">
                  <c:v>40581.791666666664</c:v>
                </c:pt>
                <c:pt idx="17">
                  <c:v>40581.833333333336</c:v>
                </c:pt>
                <c:pt idx="18">
                  <c:v>40581.875</c:v>
                </c:pt>
                <c:pt idx="19">
                  <c:v>40581.916666666664</c:v>
                </c:pt>
                <c:pt idx="20">
                  <c:v>40581.958333333336</c:v>
                </c:pt>
                <c:pt idx="21">
                  <c:v>40582</c:v>
                </c:pt>
                <c:pt idx="22">
                  <c:v>40582.041666666664</c:v>
                </c:pt>
                <c:pt idx="23">
                  <c:v>40582.083333333336</c:v>
                </c:pt>
                <c:pt idx="24">
                  <c:v>40582.125</c:v>
                </c:pt>
                <c:pt idx="25">
                  <c:v>40582.166666666664</c:v>
                </c:pt>
                <c:pt idx="26">
                  <c:v>40582.208333333336</c:v>
                </c:pt>
                <c:pt idx="27">
                  <c:v>40582.25</c:v>
                </c:pt>
                <c:pt idx="28">
                  <c:v>40582.291666666664</c:v>
                </c:pt>
                <c:pt idx="29">
                  <c:v>40582.333333333336</c:v>
                </c:pt>
                <c:pt idx="30">
                  <c:v>40582.375</c:v>
                </c:pt>
                <c:pt idx="31">
                  <c:v>40582.416666666664</c:v>
                </c:pt>
                <c:pt idx="32">
                  <c:v>40582.458333333336</c:v>
                </c:pt>
                <c:pt idx="33">
                  <c:v>40582.5</c:v>
                </c:pt>
                <c:pt idx="34">
                  <c:v>40582.541666666664</c:v>
                </c:pt>
                <c:pt idx="35">
                  <c:v>40582.583333333336</c:v>
                </c:pt>
                <c:pt idx="36">
                  <c:v>40582.625</c:v>
                </c:pt>
                <c:pt idx="37">
                  <c:v>40582.666666666664</c:v>
                </c:pt>
                <c:pt idx="38">
                  <c:v>40582.708333333336</c:v>
                </c:pt>
                <c:pt idx="39">
                  <c:v>40582.75</c:v>
                </c:pt>
                <c:pt idx="40">
                  <c:v>40582.791666666664</c:v>
                </c:pt>
                <c:pt idx="41">
                  <c:v>40582.833333333336</c:v>
                </c:pt>
                <c:pt idx="42">
                  <c:v>40582.875</c:v>
                </c:pt>
                <c:pt idx="43">
                  <c:v>40582.916666666664</c:v>
                </c:pt>
                <c:pt idx="44">
                  <c:v>40582.958333333336</c:v>
                </c:pt>
                <c:pt idx="45">
                  <c:v>40583</c:v>
                </c:pt>
                <c:pt idx="46">
                  <c:v>40583.041666666664</c:v>
                </c:pt>
                <c:pt idx="47">
                  <c:v>40583.083333333336</c:v>
                </c:pt>
                <c:pt idx="48">
                  <c:v>40583.125</c:v>
                </c:pt>
                <c:pt idx="49">
                  <c:v>40583.208333333336</c:v>
                </c:pt>
                <c:pt idx="50">
                  <c:v>40583.25</c:v>
                </c:pt>
                <c:pt idx="51">
                  <c:v>40583.291666666664</c:v>
                </c:pt>
                <c:pt idx="52">
                  <c:v>40583.333333333336</c:v>
                </c:pt>
                <c:pt idx="53">
                  <c:v>40583.375</c:v>
                </c:pt>
                <c:pt idx="54">
                  <c:v>40583.416666666664</c:v>
                </c:pt>
                <c:pt idx="55">
                  <c:v>40583.458333333336</c:v>
                </c:pt>
                <c:pt idx="56">
                  <c:v>40583.5</c:v>
                </c:pt>
                <c:pt idx="57">
                  <c:v>40583.541666666664</c:v>
                </c:pt>
                <c:pt idx="58">
                  <c:v>40583.583333333336</c:v>
                </c:pt>
                <c:pt idx="59">
                  <c:v>40583.625</c:v>
                </c:pt>
                <c:pt idx="60">
                  <c:v>40583.666666666664</c:v>
                </c:pt>
                <c:pt idx="61">
                  <c:v>40583.708333333336</c:v>
                </c:pt>
                <c:pt idx="62">
                  <c:v>40583.75</c:v>
                </c:pt>
                <c:pt idx="63">
                  <c:v>40583.791666666664</c:v>
                </c:pt>
                <c:pt idx="64">
                  <c:v>40583.833333333336</c:v>
                </c:pt>
                <c:pt idx="65">
                  <c:v>40583.875</c:v>
                </c:pt>
                <c:pt idx="66">
                  <c:v>40583.916666666664</c:v>
                </c:pt>
                <c:pt idx="67">
                  <c:v>40583.958333333336</c:v>
                </c:pt>
                <c:pt idx="68">
                  <c:v>40584</c:v>
                </c:pt>
                <c:pt idx="69">
                  <c:v>40584.041666666664</c:v>
                </c:pt>
                <c:pt idx="70">
                  <c:v>40584.083333333336</c:v>
                </c:pt>
                <c:pt idx="71">
                  <c:v>40584.166666666664</c:v>
                </c:pt>
                <c:pt idx="72">
                  <c:v>40584.208333333336</c:v>
                </c:pt>
                <c:pt idx="73">
                  <c:v>40584.25</c:v>
                </c:pt>
                <c:pt idx="74">
                  <c:v>40584.291666666664</c:v>
                </c:pt>
                <c:pt idx="75">
                  <c:v>40584.333333333336</c:v>
                </c:pt>
                <c:pt idx="76">
                  <c:v>40584.375</c:v>
                </c:pt>
                <c:pt idx="77">
                  <c:v>40584.416666666664</c:v>
                </c:pt>
                <c:pt idx="78">
                  <c:v>40584.458333333336</c:v>
                </c:pt>
                <c:pt idx="79">
                  <c:v>40584.5</c:v>
                </c:pt>
                <c:pt idx="80">
                  <c:v>40584.541666666664</c:v>
                </c:pt>
                <c:pt idx="81">
                  <c:v>40584.583333333336</c:v>
                </c:pt>
                <c:pt idx="82">
                  <c:v>40584.625</c:v>
                </c:pt>
                <c:pt idx="83">
                  <c:v>40584.666666666664</c:v>
                </c:pt>
                <c:pt idx="84">
                  <c:v>40584.708333333336</c:v>
                </c:pt>
                <c:pt idx="85">
                  <c:v>40584.75</c:v>
                </c:pt>
                <c:pt idx="86">
                  <c:v>40584.791666666664</c:v>
                </c:pt>
                <c:pt idx="87">
                  <c:v>40584.833333333336</c:v>
                </c:pt>
                <c:pt idx="88">
                  <c:v>40584.875</c:v>
                </c:pt>
                <c:pt idx="89">
                  <c:v>40584.916666666664</c:v>
                </c:pt>
                <c:pt idx="90">
                  <c:v>40584.958333333336</c:v>
                </c:pt>
                <c:pt idx="91">
                  <c:v>40585</c:v>
                </c:pt>
                <c:pt idx="92">
                  <c:v>40585.041666666664</c:v>
                </c:pt>
                <c:pt idx="93">
                  <c:v>40585.083333333336</c:v>
                </c:pt>
                <c:pt idx="94">
                  <c:v>40585.208333333336</c:v>
                </c:pt>
                <c:pt idx="95">
                  <c:v>40585.25</c:v>
                </c:pt>
                <c:pt idx="96">
                  <c:v>40585.291666666664</c:v>
                </c:pt>
                <c:pt idx="97">
                  <c:v>40585.333333333336</c:v>
                </c:pt>
                <c:pt idx="98">
                  <c:v>40585.375</c:v>
                </c:pt>
                <c:pt idx="99">
                  <c:v>40585.416666666664</c:v>
                </c:pt>
                <c:pt idx="100">
                  <c:v>40585.458333333336</c:v>
                </c:pt>
                <c:pt idx="101">
                  <c:v>40585.5</c:v>
                </c:pt>
                <c:pt idx="102">
                  <c:v>40585.541666666664</c:v>
                </c:pt>
                <c:pt idx="103">
                  <c:v>40585.583333333336</c:v>
                </c:pt>
                <c:pt idx="104">
                  <c:v>40585.625</c:v>
                </c:pt>
                <c:pt idx="105">
                  <c:v>40585.666666666664</c:v>
                </c:pt>
                <c:pt idx="106">
                  <c:v>40585.708333333336</c:v>
                </c:pt>
                <c:pt idx="107">
                  <c:v>40585.75</c:v>
                </c:pt>
                <c:pt idx="108">
                  <c:v>40585.791666666664</c:v>
                </c:pt>
                <c:pt idx="109">
                  <c:v>40585.833333333336</c:v>
                </c:pt>
                <c:pt idx="110">
                  <c:v>40585.875</c:v>
                </c:pt>
                <c:pt idx="111">
                  <c:v>40585.916666666664</c:v>
                </c:pt>
                <c:pt idx="112">
                  <c:v>40585.958333333336</c:v>
                </c:pt>
                <c:pt idx="113">
                  <c:v>40586</c:v>
                </c:pt>
                <c:pt idx="114">
                  <c:v>40586.041666666664</c:v>
                </c:pt>
                <c:pt idx="115">
                  <c:v>40586.083333333336</c:v>
                </c:pt>
                <c:pt idx="116">
                  <c:v>40586.125</c:v>
                </c:pt>
                <c:pt idx="117">
                  <c:v>40586.166666666664</c:v>
                </c:pt>
                <c:pt idx="118">
                  <c:v>40586.208333333336</c:v>
                </c:pt>
                <c:pt idx="119">
                  <c:v>40586.25</c:v>
                </c:pt>
                <c:pt idx="120">
                  <c:v>40586.291666666664</c:v>
                </c:pt>
                <c:pt idx="121">
                  <c:v>40586.333333333336</c:v>
                </c:pt>
                <c:pt idx="122">
                  <c:v>40586.375</c:v>
                </c:pt>
                <c:pt idx="123">
                  <c:v>40586.416666666664</c:v>
                </c:pt>
                <c:pt idx="124">
                  <c:v>40586.458333333336</c:v>
                </c:pt>
                <c:pt idx="125">
                  <c:v>40586.5</c:v>
                </c:pt>
                <c:pt idx="126">
                  <c:v>40586.541666666664</c:v>
                </c:pt>
                <c:pt idx="127">
                  <c:v>40586.583333333336</c:v>
                </c:pt>
                <c:pt idx="128">
                  <c:v>40586.625</c:v>
                </c:pt>
                <c:pt idx="129">
                  <c:v>40586.666666666664</c:v>
                </c:pt>
                <c:pt idx="130">
                  <c:v>40586.708333333336</c:v>
                </c:pt>
                <c:pt idx="131">
                  <c:v>40586.75</c:v>
                </c:pt>
                <c:pt idx="132">
                  <c:v>40586.791666666664</c:v>
                </c:pt>
                <c:pt idx="133">
                  <c:v>40586.833333333336</c:v>
                </c:pt>
                <c:pt idx="134">
                  <c:v>40586.875</c:v>
                </c:pt>
                <c:pt idx="135">
                  <c:v>40586.916666666664</c:v>
                </c:pt>
                <c:pt idx="136">
                  <c:v>40586.958333333336</c:v>
                </c:pt>
                <c:pt idx="137">
                  <c:v>40587</c:v>
                </c:pt>
                <c:pt idx="138">
                  <c:v>40587.041666666664</c:v>
                </c:pt>
                <c:pt idx="139">
                  <c:v>40587.083333333336</c:v>
                </c:pt>
                <c:pt idx="140">
                  <c:v>40587.125</c:v>
                </c:pt>
                <c:pt idx="141">
                  <c:v>40587.166666666664</c:v>
                </c:pt>
                <c:pt idx="142">
                  <c:v>40587.25</c:v>
                </c:pt>
                <c:pt idx="143">
                  <c:v>40587.291666666664</c:v>
                </c:pt>
                <c:pt idx="144">
                  <c:v>40587.333333333336</c:v>
                </c:pt>
                <c:pt idx="145">
                  <c:v>40587.375</c:v>
                </c:pt>
                <c:pt idx="146">
                  <c:v>40587.416666666664</c:v>
                </c:pt>
                <c:pt idx="147">
                  <c:v>40587.458333333336</c:v>
                </c:pt>
                <c:pt idx="148">
                  <c:v>40587.5</c:v>
                </c:pt>
                <c:pt idx="149">
                  <c:v>40587.541666666664</c:v>
                </c:pt>
                <c:pt idx="150">
                  <c:v>40587.583333333336</c:v>
                </c:pt>
                <c:pt idx="151">
                  <c:v>40587.625</c:v>
                </c:pt>
                <c:pt idx="152">
                  <c:v>40587.666666666664</c:v>
                </c:pt>
                <c:pt idx="153">
                  <c:v>40587.708333333336</c:v>
                </c:pt>
                <c:pt idx="154">
                  <c:v>40587.75</c:v>
                </c:pt>
                <c:pt idx="155">
                  <c:v>40587.791666666664</c:v>
                </c:pt>
                <c:pt idx="156">
                  <c:v>40587.833333333336</c:v>
                </c:pt>
                <c:pt idx="157">
                  <c:v>40587.875</c:v>
                </c:pt>
                <c:pt idx="158">
                  <c:v>40587.916666666664</c:v>
                </c:pt>
                <c:pt idx="159">
                  <c:v>40587.958333333336</c:v>
                </c:pt>
                <c:pt idx="160">
                  <c:v>40588</c:v>
                </c:pt>
                <c:pt idx="161">
                  <c:v>40588.041666666664</c:v>
                </c:pt>
                <c:pt idx="162">
                  <c:v>40588.083333333336</c:v>
                </c:pt>
                <c:pt idx="163">
                  <c:v>40588.125</c:v>
                </c:pt>
                <c:pt idx="164">
                  <c:v>40588.166666666664</c:v>
                </c:pt>
                <c:pt idx="165">
                  <c:v>40588.208333333336</c:v>
                </c:pt>
                <c:pt idx="166">
                  <c:v>40588.25</c:v>
                </c:pt>
                <c:pt idx="167">
                  <c:v>40588.291666666664</c:v>
                </c:pt>
                <c:pt idx="168">
                  <c:v>40588.333333333336</c:v>
                </c:pt>
                <c:pt idx="169">
                  <c:v>40588.375</c:v>
                </c:pt>
                <c:pt idx="170">
                  <c:v>40588.416666666664</c:v>
                </c:pt>
                <c:pt idx="171">
                  <c:v>40588.458333333336</c:v>
                </c:pt>
                <c:pt idx="172">
                  <c:v>40588.5</c:v>
                </c:pt>
                <c:pt idx="173">
                  <c:v>40588.541666666664</c:v>
                </c:pt>
                <c:pt idx="174">
                  <c:v>40588.583333333336</c:v>
                </c:pt>
                <c:pt idx="175">
                  <c:v>40588.625</c:v>
                </c:pt>
                <c:pt idx="176">
                  <c:v>40588.666666666664</c:v>
                </c:pt>
                <c:pt idx="177">
                  <c:v>40588.708333333336</c:v>
                </c:pt>
                <c:pt idx="178">
                  <c:v>40588.75</c:v>
                </c:pt>
                <c:pt idx="179">
                  <c:v>40588.791666666664</c:v>
                </c:pt>
                <c:pt idx="180">
                  <c:v>40588.833333333336</c:v>
                </c:pt>
                <c:pt idx="181">
                  <c:v>40588.875</c:v>
                </c:pt>
                <c:pt idx="182">
                  <c:v>40588.916666666664</c:v>
                </c:pt>
                <c:pt idx="183">
                  <c:v>40588.958333333336</c:v>
                </c:pt>
                <c:pt idx="184">
                  <c:v>40589</c:v>
                </c:pt>
                <c:pt idx="185">
                  <c:v>40589.041666666664</c:v>
                </c:pt>
                <c:pt idx="186">
                  <c:v>40589.083333333336</c:v>
                </c:pt>
                <c:pt idx="187">
                  <c:v>40589.125</c:v>
                </c:pt>
                <c:pt idx="188">
                  <c:v>40589.166666666664</c:v>
                </c:pt>
                <c:pt idx="189">
                  <c:v>40589.208333333336</c:v>
                </c:pt>
                <c:pt idx="190">
                  <c:v>40589.25</c:v>
                </c:pt>
                <c:pt idx="191">
                  <c:v>40589.291666666664</c:v>
                </c:pt>
                <c:pt idx="192">
                  <c:v>40589.333333333336</c:v>
                </c:pt>
                <c:pt idx="193">
                  <c:v>40589.375</c:v>
                </c:pt>
                <c:pt idx="194">
                  <c:v>40589.416666666664</c:v>
                </c:pt>
                <c:pt idx="195">
                  <c:v>40589.458333333336</c:v>
                </c:pt>
                <c:pt idx="196">
                  <c:v>40589.5</c:v>
                </c:pt>
                <c:pt idx="197">
                  <c:v>40589.541666666664</c:v>
                </c:pt>
                <c:pt idx="198">
                  <c:v>40589.583333333336</c:v>
                </c:pt>
                <c:pt idx="199">
                  <c:v>40589.625</c:v>
                </c:pt>
                <c:pt idx="200">
                  <c:v>40589.666666666664</c:v>
                </c:pt>
                <c:pt idx="201">
                  <c:v>40589.708333333336</c:v>
                </c:pt>
                <c:pt idx="202">
                  <c:v>40589.75</c:v>
                </c:pt>
                <c:pt idx="203">
                  <c:v>40589.791666666664</c:v>
                </c:pt>
                <c:pt idx="204">
                  <c:v>40589.833333333336</c:v>
                </c:pt>
                <c:pt idx="205">
                  <c:v>40589.875</c:v>
                </c:pt>
                <c:pt idx="206">
                  <c:v>40589.916666666664</c:v>
                </c:pt>
                <c:pt idx="207">
                  <c:v>40589.958333333336</c:v>
                </c:pt>
                <c:pt idx="208">
                  <c:v>40590</c:v>
                </c:pt>
                <c:pt idx="209">
                  <c:v>40590.041666666664</c:v>
                </c:pt>
                <c:pt idx="210">
                  <c:v>40590.083333333336</c:v>
                </c:pt>
                <c:pt idx="211">
                  <c:v>40590.125</c:v>
                </c:pt>
                <c:pt idx="212">
                  <c:v>40590.166666666664</c:v>
                </c:pt>
                <c:pt idx="213">
                  <c:v>40590.208333333336</c:v>
                </c:pt>
                <c:pt idx="214">
                  <c:v>40590.25</c:v>
                </c:pt>
                <c:pt idx="215">
                  <c:v>40590.291666666664</c:v>
                </c:pt>
              </c:numCache>
            </c:numRef>
          </c:cat>
          <c:val>
            <c:numRef>
              <c:f>Forecast!$D$847:$D$1062</c:f>
              <c:numCache>
                <c:formatCode>General</c:formatCode>
                <c:ptCount val="216"/>
                <c:pt idx="167">
                  <c:v>98</c:v>
                </c:pt>
                <c:pt idx="168" formatCode="0">
                  <c:v>167.20089311102609</c:v>
                </c:pt>
                <c:pt idx="169" formatCode="0">
                  <c:v>129.76592301214188</c:v>
                </c:pt>
                <c:pt idx="170" formatCode="0">
                  <c:v>91.433803928289763</c:v>
                </c:pt>
                <c:pt idx="171" formatCode="0">
                  <c:v>92.871566369865207</c:v>
                </c:pt>
                <c:pt idx="172" formatCode="0">
                  <c:v>110.35799174770366</c:v>
                </c:pt>
                <c:pt idx="173" formatCode="0">
                  <c:v>113.2337210396345</c:v>
                </c:pt>
                <c:pt idx="174" formatCode="0">
                  <c:v>108.1067032698913</c:v>
                </c:pt>
                <c:pt idx="175" formatCode="0">
                  <c:v>119.50266870668136</c:v>
                </c:pt>
                <c:pt idx="176" formatCode="0">
                  <c:v>133.49788969523826</c:v>
                </c:pt>
                <c:pt idx="177" formatCode="0">
                  <c:v>188.33398959181352</c:v>
                </c:pt>
                <c:pt idx="178" formatCode="0">
                  <c:v>164.7862589992055</c:v>
                </c:pt>
                <c:pt idx="179" formatCode="0">
                  <c:v>120.7362170386132</c:v>
                </c:pt>
                <c:pt idx="180" formatCode="0">
                  <c:v>101.20383669059119</c:v>
                </c:pt>
                <c:pt idx="181" formatCode="0">
                  <c:v>85.477138669646479</c:v>
                </c:pt>
                <c:pt idx="182" formatCode="0">
                  <c:v>61.879144276521544</c:v>
                </c:pt>
                <c:pt idx="183" formatCode="0">
                  <c:v>49.850610633729431</c:v>
                </c:pt>
                <c:pt idx="184" formatCode="0">
                  <c:v>38.481638152132035</c:v>
                </c:pt>
                <c:pt idx="185" formatCode="0">
                  <c:v>35.208781806916626</c:v>
                </c:pt>
                <c:pt idx="186" formatCode="0">
                  <c:v>35.327587592413984</c:v>
                </c:pt>
                <c:pt idx="187" formatCode="0">
                  <c:v>37.465631000697691</c:v>
                </c:pt>
                <c:pt idx="188" formatCode="0">
                  <c:v>39.17420506189621</c:v>
                </c:pt>
                <c:pt idx="189" formatCode="0">
                  <c:v>43.541934070432198</c:v>
                </c:pt>
                <c:pt idx="190" formatCode="0">
                  <c:v>60.784815392636801</c:v>
                </c:pt>
                <c:pt idx="191" formatCode="0">
                  <c:v>98.331066246798343</c:v>
                </c:pt>
                <c:pt idx="192" formatCode="0">
                  <c:v>167.53195935782443</c:v>
                </c:pt>
                <c:pt idx="193" formatCode="0">
                  <c:v>130.09698925894023</c:v>
                </c:pt>
                <c:pt idx="194" formatCode="0">
                  <c:v>91.764870175088106</c:v>
                </c:pt>
                <c:pt idx="195" formatCode="0">
                  <c:v>93.20263261666355</c:v>
                </c:pt>
                <c:pt idx="196" formatCode="0">
                  <c:v>110.68905799450201</c:v>
                </c:pt>
                <c:pt idx="197" formatCode="0">
                  <c:v>113.56478728643285</c:v>
                </c:pt>
                <c:pt idx="198" formatCode="0">
                  <c:v>108.43776951668964</c:v>
                </c:pt>
                <c:pt idx="199" formatCode="0">
                  <c:v>119.83373495347971</c:v>
                </c:pt>
                <c:pt idx="200" formatCode="0">
                  <c:v>133.8289559420366</c:v>
                </c:pt>
                <c:pt idx="201" formatCode="0">
                  <c:v>188.66505583861186</c:v>
                </c:pt>
                <c:pt idx="202" formatCode="0">
                  <c:v>165.11732524600384</c:v>
                </c:pt>
                <c:pt idx="203" formatCode="0">
                  <c:v>121.06728328541155</c:v>
                </c:pt>
                <c:pt idx="204" formatCode="0">
                  <c:v>101.53490293738953</c:v>
                </c:pt>
                <c:pt idx="205" formatCode="0">
                  <c:v>85.808204916444822</c:v>
                </c:pt>
                <c:pt idx="206" formatCode="0">
                  <c:v>62.210210523319887</c:v>
                </c:pt>
                <c:pt idx="207" formatCode="0">
                  <c:v>50.181676880527775</c:v>
                </c:pt>
                <c:pt idx="208" formatCode="0">
                  <c:v>38.812704398930379</c:v>
                </c:pt>
                <c:pt idx="209" formatCode="0">
                  <c:v>35.539848053714969</c:v>
                </c:pt>
                <c:pt idx="210" formatCode="0">
                  <c:v>35.658653839212327</c:v>
                </c:pt>
                <c:pt idx="211" formatCode="0">
                  <c:v>37.796697247496034</c:v>
                </c:pt>
                <c:pt idx="212" formatCode="0">
                  <c:v>39.505271308694553</c:v>
                </c:pt>
                <c:pt idx="213" formatCode="0">
                  <c:v>43.873000317230527</c:v>
                </c:pt>
                <c:pt idx="214" formatCode="0">
                  <c:v>61.115881639435145</c:v>
                </c:pt>
                <c:pt idx="215" formatCode="0">
                  <c:v>98.662132493596687</c:v>
                </c:pt>
              </c:numCache>
            </c:numRef>
          </c:val>
          <c:smooth val="0"/>
          <c:extLst>
            <c:ext xmlns:c16="http://schemas.microsoft.com/office/drawing/2014/chart" uri="{C3380CC4-5D6E-409C-BE32-E72D297353CC}">
              <c16:uniqueId val="{00000001-E259-F848-8C63-F01D77845254}"/>
            </c:ext>
          </c:extLst>
        </c:ser>
        <c:ser>
          <c:idx val="2"/>
          <c:order val="2"/>
          <c:tx>
            <c:v>Lower 95%</c:v>
          </c:tx>
          <c:spPr>
            <a:ln w="22000">
              <a:solidFill>
                <a:srgbClr val="F4A261"/>
              </a:solidFill>
              <a:prstDash val="dash"/>
            </a:ln>
          </c:spPr>
          <c:marker>
            <c:symbol val="none"/>
          </c:marker>
          <c:cat>
            <c:numRef>
              <c:f>Forecast!$A$847:$A$1062</c:f>
              <c:numCache>
                <c:formatCode>dd\-mmm\ hh:mm</c:formatCode>
                <c:ptCount val="216"/>
                <c:pt idx="0">
                  <c:v>40581.125</c:v>
                </c:pt>
                <c:pt idx="1">
                  <c:v>40581.166666666664</c:v>
                </c:pt>
                <c:pt idx="2">
                  <c:v>40581.208333333336</c:v>
                </c:pt>
                <c:pt idx="3">
                  <c:v>40581.25</c:v>
                </c:pt>
                <c:pt idx="4">
                  <c:v>40581.291666666664</c:v>
                </c:pt>
                <c:pt idx="5">
                  <c:v>40581.333333333336</c:v>
                </c:pt>
                <c:pt idx="6">
                  <c:v>40581.375</c:v>
                </c:pt>
                <c:pt idx="7">
                  <c:v>40581.416666666664</c:v>
                </c:pt>
                <c:pt idx="8">
                  <c:v>40581.458333333336</c:v>
                </c:pt>
                <c:pt idx="9">
                  <c:v>40581.5</c:v>
                </c:pt>
                <c:pt idx="10">
                  <c:v>40581.541666666664</c:v>
                </c:pt>
                <c:pt idx="11">
                  <c:v>40581.583333333336</c:v>
                </c:pt>
                <c:pt idx="12">
                  <c:v>40581.625</c:v>
                </c:pt>
                <c:pt idx="13">
                  <c:v>40581.666666666664</c:v>
                </c:pt>
                <c:pt idx="14">
                  <c:v>40581.708333333336</c:v>
                </c:pt>
                <c:pt idx="15">
                  <c:v>40581.75</c:v>
                </c:pt>
                <c:pt idx="16">
                  <c:v>40581.791666666664</c:v>
                </c:pt>
                <c:pt idx="17">
                  <c:v>40581.833333333336</c:v>
                </c:pt>
                <c:pt idx="18">
                  <c:v>40581.875</c:v>
                </c:pt>
                <c:pt idx="19">
                  <c:v>40581.916666666664</c:v>
                </c:pt>
                <c:pt idx="20">
                  <c:v>40581.958333333336</c:v>
                </c:pt>
                <c:pt idx="21">
                  <c:v>40582</c:v>
                </c:pt>
                <c:pt idx="22">
                  <c:v>40582.041666666664</c:v>
                </c:pt>
                <c:pt idx="23">
                  <c:v>40582.083333333336</c:v>
                </c:pt>
                <c:pt idx="24">
                  <c:v>40582.125</c:v>
                </c:pt>
                <c:pt idx="25">
                  <c:v>40582.166666666664</c:v>
                </c:pt>
                <c:pt idx="26">
                  <c:v>40582.208333333336</c:v>
                </c:pt>
                <c:pt idx="27">
                  <c:v>40582.25</c:v>
                </c:pt>
                <c:pt idx="28">
                  <c:v>40582.291666666664</c:v>
                </c:pt>
                <c:pt idx="29">
                  <c:v>40582.333333333336</c:v>
                </c:pt>
                <c:pt idx="30">
                  <c:v>40582.375</c:v>
                </c:pt>
                <c:pt idx="31">
                  <c:v>40582.416666666664</c:v>
                </c:pt>
                <c:pt idx="32">
                  <c:v>40582.458333333336</c:v>
                </c:pt>
                <c:pt idx="33">
                  <c:v>40582.5</c:v>
                </c:pt>
                <c:pt idx="34">
                  <c:v>40582.541666666664</c:v>
                </c:pt>
                <c:pt idx="35">
                  <c:v>40582.583333333336</c:v>
                </c:pt>
                <c:pt idx="36">
                  <c:v>40582.625</c:v>
                </c:pt>
                <c:pt idx="37">
                  <c:v>40582.666666666664</c:v>
                </c:pt>
                <c:pt idx="38">
                  <c:v>40582.708333333336</c:v>
                </c:pt>
                <c:pt idx="39">
                  <c:v>40582.75</c:v>
                </c:pt>
                <c:pt idx="40">
                  <c:v>40582.791666666664</c:v>
                </c:pt>
                <c:pt idx="41">
                  <c:v>40582.833333333336</c:v>
                </c:pt>
                <c:pt idx="42">
                  <c:v>40582.875</c:v>
                </c:pt>
                <c:pt idx="43">
                  <c:v>40582.916666666664</c:v>
                </c:pt>
                <c:pt idx="44">
                  <c:v>40582.958333333336</c:v>
                </c:pt>
                <c:pt idx="45">
                  <c:v>40583</c:v>
                </c:pt>
                <c:pt idx="46">
                  <c:v>40583.041666666664</c:v>
                </c:pt>
                <c:pt idx="47">
                  <c:v>40583.083333333336</c:v>
                </c:pt>
                <c:pt idx="48">
                  <c:v>40583.125</c:v>
                </c:pt>
                <c:pt idx="49">
                  <c:v>40583.208333333336</c:v>
                </c:pt>
                <c:pt idx="50">
                  <c:v>40583.25</c:v>
                </c:pt>
                <c:pt idx="51">
                  <c:v>40583.291666666664</c:v>
                </c:pt>
                <c:pt idx="52">
                  <c:v>40583.333333333336</c:v>
                </c:pt>
                <c:pt idx="53">
                  <c:v>40583.375</c:v>
                </c:pt>
                <c:pt idx="54">
                  <c:v>40583.416666666664</c:v>
                </c:pt>
                <c:pt idx="55">
                  <c:v>40583.458333333336</c:v>
                </c:pt>
                <c:pt idx="56">
                  <c:v>40583.5</c:v>
                </c:pt>
                <c:pt idx="57">
                  <c:v>40583.541666666664</c:v>
                </c:pt>
                <c:pt idx="58">
                  <c:v>40583.583333333336</c:v>
                </c:pt>
                <c:pt idx="59">
                  <c:v>40583.625</c:v>
                </c:pt>
                <c:pt idx="60">
                  <c:v>40583.666666666664</c:v>
                </c:pt>
                <c:pt idx="61">
                  <c:v>40583.708333333336</c:v>
                </c:pt>
                <c:pt idx="62">
                  <c:v>40583.75</c:v>
                </c:pt>
                <c:pt idx="63">
                  <c:v>40583.791666666664</c:v>
                </c:pt>
                <c:pt idx="64">
                  <c:v>40583.833333333336</c:v>
                </c:pt>
                <c:pt idx="65">
                  <c:v>40583.875</c:v>
                </c:pt>
                <c:pt idx="66">
                  <c:v>40583.916666666664</c:v>
                </c:pt>
                <c:pt idx="67">
                  <c:v>40583.958333333336</c:v>
                </c:pt>
                <c:pt idx="68">
                  <c:v>40584</c:v>
                </c:pt>
                <c:pt idx="69">
                  <c:v>40584.041666666664</c:v>
                </c:pt>
                <c:pt idx="70">
                  <c:v>40584.083333333336</c:v>
                </c:pt>
                <c:pt idx="71">
                  <c:v>40584.166666666664</c:v>
                </c:pt>
                <c:pt idx="72">
                  <c:v>40584.208333333336</c:v>
                </c:pt>
                <c:pt idx="73">
                  <c:v>40584.25</c:v>
                </c:pt>
                <c:pt idx="74">
                  <c:v>40584.291666666664</c:v>
                </c:pt>
                <c:pt idx="75">
                  <c:v>40584.333333333336</c:v>
                </c:pt>
                <c:pt idx="76">
                  <c:v>40584.375</c:v>
                </c:pt>
                <c:pt idx="77">
                  <c:v>40584.416666666664</c:v>
                </c:pt>
                <c:pt idx="78">
                  <c:v>40584.458333333336</c:v>
                </c:pt>
                <c:pt idx="79">
                  <c:v>40584.5</c:v>
                </c:pt>
                <c:pt idx="80">
                  <c:v>40584.541666666664</c:v>
                </c:pt>
                <c:pt idx="81">
                  <c:v>40584.583333333336</c:v>
                </c:pt>
                <c:pt idx="82">
                  <c:v>40584.625</c:v>
                </c:pt>
                <c:pt idx="83">
                  <c:v>40584.666666666664</c:v>
                </c:pt>
                <c:pt idx="84">
                  <c:v>40584.708333333336</c:v>
                </c:pt>
                <c:pt idx="85">
                  <c:v>40584.75</c:v>
                </c:pt>
                <c:pt idx="86">
                  <c:v>40584.791666666664</c:v>
                </c:pt>
                <c:pt idx="87">
                  <c:v>40584.833333333336</c:v>
                </c:pt>
                <c:pt idx="88">
                  <c:v>40584.875</c:v>
                </c:pt>
                <c:pt idx="89">
                  <c:v>40584.916666666664</c:v>
                </c:pt>
                <c:pt idx="90">
                  <c:v>40584.958333333336</c:v>
                </c:pt>
                <c:pt idx="91">
                  <c:v>40585</c:v>
                </c:pt>
                <c:pt idx="92">
                  <c:v>40585.041666666664</c:v>
                </c:pt>
                <c:pt idx="93">
                  <c:v>40585.083333333336</c:v>
                </c:pt>
                <c:pt idx="94">
                  <c:v>40585.208333333336</c:v>
                </c:pt>
                <c:pt idx="95">
                  <c:v>40585.25</c:v>
                </c:pt>
                <c:pt idx="96">
                  <c:v>40585.291666666664</c:v>
                </c:pt>
                <c:pt idx="97">
                  <c:v>40585.333333333336</c:v>
                </c:pt>
                <c:pt idx="98">
                  <c:v>40585.375</c:v>
                </c:pt>
                <c:pt idx="99">
                  <c:v>40585.416666666664</c:v>
                </c:pt>
                <c:pt idx="100">
                  <c:v>40585.458333333336</c:v>
                </c:pt>
                <c:pt idx="101">
                  <c:v>40585.5</c:v>
                </c:pt>
                <c:pt idx="102">
                  <c:v>40585.541666666664</c:v>
                </c:pt>
                <c:pt idx="103">
                  <c:v>40585.583333333336</c:v>
                </c:pt>
                <c:pt idx="104">
                  <c:v>40585.625</c:v>
                </c:pt>
                <c:pt idx="105">
                  <c:v>40585.666666666664</c:v>
                </c:pt>
                <c:pt idx="106">
                  <c:v>40585.708333333336</c:v>
                </c:pt>
                <c:pt idx="107">
                  <c:v>40585.75</c:v>
                </c:pt>
                <c:pt idx="108">
                  <c:v>40585.791666666664</c:v>
                </c:pt>
                <c:pt idx="109">
                  <c:v>40585.833333333336</c:v>
                </c:pt>
                <c:pt idx="110">
                  <c:v>40585.875</c:v>
                </c:pt>
                <c:pt idx="111">
                  <c:v>40585.916666666664</c:v>
                </c:pt>
                <c:pt idx="112">
                  <c:v>40585.958333333336</c:v>
                </c:pt>
                <c:pt idx="113">
                  <c:v>40586</c:v>
                </c:pt>
                <c:pt idx="114">
                  <c:v>40586.041666666664</c:v>
                </c:pt>
                <c:pt idx="115">
                  <c:v>40586.083333333336</c:v>
                </c:pt>
                <c:pt idx="116">
                  <c:v>40586.125</c:v>
                </c:pt>
                <c:pt idx="117">
                  <c:v>40586.166666666664</c:v>
                </c:pt>
                <c:pt idx="118">
                  <c:v>40586.208333333336</c:v>
                </c:pt>
                <c:pt idx="119">
                  <c:v>40586.25</c:v>
                </c:pt>
                <c:pt idx="120">
                  <c:v>40586.291666666664</c:v>
                </c:pt>
                <c:pt idx="121">
                  <c:v>40586.333333333336</c:v>
                </c:pt>
                <c:pt idx="122">
                  <c:v>40586.375</c:v>
                </c:pt>
                <c:pt idx="123">
                  <c:v>40586.416666666664</c:v>
                </c:pt>
                <c:pt idx="124">
                  <c:v>40586.458333333336</c:v>
                </c:pt>
                <c:pt idx="125">
                  <c:v>40586.5</c:v>
                </c:pt>
                <c:pt idx="126">
                  <c:v>40586.541666666664</c:v>
                </c:pt>
                <c:pt idx="127">
                  <c:v>40586.583333333336</c:v>
                </c:pt>
                <c:pt idx="128">
                  <c:v>40586.625</c:v>
                </c:pt>
                <c:pt idx="129">
                  <c:v>40586.666666666664</c:v>
                </c:pt>
                <c:pt idx="130">
                  <c:v>40586.708333333336</c:v>
                </c:pt>
                <c:pt idx="131">
                  <c:v>40586.75</c:v>
                </c:pt>
                <c:pt idx="132">
                  <c:v>40586.791666666664</c:v>
                </c:pt>
                <c:pt idx="133">
                  <c:v>40586.833333333336</c:v>
                </c:pt>
                <c:pt idx="134">
                  <c:v>40586.875</c:v>
                </c:pt>
                <c:pt idx="135">
                  <c:v>40586.916666666664</c:v>
                </c:pt>
                <c:pt idx="136">
                  <c:v>40586.958333333336</c:v>
                </c:pt>
                <c:pt idx="137">
                  <c:v>40587</c:v>
                </c:pt>
                <c:pt idx="138">
                  <c:v>40587.041666666664</c:v>
                </c:pt>
                <c:pt idx="139">
                  <c:v>40587.083333333336</c:v>
                </c:pt>
                <c:pt idx="140">
                  <c:v>40587.125</c:v>
                </c:pt>
                <c:pt idx="141">
                  <c:v>40587.166666666664</c:v>
                </c:pt>
                <c:pt idx="142">
                  <c:v>40587.25</c:v>
                </c:pt>
                <c:pt idx="143">
                  <c:v>40587.291666666664</c:v>
                </c:pt>
                <c:pt idx="144">
                  <c:v>40587.333333333336</c:v>
                </c:pt>
                <c:pt idx="145">
                  <c:v>40587.375</c:v>
                </c:pt>
                <c:pt idx="146">
                  <c:v>40587.416666666664</c:v>
                </c:pt>
                <c:pt idx="147">
                  <c:v>40587.458333333336</c:v>
                </c:pt>
                <c:pt idx="148">
                  <c:v>40587.5</c:v>
                </c:pt>
                <c:pt idx="149">
                  <c:v>40587.541666666664</c:v>
                </c:pt>
                <c:pt idx="150">
                  <c:v>40587.583333333336</c:v>
                </c:pt>
                <c:pt idx="151">
                  <c:v>40587.625</c:v>
                </c:pt>
                <c:pt idx="152">
                  <c:v>40587.666666666664</c:v>
                </c:pt>
                <c:pt idx="153">
                  <c:v>40587.708333333336</c:v>
                </c:pt>
                <c:pt idx="154">
                  <c:v>40587.75</c:v>
                </c:pt>
                <c:pt idx="155">
                  <c:v>40587.791666666664</c:v>
                </c:pt>
                <c:pt idx="156">
                  <c:v>40587.833333333336</c:v>
                </c:pt>
                <c:pt idx="157">
                  <c:v>40587.875</c:v>
                </c:pt>
                <c:pt idx="158">
                  <c:v>40587.916666666664</c:v>
                </c:pt>
                <c:pt idx="159">
                  <c:v>40587.958333333336</c:v>
                </c:pt>
                <c:pt idx="160">
                  <c:v>40588</c:v>
                </c:pt>
                <c:pt idx="161">
                  <c:v>40588.041666666664</c:v>
                </c:pt>
                <c:pt idx="162">
                  <c:v>40588.083333333336</c:v>
                </c:pt>
                <c:pt idx="163">
                  <c:v>40588.125</c:v>
                </c:pt>
                <c:pt idx="164">
                  <c:v>40588.166666666664</c:v>
                </c:pt>
                <c:pt idx="165">
                  <c:v>40588.208333333336</c:v>
                </c:pt>
                <c:pt idx="166">
                  <c:v>40588.25</c:v>
                </c:pt>
                <c:pt idx="167">
                  <c:v>40588.291666666664</c:v>
                </c:pt>
                <c:pt idx="168">
                  <c:v>40588.333333333336</c:v>
                </c:pt>
                <c:pt idx="169">
                  <c:v>40588.375</c:v>
                </c:pt>
                <c:pt idx="170">
                  <c:v>40588.416666666664</c:v>
                </c:pt>
                <c:pt idx="171">
                  <c:v>40588.458333333336</c:v>
                </c:pt>
                <c:pt idx="172">
                  <c:v>40588.5</c:v>
                </c:pt>
                <c:pt idx="173">
                  <c:v>40588.541666666664</c:v>
                </c:pt>
                <c:pt idx="174">
                  <c:v>40588.583333333336</c:v>
                </c:pt>
                <c:pt idx="175">
                  <c:v>40588.625</c:v>
                </c:pt>
                <c:pt idx="176">
                  <c:v>40588.666666666664</c:v>
                </c:pt>
                <c:pt idx="177">
                  <c:v>40588.708333333336</c:v>
                </c:pt>
                <c:pt idx="178">
                  <c:v>40588.75</c:v>
                </c:pt>
                <c:pt idx="179">
                  <c:v>40588.791666666664</c:v>
                </c:pt>
                <c:pt idx="180">
                  <c:v>40588.833333333336</c:v>
                </c:pt>
                <c:pt idx="181">
                  <c:v>40588.875</c:v>
                </c:pt>
                <c:pt idx="182">
                  <c:v>40588.916666666664</c:v>
                </c:pt>
                <c:pt idx="183">
                  <c:v>40588.958333333336</c:v>
                </c:pt>
                <c:pt idx="184">
                  <c:v>40589</c:v>
                </c:pt>
                <c:pt idx="185">
                  <c:v>40589.041666666664</c:v>
                </c:pt>
                <c:pt idx="186">
                  <c:v>40589.083333333336</c:v>
                </c:pt>
                <c:pt idx="187">
                  <c:v>40589.125</c:v>
                </c:pt>
                <c:pt idx="188">
                  <c:v>40589.166666666664</c:v>
                </c:pt>
                <c:pt idx="189">
                  <c:v>40589.208333333336</c:v>
                </c:pt>
                <c:pt idx="190">
                  <c:v>40589.25</c:v>
                </c:pt>
                <c:pt idx="191">
                  <c:v>40589.291666666664</c:v>
                </c:pt>
                <c:pt idx="192">
                  <c:v>40589.333333333336</c:v>
                </c:pt>
                <c:pt idx="193">
                  <c:v>40589.375</c:v>
                </c:pt>
                <c:pt idx="194">
                  <c:v>40589.416666666664</c:v>
                </c:pt>
                <c:pt idx="195">
                  <c:v>40589.458333333336</c:v>
                </c:pt>
                <c:pt idx="196">
                  <c:v>40589.5</c:v>
                </c:pt>
                <c:pt idx="197">
                  <c:v>40589.541666666664</c:v>
                </c:pt>
                <c:pt idx="198">
                  <c:v>40589.583333333336</c:v>
                </c:pt>
                <c:pt idx="199">
                  <c:v>40589.625</c:v>
                </c:pt>
                <c:pt idx="200">
                  <c:v>40589.666666666664</c:v>
                </c:pt>
                <c:pt idx="201">
                  <c:v>40589.708333333336</c:v>
                </c:pt>
                <c:pt idx="202">
                  <c:v>40589.75</c:v>
                </c:pt>
                <c:pt idx="203">
                  <c:v>40589.791666666664</c:v>
                </c:pt>
                <c:pt idx="204">
                  <c:v>40589.833333333336</c:v>
                </c:pt>
                <c:pt idx="205">
                  <c:v>40589.875</c:v>
                </c:pt>
                <c:pt idx="206">
                  <c:v>40589.916666666664</c:v>
                </c:pt>
                <c:pt idx="207">
                  <c:v>40589.958333333336</c:v>
                </c:pt>
                <c:pt idx="208">
                  <c:v>40590</c:v>
                </c:pt>
                <c:pt idx="209">
                  <c:v>40590.041666666664</c:v>
                </c:pt>
                <c:pt idx="210">
                  <c:v>40590.083333333336</c:v>
                </c:pt>
                <c:pt idx="211">
                  <c:v>40590.125</c:v>
                </c:pt>
                <c:pt idx="212">
                  <c:v>40590.166666666664</c:v>
                </c:pt>
                <c:pt idx="213">
                  <c:v>40590.208333333336</c:v>
                </c:pt>
                <c:pt idx="214">
                  <c:v>40590.25</c:v>
                </c:pt>
                <c:pt idx="215">
                  <c:v>40590.291666666664</c:v>
                </c:pt>
              </c:numCache>
            </c:numRef>
          </c:cat>
          <c:val>
            <c:numRef>
              <c:f>Forecast!$E$847:$E$1062</c:f>
              <c:numCache>
                <c:formatCode>General</c:formatCode>
                <c:ptCount val="216"/>
                <c:pt idx="168" formatCode="0">
                  <c:v>114.78249894067935</c:v>
                </c:pt>
                <c:pt idx="169" formatCode="0">
                  <c:v>59.209109365524768</c:v>
                </c:pt>
                <c:pt idx="170" formatCode="0">
                  <c:v>6.4997475193407865</c:v>
                </c:pt>
                <c:pt idx="171" formatCode="0">
                  <c:v>0</c:v>
                </c:pt>
                <c:pt idx="172" formatCode="0">
                  <c:v>2.1926639551923301</c:v>
                </c:pt>
                <c:pt idx="173" formatCode="0">
                  <c:v>0</c:v>
                </c:pt>
                <c:pt idx="174" formatCode="0">
                  <c:v>0</c:v>
                </c:pt>
                <c:pt idx="175" formatCode="0">
                  <c:v>0</c:v>
                </c:pt>
                <c:pt idx="176" formatCode="0">
                  <c:v>0</c:v>
                </c:pt>
                <c:pt idx="177" formatCode="0">
                  <c:v>36.670942886754744</c:v>
                </c:pt>
                <c:pt idx="178" formatCode="0">
                  <c:v>5.7987116632239406</c:v>
                </c:pt>
                <c:pt idx="179" formatCode="0">
                  <c:v>0</c:v>
                </c:pt>
                <c:pt idx="180" formatCode="0">
                  <c:v>0</c:v>
                </c:pt>
                <c:pt idx="181" formatCode="0">
                  <c:v>0</c:v>
                </c:pt>
                <c:pt idx="182" formatCode="0">
                  <c:v>0</c:v>
                </c:pt>
                <c:pt idx="183" formatCode="0">
                  <c:v>0</c:v>
                </c:pt>
                <c:pt idx="184" formatCode="0">
                  <c:v>0</c:v>
                </c:pt>
                <c:pt idx="185" formatCode="0">
                  <c:v>0</c:v>
                </c:pt>
                <c:pt idx="186" formatCode="0">
                  <c:v>0</c:v>
                </c:pt>
                <c:pt idx="187" formatCode="0">
                  <c:v>0</c:v>
                </c:pt>
                <c:pt idx="188" formatCode="0">
                  <c:v>0</c:v>
                </c:pt>
                <c:pt idx="189" formatCode="0">
                  <c:v>0</c:v>
                </c:pt>
                <c:pt idx="190" formatCode="0">
                  <c:v>0</c:v>
                </c:pt>
                <c:pt idx="191" formatCode="0">
                  <c:v>0</c:v>
                </c:pt>
                <c:pt idx="192" formatCode="0">
                  <c:v>0</c:v>
                </c:pt>
                <c:pt idx="193" formatCode="0">
                  <c:v>0</c:v>
                </c:pt>
                <c:pt idx="194" formatCode="0">
                  <c:v>0</c:v>
                </c:pt>
                <c:pt idx="195" formatCode="0">
                  <c:v>0</c:v>
                </c:pt>
                <c:pt idx="196" formatCode="0">
                  <c:v>0</c:v>
                </c:pt>
                <c:pt idx="197" formatCode="0">
                  <c:v>0</c:v>
                </c:pt>
                <c:pt idx="198" formatCode="0">
                  <c:v>0</c:v>
                </c:pt>
                <c:pt idx="199" formatCode="0">
                  <c:v>0</c:v>
                </c:pt>
                <c:pt idx="200" formatCode="0">
                  <c:v>0</c:v>
                </c:pt>
                <c:pt idx="201" formatCode="0">
                  <c:v>0</c:v>
                </c:pt>
                <c:pt idx="202" formatCode="0">
                  <c:v>0</c:v>
                </c:pt>
                <c:pt idx="203" formatCode="0">
                  <c:v>0</c:v>
                </c:pt>
                <c:pt idx="204" formatCode="0">
                  <c:v>0</c:v>
                </c:pt>
                <c:pt idx="205" formatCode="0">
                  <c:v>0</c:v>
                </c:pt>
                <c:pt idx="206" formatCode="0">
                  <c:v>0</c:v>
                </c:pt>
                <c:pt idx="207" formatCode="0">
                  <c:v>0</c:v>
                </c:pt>
                <c:pt idx="208" formatCode="0">
                  <c:v>0</c:v>
                </c:pt>
                <c:pt idx="209" formatCode="0">
                  <c:v>0</c:v>
                </c:pt>
                <c:pt idx="210" formatCode="0">
                  <c:v>0</c:v>
                </c:pt>
                <c:pt idx="211" formatCode="0">
                  <c:v>0</c:v>
                </c:pt>
                <c:pt idx="212" formatCode="0">
                  <c:v>0</c:v>
                </c:pt>
                <c:pt idx="213" formatCode="0">
                  <c:v>0</c:v>
                </c:pt>
                <c:pt idx="214" formatCode="0">
                  <c:v>0</c:v>
                </c:pt>
                <c:pt idx="215" formatCode="0">
                  <c:v>0</c:v>
                </c:pt>
              </c:numCache>
            </c:numRef>
          </c:val>
          <c:smooth val="0"/>
          <c:extLst>
            <c:ext xmlns:c16="http://schemas.microsoft.com/office/drawing/2014/chart" uri="{C3380CC4-5D6E-409C-BE32-E72D297353CC}">
              <c16:uniqueId val="{00000002-E259-F848-8C63-F01D77845254}"/>
            </c:ext>
          </c:extLst>
        </c:ser>
        <c:ser>
          <c:idx val="3"/>
          <c:order val="3"/>
          <c:tx>
            <c:v>Upper 95%</c:v>
          </c:tx>
          <c:spPr>
            <a:ln w="22000">
              <a:solidFill>
                <a:srgbClr val="F4A261"/>
              </a:solidFill>
              <a:prstDash val="dash"/>
            </a:ln>
          </c:spPr>
          <c:marker>
            <c:symbol val="none"/>
          </c:marker>
          <c:cat>
            <c:numRef>
              <c:f>Forecast!$A$847:$A$1062</c:f>
              <c:numCache>
                <c:formatCode>dd\-mmm\ hh:mm</c:formatCode>
                <c:ptCount val="216"/>
                <c:pt idx="0">
                  <c:v>40581.125</c:v>
                </c:pt>
                <c:pt idx="1">
                  <c:v>40581.166666666664</c:v>
                </c:pt>
                <c:pt idx="2">
                  <c:v>40581.208333333336</c:v>
                </c:pt>
                <c:pt idx="3">
                  <c:v>40581.25</c:v>
                </c:pt>
                <c:pt idx="4">
                  <c:v>40581.291666666664</c:v>
                </c:pt>
                <c:pt idx="5">
                  <c:v>40581.333333333336</c:v>
                </c:pt>
                <c:pt idx="6">
                  <c:v>40581.375</c:v>
                </c:pt>
                <c:pt idx="7">
                  <c:v>40581.416666666664</c:v>
                </c:pt>
                <c:pt idx="8">
                  <c:v>40581.458333333336</c:v>
                </c:pt>
                <c:pt idx="9">
                  <c:v>40581.5</c:v>
                </c:pt>
                <c:pt idx="10">
                  <c:v>40581.541666666664</c:v>
                </c:pt>
                <c:pt idx="11">
                  <c:v>40581.583333333336</c:v>
                </c:pt>
                <c:pt idx="12">
                  <c:v>40581.625</c:v>
                </c:pt>
                <c:pt idx="13">
                  <c:v>40581.666666666664</c:v>
                </c:pt>
                <c:pt idx="14">
                  <c:v>40581.708333333336</c:v>
                </c:pt>
                <c:pt idx="15">
                  <c:v>40581.75</c:v>
                </c:pt>
                <c:pt idx="16">
                  <c:v>40581.791666666664</c:v>
                </c:pt>
                <c:pt idx="17">
                  <c:v>40581.833333333336</c:v>
                </c:pt>
                <c:pt idx="18">
                  <c:v>40581.875</c:v>
                </c:pt>
                <c:pt idx="19">
                  <c:v>40581.916666666664</c:v>
                </c:pt>
                <c:pt idx="20">
                  <c:v>40581.958333333336</c:v>
                </c:pt>
                <c:pt idx="21">
                  <c:v>40582</c:v>
                </c:pt>
                <c:pt idx="22">
                  <c:v>40582.041666666664</c:v>
                </c:pt>
                <c:pt idx="23">
                  <c:v>40582.083333333336</c:v>
                </c:pt>
                <c:pt idx="24">
                  <c:v>40582.125</c:v>
                </c:pt>
                <c:pt idx="25">
                  <c:v>40582.166666666664</c:v>
                </c:pt>
                <c:pt idx="26">
                  <c:v>40582.208333333336</c:v>
                </c:pt>
                <c:pt idx="27">
                  <c:v>40582.25</c:v>
                </c:pt>
                <c:pt idx="28">
                  <c:v>40582.291666666664</c:v>
                </c:pt>
                <c:pt idx="29">
                  <c:v>40582.333333333336</c:v>
                </c:pt>
                <c:pt idx="30">
                  <c:v>40582.375</c:v>
                </c:pt>
                <c:pt idx="31">
                  <c:v>40582.416666666664</c:v>
                </c:pt>
                <c:pt idx="32">
                  <c:v>40582.458333333336</c:v>
                </c:pt>
                <c:pt idx="33">
                  <c:v>40582.5</c:v>
                </c:pt>
                <c:pt idx="34">
                  <c:v>40582.541666666664</c:v>
                </c:pt>
                <c:pt idx="35">
                  <c:v>40582.583333333336</c:v>
                </c:pt>
                <c:pt idx="36">
                  <c:v>40582.625</c:v>
                </c:pt>
                <c:pt idx="37">
                  <c:v>40582.666666666664</c:v>
                </c:pt>
                <c:pt idx="38">
                  <c:v>40582.708333333336</c:v>
                </c:pt>
                <c:pt idx="39">
                  <c:v>40582.75</c:v>
                </c:pt>
                <c:pt idx="40">
                  <c:v>40582.791666666664</c:v>
                </c:pt>
                <c:pt idx="41">
                  <c:v>40582.833333333336</c:v>
                </c:pt>
                <c:pt idx="42">
                  <c:v>40582.875</c:v>
                </c:pt>
                <c:pt idx="43">
                  <c:v>40582.916666666664</c:v>
                </c:pt>
                <c:pt idx="44">
                  <c:v>40582.958333333336</c:v>
                </c:pt>
                <c:pt idx="45">
                  <c:v>40583</c:v>
                </c:pt>
                <c:pt idx="46">
                  <c:v>40583.041666666664</c:v>
                </c:pt>
                <c:pt idx="47">
                  <c:v>40583.083333333336</c:v>
                </c:pt>
                <c:pt idx="48">
                  <c:v>40583.125</c:v>
                </c:pt>
                <c:pt idx="49">
                  <c:v>40583.208333333336</c:v>
                </c:pt>
                <c:pt idx="50">
                  <c:v>40583.25</c:v>
                </c:pt>
                <c:pt idx="51">
                  <c:v>40583.291666666664</c:v>
                </c:pt>
                <c:pt idx="52">
                  <c:v>40583.333333333336</c:v>
                </c:pt>
                <c:pt idx="53">
                  <c:v>40583.375</c:v>
                </c:pt>
                <c:pt idx="54">
                  <c:v>40583.416666666664</c:v>
                </c:pt>
                <c:pt idx="55">
                  <c:v>40583.458333333336</c:v>
                </c:pt>
                <c:pt idx="56">
                  <c:v>40583.5</c:v>
                </c:pt>
                <c:pt idx="57">
                  <c:v>40583.541666666664</c:v>
                </c:pt>
                <c:pt idx="58">
                  <c:v>40583.583333333336</c:v>
                </c:pt>
                <c:pt idx="59">
                  <c:v>40583.625</c:v>
                </c:pt>
                <c:pt idx="60">
                  <c:v>40583.666666666664</c:v>
                </c:pt>
                <c:pt idx="61">
                  <c:v>40583.708333333336</c:v>
                </c:pt>
                <c:pt idx="62">
                  <c:v>40583.75</c:v>
                </c:pt>
                <c:pt idx="63">
                  <c:v>40583.791666666664</c:v>
                </c:pt>
                <c:pt idx="64">
                  <c:v>40583.833333333336</c:v>
                </c:pt>
                <c:pt idx="65">
                  <c:v>40583.875</c:v>
                </c:pt>
                <c:pt idx="66">
                  <c:v>40583.916666666664</c:v>
                </c:pt>
                <c:pt idx="67">
                  <c:v>40583.958333333336</c:v>
                </c:pt>
                <c:pt idx="68">
                  <c:v>40584</c:v>
                </c:pt>
                <c:pt idx="69">
                  <c:v>40584.041666666664</c:v>
                </c:pt>
                <c:pt idx="70">
                  <c:v>40584.083333333336</c:v>
                </c:pt>
                <c:pt idx="71">
                  <c:v>40584.166666666664</c:v>
                </c:pt>
                <c:pt idx="72">
                  <c:v>40584.208333333336</c:v>
                </c:pt>
                <c:pt idx="73">
                  <c:v>40584.25</c:v>
                </c:pt>
                <c:pt idx="74">
                  <c:v>40584.291666666664</c:v>
                </c:pt>
                <c:pt idx="75">
                  <c:v>40584.333333333336</c:v>
                </c:pt>
                <c:pt idx="76">
                  <c:v>40584.375</c:v>
                </c:pt>
                <c:pt idx="77">
                  <c:v>40584.416666666664</c:v>
                </c:pt>
                <c:pt idx="78">
                  <c:v>40584.458333333336</c:v>
                </c:pt>
                <c:pt idx="79">
                  <c:v>40584.5</c:v>
                </c:pt>
                <c:pt idx="80">
                  <c:v>40584.541666666664</c:v>
                </c:pt>
                <c:pt idx="81">
                  <c:v>40584.583333333336</c:v>
                </c:pt>
                <c:pt idx="82">
                  <c:v>40584.625</c:v>
                </c:pt>
                <c:pt idx="83">
                  <c:v>40584.666666666664</c:v>
                </c:pt>
                <c:pt idx="84">
                  <c:v>40584.708333333336</c:v>
                </c:pt>
                <c:pt idx="85">
                  <c:v>40584.75</c:v>
                </c:pt>
                <c:pt idx="86">
                  <c:v>40584.791666666664</c:v>
                </c:pt>
                <c:pt idx="87">
                  <c:v>40584.833333333336</c:v>
                </c:pt>
                <c:pt idx="88">
                  <c:v>40584.875</c:v>
                </c:pt>
                <c:pt idx="89">
                  <c:v>40584.916666666664</c:v>
                </c:pt>
                <c:pt idx="90">
                  <c:v>40584.958333333336</c:v>
                </c:pt>
                <c:pt idx="91">
                  <c:v>40585</c:v>
                </c:pt>
                <c:pt idx="92">
                  <c:v>40585.041666666664</c:v>
                </c:pt>
                <c:pt idx="93">
                  <c:v>40585.083333333336</c:v>
                </c:pt>
                <c:pt idx="94">
                  <c:v>40585.208333333336</c:v>
                </c:pt>
                <c:pt idx="95">
                  <c:v>40585.25</c:v>
                </c:pt>
                <c:pt idx="96">
                  <c:v>40585.291666666664</c:v>
                </c:pt>
                <c:pt idx="97">
                  <c:v>40585.333333333336</c:v>
                </c:pt>
                <c:pt idx="98">
                  <c:v>40585.375</c:v>
                </c:pt>
                <c:pt idx="99">
                  <c:v>40585.416666666664</c:v>
                </c:pt>
                <c:pt idx="100">
                  <c:v>40585.458333333336</c:v>
                </c:pt>
                <c:pt idx="101">
                  <c:v>40585.5</c:v>
                </c:pt>
                <c:pt idx="102">
                  <c:v>40585.541666666664</c:v>
                </c:pt>
                <c:pt idx="103">
                  <c:v>40585.583333333336</c:v>
                </c:pt>
                <c:pt idx="104">
                  <c:v>40585.625</c:v>
                </c:pt>
                <c:pt idx="105">
                  <c:v>40585.666666666664</c:v>
                </c:pt>
                <c:pt idx="106">
                  <c:v>40585.708333333336</c:v>
                </c:pt>
                <c:pt idx="107">
                  <c:v>40585.75</c:v>
                </c:pt>
                <c:pt idx="108">
                  <c:v>40585.791666666664</c:v>
                </c:pt>
                <c:pt idx="109">
                  <c:v>40585.833333333336</c:v>
                </c:pt>
                <c:pt idx="110">
                  <c:v>40585.875</c:v>
                </c:pt>
                <c:pt idx="111">
                  <c:v>40585.916666666664</c:v>
                </c:pt>
                <c:pt idx="112">
                  <c:v>40585.958333333336</c:v>
                </c:pt>
                <c:pt idx="113">
                  <c:v>40586</c:v>
                </c:pt>
                <c:pt idx="114">
                  <c:v>40586.041666666664</c:v>
                </c:pt>
                <c:pt idx="115">
                  <c:v>40586.083333333336</c:v>
                </c:pt>
                <c:pt idx="116">
                  <c:v>40586.125</c:v>
                </c:pt>
                <c:pt idx="117">
                  <c:v>40586.166666666664</c:v>
                </c:pt>
                <c:pt idx="118">
                  <c:v>40586.208333333336</c:v>
                </c:pt>
                <c:pt idx="119">
                  <c:v>40586.25</c:v>
                </c:pt>
                <c:pt idx="120">
                  <c:v>40586.291666666664</c:v>
                </c:pt>
                <c:pt idx="121">
                  <c:v>40586.333333333336</c:v>
                </c:pt>
                <c:pt idx="122">
                  <c:v>40586.375</c:v>
                </c:pt>
                <c:pt idx="123">
                  <c:v>40586.416666666664</c:v>
                </c:pt>
                <c:pt idx="124">
                  <c:v>40586.458333333336</c:v>
                </c:pt>
                <c:pt idx="125">
                  <c:v>40586.5</c:v>
                </c:pt>
                <c:pt idx="126">
                  <c:v>40586.541666666664</c:v>
                </c:pt>
                <c:pt idx="127">
                  <c:v>40586.583333333336</c:v>
                </c:pt>
                <c:pt idx="128">
                  <c:v>40586.625</c:v>
                </c:pt>
                <c:pt idx="129">
                  <c:v>40586.666666666664</c:v>
                </c:pt>
                <c:pt idx="130">
                  <c:v>40586.708333333336</c:v>
                </c:pt>
                <c:pt idx="131">
                  <c:v>40586.75</c:v>
                </c:pt>
                <c:pt idx="132">
                  <c:v>40586.791666666664</c:v>
                </c:pt>
                <c:pt idx="133">
                  <c:v>40586.833333333336</c:v>
                </c:pt>
                <c:pt idx="134">
                  <c:v>40586.875</c:v>
                </c:pt>
                <c:pt idx="135">
                  <c:v>40586.916666666664</c:v>
                </c:pt>
                <c:pt idx="136">
                  <c:v>40586.958333333336</c:v>
                </c:pt>
                <c:pt idx="137">
                  <c:v>40587</c:v>
                </c:pt>
                <c:pt idx="138">
                  <c:v>40587.041666666664</c:v>
                </c:pt>
                <c:pt idx="139">
                  <c:v>40587.083333333336</c:v>
                </c:pt>
                <c:pt idx="140">
                  <c:v>40587.125</c:v>
                </c:pt>
                <c:pt idx="141">
                  <c:v>40587.166666666664</c:v>
                </c:pt>
                <c:pt idx="142">
                  <c:v>40587.25</c:v>
                </c:pt>
                <c:pt idx="143">
                  <c:v>40587.291666666664</c:v>
                </c:pt>
                <c:pt idx="144">
                  <c:v>40587.333333333336</c:v>
                </c:pt>
                <c:pt idx="145">
                  <c:v>40587.375</c:v>
                </c:pt>
                <c:pt idx="146">
                  <c:v>40587.416666666664</c:v>
                </c:pt>
                <c:pt idx="147">
                  <c:v>40587.458333333336</c:v>
                </c:pt>
                <c:pt idx="148">
                  <c:v>40587.5</c:v>
                </c:pt>
                <c:pt idx="149">
                  <c:v>40587.541666666664</c:v>
                </c:pt>
                <c:pt idx="150">
                  <c:v>40587.583333333336</c:v>
                </c:pt>
                <c:pt idx="151">
                  <c:v>40587.625</c:v>
                </c:pt>
                <c:pt idx="152">
                  <c:v>40587.666666666664</c:v>
                </c:pt>
                <c:pt idx="153">
                  <c:v>40587.708333333336</c:v>
                </c:pt>
                <c:pt idx="154">
                  <c:v>40587.75</c:v>
                </c:pt>
                <c:pt idx="155">
                  <c:v>40587.791666666664</c:v>
                </c:pt>
                <c:pt idx="156">
                  <c:v>40587.833333333336</c:v>
                </c:pt>
                <c:pt idx="157">
                  <c:v>40587.875</c:v>
                </c:pt>
                <c:pt idx="158">
                  <c:v>40587.916666666664</c:v>
                </c:pt>
                <c:pt idx="159">
                  <c:v>40587.958333333336</c:v>
                </c:pt>
                <c:pt idx="160">
                  <c:v>40588</c:v>
                </c:pt>
                <c:pt idx="161">
                  <c:v>40588.041666666664</c:v>
                </c:pt>
                <c:pt idx="162">
                  <c:v>40588.083333333336</c:v>
                </c:pt>
                <c:pt idx="163">
                  <c:v>40588.125</c:v>
                </c:pt>
                <c:pt idx="164">
                  <c:v>40588.166666666664</c:v>
                </c:pt>
                <c:pt idx="165">
                  <c:v>40588.208333333336</c:v>
                </c:pt>
                <c:pt idx="166">
                  <c:v>40588.25</c:v>
                </c:pt>
                <c:pt idx="167">
                  <c:v>40588.291666666664</c:v>
                </c:pt>
                <c:pt idx="168">
                  <c:v>40588.333333333336</c:v>
                </c:pt>
                <c:pt idx="169">
                  <c:v>40588.375</c:v>
                </c:pt>
                <c:pt idx="170">
                  <c:v>40588.416666666664</c:v>
                </c:pt>
                <c:pt idx="171">
                  <c:v>40588.458333333336</c:v>
                </c:pt>
                <c:pt idx="172">
                  <c:v>40588.5</c:v>
                </c:pt>
                <c:pt idx="173">
                  <c:v>40588.541666666664</c:v>
                </c:pt>
                <c:pt idx="174">
                  <c:v>40588.583333333336</c:v>
                </c:pt>
                <c:pt idx="175">
                  <c:v>40588.625</c:v>
                </c:pt>
                <c:pt idx="176">
                  <c:v>40588.666666666664</c:v>
                </c:pt>
                <c:pt idx="177">
                  <c:v>40588.708333333336</c:v>
                </c:pt>
                <c:pt idx="178">
                  <c:v>40588.75</c:v>
                </c:pt>
                <c:pt idx="179">
                  <c:v>40588.791666666664</c:v>
                </c:pt>
                <c:pt idx="180">
                  <c:v>40588.833333333336</c:v>
                </c:pt>
                <c:pt idx="181">
                  <c:v>40588.875</c:v>
                </c:pt>
                <c:pt idx="182">
                  <c:v>40588.916666666664</c:v>
                </c:pt>
                <c:pt idx="183">
                  <c:v>40588.958333333336</c:v>
                </c:pt>
                <c:pt idx="184">
                  <c:v>40589</c:v>
                </c:pt>
                <c:pt idx="185">
                  <c:v>40589.041666666664</c:v>
                </c:pt>
                <c:pt idx="186">
                  <c:v>40589.083333333336</c:v>
                </c:pt>
                <c:pt idx="187">
                  <c:v>40589.125</c:v>
                </c:pt>
                <c:pt idx="188">
                  <c:v>40589.166666666664</c:v>
                </c:pt>
                <c:pt idx="189">
                  <c:v>40589.208333333336</c:v>
                </c:pt>
                <c:pt idx="190">
                  <c:v>40589.25</c:v>
                </c:pt>
                <c:pt idx="191">
                  <c:v>40589.291666666664</c:v>
                </c:pt>
                <c:pt idx="192">
                  <c:v>40589.333333333336</c:v>
                </c:pt>
                <c:pt idx="193">
                  <c:v>40589.375</c:v>
                </c:pt>
                <c:pt idx="194">
                  <c:v>40589.416666666664</c:v>
                </c:pt>
                <c:pt idx="195">
                  <c:v>40589.458333333336</c:v>
                </c:pt>
                <c:pt idx="196">
                  <c:v>40589.5</c:v>
                </c:pt>
                <c:pt idx="197">
                  <c:v>40589.541666666664</c:v>
                </c:pt>
                <c:pt idx="198">
                  <c:v>40589.583333333336</c:v>
                </c:pt>
                <c:pt idx="199">
                  <c:v>40589.625</c:v>
                </c:pt>
                <c:pt idx="200">
                  <c:v>40589.666666666664</c:v>
                </c:pt>
                <c:pt idx="201">
                  <c:v>40589.708333333336</c:v>
                </c:pt>
                <c:pt idx="202">
                  <c:v>40589.75</c:v>
                </c:pt>
                <c:pt idx="203">
                  <c:v>40589.791666666664</c:v>
                </c:pt>
                <c:pt idx="204">
                  <c:v>40589.833333333336</c:v>
                </c:pt>
                <c:pt idx="205">
                  <c:v>40589.875</c:v>
                </c:pt>
                <c:pt idx="206">
                  <c:v>40589.916666666664</c:v>
                </c:pt>
                <c:pt idx="207">
                  <c:v>40589.958333333336</c:v>
                </c:pt>
                <c:pt idx="208">
                  <c:v>40590</c:v>
                </c:pt>
                <c:pt idx="209">
                  <c:v>40590.041666666664</c:v>
                </c:pt>
                <c:pt idx="210">
                  <c:v>40590.083333333336</c:v>
                </c:pt>
                <c:pt idx="211">
                  <c:v>40590.125</c:v>
                </c:pt>
                <c:pt idx="212">
                  <c:v>40590.166666666664</c:v>
                </c:pt>
                <c:pt idx="213">
                  <c:v>40590.208333333336</c:v>
                </c:pt>
                <c:pt idx="214">
                  <c:v>40590.25</c:v>
                </c:pt>
                <c:pt idx="215">
                  <c:v>40590.291666666664</c:v>
                </c:pt>
              </c:numCache>
            </c:numRef>
          </c:cat>
          <c:val>
            <c:numRef>
              <c:f>Forecast!$F$847:$F$1062</c:f>
              <c:numCache>
                <c:formatCode>General</c:formatCode>
                <c:ptCount val="216"/>
                <c:pt idx="168" formatCode="0">
                  <c:v>219.61928728137283</c:v>
                </c:pt>
                <c:pt idx="169" formatCode="0">
                  <c:v>200.322736658759</c:v>
                </c:pt>
                <c:pt idx="170" formatCode="0">
                  <c:v>176.36786033723874</c:v>
                </c:pt>
                <c:pt idx="171" formatCode="0">
                  <c:v>190.10470630229338</c:v>
                </c:pt>
                <c:pt idx="172" formatCode="0">
                  <c:v>218.523319540215</c:v>
                </c:pt>
                <c:pt idx="173" formatCode="0">
                  <c:v>231.3445306189505</c:v>
                </c:pt>
                <c:pt idx="174" formatCode="0">
                  <c:v>235.40778184173726</c:v>
                </c:pt>
                <c:pt idx="175" formatCode="0">
                  <c:v>255.39213640031494</c:v>
                </c:pt>
                <c:pt idx="176" formatCode="0">
                  <c:v>277.48162943125465</c:v>
                </c:pt>
                <c:pt idx="177" formatCode="0">
                  <c:v>339.9970362968723</c:v>
                </c:pt>
                <c:pt idx="178" formatCode="0">
                  <c:v>323.77380633518703</c:v>
                </c:pt>
                <c:pt idx="179" formatCode="0">
                  <c:v>286.7404465627294</c:v>
                </c:pt>
                <c:pt idx="180" formatCode="0">
                  <c:v>273.95445830217994</c:v>
                </c:pt>
                <c:pt idx="181" formatCode="0">
                  <c:v>264.73439750501882</c:v>
                </c:pt>
                <c:pt idx="182" formatCode="0">
                  <c:v>247.42852435960253</c:v>
                </c:pt>
                <c:pt idx="183" formatCode="0">
                  <c:v>241.49874022204114</c:v>
                </c:pt>
                <c:pt idx="184" formatCode="0">
                  <c:v>236.05306755677992</c:v>
                </c:pt>
                <c:pt idx="185" formatCode="0">
                  <c:v>238.5434083993494</c:v>
                </c:pt>
                <c:pt idx="186" formatCode="0">
                  <c:v>244.27856996277606</c:v>
                </c:pt>
                <c:pt idx="187" formatCode="0">
                  <c:v>251.89767897519647</c:v>
                </c:pt>
                <c:pt idx="188" formatCode="0">
                  <c:v>258.96216278900937</c:v>
                </c:pt>
                <c:pt idx="189" formatCode="0">
                  <c:v>268.56959463434612</c:v>
                </c:pt>
                <c:pt idx="190" formatCode="0">
                  <c:v>290.94392050245472</c:v>
                </c:pt>
                <c:pt idx="191" formatCode="0">
                  <c:v>333.52045545363274</c:v>
                </c:pt>
                <c:pt idx="192" formatCode="0">
                  <c:v>408.75713221513428</c:v>
                </c:pt>
                <c:pt idx="193" formatCode="0">
                  <c:v>376.14693257450733</c:v>
                </c:pt>
                <c:pt idx="194" formatCode="0">
                  <c:v>342.55691781959439</c:v>
                </c:pt>
                <c:pt idx="195" formatCode="0">
                  <c:v>348.65873292316758</c:v>
                </c:pt>
                <c:pt idx="196" formatCode="0">
                  <c:v>370.73536957614499</c:v>
                </c:pt>
                <c:pt idx="197" formatCode="0">
                  <c:v>378.13132259906683</c:v>
                </c:pt>
                <c:pt idx="198" formatCode="0">
                  <c:v>377.45807915803545</c:v>
                </c:pt>
                <c:pt idx="199" formatCode="0">
                  <c:v>393.24462690765222</c:v>
                </c:pt>
                <c:pt idx="200" formatCode="0">
                  <c:v>411.57024495333775</c:v>
                </c:pt>
                <c:pt idx="201" formatCode="0">
                  <c:v>470.67933888532275</c:v>
                </c:pt>
                <c:pt idx="202" formatCode="0">
                  <c:v>451.34977972422371</c:v>
                </c:pt>
                <c:pt idx="203" formatCode="0">
                  <c:v>411.46548503580561</c:v>
                </c:pt>
                <c:pt idx="204" formatCode="0">
                  <c:v>396.04866167785241</c:v>
                </c:pt>
                <c:pt idx="205" formatCode="0">
                  <c:v>384.38941499960038</c:v>
                </c:pt>
                <c:pt idx="206" formatCode="0">
                  <c:v>364.81271523386613</c:v>
                </c:pt>
                <c:pt idx="207" formatCode="0">
                  <c:v>356.76114473500729</c:v>
                </c:pt>
                <c:pt idx="208" formatCode="0">
                  <c:v>349.32651611850042</c:v>
                </c:pt>
                <c:pt idx="209" formatCode="0">
                  <c:v>349.94699305604229</c:v>
                </c:pt>
                <c:pt idx="210" formatCode="0">
                  <c:v>353.91963524441945</c:v>
                </c:pt>
                <c:pt idx="211" formatCode="0">
                  <c:v>359.87344451973559</c:v>
                </c:pt>
                <c:pt idx="212" formatCode="0">
                  <c:v>365.36105976314565</c:v>
                </c:pt>
                <c:pt idx="213" formatCode="0">
                  <c:v>373.47237681512303</c:v>
                </c:pt>
                <c:pt idx="214" formatCode="0">
                  <c:v>394.42459587358854</c:v>
                </c:pt>
                <c:pt idx="215" formatCode="0">
                  <c:v>435.64707333594851</c:v>
                </c:pt>
              </c:numCache>
            </c:numRef>
          </c:val>
          <c:smooth val="0"/>
          <c:extLst>
            <c:ext xmlns:c16="http://schemas.microsoft.com/office/drawing/2014/chart" uri="{C3380CC4-5D6E-409C-BE32-E72D297353CC}">
              <c16:uniqueId val="{00000003-E259-F848-8C63-F01D77845254}"/>
            </c:ext>
          </c:extLst>
        </c:ser>
        <c:dLbls>
          <c:showLegendKey val="0"/>
          <c:showVal val="0"/>
          <c:showCatName val="0"/>
          <c:showSerName val="0"/>
          <c:showPercent val="0"/>
          <c:showBubbleSize val="0"/>
        </c:dLbls>
        <c:smooth val="0"/>
        <c:axId val="10"/>
        <c:axId val="100"/>
      </c:lineChart>
      <c:dateAx>
        <c:axId val="10"/>
        <c:scaling>
          <c:orientation val="minMax"/>
        </c:scaling>
        <c:delete val="0"/>
        <c:axPos val="b"/>
        <c:numFmt formatCode="dd\-mmm" sourceLinked="0"/>
        <c:majorTickMark val="none"/>
        <c:minorTickMark val="none"/>
        <c:tickLblPos val="nextTo"/>
        <c:crossAx val="100"/>
        <c:crosses val="autoZero"/>
        <c:auto val="1"/>
        <c:lblOffset val="100"/>
        <c:baseTimeUnit val="days"/>
        <c:majorUnit val="24"/>
      </c:dateAx>
      <c:valAx>
        <c:axId val="100"/>
        <c:scaling>
          <c:orientation val="minMax"/>
        </c:scaling>
        <c:delete val="0"/>
        <c:axPos val="l"/>
        <c:majorGridlines>
          <c:spPr>
            <a:ln>
              <a:solidFill>
                <a:srgbClr val="E5E8EB"/>
              </a:solidFill>
              <a:prstDash val="solid"/>
            </a:ln>
          </c:spPr>
        </c:majorGridlines>
        <c:title>
          <c:tx>
            <c:rich>
              <a:bodyPr/>
              <a:lstStyle/>
              <a:p>
                <a:pPr>
                  <a:defRPr/>
                </a:pPr>
                <a:r>
                  <a:rPr lang="en-IN"/>
                  <a:t>Rentals per hour</a:t>
                </a:r>
              </a:p>
            </c:rich>
          </c:tx>
          <c:overlay val="1"/>
        </c:title>
        <c:numFmt formatCode="#,##0" sourceLinked="0"/>
        <c:majorTickMark val="none"/>
        <c:minorTickMark val="none"/>
        <c:tickLblPos val="nextTo"/>
        <c:crossAx val="10"/>
        <c:crosses val="autoZero"/>
        <c:crossBetween val="between"/>
      </c:valAx>
    </c:plotArea>
    <c:legend>
      <c:legendPos val="b"/>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png"/><Relationship Id="rId3" Type="http://schemas.openxmlformats.org/officeDocument/2006/relationships/chart" Target="../charts/chart3.xml"/><Relationship Id="rId7" Type="http://schemas.openxmlformats.org/officeDocument/2006/relationships/image" Target="../media/image2.png"/><Relationship Id="rId12" Type="http://schemas.openxmlformats.org/officeDocument/2006/relationships/image" Target="../media/image7.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png"/><Relationship Id="rId5" Type="http://schemas.openxmlformats.org/officeDocument/2006/relationships/chart" Target="../charts/chart5.xml"/><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png"/><Relationship Id="rId14" Type="http://schemas.openxmlformats.org/officeDocument/2006/relationships/image" Target="../media/image9.png"/></Relationships>
</file>

<file path=xl/drawings/_rels/drawing3.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 Id="rId9"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oneCellAnchor>
    <xdr:from>
      <xdr:col>0</xdr:col>
      <xdr:colOff>101600</xdr:colOff>
      <xdr:row>0</xdr:row>
      <xdr:rowOff>177800</xdr:rowOff>
    </xdr:from>
    <xdr:ext cx="863600" cy="78740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xfrm>
          <a:off x="101600" y="177800"/>
          <a:ext cx="863600" cy="7874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13</xdr:row>
      <xdr:rowOff>0</xdr:rowOff>
    </xdr:from>
    <xdr:ext cx="3384000" cy="2484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11</xdr:col>
      <xdr:colOff>0</xdr:colOff>
      <xdr:row>13</xdr:row>
      <xdr:rowOff>0</xdr:rowOff>
    </xdr:from>
    <xdr:ext cx="3384000" cy="2484000"/>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21</xdr:col>
      <xdr:colOff>0</xdr:colOff>
      <xdr:row>13</xdr:row>
      <xdr:rowOff>0</xdr:rowOff>
    </xdr:from>
    <xdr:ext cx="3384000" cy="2484000"/>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31</xdr:col>
      <xdr:colOff>0</xdr:colOff>
      <xdr:row>13</xdr:row>
      <xdr:rowOff>0</xdr:rowOff>
    </xdr:from>
    <xdr:ext cx="3384000" cy="2484000"/>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31</xdr:col>
      <xdr:colOff>0</xdr:colOff>
      <xdr:row>29</xdr:row>
      <xdr:rowOff>0</xdr:rowOff>
    </xdr:from>
    <xdr:ext cx="3384000" cy="2664000"/>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1</xdr:col>
      <xdr:colOff>0</xdr:colOff>
      <xdr:row>1</xdr:row>
      <xdr:rowOff>0</xdr:rowOff>
    </xdr:from>
    <xdr:ext cx="361950" cy="361950"/>
    <xdr:pic>
      <xdr:nvPicPr>
        <xdr:cNvPr id="7" name="Image 6" descr="Picture">
          <a:extLst>
            <a:ext uri="{FF2B5EF4-FFF2-40B4-BE49-F238E27FC236}">
              <a16:creationId xmlns:a16="http://schemas.microsoft.com/office/drawing/2014/main" id="{00000000-0008-0000-01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1</xdr:col>
      <xdr:colOff>0</xdr:colOff>
      <xdr:row>8</xdr:row>
      <xdr:rowOff>0</xdr:rowOff>
    </xdr:from>
    <xdr:ext cx="304800" cy="304800"/>
    <xdr:pic>
      <xdr:nvPicPr>
        <xdr:cNvPr id="8" name="Image 7" descr="Picture">
          <a:extLst>
            <a:ext uri="{FF2B5EF4-FFF2-40B4-BE49-F238E27FC236}">
              <a16:creationId xmlns:a16="http://schemas.microsoft.com/office/drawing/2014/main" id="{00000000-0008-0000-01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6</xdr:col>
      <xdr:colOff>0</xdr:colOff>
      <xdr:row>8</xdr:row>
      <xdr:rowOff>0</xdr:rowOff>
    </xdr:from>
    <xdr:ext cx="304800" cy="304800"/>
    <xdr:pic>
      <xdr:nvPicPr>
        <xdr:cNvPr id="9" name="Image 8" descr="Picture">
          <a:extLst>
            <a:ext uri="{FF2B5EF4-FFF2-40B4-BE49-F238E27FC236}">
              <a16:creationId xmlns:a16="http://schemas.microsoft.com/office/drawing/2014/main" id="{00000000-0008-0000-01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11</xdr:col>
      <xdr:colOff>0</xdr:colOff>
      <xdr:row>8</xdr:row>
      <xdr:rowOff>0</xdr:rowOff>
    </xdr:from>
    <xdr:ext cx="304800" cy="304800"/>
    <xdr:pic>
      <xdr:nvPicPr>
        <xdr:cNvPr id="10" name="Image 9" descr="Picture">
          <a:extLst>
            <a:ext uri="{FF2B5EF4-FFF2-40B4-BE49-F238E27FC236}">
              <a16:creationId xmlns:a16="http://schemas.microsoft.com/office/drawing/2014/main" id="{00000000-0008-0000-01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16</xdr:col>
      <xdr:colOff>0</xdr:colOff>
      <xdr:row>8</xdr:row>
      <xdr:rowOff>0</xdr:rowOff>
    </xdr:from>
    <xdr:ext cx="304800" cy="304800"/>
    <xdr:pic>
      <xdr:nvPicPr>
        <xdr:cNvPr id="11" name="Image 10" descr="Picture">
          <a:extLst>
            <a:ext uri="{FF2B5EF4-FFF2-40B4-BE49-F238E27FC236}">
              <a16:creationId xmlns:a16="http://schemas.microsoft.com/office/drawing/2014/main" id="{00000000-0008-0000-01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21</xdr:col>
      <xdr:colOff>0</xdr:colOff>
      <xdr:row>8</xdr:row>
      <xdr:rowOff>0</xdr:rowOff>
    </xdr:from>
    <xdr:ext cx="304800" cy="304800"/>
    <xdr:pic>
      <xdr:nvPicPr>
        <xdr:cNvPr id="12" name="Image 11" descr="Picture">
          <a:extLst>
            <a:ext uri="{FF2B5EF4-FFF2-40B4-BE49-F238E27FC236}">
              <a16:creationId xmlns:a16="http://schemas.microsoft.com/office/drawing/2014/main" id="{00000000-0008-0000-01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26</xdr:col>
      <xdr:colOff>0</xdr:colOff>
      <xdr:row>8</xdr:row>
      <xdr:rowOff>0</xdr:rowOff>
    </xdr:from>
    <xdr:ext cx="304800" cy="304800"/>
    <xdr:pic>
      <xdr:nvPicPr>
        <xdr:cNvPr id="13" name="Image 12" descr="Picture">
          <a:extLst>
            <a:ext uri="{FF2B5EF4-FFF2-40B4-BE49-F238E27FC236}">
              <a16:creationId xmlns:a16="http://schemas.microsoft.com/office/drawing/2014/main" id="{00000000-0008-0000-01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31</xdr:col>
      <xdr:colOff>0</xdr:colOff>
      <xdr:row>8</xdr:row>
      <xdr:rowOff>0</xdr:rowOff>
    </xdr:from>
    <xdr:ext cx="304800" cy="304800"/>
    <xdr:pic>
      <xdr:nvPicPr>
        <xdr:cNvPr id="14" name="Image 13" descr="Picture">
          <a:extLst>
            <a:ext uri="{FF2B5EF4-FFF2-40B4-BE49-F238E27FC236}">
              <a16:creationId xmlns:a16="http://schemas.microsoft.com/office/drawing/2014/main" id="{00000000-0008-0000-0100-00000E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36</xdr:col>
      <xdr:colOff>0</xdr:colOff>
      <xdr:row>8</xdr:row>
      <xdr:rowOff>0</xdr:rowOff>
    </xdr:from>
    <xdr:ext cx="304800" cy="304800"/>
    <xdr:pic>
      <xdr:nvPicPr>
        <xdr:cNvPr id="15" name="Image 14" descr="Picture">
          <a:extLst>
            <a:ext uri="{FF2B5EF4-FFF2-40B4-BE49-F238E27FC236}">
              <a16:creationId xmlns:a16="http://schemas.microsoft.com/office/drawing/2014/main" id="{00000000-0008-0000-0100-00000F000000}"/>
            </a:ext>
          </a:extLst>
        </xdr:cNvPr>
        <xdr:cNvPicPr/>
      </xdr:nvPicPr>
      <xdr:blipFill>
        <a:blip xmlns:r="http://schemas.openxmlformats.org/officeDocument/2006/relationships" r:embed="rId14" cstate="print"/>
        <a:stretch>
          <a:fillRect/>
        </a:stretch>
      </xdr:blipFill>
      <xdr:spPr>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9</xdr:col>
      <xdr:colOff>0</xdr:colOff>
      <xdr:row>3</xdr:row>
      <xdr:rowOff>0</xdr:rowOff>
    </xdr:from>
    <xdr:ext cx="6845300" cy="44069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9</xdr:col>
      <xdr:colOff>114300</xdr:colOff>
      <xdr:row>26</xdr:row>
      <xdr:rowOff>38100</xdr:rowOff>
    </xdr:from>
    <xdr:ext cx="8331200" cy="4051300"/>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9</xdr:col>
      <xdr:colOff>0</xdr:colOff>
      <xdr:row>48</xdr:row>
      <xdr:rowOff>0</xdr:rowOff>
    </xdr:from>
    <xdr:ext cx="5760000" cy="2700000"/>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9</xdr:col>
      <xdr:colOff>0</xdr:colOff>
      <xdr:row>65</xdr:row>
      <xdr:rowOff>0</xdr:rowOff>
    </xdr:from>
    <xdr:ext cx="5760000" cy="2700000"/>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9</xdr:col>
      <xdr:colOff>0</xdr:colOff>
      <xdr:row>82</xdr:row>
      <xdr:rowOff>0</xdr:rowOff>
    </xdr:from>
    <xdr:ext cx="5760000" cy="2700000"/>
    <xdr:graphicFrame macro="">
      <xdr:nvGraphicFramePr>
        <xdr:cNvPr id="6" name="Chart 5">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9</xdr:col>
      <xdr:colOff>0</xdr:colOff>
      <xdr:row>99</xdr:row>
      <xdr:rowOff>0</xdr:rowOff>
    </xdr:from>
    <xdr:ext cx="5760000" cy="2700000"/>
    <xdr:graphicFrame macro="">
      <xdr:nvGraphicFramePr>
        <xdr:cNvPr id="7" name="Chart 6">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9</xdr:col>
      <xdr:colOff>0</xdr:colOff>
      <xdr:row>116</xdr:row>
      <xdr:rowOff>0</xdr:rowOff>
    </xdr:from>
    <xdr:ext cx="5760000" cy="2700000"/>
    <xdr:graphicFrame macro="">
      <xdr:nvGraphicFramePr>
        <xdr:cNvPr id="8" name="Chart 7">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oneCellAnchor>
    <xdr:from>
      <xdr:col>9</xdr:col>
      <xdr:colOff>0</xdr:colOff>
      <xdr:row>133</xdr:row>
      <xdr:rowOff>0</xdr:rowOff>
    </xdr:from>
    <xdr:ext cx="5760000" cy="2700000"/>
    <xdr:graphicFrame macro="">
      <xdr:nvGraphicFramePr>
        <xdr:cNvPr id="9" name="Chart 8">
          <a:extLst>
            <a:ext uri="{FF2B5EF4-FFF2-40B4-BE49-F238E27FC236}">
              <a16:creationId xmlns:a16="http://schemas.microsoft.com/office/drawing/2014/main" id="{00000000-0008-0000-0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oneCellAnchor>
  <xdr:oneCellAnchor>
    <xdr:from>
      <xdr:col>9</xdr:col>
      <xdr:colOff>0</xdr:colOff>
      <xdr:row>150</xdr:row>
      <xdr:rowOff>0</xdr:rowOff>
    </xdr:from>
    <xdr:ext cx="8640000" cy="3240000"/>
    <xdr:graphicFrame macro="">
      <xdr:nvGraphicFramePr>
        <xdr:cNvPr id="10" name="Chart 9">
          <a:extLst>
            <a:ext uri="{FF2B5EF4-FFF2-40B4-BE49-F238E27FC236}">
              <a16:creationId xmlns:a16="http://schemas.microsoft.com/office/drawing/2014/main" id="{00000000-0008-0000-03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10</xdr:col>
      <xdr:colOff>342900</xdr:colOff>
      <xdr:row>2</xdr:row>
      <xdr:rowOff>0</xdr:rowOff>
    </xdr:from>
    <xdr:ext cx="6705600" cy="31496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xml><?xml version="1.0" encoding="utf-8"?>
<xdr:wsDr xmlns:xdr="http://schemas.openxmlformats.org/drawingml/2006/spreadsheetDrawing" xmlns:a="http://schemas.openxmlformats.org/drawingml/2006/main">
  <xdr:oneCellAnchor>
    <xdr:from>
      <xdr:col>7</xdr:col>
      <xdr:colOff>0</xdr:colOff>
      <xdr:row>2</xdr:row>
      <xdr:rowOff>0</xdr:rowOff>
    </xdr:from>
    <xdr:ext cx="9360000" cy="3240000"/>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xml><?xml version="1.0" encoding="utf-8"?>
<xdr:wsDr xmlns:xdr="http://schemas.openxmlformats.org/drawingml/2006/spreadsheetDrawing" xmlns:a="http://schemas.openxmlformats.org/drawingml/2006/main">
  <xdr:twoCellAnchor editAs="oneCell">
    <xdr:from>
      <xdr:col>3</xdr:col>
      <xdr:colOff>838200</xdr:colOff>
      <xdr:row>0</xdr:row>
      <xdr:rowOff>76201</xdr:rowOff>
    </xdr:from>
    <xdr:to>
      <xdr:col>5</xdr:col>
      <xdr:colOff>558800</xdr:colOff>
      <xdr:row>7</xdr:row>
      <xdr:rowOff>50801</xdr:rowOff>
    </xdr:to>
    <mc:AlternateContent xmlns:mc="http://schemas.openxmlformats.org/markup-compatibility/2006">
      <mc:Choice xmlns:a14="http://schemas.microsoft.com/office/drawing/2010/main" Requires="a14">
        <xdr:graphicFrame macro="">
          <xdr:nvGraphicFramePr>
            <xdr:cNvPr id="5" name="Day_Type">
              <a:extLst>
                <a:ext uri="{FF2B5EF4-FFF2-40B4-BE49-F238E27FC236}">
                  <a16:creationId xmlns:a16="http://schemas.microsoft.com/office/drawing/2014/main" id="{4FD219F6-FA4C-F2B9-7C77-D3DE13F39C8F}"/>
                </a:ext>
              </a:extLst>
            </xdr:cNvPr>
            <xdr:cNvGraphicFramePr/>
          </xdr:nvGraphicFramePr>
          <xdr:xfrm>
            <a:off x="0" y="0"/>
            <a:ext cx="0" cy="0"/>
          </xdr:xfrm>
          <a:graphic>
            <a:graphicData uri="http://schemas.microsoft.com/office/drawing/2010/slicer">
              <sle:slicer xmlns:sle="http://schemas.microsoft.com/office/drawing/2010/slicer" name="Day_Type"/>
            </a:graphicData>
          </a:graphic>
        </xdr:graphicFrame>
      </mc:Choice>
      <mc:Fallback>
        <xdr:sp macro="" textlink="">
          <xdr:nvSpPr>
            <xdr:cNvPr id="0" name=""/>
            <xdr:cNvSpPr>
              <a:spLocks noTextEdit="1"/>
            </xdr:cNvSpPr>
          </xdr:nvSpPr>
          <xdr:spPr>
            <a:xfrm>
              <a:off x="3581400" y="76201"/>
              <a:ext cx="1828800" cy="13081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647700</xdr:colOff>
      <xdr:row>0</xdr:row>
      <xdr:rowOff>63501</xdr:rowOff>
    </xdr:from>
    <xdr:to>
      <xdr:col>8</xdr:col>
      <xdr:colOff>0</xdr:colOff>
      <xdr:row>7</xdr:row>
      <xdr:rowOff>101601</xdr:rowOff>
    </xdr:to>
    <mc:AlternateContent xmlns:mc="http://schemas.openxmlformats.org/markup-compatibility/2006">
      <mc:Choice xmlns:a14="http://schemas.microsoft.com/office/drawing/2010/main" Requires="a14">
        <xdr:graphicFrame macro="">
          <xdr:nvGraphicFramePr>
            <xdr:cNvPr id="6" name="Weather">
              <a:extLst>
                <a:ext uri="{FF2B5EF4-FFF2-40B4-BE49-F238E27FC236}">
                  <a16:creationId xmlns:a16="http://schemas.microsoft.com/office/drawing/2014/main" id="{5DA2CB28-AFBC-032D-C4F5-1325E76541C4}"/>
                </a:ext>
              </a:extLst>
            </xdr:cNvPr>
            <xdr:cNvGraphicFramePr/>
          </xdr:nvGraphicFramePr>
          <xdr:xfrm>
            <a:off x="0" y="0"/>
            <a:ext cx="0" cy="0"/>
          </xdr:xfrm>
          <a:graphic>
            <a:graphicData uri="http://schemas.microsoft.com/office/drawing/2010/slicer">
              <sle:slicer xmlns:sle="http://schemas.microsoft.com/office/drawing/2010/slicer" name="Weather"/>
            </a:graphicData>
          </a:graphic>
        </xdr:graphicFrame>
      </mc:Choice>
      <mc:Fallback>
        <xdr:sp macro="" textlink="">
          <xdr:nvSpPr>
            <xdr:cNvPr id="0" name=""/>
            <xdr:cNvSpPr>
              <a:spLocks noTextEdit="1"/>
            </xdr:cNvSpPr>
          </xdr:nvSpPr>
          <xdr:spPr>
            <a:xfrm>
              <a:off x="5499100" y="63501"/>
              <a:ext cx="1828800" cy="1371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177800</xdr:colOff>
      <xdr:row>0</xdr:row>
      <xdr:rowOff>76200</xdr:rowOff>
    </xdr:from>
    <xdr:to>
      <xdr:col>3</xdr:col>
      <xdr:colOff>774700</xdr:colOff>
      <xdr:row>7</xdr:row>
      <xdr:rowOff>50800</xdr:rowOff>
    </xdr:to>
    <mc:AlternateContent xmlns:mc="http://schemas.openxmlformats.org/markup-compatibility/2006">
      <mc:Choice xmlns:tsle="http://schemas.microsoft.com/office/drawing/2012/timeslicer" Requires="tsle">
        <xdr:graphicFrame macro="">
          <xdr:nvGraphicFramePr>
            <xdr:cNvPr id="8" name="dteday">
              <a:extLst>
                <a:ext uri="{FF2B5EF4-FFF2-40B4-BE49-F238E27FC236}">
                  <a16:creationId xmlns:a16="http://schemas.microsoft.com/office/drawing/2014/main" id="{878131D9-2ABB-81A6-C4B4-81167323E297}"/>
                </a:ext>
              </a:extLst>
            </xdr:cNvPr>
            <xdr:cNvGraphicFramePr/>
          </xdr:nvGraphicFramePr>
          <xdr:xfrm>
            <a:off x="0" y="0"/>
            <a:ext cx="0" cy="0"/>
          </xdr:xfrm>
          <a:graphic>
            <a:graphicData uri="http://schemas.microsoft.com/office/drawing/2012/timeslicer">
              <tsle:timeslicer xmlns:tsle="http://schemas.microsoft.com/office/drawing/2012/timeslicer" name="dteday"/>
            </a:graphicData>
          </a:graphic>
        </xdr:graphicFrame>
      </mc:Choice>
      <mc:Fallback>
        <xdr:sp macro="" textlink="">
          <xdr:nvSpPr>
            <xdr:cNvPr id="0" name=""/>
            <xdr:cNvSpPr>
              <a:spLocks noTextEdit="1"/>
            </xdr:cNvSpPr>
          </xdr:nvSpPr>
          <xdr:spPr>
            <a:xfrm>
              <a:off x="177800" y="76200"/>
              <a:ext cx="3340100" cy="13081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vek Kumar" refreshedDate="46305.070573495374" createdVersion="8" refreshedVersion="8" minRefreshableVersion="3" recordCount="1000" xr:uid="{AC697DFF-9A3D-364D-9543-1A50EE93F856}">
  <cacheSource type="worksheet">
    <worksheetSource name="tblFinal"/>
  </cacheSource>
  <cacheFields count="32">
    <cacheField name="instant" numFmtId="0">
      <sharedItems containsSemiMixedTypes="0" containsString="0" containsNumber="1" containsInteger="1" minValue="1" maxValue="1000"/>
    </cacheField>
    <cacheField name="dteday" numFmtId="164">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cacheField>
    <cacheField name="season" numFmtId="0">
      <sharedItems containsSemiMixedTypes="0" containsString="0" containsNumber="1" containsInteger="1" minValue="1" maxValue="1"/>
    </cacheField>
    <cacheField name="yr" numFmtId="0">
      <sharedItems containsSemiMixedTypes="0" containsString="0" containsNumber="1" containsInteger="1" minValue="0" maxValue="0"/>
    </cacheField>
    <cacheField name="mnth" numFmtId="0">
      <sharedItems containsSemiMixedTypes="0" containsString="0" containsNumber="1" containsInteger="1" minValue="1" maxValue="2"/>
    </cacheField>
    <cacheField name="hr" numFmtId="0">
      <sharedItems containsSemiMixedTypes="0" containsString="0" containsNumber="1" containsInteger="1" minValue="0" maxValue="23"/>
    </cacheField>
    <cacheField name="holiday" numFmtId="0">
      <sharedItems/>
    </cacheField>
    <cacheField name="weekday" numFmtId="0">
      <sharedItems containsSemiMixedTypes="0" containsString="0" containsNumber="1" containsInteger="1" minValue="0" maxValue="6"/>
    </cacheField>
    <cacheField name="weathersit" numFmtId="0">
      <sharedItems containsSemiMixedTypes="0" containsString="0" containsNumber="1" containsInteger="1" minValue="1" maxValue="4"/>
    </cacheField>
    <cacheField name="temp" numFmtId="2">
      <sharedItems containsSemiMixedTypes="0" containsString="0" containsNumber="1" minValue="0.02" maxValue="0.46"/>
    </cacheField>
    <cacheField name="atemp" numFmtId="0">
      <sharedItems containsSemiMixedTypes="0" containsString="0" containsNumber="1" minValue="0" maxValue="0.45450000000000002"/>
    </cacheField>
    <cacheField name="hum" numFmtId="0">
      <sharedItems containsSemiMixedTypes="0" containsString="0" containsNumber="1" minValue="0.21" maxValue="1"/>
    </cacheField>
    <cacheField name="windspeed" numFmtId="0">
      <sharedItems containsSemiMixedTypes="0" containsString="0" containsNumber="1" minValue="0" maxValue="0.58209999999999995"/>
    </cacheField>
    <cacheField name="casual" numFmtId="0">
      <sharedItems containsSemiMixedTypes="0" containsString="0" containsNumber="1" containsInteger="1" minValue="0" maxValue="62"/>
    </cacheField>
    <cacheField name="registered" numFmtId="0">
      <sharedItems containsSemiMixedTypes="0" containsString="0" containsNumber="1" containsInteger="1" minValue="0" maxValue="247"/>
    </cacheField>
    <cacheField name="cnt" numFmtId="0">
      <sharedItems containsSemiMixedTypes="0" containsString="0" containsNumber="1" containsInteger="1" minValue="1" maxValue="249"/>
    </cacheField>
    <cacheField name="Record_ID" numFmtId="0">
      <sharedItems/>
    </cacheField>
    <cacheField name="DateTime" numFmtId="165">
      <sharedItems containsSemiMixedTypes="0" containsNonDate="0" containsDate="1" containsString="0" minDate="2011-01-01T00:00:00" maxDate="2011-02-15T00:00:00"/>
    </cacheField>
    <cacheField name="Month" numFmtId="0">
      <sharedItems/>
    </cacheField>
    <cacheField name="Day_Name" numFmtId="0">
      <sharedItems count="7">
        <s v="Sat"/>
        <s v="Sun"/>
        <s v="Mon"/>
        <s v="Tue"/>
        <s v="Wed"/>
        <s v="Thu"/>
        <s v="Fri"/>
      </sharedItems>
    </cacheField>
    <cacheField name="Day_Type" numFmtId="0">
      <sharedItems count="2">
        <s v="Weekend"/>
        <s v="Weekday"/>
      </sharedItems>
    </cacheField>
    <cacheField name="Working_Day" numFmtId="0">
      <sharedItems/>
    </cacheField>
    <cacheField name="Season_Name" numFmtId="0">
      <sharedItems/>
    </cacheField>
    <cacheField name="Weather" numFmtId="0">
      <sharedItems count="4">
        <s v="Clear"/>
        <s v="Cloudy/Mist"/>
        <s v="Light Rain/Snow"/>
        <s v="Heavy Rain"/>
      </sharedItems>
    </cacheField>
    <cacheField name="Time_Band" numFmtId="0">
      <sharedItems/>
    </cacheField>
    <cacheField name="Temp_Band" numFmtId="0">
      <sharedItems/>
    </cacheField>
    <cacheField name="Humidity_Band" numFmtId="0">
      <sharedItems/>
    </cacheField>
    <cacheField name="Peak_Hour" numFmtId="0">
      <sharedItems/>
    </cacheField>
    <cacheField name="Casual_Share" numFmtId="166">
      <sharedItems containsSemiMixedTypes="0" containsString="0" containsNumber="1" minValue="0" maxValue="1"/>
    </cacheField>
    <cacheField name="Demand_Level" numFmtId="0">
      <sharedItems/>
    </cacheField>
    <cacheField name="Visible" numFmtId="0">
      <sharedItems containsSemiMixedTypes="0" containsString="0" containsNumber="1" containsInteger="1" minValue="1" maxValue="1"/>
    </cacheField>
    <cacheField name="Casual Share" numFmtId="0" formula="casual /cnt" databaseField="0"/>
  </cacheFields>
  <extLst>
    <ext xmlns:x14="http://schemas.microsoft.com/office/spreadsheetml/2009/9/main" uri="{725AE2AE-9491-48be-B2B4-4EB974FC3084}">
      <x14:pivotCacheDefinition pivotCacheId="20559402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n v="1"/>
    <n v="0"/>
    <n v="1"/>
    <n v="0"/>
    <b v="0"/>
    <n v="6"/>
    <n v="1"/>
    <n v="0.24"/>
    <n v="0.28789999999999999"/>
    <n v="0.81"/>
    <n v="0"/>
    <n v="3"/>
    <n v="13"/>
    <n v="16"/>
    <s v="REC-0001"/>
    <d v="2011-01-01T00:00:00"/>
    <s v="Jan"/>
    <x v="0"/>
    <x v="0"/>
    <s v="Non-Working Day"/>
    <s v="Spring"/>
    <x v="0"/>
    <s v="Night"/>
    <s v="Mild"/>
    <s v="High"/>
    <s v="Off-Peak"/>
    <n v="0.1875"/>
    <s v="Low"/>
    <n v="1"/>
  </r>
  <r>
    <n v="2"/>
    <x v="0"/>
    <n v="1"/>
    <n v="0"/>
    <n v="1"/>
    <n v="1"/>
    <b v="0"/>
    <n v="6"/>
    <n v="1"/>
    <n v="0.22"/>
    <n v="0.2727"/>
    <n v="0.8"/>
    <n v="0"/>
    <n v="8"/>
    <n v="32"/>
    <n v="40"/>
    <s v="REC-0002"/>
    <d v="2011-01-01T01:00:00"/>
    <s v="Jan"/>
    <x v="0"/>
    <x v="0"/>
    <s v="Non-Working Day"/>
    <s v="Spring"/>
    <x v="0"/>
    <s v="Night"/>
    <s v="Mild"/>
    <s v="High"/>
    <s v="Off-Peak"/>
    <n v="0.2"/>
    <s v="Normal"/>
    <n v="1"/>
  </r>
  <r>
    <n v="3"/>
    <x v="0"/>
    <n v="1"/>
    <n v="0"/>
    <n v="1"/>
    <n v="2"/>
    <b v="0"/>
    <n v="6"/>
    <n v="1"/>
    <n v="0.22"/>
    <n v="0.2727"/>
    <n v="0.8"/>
    <n v="0"/>
    <n v="5"/>
    <n v="27"/>
    <n v="32"/>
    <s v="REC-0003"/>
    <d v="2011-01-01T02:00:00"/>
    <s v="Jan"/>
    <x v="0"/>
    <x v="0"/>
    <s v="Non-Working Day"/>
    <s v="Spring"/>
    <x v="0"/>
    <s v="Night"/>
    <s v="Mild"/>
    <s v="High"/>
    <s v="Off-Peak"/>
    <n v="0.15625"/>
    <s v="Normal"/>
    <n v="1"/>
  </r>
  <r>
    <n v="4"/>
    <x v="0"/>
    <n v="1"/>
    <n v="0"/>
    <n v="1"/>
    <n v="3"/>
    <b v="0"/>
    <n v="6"/>
    <n v="1"/>
    <n v="0.24"/>
    <n v="0.28789999999999999"/>
    <n v="0.75"/>
    <n v="0"/>
    <n v="3"/>
    <n v="10"/>
    <n v="13"/>
    <s v="REC-0004"/>
    <d v="2011-01-01T03:00:00"/>
    <s v="Jan"/>
    <x v="0"/>
    <x v="0"/>
    <s v="Non-Working Day"/>
    <s v="Spring"/>
    <x v="0"/>
    <s v="Night"/>
    <s v="Mild"/>
    <s v="High"/>
    <s v="Off-Peak"/>
    <n v="0.23076923076923078"/>
    <s v="Low"/>
    <n v="1"/>
  </r>
  <r>
    <n v="5"/>
    <x v="0"/>
    <n v="1"/>
    <n v="0"/>
    <n v="1"/>
    <n v="4"/>
    <b v="0"/>
    <n v="6"/>
    <n v="1"/>
    <n v="0.24"/>
    <n v="0.28789999999999999"/>
    <n v="0.75"/>
    <n v="0"/>
    <n v="0"/>
    <n v="1"/>
    <n v="1"/>
    <s v="REC-0005"/>
    <d v="2011-01-01T04:00:00"/>
    <s v="Jan"/>
    <x v="0"/>
    <x v="0"/>
    <s v="Non-Working Day"/>
    <s v="Spring"/>
    <x v="0"/>
    <s v="Night"/>
    <s v="Mild"/>
    <s v="High"/>
    <s v="Off-Peak"/>
    <n v="0"/>
    <s v="Low"/>
    <n v="1"/>
  </r>
  <r>
    <n v="6"/>
    <x v="0"/>
    <n v="1"/>
    <n v="0"/>
    <n v="1"/>
    <n v="5"/>
    <b v="0"/>
    <n v="6"/>
    <n v="2"/>
    <n v="0.24"/>
    <n v="0.2576"/>
    <n v="0.75"/>
    <n v="8.9599999999999999E-2"/>
    <n v="0"/>
    <n v="1"/>
    <n v="1"/>
    <s v="REC-0006"/>
    <d v="2011-01-01T05:00:00"/>
    <s v="Jan"/>
    <x v="0"/>
    <x v="0"/>
    <s v="Non-Working Day"/>
    <s v="Spring"/>
    <x v="1"/>
    <s v="Night"/>
    <s v="Mild"/>
    <s v="High"/>
    <s v="Off-Peak"/>
    <n v="0"/>
    <s v="Low"/>
    <n v="1"/>
  </r>
  <r>
    <n v="7"/>
    <x v="0"/>
    <n v="1"/>
    <n v="0"/>
    <n v="1"/>
    <n v="6"/>
    <b v="0"/>
    <n v="6"/>
    <n v="1"/>
    <n v="0.22"/>
    <n v="0.2727"/>
    <n v="0.8"/>
    <n v="0"/>
    <n v="2"/>
    <n v="0"/>
    <n v="2"/>
    <s v="REC-0007"/>
    <d v="2011-01-01T06:00:00"/>
    <s v="Jan"/>
    <x v="0"/>
    <x v="0"/>
    <s v="Non-Working Day"/>
    <s v="Spring"/>
    <x v="0"/>
    <s v="Morning"/>
    <s v="Mild"/>
    <s v="High"/>
    <s v="Off-Peak"/>
    <n v="1"/>
    <s v="Low"/>
    <n v="1"/>
  </r>
  <r>
    <n v="8"/>
    <x v="0"/>
    <n v="1"/>
    <n v="0"/>
    <n v="1"/>
    <n v="7"/>
    <b v="0"/>
    <n v="6"/>
    <n v="1"/>
    <n v="0.2"/>
    <n v="0.2576"/>
    <n v="0.86"/>
    <n v="0"/>
    <n v="1"/>
    <n v="2"/>
    <n v="3"/>
    <s v="REC-0008"/>
    <d v="2011-01-01T07:00:00"/>
    <s v="Jan"/>
    <x v="0"/>
    <x v="0"/>
    <s v="Non-Working Day"/>
    <s v="Spring"/>
    <x v="0"/>
    <s v="Morning"/>
    <s v="Mild"/>
    <s v="High"/>
    <s v="Off-Peak"/>
    <n v="0.33333333333333331"/>
    <s v="Low"/>
    <n v="1"/>
  </r>
  <r>
    <n v="9"/>
    <x v="0"/>
    <n v="1"/>
    <n v="0"/>
    <n v="1"/>
    <n v="8"/>
    <b v="0"/>
    <n v="6"/>
    <n v="1"/>
    <n v="0.24"/>
    <n v="0.30309999999999998"/>
    <n v="0.75"/>
    <n v="0"/>
    <n v="1"/>
    <n v="7"/>
    <n v="8"/>
    <s v="REC-0009"/>
    <d v="2011-01-01T08:00:00"/>
    <s v="Jan"/>
    <x v="0"/>
    <x v="0"/>
    <s v="Non-Working Day"/>
    <s v="Spring"/>
    <x v="0"/>
    <s v="Morning"/>
    <s v="Mild"/>
    <s v="High"/>
    <s v="Off-Peak"/>
    <n v="0.125"/>
    <s v="Low"/>
    <n v="1"/>
  </r>
  <r>
    <n v="10"/>
    <x v="0"/>
    <n v="1"/>
    <n v="0"/>
    <n v="1"/>
    <n v="9"/>
    <b v="0"/>
    <n v="6"/>
    <n v="1"/>
    <n v="0.32"/>
    <n v="0.34849999999999998"/>
    <n v="0.76"/>
    <n v="0"/>
    <n v="8"/>
    <n v="6"/>
    <n v="14"/>
    <s v="REC-0010"/>
    <d v="2011-01-01T09:00:00"/>
    <s v="Jan"/>
    <x v="0"/>
    <x v="0"/>
    <s v="Non-Working Day"/>
    <s v="Spring"/>
    <x v="0"/>
    <s v="Morning"/>
    <s v="Warm"/>
    <s v="High"/>
    <s v="Off-Peak"/>
    <n v="0.5714285714285714"/>
    <s v="Low"/>
    <n v="1"/>
  </r>
  <r>
    <n v="11"/>
    <x v="0"/>
    <n v="1"/>
    <n v="0"/>
    <n v="1"/>
    <n v="10"/>
    <b v="0"/>
    <n v="6"/>
    <n v="1"/>
    <n v="0.38"/>
    <n v="0.39389999999999997"/>
    <n v="0.76"/>
    <n v="0.25369999999999998"/>
    <n v="12"/>
    <n v="24"/>
    <n v="36"/>
    <s v="REC-0011"/>
    <d v="2011-01-01T10:00:00"/>
    <s v="Jan"/>
    <x v="0"/>
    <x v="0"/>
    <s v="Non-Working Day"/>
    <s v="Spring"/>
    <x v="0"/>
    <s v="Morning"/>
    <s v="Warm"/>
    <s v="High"/>
    <s v="Off-Peak"/>
    <n v="0.33333333333333331"/>
    <s v="Normal"/>
    <n v="1"/>
  </r>
  <r>
    <n v="12"/>
    <x v="0"/>
    <n v="1"/>
    <n v="0"/>
    <n v="1"/>
    <n v="11"/>
    <b v="0"/>
    <n v="6"/>
    <n v="1"/>
    <n v="0.36"/>
    <n v="0.33329999999999999"/>
    <n v="0.81"/>
    <n v="0.28360000000000002"/>
    <n v="26"/>
    <n v="30"/>
    <n v="56"/>
    <s v="REC-0012"/>
    <d v="2011-01-01T11:00:00"/>
    <s v="Jan"/>
    <x v="0"/>
    <x v="0"/>
    <s v="Non-Working Day"/>
    <s v="Spring"/>
    <x v="0"/>
    <s v="Morning"/>
    <s v="Warm"/>
    <s v="High"/>
    <s v="Off-Peak"/>
    <n v="0.4642857142857143"/>
    <s v="Normal"/>
    <n v="1"/>
  </r>
  <r>
    <n v="13"/>
    <x v="0"/>
    <n v="1"/>
    <n v="0"/>
    <n v="1"/>
    <n v="12"/>
    <b v="0"/>
    <n v="6"/>
    <n v="1"/>
    <n v="0.42"/>
    <n v="0.42420000000000002"/>
    <n v="0.77"/>
    <n v="0.28360000000000002"/>
    <n v="29"/>
    <n v="55"/>
    <n v="84"/>
    <s v="REC-0013"/>
    <d v="2011-01-01T12:00:00"/>
    <s v="Jan"/>
    <x v="0"/>
    <x v="0"/>
    <s v="Non-Working Day"/>
    <s v="Spring"/>
    <x v="0"/>
    <s v="Afternoon"/>
    <s v="Warm"/>
    <s v="High"/>
    <s v="Off-Peak"/>
    <n v="0.34523809523809523"/>
    <s v="High"/>
    <n v="1"/>
  </r>
  <r>
    <n v="14"/>
    <x v="0"/>
    <n v="1"/>
    <n v="0"/>
    <n v="1"/>
    <n v="13"/>
    <b v="0"/>
    <n v="6"/>
    <n v="2"/>
    <n v="0.46"/>
    <n v="0.45450000000000002"/>
    <n v="0.72"/>
    <n v="0.29849999999999999"/>
    <n v="47"/>
    <n v="47"/>
    <n v="94"/>
    <s v="REC-0014"/>
    <d v="2011-01-01T13:00:00"/>
    <s v="Jan"/>
    <x v="0"/>
    <x v="0"/>
    <s v="Non-Working Day"/>
    <s v="Spring"/>
    <x v="1"/>
    <s v="Afternoon"/>
    <s v="Warm"/>
    <s v="Medium"/>
    <s v="Off-Peak"/>
    <n v="0.5"/>
    <s v="High"/>
    <n v="1"/>
  </r>
  <r>
    <n v="15"/>
    <x v="0"/>
    <n v="1"/>
    <n v="0"/>
    <n v="1"/>
    <n v="14"/>
    <b v="0"/>
    <n v="6"/>
    <n v="2"/>
    <n v="0.46"/>
    <n v="0.45450000000000002"/>
    <n v="0.72"/>
    <n v="0.28360000000000002"/>
    <n v="35"/>
    <n v="71"/>
    <n v="106"/>
    <s v="REC-0015"/>
    <d v="2011-01-01T14:00:00"/>
    <s v="Jan"/>
    <x v="0"/>
    <x v="0"/>
    <s v="Non-Working Day"/>
    <s v="Spring"/>
    <x v="1"/>
    <s v="Afternoon"/>
    <s v="Warm"/>
    <s v="Medium"/>
    <s v="Off-Peak"/>
    <n v="0.330188679245283"/>
    <s v="High"/>
    <n v="1"/>
  </r>
  <r>
    <n v="16"/>
    <x v="0"/>
    <n v="1"/>
    <n v="0"/>
    <n v="1"/>
    <n v="15"/>
    <b v="0"/>
    <n v="6"/>
    <n v="2"/>
    <n v="0.44"/>
    <n v="0.43940000000000001"/>
    <n v="0.77"/>
    <n v="0.29849999999999999"/>
    <n v="40"/>
    <n v="70"/>
    <n v="110"/>
    <s v="REC-0016"/>
    <d v="2011-01-01T15:00:00"/>
    <s v="Jan"/>
    <x v="0"/>
    <x v="0"/>
    <s v="Non-Working Day"/>
    <s v="Spring"/>
    <x v="1"/>
    <s v="Afternoon"/>
    <s v="Warm"/>
    <s v="High"/>
    <s v="Off-Peak"/>
    <n v="0.36363636363636365"/>
    <s v="High"/>
    <n v="1"/>
  </r>
  <r>
    <n v="17"/>
    <x v="0"/>
    <n v="1"/>
    <n v="0"/>
    <n v="1"/>
    <n v="16"/>
    <b v="0"/>
    <n v="6"/>
    <n v="2"/>
    <n v="0.42"/>
    <n v="0.42420000000000002"/>
    <n v="0.82"/>
    <n v="0.29849999999999999"/>
    <n v="41"/>
    <n v="52"/>
    <n v="93"/>
    <s v="REC-0017"/>
    <d v="2011-01-01T16:00:00"/>
    <s v="Jan"/>
    <x v="0"/>
    <x v="0"/>
    <s v="Non-Working Day"/>
    <s v="Spring"/>
    <x v="1"/>
    <s v="Afternoon"/>
    <s v="Warm"/>
    <s v="High"/>
    <s v="Off-Peak"/>
    <n v="0.44086021505376344"/>
    <s v="High"/>
    <n v="1"/>
  </r>
  <r>
    <n v="18"/>
    <x v="0"/>
    <n v="1"/>
    <n v="0"/>
    <n v="1"/>
    <n v="17"/>
    <b v="0"/>
    <n v="6"/>
    <n v="2"/>
    <n v="0.44"/>
    <n v="0.42420000000000002"/>
    <n v="0.82"/>
    <n v="0.28360000000000002"/>
    <n v="15"/>
    <n v="52"/>
    <n v="67"/>
    <s v="REC-0018"/>
    <d v="2011-01-01T17:00:00"/>
    <s v="Jan"/>
    <x v="0"/>
    <x v="0"/>
    <s v="Non-Working Day"/>
    <s v="Spring"/>
    <x v="1"/>
    <s v="Evening"/>
    <s v="Warm"/>
    <s v="High"/>
    <s v="Off-Peak"/>
    <n v="0.22388059701492538"/>
    <s v="Normal"/>
    <n v="1"/>
  </r>
  <r>
    <n v="19"/>
    <x v="0"/>
    <n v="1"/>
    <n v="0"/>
    <n v="1"/>
    <n v="18"/>
    <b v="0"/>
    <n v="6"/>
    <n v="3"/>
    <n v="0.42"/>
    <n v="0.42420000000000002"/>
    <n v="0.88"/>
    <n v="0.25369999999999998"/>
    <n v="9"/>
    <n v="26"/>
    <n v="35"/>
    <s v="REC-0019"/>
    <d v="2011-01-01T18:00:00"/>
    <s v="Jan"/>
    <x v="0"/>
    <x v="0"/>
    <s v="Non-Working Day"/>
    <s v="Spring"/>
    <x v="2"/>
    <s v="Evening"/>
    <s v="Warm"/>
    <s v="High"/>
    <s v="Off-Peak"/>
    <n v="0.25714285714285712"/>
    <s v="Normal"/>
    <n v="1"/>
  </r>
  <r>
    <n v="20"/>
    <x v="0"/>
    <n v="1"/>
    <n v="0"/>
    <n v="1"/>
    <n v="19"/>
    <b v="0"/>
    <n v="6"/>
    <n v="3"/>
    <n v="0.42"/>
    <n v="0.42420000000000002"/>
    <n v="0.88"/>
    <n v="0.25369999999999998"/>
    <n v="6"/>
    <n v="31"/>
    <n v="37"/>
    <s v="REC-0020"/>
    <d v="2011-01-01T19:00:00"/>
    <s v="Jan"/>
    <x v="0"/>
    <x v="0"/>
    <s v="Non-Working Day"/>
    <s v="Spring"/>
    <x v="2"/>
    <s v="Evening"/>
    <s v="Warm"/>
    <s v="High"/>
    <s v="Off-Peak"/>
    <n v="0.16216216216216217"/>
    <s v="Normal"/>
    <n v="1"/>
  </r>
  <r>
    <n v="21"/>
    <x v="0"/>
    <n v="1"/>
    <n v="0"/>
    <n v="1"/>
    <n v="20"/>
    <b v="0"/>
    <n v="6"/>
    <n v="2"/>
    <n v="0.4"/>
    <n v="0.40910000000000002"/>
    <n v="0.87"/>
    <n v="0.25369999999999998"/>
    <n v="11"/>
    <n v="25"/>
    <n v="36"/>
    <s v="REC-0021"/>
    <d v="2011-01-01T20:00:00"/>
    <s v="Jan"/>
    <x v="0"/>
    <x v="0"/>
    <s v="Non-Working Day"/>
    <s v="Spring"/>
    <x v="1"/>
    <s v="Evening"/>
    <s v="Warm"/>
    <s v="High"/>
    <s v="Off-Peak"/>
    <n v="0.30555555555555558"/>
    <s v="Normal"/>
    <n v="1"/>
  </r>
  <r>
    <n v="22"/>
    <x v="0"/>
    <n v="1"/>
    <n v="0"/>
    <n v="1"/>
    <n v="21"/>
    <b v="0"/>
    <n v="6"/>
    <n v="2"/>
    <n v="0.4"/>
    <n v="0.40910000000000002"/>
    <n v="0.87"/>
    <n v="0.19400000000000001"/>
    <n v="3"/>
    <n v="31"/>
    <n v="34"/>
    <s v="REC-0022"/>
    <d v="2011-01-01T21:00:00"/>
    <s v="Jan"/>
    <x v="0"/>
    <x v="0"/>
    <s v="Non-Working Day"/>
    <s v="Spring"/>
    <x v="1"/>
    <s v="Late Evening"/>
    <s v="Warm"/>
    <s v="High"/>
    <s v="Off-Peak"/>
    <n v="8.8235294117647065E-2"/>
    <s v="Normal"/>
    <n v="1"/>
  </r>
  <r>
    <n v="23"/>
    <x v="0"/>
    <n v="1"/>
    <n v="0"/>
    <n v="1"/>
    <n v="22"/>
    <b v="0"/>
    <n v="6"/>
    <n v="2"/>
    <n v="0.4"/>
    <n v="0.40910000000000002"/>
    <n v="0.94"/>
    <n v="0.22389999999999999"/>
    <n v="11"/>
    <n v="17"/>
    <n v="28"/>
    <s v="REC-0023"/>
    <d v="2011-01-01T22:00:00"/>
    <s v="Jan"/>
    <x v="0"/>
    <x v="0"/>
    <s v="Non-Working Day"/>
    <s v="Spring"/>
    <x v="1"/>
    <s v="Late Evening"/>
    <s v="Warm"/>
    <s v="High"/>
    <s v="Off-Peak"/>
    <n v="0.39285714285714285"/>
    <s v="Normal"/>
    <n v="1"/>
  </r>
  <r>
    <n v="24"/>
    <x v="0"/>
    <n v="1"/>
    <n v="0"/>
    <n v="1"/>
    <n v="23"/>
    <b v="0"/>
    <n v="6"/>
    <n v="2"/>
    <n v="0.46"/>
    <n v="0.43180000000000002"/>
    <n v="0.88"/>
    <n v="0.29849999999999999"/>
    <n v="15"/>
    <n v="24"/>
    <n v="39"/>
    <s v="REC-0024"/>
    <d v="2011-01-01T23:00:00"/>
    <s v="Jan"/>
    <x v="0"/>
    <x v="0"/>
    <s v="Non-Working Day"/>
    <s v="Spring"/>
    <x v="1"/>
    <s v="Late Evening"/>
    <s v="Warm"/>
    <s v="High"/>
    <s v="Off-Peak"/>
    <n v="0.38461538461538464"/>
    <s v="Normal"/>
    <n v="1"/>
  </r>
  <r>
    <n v="25"/>
    <x v="1"/>
    <n v="1"/>
    <n v="0"/>
    <n v="1"/>
    <n v="0"/>
    <b v="0"/>
    <n v="0"/>
    <n v="2"/>
    <n v="0.46"/>
    <n v="0.45450000000000002"/>
    <n v="0.88"/>
    <n v="0.29849999999999999"/>
    <n v="4"/>
    <n v="13"/>
    <n v="17"/>
    <s v="REC-0025"/>
    <d v="2011-01-02T00:00:00"/>
    <s v="Jan"/>
    <x v="1"/>
    <x v="0"/>
    <s v="Non-Working Day"/>
    <s v="Spring"/>
    <x v="1"/>
    <s v="Night"/>
    <s v="Warm"/>
    <s v="High"/>
    <s v="Off-Peak"/>
    <n v="0.23529411764705882"/>
    <s v="Normal"/>
    <n v="1"/>
  </r>
  <r>
    <n v="26"/>
    <x v="1"/>
    <n v="1"/>
    <n v="0"/>
    <n v="1"/>
    <n v="1"/>
    <b v="0"/>
    <n v="0"/>
    <n v="2"/>
    <n v="0.44"/>
    <n v="0.43940000000000001"/>
    <n v="0.94"/>
    <n v="0.25369999999999998"/>
    <n v="1"/>
    <n v="16"/>
    <n v="17"/>
    <s v="REC-0026"/>
    <d v="2011-01-02T01:00:00"/>
    <s v="Jan"/>
    <x v="1"/>
    <x v="0"/>
    <s v="Non-Working Day"/>
    <s v="Spring"/>
    <x v="1"/>
    <s v="Night"/>
    <s v="Warm"/>
    <s v="High"/>
    <s v="Off-Peak"/>
    <n v="5.8823529411764705E-2"/>
    <s v="Normal"/>
    <n v="1"/>
  </r>
  <r>
    <n v="27"/>
    <x v="1"/>
    <n v="1"/>
    <n v="0"/>
    <n v="1"/>
    <n v="2"/>
    <b v="0"/>
    <n v="0"/>
    <n v="2"/>
    <n v="0.42"/>
    <n v="0.42420000000000002"/>
    <n v="1"/>
    <n v="0.28360000000000002"/>
    <n v="1"/>
    <n v="8"/>
    <n v="9"/>
    <s v="REC-0027"/>
    <d v="2011-01-02T02:00:00"/>
    <s v="Jan"/>
    <x v="1"/>
    <x v="0"/>
    <s v="Non-Working Day"/>
    <s v="Spring"/>
    <x v="1"/>
    <s v="Night"/>
    <s v="Warm"/>
    <s v="High"/>
    <s v="Off-Peak"/>
    <n v="0.1111111111111111"/>
    <s v="Low"/>
    <n v="1"/>
  </r>
  <r>
    <n v="28"/>
    <x v="1"/>
    <n v="1"/>
    <n v="0"/>
    <n v="1"/>
    <n v="3"/>
    <b v="0"/>
    <n v="0"/>
    <n v="2"/>
    <n v="0.46"/>
    <n v="0.45450000000000002"/>
    <n v="0.94"/>
    <n v="0.19400000000000001"/>
    <n v="2"/>
    <n v="4"/>
    <n v="6"/>
    <s v="REC-0028"/>
    <d v="2011-01-02T03:00:00"/>
    <s v="Jan"/>
    <x v="1"/>
    <x v="0"/>
    <s v="Non-Working Day"/>
    <s v="Spring"/>
    <x v="1"/>
    <s v="Night"/>
    <s v="Warm"/>
    <s v="High"/>
    <s v="Off-Peak"/>
    <n v="0.33333333333333331"/>
    <s v="Low"/>
    <n v="1"/>
  </r>
  <r>
    <n v="29"/>
    <x v="1"/>
    <n v="1"/>
    <n v="0"/>
    <n v="1"/>
    <n v="4"/>
    <b v="0"/>
    <n v="0"/>
    <n v="2"/>
    <n v="0.46"/>
    <n v="0.43940000000000001"/>
    <n v="0.94"/>
    <n v="0.19400000000000001"/>
    <n v="2"/>
    <n v="1"/>
    <n v="3"/>
    <s v="REC-0029"/>
    <d v="2011-01-02T04:00:00"/>
    <s v="Jan"/>
    <x v="1"/>
    <x v="0"/>
    <s v="Non-Working Day"/>
    <s v="Spring"/>
    <x v="1"/>
    <s v="Night"/>
    <s v="Warm"/>
    <s v="High"/>
    <s v="Off-Peak"/>
    <n v="0.66666666666666663"/>
    <s v="Low"/>
    <n v="1"/>
  </r>
  <r>
    <n v="30"/>
    <x v="1"/>
    <n v="1"/>
    <n v="0"/>
    <n v="1"/>
    <n v="6"/>
    <b v="0"/>
    <n v="0"/>
    <n v="3"/>
    <n v="0.42"/>
    <n v="0.42420000000000002"/>
    <n v="0.77"/>
    <n v="0.29849999999999999"/>
    <n v="0"/>
    <n v="2"/>
    <n v="2"/>
    <s v="REC-0030"/>
    <d v="2011-01-02T06:00:00"/>
    <s v="Jan"/>
    <x v="1"/>
    <x v="0"/>
    <s v="Non-Working Day"/>
    <s v="Spring"/>
    <x v="2"/>
    <s v="Morning"/>
    <s v="Warm"/>
    <s v="High"/>
    <s v="Off-Peak"/>
    <n v="0"/>
    <s v="Low"/>
    <n v="1"/>
  </r>
  <r>
    <n v="31"/>
    <x v="1"/>
    <n v="1"/>
    <n v="0"/>
    <n v="1"/>
    <n v="7"/>
    <b v="0"/>
    <n v="0"/>
    <n v="2"/>
    <n v="0.4"/>
    <n v="0.40910000000000002"/>
    <n v="0.76"/>
    <n v="0.19400000000000001"/>
    <n v="0"/>
    <n v="1"/>
    <n v="1"/>
    <s v="REC-0031"/>
    <d v="2011-01-02T07:00:00"/>
    <s v="Jan"/>
    <x v="1"/>
    <x v="0"/>
    <s v="Non-Working Day"/>
    <s v="Spring"/>
    <x v="1"/>
    <s v="Morning"/>
    <s v="Warm"/>
    <s v="High"/>
    <s v="Off-Peak"/>
    <n v="0"/>
    <s v="Low"/>
    <n v="1"/>
  </r>
  <r>
    <n v="32"/>
    <x v="1"/>
    <n v="1"/>
    <n v="0"/>
    <n v="1"/>
    <n v="8"/>
    <b v="0"/>
    <n v="0"/>
    <n v="3"/>
    <n v="0.4"/>
    <n v="0.40910000000000002"/>
    <n v="0.71"/>
    <n v="0.22389999999999999"/>
    <n v="0"/>
    <n v="8"/>
    <n v="8"/>
    <s v="REC-0032"/>
    <d v="2011-01-02T08:00:00"/>
    <s v="Jan"/>
    <x v="1"/>
    <x v="0"/>
    <s v="Non-Working Day"/>
    <s v="Spring"/>
    <x v="2"/>
    <s v="Morning"/>
    <s v="Warm"/>
    <s v="Medium"/>
    <s v="Off-Peak"/>
    <n v="0"/>
    <s v="Low"/>
    <n v="1"/>
  </r>
  <r>
    <n v="33"/>
    <x v="1"/>
    <n v="1"/>
    <n v="0"/>
    <n v="1"/>
    <n v="9"/>
    <b v="0"/>
    <n v="0"/>
    <n v="2"/>
    <n v="0.38"/>
    <n v="0.37880000000000003"/>
    <n v="0.76"/>
    <n v="0.22389999999999999"/>
    <n v="1"/>
    <n v="19"/>
    <n v="20"/>
    <s v="REC-0033"/>
    <d v="2011-01-02T09:00:00"/>
    <s v="Jan"/>
    <x v="1"/>
    <x v="0"/>
    <s v="Non-Working Day"/>
    <s v="Spring"/>
    <x v="1"/>
    <s v="Morning"/>
    <s v="Warm"/>
    <s v="High"/>
    <s v="Off-Peak"/>
    <n v="0.05"/>
    <s v="Normal"/>
    <n v="1"/>
  </r>
  <r>
    <n v="34"/>
    <x v="1"/>
    <n v="1"/>
    <n v="0"/>
    <n v="1"/>
    <n v="10"/>
    <b v="0"/>
    <n v="0"/>
    <n v="2"/>
    <n v="0.36"/>
    <n v="0.34849999999999998"/>
    <n v="0.81"/>
    <n v="0.22389999999999999"/>
    <n v="7"/>
    <n v="46"/>
    <n v="53"/>
    <s v="REC-0034"/>
    <d v="2011-01-02T10:00:00"/>
    <s v="Jan"/>
    <x v="1"/>
    <x v="0"/>
    <s v="Non-Working Day"/>
    <s v="Spring"/>
    <x v="1"/>
    <s v="Morning"/>
    <s v="Warm"/>
    <s v="High"/>
    <s v="Off-Peak"/>
    <n v="0.13207547169811321"/>
    <s v="Normal"/>
    <n v="1"/>
  </r>
  <r>
    <n v="35"/>
    <x v="1"/>
    <n v="1"/>
    <n v="0"/>
    <n v="1"/>
    <n v="11"/>
    <b v="0"/>
    <n v="0"/>
    <n v="2"/>
    <n v="0.36"/>
    <n v="0.33329999999999999"/>
    <n v="0.71"/>
    <n v="0.25369999999999998"/>
    <n v="16"/>
    <n v="54"/>
    <n v="70"/>
    <s v="REC-0035"/>
    <d v="2011-01-02T11:00:00"/>
    <s v="Jan"/>
    <x v="1"/>
    <x v="0"/>
    <s v="Non-Working Day"/>
    <s v="Spring"/>
    <x v="1"/>
    <s v="Morning"/>
    <s v="Warm"/>
    <s v="Medium"/>
    <s v="Off-Peak"/>
    <n v="0.22857142857142856"/>
    <s v="Normal"/>
    <n v="1"/>
  </r>
  <r>
    <n v="36"/>
    <x v="1"/>
    <n v="1"/>
    <n v="0"/>
    <n v="1"/>
    <n v="12"/>
    <b v="0"/>
    <n v="0"/>
    <n v="2"/>
    <n v="0.36"/>
    <n v="0.33329999999999999"/>
    <n v="0.66"/>
    <n v="0.29849999999999999"/>
    <n v="20"/>
    <n v="73"/>
    <n v="93"/>
    <s v="REC-0036"/>
    <d v="2011-01-02T12:00:00"/>
    <s v="Jan"/>
    <x v="1"/>
    <x v="0"/>
    <s v="Non-Working Day"/>
    <s v="Spring"/>
    <x v="1"/>
    <s v="Afternoon"/>
    <s v="Warm"/>
    <s v="Medium"/>
    <s v="Off-Peak"/>
    <n v="0.21505376344086022"/>
    <s v="High"/>
    <n v="1"/>
  </r>
  <r>
    <n v="37"/>
    <x v="1"/>
    <n v="1"/>
    <n v="0"/>
    <n v="1"/>
    <n v="13"/>
    <b v="0"/>
    <n v="0"/>
    <n v="2"/>
    <n v="0.36"/>
    <n v="0.34849999999999998"/>
    <n v="0.66"/>
    <n v="0.1343"/>
    <n v="11"/>
    <n v="64"/>
    <n v="75"/>
    <s v="REC-0037"/>
    <d v="2011-01-02T13:00:00"/>
    <s v="Jan"/>
    <x v="1"/>
    <x v="0"/>
    <s v="Non-Working Day"/>
    <s v="Spring"/>
    <x v="1"/>
    <s v="Afternoon"/>
    <s v="Warm"/>
    <s v="Medium"/>
    <s v="Off-Peak"/>
    <n v="0.14666666666666667"/>
    <s v="Normal"/>
    <n v="1"/>
  </r>
  <r>
    <n v="38"/>
    <x v="1"/>
    <n v="1"/>
    <n v="0"/>
    <n v="1"/>
    <n v="14"/>
    <b v="0"/>
    <n v="0"/>
    <n v="3"/>
    <n v="0.36"/>
    <n v="0.34089999999999998"/>
    <n v="0.76"/>
    <n v="0.19400000000000001"/>
    <n v="4"/>
    <n v="55"/>
    <n v="59"/>
    <s v="REC-0038"/>
    <d v="2011-01-02T14:00:00"/>
    <s v="Jan"/>
    <x v="1"/>
    <x v="0"/>
    <s v="Non-Working Day"/>
    <s v="Spring"/>
    <x v="2"/>
    <s v="Afternoon"/>
    <s v="Warm"/>
    <s v="High"/>
    <s v="Off-Peak"/>
    <n v="6.7796610169491525E-2"/>
    <s v="Normal"/>
    <n v="1"/>
  </r>
  <r>
    <n v="39"/>
    <x v="1"/>
    <n v="1"/>
    <n v="0"/>
    <n v="1"/>
    <n v="15"/>
    <b v="0"/>
    <n v="0"/>
    <n v="3"/>
    <n v="0.34"/>
    <n v="0.33329999999999999"/>
    <n v="0.81"/>
    <n v="0.16420000000000001"/>
    <n v="19"/>
    <n v="55"/>
    <n v="74"/>
    <s v="REC-0039"/>
    <d v="2011-01-02T15:00:00"/>
    <s v="Jan"/>
    <x v="1"/>
    <x v="0"/>
    <s v="Non-Working Day"/>
    <s v="Spring"/>
    <x v="2"/>
    <s v="Afternoon"/>
    <s v="Warm"/>
    <s v="High"/>
    <s v="Off-Peak"/>
    <n v="0.25675675675675674"/>
    <s v="Normal"/>
    <n v="1"/>
  </r>
  <r>
    <n v="40"/>
    <x v="1"/>
    <n v="1"/>
    <n v="0"/>
    <n v="1"/>
    <n v="16"/>
    <b v="0"/>
    <n v="0"/>
    <n v="3"/>
    <n v="0.34"/>
    <n v="0.33329999999999999"/>
    <n v="0.71"/>
    <n v="0.16420000000000001"/>
    <n v="9"/>
    <n v="67"/>
    <n v="76"/>
    <s v="REC-0040"/>
    <d v="2011-01-02T16:00:00"/>
    <s v="Jan"/>
    <x v="1"/>
    <x v="0"/>
    <s v="Non-Working Day"/>
    <s v="Spring"/>
    <x v="2"/>
    <s v="Afternoon"/>
    <s v="Warm"/>
    <s v="Medium"/>
    <s v="Off-Peak"/>
    <n v="0.11842105263157894"/>
    <s v="Normal"/>
    <n v="1"/>
  </r>
  <r>
    <n v="41"/>
    <x v="1"/>
    <n v="1"/>
    <n v="0"/>
    <n v="1"/>
    <n v="17"/>
    <b v="0"/>
    <n v="0"/>
    <n v="1"/>
    <n v="0.34"/>
    <n v="0.33329999999999999"/>
    <n v="0.56999999999999995"/>
    <n v="0.19400000000000001"/>
    <n v="7"/>
    <n v="58"/>
    <n v="65"/>
    <s v="REC-0041"/>
    <d v="2011-01-02T17:00:00"/>
    <s v="Jan"/>
    <x v="1"/>
    <x v="0"/>
    <s v="Non-Working Day"/>
    <s v="Spring"/>
    <x v="0"/>
    <s v="Evening"/>
    <s v="Warm"/>
    <s v="Medium"/>
    <s v="Off-Peak"/>
    <n v="0.1076923076923077"/>
    <s v="Normal"/>
    <n v="1"/>
  </r>
  <r>
    <n v="42"/>
    <x v="1"/>
    <n v="1"/>
    <n v="0"/>
    <n v="1"/>
    <n v="18"/>
    <b v="0"/>
    <n v="0"/>
    <n v="2"/>
    <n v="0.36"/>
    <n v="0.33329999999999999"/>
    <n v="0.46"/>
    <n v="0.32840000000000003"/>
    <n v="10"/>
    <n v="43"/>
    <n v="53"/>
    <s v="REC-0042"/>
    <d v="2011-01-02T18:00:00"/>
    <s v="Jan"/>
    <x v="1"/>
    <x v="0"/>
    <s v="Non-Working Day"/>
    <s v="Spring"/>
    <x v="1"/>
    <s v="Evening"/>
    <s v="Warm"/>
    <s v="Low"/>
    <s v="Off-Peak"/>
    <n v="0.18867924528301888"/>
    <s v="Normal"/>
    <n v="1"/>
  </r>
  <r>
    <n v="43"/>
    <x v="1"/>
    <n v="1"/>
    <n v="0"/>
    <n v="1"/>
    <n v="19"/>
    <b v="0"/>
    <n v="0"/>
    <n v="1"/>
    <n v="0.32"/>
    <n v="0.28789999999999999"/>
    <n v="0.42"/>
    <n v="0.44779999999999998"/>
    <n v="1"/>
    <n v="29"/>
    <n v="30"/>
    <s v="REC-0043"/>
    <d v="2011-01-02T19:00:00"/>
    <s v="Jan"/>
    <x v="1"/>
    <x v="0"/>
    <s v="Non-Working Day"/>
    <s v="Spring"/>
    <x v="0"/>
    <s v="Evening"/>
    <s v="Warm"/>
    <s v="Low"/>
    <s v="Off-Peak"/>
    <n v="3.3333333333333333E-2"/>
    <s v="Normal"/>
    <n v="1"/>
  </r>
  <r>
    <n v="44"/>
    <x v="1"/>
    <n v="1"/>
    <n v="0"/>
    <n v="1"/>
    <n v="20"/>
    <b v="0"/>
    <n v="0"/>
    <n v="1"/>
    <n v="0.3"/>
    <n v="0.2576"/>
    <n v="0.39"/>
    <n v="0.35820000000000002"/>
    <n v="5"/>
    <n v="17"/>
    <n v="22"/>
    <s v="REC-0044"/>
    <d v="2011-01-02T20:00:00"/>
    <s v="Jan"/>
    <x v="1"/>
    <x v="0"/>
    <s v="Non-Working Day"/>
    <s v="Spring"/>
    <x v="0"/>
    <s v="Evening"/>
    <s v="Warm"/>
    <s v="Low"/>
    <s v="Off-Peak"/>
    <n v="0.22727272727272727"/>
    <s v="Normal"/>
    <n v="1"/>
  </r>
  <r>
    <n v="45"/>
    <x v="1"/>
    <n v="1"/>
    <n v="0"/>
    <n v="1"/>
    <n v="21"/>
    <b v="0"/>
    <n v="0"/>
    <n v="1"/>
    <n v="0.26"/>
    <n v="0.2273"/>
    <n v="0.44"/>
    <n v="0.32840000000000003"/>
    <n v="11"/>
    <n v="20"/>
    <n v="31"/>
    <s v="REC-0045"/>
    <d v="2011-01-02T21:00:00"/>
    <s v="Jan"/>
    <x v="1"/>
    <x v="0"/>
    <s v="Non-Working Day"/>
    <s v="Spring"/>
    <x v="0"/>
    <s v="Late Evening"/>
    <s v="Mild"/>
    <s v="Low"/>
    <s v="Off-Peak"/>
    <n v="0.35483870967741937"/>
    <s v="Normal"/>
    <n v="1"/>
  </r>
  <r>
    <n v="46"/>
    <x v="1"/>
    <n v="1"/>
    <n v="0"/>
    <n v="1"/>
    <n v="22"/>
    <b v="0"/>
    <n v="0"/>
    <n v="1"/>
    <n v="0.24"/>
    <n v="0.21210000000000001"/>
    <n v="0.44"/>
    <n v="0.29849999999999999"/>
    <n v="0"/>
    <n v="9"/>
    <n v="9"/>
    <s v="REC-0046"/>
    <d v="2011-01-02T22:00:00"/>
    <s v="Jan"/>
    <x v="1"/>
    <x v="0"/>
    <s v="Non-Working Day"/>
    <s v="Spring"/>
    <x v="0"/>
    <s v="Late Evening"/>
    <s v="Mild"/>
    <s v="Low"/>
    <s v="Off-Peak"/>
    <n v="0"/>
    <s v="Low"/>
    <n v="1"/>
  </r>
  <r>
    <n v="47"/>
    <x v="1"/>
    <n v="1"/>
    <n v="0"/>
    <n v="1"/>
    <n v="23"/>
    <b v="0"/>
    <n v="0"/>
    <n v="1"/>
    <n v="0.22"/>
    <n v="0.2273"/>
    <n v="0.47"/>
    <n v="0.16420000000000001"/>
    <n v="0"/>
    <n v="8"/>
    <n v="8"/>
    <s v="REC-0047"/>
    <d v="2011-01-02T23:00:00"/>
    <s v="Jan"/>
    <x v="1"/>
    <x v="0"/>
    <s v="Non-Working Day"/>
    <s v="Spring"/>
    <x v="0"/>
    <s v="Late Evening"/>
    <s v="Mild"/>
    <s v="Low"/>
    <s v="Off-Peak"/>
    <n v="0"/>
    <s v="Low"/>
    <n v="1"/>
  </r>
  <r>
    <n v="48"/>
    <x v="2"/>
    <n v="1"/>
    <n v="0"/>
    <n v="1"/>
    <n v="0"/>
    <b v="0"/>
    <n v="1"/>
    <n v="1"/>
    <n v="0.22"/>
    <n v="0.19700000000000001"/>
    <n v="0.44"/>
    <n v="0.35820000000000002"/>
    <n v="0"/>
    <n v="5"/>
    <n v="5"/>
    <s v="REC-0048"/>
    <d v="2011-01-03T00:00:00"/>
    <s v="Jan"/>
    <x v="2"/>
    <x v="1"/>
    <s v="Working Day"/>
    <s v="Spring"/>
    <x v="0"/>
    <s v="Night"/>
    <s v="Mild"/>
    <s v="Low"/>
    <s v="Off-Peak"/>
    <n v="0"/>
    <s v="Low"/>
    <n v="1"/>
  </r>
  <r>
    <n v="49"/>
    <x v="2"/>
    <n v="1"/>
    <n v="0"/>
    <n v="1"/>
    <n v="1"/>
    <b v="0"/>
    <n v="1"/>
    <n v="1"/>
    <n v="0.2"/>
    <n v="0.16669999999999999"/>
    <n v="0.44"/>
    <n v="0.41789999999999999"/>
    <n v="0"/>
    <n v="2"/>
    <n v="2"/>
    <s v="REC-0049"/>
    <d v="2011-01-03T01:00:00"/>
    <s v="Jan"/>
    <x v="2"/>
    <x v="1"/>
    <s v="Working Day"/>
    <s v="Spring"/>
    <x v="0"/>
    <s v="Night"/>
    <s v="Mild"/>
    <s v="Low"/>
    <s v="Off-Peak"/>
    <n v="0"/>
    <s v="Low"/>
    <n v="1"/>
  </r>
  <r>
    <n v="50"/>
    <x v="2"/>
    <n v="1"/>
    <n v="0"/>
    <n v="1"/>
    <n v="4"/>
    <b v="0"/>
    <n v="1"/>
    <n v="1"/>
    <n v="0.16"/>
    <n v="0.13639999999999999"/>
    <n v="0.47"/>
    <n v="0.3881"/>
    <n v="0"/>
    <n v="1"/>
    <n v="1"/>
    <s v="REC-0050"/>
    <d v="2011-01-03T04:00:00"/>
    <s v="Jan"/>
    <x v="2"/>
    <x v="1"/>
    <s v="Working Day"/>
    <s v="Spring"/>
    <x v="0"/>
    <s v="Night"/>
    <s v="Cold"/>
    <s v="Low"/>
    <s v="Off-Peak"/>
    <n v="0"/>
    <s v="Low"/>
    <n v="1"/>
  </r>
  <r>
    <n v="51"/>
    <x v="2"/>
    <n v="1"/>
    <n v="0"/>
    <n v="1"/>
    <n v="5"/>
    <b v="0"/>
    <n v="1"/>
    <n v="1"/>
    <n v="0.16"/>
    <n v="0.13639999999999999"/>
    <n v="0.47"/>
    <n v="0.28360000000000002"/>
    <n v="0"/>
    <n v="3"/>
    <n v="3"/>
    <s v="REC-0051"/>
    <d v="2011-01-03T05:00:00"/>
    <s v="Jan"/>
    <x v="2"/>
    <x v="1"/>
    <s v="Working Day"/>
    <s v="Spring"/>
    <x v="0"/>
    <s v="Night"/>
    <s v="Cold"/>
    <s v="Low"/>
    <s v="Off-Peak"/>
    <n v="0"/>
    <s v="Low"/>
    <n v="1"/>
  </r>
  <r>
    <n v="52"/>
    <x v="2"/>
    <n v="1"/>
    <n v="0"/>
    <n v="1"/>
    <n v="6"/>
    <b v="0"/>
    <n v="1"/>
    <n v="1"/>
    <n v="0.14000000000000001"/>
    <n v="0.1061"/>
    <n v="0.5"/>
    <n v="0.3881"/>
    <n v="0"/>
    <n v="30"/>
    <n v="30"/>
    <s v="REC-0052"/>
    <d v="2011-01-03T06:00:00"/>
    <s v="Jan"/>
    <x v="2"/>
    <x v="1"/>
    <s v="Working Day"/>
    <s v="Spring"/>
    <x v="0"/>
    <s v="Morning"/>
    <s v="Cold"/>
    <s v="Medium"/>
    <s v="Off-Peak"/>
    <n v="0"/>
    <s v="Normal"/>
    <n v="1"/>
  </r>
  <r>
    <n v="53"/>
    <x v="2"/>
    <n v="1"/>
    <n v="0"/>
    <n v="1"/>
    <n v="7"/>
    <b v="0"/>
    <n v="1"/>
    <n v="1"/>
    <n v="0.14000000000000001"/>
    <n v="0.13639999999999999"/>
    <n v="0.5"/>
    <n v="0.19400000000000001"/>
    <n v="1"/>
    <n v="63"/>
    <n v="64"/>
    <s v="REC-0053"/>
    <d v="2011-01-03T07:00:00"/>
    <s v="Jan"/>
    <x v="2"/>
    <x v="1"/>
    <s v="Working Day"/>
    <s v="Spring"/>
    <x v="0"/>
    <s v="Morning"/>
    <s v="Cold"/>
    <s v="Medium"/>
    <s v="Peak"/>
    <n v="1.5625E-2"/>
    <s v="Normal"/>
    <n v="1"/>
  </r>
  <r>
    <n v="54"/>
    <x v="2"/>
    <n v="1"/>
    <n v="0"/>
    <n v="1"/>
    <n v="8"/>
    <b v="0"/>
    <n v="1"/>
    <n v="1"/>
    <n v="0.14000000000000001"/>
    <n v="0.1212"/>
    <n v="0.5"/>
    <n v="0.28360000000000002"/>
    <n v="1"/>
    <n v="153"/>
    <n v="154"/>
    <s v="REC-0054"/>
    <d v="2011-01-03T08:00:00"/>
    <s v="Jan"/>
    <x v="2"/>
    <x v="1"/>
    <s v="Working Day"/>
    <s v="Spring"/>
    <x v="0"/>
    <s v="Morning"/>
    <s v="Cold"/>
    <s v="Medium"/>
    <s v="Peak"/>
    <n v="6.4935064935064939E-3"/>
    <s v="High"/>
    <n v="1"/>
  </r>
  <r>
    <n v="55"/>
    <x v="2"/>
    <n v="1"/>
    <n v="0"/>
    <n v="1"/>
    <n v="9"/>
    <b v="0"/>
    <n v="1"/>
    <n v="1"/>
    <n v="0.16"/>
    <n v="0.13639999999999999"/>
    <n v="0.43"/>
    <n v="0.3881"/>
    <n v="7"/>
    <n v="81"/>
    <n v="88"/>
    <s v="REC-0055"/>
    <d v="2011-01-03T09:00:00"/>
    <s v="Jan"/>
    <x v="2"/>
    <x v="1"/>
    <s v="Working Day"/>
    <s v="Spring"/>
    <x v="0"/>
    <s v="Morning"/>
    <s v="Cold"/>
    <s v="Low"/>
    <s v="Peak"/>
    <n v="7.9545454545454544E-2"/>
    <s v="High"/>
    <n v="1"/>
  </r>
  <r>
    <n v="56"/>
    <x v="2"/>
    <n v="1"/>
    <n v="0"/>
    <n v="1"/>
    <n v="10"/>
    <b v="0"/>
    <n v="1"/>
    <n v="1"/>
    <n v="0.18"/>
    <n v="0.16669999999999999"/>
    <n v="0.43"/>
    <n v="0.25369999999999998"/>
    <n v="11"/>
    <n v="33"/>
    <n v="44"/>
    <s v="REC-0056"/>
    <d v="2011-01-03T10:00:00"/>
    <s v="Jan"/>
    <x v="2"/>
    <x v="1"/>
    <s v="Working Day"/>
    <s v="Spring"/>
    <x v="0"/>
    <s v="Morning"/>
    <s v="Cold"/>
    <s v="Low"/>
    <s v="Off-Peak"/>
    <n v="0.25"/>
    <s v="Normal"/>
    <n v="1"/>
  </r>
  <r>
    <n v="57"/>
    <x v="2"/>
    <n v="1"/>
    <n v="0"/>
    <n v="1"/>
    <n v="11"/>
    <b v="0"/>
    <n v="1"/>
    <n v="1"/>
    <n v="0.2"/>
    <n v="0.18179999999999999"/>
    <n v="0.4"/>
    <n v="0.32840000000000003"/>
    <n v="10"/>
    <n v="41"/>
    <n v="51"/>
    <s v="REC-0057"/>
    <d v="2011-01-03T11:00:00"/>
    <s v="Jan"/>
    <x v="2"/>
    <x v="1"/>
    <s v="Working Day"/>
    <s v="Spring"/>
    <x v="0"/>
    <s v="Morning"/>
    <s v="Mild"/>
    <s v="Low"/>
    <s v="Off-Peak"/>
    <n v="0.19607843137254902"/>
    <s v="Normal"/>
    <n v="1"/>
  </r>
  <r>
    <n v="58"/>
    <x v="2"/>
    <n v="1"/>
    <n v="0"/>
    <n v="1"/>
    <n v="12"/>
    <b v="0"/>
    <n v="1"/>
    <n v="1"/>
    <n v="0.22"/>
    <n v="0.21210000000000001"/>
    <n v="0.35"/>
    <n v="0.29849999999999999"/>
    <n v="13"/>
    <n v="48"/>
    <n v="61"/>
    <s v="REC-0058"/>
    <d v="2011-01-03T12:00:00"/>
    <s v="Jan"/>
    <x v="2"/>
    <x v="1"/>
    <s v="Working Day"/>
    <s v="Spring"/>
    <x v="0"/>
    <s v="Afternoon"/>
    <s v="Mild"/>
    <s v="Low"/>
    <s v="Off-Peak"/>
    <n v="0.21311475409836064"/>
    <s v="Normal"/>
    <n v="1"/>
  </r>
  <r>
    <n v="59"/>
    <x v="2"/>
    <n v="1"/>
    <n v="0"/>
    <n v="1"/>
    <n v="13"/>
    <b v="0"/>
    <n v="1"/>
    <n v="1"/>
    <n v="0.24"/>
    <n v="0.2273"/>
    <n v="0.35"/>
    <n v="0.28360000000000002"/>
    <n v="8"/>
    <n v="53"/>
    <n v="61"/>
    <s v="REC-0059"/>
    <d v="2011-01-03T13:00:00"/>
    <s v="Jan"/>
    <x v="2"/>
    <x v="1"/>
    <s v="Working Day"/>
    <s v="Spring"/>
    <x v="0"/>
    <s v="Afternoon"/>
    <s v="Mild"/>
    <s v="Low"/>
    <s v="Off-Peak"/>
    <n v="0.13114754098360656"/>
    <s v="Normal"/>
    <n v="1"/>
  </r>
  <r>
    <n v="60"/>
    <x v="2"/>
    <n v="1"/>
    <n v="0"/>
    <n v="1"/>
    <n v="14"/>
    <b v="0"/>
    <n v="1"/>
    <n v="1"/>
    <n v="0.26"/>
    <n v="0.2424"/>
    <n v="0.3"/>
    <n v="0.28360000000000002"/>
    <n v="11"/>
    <n v="66"/>
    <n v="77"/>
    <s v="REC-0060"/>
    <d v="2011-01-03T14:00:00"/>
    <s v="Jan"/>
    <x v="2"/>
    <x v="1"/>
    <s v="Working Day"/>
    <s v="Spring"/>
    <x v="0"/>
    <s v="Afternoon"/>
    <s v="Mild"/>
    <s v="Low"/>
    <s v="Off-Peak"/>
    <n v="0.14285714285714285"/>
    <s v="Normal"/>
    <n v="1"/>
  </r>
  <r>
    <n v="61"/>
    <x v="2"/>
    <n v="1"/>
    <n v="0"/>
    <n v="1"/>
    <n v="15"/>
    <b v="0"/>
    <n v="1"/>
    <n v="1"/>
    <n v="0.26"/>
    <n v="0.2424"/>
    <n v="0.3"/>
    <n v="0.25369999999999998"/>
    <n v="14"/>
    <n v="58"/>
    <n v="72"/>
    <s v="REC-0061"/>
    <d v="2011-01-03T15:00:00"/>
    <s v="Jan"/>
    <x v="2"/>
    <x v="1"/>
    <s v="Working Day"/>
    <s v="Spring"/>
    <x v="0"/>
    <s v="Afternoon"/>
    <s v="Mild"/>
    <s v="Low"/>
    <s v="Off-Peak"/>
    <n v="0.19444444444444445"/>
    <s v="Normal"/>
    <n v="1"/>
  </r>
  <r>
    <n v="62"/>
    <x v="2"/>
    <n v="1"/>
    <n v="0"/>
    <n v="1"/>
    <n v="16"/>
    <b v="0"/>
    <n v="1"/>
    <n v="1"/>
    <n v="0.26"/>
    <n v="0.2424"/>
    <n v="0.3"/>
    <n v="0.25369999999999998"/>
    <n v="9"/>
    <n v="67"/>
    <n v="76"/>
    <s v="REC-0062"/>
    <d v="2011-01-03T16:00:00"/>
    <s v="Jan"/>
    <x v="2"/>
    <x v="1"/>
    <s v="Working Day"/>
    <s v="Spring"/>
    <x v="0"/>
    <s v="Afternoon"/>
    <s v="Mild"/>
    <s v="Low"/>
    <s v="Peak"/>
    <n v="0.11842105263157894"/>
    <s v="Normal"/>
    <n v="1"/>
  </r>
  <r>
    <n v="63"/>
    <x v="2"/>
    <n v="1"/>
    <n v="0"/>
    <n v="1"/>
    <n v="17"/>
    <b v="0"/>
    <n v="1"/>
    <n v="1"/>
    <n v="0.24"/>
    <n v="0.2273"/>
    <n v="0.3"/>
    <n v="0.22389999999999999"/>
    <n v="11"/>
    <n v="146"/>
    <n v="157"/>
    <s v="REC-0063"/>
    <d v="2011-01-03T17:00:00"/>
    <s v="Jan"/>
    <x v="2"/>
    <x v="1"/>
    <s v="Working Day"/>
    <s v="Spring"/>
    <x v="0"/>
    <s v="Evening"/>
    <s v="Mild"/>
    <s v="Low"/>
    <s v="Peak"/>
    <n v="7.0063694267515922E-2"/>
    <s v="High"/>
    <n v="1"/>
  </r>
  <r>
    <n v="64"/>
    <x v="2"/>
    <n v="1"/>
    <n v="0"/>
    <n v="1"/>
    <n v="18"/>
    <b v="0"/>
    <n v="1"/>
    <n v="1"/>
    <n v="0.24"/>
    <n v="0.2576"/>
    <n v="0.32"/>
    <n v="0.1045"/>
    <n v="9"/>
    <n v="148"/>
    <n v="157"/>
    <s v="REC-0064"/>
    <d v="2011-01-03T18:00:00"/>
    <s v="Jan"/>
    <x v="2"/>
    <x v="1"/>
    <s v="Working Day"/>
    <s v="Spring"/>
    <x v="0"/>
    <s v="Evening"/>
    <s v="Mild"/>
    <s v="Low"/>
    <s v="Peak"/>
    <n v="5.7324840764331211E-2"/>
    <s v="High"/>
    <n v="1"/>
  </r>
  <r>
    <n v="65"/>
    <x v="2"/>
    <n v="1"/>
    <n v="0"/>
    <n v="1"/>
    <n v="19"/>
    <b v="0"/>
    <n v="1"/>
    <n v="1"/>
    <n v="0.2"/>
    <n v="0.2576"/>
    <n v="0.47"/>
    <n v="0"/>
    <n v="8"/>
    <n v="102"/>
    <n v="110"/>
    <s v="REC-0065"/>
    <d v="2011-01-03T19:00:00"/>
    <s v="Jan"/>
    <x v="2"/>
    <x v="1"/>
    <s v="Working Day"/>
    <s v="Spring"/>
    <x v="0"/>
    <s v="Evening"/>
    <s v="Mild"/>
    <s v="Low"/>
    <s v="Peak"/>
    <n v="7.2727272727272724E-2"/>
    <s v="High"/>
    <n v="1"/>
  </r>
  <r>
    <n v="66"/>
    <x v="2"/>
    <n v="1"/>
    <n v="0"/>
    <n v="1"/>
    <n v="20"/>
    <b v="0"/>
    <n v="1"/>
    <n v="1"/>
    <n v="0.2"/>
    <n v="0.2273"/>
    <n v="0.47"/>
    <n v="0.1045"/>
    <n v="3"/>
    <n v="49"/>
    <n v="52"/>
    <s v="REC-0066"/>
    <d v="2011-01-03T20:00:00"/>
    <s v="Jan"/>
    <x v="2"/>
    <x v="1"/>
    <s v="Working Day"/>
    <s v="Spring"/>
    <x v="0"/>
    <s v="Evening"/>
    <s v="Mild"/>
    <s v="Low"/>
    <s v="Off-Peak"/>
    <n v="5.7692307692307696E-2"/>
    <s v="Normal"/>
    <n v="1"/>
  </r>
  <r>
    <n v="67"/>
    <x v="2"/>
    <n v="1"/>
    <n v="0"/>
    <n v="1"/>
    <n v="21"/>
    <b v="0"/>
    <n v="1"/>
    <n v="1"/>
    <n v="0.18"/>
    <n v="0.19700000000000001"/>
    <n v="0.64"/>
    <n v="0.1343"/>
    <n v="3"/>
    <n v="49"/>
    <n v="52"/>
    <s v="REC-0067"/>
    <d v="2011-01-03T21:00:00"/>
    <s v="Jan"/>
    <x v="2"/>
    <x v="1"/>
    <s v="Working Day"/>
    <s v="Spring"/>
    <x v="0"/>
    <s v="Late Evening"/>
    <s v="Cold"/>
    <s v="Medium"/>
    <s v="Off-Peak"/>
    <n v="5.7692307692307696E-2"/>
    <s v="Normal"/>
    <n v="1"/>
  </r>
  <r>
    <n v="68"/>
    <x v="2"/>
    <n v="1"/>
    <n v="0"/>
    <n v="1"/>
    <n v="22"/>
    <b v="0"/>
    <n v="1"/>
    <n v="1"/>
    <n v="0.14000000000000001"/>
    <n v="0.1515"/>
    <n v="0.69"/>
    <n v="0.1343"/>
    <n v="0"/>
    <n v="20"/>
    <n v="20"/>
    <s v="REC-0068"/>
    <d v="2011-01-03T22:00:00"/>
    <s v="Jan"/>
    <x v="2"/>
    <x v="1"/>
    <s v="Working Day"/>
    <s v="Spring"/>
    <x v="0"/>
    <s v="Late Evening"/>
    <s v="Cold"/>
    <s v="Medium"/>
    <s v="Off-Peak"/>
    <n v="0"/>
    <s v="Normal"/>
    <n v="1"/>
  </r>
  <r>
    <n v="69"/>
    <x v="2"/>
    <n v="1"/>
    <n v="0"/>
    <n v="1"/>
    <n v="23"/>
    <b v="0"/>
    <n v="1"/>
    <n v="1"/>
    <n v="0.18"/>
    <n v="0.21210000000000001"/>
    <n v="0.55000000000000004"/>
    <n v="0.1045"/>
    <n v="1"/>
    <n v="11"/>
    <n v="12"/>
    <s v="REC-0069"/>
    <d v="2011-01-03T23:00:00"/>
    <s v="Jan"/>
    <x v="2"/>
    <x v="1"/>
    <s v="Working Day"/>
    <s v="Spring"/>
    <x v="0"/>
    <s v="Late Evening"/>
    <s v="Cold"/>
    <s v="Medium"/>
    <s v="Off-Peak"/>
    <n v="8.3333333333333329E-2"/>
    <s v="Low"/>
    <n v="1"/>
  </r>
  <r>
    <n v="70"/>
    <x v="3"/>
    <n v="1"/>
    <n v="0"/>
    <n v="1"/>
    <n v="0"/>
    <b v="0"/>
    <n v="2"/>
    <n v="1"/>
    <n v="0.16"/>
    <n v="0.19700000000000001"/>
    <n v="0.55000000000000004"/>
    <n v="0.1045"/>
    <n v="0"/>
    <n v="5"/>
    <n v="5"/>
    <s v="REC-0070"/>
    <d v="2011-01-04T00:00:00"/>
    <s v="Jan"/>
    <x v="3"/>
    <x v="1"/>
    <s v="Working Day"/>
    <s v="Spring"/>
    <x v="0"/>
    <s v="Night"/>
    <s v="Cold"/>
    <s v="Medium"/>
    <s v="Off-Peak"/>
    <n v="0"/>
    <s v="Low"/>
    <n v="1"/>
  </r>
  <r>
    <n v="71"/>
    <x v="3"/>
    <n v="1"/>
    <n v="0"/>
    <n v="1"/>
    <n v="1"/>
    <b v="0"/>
    <n v="2"/>
    <n v="1"/>
    <n v="0.16"/>
    <n v="0.18179999999999999"/>
    <n v="0.59"/>
    <n v="0.1045"/>
    <n v="0"/>
    <n v="2"/>
    <n v="2"/>
    <s v="REC-0071"/>
    <d v="2011-01-04T01:00:00"/>
    <s v="Jan"/>
    <x v="3"/>
    <x v="1"/>
    <s v="Working Day"/>
    <s v="Spring"/>
    <x v="0"/>
    <s v="Night"/>
    <s v="Cold"/>
    <s v="Medium"/>
    <s v="Off-Peak"/>
    <n v="0"/>
    <s v="Low"/>
    <n v="1"/>
  </r>
  <r>
    <n v="72"/>
    <x v="3"/>
    <n v="1"/>
    <n v="0"/>
    <n v="1"/>
    <n v="2"/>
    <b v="0"/>
    <n v="2"/>
    <n v="1"/>
    <n v="0.14000000000000001"/>
    <n v="0.1515"/>
    <n v="0.63"/>
    <n v="0.1343"/>
    <n v="0"/>
    <n v="1"/>
    <n v="1"/>
    <s v="REC-0072"/>
    <d v="2011-01-04T02:00:00"/>
    <s v="Jan"/>
    <x v="3"/>
    <x v="1"/>
    <s v="Working Day"/>
    <s v="Spring"/>
    <x v="0"/>
    <s v="Night"/>
    <s v="Cold"/>
    <s v="Medium"/>
    <s v="Off-Peak"/>
    <n v="0"/>
    <s v="Low"/>
    <n v="1"/>
  </r>
  <r>
    <n v="73"/>
    <x v="3"/>
    <n v="1"/>
    <n v="0"/>
    <n v="1"/>
    <n v="4"/>
    <b v="0"/>
    <n v="2"/>
    <n v="1"/>
    <n v="0.14000000000000001"/>
    <n v="0.18179999999999999"/>
    <n v="0.63"/>
    <n v="8.9599999999999999E-2"/>
    <n v="0"/>
    <n v="2"/>
    <n v="2"/>
    <s v="REC-0073"/>
    <d v="2011-01-04T04:00:00"/>
    <s v="Jan"/>
    <x v="3"/>
    <x v="1"/>
    <s v="Working Day"/>
    <s v="Spring"/>
    <x v="0"/>
    <s v="Night"/>
    <s v="Cold"/>
    <s v="Medium"/>
    <s v="Off-Peak"/>
    <n v="0"/>
    <s v="Low"/>
    <n v="1"/>
  </r>
  <r>
    <n v="74"/>
    <x v="3"/>
    <n v="1"/>
    <n v="0"/>
    <n v="1"/>
    <n v="5"/>
    <b v="0"/>
    <n v="2"/>
    <n v="1"/>
    <n v="0.12"/>
    <n v="0.1515"/>
    <n v="0.68"/>
    <n v="0.1045"/>
    <n v="0"/>
    <n v="4"/>
    <n v="4"/>
    <s v="REC-0074"/>
    <d v="2011-01-04T05:00:00"/>
    <s v="Jan"/>
    <x v="3"/>
    <x v="1"/>
    <s v="Working Day"/>
    <s v="Spring"/>
    <x v="0"/>
    <s v="Night"/>
    <s v="Cold"/>
    <s v="Medium"/>
    <s v="Off-Peak"/>
    <n v="0"/>
    <s v="Low"/>
    <n v="1"/>
  </r>
  <r>
    <n v="75"/>
    <x v="3"/>
    <n v="1"/>
    <n v="0"/>
    <n v="1"/>
    <n v="6"/>
    <b v="0"/>
    <n v="2"/>
    <n v="1"/>
    <n v="0.12"/>
    <n v="0.1515"/>
    <n v="0.74"/>
    <n v="0.1045"/>
    <n v="0"/>
    <n v="36"/>
    <n v="36"/>
    <s v="REC-0075"/>
    <d v="2011-01-04T06:00:00"/>
    <s v="Jan"/>
    <x v="3"/>
    <x v="1"/>
    <s v="Working Day"/>
    <s v="Spring"/>
    <x v="0"/>
    <s v="Morning"/>
    <s v="Cold"/>
    <s v="Medium"/>
    <s v="Off-Peak"/>
    <n v="0"/>
    <s v="Normal"/>
    <n v="1"/>
  </r>
  <r>
    <n v="76"/>
    <x v="3"/>
    <n v="1"/>
    <n v="0"/>
    <n v="1"/>
    <n v="7"/>
    <b v="0"/>
    <n v="2"/>
    <n v="1"/>
    <n v="0.12"/>
    <n v="0.1515"/>
    <n v="0.74"/>
    <n v="0.1343"/>
    <n v="2"/>
    <n v="92"/>
    <n v="94"/>
    <s v="REC-0076"/>
    <d v="2011-01-04T07:00:00"/>
    <s v="Jan"/>
    <x v="3"/>
    <x v="1"/>
    <s v="Working Day"/>
    <s v="Spring"/>
    <x v="0"/>
    <s v="Morning"/>
    <s v="Cold"/>
    <s v="Medium"/>
    <s v="Peak"/>
    <n v="2.1276595744680851E-2"/>
    <s v="High"/>
    <n v="1"/>
  </r>
  <r>
    <n v="77"/>
    <x v="3"/>
    <n v="1"/>
    <n v="0"/>
    <n v="1"/>
    <n v="8"/>
    <b v="0"/>
    <n v="2"/>
    <n v="1"/>
    <n v="0.14000000000000001"/>
    <n v="0.1515"/>
    <n v="0.69"/>
    <n v="0.16420000000000001"/>
    <n v="2"/>
    <n v="177"/>
    <n v="179"/>
    <s v="REC-0077"/>
    <d v="2011-01-04T08:00:00"/>
    <s v="Jan"/>
    <x v="3"/>
    <x v="1"/>
    <s v="Working Day"/>
    <s v="Spring"/>
    <x v="0"/>
    <s v="Morning"/>
    <s v="Cold"/>
    <s v="Medium"/>
    <s v="Peak"/>
    <n v="1.11731843575419E-2"/>
    <s v="High"/>
    <n v="1"/>
  </r>
  <r>
    <n v="78"/>
    <x v="3"/>
    <n v="1"/>
    <n v="0"/>
    <n v="1"/>
    <n v="9"/>
    <b v="0"/>
    <n v="2"/>
    <n v="1"/>
    <n v="0.16"/>
    <n v="0.1515"/>
    <n v="0.64"/>
    <n v="0.22389999999999999"/>
    <n v="2"/>
    <n v="98"/>
    <n v="100"/>
    <s v="REC-0078"/>
    <d v="2011-01-04T09:00:00"/>
    <s v="Jan"/>
    <x v="3"/>
    <x v="1"/>
    <s v="Working Day"/>
    <s v="Spring"/>
    <x v="0"/>
    <s v="Morning"/>
    <s v="Cold"/>
    <s v="Medium"/>
    <s v="Peak"/>
    <n v="0.02"/>
    <s v="High"/>
    <n v="1"/>
  </r>
  <r>
    <n v="79"/>
    <x v="3"/>
    <n v="1"/>
    <n v="0"/>
    <n v="1"/>
    <n v="10"/>
    <b v="0"/>
    <n v="2"/>
    <n v="2"/>
    <n v="0.16"/>
    <n v="0.13639999999999999"/>
    <n v="0.69"/>
    <n v="0.32840000000000003"/>
    <n v="5"/>
    <n v="37"/>
    <n v="42"/>
    <s v="REC-0079"/>
    <d v="2011-01-04T10:00:00"/>
    <s v="Jan"/>
    <x v="3"/>
    <x v="1"/>
    <s v="Working Day"/>
    <s v="Spring"/>
    <x v="1"/>
    <s v="Morning"/>
    <s v="Cold"/>
    <s v="Medium"/>
    <s v="Off-Peak"/>
    <n v="0.11904761904761904"/>
    <s v="Normal"/>
    <n v="1"/>
  </r>
  <r>
    <n v="80"/>
    <x v="3"/>
    <n v="1"/>
    <n v="0"/>
    <n v="1"/>
    <n v="11"/>
    <b v="0"/>
    <n v="2"/>
    <n v="1"/>
    <n v="0.22"/>
    <n v="0.21210000000000001"/>
    <n v="0.51"/>
    <n v="0.29849999999999999"/>
    <n v="7"/>
    <n v="50"/>
    <n v="57"/>
    <s v="REC-0080"/>
    <d v="2011-01-04T11:00:00"/>
    <s v="Jan"/>
    <x v="3"/>
    <x v="1"/>
    <s v="Working Day"/>
    <s v="Spring"/>
    <x v="0"/>
    <s v="Morning"/>
    <s v="Mild"/>
    <s v="Medium"/>
    <s v="Off-Peak"/>
    <n v="0.12280701754385964"/>
    <s v="Normal"/>
    <n v="1"/>
  </r>
  <r>
    <n v="81"/>
    <x v="3"/>
    <n v="1"/>
    <n v="0"/>
    <n v="1"/>
    <n v="12"/>
    <b v="0"/>
    <n v="2"/>
    <n v="1"/>
    <n v="0.22"/>
    <n v="0.2273"/>
    <n v="0.51"/>
    <n v="0.16420000000000001"/>
    <n v="12"/>
    <n v="66"/>
    <n v="78"/>
    <s v="REC-0081"/>
    <d v="2011-01-04T12:00:00"/>
    <s v="Jan"/>
    <x v="3"/>
    <x v="1"/>
    <s v="Working Day"/>
    <s v="Spring"/>
    <x v="0"/>
    <s v="Afternoon"/>
    <s v="Mild"/>
    <s v="Medium"/>
    <s v="Off-Peak"/>
    <n v="0.15384615384615385"/>
    <s v="Normal"/>
    <n v="1"/>
  </r>
  <r>
    <n v="82"/>
    <x v="3"/>
    <n v="1"/>
    <n v="0"/>
    <n v="1"/>
    <n v="13"/>
    <b v="0"/>
    <n v="2"/>
    <n v="1"/>
    <n v="0.24"/>
    <n v="0.2273"/>
    <n v="0.56000000000000005"/>
    <n v="0.19400000000000001"/>
    <n v="18"/>
    <n v="79"/>
    <n v="97"/>
    <s v="REC-0082"/>
    <d v="2011-01-04T13:00:00"/>
    <s v="Jan"/>
    <x v="3"/>
    <x v="1"/>
    <s v="Working Day"/>
    <s v="Spring"/>
    <x v="0"/>
    <s v="Afternoon"/>
    <s v="Mild"/>
    <s v="Medium"/>
    <s v="Off-Peak"/>
    <n v="0.18556701030927836"/>
    <s v="High"/>
    <n v="1"/>
  </r>
  <r>
    <n v="83"/>
    <x v="3"/>
    <n v="1"/>
    <n v="0"/>
    <n v="1"/>
    <n v="14"/>
    <b v="0"/>
    <n v="2"/>
    <n v="1"/>
    <n v="0.26"/>
    <n v="0.2576"/>
    <n v="0.52"/>
    <n v="0.22389999999999999"/>
    <n v="9"/>
    <n v="54"/>
    <n v="63"/>
    <s v="REC-0083"/>
    <d v="2011-01-04T14:00:00"/>
    <s v="Jan"/>
    <x v="3"/>
    <x v="1"/>
    <s v="Working Day"/>
    <s v="Spring"/>
    <x v="0"/>
    <s v="Afternoon"/>
    <s v="Mild"/>
    <s v="Medium"/>
    <s v="Off-Peak"/>
    <n v="0.14285714285714285"/>
    <s v="Normal"/>
    <n v="1"/>
  </r>
  <r>
    <n v="84"/>
    <x v="3"/>
    <n v="1"/>
    <n v="0"/>
    <n v="1"/>
    <n v="15"/>
    <b v="0"/>
    <n v="2"/>
    <n v="1"/>
    <n v="0.28000000000000003"/>
    <n v="0.2727"/>
    <n v="0.52"/>
    <n v="0.25369999999999998"/>
    <n v="17"/>
    <n v="48"/>
    <n v="65"/>
    <s v="REC-0084"/>
    <d v="2011-01-04T15:00:00"/>
    <s v="Jan"/>
    <x v="3"/>
    <x v="1"/>
    <s v="Working Day"/>
    <s v="Spring"/>
    <x v="0"/>
    <s v="Afternoon"/>
    <s v="Mild"/>
    <s v="Medium"/>
    <s v="Off-Peak"/>
    <n v="0.26153846153846155"/>
    <s v="Normal"/>
    <n v="1"/>
  </r>
  <r>
    <n v="85"/>
    <x v="3"/>
    <n v="1"/>
    <n v="0"/>
    <n v="1"/>
    <n v="16"/>
    <b v="0"/>
    <n v="2"/>
    <n v="1"/>
    <n v="0.3"/>
    <n v="0.28789999999999999"/>
    <n v="0.49"/>
    <n v="0.25369999999999998"/>
    <n v="15"/>
    <n v="68"/>
    <n v="83"/>
    <s v="REC-0085"/>
    <d v="2011-01-04T16:00:00"/>
    <s v="Jan"/>
    <x v="3"/>
    <x v="1"/>
    <s v="Working Day"/>
    <s v="Spring"/>
    <x v="0"/>
    <s v="Afternoon"/>
    <s v="Warm"/>
    <s v="Low"/>
    <s v="Peak"/>
    <n v="0.18072289156626506"/>
    <s v="High"/>
    <n v="1"/>
  </r>
  <r>
    <n v="86"/>
    <x v="3"/>
    <n v="1"/>
    <n v="0"/>
    <n v="1"/>
    <n v="17"/>
    <b v="0"/>
    <n v="2"/>
    <n v="1"/>
    <n v="0.28000000000000003"/>
    <n v="0.2727"/>
    <n v="0.48"/>
    <n v="0.22389999999999999"/>
    <n v="10"/>
    <n v="202"/>
    <n v="212"/>
    <s v="REC-0086"/>
    <d v="2011-01-04T17:00:00"/>
    <s v="Jan"/>
    <x v="3"/>
    <x v="1"/>
    <s v="Working Day"/>
    <s v="Spring"/>
    <x v="0"/>
    <s v="Evening"/>
    <s v="Mild"/>
    <s v="Low"/>
    <s v="Peak"/>
    <n v="4.716981132075472E-2"/>
    <s v="High"/>
    <n v="1"/>
  </r>
  <r>
    <n v="87"/>
    <x v="3"/>
    <n v="1"/>
    <n v="0"/>
    <n v="1"/>
    <n v="18"/>
    <b v="0"/>
    <n v="2"/>
    <n v="1"/>
    <n v="0.26"/>
    <n v="0.2576"/>
    <n v="0.48"/>
    <n v="0.19400000000000001"/>
    <n v="3"/>
    <n v="179"/>
    <n v="182"/>
    <s v="REC-0087"/>
    <d v="2011-01-04T18:00:00"/>
    <s v="Jan"/>
    <x v="3"/>
    <x v="1"/>
    <s v="Working Day"/>
    <s v="Spring"/>
    <x v="0"/>
    <s v="Evening"/>
    <s v="Mild"/>
    <s v="Low"/>
    <s v="Peak"/>
    <n v="1.6483516483516484E-2"/>
    <s v="High"/>
    <n v="1"/>
  </r>
  <r>
    <n v="88"/>
    <x v="3"/>
    <n v="1"/>
    <n v="0"/>
    <n v="1"/>
    <n v="19"/>
    <b v="0"/>
    <n v="2"/>
    <n v="1"/>
    <n v="0.24"/>
    <n v="0.2576"/>
    <n v="0.48"/>
    <n v="0.1045"/>
    <n v="2"/>
    <n v="110"/>
    <n v="112"/>
    <s v="REC-0088"/>
    <d v="2011-01-04T19:00:00"/>
    <s v="Jan"/>
    <x v="3"/>
    <x v="1"/>
    <s v="Working Day"/>
    <s v="Spring"/>
    <x v="0"/>
    <s v="Evening"/>
    <s v="Mild"/>
    <s v="Low"/>
    <s v="Peak"/>
    <n v="1.7857142857142856E-2"/>
    <s v="High"/>
    <n v="1"/>
  </r>
  <r>
    <n v="89"/>
    <x v="3"/>
    <n v="1"/>
    <n v="0"/>
    <n v="1"/>
    <n v="20"/>
    <b v="0"/>
    <n v="2"/>
    <n v="1"/>
    <n v="0.24"/>
    <n v="0.2576"/>
    <n v="0.48"/>
    <n v="0.1045"/>
    <n v="1"/>
    <n v="53"/>
    <n v="54"/>
    <s v="REC-0089"/>
    <d v="2011-01-04T20:00:00"/>
    <s v="Jan"/>
    <x v="3"/>
    <x v="1"/>
    <s v="Working Day"/>
    <s v="Spring"/>
    <x v="0"/>
    <s v="Evening"/>
    <s v="Mild"/>
    <s v="Low"/>
    <s v="Off-Peak"/>
    <n v="1.8518518518518517E-2"/>
    <s v="Normal"/>
    <n v="1"/>
  </r>
  <r>
    <n v="90"/>
    <x v="3"/>
    <n v="1"/>
    <n v="0"/>
    <n v="1"/>
    <n v="21"/>
    <b v="0"/>
    <n v="2"/>
    <n v="1"/>
    <n v="0.22"/>
    <n v="0.2727"/>
    <n v="0.64"/>
    <n v="0"/>
    <n v="0"/>
    <n v="48"/>
    <n v="48"/>
    <s v="REC-0090"/>
    <d v="2011-01-04T21:00:00"/>
    <s v="Jan"/>
    <x v="3"/>
    <x v="1"/>
    <s v="Working Day"/>
    <s v="Spring"/>
    <x v="0"/>
    <s v="Late Evening"/>
    <s v="Mild"/>
    <s v="Medium"/>
    <s v="Off-Peak"/>
    <n v="0"/>
    <s v="Normal"/>
    <n v="1"/>
  </r>
  <r>
    <n v="91"/>
    <x v="3"/>
    <n v="1"/>
    <n v="0"/>
    <n v="1"/>
    <n v="22"/>
    <b v="0"/>
    <n v="2"/>
    <n v="1"/>
    <n v="0.22"/>
    <n v="0.2576"/>
    <n v="0.64"/>
    <n v="8.9599999999999999E-2"/>
    <n v="1"/>
    <n v="34"/>
    <n v="35"/>
    <s v="REC-0091"/>
    <d v="2011-01-04T22:00:00"/>
    <s v="Jan"/>
    <x v="3"/>
    <x v="1"/>
    <s v="Working Day"/>
    <s v="Spring"/>
    <x v="0"/>
    <s v="Late Evening"/>
    <s v="Mild"/>
    <s v="Medium"/>
    <s v="Off-Peak"/>
    <n v="2.8571428571428571E-2"/>
    <s v="Normal"/>
    <n v="1"/>
  </r>
  <r>
    <n v="92"/>
    <x v="3"/>
    <n v="1"/>
    <n v="0"/>
    <n v="1"/>
    <n v="23"/>
    <b v="0"/>
    <n v="2"/>
    <n v="1"/>
    <n v="0.2"/>
    <n v="0.2273"/>
    <n v="0.69"/>
    <n v="8.9599999999999999E-2"/>
    <n v="2"/>
    <n v="9"/>
    <n v="11"/>
    <s v="REC-0092"/>
    <d v="2011-01-04T23:00:00"/>
    <s v="Jan"/>
    <x v="3"/>
    <x v="1"/>
    <s v="Working Day"/>
    <s v="Spring"/>
    <x v="0"/>
    <s v="Late Evening"/>
    <s v="Mild"/>
    <s v="Medium"/>
    <s v="Off-Peak"/>
    <n v="0.18181818181818182"/>
    <s v="Low"/>
    <n v="1"/>
  </r>
  <r>
    <n v="93"/>
    <x v="4"/>
    <n v="1"/>
    <n v="0"/>
    <n v="1"/>
    <n v="0"/>
    <b v="0"/>
    <n v="3"/>
    <n v="1"/>
    <n v="0.2"/>
    <n v="0.2576"/>
    <n v="0.64"/>
    <n v="0"/>
    <n v="0"/>
    <n v="6"/>
    <n v="6"/>
    <s v="REC-0093"/>
    <d v="2011-01-05T00:00:00"/>
    <s v="Jan"/>
    <x v="4"/>
    <x v="1"/>
    <s v="Working Day"/>
    <s v="Spring"/>
    <x v="0"/>
    <s v="Night"/>
    <s v="Mild"/>
    <s v="Medium"/>
    <s v="Off-Peak"/>
    <n v="0"/>
    <s v="Low"/>
    <n v="1"/>
  </r>
  <r>
    <n v="94"/>
    <x v="4"/>
    <n v="1"/>
    <n v="0"/>
    <n v="1"/>
    <n v="1"/>
    <b v="0"/>
    <n v="3"/>
    <n v="1"/>
    <n v="0.16"/>
    <n v="0.19700000000000001"/>
    <n v="0.74"/>
    <n v="8.9599999999999999E-2"/>
    <n v="0"/>
    <n v="6"/>
    <n v="6"/>
    <s v="REC-0094"/>
    <d v="2011-01-05T01:00:00"/>
    <s v="Jan"/>
    <x v="4"/>
    <x v="1"/>
    <s v="Working Day"/>
    <s v="Spring"/>
    <x v="0"/>
    <s v="Night"/>
    <s v="Cold"/>
    <s v="Medium"/>
    <s v="Off-Peak"/>
    <n v="0"/>
    <s v="Low"/>
    <n v="1"/>
  </r>
  <r>
    <n v="95"/>
    <x v="4"/>
    <n v="1"/>
    <n v="0"/>
    <n v="1"/>
    <n v="2"/>
    <b v="0"/>
    <n v="3"/>
    <n v="1"/>
    <n v="0.16"/>
    <n v="0.19700000000000001"/>
    <n v="0.74"/>
    <n v="8.9599999999999999E-2"/>
    <n v="0"/>
    <n v="2"/>
    <n v="2"/>
    <s v="REC-0095"/>
    <d v="2011-01-05T02:00:00"/>
    <s v="Jan"/>
    <x v="4"/>
    <x v="1"/>
    <s v="Working Day"/>
    <s v="Spring"/>
    <x v="0"/>
    <s v="Night"/>
    <s v="Cold"/>
    <s v="Medium"/>
    <s v="Off-Peak"/>
    <n v="0"/>
    <s v="Low"/>
    <n v="1"/>
  </r>
  <r>
    <n v="96"/>
    <x v="4"/>
    <n v="1"/>
    <n v="0"/>
    <n v="1"/>
    <n v="4"/>
    <b v="0"/>
    <n v="3"/>
    <n v="1"/>
    <n v="0.24"/>
    <n v="0.2273"/>
    <n v="0.48"/>
    <n v="0.22389999999999999"/>
    <n v="0"/>
    <n v="2"/>
    <n v="2"/>
    <s v="REC-0096"/>
    <d v="2011-01-05T04:00:00"/>
    <s v="Jan"/>
    <x v="4"/>
    <x v="1"/>
    <s v="Working Day"/>
    <s v="Spring"/>
    <x v="0"/>
    <s v="Night"/>
    <s v="Mild"/>
    <s v="Low"/>
    <s v="Off-Peak"/>
    <n v="0"/>
    <s v="Low"/>
    <n v="1"/>
  </r>
  <r>
    <n v="97"/>
    <x v="4"/>
    <n v="1"/>
    <n v="0"/>
    <n v="1"/>
    <n v="5"/>
    <b v="0"/>
    <n v="3"/>
    <n v="1"/>
    <n v="0.22"/>
    <n v="0.2273"/>
    <n v="0.47"/>
    <n v="0.16420000000000001"/>
    <n v="0"/>
    <n v="3"/>
    <n v="3"/>
    <s v="REC-0097"/>
    <d v="2011-01-05T05:00:00"/>
    <s v="Jan"/>
    <x v="4"/>
    <x v="1"/>
    <s v="Working Day"/>
    <s v="Spring"/>
    <x v="0"/>
    <s v="Night"/>
    <s v="Mild"/>
    <s v="Low"/>
    <s v="Off-Peak"/>
    <n v="0"/>
    <s v="Low"/>
    <n v="1"/>
  </r>
  <r>
    <n v="98"/>
    <x v="4"/>
    <n v="1"/>
    <n v="0"/>
    <n v="1"/>
    <n v="6"/>
    <b v="0"/>
    <n v="3"/>
    <n v="1"/>
    <n v="0.2"/>
    <n v="0.19700000000000001"/>
    <n v="0.47"/>
    <n v="0.22389999999999999"/>
    <n v="0"/>
    <n v="33"/>
    <n v="33"/>
    <s v="REC-0098"/>
    <d v="2011-01-05T06:00:00"/>
    <s v="Jan"/>
    <x v="4"/>
    <x v="1"/>
    <s v="Working Day"/>
    <s v="Spring"/>
    <x v="0"/>
    <s v="Morning"/>
    <s v="Mild"/>
    <s v="Low"/>
    <s v="Off-Peak"/>
    <n v="0"/>
    <s v="Normal"/>
    <n v="1"/>
  </r>
  <r>
    <n v="99"/>
    <x v="4"/>
    <n v="1"/>
    <n v="0"/>
    <n v="1"/>
    <n v="7"/>
    <b v="0"/>
    <n v="3"/>
    <n v="1"/>
    <n v="0.18"/>
    <n v="0.18179999999999999"/>
    <n v="0.43"/>
    <n v="0.19400000000000001"/>
    <n v="1"/>
    <n v="87"/>
    <n v="88"/>
    <s v="REC-0099"/>
    <d v="2011-01-05T07:00:00"/>
    <s v="Jan"/>
    <x v="4"/>
    <x v="1"/>
    <s v="Working Day"/>
    <s v="Spring"/>
    <x v="0"/>
    <s v="Morning"/>
    <s v="Cold"/>
    <s v="Low"/>
    <s v="Peak"/>
    <n v="1.1363636363636364E-2"/>
    <s v="High"/>
    <n v="1"/>
  </r>
  <r>
    <n v="100"/>
    <x v="4"/>
    <n v="1"/>
    <n v="0"/>
    <n v="1"/>
    <n v="8"/>
    <b v="0"/>
    <n v="3"/>
    <n v="1"/>
    <n v="0.2"/>
    <n v="0.18179999999999999"/>
    <n v="0.4"/>
    <n v="0.29849999999999999"/>
    <n v="3"/>
    <n v="192"/>
    <n v="195"/>
    <s v="REC-0100"/>
    <d v="2011-01-05T08:00:00"/>
    <s v="Jan"/>
    <x v="4"/>
    <x v="1"/>
    <s v="Working Day"/>
    <s v="Spring"/>
    <x v="0"/>
    <s v="Morning"/>
    <s v="Mild"/>
    <s v="Low"/>
    <s v="Peak"/>
    <n v="1.5384615384615385E-2"/>
    <s v="High"/>
    <n v="1"/>
  </r>
  <r>
    <n v="101"/>
    <x v="4"/>
    <n v="1"/>
    <n v="0"/>
    <n v="1"/>
    <n v="9"/>
    <b v="0"/>
    <n v="3"/>
    <n v="1"/>
    <n v="0.22"/>
    <n v="0.19700000000000001"/>
    <n v="0.37"/>
    <n v="0.32840000000000003"/>
    <n v="6"/>
    <n v="109"/>
    <n v="115"/>
    <s v="REC-0101"/>
    <d v="2011-01-05T09:00:00"/>
    <s v="Jan"/>
    <x v="4"/>
    <x v="1"/>
    <s v="Working Day"/>
    <s v="Spring"/>
    <x v="0"/>
    <s v="Morning"/>
    <s v="Mild"/>
    <s v="Low"/>
    <s v="Peak"/>
    <n v="5.2173913043478258E-2"/>
    <s v="High"/>
    <n v="1"/>
  </r>
  <r>
    <n v="102"/>
    <x v="4"/>
    <n v="1"/>
    <n v="0"/>
    <n v="1"/>
    <n v="10"/>
    <b v="0"/>
    <n v="3"/>
    <n v="1"/>
    <n v="0.22"/>
    <n v="0.19700000000000001"/>
    <n v="0.37"/>
    <n v="0.32840000000000003"/>
    <n v="4"/>
    <n v="53"/>
    <n v="57"/>
    <s v="REC-0102"/>
    <d v="2011-01-05T10:00:00"/>
    <s v="Jan"/>
    <x v="4"/>
    <x v="1"/>
    <s v="Working Day"/>
    <s v="Spring"/>
    <x v="0"/>
    <s v="Morning"/>
    <s v="Mild"/>
    <s v="Low"/>
    <s v="Off-Peak"/>
    <n v="7.0175438596491224E-2"/>
    <s v="Normal"/>
    <n v="1"/>
  </r>
  <r>
    <n v="103"/>
    <x v="4"/>
    <n v="1"/>
    <n v="0"/>
    <n v="1"/>
    <n v="11"/>
    <b v="0"/>
    <n v="3"/>
    <n v="1"/>
    <n v="0.26"/>
    <n v="0.2273"/>
    <n v="0.33"/>
    <n v="0.32840000000000003"/>
    <n v="12"/>
    <n v="34"/>
    <n v="46"/>
    <s v="REC-0103"/>
    <d v="2011-01-05T11:00:00"/>
    <s v="Jan"/>
    <x v="4"/>
    <x v="1"/>
    <s v="Working Day"/>
    <s v="Spring"/>
    <x v="0"/>
    <s v="Morning"/>
    <s v="Mild"/>
    <s v="Low"/>
    <s v="Off-Peak"/>
    <n v="0.2608695652173913"/>
    <s v="Normal"/>
    <n v="1"/>
  </r>
  <r>
    <n v="104"/>
    <x v="4"/>
    <n v="1"/>
    <n v="0"/>
    <n v="1"/>
    <n v="12"/>
    <b v="0"/>
    <n v="3"/>
    <n v="1"/>
    <n v="0.26"/>
    <n v="0.2273"/>
    <n v="0.33"/>
    <n v="0.32840000000000003"/>
    <n v="5"/>
    <n v="74"/>
    <n v="79"/>
    <s v="REC-0104"/>
    <d v="2011-01-05T12:00:00"/>
    <s v="Jan"/>
    <x v="4"/>
    <x v="1"/>
    <s v="Working Day"/>
    <s v="Spring"/>
    <x v="0"/>
    <s v="Afternoon"/>
    <s v="Mild"/>
    <s v="Low"/>
    <s v="Off-Peak"/>
    <n v="6.3291139240506333E-2"/>
    <s v="Normal"/>
    <n v="1"/>
  </r>
  <r>
    <n v="105"/>
    <x v="4"/>
    <n v="1"/>
    <n v="0"/>
    <n v="1"/>
    <n v="13"/>
    <b v="0"/>
    <n v="3"/>
    <n v="1"/>
    <n v="0.28000000000000003"/>
    <n v="0.2576"/>
    <n v="0.3"/>
    <n v="0.29849999999999999"/>
    <n v="6"/>
    <n v="65"/>
    <n v="71"/>
    <s v="REC-0105"/>
    <d v="2011-01-05T13:00:00"/>
    <s v="Jan"/>
    <x v="4"/>
    <x v="1"/>
    <s v="Working Day"/>
    <s v="Spring"/>
    <x v="0"/>
    <s v="Afternoon"/>
    <s v="Mild"/>
    <s v="Low"/>
    <s v="Off-Peak"/>
    <n v="8.4507042253521125E-2"/>
    <s v="Normal"/>
    <n v="1"/>
  </r>
  <r>
    <n v="106"/>
    <x v="4"/>
    <n v="1"/>
    <n v="0"/>
    <n v="1"/>
    <n v="14"/>
    <b v="0"/>
    <n v="3"/>
    <n v="1"/>
    <n v="0.3"/>
    <n v="0.28789999999999999"/>
    <n v="0.28000000000000003"/>
    <n v="0.19400000000000001"/>
    <n v="10"/>
    <n v="52"/>
    <n v="62"/>
    <s v="REC-0106"/>
    <d v="2011-01-05T14:00:00"/>
    <s v="Jan"/>
    <x v="4"/>
    <x v="1"/>
    <s v="Working Day"/>
    <s v="Spring"/>
    <x v="0"/>
    <s v="Afternoon"/>
    <s v="Warm"/>
    <s v="Low"/>
    <s v="Off-Peak"/>
    <n v="0.16129032258064516"/>
    <s v="Normal"/>
    <n v="1"/>
  </r>
  <r>
    <n v="107"/>
    <x v="4"/>
    <n v="1"/>
    <n v="0"/>
    <n v="1"/>
    <n v="15"/>
    <b v="0"/>
    <n v="3"/>
    <n v="1"/>
    <n v="0.3"/>
    <n v="0.28789999999999999"/>
    <n v="0.28000000000000003"/>
    <n v="0.19400000000000001"/>
    <n v="7"/>
    <n v="55"/>
    <n v="62"/>
    <s v="REC-0107"/>
    <d v="2011-01-05T15:00:00"/>
    <s v="Jan"/>
    <x v="4"/>
    <x v="1"/>
    <s v="Working Day"/>
    <s v="Spring"/>
    <x v="0"/>
    <s v="Afternoon"/>
    <s v="Warm"/>
    <s v="Low"/>
    <s v="Off-Peak"/>
    <n v="0.11290322580645161"/>
    <s v="Normal"/>
    <n v="1"/>
  </r>
  <r>
    <n v="108"/>
    <x v="4"/>
    <n v="1"/>
    <n v="0"/>
    <n v="1"/>
    <n v="16"/>
    <b v="0"/>
    <n v="3"/>
    <n v="1"/>
    <n v="0.3"/>
    <n v="0.31819999999999998"/>
    <n v="0.28000000000000003"/>
    <n v="8.9599999999999999E-2"/>
    <n v="4"/>
    <n v="85"/>
    <n v="89"/>
    <s v="REC-0108"/>
    <d v="2011-01-05T16:00:00"/>
    <s v="Jan"/>
    <x v="4"/>
    <x v="1"/>
    <s v="Working Day"/>
    <s v="Spring"/>
    <x v="0"/>
    <s v="Afternoon"/>
    <s v="Warm"/>
    <s v="Low"/>
    <s v="Peak"/>
    <n v="4.49438202247191E-2"/>
    <s v="High"/>
    <n v="1"/>
  </r>
  <r>
    <n v="109"/>
    <x v="4"/>
    <n v="1"/>
    <n v="0"/>
    <n v="1"/>
    <n v="17"/>
    <b v="0"/>
    <n v="3"/>
    <n v="1"/>
    <n v="0.24"/>
    <n v="0.2273"/>
    <n v="0.38"/>
    <n v="0.19400000000000001"/>
    <n v="4"/>
    <n v="186"/>
    <n v="190"/>
    <s v="REC-0109"/>
    <d v="2011-01-05T17:00:00"/>
    <s v="Jan"/>
    <x v="4"/>
    <x v="1"/>
    <s v="Working Day"/>
    <s v="Spring"/>
    <x v="0"/>
    <s v="Evening"/>
    <s v="Mild"/>
    <s v="Low"/>
    <s v="Peak"/>
    <n v="2.1052631578947368E-2"/>
    <s v="High"/>
    <n v="1"/>
  </r>
  <r>
    <n v="110"/>
    <x v="4"/>
    <n v="1"/>
    <n v="0"/>
    <n v="1"/>
    <n v="18"/>
    <b v="0"/>
    <n v="3"/>
    <n v="1"/>
    <n v="0.24"/>
    <n v="0.2424"/>
    <n v="0.38"/>
    <n v="0.1343"/>
    <n v="3"/>
    <n v="166"/>
    <n v="169"/>
    <s v="REC-0110"/>
    <d v="2011-01-05T18:00:00"/>
    <s v="Jan"/>
    <x v="4"/>
    <x v="1"/>
    <s v="Working Day"/>
    <s v="Spring"/>
    <x v="0"/>
    <s v="Evening"/>
    <s v="Mild"/>
    <s v="Low"/>
    <s v="Peak"/>
    <n v="1.7751479289940829E-2"/>
    <s v="High"/>
    <n v="1"/>
  </r>
  <r>
    <n v="111"/>
    <x v="4"/>
    <n v="1"/>
    <n v="0"/>
    <n v="1"/>
    <n v="19"/>
    <b v="0"/>
    <n v="3"/>
    <n v="1"/>
    <n v="0.24"/>
    <n v="0.2576"/>
    <n v="0.38"/>
    <n v="0.1045"/>
    <n v="5"/>
    <n v="127"/>
    <n v="132"/>
    <s v="REC-0111"/>
    <d v="2011-01-05T19:00:00"/>
    <s v="Jan"/>
    <x v="4"/>
    <x v="1"/>
    <s v="Working Day"/>
    <s v="Spring"/>
    <x v="0"/>
    <s v="Evening"/>
    <s v="Mild"/>
    <s v="Low"/>
    <s v="Peak"/>
    <n v="3.787878787878788E-2"/>
    <s v="High"/>
    <n v="1"/>
  </r>
  <r>
    <n v="112"/>
    <x v="4"/>
    <n v="1"/>
    <n v="0"/>
    <n v="1"/>
    <n v="20"/>
    <b v="0"/>
    <n v="3"/>
    <n v="1"/>
    <n v="0.22"/>
    <n v="0.2273"/>
    <n v="0.47"/>
    <n v="0.16420000000000001"/>
    <n v="7"/>
    <n v="82"/>
    <n v="89"/>
    <s v="REC-0112"/>
    <d v="2011-01-05T20:00:00"/>
    <s v="Jan"/>
    <x v="4"/>
    <x v="1"/>
    <s v="Working Day"/>
    <s v="Spring"/>
    <x v="0"/>
    <s v="Evening"/>
    <s v="Mild"/>
    <s v="Low"/>
    <s v="Off-Peak"/>
    <n v="7.8651685393258425E-2"/>
    <s v="High"/>
    <n v="1"/>
  </r>
  <r>
    <n v="113"/>
    <x v="4"/>
    <n v="1"/>
    <n v="0"/>
    <n v="1"/>
    <n v="21"/>
    <b v="0"/>
    <n v="3"/>
    <n v="1"/>
    <n v="0.2"/>
    <n v="0.19700000000000001"/>
    <n v="0.51"/>
    <n v="0.19400000000000001"/>
    <n v="3"/>
    <n v="40"/>
    <n v="43"/>
    <s v="REC-0113"/>
    <d v="2011-01-05T21:00:00"/>
    <s v="Jan"/>
    <x v="4"/>
    <x v="1"/>
    <s v="Working Day"/>
    <s v="Spring"/>
    <x v="0"/>
    <s v="Late Evening"/>
    <s v="Mild"/>
    <s v="Medium"/>
    <s v="Off-Peak"/>
    <n v="6.9767441860465115E-2"/>
    <s v="Normal"/>
    <n v="1"/>
  </r>
  <r>
    <n v="114"/>
    <x v="4"/>
    <n v="1"/>
    <n v="0"/>
    <n v="1"/>
    <n v="22"/>
    <b v="0"/>
    <n v="3"/>
    <n v="1"/>
    <n v="0.18"/>
    <n v="0.19700000000000001"/>
    <n v="0.55000000000000004"/>
    <n v="0.1343"/>
    <n v="1"/>
    <n v="41"/>
    <n v="42"/>
    <s v="REC-0114"/>
    <d v="2011-01-05T22:00:00"/>
    <s v="Jan"/>
    <x v="4"/>
    <x v="1"/>
    <s v="Working Day"/>
    <s v="Spring"/>
    <x v="0"/>
    <s v="Late Evening"/>
    <s v="Cold"/>
    <s v="Medium"/>
    <s v="Off-Peak"/>
    <n v="2.3809523809523808E-2"/>
    <s v="Normal"/>
    <n v="1"/>
  </r>
  <r>
    <n v="115"/>
    <x v="4"/>
    <n v="1"/>
    <n v="0"/>
    <n v="1"/>
    <n v="23"/>
    <b v="0"/>
    <n v="3"/>
    <n v="1"/>
    <n v="0.2"/>
    <n v="0.2576"/>
    <n v="0.47"/>
    <n v="0"/>
    <n v="1"/>
    <n v="18"/>
    <n v="19"/>
    <s v="REC-0115"/>
    <d v="2011-01-05T23:00:00"/>
    <s v="Jan"/>
    <x v="4"/>
    <x v="1"/>
    <s v="Working Day"/>
    <s v="Spring"/>
    <x v="0"/>
    <s v="Late Evening"/>
    <s v="Mild"/>
    <s v="Low"/>
    <s v="Off-Peak"/>
    <n v="5.2631578947368418E-2"/>
    <s v="Normal"/>
    <n v="1"/>
  </r>
  <r>
    <n v="116"/>
    <x v="5"/>
    <n v="1"/>
    <n v="0"/>
    <n v="1"/>
    <n v="0"/>
    <b v="0"/>
    <n v="4"/>
    <n v="1"/>
    <n v="0.18"/>
    <n v="0.2424"/>
    <n v="0.55000000000000004"/>
    <n v="0"/>
    <n v="0"/>
    <n v="11"/>
    <n v="11"/>
    <s v="REC-0116"/>
    <d v="2011-01-06T00:00:00"/>
    <s v="Jan"/>
    <x v="5"/>
    <x v="1"/>
    <s v="Working Day"/>
    <s v="Spring"/>
    <x v="0"/>
    <s v="Night"/>
    <s v="Cold"/>
    <s v="Medium"/>
    <s v="Off-Peak"/>
    <n v="0"/>
    <s v="Low"/>
    <n v="1"/>
  </r>
  <r>
    <n v="117"/>
    <x v="5"/>
    <n v="1"/>
    <n v="0"/>
    <n v="1"/>
    <n v="1"/>
    <b v="0"/>
    <n v="4"/>
    <n v="1"/>
    <n v="0.16"/>
    <n v="0.2273"/>
    <n v="0.64"/>
    <n v="0"/>
    <n v="0"/>
    <n v="4"/>
    <n v="4"/>
    <s v="REC-0117"/>
    <d v="2011-01-06T01:00:00"/>
    <s v="Jan"/>
    <x v="5"/>
    <x v="1"/>
    <s v="Working Day"/>
    <s v="Spring"/>
    <x v="0"/>
    <s v="Night"/>
    <s v="Cold"/>
    <s v="Medium"/>
    <s v="Off-Peak"/>
    <n v="0"/>
    <s v="Low"/>
    <n v="1"/>
  </r>
  <r>
    <n v="118"/>
    <x v="5"/>
    <n v="1"/>
    <n v="0"/>
    <n v="1"/>
    <n v="2"/>
    <b v="0"/>
    <n v="4"/>
    <n v="1"/>
    <n v="0.16"/>
    <n v="0.2273"/>
    <n v="0.64"/>
    <n v="0"/>
    <n v="0"/>
    <n v="2"/>
    <n v="2"/>
    <s v="REC-0118"/>
    <d v="2011-01-06T02:00:00"/>
    <s v="Jan"/>
    <x v="5"/>
    <x v="1"/>
    <s v="Working Day"/>
    <s v="Spring"/>
    <x v="0"/>
    <s v="Night"/>
    <s v="Cold"/>
    <s v="Medium"/>
    <s v="Off-Peak"/>
    <n v="0"/>
    <s v="Low"/>
    <n v="1"/>
  </r>
  <r>
    <n v="119"/>
    <x v="5"/>
    <n v="1"/>
    <n v="0"/>
    <n v="1"/>
    <n v="4"/>
    <b v="0"/>
    <n v="4"/>
    <n v="2"/>
    <n v="0.16"/>
    <n v="0.19700000000000001"/>
    <n v="0.64"/>
    <n v="8.9599999999999999E-2"/>
    <n v="0"/>
    <n v="1"/>
    <n v="1"/>
    <s v="REC-0119"/>
    <d v="2011-01-06T04:00:00"/>
    <s v="Jan"/>
    <x v="5"/>
    <x v="1"/>
    <s v="Working Day"/>
    <s v="Spring"/>
    <x v="1"/>
    <s v="Night"/>
    <s v="Cold"/>
    <s v="Medium"/>
    <s v="Off-Peak"/>
    <n v="0"/>
    <s v="Low"/>
    <n v="1"/>
  </r>
  <r>
    <n v="120"/>
    <x v="5"/>
    <n v="1"/>
    <n v="0"/>
    <n v="1"/>
    <n v="5"/>
    <b v="0"/>
    <n v="4"/>
    <n v="2"/>
    <n v="0.14000000000000001"/>
    <n v="0.18179999999999999"/>
    <n v="0.69"/>
    <n v="8.9599999999999999E-2"/>
    <n v="0"/>
    <n v="4"/>
    <n v="4"/>
    <s v="REC-0120"/>
    <d v="2011-01-06T05:00:00"/>
    <s v="Jan"/>
    <x v="5"/>
    <x v="1"/>
    <s v="Working Day"/>
    <s v="Spring"/>
    <x v="1"/>
    <s v="Night"/>
    <s v="Cold"/>
    <s v="Medium"/>
    <s v="Off-Peak"/>
    <n v="0"/>
    <s v="Low"/>
    <n v="1"/>
  </r>
  <r>
    <n v="121"/>
    <x v="5"/>
    <n v="1"/>
    <n v="0"/>
    <n v="1"/>
    <n v="6"/>
    <b v="0"/>
    <n v="4"/>
    <n v="2"/>
    <n v="0.14000000000000001"/>
    <n v="0.16669999999999999"/>
    <n v="0.63"/>
    <n v="0.1045"/>
    <n v="0"/>
    <n v="36"/>
    <n v="36"/>
    <s v="REC-0121"/>
    <d v="2011-01-06T06:00:00"/>
    <s v="Jan"/>
    <x v="5"/>
    <x v="1"/>
    <s v="Working Day"/>
    <s v="Spring"/>
    <x v="1"/>
    <s v="Morning"/>
    <s v="Cold"/>
    <s v="Medium"/>
    <s v="Off-Peak"/>
    <n v="0"/>
    <s v="Normal"/>
    <n v="1"/>
  </r>
  <r>
    <n v="122"/>
    <x v="5"/>
    <n v="1"/>
    <n v="0"/>
    <n v="1"/>
    <n v="7"/>
    <b v="0"/>
    <n v="4"/>
    <n v="2"/>
    <n v="0.16"/>
    <n v="0.2273"/>
    <n v="0.59"/>
    <n v="0"/>
    <n v="0"/>
    <n v="95"/>
    <n v="95"/>
    <s v="REC-0122"/>
    <d v="2011-01-06T07:00:00"/>
    <s v="Jan"/>
    <x v="5"/>
    <x v="1"/>
    <s v="Working Day"/>
    <s v="Spring"/>
    <x v="1"/>
    <s v="Morning"/>
    <s v="Cold"/>
    <s v="Medium"/>
    <s v="Peak"/>
    <n v="0"/>
    <s v="High"/>
    <n v="1"/>
  </r>
  <r>
    <n v="123"/>
    <x v="5"/>
    <n v="1"/>
    <n v="0"/>
    <n v="1"/>
    <n v="8"/>
    <b v="0"/>
    <n v="4"/>
    <n v="1"/>
    <n v="0.16"/>
    <n v="0.2273"/>
    <n v="0.59"/>
    <n v="0"/>
    <n v="3"/>
    <n v="216"/>
    <n v="219"/>
    <s v="REC-0123"/>
    <d v="2011-01-06T08:00:00"/>
    <s v="Jan"/>
    <x v="5"/>
    <x v="1"/>
    <s v="Working Day"/>
    <s v="Spring"/>
    <x v="0"/>
    <s v="Morning"/>
    <s v="Cold"/>
    <s v="Medium"/>
    <s v="Peak"/>
    <n v="1.3698630136986301E-2"/>
    <s v="High"/>
    <n v="1"/>
  </r>
  <r>
    <n v="124"/>
    <x v="5"/>
    <n v="1"/>
    <n v="0"/>
    <n v="1"/>
    <n v="9"/>
    <b v="0"/>
    <n v="4"/>
    <n v="2"/>
    <n v="0.18"/>
    <n v="0.2424"/>
    <n v="0.51"/>
    <n v="0"/>
    <n v="6"/>
    <n v="116"/>
    <n v="122"/>
    <s v="REC-0124"/>
    <d v="2011-01-06T09:00:00"/>
    <s v="Jan"/>
    <x v="5"/>
    <x v="1"/>
    <s v="Working Day"/>
    <s v="Spring"/>
    <x v="1"/>
    <s v="Morning"/>
    <s v="Cold"/>
    <s v="Medium"/>
    <s v="Peak"/>
    <n v="4.9180327868852458E-2"/>
    <s v="High"/>
    <n v="1"/>
  </r>
  <r>
    <n v="125"/>
    <x v="5"/>
    <n v="1"/>
    <n v="0"/>
    <n v="1"/>
    <n v="10"/>
    <b v="0"/>
    <n v="4"/>
    <n v="1"/>
    <n v="0.2"/>
    <n v="0.2576"/>
    <n v="0.47"/>
    <n v="0"/>
    <n v="3"/>
    <n v="42"/>
    <n v="45"/>
    <s v="REC-0125"/>
    <d v="2011-01-06T10:00:00"/>
    <s v="Jan"/>
    <x v="5"/>
    <x v="1"/>
    <s v="Working Day"/>
    <s v="Spring"/>
    <x v="0"/>
    <s v="Morning"/>
    <s v="Mild"/>
    <s v="Low"/>
    <s v="Off-Peak"/>
    <n v="6.6666666666666666E-2"/>
    <s v="Normal"/>
    <n v="1"/>
  </r>
  <r>
    <n v="126"/>
    <x v="5"/>
    <n v="1"/>
    <n v="0"/>
    <n v="1"/>
    <n v="11"/>
    <b v="0"/>
    <n v="4"/>
    <n v="1"/>
    <n v="0.22"/>
    <n v="0.2576"/>
    <n v="0.44"/>
    <n v="8.9599999999999999E-2"/>
    <n v="2"/>
    <n v="57"/>
    <n v="59"/>
    <s v="REC-0126"/>
    <d v="2011-01-06T11:00:00"/>
    <s v="Jan"/>
    <x v="5"/>
    <x v="1"/>
    <s v="Working Day"/>
    <s v="Spring"/>
    <x v="0"/>
    <s v="Morning"/>
    <s v="Mild"/>
    <s v="Low"/>
    <s v="Off-Peak"/>
    <n v="3.3898305084745763E-2"/>
    <s v="Normal"/>
    <n v="1"/>
  </r>
  <r>
    <n v="127"/>
    <x v="5"/>
    <n v="1"/>
    <n v="0"/>
    <n v="1"/>
    <n v="12"/>
    <b v="0"/>
    <n v="4"/>
    <n v="1"/>
    <n v="0.26"/>
    <n v="0.28789999999999999"/>
    <n v="0.35"/>
    <n v="0"/>
    <n v="6"/>
    <n v="78"/>
    <n v="84"/>
    <s v="REC-0127"/>
    <d v="2011-01-06T12:00:00"/>
    <s v="Jan"/>
    <x v="5"/>
    <x v="1"/>
    <s v="Working Day"/>
    <s v="Spring"/>
    <x v="0"/>
    <s v="Afternoon"/>
    <s v="Mild"/>
    <s v="Low"/>
    <s v="Off-Peak"/>
    <n v="7.1428571428571425E-2"/>
    <s v="High"/>
    <n v="1"/>
  </r>
  <r>
    <n v="128"/>
    <x v="5"/>
    <n v="1"/>
    <n v="0"/>
    <n v="1"/>
    <n v="13"/>
    <b v="0"/>
    <n v="4"/>
    <n v="1"/>
    <n v="0.26"/>
    <n v="0.2727"/>
    <n v="0.35"/>
    <n v="0.1045"/>
    <n v="12"/>
    <n v="55"/>
    <n v="67"/>
    <s v="REC-0128"/>
    <d v="2011-01-06T13:00:00"/>
    <s v="Jan"/>
    <x v="5"/>
    <x v="1"/>
    <s v="Working Day"/>
    <s v="Spring"/>
    <x v="0"/>
    <s v="Afternoon"/>
    <s v="Mild"/>
    <s v="Low"/>
    <s v="Off-Peak"/>
    <n v="0.17910447761194029"/>
    <s v="Normal"/>
    <n v="1"/>
  </r>
  <r>
    <n v="129"/>
    <x v="5"/>
    <n v="1"/>
    <n v="0"/>
    <n v="1"/>
    <n v="14"/>
    <b v="0"/>
    <n v="4"/>
    <n v="1"/>
    <n v="0.28000000000000003"/>
    <n v="0.2727"/>
    <n v="0.36"/>
    <n v="0.16420000000000001"/>
    <n v="11"/>
    <n v="59"/>
    <n v="70"/>
    <s v="REC-0129"/>
    <d v="2011-01-06T14:00:00"/>
    <s v="Jan"/>
    <x v="5"/>
    <x v="1"/>
    <s v="Working Day"/>
    <s v="Spring"/>
    <x v="0"/>
    <s v="Afternoon"/>
    <s v="Mild"/>
    <s v="Low"/>
    <s v="Off-Peak"/>
    <n v="0.15714285714285714"/>
    <s v="Normal"/>
    <n v="1"/>
  </r>
  <r>
    <n v="130"/>
    <x v="5"/>
    <n v="1"/>
    <n v="0"/>
    <n v="1"/>
    <n v="15"/>
    <b v="0"/>
    <n v="4"/>
    <n v="1"/>
    <n v="0.28000000000000003"/>
    <n v="0.2727"/>
    <n v="0.36"/>
    <n v="0"/>
    <n v="8"/>
    <n v="54"/>
    <n v="62"/>
    <s v="REC-0130"/>
    <d v="2011-01-06T15:00:00"/>
    <s v="Jan"/>
    <x v="5"/>
    <x v="1"/>
    <s v="Working Day"/>
    <s v="Spring"/>
    <x v="0"/>
    <s v="Afternoon"/>
    <s v="Mild"/>
    <s v="Low"/>
    <s v="Off-Peak"/>
    <n v="0.12903225806451613"/>
    <s v="Normal"/>
    <n v="1"/>
  </r>
  <r>
    <n v="131"/>
    <x v="5"/>
    <n v="1"/>
    <n v="0"/>
    <n v="1"/>
    <n v="16"/>
    <b v="0"/>
    <n v="4"/>
    <n v="1"/>
    <n v="0.26"/>
    <n v="0.2576"/>
    <n v="0.38"/>
    <n v="0.16420000000000001"/>
    <n v="12"/>
    <n v="74"/>
    <n v="86"/>
    <s v="REC-0131"/>
    <d v="2011-01-06T16:00:00"/>
    <s v="Jan"/>
    <x v="5"/>
    <x v="1"/>
    <s v="Working Day"/>
    <s v="Spring"/>
    <x v="0"/>
    <s v="Afternoon"/>
    <s v="Mild"/>
    <s v="Low"/>
    <s v="Peak"/>
    <n v="0.13953488372093023"/>
    <s v="High"/>
    <n v="1"/>
  </r>
  <r>
    <n v="132"/>
    <x v="5"/>
    <n v="1"/>
    <n v="0"/>
    <n v="1"/>
    <n v="17"/>
    <b v="0"/>
    <n v="4"/>
    <n v="1"/>
    <n v="0.22"/>
    <n v="0.2273"/>
    <n v="0.51"/>
    <n v="0.16420000000000001"/>
    <n v="9"/>
    <n v="163"/>
    <n v="172"/>
    <s v="REC-0132"/>
    <d v="2011-01-06T17:00:00"/>
    <s v="Jan"/>
    <x v="5"/>
    <x v="1"/>
    <s v="Working Day"/>
    <s v="Spring"/>
    <x v="0"/>
    <s v="Evening"/>
    <s v="Mild"/>
    <s v="Medium"/>
    <s v="Peak"/>
    <n v="5.232558139534884E-2"/>
    <s v="High"/>
    <n v="1"/>
  </r>
  <r>
    <n v="133"/>
    <x v="5"/>
    <n v="1"/>
    <n v="0"/>
    <n v="1"/>
    <n v="18"/>
    <b v="0"/>
    <n v="4"/>
    <n v="1"/>
    <n v="0.22"/>
    <n v="0.2273"/>
    <n v="0.51"/>
    <n v="0.1343"/>
    <n v="5"/>
    <n v="158"/>
    <n v="163"/>
    <s v="REC-0133"/>
    <d v="2011-01-06T18:00:00"/>
    <s v="Jan"/>
    <x v="5"/>
    <x v="1"/>
    <s v="Working Day"/>
    <s v="Spring"/>
    <x v="0"/>
    <s v="Evening"/>
    <s v="Mild"/>
    <s v="Medium"/>
    <s v="Peak"/>
    <n v="3.0674846625766871E-2"/>
    <s v="High"/>
    <n v="1"/>
  </r>
  <r>
    <n v="134"/>
    <x v="5"/>
    <n v="1"/>
    <n v="0"/>
    <n v="1"/>
    <n v="19"/>
    <b v="0"/>
    <n v="4"/>
    <n v="1"/>
    <n v="0.22"/>
    <n v="0.2576"/>
    <n v="0.55000000000000004"/>
    <n v="8.9599999999999999E-2"/>
    <n v="3"/>
    <n v="109"/>
    <n v="112"/>
    <s v="REC-0134"/>
    <d v="2011-01-06T19:00:00"/>
    <s v="Jan"/>
    <x v="5"/>
    <x v="1"/>
    <s v="Working Day"/>
    <s v="Spring"/>
    <x v="0"/>
    <s v="Evening"/>
    <s v="Mild"/>
    <s v="Medium"/>
    <s v="Peak"/>
    <n v="2.6785714285714284E-2"/>
    <s v="High"/>
    <n v="1"/>
  </r>
  <r>
    <n v="135"/>
    <x v="5"/>
    <n v="1"/>
    <n v="0"/>
    <n v="1"/>
    <n v="20"/>
    <b v="0"/>
    <n v="4"/>
    <n v="1"/>
    <n v="0.2"/>
    <n v="0.21210000000000001"/>
    <n v="0.51"/>
    <n v="0.16420000000000001"/>
    <n v="3"/>
    <n v="66"/>
    <n v="69"/>
    <s v="REC-0135"/>
    <d v="2011-01-06T20:00:00"/>
    <s v="Jan"/>
    <x v="5"/>
    <x v="1"/>
    <s v="Working Day"/>
    <s v="Spring"/>
    <x v="0"/>
    <s v="Evening"/>
    <s v="Mild"/>
    <s v="Medium"/>
    <s v="Off-Peak"/>
    <n v="4.3478260869565216E-2"/>
    <s v="Normal"/>
    <n v="1"/>
  </r>
  <r>
    <n v="136"/>
    <x v="5"/>
    <n v="1"/>
    <n v="0"/>
    <n v="1"/>
    <n v="21"/>
    <b v="0"/>
    <n v="4"/>
    <n v="2"/>
    <n v="0.22"/>
    <n v="0.21210000000000001"/>
    <n v="0.55000000000000004"/>
    <n v="0.22389999999999999"/>
    <n v="0"/>
    <n v="48"/>
    <n v="48"/>
    <s v="REC-0136"/>
    <d v="2011-01-06T21:00:00"/>
    <s v="Jan"/>
    <x v="5"/>
    <x v="1"/>
    <s v="Working Day"/>
    <s v="Spring"/>
    <x v="1"/>
    <s v="Late Evening"/>
    <s v="Mild"/>
    <s v="Medium"/>
    <s v="Off-Peak"/>
    <n v="0"/>
    <s v="Normal"/>
    <n v="1"/>
  </r>
  <r>
    <n v="137"/>
    <x v="5"/>
    <n v="1"/>
    <n v="0"/>
    <n v="1"/>
    <n v="22"/>
    <b v="0"/>
    <n v="4"/>
    <n v="2"/>
    <n v="0.22"/>
    <n v="0.21210000000000001"/>
    <n v="0.51"/>
    <n v="0.28360000000000002"/>
    <n v="1"/>
    <n v="51"/>
    <n v="52"/>
    <s v="REC-0137"/>
    <d v="2011-01-06T22:00:00"/>
    <s v="Jan"/>
    <x v="5"/>
    <x v="1"/>
    <s v="Working Day"/>
    <s v="Spring"/>
    <x v="1"/>
    <s v="Late Evening"/>
    <s v="Mild"/>
    <s v="Medium"/>
    <s v="Off-Peak"/>
    <n v="1.9230769230769232E-2"/>
    <s v="Normal"/>
    <n v="1"/>
  </r>
  <r>
    <n v="138"/>
    <x v="5"/>
    <n v="1"/>
    <n v="0"/>
    <n v="1"/>
    <n v="23"/>
    <b v="0"/>
    <n v="4"/>
    <n v="2"/>
    <n v="0.2"/>
    <n v="0.19700000000000001"/>
    <n v="0.59"/>
    <n v="0.19400000000000001"/>
    <n v="4"/>
    <n v="19"/>
    <n v="23"/>
    <s v="REC-0138"/>
    <d v="2011-01-06T23:00:00"/>
    <s v="Jan"/>
    <x v="5"/>
    <x v="1"/>
    <s v="Working Day"/>
    <s v="Spring"/>
    <x v="1"/>
    <s v="Late Evening"/>
    <s v="Mild"/>
    <s v="Medium"/>
    <s v="Off-Peak"/>
    <n v="0.17391304347826086"/>
    <s v="Normal"/>
    <n v="1"/>
  </r>
  <r>
    <n v="139"/>
    <x v="6"/>
    <n v="1"/>
    <n v="0"/>
    <n v="1"/>
    <n v="0"/>
    <b v="0"/>
    <n v="5"/>
    <n v="2"/>
    <n v="0.2"/>
    <n v="0.19700000000000001"/>
    <n v="0.64"/>
    <n v="0.19400000000000001"/>
    <n v="4"/>
    <n v="13"/>
    <n v="17"/>
    <s v="REC-0139"/>
    <d v="2011-01-07T00:00:00"/>
    <s v="Jan"/>
    <x v="6"/>
    <x v="1"/>
    <s v="Working Day"/>
    <s v="Spring"/>
    <x v="1"/>
    <s v="Night"/>
    <s v="Mild"/>
    <s v="Medium"/>
    <s v="Off-Peak"/>
    <n v="0.23529411764705882"/>
    <s v="Normal"/>
    <n v="1"/>
  </r>
  <r>
    <n v="140"/>
    <x v="6"/>
    <n v="1"/>
    <n v="0"/>
    <n v="1"/>
    <n v="1"/>
    <b v="0"/>
    <n v="5"/>
    <n v="2"/>
    <n v="0.2"/>
    <n v="0.19700000000000001"/>
    <n v="0.69"/>
    <n v="0.22389999999999999"/>
    <n v="2"/>
    <n v="5"/>
    <n v="7"/>
    <s v="REC-0140"/>
    <d v="2011-01-07T01:00:00"/>
    <s v="Jan"/>
    <x v="6"/>
    <x v="1"/>
    <s v="Working Day"/>
    <s v="Spring"/>
    <x v="1"/>
    <s v="Night"/>
    <s v="Mild"/>
    <s v="Medium"/>
    <s v="Off-Peak"/>
    <n v="0.2857142857142857"/>
    <s v="Low"/>
    <n v="1"/>
  </r>
  <r>
    <n v="141"/>
    <x v="6"/>
    <n v="1"/>
    <n v="0"/>
    <n v="1"/>
    <n v="2"/>
    <b v="0"/>
    <n v="5"/>
    <n v="2"/>
    <n v="0.2"/>
    <n v="0.19700000000000001"/>
    <n v="0.69"/>
    <n v="0.22389999999999999"/>
    <n v="0"/>
    <n v="1"/>
    <n v="1"/>
    <s v="REC-0141"/>
    <d v="2011-01-07T02:00:00"/>
    <s v="Jan"/>
    <x v="6"/>
    <x v="1"/>
    <s v="Working Day"/>
    <s v="Spring"/>
    <x v="1"/>
    <s v="Night"/>
    <s v="Mild"/>
    <s v="Medium"/>
    <s v="Off-Peak"/>
    <n v="0"/>
    <s v="Low"/>
    <n v="1"/>
  </r>
  <r>
    <n v="142"/>
    <x v="6"/>
    <n v="1"/>
    <n v="0"/>
    <n v="1"/>
    <n v="4"/>
    <b v="0"/>
    <n v="5"/>
    <n v="2"/>
    <n v="0.2"/>
    <n v="0.21210000000000001"/>
    <n v="0.69"/>
    <n v="0.1343"/>
    <n v="0"/>
    <n v="1"/>
    <n v="1"/>
    <s v="REC-0142"/>
    <d v="2011-01-07T04:00:00"/>
    <s v="Jan"/>
    <x v="6"/>
    <x v="1"/>
    <s v="Working Day"/>
    <s v="Spring"/>
    <x v="1"/>
    <s v="Night"/>
    <s v="Mild"/>
    <s v="Medium"/>
    <s v="Off-Peak"/>
    <n v="0"/>
    <s v="Low"/>
    <n v="1"/>
  </r>
  <r>
    <n v="143"/>
    <x v="6"/>
    <n v="1"/>
    <n v="0"/>
    <n v="1"/>
    <n v="5"/>
    <b v="0"/>
    <n v="5"/>
    <n v="3"/>
    <n v="0.22"/>
    <n v="0.2727"/>
    <n v="0.55000000000000004"/>
    <n v="0"/>
    <n v="0"/>
    <n v="5"/>
    <n v="5"/>
    <s v="REC-0143"/>
    <d v="2011-01-07T05:00:00"/>
    <s v="Jan"/>
    <x v="6"/>
    <x v="1"/>
    <s v="Working Day"/>
    <s v="Spring"/>
    <x v="2"/>
    <s v="Night"/>
    <s v="Mild"/>
    <s v="Medium"/>
    <s v="Off-Peak"/>
    <n v="0"/>
    <s v="Low"/>
    <n v="1"/>
  </r>
  <r>
    <n v="144"/>
    <x v="6"/>
    <n v="1"/>
    <n v="0"/>
    <n v="1"/>
    <n v="6"/>
    <b v="0"/>
    <n v="5"/>
    <n v="2"/>
    <n v="0.2"/>
    <n v="0.2576"/>
    <n v="0.69"/>
    <n v="0"/>
    <n v="8"/>
    <n v="26"/>
    <n v="34"/>
    <s v="REC-0144"/>
    <d v="2011-01-07T06:00:00"/>
    <s v="Jan"/>
    <x v="6"/>
    <x v="1"/>
    <s v="Working Day"/>
    <s v="Spring"/>
    <x v="1"/>
    <s v="Morning"/>
    <s v="Mild"/>
    <s v="Medium"/>
    <s v="Off-Peak"/>
    <n v="0.23529411764705882"/>
    <s v="Normal"/>
    <n v="1"/>
  </r>
  <r>
    <n v="145"/>
    <x v="6"/>
    <n v="1"/>
    <n v="0"/>
    <n v="1"/>
    <n v="7"/>
    <b v="0"/>
    <n v="5"/>
    <n v="1"/>
    <n v="0.2"/>
    <n v="0.21210000000000001"/>
    <n v="0.69"/>
    <n v="0.1343"/>
    <n v="8"/>
    <n v="76"/>
    <n v="84"/>
    <s v="REC-0145"/>
    <d v="2011-01-07T07:00:00"/>
    <s v="Jan"/>
    <x v="6"/>
    <x v="1"/>
    <s v="Working Day"/>
    <s v="Spring"/>
    <x v="0"/>
    <s v="Morning"/>
    <s v="Mild"/>
    <s v="Medium"/>
    <s v="Peak"/>
    <n v="9.5238095238095233E-2"/>
    <s v="High"/>
    <n v="1"/>
  </r>
  <r>
    <n v="146"/>
    <x v="6"/>
    <n v="1"/>
    <n v="0"/>
    <n v="1"/>
    <n v="8"/>
    <b v="0"/>
    <n v="5"/>
    <n v="1"/>
    <n v="0.2"/>
    <n v="0.19700000000000001"/>
    <n v="0.51"/>
    <n v="0.25369999999999998"/>
    <n v="20"/>
    <n v="190"/>
    <n v="210"/>
    <s v="REC-0146"/>
    <d v="2011-01-07T08:00:00"/>
    <s v="Jan"/>
    <x v="6"/>
    <x v="1"/>
    <s v="Working Day"/>
    <s v="Spring"/>
    <x v="0"/>
    <s v="Morning"/>
    <s v="Mild"/>
    <s v="Medium"/>
    <s v="Peak"/>
    <n v="9.5238095238095233E-2"/>
    <s v="High"/>
    <n v="1"/>
  </r>
  <r>
    <n v="147"/>
    <x v="6"/>
    <n v="1"/>
    <n v="0"/>
    <n v="1"/>
    <n v="9"/>
    <b v="0"/>
    <n v="5"/>
    <n v="1"/>
    <n v="0.2"/>
    <n v="0.18179999999999999"/>
    <n v="0.47"/>
    <n v="0.29849999999999999"/>
    <n v="9"/>
    <n v="125"/>
    <n v="134"/>
    <s v="REC-0147"/>
    <d v="2011-01-07T09:00:00"/>
    <s v="Jan"/>
    <x v="6"/>
    <x v="1"/>
    <s v="Working Day"/>
    <s v="Spring"/>
    <x v="0"/>
    <s v="Morning"/>
    <s v="Mild"/>
    <s v="Low"/>
    <s v="Peak"/>
    <n v="6.7164179104477612E-2"/>
    <s v="High"/>
    <n v="1"/>
  </r>
  <r>
    <n v="148"/>
    <x v="6"/>
    <n v="1"/>
    <n v="0"/>
    <n v="1"/>
    <n v="10"/>
    <b v="0"/>
    <n v="5"/>
    <n v="1"/>
    <n v="0.22"/>
    <n v="0.19700000000000001"/>
    <n v="0.37"/>
    <n v="0.32840000000000003"/>
    <n v="16"/>
    <n v="47"/>
    <n v="63"/>
    <s v="REC-0148"/>
    <d v="2011-01-07T10:00:00"/>
    <s v="Jan"/>
    <x v="6"/>
    <x v="1"/>
    <s v="Working Day"/>
    <s v="Spring"/>
    <x v="0"/>
    <s v="Morning"/>
    <s v="Mild"/>
    <s v="Low"/>
    <s v="Off-Peak"/>
    <n v="0.25396825396825395"/>
    <s v="Normal"/>
    <n v="1"/>
  </r>
  <r>
    <n v="149"/>
    <x v="6"/>
    <n v="1"/>
    <n v="0"/>
    <n v="1"/>
    <n v="11"/>
    <b v="0"/>
    <n v="5"/>
    <n v="2"/>
    <n v="0.2"/>
    <n v="0.19700000000000001"/>
    <n v="0.4"/>
    <n v="0.22389999999999999"/>
    <n v="19"/>
    <n v="48"/>
    <n v="67"/>
    <s v="REC-0149"/>
    <d v="2011-01-07T11:00:00"/>
    <s v="Jan"/>
    <x v="6"/>
    <x v="1"/>
    <s v="Working Day"/>
    <s v="Spring"/>
    <x v="1"/>
    <s v="Morning"/>
    <s v="Mild"/>
    <s v="Low"/>
    <s v="Off-Peak"/>
    <n v="0.28358208955223879"/>
    <s v="Normal"/>
    <n v="1"/>
  </r>
  <r>
    <n v="150"/>
    <x v="6"/>
    <n v="1"/>
    <n v="0"/>
    <n v="1"/>
    <n v="12"/>
    <b v="0"/>
    <n v="5"/>
    <n v="2"/>
    <n v="0.2"/>
    <n v="0.19700000000000001"/>
    <n v="0.37"/>
    <n v="0.25369999999999998"/>
    <n v="9"/>
    <n v="50"/>
    <n v="59"/>
    <s v="REC-0150"/>
    <d v="2011-01-07T12:00:00"/>
    <s v="Jan"/>
    <x v="6"/>
    <x v="1"/>
    <s v="Working Day"/>
    <s v="Spring"/>
    <x v="1"/>
    <s v="Afternoon"/>
    <s v="Mild"/>
    <s v="Low"/>
    <s v="Off-Peak"/>
    <n v="0.15254237288135594"/>
    <s v="Normal"/>
    <n v="1"/>
  </r>
  <r>
    <n v="151"/>
    <x v="6"/>
    <n v="1"/>
    <n v="0"/>
    <n v="1"/>
    <n v="13"/>
    <b v="0"/>
    <n v="5"/>
    <n v="2"/>
    <n v="0.2"/>
    <n v="0.18179999999999999"/>
    <n v="0.37"/>
    <n v="0.28360000000000002"/>
    <n v="9"/>
    <n v="64"/>
    <n v="73"/>
    <s v="REC-0151"/>
    <d v="2011-01-07T13:00:00"/>
    <s v="Jan"/>
    <x v="6"/>
    <x v="1"/>
    <s v="Working Day"/>
    <s v="Spring"/>
    <x v="1"/>
    <s v="Afternoon"/>
    <s v="Mild"/>
    <s v="Low"/>
    <s v="Off-Peak"/>
    <n v="0.12328767123287671"/>
    <s v="Normal"/>
    <n v="1"/>
  </r>
  <r>
    <n v="152"/>
    <x v="6"/>
    <n v="1"/>
    <n v="0"/>
    <n v="1"/>
    <n v="14"/>
    <b v="0"/>
    <n v="5"/>
    <n v="2"/>
    <n v="0.2"/>
    <n v="0.19700000000000001"/>
    <n v="0.4"/>
    <n v="0.25369999999999998"/>
    <n v="7"/>
    <n v="43"/>
    <n v="50"/>
    <s v="REC-0152"/>
    <d v="2011-01-07T14:00:00"/>
    <s v="Jan"/>
    <x v="6"/>
    <x v="1"/>
    <s v="Working Day"/>
    <s v="Spring"/>
    <x v="1"/>
    <s v="Afternoon"/>
    <s v="Mild"/>
    <s v="Low"/>
    <s v="Off-Peak"/>
    <n v="0.14000000000000001"/>
    <s v="Normal"/>
    <n v="1"/>
  </r>
  <r>
    <n v="153"/>
    <x v="6"/>
    <n v="1"/>
    <n v="0"/>
    <n v="1"/>
    <n v="15"/>
    <b v="0"/>
    <n v="5"/>
    <n v="2"/>
    <n v="0.2"/>
    <n v="0.21210000000000001"/>
    <n v="0.37"/>
    <n v="0.16420000000000001"/>
    <n v="9"/>
    <n v="63"/>
    <n v="72"/>
    <s v="REC-0153"/>
    <d v="2011-01-07T15:00:00"/>
    <s v="Jan"/>
    <x v="6"/>
    <x v="1"/>
    <s v="Working Day"/>
    <s v="Spring"/>
    <x v="1"/>
    <s v="Afternoon"/>
    <s v="Mild"/>
    <s v="Low"/>
    <s v="Off-Peak"/>
    <n v="0.125"/>
    <s v="Normal"/>
    <n v="1"/>
  </r>
  <r>
    <n v="154"/>
    <x v="6"/>
    <n v="1"/>
    <n v="0"/>
    <n v="1"/>
    <n v="16"/>
    <b v="0"/>
    <n v="5"/>
    <n v="2"/>
    <n v="0.2"/>
    <n v="0.21210000000000001"/>
    <n v="0.37"/>
    <n v="0.16420000000000001"/>
    <n v="5"/>
    <n v="82"/>
    <n v="87"/>
    <s v="REC-0154"/>
    <d v="2011-01-07T16:00:00"/>
    <s v="Jan"/>
    <x v="6"/>
    <x v="1"/>
    <s v="Working Day"/>
    <s v="Spring"/>
    <x v="1"/>
    <s v="Afternoon"/>
    <s v="Mild"/>
    <s v="Low"/>
    <s v="Peak"/>
    <n v="5.7471264367816091E-2"/>
    <s v="High"/>
    <n v="1"/>
  </r>
  <r>
    <n v="155"/>
    <x v="6"/>
    <n v="1"/>
    <n v="0"/>
    <n v="1"/>
    <n v="17"/>
    <b v="0"/>
    <n v="5"/>
    <n v="2"/>
    <n v="0.2"/>
    <n v="0.2576"/>
    <n v="0.37"/>
    <n v="0"/>
    <n v="9"/>
    <n v="178"/>
    <n v="187"/>
    <s v="REC-0155"/>
    <d v="2011-01-07T17:00:00"/>
    <s v="Jan"/>
    <x v="6"/>
    <x v="1"/>
    <s v="Working Day"/>
    <s v="Spring"/>
    <x v="1"/>
    <s v="Evening"/>
    <s v="Mild"/>
    <s v="Low"/>
    <s v="Peak"/>
    <n v="4.8128342245989303E-2"/>
    <s v="High"/>
    <n v="1"/>
  </r>
  <r>
    <n v="156"/>
    <x v="6"/>
    <n v="1"/>
    <n v="0"/>
    <n v="1"/>
    <n v="18"/>
    <b v="0"/>
    <n v="5"/>
    <n v="1"/>
    <n v="0.2"/>
    <n v="0.2273"/>
    <n v="0.4"/>
    <n v="8.9599999999999999E-2"/>
    <n v="7"/>
    <n v="116"/>
    <n v="123"/>
    <s v="REC-0156"/>
    <d v="2011-01-07T18:00:00"/>
    <s v="Jan"/>
    <x v="6"/>
    <x v="1"/>
    <s v="Working Day"/>
    <s v="Spring"/>
    <x v="0"/>
    <s v="Evening"/>
    <s v="Mild"/>
    <s v="Low"/>
    <s v="Peak"/>
    <n v="5.6910569105691054E-2"/>
    <s v="High"/>
    <n v="1"/>
  </r>
  <r>
    <n v="157"/>
    <x v="6"/>
    <n v="1"/>
    <n v="0"/>
    <n v="1"/>
    <n v="19"/>
    <b v="0"/>
    <n v="5"/>
    <n v="1"/>
    <n v="0.16"/>
    <n v="0.19700000000000001"/>
    <n v="0.55000000000000004"/>
    <n v="8.9599999999999999E-2"/>
    <n v="3"/>
    <n v="92"/>
    <n v="95"/>
    <s v="REC-0157"/>
    <d v="2011-01-07T19:00:00"/>
    <s v="Jan"/>
    <x v="6"/>
    <x v="1"/>
    <s v="Working Day"/>
    <s v="Spring"/>
    <x v="0"/>
    <s v="Evening"/>
    <s v="Cold"/>
    <s v="Medium"/>
    <s v="Peak"/>
    <n v="3.1578947368421054E-2"/>
    <s v="High"/>
    <n v="1"/>
  </r>
  <r>
    <n v="158"/>
    <x v="6"/>
    <n v="1"/>
    <n v="0"/>
    <n v="1"/>
    <n v="20"/>
    <b v="0"/>
    <n v="5"/>
    <n v="1"/>
    <n v="0.18"/>
    <n v="0.21210000000000001"/>
    <n v="0.47"/>
    <n v="0.1045"/>
    <n v="1"/>
    <n v="50"/>
    <n v="51"/>
    <s v="REC-0158"/>
    <d v="2011-01-07T20:00:00"/>
    <s v="Jan"/>
    <x v="6"/>
    <x v="1"/>
    <s v="Working Day"/>
    <s v="Spring"/>
    <x v="0"/>
    <s v="Evening"/>
    <s v="Cold"/>
    <s v="Low"/>
    <s v="Off-Peak"/>
    <n v="1.9607843137254902E-2"/>
    <s v="Normal"/>
    <n v="1"/>
  </r>
  <r>
    <n v="159"/>
    <x v="6"/>
    <n v="1"/>
    <n v="0"/>
    <n v="1"/>
    <n v="21"/>
    <b v="0"/>
    <n v="5"/>
    <n v="1"/>
    <n v="0.18"/>
    <n v="0.19700000000000001"/>
    <n v="0.47"/>
    <n v="0.1343"/>
    <n v="0"/>
    <n v="39"/>
    <n v="39"/>
    <s v="REC-0159"/>
    <d v="2011-01-07T21:00:00"/>
    <s v="Jan"/>
    <x v="6"/>
    <x v="1"/>
    <s v="Working Day"/>
    <s v="Spring"/>
    <x v="0"/>
    <s v="Late Evening"/>
    <s v="Cold"/>
    <s v="Low"/>
    <s v="Off-Peak"/>
    <n v="0"/>
    <s v="Normal"/>
    <n v="1"/>
  </r>
  <r>
    <n v="160"/>
    <x v="6"/>
    <n v="1"/>
    <n v="0"/>
    <n v="1"/>
    <n v="22"/>
    <b v="0"/>
    <n v="5"/>
    <n v="2"/>
    <n v="0.18"/>
    <n v="0.19700000000000001"/>
    <n v="0.43"/>
    <n v="0.16420000000000001"/>
    <n v="2"/>
    <n v="34"/>
    <n v="36"/>
    <s v="REC-0160"/>
    <d v="2011-01-07T22:00:00"/>
    <s v="Jan"/>
    <x v="6"/>
    <x v="1"/>
    <s v="Working Day"/>
    <s v="Spring"/>
    <x v="1"/>
    <s v="Late Evening"/>
    <s v="Cold"/>
    <s v="Low"/>
    <s v="Off-Peak"/>
    <n v="5.5555555555555552E-2"/>
    <s v="Normal"/>
    <n v="1"/>
  </r>
  <r>
    <n v="161"/>
    <x v="6"/>
    <n v="1"/>
    <n v="0"/>
    <n v="1"/>
    <n v="23"/>
    <b v="0"/>
    <n v="5"/>
    <n v="2"/>
    <n v="0.18"/>
    <n v="0.19700000000000001"/>
    <n v="0.51"/>
    <n v="0.16420000000000001"/>
    <n v="1"/>
    <n v="14"/>
    <n v="15"/>
    <s v="REC-0161"/>
    <d v="2011-01-07T23:00:00"/>
    <s v="Jan"/>
    <x v="6"/>
    <x v="1"/>
    <s v="Working Day"/>
    <s v="Spring"/>
    <x v="1"/>
    <s v="Late Evening"/>
    <s v="Cold"/>
    <s v="Medium"/>
    <s v="Off-Peak"/>
    <n v="6.6666666666666666E-2"/>
    <s v="Low"/>
    <n v="1"/>
  </r>
  <r>
    <n v="162"/>
    <x v="7"/>
    <n v="1"/>
    <n v="0"/>
    <n v="1"/>
    <n v="0"/>
    <b v="0"/>
    <n v="6"/>
    <n v="2"/>
    <n v="0.18"/>
    <n v="0.19700000000000001"/>
    <n v="0.51"/>
    <n v="0.16420000000000001"/>
    <n v="1"/>
    <n v="24"/>
    <n v="25"/>
    <s v="REC-0162"/>
    <d v="2011-01-08T00:00:00"/>
    <s v="Jan"/>
    <x v="0"/>
    <x v="0"/>
    <s v="Non-Working Day"/>
    <s v="Spring"/>
    <x v="1"/>
    <s v="Night"/>
    <s v="Cold"/>
    <s v="Medium"/>
    <s v="Off-Peak"/>
    <n v="0.04"/>
    <s v="Normal"/>
    <n v="1"/>
  </r>
  <r>
    <n v="163"/>
    <x v="7"/>
    <n v="1"/>
    <n v="0"/>
    <n v="1"/>
    <n v="1"/>
    <b v="0"/>
    <n v="6"/>
    <n v="2"/>
    <n v="0.18"/>
    <n v="0.21210000000000001"/>
    <n v="0.55000000000000004"/>
    <n v="8.9599999999999999E-2"/>
    <n v="1"/>
    <n v="15"/>
    <n v="16"/>
    <s v="REC-0163"/>
    <d v="2011-01-08T01:00:00"/>
    <s v="Jan"/>
    <x v="0"/>
    <x v="0"/>
    <s v="Non-Working Day"/>
    <s v="Spring"/>
    <x v="1"/>
    <s v="Night"/>
    <s v="Cold"/>
    <s v="Medium"/>
    <s v="Off-Peak"/>
    <n v="6.25E-2"/>
    <s v="Low"/>
    <n v="1"/>
  </r>
  <r>
    <n v="164"/>
    <x v="7"/>
    <n v="1"/>
    <n v="0"/>
    <n v="1"/>
    <n v="2"/>
    <b v="0"/>
    <n v="6"/>
    <n v="2"/>
    <n v="0.18"/>
    <n v="0.2424"/>
    <n v="0.55000000000000004"/>
    <n v="0"/>
    <n v="3"/>
    <n v="13"/>
    <n v="16"/>
    <s v="REC-0164"/>
    <d v="2011-01-08T02:00:00"/>
    <s v="Jan"/>
    <x v="0"/>
    <x v="0"/>
    <s v="Non-Working Day"/>
    <s v="Spring"/>
    <x v="1"/>
    <s v="Night"/>
    <s v="Cold"/>
    <s v="Medium"/>
    <s v="Off-Peak"/>
    <n v="0.1875"/>
    <s v="Low"/>
    <n v="1"/>
  </r>
  <r>
    <n v="165"/>
    <x v="7"/>
    <n v="1"/>
    <n v="0"/>
    <n v="1"/>
    <n v="3"/>
    <b v="0"/>
    <n v="6"/>
    <n v="3"/>
    <n v="0.18"/>
    <n v="0.19700000000000001"/>
    <n v="0.55000000000000004"/>
    <n v="0.16420000000000001"/>
    <n v="0"/>
    <n v="7"/>
    <n v="7"/>
    <s v="REC-0165"/>
    <d v="2011-01-08T03:00:00"/>
    <s v="Jan"/>
    <x v="0"/>
    <x v="0"/>
    <s v="Non-Working Day"/>
    <s v="Spring"/>
    <x v="2"/>
    <s v="Night"/>
    <s v="Cold"/>
    <s v="Medium"/>
    <s v="Off-Peak"/>
    <n v="0"/>
    <s v="Low"/>
    <n v="1"/>
  </r>
  <r>
    <n v="166"/>
    <x v="7"/>
    <n v="1"/>
    <n v="0"/>
    <n v="1"/>
    <n v="4"/>
    <b v="0"/>
    <n v="6"/>
    <n v="3"/>
    <n v="0.18"/>
    <n v="0.19700000000000001"/>
    <n v="0.55000000000000004"/>
    <n v="0.16420000000000001"/>
    <n v="0"/>
    <n v="1"/>
    <n v="1"/>
    <s v="REC-0166"/>
    <d v="2011-01-08T04:00:00"/>
    <s v="Jan"/>
    <x v="0"/>
    <x v="0"/>
    <s v="Non-Working Day"/>
    <s v="Spring"/>
    <x v="2"/>
    <s v="Night"/>
    <s v="Cold"/>
    <s v="Medium"/>
    <s v="Off-Peak"/>
    <n v="0"/>
    <s v="Low"/>
    <n v="1"/>
  </r>
  <r>
    <n v="167"/>
    <x v="7"/>
    <n v="1"/>
    <n v="0"/>
    <n v="1"/>
    <n v="5"/>
    <b v="0"/>
    <n v="6"/>
    <n v="2"/>
    <n v="0.16"/>
    <n v="0.16669999999999999"/>
    <n v="0.74"/>
    <n v="0.16420000000000001"/>
    <n v="0"/>
    <n v="5"/>
    <n v="5"/>
    <s v="REC-0167"/>
    <d v="2011-01-08T05:00:00"/>
    <s v="Jan"/>
    <x v="0"/>
    <x v="0"/>
    <s v="Non-Working Day"/>
    <s v="Spring"/>
    <x v="1"/>
    <s v="Night"/>
    <s v="Cold"/>
    <s v="Medium"/>
    <s v="Off-Peak"/>
    <n v="0"/>
    <s v="Low"/>
    <n v="1"/>
  </r>
  <r>
    <n v="168"/>
    <x v="7"/>
    <n v="1"/>
    <n v="0"/>
    <n v="1"/>
    <n v="6"/>
    <b v="0"/>
    <n v="6"/>
    <n v="2"/>
    <n v="0.16"/>
    <n v="0.16669999999999999"/>
    <n v="0.74"/>
    <n v="0.16420000000000001"/>
    <n v="0"/>
    <n v="2"/>
    <n v="2"/>
    <s v="REC-0168"/>
    <d v="2011-01-08T06:00:00"/>
    <s v="Jan"/>
    <x v="0"/>
    <x v="0"/>
    <s v="Non-Working Day"/>
    <s v="Spring"/>
    <x v="1"/>
    <s v="Morning"/>
    <s v="Cold"/>
    <s v="Medium"/>
    <s v="Off-Peak"/>
    <n v="0"/>
    <s v="Low"/>
    <n v="1"/>
  </r>
  <r>
    <n v="169"/>
    <x v="7"/>
    <n v="1"/>
    <n v="0"/>
    <n v="1"/>
    <n v="7"/>
    <b v="0"/>
    <n v="6"/>
    <n v="2"/>
    <n v="0.16"/>
    <n v="0.18179999999999999"/>
    <n v="0.74"/>
    <n v="0.1045"/>
    <n v="1"/>
    <n v="8"/>
    <n v="9"/>
    <s v="REC-0169"/>
    <d v="2011-01-08T07:00:00"/>
    <s v="Jan"/>
    <x v="0"/>
    <x v="0"/>
    <s v="Non-Working Day"/>
    <s v="Spring"/>
    <x v="1"/>
    <s v="Morning"/>
    <s v="Cold"/>
    <s v="Medium"/>
    <s v="Off-Peak"/>
    <n v="0.1111111111111111"/>
    <s v="Low"/>
    <n v="1"/>
  </r>
  <r>
    <n v="170"/>
    <x v="7"/>
    <n v="1"/>
    <n v="0"/>
    <n v="1"/>
    <n v="8"/>
    <b v="0"/>
    <n v="6"/>
    <n v="3"/>
    <n v="0.16"/>
    <n v="0.18179999999999999"/>
    <n v="0.93"/>
    <n v="0.1045"/>
    <n v="0"/>
    <n v="15"/>
    <n v="15"/>
    <s v="REC-0170"/>
    <d v="2011-01-08T08:00:00"/>
    <s v="Jan"/>
    <x v="0"/>
    <x v="0"/>
    <s v="Non-Working Day"/>
    <s v="Spring"/>
    <x v="2"/>
    <s v="Morning"/>
    <s v="Cold"/>
    <s v="High"/>
    <s v="Off-Peak"/>
    <n v="0"/>
    <s v="Low"/>
    <n v="1"/>
  </r>
  <r>
    <n v="171"/>
    <x v="7"/>
    <n v="1"/>
    <n v="0"/>
    <n v="1"/>
    <n v="9"/>
    <b v="0"/>
    <n v="6"/>
    <n v="3"/>
    <n v="0.16"/>
    <n v="0.18179999999999999"/>
    <n v="0.93"/>
    <n v="0.1045"/>
    <n v="0"/>
    <n v="20"/>
    <n v="20"/>
    <s v="REC-0171"/>
    <d v="2011-01-08T09:00:00"/>
    <s v="Jan"/>
    <x v="0"/>
    <x v="0"/>
    <s v="Non-Working Day"/>
    <s v="Spring"/>
    <x v="2"/>
    <s v="Morning"/>
    <s v="Cold"/>
    <s v="High"/>
    <s v="Off-Peak"/>
    <n v="0"/>
    <s v="Normal"/>
    <n v="1"/>
  </r>
  <r>
    <n v="172"/>
    <x v="7"/>
    <n v="1"/>
    <n v="0"/>
    <n v="1"/>
    <n v="10"/>
    <b v="0"/>
    <n v="6"/>
    <n v="2"/>
    <n v="0.18"/>
    <n v="0.19700000000000001"/>
    <n v="0.8"/>
    <n v="0.16420000000000001"/>
    <n v="5"/>
    <n v="56"/>
    <n v="61"/>
    <s v="REC-0172"/>
    <d v="2011-01-08T10:00:00"/>
    <s v="Jan"/>
    <x v="0"/>
    <x v="0"/>
    <s v="Non-Working Day"/>
    <s v="Spring"/>
    <x v="1"/>
    <s v="Morning"/>
    <s v="Cold"/>
    <s v="High"/>
    <s v="Off-Peak"/>
    <n v="8.1967213114754092E-2"/>
    <s v="Normal"/>
    <n v="1"/>
  </r>
  <r>
    <n v="173"/>
    <x v="7"/>
    <n v="1"/>
    <n v="0"/>
    <n v="1"/>
    <n v="11"/>
    <b v="0"/>
    <n v="6"/>
    <n v="2"/>
    <n v="0.2"/>
    <n v="0.18179999999999999"/>
    <n v="0.69"/>
    <n v="0.3881"/>
    <n v="2"/>
    <n v="60"/>
    <n v="62"/>
    <s v="REC-0173"/>
    <d v="2011-01-08T11:00:00"/>
    <s v="Jan"/>
    <x v="0"/>
    <x v="0"/>
    <s v="Non-Working Day"/>
    <s v="Spring"/>
    <x v="1"/>
    <s v="Morning"/>
    <s v="Mild"/>
    <s v="Medium"/>
    <s v="Off-Peak"/>
    <n v="3.2258064516129031E-2"/>
    <s v="Normal"/>
    <n v="1"/>
  </r>
  <r>
    <n v="174"/>
    <x v="7"/>
    <n v="1"/>
    <n v="0"/>
    <n v="1"/>
    <n v="12"/>
    <b v="0"/>
    <n v="6"/>
    <n v="2"/>
    <n v="0.2"/>
    <n v="0.18179999999999999"/>
    <n v="0.59"/>
    <n v="0.35820000000000002"/>
    <n v="8"/>
    <n v="90"/>
    <n v="98"/>
    <s v="REC-0174"/>
    <d v="2011-01-08T12:00:00"/>
    <s v="Jan"/>
    <x v="0"/>
    <x v="0"/>
    <s v="Non-Working Day"/>
    <s v="Spring"/>
    <x v="1"/>
    <s v="Afternoon"/>
    <s v="Mild"/>
    <s v="Medium"/>
    <s v="Off-Peak"/>
    <n v="8.1632653061224483E-2"/>
    <s v="High"/>
    <n v="1"/>
  </r>
  <r>
    <n v="175"/>
    <x v="7"/>
    <n v="1"/>
    <n v="0"/>
    <n v="1"/>
    <n v="13"/>
    <b v="0"/>
    <n v="6"/>
    <n v="1"/>
    <n v="0.2"/>
    <n v="0.18179999999999999"/>
    <n v="0.44"/>
    <n v="0.32840000000000003"/>
    <n v="7"/>
    <n v="95"/>
    <n v="102"/>
    <s v="REC-0175"/>
    <d v="2011-01-08T13:00:00"/>
    <s v="Jan"/>
    <x v="0"/>
    <x v="0"/>
    <s v="Non-Working Day"/>
    <s v="Spring"/>
    <x v="0"/>
    <s v="Afternoon"/>
    <s v="Mild"/>
    <s v="Low"/>
    <s v="Off-Peak"/>
    <n v="6.8627450980392163E-2"/>
    <s v="High"/>
    <n v="1"/>
  </r>
  <r>
    <n v="176"/>
    <x v="7"/>
    <n v="1"/>
    <n v="0"/>
    <n v="1"/>
    <n v="14"/>
    <b v="0"/>
    <n v="6"/>
    <n v="1"/>
    <n v="0.2"/>
    <n v="0.16669999999999999"/>
    <n v="0.32"/>
    <n v="0.49249999999999999"/>
    <n v="12"/>
    <n v="83"/>
    <n v="95"/>
    <s v="REC-0176"/>
    <d v="2011-01-08T14:00:00"/>
    <s v="Jan"/>
    <x v="0"/>
    <x v="0"/>
    <s v="Non-Working Day"/>
    <s v="Spring"/>
    <x v="0"/>
    <s v="Afternoon"/>
    <s v="Mild"/>
    <s v="Low"/>
    <s v="Off-Peak"/>
    <n v="0.12631578947368421"/>
    <s v="High"/>
    <n v="1"/>
  </r>
  <r>
    <n v="177"/>
    <x v="7"/>
    <n v="1"/>
    <n v="0"/>
    <n v="1"/>
    <n v="15"/>
    <b v="0"/>
    <n v="6"/>
    <n v="1"/>
    <n v="0.2"/>
    <n v="0.16669999999999999"/>
    <n v="0.32"/>
    <n v="0.44779999999999998"/>
    <n v="5"/>
    <n v="69"/>
    <n v="74"/>
    <s v="REC-0177"/>
    <d v="2011-01-08T15:00:00"/>
    <s v="Jan"/>
    <x v="0"/>
    <x v="0"/>
    <s v="Non-Working Day"/>
    <s v="Spring"/>
    <x v="0"/>
    <s v="Afternoon"/>
    <s v="Mild"/>
    <s v="Low"/>
    <s v="Off-Peak"/>
    <n v="6.7567567567567571E-2"/>
    <s v="Normal"/>
    <n v="1"/>
  </r>
  <r>
    <n v="178"/>
    <x v="7"/>
    <n v="1"/>
    <n v="0"/>
    <n v="1"/>
    <n v="16"/>
    <b v="0"/>
    <n v="6"/>
    <n v="1"/>
    <n v="0.18"/>
    <n v="0.13639999999999999"/>
    <n v="0.28999999999999998"/>
    <n v="0.44779999999999998"/>
    <n v="8"/>
    <n v="68"/>
    <n v="76"/>
    <s v="REC-0178"/>
    <d v="2011-01-08T16:00:00"/>
    <s v="Jan"/>
    <x v="0"/>
    <x v="0"/>
    <s v="Non-Working Day"/>
    <s v="Spring"/>
    <x v="0"/>
    <s v="Afternoon"/>
    <s v="Cold"/>
    <s v="Low"/>
    <s v="Off-Peak"/>
    <n v="0.10526315789473684"/>
    <s v="Normal"/>
    <n v="1"/>
  </r>
  <r>
    <n v="179"/>
    <x v="7"/>
    <n v="1"/>
    <n v="0"/>
    <n v="1"/>
    <n v="17"/>
    <b v="0"/>
    <n v="6"/>
    <n v="1"/>
    <n v="0.16"/>
    <n v="0.1212"/>
    <n v="0.37"/>
    <n v="0.55220000000000002"/>
    <n v="5"/>
    <n v="64"/>
    <n v="69"/>
    <s v="REC-0179"/>
    <d v="2011-01-08T17:00:00"/>
    <s v="Jan"/>
    <x v="0"/>
    <x v="0"/>
    <s v="Non-Working Day"/>
    <s v="Spring"/>
    <x v="0"/>
    <s v="Evening"/>
    <s v="Cold"/>
    <s v="Low"/>
    <s v="Off-Peak"/>
    <n v="7.2463768115942032E-2"/>
    <s v="Normal"/>
    <n v="1"/>
  </r>
  <r>
    <n v="180"/>
    <x v="7"/>
    <n v="1"/>
    <n v="0"/>
    <n v="1"/>
    <n v="18"/>
    <b v="0"/>
    <n v="6"/>
    <n v="1"/>
    <n v="0.14000000000000001"/>
    <n v="0.1212"/>
    <n v="0.39"/>
    <n v="0.29849999999999999"/>
    <n v="3"/>
    <n v="52"/>
    <n v="55"/>
    <s v="REC-0180"/>
    <d v="2011-01-08T18:00:00"/>
    <s v="Jan"/>
    <x v="0"/>
    <x v="0"/>
    <s v="Non-Working Day"/>
    <s v="Spring"/>
    <x v="0"/>
    <s v="Evening"/>
    <s v="Cold"/>
    <s v="Low"/>
    <s v="Off-Peak"/>
    <n v="5.4545454545454543E-2"/>
    <s v="Normal"/>
    <n v="1"/>
  </r>
  <r>
    <n v="181"/>
    <x v="7"/>
    <n v="1"/>
    <n v="0"/>
    <n v="1"/>
    <n v="19"/>
    <b v="0"/>
    <n v="6"/>
    <n v="1"/>
    <n v="0.14000000000000001"/>
    <n v="0.1212"/>
    <n v="0.36"/>
    <n v="0.25369999999999998"/>
    <n v="4"/>
    <n v="26"/>
    <n v="30"/>
    <s v="REC-0181"/>
    <d v="2011-01-08T19:00:00"/>
    <s v="Jan"/>
    <x v="0"/>
    <x v="0"/>
    <s v="Non-Working Day"/>
    <s v="Spring"/>
    <x v="0"/>
    <s v="Evening"/>
    <s v="Cold"/>
    <s v="Low"/>
    <s v="Off-Peak"/>
    <n v="0.13333333333333333"/>
    <s v="Normal"/>
    <n v="1"/>
  </r>
  <r>
    <n v="182"/>
    <x v="7"/>
    <n v="1"/>
    <n v="0"/>
    <n v="1"/>
    <n v="20"/>
    <b v="0"/>
    <n v="6"/>
    <n v="1"/>
    <n v="0.12"/>
    <n v="0.1212"/>
    <n v="0.36"/>
    <n v="0.25369999999999998"/>
    <n v="0"/>
    <n v="28"/>
    <n v="28"/>
    <s v="REC-0182"/>
    <d v="2011-01-08T20:00:00"/>
    <s v="Jan"/>
    <x v="0"/>
    <x v="0"/>
    <s v="Non-Working Day"/>
    <s v="Spring"/>
    <x v="0"/>
    <s v="Evening"/>
    <s v="Cold"/>
    <s v="Low"/>
    <s v="Off-Peak"/>
    <n v="0"/>
    <s v="Normal"/>
    <n v="1"/>
  </r>
  <r>
    <n v="183"/>
    <x v="7"/>
    <n v="1"/>
    <n v="0"/>
    <n v="1"/>
    <n v="21"/>
    <b v="0"/>
    <n v="6"/>
    <n v="1"/>
    <n v="0.12"/>
    <n v="0.1061"/>
    <n v="0.39"/>
    <n v="0.35820000000000002"/>
    <n v="2"/>
    <n v="35"/>
    <n v="37"/>
    <s v="REC-0183"/>
    <d v="2011-01-08T21:00:00"/>
    <s v="Jan"/>
    <x v="0"/>
    <x v="0"/>
    <s v="Non-Working Day"/>
    <s v="Spring"/>
    <x v="0"/>
    <s v="Late Evening"/>
    <s v="Cold"/>
    <s v="Low"/>
    <s v="Off-Peak"/>
    <n v="5.4054054054054057E-2"/>
    <s v="Normal"/>
    <n v="1"/>
  </r>
  <r>
    <n v="184"/>
    <x v="7"/>
    <n v="1"/>
    <n v="0"/>
    <n v="1"/>
    <n v="22"/>
    <b v="0"/>
    <n v="6"/>
    <n v="1"/>
    <n v="0.12"/>
    <n v="0.1061"/>
    <n v="0.36"/>
    <n v="0.3881"/>
    <n v="1"/>
    <n v="33"/>
    <n v="34"/>
    <s v="REC-0184"/>
    <d v="2011-01-08T22:00:00"/>
    <s v="Jan"/>
    <x v="0"/>
    <x v="0"/>
    <s v="Non-Working Day"/>
    <s v="Spring"/>
    <x v="0"/>
    <s v="Late Evening"/>
    <s v="Cold"/>
    <s v="Low"/>
    <s v="Off-Peak"/>
    <n v="2.9411764705882353E-2"/>
    <s v="Normal"/>
    <n v="1"/>
  </r>
  <r>
    <n v="185"/>
    <x v="7"/>
    <n v="1"/>
    <n v="0"/>
    <n v="1"/>
    <n v="23"/>
    <b v="0"/>
    <n v="6"/>
    <n v="1"/>
    <n v="0.1"/>
    <n v="6.0600000000000001E-2"/>
    <n v="0.39"/>
    <n v="0.44779999999999998"/>
    <n v="0"/>
    <n v="22"/>
    <n v="22"/>
    <s v="REC-0185"/>
    <d v="2011-01-08T23:00:00"/>
    <s v="Jan"/>
    <x v="0"/>
    <x v="0"/>
    <s v="Non-Working Day"/>
    <s v="Spring"/>
    <x v="0"/>
    <s v="Late Evening"/>
    <s v="Cold"/>
    <s v="Low"/>
    <s v="Off-Peak"/>
    <n v="0"/>
    <s v="Normal"/>
    <n v="1"/>
  </r>
  <r>
    <n v="186"/>
    <x v="8"/>
    <n v="1"/>
    <n v="0"/>
    <n v="1"/>
    <n v="0"/>
    <b v="0"/>
    <n v="0"/>
    <n v="1"/>
    <n v="0.1"/>
    <n v="7.5800000000000006E-2"/>
    <n v="0.42"/>
    <n v="0.3881"/>
    <n v="1"/>
    <n v="24"/>
    <n v="25"/>
    <s v="REC-0186"/>
    <d v="2011-01-09T00:00:00"/>
    <s v="Jan"/>
    <x v="1"/>
    <x v="0"/>
    <s v="Non-Working Day"/>
    <s v="Spring"/>
    <x v="0"/>
    <s v="Night"/>
    <s v="Cold"/>
    <s v="Low"/>
    <s v="Off-Peak"/>
    <n v="0.04"/>
    <s v="Normal"/>
    <n v="1"/>
  </r>
  <r>
    <n v="187"/>
    <x v="8"/>
    <n v="1"/>
    <n v="0"/>
    <n v="1"/>
    <n v="1"/>
    <b v="0"/>
    <n v="0"/>
    <n v="1"/>
    <n v="0.1"/>
    <n v="6.0600000000000001E-2"/>
    <n v="0.42"/>
    <n v="0.4627"/>
    <n v="0"/>
    <n v="12"/>
    <n v="12"/>
    <s v="REC-0187"/>
    <d v="2011-01-09T01:00:00"/>
    <s v="Jan"/>
    <x v="1"/>
    <x v="0"/>
    <s v="Non-Working Day"/>
    <s v="Spring"/>
    <x v="0"/>
    <s v="Night"/>
    <s v="Cold"/>
    <s v="Low"/>
    <s v="Off-Peak"/>
    <n v="0"/>
    <s v="Low"/>
    <n v="1"/>
  </r>
  <r>
    <n v="188"/>
    <x v="8"/>
    <n v="1"/>
    <n v="0"/>
    <n v="1"/>
    <n v="2"/>
    <b v="0"/>
    <n v="0"/>
    <n v="1"/>
    <n v="0.1"/>
    <n v="6.0600000000000001E-2"/>
    <n v="0.46"/>
    <n v="0.4627"/>
    <n v="0"/>
    <n v="11"/>
    <n v="11"/>
    <s v="REC-0188"/>
    <d v="2011-01-09T02:00:00"/>
    <s v="Jan"/>
    <x v="1"/>
    <x v="0"/>
    <s v="Non-Working Day"/>
    <s v="Spring"/>
    <x v="0"/>
    <s v="Night"/>
    <s v="Cold"/>
    <s v="Low"/>
    <s v="Off-Peak"/>
    <n v="0"/>
    <s v="Low"/>
    <n v="1"/>
  </r>
  <r>
    <n v="189"/>
    <x v="8"/>
    <n v="1"/>
    <n v="0"/>
    <n v="1"/>
    <n v="3"/>
    <b v="0"/>
    <n v="0"/>
    <n v="1"/>
    <n v="0.1"/>
    <n v="7.5800000000000006E-2"/>
    <n v="0.46"/>
    <n v="0.41789999999999999"/>
    <n v="0"/>
    <n v="4"/>
    <n v="4"/>
    <s v="REC-0189"/>
    <d v="2011-01-09T03:00:00"/>
    <s v="Jan"/>
    <x v="1"/>
    <x v="0"/>
    <s v="Non-Working Day"/>
    <s v="Spring"/>
    <x v="0"/>
    <s v="Night"/>
    <s v="Cold"/>
    <s v="Low"/>
    <s v="Off-Peak"/>
    <n v="0"/>
    <s v="Low"/>
    <n v="1"/>
  </r>
  <r>
    <n v="190"/>
    <x v="8"/>
    <n v="1"/>
    <n v="0"/>
    <n v="1"/>
    <n v="4"/>
    <b v="0"/>
    <n v="0"/>
    <n v="1"/>
    <n v="0.08"/>
    <n v="9.0899999999999995E-2"/>
    <n v="0.53"/>
    <n v="0.19400000000000001"/>
    <n v="0"/>
    <n v="1"/>
    <n v="1"/>
    <s v="REC-0190"/>
    <d v="2011-01-09T04:00:00"/>
    <s v="Jan"/>
    <x v="1"/>
    <x v="0"/>
    <s v="Non-Working Day"/>
    <s v="Spring"/>
    <x v="0"/>
    <s v="Night"/>
    <s v="Cold"/>
    <s v="Medium"/>
    <s v="Off-Peak"/>
    <n v="0"/>
    <s v="Low"/>
    <n v="1"/>
  </r>
  <r>
    <n v="191"/>
    <x v="8"/>
    <n v="1"/>
    <n v="0"/>
    <n v="1"/>
    <n v="5"/>
    <b v="0"/>
    <n v="0"/>
    <n v="1"/>
    <n v="0.08"/>
    <n v="9.0899999999999995E-2"/>
    <n v="0.53"/>
    <n v="0.19400000000000001"/>
    <n v="0"/>
    <n v="1"/>
    <n v="1"/>
    <s v="REC-0191"/>
    <d v="2011-01-09T05:00:00"/>
    <s v="Jan"/>
    <x v="1"/>
    <x v="0"/>
    <s v="Non-Working Day"/>
    <s v="Spring"/>
    <x v="0"/>
    <s v="Night"/>
    <s v="Cold"/>
    <s v="Medium"/>
    <s v="Off-Peak"/>
    <n v="0"/>
    <s v="Low"/>
    <n v="1"/>
  </r>
  <r>
    <n v="192"/>
    <x v="8"/>
    <n v="1"/>
    <n v="0"/>
    <n v="1"/>
    <n v="6"/>
    <b v="0"/>
    <n v="0"/>
    <n v="1"/>
    <n v="0.1"/>
    <n v="9.0899999999999995E-2"/>
    <n v="0.49"/>
    <n v="0.28360000000000002"/>
    <n v="0"/>
    <n v="1"/>
    <n v="1"/>
    <s v="REC-0192"/>
    <d v="2011-01-09T06:00:00"/>
    <s v="Jan"/>
    <x v="1"/>
    <x v="0"/>
    <s v="Non-Working Day"/>
    <s v="Spring"/>
    <x v="0"/>
    <s v="Morning"/>
    <s v="Cold"/>
    <s v="Low"/>
    <s v="Off-Peak"/>
    <n v="0"/>
    <s v="Low"/>
    <n v="1"/>
  </r>
  <r>
    <n v="193"/>
    <x v="8"/>
    <n v="1"/>
    <n v="0"/>
    <n v="1"/>
    <n v="7"/>
    <b v="0"/>
    <n v="0"/>
    <n v="1"/>
    <n v="0.08"/>
    <n v="9.0899999999999995E-2"/>
    <n v="0.53"/>
    <n v="0.19400000000000001"/>
    <n v="1"/>
    <n v="5"/>
    <n v="6"/>
    <s v="REC-0193"/>
    <d v="2011-01-09T07:00:00"/>
    <s v="Jan"/>
    <x v="1"/>
    <x v="0"/>
    <s v="Non-Working Day"/>
    <s v="Spring"/>
    <x v="0"/>
    <s v="Morning"/>
    <s v="Cold"/>
    <s v="Medium"/>
    <s v="Off-Peak"/>
    <n v="0.16666666666666666"/>
    <s v="Low"/>
    <n v="1"/>
  </r>
  <r>
    <n v="194"/>
    <x v="8"/>
    <n v="1"/>
    <n v="0"/>
    <n v="1"/>
    <n v="8"/>
    <b v="0"/>
    <n v="0"/>
    <n v="1"/>
    <n v="0.1"/>
    <n v="9.0899999999999995E-2"/>
    <n v="0.49"/>
    <n v="0.28360000000000002"/>
    <n v="0"/>
    <n v="10"/>
    <n v="10"/>
    <s v="REC-0194"/>
    <d v="2011-01-09T08:00:00"/>
    <s v="Jan"/>
    <x v="1"/>
    <x v="0"/>
    <s v="Non-Working Day"/>
    <s v="Spring"/>
    <x v="0"/>
    <s v="Morning"/>
    <s v="Cold"/>
    <s v="Low"/>
    <s v="Off-Peak"/>
    <n v="0"/>
    <s v="Low"/>
    <n v="1"/>
  </r>
  <r>
    <n v="195"/>
    <x v="8"/>
    <n v="1"/>
    <n v="0"/>
    <n v="1"/>
    <n v="9"/>
    <b v="0"/>
    <n v="0"/>
    <n v="1"/>
    <n v="0.12"/>
    <n v="7.5800000000000006E-2"/>
    <n v="0.46"/>
    <n v="0.52239999999999998"/>
    <n v="0"/>
    <n v="19"/>
    <n v="19"/>
    <s v="REC-0195"/>
    <d v="2011-01-09T09:00:00"/>
    <s v="Jan"/>
    <x v="1"/>
    <x v="0"/>
    <s v="Non-Working Day"/>
    <s v="Spring"/>
    <x v="0"/>
    <s v="Morning"/>
    <s v="Cold"/>
    <s v="Low"/>
    <s v="Off-Peak"/>
    <n v="0"/>
    <s v="Normal"/>
    <n v="1"/>
  </r>
  <r>
    <n v="196"/>
    <x v="8"/>
    <n v="1"/>
    <n v="0"/>
    <n v="1"/>
    <n v="10"/>
    <b v="0"/>
    <n v="0"/>
    <n v="1"/>
    <n v="0.14000000000000001"/>
    <n v="0.1061"/>
    <n v="0.43"/>
    <n v="0.3881"/>
    <n v="0"/>
    <n v="49"/>
    <n v="49"/>
    <s v="REC-0196"/>
    <d v="2011-01-09T10:00:00"/>
    <s v="Jan"/>
    <x v="1"/>
    <x v="0"/>
    <s v="Non-Working Day"/>
    <s v="Spring"/>
    <x v="0"/>
    <s v="Morning"/>
    <s v="Cold"/>
    <s v="Low"/>
    <s v="Off-Peak"/>
    <n v="0"/>
    <s v="Normal"/>
    <n v="1"/>
  </r>
  <r>
    <n v="197"/>
    <x v="8"/>
    <n v="1"/>
    <n v="0"/>
    <n v="1"/>
    <n v="11"/>
    <b v="0"/>
    <n v="0"/>
    <n v="1"/>
    <n v="0.16"/>
    <n v="0.1212"/>
    <n v="0.4"/>
    <n v="0.52239999999999998"/>
    <n v="2"/>
    <n v="47"/>
    <n v="49"/>
    <s v="REC-0197"/>
    <d v="2011-01-09T11:00:00"/>
    <s v="Jan"/>
    <x v="1"/>
    <x v="0"/>
    <s v="Non-Working Day"/>
    <s v="Spring"/>
    <x v="0"/>
    <s v="Morning"/>
    <s v="Cold"/>
    <s v="Low"/>
    <s v="Off-Peak"/>
    <n v="4.0816326530612242E-2"/>
    <s v="Normal"/>
    <n v="1"/>
  </r>
  <r>
    <n v="198"/>
    <x v="8"/>
    <n v="1"/>
    <n v="0"/>
    <n v="1"/>
    <n v="12"/>
    <b v="0"/>
    <n v="0"/>
    <n v="1"/>
    <n v="0.18"/>
    <n v="0.13639999999999999"/>
    <n v="0.37"/>
    <n v="0.44779999999999998"/>
    <n v="4"/>
    <n v="79"/>
    <n v="83"/>
    <s v="REC-0198"/>
    <d v="2011-01-09T12:00:00"/>
    <s v="Jan"/>
    <x v="1"/>
    <x v="0"/>
    <s v="Non-Working Day"/>
    <s v="Spring"/>
    <x v="0"/>
    <s v="Afternoon"/>
    <s v="Cold"/>
    <s v="Low"/>
    <s v="Off-Peak"/>
    <n v="4.8192771084337352E-2"/>
    <s v="High"/>
    <n v="1"/>
  </r>
  <r>
    <n v="199"/>
    <x v="8"/>
    <n v="1"/>
    <n v="0"/>
    <n v="1"/>
    <n v="13"/>
    <b v="0"/>
    <n v="0"/>
    <n v="1"/>
    <n v="0.2"/>
    <n v="0.16669999999999999"/>
    <n v="0.34"/>
    <n v="0.44779999999999998"/>
    <n v="6"/>
    <n v="69"/>
    <n v="75"/>
    <s v="REC-0199"/>
    <d v="2011-01-09T13:00:00"/>
    <s v="Jan"/>
    <x v="1"/>
    <x v="0"/>
    <s v="Non-Working Day"/>
    <s v="Spring"/>
    <x v="0"/>
    <s v="Afternoon"/>
    <s v="Mild"/>
    <s v="Low"/>
    <s v="Off-Peak"/>
    <n v="0.08"/>
    <s v="Normal"/>
    <n v="1"/>
  </r>
  <r>
    <n v="200"/>
    <x v="8"/>
    <n v="1"/>
    <n v="0"/>
    <n v="1"/>
    <n v="14"/>
    <b v="0"/>
    <n v="0"/>
    <n v="1"/>
    <n v="0.22"/>
    <n v="0.18179999999999999"/>
    <n v="0.32"/>
    <n v="0.4627"/>
    <n v="8"/>
    <n v="64"/>
    <n v="72"/>
    <s v="REC-0200"/>
    <d v="2011-01-09T14:00:00"/>
    <s v="Jan"/>
    <x v="1"/>
    <x v="0"/>
    <s v="Non-Working Day"/>
    <s v="Spring"/>
    <x v="0"/>
    <s v="Afternoon"/>
    <s v="Mild"/>
    <s v="Low"/>
    <s v="Off-Peak"/>
    <n v="0.1111111111111111"/>
    <s v="Normal"/>
    <n v="1"/>
  </r>
  <r>
    <n v="201"/>
    <x v="8"/>
    <n v="1"/>
    <n v="0"/>
    <n v="1"/>
    <n v="15"/>
    <b v="0"/>
    <n v="0"/>
    <n v="1"/>
    <n v="0.22"/>
    <n v="0.19700000000000001"/>
    <n v="0.35"/>
    <n v="0.35820000000000002"/>
    <n v="5"/>
    <n v="77"/>
    <n v="82"/>
    <s v="REC-0201"/>
    <d v="2011-01-09T15:00:00"/>
    <s v="Jan"/>
    <x v="1"/>
    <x v="0"/>
    <s v="Non-Working Day"/>
    <s v="Spring"/>
    <x v="0"/>
    <s v="Afternoon"/>
    <s v="Mild"/>
    <s v="Low"/>
    <s v="Off-Peak"/>
    <n v="6.097560975609756E-2"/>
    <s v="Normal"/>
    <n v="1"/>
  </r>
  <r>
    <n v="202"/>
    <x v="8"/>
    <n v="1"/>
    <n v="0"/>
    <n v="1"/>
    <n v="16"/>
    <b v="0"/>
    <n v="0"/>
    <n v="1"/>
    <n v="0.2"/>
    <n v="0.16669999999999999"/>
    <n v="0.34"/>
    <n v="0.44779999999999998"/>
    <n v="13"/>
    <n v="79"/>
    <n v="92"/>
    <s v="REC-0202"/>
    <d v="2011-01-09T16:00:00"/>
    <s v="Jan"/>
    <x v="1"/>
    <x v="0"/>
    <s v="Non-Working Day"/>
    <s v="Spring"/>
    <x v="0"/>
    <s v="Afternoon"/>
    <s v="Mild"/>
    <s v="Low"/>
    <s v="Off-Peak"/>
    <n v="0.14130434782608695"/>
    <s v="High"/>
    <n v="1"/>
  </r>
  <r>
    <n v="203"/>
    <x v="8"/>
    <n v="1"/>
    <n v="0"/>
    <n v="1"/>
    <n v="17"/>
    <b v="0"/>
    <n v="0"/>
    <n v="1"/>
    <n v="0.18"/>
    <n v="0.1515"/>
    <n v="0.37"/>
    <n v="0.3881"/>
    <n v="3"/>
    <n v="59"/>
    <n v="62"/>
    <s v="REC-0203"/>
    <d v="2011-01-09T17:00:00"/>
    <s v="Jan"/>
    <x v="1"/>
    <x v="0"/>
    <s v="Non-Working Day"/>
    <s v="Spring"/>
    <x v="0"/>
    <s v="Evening"/>
    <s v="Cold"/>
    <s v="Low"/>
    <s v="Off-Peak"/>
    <n v="4.8387096774193547E-2"/>
    <s v="Normal"/>
    <n v="1"/>
  </r>
  <r>
    <n v="204"/>
    <x v="8"/>
    <n v="1"/>
    <n v="0"/>
    <n v="1"/>
    <n v="18"/>
    <b v="0"/>
    <n v="0"/>
    <n v="1"/>
    <n v="0.16"/>
    <n v="0.13639999999999999"/>
    <n v="0.4"/>
    <n v="0.32840000000000003"/>
    <n v="4"/>
    <n v="44"/>
    <n v="48"/>
    <s v="REC-0204"/>
    <d v="2011-01-09T18:00:00"/>
    <s v="Jan"/>
    <x v="1"/>
    <x v="0"/>
    <s v="Non-Working Day"/>
    <s v="Spring"/>
    <x v="0"/>
    <s v="Evening"/>
    <s v="Cold"/>
    <s v="Low"/>
    <s v="Off-Peak"/>
    <n v="8.3333333333333329E-2"/>
    <s v="Normal"/>
    <n v="1"/>
  </r>
  <r>
    <n v="205"/>
    <x v="8"/>
    <n v="1"/>
    <n v="0"/>
    <n v="1"/>
    <n v="19"/>
    <b v="0"/>
    <n v="0"/>
    <n v="1"/>
    <n v="0.16"/>
    <n v="0.13639999999999999"/>
    <n v="0.43"/>
    <n v="0.32840000000000003"/>
    <n v="1"/>
    <n v="40"/>
    <n v="41"/>
    <s v="REC-0205"/>
    <d v="2011-01-09T19:00:00"/>
    <s v="Jan"/>
    <x v="1"/>
    <x v="0"/>
    <s v="Non-Working Day"/>
    <s v="Spring"/>
    <x v="0"/>
    <s v="Evening"/>
    <s v="Cold"/>
    <s v="Low"/>
    <s v="Off-Peak"/>
    <n v="2.4390243902439025E-2"/>
    <s v="Normal"/>
    <n v="1"/>
  </r>
  <r>
    <n v="206"/>
    <x v="8"/>
    <n v="1"/>
    <n v="0"/>
    <n v="1"/>
    <n v="20"/>
    <b v="0"/>
    <n v="0"/>
    <n v="1"/>
    <n v="0.14000000000000001"/>
    <n v="0.1212"/>
    <n v="0.46"/>
    <n v="0.25369999999999998"/>
    <n v="0"/>
    <n v="38"/>
    <n v="38"/>
    <s v="REC-0206"/>
    <d v="2011-01-09T20:00:00"/>
    <s v="Jan"/>
    <x v="1"/>
    <x v="0"/>
    <s v="Non-Working Day"/>
    <s v="Spring"/>
    <x v="0"/>
    <s v="Evening"/>
    <s v="Cold"/>
    <s v="Low"/>
    <s v="Off-Peak"/>
    <n v="0"/>
    <s v="Normal"/>
    <n v="1"/>
  </r>
  <r>
    <n v="207"/>
    <x v="8"/>
    <n v="1"/>
    <n v="0"/>
    <n v="1"/>
    <n v="21"/>
    <b v="0"/>
    <n v="0"/>
    <n v="1"/>
    <n v="0.14000000000000001"/>
    <n v="0.1061"/>
    <n v="0.46"/>
    <n v="0.41789999999999999"/>
    <n v="1"/>
    <n v="19"/>
    <n v="20"/>
    <s v="REC-0207"/>
    <d v="2011-01-09T21:00:00"/>
    <s v="Jan"/>
    <x v="1"/>
    <x v="0"/>
    <s v="Non-Working Day"/>
    <s v="Spring"/>
    <x v="0"/>
    <s v="Late Evening"/>
    <s v="Cold"/>
    <s v="Low"/>
    <s v="Off-Peak"/>
    <n v="0.05"/>
    <s v="Normal"/>
    <n v="1"/>
  </r>
  <r>
    <n v="208"/>
    <x v="8"/>
    <n v="1"/>
    <n v="0"/>
    <n v="1"/>
    <n v="22"/>
    <b v="0"/>
    <n v="0"/>
    <n v="1"/>
    <n v="0.14000000000000001"/>
    <n v="0.1212"/>
    <n v="0.46"/>
    <n v="0.29849999999999999"/>
    <n v="5"/>
    <n v="10"/>
    <n v="15"/>
    <s v="REC-0208"/>
    <d v="2011-01-09T22:00:00"/>
    <s v="Jan"/>
    <x v="1"/>
    <x v="0"/>
    <s v="Non-Working Day"/>
    <s v="Spring"/>
    <x v="0"/>
    <s v="Late Evening"/>
    <s v="Cold"/>
    <s v="Low"/>
    <s v="Off-Peak"/>
    <n v="0.33333333333333331"/>
    <s v="Low"/>
    <n v="1"/>
  </r>
  <r>
    <n v="209"/>
    <x v="8"/>
    <n v="1"/>
    <n v="0"/>
    <n v="1"/>
    <n v="23"/>
    <b v="0"/>
    <n v="0"/>
    <n v="1"/>
    <n v="0.12"/>
    <n v="0.13639999999999999"/>
    <n v="0.5"/>
    <n v="0.19400000000000001"/>
    <n v="0"/>
    <n v="6"/>
    <n v="6"/>
    <s v="REC-0209"/>
    <d v="2011-01-09T23:00:00"/>
    <s v="Jan"/>
    <x v="1"/>
    <x v="0"/>
    <s v="Non-Working Day"/>
    <s v="Spring"/>
    <x v="0"/>
    <s v="Late Evening"/>
    <s v="Cold"/>
    <s v="Medium"/>
    <s v="Off-Peak"/>
    <n v="0"/>
    <s v="Low"/>
    <n v="1"/>
  </r>
  <r>
    <n v="210"/>
    <x v="9"/>
    <n v="1"/>
    <n v="0"/>
    <n v="1"/>
    <n v="0"/>
    <b v="0"/>
    <n v="1"/>
    <n v="1"/>
    <n v="0.12"/>
    <n v="0.1212"/>
    <n v="0.5"/>
    <n v="0.28360000000000002"/>
    <n v="2"/>
    <n v="3"/>
    <n v="5"/>
    <s v="REC-0210"/>
    <d v="2011-01-10T00:00:00"/>
    <s v="Jan"/>
    <x v="2"/>
    <x v="1"/>
    <s v="Working Day"/>
    <s v="Spring"/>
    <x v="0"/>
    <s v="Night"/>
    <s v="Cold"/>
    <s v="Medium"/>
    <s v="Off-Peak"/>
    <n v="0.4"/>
    <s v="Low"/>
    <n v="1"/>
  </r>
  <r>
    <n v="211"/>
    <x v="9"/>
    <n v="1"/>
    <n v="0"/>
    <n v="1"/>
    <n v="1"/>
    <b v="0"/>
    <n v="1"/>
    <n v="1"/>
    <n v="0.12"/>
    <n v="0.1212"/>
    <n v="0.5"/>
    <n v="0.28360000000000002"/>
    <n v="1"/>
    <n v="0"/>
    <n v="1"/>
    <s v="REC-0211"/>
    <d v="2011-01-10T01:00:00"/>
    <s v="Jan"/>
    <x v="2"/>
    <x v="1"/>
    <s v="Working Day"/>
    <s v="Spring"/>
    <x v="0"/>
    <s v="Night"/>
    <s v="Cold"/>
    <s v="Medium"/>
    <s v="Off-Peak"/>
    <n v="1"/>
    <s v="Low"/>
    <n v="1"/>
  </r>
  <r>
    <n v="212"/>
    <x v="9"/>
    <n v="1"/>
    <n v="0"/>
    <n v="1"/>
    <n v="2"/>
    <b v="0"/>
    <n v="1"/>
    <n v="1"/>
    <n v="0.12"/>
    <n v="0.1212"/>
    <n v="0.5"/>
    <n v="0.22389999999999999"/>
    <n v="0"/>
    <n v="3"/>
    <n v="3"/>
    <s v="REC-0212"/>
    <d v="2011-01-10T02:00:00"/>
    <s v="Jan"/>
    <x v="2"/>
    <x v="1"/>
    <s v="Working Day"/>
    <s v="Spring"/>
    <x v="0"/>
    <s v="Night"/>
    <s v="Cold"/>
    <s v="Medium"/>
    <s v="Off-Peak"/>
    <n v="0"/>
    <s v="Low"/>
    <n v="1"/>
  </r>
  <r>
    <n v="213"/>
    <x v="9"/>
    <n v="1"/>
    <n v="0"/>
    <n v="1"/>
    <n v="3"/>
    <b v="0"/>
    <n v="1"/>
    <n v="1"/>
    <n v="0.12"/>
    <n v="0.1212"/>
    <n v="0.5"/>
    <n v="0.22389999999999999"/>
    <n v="0"/>
    <n v="1"/>
    <n v="1"/>
    <s v="REC-0213"/>
    <d v="2011-01-10T03:00:00"/>
    <s v="Jan"/>
    <x v="2"/>
    <x v="1"/>
    <s v="Working Day"/>
    <s v="Spring"/>
    <x v="0"/>
    <s v="Night"/>
    <s v="Cold"/>
    <s v="Medium"/>
    <s v="Off-Peak"/>
    <n v="0"/>
    <s v="Low"/>
    <n v="1"/>
  </r>
  <r>
    <n v="214"/>
    <x v="9"/>
    <n v="1"/>
    <n v="0"/>
    <n v="1"/>
    <n v="4"/>
    <b v="0"/>
    <n v="1"/>
    <n v="1"/>
    <n v="0.1"/>
    <n v="0.1212"/>
    <n v="0.54"/>
    <n v="0.1343"/>
    <n v="1"/>
    <n v="2"/>
    <n v="3"/>
    <s v="REC-0214"/>
    <d v="2011-01-10T04:00:00"/>
    <s v="Jan"/>
    <x v="2"/>
    <x v="1"/>
    <s v="Working Day"/>
    <s v="Spring"/>
    <x v="0"/>
    <s v="Night"/>
    <s v="Cold"/>
    <s v="Medium"/>
    <s v="Off-Peak"/>
    <n v="0.33333333333333331"/>
    <s v="Low"/>
    <n v="1"/>
  </r>
  <r>
    <n v="215"/>
    <x v="9"/>
    <n v="1"/>
    <n v="0"/>
    <n v="1"/>
    <n v="5"/>
    <b v="0"/>
    <n v="1"/>
    <n v="1"/>
    <n v="0.1"/>
    <n v="0.1061"/>
    <n v="0.54"/>
    <n v="0.25369999999999998"/>
    <n v="0"/>
    <n v="3"/>
    <n v="3"/>
    <s v="REC-0215"/>
    <d v="2011-01-10T05:00:00"/>
    <s v="Jan"/>
    <x v="2"/>
    <x v="1"/>
    <s v="Working Day"/>
    <s v="Spring"/>
    <x v="0"/>
    <s v="Night"/>
    <s v="Cold"/>
    <s v="Medium"/>
    <s v="Off-Peak"/>
    <n v="0"/>
    <s v="Low"/>
    <n v="1"/>
  </r>
  <r>
    <n v="216"/>
    <x v="9"/>
    <n v="1"/>
    <n v="0"/>
    <n v="1"/>
    <n v="6"/>
    <b v="0"/>
    <n v="1"/>
    <n v="1"/>
    <n v="0.12"/>
    <n v="0.1212"/>
    <n v="0.5"/>
    <n v="0.28360000000000002"/>
    <n v="0"/>
    <n v="31"/>
    <n v="31"/>
    <s v="REC-0216"/>
    <d v="2011-01-10T06:00:00"/>
    <s v="Jan"/>
    <x v="2"/>
    <x v="1"/>
    <s v="Working Day"/>
    <s v="Spring"/>
    <x v="0"/>
    <s v="Morning"/>
    <s v="Cold"/>
    <s v="Medium"/>
    <s v="Off-Peak"/>
    <n v="0"/>
    <s v="Normal"/>
    <n v="1"/>
  </r>
  <r>
    <n v="217"/>
    <x v="9"/>
    <n v="1"/>
    <n v="0"/>
    <n v="1"/>
    <n v="7"/>
    <b v="0"/>
    <n v="1"/>
    <n v="1"/>
    <n v="0.12"/>
    <n v="0.1212"/>
    <n v="0.5"/>
    <n v="0.22389999999999999"/>
    <n v="2"/>
    <n v="75"/>
    <n v="77"/>
    <s v="REC-0217"/>
    <d v="2011-01-10T07:00:00"/>
    <s v="Jan"/>
    <x v="2"/>
    <x v="1"/>
    <s v="Working Day"/>
    <s v="Spring"/>
    <x v="0"/>
    <s v="Morning"/>
    <s v="Cold"/>
    <s v="Medium"/>
    <s v="Peak"/>
    <n v="2.5974025974025976E-2"/>
    <s v="Normal"/>
    <n v="1"/>
  </r>
  <r>
    <n v="218"/>
    <x v="9"/>
    <n v="1"/>
    <n v="0"/>
    <n v="1"/>
    <n v="8"/>
    <b v="0"/>
    <n v="1"/>
    <n v="2"/>
    <n v="0.12"/>
    <n v="0.1212"/>
    <n v="0.5"/>
    <n v="0.28360000000000002"/>
    <n v="4"/>
    <n v="184"/>
    <n v="188"/>
    <s v="REC-0218"/>
    <d v="2011-01-10T08:00:00"/>
    <s v="Jan"/>
    <x v="2"/>
    <x v="1"/>
    <s v="Working Day"/>
    <s v="Spring"/>
    <x v="1"/>
    <s v="Morning"/>
    <s v="Cold"/>
    <s v="Medium"/>
    <s v="Peak"/>
    <n v="2.1276595744680851E-2"/>
    <s v="High"/>
    <n v="1"/>
  </r>
  <r>
    <n v="219"/>
    <x v="9"/>
    <n v="1"/>
    <n v="0"/>
    <n v="1"/>
    <n v="9"/>
    <b v="0"/>
    <n v="1"/>
    <n v="2"/>
    <n v="0.14000000000000001"/>
    <n v="0.1212"/>
    <n v="0.5"/>
    <n v="0.25369999999999998"/>
    <n v="2"/>
    <n v="92"/>
    <n v="94"/>
    <s v="REC-0219"/>
    <d v="2011-01-10T09:00:00"/>
    <s v="Jan"/>
    <x v="2"/>
    <x v="1"/>
    <s v="Working Day"/>
    <s v="Spring"/>
    <x v="1"/>
    <s v="Morning"/>
    <s v="Cold"/>
    <s v="Medium"/>
    <s v="Peak"/>
    <n v="2.1276595744680851E-2"/>
    <s v="High"/>
    <n v="1"/>
  </r>
  <r>
    <n v="220"/>
    <x v="9"/>
    <n v="1"/>
    <n v="0"/>
    <n v="1"/>
    <n v="10"/>
    <b v="0"/>
    <n v="1"/>
    <n v="2"/>
    <n v="0.14000000000000001"/>
    <n v="0.1212"/>
    <n v="0.5"/>
    <n v="0.29849999999999999"/>
    <n v="0"/>
    <n v="31"/>
    <n v="31"/>
    <s v="REC-0220"/>
    <d v="2011-01-10T10:00:00"/>
    <s v="Jan"/>
    <x v="2"/>
    <x v="1"/>
    <s v="Working Day"/>
    <s v="Spring"/>
    <x v="1"/>
    <s v="Morning"/>
    <s v="Cold"/>
    <s v="Medium"/>
    <s v="Off-Peak"/>
    <n v="0"/>
    <s v="Normal"/>
    <n v="1"/>
  </r>
  <r>
    <n v="221"/>
    <x v="9"/>
    <n v="1"/>
    <n v="0"/>
    <n v="1"/>
    <n v="11"/>
    <b v="0"/>
    <n v="1"/>
    <n v="2"/>
    <n v="0.16"/>
    <n v="0.13639999999999999"/>
    <n v="0.47"/>
    <n v="0.28360000000000002"/>
    <n v="2"/>
    <n v="28"/>
    <n v="30"/>
    <s v="REC-0221"/>
    <d v="2011-01-10T11:00:00"/>
    <s v="Jan"/>
    <x v="2"/>
    <x v="1"/>
    <s v="Working Day"/>
    <s v="Spring"/>
    <x v="1"/>
    <s v="Morning"/>
    <s v="Cold"/>
    <s v="Low"/>
    <s v="Off-Peak"/>
    <n v="6.6666666666666666E-2"/>
    <s v="Normal"/>
    <n v="1"/>
  </r>
  <r>
    <n v="222"/>
    <x v="9"/>
    <n v="1"/>
    <n v="0"/>
    <n v="1"/>
    <n v="12"/>
    <b v="0"/>
    <n v="1"/>
    <n v="2"/>
    <n v="0.2"/>
    <n v="0.18179999999999999"/>
    <n v="0.4"/>
    <n v="0.28360000000000002"/>
    <n v="5"/>
    <n v="47"/>
    <n v="52"/>
    <s v="REC-0222"/>
    <d v="2011-01-10T12:00:00"/>
    <s v="Jan"/>
    <x v="2"/>
    <x v="1"/>
    <s v="Working Day"/>
    <s v="Spring"/>
    <x v="1"/>
    <s v="Afternoon"/>
    <s v="Mild"/>
    <s v="Low"/>
    <s v="Off-Peak"/>
    <n v="9.6153846153846159E-2"/>
    <s v="Normal"/>
    <n v="1"/>
  </r>
  <r>
    <n v="223"/>
    <x v="9"/>
    <n v="1"/>
    <n v="0"/>
    <n v="1"/>
    <n v="13"/>
    <b v="0"/>
    <n v="1"/>
    <n v="2"/>
    <n v="0.2"/>
    <n v="0.18179999999999999"/>
    <n v="0.4"/>
    <n v="0.28360000000000002"/>
    <n v="4"/>
    <n v="50"/>
    <n v="54"/>
    <s v="REC-0223"/>
    <d v="2011-01-10T13:00:00"/>
    <s v="Jan"/>
    <x v="2"/>
    <x v="1"/>
    <s v="Working Day"/>
    <s v="Spring"/>
    <x v="1"/>
    <s v="Afternoon"/>
    <s v="Mild"/>
    <s v="Low"/>
    <s v="Off-Peak"/>
    <n v="7.407407407407407E-2"/>
    <s v="Normal"/>
    <n v="1"/>
  </r>
  <r>
    <n v="224"/>
    <x v="9"/>
    <n v="1"/>
    <n v="0"/>
    <n v="1"/>
    <n v="14"/>
    <b v="0"/>
    <n v="1"/>
    <n v="2"/>
    <n v="0.2"/>
    <n v="0.19700000000000001"/>
    <n v="0.4"/>
    <n v="0.22389999999999999"/>
    <n v="0"/>
    <n v="47"/>
    <n v="47"/>
    <s v="REC-0224"/>
    <d v="2011-01-10T14:00:00"/>
    <s v="Jan"/>
    <x v="2"/>
    <x v="1"/>
    <s v="Working Day"/>
    <s v="Spring"/>
    <x v="1"/>
    <s v="Afternoon"/>
    <s v="Mild"/>
    <s v="Low"/>
    <s v="Off-Peak"/>
    <n v="0"/>
    <s v="Normal"/>
    <n v="1"/>
  </r>
  <r>
    <n v="225"/>
    <x v="9"/>
    <n v="1"/>
    <n v="0"/>
    <n v="1"/>
    <n v="15"/>
    <b v="0"/>
    <n v="1"/>
    <n v="2"/>
    <n v="0.2"/>
    <n v="0.19700000000000001"/>
    <n v="0.4"/>
    <n v="0.22389999999999999"/>
    <n v="2"/>
    <n v="43"/>
    <n v="45"/>
    <s v="REC-0225"/>
    <d v="2011-01-10T15:00:00"/>
    <s v="Jan"/>
    <x v="2"/>
    <x v="1"/>
    <s v="Working Day"/>
    <s v="Spring"/>
    <x v="1"/>
    <s v="Afternoon"/>
    <s v="Mild"/>
    <s v="Low"/>
    <s v="Off-Peak"/>
    <n v="4.4444444444444446E-2"/>
    <s v="Normal"/>
    <n v="1"/>
  </r>
  <r>
    <n v="226"/>
    <x v="9"/>
    <n v="1"/>
    <n v="0"/>
    <n v="1"/>
    <n v="16"/>
    <b v="0"/>
    <n v="1"/>
    <n v="1"/>
    <n v="0.2"/>
    <n v="0.21210000000000001"/>
    <n v="0.4"/>
    <n v="0.1343"/>
    <n v="4"/>
    <n v="70"/>
    <n v="74"/>
    <s v="REC-0226"/>
    <d v="2011-01-10T16:00:00"/>
    <s v="Jan"/>
    <x v="2"/>
    <x v="1"/>
    <s v="Working Day"/>
    <s v="Spring"/>
    <x v="0"/>
    <s v="Afternoon"/>
    <s v="Mild"/>
    <s v="Low"/>
    <s v="Peak"/>
    <n v="5.4054054054054057E-2"/>
    <s v="Normal"/>
    <n v="1"/>
  </r>
  <r>
    <n v="227"/>
    <x v="9"/>
    <n v="1"/>
    <n v="0"/>
    <n v="1"/>
    <n v="17"/>
    <b v="0"/>
    <n v="1"/>
    <n v="1"/>
    <n v="0.2"/>
    <n v="0.2273"/>
    <n v="0.4"/>
    <n v="0.1045"/>
    <n v="4"/>
    <n v="174"/>
    <n v="178"/>
    <s v="REC-0227"/>
    <d v="2011-01-10T17:00:00"/>
    <s v="Jan"/>
    <x v="2"/>
    <x v="1"/>
    <s v="Working Day"/>
    <s v="Spring"/>
    <x v="0"/>
    <s v="Evening"/>
    <s v="Mild"/>
    <s v="Low"/>
    <s v="Peak"/>
    <n v="2.247191011235955E-2"/>
    <s v="High"/>
    <n v="1"/>
  </r>
  <r>
    <n v="228"/>
    <x v="9"/>
    <n v="1"/>
    <n v="0"/>
    <n v="1"/>
    <n v="18"/>
    <b v="0"/>
    <n v="1"/>
    <n v="1"/>
    <n v="0.2"/>
    <n v="0.19700000000000001"/>
    <n v="0.4"/>
    <n v="0.22389999999999999"/>
    <n v="1"/>
    <n v="154"/>
    <n v="155"/>
    <s v="REC-0228"/>
    <d v="2011-01-10T18:00:00"/>
    <s v="Jan"/>
    <x v="2"/>
    <x v="1"/>
    <s v="Working Day"/>
    <s v="Spring"/>
    <x v="0"/>
    <s v="Evening"/>
    <s v="Mild"/>
    <s v="Low"/>
    <s v="Peak"/>
    <n v="6.4516129032258064E-3"/>
    <s v="High"/>
    <n v="1"/>
  </r>
  <r>
    <n v="229"/>
    <x v="9"/>
    <n v="1"/>
    <n v="0"/>
    <n v="1"/>
    <n v="19"/>
    <b v="0"/>
    <n v="1"/>
    <n v="1"/>
    <n v="0.16"/>
    <n v="0.16669999999999999"/>
    <n v="0.47"/>
    <n v="0.16420000000000001"/>
    <n v="3"/>
    <n v="92"/>
    <n v="95"/>
    <s v="REC-0229"/>
    <d v="2011-01-10T19:00:00"/>
    <s v="Jan"/>
    <x v="2"/>
    <x v="1"/>
    <s v="Working Day"/>
    <s v="Spring"/>
    <x v="0"/>
    <s v="Evening"/>
    <s v="Cold"/>
    <s v="Low"/>
    <s v="Peak"/>
    <n v="3.1578947368421054E-2"/>
    <s v="High"/>
    <n v="1"/>
  </r>
  <r>
    <n v="230"/>
    <x v="9"/>
    <n v="1"/>
    <n v="0"/>
    <n v="1"/>
    <n v="20"/>
    <b v="0"/>
    <n v="1"/>
    <n v="1"/>
    <n v="0.16"/>
    <n v="0.16669999999999999"/>
    <n v="0.5"/>
    <n v="0.16420000000000001"/>
    <n v="1"/>
    <n v="73"/>
    <n v="74"/>
    <s v="REC-0230"/>
    <d v="2011-01-10T20:00:00"/>
    <s v="Jan"/>
    <x v="2"/>
    <x v="1"/>
    <s v="Working Day"/>
    <s v="Spring"/>
    <x v="0"/>
    <s v="Evening"/>
    <s v="Cold"/>
    <s v="Medium"/>
    <s v="Off-Peak"/>
    <n v="1.3513513513513514E-2"/>
    <s v="Normal"/>
    <n v="1"/>
  </r>
  <r>
    <n v="231"/>
    <x v="9"/>
    <n v="1"/>
    <n v="0"/>
    <n v="1"/>
    <n v="21"/>
    <b v="0"/>
    <n v="1"/>
    <n v="1"/>
    <n v="0.14000000000000001"/>
    <n v="0.13639999999999999"/>
    <n v="0.59"/>
    <n v="0.19400000000000001"/>
    <n v="1"/>
    <n v="37"/>
    <n v="38"/>
    <s v="REC-0231"/>
    <d v="2011-01-10T21:00:00"/>
    <s v="Jan"/>
    <x v="2"/>
    <x v="1"/>
    <s v="Working Day"/>
    <s v="Spring"/>
    <x v="0"/>
    <s v="Late Evening"/>
    <s v="Cold"/>
    <s v="Medium"/>
    <s v="Off-Peak"/>
    <n v="2.6315789473684209E-2"/>
    <s v="Normal"/>
    <n v="1"/>
  </r>
  <r>
    <n v="232"/>
    <x v="9"/>
    <n v="1"/>
    <n v="0"/>
    <n v="1"/>
    <n v="22"/>
    <b v="0"/>
    <n v="1"/>
    <n v="1"/>
    <n v="0.14000000000000001"/>
    <n v="0.1515"/>
    <n v="0.59"/>
    <n v="0.16420000000000001"/>
    <n v="2"/>
    <n v="22"/>
    <n v="24"/>
    <s v="REC-0232"/>
    <d v="2011-01-10T22:00:00"/>
    <s v="Jan"/>
    <x v="2"/>
    <x v="1"/>
    <s v="Working Day"/>
    <s v="Spring"/>
    <x v="0"/>
    <s v="Late Evening"/>
    <s v="Cold"/>
    <s v="Medium"/>
    <s v="Off-Peak"/>
    <n v="8.3333333333333329E-2"/>
    <s v="Normal"/>
    <n v="1"/>
  </r>
  <r>
    <n v="233"/>
    <x v="9"/>
    <n v="1"/>
    <n v="0"/>
    <n v="1"/>
    <n v="23"/>
    <b v="0"/>
    <n v="1"/>
    <n v="1"/>
    <n v="0.14000000000000001"/>
    <n v="0.1515"/>
    <n v="0.59"/>
    <n v="0.16420000000000001"/>
    <n v="0"/>
    <n v="18"/>
    <n v="18"/>
    <s v="REC-0233"/>
    <d v="2011-01-10T23:00:00"/>
    <s v="Jan"/>
    <x v="2"/>
    <x v="1"/>
    <s v="Working Day"/>
    <s v="Spring"/>
    <x v="0"/>
    <s v="Late Evening"/>
    <s v="Cold"/>
    <s v="Medium"/>
    <s v="Off-Peak"/>
    <n v="0"/>
    <s v="Normal"/>
    <n v="1"/>
  </r>
  <r>
    <n v="234"/>
    <x v="10"/>
    <n v="1"/>
    <n v="0"/>
    <n v="1"/>
    <n v="0"/>
    <b v="0"/>
    <n v="2"/>
    <n v="1"/>
    <n v="0.14000000000000001"/>
    <n v="0.16669999999999999"/>
    <n v="0.59"/>
    <n v="0.1045"/>
    <n v="2"/>
    <n v="10"/>
    <n v="12"/>
    <s v="REC-0234"/>
    <d v="2011-01-11T00:00:00"/>
    <s v="Jan"/>
    <x v="3"/>
    <x v="1"/>
    <s v="Working Day"/>
    <s v="Spring"/>
    <x v="0"/>
    <s v="Night"/>
    <s v="Cold"/>
    <s v="Medium"/>
    <s v="Off-Peak"/>
    <n v="0.16666666666666666"/>
    <s v="Low"/>
    <n v="1"/>
  </r>
  <r>
    <n v="235"/>
    <x v="10"/>
    <n v="1"/>
    <n v="0"/>
    <n v="1"/>
    <n v="1"/>
    <b v="0"/>
    <n v="2"/>
    <n v="1"/>
    <n v="0.14000000000000001"/>
    <n v="0.1515"/>
    <n v="0.59"/>
    <n v="0.16420000000000001"/>
    <n v="0"/>
    <n v="3"/>
    <n v="3"/>
    <s v="REC-0235"/>
    <d v="2011-01-11T01:00:00"/>
    <s v="Jan"/>
    <x v="3"/>
    <x v="1"/>
    <s v="Working Day"/>
    <s v="Spring"/>
    <x v="0"/>
    <s v="Night"/>
    <s v="Cold"/>
    <s v="Medium"/>
    <s v="Off-Peak"/>
    <n v="0"/>
    <s v="Low"/>
    <n v="1"/>
  </r>
  <r>
    <n v="236"/>
    <x v="10"/>
    <n v="1"/>
    <n v="0"/>
    <n v="1"/>
    <n v="2"/>
    <b v="0"/>
    <n v="2"/>
    <n v="2"/>
    <n v="0.16"/>
    <n v="0.1515"/>
    <n v="0.55000000000000004"/>
    <n v="0.19400000000000001"/>
    <n v="0"/>
    <n v="3"/>
    <n v="3"/>
    <s v="REC-0236"/>
    <d v="2011-01-11T02:00:00"/>
    <s v="Jan"/>
    <x v="3"/>
    <x v="1"/>
    <s v="Working Day"/>
    <s v="Spring"/>
    <x v="1"/>
    <s v="Night"/>
    <s v="Cold"/>
    <s v="Medium"/>
    <s v="Off-Peak"/>
    <n v="0"/>
    <s v="Low"/>
    <n v="1"/>
  </r>
  <r>
    <n v="237"/>
    <x v="10"/>
    <n v="1"/>
    <n v="0"/>
    <n v="1"/>
    <n v="5"/>
    <b v="0"/>
    <n v="2"/>
    <n v="2"/>
    <n v="0.16"/>
    <n v="0.18179999999999999"/>
    <n v="0.55000000000000004"/>
    <n v="0.1343"/>
    <n v="0"/>
    <n v="6"/>
    <n v="6"/>
    <s v="REC-0237"/>
    <d v="2011-01-11T05:00:00"/>
    <s v="Jan"/>
    <x v="3"/>
    <x v="1"/>
    <s v="Working Day"/>
    <s v="Spring"/>
    <x v="1"/>
    <s v="Night"/>
    <s v="Cold"/>
    <s v="Medium"/>
    <s v="Off-Peak"/>
    <n v="0"/>
    <s v="Low"/>
    <n v="1"/>
  </r>
  <r>
    <n v="238"/>
    <x v="10"/>
    <n v="1"/>
    <n v="0"/>
    <n v="1"/>
    <n v="6"/>
    <b v="0"/>
    <n v="2"/>
    <n v="2"/>
    <n v="0.16"/>
    <n v="0.18179999999999999"/>
    <n v="0.55000000000000004"/>
    <n v="0.1343"/>
    <n v="0"/>
    <n v="27"/>
    <n v="27"/>
    <s v="REC-0238"/>
    <d v="2011-01-11T06:00:00"/>
    <s v="Jan"/>
    <x v="3"/>
    <x v="1"/>
    <s v="Working Day"/>
    <s v="Spring"/>
    <x v="1"/>
    <s v="Morning"/>
    <s v="Cold"/>
    <s v="Medium"/>
    <s v="Off-Peak"/>
    <n v="0"/>
    <s v="Normal"/>
    <n v="1"/>
  </r>
  <r>
    <n v="239"/>
    <x v="10"/>
    <n v="1"/>
    <n v="0"/>
    <n v="1"/>
    <n v="7"/>
    <b v="0"/>
    <n v="2"/>
    <n v="2"/>
    <n v="0.16"/>
    <n v="0.2273"/>
    <n v="0.55000000000000004"/>
    <n v="0"/>
    <n v="2"/>
    <n v="97"/>
    <n v="99"/>
    <s v="REC-0239"/>
    <d v="2011-01-11T07:00:00"/>
    <s v="Jan"/>
    <x v="3"/>
    <x v="1"/>
    <s v="Working Day"/>
    <s v="Spring"/>
    <x v="1"/>
    <s v="Morning"/>
    <s v="Cold"/>
    <s v="Medium"/>
    <s v="Peak"/>
    <n v="2.0202020202020204E-2"/>
    <s v="High"/>
    <n v="1"/>
  </r>
  <r>
    <n v="240"/>
    <x v="10"/>
    <n v="1"/>
    <n v="0"/>
    <n v="1"/>
    <n v="8"/>
    <b v="0"/>
    <n v="2"/>
    <n v="2"/>
    <n v="0.18"/>
    <n v="0.21210000000000001"/>
    <n v="0.51"/>
    <n v="8.9599999999999999E-2"/>
    <n v="3"/>
    <n v="214"/>
    <n v="217"/>
    <s v="REC-0240"/>
    <d v="2011-01-11T08:00:00"/>
    <s v="Jan"/>
    <x v="3"/>
    <x v="1"/>
    <s v="Working Day"/>
    <s v="Spring"/>
    <x v="1"/>
    <s v="Morning"/>
    <s v="Cold"/>
    <s v="Medium"/>
    <s v="Peak"/>
    <n v="1.3824884792626729E-2"/>
    <s v="High"/>
    <n v="1"/>
  </r>
  <r>
    <n v="241"/>
    <x v="10"/>
    <n v="1"/>
    <n v="0"/>
    <n v="1"/>
    <n v="9"/>
    <b v="0"/>
    <n v="2"/>
    <n v="2"/>
    <n v="0.18"/>
    <n v="0.19700000000000001"/>
    <n v="0.51"/>
    <n v="0.16420000000000001"/>
    <n v="3"/>
    <n v="127"/>
    <n v="130"/>
    <s v="REC-0241"/>
    <d v="2011-01-11T09:00:00"/>
    <s v="Jan"/>
    <x v="3"/>
    <x v="1"/>
    <s v="Working Day"/>
    <s v="Spring"/>
    <x v="1"/>
    <s v="Morning"/>
    <s v="Cold"/>
    <s v="Medium"/>
    <s v="Peak"/>
    <n v="2.3076923076923078E-2"/>
    <s v="High"/>
    <n v="1"/>
  </r>
  <r>
    <n v="242"/>
    <x v="10"/>
    <n v="1"/>
    <n v="0"/>
    <n v="1"/>
    <n v="10"/>
    <b v="0"/>
    <n v="2"/>
    <n v="2"/>
    <n v="0.2"/>
    <n v="0.21210000000000001"/>
    <n v="0.51"/>
    <n v="0.16420000000000001"/>
    <n v="3"/>
    <n v="51"/>
    <n v="54"/>
    <s v="REC-0242"/>
    <d v="2011-01-11T10:00:00"/>
    <s v="Jan"/>
    <x v="3"/>
    <x v="1"/>
    <s v="Working Day"/>
    <s v="Spring"/>
    <x v="1"/>
    <s v="Morning"/>
    <s v="Mild"/>
    <s v="Medium"/>
    <s v="Off-Peak"/>
    <n v="5.5555555555555552E-2"/>
    <s v="Normal"/>
    <n v="1"/>
  </r>
  <r>
    <n v="243"/>
    <x v="10"/>
    <n v="1"/>
    <n v="0"/>
    <n v="1"/>
    <n v="11"/>
    <b v="0"/>
    <n v="2"/>
    <n v="2"/>
    <n v="0.2"/>
    <n v="0.21210000000000001"/>
    <n v="0.47"/>
    <n v="0.1343"/>
    <n v="4"/>
    <n v="31"/>
    <n v="35"/>
    <s v="REC-0243"/>
    <d v="2011-01-11T11:00:00"/>
    <s v="Jan"/>
    <x v="3"/>
    <x v="1"/>
    <s v="Working Day"/>
    <s v="Spring"/>
    <x v="1"/>
    <s v="Morning"/>
    <s v="Mild"/>
    <s v="Low"/>
    <s v="Off-Peak"/>
    <n v="0.11428571428571428"/>
    <s v="Normal"/>
    <n v="1"/>
  </r>
  <r>
    <n v="244"/>
    <x v="10"/>
    <n v="1"/>
    <n v="0"/>
    <n v="1"/>
    <n v="12"/>
    <b v="0"/>
    <n v="2"/>
    <n v="2"/>
    <n v="0.2"/>
    <n v="0.2273"/>
    <n v="0.51"/>
    <n v="0.1045"/>
    <n v="2"/>
    <n v="55"/>
    <n v="57"/>
    <s v="REC-0244"/>
    <d v="2011-01-11T12:00:00"/>
    <s v="Jan"/>
    <x v="3"/>
    <x v="1"/>
    <s v="Working Day"/>
    <s v="Spring"/>
    <x v="1"/>
    <s v="Afternoon"/>
    <s v="Mild"/>
    <s v="Medium"/>
    <s v="Off-Peak"/>
    <n v="3.5087719298245612E-2"/>
    <s v="Normal"/>
    <n v="1"/>
  </r>
  <r>
    <n v="245"/>
    <x v="10"/>
    <n v="1"/>
    <n v="0"/>
    <n v="1"/>
    <n v="13"/>
    <b v="0"/>
    <n v="2"/>
    <n v="2"/>
    <n v="0.2"/>
    <n v="0.2273"/>
    <n v="0.59"/>
    <n v="8.9599999999999999E-2"/>
    <n v="6"/>
    <n v="46"/>
    <n v="52"/>
    <s v="REC-0245"/>
    <d v="2011-01-11T13:00:00"/>
    <s v="Jan"/>
    <x v="3"/>
    <x v="1"/>
    <s v="Working Day"/>
    <s v="Spring"/>
    <x v="1"/>
    <s v="Afternoon"/>
    <s v="Mild"/>
    <s v="Medium"/>
    <s v="Off-Peak"/>
    <n v="0.11538461538461539"/>
    <s v="Normal"/>
    <n v="1"/>
  </r>
  <r>
    <n v="246"/>
    <x v="10"/>
    <n v="1"/>
    <n v="0"/>
    <n v="1"/>
    <n v="14"/>
    <b v="0"/>
    <n v="2"/>
    <n v="2"/>
    <n v="0.2"/>
    <n v="0.2273"/>
    <n v="0.59"/>
    <n v="8.9599999999999999E-2"/>
    <n v="3"/>
    <n v="60"/>
    <n v="63"/>
    <s v="REC-0246"/>
    <d v="2011-01-11T14:00:00"/>
    <s v="Jan"/>
    <x v="3"/>
    <x v="1"/>
    <s v="Working Day"/>
    <s v="Spring"/>
    <x v="1"/>
    <s v="Afternoon"/>
    <s v="Mild"/>
    <s v="Medium"/>
    <s v="Off-Peak"/>
    <n v="4.7619047619047616E-2"/>
    <s v="Normal"/>
    <n v="1"/>
  </r>
  <r>
    <n v="247"/>
    <x v="10"/>
    <n v="1"/>
    <n v="0"/>
    <n v="1"/>
    <n v="15"/>
    <b v="0"/>
    <n v="2"/>
    <n v="2"/>
    <n v="0.16"/>
    <n v="0.19700000000000001"/>
    <n v="0.8"/>
    <n v="8.9599999999999999E-2"/>
    <n v="2"/>
    <n v="45"/>
    <n v="47"/>
    <s v="REC-0247"/>
    <d v="2011-01-11T15:00:00"/>
    <s v="Jan"/>
    <x v="3"/>
    <x v="1"/>
    <s v="Working Day"/>
    <s v="Spring"/>
    <x v="1"/>
    <s v="Afternoon"/>
    <s v="Cold"/>
    <s v="High"/>
    <s v="Off-Peak"/>
    <n v="4.2553191489361701E-2"/>
    <s v="Normal"/>
    <n v="1"/>
  </r>
  <r>
    <n v="248"/>
    <x v="10"/>
    <n v="1"/>
    <n v="0"/>
    <n v="1"/>
    <n v="16"/>
    <b v="0"/>
    <n v="2"/>
    <n v="2"/>
    <n v="0.16"/>
    <n v="0.1515"/>
    <n v="0.86"/>
    <n v="0.22389999999999999"/>
    <n v="4"/>
    <n v="72"/>
    <n v="76"/>
    <s v="REC-0248"/>
    <d v="2011-01-11T16:00:00"/>
    <s v="Jan"/>
    <x v="3"/>
    <x v="1"/>
    <s v="Working Day"/>
    <s v="Spring"/>
    <x v="1"/>
    <s v="Afternoon"/>
    <s v="Cold"/>
    <s v="High"/>
    <s v="Peak"/>
    <n v="5.2631578947368418E-2"/>
    <s v="Normal"/>
    <n v="1"/>
  </r>
  <r>
    <n v="249"/>
    <x v="10"/>
    <n v="1"/>
    <n v="0"/>
    <n v="1"/>
    <n v="17"/>
    <b v="0"/>
    <n v="2"/>
    <n v="2"/>
    <n v="0.16"/>
    <n v="0.1515"/>
    <n v="0.86"/>
    <n v="0.22389999999999999"/>
    <n v="6"/>
    <n v="130"/>
    <n v="136"/>
    <s v="REC-0249"/>
    <d v="2011-01-11T17:00:00"/>
    <s v="Jan"/>
    <x v="3"/>
    <x v="1"/>
    <s v="Working Day"/>
    <s v="Spring"/>
    <x v="1"/>
    <s v="Evening"/>
    <s v="Cold"/>
    <s v="High"/>
    <s v="Peak"/>
    <n v="4.4117647058823532E-2"/>
    <s v="High"/>
    <n v="1"/>
  </r>
  <r>
    <n v="250"/>
    <x v="10"/>
    <n v="1"/>
    <n v="0"/>
    <n v="1"/>
    <n v="18"/>
    <b v="0"/>
    <n v="2"/>
    <n v="3"/>
    <n v="0.16"/>
    <n v="0.18179999999999999"/>
    <n v="0.93"/>
    <n v="0.1045"/>
    <n v="1"/>
    <n v="94"/>
    <n v="95"/>
    <s v="REC-0250"/>
    <d v="2011-01-11T18:00:00"/>
    <s v="Jan"/>
    <x v="3"/>
    <x v="1"/>
    <s v="Working Day"/>
    <s v="Spring"/>
    <x v="2"/>
    <s v="Evening"/>
    <s v="Cold"/>
    <s v="High"/>
    <s v="Peak"/>
    <n v="1.0526315789473684E-2"/>
    <s v="High"/>
    <n v="1"/>
  </r>
  <r>
    <n v="251"/>
    <x v="10"/>
    <n v="1"/>
    <n v="0"/>
    <n v="1"/>
    <n v="19"/>
    <b v="0"/>
    <n v="2"/>
    <n v="3"/>
    <n v="0.16"/>
    <n v="0.2273"/>
    <n v="0.93"/>
    <n v="0"/>
    <n v="0"/>
    <n v="51"/>
    <n v="51"/>
    <s v="REC-0251"/>
    <d v="2011-01-11T19:00:00"/>
    <s v="Jan"/>
    <x v="3"/>
    <x v="1"/>
    <s v="Working Day"/>
    <s v="Spring"/>
    <x v="2"/>
    <s v="Evening"/>
    <s v="Cold"/>
    <s v="High"/>
    <s v="Peak"/>
    <n v="0"/>
    <s v="Normal"/>
    <n v="1"/>
  </r>
  <r>
    <n v="252"/>
    <x v="10"/>
    <n v="1"/>
    <n v="0"/>
    <n v="1"/>
    <n v="20"/>
    <b v="0"/>
    <n v="2"/>
    <n v="3"/>
    <n v="0.16"/>
    <n v="0.1515"/>
    <n v="0.93"/>
    <n v="0.19400000000000001"/>
    <n v="0"/>
    <n v="32"/>
    <n v="32"/>
    <s v="REC-0252"/>
    <d v="2011-01-11T20:00:00"/>
    <s v="Jan"/>
    <x v="3"/>
    <x v="1"/>
    <s v="Working Day"/>
    <s v="Spring"/>
    <x v="2"/>
    <s v="Evening"/>
    <s v="Cold"/>
    <s v="High"/>
    <s v="Off-Peak"/>
    <n v="0"/>
    <s v="Normal"/>
    <n v="1"/>
  </r>
  <r>
    <n v="253"/>
    <x v="10"/>
    <n v="1"/>
    <n v="0"/>
    <n v="1"/>
    <n v="21"/>
    <b v="0"/>
    <n v="2"/>
    <n v="3"/>
    <n v="0.16"/>
    <n v="0.19700000000000001"/>
    <n v="0.86"/>
    <n v="8.9599999999999999E-2"/>
    <n v="0"/>
    <n v="20"/>
    <n v="20"/>
    <s v="REC-0253"/>
    <d v="2011-01-11T21:00:00"/>
    <s v="Jan"/>
    <x v="3"/>
    <x v="1"/>
    <s v="Working Day"/>
    <s v="Spring"/>
    <x v="2"/>
    <s v="Late Evening"/>
    <s v="Cold"/>
    <s v="High"/>
    <s v="Off-Peak"/>
    <n v="0"/>
    <s v="Normal"/>
    <n v="1"/>
  </r>
  <r>
    <n v="254"/>
    <x v="10"/>
    <n v="1"/>
    <n v="0"/>
    <n v="1"/>
    <n v="22"/>
    <b v="0"/>
    <n v="2"/>
    <n v="3"/>
    <n v="0.16"/>
    <n v="0.18179999999999999"/>
    <n v="0.93"/>
    <n v="0.1045"/>
    <n v="1"/>
    <n v="28"/>
    <n v="29"/>
    <s v="REC-0254"/>
    <d v="2011-01-11T22:00:00"/>
    <s v="Jan"/>
    <x v="3"/>
    <x v="1"/>
    <s v="Working Day"/>
    <s v="Spring"/>
    <x v="2"/>
    <s v="Late Evening"/>
    <s v="Cold"/>
    <s v="High"/>
    <s v="Off-Peak"/>
    <n v="3.4482758620689655E-2"/>
    <s v="Normal"/>
    <n v="1"/>
  </r>
  <r>
    <n v="255"/>
    <x v="10"/>
    <n v="1"/>
    <n v="0"/>
    <n v="1"/>
    <n v="23"/>
    <b v="0"/>
    <n v="2"/>
    <n v="3"/>
    <n v="0.16"/>
    <n v="0.19700000000000001"/>
    <n v="0.93"/>
    <n v="8.9599999999999999E-2"/>
    <n v="1"/>
    <n v="18"/>
    <n v="19"/>
    <s v="REC-0255"/>
    <d v="2011-01-11T23:00:00"/>
    <s v="Jan"/>
    <x v="3"/>
    <x v="1"/>
    <s v="Working Day"/>
    <s v="Spring"/>
    <x v="2"/>
    <s v="Late Evening"/>
    <s v="Cold"/>
    <s v="High"/>
    <s v="Off-Peak"/>
    <n v="5.2631578947368418E-2"/>
    <s v="Normal"/>
    <n v="1"/>
  </r>
  <r>
    <n v="256"/>
    <x v="11"/>
    <n v="1"/>
    <n v="0"/>
    <n v="1"/>
    <n v="0"/>
    <b v="0"/>
    <n v="3"/>
    <n v="2"/>
    <n v="0.16"/>
    <n v="0.19700000000000001"/>
    <n v="0.86"/>
    <n v="8.9599999999999999E-2"/>
    <n v="0"/>
    <n v="7"/>
    <n v="7"/>
    <s v="REC-0256"/>
    <d v="2011-01-12T00:00:00"/>
    <s v="Jan"/>
    <x v="4"/>
    <x v="1"/>
    <s v="Working Day"/>
    <s v="Spring"/>
    <x v="1"/>
    <s v="Night"/>
    <s v="Cold"/>
    <s v="High"/>
    <s v="Off-Peak"/>
    <n v="0"/>
    <s v="Low"/>
    <n v="1"/>
  </r>
  <r>
    <n v="257"/>
    <x v="11"/>
    <n v="1"/>
    <n v="0"/>
    <n v="1"/>
    <n v="1"/>
    <b v="0"/>
    <n v="3"/>
    <n v="2"/>
    <n v="0.16"/>
    <n v="0.18179999999999999"/>
    <n v="0.86"/>
    <n v="0.1045"/>
    <n v="0"/>
    <n v="6"/>
    <n v="6"/>
    <s v="REC-0257"/>
    <d v="2011-01-12T01:00:00"/>
    <s v="Jan"/>
    <x v="4"/>
    <x v="1"/>
    <s v="Working Day"/>
    <s v="Spring"/>
    <x v="1"/>
    <s v="Night"/>
    <s v="Cold"/>
    <s v="High"/>
    <s v="Off-Peak"/>
    <n v="0"/>
    <s v="Low"/>
    <n v="1"/>
  </r>
  <r>
    <n v="258"/>
    <x v="11"/>
    <n v="1"/>
    <n v="0"/>
    <n v="1"/>
    <n v="2"/>
    <b v="0"/>
    <n v="3"/>
    <n v="1"/>
    <n v="0.14000000000000001"/>
    <n v="0.1515"/>
    <n v="0.86"/>
    <n v="0.1343"/>
    <n v="0"/>
    <n v="1"/>
    <n v="1"/>
    <s v="REC-0258"/>
    <d v="2011-01-12T02:00:00"/>
    <s v="Jan"/>
    <x v="4"/>
    <x v="1"/>
    <s v="Working Day"/>
    <s v="Spring"/>
    <x v="0"/>
    <s v="Night"/>
    <s v="Cold"/>
    <s v="High"/>
    <s v="Off-Peak"/>
    <n v="0"/>
    <s v="Low"/>
    <n v="1"/>
  </r>
  <r>
    <n v="259"/>
    <x v="11"/>
    <n v="1"/>
    <n v="0"/>
    <n v="1"/>
    <n v="5"/>
    <b v="0"/>
    <n v="3"/>
    <n v="1"/>
    <n v="0.14000000000000001"/>
    <n v="0.1515"/>
    <n v="0.86"/>
    <n v="0.16420000000000001"/>
    <n v="0"/>
    <n v="5"/>
    <n v="5"/>
    <s v="REC-0259"/>
    <d v="2011-01-12T05:00:00"/>
    <s v="Jan"/>
    <x v="4"/>
    <x v="1"/>
    <s v="Working Day"/>
    <s v="Spring"/>
    <x v="0"/>
    <s v="Night"/>
    <s v="Cold"/>
    <s v="High"/>
    <s v="Off-Peak"/>
    <n v="0"/>
    <s v="Low"/>
    <n v="1"/>
  </r>
  <r>
    <n v="260"/>
    <x v="11"/>
    <n v="1"/>
    <n v="0"/>
    <n v="1"/>
    <n v="6"/>
    <b v="0"/>
    <n v="3"/>
    <n v="1"/>
    <n v="0.12"/>
    <n v="0.1515"/>
    <n v="0.93"/>
    <n v="0.1343"/>
    <n v="0"/>
    <n v="16"/>
    <n v="16"/>
    <s v="REC-0260"/>
    <d v="2011-01-12T06:00:00"/>
    <s v="Jan"/>
    <x v="4"/>
    <x v="1"/>
    <s v="Working Day"/>
    <s v="Spring"/>
    <x v="0"/>
    <s v="Morning"/>
    <s v="Cold"/>
    <s v="High"/>
    <s v="Off-Peak"/>
    <n v="0"/>
    <s v="Low"/>
    <n v="1"/>
  </r>
  <r>
    <n v="261"/>
    <x v="11"/>
    <n v="1"/>
    <n v="0"/>
    <n v="1"/>
    <n v="7"/>
    <b v="0"/>
    <n v="3"/>
    <n v="1"/>
    <n v="0.14000000000000001"/>
    <n v="0.1515"/>
    <n v="0.69"/>
    <n v="0.1343"/>
    <n v="0"/>
    <n v="54"/>
    <n v="54"/>
    <s v="REC-0261"/>
    <d v="2011-01-12T07:00:00"/>
    <s v="Jan"/>
    <x v="4"/>
    <x v="1"/>
    <s v="Working Day"/>
    <s v="Spring"/>
    <x v="0"/>
    <s v="Morning"/>
    <s v="Cold"/>
    <s v="Medium"/>
    <s v="Peak"/>
    <n v="0"/>
    <s v="Normal"/>
    <n v="1"/>
  </r>
  <r>
    <n v="262"/>
    <x v="11"/>
    <n v="1"/>
    <n v="0"/>
    <n v="1"/>
    <n v="8"/>
    <b v="0"/>
    <n v="3"/>
    <n v="1"/>
    <n v="0.16"/>
    <n v="0.16669999999999999"/>
    <n v="0.59"/>
    <n v="0.16420000000000001"/>
    <n v="3"/>
    <n v="125"/>
    <n v="128"/>
    <s v="REC-0262"/>
    <d v="2011-01-12T08:00:00"/>
    <s v="Jan"/>
    <x v="4"/>
    <x v="1"/>
    <s v="Working Day"/>
    <s v="Spring"/>
    <x v="0"/>
    <s v="Morning"/>
    <s v="Cold"/>
    <s v="Medium"/>
    <s v="Peak"/>
    <n v="2.34375E-2"/>
    <s v="High"/>
    <n v="1"/>
  </r>
  <r>
    <n v="263"/>
    <x v="11"/>
    <n v="1"/>
    <n v="0"/>
    <n v="1"/>
    <n v="9"/>
    <b v="0"/>
    <n v="3"/>
    <n v="1"/>
    <n v="0.16"/>
    <n v="0.13639999999999999"/>
    <n v="0.59"/>
    <n v="0.32840000000000003"/>
    <n v="3"/>
    <n v="78"/>
    <n v="81"/>
    <s v="REC-0263"/>
    <d v="2011-01-12T09:00:00"/>
    <s v="Jan"/>
    <x v="4"/>
    <x v="1"/>
    <s v="Working Day"/>
    <s v="Spring"/>
    <x v="0"/>
    <s v="Morning"/>
    <s v="Cold"/>
    <s v="Medium"/>
    <s v="Peak"/>
    <n v="3.7037037037037035E-2"/>
    <s v="Normal"/>
    <n v="1"/>
  </r>
  <r>
    <n v="264"/>
    <x v="11"/>
    <n v="1"/>
    <n v="0"/>
    <n v="1"/>
    <n v="10"/>
    <b v="0"/>
    <n v="3"/>
    <n v="1"/>
    <n v="0.18"/>
    <n v="0.18179999999999999"/>
    <n v="0.55000000000000004"/>
    <n v="0.22389999999999999"/>
    <n v="0"/>
    <n v="39"/>
    <n v="39"/>
    <s v="REC-0264"/>
    <d v="2011-01-12T10:00:00"/>
    <s v="Jan"/>
    <x v="4"/>
    <x v="1"/>
    <s v="Working Day"/>
    <s v="Spring"/>
    <x v="0"/>
    <s v="Morning"/>
    <s v="Cold"/>
    <s v="Medium"/>
    <s v="Off-Peak"/>
    <n v="0"/>
    <s v="Normal"/>
    <n v="1"/>
  </r>
  <r>
    <n v="265"/>
    <x v="11"/>
    <n v="1"/>
    <n v="0"/>
    <n v="1"/>
    <n v="11"/>
    <b v="0"/>
    <n v="3"/>
    <n v="1"/>
    <n v="0.2"/>
    <n v="0.18179999999999999"/>
    <n v="0.51"/>
    <n v="0.3881"/>
    <n v="3"/>
    <n v="32"/>
    <n v="35"/>
    <s v="REC-0265"/>
    <d v="2011-01-12T11:00:00"/>
    <s v="Jan"/>
    <x v="4"/>
    <x v="1"/>
    <s v="Working Day"/>
    <s v="Spring"/>
    <x v="0"/>
    <s v="Morning"/>
    <s v="Mild"/>
    <s v="Medium"/>
    <s v="Off-Peak"/>
    <n v="8.5714285714285715E-2"/>
    <s v="Normal"/>
    <n v="1"/>
  </r>
  <r>
    <n v="266"/>
    <x v="11"/>
    <n v="1"/>
    <n v="0"/>
    <n v="1"/>
    <n v="12"/>
    <b v="0"/>
    <n v="3"/>
    <n v="1"/>
    <n v="0.2"/>
    <n v="0.1515"/>
    <n v="0.47"/>
    <n v="0.58209999999999995"/>
    <n v="3"/>
    <n v="52"/>
    <n v="55"/>
    <s v="REC-0266"/>
    <d v="2011-01-12T12:00:00"/>
    <s v="Jan"/>
    <x v="4"/>
    <x v="1"/>
    <s v="Working Day"/>
    <s v="Spring"/>
    <x v="0"/>
    <s v="Afternoon"/>
    <s v="Mild"/>
    <s v="Low"/>
    <s v="Off-Peak"/>
    <n v="5.4545454545454543E-2"/>
    <s v="Normal"/>
    <n v="1"/>
  </r>
  <r>
    <n v="267"/>
    <x v="11"/>
    <n v="1"/>
    <n v="0"/>
    <n v="1"/>
    <n v="13"/>
    <b v="0"/>
    <n v="3"/>
    <n v="1"/>
    <n v="0.22"/>
    <n v="0.19700000000000001"/>
    <n v="0.44"/>
    <n v="0.35820000000000002"/>
    <n v="0"/>
    <n v="49"/>
    <n v="49"/>
    <s v="REC-0267"/>
    <d v="2011-01-12T13:00:00"/>
    <s v="Jan"/>
    <x v="4"/>
    <x v="1"/>
    <s v="Working Day"/>
    <s v="Spring"/>
    <x v="0"/>
    <s v="Afternoon"/>
    <s v="Mild"/>
    <s v="Low"/>
    <s v="Off-Peak"/>
    <n v="0"/>
    <s v="Normal"/>
    <n v="1"/>
  </r>
  <r>
    <n v="268"/>
    <x v="11"/>
    <n v="1"/>
    <n v="0"/>
    <n v="1"/>
    <n v="14"/>
    <b v="0"/>
    <n v="3"/>
    <n v="1"/>
    <n v="0.2"/>
    <n v="0.18179999999999999"/>
    <n v="0.47"/>
    <n v="0.32840000000000003"/>
    <n v="0"/>
    <n v="44"/>
    <n v="44"/>
    <s v="REC-0268"/>
    <d v="2011-01-12T14:00:00"/>
    <s v="Jan"/>
    <x v="4"/>
    <x v="1"/>
    <s v="Working Day"/>
    <s v="Spring"/>
    <x v="0"/>
    <s v="Afternoon"/>
    <s v="Mild"/>
    <s v="Low"/>
    <s v="Off-Peak"/>
    <n v="0"/>
    <s v="Normal"/>
    <n v="1"/>
  </r>
  <r>
    <n v="269"/>
    <x v="11"/>
    <n v="1"/>
    <n v="0"/>
    <n v="1"/>
    <n v="15"/>
    <b v="0"/>
    <n v="3"/>
    <n v="1"/>
    <n v="0.2"/>
    <n v="0.16669999999999999"/>
    <n v="0.47"/>
    <n v="0.41789999999999999"/>
    <n v="1"/>
    <n v="48"/>
    <n v="49"/>
    <s v="REC-0269"/>
    <d v="2011-01-12T15:00:00"/>
    <s v="Jan"/>
    <x v="4"/>
    <x v="1"/>
    <s v="Working Day"/>
    <s v="Spring"/>
    <x v="0"/>
    <s v="Afternoon"/>
    <s v="Mild"/>
    <s v="Low"/>
    <s v="Off-Peak"/>
    <n v="2.0408163265306121E-2"/>
    <s v="Normal"/>
    <n v="1"/>
  </r>
  <r>
    <n v="270"/>
    <x v="11"/>
    <n v="1"/>
    <n v="0"/>
    <n v="1"/>
    <n v="16"/>
    <b v="0"/>
    <n v="3"/>
    <n v="1"/>
    <n v="0.22"/>
    <n v="0.19700000000000001"/>
    <n v="0.44"/>
    <n v="0.32840000000000003"/>
    <n v="5"/>
    <n v="63"/>
    <n v="68"/>
    <s v="REC-0270"/>
    <d v="2011-01-12T16:00:00"/>
    <s v="Jan"/>
    <x v="4"/>
    <x v="1"/>
    <s v="Working Day"/>
    <s v="Spring"/>
    <x v="0"/>
    <s v="Afternoon"/>
    <s v="Mild"/>
    <s v="Low"/>
    <s v="Peak"/>
    <n v="7.3529411764705885E-2"/>
    <s v="Normal"/>
    <n v="1"/>
  </r>
  <r>
    <n v="271"/>
    <x v="11"/>
    <n v="1"/>
    <n v="0"/>
    <n v="1"/>
    <n v="17"/>
    <b v="0"/>
    <n v="3"/>
    <n v="1"/>
    <n v="0.2"/>
    <n v="0.18179999999999999"/>
    <n v="0.47"/>
    <n v="0.35820000000000002"/>
    <n v="0"/>
    <n v="139"/>
    <n v="139"/>
    <s v="REC-0271"/>
    <d v="2011-01-12T17:00:00"/>
    <s v="Jan"/>
    <x v="4"/>
    <x v="1"/>
    <s v="Working Day"/>
    <s v="Spring"/>
    <x v="0"/>
    <s v="Evening"/>
    <s v="Mild"/>
    <s v="Low"/>
    <s v="Peak"/>
    <n v="0"/>
    <s v="High"/>
    <n v="1"/>
  </r>
  <r>
    <n v="272"/>
    <x v="11"/>
    <n v="1"/>
    <n v="0"/>
    <n v="1"/>
    <n v="18"/>
    <b v="0"/>
    <n v="3"/>
    <n v="1"/>
    <n v="0.2"/>
    <n v="0.1515"/>
    <n v="0.47"/>
    <n v="0.52239999999999998"/>
    <n v="2"/>
    <n v="135"/>
    <n v="137"/>
    <s v="REC-0272"/>
    <d v="2011-01-12T18:00:00"/>
    <s v="Jan"/>
    <x v="4"/>
    <x v="1"/>
    <s v="Working Day"/>
    <s v="Spring"/>
    <x v="0"/>
    <s v="Evening"/>
    <s v="Mild"/>
    <s v="Low"/>
    <s v="Peak"/>
    <n v="1.4598540145985401E-2"/>
    <s v="High"/>
    <n v="1"/>
  </r>
  <r>
    <n v="273"/>
    <x v="11"/>
    <n v="1"/>
    <n v="0"/>
    <n v="1"/>
    <n v="19"/>
    <b v="0"/>
    <n v="3"/>
    <n v="1"/>
    <n v="0.18"/>
    <n v="0.1515"/>
    <n v="0.47"/>
    <n v="0.41789999999999999"/>
    <n v="1"/>
    <n v="82"/>
    <n v="83"/>
    <s v="REC-0273"/>
    <d v="2011-01-12T19:00:00"/>
    <s v="Jan"/>
    <x v="4"/>
    <x v="1"/>
    <s v="Working Day"/>
    <s v="Spring"/>
    <x v="0"/>
    <s v="Evening"/>
    <s v="Cold"/>
    <s v="Low"/>
    <s v="Peak"/>
    <n v="1.2048192771084338E-2"/>
    <s v="High"/>
    <n v="1"/>
  </r>
  <r>
    <n v="274"/>
    <x v="11"/>
    <n v="1"/>
    <n v="0"/>
    <n v="1"/>
    <n v="20"/>
    <b v="0"/>
    <n v="3"/>
    <n v="1"/>
    <n v="0.16"/>
    <n v="0.13639999999999999"/>
    <n v="0.5"/>
    <n v="0.32840000000000003"/>
    <n v="2"/>
    <n v="54"/>
    <n v="56"/>
    <s v="REC-0274"/>
    <d v="2011-01-12T20:00:00"/>
    <s v="Jan"/>
    <x v="4"/>
    <x v="1"/>
    <s v="Working Day"/>
    <s v="Spring"/>
    <x v="0"/>
    <s v="Evening"/>
    <s v="Cold"/>
    <s v="Medium"/>
    <s v="Off-Peak"/>
    <n v="3.5714285714285712E-2"/>
    <s v="Normal"/>
    <n v="1"/>
  </r>
  <r>
    <n v="275"/>
    <x v="11"/>
    <n v="1"/>
    <n v="0"/>
    <n v="1"/>
    <n v="21"/>
    <b v="0"/>
    <n v="3"/>
    <n v="1"/>
    <n v="0.16"/>
    <n v="0.13639999999999999"/>
    <n v="0.55000000000000004"/>
    <n v="0.32840000000000003"/>
    <n v="0"/>
    <n v="57"/>
    <n v="57"/>
    <s v="REC-0275"/>
    <d v="2011-01-12T21:00:00"/>
    <s v="Jan"/>
    <x v="4"/>
    <x v="1"/>
    <s v="Working Day"/>
    <s v="Spring"/>
    <x v="0"/>
    <s v="Late Evening"/>
    <s v="Cold"/>
    <s v="Medium"/>
    <s v="Off-Peak"/>
    <n v="0"/>
    <s v="Normal"/>
    <n v="1"/>
  </r>
  <r>
    <n v="276"/>
    <x v="11"/>
    <n v="1"/>
    <n v="0"/>
    <n v="1"/>
    <n v="22"/>
    <b v="0"/>
    <n v="3"/>
    <n v="1"/>
    <n v="0.16"/>
    <n v="0.1212"/>
    <n v="0.55000000000000004"/>
    <n v="0.44779999999999998"/>
    <n v="1"/>
    <n v="32"/>
    <n v="33"/>
    <s v="REC-0276"/>
    <d v="2011-01-12T22:00:00"/>
    <s v="Jan"/>
    <x v="4"/>
    <x v="1"/>
    <s v="Working Day"/>
    <s v="Spring"/>
    <x v="0"/>
    <s v="Late Evening"/>
    <s v="Cold"/>
    <s v="Medium"/>
    <s v="Off-Peak"/>
    <n v="3.0303030303030304E-2"/>
    <s v="Normal"/>
    <n v="1"/>
  </r>
  <r>
    <n v="277"/>
    <x v="11"/>
    <n v="1"/>
    <n v="0"/>
    <n v="1"/>
    <n v="23"/>
    <b v="0"/>
    <n v="3"/>
    <n v="1"/>
    <n v="0.14000000000000001"/>
    <n v="0.1061"/>
    <n v="0.59"/>
    <n v="0.41789999999999999"/>
    <n v="1"/>
    <n v="19"/>
    <n v="20"/>
    <s v="REC-0277"/>
    <d v="2011-01-12T23:00:00"/>
    <s v="Jan"/>
    <x v="4"/>
    <x v="1"/>
    <s v="Working Day"/>
    <s v="Spring"/>
    <x v="0"/>
    <s v="Late Evening"/>
    <s v="Cold"/>
    <s v="Medium"/>
    <s v="Off-Peak"/>
    <n v="0.05"/>
    <s v="Normal"/>
    <n v="1"/>
  </r>
  <r>
    <n v="278"/>
    <x v="12"/>
    <n v="1"/>
    <n v="0"/>
    <n v="1"/>
    <n v="0"/>
    <b v="0"/>
    <n v="4"/>
    <n v="1"/>
    <n v="0.14000000000000001"/>
    <n v="0.1212"/>
    <n v="0.59"/>
    <n v="0.28360000000000002"/>
    <n v="1"/>
    <n v="6"/>
    <n v="7"/>
    <s v="REC-0278"/>
    <d v="2011-01-13T00:00:00"/>
    <s v="Jan"/>
    <x v="5"/>
    <x v="1"/>
    <s v="Working Day"/>
    <s v="Spring"/>
    <x v="0"/>
    <s v="Night"/>
    <s v="Cold"/>
    <s v="Medium"/>
    <s v="Off-Peak"/>
    <n v="0.14285714285714285"/>
    <s v="Low"/>
    <n v="1"/>
  </r>
  <r>
    <n v="279"/>
    <x v="12"/>
    <n v="1"/>
    <n v="0"/>
    <n v="1"/>
    <n v="1"/>
    <b v="0"/>
    <n v="4"/>
    <n v="1"/>
    <n v="0.14000000000000001"/>
    <n v="0.1212"/>
    <n v="0.5"/>
    <n v="0.28360000000000002"/>
    <n v="0"/>
    <n v="2"/>
    <n v="2"/>
    <s v="REC-0279"/>
    <d v="2011-01-13T01:00:00"/>
    <s v="Jan"/>
    <x v="5"/>
    <x v="1"/>
    <s v="Working Day"/>
    <s v="Spring"/>
    <x v="0"/>
    <s v="Night"/>
    <s v="Cold"/>
    <s v="Medium"/>
    <s v="Off-Peak"/>
    <n v="0"/>
    <s v="Low"/>
    <n v="1"/>
  </r>
  <r>
    <n v="280"/>
    <x v="12"/>
    <n v="1"/>
    <n v="0"/>
    <n v="1"/>
    <n v="2"/>
    <b v="0"/>
    <n v="4"/>
    <n v="1"/>
    <n v="0.14000000000000001"/>
    <n v="0.1212"/>
    <n v="0.5"/>
    <n v="0.35820000000000002"/>
    <n v="0"/>
    <n v="2"/>
    <n v="2"/>
    <s v="REC-0280"/>
    <d v="2011-01-13T02:00:00"/>
    <s v="Jan"/>
    <x v="5"/>
    <x v="1"/>
    <s v="Working Day"/>
    <s v="Spring"/>
    <x v="0"/>
    <s v="Night"/>
    <s v="Cold"/>
    <s v="Medium"/>
    <s v="Off-Peak"/>
    <n v="0"/>
    <s v="Low"/>
    <n v="1"/>
  </r>
  <r>
    <n v="281"/>
    <x v="12"/>
    <n v="1"/>
    <n v="0"/>
    <n v="1"/>
    <n v="3"/>
    <b v="0"/>
    <n v="4"/>
    <n v="1"/>
    <n v="0.14000000000000001"/>
    <n v="0.1212"/>
    <n v="0.5"/>
    <n v="0.32840000000000003"/>
    <n v="0"/>
    <n v="3"/>
    <n v="3"/>
    <s v="REC-0281"/>
    <d v="2011-01-13T03:00:00"/>
    <s v="Jan"/>
    <x v="5"/>
    <x v="1"/>
    <s v="Working Day"/>
    <s v="Spring"/>
    <x v="0"/>
    <s v="Night"/>
    <s v="Cold"/>
    <s v="Medium"/>
    <s v="Off-Peak"/>
    <n v="0"/>
    <s v="Low"/>
    <n v="1"/>
  </r>
  <r>
    <n v="282"/>
    <x v="12"/>
    <n v="1"/>
    <n v="0"/>
    <n v="1"/>
    <n v="4"/>
    <b v="0"/>
    <n v="4"/>
    <n v="1"/>
    <n v="0.14000000000000001"/>
    <n v="0.1212"/>
    <n v="0.5"/>
    <n v="0.25369999999999998"/>
    <n v="0"/>
    <n v="4"/>
    <n v="4"/>
    <s v="REC-0282"/>
    <d v="2011-01-13T04:00:00"/>
    <s v="Jan"/>
    <x v="5"/>
    <x v="1"/>
    <s v="Working Day"/>
    <s v="Spring"/>
    <x v="0"/>
    <s v="Night"/>
    <s v="Cold"/>
    <s v="Medium"/>
    <s v="Off-Peak"/>
    <n v="0"/>
    <s v="Low"/>
    <n v="1"/>
  </r>
  <r>
    <n v="283"/>
    <x v="12"/>
    <n v="1"/>
    <n v="0"/>
    <n v="1"/>
    <n v="5"/>
    <b v="0"/>
    <n v="4"/>
    <n v="1"/>
    <n v="0.14000000000000001"/>
    <n v="0.1212"/>
    <n v="0.5"/>
    <n v="0.29849999999999999"/>
    <n v="0"/>
    <n v="3"/>
    <n v="3"/>
    <s v="REC-0283"/>
    <d v="2011-01-13T05:00:00"/>
    <s v="Jan"/>
    <x v="5"/>
    <x v="1"/>
    <s v="Working Day"/>
    <s v="Spring"/>
    <x v="0"/>
    <s v="Night"/>
    <s v="Cold"/>
    <s v="Medium"/>
    <s v="Off-Peak"/>
    <n v="0"/>
    <s v="Low"/>
    <n v="1"/>
  </r>
  <r>
    <n v="284"/>
    <x v="12"/>
    <n v="1"/>
    <n v="0"/>
    <n v="1"/>
    <n v="6"/>
    <b v="0"/>
    <n v="4"/>
    <n v="1"/>
    <n v="0.12"/>
    <n v="0.1515"/>
    <n v="0.54"/>
    <n v="0.1343"/>
    <n v="0"/>
    <n v="28"/>
    <n v="28"/>
    <s v="REC-0284"/>
    <d v="2011-01-13T06:00:00"/>
    <s v="Jan"/>
    <x v="5"/>
    <x v="1"/>
    <s v="Working Day"/>
    <s v="Spring"/>
    <x v="0"/>
    <s v="Morning"/>
    <s v="Cold"/>
    <s v="Medium"/>
    <s v="Off-Peak"/>
    <n v="0"/>
    <s v="Normal"/>
    <n v="1"/>
  </r>
  <r>
    <n v="285"/>
    <x v="12"/>
    <n v="1"/>
    <n v="0"/>
    <n v="1"/>
    <n v="7"/>
    <b v="0"/>
    <n v="4"/>
    <n v="1"/>
    <n v="0.12"/>
    <n v="0.1515"/>
    <n v="0.54"/>
    <n v="0.1343"/>
    <n v="0"/>
    <n v="72"/>
    <n v="72"/>
    <s v="REC-0285"/>
    <d v="2011-01-13T07:00:00"/>
    <s v="Jan"/>
    <x v="5"/>
    <x v="1"/>
    <s v="Working Day"/>
    <s v="Spring"/>
    <x v="0"/>
    <s v="Morning"/>
    <s v="Cold"/>
    <s v="Medium"/>
    <s v="Peak"/>
    <n v="0"/>
    <s v="Normal"/>
    <n v="1"/>
  </r>
  <r>
    <n v="286"/>
    <x v="12"/>
    <n v="1"/>
    <n v="0"/>
    <n v="1"/>
    <n v="8"/>
    <b v="0"/>
    <n v="4"/>
    <n v="1"/>
    <n v="0.14000000000000001"/>
    <n v="0.13639999999999999"/>
    <n v="0.5"/>
    <n v="0.19400000000000001"/>
    <n v="5"/>
    <n v="197"/>
    <n v="202"/>
    <s v="REC-0286"/>
    <d v="2011-01-13T08:00:00"/>
    <s v="Jan"/>
    <x v="5"/>
    <x v="1"/>
    <s v="Working Day"/>
    <s v="Spring"/>
    <x v="0"/>
    <s v="Morning"/>
    <s v="Cold"/>
    <s v="Medium"/>
    <s v="Peak"/>
    <n v="2.4752475247524754E-2"/>
    <s v="High"/>
    <n v="1"/>
  </r>
  <r>
    <n v="287"/>
    <x v="12"/>
    <n v="1"/>
    <n v="0"/>
    <n v="1"/>
    <n v="9"/>
    <b v="0"/>
    <n v="4"/>
    <n v="1"/>
    <n v="0.14000000000000001"/>
    <n v="0.1212"/>
    <n v="0.5"/>
    <n v="0.32840000000000003"/>
    <n v="2"/>
    <n v="137"/>
    <n v="139"/>
    <s v="REC-0287"/>
    <d v="2011-01-13T09:00:00"/>
    <s v="Jan"/>
    <x v="5"/>
    <x v="1"/>
    <s v="Working Day"/>
    <s v="Spring"/>
    <x v="0"/>
    <s v="Morning"/>
    <s v="Cold"/>
    <s v="Medium"/>
    <s v="Peak"/>
    <n v="1.4388489208633094E-2"/>
    <s v="High"/>
    <n v="1"/>
  </r>
  <r>
    <n v="288"/>
    <x v="12"/>
    <n v="1"/>
    <n v="0"/>
    <n v="1"/>
    <n v="10"/>
    <b v="0"/>
    <n v="4"/>
    <n v="2"/>
    <n v="0.16"/>
    <n v="0.13639999999999999"/>
    <n v="0.5"/>
    <n v="0.35820000000000002"/>
    <n v="2"/>
    <n v="36"/>
    <n v="38"/>
    <s v="REC-0288"/>
    <d v="2011-01-13T10:00:00"/>
    <s v="Jan"/>
    <x v="5"/>
    <x v="1"/>
    <s v="Working Day"/>
    <s v="Spring"/>
    <x v="1"/>
    <s v="Morning"/>
    <s v="Cold"/>
    <s v="Medium"/>
    <s v="Off-Peak"/>
    <n v="5.2631578947368418E-2"/>
    <s v="Normal"/>
    <n v="1"/>
  </r>
  <r>
    <n v="289"/>
    <x v="12"/>
    <n v="1"/>
    <n v="0"/>
    <n v="1"/>
    <n v="11"/>
    <b v="0"/>
    <n v="4"/>
    <n v="2"/>
    <n v="0.2"/>
    <n v="0.16669999999999999"/>
    <n v="0.44"/>
    <n v="0.44779999999999998"/>
    <n v="4"/>
    <n v="33"/>
    <n v="37"/>
    <s v="REC-0289"/>
    <d v="2011-01-13T11:00:00"/>
    <s v="Jan"/>
    <x v="5"/>
    <x v="1"/>
    <s v="Working Day"/>
    <s v="Spring"/>
    <x v="1"/>
    <s v="Morning"/>
    <s v="Mild"/>
    <s v="Low"/>
    <s v="Off-Peak"/>
    <n v="0.10810810810810811"/>
    <s v="Normal"/>
    <n v="1"/>
  </r>
  <r>
    <n v="290"/>
    <x v="12"/>
    <n v="1"/>
    <n v="0"/>
    <n v="1"/>
    <n v="12"/>
    <b v="0"/>
    <n v="4"/>
    <n v="1"/>
    <n v="0.2"/>
    <n v="0.16669999999999999"/>
    <n v="0.44"/>
    <n v="0.41789999999999999"/>
    <n v="3"/>
    <n v="49"/>
    <n v="52"/>
    <s v="REC-0290"/>
    <d v="2011-01-13T12:00:00"/>
    <s v="Jan"/>
    <x v="5"/>
    <x v="1"/>
    <s v="Working Day"/>
    <s v="Spring"/>
    <x v="0"/>
    <s v="Afternoon"/>
    <s v="Mild"/>
    <s v="Low"/>
    <s v="Off-Peak"/>
    <n v="5.7692307692307696E-2"/>
    <s v="Normal"/>
    <n v="1"/>
  </r>
  <r>
    <n v="291"/>
    <x v="12"/>
    <n v="1"/>
    <n v="0"/>
    <n v="1"/>
    <n v="13"/>
    <b v="0"/>
    <n v="4"/>
    <n v="1"/>
    <n v="0.22"/>
    <n v="0.19700000000000001"/>
    <n v="0.41"/>
    <n v="0.44779999999999998"/>
    <n v="2"/>
    <n v="81"/>
    <n v="83"/>
    <s v="REC-0291"/>
    <d v="2011-01-13T13:00:00"/>
    <s v="Jan"/>
    <x v="5"/>
    <x v="1"/>
    <s v="Working Day"/>
    <s v="Spring"/>
    <x v="0"/>
    <s v="Afternoon"/>
    <s v="Mild"/>
    <s v="Low"/>
    <s v="Off-Peak"/>
    <n v="2.4096385542168676E-2"/>
    <s v="High"/>
    <n v="1"/>
  </r>
  <r>
    <n v="292"/>
    <x v="12"/>
    <n v="1"/>
    <n v="0"/>
    <n v="1"/>
    <n v="14"/>
    <b v="0"/>
    <n v="4"/>
    <n v="1"/>
    <n v="0.22"/>
    <n v="0.19700000000000001"/>
    <n v="0.41"/>
    <n v="0.3881"/>
    <n v="3"/>
    <n v="39"/>
    <n v="42"/>
    <s v="REC-0292"/>
    <d v="2011-01-13T14:00:00"/>
    <s v="Jan"/>
    <x v="5"/>
    <x v="1"/>
    <s v="Working Day"/>
    <s v="Spring"/>
    <x v="0"/>
    <s v="Afternoon"/>
    <s v="Mild"/>
    <s v="Low"/>
    <s v="Off-Peak"/>
    <n v="7.1428571428571425E-2"/>
    <s v="Normal"/>
    <n v="1"/>
  </r>
  <r>
    <n v="293"/>
    <x v="12"/>
    <n v="1"/>
    <n v="0"/>
    <n v="1"/>
    <n v="15"/>
    <b v="0"/>
    <n v="4"/>
    <n v="1"/>
    <n v="0.24"/>
    <n v="0.21210000000000001"/>
    <n v="0.38"/>
    <n v="0.29849999999999999"/>
    <n v="5"/>
    <n v="55"/>
    <n v="60"/>
    <s v="REC-0293"/>
    <d v="2011-01-13T15:00:00"/>
    <s v="Jan"/>
    <x v="5"/>
    <x v="1"/>
    <s v="Working Day"/>
    <s v="Spring"/>
    <x v="0"/>
    <s v="Afternoon"/>
    <s v="Mild"/>
    <s v="Low"/>
    <s v="Off-Peak"/>
    <n v="8.3333333333333329E-2"/>
    <s v="Normal"/>
    <n v="1"/>
  </r>
  <r>
    <n v="294"/>
    <x v="12"/>
    <n v="1"/>
    <n v="0"/>
    <n v="1"/>
    <n v="16"/>
    <b v="0"/>
    <n v="4"/>
    <n v="1"/>
    <n v="0.24"/>
    <n v="0.21210000000000001"/>
    <n v="0.38"/>
    <n v="0.35820000000000002"/>
    <n v="2"/>
    <n v="76"/>
    <n v="78"/>
    <s v="REC-0294"/>
    <d v="2011-01-13T16:00:00"/>
    <s v="Jan"/>
    <x v="5"/>
    <x v="1"/>
    <s v="Working Day"/>
    <s v="Spring"/>
    <x v="0"/>
    <s v="Afternoon"/>
    <s v="Mild"/>
    <s v="Low"/>
    <s v="Peak"/>
    <n v="2.564102564102564E-2"/>
    <s v="Normal"/>
    <n v="1"/>
  </r>
  <r>
    <n v="295"/>
    <x v="12"/>
    <n v="1"/>
    <n v="0"/>
    <n v="1"/>
    <n v="17"/>
    <b v="0"/>
    <n v="4"/>
    <n v="1"/>
    <n v="0.2"/>
    <n v="0.18179999999999999"/>
    <n v="0.4"/>
    <n v="0.28360000000000002"/>
    <n v="4"/>
    <n v="158"/>
    <n v="162"/>
    <s v="REC-0295"/>
    <d v="2011-01-13T17:00:00"/>
    <s v="Jan"/>
    <x v="5"/>
    <x v="1"/>
    <s v="Working Day"/>
    <s v="Spring"/>
    <x v="0"/>
    <s v="Evening"/>
    <s v="Mild"/>
    <s v="Low"/>
    <s v="Peak"/>
    <n v="2.4691358024691357E-2"/>
    <s v="High"/>
    <n v="1"/>
  </r>
  <r>
    <n v="296"/>
    <x v="12"/>
    <n v="1"/>
    <n v="0"/>
    <n v="1"/>
    <n v="18"/>
    <b v="0"/>
    <n v="4"/>
    <n v="1"/>
    <n v="0.2"/>
    <n v="0.18179999999999999"/>
    <n v="0.4"/>
    <n v="0.32840000000000003"/>
    <n v="3"/>
    <n v="141"/>
    <n v="144"/>
    <s v="REC-0296"/>
    <d v="2011-01-13T18:00:00"/>
    <s v="Jan"/>
    <x v="5"/>
    <x v="1"/>
    <s v="Working Day"/>
    <s v="Spring"/>
    <x v="0"/>
    <s v="Evening"/>
    <s v="Mild"/>
    <s v="Low"/>
    <s v="Peak"/>
    <n v="2.0833333333333332E-2"/>
    <s v="High"/>
    <n v="1"/>
  </r>
  <r>
    <n v="297"/>
    <x v="12"/>
    <n v="1"/>
    <n v="0"/>
    <n v="1"/>
    <n v="19"/>
    <b v="0"/>
    <n v="4"/>
    <n v="1"/>
    <n v="0.16"/>
    <n v="0.1515"/>
    <n v="0.47"/>
    <n v="0.25369999999999998"/>
    <n v="1"/>
    <n v="98"/>
    <n v="99"/>
    <s v="REC-0297"/>
    <d v="2011-01-13T19:00:00"/>
    <s v="Jan"/>
    <x v="5"/>
    <x v="1"/>
    <s v="Working Day"/>
    <s v="Spring"/>
    <x v="0"/>
    <s v="Evening"/>
    <s v="Cold"/>
    <s v="Low"/>
    <s v="Peak"/>
    <n v="1.0101010101010102E-2"/>
    <s v="High"/>
    <n v="1"/>
  </r>
  <r>
    <n v="298"/>
    <x v="12"/>
    <n v="1"/>
    <n v="0"/>
    <n v="1"/>
    <n v="20"/>
    <b v="0"/>
    <n v="4"/>
    <n v="1"/>
    <n v="0.16"/>
    <n v="0.1515"/>
    <n v="0.47"/>
    <n v="0.22389999999999999"/>
    <n v="0"/>
    <n v="64"/>
    <n v="64"/>
    <s v="REC-0298"/>
    <d v="2011-01-13T20:00:00"/>
    <s v="Jan"/>
    <x v="5"/>
    <x v="1"/>
    <s v="Working Day"/>
    <s v="Spring"/>
    <x v="0"/>
    <s v="Evening"/>
    <s v="Cold"/>
    <s v="Low"/>
    <s v="Off-Peak"/>
    <n v="0"/>
    <s v="Normal"/>
    <n v="1"/>
  </r>
  <r>
    <n v="299"/>
    <x v="12"/>
    <n v="1"/>
    <n v="0"/>
    <n v="1"/>
    <n v="21"/>
    <b v="0"/>
    <n v="4"/>
    <n v="1"/>
    <n v="0.14000000000000001"/>
    <n v="0.1212"/>
    <n v="0.46"/>
    <n v="0.29849999999999999"/>
    <n v="0"/>
    <n v="40"/>
    <n v="40"/>
    <s v="REC-0299"/>
    <d v="2011-01-13T21:00:00"/>
    <s v="Jan"/>
    <x v="5"/>
    <x v="1"/>
    <s v="Working Day"/>
    <s v="Spring"/>
    <x v="0"/>
    <s v="Late Evening"/>
    <s v="Cold"/>
    <s v="Low"/>
    <s v="Off-Peak"/>
    <n v="0"/>
    <s v="Normal"/>
    <n v="1"/>
  </r>
  <r>
    <n v="300"/>
    <x v="12"/>
    <n v="1"/>
    <n v="0"/>
    <n v="1"/>
    <n v="22"/>
    <b v="0"/>
    <n v="4"/>
    <n v="1"/>
    <n v="0.14000000000000001"/>
    <n v="0.1212"/>
    <n v="0.46"/>
    <n v="0.32840000000000003"/>
    <n v="0"/>
    <n v="30"/>
    <n v="30"/>
    <s v="REC-0300"/>
    <d v="2011-01-13T22:00:00"/>
    <s v="Jan"/>
    <x v="5"/>
    <x v="1"/>
    <s v="Working Day"/>
    <s v="Spring"/>
    <x v="0"/>
    <s v="Late Evening"/>
    <s v="Cold"/>
    <s v="Low"/>
    <s v="Off-Peak"/>
    <n v="0"/>
    <s v="Normal"/>
    <n v="1"/>
  </r>
  <r>
    <n v="301"/>
    <x v="12"/>
    <n v="1"/>
    <n v="0"/>
    <n v="1"/>
    <n v="23"/>
    <b v="0"/>
    <n v="4"/>
    <n v="1"/>
    <n v="0.12"/>
    <n v="0.13639999999999999"/>
    <n v="0.5"/>
    <n v="0.19400000000000001"/>
    <n v="1"/>
    <n v="14"/>
    <n v="15"/>
    <s v="REC-0301"/>
    <d v="2011-01-13T23:00:00"/>
    <s v="Jan"/>
    <x v="5"/>
    <x v="1"/>
    <s v="Working Day"/>
    <s v="Spring"/>
    <x v="0"/>
    <s v="Late Evening"/>
    <s v="Cold"/>
    <s v="Medium"/>
    <s v="Off-Peak"/>
    <n v="6.6666666666666666E-2"/>
    <s v="Low"/>
    <n v="1"/>
  </r>
  <r>
    <n v="302"/>
    <x v="13"/>
    <n v="1"/>
    <n v="0"/>
    <n v="1"/>
    <n v="0"/>
    <b v="0"/>
    <n v="5"/>
    <n v="1"/>
    <n v="0.12"/>
    <n v="0.13639999999999999"/>
    <n v="0.5"/>
    <n v="0.19400000000000001"/>
    <n v="0"/>
    <n v="14"/>
    <n v="14"/>
    <s v="REC-0302"/>
    <d v="2011-01-14T00:00:00"/>
    <s v="Jan"/>
    <x v="6"/>
    <x v="1"/>
    <s v="Working Day"/>
    <s v="Spring"/>
    <x v="0"/>
    <s v="Night"/>
    <s v="Cold"/>
    <s v="Medium"/>
    <s v="Off-Peak"/>
    <n v="0"/>
    <s v="Low"/>
    <n v="1"/>
  </r>
  <r>
    <n v="303"/>
    <x v="13"/>
    <n v="1"/>
    <n v="0"/>
    <n v="1"/>
    <n v="1"/>
    <b v="0"/>
    <n v="5"/>
    <n v="1"/>
    <n v="0.1"/>
    <n v="0.1212"/>
    <n v="0.54"/>
    <n v="0.16420000000000001"/>
    <n v="0"/>
    <n v="5"/>
    <n v="5"/>
    <s v="REC-0303"/>
    <d v="2011-01-14T01:00:00"/>
    <s v="Jan"/>
    <x v="6"/>
    <x v="1"/>
    <s v="Working Day"/>
    <s v="Spring"/>
    <x v="0"/>
    <s v="Night"/>
    <s v="Cold"/>
    <s v="Medium"/>
    <s v="Off-Peak"/>
    <n v="0"/>
    <s v="Low"/>
    <n v="1"/>
  </r>
  <r>
    <n v="304"/>
    <x v="13"/>
    <n v="1"/>
    <n v="0"/>
    <n v="1"/>
    <n v="2"/>
    <b v="0"/>
    <n v="5"/>
    <n v="1"/>
    <n v="0.1"/>
    <n v="0.1212"/>
    <n v="0.54"/>
    <n v="0.1343"/>
    <n v="0"/>
    <n v="1"/>
    <n v="1"/>
    <s v="REC-0304"/>
    <d v="2011-01-14T02:00:00"/>
    <s v="Jan"/>
    <x v="6"/>
    <x v="1"/>
    <s v="Working Day"/>
    <s v="Spring"/>
    <x v="0"/>
    <s v="Night"/>
    <s v="Cold"/>
    <s v="Medium"/>
    <s v="Off-Peak"/>
    <n v="0"/>
    <s v="Low"/>
    <n v="1"/>
  </r>
  <r>
    <n v="305"/>
    <x v="13"/>
    <n v="1"/>
    <n v="0"/>
    <n v="1"/>
    <n v="3"/>
    <b v="0"/>
    <n v="5"/>
    <n v="1"/>
    <n v="0.1"/>
    <n v="0.13639999999999999"/>
    <n v="0.54"/>
    <n v="0.1045"/>
    <n v="0"/>
    <n v="1"/>
    <n v="1"/>
    <s v="REC-0305"/>
    <d v="2011-01-14T03:00:00"/>
    <s v="Jan"/>
    <x v="6"/>
    <x v="1"/>
    <s v="Working Day"/>
    <s v="Spring"/>
    <x v="0"/>
    <s v="Night"/>
    <s v="Cold"/>
    <s v="Medium"/>
    <s v="Off-Peak"/>
    <n v="0"/>
    <s v="Low"/>
    <n v="1"/>
  </r>
  <r>
    <n v="306"/>
    <x v="13"/>
    <n v="1"/>
    <n v="0"/>
    <n v="1"/>
    <n v="5"/>
    <b v="0"/>
    <n v="5"/>
    <n v="1"/>
    <n v="0.1"/>
    <n v="0.13639999999999999"/>
    <n v="0.54"/>
    <n v="8.9599999999999999E-2"/>
    <n v="0"/>
    <n v="8"/>
    <n v="8"/>
    <s v="REC-0306"/>
    <d v="2011-01-14T05:00:00"/>
    <s v="Jan"/>
    <x v="6"/>
    <x v="1"/>
    <s v="Working Day"/>
    <s v="Spring"/>
    <x v="0"/>
    <s v="Night"/>
    <s v="Cold"/>
    <s v="Medium"/>
    <s v="Off-Peak"/>
    <n v="0"/>
    <s v="Low"/>
    <n v="1"/>
  </r>
  <r>
    <n v="307"/>
    <x v="13"/>
    <n v="1"/>
    <n v="0"/>
    <n v="1"/>
    <n v="6"/>
    <b v="0"/>
    <n v="5"/>
    <n v="1"/>
    <n v="0.1"/>
    <n v="0.18179999999999999"/>
    <n v="0.54"/>
    <n v="0"/>
    <n v="0"/>
    <n v="17"/>
    <n v="17"/>
    <s v="REC-0307"/>
    <d v="2011-01-14T06:00:00"/>
    <s v="Jan"/>
    <x v="6"/>
    <x v="1"/>
    <s v="Working Day"/>
    <s v="Spring"/>
    <x v="0"/>
    <s v="Morning"/>
    <s v="Cold"/>
    <s v="Medium"/>
    <s v="Off-Peak"/>
    <n v="0"/>
    <s v="Normal"/>
    <n v="1"/>
  </r>
  <r>
    <n v="308"/>
    <x v="13"/>
    <n v="1"/>
    <n v="0"/>
    <n v="1"/>
    <n v="7"/>
    <b v="0"/>
    <n v="5"/>
    <n v="1"/>
    <n v="0.1"/>
    <n v="0.1212"/>
    <n v="0.74"/>
    <n v="0.16420000000000001"/>
    <n v="0"/>
    <n v="70"/>
    <n v="70"/>
    <s v="REC-0308"/>
    <d v="2011-01-14T07:00:00"/>
    <s v="Jan"/>
    <x v="6"/>
    <x v="1"/>
    <s v="Working Day"/>
    <s v="Spring"/>
    <x v="0"/>
    <s v="Morning"/>
    <s v="Cold"/>
    <s v="Medium"/>
    <s v="Peak"/>
    <n v="0"/>
    <s v="Normal"/>
    <n v="1"/>
  </r>
  <r>
    <n v="309"/>
    <x v="13"/>
    <n v="1"/>
    <n v="0"/>
    <n v="1"/>
    <n v="8"/>
    <b v="0"/>
    <n v="5"/>
    <n v="1"/>
    <n v="0.12"/>
    <n v="0.16669999999999999"/>
    <n v="0.68"/>
    <n v="0"/>
    <n v="2"/>
    <n v="156"/>
    <n v="158"/>
    <s v="REC-0309"/>
    <d v="2011-01-14T08:00:00"/>
    <s v="Jan"/>
    <x v="6"/>
    <x v="1"/>
    <s v="Working Day"/>
    <s v="Spring"/>
    <x v="0"/>
    <s v="Morning"/>
    <s v="Cold"/>
    <s v="Medium"/>
    <s v="Peak"/>
    <n v="1.2658227848101266E-2"/>
    <s v="High"/>
    <n v="1"/>
  </r>
  <r>
    <n v="310"/>
    <x v="13"/>
    <n v="1"/>
    <n v="0"/>
    <n v="1"/>
    <n v="9"/>
    <b v="0"/>
    <n v="5"/>
    <n v="1"/>
    <n v="0.14000000000000001"/>
    <n v="0.1515"/>
    <n v="0.69"/>
    <n v="0.1343"/>
    <n v="0"/>
    <n v="117"/>
    <n v="117"/>
    <s v="REC-0310"/>
    <d v="2011-01-14T09:00:00"/>
    <s v="Jan"/>
    <x v="6"/>
    <x v="1"/>
    <s v="Working Day"/>
    <s v="Spring"/>
    <x v="0"/>
    <s v="Morning"/>
    <s v="Cold"/>
    <s v="Medium"/>
    <s v="Peak"/>
    <n v="0"/>
    <s v="High"/>
    <n v="1"/>
  </r>
  <r>
    <n v="311"/>
    <x v="13"/>
    <n v="1"/>
    <n v="0"/>
    <n v="1"/>
    <n v="10"/>
    <b v="0"/>
    <n v="5"/>
    <n v="1"/>
    <n v="0.18"/>
    <n v="0.18179999999999999"/>
    <n v="0.55000000000000004"/>
    <n v="0.19400000000000001"/>
    <n v="4"/>
    <n v="40"/>
    <n v="44"/>
    <s v="REC-0311"/>
    <d v="2011-01-14T10:00:00"/>
    <s v="Jan"/>
    <x v="6"/>
    <x v="1"/>
    <s v="Working Day"/>
    <s v="Spring"/>
    <x v="0"/>
    <s v="Morning"/>
    <s v="Cold"/>
    <s v="Medium"/>
    <s v="Off-Peak"/>
    <n v="9.0909090909090912E-2"/>
    <s v="Normal"/>
    <n v="1"/>
  </r>
  <r>
    <n v="312"/>
    <x v="13"/>
    <n v="1"/>
    <n v="0"/>
    <n v="1"/>
    <n v="11"/>
    <b v="0"/>
    <n v="5"/>
    <n v="1"/>
    <n v="0.18"/>
    <n v="0.16669999999999999"/>
    <n v="0.51"/>
    <n v="0.28360000000000002"/>
    <n v="6"/>
    <n v="47"/>
    <n v="53"/>
    <s v="REC-0312"/>
    <d v="2011-01-14T11:00:00"/>
    <s v="Jan"/>
    <x v="6"/>
    <x v="1"/>
    <s v="Working Day"/>
    <s v="Spring"/>
    <x v="0"/>
    <s v="Morning"/>
    <s v="Cold"/>
    <s v="Medium"/>
    <s v="Off-Peak"/>
    <n v="0.11320754716981132"/>
    <s v="Normal"/>
    <n v="1"/>
  </r>
  <r>
    <n v="313"/>
    <x v="13"/>
    <n v="1"/>
    <n v="0"/>
    <n v="1"/>
    <n v="12"/>
    <b v="0"/>
    <n v="5"/>
    <n v="1"/>
    <n v="0.2"/>
    <n v="0.19700000000000001"/>
    <n v="0.44"/>
    <n v="0.25369999999999998"/>
    <n v="2"/>
    <n v="59"/>
    <n v="61"/>
    <s v="REC-0313"/>
    <d v="2011-01-14T12:00:00"/>
    <s v="Jan"/>
    <x v="6"/>
    <x v="1"/>
    <s v="Working Day"/>
    <s v="Spring"/>
    <x v="0"/>
    <s v="Afternoon"/>
    <s v="Mild"/>
    <s v="Low"/>
    <s v="Off-Peak"/>
    <n v="3.2786885245901641E-2"/>
    <s v="Normal"/>
    <n v="1"/>
  </r>
  <r>
    <n v="314"/>
    <x v="13"/>
    <n v="1"/>
    <n v="0"/>
    <n v="1"/>
    <n v="13"/>
    <b v="0"/>
    <n v="5"/>
    <n v="1"/>
    <n v="0.22"/>
    <n v="0.19700000000000001"/>
    <n v="0.37"/>
    <n v="0.3881"/>
    <n v="4"/>
    <n v="73"/>
    <n v="77"/>
    <s v="REC-0314"/>
    <d v="2011-01-14T13:00:00"/>
    <s v="Jan"/>
    <x v="6"/>
    <x v="1"/>
    <s v="Working Day"/>
    <s v="Spring"/>
    <x v="0"/>
    <s v="Afternoon"/>
    <s v="Mild"/>
    <s v="Low"/>
    <s v="Off-Peak"/>
    <n v="5.1948051948051951E-2"/>
    <s v="Normal"/>
    <n v="1"/>
  </r>
  <r>
    <n v="315"/>
    <x v="13"/>
    <n v="1"/>
    <n v="0"/>
    <n v="1"/>
    <n v="14"/>
    <b v="0"/>
    <n v="5"/>
    <n v="1"/>
    <n v="0.22"/>
    <n v="0.21210000000000001"/>
    <n v="0.41"/>
    <n v="0.28360000000000002"/>
    <n v="5"/>
    <n v="59"/>
    <n v="64"/>
    <s v="REC-0315"/>
    <d v="2011-01-14T14:00:00"/>
    <s v="Jan"/>
    <x v="6"/>
    <x v="1"/>
    <s v="Working Day"/>
    <s v="Spring"/>
    <x v="0"/>
    <s v="Afternoon"/>
    <s v="Mild"/>
    <s v="Low"/>
    <s v="Off-Peak"/>
    <n v="7.8125E-2"/>
    <s v="Normal"/>
    <n v="1"/>
  </r>
  <r>
    <n v="316"/>
    <x v="13"/>
    <n v="1"/>
    <n v="0"/>
    <n v="1"/>
    <n v="15"/>
    <b v="0"/>
    <n v="5"/>
    <n v="1"/>
    <n v="0.24"/>
    <n v="0.2424"/>
    <n v="0.38"/>
    <n v="0.16420000000000001"/>
    <n v="9"/>
    <n v="59"/>
    <n v="68"/>
    <s v="REC-0316"/>
    <d v="2011-01-14T15:00:00"/>
    <s v="Jan"/>
    <x v="6"/>
    <x v="1"/>
    <s v="Working Day"/>
    <s v="Spring"/>
    <x v="0"/>
    <s v="Afternoon"/>
    <s v="Mild"/>
    <s v="Low"/>
    <s v="Off-Peak"/>
    <n v="0.13235294117647059"/>
    <s v="Normal"/>
    <n v="1"/>
  </r>
  <r>
    <n v="317"/>
    <x v="13"/>
    <n v="1"/>
    <n v="0"/>
    <n v="1"/>
    <n v="16"/>
    <b v="0"/>
    <n v="5"/>
    <n v="1"/>
    <n v="0.22"/>
    <n v="0.2424"/>
    <n v="0.41"/>
    <n v="0.1045"/>
    <n v="3"/>
    <n v="87"/>
    <n v="90"/>
    <s v="REC-0317"/>
    <d v="2011-01-14T16:00:00"/>
    <s v="Jan"/>
    <x v="6"/>
    <x v="1"/>
    <s v="Working Day"/>
    <s v="Spring"/>
    <x v="0"/>
    <s v="Afternoon"/>
    <s v="Mild"/>
    <s v="Low"/>
    <s v="Peak"/>
    <n v="3.3333333333333333E-2"/>
    <s v="High"/>
    <n v="1"/>
  </r>
  <r>
    <n v="318"/>
    <x v="13"/>
    <n v="1"/>
    <n v="0"/>
    <n v="1"/>
    <n v="17"/>
    <b v="0"/>
    <n v="5"/>
    <n v="1"/>
    <n v="0.22"/>
    <n v="0.2273"/>
    <n v="0.41"/>
    <n v="0.16420000000000001"/>
    <n v="4"/>
    <n v="155"/>
    <n v="159"/>
    <s v="REC-0318"/>
    <d v="2011-01-14T17:00:00"/>
    <s v="Jan"/>
    <x v="6"/>
    <x v="1"/>
    <s v="Working Day"/>
    <s v="Spring"/>
    <x v="0"/>
    <s v="Evening"/>
    <s v="Mild"/>
    <s v="Low"/>
    <s v="Peak"/>
    <n v="2.5157232704402517E-2"/>
    <s v="High"/>
    <n v="1"/>
  </r>
  <r>
    <n v="319"/>
    <x v="13"/>
    <n v="1"/>
    <n v="0"/>
    <n v="1"/>
    <n v="18"/>
    <b v="0"/>
    <n v="5"/>
    <n v="1"/>
    <n v="0.2"/>
    <n v="0.2576"/>
    <n v="0.47"/>
    <n v="0"/>
    <n v="5"/>
    <n v="134"/>
    <n v="139"/>
    <s v="REC-0319"/>
    <d v="2011-01-14T18:00:00"/>
    <s v="Jan"/>
    <x v="6"/>
    <x v="1"/>
    <s v="Working Day"/>
    <s v="Spring"/>
    <x v="0"/>
    <s v="Evening"/>
    <s v="Mild"/>
    <s v="Low"/>
    <s v="Peak"/>
    <n v="3.5971223021582732E-2"/>
    <s v="High"/>
    <n v="1"/>
  </r>
  <r>
    <n v="320"/>
    <x v="13"/>
    <n v="1"/>
    <n v="0"/>
    <n v="1"/>
    <n v="19"/>
    <b v="0"/>
    <n v="5"/>
    <n v="1"/>
    <n v="0.16"/>
    <n v="0.19700000000000001"/>
    <n v="0.59"/>
    <n v="8.9599999999999999E-2"/>
    <n v="3"/>
    <n v="89"/>
    <n v="92"/>
    <s v="REC-0320"/>
    <d v="2011-01-14T19:00:00"/>
    <s v="Jan"/>
    <x v="6"/>
    <x v="1"/>
    <s v="Working Day"/>
    <s v="Spring"/>
    <x v="0"/>
    <s v="Evening"/>
    <s v="Cold"/>
    <s v="Medium"/>
    <s v="Peak"/>
    <n v="3.2608695652173912E-2"/>
    <s v="High"/>
    <n v="1"/>
  </r>
  <r>
    <n v="321"/>
    <x v="13"/>
    <n v="1"/>
    <n v="0"/>
    <n v="1"/>
    <n v="20"/>
    <b v="0"/>
    <n v="5"/>
    <n v="1"/>
    <n v="0.18"/>
    <n v="0.2424"/>
    <n v="0.59"/>
    <n v="0"/>
    <n v="0"/>
    <n v="68"/>
    <n v="68"/>
    <s v="REC-0321"/>
    <d v="2011-01-14T20:00:00"/>
    <s v="Jan"/>
    <x v="6"/>
    <x v="1"/>
    <s v="Working Day"/>
    <s v="Spring"/>
    <x v="0"/>
    <s v="Evening"/>
    <s v="Cold"/>
    <s v="Medium"/>
    <s v="Off-Peak"/>
    <n v="0"/>
    <s v="Normal"/>
    <n v="1"/>
  </r>
  <r>
    <n v="322"/>
    <x v="13"/>
    <n v="1"/>
    <n v="0"/>
    <n v="1"/>
    <n v="21"/>
    <b v="0"/>
    <n v="5"/>
    <n v="1"/>
    <n v="0.16"/>
    <n v="0.2273"/>
    <n v="0.69"/>
    <n v="0"/>
    <n v="4"/>
    <n v="48"/>
    <n v="52"/>
    <s v="REC-0322"/>
    <d v="2011-01-14T21:00:00"/>
    <s v="Jan"/>
    <x v="6"/>
    <x v="1"/>
    <s v="Working Day"/>
    <s v="Spring"/>
    <x v="0"/>
    <s v="Late Evening"/>
    <s v="Cold"/>
    <s v="Medium"/>
    <s v="Off-Peak"/>
    <n v="7.6923076923076927E-2"/>
    <s v="Normal"/>
    <n v="1"/>
  </r>
  <r>
    <n v="323"/>
    <x v="13"/>
    <n v="1"/>
    <n v="0"/>
    <n v="1"/>
    <n v="22"/>
    <b v="0"/>
    <n v="5"/>
    <n v="2"/>
    <n v="0.16"/>
    <n v="0.2273"/>
    <n v="0.69"/>
    <n v="0"/>
    <n v="2"/>
    <n v="34"/>
    <n v="36"/>
    <s v="REC-0323"/>
    <d v="2011-01-14T22:00:00"/>
    <s v="Jan"/>
    <x v="6"/>
    <x v="1"/>
    <s v="Working Day"/>
    <s v="Spring"/>
    <x v="1"/>
    <s v="Late Evening"/>
    <s v="Cold"/>
    <s v="Medium"/>
    <s v="Off-Peak"/>
    <n v="5.5555555555555552E-2"/>
    <s v="Normal"/>
    <n v="1"/>
  </r>
  <r>
    <n v="324"/>
    <x v="13"/>
    <n v="1"/>
    <n v="0"/>
    <n v="1"/>
    <n v="23"/>
    <b v="0"/>
    <n v="5"/>
    <n v="2"/>
    <n v="0.18"/>
    <n v="0.2424"/>
    <n v="0.55000000000000004"/>
    <n v="0"/>
    <n v="1"/>
    <n v="26"/>
    <n v="27"/>
    <s v="REC-0324"/>
    <d v="2011-01-14T23:00:00"/>
    <s v="Jan"/>
    <x v="6"/>
    <x v="1"/>
    <s v="Working Day"/>
    <s v="Spring"/>
    <x v="1"/>
    <s v="Late Evening"/>
    <s v="Cold"/>
    <s v="Medium"/>
    <s v="Off-Peak"/>
    <n v="3.7037037037037035E-2"/>
    <s v="Normal"/>
    <n v="1"/>
  </r>
  <r>
    <n v="325"/>
    <x v="14"/>
    <n v="1"/>
    <n v="0"/>
    <n v="1"/>
    <n v="0"/>
    <b v="0"/>
    <n v="6"/>
    <n v="1"/>
    <n v="0.18"/>
    <n v="0.2424"/>
    <n v="0.55000000000000004"/>
    <n v="0"/>
    <n v="3"/>
    <n v="25"/>
    <n v="28"/>
    <s v="REC-0325"/>
    <d v="2011-01-15T00:00:00"/>
    <s v="Jan"/>
    <x v="0"/>
    <x v="0"/>
    <s v="Non-Working Day"/>
    <s v="Spring"/>
    <x v="0"/>
    <s v="Night"/>
    <s v="Cold"/>
    <s v="Medium"/>
    <s v="Off-Peak"/>
    <n v="0.10714285714285714"/>
    <s v="Normal"/>
    <n v="1"/>
  </r>
  <r>
    <n v="326"/>
    <x v="14"/>
    <n v="1"/>
    <n v="0"/>
    <n v="1"/>
    <n v="1"/>
    <b v="0"/>
    <n v="6"/>
    <n v="2"/>
    <n v="0.16"/>
    <n v="0.19700000000000001"/>
    <n v="0.59"/>
    <n v="8.9599999999999999E-2"/>
    <n v="2"/>
    <n v="18"/>
    <n v="20"/>
    <s v="REC-0326"/>
    <d v="2011-01-15T01:00:00"/>
    <s v="Jan"/>
    <x v="0"/>
    <x v="0"/>
    <s v="Non-Working Day"/>
    <s v="Spring"/>
    <x v="1"/>
    <s v="Night"/>
    <s v="Cold"/>
    <s v="Medium"/>
    <s v="Off-Peak"/>
    <n v="0.1"/>
    <s v="Normal"/>
    <n v="1"/>
  </r>
  <r>
    <n v="327"/>
    <x v="14"/>
    <n v="1"/>
    <n v="0"/>
    <n v="1"/>
    <n v="2"/>
    <b v="0"/>
    <n v="6"/>
    <n v="2"/>
    <n v="0.16"/>
    <n v="0.19700000000000001"/>
    <n v="0.59"/>
    <n v="8.9599999999999999E-2"/>
    <n v="0"/>
    <n v="12"/>
    <n v="12"/>
    <s v="REC-0327"/>
    <d v="2011-01-15T02:00:00"/>
    <s v="Jan"/>
    <x v="0"/>
    <x v="0"/>
    <s v="Non-Working Day"/>
    <s v="Spring"/>
    <x v="1"/>
    <s v="Night"/>
    <s v="Cold"/>
    <s v="Medium"/>
    <s v="Off-Peak"/>
    <n v="0"/>
    <s v="Low"/>
    <n v="1"/>
  </r>
  <r>
    <n v="328"/>
    <x v="14"/>
    <n v="1"/>
    <n v="0"/>
    <n v="1"/>
    <n v="3"/>
    <b v="0"/>
    <n v="6"/>
    <n v="2"/>
    <n v="0.16"/>
    <n v="0.2273"/>
    <n v="0.59"/>
    <n v="0"/>
    <n v="1"/>
    <n v="7"/>
    <n v="8"/>
    <s v="REC-0328"/>
    <d v="2011-01-15T03:00:00"/>
    <s v="Jan"/>
    <x v="0"/>
    <x v="0"/>
    <s v="Non-Working Day"/>
    <s v="Spring"/>
    <x v="1"/>
    <s v="Night"/>
    <s v="Cold"/>
    <s v="Medium"/>
    <s v="Off-Peak"/>
    <n v="0.125"/>
    <s v="Low"/>
    <n v="1"/>
  </r>
  <r>
    <n v="329"/>
    <x v="14"/>
    <n v="1"/>
    <n v="0"/>
    <n v="1"/>
    <n v="4"/>
    <b v="0"/>
    <n v="6"/>
    <n v="2"/>
    <n v="0.16"/>
    <n v="0.2273"/>
    <n v="0.59"/>
    <n v="0"/>
    <n v="0"/>
    <n v="5"/>
    <n v="5"/>
    <s v="REC-0329"/>
    <d v="2011-01-15T04:00:00"/>
    <s v="Jan"/>
    <x v="0"/>
    <x v="0"/>
    <s v="Non-Working Day"/>
    <s v="Spring"/>
    <x v="1"/>
    <s v="Night"/>
    <s v="Cold"/>
    <s v="Medium"/>
    <s v="Off-Peak"/>
    <n v="0"/>
    <s v="Low"/>
    <n v="1"/>
  </r>
  <r>
    <n v="330"/>
    <x v="14"/>
    <n v="1"/>
    <n v="0"/>
    <n v="1"/>
    <n v="5"/>
    <b v="0"/>
    <n v="6"/>
    <n v="1"/>
    <n v="0.16"/>
    <n v="0.2273"/>
    <n v="0.59"/>
    <n v="0"/>
    <n v="0"/>
    <n v="1"/>
    <n v="1"/>
    <s v="REC-0330"/>
    <d v="2011-01-15T05:00:00"/>
    <s v="Jan"/>
    <x v="0"/>
    <x v="0"/>
    <s v="Non-Working Day"/>
    <s v="Spring"/>
    <x v="0"/>
    <s v="Night"/>
    <s v="Cold"/>
    <s v="Medium"/>
    <s v="Off-Peak"/>
    <n v="0"/>
    <s v="Low"/>
    <n v="1"/>
  </r>
  <r>
    <n v="331"/>
    <x v="14"/>
    <n v="1"/>
    <n v="0"/>
    <n v="1"/>
    <n v="6"/>
    <b v="0"/>
    <n v="6"/>
    <n v="1"/>
    <n v="0.14000000000000001"/>
    <n v="0.16669999999999999"/>
    <n v="0.63"/>
    <n v="0.1045"/>
    <n v="1"/>
    <n v="2"/>
    <n v="3"/>
    <s v="REC-0331"/>
    <d v="2011-01-15T06:00:00"/>
    <s v="Jan"/>
    <x v="0"/>
    <x v="0"/>
    <s v="Non-Working Day"/>
    <s v="Spring"/>
    <x v="0"/>
    <s v="Morning"/>
    <s v="Cold"/>
    <s v="Medium"/>
    <s v="Off-Peak"/>
    <n v="0.33333333333333331"/>
    <s v="Low"/>
    <n v="1"/>
  </r>
  <r>
    <n v="332"/>
    <x v="14"/>
    <n v="1"/>
    <n v="0"/>
    <n v="1"/>
    <n v="7"/>
    <b v="0"/>
    <n v="6"/>
    <n v="1"/>
    <n v="0.14000000000000001"/>
    <n v="0.21210000000000001"/>
    <n v="0.63"/>
    <n v="0"/>
    <n v="1"/>
    <n v="9"/>
    <n v="10"/>
    <s v="REC-0332"/>
    <d v="2011-01-15T07:00:00"/>
    <s v="Jan"/>
    <x v="0"/>
    <x v="0"/>
    <s v="Non-Working Day"/>
    <s v="Spring"/>
    <x v="0"/>
    <s v="Morning"/>
    <s v="Cold"/>
    <s v="Medium"/>
    <s v="Off-Peak"/>
    <n v="0.1"/>
    <s v="Low"/>
    <n v="1"/>
  </r>
  <r>
    <n v="333"/>
    <x v="14"/>
    <n v="1"/>
    <n v="0"/>
    <n v="1"/>
    <n v="8"/>
    <b v="0"/>
    <n v="6"/>
    <n v="1"/>
    <n v="0.14000000000000001"/>
    <n v="0.1515"/>
    <n v="0.63"/>
    <n v="0.1343"/>
    <n v="1"/>
    <n v="22"/>
    <n v="23"/>
    <s v="REC-0333"/>
    <d v="2011-01-15T08:00:00"/>
    <s v="Jan"/>
    <x v="0"/>
    <x v="0"/>
    <s v="Non-Working Day"/>
    <s v="Spring"/>
    <x v="0"/>
    <s v="Morning"/>
    <s v="Cold"/>
    <s v="Medium"/>
    <s v="Off-Peak"/>
    <n v="4.3478260869565216E-2"/>
    <s v="Normal"/>
    <n v="1"/>
  </r>
  <r>
    <n v="334"/>
    <x v="14"/>
    <n v="1"/>
    <n v="0"/>
    <n v="1"/>
    <n v="9"/>
    <b v="0"/>
    <n v="6"/>
    <n v="1"/>
    <n v="0.16"/>
    <n v="0.18179999999999999"/>
    <n v="0.64"/>
    <n v="0.1343"/>
    <n v="2"/>
    <n v="31"/>
    <n v="33"/>
    <s v="REC-0334"/>
    <d v="2011-01-15T09:00:00"/>
    <s v="Jan"/>
    <x v="0"/>
    <x v="0"/>
    <s v="Non-Working Day"/>
    <s v="Spring"/>
    <x v="0"/>
    <s v="Morning"/>
    <s v="Cold"/>
    <s v="Medium"/>
    <s v="Off-Peak"/>
    <n v="6.0606060606060608E-2"/>
    <s v="Normal"/>
    <n v="1"/>
  </r>
  <r>
    <n v="335"/>
    <x v="14"/>
    <n v="1"/>
    <n v="0"/>
    <n v="1"/>
    <n v="10"/>
    <b v="0"/>
    <n v="6"/>
    <n v="1"/>
    <n v="0.18"/>
    <n v="0.19700000000000001"/>
    <n v="0.59"/>
    <n v="0.16420000000000001"/>
    <n v="2"/>
    <n v="57"/>
    <n v="59"/>
    <s v="REC-0335"/>
    <d v="2011-01-15T10:00:00"/>
    <s v="Jan"/>
    <x v="0"/>
    <x v="0"/>
    <s v="Non-Working Day"/>
    <s v="Spring"/>
    <x v="0"/>
    <s v="Morning"/>
    <s v="Cold"/>
    <s v="Medium"/>
    <s v="Off-Peak"/>
    <n v="3.3898305084745763E-2"/>
    <s v="Normal"/>
    <n v="1"/>
  </r>
  <r>
    <n v="336"/>
    <x v="14"/>
    <n v="1"/>
    <n v="0"/>
    <n v="1"/>
    <n v="11"/>
    <b v="0"/>
    <n v="6"/>
    <n v="1"/>
    <n v="0.2"/>
    <n v="0.19700000000000001"/>
    <n v="0.55000000000000004"/>
    <n v="0.22389999999999999"/>
    <n v="18"/>
    <n v="54"/>
    <n v="72"/>
    <s v="REC-0336"/>
    <d v="2011-01-15T11:00:00"/>
    <s v="Jan"/>
    <x v="0"/>
    <x v="0"/>
    <s v="Non-Working Day"/>
    <s v="Spring"/>
    <x v="0"/>
    <s v="Morning"/>
    <s v="Mild"/>
    <s v="Medium"/>
    <s v="Off-Peak"/>
    <n v="0.25"/>
    <s v="Normal"/>
    <n v="1"/>
  </r>
  <r>
    <n v="337"/>
    <x v="14"/>
    <n v="1"/>
    <n v="0"/>
    <n v="1"/>
    <n v="12"/>
    <b v="0"/>
    <n v="6"/>
    <n v="1"/>
    <n v="0.24"/>
    <n v="0.2273"/>
    <n v="0.48"/>
    <n v="0.22389999999999999"/>
    <n v="15"/>
    <n v="74"/>
    <n v="89"/>
    <s v="REC-0337"/>
    <d v="2011-01-15T12:00:00"/>
    <s v="Jan"/>
    <x v="0"/>
    <x v="0"/>
    <s v="Non-Working Day"/>
    <s v="Spring"/>
    <x v="0"/>
    <s v="Afternoon"/>
    <s v="Mild"/>
    <s v="Low"/>
    <s v="Off-Peak"/>
    <n v="0.16853932584269662"/>
    <s v="High"/>
    <n v="1"/>
  </r>
  <r>
    <n v="338"/>
    <x v="14"/>
    <n v="1"/>
    <n v="0"/>
    <n v="1"/>
    <n v="13"/>
    <b v="0"/>
    <n v="6"/>
    <n v="1"/>
    <n v="0.28000000000000003"/>
    <n v="0.2576"/>
    <n v="0.38"/>
    <n v="0.29849999999999999"/>
    <n v="21"/>
    <n v="80"/>
    <n v="101"/>
    <s v="REC-0338"/>
    <d v="2011-01-15T13:00:00"/>
    <s v="Jan"/>
    <x v="0"/>
    <x v="0"/>
    <s v="Non-Working Day"/>
    <s v="Spring"/>
    <x v="0"/>
    <s v="Afternoon"/>
    <s v="Mild"/>
    <s v="Low"/>
    <s v="Off-Peak"/>
    <n v="0.20792079207920791"/>
    <s v="High"/>
    <n v="1"/>
  </r>
  <r>
    <n v="339"/>
    <x v="14"/>
    <n v="1"/>
    <n v="0"/>
    <n v="1"/>
    <n v="14"/>
    <b v="0"/>
    <n v="6"/>
    <n v="1"/>
    <n v="0.3"/>
    <n v="0.28789999999999999"/>
    <n v="0.39"/>
    <n v="0.28360000000000002"/>
    <n v="26"/>
    <n v="92"/>
    <n v="118"/>
    <s v="REC-0339"/>
    <d v="2011-01-15T14:00:00"/>
    <s v="Jan"/>
    <x v="0"/>
    <x v="0"/>
    <s v="Non-Working Day"/>
    <s v="Spring"/>
    <x v="0"/>
    <s v="Afternoon"/>
    <s v="Warm"/>
    <s v="Low"/>
    <s v="Off-Peak"/>
    <n v="0.22033898305084745"/>
    <s v="High"/>
    <n v="1"/>
  </r>
  <r>
    <n v="340"/>
    <x v="14"/>
    <n v="1"/>
    <n v="0"/>
    <n v="1"/>
    <n v="15"/>
    <b v="0"/>
    <n v="6"/>
    <n v="2"/>
    <n v="0.32"/>
    <n v="0.31819999999999998"/>
    <n v="0.36"/>
    <n v="0.19400000000000001"/>
    <n v="21"/>
    <n v="108"/>
    <n v="129"/>
    <s v="REC-0340"/>
    <d v="2011-01-15T15:00:00"/>
    <s v="Jan"/>
    <x v="0"/>
    <x v="0"/>
    <s v="Non-Working Day"/>
    <s v="Spring"/>
    <x v="1"/>
    <s v="Afternoon"/>
    <s v="Warm"/>
    <s v="Low"/>
    <s v="Off-Peak"/>
    <n v="0.16279069767441862"/>
    <s v="High"/>
    <n v="1"/>
  </r>
  <r>
    <n v="341"/>
    <x v="14"/>
    <n v="1"/>
    <n v="0"/>
    <n v="1"/>
    <n v="16"/>
    <b v="0"/>
    <n v="6"/>
    <n v="2"/>
    <n v="0.34"/>
    <n v="0.33329999999999999"/>
    <n v="0.34"/>
    <n v="0.19400000000000001"/>
    <n v="33"/>
    <n v="95"/>
    <n v="128"/>
    <s v="REC-0341"/>
    <d v="2011-01-15T16:00:00"/>
    <s v="Jan"/>
    <x v="0"/>
    <x v="0"/>
    <s v="Non-Working Day"/>
    <s v="Spring"/>
    <x v="1"/>
    <s v="Afternoon"/>
    <s v="Warm"/>
    <s v="Low"/>
    <s v="Off-Peak"/>
    <n v="0.2578125"/>
    <s v="High"/>
    <n v="1"/>
  </r>
  <r>
    <n v="342"/>
    <x v="14"/>
    <n v="1"/>
    <n v="0"/>
    <n v="1"/>
    <n v="17"/>
    <b v="0"/>
    <n v="6"/>
    <n v="2"/>
    <n v="0.32"/>
    <n v="0.30299999999999999"/>
    <n v="0.36"/>
    <n v="0.28360000000000002"/>
    <n v="29"/>
    <n v="54"/>
    <n v="83"/>
    <s v="REC-0342"/>
    <d v="2011-01-15T17:00:00"/>
    <s v="Jan"/>
    <x v="0"/>
    <x v="0"/>
    <s v="Non-Working Day"/>
    <s v="Spring"/>
    <x v="1"/>
    <s v="Evening"/>
    <s v="Warm"/>
    <s v="Low"/>
    <s v="Off-Peak"/>
    <n v="0.3493975903614458"/>
    <s v="High"/>
    <n v="1"/>
  </r>
  <r>
    <n v="343"/>
    <x v="14"/>
    <n v="1"/>
    <n v="0"/>
    <n v="1"/>
    <n v="18"/>
    <b v="0"/>
    <n v="6"/>
    <n v="2"/>
    <n v="0.3"/>
    <n v="0.28789999999999999"/>
    <n v="0.45"/>
    <n v="0.25369999999999998"/>
    <n v="15"/>
    <n v="69"/>
    <n v="84"/>
    <s v="REC-0343"/>
    <d v="2011-01-15T18:00:00"/>
    <s v="Jan"/>
    <x v="0"/>
    <x v="0"/>
    <s v="Non-Working Day"/>
    <s v="Spring"/>
    <x v="1"/>
    <s v="Evening"/>
    <s v="Warm"/>
    <s v="Low"/>
    <s v="Off-Peak"/>
    <n v="0.17857142857142858"/>
    <s v="High"/>
    <n v="1"/>
  </r>
  <r>
    <n v="344"/>
    <x v="14"/>
    <n v="1"/>
    <n v="0"/>
    <n v="1"/>
    <n v="19"/>
    <b v="0"/>
    <n v="6"/>
    <n v="2"/>
    <n v="0.32"/>
    <n v="0.30299999999999999"/>
    <n v="0.39"/>
    <n v="0.25369999999999998"/>
    <n v="14"/>
    <n v="60"/>
    <n v="74"/>
    <s v="REC-0344"/>
    <d v="2011-01-15T19:00:00"/>
    <s v="Jan"/>
    <x v="0"/>
    <x v="0"/>
    <s v="Non-Working Day"/>
    <s v="Spring"/>
    <x v="1"/>
    <s v="Evening"/>
    <s v="Warm"/>
    <s v="Low"/>
    <s v="Off-Peak"/>
    <n v="0.1891891891891892"/>
    <s v="Normal"/>
    <n v="1"/>
  </r>
  <r>
    <n v="345"/>
    <x v="14"/>
    <n v="1"/>
    <n v="0"/>
    <n v="1"/>
    <n v="20"/>
    <b v="0"/>
    <n v="6"/>
    <n v="2"/>
    <n v="0.32"/>
    <n v="0.30299999999999999"/>
    <n v="0.39"/>
    <n v="0.25369999999999998"/>
    <n v="6"/>
    <n v="35"/>
    <n v="41"/>
    <s v="REC-0345"/>
    <d v="2011-01-15T20:00:00"/>
    <s v="Jan"/>
    <x v="0"/>
    <x v="0"/>
    <s v="Non-Working Day"/>
    <s v="Spring"/>
    <x v="1"/>
    <s v="Evening"/>
    <s v="Warm"/>
    <s v="Low"/>
    <s v="Off-Peak"/>
    <n v="0.14634146341463414"/>
    <s v="Normal"/>
    <n v="1"/>
  </r>
  <r>
    <n v="346"/>
    <x v="14"/>
    <n v="1"/>
    <n v="0"/>
    <n v="1"/>
    <n v="21"/>
    <b v="0"/>
    <n v="6"/>
    <n v="2"/>
    <n v="0.32"/>
    <n v="0.30299999999999999"/>
    <n v="0.39"/>
    <n v="0.22389999999999999"/>
    <n v="6"/>
    <n v="51"/>
    <n v="57"/>
    <s v="REC-0346"/>
    <d v="2011-01-15T21:00:00"/>
    <s v="Jan"/>
    <x v="0"/>
    <x v="0"/>
    <s v="Non-Working Day"/>
    <s v="Spring"/>
    <x v="1"/>
    <s v="Late Evening"/>
    <s v="Warm"/>
    <s v="Low"/>
    <s v="Off-Peak"/>
    <n v="0.10526315789473684"/>
    <s v="Normal"/>
    <n v="1"/>
  </r>
  <r>
    <n v="347"/>
    <x v="14"/>
    <n v="1"/>
    <n v="0"/>
    <n v="1"/>
    <n v="22"/>
    <b v="0"/>
    <n v="6"/>
    <n v="2"/>
    <n v="0.3"/>
    <n v="0.31819999999999998"/>
    <n v="0.42"/>
    <n v="0.1045"/>
    <n v="0"/>
    <n v="26"/>
    <n v="26"/>
    <s v="REC-0347"/>
    <d v="2011-01-15T22:00:00"/>
    <s v="Jan"/>
    <x v="0"/>
    <x v="0"/>
    <s v="Non-Working Day"/>
    <s v="Spring"/>
    <x v="1"/>
    <s v="Late Evening"/>
    <s v="Warm"/>
    <s v="Low"/>
    <s v="Off-Peak"/>
    <n v="0"/>
    <s v="Normal"/>
    <n v="1"/>
  </r>
  <r>
    <n v="348"/>
    <x v="14"/>
    <n v="1"/>
    <n v="0"/>
    <n v="1"/>
    <n v="23"/>
    <b v="0"/>
    <n v="6"/>
    <n v="1"/>
    <n v="0.3"/>
    <n v="0.28789999999999999"/>
    <n v="0.45"/>
    <n v="0.28360000000000002"/>
    <n v="5"/>
    <n v="39"/>
    <n v="44"/>
    <s v="REC-0348"/>
    <d v="2011-01-15T23:00:00"/>
    <s v="Jan"/>
    <x v="0"/>
    <x v="0"/>
    <s v="Non-Working Day"/>
    <s v="Spring"/>
    <x v="0"/>
    <s v="Late Evening"/>
    <s v="Warm"/>
    <s v="Low"/>
    <s v="Off-Peak"/>
    <n v="0.11363636363636363"/>
    <s v="Normal"/>
    <n v="1"/>
  </r>
  <r>
    <n v="349"/>
    <x v="15"/>
    <n v="1"/>
    <n v="0"/>
    <n v="1"/>
    <n v="0"/>
    <b v="0"/>
    <n v="0"/>
    <n v="1"/>
    <n v="0.26"/>
    <n v="0.30299999999999999"/>
    <n v="0.56000000000000005"/>
    <n v="0"/>
    <n v="6"/>
    <n v="33"/>
    <n v="39"/>
    <s v="REC-0349"/>
    <d v="2011-01-16T00:00:00"/>
    <s v="Jan"/>
    <x v="1"/>
    <x v="0"/>
    <s v="Non-Working Day"/>
    <s v="Spring"/>
    <x v="0"/>
    <s v="Night"/>
    <s v="Mild"/>
    <s v="Medium"/>
    <s v="Off-Peak"/>
    <n v="0.15384615384615385"/>
    <s v="Normal"/>
    <n v="1"/>
  </r>
  <r>
    <n v="350"/>
    <x v="15"/>
    <n v="1"/>
    <n v="0"/>
    <n v="1"/>
    <n v="1"/>
    <b v="0"/>
    <n v="0"/>
    <n v="1"/>
    <n v="0.26"/>
    <n v="0.2727"/>
    <n v="0.56000000000000005"/>
    <n v="0.1343"/>
    <n v="4"/>
    <n v="19"/>
    <n v="23"/>
    <s v="REC-0350"/>
    <d v="2011-01-16T01:00:00"/>
    <s v="Jan"/>
    <x v="1"/>
    <x v="0"/>
    <s v="Non-Working Day"/>
    <s v="Spring"/>
    <x v="0"/>
    <s v="Night"/>
    <s v="Mild"/>
    <s v="Medium"/>
    <s v="Off-Peak"/>
    <n v="0.17391304347826086"/>
    <s v="Normal"/>
    <n v="1"/>
  </r>
  <r>
    <n v="351"/>
    <x v="15"/>
    <n v="1"/>
    <n v="0"/>
    <n v="1"/>
    <n v="2"/>
    <b v="0"/>
    <n v="0"/>
    <n v="1"/>
    <n v="0.26"/>
    <n v="0.28789999999999999"/>
    <n v="0.56000000000000005"/>
    <n v="8.9599999999999999E-2"/>
    <n v="3"/>
    <n v="13"/>
    <n v="16"/>
    <s v="REC-0351"/>
    <d v="2011-01-16T02:00:00"/>
    <s v="Jan"/>
    <x v="1"/>
    <x v="0"/>
    <s v="Non-Working Day"/>
    <s v="Spring"/>
    <x v="0"/>
    <s v="Night"/>
    <s v="Mild"/>
    <s v="Medium"/>
    <s v="Off-Peak"/>
    <n v="0.1875"/>
    <s v="Low"/>
    <n v="1"/>
  </r>
  <r>
    <n v="352"/>
    <x v="15"/>
    <n v="1"/>
    <n v="0"/>
    <n v="1"/>
    <n v="3"/>
    <b v="0"/>
    <n v="0"/>
    <n v="1"/>
    <n v="0.22"/>
    <n v="0.2727"/>
    <n v="0.69"/>
    <n v="0"/>
    <n v="9"/>
    <n v="6"/>
    <n v="15"/>
    <s v="REC-0352"/>
    <d v="2011-01-16T03:00:00"/>
    <s v="Jan"/>
    <x v="1"/>
    <x v="0"/>
    <s v="Non-Working Day"/>
    <s v="Spring"/>
    <x v="0"/>
    <s v="Night"/>
    <s v="Mild"/>
    <s v="Medium"/>
    <s v="Off-Peak"/>
    <n v="0.6"/>
    <s v="Low"/>
    <n v="1"/>
  </r>
  <r>
    <n v="353"/>
    <x v="15"/>
    <n v="1"/>
    <n v="0"/>
    <n v="1"/>
    <n v="4"/>
    <b v="0"/>
    <n v="0"/>
    <n v="1"/>
    <n v="0.26"/>
    <n v="0.2576"/>
    <n v="0.56000000000000005"/>
    <n v="0.16420000000000001"/>
    <n v="0"/>
    <n v="1"/>
    <n v="1"/>
    <s v="REC-0353"/>
    <d v="2011-01-16T04:00:00"/>
    <s v="Jan"/>
    <x v="1"/>
    <x v="0"/>
    <s v="Non-Working Day"/>
    <s v="Spring"/>
    <x v="0"/>
    <s v="Night"/>
    <s v="Mild"/>
    <s v="Medium"/>
    <s v="Off-Peak"/>
    <n v="0"/>
    <s v="Low"/>
    <n v="1"/>
  </r>
  <r>
    <n v="354"/>
    <x v="15"/>
    <n v="1"/>
    <n v="0"/>
    <n v="1"/>
    <n v="5"/>
    <b v="0"/>
    <n v="0"/>
    <n v="2"/>
    <n v="0.26"/>
    <n v="0.2576"/>
    <n v="0.56000000000000005"/>
    <n v="0.16420000000000001"/>
    <n v="1"/>
    <n v="1"/>
    <n v="2"/>
    <s v="REC-0354"/>
    <d v="2011-01-16T05:00:00"/>
    <s v="Jan"/>
    <x v="1"/>
    <x v="0"/>
    <s v="Non-Working Day"/>
    <s v="Spring"/>
    <x v="1"/>
    <s v="Night"/>
    <s v="Mild"/>
    <s v="Medium"/>
    <s v="Off-Peak"/>
    <n v="0.5"/>
    <s v="Low"/>
    <n v="1"/>
  </r>
  <r>
    <n v="355"/>
    <x v="15"/>
    <n v="1"/>
    <n v="0"/>
    <n v="1"/>
    <n v="6"/>
    <b v="0"/>
    <n v="0"/>
    <n v="2"/>
    <n v="0.26"/>
    <n v="0.2576"/>
    <n v="0.56000000000000005"/>
    <n v="0.16420000000000001"/>
    <n v="0"/>
    <n v="1"/>
    <n v="1"/>
    <s v="REC-0355"/>
    <d v="2011-01-16T06:00:00"/>
    <s v="Jan"/>
    <x v="1"/>
    <x v="0"/>
    <s v="Non-Working Day"/>
    <s v="Spring"/>
    <x v="1"/>
    <s v="Morning"/>
    <s v="Mild"/>
    <s v="Medium"/>
    <s v="Off-Peak"/>
    <n v="0"/>
    <s v="Low"/>
    <n v="1"/>
  </r>
  <r>
    <n v="356"/>
    <x v="15"/>
    <n v="1"/>
    <n v="0"/>
    <n v="1"/>
    <n v="7"/>
    <b v="0"/>
    <n v="0"/>
    <n v="2"/>
    <n v="0.24"/>
    <n v="0.21210000000000001"/>
    <n v="0.56000000000000005"/>
    <n v="0.29849999999999999"/>
    <n v="0"/>
    <n v="3"/>
    <n v="3"/>
    <s v="REC-0356"/>
    <d v="2011-01-16T07:00:00"/>
    <s v="Jan"/>
    <x v="1"/>
    <x v="0"/>
    <s v="Non-Working Day"/>
    <s v="Spring"/>
    <x v="1"/>
    <s v="Morning"/>
    <s v="Mild"/>
    <s v="Medium"/>
    <s v="Off-Peak"/>
    <n v="0"/>
    <s v="Low"/>
    <n v="1"/>
  </r>
  <r>
    <n v="357"/>
    <x v="15"/>
    <n v="1"/>
    <n v="0"/>
    <n v="1"/>
    <n v="8"/>
    <b v="0"/>
    <n v="0"/>
    <n v="1"/>
    <n v="0.22"/>
    <n v="0.21210000000000001"/>
    <n v="0.55000000000000004"/>
    <n v="0.28360000000000002"/>
    <n v="0"/>
    <n v="18"/>
    <n v="18"/>
    <s v="REC-0357"/>
    <d v="2011-01-16T08:00:00"/>
    <s v="Jan"/>
    <x v="1"/>
    <x v="0"/>
    <s v="Non-Working Day"/>
    <s v="Spring"/>
    <x v="0"/>
    <s v="Morning"/>
    <s v="Mild"/>
    <s v="Medium"/>
    <s v="Off-Peak"/>
    <n v="0"/>
    <s v="Normal"/>
    <n v="1"/>
  </r>
  <r>
    <n v="358"/>
    <x v="15"/>
    <n v="1"/>
    <n v="0"/>
    <n v="1"/>
    <n v="9"/>
    <b v="0"/>
    <n v="0"/>
    <n v="1"/>
    <n v="0.22"/>
    <n v="0.21210000000000001"/>
    <n v="0.51"/>
    <n v="0.25369999999999998"/>
    <n v="3"/>
    <n v="29"/>
    <n v="32"/>
    <s v="REC-0358"/>
    <d v="2011-01-16T09:00:00"/>
    <s v="Jan"/>
    <x v="1"/>
    <x v="0"/>
    <s v="Non-Working Day"/>
    <s v="Spring"/>
    <x v="0"/>
    <s v="Morning"/>
    <s v="Mild"/>
    <s v="Medium"/>
    <s v="Off-Peak"/>
    <n v="9.375E-2"/>
    <s v="Normal"/>
    <n v="1"/>
  </r>
  <r>
    <n v="359"/>
    <x v="15"/>
    <n v="1"/>
    <n v="0"/>
    <n v="1"/>
    <n v="10"/>
    <b v="0"/>
    <n v="0"/>
    <n v="1"/>
    <n v="0.22"/>
    <n v="0.21210000000000001"/>
    <n v="0.51"/>
    <n v="0.28360000000000002"/>
    <n v="8"/>
    <n v="71"/>
    <n v="79"/>
    <s v="REC-0359"/>
    <d v="2011-01-16T10:00:00"/>
    <s v="Jan"/>
    <x v="1"/>
    <x v="0"/>
    <s v="Non-Working Day"/>
    <s v="Spring"/>
    <x v="0"/>
    <s v="Morning"/>
    <s v="Mild"/>
    <s v="Medium"/>
    <s v="Off-Peak"/>
    <n v="0.10126582278481013"/>
    <s v="Normal"/>
    <n v="1"/>
  </r>
  <r>
    <n v="360"/>
    <x v="15"/>
    <n v="1"/>
    <n v="0"/>
    <n v="1"/>
    <n v="11"/>
    <b v="0"/>
    <n v="0"/>
    <n v="1"/>
    <n v="0.24"/>
    <n v="0.2273"/>
    <n v="0.44"/>
    <n v="0.25369999999999998"/>
    <n v="23"/>
    <n v="70"/>
    <n v="93"/>
    <s v="REC-0360"/>
    <d v="2011-01-16T11:00:00"/>
    <s v="Jan"/>
    <x v="1"/>
    <x v="0"/>
    <s v="Non-Working Day"/>
    <s v="Spring"/>
    <x v="0"/>
    <s v="Morning"/>
    <s v="Mild"/>
    <s v="Low"/>
    <s v="Off-Peak"/>
    <n v="0.24731182795698925"/>
    <s v="High"/>
    <n v="1"/>
  </r>
  <r>
    <n v="361"/>
    <x v="15"/>
    <n v="1"/>
    <n v="0"/>
    <n v="1"/>
    <n v="12"/>
    <b v="0"/>
    <n v="0"/>
    <n v="1"/>
    <n v="0.24"/>
    <n v="0.21210000000000001"/>
    <n v="0.41"/>
    <n v="0.28360000000000002"/>
    <n v="29"/>
    <n v="75"/>
    <n v="104"/>
    <s v="REC-0361"/>
    <d v="2011-01-16T12:00:00"/>
    <s v="Jan"/>
    <x v="1"/>
    <x v="0"/>
    <s v="Non-Working Day"/>
    <s v="Spring"/>
    <x v="0"/>
    <s v="Afternoon"/>
    <s v="Mild"/>
    <s v="Low"/>
    <s v="Off-Peak"/>
    <n v="0.27884615384615385"/>
    <s v="High"/>
    <n v="1"/>
  </r>
  <r>
    <n v="362"/>
    <x v="15"/>
    <n v="1"/>
    <n v="0"/>
    <n v="1"/>
    <n v="13"/>
    <b v="0"/>
    <n v="0"/>
    <n v="1"/>
    <n v="0.26"/>
    <n v="0.2273"/>
    <n v="0.35"/>
    <n v="0.29849999999999999"/>
    <n v="23"/>
    <n v="95"/>
    <n v="118"/>
    <s v="REC-0362"/>
    <d v="2011-01-16T13:00:00"/>
    <s v="Jan"/>
    <x v="1"/>
    <x v="0"/>
    <s v="Non-Working Day"/>
    <s v="Spring"/>
    <x v="0"/>
    <s v="Afternoon"/>
    <s v="Mild"/>
    <s v="Low"/>
    <s v="Off-Peak"/>
    <n v="0.19491525423728814"/>
    <s v="High"/>
    <n v="1"/>
  </r>
  <r>
    <n v="363"/>
    <x v="15"/>
    <n v="1"/>
    <n v="0"/>
    <n v="1"/>
    <n v="14"/>
    <b v="0"/>
    <n v="0"/>
    <n v="1"/>
    <n v="0.28000000000000003"/>
    <n v="0.2727"/>
    <n v="0.36"/>
    <n v="0.25369999999999998"/>
    <n v="22"/>
    <n v="69"/>
    <n v="91"/>
    <s v="REC-0363"/>
    <d v="2011-01-16T14:00:00"/>
    <s v="Jan"/>
    <x v="1"/>
    <x v="0"/>
    <s v="Non-Working Day"/>
    <s v="Spring"/>
    <x v="0"/>
    <s v="Afternoon"/>
    <s v="Mild"/>
    <s v="Low"/>
    <s v="Off-Peak"/>
    <n v="0.24175824175824176"/>
    <s v="High"/>
    <n v="1"/>
  </r>
  <r>
    <n v="364"/>
    <x v="15"/>
    <n v="1"/>
    <n v="0"/>
    <n v="1"/>
    <n v="15"/>
    <b v="0"/>
    <n v="0"/>
    <n v="1"/>
    <n v="0.26"/>
    <n v="0.2424"/>
    <n v="0.38"/>
    <n v="0.25369999999999998"/>
    <n v="35"/>
    <n v="78"/>
    <n v="113"/>
    <s v="REC-0364"/>
    <d v="2011-01-16T15:00:00"/>
    <s v="Jan"/>
    <x v="1"/>
    <x v="0"/>
    <s v="Non-Working Day"/>
    <s v="Spring"/>
    <x v="0"/>
    <s v="Afternoon"/>
    <s v="Mild"/>
    <s v="Low"/>
    <s v="Off-Peak"/>
    <n v="0.30973451327433627"/>
    <s v="High"/>
    <n v="1"/>
  </r>
  <r>
    <n v="365"/>
    <x v="15"/>
    <n v="1"/>
    <n v="0"/>
    <n v="1"/>
    <n v="16"/>
    <b v="0"/>
    <n v="0"/>
    <n v="1"/>
    <n v="0.24"/>
    <n v="0.2273"/>
    <n v="0.38"/>
    <n v="0.22389999999999999"/>
    <n v="22"/>
    <n v="77"/>
    <n v="99"/>
    <s v="REC-0365"/>
    <d v="2011-01-16T16:00:00"/>
    <s v="Jan"/>
    <x v="1"/>
    <x v="0"/>
    <s v="Non-Working Day"/>
    <s v="Spring"/>
    <x v="0"/>
    <s v="Afternoon"/>
    <s v="Mild"/>
    <s v="Low"/>
    <s v="Off-Peak"/>
    <n v="0.22222222222222221"/>
    <s v="High"/>
    <n v="1"/>
  </r>
  <r>
    <n v="366"/>
    <x v="15"/>
    <n v="1"/>
    <n v="0"/>
    <n v="1"/>
    <n v="17"/>
    <b v="0"/>
    <n v="0"/>
    <n v="1"/>
    <n v="0.22"/>
    <n v="0.21210000000000001"/>
    <n v="0.37"/>
    <n v="0.25369999999999998"/>
    <n v="23"/>
    <n v="82"/>
    <n v="105"/>
    <s v="REC-0366"/>
    <d v="2011-01-16T17:00:00"/>
    <s v="Jan"/>
    <x v="1"/>
    <x v="0"/>
    <s v="Non-Working Day"/>
    <s v="Spring"/>
    <x v="0"/>
    <s v="Evening"/>
    <s v="Mild"/>
    <s v="Low"/>
    <s v="Off-Peak"/>
    <n v="0.21904761904761905"/>
    <s v="High"/>
    <n v="1"/>
  </r>
  <r>
    <n v="367"/>
    <x v="15"/>
    <n v="1"/>
    <n v="0"/>
    <n v="1"/>
    <n v="18"/>
    <b v="0"/>
    <n v="0"/>
    <n v="1"/>
    <n v="0.2"/>
    <n v="0.21210000000000001"/>
    <n v="0.4"/>
    <n v="0.16420000000000001"/>
    <n v="11"/>
    <n v="56"/>
    <n v="67"/>
    <s v="REC-0367"/>
    <d v="2011-01-16T18:00:00"/>
    <s v="Jan"/>
    <x v="1"/>
    <x v="0"/>
    <s v="Non-Working Day"/>
    <s v="Spring"/>
    <x v="0"/>
    <s v="Evening"/>
    <s v="Mild"/>
    <s v="Low"/>
    <s v="Off-Peak"/>
    <n v="0.16417910447761194"/>
    <s v="Normal"/>
    <n v="1"/>
  </r>
  <r>
    <n v="368"/>
    <x v="15"/>
    <n v="1"/>
    <n v="0"/>
    <n v="1"/>
    <n v="19"/>
    <b v="0"/>
    <n v="0"/>
    <n v="1"/>
    <n v="0.18"/>
    <n v="0.19700000000000001"/>
    <n v="0.47"/>
    <n v="0.1343"/>
    <n v="14"/>
    <n v="47"/>
    <n v="61"/>
    <s v="REC-0368"/>
    <d v="2011-01-16T19:00:00"/>
    <s v="Jan"/>
    <x v="1"/>
    <x v="0"/>
    <s v="Non-Working Day"/>
    <s v="Spring"/>
    <x v="0"/>
    <s v="Evening"/>
    <s v="Cold"/>
    <s v="Low"/>
    <s v="Off-Peak"/>
    <n v="0.22950819672131148"/>
    <s v="Normal"/>
    <n v="1"/>
  </r>
  <r>
    <n v="369"/>
    <x v="15"/>
    <n v="1"/>
    <n v="0"/>
    <n v="1"/>
    <n v="20"/>
    <b v="0"/>
    <n v="0"/>
    <n v="1"/>
    <n v="0.18"/>
    <n v="0.19700000000000001"/>
    <n v="0.47"/>
    <n v="0.16420000000000001"/>
    <n v="7"/>
    <n v="50"/>
    <n v="57"/>
    <s v="REC-0369"/>
    <d v="2011-01-16T20:00:00"/>
    <s v="Jan"/>
    <x v="1"/>
    <x v="0"/>
    <s v="Non-Working Day"/>
    <s v="Spring"/>
    <x v="0"/>
    <s v="Evening"/>
    <s v="Cold"/>
    <s v="Low"/>
    <s v="Off-Peak"/>
    <n v="0.12280701754385964"/>
    <s v="Normal"/>
    <n v="1"/>
  </r>
  <r>
    <n v="370"/>
    <x v="15"/>
    <n v="1"/>
    <n v="0"/>
    <n v="1"/>
    <n v="21"/>
    <b v="0"/>
    <n v="0"/>
    <n v="1"/>
    <n v="0.18"/>
    <n v="0.19700000000000001"/>
    <n v="0.51"/>
    <n v="0.16420000000000001"/>
    <n v="6"/>
    <n v="22"/>
    <n v="28"/>
    <s v="REC-0370"/>
    <d v="2011-01-16T21:00:00"/>
    <s v="Jan"/>
    <x v="1"/>
    <x v="0"/>
    <s v="Non-Working Day"/>
    <s v="Spring"/>
    <x v="0"/>
    <s v="Late Evening"/>
    <s v="Cold"/>
    <s v="Medium"/>
    <s v="Off-Peak"/>
    <n v="0.21428571428571427"/>
    <s v="Normal"/>
    <n v="1"/>
  </r>
  <r>
    <n v="371"/>
    <x v="15"/>
    <n v="1"/>
    <n v="0"/>
    <n v="1"/>
    <n v="22"/>
    <b v="0"/>
    <n v="0"/>
    <n v="2"/>
    <n v="0.2"/>
    <n v="0.21210000000000001"/>
    <n v="0.49"/>
    <n v="0.1343"/>
    <n v="2"/>
    <n v="19"/>
    <n v="21"/>
    <s v="REC-0371"/>
    <d v="2011-01-16T22:00:00"/>
    <s v="Jan"/>
    <x v="1"/>
    <x v="0"/>
    <s v="Non-Working Day"/>
    <s v="Spring"/>
    <x v="1"/>
    <s v="Late Evening"/>
    <s v="Mild"/>
    <s v="Low"/>
    <s v="Off-Peak"/>
    <n v="9.5238095238095233E-2"/>
    <s v="Normal"/>
    <n v="1"/>
  </r>
  <r>
    <n v="372"/>
    <x v="15"/>
    <n v="1"/>
    <n v="0"/>
    <n v="1"/>
    <n v="23"/>
    <b v="0"/>
    <n v="0"/>
    <n v="2"/>
    <n v="0.2"/>
    <n v="0.2273"/>
    <n v="0.4"/>
    <n v="0.1045"/>
    <n v="0"/>
    <n v="18"/>
    <n v="18"/>
    <s v="REC-0372"/>
    <d v="2011-01-16T23:00:00"/>
    <s v="Jan"/>
    <x v="1"/>
    <x v="0"/>
    <s v="Non-Working Day"/>
    <s v="Spring"/>
    <x v="1"/>
    <s v="Late Evening"/>
    <s v="Mild"/>
    <s v="Low"/>
    <s v="Off-Peak"/>
    <n v="0"/>
    <s v="Normal"/>
    <n v="1"/>
  </r>
  <r>
    <n v="373"/>
    <x v="16"/>
    <n v="1"/>
    <n v="0"/>
    <n v="1"/>
    <n v="0"/>
    <b v="1"/>
    <n v="1"/>
    <n v="2"/>
    <n v="0.2"/>
    <n v="0.19700000000000001"/>
    <n v="0.47"/>
    <n v="0.22389999999999999"/>
    <n v="1"/>
    <n v="16"/>
    <n v="17"/>
    <s v="REC-0373"/>
    <d v="2011-01-17T00:00:00"/>
    <s v="Jan"/>
    <x v="2"/>
    <x v="1"/>
    <s v="Non-Working Day"/>
    <s v="Spring"/>
    <x v="1"/>
    <s v="Night"/>
    <s v="Mild"/>
    <s v="Low"/>
    <s v="Off-Peak"/>
    <n v="5.8823529411764705E-2"/>
    <s v="Normal"/>
    <n v="1"/>
  </r>
  <r>
    <n v="374"/>
    <x v="16"/>
    <n v="1"/>
    <n v="0"/>
    <n v="1"/>
    <n v="1"/>
    <b v="1"/>
    <n v="1"/>
    <n v="2"/>
    <n v="0.2"/>
    <n v="0.19700000000000001"/>
    <n v="0.44"/>
    <n v="0.19400000000000001"/>
    <n v="1"/>
    <n v="15"/>
    <n v="16"/>
    <s v="REC-0374"/>
    <d v="2011-01-17T01:00:00"/>
    <s v="Jan"/>
    <x v="2"/>
    <x v="1"/>
    <s v="Non-Working Day"/>
    <s v="Spring"/>
    <x v="1"/>
    <s v="Night"/>
    <s v="Mild"/>
    <s v="Low"/>
    <s v="Off-Peak"/>
    <n v="6.25E-2"/>
    <s v="Low"/>
    <n v="1"/>
  </r>
  <r>
    <n v="375"/>
    <x v="16"/>
    <n v="1"/>
    <n v="0"/>
    <n v="1"/>
    <n v="2"/>
    <b v="1"/>
    <n v="1"/>
    <n v="2"/>
    <n v="0.18"/>
    <n v="0.16669999999999999"/>
    <n v="0.43"/>
    <n v="0.25369999999999998"/>
    <n v="0"/>
    <n v="8"/>
    <n v="8"/>
    <s v="REC-0375"/>
    <d v="2011-01-17T02:00:00"/>
    <s v="Jan"/>
    <x v="2"/>
    <x v="1"/>
    <s v="Non-Working Day"/>
    <s v="Spring"/>
    <x v="1"/>
    <s v="Night"/>
    <s v="Cold"/>
    <s v="Low"/>
    <s v="Off-Peak"/>
    <n v="0"/>
    <s v="Low"/>
    <n v="1"/>
  </r>
  <r>
    <n v="376"/>
    <x v="16"/>
    <n v="1"/>
    <n v="0"/>
    <n v="1"/>
    <n v="3"/>
    <b v="1"/>
    <n v="1"/>
    <n v="2"/>
    <n v="0.18"/>
    <n v="0.18179999999999999"/>
    <n v="0.43"/>
    <n v="0.19400000000000001"/>
    <n v="0"/>
    <n v="2"/>
    <n v="2"/>
    <s v="REC-0376"/>
    <d v="2011-01-17T03:00:00"/>
    <s v="Jan"/>
    <x v="2"/>
    <x v="1"/>
    <s v="Non-Working Day"/>
    <s v="Spring"/>
    <x v="1"/>
    <s v="Night"/>
    <s v="Cold"/>
    <s v="Low"/>
    <s v="Off-Peak"/>
    <n v="0"/>
    <s v="Low"/>
    <n v="1"/>
  </r>
  <r>
    <n v="377"/>
    <x v="16"/>
    <n v="1"/>
    <n v="0"/>
    <n v="1"/>
    <n v="4"/>
    <b v="1"/>
    <n v="1"/>
    <n v="2"/>
    <n v="0.18"/>
    <n v="0.19700000000000001"/>
    <n v="0.43"/>
    <n v="0.1343"/>
    <n v="1"/>
    <n v="2"/>
    <n v="3"/>
    <s v="REC-0377"/>
    <d v="2011-01-17T04:00:00"/>
    <s v="Jan"/>
    <x v="2"/>
    <x v="1"/>
    <s v="Non-Working Day"/>
    <s v="Spring"/>
    <x v="1"/>
    <s v="Night"/>
    <s v="Cold"/>
    <s v="Low"/>
    <s v="Off-Peak"/>
    <n v="0.33333333333333331"/>
    <s v="Low"/>
    <n v="1"/>
  </r>
  <r>
    <n v="378"/>
    <x v="16"/>
    <n v="1"/>
    <n v="0"/>
    <n v="1"/>
    <n v="5"/>
    <b v="1"/>
    <n v="1"/>
    <n v="2"/>
    <n v="0.18"/>
    <n v="0.19700000000000001"/>
    <n v="0.43"/>
    <n v="0.16420000000000001"/>
    <n v="0"/>
    <n v="1"/>
    <n v="1"/>
    <s v="REC-0378"/>
    <d v="2011-01-17T05:00:00"/>
    <s v="Jan"/>
    <x v="2"/>
    <x v="1"/>
    <s v="Non-Working Day"/>
    <s v="Spring"/>
    <x v="1"/>
    <s v="Night"/>
    <s v="Cold"/>
    <s v="Low"/>
    <s v="Off-Peak"/>
    <n v="0"/>
    <s v="Low"/>
    <n v="1"/>
  </r>
  <r>
    <n v="379"/>
    <x v="16"/>
    <n v="1"/>
    <n v="0"/>
    <n v="1"/>
    <n v="6"/>
    <b v="1"/>
    <n v="1"/>
    <n v="2"/>
    <n v="0.18"/>
    <n v="0.18179999999999999"/>
    <n v="0.43"/>
    <n v="0.19400000000000001"/>
    <n v="0"/>
    <n v="5"/>
    <n v="5"/>
    <s v="REC-0379"/>
    <d v="2011-01-17T06:00:00"/>
    <s v="Jan"/>
    <x v="2"/>
    <x v="1"/>
    <s v="Non-Working Day"/>
    <s v="Spring"/>
    <x v="1"/>
    <s v="Morning"/>
    <s v="Cold"/>
    <s v="Low"/>
    <s v="Off-Peak"/>
    <n v="0"/>
    <s v="Low"/>
    <n v="1"/>
  </r>
  <r>
    <n v="380"/>
    <x v="16"/>
    <n v="1"/>
    <n v="0"/>
    <n v="1"/>
    <n v="7"/>
    <b v="1"/>
    <n v="1"/>
    <n v="2"/>
    <n v="0.16"/>
    <n v="0.18179999999999999"/>
    <n v="0.5"/>
    <n v="0.1343"/>
    <n v="4"/>
    <n v="9"/>
    <n v="13"/>
    <s v="REC-0380"/>
    <d v="2011-01-17T07:00:00"/>
    <s v="Jan"/>
    <x v="2"/>
    <x v="1"/>
    <s v="Non-Working Day"/>
    <s v="Spring"/>
    <x v="1"/>
    <s v="Morning"/>
    <s v="Cold"/>
    <s v="Medium"/>
    <s v="Peak"/>
    <n v="0.30769230769230771"/>
    <s v="Low"/>
    <n v="1"/>
  </r>
  <r>
    <n v="381"/>
    <x v="16"/>
    <n v="1"/>
    <n v="0"/>
    <n v="1"/>
    <n v="8"/>
    <b v="1"/>
    <n v="1"/>
    <n v="2"/>
    <n v="0.16"/>
    <n v="0.1515"/>
    <n v="0.47"/>
    <n v="0.22389999999999999"/>
    <n v="3"/>
    <n v="30"/>
    <n v="33"/>
    <s v="REC-0381"/>
    <d v="2011-01-17T08:00:00"/>
    <s v="Jan"/>
    <x v="2"/>
    <x v="1"/>
    <s v="Non-Working Day"/>
    <s v="Spring"/>
    <x v="1"/>
    <s v="Morning"/>
    <s v="Cold"/>
    <s v="Low"/>
    <s v="Peak"/>
    <n v="9.0909090909090912E-2"/>
    <s v="Normal"/>
    <n v="1"/>
  </r>
  <r>
    <n v="382"/>
    <x v="16"/>
    <n v="1"/>
    <n v="0"/>
    <n v="1"/>
    <n v="9"/>
    <b v="1"/>
    <n v="1"/>
    <n v="2"/>
    <n v="0.16"/>
    <n v="0.1515"/>
    <n v="0.47"/>
    <n v="0.22389999999999999"/>
    <n v="8"/>
    <n v="39"/>
    <n v="47"/>
    <s v="REC-0382"/>
    <d v="2011-01-17T09:00:00"/>
    <s v="Jan"/>
    <x v="2"/>
    <x v="1"/>
    <s v="Non-Working Day"/>
    <s v="Spring"/>
    <x v="1"/>
    <s v="Morning"/>
    <s v="Cold"/>
    <s v="Low"/>
    <s v="Peak"/>
    <n v="0.1702127659574468"/>
    <s v="Normal"/>
    <n v="1"/>
  </r>
  <r>
    <n v="383"/>
    <x v="16"/>
    <n v="1"/>
    <n v="0"/>
    <n v="1"/>
    <n v="10"/>
    <b v="1"/>
    <n v="1"/>
    <n v="2"/>
    <n v="0.16"/>
    <n v="0.1515"/>
    <n v="0.5"/>
    <n v="0.25369999999999998"/>
    <n v="7"/>
    <n v="50"/>
    <n v="57"/>
    <s v="REC-0383"/>
    <d v="2011-01-17T10:00:00"/>
    <s v="Jan"/>
    <x v="2"/>
    <x v="1"/>
    <s v="Non-Working Day"/>
    <s v="Spring"/>
    <x v="1"/>
    <s v="Morning"/>
    <s v="Cold"/>
    <s v="Medium"/>
    <s v="Off-Peak"/>
    <n v="0.12280701754385964"/>
    <s v="Normal"/>
    <n v="1"/>
  </r>
  <r>
    <n v="384"/>
    <x v="16"/>
    <n v="1"/>
    <n v="0"/>
    <n v="1"/>
    <n v="11"/>
    <b v="1"/>
    <n v="1"/>
    <n v="2"/>
    <n v="0.16"/>
    <n v="0.1515"/>
    <n v="0.55000000000000004"/>
    <n v="0.19400000000000001"/>
    <n v="9"/>
    <n v="55"/>
    <n v="64"/>
    <s v="REC-0384"/>
    <d v="2011-01-17T11:00:00"/>
    <s v="Jan"/>
    <x v="2"/>
    <x v="1"/>
    <s v="Non-Working Day"/>
    <s v="Spring"/>
    <x v="1"/>
    <s v="Morning"/>
    <s v="Cold"/>
    <s v="Medium"/>
    <s v="Off-Peak"/>
    <n v="0.140625"/>
    <s v="Normal"/>
    <n v="1"/>
  </r>
  <r>
    <n v="385"/>
    <x v="16"/>
    <n v="1"/>
    <n v="0"/>
    <n v="1"/>
    <n v="12"/>
    <b v="1"/>
    <n v="1"/>
    <n v="2"/>
    <n v="0.18"/>
    <n v="0.19700000000000001"/>
    <n v="0.47"/>
    <n v="0.1343"/>
    <n v="10"/>
    <n v="70"/>
    <n v="80"/>
    <s v="REC-0385"/>
    <d v="2011-01-17T12:00:00"/>
    <s v="Jan"/>
    <x v="2"/>
    <x v="1"/>
    <s v="Non-Working Day"/>
    <s v="Spring"/>
    <x v="1"/>
    <s v="Afternoon"/>
    <s v="Cold"/>
    <s v="Low"/>
    <s v="Off-Peak"/>
    <n v="0.125"/>
    <s v="Normal"/>
    <n v="1"/>
  </r>
  <r>
    <n v="386"/>
    <x v="16"/>
    <n v="1"/>
    <n v="0"/>
    <n v="1"/>
    <n v="13"/>
    <b v="1"/>
    <n v="1"/>
    <n v="2"/>
    <n v="0.18"/>
    <n v="0.19700000000000001"/>
    <n v="0.47"/>
    <n v="0.1343"/>
    <n v="13"/>
    <n v="80"/>
    <n v="93"/>
    <s v="REC-0386"/>
    <d v="2011-01-17T13:00:00"/>
    <s v="Jan"/>
    <x v="2"/>
    <x v="1"/>
    <s v="Non-Working Day"/>
    <s v="Spring"/>
    <x v="1"/>
    <s v="Afternoon"/>
    <s v="Cold"/>
    <s v="Low"/>
    <s v="Off-Peak"/>
    <n v="0.13978494623655913"/>
    <s v="High"/>
    <n v="1"/>
  </r>
  <r>
    <n v="387"/>
    <x v="16"/>
    <n v="1"/>
    <n v="0"/>
    <n v="1"/>
    <n v="14"/>
    <b v="1"/>
    <n v="1"/>
    <n v="2"/>
    <n v="0.18"/>
    <n v="0.21210000000000001"/>
    <n v="0.43"/>
    <n v="0.1045"/>
    <n v="12"/>
    <n v="74"/>
    <n v="86"/>
    <s v="REC-0387"/>
    <d v="2011-01-17T14:00:00"/>
    <s v="Jan"/>
    <x v="2"/>
    <x v="1"/>
    <s v="Non-Working Day"/>
    <s v="Spring"/>
    <x v="1"/>
    <s v="Afternoon"/>
    <s v="Cold"/>
    <s v="Low"/>
    <s v="Off-Peak"/>
    <n v="0.13953488372093023"/>
    <s v="High"/>
    <n v="1"/>
  </r>
  <r>
    <n v="388"/>
    <x v="16"/>
    <n v="1"/>
    <n v="0"/>
    <n v="1"/>
    <n v="15"/>
    <b v="1"/>
    <n v="1"/>
    <n v="2"/>
    <n v="0.2"/>
    <n v="0.21210000000000001"/>
    <n v="0.47"/>
    <n v="0.16420000000000001"/>
    <n v="21"/>
    <n v="72"/>
    <n v="93"/>
    <s v="REC-0388"/>
    <d v="2011-01-17T15:00:00"/>
    <s v="Jan"/>
    <x v="2"/>
    <x v="1"/>
    <s v="Non-Working Day"/>
    <s v="Spring"/>
    <x v="1"/>
    <s v="Afternoon"/>
    <s v="Mild"/>
    <s v="Low"/>
    <s v="Off-Peak"/>
    <n v="0.22580645161290322"/>
    <s v="High"/>
    <n v="1"/>
  </r>
  <r>
    <n v="389"/>
    <x v="16"/>
    <n v="1"/>
    <n v="0"/>
    <n v="1"/>
    <n v="16"/>
    <b v="1"/>
    <n v="1"/>
    <n v="2"/>
    <n v="0.2"/>
    <n v="0.21210000000000001"/>
    <n v="0.47"/>
    <n v="0.16420000000000001"/>
    <n v="6"/>
    <n v="76"/>
    <n v="82"/>
    <s v="REC-0389"/>
    <d v="2011-01-17T16:00:00"/>
    <s v="Jan"/>
    <x v="2"/>
    <x v="1"/>
    <s v="Non-Working Day"/>
    <s v="Spring"/>
    <x v="1"/>
    <s v="Afternoon"/>
    <s v="Mild"/>
    <s v="Low"/>
    <s v="Peak"/>
    <n v="7.3170731707317069E-2"/>
    <s v="Normal"/>
    <n v="1"/>
  </r>
  <r>
    <n v="390"/>
    <x v="16"/>
    <n v="1"/>
    <n v="0"/>
    <n v="1"/>
    <n v="17"/>
    <b v="1"/>
    <n v="1"/>
    <n v="1"/>
    <n v="0.2"/>
    <n v="0.19700000000000001"/>
    <n v="0.51"/>
    <n v="0.19400000000000001"/>
    <n v="4"/>
    <n v="67"/>
    <n v="71"/>
    <s v="REC-0390"/>
    <d v="2011-01-17T17:00:00"/>
    <s v="Jan"/>
    <x v="2"/>
    <x v="1"/>
    <s v="Non-Working Day"/>
    <s v="Spring"/>
    <x v="0"/>
    <s v="Evening"/>
    <s v="Mild"/>
    <s v="Medium"/>
    <s v="Peak"/>
    <n v="5.6338028169014086E-2"/>
    <s v="Normal"/>
    <n v="1"/>
  </r>
  <r>
    <n v="391"/>
    <x v="16"/>
    <n v="1"/>
    <n v="0"/>
    <n v="1"/>
    <n v="18"/>
    <b v="1"/>
    <n v="1"/>
    <n v="2"/>
    <n v="0.18"/>
    <n v="0.16669999999999999"/>
    <n v="0.55000000000000004"/>
    <n v="0.25369999999999998"/>
    <n v="7"/>
    <n v="85"/>
    <n v="92"/>
    <s v="REC-0391"/>
    <d v="2011-01-17T18:00:00"/>
    <s v="Jan"/>
    <x v="2"/>
    <x v="1"/>
    <s v="Non-Working Day"/>
    <s v="Spring"/>
    <x v="1"/>
    <s v="Evening"/>
    <s v="Cold"/>
    <s v="Medium"/>
    <s v="Peak"/>
    <n v="7.6086956521739135E-2"/>
    <s v="High"/>
    <n v="1"/>
  </r>
  <r>
    <n v="392"/>
    <x v="16"/>
    <n v="1"/>
    <n v="0"/>
    <n v="1"/>
    <n v="19"/>
    <b v="1"/>
    <n v="1"/>
    <n v="3"/>
    <n v="0.18"/>
    <n v="0.18179999999999999"/>
    <n v="0.59"/>
    <n v="0.19400000000000001"/>
    <n v="2"/>
    <n v="58"/>
    <n v="60"/>
    <s v="REC-0392"/>
    <d v="2011-01-17T19:00:00"/>
    <s v="Jan"/>
    <x v="2"/>
    <x v="1"/>
    <s v="Non-Working Day"/>
    <s v="Spring"/>
    <x v="2"/>
    <s v="Evening"/>
    <s v="Cold"/>
    <s v="Medium"/>
    <s v="Peak"/>
    <n v="3.3333333333333333E-2"/>
    <s v="Normal"/>
    <n v="1"/>
  </r>
  <r>
    <n v="393"/>
    <x v="16"/>
    <n v="1"/>
    <n v="0"/>
    <n v="1"/>
    <n v="20"/>
    <b v="1"/>
    <n v="1"/>
    <n v="3"/>
    <n v="0.16"/>
    <n v="0.1515"/>
    <n v="0.8"/>
    <n v="0.19400000000000001"/>
    <n v="4"/>
    <n v="29"/>
    <n v="33"/>
    <s v="REC-0393"/>
    <d v="2011-01-17T20:00:00"/>
    <s v="Jan"/>
    <x v="2"/>
    <x v="1"/>
    <s v="Non-Working Day"/>
    <s v="Spring"/>
    <x v="2"/>
    <s v="Evening"/>
    <s v="Cold"/>
    <s v="High"/>
    <s v="Off-Peak"/>
    <n v="0.12121212121212122"/>
    <s v="Normal"/>
    <n v="1"/>
  </r>
  <r>
    <n v="394"/>
    <x v="16"/>
    <n v="1"/>
    <n v="0"/>
    <n v="1"/>
    <n v="21"/>
    <b v="1"/>
    <n v="1"/>
    <n v="3"/>
    <n v="0.16"/>
    <n v="0.1515"/>
    <n v="0.8"/>
    <n v="0.19400000000000001"/>
    <n v="3"/>
    <n v="24"/>
    <n v="27"/>
    <s v="REC-0394"/>
    <d v="2011-01-17T21:00:00"/>
    <s v="Jan"/>
    <x v="2"/>
    <x v="1"/>
    <s v="Non-Working Day"/>
    <s v="Spring"/>
    <x v="2"/>
    <s v="Late Evening"/>
    <s v="Cold"/>
    <s v="High"/>
    <s v="Off-Peak"/>
    <n v="0.1111111111111111"/>
    <s v="Normal"/>
    <n v="1"/>
  </r>
  <r>
    <n v="395"/>
    <x v="16"/>
    <n v="1"/>
    <n v="0"/>
    <n v="1"/>
    <n v="22"/>
    <b v="1"/>
    <n v="1"/>
    <n v="3"/>
    <n v="0.14000000000000001"/>
    <n v="0.1212"/>
    <n v="0.93"/>
    <n v="0.25369999999999998"/>
    <n v="0"/>
    <n v="13"/>
    <n v="13"/>
    <s v="REC-0395"/>
    <d v="2011-01-17T22:00:00"/>
    <s v="Jan"/>
    <x v="2"/>
    <x v="1"/>
    <s v="Non-Working Day"/>
    <s v="Spring"/>
    <x v="2"/>
    <s v="Late Evening"/>
    <s v="Cold"/>
    <s v="High"/>
    <s v="Off-Peak"/>
    <n v="0"/>
    <s v="Low"/>
    <n v="1"/>
  </r>
  <r>
    <n v="396"/>
    <x v="16"/>
    <n v="1"/>
    <n v="0"/>
    <n v="1"/>
    <n v="23"/>
    <b v="1"/>
    <n v="1"/>
    <n v="3"/>
    <n v="0.16"/>
    <n v="0.13639999999999999"/>
    <n v="0.86"/>
    <n v="0.28360000000000002"/>
    <n v="1"/>
    <n v="3"/>
    <n v="4"/>
    <s v="REC-0396"/>
    <d v="2011-01-17T23:00:00"/>
    <s v="Jan"/>
    <x v="2"/>
    <x v="1"/>
    <s v="Non-Working Day"/>
    <s v="Spring"/>
    <x v="2"/>
    <s v="Late Evening"/>
    <s v="Cold"/>
    <s v="High"/>
    <s v="Off-Peak"/>
    <n v="0.25"/>
    <s v="Low"/>
    <n v="1"/>
  </r>
  <r>
    <n v="397"/>
    <x v="17"/>
    <n v="1"/>
    <n v="0"/>
    <n v="1"/>
    <n v="12"/>
    <b v="0"/>
    <n v="2"/>
    <n v="2"/>
    <n v="0.2"/>
    <n v="0.18179999999999999"/>
    <n v="0.86"/>
    <n v="0.32840000000000003"/>
    <n v="0"/>
    <n v="3"/>
    <n v="3"/>
    <s v="REC-0397"/>
    <d v="2011-01-18T12:00:00"/>
    <s v="Jan"/>
    <x v="3"/>
    <x v="1"/>
    <s v="Working Day"/>
    <s v="Spring"/>
    <x v="1"/>
    <s v="Afternoon"/>
    <s v="Mild"/>
    <s v="High"/>
    <s v="Off-Peak"/>
    <n v="0"/>
    <s v="Low"/>
    <n v="1"/>
  </r>
  <r>
    <n v="398"/>
    <x v="17"/>
    <n v="1"/>
    <n v="0"/>
    <n v="1"/>
    <n v="13"/>
    <b v="0"/>
    <n v="2"/>
    <n v="2"/>
    <n v="0.2"/>
    <n v="0.19700000000000001"/>
    <n v="0.86"/>
    <n v="0.22389999999999999"/>
    <n v="0"/>
    <n v="22"/>
    <n v="22"/>
    <s v="REC-0398"/>
    <d v="2011-01-18T13:00:00"/>
    <s v="Jan"/>
    <x v="3"/>
    <x v="1"/>
    <s v="Working Day"/>
    <s v="Spring"/>
    <x v="1"/>
    <s v="Afternoon"/>
    <s v="Mild"/>
    <s v="High"/>
    <s v="Off-Peak"/>
    <n v="0"/>
    <s v="Normal"/>
    <n v="1"/>
  </r>
  <r>
    <n v="399"/>
    <x v="17"/>
    <n v="1"/>
    <n v="0"/>
    <n v="1"/>
    <n v="14"/>
    <b v="0"/>
    <n v="2"/>
    <n v="2"/>
    <n v="0.22"/>
    <n v="0.2273"/>
    <n v="0.8"/>
    <n v="0.16420000000000001"/>
    <n v="2"/>
    <n v="26"/>
    <n v="28"/>
    <s v="REC-0399"/>
    <d v="2011-01-18T14:00:00"/>
    <s v="Jan"/>
    <x v="3"/>
    <x v="1"/>
    <s v="Working Day"/>
    <s v="Spring"/>
    <x v="1"/>
    <s v="Afternoon"/>
    <s v="Mild"/>
    <s v="High"/>
    <s v="Off-Peak"/>
    <n v="7.1428571428571425E-2"/>
    <s v="Normal"/>
    <n v="1"/>
  </r>
  <r>
    <n v="400"/>
    <x v="17"/>
    <n v="1"/>
    <n v="0"/>
    <n v="1"/>
    <n v="15"/>
    <b v="0"/>
    <n v="2"/>
    <n v="2"/>
    <n v="0.22"/>
    <n v="0.2273"/>
    <n v="0.87"/>
    <n v="0.16420000000000001"/>
    <n v="3"/>
    <n v="32"/>
    <n v="35"/>
    <s v="REC-0400"/>
    <d v="2011-01-18T15:00:00"/>
    <s v="Jan"/>
    <x v="3"/>
    <x v="1"/>
    <s v="Working Day"/>
    <s v="Spring"/>
    <x v="1"/>
    <s v="Afternoon"/>
    <s v="Mild"/>
    <s v="High"/>
    <s v="Off-Peak"/>
    <n v="8.5714285714285715E-2"/>
    <s v="Normal"/>
    <n v="1"/>
  </r>
  <r>
    <n v="401"/>
    <x v="17"/>
    <n v="1"/>
    <n v="0"/>
    <n v="1"/>
    <n v="16"/>
    <b v="0"/>
    <n v="2"/>
    <n v="2"/>
    <n v="0.22"/>
    <n v="0.2273"/>
    <n v="0.87"/>
    <n v="0.19400000000000001"/>
    <n v="0"/>
    <n v="61"/>
    <n v="61"/>
    <s v="REC-0401"/>
    <d v="2011-01-18T16:00:00"/>
    <s v="Jan"/>
    <x v="3"/>
    <x v="1"/>
    <s v="Working Day"/>
    <s v="Spring"/>
    <x v="1"/>
    <s v="Afternoon"/>
    <s v="Mild"/>
    <s v="High"/>
    <s v="Peak"/>
    <n v="0"/>
    <s v="Normal"/>
    <n v="1"/>
  </r>
  <r>
    <n v="402"/>
    <x v="17"/>
    <n v="1"/>
    <n v="0"/>
    <n v="1"/>
    <n v="17"/>
    <b v="0"/>
    <n v="2"/>
    <n v="2"/>
    <n v="0.22"/>
    <n v="0.2273"/>
    <n v="0.82"/>
    <n v="0.19400000000000001"/>
    <n v="1"/>
    <n v="124"/>
    <n v="125"/>
    <s v="REC-0402"/>
    <d v="2011-01-18T17:00:00"/>
    <s v="Jan"/>
    <x v="3"/>
    <x v="1"/>
    <s v="Working Day"/>
    <s v="Spring"/>
    <x v="1"/>
    <s v="Evening"/>
    <s v="Mild"/>
    <s v="High"/>
    <s v="Peak"/>
    <n v="8.0000000000000002E-3"/>
    <s v="High"/>
    <n v="1"/>
  </r>
  <r>
    <n v="403"/>
    <x v="17"/>
    <n v="1"/>
    <n v="0"/>
    <n v="1"/>
    <n v="18"/>
    <b v="0"/>
    <n v="2"/>
    <n v="2"/>
    <n v="0.22"/>
    <n v="0.2273"/>
    <n v="0.8"/>
    <n v="0.16420000000000001"/>
    <n v="1"/>
    <n v="132"/>
    <n v="133"/>
    <s v="REC-0403"/>
    <d v="2011-01-18T18:00:00"/>
    <s v="Jan"/>
    <x v="3"/>
    <x v="1"/>
    <s v="Working Day"/>
    <s v="Spring"/>
    <x v="1"/>
    <s v="Evening"/>
    <s v="Mild"/>
    <s v="High"/>
    <s v="Peak"/>
    <n v="7.5187969924812026E-3"/>
    <s v="High"/>
    <n v="1"/>
  </r>
  <r>
    <n v="404"/>
    <x v="17"/>
    <n v="1"/>
    <n v="0"/>
    <n v="1"/>
    <n v="19"/>
    <b v="0"/>
    <n v="2"/>
    <n v="2"/>
    <n v="0.22"/>
    <n v="0.2273"/>
    <n v="0.8"/>
    <n v="0.1343"/>
    <n v="1"/>
    <n v="98"/>
    <n v="99"/>
    <s v="REC-0404"/>
    <d v="2011-01-18T19:00:00"/>
    <s v="Jan"/>
    <x v="3"/>
    <x v="1"/>
    <s v="Working Day"/>
    <s v="Spring"/>
    <x v="1"/>
    <s v="Evening"/>
    <s v="Mild"/>
    <s v="High"/>
    <s v="Peak"/>
    <n v="1.0101010101010102E-2"/>
    <s v="High"/>
    <n v="1"/>
  </r>
  <r>
    <n v="405"/>
    <x v="17"/>
    <n v="1"/>
    <n v="0"/>
    <n v="1"/>
    <n v="20"/>
    <b v="0"/>
    <n v="2"/>
    <n v="2"/>
    <n v="0.22"/>
    <n v="0.2727"/>
    <n v="0.87"/>
    <n v="0"/>
    <n v="0"/>
    <n v="83"/>
    <n v="83"/>
    <s v="REC-0405"/>
    <d v="2011-01-18T20:00:00"/>
    <s v="Jan"/>
    <x v="3"/>
    <x v="1"/>
    <s v="Working Day"/>
    <s v="Spring"/>
    <x v="1"/>
    <s v="Evening"/>
    <s v="Mild"/>
    <s v="High"/>
    <s v="Off-Peak"/>
    <n v="0"/>
    <s v="High"/>
    <n v="1"/>
  </r>
  <r>
    <n v="406"/>
    <x v="17"/>
    <n v="1"/>
    <n v="0"/>
    <n v="1"/>
    <n v="21"/>
    <b v="0"/>
    <n v="2"/>
    <n v="2"/>
    <n v="0.22"/>
    <n v="0.2424"/>
    <n v="0.93"/>
    <n v="0.1045"/>
    <n v="0"/>
    <n v="41"/>
    <n v="41"/>
    <s v="REC-0406"/>
    <d v="2011-01-18T21:00:00"/>
    <s v="Jan"/>
    <x v="3"/>
    <x v="1"/>
    <s v="Working Day"/>
    <s v="Spring"/>
    <x v="1"/>
    <s v="Late Evening"/>
    <s v="Mild"/>
    <s v="High"/>
    <s v="Off-Peak"/>
    <n v="0"/>
    <s v="Normal"/>
    <n v="1"/>
  </r>
  <r>
    <n v="407"/>
    <x v="17"/>
    <n v="1"/>
    <n v="0"/>
    <n v="1"/>
    <n v="22"/>
    <b v="0"/>
    <n v="2"/>
    <n v="2"/>
    <n v="0.22"/>
    <n v="0.2576"/>
    <n v="0.93"/>
    <n v="8.9599999999999999E-2"/>
    <n v="0"/>
    <n v="33"/>
    <n v="33"/>
    <s v="REC-0407"/>
    <d v="2011-01-18T22:00:00"/>
    <s v="Jan"/>
    <x v="3"/>
    <x v="1"/>
    <s v="Working Day"/>
    <s v="Spring"/>
    <x v="1"/>
    <s v="Late Evening"/>
    <s v="Mild"/>
    <s v="High"/>
    <s v="Off-Peak"/>
    <n v="0"/>
    <s v="Normal"/>
    <n v="1"/>
  </r>
  <r>
    <n v="408"/>
    <x v="17"/>
    <n v="1"/>
    <n v="0"/>
    <n v="1"/>
    <n v="23"/>
    <b v="0"/>
    <n v="2"/>
    <n v="2"/>
    <n v="0.22"/>
    <n v="0.2727"/>
    <n v="0.93"/>
    <n v="0"/>
    <n v="1"/>
    <n v="19"/>
    <n v="20"/>
    <s v="REC-0408"/>
    <d v="2011-01-18T23:00:00"/>
    <s v="Jan"/>
    <x v="3"/>
    <x v="1"/>
    <s v="Working Day"/>
    <s v="Spring"/>
    <x v="1"/>
    <s v="Late Evening"/>
    <s v="Mild"/>
    <s v="High"/>
    <s v="Off-Peak"/>
    <n v="0.05"/>
    <s v="Normal"/>
    <n v="1"/>
  </r>
  <r>
    <n v="409"/>
    <x v="18"/>
    <n v="1"/>
    <n v="0"/>
    <n v="1"/>
    <n v="0"/>
    <b v="0"/>
    <n v="3"/>
    <n v="2"/>
    <n v="0.22"/>
    <n v="0.2727"/>
    <n v="0.93"/>
    <n v="0"/>
    <n v="0"/>
    <n v="3"/>
    <n v="3"/>
    <s v="REC-0409"/>
    <d v="2011-01-19T00:00:00"/>
    <s v="Jan"/>
    <x v="4"/>
    <x v="1"/>
    <s v="Working Day"/>
    <s v="Spring"/>
    <x v="1"/>
    <s v="Night"/>
    <s v="Mild"/>
    <s v="High"/>
    <s v="Off-Peak"/>
    <n v="0"/>
    <s v="Low"/>
    <n v="1"/>
  </r>
  <r>
    <n v="410"/>
    <x v="18"/>
    <n v="1"/>
    <n v="0"/>
    <n v="1"/>
    <n v="1"/>
    <b v="0"/>
    <n v="3"/>
    <n v="3"/>
    <n v="0.22"/>
    <n v="0.2273"/>
    <n v="0.93"/>
    <n v="0.1343"/>
    <n v="1"/>
    <n v="6"/>
    <n v="7"/>
    <s v="REC-0410"/>
    <d v="2011-01-19T01:00:00"/>
    <s v="Jan"/>
    <x v="4"/>
    <x v="1"/>
    <s v="Working Day"/>
    <s v="Spring"/>
    <x v="2"/>
    <s v="Night"/>
    <s v="Mild"/>
    <s v="High"/>
    <s v="Off-Peak"/>
    <n v="0.14285714285714285"/>
    <s v="Low"/>
    <n v="1"/>
  </r>
  <r>
    <n v="411"/>
    <x v="18"/>
    <n v="1"/>
    <n v="0"/>
    <n v="1"/>
    <n v="2"/>
    <b v="0"/>
    <n v="3"/>
    <n v="3"/>
    <n v="0.22"/>
    <n v="0.2273"/>
    <n v="0.93"/>
    <n v="0.1343"/>
    <n v="0"/>
    <n v="3"/>
    <n v="3"/>
    <s v="REC-0411"/>
    <d v="2011-01-19T02:00:00"/>
    <s v="Jan"/>
    <x v="4"/>
    <x v="1"/>
    <s v="Working Day"/>
    <s v="Spring"/>
    <x v="2"/>
    <s v="Night"/>
    <s v="Mild"/>
    <s v="High"/>
    <s v="Off-Peak"/>
    <n v="0"/>
    <s v="Low"/>
    <n v="1"/>
  </r>
  <r>
    <n v="412"/>
    <x v="18"/>
    <n v="1"/>
    <n v="0"/>
    <n v="1"/>
    <n v="4"/>
    <b v="0"/>
    <n v="3"/>
    <n v="3"/>
    <n v="0.22"/>
    <n v="0.2273"/>
    <n v="0.93"/>
    <n v="0.1343"/>
    <n v="1"/>
    <n v="1"/>
    <n v="2"/>
    <s v="REC-0412"/>
    <d v="2011-01-19T04:00:00"/>
    <s v="Jan"/>
    <x v="4"/>
    <x v="1"/>
    <s v="Working Day"/>
    <s v="Spring"/>
    <x v="2"/>
    <s v="Night"/>
    <s v="Mild"/>
    <s v="High"/>
    <s v="Off-Peak"/>
    <n v="0.5"/>
    <s v="Low"/>
    <n v="1"/>
  </r>
  <r>
    <n v="413"/>
    <x v="18"/>
    <n v="1"/>
    <n v="0"/>
    <n v="1"/>
    <n v="5"/>
    <b v="0"/>
    <n v="3"/>
    <n v="2"/>
    <n v="0.22"/>
    <n v="0.2576"/>
    <n v="0.93"/>
    <n v="8.9599999999999999E-2"/>
    <n v="0"/>
    <n v="7"/>
    <n v="7"/>
    <s v="REC-0413"/>
    <d v="2011-01-19T05:00:00"/>
    <s v="Jan"/>
    <x v="4"/>
    <x v="1"/>
    <s v="Working Day"/>
    <s v="Spring"/>
    <x v="1"/>
    <s v="Night"/>
    <s v="Mild"/>
    <s v="High"/>
    <s v="Off-Peak"/>
    <n v="0"/>
    <s v="Low"/>
    <n v="1"/>
  </r>
  <r>
    <n v="414"/>
    <x v="18"/>
    <n v="1"/>
    <n v="0"/>
    <n v="1"/>
    <n v="6"/>
    <b v="0"/>
    <n v="3"/>
    <n v="2"/>
    <n v="0.22"/>
    <n v="0.2576"/>
    <n v="0.93"/>
    <n v="8.9599999999999999E-2"/>
    <n v="0"/>
    <n v="32"/>
    <n v="32"/>
    <s v="REC-0414"/>
    <d v="2011-01-19T06:00:00"/>
    <s v="Jan"/>
    <x v="4"/>
    <x v="1"/>
    <s v="Working Day"/>
    <s v="Spring"/>
    <x v="1"/>
    <s v="Morning"/>
    <s v="Mild"/>
    <s v="High"/>
    <s v="Off-Peak"/>
    <n v="0"/>
    <s v="Normal"/>
    <n v="1"/>
  </r>
  <r>
    <n v="415"/>
    <x v="18"/>
    <n v="1"/>
    <n v="0"/>
    <n v="1"/>
    <n v="7"/>
    <b v="0"/>
    <n v="3"/>
    <n v="2"/>
    <n v="0.24"/>
    <n v="0.2576"/>
    <n v="0.92"/>
    <n v="0.1045"/>
    <n v="1"/>
    <n v="89"/>
    <n v="90"/>
    <s v="REC-0415"/>
    <d v="2011-01-19T07:00:00"/>
    <s v="Jan"/>
    <x v="4"/>
    <x v="1"/>
    <s v="Working Day"/>
    <s v="Spring"/>
    <x v="1"/>
    <s v="Morning"/>
    <s v="Mild"/>
    <s v="High"/>
    <s v="Peak"/>
    <n v="1.1111111111111112E-2"/>
    <s v="High"/>
    <n v="1"/>
  </r>
  <r>
    <n v="416"/>
    <x v="18"/>
    <n v="1"/>
    <n v="0"/>
    <n v="1"/>
    <n v="8"/>
    <b v="0"/>
    <n v="3"/>
    <n v="2"/>
    <n v="0.24"/>
    <n v="0.2576"/>
    <n v="0.93"/>
    <n v="0.1045"/>
    <n v="1"/>
    <n v="196"/>
    <n v="197"/>
    <s v="REC-0416"/>
    <d v="2011-01-19T08:00:00"/>
    <s v="Jan"/>
    <x v="4"/>
    <x v="1"/>
    <s v="Working Day"/>
    <s v="Spring"/>
    <x v="1"/>
    <s v="Morning"/>
    <s v="Mild"/>
    <s v="High"/>
    <s v="Peak"/>
    <n v="5.076142131979695E-3"/>
    <s v="High"/>
    <n v="1"/>
  </r>
  <r>
    <n v="417"/>
    <x v="18"/>
    <n v="1"/>
    <n v="0"/>
    <n v="1"/>
    <n v="9"/>
    <b v="0"/>
    <n v="3"/>
    <n v="2"/>
    <n v="0.24"/>
    <n v="0.2576"/>
    <n v="0.93"/>
    <n v="0.1045"/>
    <n v="2"/>
    <n v="107"/>
    <n v="109"/>
    <s v="REC-0417"/>
    <d v="2011-01-19T09:00:00"/>
    <s v="Jan"/>
    <x v="4"/>
    <x v="1"/>
    <s v="Working Day"/>
    <s v="Spring"/>
    <x v="1"/>
    <s v="Morning"/>
    <s v="Mild"/>
    <s v="High"/>
    <s v="Peak"/>
    <n v="1.834862385321101E-2"/>
    <s v="High"/>
    <n v="1"/>
  </r>
  <r>
    <n v="418"/>
    <x v="18"/>
    <n v="1"/>
    <n v="0"/>
    <n v="1"/>
    <n v="10"/>
    <b v="0"/>
    <n v="3"/>
    <n v="2"/>
    <n v="0.26"/>
    <n v="0.2727"/>
    <n v="0.93"/>
    <n v="0.1343"/>
    <n v="1"/>
    <n v="46"/>
    <n v="47"/>
    <s v="REC-0418"/>
    <d v="2011-01-19T10:00:00"/>
    <s v="Jan"/>
    <x v="4"/>
    <x v="1"/>
    <s v="Working Day"/>
    <s v="Spring"/>
    <x v="1"/>
    <s v="Morning"/>
    <s v="Mild"/>
    <s v="High"/>
    <s v="Off-Peak"/>
    <n v="2.1276595744680851E-2"/>
    <s v="Normal"/>
    <n v="1"/>
  </r>
  <r>
    <n v="419"/>
    <x v="18"/>
    <n v="1"/>
    <n v="0"/>
    <n v="1"/>
    <n v="11"/>
    <b v="0"/>
    <n v="3"/>
    <n v="2"/>
    <n v="0.28000000000000003"/>
    <n v="0.30299999999999999"/>
    <n v="0.87"/>
    <n v="8.9599999999999999E-2"/>
    <n v="5"/>
    <n v="47"/>
    <n v="52"/>
    <s v="REC-0419"/>
    <d v="2011-01-19T11:00:00"/>
    <s v="Jan"/>
    <x v="4"/>
    <x v="1"/>
    <s v="Working Day"/>
    <s v="Spring"/>
    <x v="1"/>
    <s v="Morning"/>
    <s v="Mild"/>
    <s v="High"/>
    <s v="Off-Peak"/>
    <n v="9.6153846153846159E-2"/>
    <s v="Normal"/>
    <n v="1"/>
  </r>
  <r>
    <n v="420"/>
    <x v="18"/>
    <n v="1"/>
    <n v="0"/>
    <n v="1"/>
    <n v="12"/>
    <b v="0"/>
    <n v="3"/>
    <n v="2"/>
    <n v="0.3"/>
    <n v="0.31819999999999998"/>
    <n v="0.81"/>
    <n v="8.9599999999999999E-2"/>
    <n v="5"/>
    <n v="65"/>
    <n v="70"/>
    <s v="REC-0420"/>
    <d v="2011-01-19T12:00:00"/>
    <s v="Jan"/>
    <x v="4"/>
    <x v="1"/>
    <s v="Working Day"/>
    <s v="Spring"/>
    <x v="1"/>
    <s v="Afternoon"/>
    <s v="Warm"/>
    <s v="High"/>
    <s v="Off-Peak"/>
    <n v="7.1428571428571425E-2"/>
    <s v="Normal"/>
    <n v="1"/>
  </r>
  <r>
    <n v="421"/>
    <x v="18"/>
    <n v="1"/>
    <n v="0"/>
    <n v="1"/>
    <n v="13"/>
    <b v="0"/>
    <n v="3"/>
    <n v="1"/>
    <n v="0.4"/>
    <n v="0.40910000000000002"/>
    <n v="0.62"/>
    <n v="0.28360000000000002"/>
    <n v="11"/>
    <n v="67"/>
    <n v="78"/>
    <s v="REC-0421"/>
    <d v="2011-01-19T13:00:00"/>
    <s v="Jan"/>
    <x v="4"/>
    <x v="1"/>
    <s v="Working Day"/>
    <s v="Spring"/>
    <x v="0"/>
    <s v="Afternoon"/>
    <s v="Warm"/>
    <s v="Medium"/>
    <s v="Off-Peak"/>
    <n v="0.14102564102564102"/>
    <s v="Normal"/>
    <n v="1"/>
  </r>
  <r>
    <n v="422"/>
    <x v="18"/>
    <n v="1"/>
    <n v="0"/>
    <n v="1"/>
    <n v="14"/>
    <b v="0"/>
    <n v="3"/>
    <n v="1"/>
    <n v="0.4"/>
    <n v="0.40910000000000002"/>
    <n v="0.57999999999999996"/>
    <n v="0.25369999999999998"/>
    <n v="7"/>
    <n v="68"/>
    <n v="75"/>
    <s v="REC-0422"/>
    <d v="2011-01-19T14:00:00"/>
    <s v="Jan"/>
    <x v="4"/>
    <x v="1"/>
    <s v="Working Day"/>
    <s v="Spring"/>
    <x v="0"/>
    <s v="Afternoon"/>
    <s v="Warm"/>
    <s v="Medium"/>
    <s v="Off-Peak"/>
    <n v="9.3333333333333338E-2"/>
    <s v="Normal"/>
    <n v="1"/>
  </r>
  <r>
    <n v="423"/>
    <x v="18"/>
    <n v="1"/>
    <n v="0"/>
    <n v="1"/>
    <n v="15"/>
    <b v="0"/>
    <n v="3"/>
    <n v="1"/>
    <n v="0.4"/>
    <n v="0.40910000000000002"/>
    <n v="0.54"/>
    <n v="0.28360000000000002"/>
    <n v="4"/>
    <n v="78"/>
    <n v="82"/>
    <s v="REC-0423"/>
    <d v="2011-01-19T15:00:00"/>
    <s v="Jan"/>
    <x v="4"/>
    <x v="1"/>
    <s v="Working Day"/>
    <s v="Spring"/>
    <x v="0"/>
    <s v="Afternoon"/>
    <s v="Warm"/>
    <s v="Medium"/>
    <s v="Off-Peak"/>
    <n v="4.878048780487805E-2"/>
    <s v="Normal"/>
    <n v="1"/>
  </r>
  <r>
    <n v="424"/>
    <x v="18"/>
    <n v="1"/>
    <n v="0"/>
    <n v="1"/>
    <n v="16"/>
    <b v="0"/>
    <n v="3"/>
    <n v="1"/>
    <n v="0.38"/>
    <n v="0.39389999999999997"/>
    <n v="0.57999999999999996"/>
    <n v="0.3881"/>
    <n v="10"/>
    <n v="94"/>
    <n v="104"/>
    <s v="REC-0424"/>
    <d v="2011-01-19T16:00:00"/>
    <s v="Jan"/>
    <x v="4"/>
    <x v="1"/>
    <s v="Working Day"/>
    <s v="Spring"/>
    <x v="0"/>
    <s v="Afternoon"/>
    <s v="Warm"/>
    <s v="Medium"/>
    <s v="Peak"/>
    <n v="9.6153846153846159E-2"/>
    <s v="High"/>
    <n v="1"/>
  </r>
  <r>
    <n v="425"/>
    <x v="18"/>
    <n v="1"/>
    <n v="0"/>
    <n v="1"/>
    <n v="17"/>
    <b v="0"/>
    <n v="3"/>
    <n v="1"/>
    <n v="0.36"/>
    <n v="0.33329999999999999"/>
    <n v="0.56999999999999995"/>
    <n v="0.32840000000000003"/>
    <n v="7"/>
    <n v="190"/>
    <n v="197"/>
    <s v="REC-0425"/>
    <d v="2011-01-19T17:00:00"/>
    <s v="Jan"/>
    <x v="4"/>
    <x v="1"/>
    <s v="Working Day"/>
    <s v="Spring"/>
    <x v="0"/>
    <s v="Evening"/>
    <s v="Warm"/>
    <s v="Medium"/>
    <s v="Peak"/>
    <n v="3.553299492385787E-2"/>
    <s v="High"/>
    <n v="1"/>
  </r>
  <r>
    <n v="426"/>
    <x v="18"/>
    <n v="1"/>
    <n v="0"/>
    <n v="1"/>
    <n v="18"/>
    <b v="0"/>
    <n v="3"/>
    <n v="1"/>
    <n v="0.34"/>
    <n v="0.31819999999999998"/>
    <n v="0.61"/>
    <n v="0.28360000000000002"/>
    <n v="5"/>
    <n v="156"/>
    <n v="161"/>
    <s v="REC-0426"/>
    <d v="2011-01-19T18:00:00"/>
    <s v="Jan"/>
    <x v="4"/>
    <x v="1"/>
    <s v="Working Day"/>
    <s v="Spring"/>
    <x v="0"/>
    <s v="Evening"/>
    <s v="Warm"/>
    <s v="Medium"/>
    <s v="Peak"/>
    <n v="3.1055900621118012E-2"/>
    <s v="High"/>
    <n v="1"/>
  </r>
  <r>
    <n v="427"/>
    <x v="18"/>
    <n v="1"/>
    <n v="0"/>
    <n v="1"/>
    <n v="19"/>
    <b v="0"/>
    <n v="3"/>
    <n v="1"/>
    <n v="0.32"/>
    <n v="0.28789999999999999"/>
    <n v="0.56999999999999995"/>
    <n v="0.41789999999999999"/>
    <n v="4"/>
    <n v="108"/>
    <n v="112"/>
    <s v="REC-0427"/>
    <d v="2011-01-19T19:00:00"/>
    <s v="Jan"/>
    <x v="4"/>
    <x v="1"/>
    <s v="Working Day"/>
    <s v="Spring"/>
    <x v="0"/>
    <s v="Evening"/>
    <s v="Warm"/>
    <s v="Medium"/>
    <s v="Peak"/>
    <n v="3.5714285714285712E-2"/>
    <s v="High"/>
    <n v="1"/>
  </r>
  <r>
    <n v="428"/>
    <x v="18"/>
    <n v="1"/>
    <n v="0"/>
    <n v="1"/>
    <n v="20"/>
    <b v="0"/>
    <n v="3"/>
    <n v="1"/>
    <n v="0.32"/>
    <n v="0.30299999999999999"/>
    <n v="0.49"/>
    <n v="0.29849999999999999"/>
    <n v="2"/>
    <n v="74"/>
    <n v="76"/>
    <s v="REC-0428"/>
    <d v="2011-01-19T20:00:00"/>
    <s v="Jan"/>
    <x v="4"/>
    <x v="1"/>
    <s v="Working Day"/>
    <s v="Spring"/>
    <x v="0"/>
    <s v="Evening"/>
    <s v="Warm"/>
    <s v="Low"/>
    <s v="Off-Peak"/>
    <n v="2.6315789473684209E-2"/>
    <s v="Normal"/>
    <n v="1"/>
  </r>
  <r>
    <n v="429"/>
    <x v="18"/>
    <n v="1"/>
    <n v="0"/>
    <n v="1"/>
    <n v="21"/>
    <b v="0"/>
    <n v="3"/>
    <n v="1"/>
    <n v="0.32"/>
    <n v="0.28789999999999999"/>
    <n v="0.49"/>
    <n v="0.41789999999999999"/>
    <n v="4"/>
    <n v="55"/>
    <n v="59"/>
    <s v="REC-0429"/>
    <d v="2011-01-19T21:00:00"/>
    <s v="Jan"/>
    <x v="4"/>
    <x v="1"/>
    <s v="Working Day"/>
    <s v="Spring"/>
    <x v="0"/>
    <s v="Late Evening"/>
    <s v="Warm"/>
    <s v="Low"/>
    <s v="Off-Peak"/>
    <n v="6.7796610169491525E-2"/>
    <s v="Normal"/>
    <n v="1"/>
  </r>
  <r>
    <n v="430"/>
    <x v="18"/>
    <n v="1"/>
    <n v="0"/>
    <n v="1"/>
    <n v="22"/>
    <b v="0"/>
    <n v="3"/>
    <n v="1"/>
    <n v="0.3"/>
    <n v="0.30299999999999999"/>
    <n v="0.52"/>
    <n v="0.16420000000000001"/>
    <n v="6"/>
    <n v="53"/>
    <n v="59"/>
    <s v="REC-0430"/>
    <d v="2011-01-19T22:00:00"/>
    <s v="Jan"/>
    <x v="4"/>
    <x v="1"/>
    <s v="Working Day"/>
    <s v="Spring"/>
    <x v="0"/>
    <s v="Late Evening"/>
    <s v="Warm"/>
    <s v="Medium"/>
    <s v="Off-Peak"/>
    <n v="0.10169491525423729"/>
    <s v="Normal"/>
    <n v="1"/>
  </r>
  <r>
    <n v="431"/>
    <x v="18"/>
    <n v="1"/>
    <n v="0"/>
    <n v="1"/>
    <n v="23"/>
    <b v="0"/>
    <n v="3"/>
    <n v="1"/>
    <n v="0.3"/>
    <n v="0.2727"/>
    <n v="0.52"/>
    <n v="0.4627"/>
    <n v="1"/>
    <n v="27"/>
    <n v="28"/>
    <s v="REC-0431"/>
    <d v="2011-01-19T23:00:00"/>
    <s v="Jan"/>
    <x v="4"/>
    <x v="1"/>
    <s v="Working Day"/>
    <s v="Spring"/>
    <x v="0"/>
    <s v="Late Evening"/>
    <s v="Warm"/>
    <s v="Medium"/>
    <s v="Off-Peak"/>
    <n v="3.5714285714285712E-2"/>
    <s v="Normal"/>
    <n v="1"/>
  </r>
  <r>
    <n v="432"/>
    <x v="19"/>
    <n v="1"/>
    <n v="0"/>
    <n v="1"/>
    <n v="0"/>
    <b v="0"/>
    <n v="4"/>
    <n v="1"/>
    <n v="0.26"/>
    <n v="0.2273"/>
    <n v="0.56000000000000005"/>
    <n v="0.3881"/>
    <n v="5"/>
    <n v="8"/>
    <n v="13"/>
    <s v="REC-0432"/>
    <d v="2011-01-20T00:00:00"/>
    <s v="Jan"/>
    <x v="5"/>
    <x v="1"/>
    <s v="Working Day"/>
    <s v="Spring"/>
    <x v="0"/>
    <s v="Night"/>
    <s v="Mild"/>
    <s v="Medium"/>
    <s v="Off-Peak"/>
    <n v="0.38461538461538464"/>
    <s v="Low"/>
    <n v="1"/>
  </r>
  <r>
    <n v="433"/>
    <x v="19"/>
    <n v="1"/>
    <n v="0"/>
    <n v="1"/>
    <n v="1"/>
    <b v="0"/>
    <n v="4"/>
    <n v="1"/>
    <n v="0.26"/>
    <n v="0.2727"/>
    <n v="0.56000000000000005"/>
    <n v="0"/>
    <n v="2"/>
    <n v="3"/>
    <n v="5"/>
    <s v="REC-0433"/>
    <d v="2011-01-20T01:00:00"/>
    <s v="Jan"/>
    <x v="5"/>
    <x v="1"/>
    <s v="Working Day"/>
    <s v="Spring"/>
    <x v="0"/>
    <s v="Night"/>
    <s v="Mild"/>
    <s v="Medium"/>
    <s v="Off-Peak"/>
    <n v="0.4"/>
    <s v="Low"/>
    <n v="1"/>
  </r>
  <r>
    <n v="434"/>
    <x v="19"/>
    <n v="1"/>
    <n v="0"/>
    <n v="1"/>
    <n v="2"/>
    <b v="0"/>
    <n v="4"/>
    <n v="1"/>
    <n v="0.26"/>
    <n v="0.2727"/>
    <n v="0.56000000000000005"/>
    <n v="0"/>
    <n v="0"/>
    <n v="2"/>
    <n v="2"/>
    <s v="REC-0434"/>
    <d v="2011-01-20T02:00:00"/>
    <s v="Jan"/>
    <x v="5"/>
    <x v="1"/>
    <s v="Working Day"/>
    <s v="Spring"/>
    <x v="0"/>
    <s v="Night"/>
    <s v="Mild"/>
    <s v="Medium"/>
    <s v="Off-Peak"/>
    <n v="0"/>
    <s v="Low"/>
    <n v="1"/>
  </r>
  <r>
    <n v="435"/>
    <x v="19"/>
    <n v="1"/>
    <n v="0"/>
    <n v="1"/>
    <n v="3"/>
    <b v="0"/>
    <n v="4"/>
    <n v="1"/>
    <n v="0.26"/>
    <n v="0.2576"/>
    <n v="0.56000000000000005"/>
    <n v="0.16420000000000001"/>
    <n v="0"/>
    <n v="1"/>
    <n v="1"/>
    <s v="REC-0435"/>
    <d v="2011-01-20T03:00:00"/>
    <s v="Jan"/>
    <x v="5"/>
    <x v="1"/>
    <s v="Working Day"/>
    <s v="Spring"/>
    <x v="0"/>
    <s v="Night"/>
    <s v="Mild"/>
    <s v="Medium"/>
    <s v="Off-Peak"/>
    <n v="0"/>
    <s v="Low"/>
    <n v="1"/>
  </r>
  <r>
    <n v="436"/>
    <x v="19"/>
    <n v="1"/>
    <n v="0"/>
    <n v="1"/>
    <n v="4"/>
    <b v="0"/>
    <n v="4"/>
    <n v="1"/>
    <n v="0.26"/>
    <n v="0.2576"/>
    <n v="0.56000000000000005"/>
    <n v="0.16420000000000001"/>
    <n v="0"/>
    <n v="1"/>
    <n v="1"/>
    <s v="REC-0436"/>
    <d v="2011-01-20T04:00:00"/>
    <s v="Jan"/>
    <x v="5"/>
    <x v="1"/>
    <s v="Working Day"/>
    <s v="Spring"/>
    <x v="0"/>
    <s v="Night"/>
    <s v="Mild"/>
    <s v="Medium"/>
    <s v="Off-Peak"/>
    <n v="0"/>
    <s v="Low"/>
    <n v="1"/>
  </r>
  <r>
    <n v="437"/>
    <x v="19"/>
    <n v="1"/>
    <n v="0"/>
    <n v="1"/>
    <n v="5"/>
    <b v="0"/>
    <n v="4"/>
    <n v="1"/>
    <n v="0.24"/>
    <n v="0.2273"/>
    <n v="0.6"/>
    <n v="0.22389999999999999"/>
    <n v="0"/>
    <n v="6"/>
    <n v="6"/>
    <s v="REC-0437"/>
    <d v="2011-01-20T05:00:00"/>
    <s v="Jan"/>
    <x v="5"/>
    <x v="1"/>
    <s v="Working Day"/>
    <s v="Spring"/>
    <x v="0"/>
    <s v="Night"/>
    <s v="Mild"/>
    <s v="Medium"/>
    <s v="Off-Peak"/>
    <n v="0"/>
    <s v="Low"/>
    <n v="1"/>
  </r>
  <r>
    <n v="438"/>
    <x v="19"/>
    <n v="1"/>
    <n v="0"/>
    <n v="1"/>
    <n v="6"/>
    <b v="0"/>
    <n v="4"/>
    <n v="1"/>
    <n v="0.22"/>
    <n v="0.21210000000000001"/>
    <n v="0.6"/>
    <n v="0.22389999999999999"/>
    <n v="0"/>
    <n v="35"/>
    <n v="35"/>
    <s v="REC-0438"/>
    <d v="2011-01-20T06:00:00"/>
    <s v="Jan"/>
    <x v="5"/>
    <x v="1"/>
    <s v="Working Day"/>
    <s v="Spring"/>
    <x v="0"/>
    <s v="Morning"/>
    <s v="Mild"/>
    <s v="Medium"/>
    <s v="Off-Peak"/>
    <n v="0"/>
    <s v="Normal"/>
    <n v="1"/>
  </r>
  <r>
    <n v="439"/>
    <x v="19"/>
    <n v="1"/>
    <n v="0"/>
    <n v="1"/>
    <n v="7"/>
    <b v="0"/>
    <n v="4"/>
    <n v="1"/>
    <n v="0.22"/>
    <n v="0.21210000000000001"/>
    <n v="0.55000000000000004"/>
    <n v="0.22389999999999999"/>
    <n v="1"/>
    <n v="100"/>
    <n v="101"/>
    <s v="REC-0439"/>
    <d v="2011-01-20T07:00:00"/>
    <s v="Jan"/>
    <x v="5"/>
    <x v="1"/>
    <s v="Working Day"/>
    <s v="Spring"/>
    <x v="0"/>
    <s v="Morning"/>
    <s v="Mild"/>
    <s v="Medium"/>
    <s v="Peak"/>
    <n v="9.9009900990099011E-3"/>
    <s v="High"/>
    <n v="1"/>
  </r>
  <r>
    <n v="440"/>
    <x v="19"/>
    <n v="1"/>
    <n v="0"/>
    <n v="1"/>
    <n v="8"/>
    <b v="0"/>
    <n v="4"/>
    <n v="1"/>
    <n v="0.22"/>
    <n v="0.21210000000000001"/>
    <n v="0.55000000000000004"/>
    <n v="0.28360000000000002"/>
    <n v="2"/>
    <n v="247"/>
    <n v="249"/>
    <s v="REC-0440"/>
    <d v="2011-01-20T08:00:00"/>
    <s v="Jan"/>
    <x v="5"/>
    <x v="1"/>
    <s v="Working Day"/>
    <s v="Spring"/>
    <x v="0"/>
    <s v="Morning"/>
    <s v="Mild"/>
    <s v="Medium"/>
    <s v="Peak"/>
    <n v="8.0321285140562242E-3"/>
    <s v="High"/>
    <n v="1"/>
  </r>
  <r>
    <n v="441"/>
    <x v="19"/>
    <n v="1"/>
    <n v="0"/>
    <n v="1"/>
    <n v="9"/>
    <b v="0"/>
    <n v="4"/>
    <n v="2"/>
    <n v="0.24"/>
    <n v="0.2273"/>
    <n v="0.52"/>
    <n v="0.22389999999999999"/>
    <n v="3"/>
    <n v="140"/>
    <n v="143"/>
    <s v="REC-0441"/>
    <d v="2011-01-20T09:00:00"/>
    <s v="Jan"/>
    <x v="5"/>
    <x v="1"/>
    <s v="Working Day"/>
    <s v="Spring"/>
    <x v="1"/>
    <s v="Morning"/>
    <s v="Mild"/>
    <s v="Medium"/>
    <s v="Peak"/>
    <n v="2.097902097902098E-2"/>
    <s v="High"/>
    <n v="1"/>
  </r>
  <r>
    <n v="442"/>
    <x v="19"/>
    <n v="1"/>
    <n v="0"/>
    <n v="1"/>
    <n v="10"/>
    <b v="0"/>
    <n v="4"/>
    <n v="1"/>
    <n v="0.26"/>
    <n v="0.2273"/>
    <n v="0.48"/>
    <n v="0.29849999999999999"/>
    <n v="1"/>
    <n v="56"/>
    <n v="57"/>
    <s v="REC-0442"/>
    <d v="2011-01-20T10:00:00"/>
    <s v="Jan"/>
    <x v="5"/>
    <x v="1"/>
    <s v="Working Day"/>
    <s v="Spring"/>
    <x v="0"/>
    <s v="Morning"/>
    <s v="Mild"/>
    <s v="Low"/>
    <s v="Off-Peak"/>
    <n v="1.7543859649122806E-2"/>
    <s v="Normal"/>
    <n v="1"/>
  </r>
  <r>
    <n v="443"/>
    <x v="19"/>
    <n v="1"/>
    <n v="0"/>
    <n v="1"/>
    <n v="11"/>
    <b v="0"/>
    <n v="4"/>
    <n v="2"/>
    <n v="0.28000000000000003"/>
    <n v="0.2727"/>
    <n v="0.45"/>
    <n v="0.16420000000000001"/>
    <n v="5"/>
    <n v="63"/>
    <n v="68"/>
    <s v="REC-0443"/>
    <d v="2011-01-20T11:00:00"/>
    <s v="Jan"/>
    <x v="5"/>
    <x v="1"/>
    <s v="Working Day"/>
    <s v="Spring"/>
    <x v="1"/>
    <s v="Morning"/>
    <s v="Mild"/>
    <s v="Low"/>
    <s v="Off-Peak"/>
    <n v="7.3529411764705885E-2"/>
    <s v="Normal"/>
    <n v="1"/>
  </r>
  <r>
    <n v="444"/>
    <x v="19"/>
    <n v="1"/>
    <n v="0"/>
    <n v="1"/>
    <n v="12"/>
    <b v="0"/>
    <n v="4"/>
    <n v="2"/>
    <n v="0.3"/>
    <n v="0.33329999999999999"/>
    <n v="0.42"/>
    <n v="0"/>
    <n v="7"/>
    <n v="77"/>
    <n v="84"/>
    <s v="REC-0444"/>
    <d v="2011-01-20T12:00:00"/>
    <s v="Jan"/>
    <x v="5"/>
    <x v="1"/>
    <s v="Working Day"/>
    <s v="Spring"/>
    <x v="1"/>
    <s v="Afternoon"/>
    <s v="Warm"/>
    <s v="Low"/>
    <s v="Off-Peak"/>
    <n v="8.3333333333333329E-2"/>
    <s v="High"/>
    <n v="1"/>
  </r>
  <r>
    <n v="445"/>
    <x v="19"/>
    <n v="1"/>
    <n v="0"/>
    <n v="1"/>
    <n v="13"/>
    <b v="0"/>
    <n v="4"/>
    <n v="2"/>
    <n v="0.28000000000000003"/>
    <n v="0.28789999999999999"/>
    <n v="0.45"/>
    <n v="0.1045"/>
    <n v="12"/>
    <n v="86"/>
    <n v="98"/>
    <s v="REC-0445"/>
    <d v="2011-01-20T13:00:00"/>
    <s v="Jan"/>
    <x v="5"/>
    <x v="1"/>
    <s v="Working Day"/>
    <s v="Spring"/>
    <x v="1"/>
    <s v="Afternoon"/>
    <s v="Mild"/>
    <s v="Low"/>
    <s v="Off-Peak"/>
    <n v="0.12244897959183673"/>
    <s v="High"/>
    <n v="1"/>
  </r>
  <r>
    <n v="446"/>
    <x v="19"/>
    <n v="1"/>
    <n v="0"/>
    <n v="1"/>
    <n v="14"/>
    <b v="0"/>
    <n v="4"/>
    <n v="2"/>
    <n v="0.3"/>
    <n v="0.30299999999999999"/>
    <n v="0.45"/>
    <n v="0.1343"/>
    <n v="6"/>
    <n v="75"/>
    <n v="81"/>
    <s v="REC-0446"/>
    <d v="2011-01-20T14:00:00"/>
    <s v="Jan"/>
    <x v="5"/>
    <x v="1"/>
    <s v="Working Day"/>
    <s v="Spring"/>
    <x v="1"/>
    <s v="Afternoon"/>
    <s v="Warm"/>
    <s v="Low"/>
    <s v="Off-Peak"/>
    <n v="7.407407407407407E-2"/>
    <s v="Normal"/>
    <n v="1"/>
  </r>
  <r>
    <n v="447"/>
    <x v="19"/>
    <n v="1"/>
    <n v="0"/>
    <n v="1"/>
    <n v="15"/>
    <b v="0"/>
    <n v="4"/>
    <n v="2"/>
    <n v="0.32"/>
    <n v="0.31819999999999998"/>
    <n v="0.45"/>
    <n v="0.19400000000000001"/>
    <n v="8"/>
    <n v="62"/>
    <n v="70"/>
    <s v="REC-0447"/>
    <d v="2011-01-20T15:00:00"/>
    <s v="Jan"/>
    <x v="5"/>
    <x v="1"/>
    <s v="Working Day"/>
    <s v="Spring"/>
    <x v="1"/>
    <s v="Afternoon"/>
    <s v="Warm"/>
    <s v="Low"/>
    <s v="Off-Peak"/>
    <n v="0.11428571428571428"/>
    <s v="Normal"/>
    <n v="1"/>
  </r>
  <r>
    <n v="448"/>
    <x v="19"/>
    <n v="1"/>
    <n v="0"/>
    <n v="1"/>
    <n v="16"/>
    <b v="0"/>
    <n v="4"/>
    <n v="2"/>
    <n v="0.3"/>
    <n v="0.30299999999999999"/>
    <n v="0.49"/>
    <n v="0.1343"/>
    <n v="8"/>
    <n v="83"/>
    <n v="91"/>
    <s v="REC-0448"/>
    <d v="2011-01-20T16:00:00"/>
    <s v="Jan"/>
    <x v="5"/>
    <x v="1"/>
    <s v="Working Day"/>
    <s v="Spring"/>
    <x v="1"/>
    <s v="Afternoon"/>
    <s v="Warm"/>
    <s v="Low"/>
    <s v="Peak"/>
    <n v="8.7912087912087919E-2"/>
    <s v="High"/>
    <n v="1"/>
  </r>
  <r>
    <n v="449"/>
    <x v="19"/>
    <n v="1"/>
    <n v="0"/>
    <n v="1"/>
    <n v="17"/>
    <b v="0"/>
    <n v="4"/>
    <n v="2"/>
    <n v="0.3"/>
    <n v="0.31819999999999998"/>
    <n v="0.49"/>
    <n v="0.1045"/>
    <n v="8"/>
    <n v="207"/>
    <n v="215"/>
    <s v="REC-0449"/>
    <d v="2011-01-20T17:00:00"/>
    <s v="Jan"/>
    <x v="5"/>
    <x v="1"/>
    <s v="Working Day"/>
    <s v="Spring"/>
    <x v="1"/>
    <s v="Evening"/>
    <s v="Warm"/>
    <s v="Low"/>
    <s v="Peak"/>
    <n v="3.7209302325581395E-2"/>
    <s v="High"/>
    <n v="1"/>
  </r>
  <r>
    <n v="450"/>
    <x v="19"/>
    <n v="1"/>
    <n v="0"/>
    <n v="1"/>
    <n v="18"/>
    <b v="0"/>
    <n v="4"/>
    <n v="2"/>
    <n v="0.26"/>
    <n v="0.2576"/>
    <n v="0.56000000000000005"/>
    <n v="0.19400000000000001"/>
    <n v="1"/>
    <n v="184"/>
    <n v="185"/>
    <s v="REC-0450"/>
    <d v="2011-01-20T18:00:00"/>
    <s v="Jan"/>
    <x v="5"/>
    <x v="1"/>
    <s v="Working Day"/>
    <s v="Spring"/>
    <x v="1"/>
    <s v="Evening"/>
    <s v="Mild"/>
    <s v="Medium"/>
    <s v="Peak"/>
    <n v="5.4054054054054057E-3"/>
    <s v="High"/>
    <n v="1"/>
  </r>
  <r>
    <n v="451"/>
    <x v="19"/>
    <n v="1"/>
    <n v="0"/>
    <n v="1"/>
    <n v="19"/>
    <b v="0"/>
    <n v="4"/>
    <n v="1"/>
    <n v="0.26"/>
    <n v="0.2273"/>
    <n v="0.56000000000000005"/>
    <n v="0.32840000000000003"/>
    <n v="6"/>
    <n v="146"/>
    <n v="152"/>
    <s v="REC-0451"/>
    <d v="2011-01-20T19:00:00"/>
    <s v="Jan"/>
    <x v="5"/>
    <x v="1"/>
    <s v="Working Day"/>
    <s v="Spring"/>
    <x v="0"/>
    <s v="Evening"/>
    <s v="Mild"/>
    <s v="Medium"/>
    <s v="Peak"/>
    <n v="3.9473684210526314E-2"/>
    <s v="High"/>
    <n v="1"/>
  </r>
  <r>
    <n v="452"/>
    <x v="19"/>
    <n v="1"/>
    <n v="0"/>
    <n v="1"/>
    <n v="20"/>
    <b v="0"/>
    <n v="4"/>
    <n v="2"/>
    <n v="0.26"/>
    <n v="0.2424"/>
    <n v="0.6"/>
    <n v="0.28360000000000002"/>
    <n v="2"/>
    <n v="124"/>
    <n v="126"/>
    <s v="REC-0452"/>
    <d v="2011-01-20T20:00:00"/>
    <s v="Jan"/>
    <x v="5"/>
    <x v="1"/>
    <s v="Working Day"/>
    <s v="Spring"/>
    <x v="1"/>
    <s v="Evening"/>
    <s v="Mild"/>
    <s v="Medium"/>
    <s v="Off-Peak"/>
    <n v="1.5873015873015872E-2"/>
    <s v="High"/>
    <n v="1"/>
  </r>
  <r>
    <n v="453"/>
    <x v="19"/>
    <n v="1"/>
    <n v="0"/>
    <n v="1"/>
    <n v="21"/>
    <b v="0"/>
    <n v="4"/>
    <n v="2"/>
    <n v="0.24"/>
    <n v="0.2273"/>
    <n v="0.6"/>
    <n v="0.25369999999999998"/>
    <n v="3"/>
    <n v="54"/>
    <n v="57"/>
    <s v="REC-0453"/>
    <d v="2011-01-20T21:00:00"/>
    <s v="Jan"/>
    <x v="5"/>
    <x v="1"/>
    <s v="Working Day"/>
    <s v="Spring"/>
    <x v="1"/>
    <s v="Late Evening"/>
    <s v="Mild"/>
    <s v="Medium"/>
    <s v="Off-Peak"/>
    <n v="5.2631578947368418E-2"/>
    <s v="Normal"/>
    <n v="1"/>
  </r>
  <r>
    <n v="454"/>
    <x v="19"/>
    <n v="1"/>
    <n v="0"/>
    <n v="1"/>
    <n v="22"/>
    <b v="0"/>
    <n v="4"/>
    <n v="2"/>
    <n v="0.24"/>
    <n v="0.21210000000000001"/>
    <n v="0.65"/>
    <n v="0.28360000000000002"/>
    <n v="0"/>
    <n v="56"/>
    <n v="56"/>
    <s v="REC-0454"/>
    <d v="2011-01-20T22:00:00"/>
    <s v="Jan"/>
    <x v="5"/>
    <x v="1"/>
    <s v="Working Day"/>
    <s v="Spring"/>
    <x v="1"/>
    <s v="Late Evening"/>
    <s v="Mild"/>
    <s v="Medium"/>
    <s v="Off-Peak"/>
    <n v="0"/>
    <s v="Normal"/>
    <n v="1"/>
  </r>
  <r>
    <n v="455"/>
    <x v="19"/>
    <n v="1"/>
    <n v="0"/>
    <n v="1"/>
    <n v="23"/>
    <b v="0"/>
    <n v="4"/>
    <n v="2"/>
    <n v="0.24"/>
    <n v="0.21210000000000001"/>
    <n v="0.65"/>
    <n v="0.32840000000000003"/>
    <n v="3"/>
    <n v="28"/>
    <n v="31"/>
    <s v="REC-0455"/>
    <d v="2011-01-20T23:00:00"/>
    <s v="Jan"/>
    <x v="5"/>
    <x v="1"/>
    <s v="Working Day"/>
    <s v="Spring"/>
    <x v="1"/>
    <s v="Late Evening"/>
    <s v="Mild"/>
    <s v="Medium"/>
    <s v="Off-Peak"/>
    <n v="9.6774193548387094E-2"/>
    <s v="Normal"/>
    <n v="1"/>
  </r>
  <r>
    <n v="456"/>
    <x v="20"/>
    <n v="1"/>
    <n v="0"/>
    <n v="1"/>
    <n v="0"/>
    <b v="0"/>
    <n v="5"/>
    <n v="2"/>
    <n v="0.24"/>
    <n v="0.2273"/>
    <n v="0.7"/>
    <n v="0.25369999999999998"/>
    <n v="1"/>
    <n v="20"/>
    <n v="21"/>
    <s v="REC-0456"/>
    <d v="2011-01-21T00:00:00"/>
    <s v="Jan"/>
    <x v="6"/>
    <x v="1"/>
    <s v="Working Day"/>
    <s v="Spring"/>
    <x v="1"/>
    <s v="Night"/>
    <s v="Mild"/>
    <s v="Medium"/>
    <s v="Off-Peak"/>
    <n v="4.7619047619047616E-2"/>
    <s v="Normal"/>
    <n v="1"/>
  </r>
  <r>
    <n v="457"/>
    <x v="20"/>
    <n v="1"/>
    <n v="0"/>
    <n v="1"/>
    <n v="1"/>
    <b v="0"/>
    <n v="5"/>
    <n v="2"/>
    <n v="0.24"/>
    <n v="0.2273"/>
    <n v="0.7"/>
    <n v="0.25369999999999998"/>
    <n v="0"/>
    <n v="6"/>
    <n v="6"/>
    <s v="REC-0457"/>
    <d v="2011-01-21T01:00:00"/>
    <s v="Jan"/>
    <x v="6"/>
    <x v="1"/>
    <s v="Working Day"/>
    <s v="Spring"/>
    <x v="1"/>
    <s v="Night"/>
    <s v="Mild"/>
    <s v="Medium"/>
    <s v="Off-Peak"/>
    <n v="0"/>
    <s v="Low"/>
    <n v="1"/>
  </r>
  <r>
    <n v="458"/>
    <x v="20"/>
    <n v="1"/>
    <n v="0"/>
    <n v="1"/>
    <n v="2"/>
    <b v="0"/>
    <n v="5"/>
    <n v="3"/>
    <n v="0.24"/>
    <n v="0.2424"/>
    <n v="0.75"/>
    <n v="0.16420000000000001"/>
    <n v="0"/>
    <n v="2"/>
    <n v="2"/>
    <s v="REC-0458"/>
    <d v="2011-01-21T02:00:00"/>
    <s v="Jan"/>
    <x v="6"/>
    <x v="1"/>
    <s v="Working Day"/>
    <s v="Spring"/>
    <x v="2"/>
    <s v="Night"/>
    <s v="Mild"/>
    <s v="High"/>
    <s v="Off-Peak"/>
    <n v="0"/>
    <s v="Low"/>
    <n v="1"/>
  </r>
  <r>
    <n v="459"/>
    <x v="20"/>
    <n v="1"/>
    <n v="0"/>
    <n v="1"/>
    <n v="3"/>
    <b v="0"/>
    <n v="5"/>
    <n v="3"/>
    <n v="0.22"/>
    <n v="0.21210000000000001"/>
    <n v="0.8"/>
    <n v="0.29849999999999999"/>
    <n v="0"/>
    <n v="1"/>
    <n v="1"/>
    <s v="REC-0459"/>
    <d v="2011-01-21T03:00:00"/>
    <s v="Jan"/>
    <x v="6"/>
    <x v="1"/>
    <s v="Working Day"/>
    <s v="Spring"/>
    <x v="2"/>
    <s v="Night"/>
    <s v="Mild"/>
    <s v="High"/>
    <s v="Off-Peak"/>
    <n v="0"/>
    <s v="Low"/>
    <n v="1"/>
  </r>
  <r>
    <n v="460"/>
    <x v="20"/>
    <n v="1"/>
    <n v="0"/>
    <n v="1"/>
    <n v="4"/>
    <b v="0"/>
    <n v="5"/>
    <n v="2"/>
    <n v="0.22"/>
    <n v="0.2576"/>
    <n v="0.87"/>
    <n v="8.9599999999999999E-2"/>
    <n v="0"/>
    <n v="1"/>
    <n v="1"/>
    <s v="REC-0460"/>
    <d v="2011-01-21T04:00:00"/>
    <s v="Jan"/>
    <x v="6"/>
    <x v="1"/>
    <s v="Working Day"/>
    <s v="Spring"/>
    <x v="1"/>
    <s v="Night"/>
    <s v="Mild"/>
    <s v="High"/>
    <s v="Off-Peak"/>
    <n v="0"/>
    <s v="Low"/>
    <n v="1"/>
  </r>
  <r>
    <n v="461"/>
    <x v="20"/>
    <n v="1"/>
    <n v="0"/>
    <n v="1"/>
    <n v="5"/>
    <b v="0"/>
    <n v="5"/>
    <n v="1"/>
    <n v="0.24"/>
    <n v="0.19700000000000001"/>
    <n v="0.6"/>
    <n v="0.41789999999999999"/>
    <n v="1"/>
    <n v="4"/>
    <n v="5"/>
    <s v="REC-0461"/>
    <d v="2011-01-21T05:00:00"/>
    <s v="Jan"/>
    <x v="6"/>
    <x v="1"/>
    <s v="Working Day"/>
    <s v="Spring"/>
    <x v="0"/>
    <s v="Night"/>
    <s v="Mild"/>
    <s v="Medium"/>
    <s v="Off-Peak"/>
    <n v="0.2"/>
    <s v="Low"/>
    <n v="1"/>
  </r>
  <r>
    <n v="462"/>
    <x v="20"/>
    <n v="1"/>
    <n v="0"/>
    <n v="1"/>
    <n v="6"/>
    <b v="0"/>
    <n v="5"/>
    <n v="1"/>
    <n v="0.22"/>
    <n v="0.21210000000000001"/>
    <n v="0.55000000000000004"/>
    <n v="0.25369999999999998"/>
    <n v="0"/>
    <n v="27"/>
    <n v="27"/>
    <s v="REC-0462"/>
    <d v="2011-01-21T06:00:00"/>
    <s v="Jan"/>
    <x v="6"/>
    <x v="1"/>
    <s v="Working Day"/>
    <s v="Spring"/>
    <x v="0"/>
    <s v="Morning"/>
    <s v="Mild"/>
    <s v="Medium"/>
    <s v="Off-Peak"/>
    <n v="0"/>
    <s v="Normal"/>
    <n v="1"/>
  </r>
  <r>
    <n v="463"/>
    <x v="20"/>
    <n v="1"/>
    <n v="0"/>
    <n v="1"/>
    <n v="7"/>
    <b v="0"/>
    <n v="5"/>
    <n v="1"/>
    <n v="0.2"/>
    <n v="0.18179999999999999"/>
    <n v="0.51"/>
    <n v="0.28360000000000002"/>
    <n v="2"/>
    <n v="66"/>
    <n v="68"/>
    <s v="REC-0463"/>
    <d v="2011-01-21T07:00:00"/>
    <s v="Jan"/>
    <x v="6"/>
    <x v="1"/>
    <s v="Working Day"/>
    <s v="Spring"/>
    <x v="0"/>
    <s v="Morning"/>
    <s v="Mild"/>
    <s v="Medium"/>
    <s v="Peak"/>
    <n v="2.9411764705882353E-2"/>
    <s v="Normal"/>
    <n v="1"/>
  </r>
  <r>
    <n v="464"/>
    <x v="20"/>
    <n v="1"/>
    <n v="0"/>
    <n v="1"/>
    <n v="8"/>
    <b v="0"/>
    <n v="5"/>
    <n v="1"/>
    <n v="0.2"/>
    <n v="0.18179999999999999"/>
    <n v="0.47"/>
    <n v="0.32840000000000003"/>
    <n v="7"/>
    <n v="210"/>
    <n v="217"/>
    <s v="REC-0464"/>
    <d v="2011-01-21T08:00:00"/>
    <s v="Jan"/>
    <x v="6"/>
    <x v="1"/>
    <s v="Working Day"/>
    <s v="Spring"/>
    <x v="0"/>
    <s v="Morning"/>
    <s v="Mild"/>
    <s v="Low"/>
    <s v="Peak"/>
    <n v="3.2258064516129031E-2"/>
    <s v="High"/>
    <n v="1"/>
  </r>
  <r>
    <n v="465"/>
    <x v="20"/>
    <n v="1"/>
    <n v="0"/>
    <n v="1"/>
    <n v="9"/>
    <b v="0"/>
    <n v="5"/>
    <n v="1"/>
    <n v="0.2"/>
    <n v="0.18179999999999999"/>
    <n v="0.51"/>
    <n v="0.35820000000000002"/>
    <n v="7"/>
    <n v="159"/>
    <n v="166"/>
    <s v="REC-0465"/>
    <d v="2011-01-21T09:00:00"/>
    <s v="Jan"/>
    <x v="6"/>
    <x v="1"/>
    <s v="Working Day"/>
    <s v="Spring"/>
    <x v="0"/>
    <s v="Morning"/>
    <s v="Mild"/>
    <s v="Medium"/>
    <s v="Peak"/>
    <n v="4.2168674698795178E-2"/>
    <s v="High"/>
    <n v="1"/>
  </r>
  <r>
    <n v="466"/>
    <x v="20"/>
    <n v="1"/>
    <n v="0"/>
    <n v="1"/>
    <n v="10"/>
    <b v="0"/>
    <n v="5"/>
    <n v="1"/>
    <n v="0.2"/>
    <n v="0.16669999999999999"/>
    <n v="0.47"/>
    <n v="0.4627"/>
    <n v="6"/>
    <n v="57"/>
    <n v="63"/>
    <s v="REC-0466"/>
    <d v="2011-01-21T10:00:00"/>
    <s v="Jan"/>
    <x v="6"/>
    <x v="1"/>
    <s v="Working Day"/>
    <s v="Spring"/>
    <x v="0"/>
    <s v="Morning"/>
    <s v="Mild"/>
    <s v="Low"/>
    <s v="Off-Peak"/>
    <n v="9.5238095238095233E-2"/>
    <s v="Normal"/>
    <n v="1"/>
  </r>
  <r>
    <n v="467"/>
    <x v="20"/>
    <n v="1"/>
    <n v="0"/>
    <n v="1"/>
    <n v="11"/>
    <b v="0"/>
    <n v="5"/>
    <n v="1"/>
    <n v="0.22"/>
    <n v="0.18179999999999999"/>
    <n v="0.41"/>
    <n v="0.4627"/>
    <n v="6"/>
    <n v="53"/>
    <n v="59"/>
    <s v="REC-0467"/>
    <d v="2011-01-21T11:00:00"/>
    <s v="Jan"/>
    <x v="6"/>
    <x v="1"/>
    <s v="Working Day"/>
    <s v="Spring"/>
    <x v="0"/>
    <s v="Morning"/>
    <s v="Mild"/>
    <s v="Low"/>
    <s v="Off-Peak"/>
    <n v="0.10169491525423729"/>
    <s v="Normal"/>
    <n v="1"/>
  </r>
  <r>
    <n v="468"/>
    <x v="20"/>
    <n v="1"/>
    <n v="0"/>
    <n v="1"/>
    <n v="12"/>
    <b v="0"/>
    <n v="5"/>
    <n v="1"/>
    <n v="0.22"/>
    <n v="0.18179999999999999"/>
    <n v="0.27"/>
    <n v="0.58209999999999995"/>
    <n v="11"/>
    <n v="67"/>
    <n v="78"/>
    <s v="REC-0468"/>
    <d v="2011-01-21T12:00:00"/>
    <s v="Jan"/>
    <x v="6"/>
    <x v="1"/>
    <s v="Working Day"/>
    <s v="Spring"/>
    <x v="0"/>
    <s v="Afternoon"/>
    <s v="Mild"/>
    <s v="Low"/>
    <s v="Off-Peak"/>
    <n v="0.14102564102564102"/>
    <s v="Normal"/>
    <n v="1"/>
  </r>
  <r>
    <n v="469"/>
    <x v="20"/>
    <n v="1"/>
    <n v="0"/>
    <n v="1"/>
    <n v="13"/>
    <b v="0"/>
    <n v="5"/>
    <n v="1"/>
    <n v="0.2"/>
    <n v="0.1515"/>
    <n v="0.21"/>
    <n v="0.58209999999999995"/>
    <n v="8"/>
    <n v="65"/>
    <n v="73"/>
    <s v="REC-0469"/>
    <d v="2011-01-21T13:00:00"/>
    <s v="Jan"/>
    <x v="6"/>
    <x v="1"/>
    <s v="Working Day"/>
    <s v="Spring"/>
    <x v="0"/>
    <s v="Afternoon"/>
    <s v="Mild"/>
    <s v="Low"/>
    <s v="Off-Peak"/>
    <n v="0.1095890410958904"/>
    <s v="Normal"/>
    <n v="1"/>
  </r>
  <r>
    <n v="470"/>
    <x v="20"/>
    <n v="1"/>
    <n v="0"/>
    <n v="1"/>
    <n v="14"/>
    <b v="0"/>
    <n v="5"/>
    <n v="1"/>
    <n v="0.2"/>
    <n v="0.1515"/>
    <n v="0.25"/>
    <n v="0.52239999999999998"/>
    <n v="6"/>
    <n v="56"/>
    <n v="62"/>
    <s v="REC-0470"/>
    <d v="2011-01-21T14:00:00"/>
    <s v="Jan"/>
    <x v="6"/>
    <x v="1"/>
    <s v="Working Day"/>
    <s v="Spring"/>
    <x v="0"/>
    <s v="Afternoon"/>
    <s v="Mild"/>
    <s v="Low"/>
    <s v="Off-Peak"/>
    <n v="9.6774193548387094E-2"/>
    <s v="Normal"/>
    <n v="1"/>
  </r>
  <r>
    <n v="471"/>
    <x v="20"/>
    <n v="1"/>
    <n v="0"/>
    <n v="1"/>
    <n v="15"/>
    <b v="0"/>
    <n v="5"/>
    <n v="1"/>
    <n v="0.16"/>
    <n v="0.1212"/>
    <n v="0.26"/>
    <n v="0.44779999999999998"/>
    <n v="4"/>
    <n v="61"/>
    <n v="65"/>
    <s v="REC-0471"/>
    <d v="2011-01-21T15:00:00"/>
    <s v="Jan"/>
    <x v="6"/>
    <x v="1"/>
    <s v="Working Day"/>
    <s v="Spring"/>
    <x v="0"/>
    <s v="Afternoon"/>
    <s v="Cold"/>
    <s v="Low"/>
    <s v="Off-Peak"/>
    <n v="6.1538461538461542E-2"/>
    <s v="Normal"/>
    <n v="1"/>
  </r>
  <r>
    <n v="472"/>
    <x v="20"/>
    <n v="1"/>
    <n v="0"/>
    <n v="1"/>
    <n v="16"/>
    <b v="0"/>
    <n v="5"/>
    <n v="1"/>
    <n v="0.16"/>
    <n v="0.13639999999999999"/>
    <n v="0.26"/>
    <n v="0.35820000000000002"/>
    <n v="0"/>
    <n v="97"/>
    <n v="97"/>
    <s v="REC-0472"/>
    <d v="2011-01-21T16:00:00"/>
    <s v="Jan"/>
    <x v="6"/>
    <x v="1"/>
    <s v="Working Day"/>
    <s v="Spring"/>
    <x v="0"/>
    <s v="Afternoon"/>
    <s v="Cold"/>
    <s v="Low"/>
    <s v="Peak"/>
    <n v="0"/>
    <s v="High"/>
    <n v="1"/>
  </r>
  <r>
    <n v="473"/>
    <x v="20"/>
    <n v="1"/>
    <n v="0"/>
    <n v="1"/>
    <n v="17"/>
    <b v="0"/>
    <n v="5"/>
    <n v="1"/>
    <n v="0.14000000000000001"/>
    <n v="0.1212"/>
    <n v="0.28000000000000003"/>
    <n v="0.35820000000000002"/>
    <n v="10"/>
    <n v="151"/>
    <n v="161"/>
    <s v="REC-0473"/>
    <d v="2011-01-21T17:00:00"/>
    <s v="Jan"/>
    <x v="6"/>
    <x v="1"/>
    <s v="Working Day"/>
    <s v="Spring"/>
    <x v="0"/>
    <s v="Evening"/>
    <s v="Cold"/>
    <s v="Low"/>
    <s v="Peak"/>
    <n v="6.2111801242236024E-2"/>
    <s v="High"/>
    <n v="1"/>
  </r>
  <r>
    <n v="474"/>
    <x v="20"/>
    <n v="1"/>
    <n v="0"/>
    <n v="1"/>
    <n v="18"/>
    <b v="0"/>
    <n v="5"/>
    <n v="1"/>
    <n v="0.12"/>
    <n v="0.1212"/>
    <n v="0.3"/>
    <n v="0.25369999999999998"/>
    <n v="1"/>
    <n v="119"/>
    <n v="120"/>
    <s v="REC-0474"/>
    <d v="2011-01-21T18:00:00"/>
    <s v="Jan"/>
    <x v="6"/>
    <x v="1"/>
    <s v="Working Day"/>
    <s v="Spring"/>
    <x v="0"/>
    <s v="Evening"/>
    <s v="Cold"/>
    <s v="Low"/>
    <s v="Peak"/>
    <n v="8.3333333333333332E-3"/>
    <s v="High"/>
    <n v="1"/>
  </r>
  <r>
    <n v="475"/>
    <x v="20"/>
    <n v="1"/>
    <n v="0"/>
    <n v="1"/>
    <n v="19"/>
    <b v="0"/>
    <n v="5"/>
    <n v="1"/>
    <n v="0.12"/>
    <n v="0.1061"/>
    <n v="0.3"/>
    <n v="0.32840000000000003"/>
    <n v="3"/>
    <n v="93"/>
    <n v="96"/>
    <s v="REC-0475"/>
    <d v="2011-01-21T19:00:00"/>
    <s v="Jan"/>
    <x v="6"/>
    <x v="1"/>
    <s v="Working Day"/>
    <s v="Spring"/>
    <x v="0"/>
    <s v="Evening"/>
    <s v="Cold"/>
    <s v="Low"/>
    <s v="Peak"/>
    <n v="3.125E-2"/>
    <s v="High"/>
    <n v="1"/>
  </r>
  <r>
    <n v="476"/>
    <x v="20"/>
    <n v="1"/>
    <n v="0"/>
    <n v="1"/>
    <n v="20"/>
    <b v="0"/>
    <n v="5"/>
    <n v="1"/>
    <n v="0.1"/>
    <n v="7.5800000000000006E-2"/>
    <n v="0.33"/>
    <n v="0.41789999999999999"/>
    <n v="1"/>
    <n v="52"/>
    <n v="53"/>
    <s v="REC-0476"/>
    <d v="2011-01-21T20:00:00"/>
    <s v="Jan"/>
    <x v="6"/>
    <x v="1"/>
    <s v="Working Day"/>
    <s v="Spring"/>
    <x v="0"/>
    <s v="Evening"/>
    <s v="Cold"/>
    <s v="Low"/>
    <s v="Off-Peak"/>
    <n v="1.8867924528301886E-2"/>
    <s v="Normal"/>
    <n v="1"/>
  </r>
  <r>
    <n v="477"/>
    <x v="20"/>
    <n v="1"/>
    <n v="0"/>
    <n v="1"/>
    <n v="21"/>
    <b v="0"/>
    <n v="5"/>
    <n v="1"/>
    <n v="0.08"/>
    <n v="7.5800000000000006E-2"/>
    <n v="0.38"/>
    <n v="0.28360000000000002"/>
    <n v="0"/>
    <n v="41"/>
    <n v="41"/>
    <s v="REC-0477"/>
    <d v="2011-01-21T21:00:00"/>
    <s v="Jan"/>
    <x v="6"/>
    <x v="1"/>
    <s v="Working Day"/>
    <s v="Spring"/>
    <x v="0"/>
    <s v="Late Evening"/>
    <s v="Cold"/>
    <s v="Low"/>
    <s v="Off-Peak"/>
    <n v="0"/>
    <s v="Normal"/>
    <n v="1"/>
  </r>
  <r>
    <n v="478"/>
    <x v="20"/>
    <n v="1"/>
    <n v="0"/>
    <n v="1"/>
    <n v="22"/>
    <b v="0"/>
    <n v="5"/>
    <n v="1"/>
    <n v="0.06"/>
    <n v="3.0300000000000001E-2"/>
    <n v="0.41"/>
    <n v="0.3881"/>
    <n v="1"/>
    <n v="33"/>
    <n v="34"/>
    <s v="REC-0478"/>
    <d v="2011-01-21T22:00:00"/>
    <s v="Jan"/>
    <x v="6"/>
    <x v="1"/>
    <s v="Working Day"/>
    <s v="Spring"/>
    <x v="0"/>
    <s v="Late Evening"/>
    <s v="Cold"/>
    <s v="Low"/>
    <s v="Off-Peak"/>
    <n v="2.9411764705882353E-2"/>
    <s v="Normal"/>
    <n v="1"/>
  </r>
  <r>
    <n v="479"/>
    <x v="20"/>
    <n v="1"/>
    <n v="0"/>
    <n v="1"/>
    <n v="23"/>
    <b v="0"/>
    <n v="5"/>
    <n v="1"/>
    <n v="0.06"/>
    <n v="4.5499999999999999E-2"/>
    <n v="0.38"/>
    <n v="0.32840000000000003"/>
    <n v="0"/>
    <n v="27"/>
    <n v="27"/>
    <s v="REC-0479"/>
    <d v="2011-01-21T23:00:00"/>
    <s v="Jan"/>
    <x v="6"/>
    <x v="1"/>
    <s v="Working Day"/>
    <s v="Spring"/>
    <x v="0"/>
    <s v="Late Evening"/>
    <s v="Cold"/>
    <s v="Low"/>
    <s v="Off-Peak"/>
    <n v="0"/>
    <s v="Normal"/>
    <n v="1"/>
  </r>
  <r>
    <n v="480"/>
    <x v="21"/>
    <n v="1"/>
    <n v="0"/>
    <n v="1"/>
    <n v="0"/>
    <b v="0"/>
    <n v="6"/>
    <n v="1"/>
    <n v="0.04"/>
    <n v="3.0300000000000001E-2"/>
    <n v="0.45"/>
    <n v="0.25369999999999998"/>
    <n v="0"/>
    <n v="13"/>
    <n v="13"/>
    <s v="REC-0480"/>
    <d v="2011-01-22T00:00:00"/>
    <s v="Jan"/>
    <x v="0"/>
    <x v="0"/>
    <s v="Non-Working Day"/>
    <s v="Spring"/>
    <x v="0"/>
    <s v="Night"/>
    <s v="Cold"/>
    <s v="Low"/>
    <s v="Off-Peak"/>
    <n v="0"/>
    <s v="Low"/>
    <n v="1"/>
  </r>
  <r>
    <n v="481"/>
    <x v="21"/>
    <n v="1"/>
    <n v="0"/>
    <n v="1"/>
    <n v="1"/>
    <b v="0"/>
    <n v="6"/>
    <n v="2"/>
    <n v="0.04"/>
    <n v="0"/>
    <n v="0.41"/>
    <n v="0.3881"/>
    <n v="3"/>
    <n v="9"/>
    <n v="12"/>
    <s v="REC-0481"/>
    <d v="2011-01-22T01:00:00"/>
    <s v="Jan"/>
    <x v="0"/>
    <x v="0"/>
    <s v="Non-Working Day"/>
    <s v="Spring"/>
    <x v="1"/>
    <s v="Night"/>
    <s v="Cold"/>
    <s v="Low"/>
    <s v="Off-Peak"/>
    <n v="0.25"/>
    <s v="Low"/>
    <n v="1"/>
  </r>
  <r>
    <n v="482"/>
    <x v="21"/>
    <n v="1"/>
    <n v="0"/>
    <n v="1"/>
    <n v="2"/>
    <b v="0"/>
    <n v="6"/>
    <n v="2"/>
    <n v="0.04"/>
    <n v="3.0300000000000001E-2"/>
    <n v="0.41"/>
    <n v="0.25369999999999998"/>
    <n v="0"/>
    <n v="11"/>
    <n v="11"/>
    <s v="REC-0482"/>
    <d v="2011-01-22T02:00:00"/>
    <s v="Jan"/>
    <x v="0"/>
    <x v="0"/>
    <s v="Non-Working Day"/>
    <s v="Spring"/>
    <x v="1"/>
    <s v="Night"/>
    <s v="Cold"/>
    <s v="Low"/>
    <s v="Off-Peak"/>
    <n v="0"/>
    <s v="Low"/>
    <n v="1"/>
  </r>
  <r>
    <n v="483"/>
    <x v="21"/>
    <n v="1"/>
    <n v="0"/>
    <n v="1"/>
    <n v="3"/>
    <b v="0"/>
    <n v="6"/>
    <n v="2"/>
    <n v="0.04"/>
    <n v="3.0300000000000001E-2"/>
    <n v="0.41"/>
    <n v="0.28360000000000002"/>
    <n v="1"/>
    <n v="6"/>
    <n v="7"/>
    <s v="REC-0483"/>
    <d v="2011-01-22T03:00:00"/>
    <s v="Jan"/>
    <x v="0"/>
    <x v="0"/>
    <s v="Non-Working Day"/>
    <s v="Spring"/>
    <x v="1"/>
    <s v="Night"/>
    <s v="Cold"/>
    <s v="Low"/>
    <s v="Off-Peak"/>
    <n v="0.14285714285714285"/>
    <s v="Low"/>
    <n v="1"/>
  </r>
  <r>
    <n v="484"/>
    <x v="21"/>
    <n v="1"/>
    <n v="0"/>
    <n v="1"/>
    <n v="4"/>
    <b v="0"/>
    <n v="6"/>
    <n v="2"/>
    <n v="0.02"/>
    <n v="1.52E-2"/>
    <n v="0.48"/>
    <n v="0.29849999999999999"/>
    <n v="0"/>
    <n v="3"/>
    <n v="3"/>
    <s v="REC-0484"/>
    <d v="2011-01-22T04:00:00"/>
    <s v="Jan"/>
    <x v="0"/>
    <x v="0"/>
    <s v="Non-Working Day"/>
    <s v="Spring"/>
    <x v="1"/>
    <s v="Night"/>
    <s v="Cold"/>
    <s v="Low"/>
    <s v="Off-Peak"/>
    <n v="0"/>
    <s v="Low"/>
    <n v="1"/>
  </r>
  <r>
    <n v="485"/>
    <x v="21"/>
    <n v="1"/>
    <n v="0"/>
    <n v="1"/>
    <n v="6"/>
    <b v="0"/>
    <n v="6"/>
    <n v="2"/>
    <n v="0.02"/>
    <n v="3.0300000000000001E-2"/>
    <n v="0.44"/>
    <n v="0.22389999999999999"/>
    <n v="0"/>
    <n v="2"/>
    <n v="2"/>
    <s v="REC-0485"/>
    <d v="2011-01-22T06:00:00"/>
    <s v="Jan"/>
    <x v="0"/>
    <x v="0"/>
    <s v="Non-Working Day"/>
    <s v="Spring"/>
    <x v="1"/>
    <s v="Morning"/>
    <s v="Cold"/>
    <s v="Low"/>
    <s v="Off-Peak"/>
    <n v="0"/>
    <s v="Low"/>
    <n v="1"/>
  </r>
  <r>
    <n v="486"/>
    <x v="21"/>
    <n v="1"/>
    <n v="0"/>
    <n v="1"/>
    <n v="7"/>
    <b v="0"/>
    <n v="6"/>
    <n v="1"/>
    <n v="0.02"/>
    <n v="1.52E-2"/>
    <n v="0.44"/>
    <n v="0.28360000000000002"/>
    <n v="0"/>
    <n v="8"/>
    <n v="8"/>
    <s v="REC-0486"/>
    <d v="2011-01-22T07:00:00"/>
    <s v="Jan"/>
    <x v="0"/>
    <x v="0"/>
    <s v="Non-Working Day"/>
    <s v="Spring"/>
    <x v="0"/>
    <s v="Morning"/>
    <s v="Cold"/>
    <s v="Low"/>
    <s v="Off-Peak"/>
    <n v="0"/>
    <s v="Low"/>
    <n v="1"/>
  </r>
  <r>
    <n v="487"/>
    <x v="21"/>
    <n v="1"/>
    <n v="0"/>
    <n v="1"/>
    <n v="8"/>
    <b v="0"/>
    <n v="6"/>
    <n v="1"/>
    <n v="0.02"/>
    <n v="0"/>
    <n v="0.44"/>
    <n v="0.32840000000000003"/>
    <n v="1"/>
    <n v="26"/>
    <n v="27"/>
    <s v="REC-0487"/>
    <d v="2011-01-22T08:00:00"/>
    <s v="Jan"/>
    <x v="0"/>
    <x v="0"/>
    <s v="Non-Working Day"/>
    <s v="Spring"/>
    <x v="0"/>
    <s v="Morning"/>
    <s v="Cold"/>
    <s v="Low"/>
    <s v="Off-Peak"/>
    <n v="3.7037037037037035E-2"/>
    <s v="Normal"/>
    <n v="1"/>
  </r>
  <r>
    <n v="488"/>
    <x v="21"/>
    <n v="1"/>
    <n v="0"/>
    <n v="1"/>
    <n v="9"/>
    <b v="0"/>
    <n v="6"/>
    <n v="1"/>
    <n v="0.04"/>
    <n v="3.0300000000000001E-2"/>
    <n v="0.41"/>
    <n v="0.25369999999999998"/>
    <n v="3"/>
    <n v="37"/>
    <n v="40"/>
    <s v="REC-0488"/>
    <d v="2011-01-22T09:00:00"/>
    <s v="Jan"/>
    <x v="0"/>
    <x v="0"/>
    <s v="Non-Working Day"/>
    <s v="Spring"/>
    <x v="0"/>
    <s v="Morning"/>
    <s v="Cold"/>
    <s v="Low"/>
    <s v="Off-Peak"/>
    <n v="7.4999999999999997E-2"/>
    <s v="Normal"/>
    <n v="1"/>
  </r>
  <r>
    <n v="489"/>
    <x v="21"/>
    <n v="1"/>
    <n v="0"/>
    <n v="1"/>
    <n v="10"/>
    <b v="0"/>
    <n v="6"/>
    <n v="2"/>
    <n v="0.04"/>
    <n v="6.0600000000000001E-2"/>
    <n v="0.41"/>
    <n v="0.16420000000000001"/>
    <n v="3"/>
    <n v="50"/>
    <n v="53"/>
    <s v="REC-0489"/>
    <d v="2011-01-22T10:00:00"/>
    <s v="Jan"/>
    <x v="0"/>
    <x v="0"/>
    <s v="Non-Working Day"/>
    <s v="Spring"/>
    <x v="1"/>
    <s v="Morning"/>
    <s v="Cold"/>
    <s v="Low"/>
    <s v="Off-Peak"/>
    <n v="5.6603773584905662E-2"/>
    <s v="Normal"/>
    <n v="1"/>
  </r>
  <r>
    <n v="490"/>
    <x v="21"/>
    <n v="1"/>
    <n v="0"/>
    <n v="1"/>
    <n v="11"/>
    <b v="0"/>
    <n v="6"/>
    <n v="2"/>
    <n v="0.06"/>
    <n v="7.5800000000000006E-2"/>
    <n v="0.38"/>
    <n v="0.1343"/>
    <n v="4"/>
    <n v="59"/>
    <n v="63"/>
    <s v="REC-0490"/>
    <d v="2011-01-22T11:00:00"/>
    <s v="Jan"/>
    <x v="0"/>
    <x v="0"/>
    <s v="Non-Working Day"/>
    <s v="Spring"/>
    <x v="1"/>
    <s v="Morning"/>
    <s v="Cold"/>
    <s v="Low"/>
    <s v="Off-Peak"/>
    <n v="6.3492063492063489E-2"/>
    <s v="Normal"/>
    <n v="1"/>
  </r>
  <r>
    <n v="491"/>
    <x v="21"/>
    <n v="1"/>
    <n v="0"/>
    <n v="1"/>
    <n v="12"/>
    <b v="0"/>
    <n v="6"/>
    <n v="2"/>
    <n v="0.06"/>
    <n v="0.1061"/>
    <n v="0.38"/>
    <n v="0.1045"/>
    <n v="10"/>
    <n v="60"/>
    <n v="70"/>
    <s v="REC-0491"/>
    <d v="2011-01-22T12:00:00"/>
    <s v="Jan"/>
    <x v="0"/>
    <x v="0"/>
    <s v="Non-Working Day"/>
    <s v="Spring"/>
    <x v="1"/>
    <s v="Afternoon"/>
    <s v="Cold"/>
    <s v="Low"/>
    <s v="Off-Peak"/>
    <n v="0.14285714285714285"/>
    <s v="Normal"/>
    <n v="1"/>
  </r>
  <r>
    <n v="492"/>
    <x v="21"/>
    <n v="1"/>
    <n v="0"/>
    <n v="1"/>
    <n v="13"/>
    <b v="0"/>
    <n v="6"/>
    <n v="1"/>
    <n v="0.08"/>
    <n v="0.16669999999999999"/>
    <n v="0.35"/>
    <n v="0"/>
    <n v="12"/>
    <n v="72"/>
    <n v="84"/>
    <s v="REC-0492"/>
    <d v="2011-01-22T13:00:00"/>
    <s v="Jan"/>
    <x v="0"/>
    <x v="0"/>
    <s v="Non-Working Day"/>
    <s v="Spring"/>
    <x v="0"/>
    <s v="Afternoon"/>
    <s v="Cold"/>
    <s v="Low"/>
    <s v="Off-Peak"/>
    <n v="0.14285714285714285"/>
    <s v="High"/>
    <n v="1"/>
  </r>
  <r>
    <n v="493"/>
    <x v="21"/>
    <n v="1"/>
    <n v="0"/>
    <n v="1"/>
    <n v="14"/>
    <b v="0"/>
    <n v="6"/>
    <n v="1"/>
    <n v="0.1"/>
    <n v="0.13639999999999999"/>
    <n v="0.33"/>
    <n v="0.1045"/>
    <n v="11"/>
    <n v="64"/>
    <n v="75"/>
    <s v="REC-0493"/>
    <d v="2011-01-22T14:00:00"/>
    <s v="Jan"/>
    <x v="0"/>
    <x v="0"/>
    <s v="Non-Working Day"/>
    <s v="Spring"/>
    <x v="0"/>
    <s v="Afternoon"/>
    <s v="Cold"/>
    <s v="Low"/>
    <s v="Off-Peak"/>
    <n v="0.14666666666666667"/>
    <s v="Normal"/>
    <n v="1"/>
  </r>
  <r>
    <n v="494"/>
    <x v="21"/>
    <n v="1"/>
    <n v="0"/>
    <n v="1"/>
    <n v="15"/>
    <b v="0"/>
    <n v="6"/>
    <n v="1"/>
    <n v="0.12"/>
    <n v="0.1515"/>
    <n v="0.28000000000000003"/>
    <n v="0"/>
    <n v="10"/>
    <n v="93"/>
    <n v="103"/>
    <s v="REC-0494"/>
    <d v="2011-01-22T15:00:00"/>
    <s v="Jan"/>
    <x v="0"/>
    <x v="0"/>
    <s v="Non-Working Day"/>
    <s v="Spring"/>
    <x v="0"/>
    <s v="Afternoon"/>
    <s v="Cold"/>
    <s v="Low"/>
    <s v="Off-Peak"/>
    <n v="9.7087378640776698E-2"/>
    <s v="High"/>
    <n v="1"/>
  </r>
  <r>
    <n v="495"/>
    <x v="21"/>
    <n v="1"/>
    <n v="0"/>
    <n v="1"/>
    <n v="16"/>
    <b v="0"/>
    <n v="6"/>
    <n v="1"/>
    <n v="0.12"/>
    <n v="0.13639999999999999"/>
    <n v="0.28000000000000003"/>
    <n v="0.19400000000000001"/>
    <n v="11"/>
    <n v="72"/>
    <n v="83"/>
    <s v="REC-0495"/>
    <d v="2011-01-22T16:00:00"/>
    <s v="Jan"/>
    <x v="0"/>
    <x v="0"/>
    <s v="Non-Working Day"/>
    <s v="Spring"/>
    <x v="0"/>
    <s v="Afternoon"/>
    <s v="Cold"/>
    <s v="Low"/>
    <s v="Off-Peak"/>
    <n v="0.13253012048192772"/>
    <s v="High"/>
    <n v="1"/>
  </r>
  <r>
    <n v="496"/>
    <x v="21"/>
    <n v="1"/>
    <n v="0"/>
    <n v="1"/>
    <n v="17"/>
    <b v="0"/>
    <n v="6"/>
    <n v="1"/>
    <n v="0.12"/>
    <n v="0.19700000000000001"/>
    <n v="0.28000000000000003"/>
    <n v="0"/>
    <n v="8"/>
    <n v="59"/>
    <n v="67"/>
    <s v="REC-0496"/>
    <d v="2011-01-22T17:00:00"/>
    <s v="Jan"/>
    <x v="0"/>
    <x v="0"/>
    <s v="Non-Working Day"/>
    <s v="Spring"/>
    <x v="0"/>
    <s v="Evening"/>
    <s v="Cold"/>
    <s v="Low"/>
    <s v="Off-Peak"/>
    <n v="0.11940298507462686"/>
    <s v="Normal"/>
    <n v="1"/>
  </r>
  <r>
    <n v="497"/>
    <x v="21"/>
    <n v="1"/>
    <n v="0"/>
    <n v="1"/>
    <n v="18"/>
    <b v="0"/>
    <n v="6"/>
    <n v="1"/>
    <n v="0.08"/>
    <n v="9.0899999999999995E-2"/>
    <n v="0.35"/>
    <n v="0.19400000000000001"/>
    <n v="0"/>
    <n v="54"/>
    <n v="54"/>
    <s v="REC-0497"/>
    <d v="2011-01-22T18:00:00"/>
    <s v="Jan"/>
    <x v="0"/>
    <x v="0"/>
    <s v="Non-Working Day"/>
    <s v="Spring"/>
    <x v="0"/>
    <s v="Evening"/>
    <s v="Cold"/>
    <s v="Low"/>
    <s v="Off-Peak"/>
    <n v="0"/>
    <s v="Normal"/>
    <n v="1"/>
  </r>
  <r>
    <n v="498"/>
    <x v="21"/>
    <n v="1"/>
    <n v="0"/>
    <n v="1"/>
    <n v="19"/>
    <b v="0"/>
    <n v="6"/>
    <n v="1"/>
    <n v="0.08"/>
    <n v="0.1061"/>
    <n v="0.35"/>
    <n v="0.1343"/>
    <n v="6"/>
    <n v="53"/>
    <n v="59"/>
    <s v="REC-0498"/>
    <d v="2011-01-22T19:00:00"/>
    <s v="Jan"/>
    <x v="0"/>
    <x v="0"/>
    <s v="Non-Working Day"/>
    <s v="Spring"/>
    <x v="0"/>
    <s v="Evening"/>
    <s v="Cold"/>
    <s v="Low"/>
    <s v="Off-Peak"/>
    <n v="0.10169491525423729"/>
    <s v="Normal"/>
    <n v="1"/>
  </r>
  <r>
    <n v="499"/>
    <x v="21"/>
    <n v="1"/>
    <n v="0"/>
    <n v="1"/>
    <n v="20"/>
    <b v="0"/>
    <n v="6"/>
    <n v="1"/>
    <n v="0.06"/>
    <n v="7.5800000000000006E-2"/>
    <n v="0.45"/>
    <n v="0.16420000000000001"/>
    <n v="1"/>
    <n v="44"/>
    <n v="45"/>
    <s v="REC-0499"/>
    <d v="2011-01-22T20:00:00"/>
    <s v="Jan"/>
    <x v="0"/>
    <x v="0"/>
    <s v="Non-Working Day"/>
    <s v="Spring"/>
    <x v="0"/>
    <s v="Evening"/>
    <s v="Cold"/>
    <s v="Low"/>
    <s v="Off-Peak"/>
    <n v="2.2222222222222223E-2"/>
    <s v="Normal"/>
    <n v="1"/>
  </r>
  <r>
    <n v="500"/>
    <x v="21"/>
    <n v="1"/>
    <n v="0"/>
    <n v="1"/>
    <n v="21"/>
    <b v="0"/>
    <n v="6"/>
    <n v="1"/>
    <n v="0.06"/>
    <n v="0.1061"/>
    <n v="0.41"/>
    <n v="8.9599999999999999E-2"/>
    <n v="0"/>
    <n v="39"/>
    <n v="39"/>
    <s v="REC-0500"/>
    <d v="2011-01-22T21:00:00"/>
    <s v="Jan"/>
    <x v="0"/>
    <x v="0"/>
    <s v="Non-Working Day"/>
    <s v="Spring"/>
    <x v="0"/>
    <s v="Late Evening"/>
    <s v="Cold"/>
    <s v="Low"/>
    <s v="Off-Peak"/>
    <n v="0"/>
    <s v="Normal"/>
    <n v="1"/>
  </r>
  <r>
    <n v="501"/>
    <x v="21"/>
    <n v="1"/>
    <n v="0"/>
    <n v="1"/>
    <n v="22"/>
    <b v="0"/>
    <n v="6"/>
    <n v="1"/>
    <n v="0.06"/>
    <n v="0.1515"/>
    <n v="0.49"/>
    <n v="0"/>
    <n v="7"/>
    <n v="23"/>
    <n v="30"/>
    <s v="REC-0501"/>
    <d v="2011-01-22T22:00:00"/>
    <s v="Jan"/>
    <x v="0"/>
    <x v="0"/>
    <s v="Non-Working Day"/>
    <s v="Spring"/>
    <x v="0"/>
    <s v="Late Evening"/>
    <s v="Cold"/>
    <s v="Low"/>
    <s v="Off-Peak"/>
    <n v="0.23333333333333334"/>
    <s v="Normal"/>
    <n v="1"/>
  </r>
  <r>
    <n v="502"/>
    <x v="21"/>
    <n v="1"/>
    <n v="0"/>
    <n v="1"/>
    <n v="23"/>
    <b v="0"/>
    <n v="6"/>
    <n v="1"/>
    <n v="0.04"/>
    <n v="7.5800000000000006E-2"/>
    <n v="0.56999999999999995"/>
    <n v="0.1045"/>
    <n v="2"/>
    <n v="31"/>
    <n v="33"/>
    <s v="REC-0502"/>
    <d v="2011-01-22T23:00:00"/>
    <s v="Jan"/>
    <x v="0"/>
    <x v="0"/>
    <s v="Non-Working Day"/>
    <s v="Spring"/>
    <x v="0"/>
    <s v="Late Evening"/>
    <s v="Cold"/>
    <s v="Medium"/>
    <s v="Off-Peak"/>
    <n v="6.0606060606060608E-2"/>
    <s v="Normal"/>
    <n v="1"/>
  </r>
  <r>
    <n v="503"/>
    <x v="22"/>
    <n v="1"/>
    <n v="0"/>
    <n v="1"/>
    <n v="0"/>
    <b v="0"/>
    <n v="0"/>
    <n v="1"/>
    <n v="0.04"/>
    <n v="7.5800000000000006E-2"/>
    <n v="0.56999999999999995"/>
    <n v="0.1045"/>
    <n v="2"/>
    <n v="20"/>
    <n v="22"/>
    <s v="REC-0503"/>
    <d v="2011-01-23T00:00:00"/>
    <s v="Jan"/>
    <x v="1"/>
    <x v="0"/>
    <s v="Non-Working Day"/>
    <s v="Spring"/>
    <x v="0"/>
    <s v="Night"/>
    <s v="Cold"/>
    <s v="Medium"/>
    <s v="Off-Peak"/>
    <n v="9.0909090909090912E-2"/>
    <s v="Normal"/>
    <n v="1"/>
  </r>
  <r>
    <n v="504"/>
    <x v="22"/>
    <n v="1"/>
    <n v="0"/>
    <n v="1"/>
    <n v="1"/>
    <b v="0"/>
    <n v="0"/>
    <n v="1"/>
    <n v="0.04"/>
    <n v="7.5800000000000006E-2"/>
    <n v="0.56999999999999995"/>
    <n v="0.1045"/>
    <n v="1"/>
    <n v="12"/>
    <n v="13"/>
    <s v="REC-0504"/>
    <d v="2011-01-23T01:00:00"/>
    <s v="Jan"/>
    <x v="1"/>
    <x v="0"/>
    <s v="Non-Working Day"/>
    <s v="Spring"/>
    <x v="0"/>
    <s v="Night"/>
    <s v="Cold"/>
    <s v="Medium"/>
    <s v="Off-Peak"/>
    <n v="7.6923076923076927E-2"/>
    <s v="Low"/>
    <n v="1"/>
  </r>
  <r>
    <n v="505"/>
    <x v="22"/>
    <n v="1"/>
    <n v="0"/>
    <n v="1"/>
    <n v="2"/>
    <b v="0"/>
    <n v="0"/>
    <n v="1"/>
    <n v="0.02"/>
    <n v="6.0600000000000001E-2"/>
    <n v="0.62"/>
    <n v="0.1343"/>
    <n v="3"/>
    <n v="15"/>
    <n v="18"/>
    <s v="REC-0505"/>
    <d v="2011-01-23T02:00:00"/>
    <s v="Jan"/>
    <x v="1"/>
    <x v="0"/>
    <s v="Non-Working Day"/>
    <s v="Spring"/>
    <x v="0"/>
    <s v="Night"/>
    <s v="Cold"/>
    <s v="Medium"/>
    <s v="Off-Peak"/>
    <n v="0.16666666666666666"/>
    <s v="Normal"/>
    <n v="1"/>
  </r>
  <r>
    <n v="506"/>
    <x v="22"/>
    <n v="1"/>
    <n v="0"/>
    <n v="1"/>
    <n v="3"/>
    <b v="0"/>
    <n v="0"/>
    <n v="1"/>
    <n v="0.02"/>
    <n v="6.0600000000000001E-2"/>
    <n v="0.62"/>
    <n v="0.1343"/>
    <n v="1"/>
    <n v="4"/>
    <n v="5"/>
    <s v="REC-0506"/>
    <d v="2011-01-23T03:00:00"/>
    <s v="Jan"/>
    <x v="1"/>
    <x v="0"/>
    <s v="Non-Working Day"/>
    <s v="Spring"/>
    <x v="0"/>
    <s v="Night"/>
    <s v="Cold"/>
    <s v="Medium"/>
    <s v="Off-Peak"/>
    <n v="0.2"/>
    <s v="Low"/>
    <n v="1"/>
  </r>
  <r>
    <n v="507"/>
    <x v="22"/>
    <n v="1"/>
    <n v="0"/>
    <n v="1"/>
    <n v="5"/>
    <b v="0"/>
    <n v="0"/>
    <n v="2"/>
    <n v="0.04"/>
    <n v="7.5800000000000006E-2"/>
    <n v="0.56999999999999995"/>
    <n v="0.1045"/>
    <n v="0"/>
    <n v="3"/>
    <n v="3"/>
    <s v="REC-0507"/>
    <d v="2011-01-23T05:00:00"/>
    <s v="Jan"/>
    <x v="1"/>
    <x v="0"/>
    <s v="Non-Working Day"/>
    <s v="Spring"/>
    <x v="1"/>
    <s v="Night"/>
    <s v="Cold"/>
    <s v="Medium"/>
    <s v="Off-Peak"/>
    <n v="0"/>
    <s v="Low"/>
    <n v="1"/>
  </r>
  <r>
    <n v="508"/>
    <x v="22"/>
    <n v="1"/>
    <n v="0"/>
    <n v="1"/>
    <n v="6"/>
    <b v="0"/>
    <n v="0"/>
    <n v="2"/>
    <n v="0.04"/>
    <n v="7.5800000000000006E-2"/>
    <n v="0.56999999999999995"/>
    <n v="0.1045"/>
    <n v="0"/>
    <n v="1"/>
    <n v="1"/>
    <s v="REC-0508"/>
    <d v="2011-01-23T06:00:00"/>
    <s v="Jan"/>
    <x v="1"/>
    <x v="0"/>
    <s v="Non-Working Day"/>
    <s v="Spring"/>
    <x v="1"/>
    <s v="Morning"/>
    <s v="Cold"/>
    <s v="Medium"/>
    <s v="Off-Peak"/>
    <n v="0"/>
    <s v="Low"/>
    <n v="1"/>
  </r>
  <r>
    <n v="509"/>
    <x v="22"/>
    <n v="1"/>
    <n v="0"/>
    <n v="1"/>
    <n v="7"/>
    <b v="0"/>
    <n v="0"/>
    <n v="1"/>
    <n v="0.08"/>
    <n v="0.1061"/>
    <n v="0.57999999999999996"/>
    <n v="0.16420000000000001"/>
    <n v="1"/>
    <n v="1"/>
    <n v="2"/>
    <s v="REC-0509"/>
    <d v="2011-01-23T07:00:00"/>
    <s v="Jan"/>
    <x v="1"/>
    <x v="0"/>
    <s v="Non-Working Day"/>
    <s v="Spring"/>
    <x v="0"/>
    <s v="Morning"/>
    <s v="Cold"/>
    <s v="Medium"/>
    <s v="Off-Peak"/>
    <n v="0.5"/>
    <s v="Low"/>
    <n v="1"/>
  </r>
  <r>
    <n v="510"/>
    <x v="22"/>
    <n v="1"/>
    <n v="0"/>
    <n v="1"/>
    <n v="8"/>
    <b v="0"/>
    <n v="0"/>
    <n v="1"/>
    <n v="0.06"/>
    <n v="7.5800000000000006E-2"/>
    <n v="0.62"/>
    <n v="0.16420000000000001"/>
    <n v="2"/>
    <n v="17"/>
    <n v="19"/>
    <s v="REC-0510"/>
    <d v="2011-01-23T08:00:00"/>
    <s v="Jan"/>
    <x v="1"/>
    <x v="0"/>
    <s v="Non-Working Day"/>
    <s v="Spring"/>
    <x v="0"/>
    <s v="Morning"/>
    <s v="Cold"/>
    <s v="Medium"/>
    <s v="Off-Peak"/>
    <n v="0.10526315789473684"/>
    <s v="Normal"/>
    <n v="1"/>
  </r>
  <r>
    <n v="511"/>
    <x v="22"/>
    <n v="1"/>
    <n v="0"/>
    <n v="1"/>
    <n v="9"/>
    <b v="0"/>
    <n v="0"/>
    <n v="1"/>
    <n v="0.1"/>
    <n v="7.5800000000000006E-2"/>
    <n v="0.54"/>
    <n v="0.35820000000000002"/>
    <n v="3"/>
    <n v="25"/>
    <n v="28"/>
    <s v="REC-0511"/>
    <d v="2011-01-23T09:00:00"/>
    <s v="Jan"/>
    <x v="1"/>
    <x v="0"/>
    <s v="Non-Working Day"/>
    <s v="Spring"/>
    <x v="0"/>
    <s v="Morning"/>
    <s v="Cold"/>
    <s v="Medium"/>
    <s v="Off-Peak"/>
    <n v="0.10714285714285714"/>
    <s v="Normal"/>
    <n v="1"/>
  </r>
  <r>
    <n v="512"/>
    <x v="22"/>
    <n v="1"/>
    <n v="0"/>
    <n v="1"/>
    <n v="10"/>
    <b v="0"/>
    <n v="0"/>
    <n v="1"/>
    <n v="0.14000000000000001"/>
    <n v="0.1061"/>
    <n v="0.46"/>
    <n v="0.3881"/>
    <n v="7"/>
    <n v="51"/>
    <n v="58"/>
    <s v="REC-0512"/>
    <d v="2011-01-23T10:00:00"/>
    <s v="Jan"/>
    <x v="1"/>
    <x v="0"/>
    <s v="Non-Working Day"/>
    <s v="Spring"/>
    <x v="0"/>
    <s v="Morning"/>
    <s v="Cold"/>
    <s v="Low"/>
    <s v="Off-Peak"/>
    <n v="0.1206896551724138"/>
    <s v="Normal"/>
    <n v="1"/>
  </r>
  <r>
    <n v="513"/>
    <x v="22"/>
    <n v="1"/>
    <n v="0"/>
    <n v="1"/>
    <n v="11"/>
    <b v="0"/>
    <n v="0"/>
    <n v="1"/>
    <n v="0.14000000000000001"/>
    <n v="0.13639999999999999"/>
    <n v="0.43"/>
    <n v="0.22389999999999999"/>
    <n v="22"/>
    <n v="77"/>
    <n v="99"/>
    <s v="REC-0513"/>
    <d v="2011-01-23T11:00:00"/>
    <s v="Jan"/>
    <x v="1"/>
    <x v="0"/>
    <s v="Non-Working Day"/>
    <s v="Spring"/>
    <x v="0"/>
    <s v="Morning"/>
    <s v="Cold"/>
    <s v="Low"/>
    <s v="Off-Peak"/>
    <n v="0.22222222222222221"/>
    <s v="High"/>
    <n v="1"/>
  </r>
  <r>
    <n v="514"/>
    <x v="22"/>
    <n v="1"/>
    <n v="0"/>
    <n v="1"/>
    <n v="12"/>
    <b v="0"/>
    <n v="0"/>
    <n v="1"/>
    <n v="0.16"/>
    <n v="0.1212"/>
    <n v="0.37"/>
    <n v="0.4627"/>
    <n v="24"/>
    <n v="92"/>
    <n v="116"/>
    <s v="REC-0514"/>
    <d v="2011-01-23T12:00:00"/>
    <s v="Jan"/>
    <x v="1"/>
    <x v="0"/>
    <s v="Non-Working Day"/>
    <s v="Spring"/>
    <x v="0"/>
    <s v="Afternoon"/>
    <s v="Cold"/>
    <s v="Low"/>
    <s v="Off-Peak"/>
    <n v="0.20689655172413793"/>
    <s v="High"/>
    <n v="1"/>
  </r>
  <r>
    <n v="515"/>
    <x v="22"/>
    <n v="1"/>
    <n v="0"/>
    <n v="1"/>
    <n v="13"/>
    <b v="0"/>
    <n v="0"/>
    <n v="1"/>
    <n v="0.14000000000000001"/>
    <n v="0.1061"/>
    <n v="0.33"/>
    <n v="0.3881"/>
    <n v="12"/>
    <n v="75"/>
    <n v="87"/>
    <s v="REC-0515"/>
    <d v="2011-01-23T13:00:00"/>
    <s v="Jan"/>
    <x v="1"/>
    <x v="0"/>
    <s v="Non-Working Day"/>
    <s v="Spring"/>
    <x v="0"/>
    <s v="Afternoon"/>
    <s v="Cold"/>
    <s v="Low"/>
    <s v="Off-Peak"/>
    <n v="0.13793103448275862"/>
    <s v="High"/>
    <n v="1"/>
  </r>
  <r>
    <n v="516"/>
    <x v="22"/>
    <n v="1"/>
    <n v="0"/>
    <n v="1"/>
    <n v="14"/>
    <b v="0"/>
    <n v="0"/>
    <n v="1"/>
    <n v="0.16"/>
    <n v="0.13639999999999999"/>
    <n v="0.28000000000000003"/>
    <n v="0.35820000000000002"/>
    <n v="17"/>
    <n v="93"/>
    <n v="110"/>
    <s v="REC-0516"/>
    <d v="2011-01-23T14:00:00"/>
    <s v="Jan"/>
    <x v="1"/>
    <x v="0"/>
    <s v="Non-Working Day"/>
    <s v="Spring"/>
    <x v="0"/>
    <s v="Afternoon"/>
    <s v="Cold"/>
    <s v="Low"/>
    <s v="Off-Peak"/>
    <n v="0.15454545454545454"/>
    <s v="High"/>
    <n v="1"/>
  </r>
  <r>
    <n v="517"/>
    <x v="22"/>
    <n v="1"/>
    <n v="0"/>
    <n v="1"/>
    <n v="15"/>
    <b v="0"/>
    <n v="0"/>
    <n v="1"/>
    <n v="0.16"/>
    <n v="0.13639999999999999"/>
    <n v="0.28000000000000003"/>
    <n v="0.35820000000000002"/>
    <n v="13"/>
    <n v="64"/>
    <n v="77"/>
    <s v="REC-0517"/>
    <d v="2011-01-23T15:00:00"/>
    <s v="Jan"/>
    <x v="1"/>
    <x v="0"/>
    <s v="Non-Working Day"/>
    <s v="Spring"/>
    <x v="0"/>
    <s v="Afternoon"/>
    <s v="Cold"/>
    <s v="Low"/>
    <s v="Off-Peak"/>
    <n v="0.16883116883116883"/>
    <s v="Normal"/>
    <n v="1"/>
  </r>
  <r>
    <n v="518"/>
    <x v="22"/>
    <n v="1"/>
    <n v="0"/>
    <n v="1"/>
    <n v="16"/>
    <b v="0"/>
    <n v="0"/>
    <n v="1"/>
    <n v="0.16"/>
    <n v="0.13639999999999999"/>
    <n v="0.26"/>
    <n v="0.32840000000000003"/>
    <n v="9"/>
    <n v="56"/>
    <n v="65"/>
    <s v="REC-0518"/>
    <d v="2011-01-23T16:00:00"/>
    <s v="Jan"/>
    <x v="1"/>
    <x v="0"/>
    <s v="Non-Working Day"/>
    <s v="Spring"/>
    <x v="0"/>
    <s v="Afternoon"/>
    <s v="Cold"/>
    <s v="Low"/>
    <s v="Off-Peak"/>
    <n v="0.13846153846153847"/>
    <s v="Normal"/>
    <n v="1"/>
  </r>
  <r>
    <n v="519"/>
    <x v="22"/>
    <n v="1"/>
    <n v="0"/>
    <n v="1"/>
    <n v="17"/>
    <b v="0"/>
    <n v="0"/>
    <n v="1"/>
    <n v="0.14000000000000001"/>
    <n v="0.1061"/>
    <n v="0.26"/>
    <n v="0.3881"/>
    <n v="5"/>
    <n v="50"/>
    <n v="55"/>
    <s v="REC-0519"/>
    <d v="2011-01-23T17:00:00"/>
    <s v="Jan"/>
    <x v="1"/>
    <x v="0"/>
    <s v="Non-Working Day"/>
    <s v="Spring"/>
    <x v="0"/>
    <s v="Evening"/>
    <s v="Cold"/>
    <s v="Low"/>
    <s v="Off-Peak"/>
    <n v="9.0909090909090912E-2"/>
    <s v="Normal"/>
    <n v="1"/>
  </r>
  <r>
    <n v="520"/>
    <x v="22"/>
    <n v="1"/>
    <n v="0"/>
    <n v="1"/>
    <n v="18"/>
    <b v="0"/>
    <n v="0"/>
    <n v="1"/>
    <n v="0.12"/>
    <n v="0.1212"/>
    <n v="0.3"/>
    <n v="0.25369999999999998"/>
    <n v="5"/>
    <n v="44"/>
    <n v="49"/>
    <s v="REC-0520"/>
    <d v="2011-01-23T18:00:00"/>
    <s v="Jan"/>
    <x v="1"/>
    <x v="0"/>
    <s v="Non-Working Day"/>
    <s v="Spring"/>
    <x v="0"/>
    <s v="Evening"/>
    <s v="Cold"/>
    <s v="Low"/>
    <s v="Off-Peak"/>
    <n v="0.10204081632653061"/>
    <s v="Normal"/>
    <n v="1"/>
  </r>
  <r>
    <n v="521"/>
    <x v="22"/>
    <n v="1"/>
    <n v="0"/>
    <n v="1"/>
    <n v="19"/>
    <b v="0"/>
    <n v="0"/>
    <n v="1"/>
    <n v="0.12"/>
    <n v="0.1212"/>
    <n v="0.3"/>
    <n v="0.28360000000000002"/>
    <n v="5"/>
    <n v="45"/>
    <n v="50"/>
    <s v="REC-0521"/>
    <d v="2011-01-23T19:00:00"/>
    <s v="Jan"/>
    <x v="1"/>
    <x v="0"/>
    <s v="Non-Working Day"/>
    <s v="Spring"/>
    <x v="0"/>
    <s v="Evening"/>
    <s v="Cold"/>
    <s v="Low"/>
    <s v="Off-Peak"/>
    <n v="0.1"/>
    <s v="Normal"/>
    <n v="1"/>
  </r>
  <r>
    <n v="522"/>
    <x v="22"/>
    <n v="1"/>
    <n v="0"/>
    <n v="1"/>
    <n v="20"/>
    <b v="0"/>
    <n v="0"/>
    <n v="1"/>
    <n v="0.1"/>
    <n v="0.1061"/>
    <n v="0.36"/>
    <n v="0.25369999999999998"/>
    <n v="4"/>
    <n v="31"/>
    <n v="35"/>
    <s v="REC-0522"/>
    <d v="2011-01-23T20:00:00"/>
    <s v="Jan"/>
    <x v="1"/>
    <x v="0"/>
    <s v="Non-Working Day"/>
    <s v="Spring"/>
    <x v="0"/>
    <s v="Evening"/>
    <s v="Cold"/>
    <s v="Low"/>
    <s v="Off-Peak"/>
    <n v="0.11428571428571428"/>
    <s v="Normal"/>
    <n v="1"/>
  </r>
  <r>
    <n v="523"/>
    <x v="22"/>
    <n v="1"/>
    <n v="0"/>
    <n v="1"/>
    <n v="21"/>
    <b v="0"/>
    <n v="0"/>
    <n v="1"/>
    <n v="0.1"/>
    <n v="0.1061"/>
    <n v="0.36"/>
    <n v="0.19400000000000001"/>
    <n v="5"/>
    <n v="20"/>
    <n v="25"/>
    <s v="REC-0523"/>
    <d v="2011-01-23T21:00:00"/>
    <s v="Jan"/>
    <x v="1"/>
    <x v="0"/>
    <s v="Non-Working Day"/>
    <s v="Spring"/>
    <x v="0"/>
    <s v="Late Evening"/>
    <s v="Cold"/>
    <s v="Low"/>
    <s v="Off-Peak"/>
    <n v="0.2"/>
    <s v="Normal"/>
    <n v="1"/>
  </r>
  <r>
    <n v="524"/>
    <x v="22"/>
    <n v="1"/>
    <n v="0"/>
    <n v="1"/>
    <n v="22"/>
    <b v="0"/>
    <n v="0"/>
    <n v="1"/>
    <n v="0.08"/>
    <n v="9.0899999999999995E-2"/>
    <n v="0.38"/>
    <n v="0.19400000000000001"/>
    <n v="5"/>
    <n v="23"/>
    <n v="28"/>
    <s v="REC-0524"/>
    <d v="2011-01-23T22:00:00"/>
    <s v="Jan"/>
    <x v="1"/>
    <x v="0"/>
    <s v="Non-Working Day"/>
    <s v="Spring"/>
    <x v="0"/>
    <s v="Late Evening"/>
    <s v="Cold"/>
    <s v="Low"/>
    <s v="Off-Peak"/>
    <n v="0.17857142857142858"/>
    <s v="Normal"/>
    <n v="1"/>
  </r>
  <r>
    <n v="525"/>
    <x v="22"/>
    <n v="1"/>
    <n v="0"/>
    <n v="1"/>
    <n v="23"/>
    <b v="0"/>
    <n v="0"/>
    <n v="1"/>
    <n v="0.06"/>
    <n v="6.0600000000000001E-2"/>
    <n v="0.41"/>
    <n v="0.22389999999999999"/>
    <n v="4"/>
    <n v="17"/>
    <n v="21"/>
    <s v="REC-0525"/>
    <d v="2011-01-23T23:00:00"/>
    <s v="Jan"/>
    <x v="1"/>
    <x v="0"/>
    <s v="Non-Working Day"/>
    <s v="Spring"/>
    <x v="0"/>
    <s v="Late Evening"/>
    <s v="Cold"/>
    <s v="Low"/>
    <s v="Off-Peak"/>
    <n v="0.19047619047619047"/>
    <s v="Normal"/>
    <n v="1"/>
  </r>
  <r>
    <n v="526"/>
    <x v="23"/>
    <n v="1"/>
    <n v="0"/>
    <n v="1"/>
    <n v="0"/>
    <b v="0"/>
    <n v="1"/>
    <n v="1"/>
    <n v="0.06"/>
    <n v="6.0600000000000001E-2"/>
    <n v="0.41"/>
    <n v="0.19400000000000001"/>
    <n v="0"/>
    <n v="7"/>
    <n v="7"/>
    <s v="REC-0526"/>
    <d v="2011-01-24T00:00:00"/>
    <s v="Jan"/>
    <x v="2"/>
    <x v="1"/>
    <s v="Working Day"/>
    <s v="Spring"/>
    <x v="0"/>
    <s v="Night"/>
    <s v="Cold"/>
    <s v="Low"/>
    <s v="Off-Peak"/>
    <n v="0"/>
    <s v="Low"/>
    <n v="1"/>
  </r>
  <r>
    <n v="527"/>
    <x v="23"/>
    <n v="1"/>
    <n v="0"/>
    <n v="1"/>
    <n v="1"/>
    <b v="0"/>
    <n v="1"/>
    <n v="1"/>
    <n v="0.04"/>
    <n v="4.5499999999999999E-2"/>
    <n v="0.45"/>
    <n v="0.19400000000000001"/>
    <n v="0"/>
    <n v="1"/>
    <n v="1"/>
    <s v="REC-0527"/>
    <d v="2011-01-24T01:00:00"/>
    <s v="Jan"/>
    <x v="2"/>
    <x v="1"/>
    <s v="Working Day"/>
    <s v="Spring"/>
    <x v="0"/>
    <s v="Night"/>
    <s v="Cold"/>
    <s v="Low"/>
    <s v="Off-Peak"/>
    <n v="0"/>
    <s v="Low"/>
    <n v="1"/>
  </r>
  <r>
    <n v="528"/>
    <x v="23"/>
    <n v="1"/>
    <n v="0"/>
    <n v="1"/>
    <n v="3"/>
    <b v="0"/>
    <n v="1"/>
    <n v="1"/>
    <n v="0.04"/>
    <n v="3.0300000000000001E-2"/>
    <n v="0.45"/>
    <n v="0.25369999999999998"/>
    <n v="0"/>
    <n v="1"/>
    <n v="1"/>
    <s v="REC-0528"/>
    <d v="2011-01-24T03:00:00"/>
    <s v="Jan"/>
    <x v="2"/>
    <x v="1"/>
    <s v="Working Day"/>
    <s v="Spring"/>
    <x v="0"/>
    <s v="Night"/>
    <s v="Cold"/>
    <s v="Low"/>
    <s v="Off-Peak"/>
    <n v="0"/>
    <s v="Low"/>
    <n v="1"/>
  </r>
  <r>
    <n v="529"/>
    <x v="23"/>
    <n v="1"/>
    <n v="0"/>
    <n v="1"/>
    <n v="4"/>
    <b v="0"/>
    <n v="1"/>
    <n v="1"/>
    <n v="0.02"/>
    <n v="6.0600000000000001E-2"/>
    <n v="0.48"/>
    <n v="0.1343"/>
    <n v="0"/>
    <n v="1"/>
    <n v="1"/>
    <s v="REC-0529"/>
    <d v="2011-01-24T04:00:00"/>
    <s v="Jan"/>
    <x v="2"/>
    <x v="1"/>
    <s v="Working Day"/>
    <s v="Spring"/>
    <x v="0"/>
    <s v="Night"/>
    <s v="Cold"/>
    <s v="Low"/>
    <s v="Off-Peak"/>
    <n v="0"/>
    <s v="Low"/>
    <n v="1"/>
  </r>
  <r>
    <n v="530"/>
    <x v="23"/>
    <n v="1"/>
    <n v="0"/>
    <n v="1"/>
    <n v="5"/>
    <b v="0"/>
    <n v="1"/>
    <n v="1"/>
    <n v="0.02"/>
    <n v="6.0600000000000001E-2"/>
    <n v="0.48"/>
    <n v="0.1343"/>
    <n v="0"/>
    <n v="5"/>
    <n v="5"/>
    <s v="REC-0530"/>
    <d v="2011-01-24T05:00:00"/>
    <s v="Jan"/>
    <x v="2"/>
    <x v="1"/>
    <s v="Working Day"/>
    <s v="Spring"/>
    <x v="0"/>
    <s v="Night"/>
    <s v="Cold"/>
    <s v="Low"/>
    <s v="Off-Peak"/>
    <n v="0"/>
    <s v="Low"/>
    <n v="1"/>
  </r>
  <r>
    <n v="531"/>
    <x v="23"/>
    <n v="1"/>
    <n v="0"/>
    <n v="1"/>
    <n v="6"/>
    <b v="0"/>
    <n v="1"/>
    <n v="1"/>
    <n v="0.02"/>
    <n v="7.5800000000000006E-2"/>
    <n v="0.48"/>
    <n v="8.9599999999999999E-2"/>
    <n v="0"/>
    <n v="15"/>
    <n v="15"/>
    <s v="REC-0531"/>
    <d v="2011-01-24T06:00:00"/>
    <s v="Jan"/>
    <x v="2"/>
    <x v="1"/>
    <s v="Working Day"/>
    <s v="Spring"/>
    <x v="0"/>
    <s v="Morning"/>
    <s v="Cold"/>
    <s v="Low"/>
    <s v="Off-Peak"/>
    <n v="0"/>
    <s v="Low"/>
    <n v="1"/>
  </r>
  <r>
    <n v="532"/>
    <x v="23"/>
    <n v="1"/>
    <n v="0"/>
    <n v="1"/>
    <n v="7"/>
    <b v="0"/>
    <n v="1"/>
    <n v="1"/>
    <n v="0.02"/>
    <n v="0.1212"/>
    <n v="0.48"/>
    <n v="0"/>
    <n v="5"/>
    <n v="79"/>
    <n v="84"/>
    <s v="REC-0532"/>
    <d v="2011-01-24T07:00:00"/>
    <s v="Jan"/>
    <x v="2"/>
    <x v="1"/>
    <s v="Working Day"/>
    <s v="Spring"/>
    <x v="0"/>
    <s v="Morning"/>
    <s v="Cold"/>
    <s v="Low"/>
    <s v="Peak"/>
    <n v="5.9523809523809521E-2"/>
    <s v="High"/>
    <n v="1"/>
  </r>
  <r>
    <n v="533"/>
    <x v="23"/>
    <n v="1"/>
    <n v="0"/>
    <n v="1"/>
    <n v="8"/>
    <b v="0"/>
    <n v="1"/>
    <n v="1"/>
    <n v="0.04"/>
    <n v="0.13639999999999999"/>
    <n v="0.49"/>
    <n v="0"/>
    <n v="6"/>
    <n v="171"/>
    <n v="177"/>
    <s v="REC-0533"/>
    <d v="2011-01-24T08:00:00"/>
    <s v="Jan"/>
    <x v="2"/>
    <x v="1"/>
    <s v="Working Day"/>
    <s v="Spring"/>
    <x v="0"/>
    <s v="Morning"/>
    <s v="Cold"/>
    <s v="Low"/>
    <s v="Peak"/>
    <n v="3.3898305084745763E-2"/>
    <s v="High"/>
    <n v="1"/>
  </r>
  <r>
    <n v="534"/>
    <x v="23"/>
    <n v="1"/>
    <n v="0"/>
    <n v="1"/>
    <n v="9"/>
    <b v="0"/>
    <n v="1"/>
    <n v="1"/>
    <n v="0.06"/>
    <n v="0.1515"/>
    <n v="0.41"/>
    <n v="0"/>
    <n v="4"/>
    <n v="98"/>
    <n v="102"/>
    <s v="REC-0534"/>
    <d v="2011-01-24T09:00:00"/>
    <s v="Jan"/>
    <x v="2"/>
    <x v="1"/>
    <s v="Working Day"/>
    <s v="Spring"/>
    <x v="0"/>
    <s v="Morning"/>
    <s v="Cold"/>
    <s v="Low"/>
    <s v="Peak"/>
    <n v="3.9215686274509803E-2"/>
    <s v="High"/>
    <n v="1"/>
  </r>
  <r>
    <n v="535"/>
    <x v="23"/>
    <n v="1"/>
    <n v="0"/>
    <n v="1"/>
    <n v="10"/>
    <b v="0"/>
    <n v="1"/>
    <n v="1"/>
    <n v="0.1"/>
    <n v="0.13639999999999999"/>
    <n v="0.42"/>
    <n v="0"/>
    <n v="6"/>
    <n v="34"/>
    <n v="40"/>
    <s v="REC-0535"/>
    <d v="2011-01-24T10:00:00"/>
    <s v="Jan"/>
    <x v="2"/>
    <x v="1"/>
    <s v="Working Day"/>
    <s v="Spring"/>
    <x v="0"/>
    <s v="Morning"/>
    <s v="Cold"/>
    <s v="Low"/>
    <s v="Off-Peak"/>
    <n v="0.15"/>
    <s v="Normal"/>
    <n v="1"/>
  </r>
  <r>
    <n v="536"/>
    <x v="23"/>
    <n v="1"/>
    <n v="0"/>
    <n v="1"/>
    <n v="11"/>
    <b v="0"/>
    <n v="1"/>
    <n v="1"/>
    <n v="0.1"/>
    <n v="0.1212"/>
    <n v="0.46"/>
    <n v="0.1343"/>
    <n v="3"/>
    <n v="43"/>
    <n v="46"/>
    <s v="REC-0536"/>
    <d v="2011-01-24T11:00:00"/>
    <s v="Jan"/>
    <x v="2"/>
    <x v="1"/>
    <s v="Working Day"/>
    <s v="Spring"/>
    <x v="0"/>
    <s v="Morning"/>
    <s v="Cold"/>
    <s v="Low"/>
    <s v="Off-Peak"/>
    <n v="6.5217391304347824E-2"/>
    <s v="Normal"/>
    <n v="1"/>
  </r>
  <r>
    <n v="537"/>
    <x v="23"/>
    <n v="1"/>
    <n v="0"/>
    <n v="1"/>
    <n v="12"/>
    <b v="0"/>
    <n v="1"/>
    <n v="2"/>
    <n v="0.12"/>
    <n v="0.13639999999999999"/>
    <n v="0.42"/>
    <n v="0.19400000000000001"/>
    <n v="11"/>
    <n v="52"/>
    <n v="63"/>
    <s v="REC-0537"/>
    <d v="2011-01-24T12:00:00"/>
    <s v="Jan"/>
    <x v="2"/>
    <x v="1"/>
    <s v="Working Day"/>
    <s v="Spring"/>
    <x v="1"/>
    <s v="Afternoon"/>
    <s v="Cold"/>
    <s v="Low"/>
    <s v="Off-Peak"/>
    <n v="0.17460317460317459"/>
    <s v="Normal"/>
    <n v="1"/>
  </r>
  <r>
    <n v="538"/>
    <x v="23"/>
    <n v="1"/>
    <n v="0"/>
    <n v="1"/>
    <n v="13"/>
    <b v="0"/>
    <n v="1"/>
    <n v="2"/>
    <n v="0.14000000000000001"/>
    <n v="0.13639999999999999"/>
    <n v="0.43"/>
    <n v="0.22389999999999999"/>
    <n v="6"/>
    <n v="54"/>
    <n v="60"/>
    <s v="REC-0538"/>
    <d v="2011-01-24T13:00:00"/>
    <s v="Jan"/>
    <x v="2"/>
    <x v="1"/>
    <s v="Working Day"/>
    <s v="Spring"/>
    <x v="1"/>
    <s v="Afternoon"/>
    <s v="Cold"/>
    <s v="Low"/>
    <s v="Off-Peak"/>
    <n v="0.1"/>
    <s v="Normal"/>
    <n v="1"/>
  </r>
  <r>
    <n v="539"/>
    <x v="23"/>
    <n v="1"/>
    <n v="0"/>
    <n v="1"/>
    <n v="14"/>
    <b v="0"/>
    <n v="1"/>
    <n v="2"/>
    <n v="0.14000000000000001"/>
    <n v="0.13639999999999999"/>
    <n v="0.46"/>
    <n v="0.22389999999999999"/>
    <n v="2"/>
    <n v="43"/>
    <n v="45"/>
    <s v="REC-0539"/>
    <d v="2011-01-24T14:00:00"/>
    <s v="Jan"/>
    <x v="2"/>
    <x v="1"/>
    <s v="Working Day"/>
    <s v="Spring"/>
    <x v="1"/>
    <s v="Afternoon"/>
    <s v="Cold"/>
    <s v="Low"/>
    <s v="Off-Peak"/>
    <n v="4.4444444444444446E-2"/>
    <s v="Normal"/>
    <n v="1"/>
  </r>
  <r>
    <n v="540"/>
    <x v="23"/>
    <n v="1"/>
    <n v="0"/>
    <n v="1"/>
    <n v="15"/>
    <b v="0"/>
    <n v="1"/>
    <n v="1"/>
    <n v="0.16"/>
    <n v="0.16669999999999999"/>
    <n v="0.4"/>
    <n v="0.16420000000000001"/>
    <n v="7"/>
    <n v="50"/>
    <n v="57"/>
    <s v="REC-0540"/>
    <d v="2011-01-24T15:00:00"/>
    <s v="Jan"/>
    <x v="2"/>
    <x v="1"/>
    <s v="Working Day"/>
    <s v="Spring"/>
    <x v="0"/>
    <s v="Afternoon"/>
    <s v="Cold"/>
    <s v="Low"/>
    <s v="Off-Peak"/>
    <n v="0.12280701754385964"/>
    <s v="Normal"/>
    <n v="1"/>
  </r>
  <r>
    <n v="541"/>
    <x v="23"/>
    <n v="1"/>
    <n v="0"/>
    <n v="1"/>
    <n v="16"/>
    <b v="0"/>
    <n v="1"/>
    <n v="1"/>
    <n v="0.16"/>
    <n v="0.1515"/>
    <n v="0.47"/>
    <n v="0.25369999999999998"/>
    <n v="4"/>
    <n v="66"/>
    <n v="70"/>
    <s v="REC-0541"/>
    <d v="2011-01-24T16:00:00"/>
    <s v="Jan"/>
    <x v="2"/>
    <x v="1"/>
    <s v="Working Day"/>
    <s v="Spring"/>
    <x v="0"/>
    <s v="Afternoon"/>
    <s v="Cold"/>
    <s v="Low"/>
    <s v="Peak"/>
    <n v="5.7142857142857141E-2"/>
    <s v="Normal"/>
    <n v="1"/>
  </r>
  <r>
    <n v="542"/>
    <x v="23"/>
    <n v="1"/>
    <n v="0"/>
    <n v="1"/>
    <n v="17"/>
    <b v="0"/>
    <n v="1"/>
    <n v="1"/>
    <n v="0.14000000000000001"/>
    <n v="0.1212"/>
    <n v="0.5"/>
    <n v="0.25369999999999998"/>
    <n v="6"/>
    <n v="178"/>
    <n v="184"/>
    <s v="REC-0542"/>
    <d v="2011-01-24T17:00:00"/>
    <s v="Jan"/>
    <x v="2"/>
    <x v="1"/>
    <s v="Working Day"/>
    <s v="Spring"/>
    <x v="0"/>
    <s v="Evening"/>
    <s v="Cold"/>
    <s v="Medium"/>
    <s v="Peak"/>
    <n v="3.2608695652173912E-2"/>
    <s v="High"/>
    <n v="1"/>
  </r>
  <r>
    <n v="543"/>
    <x v="23"/>
    <n v="1"/>
    <n v="0"/>
    <n v="1"/>
    <n v="18"/>
    <b v="0"/>
    <n v="1"/>
    <n v="1"/>
    <n v="0.14000000000000001"/>
    <n v="0.13639999999999999"/>
    <n v="0.59"/>
    <n v="0.19400000000000001"/>
    <n v="8"/>
    <n v="145"/>
    <n v="153"/>
    <s v="REC-0543"/>
    <d v="2011-01-24T18:00:00"/>
    <s v="Jan"/>
    <x v="2"/>
    <x v="1"/>
    <s v="Working Day"/>
    <s v="Spring"/>
    <x v="0"/>
    <s v="Evening"/>
    <s v="Cold"/>
    <s v="Medium"/>
    <s v="Peak"/>
    <n v="5.2287581699346407E-2"/>
    <s v="High"/>
    <n v="1"/>
  </r>
  <r>
    <n v="544"/>
    <x v="23"/>
    <n v="1"/>
    <n v="0"/>
    <n v="1"/>
    <n v="19"/>
    <b v="0"/>
    <n v="1"/>
    <n v="1"/>
    <n v="0.14000000000000001"/>
    <n v="0.1515"/>
    <n v="0.54"/>
    <n v="0.16420000000000001"/>
    <n v="5"/>
    <n v="101"/>
    <n v="106"/>
    <s v="REC-0544"/>
    <d v="2011-01-24T19:00:00"/>
    <s v="Jan"/>
    <x v="2"/>
    <x v="1"/>
    <s v="Working Day"/>
    <s v="Spring"/>
    <x v="0"/>
    <s v="Evening"/>
    <s v="Cold"/>
    <s v="Medium"/>
    <s v="Peak"/>
    <n v="4.716981132075472E-2"/>
    <s v="High"/>
    <n v="1"/>
  </r>
  <r>
    <n v="545"/>
    <x v="23"/>
    <n v="1"/>
    <n v="0"/>
    <n v="1"/>
    <n v="20"/>
    <b v="0"/>
    <n v="1"/>
    <n v="1"/>
    <n v="0.14000000000000001"/>
    <n v="0.13639999999999999"/>
    <n v="0.59"/>
    <n v="0.19400000000000001"/>
    <n v="1"/>
    <n v="80"/>
    <n v="81"/>
    <s v="REC-0545"/>
    <d v="2011-01-24T20:00:00"/>
    <s v="Jan"/>
    <x v="2"/>
    <x v="1"/>
    <s v="Working Day"/>
    <s v="Spring"/>
    <x v="0"/>
    <s v="Evening"/>
    <s v="Cold"/>
    <s v="Medium"/>
    <s v="Off-Peak"/>
    <n v="1.2345679012345678E-2"/>
    <s v="Normal"/>
    <n v="1"/>
  </r>
  <r>
    <n v="546"/>
    <x v="23"/>
    <n v="1"/>
    <n v="0"/>
    <n v="1"/>
    <n v="21"/>
    <b v="0"/>
    <n v="1"/>
    <n v="1"/>
    <n v="0.14000000000000001"/>
    <n v="0.1515"/>
    <n v="0.63"/>
    <n v="0.16420000000000001"/>
    <n v="6"/>
    <n v="53"/>
    <n v="59"/>
    <s v="REC-0546"/>
    <d v="2011-01-24T21:00:00"/>
    <s v="Jan"/>
    <x v="2"/>
    <x v="1"/>
    <s v="Working Day"/>
    <s v="Spring"/>
    <x v="0"/>
    <s v="Late Evening"/>
    <s v="Cold"/>
    <s v="Medium"/>
    <s v="Off-Peak"/>
    <n v="0.10169491525423729"/>
    <s v="Normal"/>
    <n v="1"/>
  </r>
  <r>
    <n v="547"/>
    <x v="23"/>
    <n v="1"/>
    <n v="0"/>
    <n v="1"/>
    <n v="22"/>
    <b v="0"/>
    <n v="1"/>
    <n v="2"/>
    <n v="0.14000000000000001"/>
    <n v="0.13639999999999999"/>
    <n v="0.63"/>
    <n v="0.22389999999999999"/>
    <n v="3"/>
    <n v="32"/>
    <n v="35"/>
    <s v="REC-0547"/>
    <d v="2011-01-24T22:00:00"/>
    <s v="Jan"/>
    <x v="2"/>
    <x v="1"/>
    <s v="Working Day"/>
    <s v="Spring"/>
    <x v="1"/>
    <s v="Late Evening"/>
    <s v="Cold"/>
    <s v="Medium"/>
    <s v="Off-Peak"/>
    <n v="8.5714285714285715E-2"/>
    <s v="Normal"/>
    <n v="1"/>
  </r>
  <r>
    <n v="548"/>
    <x v="23"/>
    <n v="1"/>
    <n v="0"/>
    <n v="1"/>
    <n v="23"/>
    <b v="0"/>
    <n v="1"/>
    <n v="2"/>
    <n v="0.16"/>
    <n v="0.1515"/>
    <n v="0.64"/>
    <n v="0.25369999999999998"/>
    <n v="3"/>
    <n v="21"/>
    <n v="24"/>
    <s v="REC-0548"/>
    <d v="2011-01-24T23:00:00"/>
    <s v="Jan"/>
    <x v="2"/>
    <x v="1"/>
    <s v="Working Day"/>
    <s v="Spring"/>
    <x v="1"/>
    <s v="Late Evening"/>
    <s v="Cold"/>
    <s v="Medium"/>
    <s v="Off-Peak"/>
    <n v="0.125"/>
    <s v="Normal"/>
    <n v="1"/>
  </r>
  <r>
    <n v="549"/>
    <x v="24"/>
    <n v="1"/>
    <n v="0"/>
    <n v="1"/>
    <n v="0"/>
    <b v="0"/>
    <n v="2"/>
    <n v="2"/>
    <n v="0.16"/>
    <n v="0.13639999999999999"/>
    <n v="0.69"/>
    <n v="0.28360000000000002"/>
    <n v="3"/>
    <n v="6"/>
    <n v="9"/>
    <s v="REC-0549"/>
    <d v="2011-01-25T00:00:00"/>
    <s v="Jan"/>
    <x v="3"/>
    <x v="1"/>
    <s v="Working Day"/>
    <s v="Spring"/>
    <x v="1"/>
    <s v="Night"/>
    <s v="Cold"/>
    <s v="Medium"/>
    <s v="Off-Peak"/>
    <n v="0.33333333333333331"/>
    <s v="Low"/>
    <n v="1"/>
  </r>
  <r>
    <n v="550"/>
    <x v="24"/>
    <n v="1"/>
    <n v="0"/>
    <n v="1"/>
    <n v="1"/>
    <b v="0"/>
    <n v="2"/>
    <n v="2"/>
    <n v="0.16"/>
    <n v="0.16669999999999999"/>
    <n v="0.69"/>
    <n v="0.16420000000000001"/>
    <n v="0"/>
    <n v="5"/>
    <n v="5"/>
    <s v="REC-0550"/>
    <d v="2011-01-25T01:00:00"/>
    <s v="Jan"/>
    <x v="3"/>
    <x v="1"/>
    <s v="Working Day"/>
    <s v="Spring"/>
    <x v="1"/>
    <s v="Night"/>
    <s v="Cold"/>
    <s v="Medium"/>
    <s v="Off-Peak"/>
    <n v="0"/>
    <s v="Low"/>
    <n v="1"/>
  </r>
  <r>
    <n v="551"/>
    <x v="24"/>
    <n v="1"/>
    <n v="0"/>
    <n v="1"/>
    <n v="2"/>
    <b v="0"/>
    <n v="2"/>
    <n v="1"/>
    <n v="0.16"/>
    <n v="0.1515"/>
    <n v="0.69"/>
    <n v="0.22389999999999999"/>
    <n v="0"/>
    <n v="2"/>
    <n v="2"/>
    <s v="REC-0551"/>
    <d v="2011-01-25T02:00:00"/>
    <s v="Jan"/>
    <x v="3"/>
    <x v="1"/>
    <s v="Working Day"/>
    <s v="Spring"/>
    <x v="0"/>
    <s v="Night"/>
    <s v="Cold"/>
    <s v="Medium"/>
    <s v="Off-Peak"/>
    <n v="0"/>
    <s v="Low"/>
    <n v="1"/>
  </r>
  <r>
    <n v="552"/>
    <x v="24"/>
    <n v="1"/>
    <n v="0"/>
    <n v="1"/>
    <n v="4"/>
    <b v="0"/>
    <n v="2"/>
    <n v="1"/>
    <n v="0.14000000000000001"/>
    <n v="0.16669999999999999"/>
    <n v="0.74"/>
    <n v="0.1045"/>
    <n v="0"/>
    <n v="1"/>
    <n v="1"/>
    <s v="REC-0552"/>
    <d v="2011-01-25T04:00:00"/>
    <s v="Jan"/>
    <x v="3"/>
    <x v="1"/>
    <s v="Working Day"/>
    <s v="Spring"/>
    <x v="0"/>
    <s v="Night"/>
    <s v="Cold"/>
    <s v="Medium"/>
    <s v="Off-Peak"/>
    <n v="0"/>
    <s v="Low"/>
    <n v="1"/>
  </r>
  <r>
    <n v="553"/>
    <x v="24"/>
    <n v="1"/>
    <n v="0"/>
    <n v="1"/>
    <n v="5"/>
    <b v="0"/>
    <n v="2"/>
    <n v="1"/>
    <n v="0.14000000000000001"/>
    <n v="0.13639999999999999"/>
    <n v="0.74"/>
    <n v="0.22389999999999999"/>
    <n v="0"/>
    <n v="9"/>
    <n v="9"/>
    <s v="REC-0553"/>
    <d v="2011-01-25T05:00:00"/>
    <s v="Jan"/>
    <x v="3"/>
    <x v="1"/>
    <s v="Working Day"/>
    <s v="Spring"/>
    <x v="0"/>
    <s v="Night"/>
    <s v="Cold"/>
    <s v="Medium"/>
    <s v="Off-Peak"/>
    <n v="0"/>
    <s v="Low"/>
    <n v="1"/>
  </r>
  <r>
    <n v="554"/>
    <x v="24"/>
    <n v="1"/>
    <n v="0"/>
    <n v="1"/>
    <n v="6"/>
    <b v="0"/>
    <n v="2"/>
    <n v="1"/>
    <n v="0.16"/>
    <n v="0.18179999999999999"/>
    <n v="0.74"/>
    <n v="0.1045"/>
    <n v="1"/>
    <n v="35"/>
    <n v="36"/>
    <s v="REC-0554"/>
    <d v="2011-01-25T06:00:00"/>
    <s v="Jan"/>
    <x v="3"/>
    <x v="1"/>
    <s v="Working Day"/>
    <s v="Spring"/>
    <x v="0"/>
    <s v="Morning"/>
    <s v="Cold"/>
    <s v="Medium"/>
    <s v="Off-Peak"/>
    <n v="2.7777777777777776E-2"/>
    <s v="Normal"/>
    <n v="1"/>
  </r>
  <r>
    <n v="555"/>
    <x v="24"/>
    <n v="1"/>
    <n v="0"/>
    <n v="1"/>
    <n v="7"/>
    <b v="0"/>
    <n v="2"/>
    <n v="1"/>
    <n v="0.16"/>
    <n v="0.1515"/>
    <n v="0.74"/>
    <n v="0.22389999999999999"/>
    <n v="5"/>
    <n v="103"/>
    <n v="108"/>
    <s v="REC-0555"/>
    <d v="2011-01-25T07:00:00"/>
    <s v="Jan"/>
    <x v="3"/>
    <x v="1"/>
    <s v="Working Day"/>
    <s v="Spring"/>
    <x v="0"/>
    <s v="Morning"/>
    <s v="Cold"/>
    <s v="Medium"/>
    <s v="Peak"/>
    <n v="4.6296296296296294E-2"/>
    <s v="High"/>
    <n v="1"/>
  </r>
  <r>
    <n v="556"/>
    <x v="24"/>
    <n v="1"/>
    <n v="0"/>
    <n v="1"/>
    <n v="8"/>
    <b v="0"/>
    <n v="2"/>
    <n v="2"/>
    <n v="0.16"/>
    <n v="0.18179999999999999"/>
    <n v="0.74"/>
    <n v="0.1343"/>
    <n v="5"/>
    <n v="233"/>
    <n v="238"/>
    <s v="REC-0556"/>
    <d v="2011-01-25T08:00:00"/>
    <s v="Jan"/>
    <x v="3"/>
    <x v="1"/>
    <s v="Working Day"/>
    <s v="Spring"/>
    <x v="1"/>
    <s v="Morning"/>
    <s v="Cold"/>
    <s v="Medium"/>
    <s v="Peak"/>
    <n v="2.100840336134454E-2"/>
    <s v="High"/>
    <n v="1"/>
  </r>
  <r>
    <n v="557"/>
    <x v="24"/>
    <n v="1"/>
    <n v="0"/>
    <n v="1"/>
    <n v="9"/>
    <b v="0"/>
    <n v="2"/>
    <n v="2"/>
    <n v="0.2"/>
    <n v="0.2273"/>
    <n v="0.64"/>
    <n v="8.9599999999999999E-2"/>
    <n v="10"/>
    <n v="134"/>
    <n v="144"/>
    <s v="REC-0557"/>
    <d v="2011-01-25T09:00:00"/>
    <s v="Jan"/>
    <x v="3"/>
    <x v="1"/>
    <s v="Working Day"/>
    <s v="Spring"/>
    <x v="1"/>
    <s v="Morning"/>
    <s v="Mild"/>
    <s v="Medium"/>
    <s v="Peak"/>
    <n v="6.9444444444444448E-2"/>
    <s v="High"/>
    <n v="1"/>
  </r>
  <r>
    <n v="558"/>
    <x v="24"/>
    <n v="1"/>
    <n v="0"/>
    <n v="1"/>
    <n v="10"/>
    <b v="0"/>
    <n v="2"/>
    <n v="2"/>
    <n v="0.22"/>
    <n v="0.2424"/>
    <n v="0.6"/>
    <n v="0.1045"/>
    <n v="6"/>
    <n v="49"/>
    <n v="55"/>
    <s v="REC-0558"/>
    <d v="2011-01-25T10:00:00"/>
    <s v="Jan"/>
    <x v="3"/>
    <x v="1"/>
    <s v="Working Day"/>
    <s v="Spring"/>
    <x v="1"/>
    <s v="Morning"/>
    <s v="Mild"/>
    <s v="Medium"/>
    <s v="Off-Peak"/>
    <n v="0.10909090909090909"/>
    <s v="Normal"/>
    <n v="1"/>
  </r>
  <r>
    <n v="559"/>
    <x v="24"/>
    <n v="1"/>
    <n v="0"/>
    <n v="1"/>
    <n v="11"/>
    <b v="0"/>
    <n v="2"/>
    <n v="2"/>
    <n v="0.24"/>
    <n v="0.2424"/>
    <n v="0.6"/>
    <n v="0.1343"/>
    <n v="6"/>
    <n v="55"/>
    <n v="61"/>
    <s v="REC-0559"/>
    <d v="2011-01-25T11:00:00"/>
    <s v="Jan"/>
    <x v="3"/>
    <x v="1"/>
    <s v="Working Day"/>
    <s v="Spring"/>
    <x v="1"/>
    <s v="Morning"/>
    <s v="Mild"/>
    <s v="Medium"/>
    <s v="Off-Peak"/>
    <n v="9.8360655737704916E-2"/>
    <s v="Normal"/>
    <n v="1"/>
  </r>
  <r>
    <n v="560"/>
    <x v="24"/>
    <n v="1"/>
    <n v="0"/>
    <n v="1"/>
    <n v="12"/>
    <b v="0"/>
    <n v="2"/>
    <n v="2"/>
    <n v="0.26"/>
    <n v="0.28789999999999999"/>
    <n v="0.56000000000000005"/>
    <n v="8.9599999999999999E-2"/>
    <n v="21"/>
    <n v="85"/>
    <n v="106"/>
    <s v="REC-0560"/>
    <d v="2011-01-25T12:00:00"/>
    <s v="Jan"/>
    <x v="3"/>
    <x v="1"/>
    <s v="Working Day"/>
    <s v="Spring"/>
    <x v="1"/>
    <s v="Afternoon"/>
    <s v="Mild"/>
    <s v="Medium"/>
    <s v="Off-Peak"/>
    <n v="0.19811320754716982"/>
    <s v="High"/>
    <n v="1"/>
  </r>
  <r>
    <n v="561"/>
    <x v="24"/>
    <n v="1"/>
    <n v="0"/>
    <n v="1"/>
    <n v="13"/>
    <b v="0"/>
    <n v="2"/>
    <n v="2"/>
    <n v="0.26"/>
    <n v="0.2727"/>
    <n v="0.56000000000000005"/>
    <n v="0.1343"/>
    <n v="21"/>
    <n v="72"/>
    <n v="93"/>
    <s v="REC-0561"/>
    <d v="2011-01-25T13:00:00"/>
    <s v="Jan"/>
    <x v="3"/>
    <x v="1"/>
    <s v="Working Day"/>
    <s v="Spring"/>
    <x v="1"/>
    <s v="Afternoon"/>
    <s v="Mild"/>
    <s v="Medium"/>
    <s v="Off-Peak"/>
    <n v="0.22580645161290322"/>
    <s v="High"/>
    <n v="1"/>
  </r>
  <r>
    <n v="562"/>
    <x v="24"/>
    <n v="1"/>
    <n v="0"/>
    <n v="1"/>
    <n v="14"/>
    <b v="0"/>
    <n v="2"/>
    <n v="2"/>
    <n v="0.3"/>
    <n v="0.33329999999999999"/>
    <n v="0.45"/>
    <n v="0"/>
    <n v="11"/>
    <n v="57"/>
    <n v="68"/>
    <s v="REC-0562"/>
    <d v="2011-01-25T14:00:00"/>
    <s v="Jan"/>
    <x v="3"/>
    <x v="1"/>
    <s v="Working Day"/>
    <s v="Spring"/>
    <x v="1"/>
    <s v="Afternoon"/>
    <s v="Warm"/>
    <s v="Low"/>
    <s v="Off-Peak"/>
    <n v="0.16176470588235295"/>
    <s v="Normal"/>
    <n v="1"/>
  </r>
  <r>
    <n v="563"/>
    <x v="24"/>
    <n v="1"/>
    <n v="0"/>
    <n v="1"/>
    <n v="15"/>
    <b v="0"/>
    <n v="2"/>
    <n v="2"/>
    <n v="0.32"/>
    <n v="0.34849999999999998"/>
    <n v="0.42"/>
    <n v="0"/>
    <n v="21"/>
    <n v="63"/>
    <n v="84"/>
    <s v="REC-0563"/>
    <d v="2011-01-25T15:00:00"/>
    <s v="Jan"/>
    <x v="3"/>
    <x v="1"/>
    <s v="Working Day"/>
    <s v="Spring"/>
    <x v="1"/>
    <s v="Afternoon"/>
    <s v="Warm"/>
    <s v="Low"/>
    <s v="Off-Peak"/>
    <n v="0.25"/>
    <s v="High"/>
    <n v="1"/>
  </r>
  <r>
    <n v="564"/>
    <x v="24"/>
    <n v="1"/>
    <n v="0"/>
    <n v="1"/>
    <n v="16"/>
    <b v="0"/>
    <n v="2"/>
    <n v="2"/>
    <n v="0.32"/>
    <n v="0.34849999999999998"/>
    <n v="0.42"/>
    <n v="0"/>
    <n v="14"/>
    <n v="102"/>
    <n v="116"/>
    <s v="REC-0564"/>
    <d v="2011-01-25T16:00:00"/>
    <s v="Jan"/>
    <x v="3"/>
    <x v="1"/>
    <s v="Working Day"/>
    <s v="Spring"/>
    <x v="1"/>
    <s v="Afternoon"/>
    <s v="Warm"/>
    <s v="Low"/>
    <s v="Peak"/>
    <n v="0.1206896551724138"/>
    <s v="High"/>
    <n v="1"/>
  </r>
  <r>
    <n v="565"/>
    <x v="24"/>
    <n v="1"/>
    <n v="0"/>
    <n v="1"/>
    <n v="17"/>
    <b v="0"/>
    <n v="2"/>
    <n v="1"/>
    <n v="0.3"/>
    <n v="0.33329999999999999"/>
    <n v="0.45"/>
    <n v="0"/>
    <n v="14"/>
    <n v="208"/>
    <n v="222"/>
    <s v="REC-0565"/>
    <d v="2011-01-25T17:00:00"/>
    <s v="Jan"/>
    <x v="3"/>
    <x v="1"/>
    <s v="Working Day"/>
    <s v="Spring"/>
    <x v="0"/>
    <s v="Evening"/>
    <s v="Warm"/>
    <s v="Low"/>
    <s v="Peak"/>
    <n v="6.3063063063063057E-2"/>
    <s v="High"/>
    <n v="1"/>
  </r>
  <r>
    <n v="566"/>
    <x v="24"/>
    <n v="1"/>
    <n v="0"/>
    <n v="1"/>
    <n v="18"/>
    <b v="0"/>
    <n v="2"/>
    <n v="2"/>
    <n v="0.3"/>
    <n v="0.31819999999999998"/>
    <n v="0.49"/>
    <n v="8.9599999999999999E-2"/>
    <n v="7"/>
    <n v="218"/>
    <n v="225"/>
    <s v="REC-0566"/>
    <d v="2011-01-25T18:00:00"/>
    <s v="Jan"/>
    <x v="3"/>
    <x v="1"/>
    <s v="Working Day"/>
    <s v="Spring"/>
    <x v="1"/>
    <s v="Evening"/>
    <s v="Warm"/>
    <s v="Low"/>
    <s v="Peak"/>
    <n v="3.111111111111111E-2"/>
    <s v="High"/>
    <n v="1"/>
  </r>
  <r>
    <n v="567"/>
    <x v="24"/>
    <n v="1"/>
    <n v="0"/>
    <n v="1"/>
    <n v="19"/>
    <b v="0"/>
    <n v="2"/>
    <n v="2"/>
    <n v="0.26"/>
    <n v="0.2576"/>
    <n v="0.65"/>
    <n v="0.16420000000000001"/>
    <n v="13"/>
    <n v="133"/>
    <n v="146"/>
    <s v="REC-0567"/>
    <d v="2011-01-25T19:00:00"/>
    <s v="Jan"/>
    <x v="3"/>
    <x v="1"/>
    <s v="Working Day"/>
    <s v="Spring"/>
    <x v="1"/>
    <s v="Evening"/>
    <s v="Mild"/>
    <s v="Medium"/>
    <s v="Peak"/>
    <n v="8.9041095890410954E-2"/>
    <s v="High"/>
    <n v="1"/>
  </r>
  <r>
    <n v="568"/>
    <x v="24"/>
    <n v="1"/>
    <n v="0"/>
    <n v="1"/>
    <n v="20"/>
    <b v="0"/>
    <n v="2"/>
    <n v="1"/>
    <n v="0.24"/>
    <n v="0.2273"/>
    <n v="0.65"/>
    <n v="0.19400000000000001"/>
    <n v="16"/>
    <n v="103"/>
    <n v="119"/>
    <s v="REC-0568"/>
    <d v="2011-01-25T20:00:00"/>
    <s v="Jan"/>
    <x v="3"/>
    <x v="1"/>
    <s v="Working Day"/>
    <s v="Spring"/>
    <x v="0"/>
    <s v="Evening"/>
    <s v="Mild"/>
    <s v="Medium"/>
    <s v="Off-Peak"/>
    <n v="0.13445378151260504"/>
    <s v="High"/>
    <n v="1"/>
  </r>
  <r>
    <n v="569"/>
    <x v="24"/>
    <n v="1"/>
    <n v="0"/>
    <n v="1"/>
    <n v="21"/>
    <b v="0"/>
    <n v="2"/>
    <n v="1"/>
    <n v="0.24"/>
    <n v="0.2273"/>
    <n v="0.65"/>
    <n v="0.19400000000000001"/>
    <n v="5"/>
    <n v="40"/>
    <n v="45"/>
    <s v="REC-0569"/>
    <d v="2011-01-25T21:00:00"/>
    <s v="Jan"/>
    <x v="3"/>
    <x v="1"/>
    <s v="Working Day"/>
    <s v="Spring"/>
    <x v="0"/>
    <s v="Late Evening"/>
    <s v="Mild"/>
    <s v="Medium"/>
    <s v="Off-Peak"/>
    <n v="0.1111111111111111"/>
    <s v="Normal"/>
    <n v="1"/>
  </r>
  <r>
    <n v="570"/>
    <x v="24"/>
    <n v="1"/>
    <n v="0"/>
    <n v="1"/>
    <n v="22"/>
    <b v="0"/>
    <n v="2"/>
    <n v="1"/>
    <n v="0.22"/>
    <n v="0.2273"/>
    <n v="0.64"/>
    <n v="0.16420000000000001"/>
    <n v="4"/>
    <n v="49"/>
    <n v="53"/>
    <s v="REC-0570"/>
    <d v="2011-01-25T22:00:00"/>
    <s v="Jan"/>
    <x v="3"/>
    <x v="1"/>
    <s v="Working Day"/>
    <s v="Spring"/>
    <x v="0"/>
    <s v="Late Evening"/>
    <s v="Mild"/>
    <s v="Medium"/>
    <s v="Off-Peak"/>
    <n v="7.5471698113207544E-2"/>
    <s v="Normal"/>
    <n v="1"/>
  </r>
  <r>
    <n v="571"/>
    <x v="24"/>
    <n v="1"/>
    <n v="0"/>
    <n v="1"/>
    <n v="23"/>
    <b v="0"/>
    <n v="2"/>
    <n v="2"/>
    <n v="0.22"/>
    <n v="0.2273"/>
    <n v="0.64"/>
    <n v="0.16420000000000001"/>
    <n v="3"/>
    <n v="37"/>
    <n v="40"/>
    <s v="REC-0571"/>
    <d v="2011-01-25T23:00:00"/>
    <s v="Jan"/>
    <x v="3"/>
    <x v="1"/>
    <s v="Working Day"/>
    <s v="Spring"/>
    <x v="1"/>
    <s v="Late Evening"/>
    <s v="Mild"/>
    <s v="Medium"/>
    <s v="Off-Peak"/>
    <n v="7.4999999999999997E-2"/>
    <s v="Normal"/>
    <n v="1"/>
  </r>
  <r>
    <n v="572"/>
    <x v="25"/>
    <n v="1"/>
    <n v="0"/>
    <n v="1"/>
    <n v="0"/>
    <b v="0"/>
    <n v="3"/>
    <n v="2"/>
    <n v="0.22"/>
    <n v="0.2273"/>
    <n v="0.69"/>
    <n v="0.1343"/>
    <n v="3"/>
    <n v="14"/>
    <n v="17"/>
    <s v="REC-0572"/>
    <d v="2011-01-26T00:00:00"/>
    <s v="Jan"/>
    <x v="4"/>
    <x v="1"/>
    <s v="Working Day"/>
    <s v="Spring"/>
    <x v="1"/>
    <s v="Night"/>
    <s v="Mild"/>
    <s v="Medium"/>
    <s v="Off-Peak"/>
    <n v="0.17647058823529413"/>
    <s v="Normal"/>
    <n v="1"/>
  </r>
  <r>
    <n v="573"/>
    <x v="25"/>
    <n v="1"/>
    <n v="0"/>
    <n v="1"/>
    <n v="1"/>
    <b v="0"/>
    <n v="3"/>
    <n v="2"/>
    <n v="0.24"/>
    <n v="0.2424"/>
    <n v="0.65"/>
    <n v="0.1343"/>
    <n v="0"/>
    <n v="5"/>
    <n v="5"/>
    <s v="REC-0573"/>
    <d v="2011-01-26T01:00:00"/>
    <s v="Jan"/>
    <x v="4"/>
    <x v="1"/>
    <s v="Working Day"/>
    <s v="Spring"/>
    <x v="1"/>
    <s v="Night"/>
    <s v="Mild"/>
    <s v="Medium"/>
    <s v="Off-Peak"/>
    <n v="0"/>
    <s v="Low"/>
    <n v="1"/>
  </r>
  <r>
    <n v="574"/>
    <x v="25"/>
    <n v="1"/>
    <n v="0"/>
    <n v="1"/>
    <n v="2"/>
    <b v="0"/>
    <n v="3"/>
    <n v="3"/>
    <n v="0.22"/>
    <n v="0.2273"/>
    <n v="0.69"/>
    <n v="0.19400000000000001"/>
    <n v="3"/>
    <n v="7"/>
    <n v="10"/>
    <s v="REC-0574"/>
    <d v="2011-01-26T02:00:00"/>
    <s v="Jan"/>
    <x v="4"/>
    <x v="1"/>
    <s v="Working Day"/>
    <s v="Spring"/>
    <x v="2"/>
    <s v="Night"/>
    <s v="Mild"/>
    <s v="Medium"/>
    <s v="Off-Peak"/>
    <n v="0.3"/>
    <s v="Low"/>
    <n v="1"/>
  </r>
  <r>
    <n v="575"/>
    <x v="25"/>
    <n v="1"/>
    <n v="0"/>
    <n v="1"/>
    <n v="5"/>
    <b v="0"/>
    <n v="3"/>
    <n v="3"/>
    <n v="0.2"/>
    <n v="0.18179999999999999"/>
    <n v="0.86"/>
    <n v="0.28360000000000002"/>
    <n v="0"/>
    <n v="1"/>
    <n v="1"/>
    <s v="REC-0575"/>
    <d v="2011-01-26T05:00:00"/>
    <s v="Jan"/>
    <x v="4"/>
    <x v="1"/>
    <s v="Working Day"/>
    <s v="Spring"/>
    <x v="2"/>
    <s v="Night"/>
    <s v="Mild"/>
    <s v="High"/>
    <s v="Off-Peak"/>
    <n v="0"/>
    <s v="Low"/>
    <n v="1"/>
  </r>
  <r>
    <n v="576"/>
    <x v="25"/>
    <n v="1"/>
    <n v="0"/>
    <n v="1"/>
    <n v="6"/>
    <b v="0"/>
    <n v="3"/>
    <n v="3"/>
    <n v="0.2"/>
    <n v="0.18179999999999999"/>
    <n v="0.86"/>
    <n v="0.28360000000000002"/>
    <n v="0"/>
    <n v="8"/>
    <n v="8"/>
    <s v="REC-0576"/>
    <d v="2011-01-26T06:00:00"/>
    <s v="Jan"/>
    <x v="4"/>
    <x v="1"/>
    <s v="Working Day"/>
    <s v="Spring"/>
    <x v="2"/>
    <s v="Morning"/>
    <s v="Mild"/>
    <s v="High"/>
    <s v="Off-Peak"/>
    <n v="0"/>
    <s v="Low"/>
    <n v="1"/>
  </r>
  <r>
    <n v="577"/>
    <x v="25"/>
    <n v="1"/>
    <n v="0"/>
    <n v="1"/>
    <n v="7"/>
    <b v="0"/>
    <n v="3"/>
    <n v="3"/>
    <n v="0.22"/>
    <n v="0.21210000000000001"/>
    <n v="0.87"/>
    <n v="0.29849999999999999"/>
    <n v="1"/>
    <n v="29"/>
    <n v="30"/>
    <s v="REC-0577"/>
    <d v="2011-01-26T07:00:00"/>
    <s v="Jan"/>
    <x v="4"/>
    <x v="1"/>
    <s v="Working Day"/>
    <s v="Spring"/>
    <x v="2"/>
    <s v="Morning"/>
    <s v="Mild"/>
    <s v="High"/>
    <s v="Peak"/>
    <n v="3.3333333333333333E-2"/>
    <s v="Normal"/>
    <n v="1"/>
  </r>
  <r>
    <n v="578"/>
    <x v="25"/>
    <n v="1"/>
    <n v="0"/>
    <n v="1"/>
    <n v="8"/>
    <b v="0"/>
    <n v="3"/>
    <n v="3"/>
    <n v="0.22"/>
    <n v="0.21210000000000001"/>
    <n v="0.87"/>
    <n v="0.29849999999999999"/>
    <n v="3"/>
    <n v="69"/>
    <n v="72"/>
    <s v="REC-0578"/>
    <d v="2011-01-26T08:00:00"/>
    <s v="Jan"/>
    <x v="4"/>
    <x v="1"/>
    <s v="Working Day"/>
    <s v="Spring"/>
    <x v="2"/>
    <s v="Morning"/>
    <s v="Mild"/>
    <s v="High"/>
    <s v="Peak"/>
    <n v="4.1666666666666664E-2"/>
    <s v="Normal"/>
    <n v="1"/>
  </r>
  <r>
    <n v="579"/>
    <x v="25"/>
    <n v="1"/>
    <n v="0"/>
    <n v="1"/>
    <n v="9"/>
    <b v="0"/>
    <n v="3"/>
    <n v="3"/>
    <n v="0.22"/>
    <n v="0.21210000000000001"/>
    <n v="0.87"/>
    <n v="0.29849999999999999"/>
    <n v="3"/>
    <n v="55"/>
    <n v="58"/>
    <s v="REC-0579"/>
    <d v="2011-01-26T09:00:00"/>
    <s v="Jan"/>
    <x v="4"/>
    <x v="1"/>
    <s v="Working Day"/>
    <s v="Spring"/>
    <x v="2"/>
    <s v="Morning"/>
    <s v="Mild"/>
    <s v="High"/>
    <s v="Peak"/>
    <n v="5.1724137931034482E-2"/>
    <s v="Normal"/>
    <n v="1"/>
  </r>
  <r>
    <n v="580"/>
    <x v="25"/>
    <n v="1"/>
    <n v="0"/>
    <n v="1"/>
    <n v="10"/>
    <b v="0"/>
    <n v="3"/>
    <n v="3"/>
    <n v="0.22"/>
    <n v="0.21210000000000001"/>
    <n v="0.93"/>
    <n v="0.28360000000000002"/>
    <n v="2"/>
    <n v="26"/>
    <n v="28"/>
    <s v="REC-0580"/>
    <d v="2011-01-26T10:00:00"/>
    <s v="Jan"/>
    <x v="4"/>
    <x v="1"/>
    <s v="Working Day"/>
    <s v="Spring"/>
    <x v="2"/>
    <s v="Morning"/>
    <s v="Mild"/>
    <s v="High"/>
    <s v="Off-Peak"/>
    <n v="7.1428571428571425E-2"/>
    <s v="Normal"/>
    <n v="1"/>
  </r>
  <r>
    <n v="581"/>
    <x v="25"/>
    <n v="1"/>
    <n v="0"/>
    <n v="1"/>
    <n v="11"/>
    <b v="0"/>
    <n v="3"/>
    <n v="3"/>
    <n v="0.22"/>
    <n v="0.19700000000000001"/>
    <n v="0.93"/>
    <n v="0.32840000000000003"/>
    <n v="6"/>
    <n v="35"/>
    <n v="41"/>
    <s v="REC-0581"/>
    <d v="2011-01-26T11:00:00"/>
    <s v="Jan"/>
    <x v="4"/>
    <x v="1"/>
    <s v="Working Day"/>
    <s v="Spring"/>
    <x v="2"/>
    <s v="Morning"/>
    <s v="Mild"/>
    <s v="High"/>
    <s v="Off-Peak"/>
    <n v="0.14634146341463414"/>
    <s v="Normal"/>
    <n v="1"/>
  </r>
  <r>
    <n v="582"/>
    <x v="25"/>
    <n v="1"/>
    <n v="0"/>
    <n v="1"/>
    <n v="12"/>
    <b v="0"/>
    <n v="3"/>
    <n v="3"/>
    <n v="0.22"/>
    <n v="0.19700000000000001"/>
    <n v="0.93"/>
    <n v="0.32840000000000003"/>
    <n v="7"/>
    <n v="41"/>
    <n v="48"/>
    <s v="REC-0582"/>
    <d v="2011-01-26T12:00:00"/>
    <s v="Jan"/>
    <x v="4"/>
    <x v="1"/>
    <s v="Working Day"/>
    <s v="Spring"/>
    <x v="2"/>
    <s v="Afternoon"/>
    <s v="Mild"/>
    <s v="High"/>
    <s v="Off-Peak"/>
    <n v="0.14583333333333334"/>
    <s v="Normal"/>
    <n v="1"/>
  </r>
  <r>
    <n v="583"/>
    <x v="25"/>
    <n v="1"/>
    <n v="0"/>
    <n v="1"/>
    <n v="13"/>
    <b v="0"/>
    <n v="3"/>
    <n v="3"/>
    <n v="0.22"/>
    <n v="0.19700000000000001"/>
    <n v="0.93"/>
    <n v="0.32840000000000003"/>
    <n v="4"/>
    <n v="43"/>
    <n v="47"/>
    <s v="REC-0583"/>
    <d v="2011-01-26T13:00:00"/>
    <s v="Jan"/>
    <x v="4"/>
    <x v="1"/>
    <s v="Working Day"/>
    <s v="Spring"/>
    <x v="2"/>
    <s v="Afternoon"/>
    <s v="Mild"/>
    <s v="High"/>
    <s v="Off-Peak"/>
    <n v="8.5106382978723402E-2"/>
    <s v="Normal"/>
    <n v="1"/>
  </r>
  <r>
    <n v="584"/>
    <x v="25"/>
    <n v="1"/>
    <n v="0"/>
    <n v="1"/>
    <n v="14"/>
    <b v="0"/>
    <n v="3"/>
    <n v="3"/>
    <n v="0.22"/>
    <n v="0.19700000000000001"/>
    <n v="0.93"/>
    <n v="0.35820000000000002"/>
    <n v="0"/>
    <n v="36"/>
    <n v="36"/>
    <s v="REC-0584"/>
    <d v="2011-01-26T14:00:00"/>
    <s v="Jan"/>
    <x v="4"/>
    <x v="1"/>
    <s v="Working Day"/>
    <s v="Spring"/>
    <x v="2"/>
    <s v="Afternoon"/>
    <s v="Mild"/>
    <s v="High"/>
    <s v="Off-Peak"/>
    <n v="0"/>
    <s v="Normal"/>
    <n v="1"/>
  </r>
  <r>
    <n v="585"/>
    <x v="25"/>
    <n v="1"/>
    <n v="0"/>
    <n v="1"/>
    <n v="15"/>
    <b v="0"/>
    <n v="3"/>
    <n v="3"/>
    <n v="0.22"/>
    <n v="0.18179999999999999"/>
    <n v="0.93"/>
    <n v="0.4627"/>
    <n v="1"/>
    <n v="42"/>
    <n v="43"/>
    <s v="REC-0585"/>
    <d v="2011-01-26T15:00:00"/>
    <s v="Jan"/>
    <x v="4"/>
    <x v="1"/>
    <s v="Working Day"/>
    <s v="Spring"/>
    <x v="2"/>
    <s v="Afternoon"/>
    <s v="Mild"/>
    <s v="High"/>
    <s v="Off-Peak"/>
    <n v="2.3255813953488372E-2"/>
    <s v="Normal"/>
    <n v="1"/>
  </r>
  <r>
    <n v="586"/>
    <x v="25"/>
    <n v="1"/>
    <n v="0"/>
    <n v="1"/>
    <n v="16"/>
    <b v="0"/>
    <n v="3"/>
    <n v="4"/>
    <n v="0.22"/>
    <n v="0.19700000000000001"/>
    <n v="0.93"/>
    <n v="0.32840000000000003"/>
    <n v="1"/>
    <n v="35"/>
    <n v="36"/>
    <s v="REC-0586"/>
    <d v="2011-01-26T16:00:00"/>
    <s v="Jan"/>
    <x v="4"/>
    <x v="1"/>
    <s v="Working Day"/>
    <s v="Spring"/>
    <x v="3"/>
    <s v="Afternoon"/>
    <s v="Mild"/>
    <s v="High"/>
    <s v="Peak"/>
    <n v="2.7777777777777776E-2"/>
    <s v="Normal"/>
    <n v="1"/>
  </r>
  <r>
    <n v="587"/>
    <x v="25"/>
    <n v="1"/>
    <n v="0"/>
    <n v="1"/>
    <n v="17"/>
    <b v="0"/>
    <n v="3"/>
    <n v="3"/>
    <n v="0.2"/>
    <n v="0.18179999999999999"/>
    <n v="0.93"/>
    <n v="0.35820000000000002"/>
    <n v="0"/>
    <n v="26"/>
    <n v="26"/>
    <s v="REC-0587"/>
    <d v="2011-01-26T17:00:00"/>
    <s v="Jan"/>
    <x v="4"/>
    <x v="1"/>
    <s v="Working Day"/>
    <s v="Spring"/>
    <x v="2"/>
    <s v="Evening"/>
    <s v="Mild"/>
    <s v="High"/>
    <s v="Peak"/>
    <n v="0"/>
    <s v="Normal"/>
    <n v="1"/>
  </r>
  <r>
    <n v="588"/>
    <x v="26"/>
    <n v="1"/>
    <n v="0"/>
    <n v="1"/>
    <n v="16"/>
    <b v="0"/>
    <n v="4"/>
    <n v="1"/>
    <n v="0.22"/>
    <n v="0.2273"/>
    <n v="0.55000000000000004"/>
    <n v="0.19400000000000001"/>
    <n v="1"/>
    <n v="23"/>
    <n v="24"/>
    <s v="REC-0588"/>
    <d v="2011-01-27T16:00:00"/>
    <s v="Jan"/>
    <x v="5"/>
    <x v="1"/>
    <s v="Working Day"/>
    <s v="Spring"/>
    <x v="0"/>
    <s v="Afternoon"/>
    <s v="Mild"/>
    <s v="Medium"/>
    <s v="Peak"/>
    <n v="4.1666666666666664E-2"/>
    <s v="Normal"/>
    <n v="1"/>
  </r>
  <r>
    <n v="589"/>
    <x v="26"/>
    <n v="1"/>
    <n v="0"/>
    <n v="1"/>
    <n v="17"/>
    <b v="0"/>
    <n v="4"/>
    <n v="1"/>
    <n v="0.22"/>
    <n v="0.2424"/>
    <n v="0.55000000000000004"/>
    <n v="0.1045"/>
    <n v="2"/>
    <n v="82"/>
    <n v="84"/>
    <s v="REC-0589"/>
    <d v="2011-01-27T17:00:00"/>
    <s v="Jan"/>
    <x v="5"/>
    <x v="1"/>
    <s v="Working Day"/>
    <s v="Spring"/>
    <x v="0"/>
    <s v="Evening"/>
    <s v="Mild"/>
    <s v="Medium"/>
    <s v="Peak"/>
    <n v="2.3809523809523808E-2"/>
    <s v="High"/>
    <n v="1"/>
  </r>
  <r>
    <n v="590"/>
    <x v="26"/>
    <n v="1"/>
    <n v="0"/>
    <n v="1"/>
    <n v="18"/>
    <b v="0"/>
    <n v="4"/>
    <n v="1"/>
    <n v="0.2"/>
    <n v="0.2273"/>
    <n v="0.69"/>
    <n v="8.9599999999999999E-2"/>
    <n v="3"/>
    <n v="101"/>
    <n v="104"/>
    <s v="REC-0590"/>
    <d v="2011-01-27T18:00:00"/>
    <s v="Jan"/>
    <x v="5"/>
    <x v="1"/>
    <s v="Working Day"/>
    <s v="Spring"/>
    <x v="0"/>
    <s v="Evening"/>
    <s v="Mild"/>
    <s v="Medium"/>
    <s v="Peak"/>
    <n v="2.8846153846153848E-2"/>
    <s v="High"/>
    <n v="1"/>
  </r>
  <r>
    <n v="591"/>
    <x v="26"/>
    <n v="1"/>
    <n v="0"/>
    <n v="1"/>
    <n v="19"/>
    <b v="0"/>
    <n v="4"/>
    <n v="1"/>
    <n v="0.2"/>
    <n v="0.2273"/>
    <n v="0.69"/>
    <n v="8.9599999999999999E-2"/>
    <n v="3"/>
    <n v="76"/>
    <n v="79"/>
    <s v="REC-0591"/>
    <d v="2011-01-27T19:00:00"/>
    <s v="Jan"/>
    <x v="5"/>
    <x v="1"/>
    <s v="Working Day"/>
    <s v="Spring"/>
    <x v="0"/>
    <s v="Evening"/>
    <s v="Mild"/>
    <s v="Medium"/>
    <s v="Peak"/>
    <n v="3.7974683544303799E-2"/>
    <s v="Normal"/>
    <n v="1"/>
  </r>
  <r>
    <n v="592"/>
    <x v="26"/>
    <n v="1"/>
    <n v="0"/>
    <n v="1"/>
    <n v="20"/>
    <b v="0"/>
    <n v="4"/>
    <n v="1"/>
    <n v="0.18"/>
    <n v="0.21210000000000001"/>
    <n v="0.74"/>
    <n v="8.9599999999999999E-2"/>
    <n v="4"/>
    <n v="55"/>
    <n v="59"/>
    <s v="REC-0592"/>
    <d v="2011-01-27T20:00:00"/>
    <s v="Jan"/>
    <x v="5"/>
    <x v="1"/>
    <s v="Working Day"/>
    <s v="Spring"/>
    <x v="0"/>
    <s v="Evening"/>
    <s v="Cold"/>
    <s v="Medium"/>
    <s v="Off-Peak"/>
    <n v="6.7796610169491525E-2"/>
    <s v="Normal"/>
    <n v="1"/>
  </r>
  <r>
    <n v="593"/>
    <x v="26"/>
    <n v="1"/>
    <n v="0"/>
    <n v="1"/>
    <n v="21"/>
    <b v="0"/>
    <n v="4"/>
    <n v="1"/>
    <n v="0.18"/>
    <n v="0.21210000000000001"/>
    <n v="0.74"/>
    <n v="8.9599999999999999E-2"/>
    <n v="2"/>
    <n v="36"/>
    <n v="38"/>
    <s v="REC-0593"/>
    <d v="2011-01-27T21:00:00"/>
    <s v="Jan"/>
    <x v="5"/>
    <x v="1"/>
    <s v="Working Day"/>
    <s v="Spring"/>
    <x v="0"/>
    <s v="Late Evening"/>
    <s v="Cold"/>
    <s v="Medium"/>
    <s v="Off-Peak"/>
    <n v="5.2631578947368418E-2"/>
    <s v="Normal"/>
    <n v="1"/>
  </r>
  <r>
    <n v="594"/>
    <x v="26"/>
    <n v="1"/>
    <n v="0"/>
    <n v="1"/>
    <n v="22"/>
    <b v="0"/>
    <n v="4"/>
    <n v="1"/>
    <n v="0.18"/>
    <n v="0.21210000000000001"/>
    <n v="0.74"/>
    <n v="8.9599999999999999E-2"/>
    <n v="0"/>
    <n v="27"/>
    <n v="27"/>
    <s v="REC-0594"/>
    <d v="2011-01-27T22:00:00"/>
    <s v="Jan"/>
    <x v="5"/>
    <x v="1"/>
    <s v="Working Day"/>
    <s v="Spring"/>
    <x v="0"/>
    <s v="Late Evening"/>
    <s v="Cold"/>
    <s v="Medium"/>
    <s v="Off-Peak"/>
    <n v="0"/>
    <s v="Normal"/>
    <n v="1"/>
  </r>
  <r>
    <n v="595"/>
    <x v="26"/>
    <n v="1"/>
    <n v="0"/>
    <n v="1"/>
    <n v="23"/>
    <b v="0"/>
    <n v="4"/>
    <n v="1"/>
    <n v="0.18"/>
    <n v="0.19700000000000001"/>
    <n v="0.8"/>
    <n v="0.16420000000000001"/>
    <n v="0"/>
    <n v="16"/>
    <n v="16"/>
    <s v="REC-0595"/>
    <d v="2011-01-27T23:00:00"/>
    <s v="Jan"/>
    <x v="5"/>
    <x v="1"/>
    <s v="Working Day"/>
    <s v="Spring"/>
    <x v="0"/>
    <s v="Late Evening"/>
    <s v="Cold"/>
    <s v="High"/>
    <s v="Off-Peak"/>
    <n v="0"/>
    <s v="Low"/>
    <n v="1"/>
  </r>
  <r>
    <n v="596"/>
    <x v="27"/>
    <n v="1"/>
    <n v="0"/>
    <n v="1"/>
    <n v="0"/>
    <b v="0"/>
    <n v="5"/>
    <n v="2"/>
    <n v="0.2"/>
    <n v="0.21210000000000001"/>
    <n v="0.75"/>
    <n v="0.1343"/>
    <n v="0"/>
    <n v="9"/>
    <n v="9"/>
    <s v="REC-0596"/>
    <d v="2011-01-28T00:00:00"/>
    <s v="Jan"/>
    <x v="6"/>
    <x v="1"/>
    <s v="Working Day"/>
    <s v="Spring"/>
    <x v="1"/>
    <s v="Night"/>
    <s v="Mild"/>
    <s v="High"/>
    <s v="Off-Peak"/>
    <n v="0"/>
    <s v="Low"/>
    <n v="1"/>
  </r>
  <r>
    <n v="597"/>
    <x v="27"/>
    <n v="1"/>
    <n v="0"/>
    <n v="1"/>
    <n v="1"/>
    <b v="0"/>
    <n v="5"/>
    <n v="2"/>
    <n v="0.2"/>
    <n v="0.21210000000000001"/>
    <n v="0.75"/>
    <n v="0.1343"/>
    <n v="1"/>
    <n v="2"/>
    <n v="3"/>
    <s v="REC-0597"/>
    <d v="2011-01-28T01:00:00"/>
    <s v="Jan"/>
    <x v="6"/>
    <x v="1"/>
    <s v="Working Day"/>
    <s v="Spring"/>
    <x v="1"/>
    <s v="Night"/>
    <s v="Mild"/>
    <s v="High"/>
    <s v="Off-Peak"/>
    <n v="0.33333333333333331"/>
    <s v="Low"/>
    <n v="1"/>
  </r>
  <r>
    <n v="598"/>
    <x v="27"/>
    <n v="1"/>
    <n v="0"/>
    <n v="1"/>
    <n v="2"/>
    <b v="0"/>
    <n v="5"/>
    <n v="2"/>
    <n v="0.2"/>
    <n v="0.21210000000000001"/>
    <n v="0.75"/>
    <n v="0.16420000000000001"/>
    <n v="0"/>
    <n v="2"/>
    <n v="2"/>
    <s v="REC-0598"/>
    <d v="2011-01-28T02:00:00"/>
    <s v="Jan"/>
    <x v="6"/>
    <x v="1"/>
    <s v="Working Day"/>
    <s v="Spring"/>
    <x v="1"/>
    <s v="Night"/>
    <s v="Mild"/>
    <s v="High"/>
    <s v="Off-Peak"/>
    <n v="0"/>
    <s v="Low"/>
    <n v="1"/>
  </r>
  <r>
    <n v="599"/>
    <x v="27"/>
    <n v="1"/>
    <n v="0"/>
    <n v="1"/>
    <n v="3"/>
    <b v="0"/>
    <n v="5"/>
    <n v="2"/>
    <n v="0.2"/>
    <n v="0.2273"/>
    <n v="0.75"/>
    <n v="0.1045"/>
    <n v="1"/>
    <n v="0"/>
    <n v="1"/>
    <s v="REC-0599"/>
    <d v="2011-01-28T03:00:00"/>
    <s v="Jan"/>
    <x v="6"/>
    <x v="1"/>
    <s v="Working Day"/>
    <s v="Spring"/>
    <x v="1"/>
    <s v="Night"/>
    <s v="Mild"/>
    <s v="High"/>
    <s v="Off-Peak"/>
    <n v="1"/>
    <s v="Low"/>
    <n v="1"/>
  </r>
  <r>
    <n v="600"/>
    <x v="27"/>
    <n v="1"/>
    <n v="0"/>
    <n v="1"/>
    <n v="5"/>
    <b v="0"/>
    <n v="5"/>
    <n v="2"/>
    <n v="0.18"/>
    <n v="0.21210000000000001"/>
    <n v="0.8"/>
    <n v="0.1045"/>
    <n v="0"/>
    <n v="4"/>
    <n v="4"/>
    <s v="REC-0600"/>
    <d v="2011-01-28T05:00:00"/>
    <s v="Jan"/>
    <x v="6"/>
    <x v="1"/>
    <s v="Working Day"/>
    <s v="Spring"/>
    <x v="1"/>
    <s v="Night"/>
    <s v="Cold"/>
    <s v="High"/>
    <s v="Off-Peak"/>
    <n v="0"/>
    <s v="Low"/>
    <n v="1"/>
  </r>
  <r>
    <n v="601"/>
    <x v="27"/>
    <n v="1"/>
    <n v="0"/>
    <n v="1"/>
    <n v="6"/>
    <b v="0"/>
    <n v="5"/>
    <n v="2"/>
    <n v="0.18"/>
    <n v="0.19700000000000001"/>
    <n v="0.8"/>
    <n v="0.1343"/>
    <n v="0"/>
    <n v="16"/>
    <n v="16"/>
    <s v="REC-0601"/>
    <d v="2011-01-28T06:00:00"/>
    <s v="Jan"/>
    <x v="6"/>
    <x v="1"/>
    <s v="Working Day"/>
    <s v="Spring"/>
    <x v="1"/>
    <s v="Morning"/>
    <s v="Cold"/>
    <s v="High"/>
    <s v="Off-Peak"/>
    <n v="0"/>
    <s v="Low"/>
    <n v="1"/>
  </r>
  <r>
    <n v="602"/>
    <x v="27"/>
    <n v="1"/>
    <n v="0"/>
    <n v="1"/>
    <n v="7"/>
    <b v="0"/>
    <n v="5"/>
    <n v="2"/>
    <n v="0.16"/>
    <n v="0.19700000000000001"/>
    <n v="0.86"/>
    <n v="8.9599999999999999E-2"/>
    <n v="2"/>
    <n v="58"/>
    <n v="60"/>
    <s v="REC-0602"/>
    <d v="2011-01-28T07:00:00"/>
    <s v="Jan"/>
    <x v="6"/>
    <x v="1"/>
    <s v="Working Day"/>
    <s v="Spring"/>
    <x v="1"/>
    <s v="Morning"/>
    <s v="Cold"/>
    <s v="High"/>
    <s v="Peak"/>
    <n v="3.3333333333333333E-2"/>
    <s v="Normal"/>
    <n v="1"/>
  </r>
  <r>
    <n v="603"/>
    <x v="27"/>
    <n v="1"/>
    <n v="0"/>
    <n v="1"/>
    <n v="8"/>
    <b v="0"/>
    <n v="5"/>
    <n v="2"/>
    <n v="0.16"/>
    <n v="0.19700000000000001"/>
    <n v="0.86"/>
    <n v="8.9599999999999999E-2"/>
    <n v="2"/>
    <n v="155"/>
    <n v="157"/>
    <s v="REC-0603"/>
    <d v="2011-01-28T08:00:00"/>
    <s v="Jan"/>
    <x v="6"/>
    <x v="1"/>
    <s v="Working Day"/>
    <s v="Spring"/>
    <x v="1"/>
    <s v="Morning"/>
    <s v="Cold"/>
    <s v="High"/>
    <s v="Peak"/>
    <n v="1.2738853503184714E-2"/>
    <s v="High"/>
    <n v="1"/>
  </r>
  <r>
    <n v="604"/>
    <x v="27"/>
    <n v="1"/>
    <n v="0"/>
    <n v="1"/>
    <n v="9"/>
    <b v="0"/>
    <n v="5"/>
    <n v="3"/>
    <n v="0.18"/>
    <n v="0.21210000000000001"/>
    <n v="0.86"/>
    <n v="8.9599999999999999E-2"/>
    <n v="6"/>
    <n v="95"/>
    <n v="101"/>
    <s v="REC-0604"/>
    <d v="2011-01-28T09:00:00"/>
    <s v="Jan"/>
    <x v="6"/>
    <x v="1"/>
    <s v="Working Day"/>
    <s v="Spring"/>
    <x v="2"/>
    <s v="Morning"/>
    <s v="Cold"/>
    <s v="High"/>
    <s v="Peak"/>
    <n v="5.9405940594059403E-2"/>
    <s v="High"/>
    <n v="1"/>
  </r>
  <r>
    <n v="605"/>
    <x v="27"/>
    <n v="1"/>
    <n v="0"/>
    <n v="1"/>
    <n v="10"/>
    <b v="0"/>
    <n v="5"/>
    <n v="3"/>
    <n v="0.18"/>
    <n v="0.21210000000000001"/>
    <n v="0.86"/>
    <n v="0.1045"/>
    <n v="0"/>
    <n v="49"/>
    <n v="49"/>
    <s v="REC-0605"/>
    <d v="2011-01-28T10:00:00"/>
    <s v="Jan"/>
    <x v="6"/>
    <x v="1"/>
    <s v="Working Day"/>
    <s v="Spring"/>
    <x v="2"/>
    <s v="Morning"/>
    <s v="Cold"/>
    <s v="High"/>
    <s v="Off-Peak"/>
    <n v="0"/>
    <s v="Normal"/>
    <n v="1"/>
  </r>
  <r>
    <n v="606"/>
    <x v="27"/>
    <n v="1"/>
    <n v="0"/>
    <n v="1"/>
    <n v="11"/>
    <b v="0"/>
    <n v="5"/>
    <n v="3"/>
    <n v="0.18"/>
    <n v="0.21210000000000001"/>
    <n v="0.93"/>
    <n v="0.1045"/>
    <n v="0"/>
    <n v="30"/>
    <n v="30"/>
    <s v="REC-0606"/>
    <d v="2011-01-28T11:00:00"/>
    <s v="Jan"/>
    <x v="6"/>
    <x v="1"/>
    <s v="Working Day"/>
    <s v="Spring"/>
    <x v="2"/>
    <s v="Morning"/>
    <s v="Cold"/>
    <s v="High"/>
    <s v="Off-Peak"/>
    <n v="0"/>
    <s v="Normal"/>
    <n v="1"/>
  </r>
  <r>
    <n v="607"/>
    <x v="27"/>
    <n v="1"/>
    <n v="0"/>
    <n v="1"/>
    <n v="12"/>
    <b v="0"/>
    <n v="5"/>
    <n v="3"/>
    <n v="0.18"/>
    <n v="0.21210000000000001"/>
    <n v="0.93"/>
    <n v="0.1045"/>
    <n v="1"/>
    <n v="28"/>
    <n v="29"/>
    <s v="REC-0607"/>
    <d v="2011-01-28T12:00:00"/>
    <s v="Jan"/>
    <x v="6"/>
    <x v="1"/>
    <s v="Working Day"/>
    <s v="Spring"/>
    <x v="2"/>
    <s v="Afternoon"/>
    <s v="Cold"/>
    <s v="High"/>
    <s v="Off-Peak"/>
    <n v="3.4482758620689655E-2"/>
    <s v="Normal"/>
    <n v="1"/>
  </r>
  <r>
    <n v="608"/>
    <x v="27"/>
    <n v="1"/>
    <n v="0"/>
    <n v="1"/>
    <n v="13"/>
    <b v="0"/>
    <n v="5"/>
    <n v="3"/>
    <n v="0.18"/>
    <n v="0.21210000000000001"/>
    <n v="0.93"/>
    <n v="0.1045"/>
    <n v="0"/>
    <n v="31"/>
    <n v="31"/>
    <s v="REC-0608"/>
    <d v="2011-01-28T13:00:00"/>
    <s v="Jan"/>
    <x v="6"/>
    <x v="1"/>
    <s v="Working Day"/>
    <s v="Spring"/>
    <x v="2"/>
    <s v="Afternoon"/>
    <s v="Cold"/>
    <s v="High"/>
    <s v="Off-Peak"/>
    <n v="0"/>
    <s v="Normal"/>
    <n v="1"/>
  </r>
  <r>
    <n v="609"/>
    <x v="27"/>
    <n v="1"/>
    <n v="0"/>
    <n v="1"/>
    <n v="14"/>
    <b v="0"/>
    <n v="5"/>
    <n v="3"/>
    <n v="0.22"/>
    <n v="0.2727"/>
    <n v="0.8"/>
    <n v="0"/>
    <n v="2"/>
    <n v="36"/>
    <n v="38"/>
    <s v="REC-0609"/>
    <d v="2011-01-28T14:00:00"/>
    <s v="Jan"/>
    <x v="6"/>
    <x v="1"/>
    <s v="Working Day"/>
    <s v="Spring"/>
    <x v="2"/>
    <s v="Afternoon"/>
    <s v="Mild"/>
    <s v="High"/>
    <s v="Off-Peak"/>
    <n v="5.2631578947368418E-2"/>
    <s v="Normal"/>
    <n v="1"/>
  </r>
  <r>
    <n v="610"/>
    <x v="27"/>
    <n v="1"/>
    <n v="0"/>
    <n v="1"/>
    <n v="15"/>
    <b v="0"/>
    <n v="5"/>
    <n v="2"/>
    <n v="0.2"/>
    <n v="0.2576"/>
    <n v="0.86"/>
    <n v="0"/>
    <n v="1"/>
    <n v="40"/>
    <n v="41"/>
    <s v="REC-0610"/>
    <d v="2011-01-28T15:00:00"/>
    <s v="Jan"/>
    <x v="6"/>
    <x v="1"/>
    <s v="Working Day"/>
    <s v="Spring"/>
    <x v="1"/>
    <s v="Afternoon"/>
    <s v="Mild"/>
    <s v="High"/>
    <s v="Off-Peak"/>
    <n v="2.4390243902439025E-2"/>
    <s v="Normal"/>
    <n v="1"/>
  </r>
  <r>
    <n v="611"/>
    <x v="27"/>
    <n v="1"/>
    <n v="0"/>
    <n v="1"/>
    <n v="16"/>
    <b v="0"/>
    <n v="5"/>
    <n v="1"/>
    <n v="0.22"/>
    <n v="0.2727"/>
    <n v="0.8"/>
    <n v="0"/>
    <n v="10"/>
    <n v="70"/>
    <n v="80"/>
    <s v="REC-0611"/>
    <d v="2011-01-28T16:00:00"/>
    <s v="Jan"/>
    <x v="6"/>
    <x v="1"/>
    <s v="Working Day"/>
    <s v="Spring"/>
    <x v="0"/>
    <s v="Afternoon"/>
    <s v="Mild"/>
    <s v="High"/>
    <s v="Peak"/>
    <n v="0.125"/>
    <s v="Normal"/>
    <n v="1"/>
  </r>
  <r>
    <n v="612"/>
    <x v="27"/>
    <n v="1"/>
    <n v="0"/>
    <n v="1"/>
    <n v="17"/>
    <b v="0"/>
    <n v="5"/>
    <n v="1"/>
    <n v="0.24"/>
    <n v="0.2424"/>
    <n v="0.75"/>
    <n v="0.1343"/>
    <n v="2"/>
    <n v="147"/>
    <n v="149"/>
    <s v="REC-0612"/>
    <d v="2011-01-28T17:00:00"/>
    <s v="Jan"/>
    <x v="6"/>
    <x v="1"/>
    <s v="Working Day"/>
    <s v="Spring"/>
    <x v="0"/>
    <s v="Evening"/>
    <s v="Mild"/>
    <s v="High"/>
    <s v="Peak"/>
    <n v="1.3422818791946308E-2"/>
    <s v="High"/>
    <n v="1"/>
  </r>
  <r>
    <n v="613"/>
    <x v="27"/>
    <n v="1"/>
    <n v="0"/>
    <n v="1"/>
    <n v="18"/>
    <b v="0"/>
    <n v="5"/>
    <n v="1"/>
    <n v="0.24"/>
    <n v="0.2273"/>
    <n v="0.75"/>
    <n v="0.19400000000000001"/>
    <n v="2"/>
    <n v="107"/>
    <n v="109"/>
    <s v="REC-0613"/>
    <d v="2011-01-28T18:00:00"/>
    <s v="Jan"/>
    <x v="6"/>
    <x v="1"/>
    <s v="Working Day"/>
    <s v="Spring"/>
    <x v="0"/>
    <s v="Evening"/>
    <s v="Mild"/>
    <s v="High"/>
    <s v="Peak"/>
    <n v="1.834862385321101E-2"/>
    <s v="High"/>
    <n v="1"/>
  </r>
  <r>
    <n v="614"/>
    <x v="27"/>
    <n v="1"/>
    <n v="0"/>
    <n v="1"/>
    <n v="19"/>
    <b v="0"/>
    <n v="5"/>
    <n v="2"/>
    <n v="0.24"/>
    <n v="0.2424"/>
    <n v="0.75"/>
    <n v="0.1343"/>
    <n v="5"/>
    <n v="84"/>
    <n v="89"/>
    <s v="REC-0614"/>
    <d v="2011-01-28T19:00:00"/>
    <s v="Jan"/>
    <x v="6"/>
    <x v="1"/>
    <s v="Working Day"/>
    <s v="Spring"/>
    <x v="1"/>
    <s v="Evening"/>
    <s v="Mild"/>
    <s v="High"/>
    <s v="Peak"/>
    <n v="5.6179775280898875E-2"/>
    <s v="High"/>
    <n v="1"/>
  </r>
  <r>
    <n v="615"/>
    <x v="27"/>
    <n v="1"/>
    <n v="0"/>
    <n v="1"/>
    <n v="20"/>
    <b v="0"/>
    <n v="5"/>
    <n v="2"/>
    <n v="0.24"/>
    <n v="0.2273"/>
    <n v="0.7"/>
    <n v="0.19400000000000001"/>
    <n v="1"/>
    <n v="61"/>
    <n v="62"/>
    <s v="REC-0615"/>
    <d v="2011-01-28T20:00:00"/>
    <s v="Jan"/>
    <x v="6"/>
    <x v="1"/>
    <s v="Working Day"/>
    <s v="Spring"/>
    <x v="1"/>
    <s v="Evening"/>
    <s v="Mild"/>
    <s v="Medium"/>
    <s v="Off-Peak"/>
    <n v="1.6129032258064516E-2"/>
    <s v="Normal"/>
    <n v="1"/>
  </r>
  <r>
    <n v="616"/>
    <x v="27"/>
    <n v="1"/>
    <n v="0"/>
    <n v="1"/>
    <n v="21"/>
    <b v="0"/>
    <n v="5"/>
    <n v="2"/>
    <n v="0.22"/>
    <n v="0.2273"/>
    <n v="0.75"/>
    <n v="0.1343"/>
    <n v="1"/>
    <n v="57"/>
    <n v="58"/>
    <s v="REC-0616"/>
    <d v="2011-01-28T21:00:00"/>
    <s v="Jan"/>
    <x v="6"/>
    <x v="1"/>
    <s v="Working Day"/>
    <s v="Spring"/>
    <x v="1"/>
    <s v="Late Evening"/>
    <s v="Mild"/>
    <s v="High"/>
    <s v="Off-Peak"/>
    <n v="1.7241379310344827E-2"/>
    <s v="Normal"/>
    <n v="1"/>
  </r>
  <r>
    <n v="617"/>
    <x v="27"/>
    <n v="1"/>
    <n v="0"/>
    <n v="1"/>
    <n v="22"/>
    <b v="0"/>
    <n v="5"/>
    <n v="1"/>
    <n v="0.24"/>
    <n v="0.21210000000000001"/>
    <n v="0.65"/>
    <n v="0.35820000000000002"/>
    <n v="0"/>
    <n v="26"/>
    <n v="26"/>
    <s v="REC-0617"/>
    <d v="2011-01-28T22:00:00"/>
    <s v="Jan"/>
    <x v="6"/>
    <x v="1"/>
    <s v="Working Day"/>
    <s v="Spring"/>
    <x v="0"/>
    <s v="Late Evening"/>
    <s v="Mild"/>
    <s v="Medium"/>
    <s v="Off-Peak"/>
    <n v="0"/>
    <s v="Normal"/>
    <n v="1"/>
  </r>
  <r>
    <n v="618"/>
    <x v="27"/>
    <n v="1"/>
    <n v="0"/>
    <n v="1"/>
    <n v="23"/>
    <b v="0"/>
    <n v="5"/>
    <n v="1"/>
    <n v="0.24"/>
    <n v="0.2273"/>
    <n v="0.6"/>
    <n v="0.22389999999999999"/>
    <n v="1"/>
    <n v="22"/>
    <n v="23"/>
    <s v="REC-0618"/>
    <d v="2011-01-28T23:00:00"/>
    <s v="Jan"/>
    <x v="6"/>
    <x v="1"/>
    <s v="Working Day"/>
    <s v="Spring"/>
    <x v="0"/>
    <s v="Late Evening"/>
    <s v="Mild"/>
    <s v="Medium"/>
    <s v="Off-Peak"/>
    <n v="4.3478260869565216E-2"/>
    <s v="Normal"/>
    <n v="1"/>
  </r>
  <r>
    <n v="619"/>
    <x v="28"/>
    <n v="1"/>
    <n v="0"/>
    <n v="1"/>
    <n v="0"/>
    <b v="0"/>
    <n v="6"/>
    <n v="1"/>
    <n v="0.22"/>
    <n v="0.19700000000000001"/>
    <n v="0.64"/>
    <n v="0.35820000000000002"/>
    <n v="2"/>
    <n v="26"/>
    <n v="28"/>
    <s v="REC-0619"/>
    <d v="2011-01-29T00:00:00"/>
    <s v="Jan"/>
    <x v="0"/>
    <x v="0"/>
    <s v="Non-Working Day"/>
    <s v="Spring"/>
    <x v="0"/>
    <s v="Night"/>
    <s v="Mild"/>
    <s v="Medium"/>
    <s v="Off-Peak"/>
    <n v="7.1428571428571425E-2"/>
    <s v="Normal"/>
    <n v="1"/>
  </r>
  <r>
    <n v="620"/>
    <x v="28"/>
    <n v="1"/>
    <n v="0"/>
    <n v="1"/>
    <n v="1"/>
    <b v="0"/>
    <n v="6"/>
    <n v="1"/>
    <n v="0.22"/>
    <n v="0.2273"/>
    <n v="0.64"/>
    <n v="0.19400000000000001"/>
    <n v="0"/>
    <n v="20"/>
    <n v="20"/>
    <s v="REC-0620"/>
    <d v="2011-01-29T01:00:00"/>
    <s v="Jan"/>
    <x v="0"/>
    <x v="0"/>
    <s v="Non-Working Day"/>
    <s v="Spring"/>
    <x v="0"/>
    <s v="Night"/>
    <s v="Mild"/>
    <s v="Medium"/>
    <s v="Off-Peak"/>
    <n v="0"/>
    <s v="Normal"/>
    <n v="1"/>
  </r>
  <r>
    <n v="621"/>
    <x v="28"/>
    <n v="1"/>
    <n v="0"/>
    <n v="1"/>
    <n v="2"/>
    <b v="0"/>
    <n v="6"/>
    <n v="1"/>
    <n v="0.22"/>
    <n v="0.2273"/>
    <n v="0.64"/>
    <n v="0.16420000000000001"/>
    <n v="0"/>
    <n v="15"/>
    <n v="15"/>
    <s v="REC-0621"/>
    <d v="2011-01-29T02:00:00"/>
    <s v="Jan"/>
    <x v="0"/>
    <x v="0"/>
    <s v="Non-Working Day"/>
    <s v="Spring"/>
    <x v="0"/>
    <s v="Night"/>
    <s v="Mild"/>
    <s v="Medium"/>
    <s v="Off-Peak"/>
    <n v="0"/>
    <s v="Low"/>
    <n v="1"/>
  </r>
  <r>
    <n v="622"/>
    <x v="28"/>
    <n v="1"/>
    <n v="0"/>
    <n v="1"/>
    <n v="3"/>
    <b v="0"/>
    <n v="6"/>
    <n v="1"/>
    <n v="0.2"/>
    <n v="0.21210000000000001"/>
    <n v="0.64"/>
    <n v="0.1343"/>
    <n v="3"/>
    <n v="5"/>
    <n v="8"/>
    <s v="REC-0622"/>
    <d v="2011-01-29T03:00:00"/>
    <s v="Jan"/>
    <x v="0"/>
    <x v="0"/>
    <s v="Non-Working Day"/>
    <s v="Spring"/>
    <x v="0"/>
    <s v="Night"/>
    <s v="Mild"/>
    <s v="Medium"/>
    <s v="Off-Peak"/>
    <n v="0.375"/>
    <s v="Low"/>
    <n v="1"/>
  </r>
  <r>
    <n v="623"/>
    <x v="28"/>
    <n v="1"/>
    <n v="0"/>
    <n v="1"/>
    <n v="4"/>
    <b v="0"/>
    <n v="6"/>
    <n v="1"/>
    <n v="0.16"/>
    <n v="0.18179999999999999"/>
    <n v="0.69"/>
    <n v="0.1045"/>
    <n v="1"/>
    <n v="2"/>
    <n v="3"/>
    <s v="REC-0623"/>
    <d v="2011-01-29T04:00:00"/>
    <s v="Jan"/>
    <x v="0"/>
    <x v="0"/>
    <s v="Non-Working Day"/>
    <s v="Spring"/>
    <x v="0"/>
    <s v="Night"/>
    <s v="Cold"/>
    <s v="Medium"/>
    <s v="Off-Peak"/>
    <n v="0.33333333333333331"/>
    <s v="Low"/>
    <n v="1"/>
  </r>
  <r>
    <n v="624"/>
    <x v="28"/>
    <n v="1"/>
    <n v="0"/>
    <n v="1"/>
    <n v="6"/>
    <b v="0"/>
    <n v="6"/>
    <n v="1"/>
    <n v="0.16"/>
    <n v="0.18179999999999999"/>
    <n v="0.64"/>
    <n v="0.1343"/>
    <n v="0"/>
    <n v="2"/>
    <n v="2"/>
    <s v="REC-0624"/>
    <d v="2011-01-29T06:00:00"/>
    <s v="Jan"/>
    <x v="0"/>
    <x v="0"/>
    <s v="Non-Working Day"/>
    <s v="Spring"/>
    <x v="0"/>
    <s v="Morning"/>
    <s v="Cold"/>
    <s v="Medium"/>
    <s v="Off-Peak"/>
    <n v="0"/>
    <s v="Low"/>
    <n v="1"/>
  </r>
  <r>
    <n v="625"/>
    <x v="28"/>
    <n v="1"/>
    <n v="0"/>
    <n v="1"/>
    <n v="7"/>
    <b v="0"/>
    <n v="6"/>
    <n v="1"/>
    <n v="0.16"/>
    <n v="0.18179999999999999"/>
    <n v="0.59"/>
    <n v="0.1045"/>
    <n v="1"/>
    <n v="4"/>
    <n v="5"/>
    <s v="REC-0625"/>
    <d v="2011-01-29T07:00:00"/>
    <s v="Jan"/>
    <x v="0"/>
    <x v="0"/>
    <s v="Non-Working Day"/>
    <s v="Spring"/>
    <x v="0"/>
    <s v="Morning"/>
    <s v="Cold"/>
    <s v="Medium"/>
    <s v="Off-Peak"/>
    <n v="0.2"/>
    <s v="Low"/>
    <n v="1"/>
  </r>
  <r>
    <n v="626"/>
    <x v="28"/>
    <n v="1"/>
    <n v="0"/>
    <n v="1"/>
    <n v="8"/>
    <b v="0"/>
    <n v="6"/>
    <n v="1"/>
    <n v="0.18"/>
    <n v="0.19700000000000001"/>
    <n v="0.55000000000000004"/>
    <n v="0.16420000000000001"/>
    <n v="3"/>
    <n v="31"/>
    <n v="34"/>
    <s v="REC-0626"/>
    <d v="2011-01-29T08:00:00"/>
    <s v="Jan"/>
    <x v="0"/>
    <x v="0"/>
    <s v="Non-Working Day"/>
    <s v="Spring"/>
    <x v="0"/>
    <s v="Morning"/>
    <s v="Cold"/>
    <s v="Medium"/>
    <s v="Off-Peak"/>
    <n v="8.8235294117647065E-2"/>
    <s v="Normal"/>
    <n v="1"/>
  </r>
  <r>
    <n v="627"/>
    <x v="28"/>
    <n v="1"/>
    <n v="0"/>
    <n v="1"/>
    <n v="9"/>
    <b v="0"/>
    <n v="6"/>
    <n v="1"/>
    <n v="0.18"/>
    <n v="0.21210000000000001"/>
    <n v="0.59"/>
    <n v="8.9599999999999999E-2"/>
    <n v="0"/>
    <n v="34"/>
    <n v="34"/>
    <s v="REC-0627"/>
    <d v="2011-01-29T09:00:00"/>
    <s v="Jan"/>
    <x v="0"/>
    <x v="0"/>
    <s v="Non-Working Day"/>
    <s v="Spring"/>
    <x v="0"/>
    <s v="Morning"/>
    <s v="Cold"/>
    <s v="Medium"/>
    <s v="Off-Peak"/>
    <n v="0"/>
    <s v="Normal"/>
    <n v="1"/>
  </r>
  <r>
    <n v="628"/>
    <x v="28"/>
    <n v="1"/>
    <n v="0"/>
    <n v="1"/>
    <n v="10"/>
    <b v="0"/>
    <n v="6"/>
    <n v="2"/>
    <n v="0.18"/>
    <n v="0.21210000000000001"/>
    <n v="0.64"/>
    <n v="0.1045"/>
    <n v="4"/>
    <n v="51"/>
    <n v="55"/>
    <s v="REC-0628"/>
    <d v="2011-01-29T10:00:00"/>
    <s v="Jan"/>
    <x v="0"/>
    <x v="0"/>
    <s v="Non-Working Day"/>
    <s v="Spring"/>
    <x v="1"/>
    <s v="Morning"/>
    <s v="Cold"/>
    <s v="Medium"/>
    <s v="Off-Peak"/>
    <n v="7.2727272727272724E-2"/>
    <s v="Normal"/>
    <n v="1"/>
  </r>
  <r>
    <n v="629"/>
    <x v="28"/>
    <n v="1"/>
    <n v="0"/>
    <n v="1"/>
    <n v="11"/>
    <b v="0"/>
    <n v="6"/>
    <n v="2"/>
    <n v="0.18"/>
    <n v="0.19700000000000001"/>
    <n v="0.64"/>
    <n v="0.1343"/>
    <n v="4"/>
    <n v="60"/>
    <n v="64"/>
    <s v="REC-0629"/>
    <d v="2011-01-29T11:00:00"/>
    <s v="Jan"/>
    <x v="0"/>
    <x v="0"/>
    <s v="Non-Working Day"/>
    <s v="Spring"/>
    <x v="1"/>
    <s v="Morning"/>
    <s v="Cold"/>
    <s v="Medium"/>
    <s v="Off-Peak"/>
    <n v="6.25E-2"/>
    <s v="Normal"/>
    <n v="1"/>
  </r>
  <r>
    <n v="630"/>
    <x v="28"/>
    <n v="1"/>
    <n v="0"/>
    <n v="1"/>
    <n v="12"/>
    <b v="0"/>
    <n v="6"/>
    <n v="2"/>
    <n v="0.2"/>
    <n v="0.19700000000000001"/>
    <n v="0.59"/>
    <n v="0.19400000000000001"/>
    <n v="12"/>
    <n v="66"/>
    <n v="78"/>
    <s v="REC-0630"/>
    <d v="2011-01-29T12:00:00"/>
    <s v="Jan"/>
    <x v="0"/>
    <x v="0"/>
    <s v="Non-Working Day"/>
    <s v="Spring"/>
    <x v="1"/>
    <s v="Afternoon"/>
    <s v="Mild"/>
    <s v="Medium"/>
    <s v="Off-Peak"/>
    <n v="0.15384615384615385"/>
    <s v="Normal"/>
    <n v="1"/>
  </r>
  <r>
    <n v="631"/>
    <x v="28"/>
    <n v="1"/>
    <n v="0"/>
    <n v="1"/>
    <n v="13"/>
    <b v="0"/>
    <n v="6"/>
    <n v="2"/>
    <n v="0.22"/>
    <n v="0.2273"/>
    <n v="0.55000000000000004"/>
    <n v="0.16420000000000001"/>
    <n v="9"/>
    <n v="56"/>
    <n v="65"/>
    <s v="REC-0631"/>
    <d v="2011-01-29T13:00:00"/>
    <s v="Jan"/>
    <x v="0"/>
    <x v="0"/>
    <s v="Non-Working Day"/>
    <s v="Spring"/>
    <x v="1"/>
    <s v="Afternoon"/>
    <s v="Mild"/>
    <s v="Medium"/>
    <s v="Off-Peak"/>
    <n v="0.13846153846153847"/>
    <s v="Normal"/>
    <n v="1"/>
  </r>
  <r>
    <n v="632"/>
    <x v="28"/>
    <n v="1"/>
    <n v="0"/>
    <n v="1"/>
    <n v="14"/>
    <b v="0"/>
    <n v="6"/>
    <n v="2"/>
    <n v="0.22"/>
    <n v="0.2273"/>
    <n v="0.6"/>
    <n v="0.1343"/>
    <n v="10"/>
    <n v="89"/>
    <n v="99"/>
    <s v="REC-0632"/>
    <d v="2011-01-29T14:00:00"/>
    <s v="Jan"/>
    <x v="0"/>
    <x v="0"/>
    <s v="Non-Working Day"/>
    <s v="Spring"/>
    <x v="1"/>
    <s v="Afternoon"/>
    <s v="Mild"/>
    <s v="Medium"/>
    <s v="Off-Peak"/>
    <n v="0.10101010101010101"/>
    <s v="High"/>
    <n v="1"/>
  </r>
  <r>
    <n v="633"/>
    <x v="28"/>
    <n v="1"/>
    <n v="0"/>
    <n v="1"/>
    <n v="15"/>
    <b v="0"/>
    <n v="6"/>
    <n v="1"/>
    <n v="0.22"/>
    <n v="0.21210000000000001"/>
    <n v="0.69"/>
    <n v="0.25369999999999998"/>
    <n v="22"/>
    <n v="98"/>
    <n v="120"/>
    <s v="REC-0633"/>
    <d v="2011-01-29T15:00:00"/>
    <s v="Jan"/>
    <x v="0"/>
    <x v="0"/>
    <s v="Non-Working Day"/>
    <s v="Spring"/>
    <x v="0"/>
    <s v="Afternoon"/>
    <s v="Mild"/>
    <s v="Medium"/>
    <s v="Off-Peak"/>
    <n v="0.18333333333333332"/>
    <s v="High"/>
    <n v="1"/>
  </r>
  <r>
    <n v="634"/>
    <x v="28"/>
    <n v="1"/>
    <n v="0"/>
    <n v="1"/>
    <n v="16"/>
    <b v="0"/>
    <n v="6"/>
    <n v="1"/>
    <n v="0.24"/>
    <n v="0.2424"/>
    <n v="0.6"/>
    <n v="0.16420000000000001"/>
    <n v="19"/>
    <n v="88"/>
    <n v="107"/>
    <s v="REC-0634"/>
    <d v="2011-01-29T16:00:00"/>
    <s v="Jan"/>
    <x v="0"/>
    <x v="0"/>
    <s v="Non-Working Day"/>
    <s v="Spring"/>
    <x v="0"/>
    <s v="Afternoon"/>
    <s v="Mild"/>
    <s v="Medium"/>
    <s v="Off-Peak"/>
    <n v="0.17757009345794392"/>
    <s v="High"/>
    <n v="1"/>
  </r>
  <r>
    <n v="635"/>
    <x v="28"/>
    <n v="1"/>
    <n v="0"/>
    <n v="1"/>
    <n v="17"/>
    <b v="0"/>
    <n v="6"/>
    <n v="1"/>
    <n v="0.24"/>
    <n v="0.28789999999999999"/>
    <n v="0.6"/>
    <n v="0"/>
    <n v="9"/>
    <n v="82"/>
    <n v="91"/>
    <s v="REC-0635"/>
    <d v="2011-01-29T17:00:00"/>
    <s v="Jan"/>
    <x v="0"/>
    <x v="0"/>
    <s v="Non-Working Day"/>
    <s v="Spring"/>
    <x v="0"/>
    <s v="Evening"/>
    <s v="Mild"/>
    <s v="Medium"/>
    <s v="Off-Peak"/>
    <n v="9.8901098901098897E-2"/>
    <s v="High"/>
    <n v="1"/>
  </r>
  <r>
    <n v="636"/>
    <x v="28"/>
    <n v="1"/>
    <n v="0"/>
    <n v="1"/>
    <n v="18"/>
    <b v="0"/>
    <n v="6"/>
    <n v="1"/>
    <n v="0.22"/>
    <n v="0.2273"/>
    <n v="0.69"/>
    <n v="0.1343"/>
    <n v="9"/>
    <n v="59"/>
    <n v="68"/>
    <s v="REC-0636"/>
    <d v="2011-01-29T18:00:00"/>
    <s v="Jan"/>
    <x v="0"/>
    <x v="0"/>
    <s v="Non-Working Day"/>
    <s v="Spring"/>
    <x v="0"/>
    <s v="Evening"/>
    <s v="Mild"/>
    <s v="Medium"/>
    <s v="Off-Peak"/>
    <n v="0.13235294117647059"/>
    <s v="Normal"/>
    <n v="1"/>
  </r>
  <r>
    <n v="637"/>
    <x v="28"/>
    <n v="1"/>
    <n v="0"/>
    <n v="1"/>
    <n v="19"/>
    <b v="0"/>
    <n v="6"/>
    <n v="2"/>
    <n v="0.22"/>
    <n v="0.21210000000000001"/>
    <n v="0.69"/>
    <n v="0.25369999999999998"/>
    <n v="6"/>
    <n v="52"/>
    <n v="58"/>
    <s v="REC-0637"/>
    <d v="2011-01-29T19:00:00"/>
    <s v="Jan"/>
    <x v="0"/>
    <x v="0"/>
    <s v="Non-Working Day"/>
    <s v="Spring"/>
    <x v="1"/>
    <s v="Evening"/>
    <s v="Mild"/>
    <s v="Medium"/>
    <s v="Off-Peak"/>
    <n v="0.10344827586206896"/>
    <s v="Normal"/>
    <n v="1"/>
  </r>
  <r>
    <n v="638"/>
    <x v="28"/>
    <n v="1"/>
    <n v="0"/>
    <n v="1"/>
    <n v="20"/>
    <b v="0"/>
    <n v="6"/>
    <n v="1"/>
    <n v="0.18"/>
    <n v="0.21210000000000001"/>
    <n v="0.74"/>
    <n v="8.9599999999999999E-2"/>
    <n v="1"/>
    <n v="42"/>
    <n v="43"/>
    <s v="REC-0638"/>
    <d v="2011-01-29T20:00:00"/>
    <s v="Jan"/>
    <x v="0"/>
    <x v="0"/>
    <s v="Non-Working Day"/>
    <s v="Spring"/>
    <x v="0"/>
    <s v="Evening"/>
    <s v="Cold"/>
    <s v="Medium"/>
    <s v="Off-Peak"/>
    <n v="2.3255813953488372E-2"/>
    <s v="Normal"/>
    <n v="1"/>
  </r>
  <r>
    <n v="639"/>
    <x v="28"/>
    <n v="1"/>
    <n v="0"/>
    <n v="1"/>
    <n v="21"/>
    <b v="0"/>
    <n v="6"/>
    <n v="1"/>
    <n v="0.18"/>
    <n v="0.21210000000000001"/>
    <n v="0.74"/>
    <n v="8.9599999999999999E-2"/>
    <n v="1"/>
    <n v="35"/>
    <n v="36"/>
    <s v="REC-0639"/>
    <d v="2011-01-29T21:00:00"/>
    <s v="Jan"/>
    <x v="0"/>
    <x v="0"/>
    <s v="Non-Working Day"/>
    <s v="Spring"/>
    <x v="0"/>
    <s v="Late Evening"/>
    <s v="Cold"/>
    <s v="Medium"/>
    <s v="Off-Peak"/>
    <n v="2.7777777777777776E-2"/>
    <s v="Normal"/>
    <n v="1"/>
  </r>
  <r>
    <n v="640"/>
    <x v="28"/>
    <n v="1"/>
    <n v="0"/>
    <n v="1"/>
    <n v="22"/>
    <b v="0"/>
    <n v="6"/>
    <n v="1"/>
    <n v="0.16"/>
    <n v="0.19700000000000001"/>
    <n v="0.8"/>
    <n v="8.9599999999999999E-2"/>
    <n v="4"/>
    <n v="28"/>
    <n v="32"/>
    <s v="REC-0640"/>
    <d v="2011-01-29T22:00:00"/>
    <s v="Jan"/>
    <x v="0"/>
    <x v="0"/>
    <s v="Non-Working Day"/>
    <s v="Spring"/>
    <x v="0"/>
    <s v="Late Evening"/>
    <s v="Cold"/>
    <s v="High"/>
    <s v="Off-Peak"/>
    <n v="0.125"/>
    <s v="Normal"/>
    <n v="1"/>
  </r>
  <r>
    <n v="641"/>
    <x v="28"/>
    <n v="1"/>
    <n v="0"/>
    <n v="1"/>
    <n v="23"/>
    <b v="0"/>
    <n v="6"/>
    <n v="1"/>
    <n v="0.16"/>
    <n v="0.19700000000000001"/>
    <n v="0.8"/>
    <n v="8.9599999999999999E-2"/>
    <n v="3"/>
    <n v="30"/>
    <n v="33"/>
    <s v="REC-0641"/>
    <d v="2011-01-29T23:00:00"/>
    <s v="Jan"/>
    <x v="0"/>
    <x v="0"/>
    <s v="Non-Working Day"/>
    <s v="Spring"/>
    <x v="0"/>
    <s v="Late Evening"/>
    <s v="Cold"/>
    <s v="High"/>
    <s v="Off-Peak"/>
    <n v="9.0909090909090912E-2"/>
    <s v="Normal"/>
    <n v="1"/>
  </r>
  <r>
    <n v="642"/>
    <x v="29"/>
    <n v="1"/>
    <n v="0"/>
    <n v="1"/>
    <n v="0"/>
    <b v="0"/>
    <n v="0"/>
    <n v="1"/>
    <n v="0.16"/>
    <n v="0.18179999999999999"/>
    <n v="0.8"/>
    <n v="0.1045"/>
    <n v="0"/>
    <n v="33"/>
    <n v="33"/>
    <s v="REC-0642"/>
    <d v="2011-01-30T00:00:00"/>
    <s v="Jan"/>
    <x v="1"/>
    <x v="0"/>
    <s v="Non-Working Day"/>
    <s v="Spring"/>
    <x v="0"/>
    <s v="Night"/>
    <s v="Cold"/>
    <s v="High"/>
    <s v="Off-Peak"/>
    <n v="0"/>
    <s v="Normal"/>
    <n v="1"/>
  </r>
  <r>
    <n v="643"/>
    <x v="29"/>
    <n v="1"/>
    <n v="0"/>
    <n v="1"/>
    <n v="1"/>
    <b v="0"/>
    <n v="0"/>
    <n v="1"/>
    <n v="0.14000000000000001"/>
    <n v="0.21210000000000001"/>
    <n v="0.8"/>
    <n v="0"/>
    <n v="7"/>
    <n v="22"/>
    <n v="29"/>
    <s v="REC-0643"/>
    <d v="2011-01-30T01:00:00"/>
    <s v="Jan"/>
    <x v="1"/>
    <x v="0"/>
    <s v="Non-Working Day"/>
    <s v="Spring"/>
    <x v="0"/>
    <s v="Night"/>
    <s v="Cold"/>
    <s v="High"/>
    <s v="Off-Peak"/>
    <n v="0.2413793103448276"/>
    <s v="Normal"/>
    <n v="1"/>
  </r>
  <r>
    <n v="644"/>
    <x v="29"/>
    <n v="1"/>
    <n v="0"/>
    <n v="1"/>
    <n v="2"/>
    <b v="0"/>
    <n v="0"/>
    <n v="1"/>
    <n v="0.16"/>
    <n v="0.2273"/>
    <n v="0.8"/>
    <n v="0"/>
    <n v="1"/>
    <n v="10"/>
    <n v="11"/>
    <s v="REC-0644"/>
    <d v="2011-01-30T02:00:00"/>
    <s v="Jan"/>
    <x v="1"/>
    <x v="0"/>
    <s v="Non-Working Day"/>
    <s v="Spring"/>
    <x v="0"/>
    <s v="Night"/>
    <s v="Cold"/>
    <s v="High"/>
    <s v="Off-Peak"/>
    <n v="9.0909090909090912E-2"/>
    <s v="Low"/>
    <n v="1"/>
  </r>
  <r>
    <n v="645"/>
    <x v="29"/>
    <n v="1"/>
    <n v="0"/>
    <n v="1"/>
    <n v="3"/>
    <b v="0"/>
    <n v="0"/>
    <n v="1"/>
    <n v="0.14000000000000001"/>
    <n v="0.21210000000000001"/>
    <n v="0.93"/>
    <n v="0"/>
    <n v="1"/>
    <n v="7"/>
    <n v="8"/>
    <s v="REC-0645"/>
    <d v="2011-01-30T03:00:00"/>
    <s v="Jan"/>
    <x v="1"/>
    <x v="0"/>
    <s v="Non-Working Day"/>
    <s v="Spring"/>
    <x v="0"/>
    <s v="Night"/>
    <s v="Cold"/>
    <s v="High"/>
    <s v="Off-Peak"/>
    <n v="0.125"/>
    <s v="Low"/>
    <n v="1"/>
  </r>
  <r>
    <n v="646"/>
    <x v="29"/>
    <n v="1"/>
    <n v="0"/>
    <n v="1"/>
    <n v="4"/>
    <b v="0"/>
    <n v="0"/>
    <n v="1"/>
    <n v="0.14000000000000001"/>
    <n v="0.21210000000000001"/>
    <n v="0.93"/>
    <n v="0"/>
    <n v="0"/>
    <n v="1"/>
    <n v="1"/>
    <s v="REC-0646"/>
    <d v="2011-01-30T04:00:00"/>
    <s v="Jan"/>
    <x v="1"/>
    <x v="0"/>
    <s v="Non-Working Day"/>
    <s v="Spring"/>
    <x v="0"/>
    <s v="Night"/>
    <s v="Cold"/>
    <s v="High"/>
    <s v="Off-Peak"/>
    <n v="0"/>
    <s v="Low"/>
    <n v="1"/>
  </r>
  <r>
    <n v="647"/>
    <x v="29"/>
    <n v="1"/>
    <n v="0"/>
    <n v="1"/>
    <n v="5"/>
    <b v="0"/>
    <n v="0"/>
    <n v="1"/>
    <n v="0.14000000000000001"/>
    <n v="0.21210000000000001"/>
    <n v="0.86"/>
    <n v="0"/>
    <n v="0"/>
    <n v="3"/>
    <n v="3"/>
    <s v="REC-0647"/>
    <d v="2011-01-30T05:00:00"/>
    <s v="Jan"/>
    <x v="1"/>
    <x v="0"/>
    <s v="Non-Working Day"/>
    <s v="Spring"/>
    <x v="0"/>
    <s v="Night"/>
    <s v="Cold"/>
    <s v="High"/>
    <s v="Off-Peak"/>
    <n v="0"/>
    <s v="Low"/>
    <n v="1"/>
  </r>
  <r>
    <n v="648"/>
    <x v="29"/>
    <n v="1"/>
    <n v="0"/>
    <n v="1"/>
    <n v="7"/>
    <b v="0"/>
    <n v="0"/>
    <n v="1"/>
    <n v="0.14000000000000001"/>
    <n v="0.21210000000000001"/>
    <n v="0.86"/>
    <n v="0"/>
    <n v="0"/>
    <n v="3"/>
    <n v="3"/>
    <s v="REC-0648"/>
    <d v="2011-01-30T07:00:00"/>
    <s v="Jan"/>
    <x v="1"/>
    <x v="0"/>
    <s v="Non-Working Day"/>
    <s v="Spring"/>
    <x v="0"/>
    <s v="Morning"/>
    <s v="Cold"/>
    <s v="High"/>
    <s v="Off-Peak"/>
    <n v="0"/>
    <s v="Low"/>
    <n v="1"/>
  </r>
  <r>
    <n v="649"/>
    <x v="29"/>
    <n v="1"/>
    <n v="0"/>
    <n v="1"/>
    <n v="8"/>
    <b v="0"/>
    <n v="0"/>
    <n v="2"/>
    <n v="0.14000000000000001"/>
    <n v="0.21210000000000001"/>
    <n v="0.86"/>
    <n v="0"/>
    <n v="1"/>
    <n v="11"/>
    <n v="12"/>
    <s v="REC-0649"/>
    <d v="2011-01-30T08:00:00"/>
    <s v="Jan"/>
    <x v="1"/>
    <x v="0"/>
    <s v="Non-Working Day"/>
    <s v="Spring"/>
    <x v="1"/>
    <s v="Morning"/>
    <s v="Cold"/>
    <s v="High"/>
    <s v="Off-Peak"/>
    <n v="8.3333333333333329E-2"/>
    <s v="Low"/>
    <n v="1"/>
  </r>
  <r>
    <n v="650"/>
    <x v="29"/>
    <n v="1"/>
    <n v="0"/>
    <n v="1"/>
    <n v="9"/>
    <b v="0"/>
    <n v="0"/>
    <n v="2"/>
    <n v="0.16"/>
    <n v="0.2273"/>
    <n v="0.8"/>
    <n v="0"/>
    <n v="4"/>
    <n v="34"/>
    <n v="38"/>
    <s v="REC-0650"/>
    <d v="2011-01-30T09:00:00"/>
    <s v="Jan"/>
    <x v="1"/>
    <x v="0"/>
    <s v="Non-Working Day"/>
    <s v="Spring"/>
    <x v="1"/>
    <s v="Morning"/>
    <s v="Cold"/>
    <s v="High"/>
    <s v="Off-Peak"/>
    <n v="0.10526315789473684"/>
    <s v="Normal"/>
    <n v="1"/>
  </r>
  <r>
    <n v="651"/>
    <x v="29"/>
    <n v="1"/>
    <n v="0"/>
    <n v="1"/>
    <n v="10"/>
    <b v="0"/>
    <n v="0"/>
    <n v="2"/>
    <n v="0.18"/>
    <n v="0.2424"/>
    <n v="0.8"/>
    <n v="0"/>
    <n v="7"/>
    <n v="57"/>
    <n v="64"/>
    <s v="REC-0651"/>
    <d v="2011-01-30T10:00:00"/>
    <s v="Jan"/>
    <x v="1"/>
    <x v="0"/>
    <s v="Non-Working Day"/>
    <s v="Spring"/>
    <x v="1"/>
    <s v="Morning"/>
    <s v="Cold"/>
    <s v="High"/>
    <s v="Off-Peak"/>
    <n v="0.109375"/>
    <s v="Normal"/>
    <n v="1"/>
  </r>
  <r>
    <n v="652"/>
    <x v="29"/>
    <n v="1"/>
    <n v="0"/>
    <n v="1"/>
    <n v="11"/>
    <b v="0"/>
    <n v="0"/>
    <n v="1"/>
    <n v="0.22"/>
    <n v="0.2727"/>
    <n v="0.75"/>
    <n v="0"/>
    <n v="9"/>
    <n v="50"/>
    <n v="59"/>
    <s v="REC-0652"/>
    <d v="2011-01-30T11:00:00"/>
    <s v="Jan"/>
    <x v="1"/>
    <x v="0"/>
    <s v="Non-Working Day"/>
    <s v="Spring"/>
    <x v="0"/>
    <s v="Morning"/>
    <s v="Mild"/>
    <s v="High"/>
    <s v="Off-Peak"/>
    <n v="0.15254237288135594"/>
    <s v="Normal"/>
    <n v="1"/>
  </r>
  <r>
    <n v="653"/>
    <x v="29"/>
    <n v="1"/>
    <n v="0"/>
    <n v="1"/>
    <n v="12"/>
    <b v="0"/>
    <n v="0"/>
    <n v="1"/>
    <n v="0.3"/>
    <n v="0.31819999999999998"/>
    <n v="0.52"/>
    <n v="0.1045"/>
    <n v="10"/>
    <n v="87"/>
    <n v="97"/>
    <s v="REC-0653"/>
    <d v="2011-01-30T12:00:00"/>
    <s v="Jan"/>
    <x v="1"/>
    <x v="0"/>
    <s v="Non-Working Day"/>
    <s v="Spring"/>
    <x v="0"/>
    <s v="Afternoon"/>
    <s v="Warm"/>
    <s v="Medium"/>
    <s v="Off-Peak"/>
    <n v="0.10309278350515463"/>
    <s v="High"/>
    <n v="1"/>
  </r>
  <r>
    <n v="654"/>
    <x v="29"/>
    <n v="1"/>
    <n v="0"/>
    <n v="1"/>
    <n v="13"/>
    <b v="0"/>
    <n v="0"/>
    <n v="1"/>
    <n v="0.28000000000000003"/>
    <n v="0.28789999999999999"/>
    <n v="0.61"/>
    <n v="0.1045"/>
    <n v="13"/>
    <n v="71"/>
    <n v="84"/>
    <s v="REC-0654"/>
    <d v="2011-01-30T13:00:00"/>
    <s v="Jan"/>
    <x v="1"/>
    <x v="0"/>
    <s v="Non-Working Day"/>
    <s v="Spring"/>
    <x v="0"/>
    <s v="Afternoon"/>
    <s v="Mild"/>
    <s v="Medium"/>
    <s v="Off-Peak"/>
    <n v="0.15476190476190477"/>
    <s v="High"/>
    <n v="1"/>
  </r>
  <r>
    <n v="655"/>
    <x v="29"/>
    <n v="1"/>
    <n v="0"/>
    <n v="1"/>
    <n v="14"/>
    <b v="0"/>
    <n v="0"/>
    <n v="1"/>
    <n v="0.28000000000000003"/>
    <n v="0.30299999999999999"/>
    <n v="0.61"/>
    <n v="8.9599999999999999E-2"/>
    <n v="18"/>
    <n v="104"/>
    <n v="122"/>
    <s v="REC-0655"/>
    <d v="2011-01-30T14:00:00"/>
    <s v="Jan"/>
    <x v="1"/>
    <x v="0"/>
    <s v="Non-Working Day"/>
    <s v="Spring"/>
    <x v="0"/>
    <s v="Afternoon"/>
    <s v="Mild"/>
    <s v="Medium"/>
    <s v="Off-Peak"/>
    <n v="0.14754098360655737"/>
    <s v="High"/>
    <n v="1"/>
  </r>
  <r>
    <n v="656"/>
    <x v="29"/>
    <n v="1"/>
    <n v="0"/>
    <n v="1"/>
    <n v="15"/>
    <b v="0"/>
    <n v="0"/>
    <n v="1"/>
    <n v="0.3"/>
    <n v="0.33329999999999999"/>
    <n v="0.56000000000000005"/>
    <n v="0"/>
    <n v="14"/>
    <n v="95"/>
    <n v="109"/>
    <s v="REC-0656"/>
    <d v="2011-01-30T15:00:00"/>
    <s v="Jan"/>
    <x v="1"/>
    <x v="0"/>
    <s v="Non-Working Day"/>
    <s v="Spring"/>
    <x v="0"/>
    <s v="Afternoon"/>
    <s v="Warm"/>
    <s v="Medium"/>
    <s v="Off-Peak"/>
    <n v="0.12844036697247707"/>
    <s v="High"/>
    <n v="1"/>
  </r>
  <r>
    <n v="657"/>
    <x v="29"/>
    <n v="1"/>
    <n v="0"/>
    <n v="1"/>
    <n v="16"/>
    <b v="0"/>
    <n v="0"/>
    <n v="1"/>
    <n v="0.3"/>
    <n v="0.33329999999999999"/>
    <n v="0.56000000000000005"/>
    <n v="0"/>
    <n v="19"/>
    <n v="104"/>
    <n v="123"/>
    <s v="REC-0657"/>
    <d v="2011-01-30T16:00:00"/>
    <s v="Jan"/>
    <x v="1"/>
    <x v="0"/>
    <s v="Non-Working Day"/>
    <s v="Spring"/>
    <x v="0"/>
    <s v="Afternoon"/>
    <s v="Warm"/>
    <s v="Medium"/>
    <s v="Off-Peak"/>
    <n v="0.15447154471544716"/>
    <s v="High"/>
    <n v="1"/>
  </r>
  <r>
    <n v="658"/>
    <x v="29"/>
    <n v="1"/>
    <n v="0"/>
    <n v="1"/>
    <n v="17"/>
    <b v="0"/>
    <n v="0"/>
    <n v="1"/>
    <n v="0.3"/>
    <n v="0.28789999999999999"/>
    <n v="0.56000000000000005"/>
    <n v="0.19400000000000001"/>
    <n v="6"/>
    <n v="71"/>
    <n v="77"/>
    <s v="REC-0658"/>
    <d v="2011-01-30T17:00:00"/>
    <s v="Jan"/>
    <x v="1"/>
    <x v="0"/>
    <s v="Non-Working Day"/>
    <s v="Spring"/>
    <x v="0"/>
    <s v="Evening"/>
    <s v="Warm"/>
    <s v="Medium"/>
    <s v="Off-Peak"/>
    <n v="7.792207792207792E-2"/>
    <s v="Normal"/>
    <n v="1"/>
  </r>
  <r>
    <n v="659"/>
    <x v="29"/>
    <n v="1"/>
    <n v="0"/>
    <n v="1"/>
    <n v="18"/>
    <b v="0"/>
    <n v="0"/>
    <n v="1"/>
    <n v="0.26"/>
    <n v="0.2576"/>
    <n v="0.65"/>
    <n v="0.16420000000000001"/>
    <n v="8"/>
    <n v="57"/>
    <n v="65"/>
    <s v="REC-0659"/>
    <d v="2011-01-30T18:00:00"/>
    <s v="Jan"/>
    <x v="1"/>
    <x v="0"/>
    <s v="Non-Working Day"/>
    <s v="Spring"/>
    <x v="0"/>
    <s v="Evening"/>
    <s v="Mild"/>
    <s v="Medium"/>
    <s v="Off-Peak"/>
    <n v="0.12307692307692308"/>
    <s v="Normal"/>
    <n v="1"/>
  </r>
  <r>
    <n v="660"/>
    <x v="29"/>
    <n v="1"/>
    <n v="0"/>
    <n v="1"/>
    <n v="19"/>
    <b v="0"/>
    <n v="0"/>
    <n v="1"/>
    <n v="0.26"/>
    <n v="0.2576"/>
    <n v="0.65"/>
    <n v="0.19400000000000001"/>
    <n v="9"/>
    <n v="46"/>
    <n v="55"/>
    <s v="REC-0660"/>
    <d v="2011-01-30T19:00:00"/>
    <s v="Jan"/>
    <x v="1"/>
    <x v="0"/>
    <s v="Non-Working Day"/>
    <s v="Spring"/>
    <x v="0"/>
    <s v="Evening"/>
    <s v="Mild"/>
    <s v="Medium"/>
    <s v="Off-Peak"/>
    <n v="0.16363636363636364"/>
    <s v="Normal"/>
    <n v="1"/>
  </r>
  <r>
    <n v="661"/>
    <x v="29"/>
    <n v="1"/>
    <n v="0"/>
    <n v="1"/>
    <n v="20"/>
    <b v="0"/>
    <n v="0"/>
    <n v="2"/>
    <n v="0.26"/>
    <n v="0.2727"/>
    <n v="0.65"/>
    <n v="0.1045"/>
    <n v="3"/>
    <n v="30"/>
    <n v="33"/>
    <s v="REC-0661"/>
    <d v="2011-01-30T20:00:00"/>
    <s v="Jan"/>
    <x v="1"/>
    <x v="0"/>
    <s v="Non-Working Day"/>
    <s v="Spring"/>
    <x v="1"/>
    <s v="Evening"/>
    <s v="Mild"/>
    <s v="Medium"/>
    <s v="Off-Peak"/>
    <n v="9.0909090909090912E-2"/>
    <s v="Normal"/>
    <n v="1"/>
  </r>
  <r>
    <n v="662"/>
    <x v="29"/>
    <n v="1"/>
    <n v="0"/>
    <n v="1"/>
    <n v="21"/>
    <b v="0"/>
    <n v="0"/>
    <n v="2"/>
    <n v="0.24"/>
    <n v="0.2424"/>
    <n v="0.7"/>
    <n v="0.16420000000000001"/>
    <n v="3"/>
    <n v="25"/>
    <n v="28"/>
    <s v="REC-0662"/>
    <d v="2011-01-30T21:00:00"/>
    <s v="Jan"/>
    <x v="1"/>
    <x v="0"/>
    <s v="Non-Working Day"/>
    <s v="Spring"/>
    <x v="1"/>
    <s v="Late Evening"/>
    <s v="Mild"/>
    <s v="Medium"/>
    <s v="Off-Peak"/>
    <n v="0.10714285714285714"/>
    <s v="Normal"/>
    <n v="1"/>
  </r>
  <r>
    <n v="663"/>
    <x v="29"/>
    <n v="1"/>
    <n v="0"/>
    <n v="1"/>
    <n v="22"/>
    <b v="0"/>
    <n v="0"/>
    <n v="2"/>
    <n v="0.24"/>
    <n v="0.2273"/>
    <n v="0.7"/>
    <n v="0.19400000000000001"/>
    <n v="2"/>
    <n v="19"/>
    <n v="21"/>
    <s v="REC-0663"/>
    <d v="2011-01-30T22:00:00"/>
    <s v="Jan"/>
    <x v="1"/>
    <x v="0"/>
    <s v="Non-Working Day"/>
    <s v="Spring"/>
    <x v="1"/>
    <s v="Late Evening"/>
    <s v="Mild"/>
    <s v="Medium"/>
    <s v="Off-Peak"/>
    <n v="9.5238095238095233E-2"/>
    <s v="Normal"/>
    <n v="1"/>
  </r>
  <r>
    <n v="664"/>
    <x v="29"/>
    <n v="1"/>
    <n v="0"/>
    <n v="1"/>
    <n v="23"/>
    <b v="0"/>
    <n v="0"/>
    <n v="2"/>
    <n v="0.24"/>
    <n v="0.21210000000000001"/>
    <n v="0.65"/>
    <n v="0.28360000000000002"/>
    <n v="5"/>
    <n v="16"/>
    <n v="21"/>
    <s v="REC-0664"/>
    <d v="2011-01-30T23:00:00"/>
    <s v="Jan"/>
    <x v="1"/>
    <x v="0"/>
    <s v="Non-Working Day"/>
    <s v="Spring"/>
    <x v="1"/>
    <s v="Late Evening"/>
    <s v="Mild"/>
    <s v="Medium"/>
    <s v="Off-Peak"/>
    <n v="0.23809523809523808"/>
    <s v="Normal"/>
    <n v="1"/>
  </r>
  <r>
    <n v="665"/>
    <x v="30"/>
    <n v="1"/>
    <n v="0"/>
    <n v="1"/>
    <n v="0"/>
    <b v="0"/>
    <n v="1"/>
    <n v="2"/>
    <n v="0.24"/>
    <n v="0.2273"/>
    <n v="0.65"/>
    <n v="0.22389999999999999"/>
    <n v="1"/>
    <n v="6"/>
    <n v="7"/>
    <s v="REC-0665"/>
    <d v="2011-01-31T00:00:00"/>
    <s v="Jan"/>
    <x v="2"/>
    <x v="1"/>
    <s v="Working Day"/>
    <s v="Spring"/>
    <x v="1"/>
    <s v="Night"/>
    <s v="Mild"/>
    <s v="Medium"/>
    <s v="Off-Peak"/>
    <n v="0.14285714285714285"/>
    <s v="Low"/>
    <n v="1"/>
  </r>
  <r>
    <n v="666"/>
    <x v="30"/>
    <n v="1"/>
    <n v="0"/>
    <n v="1"/>
    <n v="1"/>
    <b v="0"/>
    <n v="1"/>
    <n v="1"/>
    <n v="0.22"/>
    <n v="0.21210000000000001"/>
    <n v="0.64"/>
    <n v="0.25369999999999998"/>
    <n v="2"/>
    <n v="5"/>
    <n v="7"/>
    <s v="REC-0666"/>
    <d v="2011-01-31T01:00:00"/>
    <s v="Jan"/>
    <x v="2"/>
    <x v="1"/>
    <s v="Working Day"/>
    <s v="Spring"/>
    <x v="0"/>
    <s v="Night"/>
    <s v="Mild"/>
    <s v="Medium"/>
    <s v="Off-Peak"/>
    <n v="0.2857142857142857"/>
    <s v="Low"/>
    <n v="1"/>
  </r>
  <r>
    <n v="667"/>
    <x v="30"/>
    <n v="1"/>
    <n v="0"/>
    <n v="1"/>
    <n v="2"/>
    <b v="0"/>
    <n v="1"/>
    <n v="1"/>
    <n v="0.22"/>
    <n v="0.2273"/>
    <n v="0.64"/>
    <n v="0.19400000000000001"/>
    <n v="0"/>
    <n v="1"/>
    <n v="1"/>
    <s v="REC-0667"/>
    <d v="2011-01-31T02:00:00"/>
    <s v="Jan"/>
    <x v="2"/>
    <x v="1"/>
    <s v="Working Day"/>
    <s v="Spring"/>
    <x v="0"/>
    <s v="Night"/>
    <s v="Mild"/>
    <s v="Medium"/>
    <s v="Off-Peak"/>
    <n v="0"/>
    <s v="Low"/>
    <n v="1"/>
  </r>
  <r>
    <n v="668"/>
    <x v="30"/>
    <n v="1"/>
    <n v="0"/>
    <n v="1"/>
    <n v="3"/>
    <b v="0"/>
    <n v="1"/>
    <n v="1"/>
    <n v="0.22"/>
    <n v="0.2273"/>
    <n v="0.64"/>
    <n v="0.19400000000000001"/>
    <n v="0"/>
    <n v="2"/>
    <n v="2"/>
    <s v="REC-0668"/>
    <d v="2011-01-31T03:00:00"/>
    <s v="Jan"/>
    <x v="2"/>
    <x v="1"/>
    <s v="Working Day"/>
    <s v="Spring"/>
    <x v="0"/>
    <s v="Night"/>
    <s v="Mild"/>
    <s v="Medium"/>
    <s v="Off-Peak"/>
    <n v="0"/>
    <s v="Low"/>
    <n v="1"/>
  </r>
  <r>
    <n v="669"/>
    <x v="30"/>
    <n v="1"/>
    <n v="0"/>
    <n v="1"/>
    <n v="4"/>
    <b v="0"/>
    <n v="1"/>
    <n v="1"/>
    <n v="0.2"/>
    <n v="0.19700000000000001"/>
    <n v="0.59"/>
    <n v="0.22389999999999999"/>
    <n v="0"/>
    <n v="2"/>
    <n v="2"/>
    <s v="REC-0669"/>
    <d v="2011-01-31T04:00:00"/>
    <s v="Jan"/>
    <x v="2"/>
    <x v="1"/>
    <s v="Working Day"/>
    <s v="Spring"/>
    <x v="0"/>
    <s v="Night"/>
    <s v="Mild"/>
    <s v="Medium"/>
    <s v="Off-Peak"/>
    <n v="0"/>
    <s v="Low"/>
    <n v="1"/>
  </r>
  <r>
    <n v="670"/>
    <x v="30"/>
    <n v="1"/>
    <n v="0"/>
    <n v="1"/>
    <n v="5"/>
    <b v="0"/>
    <n v="1"/>
    <n v="1"/>
    <n v="0.18"/>
    <n v="0.16669999999999999"/>
    <n v="0.64"/>
    <n v="0.28360000000000002"/>
    <n v="0"/>
    <n v="8"/>
    <n v="8"/>
    <s v="REC-0670"/>
    <d v="2011-01-31T05:00:00"/>
    <s v="Jan"/>
    <x v="2"/>
    <x v="1"/>
    <s v="Working Day"/>
    <s v="Spring"/>
    <x v="0"/>
    <s v="Night"/>
    <s v="Cold"/>
    <s v="Medium"/>
    <s v="Off-Peak"/>
    <n v="0"/>
    <s v="Low"/>
    <n v="1"/>
  </r>
  <r>
    <n v="671"/>
    <x v="30"/>
    <n v="1"/>
    <n v="0"/>
    <n v="1"/>
    <n v="6"/>
    <b v="0"/>
    <n v="1"/>
    <n v="1"/>
    <n v="0.16"/>
    <n v="0.13639999999999999"/>
    <n v="0.69"/>
    <n v="0.32840000000000003"/>
    <n v="0"/>
    <n v="37"/>
    <n v="37"/>
    <s v="REC-0671"/>
    <d v="2011-01-31T06:00:00"/>
    <s v="Jan"/>
    <x v="2"/>
    <x v="1"/>
    <s v="Working Day"/>
    <s v="Spring"/>
    <x v="0"/>
    <s v="Morning"/>
    <s v="Cold"/>
    <s v="Medium"/>
    <s v="Off-Peak"/>
    <n v="0"/>
    <s v="Normal"/>
    <n v="1"/>
  </r>
  <r>
    <n v="672"/>
    <x v="30"/>
    <n v="1"/>
    <n v="0"/>
    <n v="1"/>
    <n v="7"/>
    <b v="0"/>
    <n v="1"/>
    <n v="2"/>
    <n v="0.16"/>
    <n v="0.13639999999999999"/>
    <n v="0.64"/>
    <n v="0.28360000000000002"/>
    <n v="1"/>
    <n v="71"/>
    <n v="72"/>
    <s v="REC-0672"/>
    <d v="2011-01-31T07:00:00"/>
    <s v="Jan"/>
    <x v="2"/>
    <x v="1"/>
    <s v="Working Day"/>
    <s v="Spring"/>
    <x v="1"/>
    <s v="Morning"/>
    <s v="Cold"/>
    <s v="Medium"/>
    <s v="Peak"/>
    <n v="1.3888888888888888E-2"/>
    <s v="Normal"/>
    <n v="1"/>
  </r>
  <r>
    <n v="673"/>
    <x v="30"/>
    <n v="1"/>
    <n v="0"/>
    <n v="1"/>
    <n v="8"/>
    <b v="0"/>
    <n v="1"/>
    <n v="2"/>
    <n v="0.16"/>
    <n v="0.13639999999999999"/>
    <n v="0.59"/>
    <n v="0.28360000000000002"/>
    <n v="3"/>
    <n v="182"/>
    <n v="185"/>
    <s v="REC-0673"/>
    <d v="2011-01-31T08:00:00"/>
    <s v="Jan"/>
    <x v="2"/>
    <x v="1"/>
    <s v="Working Day"/>
    <s v="Spring"/>
    <x v="1"/>
    <s v="Morning"/>
    <s v="Cold"/>
    <s v="Medium"/>
    <s v="Peak"/>
    <n v="1.6216216216216217E-2"/>
    <s v="High"/>
    <n v="1"/>
  </r>
  <r>
    <n v="674"/>
    <x v="30"/>
    <n v="1"/>
    <n v="0"/>
    <n v="1"/>
    <n v="9"/>
    <b v="0"/>
    <n v="1"/>
    <n v="2"/>
    <n v="0.16"/>
    <n v="0.13639999999999999"/>
    <n v="0.59"/>
    <n v="0.29849999999999999"/>
    <n v="0"/>
    <n v="112"/>
    <n v="112"/>
    <s v="REC-0674"/>
    <d v="2011-01-31T09:00:00"/>
    <s v="Jan"/>
    <x v="2"/>
    <x v="1"/>
    <s v="Working Day"/>
    <s v="Spring"/>
    <x v="1"/>
    <s v="Morning"/>
    <s v="Cold"/>
    <s v="Medium"/>
    <s v="Peak"/>
    <n v="0"/>
    <s v="High"/>
    <n v="1"/>
  </r>
  <r>
    <n v="675"/>
    <x v="30"/>
    <n v="1"/>
    <n v="0"/>
    <n v="1"/>
    <n v="10"/>
    <b v="0"/>
    <n v="1"/>
    <n v="2"/>
    <n v="0.16"/>
    <n v="0.1515"/>
    <n v="0.59"/>
    <n v="0.19400000000000001"/>
    <n v="1"/>
    <n v="68"/>
    <n v="69"/>
    <s v="REC-0675"/>
    <d v="2011-01-31T10:00:00"/>
    <s v="Jan"/>
    <x v="2"/>
    <x v="1"/>
    <s v="Working Day"/>
    <s v="Spring"/>
    <x v="1"/>
    <s v="Morning"/>
    <s v="Cold"/>
    <s v="Medium"/>
    <s v="Off-Peak"/>
    <n v="1.4492753623188406E-2"/>
    <s v="Normal"/>
    <n v="1"/>
  </r>
  <r>
    <n v="676"/>
    <x v="30"/>
    <n v="1"/>
    <n v="0"/>
    <n v="1"/>
    <n v="11"/>
    <b v="0"/>
    <n v="1"/>
    <n v="2"/>
    <n v="0.16"/>
    <n v="0.1515"/>
    <n v="0.59"/>
    <n v="0.19400000000000001"/>
    <n v="2"/>
    <n v="46"/>
    <n v="48"/>
    <s v="REC-0676"/>
    <d v="2011-01-31T11:00:00"/>
    <s v="Jan"/>
    <x v="2"/>
    <x v="1"/>
    <s v="Working Day"/>
    <s v="Spring"/>
    <x v="1"/>
    <s v="Morning"/>
    <s v="Cold"/>
    <s v="Medium"/>
    <s v="Off-Peak"/>
    <n v="4.1666666666666664E-2"/>
    <s v="Normal"/>
    <n v="1"/>
  </r>
  <r>
    <n v="677"/>
    <x v="30"/>
    <n v="1"/>
    <n v="0"/>
    <n v="1"/>
    <n v="12"/>
    <b v="0"/>
    <n v="1"/>
    <n v="2"/>
    <n v="0.18"/>
    <n v="0.21210000000000001"/>
    <n v="0.55000000000000004"/>
    <n v="0.1045"/>
    <n v="6"/>
    <n v="62"/>
    <n v="68"/>
    <s v="REC-0677"/>
    <d v="2011-01-31T12:00:00"/>
    <s v="Jan"/>
    <x v="2"/>
    <x v="1"/>
    <s v="Working Day"/>
    <s v="Spring"/>
    <x v="1"/>
    <s v="Afternoon"/>
    <s v="Cold"/>
    <s v="Medium"/>
    <s v="Off-Peak"/>
    <n v="8.8235294117647065E-2"/>
    <s v="Normal"/>
    <n v="1"/>
  </r>
  <r>
    <n v="678"/>
    <x v="30"/>
    <n v="1"/>
    <n v="0"/>
    <n v="1"/>
    <n v="13"/>
    <b v="0"/>
    <n v="1"/>
    <n v="2"/>
    <n v="0.16"/>
    <n v="0.2273"/>
    <n v="0.59"/>
    <n v="0"/>
    <n v="2"/>
    <n v="52"/>
    <n v="54"/>
    <s v="REC-0678"/>
    <d v="2011-01-31T13:00:00"/>
    <s v="Jan"/>
    <x v="2"/>
    <x v="1"/>
    <s v="Working Day"/>
    <s v="Spring"/>
    <x v="1"/>
    <s v="Afternoon"/>
    <s v="Cold"/>
    <s v="Medium"/>
    <s v="Off-Peak"/>
    <n v="3.7037037037037035E-2"/>
    <s v="Normal"/>
    <n v="1"/>
  </r>
  <r>
    <n v="679"/>
    <x v="30"/>
    <n v="1"/>
    <n v="0"/>
    <n v="1"/>
    <n v="14"/>
    <b v="0"/>
    <n v="1"/>
    <n v="2"/>
    <n v="0.18"/>
    <n v="0.19700000000000001"/>
    <n v="0.55000000000000004"/>
    <n v="0.1343"/>
    <n v="1"/>
    <n v="85"/>
    <n v="86"/>
    <s v="REC-0679"/>
    <d v="2011-01-31T14:00:00"/>
    <s v="Jan"/>
    <x v="2"/>
    <x v="1"/>
    <s v="Working Day"/>
    <s v="Spring"/>
    <x v="1"/>
    <s v="Afternoon"/>
    <s v="Cold"/>
    <s v="Medium"/>
    <s v="Off-Peak"/>
    <n v="1.1627906976744186E-2"/>
    <s v="High"/>
    <n v="1"/>
  </r>
  <r>
    <n v="680"/>
    <x v="30"/>
    <n v="1"/>
    <n v="0"/>
    <n v="1"/>
    <n v="15"/>
    <b v="0"/>
    <n v="1"/>
    <n v="2"/>
    <n v="0.16"/>
    <n v="0.18179999999999999"/>
    <n v="0.59"/>
    <n v="0.1343"/>
    <n v="3"/>
    <n v="41"/>
    <n v="44"/>
    <s v="REC-0680"/>
    <d v="2011-01-31T15:00:00"/>
    <s v="Jan"/>
    <x v="2"/>
    <x v="1"/>
    <s v="Working Day"/>
    <s v="Spring"/>
    <x v="1"/>
    <s v="Afternoon"/>
    <s v="Cold"/>
    <s v="Medium"/>
    <s v="Off-Peak"/>
    <n v="6.8181818181818177E-2"/>
    <s v="Normal"/>
    <n v="1"/>
  </r>
  <r>
    <n v="681"/>
    <x v="30"/>
    <n v="1"/>
    <n v="0"/>
    <n v="1"/>
    <n v="16"/>
    <b v="0"/>
    <n v="1"/>
    <n v="2"/>
    <n v="0.16"/>
    <n v="0.18179999999999999"/>
    <n v="0.56000000000000005"/>
    <n v="0.19400000000000001"/>
    <n v="3"/>
    <n v="83"/>
    <n v="86"/>
    <s v="REC-0681"/>
    <d v="2011-01-31T16:00:00"/>
    <s v="Jan"/>
    <x v="2"/>
    <x v="1"/>
    <s v="Working Day"/>
    <s v="Spring"/>
    <x v="1"/>
    <s v="Afternoon"/>
    <s v="Cold"/>
    <s v="Medium"/>
    <s v="Peak"/>
    <n v="3.4883720930232558E-2"/>
    <s v="High"/>
    <n v="1"/>
  </r>
  <r>
    <n v="682"/>
    <x v="30"/>
    <n v="1"/>
    <n v="0"/>
    <n v="1"/>
    <n v="17"/>
    <b v="0"/>
    <n v="1"/>
    <n v="2"/>
    <n v="0.16"/>
    <n v="0.1515"/>
    <n v="0.59"/>
    <n v="0.19400000000000001"/>
    <n v="6"/>
    <n v="155"/>
    <n v="161"/>
    <s v="REC-0682"/>
    <d v="2011-01-31T17:00:00"/>
    <s v="Jan"/>
    <x v="2"/>
    <x v="1"/>
    <s v="Working Day"/>
    <s v="Spring"/>
    <x v="1"/>
    <s v="Evening"/>
    <s v="Cold"/>
    <s v="Medium"/>
    <s v="Peak"/>
    <n v="3.7267080745341616E-2"/>
    <s v="High"/>
    <n v="1"/>
  </r>
  <r>
    <n v="683"/>
    <x v="30"/>
    <n v="1"/>
    <n v="0"/>
    <n v="1"/>
    <n v="18"/>
    <b v="0"/>
    <n v="1"/>
    <n v="2"/>
    <n v="0.16"/>
    <n v="0.1515"/>
    <n v="0.55000000000000004"/>
    <n v="0.22389999999999999"/>
    <n v="3"/>
    <n v="153"/>
    <n v="156"/>
    <s v="REC-0683"/>
    <d v="2011-01-31T18:00:00"/>
    <s v="Jan"/>
    <x v="2"/>
    <x v="1"/>
    <s v="Working Day"/>
    <s v="Spring"/>
    <x v="1"/>
    <s v="Evening"/>
    <s v="Cold"/>
    <s v="Medium"/>
    <s v="Peak"/>
    <n v="1.9230769230769232E-2"/>
    <s v="High"/>
    <n v="1"/>
  </r>
  <r>
    <n v="684"/>
    <x v="30"/>
    <n v="1"/>
    <n v="0"/>
    <n v="1"/>
    <n v="19"/>
    <b v="0"/>
    <n v="1"/>
    <n v="1"/>
    <n v="0.3"/>
    <n v="0.31819999999999998"/>
    <n v="0.61"/>
    <n v="0.1045"/>
    <n v="3"/>
    <n v="108"/>
    <n v="111"/>
    <s v="REC-0684"/>
    <d v="2011-01-31T19:00:00"/>
    <s v="Jan"/>
    <x v="2"/>
    <x v="1"/>
    <s v="Working Day"/>
    <s v="Spring"/>
    <x v="0"/>
    <s v="Evening"/>
    <s v="Warm"/>
    <s v="Medium"/>
    <s v="Peak"/>
    <n v="2.7027027027027029E-2"/>
    <s v="High"/>
    <n v="1"/>
  </r>
  <r>
    <n v="685"/>
    <x v="30"/>
    <n v="1"/>
    <n v="0"/>
    <n v="1"/>
    <n v="20"/>
    <b v="0"/>
    <n v="1"/>
    <n v="3"/>
    <n v="0.16"/>
    <n v="0.16669999999999999"/>
    <n v="0.59"/>
    <n v="0.16420000000000001"/>
    <n v="0"/>
    <n v="78"/>
    <n v="78"/>
    <s v="REC-0685"/>
    <d v="2011-01-31T20:00:00"/>
    <s v="Jan"/>
    <x v="2"/>
    <x v="1"/>
    <s v="Working Day"/>
    <s v="Spring"/>
    <x v="2"/>
    <s v="Evening"/>
    <s v="Cold"/>
    <s v="Medium"/>
    <s v="Off-Peak"/>
    <n v="0"/>
    <s v="Normal"/>
    <n v="1"/>
  </r>
  <r>
    <n v="686"/>
    <x v="30"/>
    <n v="1"/>
    <n v="0"/>
    <n v="1"/>
    <n v="21"/>
    <b v="0"/>
    <n v="1"/>
    <n v="3"/>
    <n v="0.16"/>
    <n v="0.19700000000000001"/>
    <n v="0.59"/>
    <n v="8.9599999999999999E-2"/>
    <n v="3"/>
    <n v="53"/>
    <n v="56"/>
    <s v="REC-0686"/>
    <d v="2011-01-31T21:00:00"/>
    <s v="Jan"/>
    <x v="2"/>
    <x v="1"/>
    <s v="Working Day"/>
    <s v="Spring"/>
    <x v="2"/>
    <s v="Late Evening"/>
    <s v="Cold"/>
    <s v="Medium"/>
    <s v="Off-Peak"/>
    <n v="5.3571428571428568E-2"/>
    <s v="Normal"/>
    <n v="1"/>
  </r>
  <r>
    <n v="687"/>
    <x v="30"/>
    <n v="1"/>
    <n v="0"/>
    <n v="1"/>
    <n v="22"/>
    <b v="0"/>
    <n v="1"/>
    <n v="2"/>
    <n v="0.16"/>
    <n v="0.18179999999999999"/>
    <n v="0.59"/>
    <n v="0.1045"/>
    <n v="0"/>
    <n v="34"/>
    <n v="34"/>
    <s v="REC-0687"/>
    <d v="2011-01-31T22:00:00"/>
    <s v="Jan"/>
    <x v="2"/>
    <x v="1"/>
    <s v="Working Day"/>
    <s v="Spring"/>
    <x v="1"/>
    <s v="Late Evening"/>
    <s v="Cold"/>
    <s v="Medium"/>
    <s v="Off-Peak"/>
    <n v="0"/>
    <s v="Normal"/>
    <n v="1"/>
  </r>
  <r>
    <n v="688"/>
    <x v="30"/>
    <n v="1"/>
    <n v="0"/>
    <n v="1"/>
    <n v="23"/>
    <b v="0"/>
    <n v="1"/>
    <n v="2"/>
    <n v="0.16"/>
    <n v="0.19700000000000001"/>
    <n v="0.64"/>
    <n v="8.9599999999999999E-2"/>
    <n v="2"/>
    <n v="15"/>
    <n v="17"/>
    <s v="REC-0688"/>
    <d v="2011-01-31T23:00:00"/>
    <s v="Jan"/>
    <x v="2"/>
    <x v="1"/>
    <s v="Working Day"/>
    <s v="Spring"/>
    <x v="1"/>
    <s v="Late Evening"/>
    <s v="Cold"/>
    <s v="Medium"/>
    <s v="Off-Peak"/>
    <n v="0.11764705882352941"/>
    <s v="Normal"/>
    <n v="1"/>
  </r>
  <r>
    <n v="689"/>
    <x v="31"/>
    <n v="1"/>
    <n v="0"/>
    <n v="2"/>
    <n v="0"/>
    <b v="0"/>
    <n v="2"/>
    <n v="2"/>
    <n v="0.16"/>
    <n v="0.18179999999999999"/>
    <n v="0.64"/>
    <n v="0.1045"/>
    <n v="2"/>
    <n v="6"/>
    <n v="8"/>
    <s v="REC-0689"/>
    <d v="2011-02-01T00:00:00"/>
    <s v="Feb"/>
    <x v="3"/>
    <x v="1"/>
    <s v="Working Day"/>
    <s v="Spring"/>
    <x v="1"/>
    <s v="Night"/>
    <s v="Cold"/>
    <s v="Medium"/>
    <s v="Off-Peak"/>
    <n v="0.25"/>
    <s v="Low"/>
    <n v="1"/>
  </r>
  <r>
    <n v="690"/>
    <x v="31"/>
    <n v="1"/>
    <n v="0"/>
    <n v="2"/>
    <n v="1"/>
    <b v="0"/>
    <n v="2"/>
    <n v="2"/>
    <n v="0.16"/>
    <n v="0.18179999999999999"/>
    <n v="0.69"/>
    <n v="0.1045"/>
    <n v="0"/>
    <n v="3"/>
    <n v="3"/>
    <s v="REC-0690"/>
    <d v="2011-02-01T01:00:00"/>
    <s v="Feb"/>
    <x v="3"/>
    <x v="1"/>
    <s v="Working Day"/>
    <s v="Spring"/>
    <x v="1"/>
    <s v="Night"/>
    <s v="Cold"/>
    <s v="Medium"/>
    <s v="Off-Peak"/>
    <n v="0"/>
    <s v="Low"/>
    <n v="1"/>
  </r>
  <r>
    <n v="691"/>
    <x v="31"/>
    <n v="1"/>
    <n v="0"/>
    <n v="2"/>
    <n v="2"/>
    <b v="0"/>
    <n v="2"/>
    <n v="2"/>
    <n v="0.16"/>
    <n v="0.2273"/>
    <n v="0.69"/>
    <n v="0"/>
    <n v="0"/>
    <n v="2"/>
    <n v="2"/>
    <s v="REC-0691"/>
    <d v="2011-02-01T02:00:00"/>
    <s v="Feb"/>
    <x v="3"/>
    <x v="1"/>
    <s v="Working Day"/>
    <s v="Spring"/>
    <x v="1"/>
    <s v="Night"/>
    <s v="Cold"/>
    <s v="Medium"/>
    <s v="Off-Peak"/>
    <n v="0"/>
    <s v="Low"/>
    <n v="1"/>
  </r>
  <r>
    <n v="692"/>
    <x v="31"/>
    <n v="1"/>
    <n v="0"/>
    <n v="2"/>
    <n v="3"/>
    <b v="0"/>
    <n v="2"/>
    <n v="2"/>
    <n v="0.16"/>
    <n v="0.2273"/>
    <n v="0.69"/>
    <n v="0"/>
    <n v="0"/>
    <n v="2"/>
    <n v="2"/>
    <s v="REC-0692"/>
    <d v="2011-02-01T03:00:00"/>
    <s v="Feb"/>
    <x v="3"/>
    <x v="1"/>
    <s v="Working Day"/>
    <s v="Spring"/>
    <x v="1"/>
    <s v="Night"/>
    <s v="Cold"/>
    <s v="Medium"/>
    <s v="Off-Peak"/>
    <n v="0"/>
    <s v="Low"/>
    <n v="1"/>
  </r>
  <r>
    <n v="693"/>
    <x v="31"/>
    <n v="1"/>
    <n v="0"/>
    <n v="2"/>
    <n v="5"/>
    <b v="0"/>
    <n v="2"/>
    <n v="3"/>
    <n v="0.14000000000000001"/>
    <n v="0.21210000000000001"/>
    <n v="0.93"/>
    <n v="0"/>
    <n v="0"/>
    <n v="3"/>
    <n v="3"/>
    <s v="REC-0693"/>
    <d v="2011-02-01T05:00:00"/>
    <s v="Feb"/>
    <x v="3"/>
    <x v="1"/>
    <s v="Working Day"/>
    <s v="Spring"/>
    <x v="2"/>
    <s v="Night"/>
    <s v="Cold"/>
    <s v="High"/>
    <s v="Off-Peak"/>
    <n v="0"/>
    <s v="Low"/>
    <n v="1"/>
  </r>
  <r>
    <n v="694"/>
    <x v="31"/>
    <n v="1"/>
    <n v="0"/>
    <n v="2"/>
    <n v="6"/>
    <b v="0"/>
    <n v="2"/>
    <n v="3"/>
    <n v="0.14000000000000001"/>
    <n v="0.21210000000000001"/>
    <n v="0.93"/>
    <n v="0"/>
    <n v="0"/>
    <n v="22"/>
    <n v="22"/>
    <s v="REC-0694"/>
    <d v="2011-02-01T06:00:00"/>
    <s v="Feb"/>
    <x v="3"/>
    <x v="1"/>
    <s v="Working Day"/>
    <s v="Spring"/>
    <x v="2"/>
    <s v="Morning"/>
    <s v="Cold"/>
    <s v="High"/>
    <s v="Off-Peak"/>
    <n v="0"/>
    <s v="Normal"/>
    <n v="1"/>
  </r>
  <r>
    <n v="695"/>
    <x v="31"/>
    <n v="1"/>
    <n v="0"/>
    <n v="2"/>
    <n v="7"/>
    <b v="0"/>
    <n v="2"/>
    <n v="3"/>
    <n v="0.16"/>
    <n v="0.2273"/>
    <n v="0.93"/>
    <n v="0"/>
    <n v="0"/>
    <n v="52"/>
    <n v="52"/>
    <s v="REC-0695"/>
    <d v="2011-02-01T07:00:00"/>
    <s v="Feb"/>
    <x v="3"/>
    <x v="1"/>
    <s v="Working Day"/>
    <s v="Spring"/>
    <x v="2"/>
    <s v="Morning"/>
    <s v="Cold"/>
    <s v="High"/>
    <s v="Peak"/>
    <n v="0"/>
    <s v="Normal"/>
    <n v="1"/>
  </r>
  <r>
    <n v="696"/>
    <x v="31"/>
    <n v="1"/>
    <n v="0"/>
    <n v="2"/>
    <n v="8"/>
    <b v="0"/>
    <n v="2"/>
    <n v="3"/>
    <n v="0.16"/>
    <n v="0.2273"/>
    <n v="0.93"/>
    <n v="0"/>
    <n v="3"/>
    <n v="132"/>
    <n v="135"/>
    <s v="REC-0696"/>
    <d v="2011-02-01T08:00:00"/>
    <s v="Feb"/>
    <x v="3"/>
    <x v="1"/>
    <s v="Working Day"/>
    <s v="Spring"/>
    <x v="2"/>
    <s v="Morning"/>
    <s v="Cold"/>
    <s v="High"/>
    <s v="Peak"/>
    <n v="2.2222222222222223E-2"/>
    <s v="High"/>
    <n v="1"/>
  </r>
  <r>
    <n v="697"/>
    <x v="31"/>
    <n v="1"/>
    <n v="0"/>
    <n v="2"/>
    <n v="9"/>
    <b v="0"/>
    <n v="2"/>
    <n v="2"/>
    <n v="0.16"/>
    <n v="0.2273"/>
    <n v="0.93"/>
    <n v="0"/>
    <n v="2"/>
    <n v="114"/>
    <n v="116"/>
    <s v="REC-0697"/>
    <d v="2011-02-01T09:00:00"/>
    <s v="Feb"/>
    <x v="3"/>
    <x v="1"/>
    <s v="Working Day"/>
    <s v="Spring"/>
    <x v="1"/>
    <s v="Morning"/>
    <s v="Cold"/>
    <s v="High"/>
    <s v="Peak"/>
    <n v="1.7241379310344827E-2"/>
    <s v="High"/>
    <n v="1"/>
  </r>
  <r>
    <n v="698"/>
    <x v="31"/>
    <n v="1"/>
    <n v="0"/>
    <n v="2"/>
    <n v="10"/>
    <b v="0"/>
    <n v="2"/>
    <n v="2"/>
    <n v="0.16"/>
    <n v="0.2273"/>
    <n v="0.93"/>
    <n v="0"/>
    <n v="0"/>
    <n v="47"/>
    <n v="47"/>
    <s v="REC-0698"/>
    <d v="2011-02-01T10:00:00"/>
    <s v="Feb"/>
    <x v="3"/>
    <x v="1"/>
    <s v="Working Day"/>
    <s v="Spring"/>
    <x v="1"/>
    <s v="Morning"/>
    <s v="Cold"/>
    <s v="High"/>
    <s v="Off-Peak"/>
    <n v="0"/>
    <s v="Normal"/>
    <n v="1"/>
  </r>
  <r>
    <n v="699"/>
    <x v="31"/>
    <n v="1"/>
    <n v="0"/>
    <n v="2"/>
    <n v="11"/>
    <b v="0"/>
    <n v="2"/>
    <n v="2"/>
    <n v="0.18"/>
    <n v="0.2424"/>
    <n v="0.86"/>
    <n v="0"/>
    <n v="2"/>
    <n v="49"/>
    <n v="51"/>
    <s v="REC-0699"/>
    <d v="2011-02-01T11:00:00"/>
    <s v="Feb"/>
    <x v="3"/>
    <x v="1"/>
    <s v="Working Day"/>
    <s v="Spring"/>
    <x v="1"/>
    <s v="Morning"/>
    <s v="Cold"/>
    <s v="High"/>
    <s v="Off-Peak"/>
    <n v="3.9215686274509803E-2"/>
    <s v="Normal"/>
    <n v="1"/>
  </r>
  <r>
    <n v="700"/>
    <x v="31"/>
    <n v="1"/>
    <n v="0"/>
    <n v="2"/>
    <n v="12"/>
    <b v="0"/>
    <n v="2"/>
    <n v="2"/>
    <n v="0.2"/>
    <n v="0.2576"/>
    <n v="0.86"/>
    <n v="0"/>
    <n v="2"/>
    <n v="53"/>
    <n v="55"/>
    <s v="REC-0700"/>
    <d v="2011-02-01T12:00:00"/>
    <s v="Feb"/>
    <x v="3"/>
    <x v="1"/>
    <s v="Working Day"/>
    <s v="Spring"/>
    <x v="1"/>
    <s v="Afternoon"/>
    <s v="Mild"/>
    <s v="High"/>
    <s v="Off-Peak"/>
    <n v="3.6363636363636362E-2"/>
    <s v="Normal"/>
    <n v="1"/>
  </r>
  <r>
    <n v="701"/>
    <x v="31"/>
    <n v="1"/>
    <n v="0"/>
    <n v="2"/>
    <n v="13"/>
    <b v="0"/>
    <n v="2"/>
    <n v="2"/>
    <n v="0.2"/>
    <n v="0.2576"/>
    <n v="0.86"/>
    <n v="0"/>
    <n v="3"/>
    <n v="49"/>
    <n v="52"/>
    <s v="REC-0701"/>
    <d v="2011-02-01T13:00:00"/>
    <s v="Feb"/>
    <x v="3"/>
    <x v="1"/>
    <s v="Working Day"/>
    <s v="Spring"/>
    <x v="1"/>
    <s v="Afternoon"/>
    <s v="Mild"/>
    <s v="High"/>
    <s v="Off-Peak"/>
    <n v="5.7692307692307696E-2"/>
    <s v="Normal"/>
    <n v="1"/>
  </r>
  <r>
    <n v="702"/>
    <x v="31"/>
    <n v="1"/>
    <n v="0"/>
    <n v="2"/>
    <n v="14"/>
    <b v="0"/>
    <n v="2"/>
    <n v="2"/>
    <n v="0.22"/>
    <n v="0.2576"/>
    <n v="0.8"/>
    <n v="8.9599999999999999E-2"/>
    <n v="5"/>
    <n v="49"/>
    <n v="54"/>
    <s v="REC-0702"/>
    <d v="2011-02-01T14:00:00"/>
    <s v="Feb"/>
    <x v="3"/>
    <x v="1"/>
    <s v="Working Day"/>
    <s v="Spring"/>
    <x v="1"/>
    <s v="Afternoon"/>
    <s v="Mild"/>
    <s v="High"/>
    <s v="Off-Peak"/>
    <n v="9.2592592592592587E-2"/>
    <s v="Normal"/>
    <n v="1"/>
  </r>
  <r>
    <n v="703"/>
    <x v="31"/>
    <n v="1"/>
    <n v="0"/>
    <n v="2"/>
    <n v="15"/>
    <b v="0"/>
    <n v="2"/>
    <n v="2"/>
    <n v="0.24"/>
    <n v="0.28789999999999999"/>
    <n v="0.75"/>
    <n v="0"/>
    <n v="7"/>
    <n v="45"/>
    <n v="52"/>
    <s v="REC-0703"/>
    <d v="2011-02-01T15:00:00"/>
    <s v="Feb"/>
    <x v="3"/>
    <x v="1"/>
    <s v="Working Day"/>
    <s v="Spring"/>
    <x v="1"/>
    <s v="Afternoon"/>
    <s v="Mild"/>
    <s v="High"/>
    <s v="Off-Peak"/>
    <n v="0.13461538461538461"/>
    <s v="Normal"/>
    <n v="1"/>
  </r>
  <r>
    <n v="704"/>
    <x v="31"/>
    <n v="1"/>
    <n v="0"/>
    <n v="2"/>
    <n v="16"/>
    <b v="0"/>
    <n v="2"/>
    <n v="2"/>
    <n v="0.24"/>
    <n v="0.2424"/>
    <n v="0.75"/>
    <n v="0.1343"/>
    <n v="3"/>
    <n v="61"/>
    <n v="64"/>
    <s v="REC-0704"/>
    <d v="2011-02-01T16:00:00"/>
    <s v="Feb"/>
    <x v="3"/>
    <x v="1"/>
    <s v="Working Day"/>
    <s v="Spring"/>
    <x v="1"/>
    <s v="Afternoon"/>
    <s v="Mild"/>
    <s v="High"/>
    <s v="Peak"/>
    <n v="4.6875E-2"/>
    <s v="Normal"/>
    <n v="1"/>
  </r>
  <r>
    <n v="705"/>
    <x v="31"/>
    <n v="1"/>
    <n v="0"/>
    <n v="2"/>
    <n v="17"/>
    <b v="0"/>
    <n v="2"/>
    <n v="2"/>
    <n v="0.24"/>
    <n v="0.28789999999999999"/>
    <n v="0.75"/>
    <n v="0"/>
    <n v="4"/>
    <n v="172"/>
    <n v="176"/>
    <s v="REC-0705"/>
    <d v="2011-02-01T17:00:00"/>
    <s v="Feb"/>
    <x v="3"/>
    <x v="1"/>
    <s v="Working Day"/>
    <s v="Spring"/>
    <x v="1"/>
    <s v="Evening"/>
    <s v="Mild"/>
    <s v="High"/>
    <s v="Peak"/>
    <n v="2.2727272727272728E-2"/>
    <s v="High"/>
    <n v="1"/>
  </r>
  <r>
    <n v="706"/>
    <x v="31"/>
    <n v="1"/>
    <n v="0"/>
    <n v="2"/>
    <n v="18"/>
    <b v="0"/>
    <n v="2"/>
    <n v="2"/>
    <n v="0.24"/>
    <n v="0.2576"/>
    <n v="0.81"/>
    <n v="0.1045"/>
    <n v="3"/>
    <n v="165"/>
    <n v="168"/>
    <s v="REC-0706"/>
    <d v="2011-02-01T18:00:00"/>
    <s v="Feb"/>
    <x v="3"/>
    <x v="1"/>
    <s v="Working Day"/>
    <s v="Spring"/>
    <x v="1"/>
    <s v="Evening"/>
    <s v="Mild"/>
    <s v="High"/>
    <s v="Peak"/>
    <n v="1.7857142857142856E-2"/>
    <s v="High"/>
    <n v="1"/>
  </r>
  <r>
    <n v="707"/>
    <x v="31"/>
    <n v="1"/>
    <n v="0"/>
    <n v="2"/>
    <n v="19"/>
    <b v="0"/>
    <n v="2"/>
    <n v="2"/>
    <n v="0.24"/>
    <n v="0.2424"/>
    <n v="0.81"/>
    <n v="0.1343"/>
    <n v="3"/>
    <n v="105"/>
    <n v="108"/>
    <s v="REC-0707"/>
    <d v="2011-02-01T19:00:00"/>
    <s v="Feb"/>
    <x v="3"/>
    <x v="1"/>
    <s v="Working Day"/>
    <s v="Spring"/>
    <x v="1"/>
    <s v="Evening"/>
    <s v="Mild"/>
    <s v="High"/>
    <s v="Peak"/>
    <n v="2.7777777777777776E-2"/>
    <s v="High"/>
    <n v="1"/>
  </r>
  <r>
    <n v="708"/>
    <x v="31"/>
    <n v="1"/>
    <n v="0"/>
    <n v="2"/>
    <n v="20"/>
    <b v="0"/>
    <n v="2"/>
    <n v="2"/>
    <n v="0.22"/>
    <n v="0.2273"/>
    <n v="0.87"/>
    <n v="0.1343"/>
    <n v="5"/>
    <n v="69"/>
    <n v="74"/>
    <s v="REC-0708"/>
    <d v="2011-02-01T20:00:00"/>
    <s v="Feb"/>
    <x v="3"/>
    <x v="1"/>
    <s v="Working Day"/>
    <s v="Spring"/>
    <x v="1"/>
    <s v="Evening"/>
    <s v="Mild"/>
    <s v="High"/>
    <s v="Off-Peak"/>
    <n v="6.7567567567567571E-2"/>
    <s v="Normal"/>
    <n v="1"/>
  </r>
  <r>
    <n v="709"/>
    <x v="31"/>
    <n v="1"/>
    <n v="0"/>
    <n v="2"/>
    <n v="21"/>
    <b v="0"/>
    <n v="2"/>
    <n v="2"/>
    <n v="0.22"/>
    <n v="0.2273"/>
    <n v="0.87"/>
    <n v="0.1343"/>
    <n v="0"/>
    <n v="64"/>
    <n v="64"/>
    <s v="REC-0709"/>
    <d v="2011-02-01T21:00:00"/>
    <s v="Feb"/>
    <x v="3"/>
    <x v="1"/>
    <s v="Working Day"/>
    <s v="Spring"/>
    <x v="1"/>
    <s v="Late Evening"/>
    <s v="Mild"/>
    <s v="High"/>
    <s v="Off-Peak"/>
    <n v="0"/>
    <s v="Normal"/>
    <n v="1"/>
  </r>
  <r>
    <n v="710"/>
    <x v="31"/>
    <n v="1"/>
    <n v="0"/>
    <n v="2"/>
    <n v="22"/>
    <b v="0"/>
    <n v="2"/>
    <n v="2"/>
    <n v="0.22"/>
    <n v="0.2576"/>
    <n v="0.87"/>
    <n v="8.9599999999999999E-2"/>
    <n v="2"/>
    <n v="34"/>
    <n v="36"/>
    <s v="REC-0710"/>
    <d v="2011-02-01T22:00:00"/>
    <s v="Feb"/>
    <x v="3"/>
    <x v="1"/>
    <s v="Working Day"/>
    <s v="Spring"/>
    <x v="1"/>
    <s v="Late Evening"/>
    <s v="Mild"/>
    <s v="High"/>
    <s v="Off-Peak"/>
    <n v="5.5555555555555552E-2"/>
    <s v="Normal"/>
    <n v="1"/>
  </r>
  <r>
    <n v="711"/>
    <x v="31"/>
    <n v="1"/>
    <n v="0"/>
    <n v="2"/>
    <n v="23"/>
    <b v="0"/>
    <n v="2"/>
    <n v="3"/>
    <n v="0.2"/>
    <n v="0.19700000000000001"/>
    <n v="0.93"/>
    <n v="0.19400000000000001"/>
    <n v="1"/>
    <n v="15"/>
    <n v="16"/>
    <s v="REC-0711"/>
    <d v="2011-02-01T23:00:00"/>
    <s v="Feb"/>
    <x v="3"/>
    <x v="1"/>
    <s v="Working Day"/>
    <s v="Spring"/>
    <x v="2"/>
    <s v="Late Evening"/>
    <s v="Mild"/>
    <s v="High"/>
    <s v="Off-Peak"/>
    <n v="6.25E-2"/>
    <s v="Low"/>
    <n v="1"/>
  </r>
  <r>
    <n v="712"/>
    <x v="32"/>
    <n v="1"/>
    <n v="0"/>
    <n v="2"/>
    <n v="0"/>
    <b v="0"/>
    <n v="3"/>
    <n v="3"/>
    <n v="0.22"/>
    <n v="0.2424"/>
    <n v="0.93"/>
    <n v="0.1045"/>
    <n v="0"/>
    <n v="2"/>
    <n v="2"/>
    <s v="REC-0712"/>
    <d v="2011-02-02T00:00:00"/>
    <s v="Feb"/>
    <x v="4"/>
    <x v="1"/>
    <s v="Working Day"/>
    <s v="Spring"/>
    <x v="2"/>
    <s v="Night"/>
    <s v="Mild"/>
    <s v="High"/>
    <s v="Off-Peak"/>
    <n v="0"/>
    <s v="Low"/>
    <n v="1"/>
  </r>
  <r>
    <n v="713"/>
    <x v="32"/>
    <n v="1"/>
    <n v="0"/>
    <n v="2"/>
    <n v="1"/>
    <b v="0"/>
    <n v="3"/>
    <n v="3"/>
    <n v="0.22"/>
    <n v="0.2273"/>
    <n v="0.93"/>
    <n v="0.19400000000000001"/>
    <n v="0"/>
    <n v="3"/>
    <n v="3"/>
    <s v="REC-0713"/>
    <d v="2011-02-02T01:00:00"/>
    <s v="Feb"/>
    <x v="4"/>
    <x v="1"/>
    <s v="Working Day"/>
    <s v="Spring"/>
    <x v="2"/>
    <s v="Night"/>
    <s v="Mild"/>
    <s v="High"/>
    <s v="Off-Peak"/>
    <n v="0"/>
    <s v="Low"/>
    <n v="1"/>
  </r>
  <r>
    <n v="714"/>
    <x v="32"/>
    <n v="1"/>
    <n v="0"/>
    <n v="2"/>
    <n v="2"/>
    <b v="0"/>
    <n v="3"/>
    <n v="3"/>
    <n v="0.22"/>
    <n v="0.2273"/>
    <n v="0.93"/>
    <n v="0.1343"/>
    <n v="4"/>
    <n v="0"/>
    <n v="4"/>
    <s v="REC-0714"/>
    <d v="2011-02-02T02:00:00"/>
    <s v="Feb"/>
    <x v="4"/>
    <x v="1"/>
    <s v="Working Day"/>
    <s v="Spring"/>
    <x v="2"/>
    <s v="Night"/>
    <s v="Mild"/>
    <s v="High"/>
    <s v="Off-Peak"/>
    <n v="1"/>
    <s v="Low"/>
    <n v="1"/>
  </r>
  <r>
    <n v="715"/>
    <x v="32"/>
    <n v="1"/>
    <n v="0"/>
    <n v="2"/>
    <n v="3"/>
    <b v="0"/>
    <n v="3"/>
    <n v="3"/>
    <n v="0.22"/>
    <n v="0.2273"/>
    <n v="0.93"/>
    <n v="0.1343"/>
    <n v="0"/>
    <n v="1"/>
    <n v="1"/>
    <s v="REC-0715"/>
    <d v="2011-02-02T03:00:00"/>
    <s v="Feb"/>
    <x v="4"/>
    <x v="1"/>
    <s v="Working Day"/>
    <s v="Spring"/>
    <x v="2"/>
    <s v="Night"/>
    <s v="Mild"/>
    <s v="High"/>
    <s v="Off-Peak"/>
    <n v="0"/>
    <s v="Low"/>
    <n v="1"/>
  </r>
  <r>
    <n v="716"/>
    <x v="32"/>
    <n v="1"/>
    <n v="0"/>
    <n v="2"/>
    <n v="4"/>
    <b v="0"/>
    <n v="3"/>
    <n v="3"/>
    <n v="0.22"/>
    <n v="0.21210000000000001"/>
    <n v="0.93"/>
    <n v="0.28360000000000002"/>
    <n v="0"/>
    <n v="1"/>
    <n v="1"/>
    <s v="REC-0716"/>
    <d v="2011-02-02T04:00:00"/>
    <s v="Feb"/>
    <x v="4"/>
    <x v="1"/>
    <s v="Working Day"/>
    <s v="Spring"/>
    <x v="2"/>
    <s v="Night"/>
    <s v="Mild"/>
    <s v="High"/>
    <s v="Off-Peak"/>
    <n v="0"/>
    <s v="Low"/>
    <n v="1"/>
  </r>
  <r>
    <n v="717"/>
    <x v="32"/>
    <n v="1"/>
    <n v="0"/>
    <n v="2"/>
    <n v="5"/>
    <b v="0"/>
    <n v="3"/>
    <n v="3"/>
    <n v="0.22"/>
    <n v="0.2424"/>
    <n v="0.93"/>
    <n v="0.1045"/>
    <n v="0"/>
    <n v="3"/>
    <n v="3"/>
    <s v="REC-0717"/>
    <d v="2011-02-02T05:00:00"/>
    <s v="Feb"/>
    <x v="4"/>
    <x v="1"/>
    <s v="Working Day"/>
    <s v="Spring"/>
    <x v="2"/>
    <s v="Night"/>
    <s v="Mild"/>
    <s v="High"/>
    <s v="Off-Peak"/>
    <n v="0"/>
    <s v="Low"/>
    <n v="1"/>
  </r>
  <r>
    <n v="718"/>
    <x v="32"/>
    <n v="1"/>
    <n v="0"/>
    <n v="2"/>
    <n v="6"/>
    <b v="0"/>
    <n v="3"/>
    <n v="3"/>
    <n v="0.22"/>
    <n v="0.2424"/>
    <n v="0.93"/>
    <n v="0.1045"/>
    <n v="1"/>
    <n v="17"/>
    <n v="18"/>
    <s v="REC-0718"/>
    <d v="2011-02-02T06:00:00"/>
    <s v="Feb"/>
    <x v="4"/>
    <x v="1"/>
    <s v="Working Day"/>
    <s v="Spring"/>
    <x v="2"/>
    <s v="Morning"/>
    <s v="Mild"/>
    <s v="High"/>
    <s v="Off-Peak"/>
    <n v="5.5555555555555552E-2"/>
    <s v="Normal"/>
    <n v="1"/>
  </r>
  <r>
    <n v="719"/>
    <x v="32"/>
    <n v="1"/>
    <n v="0"/>
    <n v="2"/>
    <n v="7"/>
    <b v="0"/>
    <n v="3"/>
    <n v="3"/>
    <n v="0.22"/>
    <n v="0.21210000000000001"/>
    <n v="0.93"/>
    <n v="0.22389999999999999"/>
    <n v="1"/>
    <n v="48"/>
    <n v="49"/>
    <s v="REC-0719"/>
    <d v="2011-02-02T07:00:00"/>
    <s v="Feb"/>
    <x v="4"/>
    <x v="1"/>
    <s v="Working Day"/>
    <s v="Spring"/>
    <x v="2"/>
    <s v="Morning"/>
    <s v="Mild"/>
    <s v="High"/>
    <s v="Peak"/>
    <n v="2.0408163265306121E-2"/>
    <s v="Normal"/>
    <n v="1"/>
  </r>
  <r>
    <n v="720"/>
    <x v="32"/>
    <n v="1"/>
    <n v="0"/>
    <n v="2"/>
    <n v="8"/>
    <b v="0"/>
    <n v="3"/>
    <n v="3"/>
    <n v="0.22"/>
    <n v="0.21210000000000001"/>
    <n v="0.93"/>
    <n v="0.22389999999999999"/>
    <n v="1"/>
    <n v="154"/>
    <n v="155"/>
    <s v="REC-0720"/>
    <d v="2011-02-02T08:00:00"/>
    <s v="Feb"/>
    <x v="4"/>
    <x v="1"/>
    <s v="Working Day"/>
    <s v="Spring"/>
    <x v="2"/>
    <s v="Morning"/>
    <s v="Mild"/>
    <s v="High"/>
    <s v="Peak"/>
    <n v="6.4516129032258064E-3"/>
    <s v="High"/>
    <n v="1"/>
  </r>
  <r>
    <n v="721"/>
    <x v="32"/>
    <n v="1"/>
    <n v="0"/>
    <n v="2"/>
    <n v="9"/>
    <b v="0"/>
    <n v="3"/>
    <n v="2"/>
    <n v="0.24"/>
    <n v="0.2576"/>
    <n v="0.93"/>
    <n v="8.9599999999999999E-2"/>
    <n v="4"/>
    <n v="119"/>
    <n v="123"/>
    <s v="REC-0721"/>
    <d v="2011-02-02T09:00:00"/>
    <s v="Feb"/>
    <x v="4"/>
    <x v="1"/>
    <s v="Working Day"/>
    <s v="Spring"/>
    <x v="1"/>
    <s v="Morning"/>
    <s v="Mild"/>
    <s v="High"/>
    <s v="Peak"/>
    <n v="3.2520325203252036E-2"/>
    <s v="High"/>
    <n v="1"/>
  </r>
  <r>
    <n v="722"/>
    <x v="32"/>
    <n v="1"/>
    <n v="0"/>
    <n v="2"/>
    <n v="10"/>
    <b v="0"/>
    <n v="3"/>
    <n v="2"/>
    <n v="0.22"/>
    <n v="0.2727"/>
    <n v="1"/>
    <n v="0"/>
    <n v="2"/>
    <n v="59"/>
    <n v="61"/>
    <s v="REC-0722"/>
    <d v="2011-02-02T10:00:00"/>
    <s v="Feb"/>
    <x v="4"/>
    <x v="1"/>
    <s v="Working Day"/>
    <s v="Spring"/>
    <x v="1"/>
    <s v="Morning"/>
    <s v="Mild"/>
    <s v="High"/>
    <s v="Off-Peak"/>
    <n v="3.2786885245901641E-2"/>
    <s v="Normal"/>
    <n v="1"/>
  </r>
  <r>
    <n v="723"/>
    <x v="32"/>
    <n v="1"/>
    <n v="0"/>
    <n v="2"/>
    <n v="11"/>
    <b v="0"/>
    <n v="3"/>
    <n v="2"/>
    <n v="0.24"/>
    <n v="0.2273"/>
    <n v="0.93"/>
    <n v="0.19400000000000001"/>
    <n v="5"/>
    <n v="47"/>
    <n v="52"/>
    <s v="REC-0723"/>
    <d v="2011-02-02T11:00:00"/>
    <s v="Feb"/>
    <x v="4"/>
    <x v="1"/>
    <s v="Working Day"/>
    <s v="Spring"/>
    <x v="1"/>
    <s v="Morning"/>
    <s v="Mild"/>
    <s v="High"/>
    <s v="Off-Peak"/>
    <n v="9.6153846153846159E-2"/>
    <s v="Normal"/>
    <n v="1"/>
  </r>
  <r>
    <n v="724"/>
    <x v="32"/>
    <n v="1"/>
    <n v="0"/>
    <n v="2"/>
    <n v="12"/>
    <b v="0"/>
    <n v="3"/>
    <n v="2"/>
    <n v="0.24"/>
    <n v="0.2273"/>
    <n v="0.93"/>
    <n v="0.22389999999999999"/>
    <n v="3"/>
    <n v="61"/>
    <n v="64"/>
    <s v="REC-0724"/>
    <d v="2011-02-02T12:00:00"/>
    <s v="Feb"/>
    <x v="4"/>
    <x v="1"/>
    <s v="Working Day"/>
    <s v="Spring"/>
    <x v="1"/>
    <s v="Afternoon"/>
    <s v="Mild"/>
    <s v="High"/>
    <s v="Off-Peak"/>
    <n v="4.6875E-2"/>
    <s v="Normal"/>
    <n v="1"/>
  </r>
  <r>
    <n v="725"/>
    <x v="32"/>
    <n v="1"/>
    <n v="0"/>
    <n v="2"/>
    <n v="13"/>
    <b v="0"/>
    <n v="3"/>
    <n v="1"/>
    <n v="0.34"/>
    <n v="0.33329999999999999"/>
    <n v="0.93"/>
    <n v="0.16420000000000001"/>
    <n v="1"/>
    <n v="74"/>
    <n v="75"/>
    <s v="REC-0725"/>
    <d v="2011-02-02T13:00:00"/>
    <s v="Feb"/>
    <x v="4"/>
    <x v="1"/>
    <s v="Working Day"/>
    <s v="Spring"/>
    <x v="0"/>
    <s v="Afternoon"/>
    <s v="Warm"/>
    <s v="High"/>
    <s v="Off-Peak"/>
    <n v="1.3333333333333334E-2"/>
    <s v="Normal"/>
    <n v="1"/>
  </r>
  <r>
    <n v="726"/>
    <x v="32"/>
    <n v="1"/>
    <n v="0"/>
    <n v="2"/>
    <n v="14"/>
    <b v="0"/>
    <n v="3"/>
    <n v="1"/>
    <n v="0.38"/>
    <n v="0.39389999999999997"/>
    <n v="0.82"/>
    <n v="0.3881"/>
    <n v="2"/>
    <n v="61"/>
    <n v="63"/>
    <s v="REC-0726"/>
    <d v="2011-02-02T14:00:00"/>
    <s v="Feb"/>
    <x v="4"/>
    <x v="1"/>
    <s v="Working Day"/>
    <s v="Spring"/>
    <x v="0"/>
    <s v="Afternoon"/>
    <s v="Warm"/>
    <s v="High"/>
    <s v="Off-Peak"/>
    <n v="3.1746031746031744E-2"/>
    <s v="Normal"/>
    <n v="1"/>
  </r>
  <r>
    <n v="727"/>
    <x v="32"/>
    <n v="1"/>
    <n v="0"/>
    <n v="2"/>
    <n v="15"/>
    <b v="0"/>
    <n v="3"/>
    <n v="1"/>
    <n v="0.38"/>
    <n v="0.39389999999999997"/>
    <n v="0.76"/>
    <n v="0.32840000000000003"/>
    <n v="10"/>
    <n v="66"/>
    <n v="76"/>
    <s v="REC-0727"/>
    <d v="2011-02-02T15:00:00"/>
    <s v="Feb"/>
    <x v="4"/>
    <x v="1"/>
    <s v="Working Day"/>
    <s v="Spring"/>
    <x v="0"/>
    <s v="Afternoon"/>
    <s v="Warm"/>
    <s v="High"/>
    <s v="Off-Peak"/>
    <n v="0.13157894736842105"/>
    <s v="Normal"/>
    <n v="1"/>
  </r>
  <r>
    <n v="728"/>
    <x v="32"/>
    <n v="1"/>
    <n v="0"/>
    <n v="2"/>
    <n v="16"/>
    <b v="0"/>
    <n v="3"/>
    <n v="1"/>
    <n v="0.36"/>
    <n v="0.33329999999999999"/>
    <n v="0.71"/>
    <n v="0.29849999999999999"/>
    <n v="8"/>
    <n v="95"/>
    <n v="103"/>
    <s v="REC-0728"/>
    <d v="2011-02-02T16:00:00"/>
    <s v="Feb"/>
    <x v="4"/>
    <x v="1"/>
    <s v="Working Day"/>
    <s v="Spring"/>
    <x v="0"/>
    <s v="Afternoon"/>
    <s v="Warm"/>
    <s v="Medium"/>
    <s v="Peak"/>
    <n v="7.7669902912621352E-2"/>
    <s v="High"/>
    <n v="1"/>
  </r>
  <r>
    <n v="729"/>
    <x v="32"/>
    <n v="1"/>
    <n v="0"/>
    <n v="2"/>
    <n v="17"/>
    <b v="0"/>
    <n v="3"/>
    <n v="1"/>
    <n v="0.36"/>
    <n v="0.31819999999999998"/>
    <n v="0.53"/>
    <n v="0.52239999999999998"/>
    <n v="7"/>
    <n v="183"/>
    <n v="190"/>
    <s v="REC-0729"/>
    <d v="2011-02-02T17:00:00"/>
    <s v="Feb"/>
    <x v="4"/>
    <x v="1"/>
    <s v="Working Day"/>
    <s v="Spring"/>
    <x v="0"/>
    <s v="Evening"/>
    <s v="Warm"/>
    <s v="Medium"/>
    <s v="Peak"/>
    <n v="3.6842105263157891E-2"/>
    <s v="High"/>
    <n v="1"/>
  </r>
  <r>
    <n v="730"/>
    <x v="32"/>
    <n v="1"/>
    <n v="0"/>
    <n v="2"/>
    <n v="18"/>
    <b v="0"/>
    <n v="3"/>
    <n v="1"/>
    <n v="0.34"/>
    <n v="0.28789999999999999"/>
    <n v="0.42"/>
    <n v="0.55220000000000002"/>
    <n v="7"/>
    <n v="175"/>
    <n v="182"/>
    <s v="REC-0730"/>
    <d v="2011-02-02T18:00:00"/>
    <s v="Feb"/>
    <x v="4"/>
    <x v="1"/>
    <s v="Working Day"/>
    <s v="Spring"/>
    <x v="0"/>
    <s v="Evening"/>
    <s v="Warm"/>
    <s v="Low"/>
    <s v="Peak"/>
    <n v="3.8461538461538464E-2"/>
    <s v="High"/>
    <n v="1"/>
  </r>
  <r>
    <n v="731"/>
    <x v="32"/>
    <n v="1"/>
    <n v="0"/>
    <n v="2"/>
    <n v="19"/>
    <b v="0"/>
    <n v="3"/>
    <n v="1"/>
    <n v="0.28000000000000003"/>
    <n v="0.2424"/>
    <n v="0.45"/>
    <n v="0.49249999999999999"/>
    <n v="3"/>
    <n v="88"/>
    <n v="91"/>
    <s v="REC-0731"/>
    <d v="2011-02-02T19:00:00"/>
    <s v="Feb"/>
    <x v="4"/>
    <x v="1"/>
    <s v="Working Day"/>
    <s v="Spring"/>
    <x v="0"/>
    <s v="Evening"/>
    <s v="Mild"/>
    <s v="Low"/>
    <s v="Peak"/>
    <n v="3.2967032967032968E-2"/>
    <s v="High"/>
    <n v="1"/>
  </r>
  <r>
    <n v="732"/>
    <x v="32"/>
    <n v="1"/>
    <n v="0"/>
    <n v="2"/>
    <n v="20"/>
    <b v="0"/>
    <n v="3"/>
    <n v="1"/>
    <n v="0.24"/>
    <n v="0.19700000000000001"/>
    <n v="0.48"/>
    <n v="0.55220000000000002"/>
    <n v="4"/>
    <n v="71"/>
    <n v="75"/>
    <s v="REC-0732"/>
    <d v="2011-02-02T20:00:00"/>
    <s v="Feb"/>
    <x v="4"/>
    <x v="1"/>
    <s v="Working Day"/>
    <s v="Spring"/>
    <x v="0"/>
    <s v="Evening"/>
    <s v="Mild"/>
    <s v="Low"/>
    <s v="Off-Peak"/>
    <n v="5.3333333333333337E-2"/>
    <s v="Normal"/>
    <n v="1"/>
  </r>
  <r>
    <n v="733"/>
    <x v="32"/>
    <n v="1"/>
    <n v="0"/>
    <n v="2"/>
    <n v="21"/>
    <b v="0"/>
    <n v="3"/>
    <n v="1"/>
    <n v="0.22"/>
    <n v="0.19700000000000001"/>
    <n v="0.47"/>
    <n v="0.32840000000000003"/>
    <n v="1"/>
    <n v="62"/>
    <n v="63"/>
    <s v="REC-0733"/>
    <d v="2011-02-02T21:00:00"/>
    <s v="Feb"/>
    <x v="4"/>
    <x v="1"/>
    <s v="Working Day"/>
    <s v="Spring"/>
    <x v="0"/>
    <s v="Late Evening"/>
    <s v="Mild"/>
    <s v="Low"/>
    <s v="Off-Peak"/>
    <n v="1.5873015873015872E-2"/>
    <s v="Normal"/>
    <n v="1"/>
  </r>
  <r>
    <n v="734"/>
    <x v="32"/>
    <n v="1"/>
    <n v="0"/>
    <n v="2"/>
    <n v="22"/>
    <b v="0"/>
    <n v="3"/>
    <n v="1"/>
    <n v="0.22"/>
    <n v="0.21210000000000001"/>
    <n v="0.44"/>
    <n v="0.25369999999999998"/>
    <n v="5"/>
    <n v="35"/>
    <n v="40"/>
    <s v="REC-0734"/>
    <d v="2011-02-02T22:00:00"/>
    <s v="Feb"/>
    <x v="4"/>
    <x v="1"/>
    <s v="Working Day"/>
    <s v="Spring"/>
    <x v="0"/>
    <s v="Late Evening"/>
    <s v="Mild"/>
    <s v="Low"/>
    <s v="Off-Peak"/>
    <n v="0.125"/>
    <s v="Normal"/>
    <n v="1"/>
  </r>
  <r>
    <n v="735"/>
    <x v="32"/>
    <n v="1"/>
    <n v="0"/>
    <n v="2"/>
    <n v="23"/>
    <b v="0"/>
    <n v="3"/>
    <n v="1"/>
    <n v="0.2"/>
    <n v="0.16669999999999999"/>
    <n v="0.44"/>
    <n v="0.44779999999999998"/>
    <n v="3"/>
    <n v="29"/>
    <n v="32"/>
    <s v="REC-0735"/>
    <d v="2011-02-02T23:00:00"/>
    <s v="Feb"/>
    <x v="4"/>
    <x v="1"/>
    <s v="Working Day"/>
    <s v="Spring"/>
    <x v="0"/>
    <s v="Late Evening"/>
    <s v="Mild"/>
    <s v="Low"/>
    <s v="Off-Peak"/>
    <n v="9.375E-2"/>
    <s v="Normal"/>
    <n v="1"/>
  </r>
  <r>
    <n v="736"/>
    <x v="33"/>
    <n v="1"/>
    <n v="0"/>
    <n v="2"/>
    <n v="0"/>
    <b v="0"/>
    <n v="4"/>
    <n v="1"/>
    <n v="0.2"/>
    <n v="0.16669999999999999"/>
    <n v="0.4"/>
    <n v="0.44779999999999998"/>
    <n v="1"/>
    <n v="11"/>
    <n v="12"/>
    <s v="REC-0736"/>
    <d v="2011-02-03T00:00:00"/>
    <s v="Feb"/>
    <x v="5"/>
    <x v="1"/>
    <s v="Working Day"/>
    <s v="Spring"/>
    <x v="0"/>
    <s v="Night"/>
    <s v="Mild"/>
    <s v="Low"/>
    <s v="Off-Peak"/>
    <n v="8.3333333333333329E-2"/>
    <s v="Low"/>
    <n v="1"/>
  </r>
  <r>
    <n v="737"/>
    <x v="33"/>
    <n v="1"/>
    <n v="0"/>
    <n v="2"/>
    <n v="1"/>
    <b v="0"/>
    <n v="4"/>
    <n v="1"/>
    <n v="0.2"/>
    <n v="0.1515"/>
    <n v="0.44"/>
    <n v="0.52239999999999998"/>
    <n v="0"/>
    <n v="5"/>
    <n v="5"/>
    <s v="REC-0737"/>
    <d v="2011-02-03T01:00:00"/>
    <s v="Feb"/>
    <x v="5"/>
    <x v="1"/>
    <s v="Working Day"/>
    <s v="Spring"/>
    <x v="0"/>
    <s v="Night"/>
    <s v="Mild"/>
    <s v="Low"/>
    <s v="Off-Peak"/>
    <n v="0"/>
    <s v="Low"/>
    <n v="1"/>
  </r>
  <r>
    <n v="738"/>
    <x v="33"/>
    <n v="1"/>
    <n v="0"/>
    <n v="2"/>
    <n v="2"/>
    <b v="0"/>
    <n v="4"/>
    <n v="1"/>
    <n v="0.18"/>
    <n v="0.16669999999999999"/>
    <n v="0.43"/>
    <n v="0.25369999999999998"/>
    <n v="0"/>
    <n v="2"/>
    <n v="2"/>
    <s v="REC-0738"/>
    <d v="2011-02-03T02:00:00"/>
    <s v="Feb"/>
    <x v="5"/>
    <x v="1"/>
    <s v="Working Day"/>
    <s v="Spring"/>
    <x v="0"/>
    <s v="Night"/>
    <s v="Cold"/>
    <s v="Low"/>
    <s v="Off-Peak"/>
    <n v="0"/>
    <s v="Low"/>
    <n v="1"/>
  </r>
  <r>
    <n v="739"/>
    <x v="33"/>
    <n v="1"/>
    <n v="0"/>
    <n v="2"/>
    <n v="3"/>
    <b v="0"/>
    <n v="4"/>
    <n v="1"/>
    <n v="0.18"/>
    <n v="0.16669999999999999"/>
    <n v="0.43"/>
    <n v="0.25369999999999998"/>
    <n v="0"/>
    <n v="1"/>
    <n v="1"/>
    <s v="REC-0739"/>
    <d v="2011-02-03T03:00:00"/>
    <s v="Feb"/>
    <x v="5"/>
    <x v="1"/>
    <s v="Working Day"/>
    <s v="Spring"/>
    <x v="0"/>
    <s v="Night"/>
    <s v="Cold"/>
    <s v="Low"/>
    <s v="Off-Peak"/>
    <n v="0"/>
    <s v="Low"/>
    <n v="1"/>
  </r>
  <r>
    <n v="740"/>
    <x v="33"/>
    <n v="1"/>
    <n v="0"/>
    <n v="2"/>
    <n v="5"/>
    <b v="0"/>
    <n v="4"/>
    <n v="1"/>
    <n v="0.16"/>
    <n v="0.13639999999999999"/>
    <n v="0.5"/>
    <n v="0.29849999999999999"/>
    <n v="0"/>
    <n v="2"/>
    <n v="2"/>
    <s v="REC-0740"/>
    <d v="2011-02-03T05:00:00"/>
    <s v="Feb"/>
    <x v="5"/>
    <x v="1"/>
    <s v="Working Day"/>
    <s v="Spring"/>
    <x v="0"/>
    <s v="Night"/>
    <s v="Cold"/>
    <s v="Medium"/>
    <s v="Off-Peak"/>
    <n v="0"/>
    <s v="Low"/>
    <n v="1"/>
  </r>
  <r>
    <n v="741"/>
    <x v="33"/>
    <n v="1"/>
    <n v="0"/>
    <n v="2"/>
    <n v="6"/>
    <b v="0"/>
    <n v="4"/>
    <n v="1"/>
    <n v="0.16"/>
    <n v="0.13639999999999999"/>
    <n v="0.43"/>
    <n v="0.35820000000000002"/>
    <n v="0"/>
    <n v="39"/>
    <n v="39"/>
    <s v="REC-0741"/>
    <d v="2011-02-03T06:00:00"/>
    <s v="Feb"/>
    <x v="5"/>
    <x v="1"/>
    <s v="Working Day"/>
    <s v="Spring"/>
    <x v="0"/>
    <s v="Morning"/>
    <s v="Cold"/>
    <s v="Low"/>
    <s v="Off-Peak"/>
    <n v="0"/>
    <s v="Normal"/>
    <n v="1"/>
  </r>
  <r>
    <n v="742"/>
    <x v="33"/>
    <n v="1"/>
    <n v="0"/>
    <n v="2"/>
    <n v="7"/>
    <b v="0"/>
    <n v="4"/>
    <n v="1"/>
    <n v="0.14000000000000001"/>
    <n v="0.1212"/>
    <n v="0.5"/>
    <n v="0.32840000000000003"/>
    <n v="1"/>
    <n v="86"/>
    <n v="87"/>
    <s v="REC-0742"/>
    <d v="2011-02-03T07:00:00"/>
    <s v="Feb"/>
    <x v="5"/>
    <x v="1"/>
    <s v="Working Day"/>
    <s v="Spring"/>
    <x v="0"/>
    <s v="Morning"/>
    <s v="Cold"/>
    <s v="Medium"/>
    <s v="Peak"/>
    <n v="1.1494252873563218E-2"/>
    <s v="High"/>
    <n v="1"/>
  </r>
  <r>
    <n v="743"/>
    <x v="33"/>
    <n v="1"/>
    <n v="0"/>
    <n v="2"/>
    <n v="8"/>
    <b v="0"/>
    <n v="4"/>
    <n v="1"/>
    <n v="0.14000000000000001"/>
    <n v="0.1212"/>
    <n v="0.5"/>
    <n v="0.35820000000000002"/>
    <n v="4"/>
    <n v="184"/>
    <n v="188"/>
    <s v="REC-0743"/>
    <d v="2011-02-03T08:00:00"/>
    <s v="Feb"/>
    <x v="5"/>
    <x v="1"/>
    <s v="Working Day"/>
    <s v="Spring"/>
    <x v="0"/>
    <s v="Morning"/>
    <s v="Cold"/>
    <s v="Medium"/>
    <s v="Peak"/>
    <n v="2.1276595744680851E-2"/>
    <s v="High"/>
    <n v="1"/>
  </r>
  <r>
    <n v="744"/>
    <x v="33"/>
    <n v="1"/>
    <n v="0"/>
    <n v="2"/>
    <n v="9"/>
    <b v="0"/>
    <n v="4"/>
    <n v="1"/>
    <n v="0.16"/>
    <n v="0.13639999999999999"/>
    <n v="0.47"/>
    <n v="0.29849999999999999"/>
    <n v="6"/>
    <n v="127"/>
    <n v="133"/>
    <s v="REC-0744"/>
    <d v="2011-02-03T09:00:00"/>
    <s v="Feb"/>
    <x v="5"/>
    <x v="1"/>
    <s v="Working Day"/>
    <s v="Spring"/>
    <x v="0"/>
    <s v="Morning"/>
    <s v="Cold"/>
    <s v="Low"/>
    <s v="Peak"/>
    <n v="4.5112781954887216E-2"/>
    <s v="High"/>
    <n v="1"/>
  </r>
  <r>
    <n v="745"/>
    <x v="33"/>
    <n v="1"/>
    <n v="0"/>
    <n v="2"/>
    <n v="10"/>
    <b v="0"/>
    <n v="4"/>
    <n v="1"/>
    <n v="0.18"/>
    <n v="0.1515"/>
    <n v="0.43"/>
    <n v="0.32840000000000003"/>
    <n v="2"/>
    <n v="50"/>
    <n v="52"/>
    <s v="REC-0745"/>
    <d v="2011-02-03T10:00:00"/>
    <s v="Feb"/>
    <x v="5"/>
    <x v="1"/>
    <s v="Working Day"/>
    <s v="Spring"/>
    <x v="0"/>
    <s v="Morning"/>
    <s v="Cold"/>
    <s v="Low"/>
    <s v="Off-Peak"/>
    <n v="3.8461538461538464E-2"/>
    <s v="Normal"/>
    <n v="1"/>
  </r>
  <r>
    <n v="746"/>
    <x v="33"/>
    <n v="1"/>
    <n v="0"/>
    <n v="2"/>
    <n v="11"/>
    <b v="0"/>
    <n v="4"/>
    <n v="1"/>
    <n v="0.18"/>
    <n v="0.13639999999999999"/>
    <n v="0.43"/>
    <n v="0.44779999999999998"/>
    <n v="9"/>
    <n v="55"/>
    <n v="64"/>
    <s v="REC-0746"/>
    <d v="2011-02-03T11:00:00"/>
    <s v="Feb"/>
    <x v="5"/>
    <x v="1"/>
    <s v="Working Day"/>
    <s v="Spring"/>
    <x v="0"/>
    <s v="Morning"/>
    <s v="Cold"/>
    <s v="Low"/>
    <s v="Off-Peak"/>
    <n v="0.140625"/>
    <s v="Normal"/>
    <n v="1"/>
  </r>
  <r>
    <n v="747"/>
    <x v="33"/>
    <n v="1"/>
    <n v="0"/>
    <n v="2"/>
    <n v="12"/>
    <b v="0"/>
    <n v="4"/>
    <n v="1"/>
    <n v="0.2"/>
    <n v="0.18179999999999999"/>
    <n v="0.4"/>
    <n v="0.35820000000000002"/>
    <n v="2"/>
    <n v="67"/>
    <n v="69"/>
    <s v="REC-0747"/>
    <d v="2011-02-03T12:00:00"/>
    <s v="Feb"/>
    <x v="5"/>
    <x v="1"/>
    <s v="Working Day"/>
    <s v="Spring"/>
    <x v="0"/>
    <s v="Afternoon"/>
    <s v="Mild"/>
    <s v="Low"/>
    <s v="Off-Peak"/>
    <n v="2.8985507246376812E-2"/>
    <s v="Normal"/>
    <n v="1"/>
  </r>
  <r>
    <n v="748"/>
    <x v="33"/>
    <n v="1"/>
    <n v="0"/>
    <n v="2"/>
    <n v="13"/>
    <b v="0"/>
    <n v="4"/>
    <n v="1"/>
    <n v="0.2"/>
    <n v="0.16669999999999999"/>
    <n v="0.4"/>
    <n v="0.41789999999999999"/>
    <n v="4"/>
    <n v="47"/>
    <n v="51"/>
    <s v="REC-0748"/>
    <d v="2011-02-03T13:00:00"/>
    <s v="Feb"/>
    <x v="5"/>
    <x v="1"/>
    <s v="Working Day"/>
    <s v="Spring"/>
    <x v="0"/>
    <s v="Afternoon"/>
    <s v="Mild"/>
    <s v="Low"/>
    <s v="Off-Peak"/>
    <n v="7.8431372549019607E-2"/>
    <s v="Normal"/>
    <n v="1"/>
  </r>
  <r>
    <n v="749"/>
    <x v="33"/>
    <n v="1"/>
    <n v="0"/>
    <n v="2"/>
    <n v="14"/>
    <b v="0"/>
    <n v="4"/>
    <n v="1"/>
    <n v="0.22"/>
    <n v="0.19700000000000001"/>
    <n v="0.37"/>
    <n v="0.3881"/>
    <n v="4"/>
    <n v="43"/>
    <n v="47"/>
    <s v="REC-0749"/>
    <d v="2011-02-03T14:00:00"/>
    <s v="Feb"/>
    <x v="5"/>
    <x v="1"/>
    <s v="Working Day"/>
    <s v="Spring"/>
    <x v="0"/>
    <s v="Afternoon"/>
    <s v="Mild"/>
    <s v="Low"/>
    <s v="Off-Peak"/>
    <n v="8.5106382978723402E-2"/>
    <s v="Normal"/>
    <n v="1"/>
  </r>
  <r>
    <n v="750"/>
    <x v="33"/>
    <n v="1"/>
    <n v="0"/>
    <n v="2"/>
    <n v="15"/>
    <b v="0"/>
    <n v="4"/>
    <n v="1"/>
    <n v="0.22"/>
    <n v="0.19700000000000001"/>
    <n v="0.37"/>
    <n v="0.32840000000000003"/>
    <n v="4"/>
    <n v="56"/>
    <n v="60"/>
    <s v="REC-0750"/>
    <d v="2011-02-03T15:00:00"/>
    <s v="Feb"/>
    <x v="5"/>
    <x v="1"/>
    <s v="Working Day"/>
    <s v="Spring"/>
    <x v="0"/>
    <s v="Afternoon"/>
    <s v="Mild"/>
    <s v="Low"/>
    <s v="Off-Peak"/>
    <n v="6.6666666666666666E-2"/>
    <s v="Normal"/>
    <n v="1"/>
  </r>
  <r>
    <n v="751"/>
    <x v="33"/>
    <n v="1"/>
    <n v="0"/>
    <n v="2"/>
    <n v="16"/>
    <b v="0"/>
    <n v="4"/>
    <n v="1"/>
    <n v="0.22"/>
    <n v="0.21210000000000001"/>
    <n v="0.37"/>
    <n v="0.25369999999999998"/>
    <n v="5"/>
    <n v="73"/>
    <n v="78"/>
    <s v="REC-0751"/>
    <d v="2011-02-03T16:00:00"/>
    <s v="Feb"/>
    <x v="5"/>
    <x v="1"/>
    <s v="Working Day"/>
    <s v="Spring"/>
    <x v="0"/>
    <s v="Afternoon"/>
    <s v="Mild"/>
    <s v="Low"/>
    <s v="Peak"/>
    <n v="6.4102564102564097E-2"/>
    <s v="Normal"/>
    <n v="1"/>
  </r>
  <r>
    <n v="752"/>
    <x v="33"/>
    <n v="1"/>
    <n v="0"/>
    <n v="2"/>
    <n v="17"/>
    <b v="0"/>
    <n v="4"/>
    <n v="1"/>
    <n v="0.2"/>
    <n v="0.19700000000000001"/>
    <n v="0.4"/>
    <n v="0.19400000000000001"/>
    <n v="5"/>
    <n v="170"/>
    <n v="175"/>
    <s v="REC-0752"/>
    <d v="2011-02-03T17:00:00"/>
    <s v="Feb"/>
    <x v="5"/>
    <x v="1"/>
    <s v="Working Day"/>
    <s v="Spring"/>
    <x v="0"/>
    <s v="Evening"/>
    <s v="Mild"/>
    <s v="Low"/>
    <s v="Peak"/>
    <n v="2.8571428571428571E-2"/>
    <s v="High"/>
    <n v="1"/>
  </r>
  <r>
    <n v="753"/>
    <x v="33"/>
    <n v="1"/>
    <n v="0"/>
    <n v="2"/>
    <n v="18"/>
    <b v="0"/>
    <n v="4"/>
    <n v="1"/>
    <n v="0.2"/>
    <n v="0.21210000000000001"/>
    <n v="0.4"/>
    <n v="0.16420000000000001"/>
    <n v="2"/>
    <n v="145"/>
    <n v="147"/>
    <s v="REC-0753"/>
    <d v="2011-02-03T18:00:00"/>
    <s v="Feb"/>
    <x v="5"/>
    <x v="1"/>
    <s v="Working Day"/>
    <s v="Spring"/>
    <x v="0"/>
    <s v="Evening"/>
    <s v="Mild"/>
    <s v="Low"/>
    <s v="Peak"/>
    <n v="1.3605442176870748E-2"/>
    <s v="High"/>
    <n v="1"/>
  </r>
  <r>
    <n v="754"/>
    <x v="33"/>
    <n v="1"/>
    <n v="0"/>
    <n v="2"/>
    <n v="19"/>
    <b v="0"/>
    <n v="4"/>
    <n v="1"/>
    <n v="0.2"/>
    <n v="0.2576"/>
    <n v="0.4"/>
    <n v="0"/>
    <n v="4"/>
    <n v="92"/>
    <n v="96"/>
    <s v="REC-0754"/>
    <d v="2011-02-03T19:00:00"/>
    <s v="Feb"/>
    <x v="5"/>
    <x v="1"/>
    <s v="Working Day"/>
    <s v="Spring"/>
    <x v="0"/>
    <s v="Evening"/>
    <s v="Mild"/>
    <s v="Low"/>
    <s v="Peak"/>
    <n v="4.1666666666666664E-2"/>
    <s v="High"/>
    <n v="1"/>
  </r>
  <r>
    <n v="755"/>
    <x v="33"/>
    <n v="1"/>
    <n v="0"/>
    <n v="2"/>
    <n v="20"/>
    <b v="0"/>
    <n v="4"/>
    <n v="1"/>
    <n v="0.2"/>
    <n v="0.2273"/>
    <n v="0.47"/>
    <n v="8.9599999999999999E-2"/>
    <n v="1"/>
    <n v="108"/>
    <n v="109"/>
    <s v="REC-0755"/>
    <d v="2011-02-03T20:00:00"/>
    <s v="Feb"/>
    <x v="5"/>
    <x v="1"/>
    <s v="Working Day"/>
    <s v="Spring"/>
    <x v="0"/>
    <s v="Evening"/>
    <s v="Mild"/>
    <s v="Low"/>
    <s v="Off-Peak"/>
    <n v="9.1743119266055051E-3"/>
    <s v="High"/>
    <n v="1"/>
  </r>
  <r>
    <n v="756"/>
    <x v="33"/>
    <n v="1"/>
    <n v="0"/>
    <n v="2"/>
    <n v="21"/>
    <b v="0"/>
    <n v="4"/>
    <n v="1"/>
    <n v="0.18"/>
    <n v="0.21210000000000001"/>
    <n v="0.55000000000000004"/>
    <n v="0.1045"/>
    <n v="1"/>
    <n v="53"/>
    <n v="54"/>
    <s v="REC-0756"/>
    <d v="2011-02-03T21:00:00"/>
    <s v="Feb"/>
    <x v="5"/>
    <x v="1"/>
    <s v="Working Day"/>
    <s v="Spring"/>
    <x v="0"/>
    <s v="Late Evening"/>
    <s v="Cold"/>
    <s v="Medium"/>
    <s v="Off-Peak"/>
    <n v="1.8518518518518517E-2"/>
    <s v="Normal"/>
    <n v="1"/>
  </r>
  <r>
    <n v="757"/>
    <x v="33"/>
    <n v="1"/>
    <n v="0"/>
    <n v="2"/>
    <n v="22"/>
    <b v="0"/>
    <n v="4"/>
    <n v="1"/>
    <n v="0.18"/>
    <n v="0.21210000000000001"/>
    <n v="0.51"/>
    <n v="8.9599999999999999E-2"/>
    <n v="2"/>
    <n v="39"/>
    <n v="41"/>
    <s v="REC-0757"/>
    <d v="2011-02-03T22:00:00"/>
    <s v="Feb"/>
    <x v="5"/>
    <x v="1"/>
    <s v="Working Day"/>
    <s v="Spring"/>
    <x v="0"/>
    <s v="Late Evening"/>
    <s v="Cold"/>
    <s v="Medium"/>
    <s v="Off-Peak"/>
    <n v="4.878048780487805E-2"/>
    <s v="Normal"/>
    <n v="1"/>
  </r>
  <r>
    <n v="758"/>
    <x v="33"/>
    <n v="1"/>
    <n v="0"/>
    <n v="2"/>
    <n v="23"/>
    <b v="0"/>
    <n v="4"/>
    <n v="1"/>
    <n v="0.2"/>
    <n v="0.2273"/>
    <n v="0.47"/>
    <n v="0.1045"/>
    <n v="4"/>
    <n v="34"/>
    <n v="38"/>
    <s v="REC-0758"/>
    <d v="2011-02-03T23:00:00"/>
    <s v="Feb"/>
    <x v="5"/>
    <x v="1"/>
    <s v="Working Day"/>
    <s v="Spring"/>
    <x v="0"/>
    <s v="Late Evening"/>
    <s v="Mild"/>
    <s v="Low"/>
    <s v="Off-Peak"/>
    <n v="0.10526315789473684"/>
    <s v="Normal"/>
    <n v="1"/>
  </r>
  <r>
    <n v="759"/>
    <x v="34"/>
    <n v="1"/>
    <n v="0"/>
    <n v="2"/>
    <n v="0"/>
    <b v="0"/>
    <n v="5"/>
    <n v="2"/>
    <n v="0.2"/>
    <n v="0.2576"/>
    <n v="0.44"/>
    <n v="0"/>
    <n v="3"/>
    <n v="10"/>
    <n v="13"/>
    <s v="REC-0759"/>
    <d v="2011-02-04T00:00:00"/>
    <s v="Feb"/>
    <x v="6"/>
    <x v="1"/>
    <s v="Working Day"/>
    <s v="Spring"/>
    <x v="1"/>
    <s v="Night"/>
    <s v="Mild"/>
    <s v="Low"/>
    <s v="Off-Peak"/>
    <n v="0.23076923076923078"/>
    <s v="Low"/>
    <n v="1"/>
  </r>
  <r>
    <n v="760"/>
    <x v="34"/>
    <n v="1"/>
    <n v="0"/>
    <n v="2"/>
    <n v="1"/>
    <b v="0"/>
    <n v="5"/>
    <n v="2"/>
    <n v="0.16"/>
    <n v="0.2273"/>
    <n v="0.59"/>
    <n v="0"/>
    <n v="0"/>
    <n v="7"/>
    <n v="7"/>
    <s v="REC-0760"/>
    <d v="2011-02-04T01:00:00"/>
    <s v="Feb"/>
    <x v="6"/>
    <x v="1"/>
    <s v="Working Day"/>
    <s v="Spring"/>
    <x v="1"/>
    <s v="Night"/>
    <s v="Cold"/>
    <s v="Medium"/>
    <s v="Off-Peak"/>
    <n v="0"/>
    <s v="Low"/>
    <n v="1"/>
  </r>
  <r>
    <n v="761"/>
    <x v="34"/>
    <n v="1"/>
    <n v="0"/>
    <n v="2"/>
    <n v="2"/>
    <b v="0"/>
    <n v="5"/>
    <n v="2"/>
    <n v="0.14000000000000001"/>
    <n v="0.16669999999999999"/>
    <n v="0.63"/>
    <n v="0.1045"/>
    <n v="0"/>
    <n v="1"/>
    <n v="1"/>
    <s v="REC-0761"/>
    <d v="2011-02-04T02:00:00"/>
    <s v="Feb"/>
    <x v="6"/>
    <x v="1"/>
    <s v="Working Day"/>
    <s v="Spring"/>
    <x v="1"/>
    <s v="Night"/>
    <s v="Cold"/>
    <s v="Medium"/>
    <s v="Off-Peak"/>
    <n v="0"/>
    <s v="Low"/>
    <n v="1"/>
  </r>
  <r>
    <n v="762"/>
    <x v="34"/>
    <n v="1"/>
    <n v="0"/>
    <n v="2"/>
    <n v="3"/>
    <b v="0"/>
    <n v="5"/>
    <n v="2"/>
    <n v="0.14000000000000001"/>
    <n v="0.16669999999999999"/>
    <n v="0.63"/>
    <n v="0.1045"/>
    <n v="0"/>
    <n v="1"/>
    <n v="1"/>
    <s v="REC-0762"/>
    <d v="2011-02-04T03:00:00"/>
    <s v="Feb"/>
    <x v="6"/>
    <x v="1"/>
    <s v="Working Day"/>
    <s v="Spring"/>
    <x v="1"/>
    <s v="Night"/>
    <s v="Cold"/>
    <s v="Medium"/>
    <s v="Off-Peak"/>
    <n v="0"/>
    <s v="Low"/>
    <n v="1"/>
  </r>
  <r>
    <n v="763"/>
    <x v="34"/>
    <n v="1"/>
    <n v="0"/>
    <n v="2"/>
    <n v="5"/>
    <b v="0"/>
    <n v="5"/>
    <n v="2"/>
    <n v="0.14000000000000001"/>
    <n v="0.1515"/>
    <n v="0.63"/>
    <n v="0.1343"/>
    <n v="0"/>
    <n v="7"/>
    <n v="7"/>
    <s v="REC-0763"/>
    <d v="2011-02-04T05:00:00"/>
    <s v="Feb"/>
    <x v="6"/>
    <x v="1"/>
    <s v="Working Day"/>
    <s v="Spring"/>
    <x v="1"/>
    <s v="Night"/>
    <s v="Cold"/>
    <s v="Medium"/>
    <s v="Off-Peak"/>
    <n v="0"/>
    <s v="Low"/>
    <n v="1"/>
  </r>
  <r>
    <n v="764"/>
    <x v="34"/>
    <n v="1"/>
    <n v="0"/>
    <n v="2"/>
    <n v="6"/>
    <b v="0"/>
    <n v="5"/>
    <n v="2"/>
    <n v="0.16"/>
    <n v="0.2273"/>
    <n v="0.55000000000000004"/>
    <n v="0"/>
    <n v="2"/>
    <n v="26"/>
    <n v="28"/>
    <s v="REC-0764"/>
    <d v="2011-02-04T06:00:00"/>
    <s v="Feb"/>
    <x v="6"/>
    <x v="1"/>
    <s v="Working Day"/>
    <s v="Spring"/>
    <x v="1"/>
    <s v="Morning"/>
    <s v="Cold"/>
    <s v="Medium"/>
    <s v="Off-Peak"/>
    <n v="7.1428571428571425E-2"/>
    <s v="Normal"/>
    <n v="1"/>
  </r>
  <r>
    <n v="765"/>
    <x v="34"/>
    <n v="1"/>
    <n v="0"/>
    <n v="2"/>
    <n v="7"/>
    <b v="0"/>
    <n v="5"/>
    <n v="1"/>
    <n v="0.14000000000000001"/>
    <n v="0.21210000000000001"/>
    <n v="0.59"/>
    <n v="0"/>
    <n v="0"/>
    <n v="87"/>
    <n v="87"/>
    <s v="REC-0765"/>
    <d v="2011-02-04T07:00:00"/>
    <s v="Feb"/>
    <x v="6"/>
    <x v="1"/>
    <s v="Working Day"/>
    <s v="Spring"/>
    <x v="0"/>
    <s v="Morning"/>
    <s v="Cold"/>
    <s v="Medium"/>
    <s v="Peak"/>
    <n v="0"/>
    <s v="High"/>
    <n v="1"/>
  </r>
  <r>
    <n v="766"/>
    <x v="34"/>
    <n v="1"/>
    <n v="0"/>
    <n v="2"/>
    <n v="8"/>
    <b v="0"/>
    <n v="5"/>
    <n v="1"/>
    <n v="0.14000000000000001"/>
    <n v="0.1515"/>
    <n v="0.74"/>
    <n v="0.1343"/>
    <n v="3"/>
    <n v="217"/>
    <n v="220"/>
    <s v="REC-0766"/>
    <d v="2011-02-04T08:00:00"/>
    <s v="Feb"/>
    <x v="6"/>
    <x v="1"/>
    <s v="Working Day"/>
    <s v="Spring"/>
    <x v="0"/>
    <s v="Morning"/>
    <s v="Cold"/>
    <s v="Medium"/>
    <s v="Peak"/>
    <n v="1.3636363636363636E-2"/>
    <s v="High"/>
    <n v="1"/>
  </r>
  <r>
    <n v="767"/>
    <x v="34"/>
    <n v="1"/>
    <n v="0"/>
    <n v="2"/>
    <n v="9"/>
    <b v="0"/>
    <n v="5"/>
    <n v="2"/>
    <n v="0.16"/>
    <n v="0.18179999999999999"/>
    <n v="0.8"/>
    <n v="0.1343"/>
    <n v="3"/>
    <n v="124"/>
    <n v="127"/>
    <s v="REC-0767"/>
    <d v="2011-02-04T09:00:00"/>
    <s v="Feb"/>
    <x v="6"/>
    <x v="1"/>
    <s v="Working Day"/>
    <s v="Spring"/>
    <x v="1"/>
    <s v="Morning"/>
    <s v="Cold"/>
    <s v="High"/>
    <s v="Peak"/>
    <n v="2.3622047244094488E-2"/>
    <s v="High"/>
    <n v="1"/>
  </r>
  <r>
    <n v="768"/>
    <x v="34"/>
    <n v="1"/>
    <n v="0"/>
    <n v="2"/>
    <n v="10"/>
    <b v="0"/>
    <n v="5"/>
    <n v="2"/>
    <n v="0.2"/>
    <n v="0.21210000000000001"/>
    <n v="0.51"/>
    <n v="0.1343"/>
    <n v="5"/>
    <n v="46"/>
    <n v="51"/>
    <s v="REC-0768"/>
    <d v="2011-02-04T10:00:00"/>
    <s v="Feb"/>
    <x v="6"/>
    <x v="1"/>
    <s v="Working Day"/>
    <s v="Spring"/>
    <x v="1"/>
    <s v="Morning"/>
    <s v="Mild"/>
    <s v="Medium"/>
    <s v="Off-Peak"/>
    <n v="9.8039215686274508E-2"/>
    <s v="Normal"/>
    <n v="1"/>
  </r>
  <r>
    <n v="769"/>
    <x v="34"/>
    <n v="1"/>
    <n v="0"/>
    <n v="2"/>
    <n v="11"/>
    <b v="0"/>
    <n v="5"/>
    <n v="1"/>
    <n v="0.22"/>
    <n v="0.2273"/>
    <n v="0.51"/>
    <n v="0.16420000000000001"/>
    <n v="3"/>
    <n v="61"/>
    <n v="64"/>
    <s v="REC-0769"/>
    <d v="2011-02-04T11:00:00"/>
    <s v="Feb"/>
    <x v="6"/>
    <x v="1"/>
    <s v="Working Day"/>
    <s v="Spring"/>
    <x v="0"/>
    <s v="Morning"/>
    <s v="Mild"/>
    <s v="Medium"/>
    <s v="Off-Peak"/>
    <n v="4.6875E-2"/>
    <s v="Normal"/>
    <n v="1"/>
  </r>
  <r>
    <n v="770"/>
    <x v="34"/>
    <n v="1"/>
    <n v="0"/>
    <n v="2"/>
    <n v="12"/>
    <b v="0"/>
    <n v="5"/>
    <n v="2"/>
    <n v="0.24"/>
    <n v="0.2424"/>
    <n v="0.48"/>
    <n v="0.16420000000000001"/>
    <n v="8"/>
    <n v="78"/>
    <n v="86"/>
    <s v="REC-0770"/>
    <d v="2011-02-04T12:00:00"/>
    <s v="Feb"/>
    <x v="6"/>
    <x v="1"/>
    <s v="Working Day"/>
    <s v="Spring"/>
    <x v="1"/>
    <s v="Afternoon"/>
    <s v="Mild"/>
    <s v="Low"/>
    <s v="Off-Peak"/>
    <n v="9.3023255813953487E-2"/>
    <s v="High"/>
    <n v="1"/>
  </r>
  <r>
    <n v="771"/>
    <x v="34"/>
    <n v="1"/>
    <n v="0"/>
    <n v="2"/>
    <n v="13"/>
    <b v="0"/>
    <n v="5"/>
    <n v="2"/>
    <n v="0.26"/>
    <n v="0.2576"/>
    <n v="0.5"/>
    <n v="0.22389999999999999"/>
    <n v="9"/>
    <n v="73"/>
    <n v="82"/>
    <s v="REC-0771"/>
    <d v="2011-02-04T13:00:00"/>
    <s v="Feb"/>
    <x v="6"/>
    <x v="1"/>
    <s v="Working Day"/>
    <s v="Spring"/>
    <x v="1"/>
    <s v="Afternoon"/>
    <s v="Mild"/>
    <s v="Medium"/>
    <s v="Off-Peak"/>
    <n v="0.10975609756097561"/>
    <s v="Normal"/>
    <n v="1"/>
  </r>
  <r>
    <n v="772"/>
    <x v="34"/>
    <n v="1"/>
    <n v="0"/>
    <n v="2"/>
    <n v="14"/>
    <b v="0"/>
    <n v="5"/>
    <n v="2"/>
    <n v="0.28000000000000003"/>
    <n v="0.2727"/>
    <n v="0.45"/>
    <n v="0.16420000000000001"/>
    <n v="15"/>
    <n v="76"/>
    <n v="91"/>
    <s v="REC-0772"/>
    <d v="2011-02-04T14:00:00"/>
    <s v="Feb"/>
    <x v="6"/>
    <x v="1"/>
    <s v="Working Day"/>
    <s v="Spring"/>
    <x v="1"/>
    <s v="Afternoon"/>
    <s v="Mild"/>
    <s v="Low"/>
    <s v="Off-Peak"/>
    <n v="0.16483516483516483"/>
    <s v="High"/>
    <n v="1"/>
  </r>
  <r>
    <n v="773"/>
    <x v="34"/>
    <n v="1"/>
    <n v="0"/>
    <n v="2"/>
    <n v="15"/>
    <b v="0"/>
    <n v="5"/>
    <n v="2"/>
    <n v="0.28000000000000003"/>
    <n v="0.2727"/>
    <n v="0.48"/>
    <n v="0.25369999999999998"/>
    <n v="9"/>
    <n v="81"/>
    <n v="90"/>
    <s v="REC-0773"/>
    <d v="2011-02-04T15:00:00"/>
    <s v="Feb"/>
    <x v="6"/>
    <x v="1"/>
    <s v="Working Day"/>
    <s v="Spring"/>
    <x v="1"/>
    <s v="Afternoon"/>
    <s v="Mild"/>
    <s v="Low"/>
    <s v="Off-Peak"/>
    <n v="0.1"/>
    <s v="High"/>
    <n v="1"/>
  </r>
  <r>
    <n v="774"/>
    <x v="34"/>
    <n v="1"/>
    <n v="0"/>
    <n v="2"/>
    <n v="16"/>
    <b v="0"/>
    <n v="5"/>
    <n v="2"/>
    <n v="0.3"/>
    <n v="0.28789999999999999"/>
    <n v="0.42"/>
    <n v="0.22389999999999999"/>
    <n v="8"/>
    <n v="91"/>
    <n v="99"/>
    <s v="REC-0774"/>
    <d v="2011-02-04T16:00:00"/>
    <s v="Feb"/>
    <x v="6"/>
    <x v="1"/>
    <s v="Working Day"/>
    <s v="Spring"/>
    <x v="1"/>
    <s v="Afternoon"/>
    <s v="Warm"/>
    <s v="Low"/>
    <s v="Peak"/>
    <n v="8.0808080808080815E-2"/>
    <s v="High"/>
    <n v="1"/>
  </r>
  <r>
    <n v="775"/>
    <x v="34"/>
    <n v="1"/>
    <n v="0"/>
    <n v="2"/>
    <n v="17"/>
    <b v="0"/>
    <n v="5"/>
    <n v="2"/>
    <n v="0.26"/>
    <n v="0.2727"/>
    <n v="0.56000000000000005"/>
    <n v="0.1343"/>
    <n v="10"/>
    <n v="195"/>
    <n v="205"/>
    <s v="REC-0775"/>
    <d v="2011-02-04T17:00:00"/>
    <s v="Feb"/>
    <x v="6"/>
    <x v="1"/>
    <s v="Working Day"/>
    <s v="Spring"/>
    <x v="1"/>
    <s v="Evening"/>
    <s v="Mild"/>
    <s v="Medium"/>
    <s v="Peak"/>
    <n v="4.878048780487805E-2"/>
    <s v="High"/>
    <n v="1"/>
  </r>
  <r>
    <n v="776"/>
    <x v="34"/>
    <n v="1"/>
    <n v="0"/>
    <n v="2"/>
    <n v="18"/>
    <b v="0"/>
    <n v="5"/>
    <n v="2"/>
    <n v="0.24"/>
    <n v="0.2576"/>
    <n v="0.6"/>
    <n v="0.1045"/>
    <n v="3"/>
    <n v="152"/>
    <n v="155"/>
    <s v="REC-0776"/>
    <d v="2011-02-04T18:00:00"/>
    <s v="Feb"/>
    <x v="6"/>
    <x v="1"/>
    <s v="Working Day"/>
    <s v="Spring"/>
    <x v="1"/>
    <s v="Evening"/>
    <s v="Mild"/>
    <s v="Medium"/>
    <s v="Peak"/>
    <n v="1.935483870967742E-2"/>
    <s v="High"/>
    <n v="1"/>
  </r>
  <r>
    <n v="777"/>
    <x v="34"/>
    <n v="1"/>
    <n v="0"/>
    <n v="2"/>
    <n v="19"/>
    <b v="0"/>
    <n v="5"/>
    <n v="2"/>
    <n v="0.24"/>
    <n v="0.2424"/>
    <n v="0.65"/>
    <n v="0.1343"/>
    <n v="1"/>
    <n v="102"/>
    <n v="103"/>
    <s v="REC-0777"/>
    <d v="2011-02-04T19:00:00"/>
    <s v="Feb"/>
    <x v="6"/>
    <x v="1"/>
    <s v="Working Day"/>
    <s v="Spring"/>
    <x v="1"/>
    <s v="Evening"/>
    <s v="Mild"/>
    <s v="Medium"/>
    <s v="Peak"/>
    <n v="9.7087378640776691E-3"/>
    <s v="High"/>
    <n v="1"/>
  </r>
  <r>
    <n v="778"/>
    <x v="34"/>
    <n v="1"/>
    <n v="0"/>
    <n v="2"/>
    <n v="20"/>
    <b v="0"/>
    <n v="5"/>
    <n v="2"/>
    <n v="0.24"/>
    <n v="0.2424"/>
    <n v="0.65"/>
    <n v="0.16420000000000001"/>
    <n v="2"/>
    <n v="69"/>
    <n v="71"/>
    <s v="REC-0778"/>
    <d v="2011-02-04T20:00:00"/>
    <s v="Feb"/>
    <x v="6"/>
    <x v="1"/>
    <s v="Working Day"/>
    <s v="Spring"/>
    <x v="1"/>
    <s v="Evening"/>
    <s v="Mild"/>
    <s v="Medium"/>
    <s v="Off-Peak"/>
    <n v="2.8169014084507043E-2"/>
    <s v="Normal"/>
    <n v="1"/>
  </r>
  <r>
    <n v="779"/>
    <x v="34"/>
    <n v="1"/>
    <n v="0"/>
    <n v="2"/>
    <n v="21"/>
    <b v="0"/>
    <n v="5"/>
    <n v="2"/>
    <n v="0.24"/>
    <n v="0.2424"/>
    <n v="0.7"/>
    <n v="0.16420000000000001"/>
    <n v="2"/>
    <n v="41"/>
    <n v="43"/>
    <s v="REC-0779"/>
    <d v="2011-02-04T21:00:00"/>
    <s v="Feb"/>
    <x v="6"/>
    <x v="1"/>
    <s v="Working Day"/>
    <s v="Spring"/>
    <x v="1"/>
    <s v="Late Evening"/>
    <s v="Mild"/>
    <s v="Medium"/>
    <s v="Off-Peak"/>
    <n v="4.6511627906976744E-2"/>
    <s v="Normal"/>
    <n v="1"/>
  </r>
  <r>
    <n v="780"/>
    <x v="34"/>
    <n v="1"/>
    <n v="0"/>
    <n v="2"/>
    <n v="22"/>
    <b v="0"/>
    <n v="5"/>
    <n v="2"/>
    <n v="0.24"/>
    <n v="0.2424"/>
    <n v="0.65"/>
    <n v="0.16420000000000001"/>
    <n v="1"/>
    <n v="45"/>
    <n v="46"/>
    <s v="REC-0780"/>
    <d v="2011-02-04T22:00:00"/>
    <s v="Feb"/>
    <x v="6"/>
    <x v="1"/>
    <s v="Working Day"/>
    <s v="Spring"/>
    <x v="1"/>
    <s v="Late Evening"/>
    <s v="Mild"/>
    <s v="Medium"/>
    <s v="Off-Peak"/>
    <n v="2.1739130434782608E-2"/>
    <s v="Normal"/>
    <n v="1"/>
  </r>
  <r>
    <n v="781"/>
    <x v="34"/>
    <n v="1"/>
    <n v="0"/>
    <n v="2"/>
    <n v="23"/>
    <b v="0"/>
    <n v="5"/>
    <n v="2"/>
    <n v="0.24"/>
    <n v="0.2424"/>
    <n v="0.7"/>
    <n v="0.1343"/>
    <n v="1"/>
    <n v="30"/>
    <n v="31"/>
    <s v="REC-0781"/>
    <d v="2011-02-04T23:00:00"/>
    <s v="Feb"/>
    <x v="6"/>
    <x v="1"/>
    <s v="Working Day"/>
    <s v="Spring"/>
    <x v="1"/>
    <s v="Late Evening"/>
    <s v="Mild"/>
    <s v="Medium"/>
    <s v="Off-Peak"/>
    <n v="3.2258064516129031E-2"/>
    <s v="Normal"/>
    <n v="1"/>
  </r>
  <r>
    <n v="782"/>
    <x v="35"/>
    <n v="1"/>
    <n v="0"/>
    <n v="2"/>
    <n v="0"/>
    <b v="0"/>
    <n v="6"/>
    <n v="2"/>
    <n v="0.24"/>
    <n v="0.2424"/>
    <n v="0.7"/>
    <n v="0.16420000000000001"/>
    <n v="3"/>
    <n v="36"/>
    <n v="39"/>
    <s v="REC-0782"/>
    <d v="2011-02-05T00:00:00"/>
    <s v="Feb"/>
    <x v="0"/>
    <x v="0"/>
    <s v="Non-Working Day"/>
    <s v="Spring"/>
    <x v="1"/>
    <s v="Night"/>
    <s v="Mild"/>
    <s v="Medium"/>
    <s v="Off-Peak"/>
    <n v="7.6923076923076927E-2"/>
    <s v="Normal"/>
    <n v="1"/>
  </r>
  <r>
    <n v="783"/>
    <x v="35"/>
    <n v="1"/>
    <n v="0"/>
    <n v="2"/>
    <n v="1"/>
    <b v="0"/>
    <n v="6"/>
    <n v="2"/>
    <n v="0.24"/>
    <n v="0.2424"/>
    <n v="0.65"/>
    <n v="0.16420000000000001"/>
    <n v="1"/>
    <n v="17"/>
    <n v="18"/>
    <s v="REC-0783"/>
    <d v="2011-02-05T01:00:00"/>
    <s v="Feb"/>
    <x v="0"/>
    <x v="0"/>
    <s v="Non-Working Day"/>
    <s v="Spring"/>
    <x v="1"/>
    <s v="Night"/>
    <s v="Mild"/>
    <s v="Medium"/>
    <s v="Off-Peak"/>
    <n v="5.5555555555555552E-2"/>
    <s v="Normal"/>
    <n v="1"/>
  </r>
  <r>
    <n v="784"/>
    <x v="35"/>
    <n v="1"/>
    <n v="0"/>
    <n v="2"/>
    <n v="2"/>
    <b v="0"/>
    <n v="6"/>
    <n v="2"/>
    <n v="0.24"/>
    <n v="0.2424"/>
    <n v="0.75"/>
    <n v="0.16420000000000001"/>
    <n v="5"/>
    <n v="12"/>
    <n v="17"/>
    <s v="REC-0784"/>
    <d v="2011-02-05T02:00:00"/>
    <s v="Feb"/>
    <x v="0"/>
    <x v="0"/>
    <s v="Non-Working Day"/>
    <s v="Spring"/>
    <x v="1"/>
    <s v="Night"/>
    <s v="Mild"/>
    <s v="High"/>
    <s v="Off-Peak"/>
    <n v="0.29411764705882354"/>
    <s v="Normal"/>
    <n v="1"/>
  </r>
  <r>
    <n v="785"/>
    <x v="35"/>
    <n v="1"/>
    <n v="0"/>
    <n v="2"/>
    <n v="3"/>
    <b v="0"/>
    <n v="6"/>
    <n v="2"/>
    <n v="0.24"/>
    <n v="0.2424"/>
    <n v="0.75"/>
    <n v="0.16420000000000001"/>
    <n v="1"/>
    <n v="10"/>
    <n v="11"/>
    <s v="REC-0785"/>
    <d v="2011-02-05T03:00:00"/>
    <s v="Feb"/>
    <x v="0"/>
    <x v="0"/>
    <s v="Non-Working Day"/>
    <s v="Spring"/>
    <x v="1"/>
    <s v="Night"/>
    <s v="Mild"/>
    <s v="High"/>
    <s v="Off-Peak"/>
    <n v="9.0909090909090912E-2"/>
    <s v="Low"/>
    <n v="1"/>
  </r>
  <r>
    <n v="786"/>
    <x v="35"/>
    <n v="1"/>
    <n v="0"/>
    <n v="2"/>
    <n v="4"/>
    <b v="0"/>
    <n v="6"/>
    <n v="3"/>
    <n v="0.22"/>
    <n v="0.2273"/>
    <n v="0.93"/>
    <n v="0.1343"/>
    <n v="0"/>
    <n v="8"/>
    <n v="8"/>
    <s v="REC-0786"/>
    <d v="2011-02-05T04:00:00"/>
    <s v="Feb"/>
    <x v="0"/>
    <x v="0"/>
    <s v="Non-Working Day"/>
    <s v="Spring"/>
    <x v="2"/>
    <s v="Night"/>
    <s v="Mild"/>
    <s v="High"/>
    <s v="Off-Peak"/>
    <n v="0"/>
    <s v="Low"/>
    <n v="1"/>
  </r>
  <r>
    <n v="787"/>
    <x v="35"/>
    <n v="1"/>
    <n v="0"/>
    <n v="2"/>
    <n v="5"/>
    <b v="0"/>
    <n v="6"/>
    <n v="3"/>
    <n v="0.2"/>
    <n v="0.2273"/>
    <n v="1"/>
    <n v="8.9599999999999999E-2"/>
    <n v="0"/>
    <n v="9"/>
    <n v="9"/>
    <s v="REC-0787"/>
    <d v="2011-02-05T05:00:00"/>
    <s v="Feb"/>
    <x v="0"/>
    <x v="0"/>
    <s v="Non-Working Day"/>
    <s v="Spring"/>
    <x v="2"/>
    <s v="Night"/>
    <s v="Mild"/>
    <s v="High"/>
    <s v="Off-Peak"/>
    <n v="0"/>
    <s v="Low"/>
    <n v="1"/>
  </r>
  <r>
    <n v="788"/>
    <x v="35"/>
    <n v="1"/>
    <n v="0"/>
    <n v="2"/>
    <n v="6"/>
    <b v="0"/>
    <n v="6"/>
    <n v="3"/>
    <n v="0.2"/>
    <n v="0.2576"/>
    <n v="1"/>
    <n v="0"/>
    <n v="0"/>
    <n v="4"/>
    <n v="4"/>
    <s v="REC-0788"/>
    <d v="2011-02-05T06:00:00"/>
    <s v="Feb"/>
    <x v="0"/>
    <x v="0"/>
    <s v="Non-Working Day"/>
    <s v="Spring"/>
    <x v="2"/>
    <s v="Morning"/>
    <s v="Mild"/>
    <s v="High"/>
    <s v="Off-Peak"/>
    <n v="0"/>
    <s v="Low"/>
    <n v="1"/>
  </r>
  <r>
    <n v="789"/>
    <x v="35"/>
    <n v="1"/>
    <n v="0"/>
    <n v="2"/>
    <n v="7"/>
    <b v="0"/>
    <n v="6"/>
    <n v="3"/>
    <n v="0.22"/>
    <n v="0.2576"/>
    <n v="0.93"/>
    <n v="8.9599999999999999E-2"/>
    <n v="0"/>
    <n v="4"/>
    <n v="4"/>
    <s v="REC-0789"/>
    <d v="2011-02-05T07:00:00"/>
    <s v="Feb"/>
    <x v="0"/>
    <x v="0"/>
    <s v="Non-Working Day"/>
    <s v="Spring"/>
    <x v="2"/>
    <s v="Morning"/>
    <s v="Mild"/>
    <s v="High"/>
    <s v="Off-Peak"/>
    <n v="0"/>
    <s v="Low"/>
    <n v="1"/>
  </r>
  <r>
    <n v="790"/>
    <x v="35"/>
    <n v="1"/>
    <n v="0"/>
    <n v="2"/>
    <n v="8"/>
    <b v="0"/>
    <n v="6"/>
    <n v="3"/>
    <n v="0.2"/>
    <n v="0.2273"/>
    <n v="1"/>
    <n v="8.9599999999999999E-2"/>
    <n v="0"/>
    <n v="10"/>
    <n v="10"/>
    <s v="REC-0790"/>
    <d v="2011-02-05T08:00:00"/>
    <s v="Feb"/>
    <x v="0"/>
    <x v="0"/>
    <s v="Non-Working Day"/>
    <s v="Spring"/>
    <x v="2"/>
    <s v="Morning"/>
    <s v="Mild"/>
    <s v="High"/>
    <s v="Off-Peak"/>
    <n v="0"/>
    <s v="Low"/>
    <n v="1"/>
  </r>
  <r>
    <n v="791"/>
    <x v="35"/>
    <n v="1"/>
    <n v="0"/>
    <n v="2"/>
    <n v="9"/>
    <b v="0"/>
    <n v="6"/>
    <n v="3"/>
    <n v="0.2"/>
    <n v="0.2273"/>
    <n v="1"/>
    <n v="8.9599999999999999E-2"/>
    <n v="3"/>
    <n v="17"/>
    <n v="20"/>
    <s v="REC-0791"/>
    <d v="2011-02-05T09:00:00"/>
    <s v="Feb"/>
    <x v="0"/>
    <x v="0"/>
    <s v="Non-Working Day"/>
    <s v="Spring"/>
    <x v="2"/>
    <s v="Morning"/>
    <s v="Mild"/>
    <s v="High"/>
    <s v="Off-Peak"/>
    <n v="0.15"/>
    <s v="Normal"/>
    <n v="1"/>
  </r>
  <r>
    <n v="792"/>
    <x v="35"/>
    <n v="1"/>
    <n v="0"/>
    <n v="2"/>
    <n v="10"/>
    <b v="0"/>
    <n v="6"/>
    <n v="3"/>
    <n v="0.2"/>
    <n v="0.21210000000000001"/>
    <n v="1"/>
    <n v="0.1343"/>
    <n v="3"/>
    <n v="31"/>
    <n v="34"/>
    <s v="REC-0792"/>
    <d v="2011-02-05T10:00:00"/>
    <s v="Feb"/>
    <x v="0"/>
    <x v="0"/>
    <s v="Non-Working Day"/>
    <s v="Spring"/>
    <x v="2"/>
    <s v="Morning"/>
    <s v="Mild"/>
    <s v="High"/>
    <s v="Off-Peak"/>
    <n v="8.8235294117647065E-2"/>
    <s v="Normal"/>
    <n v="1"/>
  </r>
  <r>
    <n v="793"/>
    <x v="35"/>
    <n v="1"/>
    <n v="0"/>
    <n v="2"/>
    <n v="11"/>
    <b v="0"/>
    <n v="6"/>
    <n v="3"/>
    <n v="0.22"/>
    <n v="0.2273"/>
    <n v="1"/>
    <n v="0.1343"/>
    <n v="1"/>
    <n v="46"/>
    <n v="47"/>
    <s v="REC-0793"/>
    <d v="2011-02-05T11:00:00"/>
    <s v="Feb"/>
    <x v="0"/>
    <x v="0"/>
    <s v="Non-Working Day"/>
    <s v="Spring"/>
    <x v="2"/>
    <s v="Morning"/>
    <s v="Mild"/>
    <s v="High"/>
    <s v="Off-Peak"/>
    <n v="2.1276595744680851E-2"/>
    <s v="Normal"/>
    <n v="1"/>
  </r>
  <r>
    <n v="794"/>
    <x v="35"/>
    <n v="1"/>
    <n v="0"/>
    <n v="2"/>
    <n v="12"/>
    <b v="0"/>
    <n v="6"/>
    <n v="3"/>
    <n v="0.22"/>
    <n v="0.2273"/>
    <n v="1"/>
    <n v="0.16420000000000001"/>
    <n v="10"/>
    <n v="42"/>
    <n v="52"/>
    <s v="REC-0794"/>
    <d v="2011-02-05T12:00:00"/>
    <s v="Feb"/>
    <x v="0"/>
    <x v="0"/>
    <s v="Non-Working Day"/>
    <s v="Spring"/>
    <x v="2"/>
    <s v="Afternoon"/>
    <s v="Mild"/>
    <s v="High"/>
    <s v="Off-Peak"/>
    <n v="0.19230769230769232"/>
    <s v="Normal"/>
    <n v="1"/>
  </r>
  <r>
    <n v="795"/>
    <x v="35"/>
    <n v="1"/>
    <n v="0"/>
    <n v="2"/>
    <n v="13"/>
    <b v="0"/>
    <n v="6"/>
    <n v="3"/>
    <n v="0.22"/>
    <n v="0.2273"/>
    <n v="1"/>
    <n v="0.16420000000000001"/>
    <n v="10"/>
    <n v="62"/>
    <n v="72"/>
    <s v="REC-0795"/>
    <d v="2011-02-05T13:00:00"/>
    <s v="Feb"/>
    <x v="0"/>
    <x v="0"/>
    <s v="Non-Working Day"/>
    <s v="Spring"/>
    <x v="2"/>
    <s v="Afternoon"/>
    <s v="Mild"/>
    <s v="High"/>
    <s v="Off-Peak"/>
    <n v="0.1388888888888889"/>
    <s v="Normal"/>
    <n v="1"/>
  </r>
  <r>
    <n v="796"/>
    <x v="35"/>
    <n v="1"/>
    <n v="0"/>
    <n v="2"/>
    <n v="14"/>
    <b v="0"/>
    <n v="6"/>
    <n v="3"/>
    <n v="0.22"/>
    <n v="0.2727"/>
    <n v="1"/>
    <n v="0"/>
    <n v="5"/>
    <n v="50"/>
    <n v="55"/>
    <s v="REC-0796"/>
    <d v="2011-02-05T14:00:00"/>
    <s v="Feb"/>
    <x v="0"/>
    <x v="0"/>
    <s v="Non-Working Day"/>
    <s v="Spring"/>
    <x v="2"/>
    <s v="Afternoon"/>
    <s v="Mild"/>
    <s v="High"/>
    <s v="Off-Peak"/>
    <n v="9.0909090909090912E-2"/>
    <s v="Normal"/>
    <n v="1"/>
  </r>
  <r>
    <n v="797"/>
    <x v="35"/>
    <n v="1"/>
    <n v="0"/>
    <n v="2"/>
    <n v="15"/>
    <b v="0"/>
    <n v="6"/>
    <n v="3"/>
    <n v="0.22"/>
    <n v="0.2727"/>
    <n v="1"/>
    <n v="0"/>
    <n v="11"/>
    <n v="49"/>
    <n v="60"/>
    <s v="REC-0797"/>
    <d v="2011-02-05T15:00:00"/>
    <s v="Feb"/>
    <x v="0"/>
    <x v="0"/>
    <s v="Non-Working Day"/>
    <s v="Spring"/>
    <x v="2"/>
    <s v="Afternoon"/>
    <s v="Mild"/>
    <s v="High"/>
    <s v="Off-Peak"/>
    <n v="0.18333333333333332"/>
    <s v="Normal"/>
    <n v="1"/>
  </r>
  <r>
    <n v="798"/>
    <x v="35"/>
    <n v="1"/>
    <n v="0"/>
    <n v="2"/>
    <n v="16"/>
    <b v="0"/>
    <n v="6"/>
    <n v="3"/>
    <n v="0.22"/>
    <n v="0.2273"/>
    <n v="1"/>
    <n v="0.1343"/>
    <n v="8"/>
    <n v="63"/>
    <n v="71"/>
    <s v="REC-0798"/>
    <d v="2011-02-05T16:00:00"/>
    <s v="Feb"/>
    <x v="0"/>
    <x v="0"/>
    <s v="Non-Working Day"/>
    <s v="Spring"/>
    <x v="2"/>
    <s v="Afternoon"/>
    <s v="Mild"/>
    <s v="High"/>
    <s v="Off-Peak"/>
    <n v="0.11267605633802817"/>
    <s v="Normal"/>
    <n v="1"/>
  </r>
  <r>
    <n v="799"/>
    <x v="35"/>
    <n v="1"/>
    <n v="0"/>
    <n v="2"/>
    <n v="17"/>
    <b v="0"/>
    <n v="6"/>
    <n v="2"/>
    <n v="0.24"/>
    <n v="0.21210000000000001"/>
    <n v="1"/>
    <n v="0.28360000000000002"/>
    <n v="14"/>
    <n v="64"/>
    <n v="78"/>
    <s v="REC-0799"/>
    <d v="2011-02-05T17:00:00"/>
    <s v="Feb"/>
    <x v="0"/>
    <x v="0"/>
    <s v="Non-Working Day"/>
    <s v="Spring"/>
    <x v="1"/>
    <s v="Evening"/>
    <s v="Mild"/>
    <s v="High"/>
    <s v="Off-Peak"/>
    <n v="0.17948717948717949"/>
    <s v="Normal"/>
    <n v="1"/>
  </r>
  <r>
    <n v="800"/>
    <x v="35"/>
    <n v="1"/>
    <n v="0"/>
    <n v="2"/>
    <n v="18"/>
    <b v="0"/>
    <n v="6"/>
    <n v="2"/>
    <n v="0.28000000000000003"/>
    <n v="0.2424"/>
    <n v="0.93"/>
    <n v="0.44779999999999998"/>
    <n v="2"/>
    <n v="81"/>
    <n v="83"/>
    <s v="REC-0800"/>
    <d v="2011-02-05T18:00:00"/>
    <s v="Feb"/>
    <x v="0"/>
    <x v="0"/>
    <s v="Non-Working Day"/>
    <s v="Spring"/>
    <x v="1"/>
    <s v="Evening"/>
    <s v="Mild"/>
    <s v="High"/>
    <s v="Off-Peak"/>
    <n v="2.4096385542168676E-2"/>
    <s v="High"/>
    <n v="1"/>
  </r>
  <r>
    <n v="801"/>
    <x v="35"/>
    <n v="1"/>
    <n v="0"/>
    <n v="2"/>
    <n v="19"/>
    <b v="0"/>
    <n v="6"/>
    <n v="2"/>
    <n v="0.28000000000000003"/>
    <n v="0.2424"/>
    <n v="0.93"/>
    <n v="0.44779999999999998"/>
    <n v="6"/>
    <n v="78"/>
    <n v="84"/>
    <s v="REC-0801"/>
    <d v="2011-02-05T19:00:00"/>
    <s v="Feb"/>
    <x v="0"/>
    <x v="0"/>
    <s v="Non-Working Day"/>
    <s v="Spring"/>
    <x v="1"/>
    <s v="Evening"/>
    <s v="Mild"/>
    <s v="High"/>
    <s v="Off-Peak"/>
    <n v="7.1428571428571425E-2"/>
    <s v="High"/>
    <n v="1"/>
  </r>
  <r>
    <n v="802"/>
    <x v="35"/>
    <n v="1"/>
    <n v="0"/>
    <n v="2"/>
    <n v="20"/>
    <b v="0"/>
    <n v="6"/>
    <n v="1"/>
    <n v="0.3"/>
    <n v="0.28789999999999999"/>
    <n v="0.87"/>
    <n v="0.25369999999999998"/>
    <n v="5"/>
    <n v="64"/>
    <n v="69"/>
    <s v="REC-0802"/>
    <d v="2011-02-05T20:00:00"/>
    <s v="Feb"/>
    <x v="0"/>
    <x v="0"/>
    <s v="Non-Working Day"/>
    <s v="Spring"/>
    <x v="0"/>
    <s v="Evening"/>
    <s v="Warm"/>
    <s v="High"/>
    <s v="Off-Peak"/>
    <n v="7.2463768115942032E-2"/>
    <s v="Normal"/>
    <n v="1"/>
  </r>
  <r>
    <n v="803"/>
    <x v="35"/>
    <n v="1"/>
    <n v="0"/>
    <n v="2"/>
    <n v="21"/>
    <b v="0"/>
    <n v="6"/>
    <n v="1"/>
    <n v="0.26"/>
    <n v="0.2576"/>
    <n v="1"/>
    <n v="0.19400000000000001"/>
    <n v="3"/>
    <n v="53"/>
    <n v="56"/>
    <s v="REC-0803"/>
    <d v="2011-02-05T21:00:00"/>
    <s v="Feb"/>
    <x v="0"/>
    <x v="0"/>
    <s v="Non-Working Day"/>
    <s v="Spring"/>
    <x v="0"/>
    <s v="Late Evening"/>
    <s v="Mild"/>
    <s v="High"/>
    <s v="Off-Peak"/>
    <n v="5.3571428571428568E-2"/>
    <s v="Normal"/>
    <n v="1"/>
  </r>
  <r>
    <n v="804"/>
    <x v="35"/>
    <n v="1"/>
    <n v="0"/>
    <n v="2"/>
    <n v="22"/>
    <b v="0"/>
    <n v="6"/>
    <n v="1"/>
    <n v="0.26"/>
    <n v="0.2727"/>
    <n v="0.93"/>
    <n v="0.1343"/>
    <n v="2"/>
    <n v="43"/>
    <n v="45"/>
    <s v="REC-0804"/>
    <d v="2011-02-05T22:00:00"/>
    <s v="Feb"/>
    <x v="0"/>
    <x v="0"/>
    <s v="Non-Working Day"/>
    <s v="Spring"/>
    <x v="0"/>
    <s v="Late Evening"/>
    <s v="Mild"/>
    <s v="High"/>
    <s v="Off-Peak"/>
    <n v="4.4444444444444446E-2"/>
    <s v="Normal"/>
    <n v="1"/>
  </r>
  <r>
    <n v="805"/>
    <x v="35"/>
    <n v="1"/>
    <n v="0"/>
    <n v="2"/>
    <n v="23"/>
    <b v="0"/>
    <n v="6"/>
    <n v="1"/>
    <n v="0.26"/>
    <n v="0.2576"/>
    <n v="0.93"/>
    <n v="0.22389999999999999"/>
    <n v="7"/>
    <n v="52"/>
    <n v="59"/>
    <s v="REC-0805"/>
    <d v="2011-02-05T23:00:00"/>
    <s v="Feb"/>
    <x v="0"/>
    <x v="0"/>
    <s v="Non-Working Day"/>
    <s v="Spring"/>
    <x v="0"/>
    <s v="Late Evening"/>
    <s v="Mild"/>
    <s v="High"/>
    <s v="Off-Peak"/>
    <n v="0.11864406779661017"/>
    <s v="Normal"/>
    <n v="1"/>
  </r>
  <r>
    <n v="806"/>
    <x v="36"/>
    <n v="1"/>
    <n v="0"/>
    <n v="2"/>
    <n v="0"/>
    <b v="0"/>
    <n v="0"/>
    <n v="1"/>
    <n v="0.26"/>
    <n v="0.2576"/>
    <n v="0.7"/>
    <n v="0.19400000000000001"/>
    <n v="2"/>
    <n v="37"/>
    <n v="39"/>
    <s v="REC-0806"/>
    <d v="2011-02-06T00:00:00"/>
    <s v="Feb"/>
    <x v="1"/>
    <x v="0"/>
    <s v="Non-Working Day"/>
    <s v="Spring"/>
    <x v="0"/>
    <s v="Night"/>
    <s v="Mild"/>
    <s v="Medium"/>
    <s v="Off-Peak"/>
    <n v="5.128205128205128E-2"/>
    <s v="Normal"/>
    <n v="1"/>
  </r>
  <r>
    <n v="807"/>
    <x v="36"/>
    <n v="1"/>
    <n v="0"/>
    <n v="2"/>
    <n v="1"/>
    <b v="0"/>
    <n v="0"/>
    <n v="1"/>
    <n v="0.26"/>
    <n v="0.2273"/>
    <n v="0.65"/>
    <n v="0.41789999999999999"/>
    <n v="4"/>
    <n v="40"/>
    <n v="44"/>
    <s v="REC-0807"/>
    <d v="2011-02-06T01:00:00"/>
    <s v="Feb"/>
    <x v="1"/>
    <x v="0"/>
    <s v="Non-Working Day"/>
    <s v="Spring"/>
    <x v="0"/>
    <s v="Night"/>
    <s v="Mild"/>
    <s v="Medium"/>
    <s v="Off-Peak"/>
    <n v="9.0909090909090912E-2"/>
    <s v="Normal"/>
    <n v="1"/>
  </r>
  <r>
    <n v="808"/>
    <x v="36"/>
    <n v="1"/>
    <n v="0"/>
    <n v="2"/>
    <n v="2"/>
    <b v="0"/>
    <n v="0"/>
    <n v="1"/>
    <n v="0.26"/>
    <n v="0.2273"/>
    <n v="0.6"/>
    <n v="0.32840000000000003"/>
    <n v="0"/>
    <n v="20"/>
    <n v="20"/>
    <s v="REC-0808"/>
    <d v="2011-02-06T02:00:00"/>
    <s v="Feb"/>
    <x v="1"/>
    <x v="0"/>
    <s v="Non-Working Day"/>
    <s v="Spring"/>
    <x v="0"/>
    <s v="Night"/>
    <s v="Mild"/>
    <s v="Medium"/>
    <s v="Off-Peak"/>
    <n v="0"/>
    <s v="Normal"/>
    <n v="1"/>
  </r>
  <r>
    <n v="809"/>
    <x v="36"/>
    <n v="1"/>
    <n v="0"/>
    <n v="2"/>
    <n v="3"/>
    <b v="0"/>
    <n v="0"/>
    <n v="1"/>
    <n v="0.26"/>
    <n v="0.28789999999999999"/>
    <n v="0.6"/>
    <n v="8.9599999999999999E-2"/>
    <n v="3"/>
    <n v="10"/>
    <n v="13"/>
    <s v="REC-0809"/>
    <d v="2011-02-06T03:00:00"/>
    <s v="Feb"/>
    <x v="1"/>
    <x v="0"/>
    <s v="Non-Working Day"/>
    <s v="Spring"/>
    <x v="0"/>
    <s v="Night"/>
    <s v="Mild"/>
    <s v="Medium"/>
    <s v="Off-Peak"/>
    <n v="0.23076923076923078"/>
    <s v="Low"/>
    <n v="1"/>
  </r>
  <r>
    <n v="810"/>
    <x v="36"/>
    <n v="1"/>
    <n v="0"/>
    <n v="2"/>
    <n v="4"/>
    <b v="0"/>
    <n v="0"/>
    <n v="1"/>
    <n v="0.26"/>
    <n v="0.2273"/>
    <n v="0.6"/>
    <n v="0.35820000000000002"/>
    <n v="0"/>
    <n v="2"/>
    <n v="2"/>
    <s v="REC-0810"/>
    <d v="2011-02-06T04:00:00"/>
    <s v="Feb"/>
    <x v="1"/>
    <x v="0"/>
    <s v="Non-Working Day"/>
    <s v="Spring"/>
    <x v="0"/>
    <s v="Night"/>
    <s v="Mild"/>
    <s v="Medium"/>
    <s v="Off-Peak"/>
    <n v="0"/>
    <s v="Low"/>
    <n v="1"/>
  </r>
  <r>
    <n v="811"/>
    <x v="36"/>
    <n v="1"/>
    <n v="0"/>
    <n v="2"/>
    <n v="5"/>
    <b v="0"/>
    <n v="0"/>
    <n v="1"/>
    <n v="0.26"/>
    <n v="0.2576"/>
    <n v="0.6"/>
    <n v="0.22389999999999999"/>
    <n v="0"/>
    <n v="1"/>
    <n v="1"/>
    <s v="REC-0811"/>
    <d v="2011-02-06T05:00:00"/>
    <s v="Feb"/>
    <x v="1"/>
    <x v="0"/>
    <s v="Non-Working Day"/>
    <s v="Spring"/>
    <x v="0"/>
    <s v="Night"/>
    <s v="Mild"/>
    <s v="Medium"/>
    <s v="Off-Peak"/>
    <n v="0"/>
    <s v="Low"/>
    <n v="1"/>
  </r>
  <r>
    <n v="812"/>
    <x v="36"/>
    <n v="1"/>
    <n v="0"/>
    <n v="2"/>
    <n v="6"/>
    <b v="0"/>
    <n v="0"/>
    <n v="1"/>
    <n v="0.26"/>
    <n v="0.2576"/>
    <n v="0.6"/>
    <n v="0.22389999999999999"/>
    <n v="0"/>
    <n v="1"/>
    <n v="1"/>
    <s v="REC-0812"/>
    <d v="2011-02-06T06:00:00"/>
    <s v="Feb"/>
    <x v="1"/>
    <x v="0"/>
    <s v="Non-Working Day"/>
    <s v="Spring"/>
    <x v="0"/>
    <s v="Morning"/>
    <s v="Mild"/>
    <s v="Medium"/>
    <s v="Off-Peak"/>
    <n v="0"/>
    <s v="Low"/>
    <n v="1"/>
  </r>
  <r>
    <n v="813"/>
    <x v="36"/>
    <n v="1"/>
    <n v="0"/>
    <n v="2"/>
    <n v="7"/>
    <b v="0"/>
    <n v="0"/>
    <n v="1"/>
    <n v="0.24"/>
    <n v="0.2424"/>
    <n v="0.65"/>
    <n v="0.16420000000000001"/>
    <n v="0"/>
    <n v="8"/>
    <n v="8"/>
    <s v="REC-0813"/>
    <d v="2011-02-06T07:00:00"/>
    <s v="Feb"/>
    <x v="1"/>
    <x v="0"/>
    <s v="Non-Working Day"/>
    <s v="Spring"/>
    <x v="0"/>
    <s v="Morning"/>
    <s v="Mild"/>
    <s v="Medium"/>
    <s v="Off-Peak"/>
    <n v="0"/>
    <s v="Low"/>
    <n v="1"/>
  </r>
  <r>
    <n v="814"/>
    <x v="36"/>
    <n v="1"/>
    <n v="0"/>
    <n v="2"/>
    <n v="8"/>
    <b v="0"/>
    <n v="0"/>
    <n v="1"/>
    <n v="0.24"/>
    <n v="0.2576"/>
    <n v="0.65"/>
    <n v="0.1045"/>
    <n v="2"/>
    <n v="21"/>
    <n v="23"/>
    <s v="REC-0814"/>
    <d v="2011-02-06T08:00:00"/>
    <s v="Feb"/>
    <x v="1"/>
    <x v="0"/>
    <s v="Non-Working Day"/>
    <s v="Spring"/>
    <x v="0"/>
    <s v="Morning"/>
    <s v="Mild"/>
    <s v="Medium"/>
    <s v="Off-Peak"/>
    <n v="8.6956521739130432E-2"/>
    <s v="Normal"/>
    <n v="1"/>
  </r>
  <r>
    <n v="815"/>
    <x v="36"/>
    <n v="1"/>
    <n v="0"/>
    <n v="2"/>
    <n v="9"/>
    <b v="0"/>
    <n v="0"/>
    <n v="1"/>
    <n v="0.28000000000000003"/>
    <n v="0.28789999999999999"/>
    <n v="0.56000000000000005"/>
    <n v="0.1045"/>
    <n v="7"/>
    <n v="38"/>
    <n v="45"/>
    <s v="REC-0815"/>
    <d v="2011-02-06T09:00:00"/>
    <s v="Feb"/>
    <x v="1"/>
    <x v="0"/>
    <s v="Non-Working Day"/>
    <s v="Spring"/>
    <x v="0"/>
    <s v="Morning"/>
    <s v="Mild"/>
    <s v="Medium"/>
    <s v="Off-Peak"/>
    <n v="0.15555555555555556"/>
    <s v="Normal"/>
    <n v="1"/>
  </r>
  <r>
    <n v="816"/>
    <x v="36"/>
    <n v="1"/>
    <n v="0"/>
    <n v="2"/>
    <n v="10"/>
    <b v="0"/>
    <n v="0"/>
    <n v="1"/>
    <n v="0.3"/>
    <n v="0.28789999999999999"/>
    <n v="0.52"/>
    <n v="0.25369999999999998"/>
    <n v="15"/>
    <n v="74"/>
    <n v="89"/>
    <s v="REC-0816"/>
    <d v="2011-02-06T10:00:00"/>
    <s v="Feb"/>
    <x v="1"/>
    <x v="0"/>
    <s v="Non-Working Day"/>
    <s v="Spring"/>
    <x v="0"/>
    <s v="Morning"/>
    <s v="Warm"/>
    <s v="Medium"/>
    <s v="Off-Peak"/>
    <n v="0.16853932584269662"/>
    <s v="High"/>
    <n v="1"/>
  </r>
  <r>
    <n v="817"/>
    <x v="36"/>
    <n v="1"/>
    <n v="0"/>
    <n v="2"/>
    <n v="11"/>
    <b v="0"/>
    <n v="0"/>
    <n v="1"/>
    <n v="0.32"/>
    <n v="0.30299999999999999"/>
    <n v="0.49"/>
    <n v="0.25369999999999998"/>
    <n v="28"/>
    <n v="89"/>
    <n v="117"/>
    <s v="REC-0817"/>
    <d v="2011-02-06T11:00:00"/>
    <s v="Feb"/>
    <x v="1"/>
    <x v="0"/>
    <s v="Non-Working Day"/>
    <s v="Spring"/>
    <x v="0"/>
    <s v="Morning"/>
    <s v="Warm"/>
    <s v="Low"/>
    <s v="Off-Peak"/>
    <n v="0.23931623931623933"/>
    <s v="High"/>
    <n v="1"/>
  </r>
  <r>
    <n v="818"/>
    <x v="36"/>
    <n v="1"/>
    <n v="0"/>
    <n v="2"/>
    <n v="12"/>
    <b v="0"/>
    <n v="0"/>
    <n v="1"/>
    <n v="0.34"/>
    <n v="0.33329999999999999"/>
    <n v="0.46"/>
    <n v="0"/>
    <n v="48"/>
    <n v="126"/>
    <n v="174"/>
    <s v="REC-0818"/>
    <d v="2011-02-06T12:00:00"/>
    <s v="Feb"/>
    <x v="1"/>
    <x v="0"/>
    <s v="Non-Working Day"/>
    <s v="Spring"/>
    <x v="0"/>
    <s v="Afternoon"/>
    <s v="Warm"/>
    <s v="Low"/>
    <s v="Off-Peak"/>
    <n v="0.27586206896551724"/>
    <s v="High"/>
    <n v="1"/>
  </r>
  <r>
    <n v="819"/>
    <x v="36"/>
    <n v="1"/>
    <n v="0"/>
    <n v="2"/>
    <n v="13"/>
    <b v="0"/>
    <n v="0"/>
    <n v="1"/>
    <n v="0.34"/>
    <n v="0.36359999999999998"/>
    <n v="0.46"/>
    <n v="0"/>
    <n v="47"/>
    <n v="135"/>
    <n v="182"/>
    <s v="REC-0819"/>
    <d v="2011-02-06T13:00:00"/>
    <s v="Feb"/>
    <x v="1"/>
    <x v="0"/>
    <s v="Non-Working Day"/>
    <s v="Spring"/>
    <x v="0"/>
    <s v="Afternoon"/>
    <s v="Warm"/>
    <s v="Low"/>
    <s v="Off-Peak"/>
    <n v="0.25824175824175827"/>
    <s v="High"/>
    <n v="1"/>
  </r>
  <r>
    <n v="820"/>
    <x v="36"/>
    <n v="1"/>
    <n v="0"/>
    <n v="2"/>
    <n v="14"/>
    <b v="0"/>
    <n v="0"/>
    <n v="1"/>
    <n v="0.34"/>
    <n v="0.34849999999999998"/>
    <n v="0.46"/>
    <n v="8.9599999999999999E-2"/>
    <n v="47"/>
    <n v="114"/>
    <n v="161"/>
    <s v="REC-0820"/>
    <d v="2011-02-06T14:00:00"/>
    <s v="Feb"/>
    <x v="1"/>
    <x v="0"/>
    <s v="Non-Working Day"/>
    <s v="Spring"/>
    <x v="0"/>
    <s v="Afternoon"/>
    <s v="Warm"/>
    <s v="Low"/>
    <s v="Off-Peak"/>
    <n v="0.29192546583850931"/>
    <s v="High"/>
    <n v="1"/>
  </r>
  <r>
    <n v="821"/>
    <x v="36"/>
    <n v="1"/>
    <n v="0"/>
    <n v="2"/>
    <n v="15"/>
    <b v="0"/>
    <n v="0"/>
    <n v="1"/>
    <n v="0.34"/>
    <n v="0.34849999999999998"/>
    <n v="0.46"/>
    <n v="8.9599999999999999E-2"/>
    <n v="52"/>
    <n v="130"/>
    <n v="182"/>
    <s v="REC-0821"/>
    <d v="2011-02-06T15:00:00"/>
    <s v="Feb"/>
    <x v="1"/>
    <x v="0"/>
    <s v="Non-Working Day"/>
    <s v="Spring"/>
    <x v="0"/>
    <s v="Afternoon"/>
    <s v="Warm"/>
    <s v="Low"/>
    <s v="Off-Peak"/>
    <n v="0.2857142857142857"/>
    <s v="High"/>
    <n v="1"/>
  </r>
  <r>
    <n v="822"/>
    <x v="36"/>
    <n v="1"/>
    <n v="0"/>
    <n v="2"/>
    <n v="16"/>
    <b v="0"/>
    <n v="0"/>
    <n v="1"/>
    <n v="0.34"/>
    <n v="0.34849999999999998"/>
    <n v="0.49"/>
    <n v="0.1045"/>
    <n v="42"/>
    <n v="115"/>
    <n v="157"/>
    <s v="REC-0822"/>
    <d v="2011-02-06T16:00:00"/>
    <s v="Feb"/>
    <x v="1"/>
    <x v="0"/>
    <s v="Non-Working Day"/>
    <s v="Spring"/>
    <x v="0"/>
    <s v="Afternoon"/>
    <s v="Warm"/>
    <s v="Low"/>
    <s v="Off-Peak"/>
    <n v="0.26751592356687898"/>
    <s v="High"/>
    <n v="1"/>
  </r>
  <r>
    <n v="823"/>
    <x v="36"/>
    <n v="1"/>
    <n v="0"/>
    <n v="2"/>
    <n v="17"/>
    <b v="0"/>
    <n v="0"/>
    <n v="1"/>
    <n v="0.34"/>
    <n v="0.36359999999999998"/>
    <n v="0.46"/>
    <n v="0"/>
    <n v="24"/>
    <n v="97"/>
    <n v="121"/>
    <s v="REC-0823"/>
    <d v="2011-02-06T17:00:00"/>
    <s v="Feb"/>
    <x v="1"/>
    <x v="0"/>
    <s v="Non-Working Day"/>
    <s v="Spring"/>
    <x v="0"/>
    <s v="Evening"/>
    <s v="Warm"/>
    <s v="Low"/>
    <s v="Off-Peak"/>
    <n v="0.19834710743801653"/>
    <s v="High"/>
    <n v="1"/>
  </r>
  <r>
    <n v="824"/>
    <x v="36"/>
    <n v="1"/>
    <n v="0"/>
    <n v="2"/>
    <n v="18"/>
    <b v="0"/>
    <n v="0"/>
    <n v="1"/>
    <n v="0.3"/>
    <n v="0.30299999999999999"/>
    <n v="0.56000000000000005"/>
    <n v="0.16420000000000001"/>
    <n v="13"/>
    <n v="65"/>
    <n v="78"/>
    <s v="REC-0824"/>
    <d v="2011-02-06T18:00:00"/>
    <s v="Feb"/>
    <x v="1"/>
    <x v="0"/>
    <s v="Non-Working Day"/>
    <s v="Spring"/>
    <x v="0"/>
    <s v="Evening"/>
    <s v="Warm"/>
    <s v="Medium"/>
    <s v="Off-Peak"/>
    <n v="0.16666666666666666"/>
    <s v="Normal"/>
    <n v="1"/>
  </r>
  <r>
    <n v="825"/>
    <x v="36"/>
    <n v="1"/>
    <n v="0"/>
    <n v="2"/>
    <n v="19"/>
    <b v="0"/>
    <n v="0"/>
    <n v="1"/>
    <n v="0.28000000000000003"/>
    <n v="0.28789999999999999"/>
    <n v="0.61"/>
    <n v="0.1343"/>
    <n v="1"/>
    <n v="20"/>
    <n v="21"/>
    <s v="REC-0825"/>
    <d v="2011-02-06T19:00:00"/>
    <s v="Feb"/>
    <x v="1"/>
    <x v="0"/>
    <s v="Non-Working Day"/>
    <s v="Spring"/>
    <x v="0"/>
    <s v="Evening"/>
    <s v="Mild"/>
    <s v="Medium"/>
    <s v="Off-Peak"/>
    <n v="4.7619047619047616E-2"/>
    <s v="Normal"/>
    <n v="1"/>
  </r>
  <r>
    <n v="826"/>
    <x v="36"/>
    <n v="1"/>
    <n v="0"/>
    <n v="2"/>
    <n v="20"/>
    <b v="0"/>
    <n v="0"/>
    <n v="1"/>
    <n v="0.28000000000000003"/>
    <n v="0.28789999999999999"/>
    <n v="0.61"/>
    <n v="0.1045"/>
    <n v="5"/>
    <n v="21"/>
    <n v="26"/>
    <s v="REC-0826"/>
    <d v="2011-02-06T20:00:00"/>
    <s v="Feb"/>
    <x v="1"/>
    <x v="0"/>
    <s v="Non-Working Day"/>
    <s v="Spring"/>
    <x v="0"/>
    <s v="Evening"/>
    <s v="Mild"/>
    <s v="Medium"/>
    <s v="Off-Peak"/>
    <n v="0.19230769230769232"/>
    <s v="Normal"/>
    <n v="1"/>
  </r>
  <r>
    <n v="827"/>
    <x v="36"/>
    <n v="1"/>
    <n v="0"/>
    <n v="2"/>
    <n v="21"/>
    <b v="0"/>
    <n v="0"/>
    <n v="1"/>
    <n v="0.26"/>
    <n v="0.30299999999999999"/>
    <n v="0.6"/>
    <n v="0"/>
    <n v="5"/>
    <n v="22"/>
    <n v="27"/>
    <s v="REC-0827"/>
    <d v="2011-02-06T21:00:00"/>
    <s v="Feb"/>
    <x v="1"/>
    <x v="0"/>
    <s v="Non-Working Day"/>
    <s v="Spring"/>
    <x v="0"/>
    <s v="Late Evening"/>
    <s v="Mild"/>
    <s v="Medium"/>
    <s v="Off-Peak"/>
    <n v="0.18518518518518517"/>
    <s v="Normal"/>
    <n v="1"/>
  </r>
  <r>
    <n v="828"/>
    <x v="36"/>
    <n v="1"/>
    <n v="0"/>
    <n v="2"/>
    <n v="22"/>
    <b v="0"/>
    <n v="0"/>
    <n v="1"/>
    <n v="0.26"/>
    <n v="0.30299999999999999"/>
    <n v="0.6"/>
    <n v="0"/>
    <n v="5"/>
    <n v="57"/>
    <n v="62"/>
    <s v="REC-0828"/>
    <d v="2011-02-06T22:00:00"/>
    <s v="Feb"/>
    <x v="1"/>
    <x v="0"/>
    <s v="Non-Working Day"/>
    <s v="Spring"/>
    <x v="0"/>
    <s v="Late Evening"/>
    <s v="Mild"/>
    <s v="Medium"/>
    <s v="Off-Peak"/>
    <n v="8.0645161290322578E-2"/>
    <s v="Normal"/>
    <n v="1"/>
  </r>
  <r>
    <n v="829"/>
    <x v="36"/>
    <n v="1"/>
    <n v="0"/>
    <n v="2"/>
    <n v="23"/>
    <b v="0"/>
    <n v="0"/>
    <n v="1"/>
    <n v="0.24"/>
    <n v="0.28789999999999999"/>
    <n v="0.65"/>
    <n v="0"/>
    <n v="4"/>
    <n v="26"/>
    <n v="30"/>
    <s v="REC-0829"/>
    <d v="2011-02-06T23:00:00"/>
    <s v="Feb"/>
    <x v="1"/>
    <x v="0"/>
    <s v="Non-Working Day"/>
    <s v="Spring"/>
    <x v="0"/>
    <s v="Late Evening"/>
    <s v="Mild"/>
    <s v="Medium"/>
    <s v="Off-Peak"/>
    <n v="0.13333333333333333"/>
    <s v="Normal"/>
    <n v="1"/>
  </r>
  <r>
    <n v="830"/>
    <x v="37"/>
    <n v="1"/>
    <n v="0"/>
    <n v="2"/>
    <n v="0"/>
    <b v="0"/>
    <n v="1"/>
    <n v="1"/>
    <n v="0.24"/>
    <n v="0.28789999999999999"/>
    <n v="0.65"/>
    <n v="0"/>
    <n v="1"/>
    <n v="14"/>
    <n v="15"/>
    <s v="REC-0830"/>
    <d v="2011-02-07T00:00:00"/>
    <s v="Feb"/>
    <x v="2"/>
    <x v="1"/>
    <s v="Working Day"/>
    <s v="Spring"/>
    <x v="0"/>
    <s v="Night"/>
    <s v="Mild"/>
    <s v="Medium"/>
    <s v="Off-Peak"/>
    <n v="6.6666666666666666E-2"/>
    <s v="Low"/>
    <n v="1"/>
  </r>
  <r>
    <n v="831"/>
    <x v="37"/>
    <n v="1"/>
    <n v="0"/>
    <n v="2"/>
    <n v="1"/>
    <b v="0"/>
    <n v="1"/>
    <n v="1"/>
    <n v="0.22"/>
    <n v="0.2727"/>
    <n v="0.75"/>
    <n v="0"/>
    <n v="1"/>
    <n v="4"/>
    <n v="5"/>
    <s v="REC-0831"/>
    <d v="2011-02-07T01:00:00"/>
    <s v="Feb"/>
    <x v="2"/>
    <x v="1"/>
    <s v="Working Day"/>
    <s v="Spring"/>
    <x v="0"/>
    <s v="Night"/>
    <s v="Mild"/>
    <s v="High"/>
    <s v="Off-Peak"/>
    <n v="0.2"/>
    <s v="Low"/>
    <n v="1"/>
  </r>
  <r>
    <n v="832"/>
    <x v="37"/>
    <n v="1"/>
    <n v="0"/>
    <n v="2"/>
    <n v="2"/>
    <b v="0"/>
    <n v="1"/>
    <n v="1"/>
    <n v="0.2"/>
    <n v="0.2576"/>
    <n v="0.8"/>
    <n v="0"/>
    <n v="0"/>
    <n v="3"/>
    <n v="3"/>
    <s v="REC-0832"/>
    <d v="2011-02-07T02:00:00"/>
    <s v="Feb"/>
    <x v="2"/>
    <x v="1"/>
    <s v="Working Day"/>
    <s v="Spring"/>
    <x v="0"/>
    <s v="Night"/>
    <s v="Mild"/>
    <s v="High"/>
    <s v="Off-Peak"/>
    <n v="0"/>
    <s v="Low"/>
    <n v="1"/>
  </r>
  <r>
    <n v="833"/>
    <x v="37"/>
    <n v="1"/>
    <n v="0"/>
    <n v="2"/>
    <n v="3"/>
    <b v="0"/>
    <n v="1"/>
    <n v="1"/>
    <n v="0.2"/>
    <n v="0.2576"/>
    <n v="0.86"/>
    <n v="0"/>
    <n v="0"/>
    <n v="1"/>
    <n v="1"/>
    <s v="REC-0833"/>
    <d v="2011-02-07T03:00:00"/>
    <s v="Feb"/>
    <x v="2"/>
    <x v="1"/>
    <s v="Working Day"/>
    <s v="Spring"/>
    <x v="0"/>
    <s v="Night"/>
    <s v="Mild"/>
    <s v="High"/>
    <s v="Off-Peak"/>
    <n v="0"/>
    <s v="Low"/>
    <n v="1"/>
  </r>
  <r>
    <n v="834"/>
    <x v="37"/>
    <n v="1"/>
    <n v="0"/>
    <n v="2"/>
    <n v="4"/>
    <b v="0"/>
    <n v="1"/>
    <n v="1"/>
    <n v="0.2"/>
    <n v="0.2576"/>
    <n v="0.86"/>
    <n v="0"/>
    <n v="1"/>
    <n v="1"/>
    <n v="2"/>
    <s v="REC-0834"/>
    <d v="2011-02-07T04:00:00"/>
    <s v="Feb"/>
    <x v="2"/>
    <x v="1"/>
    <s v="Working Day"/>
    <s v="Spring"/>
    <x v="0"/>
    <s v="Night"/>
    <s v="Mild"/>
    <s v="High"/>
    <s v="Off-Peak"/>
    <n v="0.5"/>
    <s v="Low"/>
    <n v="1"/>
  </r>
  <r>
    <n v="835"/>
    <x v="37"/>
    <n v="1"/>
    <n v="0"/>
    <n v="2"/>
    <n v="5"/>
    <b v="0"/>
    <n v="1"/>
    <n v="1"/>
    <n v="0.2"/>
    <n v="0.2576"/>
    <n v="0.86"/>
    <n v="0"/>
    <n v="1"/>
    <n v="9"/>
    <n v="10"/>
    <s v="REC-0835"/>
    <d v="2011-02-07T05:00:00"/>
    <s v="Feb"/>
    <x v="2"/>
    <x v="1"/>
    <s v="Working Day"/>
    <s v="Spring"/>
    <x v="0"/>
    <s v="Night"/>
    <s v="Mild"/>
    <s v="High"/>
    <s v="Off-Peak"/>
    <n v="0.1"/>
    <s v="Low"/>
    <n v="1"/>
  </r>
  <r>
    <n v="836"/>
    <x v="37"/>
    <n v="1"/>
    <n v="0"/>
    <n v="2"/>
    <n v="6"/>
    <b v="0"/>
    <n v="1"/>
    <n v="1"/>
    <n v="0.18"/>
    <n v="0.2424"/>
    <n v="0.93"/>
    <n v="0"/>
    <n v="1"/>
    <n v="29"/>
    <n v="30"/>
    <s v="REC-0836"/>
    <d v="2011-02-07T06:00:00"/>
    <s v="Feb"/>
    <x v="2"/>
    <x v="1"/>
    <s v="Working Day"/>
    <s v="Spring"/>
    <x v="0"/>
    <s v="Morning"/>
    <s v="Cold"/>
    <s v="High"/>
    <s v="Off-Peak"/>
    <n v="3.3333333333333333E-2"/>
    <s v="Normal"/>
    <n v="1"/>
  </r>
  <r>
    <n v="837"/>
    <x v="37"/>
    <n v="1"/>
    <n v="0"/>
    <n v="2"/>
    <n v="7"/>
    <b v="0"/>
    <n v="1"/>
    <n v="1"/>
    <n v="0.18"/>
    <n v="0.2424"/>
    <n v="0.86"/>
    <n v="0"/>
    <n v="6"/>
    <n v="89"/>
    <n v="95"/>
    <s v="REC-0837"/>
    <d v="2011-02-07T07:00:00"/>
    <s v="Feb"/>
    <x v="2"/>
    <x v="1"/>
    <s v="Working Day"/>
    <s v="Spring"/>
    <x v="0"/>
    <s v="Morning"/>
    <s v="Cold"/>
    <s v="High"/>
    <s v="Peak"/>
    <n v="6.3157894736842107E-2"/>
    <s v="High"/>
    <n v="1"/>
  </r>
  <r>
    <n v="838"/>
    <x v="37"/>
    <n v="1"/>
    <n v="0"/>
    <n v="2"/>
    <n v="8"/>
    <b v="0"/>
    <n v="1"/>
    <n v="2"/>
    <n v="0.16"/>
    <n v="0.2273"/>
    <n v="1"/>
    <n v="0"/>
    <n v="7"/>
    <n v="223"/>
    <n v="230"/>
    <s v="REC-0838"/>
    <d v="2011-02-07T08:00:00"/>
    <s v="Feb"/>
    <x v="2"/>
    <x v="1"/>
    <s v="Working Day"/>
    <s v="Spring"/>
    <x v="1"/>
    <s v="Morning"/>
    <s v="Cold"/>
    <s v="High"/>
    <s v="Peak"/>
    <n v="3.0434782608695653E-2"/>
    <s v="High"/>
    <n v="1"/>
  </r>
  <r>
    <n v="839"/>
    <x v="37"/>
    <n v="1"/>
    <n v="0"/>
    <n v="2"/>
    <n v="9"/>
    <b v="0"/>
    <n v="1"/>
    <n v="1"/>
    <n v="0.22"/>
    <n v="0.2727"/>
    <n v="0.8"/>
    <n v="0"/>
    <n v="3"/>
    <n v="115"/>
    <n v="118"/>
    <s v="REC-0839"/>
    <d v="2011-02-07T09:00:00"/>
    <s v="Feb"/>
    <x v="2"/>
    <x v="1"/>
    <s v="Working Day"/>
    <s v="Spring"/>
    <x v="0"/>
    <s v="Morning"/>
    <s v="Mild"/>
    <s v="High"/>
    <s v="Peak"/>
    <n v="2.5423728813559324E-2"/>
    <s v="High"/>
    <n v="1"/>
  </r>
  <r>
    <n v="840"/>
    <x v="37"/>
    <n v="1"/>
    <n v="0"/>
    <n v="2"/>
    <n v="10"/>
    <b v="0"/>
    <n v="1"/>
    <n v="1"/>
    <n v="0.24"/>
    <n v="0.2576"/>
    <n v="0.75"/>
    <n v="0.1045"/>
    <n v="6"/>
    <n v="49"/>
    <n v="55"/>
    <s v="REC-0840"/>
    <d v="2011-02-07T10:00:00"/>
    <s v="Feb"/>
    <x v="2"/>
    <x v="1"/>
    <s v="Working Day"/>
    <s v="Spring"/>
    <x v="0"/>
    <s v="Morning"/>
    <s v="Mild"/>
    <s v="High"/>
    <s v="Off-Peak"/>
    <n v="0.10909090909090909"/>
    <s v="Normal"/>
    <n v="1"/>
  </r>
  <r>
    <n v="841"/>
    <x v="37"/>
    <n v="1"/>
    <n v="0"/>
    <n v="2"/>
    <n v="11"/>
    <b v="0"/>
    <n v="1"/>
    <n v="1"/>
    <n v="0.3"/>
    <n v="0.31819999999999998"/>
    <n v="0.65"/>
    <n v="8.9599999999999999E-2"/>
    <n v="11"/>
    <n v="36"/>
    <n v="47"/>
    <s v="REC-0841"/>
    <d v="2011-02-07T11:00:00"/>
    <s v="Feb"/>
    <x v="2"/>
    <x v="1"/>
    <s v="Working Day"/>
    <s v="Spring"/>
    <x v="0"/>
    <s v="Morning"/>
    <s v="Warm"/>
    <s v="Medium"/>
    <s v="Off-Peak"/>
    <n v="0.23404255319148937"/>
    <s v="Normal"/>
    <n v="1"/>
  </r>
  <r>
    <n v="842"/>
    <x v="37"/>
    <n v="1"/>
    <n v="0"/>
    <n v="2"/>
    <n v="12"/>
    <b v="0"/>
    <n v="1"/>
    <n v="2"/>
    <n v="0.32"/>
    <n v="0.34849999999999998"/>
    <n v="0.62"/>
    <n v="0"/>
    <n v="7"/>
    <n v="59"/>
    <n v="66"/>
    <s v="REC-0842"/>
    <d v="2011-02-07T12:00:00"/>
    <s v="Feb"/>
    <x v="2"/>
    <x v="1"/>
    <s v="Working Day"/>
    <s v="Spring"/>
    <x v="1"/>
    <s v="Afternoon"/>
    <s v="Warm"/>
    <s v="Medium"/>
    <s v="Off-Peak"/>
    <n v="0.10606060606060606"/>
    <s v="Normal"/>
    <n v="1"/>
  </r>
  <r>
    <n v="843"/>
    <x v="37"/>
    <n v="1"/>
    <n v="0"/>
    <n v="2"/>
    <n v="13"/>
    <b v="0"/>
    <n v="1"/>
    <n v="2"/>
    <n v="0.36"/>
    <n v="0.36359999999999998"/>
    <n v="0.56999999999999995"/>
    <n v="8.9599999999999999E-2"/>
    <n v="10"/>
    <n v="54"/>
    <n v="64"/>
    <s v="REC-0843"/>
    <d v="2011-02-07T13:00:00"/>
    <s v="Feb"/>
    <x v="2"/>
    <x v="1"/>
    <s v="Working Day"/>
    <s v="Spring"/>
    <x v="1"/>
    <s v="Afternoon"/>
    <s v="Warm"/>
    <s v="Medium"/>
    <s v="Off-Peak"/>
    <n v="0.15625"/>
    <s v="Normal"/>
    <n v="1"/>
  </r>
  <r>
    <n v="844"/>
    <x v="37"/>
    <n v="1"/>
    <n v="0"/>
    <n v="2"/>
    <n v="14"/>
    <b v="0"/>
    <n v="1"/>
    <n v="2"/>
    <n v="0.36"/>
    <n v="0.36359999999999998"/>
    <n v="0.56999999999999995"/>
    <n v="8.9599999999999999E-2"/>
    <n v="8"/>
    <n v="52"/>
    <n v="60"/>
    <s v="REC-0844"/>
    <d v="2011-02-07T14:00:00"/>
    <s v="Feb"/>
    <x v="2"/>
    <x v="1"/>
    <s v="Working Day"/>
    <s v="Spring"/>
    <x v="1"/>
    <s v="Afternoon"/>
    <s v="Warm"/>
    <s v="Medium"/>
    <s v="Off-Peak"/>
    <n v="0.13333333333333333"/>
    <s v="Normal"/>
    <n v="1"/>
  </r>
  <r>
    <n v="845"/>
    <x v="37"/>
    <n v="1"/>
    <n v="0"/>
    <n v="2"/>
    <n v="15"/>
    <b v="0"/>
    <n v="1"/>
    <n v="2"/>
    <n v="0.38"/>
    <n v="0.39389999999999997"/>
    <n v="0.54"/>
    <n v="8.9599999999999999E-2"/>
    <n v="4"/>
    <n v="46"/>
    <n v="50"/>
    <s v="REC-0845"/>
    <d v="2011-02-07T15:00:00"/>
    <s v="Feb"/>
    <x v="2"/>
    <x v="1"/>
    <s v="Working Day"/>
    <s v="Spring"/>
    <x v="1"/>
    <s v="Afternoon"/>
    <s v="Warm"/>
    <s v="Medium"/>
    <s v="Off-Peak"/>
    <n v="0.08"/>
    <s v="Normal"/>
    <n v="1"/>
  </r>
  <r>
    <n v="846"/>
    <x v="37"/>
    <n v="1"/>
    <n v="0"/>
    <n v="2"/>
    <n v="16"/>
    <b v="0"/>
    <n v="1"/>
    <n v="2"/>
    <n v="0.36"/>
    <n v="0.34849999999999998"/>
    <n v="0.56999999999999995"/>
    <n v="0.1343"/>
    <n v="16"/>
    <n v="98"/>
    <n v="114"/>
    <s v="REC-0846"/>
    <d v="2011-02-07T16:00:00"/>
    <s v="Feb"/>
    <x v="2"/>
    <x v="1"/>
    <s v="Working Day"/>
    <s v="Spring"/>
    <x v="1"/>
    <s v="Afternoon"/>
    <s v="Warm"/>
    <s v="Medium"/>
    <s v="Peak"/>
    <n v="0.14035087719298245"/>
    <s v="High"/>
    <n v="1"/>
  </r>
  <r>
    <n v="847"/>
    <x v="37"/>
    <n v="1"/>
    <n v="0"/>
    <n v="2"/>
    <n v="17"/>
    <b v="0"/>
    <n v="1"/>
    <n v="2"/>
    <n v="0.32"/>
    <n v="0.31819999999999998"/>
    <n v="0.7"/>
    <n v="0.16420000000000001"/>
    <n v="9"/>
    <n v="207"/>
    <n v="216"/>
    <s v="REC-0847"/>
    <d v="2011-02-07T17:00:00"/>
    <s v="Feb"/>
    <x v="2"/>
    <x v="1"/>
    <s v="Working Day"/>
    <s v="Spring"/>
    <x v="1"/>
    <s v="Evening"/>
    <s v="Warm"/>
    <s v="Medium"/>
    <s v="Peak"/>
    <n v="4.1666666666666664E-2"/>
    <s v="High"/>
    <n v="1"/>
  </r>
  <r>
    <n v="848"/>
    <x v="37"/>
    <n v="1"/>
    <n v="0"/>
    <n v="2"/>
    <n v="18"/>
    <b v="0"/>
    <n v="1"/>
    <n v="2"/>
    <n v="0.34"/>
    <n v="0.33329999999999999"/>
    <n v="0.66"/>
    <n v="0.1343"/>
    <n v="5"/>
    <n v="170"/>
    <n v="175"/>
    <s v="REC-0848"/>
    <d v="2011-02-07T18:00:00"/>
    <s v="Feb"/>
    <x v="2"/>
    <x v="1"/>
    <s v="Working Day"/>
    <s v="Spring"/>
    <x v="1"/>
    <s v="Evening"/>
    <s v="Warm"/>
    <s v="Medium"/>
    <s v="Peak"/>
    <n v="2.8571428571428571E-2"/>
    <s v="High"/>
    <n v="1"/>
  </r>
  <r>
    <n v="849"/>
    <x v="37"/>
    <n v="1"/>
    <n v="0"/>
    <n v="2"/>
    <n v="19"/>
    <b v="0"/>
    <n v="1"/>
    <n v="2"/>
    <n v="0.32"/>
    <n v="0.34849999999999998"/>
    <n v="0.7"/>
    <n v="0"/>
    <n v="5"/>
    <n v="123"/>
    <n v="128"/>
    <s v="REC-0849"/>
    <d v="2011-02-07T19:00:00"/>
    <s v="Feb"/>
    <x v="2"/>
    <x v="1"/>
    <s v="Working Day"/>
    <s v="Spring"/>
    <x v="1"/>
    <s v="Evening"/>
    <s v="Warm"/>
    <s v="Medium"/>
    <s v="Peak"/>
    <n v="3.90625E-2"/>
    <s v="High"/>
    <n v="1"/>
  </r>
  <r>
    <n v="850"/>
    <x v="37"/>
    <n v="1"/>
    <n v="0"/>
    <n v="2"/>
    <n v="20"/>
    <b v="0"/>
    <n v="1"/>
    <n v="2"/>
    <n v="0.32"/>
    <n v="0.33329999999999999"/>
    <n v="0.7"/>
    <n v="0.1045"/>
    <n v="6"/>
    <n v="82"/>
    <n v="88"/>
    <s v="REC-0850"/>
    <d v="2011-02-07T20:00:00"/>
    <s v="Feb"/>
    <x v="2"/>
    <x v="1"/>
    <s v="Working Day"/>
    <s v="Spring"/>
    <x v="1"/>
    <s v="Evening"/>
    <s v="Warm"/>
    <s v="Medium"/>
    <s v="Off-Peak"/>
    <n v="6.8181818181818177E-2"/>
    <s v="High"/>
    <n v="1"/>
  </r>
  <r>
    <n v="851"/>
    <x v="37"/>
    <n v="1"/>
    <n v="0"/>
    <n v="2"/>
    <n v="21"/>
    <b v="0"/>
    <n v="1"/>
    <n v="1"/>
    <n v="0.32"/>
    <n v="0.34849999999999998"/>
    <n v="0.7"/>
    <n v="0"/>
    <n v="3"/>
    <n v="75"/>
    <n v="78"/>
    <s v="REC-0851"/>
    <d v="2011-02-07T21:00:00"/>
    <s v="Feb"/>
    <x v="2"/>
    <x v="1"/>
    <s v="Working Day"/>
    <s v="Spring"/>
    <x v="0"/>
    <s v="Late Evening"/>
    <s v="Warm"/>
    <s v="Medium"/>
    <s v="Off-Peak"/>
    <n v="3.8461538461538464E-2"/>
    <s v="Normal"/>
    <n v="1"/>
  </r>
  <r>
    <n v="852"/>
    <x v="37"/>
    <n v="1"/>
    <n v="0"/>
    <n v="2"/>
    <n v="22"/>
    <b v="0"/>
    <n v="1"/>
    <n v="1"/>
    <n v="0.28000000000000003"/>
    <n v="0.30299999999999999"/>
    <n v="0.81"/>
    <n v="8.9599999999999999E-2"/>
    <n v="3"/>
    <n v="34"/>
    <n v="37"/>
    <s v="REC-0852"/>
    <d v="2011-02-07T22:00:00"/>
    <s v="Feb"/>
    <x v="2"/>
    <x v="1"/>
    <s v="Working Day"/>
    <s v="Spring"/>
    <x v="0"/>
    <s v="Late Evening"/>
    <s v="Mild"/>
    <s v="High"/>
    <s v="Off-Peak"/>
    <n v="8.1081081081081086E-2"/>
    <s v="Normal"/>
    <n v="1"/>
  </r>
  <r>
    <n v="853"/>
    <x v="37"/>
    <n v="1"/>
    <n v="0"/>
    <n v="2"/>
    <n v="23"/>
    <b v="0"/>
    <n v="1"/>
    <n v="2"/>
    <n v="0.3"/>
    <n v="0.33329999999999999"/>
    <n v="0.81"/>
    <n v="0"/>
    <n v="6"/>
    <n v="19"/>
    <n v="25"/>
    <s v="REC-0853"/>
    <d v="2011-02-07T23:00:00"/>
    <s v="Feb"/>
    <x v="2"/>
    <x v="1"/>
    <s v="Working Day"/>
    <s v="Spring"/>
    <x v="1"/>
    <s v="Late Evening"/>
    <s v="Warm"/>
    <s v="High"/>
    <s v="Off-Peak"/>
    <n v="0.24"/>
    <s v="Normal"/>
    <n v="1"/>
  </r>
  <r>
    <n v="854"/>
    <x v="38"/>
    <n v="1"/>
    <n v="0"/>
    <n v="2"/>
    <n v="0"/>
    <b v="0"/>
    <n v="2"/>
    <n v="2"/>
    <n v="0.28000000000000003"/>
    <n v="0.31819999999999998"/>
    <n v="0.87"/>
    <n v="0"/>
    <n v="4"/>
    <n v="6"/>
    <n v="10"/>
    <s v="REC-0854"/>
    <d v="2011-02-08T00:00:00"/>
    <s v="Feb"/>
    <x v="3"/>
    <x v="1"/>
    <s v="Working Day"/>
    <s v="Spring"/>
    <x v="1"/>
    <s v="Night"/>
    <s v="Mild"/>
    <s v="High"/>
    <s v="Off-Peak"/>
    <n v="0.4"/>
    <s v="Low"/>
    <n v="1"/>
  </r>
  <r>
    <n v="855"/>
    <x v="38"/>
    <n v="1"/>
    <n v="0"/>
    <n v="2"/>
    <n v="1"/>
    <b v="0"/>
    <n v="2"/>
    <n v="2"/>
    <n v="0.28000000000000003"/>
    <n v="0.31819999999999998"/>
    <n v="0.87"/>
    <n v="0"/>
    <n v="0"/>
    <n v="4"/>
    <n v="4"/>
    <s v="REC-0855"/>
    <d v="2011-02-08T01:00:00"/>
    <s v="Feb"/>
    <x v="3"/>
    <x v="1"/>
    <s v="Working Day"/>
    <s v="Spring"/>
    <x v="1"/>
    <s v="Night"/>
    <s v="Mild"/>
    <s v="High"/>
    <s v="Off-Peak"/>
    <n v="0"/>
    <s v="Low"/>
    <n v="1"/>
  </r>
  <r>
    <n v="856"/>
    <x v="38"/>
    <n v="1"/>
    <n v="0"/>
    <n v="2"/>
    <n v="2"/>
    <b v="0"/>
    <n v="2"/>
    <n v="2"/>
    <n v="0.26"/>
    <n v="0.2727"/>
    <n v="0.93"/>
    <n v="0.1045"/>
    <n v="1"/>
    <n v="1"/>
    <n v="2"/>
    <s v="REC-0856"/>
    <d v="2011-02-08T02:00:00"/>
    <s v="Feb"/>
    <x v="3"/>
    <x v="1"/>
    <s v="Working Day"/>
    <s v="Spring"/>
    <x v="1"/>
    <s v="Night"/>
    <s v="Mild"/>
    <s v="High"/>
    <s v="Off-Peak"/>
    <n v="0.5"/>
    <s v="Low"/>
    <n v="1"/>
  </r>
  <r>
    <n v="857"/>
    <x v="38"/>
    <n v="1"/>
    <n v="0"/>
    <n v="2"/>
    <n v="3"/>
    <b v="0"/>
    <n v="2"/>
    <n v="3"/>
    <n v="0.28000000000000003"/>
    <n v="0.2727"/>
    <n v="0.93"/>
    <n v="0.16420000000000001"/>
    <n v="0"/>
    <n v="1"/>
    <n v="1"/>
    <s v="REC-0857"/>
    <d v="2011-02-08T03:00:00"/>
    <s v="Feb"/>
    <x v="3"/>
    <x v="1"/>
    <s v="Working Day"/>
    <s v="Spring"/>
    <x v="2"/>
    <s v="Night"/>
    <s v="Mild"/>
    <s v="High"/>
    <s v="Off-Peak"/>
    <n v="0"/>
    <s v="Low"/>
    <n v="1"/>
  </r>
  <r>
    <n v="858"/>
    <x v="38"/>
    <n v="1"/>
    <n v="0"/>
    <n v="2"/>
    <n v="4"/>
    <b v="0"/>
    <n v="2"/>
    <n v="1"/>
    <n v="0.26"/>
    <n v="0.2576"/>
    <n v="0.93"/>
    <n v="0.16420000000000001"/>
    <n v="0"/>
    <n v="3"/>
    <n v="3"/>
    <s v="REC-0858"/>
    <d v="2011-02-08T04:00:00"/>
    <s v="Feb"/>
    <x v="3"/>
    <x v="1"/>
    <s v="Working Day"/>
    <s v="Spring"/>
    <x v="0"/>
    <s v="Night"/>
    <s v="Mild"/>
    <s v="High"/>
    <s v="Off-Peak"/>
    <n v="0"/>
    <s v="Low"/>
    <n v="1"/>
  </r>
  <r>
    <n v="859"/>
    <x v="38"/>
    <n v="1"/>
    <n v="0"/>
    <n v="2"/>
    <n v="5"/>
    <b v="0"/>
    <n v="2"/>
    <n v="1"/>
    <n v="0.26"/>
    <n v="0.2273"/>
    <n v="0.81"/>
    <n v="0.32840000000000003"/>
    <n v="0"/>
    <n v="2"/>
    <n v="2"/>
    <s v="REC-0859"/>
    <d v="2011-02-08T05:00:00"/>
    <s v="Feb"/>
    <x v="3"/>
    <x v="1"/>
    <s v="Working Day"/>
    <s v="Spring"/>
    <x v="0"/>
    <s v="Night"/>
    <s v="Mild"/>
    <s v="High"/>
    <s v="Off-Peak"/>
    <n v="0"/>
    <s v="Low"/>
    <n v="1"/>
  </r>
  <r>
    <n v="860"/>
    <x v="38"/>
    <n v="1"/>
    <n v="0"/>
    <n v="2"/>
    <n v="6"/>
    <b v="0"/>
    <n v="2"/>
    <n v="1"/>
    <n v="0.26"/>
    <n v="0.2273"/>
    <n v="0.7"/>
    <n v="0.32840000000000003"/>
    <n v="0"/>
    <n v="39"/>
    <n v="39"/>
    <s v="REC-0860"/>
    <d v="2011-02-08T06:00:00"/>
    <s v="Feb"/>
    <x v="3"/>
    <x v="1"/>
    <s v="Working Day"/>
    <s v="Spring"/>
    <x v="0"/>
    <s v="Morning"/>
    <s v="Mild"/>
    <s v="Medium"/>
    <s v="Off-Peak"/>
    <n v="0"/>
    <s v="Normal"/>
    <n v="1"/>
  </r>
  <r>
    <n v="861"/>
    <x v="38"/>
    <n v="1"/>
    <n v="0"/>
    <n v="2"/>
    <n v="7"/>
    <b v="0"/>
    <n v="2"/>
    <n v="1"/>
    <n v="0.24"/>
    <n v="0.19700000000000001"/>
    <n v="0.65"/>
    <n v="0.41789999999999999"/>
    <n v="3"/>
    <n v="97"/>
    <n v="100"/>
    <s v="REC-0861"/>
    <d v="2011-02-08T07:00:00"/>
    <s v="Feb"/>
    <x v="3"/>
    <x v="1"/>
    <s v="Working Day"/>
    <s v="Spring"/>
    <x v="0"/>
    <s v="Morning"/>
    <s v="Mild"/>
    <s v="Medium"/>
    <s v="Peak"/>
    <n v="0.03"/>
    <s v="High"/>
    <n v="1"/>
  </r>
  <r>
    <n v="862"/>
    <x v="38"/>
    <n v="1"/>
    <n v="0"/>
    <n v="2"/>
    <n v="8"/>
    <b v="0"/>
    <n v="2"/>
    <n v="1"/>
    <n v="0.24"/>
    <n v="0.19700000000000001"/>
    <n v="0.56000000000000005"/>
    <n v="0.49249999999999999"/>
    <n v="7"/>
    <n v="236"/>
    <n v="243"/>
    <s v="REC-0862"/>
    <d v="2011-02-08T08:00:00"/>
    <s v="Feb"/>
    <x v="3"/>
    <x v="1"/>
    <s v="Working Day"/>
    <s v="Spring"/>
    <x v="0"/>
    <s v="Morning"/>
    <s v="Mild"/>
    <s v="Medium"/>
    <s v="Peak"/>
    <n v="2.8806584362139918E-2"/>
    <s v="High"/>
    <n v="1"/>
  </r>
  <r>
    <n v="863"/>
    <x v="38"/>
    <n v="1"/>
    <n v="0"/>
    <n v="2"/>
    <n v="9"/>
    <b v="0"/>
    <n v="2"/>
    <n v="1"/>
    <n v="0.24"/>
    <n v="0.19700000000000001"/>
    <n v="0.52"/>
    <n v="0.49249999999999999"/>
    <n v="7"/>
    <n v="128"/>
    <n v="135"/>
    <s v="REC-0863"/>
    <d v="2011-02-08T09:00:00"/>
    <s v="Feb"/>
    <x v="3"/>
    <x v="1"/>
    <s v="Working Day"/>
    <s v="Spring"/>
    <x v="0"/>
    <s v="Morning"/>
    <s v="Mild"/>
    <s v="Medium"/>
    <s v="Peak"/>
    <n v="5.185185185185185E-2"/>
    <s v="High"/>
    <n v="1"/>
  </r>
  <r>
    <n v="864"/>
    <x v="38"/>
    <n v="1"/>
    <n v="0"/>
    <n v="2"/>
    <n v="10"/>
    <b v="0"/>
    <n v="2"/>
    <n v="1"/>
    <n v="0.22"/>
    <n v="0.18179999999999999"/>
    <n v="0.47"/>
    <n v="0.55220000000000002"/>
    <n v="4"/>
    <n v="44"/>
    <n v="48"/>
    <s v="REC-0864"/>
    <d v="2011-02-08T10:00:00"/>
    <s v="Feb"/>
    <x v="3"/>
    <x v="1"/>
    <s v="Working Day"/>
    <s v="Spring"/>
    <x v="0"/>
    <s v="Morning"/>
    <s v="Mild"/>
    <s v="Low"/>
    <s v="Off-Peak"/>
    <n v="8.3333333333333329E-2"/>
    <s v="Normal"/>
    <n v="1"/>
  </r>
  <r>
    <n v="865"/>
    <x v="38"/>
    <n v="1"/>
    <n v="0"/>
    <n v="2"/>
    <n v="11"/>
    <b v="0"/>
    <n v="2"/>
    <n v="1"/>
    <n v="0.22"/>
    <n v="0.18179999999999999"/>
    <n v="0.47"/>
    <n v="0.4627"/>
    <n v="1"/>
    <n v="49"/>
    <n v="50"/>
    <s v="REC-0865"/>
    <d v="2011-02-08T11:00:00"/>
    <s v="Feb"/>
    <x v="3"/>
    <x v="1"/>
    <s v="Working Day"/>
    <s v="Spring"/>
    <x v="0"/>
    <s v="Morning"/>
    <s v="Mild"/>
    <s v="Low"/>
    <s v="Off-Peak"/>
    <n v="0.02"/>
    <s v="Normal"/>
    <n v="1"/>
  </r>
  <r>
    <n v="866"/>
    <x v="38"/>
    <n v="1"/>
    <n v="0"/>
    <n v="2"/>
    <n v="12"/>
    <b v="0"/>
    <n v="2"/>
    <n v="1"/>
    <n v="0.24"/>
    <n v="0.19700000000000001"/>
    <n v="0.38"/>
    <n v="0.49249999999999999"/>
    <n v="2"/>
    <n v="63"/>
    <n v="65"/>
    <s v="REC-0866"/>
    <d v="2011-02-08T12:00:00"/>
    <s v="Feb"/>
    <x v="3"/>
    <x v="1"/>
    <s v="Working Day"/>
    <s v="Spring"/>
    <x v="0"/>
    <s v="Afternoon"/>
    <s v="Mild"/>
    <s v="Low"/>
    <s v="Off-Peak"/>
    <n v="3.0769230769230771E-2"/>
    <s v="Normal"/>
    <n v="1"/>
  </r>
  <r>
    <n v="867"/>
    <x v="38"/>
    <n v="1"/>
    <n v="0"/>
    <n v="2"/>
    <n v="13"/>
    <b v="0"/>
    <n v="2"/>
    <n v="2"/>
    <n v="0.24"/>
    <n v="0.19700000000000001"/>
    <n v="0.32"/>
    <n v="0.44779999999999998"/>
    <n v="2"/>
    <n v="48"/>
    <n v="50"/>
    <s v="REC-0867"/>
    <d v="2011-02-08T13:00:00"/>
    <s v="Feb"/>
    <x v="3"/>
    <x v="1"/>
    <s v="Working Day"/>
    <s v="Spring"/>
    <x v="1"/>
    <s v="Afternoon"/>
    <s v="Mild"/>
    <s v="Low"/>
    <s v="Off-Peak"/>
    <n v="0.04"/>
    <s v="Normal"/>
    <n v="1"/>
  </r>
  <r>
    <n v="868"/>
    <x v="38"/>
    <n v="1"/>
    <n v="0"/>
    <n v="2"/>
    <n v="14"/>
    <b v="0"/>
    <n v="2"/>
    <n v="1"/>
    <n v="0.22"/>
    <n v="0.19700000000000001"/>
    <n v="0.37"/>
    <n v="0.41789999999999999"/>
    <n v="3"/>
    <n v="61"/>
    <n v="64"/>
    <s v="REC-0868"/>
    <d v="2011-02-08T14:00:00"/>
    <s v="Feb"/>
    <x v="3"/>
    <x v="1"/>
    <s v="Working Day"/>
    <s v="Spring"/>
    <x v="0"/>
    <s v="Afternoon"/>
    <s v="Mild"/>
    <s v="Low"/>
    <s v="Off-Peak"/>
    <n v="4.6875E-2"/>
    <s v="Normal"/>
    <n v="1"/>
  </r>
  <r>
    <n v="869"/>
    <x v="38"/>
    <n v="1"/>
    <n v="0"/>
    <n v="2"/>
    <n v="15"/>
    <b v="0"/>
    <n v="2"/>
    <n v="1"/>
    <n v="0.22"/>
    <n v="0.19700000000000001"/>
    <n v="0.35"/>
    <n v="0.3881"/>
    <n v="6"/>
    <n v="45"/>
    <n v="51"/>
    <s v="REC-0869"/>
    <d v="2011-02-08T15:00:00"/>
    <s v="Feb"/>
    <x v="3"/>
    <x v="1"/>
    <s v="Working Day"/>
    <s v="Spring"/>
    <x v="0"/>
    <s v="Afternoon"/>
    <s v="Mild"/>
    <s v="Low"/>
    <s v="Off-Peak"/>
    <n v="0.11764705882352941"/>
    <s v="Normal"/>
    <n v="1"/>
  </r>
  <r>
    <n v="870"/>
    <x v="38"/>
    <n v="1"/>
    <n v="0"/>
    <n v="2"/>
    <n v="16"/>
    <b v="0"/>
    <n v="2"/>
    <n v="1"/>
    <n v="0.22"/>
    <n v="0.18179999999999999"/>
    <n v="0.35"/>
    <n v="0.52239999999999998"/>
    <n v="4"/>
    <n v="79"/>
    <n v="83"/>
    <s v="REC-0870"/>
    <d v="2011-02-08T16:00:00"/>
    <s v="Feb"/>
    <x v="3"/>
    <x v="1"/>
    <s v="Working Day"/>
    <s v="Spring"/>
    <x v="0"/>
    <s v="Afternoon"/>
    <s v="Mild"/>
    <s v="Low"/>
    <s v="Peak"/>
    <n v="4.8192771084337352E-2"/>
    <s v="High"/>
    <n v="1"/>
  </r>
  <r>
    <n v="871"/>
    <x v="38"/>
    <n v="1"/>
    <n v="0"/>
    <n v="2"/>
    <n v="17"/>
    <b v="0"/>
    <n v="2"/>
    <n v="1"/>
    <n v="0.22"/>
    <n v="0.18179999999999999"/>
    <n v="0.32"/>
    <n v="0.58209999999999995"/>
    <n v="4"/>
    <n v="172"/>
    <n v="176"/>
    <s v="REC-0871"/>
    <d v="2011-02-08T17:00:00"/>
    <s v="Feb"/>
    <x v="3"/>
    <x v="1"/>
    <s v="Working Day"/>
    <s v="Spring"/>
    <x v="0"/>
    <s v="Evening"/>
    <s v="Mild"/>
    <s v="Low"/>
    <s v="Peak"/>
    <n v="2.2727272727272728E-2"/>
    <s v="High"/>
    <n v="1"/>
  </r>
  <r>
    <n v="872"/>
    <x v="38"/>
    <n v="1"/>
    <n v="0"/>
    <n v="2"/>
    <n v="18"/>
    <b v="0"/>
    <n v="2"/>
    <n v="1"/>
    <n v="0.2"/>
    <n v="0.18179999999999999"/>
    <n v="0.32"/>
    <n v="0.3881"/>
    <n v="1"/>
    <n v="151"/>
    <n v="152"/>
    <s v="REC-0872"/>
    <d v="2011-02-08T18:00:00"/>
    <s v="Feb"/>
    <x v="3"/>
    <x v="1"/>
    <s v="Working Day"/>
    <s v="Spring"/>
    <x v="0"/>
    <s v="Evening"/>
    <s v="Mild"/>
    <s v="Low"/>
    <s v="Peak"/>
    <n v="6.5789473684210523E-3"/>
    <s v="High"/>
    <n v="1"/>
  </r>
  <r>
    <n v="873"/>
    <x v="38"/>
    <n v="1"/>
    <n v="0"/>
    <n v="2"/>
    <n v="19"/>
    <b v="0"/>
    <n v="2"/>
    <n v="1"/>
    <n v="0.16"/>
    <n v="0.1212"/>
    <n v="0.4"/>
    <n v="0.4627"/>
    <n v="1"/>
    <n v="100"/>
    <n v="101"/>
    <s v="REC-0873"/>
    <d v="2011-02-08T19:00:00"/>
    <s v="Feb"/>
    <x v="3"/>
    <x v="1"/>
    <s v="Working Day"/>
    <s v="Spring"/>
    <x v="0"/>
    <s v="Evening"/>
    <s v="Cold"/>
    <s v="Low"/>
    <s v="Peak"/>
    <n v="9.9009900990099011E-3"/>
    <s v="High"/>
    <n v="1"/>
  </r>
  <r>
    <n v="874"/>
    <x v="38"/>
    <n v="1"/>
    <n v="0"/>
    <n v="2"/>
    <n v="20"/>
    <b v="0"/>
    <n v="2"/>
    <n v="1"/>
    <n v="0.16"/>
    <n v="0.13639999999999999"/>
    <n v="0.4"/>
    <n v="0.32840000000000003"/>
    <n v="3"/>
    <n v="53"/>
    <n v="56"/>
    <s v="REC-0874"/>
    <d v="2011-02-08T20:00:00"/>
    <s v="Feb"/>
    <x v="3"/>
    <x v="1"/>
    <s v="Working Day"/>
    <s v="Spring"/>
    <x v="0"/>
    <s v="Evening"/>
    <s v="Cold"/>
    <s v="Low"/>
    <s v="Off-Peak"/>
    <n v="5.3571428571428568E-2"/>
    <s v="Normal"/>
    <n v="1"/>
  </r>
  <r>
    <n v="875"/>
    <x v="38"/>
    <n v="1"/>
    <n v="0"/>
    <n v="2"/>
    <n v="21"/>
    <b v="0"/>
    <n v="2"/>
    <n v="1"/>
    <n v="0.14000000000000001"/>
    <n v="0.1061"/>
    <n v="0.33"/>
    <n v="0.4627"/>
    <n v="8"/>
    <n v="46"/>
    <n v="54"/>
    <s v="REC-0875"/>
    <d v="2011-02-08T21:00:00"/>
    <s v="Feb"/>
    <x v="3"/>
    <x v="1"/>
    <s v="Working Day"/>
    <s v="Spring"/>
    <x v="0"/>
    <s v="Late Evening"/>
    <s v="Cold"/>
    <s v="Low"/>
    <s v="Off-Peak"/>
    <n v="0.14814814814814814"/>
    <s v="Normal"/>
    <n v="1"/>
  </r>
  <r>
    <n v="876"/>
    <x v="38"/>
    <n v="1"/>
    <n v="0"/>
    <n v="2"/>
    <n v="22"/>
    <b v="0"/>
    <n v="2"/>
    <n v="1"/>
    <n v="0.12"/>
    <n v="0.1061"/>
    <n v="0.33"/>
    <n v="0.35820000000000002"/>
    <n v="0"/>
    <n v="29"/>
    <n v="29"/>
    <s v="REC-0876"/>
    <d v="2011-02-08T22:00:00"/>
    <s v="Feb"/>
    <x v="3"/>
    <x v="1"/>
    <s v="Working Day"/>
    <s v="Spring"/>
    <x v="0"/>
    <s v="Late Evening"/>
    <s v="Cold"/>
    <s v="Low"/>
    <s v="Off-Peak"/>
    <n v="0"/>
    <s v="Normal"/>
    <n v="1"/>
  </r>
  <r>
    <n v="877"/>
    <x v="38"/>
    <n v="1"/>
    <n v="0"/>
    <n v="2"/>
    <n v="23"/>
    <b v="0"/>
    <n v="2"/>
    <n v="1"/>
    <n v="0.12"/>
    <n v="0.1061"/>
    <n v="0.33"/>
    <n v="0.32840000000000003"/>
    <n v="3"/>
    <n v="9"/>
    <n v="12"/>
    <s v="REC-0877"/>
    <d v="2011-02-08T23:00:00"/>
    <s v="Feb"/>
    <x v="3"/>
    <x v="1"/>
    <s v="Working Day"/>
    <s v="Spring"/>
    <x v="0"/>
    <s v="Late Evening"/>
    <s v="Cold"/>
    <s v="Low"/>
    <s v="Off-Peak"/>
    <n v="0.25"/>
    <s v="Low"/>
    <n v="1"/>
  </r>
  <r>
    <n v="878"/>
    <x v="39"/>
    <n v="1"/>
    <n v="0"/>
    <n v="2"/>
    <n v="0"/>
    <b v="0"/>
    <n v="3"/>
    <n v="1"/>
    <n v="0.1"/>
    <n v="7.5800000000000006E-2"/>
    <n v="0.36"/>
    <n v="0.35820000000000002"/>
    <n v="0"/>
    <n v="17"/>
    <n v="17"/>
    <s v="REC-0878"/>
    <d v="2011-02-09T00:00:00"/>
    <s v="Feb"/>
    <x v="4"/>
    <x v="1"/>
    <s v="Working Day"/>
    <s v="Spring"/>
    <x v="0"/>
    <s v="Night"/>
    <s v="Cold"/>
    <s v="Low"/>
    <s v="Off-Peak"/>
    <n v="0"/>
    <s v="Normal"/>
    <n v="1"/>
  </r>
  <r>
    <n v="879"/>
    <x v="39"/>
    <n v="1"/>
    <n v="0"/>
    <n v="2"/>
    <n v="1"/>
    <b v="0"/>
    <n v="3"/>
    <n v="1"/>
    <n v="0.1"/>
    <n v="0.1061"/>
    <n v="0.36"/>
    <n v="0.22389999999999999"/>
    <n v="0"/>
    <n v="7"/>
    <n v="7"/>
    <s v="REC-0879"/>
    <d v="2011-02-09T01:00:00"/>
    <s v="Feb"/>
    <x v="4"/>
    <x v="1"/>
    <s v="Working Day"/>
    <s v="Spring"/>
    <x v="0"/>
    <s v="Night"/>
    <s v="Cold"/>
    <s v="Low"/>
    <s v="Off-Peak"/>
    <n v="0"/>
    <s v="Low"/>
    <n v="1"/>
  </r>
  <r>
    <n v="880"/>
    <x v="39"/>
    <n v="1"/>
    <n v="0"/>
    <n v="2"/>
    <n v="2"/>
    <b v="0"/>
    <n v="3"/>
    <n v="1"/>
    <n v="0.08"/>
    <n v="7.5800000000000006E-2"/>
    <n v="0.38"/>
    <n v="0.28360000000000002"/>
    <n v="1"/>
    <n v="2"/>
    <n v="3"/>
    <s v="REC-0880"/>
    <d v="2011-02-09T02:00:00"/>
    <s v="Feb"/>
    <x v="4"/>
    <x v="1"/>
    <s v="Working Day"/>
    <s v="Spring"/>
    <x v="0"/>
    <s v="Night"/>
    <s v="Cold"/>
    <s v="Low"/>
    <s v="Off-Peak"/>
    <n v="0.33333333333333331"/>
    <s v="Low"/>
    <n v="1"/>
  </r>
  <r>
    <n v="881"/>
    <x v="39"/>
    <n v="1"/>
    <n v="0"/>
    <n v="2"/>
    <n v="3"/>
    <b v="0"/>
    <n v="3"/>
    <n v="1"/>
    <n v="0.06"/>
    <n v="7.5800000000000006E-2"/>
    <n v="0.45"/>
    <n v="0.1343"/>
    <n v="0"/>
    <n v="2"/>
    <n v="2"/>
    <s v="REC-0881"/>
    <d v="2011-02-09T03:00:00"/>
    <s v="Feb"/>
    <x v="4"/>
    <x v="1"/>
    <s v="Working Day"/>
    <s v="Spring"/>
    <x v="0"/>
    <s v="Night"/>
    <s v="Cold"/>
    <s v="Low"/>
    <s v="Off-Peak"/>
    <n v="0"/>
    <s v="Low"/>
    <n v="1"/>
  </r>
  <r>
    <n v="882"/>
    <x v="39"/>
    <n v="1"/>
    <n v="0"/>
    <n v="2"/>
    <n v="5"/>
    <b v="0"/>
    <n v="3"/>
    <n v="1"/>
    <n v="0.06"/>
    <n v="0.1061"/>
    <n v="0.45"/>
    <n v="0.1045"/>
    <n v="0"/>
    <n v="7"/>
    <n v="7"/>
    <s v="REC-0882"/>
    <d v="2011-02-09T05:00:00"/>
    <s v="Feb"/>
    <x v="4"/>
    <x v="1"/>
    <s v="Working Day"/>
    <s v="Spring"/>
    <x v="0"/>
    <s v="Night"/>
    <s v="Cold"/>
    <s v="Low"/>
    <s v="Off-Peak"/>
    <n v="0"/>
    <s v="Low"/>
    <n v="1"/>
  </r>
  <r>
    <n v="883"/>
    <x v="39"/>
    <n v="1"/>
    <n v="0"/>
    <n v="2"/>
    <n v="6"/>
    <b v="0"/>
    <n v="3"/>
    <n v="1"/>
    <n v="0.06"/>
    <n v="0.1515"/>
    <n v="0.45"/>
    <n v="0"/>
    <n v="0"/>
    <n v="43"/>
    <n v="43"/>
    <s v="REC-0883"/>
    <d v="2011-02-09T06:00:00"/>
    <s v="Feb"/>
    <x v="4"/>
    <x v="1"/>
    <s v="Working Day"/>
    <s v="Spring"/>
    <x v="0"/>
    <s v="Morning"/>
    <s v="Cold"/>
    <s v="Low"/>
    <s v="Off-Peak"/>
    <n v="0"/>
    <s v="Normal"/>
    <n v="1"/>
  </r>
  <r>
    <n v="884"/>
    <x v="39"/>
    <n v="1"/>
    <n v="0"/>
    <n v="2"/>
    <n v="7"/>
    <b v="0"/>
    <n v="3"/>
    <n v="1"/>
    <n v="0.06"/>
    <n v="0.1061"/>
    <n v="0.49"/>
    <n v="0.1045"/>
    <n v="4"/>
    <n v="95"/>
    <n v="99"/>
    <s v="REC-0884"/>
    <d v="2011-02-09T07:00:00"/>
    <s v="Feb"/>
    <x v="4"/>
    <x v="1"/>
    <s v="Working Day"/>
    <s v="Spring"/>
    <x v="0"/>
    <s v="Morning"/>
    <s v="Cold"/>
    <s v="Low"/>
    <s v="Peak"/>
    <n v="4.0404040404040407E-2"/>
    <s v="High"/>
    <n v="1"/>
  </r>
  <r>
    <n v="885"/>
    <x v="39"/>
    <n v="1"/>
    <n v="0"/>
    <n v="2"/>
    <n v="8"/>
    <b v="0"/>
    <n v="3"/>
    <n v="1"/>
    <n v="0.1"/>
    <n v="0.13639999999999999"/>
    <n v="0.42"/>
    <n v="0"/>
    <n v="1"/>
    <n v="198"/>
    <n v="199"/>
    <s v="REC-0885"/>
    <d v="2011-02-09T08:00:00"/>
    <s v="Feb"/>
    <x v="4"/>
    <x v="1"/>
    <s v="Working Day"/>
    <s v="Spring"/>
    <x v="0"/>
    <s v="Morning"/>
    <s v="Cold"/>
    <s v="Low"/>
    <s v="Peak"/>
    <n v="5.0251256281407036E-3"/>
    <s v="High"/>
    <n v="1"/>
  </r>
  <r>
    <n v="886"/>
    <x v="39"/>
    <n v="1"/>
    <n v="0"/>
    <n v="2"/>
    <n v="9"/>
    <b v="0"/>
    <n v="3"/>
    <n v="1"/>
    <n v="0.12"/>
    <n v="0.13639999999999999"/>
    <n v="0.39"/>
    <n v="0.16420000000000001"/>
    <n v="4"/>
    <n v="119"/>
    <n v="123"/>
    <s v="REC-0886"/>
    <d v="2011-02-09T09:00:00"/>
    <s v="Feb"/>
    <x v="4"/>
    <x v="1"/>
    <s v="Working Day"/>
    <s v="Spring"/>
    <x v="0"/>
    <s v="Morning"/>
    <s v="Cold"/>
    <s v="Low"/>
    <s v="Peak"/>
    <n v="3.2520325203252036E-2"/>
    <s v="High"/>
    <n v="1"/>
  </r>
  <r>
    <n v="887"/>
    <x v="39"/>
    <n v="1"/>
    <n v="0"/>
    <n v="2"/>
    <n v="10"/>
    <b v="0"/>
    <n v="3"/>
    <n v="1"/>
    <n v="0.14000000000000001"/>
    <n v="0.18179999999999999"/>
    <n v="0.36"/>
    <n v="0"/>
    <n v="8"/>
    <n v="51"/>
    <n v="59"/>
    <s v="REC-0887"/>
    <d v="2011-02-09T10:00:00"/>
    <s v="Feb"/>
    <x v="4"/>
    <x v="1"/>
    <s v="Working Day"/>
    <s v="Spring"/>
    <x v="0"/>
    <s v="Morning"/>
    <s v="Cold"/>
    <s v="Low"/>
    <s v="Off-Peak"/>
    <n v="0.13559322033898305"/>
    <s v="Normal"/>
    <n v="1"/>
  </r>
  <r>
    <n v="888"/>
    <x v="39"/>
    <n v="1"/>
    <n v="0"/>
    <n v="2"/>
    <n v="11"/>
    <b v="0"/>
    <n v="3"/>
    <n v="2"/>
    <n v="0.14000000000000001"/>
    <n v="0.1515"/>
    <n v="0.43"/>
    <n v="0.16420000000000001"/>
    <n v="1"/>
    <n v="40"/>
    <n v="41"/>
    <s v="REC-0888"/>
    <d v="2011-02-09T11:00:00"/>
    <s v="Feb"/>
    <x v="4"/>
    <x v="1"/>
    <s v="Working Day"/>
    <s v="Spring"/>
    <x v="1"/>
    <s v="Morning"/>
    <s v="Cold"/>
    <s v="Low"/>
    <s v="Off-Peak"/>
    <n v="2.4390243902439025E-2"/>
    <s v="Normal"/>
    <n v="1"/>
  </r>
  <r>
    <n v="889"/>
    <x v="39"/>
    <n v="1"/>
    <n v="0"/>
    <n v="2"/>
    <n v="12"/>
    <b v="0"/>
    <n v="3"/>
    <n v="2"/>
    <n v="0.18"/>
    <n v="0.18179999999999999"/>
    <n v="0.4"/>
    <n v="0.22389999999999999"/>
    <n v="4"/>
    <n v="57"/>
    <n v="61"/>
    <s v="REC-0889"/>
    <d v="2011-02-09T12:00:00"/>
    <s v="Feb"/>
    <x v="4"/>
    <x v="1"/>
    <s v="Working Day"/>
    <s v="Spring"/>
    <x v="1"/>
    <s v="Afternoon"/>
    <s v="Cold"/>
    <s v="Low"/>
    <s v="Off-Peak"/>
    <n v="6.5573770491803282E-2"/>
    <s v="Normal"/>
    <n v="1"/>
  </r>
  <r>
    <n v="890"/>
    <x v="39"/>
    <n v="1"/>
    <n v="0"/>
    <n v="2"/>
    <n v="13"/>
    <b v="0"/>
    <n v="3"/>
    <n v="1"/>
    <n v="0.18"/>
    <n v="0.16669999999999999"/>
    <n v="0.4"/>
    <n v="0.25369999999999998"/>
    <n v="2"/>
    <n v="67"/>
    <n v="69"/>
    <s v="REC-0890"/>
    <d v="2011-02-09T13:00:00"/>
    <s v="Feb"/>
    <x v="4"/>
    <x v="1"/>
    <s v="Working Day"/>
    <s v="Spring"/>
    <x v="0"/>
    <s v="Afternoon"/>
    <s v="Cold"/>
    <s v="Low"/>
    <s v="Off-Peak"/>
    <n v="2.8985507246376812E-2"/>
    <s v="Normal"/>
    <n v="1"/>
  </r>
  <r>
    <n v="891"/>
    <x v="39"/>
    <n v="1"/>
    <n v="0"/>
    <n v="2"/>
    <n v="14"/>
    <b v="0"/>
    <n v="3"/>
    <n v="1"/>
    <n v="0.2"/>
    <n v="0.18179999999999999"/>
    <n v="0.34"/>
    <n v="0.29849999999999999"/>
    <n v="2"/>
    <n v="56"/>
    <n v="58"/>
    <s v="REC-0891"/>
    <d v="2011-02-09T14:00:00"/>
    <s v="Feb"/>
    <x v="4"/>
    <x v="1"/>
    <s v="Working Day"/>
    <s v="Spring"/>
    <x v="0"/>
    <s v="Afternoon"/>
    <s v="Mild"/>
    <s v="Low"/>
    <s v="Off-Peak"/>
    <n v="3.4482758620689655E-2"/>
    <s v="Normal"/>
    <n v="1"/>
  </r>
  <r>
    <n v="892"/>
    <x v="39"/>
    <n v="1"/>
    <n v="0"/>
    <n v="2"/>
    <n v="15"/>
    <b v="0"/>
    <n v="3"/>
    <n v="2"/>
    <n v="0.2"/>
    <n v="0.18179999999999999"/>
    <n v="0.34"/>
    <n v="0.28360000000000002"/>
    <n v="3"/>
    <n v="61"/>
    <n v="64"/>
    <s v="REC-0892"/>
    <d v="2011-02-09T15:00:00"/>
    <s v="Feb"/>
    <x v="4"/>
    <x v="1"/>
    <s v="Working Day"/>
    <s v="Spring"/>
    <x v="1"/>
    <s v="Afternoon"/>
    <s v="Mild"/>
    <s v="Low"/>
    <s v="Off-Peak"/>
    <n v="4.6875E-2"/>
    <s v="Normal"/>
    <n v="1"/>
  </r>
  <r>
    <n v="893"/>
    <x v="39"/>
    <n v="1"/>
    <n v="0"/>
    <n v="2"/>
    <n v="16"/>
    <b v="0"/>
    <n v="3"/>
    <n v="2"/>
    <n v="0.2"/>
    <n v="0.19700000000000001"/>
    <n v="0.37"/>
    <n v="0.25369999999999998"/>
    <n v="7"/>
    <n v="72"/>
    <n v="79"/>
    <s v="REC-0893"/>
    <d v="2011-02-09T16:00:00"/>
    <s v="Feb"/>
    <x v="4"/>
    <x v="1"/>
    <s v="Working Day"/>
    <s v="Spring"/>
    <x v="1"/>
    <s v="Afternoon"/>
    <s v="Mild"/>
    <s v="Low"/>
    <s v="Peak"/>
    <n v="8.8607594936708861E-2"/>
    <s v="Normal"/>
    <n v="1"/>
  </r>
  <r>
    <n v="894"/>
    <x v="39"/>
    <n v="1"/>
    <n v="0"/>
    <n v="2"/>
    <n v="17"/>
    <b v="0"/>
    <n v="3"/>
    <n v="2"/>
    <n v="0.2"/>
    <n v="0.19700000000000001"/>
    <n v="0.34"/>
    <n v="0.25369999999999998"/>
    <n v="9"/>
    <n v="157"/>
    <n v="166"/>
    <s v="REC-0894"/>
    <d v="2011-02-09T17:00:00"/>
    <s v="Feb"/>
    <x v="4"/>
    <x v="1"/>
    <s v="Working Day"/>
    <s v="Spring"/>
    <x v="1"/>
    <s v="Evening"/>
    <s v="Mild"/>
    <s v="Low"/>
    <s v="Peak"/>
    <n v="5.4216867469879519E-2"/>
    <s v="High"/>
    <n v="1"/>
  </r>
  <r>
    <n v="895"/>
    <x v="39"/>
    <n v="1"/>
    <n v="0"/>
    <n v="2"/>
    <n v="18"/>
    <b v="0"/>
    <n v="3"/>
    <n v="2"/>
    <n v="0.18"/>
    <n v="0.16669999999999999"/>
    <n v="0.47"/>
    <n v="0.29849999999999999"/>
    <n v="2"/>
    <n v="168"/>
    <n v="170"/>
    <s v="REC-0895"/>
    <d v="2011-02-09T18:00:00"/>
    <s v="Feb"/>
    <x v="4"/>
    <x v="1"/>
    <s v="Working Day"/>
    <s v="Spring"/>
    <x v="1"/>
    <s v="Evening"/>
    <s v="Cold"/>
    <s v="Low"/>
    <s v="Peak"/>
    <n v="1.1764705882352941E-2"/>
    <s v="High"/>
    <n v="1"/>
  </r>
  <r>
    <n v="896"/>
    <x v="39"/>
    <n v="1"/>
    <n v="0"/>
    <n v="2"/>
    <n v="19"/>
    <b v="0"/>
    <n v="3"/>
    <n v="3"/>
    <n v="0.14000000000000001"/>
    <n v="0.1212"/>
    <n v="0.86"/>
    <n v="0.25369999999999998"/>
    <n v="1"/>
    <n v="87"/>
    <n v="88"/>
    <s v="REC-0896"/>
    <d v="2011-02-09T19:00:00"/>
    <s v="Feb"/>
    <x v="4"/>
    <x v="1"/>
    <s v="Working Day"/>
    <s v="Spring"/>
    <x v="2"/>
    <s v="Evening"/>
    <s v="Cold"/>
    <s v="High"/>
    <s v="Peak"/>
    <n v="1.1363636363636364E-2"/>
    <s v="High"/>
    <n v="1"/>
  </r>
  <r>
    <n v="897"/>
    <x v="39"/>
    <n v="1"/>
    <n v="0"/>
    <n v="2"/>
    <n v="20"/>
    <b v="0"/>
    <n v="3"/>
    <n v="3"/>
    <n v="0.14000000000000001"/>
    <n v="0.1515"/>
    <n v="0.86"/>
    <n v="0.16420000000000001"/>
    <n v="0"/>
    <n v="84"/>
    <n v="84"/>
    <s v="REC-0897"/>
    <d v="2011-02-09T20:00:00"/>
    <s v="Feb"/>
    <x v="4"/>
    <x v="1"/>
    <s v="Working Day"/>
    <s v="Spring"/>
    <x v="2"/>
    <s v="Evening"/>
    <s v="Cold"/>
    <s v="High"/>
    <s v="Off-Peak"/>
    <n v="0"/>
    <s v="High"/>
    <n v="1"/>
  </r>
  <r>
    <n v="898"/>
    <x v="39"/>
    <n v="1"/>
    <n v="0"/>
    <n v="2"/>
    <n v="21"/>
    <b v="0"/>
    <n v="3"/>
    <n v="2"/>
    <n v="0.14000000000000001"/>
    <n v="0.1515"/>
    <n v="0.86"/>
    <n v="0.16420000000000001"/>
    <n v="0"/>
    <n v="83"/>
    <n v="83"/>
    <s v="REC-0898"/>
    <d v="2011-02-09T21:00:00"/>
    <s v="Feb"/>
    <x v="4"/>
    <x v="1"/>
    <s v="Working Day"/>
    <s v="Spring"/>
    <x v="1"/>
    <s v="Late Evening"/>
    <s v="Cold"/>
    <s v="High"/>
    <s v="Off-Peak"/>
    <n v="0"/>
    <s v="High"/>
    <n v="1"/>
  </r>
  <r>
    <n v="899"/>
    <x v="39"/>
    <n v="1"/>
    <n v="0"/>
    <n v="2"/>
    <n v="22"/>
    <b v="0"/>
    <n v="3"/>
    <n v="3"/>
    <n v="0.16"/>
    <n v="0.16669999999999999"/>
    <n v="0.8"/>
    <n v="0.16420000000000001"/>
    <n v="4"/>
    <n v="42"/>
    <n v="46"/>
    <s v="REC-0899"/>
    <d v="2011-02-09T22:00:00"/>
    <s v="Feb"/>
    <x v="4"/>
    <x v="1"/>
    <s v="Working Day"/>
    <s v="Spring"/>
    <x v="2"/>
    <s v="Late Evening"/>
    <s v="Cold"/>
    <s v="High"/>
    <s v="Off-Peak"/>
    <n v="8.6956521739130432E-2"/>
    <s v="Normal"/>
    <n v="1"/>
  </r>
  <r>
    <n v="900"/>
    <x v="39"/>
    <n v="1"/>
    <n v="0"/>
    <n v="2"/>
    <n v="23"/>
    <b v="0"/>
    <n v="3"/>
    <n v="3"/>
    <n v="0.16"/>
    <n v="0.1515"/>
    <n v="0.8"/>
    <n v="0.19400000000000001"/>
    <n v="0"/>
    <n v="37"/>
    <n v="37"/>
    <s v="REC-0900"/>
    <d v="2011-02-09T23:00:00"/>
    <s v="Feb"/>
    <x v="4"/>
    <x v="1"/>
    <s v="Working Day"/>
    <s v="Spring"/>
    <x v="2"/>
    <s v="Late Evening"/>
    <s v="Cold"/>
    <s v="High"/>
    <s v="Off-Peak"/>
    <n v="0"/>
    <s v="Normal"/>
    <n v="1"/>
  </r>
  <r>
    <n v="901"/>
    <x v="40"/>
    <n v="1"/>
    <n v="0"/>
    <n v="2"/>
    <n v="0"/>
    <b v="0"/>
    <n v="4"/>
    <n v="3"/>
    <n v="0.14000000000000001"/>
    <n v="0.13639999999999999"/>
    <n v="0.86"/>
    <n v="0.19400000000000001"/>
    <n v="0"/>
    <n v="16"/>
    <n v="16"/>
    <s v="REC-0901"/>
    <d v="2011-02-10T00:00:00"/>
    <s v="Feb"/>
    <x v="5"/>
    <x v="1"/>
    <s v="Working Day"/>
    <s v="Spring"/>
    <x v="2"/>
    <s v="Night"/>
    <s v="Cold"/>
    <s v="High"/>
    <s v="Off-Peak"/>
    <n v="0"/>
    <s v="Low"/>
    <n v="1"/>
  </r>
  <r>
    <n v="902"/>
    <x v="40"/>
    <n v="1"/>
    <n v="0"/>
    <n v="2"/>
    <n v="1"/>
    <b v="0"/>
    <n v="4"/>
    <n v="3"/>
    <n v="0.14000000000000001"/>
    <n v="0.1515"/>
    <n v="0.8"/>
    <n v="0.1343"/>
    <n v="0"/>
    <n v="7"/>
    <n v="7"/>
    <s v="REC-0902"/>
    <d v="2011-02-10T01:00:00"/>
    <s v="Feb"/>
    <x v="5"/>
    <x v="1"/>
    <s v="Working Day"/>
    <s v="Spring"/>
    <x v="2"/>
    <s v="Night"/>
    <s v="Cold"/>
    <s v="High"/>
    <s v="Off-Peak"/>
    <n v="0"/>
    <s v="Low"/>
    <n v="1"/>
  </r>
  <r>
    <n v="903"/>
    <x v="40"/>
    <n v="1"/>
    <n v="0"/>
    <n v="2"/>
    <n v="2"/>
    <b v="0"/>
    <n v="4"/>
    <n v="3"/>
    <n v="0.14000000000000001"/>
    <n v="0.1515"/>
    <n v="0.8"/>
    <n v="0.1343"/>
    <n v="0"/>
    <n v="3"/>
    <n v="3"/>
    <s v="REC-0903"/>
    <d v="2011-02-10T02:00:00"/>
    <s v="Feb"/>
    <x v="5"/>
    <x v="1"/>
    <s v="Working Day"/>
    <s v="Spring"/>
    <x v="2"/>
    <s v="Night"/>
    <s v="Cold"/>
    <s v="High"/>
    <s v="Off-Peak"/>
    <n v="0"/>
    <s v="Low"/>
    <n v="1"/>
  </r>
  <r>
    <n v="904"/>
    <x v="40"/>
    <n v="1"/>
    <n v="0"/>
    <n v="2"/>
    <n v="4"/>
    <b v="0"/>
    <n v="4"/>
    <n v="2"/>
    <n v="0.14000000000000001"/>
    <n v="0.13639999999999999"/>
    <n v="0.59"/>
    <n v="0.22389999999999999"/>
    <n v="0"/>
    <n v="1"/>
    <n v="1"/>
    <s v="REC-0904"/>
    <d v="2011-02-10T04:00:00"/>
    <s v="Feb"/>
    <x v="5"/>
    <x v="1"/>
    <s v="Working Day"/>
    <s v="Spring"/>
    <x v="1"/>
    <s v="Night"/>
    <s v="Cold"/>
    <s v="Medium"/>
    <s v="Off-Peak"/>
    <n v="0"/>
    <s v="Low"/>
    <n v="1"/>
  </r>
  <r>
    <n v="905"/>
    <x v="40"/>
    <n v="1"/>
    <n v="0"/>
    <n v="2"/>
    <n v="5"/>
    <b v="0"/>
    <n v="4"/>
    <n v="2"/>
    <n v="0.12"/>
    <n v="0.1212"/>
    <n v="0.5"/>
    <n v="0.22389999999999999"/>
    <n v="0"/>
    <n v="6"/>
    <n v="6"/>
    <s v="REC-0905"/>
    <d v="2011-02-10T05:00:00"/>
    <s v="Feb"/>
    <x v="5"/>
    <x v="1"/>
    <s v="Working Day"/>
    <s v="Spring"/>
    <x v="1"/>
    <s v="Night"/>
    <s v="Cold"/>
    <s v="Medium"/>
    <s v="Off-Peak"/>
    <n v="0"/>
    <s v="Low"/>
    <n v="1"/>
  </r>
  <r>
    <n v="906"/>
    <x v="40"/>
    <n v="1"/>
    <n v="0"/>
    <n v="2"/>
    <n v="6"/>
    <b v="0"/>
    <n v="4"/>
    <n v="2"/>
    <n v="0.12"/>
    <n v="0.1212"/>
    <n v="0.54"/>
    <n v="0.28360000000000002"/>
    <n v="0"/>
    <n v="26"/>
    <n v="26"/>
    <s v="REC-0906"/>
    <d v="2011-02-10T06:00:00"/>
    <s v="Feb"/>
    <x v="5"/>
    <x v="1"/>
    <s v="Working Day"/>
    <s v="Spring"/>
    <x v="1"/>
    <s v="Morning"/>
    <s v="Cold"/>
    <s v="Medium"/>
    <s v="Off-Peak"/>
    <n v="0"/>
    <s v="Normal"/>
    <n v="1"/>
  </r>
  <r>
    <n v="907"/>
    <x v="40"/>
    <n v="1"/>
    <n v="0"/>
    <n v="2"/>
    <n v="7"/>
    <b v="0"/>
    <n v="4"/>
    <n v="1"/>
    <n v="0.1"/>
    <n v="7.5800000000000006E-2"/>
    <n v="0.5"/>
    <n v="0.41789999999999999"/>
    <n v="0"/>
    <n v="99"/>
    <n v="99"/>
    <s v="REC-0907"/>
    <d v="2011-02-10T07:00:00"/>
    <s v="Feb"/>
    <x v="5"/>
    <x v="1"/>
    <s v="Working Day"/>
    <s v="Spring"/>
    <x v="0"/>
    <s v="Morning"/>
    <s v="Cold"/>
    <s v="Medium"/>
    <s v="Peak"/>
    <n v="0"/>
    <s v="High"/>
    <n v="1"/>
  </r>
  <r>
    <n v="908"/>
    <x v="40"/>
    <n v="1"/>
    <n v="0"/>
    <n v="2"/>
    <n v="8"/>
    <b v="0"/>
    <n v="4"/>
    <n v="1"/>
    <n v="0.1"/>
    <n v="7.5800000000000006E-2"/>
    <n v="0.49"/>
    <n v="0.32840000000000003"/>
    <n v="5"/>
    <n v="173"/>
    <n v="178"/>
    <s v="REC-0908"/>
    <d v="2011-02-10T08:00:00"/>
    <s v="Feb"/>
    <x v="5"/>
    <x v="1"/>
    <s v="Working Day"/>
    <s v="Spring"/>
    <x v="0"/>
    <s v="Morning"/>
    <s v="Cold"/>
    <s v="Low"/>
    <s v="Peak"/>
    <n v="2.8089887640449437E-2"/>
    <s v="High"/>
    <n v="1"/>
  </r>
  <r>
    <n v="909"/>
    <x v="40"/>
    <n v="1"/>
    <n v="0"/>
    <n v="2"/>
    <n v="9"/>
    <b v="0"/>
    <n v="4"/>
    <n v="1"/>
    <n v="0.12"/>
    <n v="0.1061"/>
    <n v="0.42"/>
    <n v="0.35820000000000002"/>
    <n v="1"/>
    <n v="121"/>
    <n v="122"/>
    <s v="REC-0909"/>
    <d v="2011-02-10T09:00:00"/>
    <s v="Feb"/>
    <x v="5"/>
    <x v="1"/>
    <s v="Working Day"/>
    <s v="Spring"/>
    <x v="0"/>
    <s v="Morning"/>
    <s v="Cold"/>
    <s v="Low"/>
    <s v="Peak"/>
    <n v="8.1967213114754103E-3"/>
    <s v="High"/>
    <n v="1"/>
  </r>
  <r>
    <n v="910"/>
    <x v="40"/>
    <n v="1"/>
    <n v="0"/>
    <n v="2"/>
    <n v="10"/>
    <b v="0"/>
    <n v="4"/>
    <n v="1"/>
    <n v="0.12"/>
    <n v="0.1061"/>
    <n v="0.42"/>
    <n v="0.29849999999999999"/>
    <n v="1"/>
    <n v="34"/>
    <n v="35"/>
    <s v="REC-0910"/>
    <d v="2011-02-10T10:00:00"/>
    <s v="Feb"/>
    <x v="5"/>
    <x v="1"/>
    <s v="Working Day"/>
    <s v="Spring"/>
    <x v="0"/>
    <s v="Morning"/>
    <s v="Cold"/>
    <s v="Low"/>
    <s v="Off-Peak"/>
    <n v="2.8571428571428571E-2"/>
    <s v="Normal"/>
    <n v="1"/>
  </r>
  <r>
    <n v="911"/>
    <x v="40"/>
    <n v="1"/>
    <n v="0"/>
    <n v="2"/>
    <n v="11"/>
    <b v="0"/>
    <n v="4"/>
    <n v="1"/>
    <n v="0.14000000000000001"/>
    <n v="0.1212"/>
    <n v="0.39"/>
    <n v="0.35820000000000002"/>
    <n v="1"/>
    <n v="44"/>
    <n v="45"/>
    <s v="REC-0911"/>
    <d v="2011-02-10T11:00:00"/>
    <s v="Feb"/>
    <x v="5"/>
    <x v="1"/>
    <s v="Working Day"/>
    <s v="Spring"/>
    <x v="0"/>
    <s v="Morning"/>
    <s v="Cold"/>
    <s v="Low"/>
    <s v="Off-Peak"/>
    <n v="2.2222222222222223E-2"/>
    <s v="Normal"/>
    <n v="1"/>
  </r>
  <r>
    <n v="912"/>
    <x v="40"/>
    <n v="1"/>
    <n v="0"/>
    <n v="2"/>
    <n v="12"/>
    <b v="0"/>
    <n v="4"/>
    <n v="1"/>
    <n v="0.16"/>
    <n v="0.13639999999999999"/>
    <n v="0.34"/>
    <n v="0.3881"/>
    <n v="4"/>
    <n v="65"/>
    <n v="69"/>
    <s v="REC-0912"/>
    <d v="2011-02-10T12:00:00"/>
    <s v="Feb"/>
    <x v="5"/>
    <x v="1"/>
    <s v="Working Day"/>
    <s v="Spring"/>
    <x v="0"/>
    <s v="Afternoon"/>
    <s v="Cold"/>
    <s v="Low"/>
    <s v="Off-Peak"/>
    <n v="5.7971014492753624E-2"/>
    <s v="Normal"/>
    <n v="1"/>
  </r>
  <r>
    <n v="913"/>
    <x v="40"/>
    <n v="1"/>
    <n v="0"/>
    <n v="2"/>
    <n v="13"/>
    <b v="0"/>
    <n v="4"/>
    <n v="1"/>
    <n v="0.18"/>
    <n v="0.16669999999999999"/>
    <n v="0.28999999999999998"/>
    <n v="0.29849999999999999"/>
    <n v="3"/>
    <n v="59"/>
    <n v="62"/>
    <s v="REC-0913"/>
    <d v="2011-02-10T13:00:00"/>
    <s v="Feb"/>
    <x v="5"/>
    <x v="1"/>
    <s v="Working Day"/>
    <s v="Spring"/>
    <x v="0"/>
    <s v="Afternoon"/>
    <s v="Cold"/>
    <s v="Low"/>
    <s v="Off-Peak"/>
    <n v="4.8387096774193547E-2"/>
    <s v="Normal"/>
    <n v="1"/>
  </r>
  <r>
    <n v="914"/>
    <x v="40"/>
    <n v="1"/>
    <n v="0"/>
    <n v="2"/>
    <n v="14"/>
    <b v="0"/>
    <n v="4"/>
    <n v="1"/>
    <n v="0.2"/>
    <n v="0.18179999999999999"/>
    <n v="0.27"/>
    <n v="0.28360000000000002"/>
    <n v="6"/>
    <n v="42"/>
    <n v="48"/>
    <s v="REC-0914"/>
    <d v="2011-02-10T14:00:00"/>
    <s v="Feb"/>
    <x v="5"/>
    <x v="1"/>
    <s v="Working Day"/>
    <s v="Spring"/>
    <x v="0"/>
    <s v="Afternoon"/>
    <s v="Mild"/>
    <s v="Low"/>
    <s v="Off-Peak"/>
    <n v="0.125"/>
    <s v="Normal"/>
    <n v="1"/>
  </r>
  <r>
    <n v="915"/>
    <x v="40"/>
    <n v="1"/>
    <n v="0"/>
    <n v="2"/>
    <n v="15"/>
    <b v="0"/>
    <n v="4"/>
    <n v="1"/>
    <n v="0.2"/>
    <n v="0.19700000000000001"/>
    <n v="0.25"/>
    <n v="0.25369999999999998"/>
    <n v="0"/>
    <n v="50"/>
    <n v="50"/>
    <s v="REC-0915"/>
    <d v="2011-02-10T15:00:00"/>
    <s v="Feb"/>
    <x v="5"/>
    <x v="1"/>
    <s v="Working Day"/>
    <s v="Spring"/>
    <x v="0"/>
    <s v="Afternoon"/>
    <s v="Mild"/>
    <s v="Low"/>
    <s v="Off-Peak"/>
    <n v="0"/>
    <s v="Normal"/>
    <n v="1"/>
  </r>
  <r>
    <n v="916"/>
    <x v="40"/>
    <n v="1"/>
    <n v="0"/>
    <n v="2"/>
    <n v="16"/>
    <b v="0"/>
    <n v="4"/>
    <n v="1"/>
    <n v="0.2"/>
    <n v="0.18179999999999999"/>
    <n v="0.27"/>
    <n v="0.29849999999999999"/>
    <n v="4"/>
    <n v="76"/>
    <n v="80"/>
    <s v="REC-0916"/>
    <d v="2011-02-10T16:00:00"/>
    <s v="Feb"/>
    <x v="5"/>
    <x v="1"/>
    <s v="Working Day"/>
    <s v="Spring"/>
    <x v="0"/>
    <s v="Afternoon"/>
    <s v="Mild"/>
    <s v="Low"/>
    <s v="Peak"/>
    <n v="0.05"/>
    <s v="Normal"/>
    <n v="1"/>
  </r>
  <r>
    <n v="917"/>
    <x v="40"/>
    <n v="1"/>
    <n v="0"/>
    <n v="2"/>
    <n v="17"/>
    <b v="0"/>
    <n v="4"/>
    <n v="1"/>
    <n v="0.18"/>
    <n v="0.18179999999999999"/>
    <n v="0.26"/>
    <n v="0.19400000000000001"/>
    <n v="6"/>
    <n v="159"/>
    <n v="165"/>
    <s v="REC-0917"/>
    <d v="2011-02-10T17:00:00"/>
    <s v="Feb"/>
    <x v="5"/>
    <x v="1"/>
    <s v="Working Day"/>
    <s v="Spring"/>
    <x v="0"/>
    <s v="Evening"/>
    <s v="Cold"/>
    <s v="Low"/>
    <s v="Peak"/>
    <n v="3.6363636363636362E-2"/>
    <s v="High"/>
    <n v="1"/>
  </r>
  <r>
    <n v="918"/>
    <x v="40"/>
    <n v="1"/>
    <n v="0"/>
    <n v="2"/>
    <n v="18"/>
    <b v="0"/>
    <n v="4"/>
    <n v="1"/>
    <n v="0.16"/>
    <n v="0.18179999999999999"/>
    <n v="0.28000000000000003"/>
    <n v="0.1343"/>
    <n v="3"/>
    <n v="157"/>
    <n v="160"/>
    <s v="REC-0918"/>
    <d v="2011-02-10T18:00:00"/>
    <s v="Feb"/>
    <x v="5"/>
    <x v="1"/>
    <s v="Working Day"/>
    <s v="Spring"/>
    <x v="0"/>
    <s v="Evening"/>
    <s v="Cold"/>
    <s v="Low"/>
    <s v="Peak"/>
    <n v="1.8749999999999999E-2"/>
    <s v="High"/>
    <n v="1"/>
  </r>
  <r>
    <n v="919"/>
    <x v="40"/>
    <n v="1"/>
    <n v="0"/>
    <n v="2"/>
    <n v="19"/>
    <b v="0"/>
    <n v="4"/>
    <n v="1"/>
    <n v="0.14000000000000001"/>
    <n v="0.16669999999999999"/>
    <n v="0.28000000000000003"/>
    <n v="0.1045"/>
    <n v="2"/>
    <n v="110"/>
    <n v="112"/>
    <s v="REC-0919"/>
    <d v="2011-02-10T19:00:00"/>
    <s v="Feb"/>
    <x v="5"/>
    <x v="1"/>
    <s v="Working Day"/>
    <s v="Spring"/>
    <x v="0"/>
    <s v="Evening"/>
    <s v="Cold"/>
    <s v="Low"/>
    <s v="Peak"/>
    <n v="1.7857142857142856E-2"/>
    <s v="High"/>
    <n v="1"/>
  </r>
  <r>
    <n v="920"/>
    <x v="40"/>
    <n v="1"/>
    <n v="0"/>
    <n v="2"/>
    <n v="20"/>
    <b v="0"/>
    <n v="4"/>
    <n v="1"/>
    <n v="0.14000000000000001"/>
    <n v="0.18179999999999999"/>
    <n v="0.31"/>
    <n v="8.9599999999999999E-2"/>
    <n v="4"/>
    <n v="93"/>
    <n v="97"/>
    <s v="REC-0920"/>
    <d v="2011-02-10T20:00:00"/>
    <s v="Feb"/>
    <x v="5"/>
    <x v="1"/>
    <s v="Working Day"/>
    <s v="Spring"/>
    <x v="0"/>
    <s v="Evening"/>
    <s v="Cold"/>
    <s v="Low"/>
    <s v="Off-Peak"/>
    <n v="4.1237113402061855E-2"/>
    <s v="High"/>
    <n v="1"/>
  </r>
  <r>
    <n v="921"/>
    <x v="40"/>
    <n v="1"/>
    <n v="0"/>
    <n v="2"/>
    <n v="21"/>
    <b v="0"/>
    <n v="4"/>
    <n v="1"/>
    <n v="0.14000000000000001"/>
    <n v="0.21210000000000001"/>
    <n v="0.39"/>
    <n v="0"/>
    <n v="2"/>
    <n v="70"/>
    <n v="72"/>
    <s v="REC-0921"/>
    <d v="2011-02-10T21:00:00"/>
    <s v="Feb"/>
    <x v="5"/>
    <x v="1"/>
    <s v="Working Day"/>
    <s v="Spring"/>
    <x v="0"/>
    <s v="Late Evening"/>
    <s v="Cold"/>
    <s v="Low"/>
    <s v="Off-Peak"/>
    <n v="2.7777777777777776E-2"/>
    <s v="Normal"/>
    <n v="1"/>
  </r>
  <r>
    <n v="922"/>
    <x v="40"/>
    <n v="1"/>
    <n v="0"/>
    <n v="2"/>
    <n v="22"/>
    <b v="0"/>
    <n v="4"/>
    <n v="1"/>
    <n v="0.12"/>
    <n v="0.19700000000000001"/>
    <n v="0.39"/>
    <n v="0"/>
    <n v="4"/>
    <n v="47"/>
    <n v="51"/>
    <s v="REC-0922"/>
    <d v="2011-02-10T22:00:00"/>
    <s v="Feb"/>
    <x v="5"/>
    <x v="1"/>
    <s v="Working Day"/>
    <s v="Spring"/>
    <x v="0"/>
    <s v="Late Evening"/>
    <s v="Cold"/>
    <s v="Low"/>
    <s v="Off-Peak"/>
    <n v="7.8431372549019607E-2"/>
    <s v="Normal"/>
    <n v="1"/>
  </r>
  <r>
    <n v="923"/>
    <x v="40"/>
    <n v="1"/>
    <n v="0"/>
    <n v="2"/>
    <n v="23"/>
    <b v="0"/>
    <n v="4"/>
    <n v="1"/>
    <n v="0.12"/>
    <n v="0.1515"/>
    <n v="0.42"/>
    <n v="0.1045"/>
    <n v="1"/>
    <n v="33"/>
    <n v="34"/>
    <s v="REC-0923"/>
    <d v="2011-02-10T23:00:00"/>
    <s v="Feb"/>
    <x v="5"/>
    <x v="1"/>
    <s v="Working Day"/>
    <s v="Spring"/>
    <x v="0"/>
    <s v="Late Evening"/>
    <s v="Cold"/>
    <s v="Low"/>
    <s v="Off-Peak"/>
    <n v="2.9411764705882353E-2"/>
    <s v="Normal"/>
    <n v="1"/>
  </r>
  <r>
    <n v="924"/>
    <x v="41"/>
    <n v="1"/>
    <n v="0"/>
    <n v="2"/>
    <n v="0"/>
    <b v="0"/>
    <n v="5"/>
    <n v="1"/>
    <n v="0.1"/>
    <n v="0.13639999999999999"/>
    <n v="0.49"/>
    <n v="0.1045"/>
    <n v="2"/>
    <n v="12"/>
    <n v="14"/>
    <s v="REC-0924"/>
    <d v="2011-02-11T00:00:00"/>
    <s v="Feb"/>
    <x v="6"/>
    <x v="1"/>
    <s v="Working Day"/>
    <s v="Spring"/>
    <x v="0"/>
    <s v="Night"/>
    <s v="Cold"/>
    <s v="Low"/>
    <s v="Off-Peak"/>
    <n v="0.14285714285714285"/>
    <s v="Low"/>
    <n v="1"/>
  </r>
  <r>
    <n v="925"/>
    <x v="41"/>
    <n v="1"/>
    <n v="0"/>
    <n v="2"/>
    <n v="1"/>
    <b v="0"/>
    <n v="5"/>
    <n v="1"/>
    <n v="0.1"/>
    <n v="0.13639999999999999"/>
    <n v="0.54"/>
    <n v="8.9599999999999999E-2"/>
    <n v="1"/>
    <n v="6"/>
    <n v="7"/>
    <s v="REC-0925"/>
    <d v="2011-02-11T01:00:00"/>
    <s v="Feb"/>
    <x v="6"/>
    <x v="1"/>
    <s v="Working Day"/>
    <s v="Spring"/>
    <x v="0"/>
    <s v="Night"/>
    <s v="Cold"/>
    <s v="Medium"/>
    <s v="Off-Peak"/>
    <n v="0.14285714285714285"/>
    <s v="Low"/>
    <n v="1"/>
  </r>
  <r>
    <n v="926"/>
    <x v="41"/>
    <n v="1"/>
    <n v="0"/>
    <n v="2"/>
    <n v="2"/>
    <b v="0"/>
    <n v="5"/>
    <n v="1"/>
    <n v="0.1"/>
    <n v="0.13639999999999999"/>
    <n v="0.54"/>
    <n v="8.9599999999999999E-2"/>
    <n v="0"/>
    <n v="3"/>
    <n v="3"/>
    <s v="REC-0926"/>
    <d v="2011-02-11T02:00:00"/>
    <s v="Feb"/>
    <x v="6"/>
    <x v="1"/>
    <s v="Working Day"/>
    <s v="Spring"/>
    <x v="0"/>
    <s v="Night"/>
    <s v="Cold"/>
    <s v="Medium"/>
    <s v="Off-Peak"/>
    <n v="0"/>
    <s v="Low"/>
    <n v="1"/>
  </r>
  <r>
    <n v="927"/>
    <x v="41"/>
    <n v="1"/>
    <n v="0"/>
    <n v="2"/>
    <n v="5"/>
    <b v="0"/>
    <n v="5"/>
    <n v="1"/>
    <n v="0.08"/>
    <n v="0.1212"/>
    <n v="0.63"/>
    <n v="8.9599999999999999E-2"/>
    <n v="0"/>
    <n v="4"/>
    <n v="4"/>
    <s v="REC-0927"/>
    <d v="2011-02-11T05:00:00"/>
    <s v="Feb"/>
    <x v="6"/>
    <x v="1"/>
    <s v="Working Day"/>
    <s v="Spring"/>
    <x v="0"/>
    <s v="Night"/>
    <s v="Cold"/>
    <s v="Medium"/>
    <s v="Off-Peak"/>
    <n v="0"/>
    <s v="Low"/>
    <n v="1"/>
  </r>
  <r>
    <n v="928"/>
    <x v="41"/>
    <n v="1"/>
    <n v="0"/>
    <n v="2"/>
    <n v="6"/>
    <b v="0"/>
    <n v="5"/>
    <n v="1"/>
    <n v="0.1"/>
    <n v="0.18179999999999999"/>
    <n v="0.68"/>
    <n v="0"/>
    <n v="1"/>
    <n v="23"/>
    <n v="24"/>
    <s v="REC-0928"/>
    <d v="2011-02-11T06:00:00"/>
    <s v="Feb"/>
    <x v="6"/>
    <x v="1"/>
    <s v="Working Day"/>
    <s v="Spring"/>
    <x v="0"/>
    <s v="Morning"/>
    <s v="Cold"/>
    <s v="Medium"/>
    <s v="Off-Peak"/>
    <n v="4.1666666666666664E-2"/>
    <s v="Normal"/>
    <n v="1"/>
  </r>
  <r>
    <n v="929"/>
    <x v="41"/>
    <n v="1"/>
    <n v="0"/>
    <n v="2"/>
    <n v="7"/>
    <b v="0"/>
    <n v="5"/>
    <n v="1"/>
    <n v="0.08"/>
    <n v="0.16669999999999999"/>
    <n v="0.73"/>
    <n v="0"/>
    <n v="1"/>
    <n v="73"/>
    <n v="74"/>
    <s v="REC-0929"/>
    <d v="2011-02-11T07:00:00"/>
    <s v="Feb"/>
    <x v="6"/>
    <x v="1"/>
    <s v="Working Day"/>
    <s v="Spring"/>
    <x v="0"/>
    <s v="Morning"/>
    <s v="Cold"/>
    <s v="Medium"/>
    <s v="Peak"/>
    <n v="1.3513513513513514E-2"/>
    <s v="Normal"/>
    <n v="1"/>
  </r>
  <r>
    <n v="930"/>
    <x v="41"/>
    <n v="1"/>
    <n v="0"/>
    <n v="2"/>
    <n v="8"/>
    <b v="0"/>
    <n v="5"/>
    <n v="1"/>
    <n v="0.1"/>
    <n v="0.1212"/>
    <n v="0.74"/>
    <n v="0.16420000000000001"/>
    <n v="4"/>
    <n v="212"/>
    <n v="216"/>
    <s v="REC-0930"/>
    <d v="2011-02-11T08:00:00"/>
    <s v="Feb"/>
    <x v="6"/>
    <x v="1"/>
    <s v="Working Day"/>
    <s v="Spring"/>
    <x v="0"/>
    <s v="Morning"/>
    <s v="Cold"/>
    <s v="Medium"/>
    <s v="Peak"/>
    <n v="1.8518518518518517E-2"/>
    <s v="High"/>
    <n v="1"/>
  </r>
  <r>
    <n v="931"/>
    <x v="41"/>
    <n v="1"/>
    <n v="0"/>
    <n v="2"/>
    <n v="9"/>
    <b v="0"/>
    <n v="5"/>
    <n v="1"/>
    <n v="0.12"/>
    <n v="0.1212"/>
    <n v="0.74"/>
    <n v="0.22389999999999999"/>
    <n v="8"/>
    <n v="132"/>
    <n v="140"/>
    <s v="REC-0931"/>
    <d v="2011-02-11T09:00:00"/>
    <s v="Feb"/>
    <x v="6"/>
    <x v="1"/>
    <s v="Working Day"/>
    <s v="Spring"/>
    <x v="0"/>
    <s v="Morning"/>
    <s v="Cold"/>
    <s v="Medium"/>
    <s v="Peak"/>
    <n v="5.7142857142857141E-2"/>
    <s v="High"/>
    <n v="1"/>
  </r>
  <r>
    <n v="932"/>
    <x v="41"/>
    <n v="1"/>
    <n v="0"/>
    <n v="2"/>
    <n v="10"/>
    <b v="0"/>
    <n v="5"/>
    <n v="1"/>
    <n v="0.14000000000000001"/>
    <n v="0.13639999999999999"/>
    <n v="0.69"/>
    <n v="0.19400000000000001"/>
    <n v="5"/>
    <n v="39"/>
    <n v="44"/>
    <s v="REC-0932"/>
    <d v="2011-02-11T10:00:00"/>
    <s v="Feb"/>
    <x v="6"/>
    <x v="1"/>
    <s v="Working Day"/>
    <s v="Spring"/>
    <x v="0"/>
    <s v="Morning"/>
    <s v="Cold"/>
    <s v="Medium"/>
    <s v="Off-Peak"/>
    <n v="0.11363636363636363"/>
    <s v="Normal"/>
    <n v="1"/>
  </r>
  <r>
    <n v="933"/>
    <x v="41"/>
    <n v="1"/>
    <n v="0"/>
    <n v="2"/>
    <n v="11"/>
    <b v="0"/>
    <n v="5"/>
    <n v="1"/>
    <n v="0.22"/>
    <n v="0.2273"/>
    <n v="0.47"/>
    <n v="0.1343"/>
    <n v="12"/>
    <n v="52"/>
    <n v="64"/>
    <s v="REC-0933"/>
    <d v="2011-02-11T11:00:00"/>
    <s v="Feb"/>
    <x v="6"/>
    <x v="1"/>
    <s v="Working Day"/>
    <s v="Spring"/>
    <x v="0"/>
    <s v="Morning"/>
    <s v="Mild"/>
    <s v="Low"/>
    <s v="Off-Peak"/>
    <n v="0.1875"/>
    <s v="Normal"/>
    <n v="1"/>
  </r>
  <r>
    <n v="934"/>
    <x v="41"/>
    <n v="1"/>
    <n v="0"/>
    <n v="2"/>
    <n v="12"/>
    <b v="0"/>
    <n v="5"/>
    <n v="1"/>
    <n v="0.22"/>
    <n v="0.2273"/>
    <n v="0.47"/>
    <n v="0.1343"/>
    <n v="7"/>
    <n v="64"/>
    <n v="71"/>
    <s v="REC-0934"/>
    <d v="2011-02-11T12:00:00"/>
    <s v="Feb"/>
    <x v="6"/>
    <x v="1"/>
    <s v="Working Day"/>
    <s v="Spring"/>
    <x v="0"/>
    <s v="Afternoon"/>
    <s v="Mild"/>
    <s v="Low"/>
    <s v="Off-Peak"/>
    <n v="9.8591549295774641E-2"/>
    <s v="Normal"/>
    <n v="1"/>
  </r>
  <r>
    <n v="935"/>
    <x v="41"/>
    <n v="1"/>
    <n v="0"/>
    <n v="2"/>
    <n v="13"/>
    <b v="0"/>
    <n v="5"/>
    <n v="1"/>
    <n v="0.24"/>
    <n v="0.2273"/>
    <n v="0.35"/>
    <n v="0.19400000000000001"/>
    <n v="21"/>
    <n v="89"/>
    <n v="110"/>
    <s v="REC-0935"/>
    <d v="2011-02-11T13:00:00"/>
    <s v="Feb"/>
    <x v="6"/>
    <x v="1"/>
    <s v="Working Day"/>
    <s v="Spring"/>
    <x v="0"/>
    <s v="Afternoon"/>
    <s v="Mild"/>
    <s v="Low"/>
    <s v="Off-Peak"/>
    <n v="0.19090909090909092"/>
    <s v="High"/>
    <n v="1"/>
  </r>
  <r>
    <n v="936"/>
    <x v="41"/>
    <n v="1"/>
    <n v="0"/>
    <n v="2"/>
    <n v="14"/>
    <b v="0"/>
    <n v="5"/>
    <n v="1"/>
    <n v="0.3"/>
    <n v="0.28789999999999999"/>
    <n v="0.26"/>
    <n v="0.25369999999999998"/>
    <n v="17"/>
    <n v="67"/>
    <n v="84"/>
    <s v="REC-0936"/>
    <d v="2011-02-11T14:00:00"/>
    <s v="Feb"/>
    <x v="6"/>
    <x v="1"/>
    <s v="Working Day"/>
    <s v="Spring"/>
    <x v="0"/>
    <s v="Afternoon"/>
    <s v="Warm"/>
    <s v="Low"/>
    <s v="Off-Peak"/>
    <n v="0.20238095238095238"/>
    <s v="High"/>
    <n v="1"/>
  </r>
  <r>
    <n v="937"/>
    <x v="41"/>
    <n v="1"/>
    <n v="0"/>
    <n v="2"/>
    <n v="15"/>
    <b v="0"/>
    <n v="5"/>
    <n v="1"/>
    <n v="0.32"/>
    <n v="0.31819999999999998"/>
    <n v="0.21"/>
    <n v="0.16420000000000001"/>
    <n v="12"/>
    <n v="62"/>
    <n v="74"/>
    <s v="REC-0937"/>
    <d v="2011-02-11T15:00:00"/>
    <s v="Feb"/>
    <x v="6"/>
    <x v="1"/>
    <s v="Working Day"/>
    <s v="Spring"/>
    <x v="0"/>
    <s v="Afternoon"/>
    <s v="Warm"/>
    <s v="Low"/>
    <s v="Off-Peak"/>
    <n v="0.16216216216216217"/>
    <s v="Normal"/>
    <n v="1"/>
  </r>
  <r>
    <n v="938"/>
    <x v="41"/>
    <n v="1"/>
    <n v="0"/>
    <n v="2"/>
    <n v="16"/>
    <b v="0"/>
    <n v="5"/>
    <n v="1"/>
    <n v="0.3"/>
    <n v="0.28789999999999999"/>
    <n v="0.28000000000000003"/>
    <n v="0.19400000000000001"/>
    <n v="14"/>
    <n v="111"/>
    <n v="125"/>
    <s v="REC-0938"/>
    <d v="2011-02-11T16:00:00"/>
    <s v="Feb"/>
    <x v="6"/>
    <x v="1"/>
    <s v="Working Day"/>
    <s v="Spring"/>
    <x v="0"/>
    <s v="Afternoon"/>
    <s v="Warm"/>
    <s v="Low"/>
    <s v="Peak"/>
    <n v="0.112"/>
    <s v="High"/>
    <n v="1"/>
  </r>
  <r>
    <n v="939"/>
    <x v="41"/>
    <n v="1"/>
    <n v="0"/>
    <n v="2"/>
    <n v="17"/>
    <b v="0"/>
    <n v="5"/>
    <n v="1"/>
    <n v="0.3"/>
    <n v="0.33329999999999999"/>
    <n v="0.24"/>
    <n v="0"/>
    <n v="18"/>
    <n v="193"/>
    <n v="211"/>
    <s v="REC-0939"/>
    <d v="2011-02-11T17:00:00"/>
    <s v="Feb"/>
    <x v="6"/>
    <x v="1"/>
    <s v="Working Day"/>
    <s v="Spring"/>
    <x v="0"/>
    <s v="Evening"/>
    <s v="Warm"/>
    <s v="Low"/>
    <s v="Peak"/>
    <n v="8.5308056872037921E-2"/>
    <s v="High"/>
    <n v="1"/>
  </r>
  <r>
    <n v="940"/>
    <x v="41"/>
    <n v="1"/>
    <n v="0"/>
    <n v="2"/>
    <n v="18"/>
    <b v="0"/>
    <n v="5"/>
    <n v="1"/>
    <n v="0.28000000000000003"/>
    <n v="0.31819999999999998"/>
    <n v="0.28000000000000003"/>
    <n v="0"/>
    <n v="9"/>
    <n v="165"/>
    <n v="174"/>
    <s v="REC-0940"/>
    <d v="2011-02-11T18:00:00"/>
    <s v="Feb"/>
    <x v="6"/>
    <x v="1"/>
    <s v="Working Day"/>
    <s v="Spring"/>
    <x v="0"/>
    <s v="Evening"/>
    <s v="Mild"/>
    <s v="Low"/>
    <s v="Peak"/>
    <n v="5.1724137931034482E-2"/>
    <s v="High"/>
    <n v="1"/>
  </r>
  <r>
    <n v="941"/>
    <x v="41"/>
    <n v="1"/>
    <n v="0"/>
    <n v="2"/>
    <n v="19"/>
    <b v="0"/>
    <n v="5"/>
    <n v="1"/>
    <n v="0.26"/>
    <n v="0.30299999999999999"/>
    <n v="0.33"/>
    <n v="0"/>
    <n v="7"/>
    <n v="94"/>
    <n v="101"/>
    <s v="REC-0941"/>
    <d v="2011-02-11T19:00:00"/>
    <s v="Feb"/>
    <x v="6"/>
    <x v="1"/>
    <s v="Working Day"/>
    <s v="Spring"/>
    <x v="0"/>
    <s v="Evening"/>
    <s v="Mild"/>
    <s v="Low"/>
    <s v="Peak"/>
    <n v="6.9306930693069313E-2"/>
    <s v="High"/>
    <n v="1"/>
  </r>
  <r>
    <n v="942"/>
    <x v="41"/>
    <n v="1"/>
    <n v="0"/>
    <n v="2"/>
    <n v="20"/>
    <b v="0"/>
    <n v="5"/>
    <n v="1"/>
    <n v="0.22"/>
    <n v="0.2273"/>
    <n v="0.55000000000000004"/>
    <n v="0.1343"/>
    <n v="2"/>
    <n v="61"/>
    <n v="63"/>
    <s v="REC-0942"/>
    <d v="2011-02-11T20:00:00"/>
    <s v="Feb"/>
    <x v="6"/>
    <x v="1"/>
    <s v="Working Day"/>
    <s v="Spring"/>
    <x v="0"/>
    <s v="Evening"/>
    <s v="Mild"/>
    <s v="Medium"/>
    <s v="Off-Peak"/>
    <n v="3.1746031746031744E-2"/>
    <s v="Normal"/>
    <n v="1"/>
  </r>
  <r>
    <n v="943"/>
    <x v="41"/>
    <n v="1"/>
    <n v="0"/>
    <n v="2"/>
    <n v="21"/>
    <b v="0"/>
    <n v="5"/>
    <n v="1"/>
    <n v="0.2"/>
    <n v="0.21210000000000001"/>
    <n v="0.59"/>
    <n v="0.1343"/>
    <n v="1"/>
    <n v="46"/>
    <n v="47"/>
    <s v="REC-0943"/>
    <d v="2011-02-11T21:00:00"/>
    <s v="Feb"/>
    <x v="6"/>
    <x v="1"/>
    <s v="Working Day"/>
    <s v="Spring"/>
    <x v="0"/>
    <s v="Late Evening"/>
    <s v="Mild"/>
    <s v="Medium"/>
    <s v="Off-Peak"/>
    <n v="2.1276595744680851E-2"/>
    <s v="Normal"/>
    <n v="1"/>
  </r>
  <r>
    <n v="944"/>
    <x v="41"/>
    <n v="1"/>
    <n v="0"/>
    <n v="2"/>
    <n v="22"/>
    <b v="0"/>
    <n v="5"/>
    <n v="1"/>
    <n v="0.2"/>
    <n v="0.2273"/>
    <n v="0.64"/>
    <n v="8.9599999999999999E-2"/>
    <n v="2"/>
    <n v="41"/>
    <n v="43"/>
    <s v="REC-0944"/>
    <d v="2011-02-11T22:00:00"/>
    <s v="Feb"/>
    <x v="6"/>
    <x v="1"/>
    <s v="Working Day"/>
    <s v="Spring"/>
    <x v="0"/>
    <s v="Late Evening"/>
    <s v="Mild"/>
    <s v="Medium"/>
    <s v="Off-Peak"/>
    <n v="4.6511627906976744E-2"/>
    <s v="Normal"/>
    <n v="1"/>
  </r>
  <r>
    <n v="945"/>
    <x v="41"/>
    <n v="1"/>
    <n v="0"/>
    <n v="2"/>
    <n v="23"/>
    <b v="0"/>
    <n v="5"/>
    <n v="1"/>
    <n v="0.18"/>
    <n v="0.2424"/>
    <n v="0.69"/>
    <n v="0"/>
    <n v="5"/>
    <n v="48"/>
    <n v="53"/>
    <s v="REC-0945"/>
    <d v="2011-02-11T23:00:00"/>
    <s v="Feb"/>
    <x v="6"/>
    <x v="1"/>
    <s v="Working Day"/>
    <s v="Spring"/>
    <x v="0"/>
    <s v="Late Evening"/>
    <s v="Cold"/>
    <s v="Medium"/>
    <s v="Off-Peak"/>
    <n v="9.4339622641509441E-2"/>
    <s v="Normal"/>
    <n v="1"/>
  </r>
  <r>
    <n v="946"/>
    <x v="42"/>
    <n v="1"/>
    <n v="0"/>
    <n v="2"/>
    <n v="0"/>
    <b v="0"/>
    <n v="6"/>
    <n v="1"/>
    <n v="0.16"/>
    <n v="0.19700000000000001"/>
    <n v="0.69"/>
    <n v="8.9599999999999999E-2"/>
    <n v="3"/>
    <n v="27"/>
    <n v="30"/>
    <s v="REC-0946"/>
    <d v="2011-02-12T00:00:00"/>
    <s v="Feb"/>
    <x v="0"/>
    <x v="0"/>
    <s v="Non-Working Day"/>
    <s v="Spring"/>
    <x v="0"/>
    <s v="Night"/>
    <s v="Cold"/>
    <s v="Medium"/>
    <s v="Off-Peak"/>
    <n v="0.1"/>
    <s v="Normal"/>
    <n v="1"/>
  </r>
  <r>
    <n v="947"/>
    <x v="42"/>
    <n v="1"/>
    <n v="0"/>
    <n v="2"/>
    <n v="1"/>
    <b v="0"/>
    <n v="6"/>
    <n v="1"/>
    <n v="0.14000000000000001"/>
    <n v="0.21210000000000001"/>
    <n v="0.86"/>
    <n v="0"/>
    <n v="2"/>
    <n v="22"/>
    <n v="24"/>
    <s v="REC-0947"/>
    <d v="2011-02-12T01:00:00"/>
    <s v="Feb"/>
    <x v="0"/>
    <x v="0"/>
    <s v="Non-Working Day"/>
    <s v="Spring"/>
    <x v="0"/>
    <s v="Night"/>
    <s v="Cold"/>
    <s v="High"/>
    <s v="Off-Peak"/>
    <n v="8.3333333333333329E-2"/>
    <s v="Normal"/>
    <n v="1"/>
  </r>
  <r>
    <n v="948"/>
    <x v="42"/>
    <n v="1"/>
    <n v="0"/>
    <n v="2"/>
    <n v="2"/>
    <b v="0"/>
    <n v="6"/>
    <n v="1"/>
    <n v="0.14000000000000001"/>
    <n v="0.21210000000000001"/>
    <n v="0.8"/>
    <n v="0"/>
    <n v="2"/>
    <n v="13"/>
    <n v="15"/>
    <s v="REC-0948"/>
    <d v="2011-02-12T02:00:00"/>
    <s v="Feb"/>
    <x v="0"/>
    <x v="0"/>
    <s v="Non-Working Day"/>
    <s v="Spring"/>
    <x v="0"/>
    <s v="Night"/>
    <s v="Cold"/>
    <s v="High"/>
    <s v="Off-Peak"/>
    <n v="0.13333333333333333"/>
    <s v="Low"/>
    <n v="1"/>
  </r>
  <r>
    <n v="949"/>
    <x v="42"/>
    <n v="1"/>
    <n v="0"/>
    <n v="2"/>
    <n v="3"/>
    <b v="0"/>
    <n v="6"/>
    <n v="1"/>
    <n v="0.12"/>
    <n v="0.19700000000000001"/>
    <n v="0.8"/>
    <n v="0"/>
    <n v="3"/>
    <n v="7"/>
    <n v="10"/>
    <s v="REC-0949"/>
    <d v="2011-02-12T03:00:00"/>
    <s v="Feb"/>
    <x v="0"/>
    <x v="0"/>
    <s v="Non-Working Day"/>
    <s v="Spring"/>
    <x v="0"/>
    <s v="Night"/>
    <s v="Cold"/>
    <s v="High"/>
    <s v="Off-Peak"/>
    <n v="0.3"/>
    <s v="Low"/>
    <n v="1"/>
  </r>
  <r>
    <n v="950"/>
    <x v="42"/>
    <n v="1"/>
    <n v="0"/>
    <n v="2"/>
    <n v="4"/>
    <b v="0"/>
    <n v="6"/>
    <n v="1"/>
    <n v="0.12"/>
    <n v="0.16669999999999999"/>
    <n v="0.74"/>
    <n v="8.9599999999999999E-2"/>
    <n v="0"/>
    <n v="4"/>
    <n v="4"/>
    <s v="REC-0950"/>
    <d v="2011-02-12T04:00:00"/>
    <s v="Feb"/>
    <x v="0"/>
    <x v="0"/>
    <s v="Non-Working Day"/>
    <s v="Spring"/>
    <x v="0"/>
    <s v="Night"/>
    <s v="Cold"/>
    <s v="Medium"/>
    <s v="Off-Peak"/>
    <n v="0"/>
    <s v="Low"/>
    <n v="1"/>
  </r>
  <r>
    <n v="951"/>
    <x v="42"/>
    <n v="1"/>
    <n v="0"/>
    <n v="2"/>
    <n v="5"/>
    <b v="0"/>
    <n v="6"/>
    <n v="1"/>
    <n v="0.12"/>
    <n v="0.16669999999999999"/>
    <n v="0.74"/>
    <n v="8.9599999999999999E-2"/>
    <n v="0"/>
    <n v="1"/>
    <n v="1"/>
    <s v="REC-0951"/>
    <d v="2011-02-12T05:00:00"/>
    <s v="Feb"/>
    <x v="0"/>
    <x v="0"/>
    <s v="Non-Working Day"/>
    <s v="Spring"/>
    <x v="0"/>
    <s v="Night"/>
    <s v="Cold"/>
    <s v="Medium"/>
    <s v="Off-Peak"/>
    <n v="0"/>
    <s v="Low"/>
    <n v="1"/>
  </r>
  <r>
    <n v="952"/>
    <x v="42"/>
    <n v="1"/>
    <n v="0"/>
    <n v="2"/>
    <n v="6"/>
    <b v="0"/>
    <n v="6"/>
    <n v="1"/>
    <n v="0.12"/>
    <n v="0.13639999999999999"/>
    <n v="0.93"/>
    <n v="0.19400000000000001"/>
    <n v="1"/>
    <n v="1"/>
    <n v="2"/>
    <s v="REC-0952"/>
    <d v="2011-02-12T06:00:00"/>
    <s v="Feb"/>
    <x v="0"/>
    <x v="0"/>
    <s v="Non-Working Day"/>
    <s v="Spring"/>
    <x v="0"/>
    <s v="Morning"/>
    <s v="Cold"/>
    <s v="High"/>
    <s v="Off-Peak"/>
    <n v="0.5"/>
    <s v="Low"/>
    <n v="1"/>
  </r>
  <r>
    <n v="953"/>
    <x v="42"/>
    <n v="1"/>
    <n v="0"/>
    <n v="2"/>
    <n v="7"/>
    <b v="0"/>
    <n v="6"/>
    <n v="1"/>
    <n v="0.12"/>
    <n v="0.1515"/>
    <n v="0.8"/>
    <n v="0.1045"/>
    <n v="2"/>
    <n v="9"/>
    <n v="11"/>
    <s v="REC-0953"/>
    <d v="2011-02-12T07:00:00"/>
    <s v="Feb"/>
    <x v="0"/>
    <x v="0"/>
    <s v="Non-Working Day"/>
    <s v="Spring"/>
    <x v="0"/>
    <s v="Morning"/>
    <s v="Cold"/>
    <s v="High"/>
    <s v="Off-Peak"/>
    <n v="0.18181818181818182"/>
    <s v="Low"/>
    <n v="1"/>
  </r>
  <r>
    <n v="954"/>
    <x v="42"/>
    <n v="1"/>
    <n v="0"/>
    <n v="2"/>
    <n v="8"/>
    <b v="0"/>
    <n v="6"/>
    <n v="1"/>
    <n v="0.14000000000000001"/>
    <n v="0.1515"/>
    <n v="0.86"/>
    <n v="0.1343"/>
    <n v="2"/>
    <n v="28"/>
    <n v="30"/>
    <s v="REC-0954"/>
    <d v="2011-02-12T08:00:00"/>
    <s v="Feb"/>
    <x v="0"/>
    <x v="0"/>
    <s v="Non-Working Day"/>
    <s v="Spring"/>
    <x v="0"/>
    <s v="Morning"/>
    <s v="Cold"/>
    <s v="High"/>
    <s v="Off-Peak"/>
    <n v="6.6666666666666666E-2"/>
    <s v="Normal"/>
    <n v="1"/>
  </r>
  <r>
    <n v="955"/>
    <x v="42"/>
    <n v="1"/>
    <n v="0"/>
    <n v="2"/>
    <n v="9"/>
    <b v="0"/>
    <n v="6"/>
    <n v="1"/>
    <n v="0.16"/>
    <n v="0.18179999999999999"/>
    <n v="0.64"/>
    <n v="0.1343"/>
    <n v="5"/>
    <n v="38"/>
    <n v="43"/>
    <s v="REC-0955"/>
    <d v="2011-02-12T09:00:00"/>
    <s v="Feb"/>
    <x v="0"/>
    <x v="0"/>
    <s v="Non-Working Day"/>
    <s v="Spring"/>
    <x v="0"/>
    <s v="Morning"/>
    <s v="Cold"/>
    <s v="Medium"/>
    <s v="Off-Peak"/>
    <n v="0.11627906976744186"/>
    <s v="Normal"/>
    <n v="1"/>
  </r>
  <r>
    <n v="956"/>
    <x v="42"/>
    <n v="1"/>
    <n v="0"/>
    <n v="2"/>
    <n v="10"/>
    <b v="0"/>
    <n v="6"/>
    <n v="1"/>
    <n v="0.22"/>
    <n v="0.21210000000000001"/>
    <n v="0.41"/>
    <n v="0.25369999999999998"/>
    <n v="13"/>
    <n v="71"/>
    <n v="84"/>
    <s v="REC-0956"/>
    <d v="2011-02-12T10:00:00"/>
    <s v="Feb"/>
    <x v="0"/>
    <x v="0"/>
    <s v="Non-Working Day"/>
    <s v="Spring"/>
    <x v="0"/>
    <s v="Morning"/>
    <s v="Mild"/>
    <s v="Low"/>
    <s v="Off-Peak"/>
    <n v="0.15476190476190477"/>
    <s v="High"/>
    <n v="1"/>
  </r>
  <r>
    <n v="957"/>
    <x v="42"/>
    <n v="1"/>
    <n v="0"/>
    <n v="2"/>
    <n v="11"/>
    <b v="0"/>
    <n v="6"/>
    <n v="1"/>
    <n v="0.3"/>
    <n v="0.2727"/>
    <n v="0.28000000000000003"/>
    <n v="0.32840000000000003"/>
    <n v="30"/>
    <n v="84"/>
    <n v="114"/>
    <s v="REC-0957"/>
    <d v="2011-02-12T11:00:00"/>
    <s v="Feb"/>
    <x v="0"/>
    <x v="0"/>
    <s v="Non-Working Day"/>
    <s v="Spring"/>
    <x v="0"/>
    <s v="Morning"/>
    <s v="Warm"/>
    <s v="Low"/>
    <s v="Off-Peak"/>
    <n v="0.26315789473684209"/>
    <s v="High"/>
    <n v="1"/>
  </r>
  <r>
    <n v="958"/>
    <x v="42"/>
    <n v="1"/>
    <n v="0"/>
    <n v="2"/>
    <n v="12"/>
    <b v="0"/>
    <n v="6"/>
    <n v="1"/>
    <n v="0.3"/>
    <n v="0.2727"/>
    <n v="0.39"/>
    <n v="0.4627"/>
    <n v="27"/>
    <n v="93"/>
    <n v="120"/>
    <s v="REC-0958"/>
    <d v="2011-02-12T12:00:00"/>
    <s v="Feb"/>
    <x v="0"/>
    <x v="0"/>
    <s v="Non-Working Day"/>
    <s v="Spring"/>
    <x v="0"/>
    <s v="Afternoon"/>
    <s v="Warm"/>
    <s v="Low"/>
    <s v="Off-Peak"/>
    <n v="0.22500000000000001"/>
    <s v="High"/>
    <n v="1"/>
  </r>
  <r>
    <n v="959"/>
    <x v="42"/>
    <n v="1"/>
    <n v="0"/>
    <n v="2"/>
    <n v="13"/>
    <b v="0"/>
    <n v="6"/>
    <n v="1"/>
    <n v="0.3"/>
    <n v="0.2727"/>
    <n v="0.39"/>
    <n v="0.41789999999999999"/>
    <n v="32"/>
    <n v="103"/>
    <n v="135"/>
    <s v="REC-0959"/>
    <d v="2011-02-12T13:00:00"/>
    <s v="Feb"/>
    <x v="0"/>
    <x v="0"/>
    <s v="Non-Working Day"/>
    <s v="Spring"/>
    <x v="0"/>
    <s v="Afternoon"/>
    <s v="Warm"/>
    <s v="Low"/>
    <s v="Off-Peak"/>
    <n v="0.23703703703703705"/>
    <s v="High"/>
    <n v="1"/>
  </r>
  <r>
    <n v="960"/>
    <x v="42"/>
    <n v="1"/>
    <n v="0"/>
    <n v="2"/>
    <n v="14"/>
    <b v="0"/>
    <n v="6"/>
    <n v="1"/>
    <n v="0.34"/>
    <n v="0.31819999999999998"/>
    <n v="0.31"/>
    <n v="0.28360000000000002"/>
    <n v="30"/>
    <n v="90"/>
    <n v="120"/>
    <s v="REC-0960"/>
    <d v="2011-02-12T14:00:00"/>
    <s v="Feb"/>
    <x v="0"/>
    <x v="0"/>
    <s v="Non-Working Day"/>
    <s v="Spring"/>
    <x v="0"/>
    <s v="Afternoon"/>
    <s v="Warm"/>
    <s v="Low"/>
    <s v="Off-Peak"/>
    <n v="0.25"/>
    <s v="High"/>
    <n v="1"/>
  </r>
  <r>
    <n v="961"/>
    <x v="42"/>
    <n v="1"/>
    <n v="0"/>
    <n v="2"/>
    <n v="15"/>
    <b v="0"/>
    <n v="6"/>
    <n v="1"/>
    <n v="0.34"/>
    <n v="0.30299999999999999"/>
    <n v="0.28999999999999998"/>
    <n v="0.41789999999999999"/>
    <n v="47"/>
    <n v="127"/>
    <n v="174"/>
    <s v="REC-0961"/>
    <d v="2011-02-12T15:00:00"/>
    <s v="Feb"/>
    <x v="0"/>
    <x v="0"/>
    <s v="Non-Working Day"/>
    <s v="Spring"/>
    <x v="0"/>
    <s v="Afternoon"/>
    <s v="Warm"/>
    <s v="Low"/>
    <s v="Off-Peak"/>
    <n v="0.27011494252873564"/>
    <s v="High"/>
    <n v="1"/>
  </r>
  <r>
    <n v="962"/>
    <x v="42"/>
    <n v="1"/>
    <n v="0"/>
    <n v="2"/>
    <n v="16"/>
    <b v="0"/>
    <n v="6"/>
    <n v="1"/>
    <n v="0.34"/>
    <n v="0.30299999999999999"/>
    <n v="0.28999999999999998"/>
    <n v="0.41789999999999999"/>
    <n v="42"/>
    <n v="103"/>
    <n v="145"/>
    <s v="REC-0962"/>
    <d v="2011-02-12T16:00:00"/>
    <s v="Feb"/>
    <x v="0"/>
    <x v="0"/>
    <s v="Non-Working Day"/>
    <s v="Spring"/>
    <x v="0"/>
    <s v="Afternoon"/>
    <s v="Warm"/>
    <s v="Low"/>
    <s v="Off-Peak"/>
    <n v="0.28965517241379313"/>
    <s v="High"/>
    <n v="1"/>
  </r>
  <r>
    <n v="963"/>
    <x v="42"/>
    <n v="1"/>
    <n v="0"/>
    <n v="2"/>
    <n v="17"/>
    <b v="0"/>
    <n v="6"/>
    <n v="1"/>
    <n v="0.32"/>
    <n v="0.28789999999999999"/>
    <n v="0.31"/>
    <n v="0.52239999999999998"/>
    <n v="24"/>
    <n v="113"/>
    <n v="137"/>
    <s v="REC-0963"/>
    <d v="2011-02-12T17:00:00"/>
    <s v="Feb"/>
    <x v="0"/>
    <x v="0"/>
    <s v="Non-Working Day"/>
    <s v="Spring"/>
    <x v="0"/>
    <s v="Evening"/>
    <s v="Warm"/>
    <s v="Low"/>
    <s v="Off-Peak"/>
    <n v="0.17518248175182483"/>
    <s v="High"/>
    <n v="1"/>
  </r>
  <r>
    <n v="964"/>
    <x v="42"/>
    <n v="1"/>
    <n v="0"/>
    <n v="2"/>
    <n v="18"/>
    <b v="0"/>
    <n v="6"/>
    <n v="1"/>
    <n v="0.28000000000000003"/>
    <n v="0.2576"/>
    <n v="0.38"/>
    <n v="0.32840000000000003"/>
    <n v="4"/>
    <n v="60"/>
    <n v="64"/>
    <s v="REC-0964"/>
    <d v="2011-02-12T18:00:00"/>
    <s v="Feb"/>
    <x v="0"/>
    <x v="0"/>
    <s v="Non-Working Day"/>
    <s v="Spring"/>
    <x v="0"/>
    <s v="Evening"/>
    <s v="Mild"/>
    <s v="Low"/>
    <s v="Off-Peak"/>
    <n v="6.25E-2"/>
    <s v="Normal"/>
    <n v="1"/>
  </r>
  <r>
    <n v="965"/>
    <x v="42"/>
    <n v="1"/>
    <n v="0"/>
    <n v="2"/>
    <n v="19"/>
    <b v="0"/>
    <n v="6"/>
    <n v="1"/>
    <n v="0.28000000000000003"/>
    <n v="0.2727"/>
    <n v="0.38"/>
    <n v="0.16420000000000001"/>
    <n v="2"/>
    <n v="39"/>
    <n v="41"/>
    <s v="REC-0965"/>
    <d v="2011-02-12T19:00:00"/>
    <s v="Feb"/>
    <x v="0"/>
    <x v="0"/>
    <s v="Non-Working Day"/>
    <s v="Spring"/>
    <x v="0"/>
    <s v="Evening"/>
    <s v="Mild"/>
    <s v="Low"/>
    <s v="Off-Peak"/>
    <n v="4.878048780487805E-2"/>
    <s v="Normal"/>
    <n v="1"/>
  </r>
  <r>
    <n v="966"/>
    <x v="42"/>
    <n v="1"/>
    <n v="0"/>
    <n v="2"/>
    <n v="20"/>
    <b v="0"/>
    <n v="6"/>
    <n v="1"/>
    <n v="0.26"/>
    <n v="0.2576"/>
    <n v="0.41"/>
    <n v="0.22389999999999999"/>
    <n v="1"/>
    <n v="39"/>
    <n v="40"/>
    <s v="REC-0966"/>
    <d v="2011-02-12T20:00:00"/>
    <s v="Feb"/>
    <x v="0"/>
    <x v="0"/>
    <s v="Non-Working Day"/>
    <s v="Spring"/>
    <x v="0"/>
    <s v="Evening"/>
    <s v="Mild"/>
    <s v="Low"/>
    <s v="Off-Peak"/>
    <n v="2.5000000000000001E-2"/>
    <s v="Normal"/>
    <n v="1"/>
  </r>
  <r>
    <n v="967"/>
    <x v="42"/>
    <n v="1"/>
    <n v="0"/>
    <n v="2"/>
    <n v="21"/>
    <b v="0"/>
    <n v="6"/>
    <n v="1"/>
    <n v="0.26"/>
    <n v="0.30299999999999999"/>
    <n v="0.41"/>
    <n v="0"/>
    <n v="9"/>
    <n v="42"/>
    <n v="51"/>
    <s v="REC-0967"/>
    <d v="2011-02-12T21:00:00"/>
    <s v="Feb"/>
    <x v="0"/>
    <x v="0"/>
    <s v="Non-Working Day"/>
    <s v="Spring"/>
    <x v="0"/>
    <s v="Late Evening"/>
    <s v="Mild"/>
    <s v="Low"/>
    <s v="Off-Peak"/>
    <n v="0.17647058823529413"/>
    <s v="Normal"/>
    <n v="1"/>
  </r>
  <r>
    <n v="968"/>
    <x v="42"/>
    <n v="1"/>
    <n v="0"/>
    <n v="2"/>
    <n v="22"/>
    <b v="0"/>
    <n v="6"/>
    <n v="1"/>
    <n v="0.24"/>
    <n v="0.2576"/>
    <n v="0.44"/>
    <n v="8.9599999999999999E-2"/>
    <n v="6"/>
    <n v="39"/>
    <n v="45"/>
    <s v="REC-0968"/>
    <d v="2011-02-12T22:00:00"/>
    <s v="Feb"/>
    <x v="0"/>
    <x v="0"/>
    <s v="Non-Working Day"/>
    <s v="Spring"/>
    <x v="0"/>
    <s v="Late Evening"/>
    <s v="Mild"/>
    <s v="Low"/>
    <s v="Off-Peak"/>
    <n v="0.13333333333333333"/>
    <s v="Normal"/>
    <n v="1"/>
  </r>
  <r>
    <n v="969"/>
    <x v="42"/>
    <n v="1"/>
    <n v="0"/>
    <n v="2"/>
    <n v="23"/>
    <b v="0"/>
    <n v="6"/>
    <n v="1"/>
    <n v="0.22"/>
    <n v="0.2273"/>
    <n v="0.51"/>
    <n v="0.1343"/>
    <n v="1"/>
    <n v="31"/>
    <n v="32"/>
    <s v="REC-0969"/>
    <d v="2011-02-12T23:00:00"/>
    <s v="Feb"/>
    <x v="0"/>
    <x v="0"/>
    <s v="Non-Working Day"/>
    <s v="Spring"/>
    <x v="0"/>
    <s v="Late Evening"/>
    <s v="Mild"/>
    <s v="Medium"/>
    <s v="Off-Peak"/>
    <n v="3.125E-2"/>
    <s v="Normal"/>
    <n v="1"/>
  </r>
  <r>
    <n v="970"/>
    <x v="43"/>
    <n v="1"/>
    <n v="0"/>
    <n v="2"/>
    <n v="0"/>
    <b v="0"/>
    <n v="0"/>
    <n v="1"/>
    <n v="0.2"/>
    <n v="0.2273"/>
    <n v="0.64"/>
    <n v="0.1045"/>
    <n v="5"/>
    <n v="34"/>
    <n v="39"/>
    <s v="REC-0970"/>
    <d v="2011-02-13T00:00:00"/>
    <s v="Feb"/>
    <x v="1"/>
    <x v="0"/>
    <s v="Non-Working Day"/>
    <s v="Spring"/>
    <x v="0"/>
    <s v="Night"/>
    <s v="Mild"/>
    <s v="Medium"/>
    <s v="Off-Peak"/>
    <n v="0.12820512820512819"/>
    <s v="Normal"/>
    <n v="1"/>
  </r>
  <r>
    <n v="971"/>
    <x v="43"/>
    <n v="1"/>
    <n v="0"/>
    <n v="2"/>
    <n v="1"/>
    <b v="0"/>
    <n v="0"/>
    <n v="1"/>
    <n v="0.2"/>
    <n v="0.2273"/>
    <n v="0.59"/>
    <n v="8.9599999999999999E-2"/>
    <n v="1"/>
    <n v="23"/>
    <n v="24"/>
    <s v="REC-0971"/>
    <d v="2011-02-13T01:00:00"/>
    <s v="Feb"/>
    <x v="1"/>
    <x v="0"/>
    <s v="Non-Working Day"/>
    <s v="Spring"/>
    <x v="0"/>
    <s v="Night"/>
    <s v="Mild"/>
    <s v="Medium"/>
    <s v="Off-Peak"/>
    <n v="4.1666666666666664E-2"/>
    <s v="Normal"/>
    <n v="1"/>
  </r>
  <r>
    <n v="972"/>
    <x v="43"/>
    <n v="1"/>
    <n v="0"/>
    <n v="2"/>
    <n v="2"/>
    <b v="0"/>
    <n v="0"/>
    <n v="2"/>
    <n v="0.2"/>
    <n v="0.2273"/>
    <n v="0.75"/>
    <n v="8.9599999999999999E-2"/>
    <n v="1"/>
    <n v="19"/>
    <n v="20"/>
    <s v="REC-0972"/>
    <d v="2011-02-13T02:00:00"/>
    <s v="Feb"/>
    <x v="1"/>
    <x v="0"/>
    <s v="Non-Working Day"/>
    <s v="Spring"/>
    <x v="1"/>
    <s v="Night"/>
    <s v="Mild"/>
    <s v="High"/>
    <s v="Off-Peak"/>
    <n v="0.05"/>
    <s v="Normal"/>
    <n v="1"/>
  </r>
  <r>
    <n v="973"/>
    <x v="43"/>
    <n v="1"/>
    <n v="0"/>
    <n v="2"/>
    <n v="3"/>
    <b v="0"/>
    <n v="0"/>
    <n v="2"/>
    <n v="0.2"/>
    <n v="0.2273"/>
    <n v="0.69"/>
    <n v="0.1045"/>
    <n v="4"/>
    <n v="8"/>
    <n v="12"/>
    <s v="REC-0973"/>
    <d v="2011-02-13T03:00:00"/>
    <s v="Feb"/>
    <x v="1"/>
    <x v="0"/>
    <s v="Non-Working Day"/>
    <s v="Spring"/>
    <x v="1"/>
    <s v="Night"/>
    <s v="Mild"/>
    <s v="Medium"/>
    <s v="Off-Peak"/>
    <n v="0.33333333333333331"/>
    <s v="Low"/>
    <n v="1"/>
  </r>
  <r>
    <n v="974"/>
    <x v="43"/>
    <n v="1"/>
    <n v="0"/>
    <n v="2"/>
    <n v="4"/>
    <b v="0"/>
    <n v="0"/>
    <n v="2"/>
    <n v="0.2"/>
    <n v="0.21210000000000001"/>
    <n v="0.69"/>
    <n v="0.16420000000000001"/>
    <n v="0"/>
    <n v="2"/>
    <n v="2"/>
    <s v="REC-0974"/>
    <d v="2011-02-13T04:00:00"/>
    <s v="Feb"/>
    <x v="1"/>
    <x v="0"/>
    <s v="Non-Working Day"/>
    <s v="Spring"/>
    <x v="1"/>
    <s v="Night"/>
    <s v="Mild"/>
    <s v="Medium"/>
    <s v="Off-Peak"/>
    <n v="0"/>
    <s v="Low"/>
    <n v="1"/>
  </r>
  <r>
    <n v="975"/>
    <x v="43"/>
    <n v="1"/>
    <n v="0"/>
    <n v="2"/>
    <n v="6"/>
    <b v="0"/>
    <n v="0"/>
    <n v="2"/>
    <n v="0.2"/>
    <n v="0.21210000000000001"/>
    <n v="0.69"/>
    <n v="0.1343"/>
    <n v="2"/>
    <n v="3"/>
    <n v="5"/>
    <s v="REC-0975"/>
    <d v="2011-02-13T06:00:00"/>
    <s v="Feb"/>
    <x v="1"/>
    <x v="0"/>
    <s v="Non-Working Day"/>
    <s v="Spring"/>
    <x v="1"/>
    <s v="Morning"/>
    <s v="Mild"/>
    <s v="Medium"/>
    <s v="Off-Peak"/>
    <n v="0.4"/>
    <s v="Low"/>
    <n v="1"/>
  </r>
  <r>
    <n v="976"/>
    <x v="43"/>
    <n v="1"/>
    <n v="0"/>
    <n v="2"/>
    <n v="7"/>
    <b v="0"/>
    <n v="0"/>
    <n v="2"/>
    <n v="0.22"/>
    <n v="0.2727"/>
    <n v="0.55000000000000004"/>
    <n v="0"/>
    <n v="0"/>
    <n v="3"/>
    <n v="3"/>
    <s v="REC-0976"/>
    <d v="2011-02-13T07:00:00"/>
    <s v="Feb"/>
    <x v="1"/>
    <x v="0"/>
    <s v="Non-Working Day"/>
    <s v="Spring"/>
    <x v="1"/>
    <s v="Morning"/>
    <s v="Mild"/>
    <s v="Medium"/>
    <s v="Off-Peak"/>
    <n v="0"/>
    <s v="Low"/>
    <n v="1"/>
  </r>
  <r>
    <n v="977"/>
    <x v="43"/>
    <n v="1"/>
    <n v="0"/>
    <n v="2"/>
    <n v="8"/>
    <b v="0"/>
    <n v="0"/>
    <n v="2"/>
    <n v="0.22"/>
    <n v="0.2273"/>
    <n v="0.64"/>
    <n v="0.19400000000000001"/>
    <n v="1"/>
    <n v="11"/>
    <n v="12"/>
    <s v="REC-0977"/>
    <d v="2011-02-13T08:00:00"/>
    <s v="Feb"/>
    <x v="1"/>
    <x v="0"/>
    <s v="Non-Working Day"/>
    <s v="Spring"/>
    <x v="1"/>
    <s v="Morning"/>
    <s v="Mild"/>
    <s v="Medium"/>
    <s v="Off-Peak"/>
    <n v="8.3333333333333329E-2"/>
    <s v="Low"/>
    <n v="1"/>
  </r>
  <r>
    <n v="978"/>
    <x v="43"/>
    <n v="1"/>
    <n v="0"/>
    <n v="2"/>
    <n v="9"/>
    <b v="0"/>
    <n v="0"/>
    <n v="2"/>
    <n v="0.24"/>
    <n v="0.2273"/>
    <n v="0.6"/>
    <n v="0.22389999999999999"/>
    <n v="12"/>
    <n v="35"/>
    <n v="47"/>
    <s v="REC-0978"/>
    <d v="2011-02-13T09:00:00"/>
    <s v="Feb"/>
    <x v="1"/>
    <x v="0"/>
    <s v="Non-Working Day"/>
    <s v="Spring"/>
    <x v="1"/>
    <s v="Morning"/>
    <s v="Mild"/>
    <s v="Medium"/>
    <s v="Off-Peak"/>
    <n v="0.25531914893617019"/>
    <s v="Normal"/>
    <n v="1"/>
  </r>
  <r>
    <n v="979"/>
    <x v="43"/>
    <n v="1"/>
    <n v="0"/>
    <n v="2"/>
    <n v="10"/>
    <b v="0"/>
    <n v="0"/>
    <n v="1"/>
    <n v="0.3"/>
    <n v="0.2727"/>
    <n v="0.45"/>
    <n v="0.32840000000000003"/>
    <n v="19"/>
    <n v="86"/>
    <n v="105"/>
    <s v="REC-0979"/>
    <d v="2011-02-13T10:00:00"/>
    <s v="Feb"/>
    <x v="1"/>
    <x v="0"/>
    <s v="Non-Working Day"/>
    <s v="Spring"/>
    <x v="0"/>
    <s v="Morning"/>
    <s v="Warm"/>
    <s v="Low"/>
    <s v="Off-Peak"/>
    <n v="0.18095238095238095"/>
    <s v="High"/>
    <n v="1"/>
  </r>
  <r>
    <n v="980"/>
    <x v="43"/>
    <n v="1"/>
    <n v="0"/>
    <n v="2"/>
    <n v="11"/>
    <b v="0"/>
    <n v="0"/>
    <n v="1"/>
    <n v="0.32"/>
    <n v="0.28789999999999999"/>
    <n v="0.39"/>
    <n v="0.44779999999999998"/>
    <n v="26"/>
    <n v="86"/>
    <n v="112"/>
    <s v="REC-0980"/>
    <d v="2011-02-13T11:00:00"/>
    <s v="Feb"/>
    <x v="1"/>
    <x v="0"/>
    <s v="Non-Working Day"/>
    <s v="Spring"/>
    <x v="0"/>
    <s v="Morning"/>
    <s v="Warm"/>
    <s v="Low"/>
    <s v="Off-Peak"/>
    <n v="0.23214285714285715"/>
    <s v="High"/>
    <n v="1"/>
  </r>
  <r>
    <n v="981"/>
    <x v="43"/>
    <n v="1"/>
    <n v="0"/>
    <n v="2"/>
    <n v="12"/>
    <b v="0"/>
    <n v="0"/>
    <n v="1"/>
    <n v="0.36"/>
    <n v="0.31819999999999998"/>
    <n v="0.32"/>
    <n v="0.4627"/>
    <n v="58"/>
    <n v="94"/>
    <n v="152"/>
    <s v="REC-0981"/>
    <d v="2011-02-13T12:00:00"/>
    <s v="Feb"/>
    <x v="1"/>
    <x v="0"/>
    <s v="Non-Working Day"/>
    <s v="Spring"/>
    <x v="0"/>
    <s v="Afternoon"/>
    <s v="Warm"/>
    <s v="Low"/>
    <s v="Off-Peak"/>
    <n v="0.38157894736842107"/>
    <s v="High"/>
    <n v="1"/>
  </r>
  <r>
    <n v="982"/>
    <x v="43"/>
    <n v="1"/>
    <n v="0"/>
    <n v="2"/>
    <n v="13"/>
    <b v="0"/>
    <n v="0"/>
    <n v="1"/>
    <n v="0.38"/>
    <n v="0.39389999999999997"/>
    <n v="0.28999999999999998"/>
    <n v="0.35820000000000002"/>
    <n v="62"/>
    <n v="92"/>
    <n v="154"/>
    <s v="REC-0982"/>
    <d v="2011-02-13T13:00:00"/>
    <s v="Feb"/>
    <x v="1"/>
    <x v="0"/>
    <s v="Non-Working Day"/>
    <s v="Spring"/>
    <x v="0"/>
    <s v="Afternoon"/>
    <s v="Warm"/>
    <s v="Low"/>
    <s v="Off-Peak"/>
    <n v="0.40259740259740262"/>
    <s v="High"/>
    <n v="1"/>
  </r>
  <r>
    <n v="983"/>
    <x v="43"/>
    <n v="1"/>
    <n v="0"/>
    <n v="2"/>
    <n v="14"/>
    <b v="0"/>
    <n v="0"/>
    <n v="2"/>
    <n v="0.4"/>
    <n v="0.40910000000000002"/>
    <n v="0.3"/>
    <n v="0.41789999999999999"/>
    <n v="51"/>
    <n v="110"/>
    <n v="161"/>
    <s v="REC-0983"/>
    <d v="2011-02-13T14:00:00"/>
    <s v="Feb"/>
    <x v="1"/>
    <x v="0"/>
    <s v="Non-Working Day"/>
    <s v="Spring"/>
    <x v="1"/>
    <s v="Afternoon"/>
    <s v="Warm"/>
    <s v="Low"/>
    <s v="Off-Peak"/>
    <n v="0.31677018633540371"/>
    <s v="High"/>
    <n v="1"/>
  </r>
  <r>
    <n v="984"/>
    <x v="43"/>
    <n v="1"/>
    <n v="0"/>
    <n v="2"/>
    <n v="15"/>
    <b v="0"/>
    <n v="0"/>
    <n v="2"/>
    <n v="0.4"/>
    <n v="0.40910000000000002"/>
    <n v="0.3"/>
    <n v="0.29849999999999999"/>
    <n v="40"/>
    <n v="122"/>
    <n v="162"/>
    <s v="REC-0984"/>
    <d v="2011-02-13T15:00:00"/>
    <s v="Feb"/>
    <x v="1"/>
    <x v="0"/>
    <s v="Non-Working Day"/>
    <s v="Spring"/>
    <x v="1"/>
    <s v="Afternoon"/>
    <s v="Warm"/>
    <s v="Low"/>
    <s v="Off-Peak"/>
    <n v="0.24691358024691357"/>
    <s v="High"/>
    <n v="1"/>
  </r>
  <r>
    <n v="985"/>
    <x v="43"/>
    <n v="1"/>
    <n v="0"/>
    <n v="2"/>
    <n v="16"/>
    <b v="0"/>
    <n v="0"/>
    <n v="2"/>
    <n v="0.42"/>
    <n v="0.42420000000000002"/>
    <n v="0.28000000000000003"/>
    <n v="0.32840000000000003"/>
    <n v="28"/>
    <n v="106"/>
    <n v="134"/>
    <s v="REC-0985"/>
    <d v="2011-02-13T16:00:00"/>
    <s v="Feb"/>
    <x v="1"/>
    <x v="0"/>
    <s v="Non-Working Day"/>
    <s v="Spring"/>
    <x v="1"/>
    <s v="Afternoon"/>
    <s v="Warm"/>
    <s v="Low"/>
    <s v="Off-Peak"/>
    <n v="0.20895522388059701"/>
    <s v="High"/>
    <n v="1"/>
  </r>
  <r>
    <n v="986"/>
    <x v="43"/>
    <n v="1"/>
    <n v="0"/>
    <n v="2"/>
    <n v="17"/>
    <b v="0"/>
    <n v="0"/>
    <n v="1"/>
    <n v="0.42"/>
    <n v="0.42420000000000002"/>
    <n v="0.28000000000000003"/>
    <n v="0.32840000000000003"/>
    <n v="30"/>
    <n v="95"/>
    <n v="125"/>
    <s v="REC-0986"/>
    <d v="2011-02-13T17:00:00"/>
    <s v="Feb"/>
    <x v="1"/>
    <x v="0"/>
    <s v="Non-Working Day"/>
    <s v="Spring"/>
    <x v="0"/>
    <s v="Evening"/>
    <s v="Warm"/>
    <s v="Low"/>
    <s v="Off-Peak"/>
    <n v="0.24"/>
    <s v="High"/>
    <n v="1"/>
  </r>
  <r>
    <n v="987"/>
    <x v="43"/>
    <n v="1"/>
    <n v="0"/>
    <n v="2"/>
    <n v="18"/>
    <b v="0"/>
    <n v="0"/>
    <n v="1"/>
    <n v="0.4"/>
    <n v="0.40910000000000002"/>
    <n v="0.32"/>
    <n v="0.29849999999999999"/>
    <n v="17"/>
    <n v="78"/>
    <n v="95"/>
    <s v="REC-0987"/>
    <d v="2011-02-13T18:00:00"/>
    <s v="Feb"/>
    <x v="1"/>
    <x v="0"/>
    <s v="Non-Working Day"/>
    <s v="Spring"/>
    <x v="0"/>
    <s v="Evening"/>
    <s v="Warm"/>
    <s v="Low"/>
    <s v="Off-Peak"/>
    <n v="0.17894736842105263"/>
    <s v="High"/>
    <n v="1"/>
  </r>
  <r>
    <n v="988"/>
    <x v="43"/>
    <n v="1"/>
    <n v="0"/>
    <n v="2"/>
    <n v="19"/>
    <b v="0"/>
    <n v="0"/>
    <n v="1"/>
    <n v="0.4"/>
    <n v="0.40910000000000002"/>
    <n v="0.35"/>
    <n v="0.28360000000000002"/>
    <n v="11"/>
    <n v="50"/>
    <n v="61"/>
    <s v="REC-0988"/>
    <d v="2011-02-13T19:00:00"/>
    <s v="Feb"/>
    <x v="1"/>
    <x v="0"/>
    <s v="Non-Working Day"/>
    <s v="Spring"/>
    <x v="0"/>
    <s v="Evening"/>
    <s v="Warm"/>
    <s v="Low"/>
    <s v="Off-Peak"/>
    <n v="0.18032786885245902"/>
    <s v="Normal"/>
    <n v="1"/>
  </r>
  <r>
    <n v="989"/>
    <x v="43"/>
    <n v="1"/>
    <n v="0"/>
    <n v="2"/>
    <n v="20"/>
    <b v="0"/>
    <n v="0"/>
    <n v="1"/>
    <n v="0.4"/>
    <n v="0.40910000000000002"/>
    <n v="0.35"/>
    <n v="0.32840000000000003"/>
    <n v="15"/>
    <n v="32"/>
    <n v="47"/>
    <s v="REC-0989"/>
    <d v="2011-02-13T20:00:00"/>
    <s v="Feb"/>
    <x v="1"/>
    <x v="0"/>
    <s v="Non-Working Day"/>
    <s v="Spring"/>
    <x v="0"/>
    <s v="Evening"/>
    <s v="Warm"/>
    <s v="Low"/>
    <s v="Off-Peak"/>
    <n v="0.31914893617021278"/>
    <s v="Normal"/>
    <n v="1"/>
  </r>
  <r>
    <n v="990"/>
    <x v="43"/>
    <n v="1"/>
    <n v="0"/>
    <n v="2"/>
    <n v="21"/>
    <b v="0"/>
    <n v="0"/>
    <n v="1"/>
    <n v="0.4"/>
    <n v="0.40910000000000002"/>
    <n v="0.35"/>
    <n v="0.35820000000000002"/>
    <n v="6"/>
    <n v="45"/>
    <n v="51"/>
    <s v="REC-0990"/>
    <d v="2011-02-13T21:00:00"/>
    <s v="Feb"/>
    <x v="1"/>
    <x v="0"/>
    <s v="Non-Working Day"/>
    <s v="Spring"/>
    <x v="0"/>
    <s v="Late Evening"/>
    <s v="Warm"/>
    <s v="Low"/>
    <s v="Off-Peak"/>
    <n v="0.11764705882352941"/>
    <s v="Normal"/>
    <n v="1"/>
  </r>
  <r>
    <n v="991"/>
    <x v="43"/>
    <n v="1"/>
    <n v="0"/>
    <n v="2"/>
    <n v="22"/>
    <b v="0"/>
    <n v="0"/>
    <n v="1"/>
    <n v="0.4"/>
    <n v="0.40910000000000002"/>
    <n v="0.35"/>
    <n v="0.29849999999999999"/>
    <n v="5"/>
    <n v="31"/>
    <n v="36"/>
    <s v="REC-0991"/>
    <d v="2011-02-13T22:00:00"/>
    <s v="Feb"/>
    <x v="1"/>
    <x v="0"/>
    <s v="Non-Working Day"/>
    <s v="Spring"/>
    <x v="0"/>
    <s v="Late Evening"/>
    <s v="Warm"/>
    <s v="Low"/>
    <s v="Off-Peak"/>
    <n v="0.1388888888888889"/>
    <s v="Normal"/>
    <n v="1"/>
  </r>
  <r>
    <n v="992"/>
    <x v="43"/>
    <n v="1"/>
    <n v="0"/>
    <n v="2"/>
    <n v="23"/>
    <b v="0"/>
    <n v="0"/>
    <n v="1"/>
    <n v="0.4"/>
    <n v="0.40910000000000002"/>
    <n v="0.35"/>
    <n v="0.35820000000000002"/>
    <n v="3"/>
    <n v="27"/>
    <n v="30"/>
    <s v="REC-0992"/>
    <d v="2011-02-13T23:00:00"/>
    <s v="Feb"/>
    <x v="1"/>
    <x v="0"/>
    <s v="Non-Working Day"/>
    <s v="Spring"/>
    <x v="0"/>
    <s v="Late Evening"/>
    <s v="Warm"/>
    <s v="Low"/>
    <s v="Off-Peak"/>
    <n v="0.1"/>
    <s v="Normal"/>
    <n v="1"/>
  </r>
  <r>
    <n v="993"/>
    <x v="44"/>
    <n v="1"/>
    <n v="0"/>
    <n v="2"/>
    <n v="0"/>
    <b v="0"/>
    <n v="1"/>
    <n v="1"/>
    <n v="0.38"/>
    <n v="0.39389999999999997"/>
    <n v="0.37"/>
    <n v="0.35820000000000002"/>
    <n v="3"/>
    <n v="8"/>
    <n v="11"/>
    <s v="REC-0993"/>
    <d v="2011-02-14T00:00:00"/>
    <s v="Feb"/>
    <x v="2"/>
    <x v="1"/>
    <s v="Working Day"/>
    <s v="Spring"/>
    <x v="0"/>
    <s v="Night"/>
    <s v="Warm"/>
    <s v="Low"/>
    <s v="Off-Peak"/>
    <n v="0.27272727272727271"/>
    <s v="Low"/>
    <n v="1"/>
  </r>
  <r>
    <n v="994"/>
    <x v="44"/>
    <n v="1"/>
    <n v="0"/>
    <n v="2"/>
    <n v="1"/>
    <b v="0"/>
    <n v="1"/>
    <n v="1"/>
    <n v="0.38"/>
    <n v="0.39389999999999997"/>
    <n v="0.37"/>
    <n v="0.35820000000000002"/>
    <n v="1"/>
    <n v="6"/>
    <n v="7"/>
    <s v="REC-0994"/>
    <d v="2011-02-14T01:00:00"/>
    <s v="Feb"/>
    <x v="2"/>
    <x v="1"/>
    <s v="Working Day"/>
    <s v="Spring"/>
    <x v="0"/>
    <s v="Night"/>
    <s v="Warm"/>
    <s v="Low"/>
    <s v="Off-Peak"/>
    <n v="0.14285714285714285"/>
    <s v="Low"/>
    <n v="1"/>
  </r>
  <r>
    <n v="995"/>
    <x v="44"/>
    <n v="1"/>
    <n v="0"/>
    <n v="2"/>
    <n v="2"/>
    <b v="0"/>
    <n v="1"/>
    <n v="1"/>
    <n v="0.36"/>
    <n v="0.33329999999999999"/>
    <n v="0.4"/>
    <n v="0.29849999999999999"/>
    <n v="0"/>
    <n v="2"/>
    <n v="2"/>
    <s v="REC-0995"/>
    <d v="2011-02-14T02:00:00"/>
    <s v="Feb"/>
    <x v="2"/>
    <x v="1"/>
    <s v="Working Day"/>
    <s v="Spring"/>
    <x v="0"/>
    <s v="Night"/>
    <s v="Warm"/>
    <s v="Low"/>
    <s v="Off-Peak"/>
    <n v="0"/>
    <s v="Low"/>
    <n v="1"/>
  </r>
  <r>
    <n v="996"/>
    <x v="44"/>
    <n v="1"/>
    <n v="0"/>
    <n v="2"/>
    <n v="3"/>
    <b v="0"/>
    <n v="1"/>
    <n v="1"/>
    <n v="0.34"/>
    <n v="0.31819999999999998"/>
    <n v="0.46"/>
    <n v="0.22389999999999999"/>
    <n v="1"/>
    <n v="1"/>
    <n v="2"/>
    <s v="REC-0996"/>
    <d v="2011-02-14T03:00:00"/>
    <s v="Feb"/>
    <x v="2"/>
    <x v="1"/>
    <s v="Working Day"/>
    <s v="Spring"/>
    <x v="0"/>
    <s v="Night"/>
    <s v="Warm"/>
    <s v="Low"/>
    <s v="Off-Peak"/>
    <n v="0.5"/>
    <s v="Low"/>
    <n v="1"/>
  </r>
  <r>
    <n v="997"/>
    <x v="44"/>
    <n v="1"/>
    <n v="0"/>
    <n v="2"/>
    <n v="4"/>
    <b v="0"/>
    <n v="1"/>
    <n v="1"/>
    <n v="0.32"/>
    <n v="0.30299999999999999"/>
    <n v="0.53"/>
    <n v="0.28360000000000002"/>
    <n v="0"/>
    <n v="2"/>
    <n v="2"/>
    <s v="REC-0997"/>
    <d v="2011-02-14T04:00:00"/>
    <s v="Feb"/>
    <x v="2"/>
    <x v="1"/>
    <s v="Working Day"/>
    <s v="Spring"/>
    <x v="0"/>
    <s v="Night"/>
    <s v="Warm"/>
    <s v="Medium"/>
    <s v="Off-Peak"/>
    <n v="0"/>
    <s v="Low"/>
    <n v="1"/>
  </r>
  <r>
    <n v="998"/>
    <x v="44"/>
    <n v="1"/>
    <n v="0"/>
    <n v="2"/>
    <n v="5"/>
    <b v="0"/>
    <n v="1"/>
    <n v="1"/>
    <n v="0.32"/>
    <n v="0.30299999999999999"/>
    <n v="0.53"/>
    <n v="0.28360000000000002"/>
    <n v="0"/>
    <n v="3"/>
    <n v="3"/>
    <s v="REC-0998"/>
    <d v="2011-02-14T05:00:00"/>
    <s v="Feb"/>
    <x v="2"/>
    <x v="1"/>
    <s v="Working Day"/>
    <s v="Spring"/>
    <x v="0"/>
    <s v="Night"/>
    <s v="Warm"/>
    <s v="Medium"/>
    <s v="Off-Peak"/>
    <n v="0"/>
    <s v="Low"/>
    <n v="1"/>
  </r>
  <r>
    <n v="999"/>
    <x v="44"/>
    <n v="1"/>
    <n v="0"/>
    <n v="2"/>
    <n v="6"/>
    <b v="0"/>
    <n v="1"/>
    <n v="1"/>
    <n v="0.34"/>
    <n v="0.30299999999999999"/>
    <n v="0.46"/>
    <n v="0.29849999999999999"/>
    <n v="1"/>
    <n v="25"/>
    <n v="26"/>
    <s v="REC-0999"/>
    <d v="2011-02-14T06:00:00"/>
    <s v="Feb"/>
    <x v="2"/>
    <x v="1"/>
    <s v="Working Day"/>
    <s v="Spring"/>
    <x v="0"/>
    <s v="Morning"/>
    <s v="Warm"/>
    <s v="Low"/>
    <s v="Off-Peak"/>
    <n v="3.8461538461538464E-2"/>
    <s v="Normal"/>
    <n v="1"/>
  </r>
  <r>
    <n v="1000"/>
    <x v="44"/>
    <n v="1"/>
    <n v="0"/>
    <n v="2"/>
    <n v="7"/>
    <b v="0"/>
    <n v="1"/>
    <n v="1"/>
    <n v="0.34"/>
    <n v="0.30299999999999999"/>
    <n v="0.46"/>
    <n v="0.29849999999999999"/>
    <n v="2"/>
    <n v="96"/>
    <n v="98"/>
    <s v="REC-1000"/>
    <d v="2011-02-14T07:00:00"/>
    <s v="Feb"/>
    <x v="2"/>
    <x v="1"/>
    <s v="Working Day"/>
    <s v="Spring"/>
    <x v="0"/>
    <s v="Morning"/>
    <s v="Warm"/>
    <s v="Low"/>
    <s v="Peak"/>
    <n v="2.0408163265306121E-2"/>
    <s v="High"/>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70C23E-C02C-7846-97E3-C0147E1D8860}" name="PivotTable1" cacheId="2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9:E17" firstHeaderRow="0" firstDataRow="1" firstDataCol="1"/>
  <pivotFields count="32">
    <pivotField showAll="0"/>
    <pivotField numFmtId="16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numFmtId="2" showAll="0"/>
    <pivotField showAll="0"/>
    <pivotField showAll="0"/>
    <pivotField showAll="0"/>
    <pivotField dataField="1" showAll="0"/>
    <pivotField dataField="1" showAll="0"/>
    <pivotField dataField="1" showAll="0"/>
    <pivotField showAll="0"/>
    <pivotField numFmtId="165" showAll="0"/>
    <pivotField showAll="0"/>
    <pivotField axis="axisRow" showAll="0">
      <items count="8">
        <item x="1"/>
        <item x="2"/>
        <item x="3"/>
        <item x="4"/>
        <item x="5"/>
        <item x="6"/>
        <item x="0"/>
        <item t="default"/>
      </items>
    </pivotField>
    <pivotField showAll="0">
      <items count="3">
        <item x="1"/>
        <item x="0"/>
        <item t="default"/>
      </items>
    </pivotField>
    <pivotField showAll="0"/>
    <pivotField showAll="0"/>
    <pivotField showAll="0">
      <items count="5">
        <item x="0"/>
        <item x="1"/>
        <item x="3"/>
        <item x="2"/>
        <item t="default"/>
      </items>
    </pivotField>
    <pivotField showAll="0"/>
    <pivotField showAll="0"/>
    <pivotField showAll="0"/>
    <pivotField showAll="0"/>
    <pivotField numFmtId="166" showAll="0"/>
    <pivotField showAll="0"/>
    <pivotField showAll="0"/>
    <pivotField dataField="1" dragToRow="0" dragToCol="0" dragToPage="0" showAll="0" defaultSubtotal="0"/>
  </pivotFields>
  <rowFields count="1">
    <field x="19"/>
  </rowFields>
  <rowItems count="8">
    <i>
      <x/>
    </i>
    <i>
      <x v="1"/>
    </i>
    <i>
      <x v="2"/>
    </i>
    <i>
      <x v="3"/>
    </i>
    <i>
      <x v="4"/>
    </i>
    <i>
      <x v="5"/>
    </i>
    <i>
      <x v="6"/>
    </i>
    <i t="grand">
      <x/>
    </i>
  </rowItems>
  <colFields count="1">
    <field x="-2"/>
  </colFields>
  <colItems count="4">
    <i>
      <x/>
    </i>
    <i i="1">
      <x v="1"/>
    </i>
    <i i="2">
      <x v="2"/>
    </i>
    <i i="3">
      <x v="3"/>
    </i>
  </colItems>
  <dataFields count="4">
    <dataField name="Sum of cnt" fld="15" baseField="0" baseItem="0"/>
    <dataField name="Sum of registered" fld="14" baseField="0" baseItem="0"/>
    <dataField name="Sum of casual" fld="13" baseField="0" baseItem="0"/>
    <dataField name="Sum of Casual Share" fld="31"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Type" xr10:uid="{189BED23-FF74-FB44-BA03-F9E52842ADB4}" sourceName="Day_Type">
  <pivotTables>
    <pivotTable tabId="16" name="PivotTable1"/>
  </pivotTables>
  <data>
    <tabular pivotCacheId="205594023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 xr10:uid="{928AEF5E-71EC-7042-8CE8-3C6A4810C904}" sourceName="Weather">
  <pivotTables>
    <pivotTable tabId="16" name="PivotTable1"/>
  </pivotTables>
  <data>
    <tabular pivotCacheId="2055940237">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_Type" xr10:uid="{B70BE4E0-42E3-654A-8D9E-80549E3C0410}" cache="Slicer_Day_Type" caption="Day_Type" rowHeight="230716"/>
  <slicer name="Weather" xr10:uid="{0816C3C8-6BDA-AD48-A714-CE80E091B858}" cache="Slicer_Weather" caption="Weather"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Final" displayName="tblFinal" ref="A1:AE1001">
  <autoFilter ref="A1:AE1001" xr:uid="{00000000-0009-0000-0100-000001000000}"/>
  <tableColumns count="31">
    <tableColumn id="1" xr3:uid="{00000000-0010-0000-0000-000001000000}" name="instant"/>
    <tableColumn id="2" xr3:uid="{00000000-0010-0000-0000-000002000000}" name="dteday"/>
    <tableColumn id="3" xr3:uid="{00000000-0010-0000-0000-000003000000}" name="season"/>
    <tableColumn id="4" xr3:uid="{00000000-0010-0000-0000-000004000000}" name="yr"/>
    <tableColumn id="5" xr3:uid="{00000000-0010-0000-0000-000005000000}" name="mnth"/>
    <tableColumn id="6" xr3:uid="{00000000-0010-0000-0000-000006000000}" name="hr"/>
    <tableColumn id="7" xr3:uid="{00000000-0010-0000-0000-000007000000}" name="holiday"/>
    <tableColumn id="8" xr3:uid="{00000000-0010-0000-0000-000008000000}" name="weekday"/>
    <tableColumn id="9" xr3:uid="{00000000-0010-0000-0000-000009000000}" name="weathersit"/>
    <tableColumn id="10" xr3:uid="{00000000-0010-0000-0000-00000A000000}" name="temp"/>
    <tableColumn id="11" xr3:uid="{00000000-0010-0000-0000-00000B000000}" name="atemp"/>
    <tableColumn id="12" xr3:uid="{00000000-0010-0000-0000-00000C000000}" name="hum"/>
    <tableColumn id="13" xr3:uid="{00000000-0010-0000-0000-00000D000000}" name="windspeed"/>
    <tableColumn id="14" xr3:uid="{00000000-0010-0000-0000-00000E000000}" name="casual"/>
    <tableColumn id="15" xr3:uid="{00000000-0010-0000-0000-00000F000000}" name="registered"/>
    <tableColumn id="16" xr3:uid="{00000000-0010-0000-0000-000010000000}" name="cnt"/>
    <tableColumn id="17" xr3:uid="{00000000-0010-0000-0000-000011000000}" name="Record_ID"/>
    <tableColumn id="18" xr3:uid="{00000000-0010-0000-0000-000012000000}" name="DateTime"/>
    <tableColumn id="19" xr3:uid="{00000000-0010-0000-0000-000013000000}" name="Month"/>
    <tableColumn id="20" xr3:uid="{00000000-0010-0000-0000-000014000000}" name="Day_Name"/>
    <tableColumn id="21" xr3:uid="{00000000-0010-0000-0000-000015000000}" name="Day_Type"/>
    <tableColumn id="22" xr3:uid="{00000000-0010-0000-0000-000016000000}" name="Working_Day"/>
    <tableColumn id="23" xr3:uid="{00000000-0010-0000-0000-000017000000}" name="Season_Name"/>
    <tableColumn id="24" xr3:uid="{00000000-0010-0000-0000-000018000000}" name="Weather"/>
    <tableColumn id="25" xr3:uid="{00000000-0010-0000-0000-000019000000}" name="Time_Band"/>
    <tableColumn id="26" xr3:uid="{00000000-0010-0000-0000-00001A000000}" name="Temp_Band"/>
    <tableColumn id="27" xr3:uid="{00000000-0010-0000-0000-00001B000000}" name="Humidity_Band"/>
    <tableColumn id="28" xr3:uid="{00000000-0010-0000-0000-00001C000000}" name="Peak_Hour"/>
    <tableColumn id="29" xr3:uid="{00000000-0010-0000-0000-00001D000000}" name="Casual_Share"/>
    <tableColumn id="30" xr3:uid="{00000000-0010-0000-0000-00001E000000}" name="Demand_Level"/>
    <tableColumn id="31" xr3:uid="{00000000-0010-0000-0000-00001F000000}" name="Visible"/>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teday" xr10:uid="{58853E5C-ECC8-BF4D-A4C9-ADA2C2AD0018}" sourceName="dteday">
  <pivotTables>
    <pivotTable tabId="16" name="PivotTable1"/>
  </pivotTables>
  <state minimalRefreshVersion="6" lastRefreshVersion="6" pivotCacheId="2055940237" filterType="unknown">
    <bounds startDate="2011-01-01T00:00:00" endDate="201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teday" xr10:uid="{77DAEF1E-1796-4F48-9DF0-725903FC2708}" cache="NativeTimeline_dteday" caption="dteday" level="3" selectionLevel="2" scrollPosition="2011-09-04T00:00:00"/>
  <timeline name="dteday 1" xr10:uid="{3FD2F3B3-F41C-844A-BBDB-97A36E89FC4A}" cache="NativeTimeline_dteday" caption="dteday" level="3" selectionLevel="2" scrollPosition="2011-09-04T00:00:00"/>
</timeline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table" Target="../tables/table1.xml"/><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A5F"/>
  </sheetPr>
  <dimension ref="A1:C31"/>
  <sheetViews>
    <sheetView showGridLines="0" workbookViewId="0">
      <selection activeCell="E17" sqref="E17"/>
    </sheetView>
  </sheetViews>
  <sheetFormatPr baseColWidth="10" defaultColWidth="8.83203125" defaultRowHeight="15" x14ac:dyDescent="0.2"/>
  <cols>
    <col min="1" max="1" width="13" customWidth="1"/>
    <col min="2" max="2" width="24" customWidth="1"/>
    <col min="3" max="3" width="90" customWidth="1"/>
  </cols>
  <sheetData>
    <row r="1" spans="1:3" x14ac:dyDescent="0.2">
      <c r="A1" s="1"/>
      <c r="B1" s="1"/>
      <c r="C1" s="1"/>
    </row>
    <row r="2" spans="1:3" ht="28" x14ac:dyDescent="0.3">
      <c r="A2" s="1"/>
      <c r="B2" s="2" t="s">
        <v>0</v>
      </c>
      <c r="C2" s="1"/>
    </row>
    <row r="3" spans="1:3" x14ac:dyDescent="0.2">
      <c r="A3" s="1"/>
      <c r="B3" s="3" t="s">
        <v>391</v>
      </c>
      <c r="C3" s="1"/>
    </row>
    <row r="4" spans="1:3" x14ac:dyDescent="0.2">
      <c r="A4" s="1"/>
      <c r="B4" s="4"/>
      <c r="C4" s="1"/>
    </row>
    <row r="5" spans="1:3" x14ac:dyDescent="0.2">
      <c r="A5" s="1"/>
      <c r="B5" s="1"/>
      <c r="C5" s="1"/>
    </row>
    <row r="7" spans="1:3" ht="34" customHeight="1" x14ac:dyDescent="0.2">
      <c r="B7" s="5" t="s">
        <v>1</v>
      </c>
      <c r="C7" s="6" t="s">
        <v>2</v>
      </c>
    </row>
    <row r="8" spans="1:3" ht="34" customHeight="1" x14ac:dyDescent="0.2">
      <c r="B8" s="5" t="s">
        <v>3</v>
      </c>
      <c r="C8" s="6" t="s">
        <v>4</v>
      </c>
    </row>
    <row r="9" spans="1:3" ht="34" customHeight="1" x14ac:dyDescent="0.2">
      <c r="B9" s="5" t="s">
        <v>5</v>
      </c>
      <c r="C9" s="6" t="s">
        <v>6</v>
      </c>
    </row>
    <row r="11" spans="1:3" ht="16" x14ac:dyDescent="0.2">
      <c r="B11" s="5" t="s">
        <v>7</v>
      </c>
    </row>
    <row r="12" spans="1:3" ht="32" x14ac:dyDescent="0.2">
      <c r="B12" s="7" t="s">
        <v>8</v>
      </c>
      <c r="C12" s="8" t="s">
        <v>9</v>
      </c>
    </row>
    <row r="13" spans="1:3" ht="16" x14ac:dyDescent="0.2">
      <c r="B13" s="7" t="s">
        <v>10</v>
      </c>
      <c r="C13" s="8" t="s">
        <v>11</v>
      </c>
    </row>
    <row r="14" spans="1:3" ht="32" x14ac:dyDescent="0.2">
      <c r="B14" s="7" t="s">
        <v>12</v>
      </c>
      <c r="C14" s="8" t="s">
        <v>13</v>
      </c>
    </row>
    <row r="15" spans="1:3" ht="16" x14ac:dyDescent="0.2">
      <c r="B15" s="7" t="s">
        <v>14</v>
      </c>
      <c r="C15" s="8" t="s">
        <v>15</v>
      </c>
    </row>
    <row r="16" spans="1:3" ht="16" x14ac:dyDescent="0.2">
      <c r="B16" s="7" t="s">
        <v>16</v>
      </c>
      <c r="C16" s="8" t="s">
        <v>17</v>
      </c>
    </row>
    <row r="17" spans="2:3" ht="16" x14ac:dyDescent="0.2">
      <c r="B17" s="7" t="s">
        <v>18</v>
      </c>
      <c r="C17" s="8" t="s">
        <v>19</v>
      </c>
    </row>
    <row r="18" spans="2:3" ht="16" x14ac:dyDescent="0.2">
      <c r="B18" s="7" t="s">
        <v>20</v>
      </c>
      <c r="C18" s="8" t="s">
        <v>21</v>
      </c>
    </row>
    <row r="19" spans="2:3" ht="16" x14ac:dyDescent="0.2">
      <c r="B19" s="7" t="s">
        <v>22</v>
      </c>
      <c r="C19" s="8" t="s">
        <v>23</v>
      </c>
    </row>
    <row r="20" spans="2:3" ht="16" x14ac:dyDescent="0.2">
      <c r="B20" s="7" t="s">
        <v>24</v>
      </c>
      <c r="C20" s="8" t="s">
        <v>25</v>
      </c>
    </row>
    <row r="21" spans="2:3" ht="16" x14ac:dyDescent="0.2">
      <c r="B21" s="7" t="s">
        <v>26</v>
      </c>
      <c r="C21" s="8" t="s">
        <v>27</v>
      </c>
    </row>
    <row r="22" spans="2:3" ht="16" x14ac:dyDescent="0.2">
      <c r="B22" s="7" t="s">
        <v>28</v>
      </c>
      <c r="C22" s="8" t="s">
        <v>29</v>
      </c>
    </row>
    <row r="23" spans="2:3" ht="16" x14ac:dyDescent="0.2">
      <c r="B23" s="7" t="s">
        <v>30</v>
      </c>
      <c r="C23" s="8" t="s">
        <v>31</v>
      </c>
    </row>
    <row r="24" spans="2:3" ht="16" x14ac:dyDescent="0.2">
      <c r="B24" s="7" t="s">
        <v>32</v>
      </c>
      <c r="C24" s="8" t="s">
        <v>33</v>
      </c>
    </row>
    <row r="25" spans="2:3" ht="16" x14ac:dyDescent="0.2">
      <c r="B25" s="7" t="s">
        <v>34</v>
      </c>
      <c r="C25" s="8" t="s">
        <v>35</v>
      </c>
    </row>
    <row r="27" spans="2:3" ht="16" x14ac:dyDescent="0.2">
      <c r="B27" s="5" t="s">
        <v>36</v>
      </c>
    </row>
    <row r="28" spans="2:3" ht="16" x14ac:dyDescent="0.2">
      <c r="C28" s="6" t="s">
        <v>37</v>
      </c>
    </row>
    <row r="29" spans="2:3" ht="16" x14ac:dyDescent="0.2">
      <c r="C29" s="6" t="s">
        <v>38</v>
      </c>
    </row>
    <row r="30" spans="2:3" ht="16" x14ac:dyDescent="0.2">
      <c r="C30" s="6" t="s">
        <v>39</v>
      </c>
    </row>
    <row r="31" spans="2:3" ht="32" x14ac:dyDescent="0.2">
      <c r="C31" s="6" t="s">
        <v>40</v>
      </c>
    </row>
  </sheetData>
  <hyperlinks>
    <hyperlink ref="B12" location="'Dashboard'!A1" display="Dashboard" xr:uid="{00000000-0004-0000-0000-000000000000}"/>
    <hyperlink ref="B13" location="'Insights'!A1" display="Insights" xr:uid="{00000000-0004-0000-0000-000001000000}"/>
    <hyperlink ref="B14" location="'Analysis'!A1" display="Analysis" xr:uid="{00000000-0004-0000-0000-000002000000}"/>
    <hyperlink ref="B15" location="'Stats'!A1" display="Stats" xr:uid="{00000000-0004-0000-0000-000003000000}"/>
    <hyperlink ref="B16" location="'Anomalies'!A1" display="Anomalies" xr:uid="{00000000-0004-0000-0000-000004000000}"/>
    <hyperlink ref="B17" location="'Forecast'!A1" display="Forecast" xr:uid="{00000000-0004-0000-0000-000005000000}"/>
    <hyperlink ref="B18" location="'Final_Dataset'!A1" display="Final_Dataset" xr:uid="{00000000-0004-0000-0000-000006000000}"/>
    <hyperlink ref="B19" location="'Dataset_A'!A1" display="Dataset_A" xr:uid="{00000000-0004-0000-0000-000007000000}"/>
    <hyperlink ref="B20" location="'Dataset_1'!A1" display="Dataset_1" xr:uid="{00000000-0004-0000-0000-000008000000}"/>
    <hyperlink ref="B21" location="'Dataset_2'!A1" display="Dataset_2" xr:uid="{00000000-0004-0000-0000-000009000000}"/>
    <hyperlink ref="B22" location="'Dataset_3'!A1" display="Dataset_3" xr:uid="{00000000-0004-0000-0000-00000A000000}"/>
    <hyperlink ref="B23" location="'Data_Quality'!A1" display="Data_Quality" xr:uid="{00000000-0004-0000-0000-00000B000000}"/>
    <hyperlink ref="B24" location="'Lookups'!A1" display="Lookups" xr:uid="{00000000-0004-0000-0000-00000C000000}"/>
    <hyperlink ref="B25" location="'Dashboard_Calc'!A1" display="Dashboard_Calc" xr:uid="{00000000-0004-0000-0000-00000D000000}"/>
  </hyperlinks>
  <pageMargins left="0.75" right="0.75" top="1" bottom="1" header="0.5" footer="0.5"/>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76F51"/>
    <pageSetUpPr fitToPage="1"/>
  </sheetPr>
  <dimension ref="A1:AO47"/>
  <sheetViews>
    <sheetView showGridLines="0" tabSelected="1" zoomScale="120" zoomScaleNormal="120" workbookViewId="0">
      <selection activeCell="AR37" sqref="AR36:AR37"/>
    </sheetView>
  </sheetViews>
  <sheetFormatPr baseColWidth="10" defaultColWidth="8.83203125" defaultRowHeight="15" x14ac:dyDescent="0.2"/>
  <cols>
    <col min="1" max="1" width="1.5" customWidth="1"/>
    <col min="2" max="41" width="5" customWidth="1"/>
  </cols>
  <sheetData>
    <row r="1" spans="1:41" ht="6" customHeight="1" x14ac:dyDescent="0.2">
      <c r="A1" s="9"/>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row>
    <row r="2" spans="1:41" ht="30" customHeight="1" x14ac:dyDescent="0.2">
      <c r="A2" s="9"/>
      <c r="B2" s="1"/>
      <c r="C2" s="122" t="s">
        <v>41</v>
      </c>
      <c r="D2" s="104"/>
      <c r="E2" s="104"/>
      <c r="F2" s="104"/>
      <c r="G2" s="104"/>
      <c r="H2" s="104"/>
      <c r="I2" s="104"/>
      <c r="J2" s="104"/>
      <c r="K2" s="104"/>
      <c r="L2" s="104"/>
      <c r="M2" s="104"/>
      <c r="N2" s="104"/>
      <c r="O2" s="104"/>
      <c r="P2" s="104"/>
      <c r="Q2" s="104"/>
      <c r="R2" s="104"/>
      <c r="S2" s="104"/>
      <c r="T2" s="104"/>
      <c r="U2" s="104"/>
      <c r="V2" s="104"/>
      <c r="W2" s="104"/>
      <c r="X2" s="104"/>
      <c r="Y2" s="104"/>
      <c r="Z2" s="104"/>
      <c r="AA2" s="104"/>
      <c r="AB2" s="104"/>
      <c r="AC2" s="104"/>
      <c r="AD2" s="104"/>
      <c r="AE2" s="104"/>
      <c r="AF2" s="104"/>
      <c r="AG2" s="104"/>
      <c r="AH2" s="104"/>
      <c r="AI2" s="104"/>
      <c r="AJ2" s="104"/>
      <c r="AK2" s="104"/>
      <c r="AL2" s="104"/>
      <c r="AM2" s="104"/>
      <c r="AN2" s="104"/>
      <c r="AO2" s="9"/>
    </row>
    <row r="3" spans="1:41" ht="16" customHeight="1" x14ac:dyDescent="0.2">
      <c r="A3" s="9"/>
      <c r="B3" s="1"/>
      <c r="C3" s="103" t="s">
        <v>42</v>
      </c>
      <c r="D3" s="104"/>
      <c r="E3" s="104"/>
      <c r="F3" s="104"/>
      <c r="G3" s="104"/>
      <c r="H3" s="104"/>
      <c r="I3" s="104"/>
      <c r="J3" s="104"/>
      <c r="K3" s="104"/>
      <c r="L3" s="104"/>
      <c r="M3" s="104"/>
      <c r="N3" s="104"/>
      <c r="O3" s="104"/>
      <c r="P3" s="104"/>
      <c r="Q3" s="104"/>
      <c r="R3" s="104"/>
      <c r="S3" s="104"/>
      <c r="T3" s="104"/>
      <c r="U3" s="104"/>
      <c r="V3" s="104"/>
      <c r="W3" s="104"/>
      <c r="X3" s="104"/>
      <c r="Y3" s="104"/>
      <c r="Z3" s="104"/>
      <c r="AA3" s="104"/>
      <c r="AB3" s="104"/>
      <c r="AC3" s="104"/>
      <c r="AD3" s="104"/>
      <c r="AE3" s="104"/>
      <c r="AF3" s="104"/>
      <c r="AG3" s="104"/>
      <c r="AH3" s="104"/>
      <c r="AI3" s="104"/>
      <c r="AJ3" s="104"/>
      <c r="AK3" s="104"/>
      <c r="AL3" s="104"/>
      <c r="AM3" s="104"/>
      <c r="AN3" s="104"/>
      <c r="AO3" s="9"/>
    </row>
    <row r="4" spans="1:41" ht="6" customHeight="1" x14ac:dyDescent="0.2">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row>
    <row r="5" spans="1:41" ht="12" customHeight="1" x14ac:dyDescent="0.2">
      <c r="A5" s="9"/>
      <c r="B5" s="10" t="s">
        <v>43</v>
      </c>
      <c r="C5" s="9"/>
      <c r="D5" s="9"/>
      <c r="E5" s="9"/>
      <c r="F5" s="9"/>
      <c r="G5" s="9"/>
      <c r="H5" s="10" t="s">
        <v>44</v>
      </c>
      <c r="I5" s="9"/>
      <c r="J5" s="9"/>
      <c r="K5" s="9"/>
      <c r="L5" s="9"/>
      <c r="M5" s="9"/>
      <c r="N5" s="10" t="s">
        <v>45</v>
      </c>
      <c r="O5" s="9"/>
      <c r="P5" s="9"/>
      <c r="Q5" s="9"/>
      <c r="R5" s="9"/>
      <c r="S5" s="9"/>
      <c r="T5" s="10" t="s">
        <v>46</v>
      </c>
      <c r="U5" s="9"/>
      <c r="V5" s="9"/>
      <c r="W5" s="9"/>
      <c r="X5" s="9"/>
      <c r="Y5" s="9"/>
      <c r="Z5" s="10" t="s">
        <v>47</v>
      </c>
      <c r="AA5" s="9"/>
      <c r="AB5" s="9"/>
      <c r="AC5" s="9"/>
      <c r="AD5" s="9"/>
      <c r="AE5" s="9"/>
      <c r="AF5" s="10" t="s">
        <v>48</v>
      </c>
      <c r="AG5" s="9"/>
      <c r="AH5" s="9"/>
      <c r="AI5" s="9"/>
      <c r="AJ5" s="9"/>
      <c r="AK5" s="9"/>
      <c r="AL5" s="124" t="s">
        <v>49</v>
      </c>
      <c r="AM5" s="104"/>
      <c r="AN5" s="104"/>
      <c r="AO5" s="9"/>
    </row>
    <row r="6" spans="1:41" ht="20" customHeight="1" x14ac:dyDescent="0.2">
      <c r="A6" s="9"/>
      <c r="B6" s="109" t="s">
        <v>50</v>
      </c>
      <c r="C6" s="110"/>
      <c r="D6" s="110"/>
      <c r="E6" s="110"/>
      <c r="F6" s="111"/>
      <c r="G6" s="9"/>
      <c r="H6" s="109" t="s">
        <v>50</v>
      </c>
      <c r="I6" s="110"/>
      <c r="J6" s="110"/>
      <c r="K6" s="110"/>
      <c r="L6" s="111"/>
      <c r="M6" s="9"/>
      <c r="N6" s="109" t="s">
        <v>50</v>
      </c>
      <c r="O6" s="110"/>
      <c r="P6" s="110"/>
      <c r="Q6" s="110"/>
      <c r="R6" s="111"/>
      <c r="S6" s="9"/>
      <c r="T6" s="109" t="s">
        <v>50</v>
      </c>
      <c r="U6" s="110"/>
      <c r="V6" s="110"/>
      <c r="W6" s="110"/>
      <c r="X6" s="111"/>
      <c r="Y6" s="9"/>
      <c r="Z6" s="114">
        <v>40544</v>
      </c>
      <c r="AA6" s="110"/>
      <c r="AB6" s="110"/>
      <c r="AC6" s="110"/>
      <c r="AD6" s="111"/>
      <c r="AE6" s="9"/>
      <c r="AF6" s="114">
        <v>40588</v>
      </c>
      <c r="AG6" s="110"/>
      <c r="AH6" s="110"/>
      <c r="AI6" s="110"/>
      <c r="AJ6" s="111"/>
      <c r="AK6" s="9"/>
      <c r="AL6" s="104"/>
      <c r="AM6" s="104"/>
      <c r="AN6" s="104"/>
      <c r="AO6" s="9"/>
    </row>
    <row r="7" spans="1:41" ht="8" customHeight="1" x14ac:dyDescent="0.2">
      <c r="A7" s="9"/>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row>
    <row r="8" spans="1:41" ht="13" customHeight="1" x14ac:dyDescent="0.2">
      <c r="A8" s="9"/>
      <c r="B8" s="11"/>
      <c r="C8" s="108" t="s">
        <v>51</v>
      </c>
      <c r="D8" s="104"/>
      <c r="E8" s="104"/>
      <c r="F8" s="9"/>
      <c r="G8" s="12"/>
      <c r="H8" s="108" t="s">
        <v>52</v>
      </c>
      <c r="I8" s="104"/>
      <c r="J8" s="104"/>
      <c r="K8" s="9"/>
      <c r="L8" s="13"/>
      <c r="M8" s="108" t="s">
        <v>53</v>
      </c>
      <c r="N8" s="104"/>
      <c r="O8" s="104"/>
      <c r="P8" s="9"/>
      <c r="Q8" s="14"/>
      <c r="R8" s="108" t="s">
        <v>54</v>
      </c>
      <c r="S8" s="104"/>
      <c r="T8" s="104"/>
      <c r="U8" s="9"/>
      <c r="V8" s="11"/>
      <c r="W8" s="108" t="s">
        <v>55</v>
      </c>
      <c r="X8" s="104"/>
      <c r="Y8" s="104"/>
      <c r="Z8" s="9"/>
      <c r="AA8" s="12"/>
      <c r="AB8" s="108" t="s">
        <v>56</v>
      </c>
      <c r="AC8" s="104"/>
      <c r="AD8" s="104"/>
      <c r="AE8" s="9"/>
      <c r="AF8" s="13"/>
      <c r="AG8" s="108" t="s">
        <v>57</v>
      </c>
      <c r="AH8" s="104"/>
      <c r="AI8" s="104"/>
      <c r="AJ8" s="9"/>
      <c r="AK8" s="14"/>
      <c r="AL8" s="108" t="s">
        <v>58</v>
      </c>
      <c r="AM8" s="104"/>
      <c r="AN8" s="104"/>
      <c r="AO8" s="9"/>
    </row>
    <row r="9" spans="1:41" ht="15" customHeight="1" x14ac:dyDescent="0.2">
      <c r="A9" s="9"/>
      <c r="B9" s="11"/>
      <c r="C9" s="126">
        <f>Dashboard_Calc!B13</f>
        <v>58304</v>
      </c>
      <c r="D9" s="104"/>
      <c r="E9" s="104"/>
      <c r="F9" s="9"/>
      <c r="G9" s="12"/>
      <c r="H9" s="112">
        <f>Dashboard_Calc!B14</f>
        <v>53383</v>
      </c>
      <c r="I9" s="104"/>
      <c r="J9" s="104"/>
      <c r="K9" s="9"/>
      <c r="L9" s="13"/>
      <c r="M9" s="105">
        <f>Dashboard_Calc!B15</f>
        <v>4921</v>
      </c>
      <c r="N9" s="104"/>
      <c r="O9" s="104"/>
      <c r="P9" s="9"/>
      <c r="Q9" s="14"/>
      <c r="R9" s="116">
        <f>Dashboard_Calc!B17</f>
        <v>58.304000000000002</v>
      </c>
      <c r="S9" s="104"/>
      <c r="T9" s="104"/>
      <c r="U9" s="9"/>
      <c r="V9" s="11"/>
      <c r="W9" s="125" t="str">
        <f>Dashboard_Calc!B20</f>
        <v>5 PM</v>
      </c>
      <c r="X9" s="104"/>
      <c r="Y9" s="104"/>
      <c r="Z9" s="9"/>
      <c r="AA9" s="12"/>
      <c r="AB9" s="115" t="str">
        <f>Dashboard_Calc!B22</f>
        <v>Thu</v>
      </c>
      <c r="AC9" s="104"/>
      <c r="AD9" s="104"/>
      <c r="AE9" s="9"/>
      <c r="AF9" s="13"/>
      <c r="AG9" s="113">
        <f>Dashboard_Calc!B25</f>
        <v>-0.46162623131290359</v>
      </c>
      <c r="AH9" s="104"/>
      <c r="AI9" s="104"/>
      <c r="AJ9" s="9"/>
      <c r="AK9" s="14"/>
      <c r="AL9" s="119">
        <f>Dashboard_Calc!B26</f>
        <v>7</v>
      </c>
      <c r="AM9" s="104"/>
      <c r="AN9" s="104"/>
      <c r="AO9" s="9"/>
    </row>
    <row r="10" spans="1:41" ht="15" customHeight="1" x14ac:dyDescent="0.2">
      <c r="A10" s="9"/>
      <c r="B10" s="11"/>
      <c r="C10" s="104"/>
      <c r="D10" s="104"/>
      <c r="E10" s="104"/>
      <c r="F10" s="9"/>
      <c r="G10" s="12"/>
      <c r="H10" s="104"/>
      <c r="I10" s="104"/>
      <c r="J10" s="104"/>
      <c r="K10" s="9"/>
      <c r="L10" s="13"/>
      <c r="M10" s="104"/>
      <c r="N10" s="104"/>
      <c r="O10" s="104"/>
      <c r="P10" s="9"/>
      <c r="Q10" s="14"/>
      <c r="R10" s="104"/>
      <c r="S10" s="104"/>
      <c r="T10" s="104"/>
      <c r="U10" s="9"/>
      <c r="V10" s="11"/>
      <c r="W10" s="104"/>
      <c r="X10" s="104"/>
      <c r="Y10" s="104"/>
      <c r="Z10" s="9"/>
      <c r="AA10" s="12"/>
      <c r="AB10" s="104"/>
      <c r="AC10" s="104"/>
      <c r="AD10" s="104"/>
      <c r="AE10" s="9"/>
      <c r="AF10" s="13"/>
      <c r="AG10" s="104"/>
      <c r="AH10" s="104"/>
      <c r="AI10" s="104"/>
      <c r="AJ10" s="9"/>
      <c r="AK10" s="14"/>
      <c r="AL10" s="104"/>
      <c r="AM10" s="104"/>
      <c r="AN10" s="104"/>
      <c r="AO10" s="9"/>
    </row>
    <row r="11" spans="1:41" ht="13" customHeight="1" x14ac:dyDescent="0.2">
      <c r="A11" s="9"/>
      <c r="B11" s="117" t="str">
        <f>TEXT(Dashboard_Calc!B16,"#,##0")&amp;" hours in view"</f>
        <v>1,000 hours in view</v>
      </c>
      <c r="C11" s="104"/>
      <c r="D11" s="104"/>
      <c r="E11" s="104"/>
      <c r="F11" s="9"/>
      <c r="G11" s="118" t="str">
        <f>TEXT(Dashboard_Calc!B18,"0.0%")&amp;" of rentals"</f>
        <v>91.6% of rentals</v>
      </c>
      <c r="H11" s="104"/>
      <c r="I11" s="104"/>
      <c r="J11" s="104"/>
      <c r="K11" s="9"/>
      <c r="L11" s="120" t="str">
        <f>TEXT(Dashboard_Calc!B19,"0.0%")&amp;" of rentals"</f>
        <v>8.4% of rentals</v>
      </c>
      <c r="M11" s="104"/>
      <c r="N11" s="104"/>
      <c r="O11" s="104"/>
      <c r="P11" s="9"/>
      <c r="Q11" s="106" t="str">
        <f>"peak hours = "&amp;TEXT(Dashboard_Calc!B27,"0%")&amp;" of rentals"</f>
        <v>peak hours = 44% of rentals</v>
      </c>
      <c r="R11" s="104"/>
      <c r="S11" s="104"/>
      <c r="T11" s="104"/>
      <c r="U11" s="9"/>
      <c r="V11" s="117" t="str">
        <f>"avg "&amp;TEXT(Dashboard_Calc!B21,"0")&amp;" rentals"</f>
        <v>avg 140 rentals</v>
      </c>
      <c r="W11" s="104"/>
      <c r="X11" s="104"/>
      <c r="Y11" s="104"/>
      <c r="Z11" s="9"/>
      <c r="AA11" s="118" t="str">
        <f>"avg "&amp;TEXT(Dashboard_Calc!B23,"0")&amp;" / hour"</f>
        <v>avg 68 / hour</v>
      </c>
      <c r="AB11" s="104"/>
      <c r="AC11" s="104"/>
      <c r="AD11" s="104"/>
      <c r="AE11" s="9"/>
      <c r="AF11" s="120" t="str">
        <f>"light rain vs clear"</f>
        <v>light rain vs clear</v>
      </c>
      <c r="AG11" s="104"/>
      <c r="AH11" s="104"/>
      <c r="AI11" s="104"/>
      <c r="AJ11" s="9"/>
      <c r="AK11" s="106" t="str">
        <f>"hours with Z-score ≥ "&amp;Anomalies!B4</f>
        <v>hours with Z-score ≥ 3</v>
      </c>
      <c r="AL11" s="104"/>
      <c r="AM11" s="104"/>
      <c r="AN11" s="104"/>
      <c r="AO11" s="9"/>
    </row>
    <row r="12" spans="1:41" ht="8" customHeight="1" x14ac:dyDescent="0.2">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row>
    <row r="13" spans="1:41" ht="15" customHeight="1" x14ac:dyDescent="0.2">
      <c r="A13" s="9"/>
      <c r="B13" s="15" t="s">
        <v>59</v>
      </c>
      <c r="C13" s="16"/>
      <c r="D13" s="16"/>
      <c r="E13" s="16"/>
      <c r="F13" s="16"/>
      <c r="G13" s="16"/>
      <c r="H13" s="16"/>
      <c r="I13" s="16"/>
      <c r="J13" s="16"/>
      <c r="K13" s="9"/>
      <c r="L13" s="15" t="s">
        <v>60</v>
      </c>
      <c r="M13" s="16"/>
      <c r="N13" s="16"/>
      <c r="O13" s="16"/>
      <c r="P13" s="16"/>
      <c r="Q13" s="16"/>
      <c r="R13" s="16"/>
      <c r="S13" s="16"/>
      <c r="T13" s="16"/>
      <c r="U13" s="9"/>
      <c r="V13" s="15" t="s">
        <v>61</v>
      </c>
      <c r="W13" s="16"/>
      <c r="X13" s="16"/>
      <c r="Y13" s="16"/>
      <c r="Z13" s="16"/>
      <c r="AA13" s="16"/>
      <c r="AB13" s="16"/>
      <c r="AC13" s="16"/>
      <c r="AD13" s="16"/>
      <c r="AE13" s="9"/>
      <c r="AF13" s="15" t="s">
        <v>62</v>
      </c>
      <c r="AG13" s="16"/>
      <c r="AH13" s="16"/>
      <c r="AI13" s="16"/>
      <c r="AJ13" s="16"/>
      <c r="AK13" s="16"/>
      <c r="AL13" s="16"/>
      <c r="AM13" s="16"/>
      <c r="AN13" s="16"/>
      <c r="AO13" s="9"/>
    </row>
    <row r="14" spans="1:41" ht="15" customHeight="1" x14ac:dyDescent="0.2">
      <c r="A14" s="9"/>
      <c r="B14" s="16"/>
      <c r="C14" s="16"/>
      <c r="D14" s="16"/>
      <c r="E14" s="16"/>
      <c r="F14" s="16"/>
      <c r="G14" s="16"/>
      <c r="H14" s="16"/>
      <c r="I14" s="16"/>
      <c r="J14" s="16"/>
      <c r="K14" s="9"/>
      <c r="L14" s="16"/>
      <c r="M14" s="16"/>
      <c r="N14" s="16"/>
      <c r="O14" s="16"/>
      <c r="P14" s="16"/>
      <c r="Q14" s="16"/>
      <c r="R14" s="16"/>
      <c r="S14" s="16"/>
      <c r="T14" s="16"/>
      <c r="U14" s="9"/>
      <c r="V14" s="16"/>
      <c r="W14" s="16"/>
      <c r="X14" s="16"/>
      <c r="Y14" s="16"/>
      <c r="Z14" s="16"/>
      <c r="AA14" s="16"/>
      <c r="AB14" s="16"/>
      <c r="AC14" s="16"/>
      <c r="AD14" s="16"/>
      <c r="AE14" s="9"/>
      <c r="AF14" s="16"/>
      <c r="AG14" s="16"/>
      <c r="AH14" s="16"/>
      <c r="AI14" s="16"/>
      <c r="AJ14" s="16"/>
      <c r="AK14" s="16"/>
      <c r="AL14" s="16"/>
      <c r="AM14" s="16"/>
      <c r="AN14" s="16"/>
      <c r="AO14" s="9"/>
    </row>
    <row r="15" spans="1:41" ht="15" customHeight="1" x14ac:dyDescent="0.2">
      <c r="A15" s="9"/>
      <c r="B15" s="16"/>
      <c r="C15" s="16"/>
      <c r="D15" s="16"/>
      <c r="E15" s="16"/>
      <c r="F15" s="16"/>
      <c r="G15" s="16"/>
      <c r="H15" s="16"/>
      <c r="I15" s="16"/>
      <c r="J15" s="16"/>
      <c r="K15" s="9"/>
      <c r="L15" s="16"/>
      <c r="M15" s="16"/>
      <c r="N15" s="16"/>
      <c r="O15" s="16"/>
      <c r="P15" s="16"/>
      <c r="Q15" s="16"/>
      <c r="R15" s="16"/>
      <c r="S15" s="16"/>
      <c r="T15" s="16"/>
      <c r="U15" s="9"/>
      <c r="V15" s="16"/>
      <c r="W15" s="16"/>
      <c r="X15" s="16"/>
      <c r="Y15" s="16"/>
      <c r="Z15" s="16"/>
      <c r="AA15" s="16"/>
      <c r="AB15" s="16"/>
      <c r="AC15" s="16"/>
      <c r="AD15" s="16"/>
      <c r="AE15" s="9"/>
      <c r="AF15" s="16"/>
      <c r="AG15" s="16"/>
      <c r="AH15" s="16"/>
      <c r="AI15" s="16"/>
      <c r="AJ15" s="16"/>
      <c r="AK15" s="16"/>
      <c r="AL15" s="16"/>
      <c r="AM15" s="16"/>
      <c r="AN15" s="16"/>
      <c r="AO15" s="9"/>
    </row>
    <row r="16" spans="1:41" ht="15" customHeight="1" x14ac:dyDescent="0.2">
      <c r="A16" s="9"/>
      <c r="B16" s="16"/>
      <c r="C16" s="16"/>
      <c r="D16" s="16"/>
      <c r="E16" s="16"/>
      <c r="F16" s="16"/>
      <c r="G16" s="16"/>
      <c r="H16" s="16"/>
      <c r="I16" s="16"/>
      <c r="J16" s="16"/>
      <c r="K16" s="9"/>
      <c r="L16" s="16"/>
      <c r="M16" s="16"/>
      <c r="N16" s="16"/>
      <c r="O16" s="16"/>
      <c r="P16" s="16"/>
      <c r="Q16" s="16"/>
      <c r="R16" s="16"/>
      <c r="S16" s="16"/>
      <c r="T16" s="16"/>
      <c r="U16" s="9"/>
      <c r="V16" s="16"/>
      <c r="W16" s="16"/>
      <c r="X16" s="16"/>
      <c r="Y16" s="16"/>
      <c r="Z16" s="16"/>
      <c r="AA16" s="16"/>
      <c r="AB16" s="16"/>
      <c r="AC16" s="16"/>
      <c r="AD16" s="16"/>
      <c r="AE16" s="9"/>
      <c r="AF16" s="16"/>
      <c r="AG16" s="16"/>
      <c r="AH16" s="16"/>
      <c r="AI16" s="16"/>
      <c r="AJ16" s="16"/>
      <c r="AK16" s="16"/>
      <c r="AL16" s="16"/>
      <c r="AM16" s="16"/>
      <c r="AN16" s="16"/>
      <c r="AO16" s="9"/>
    </row>
    <row r="17" spans="1:41" ht="15" customHeight="1" x14ac:dyDescent="0.2">
      <c r="A17" s="9"/>
      <c r="B17" s="16"/>
      <c r="C17" s="16"/>
      <c r="D17" s="16"/>
      <c r="E17" s="16"/>
      <c r="F17" s="16"/>
      <c r="G17" s="16"/>
      <c r="H17" s="16"/>
      <c r="I17" s="16"/>
      <c r="J17" s="16"/>
      <c r="K17" s="9"/>
      <c r="L17" s="16"/>
      <c r="M17" s="16"/>
      <c r="N17" s="16"/>
      <c r="O17" s="16"/>
      <c r="P17" s="16"/>
      <c r="Q17" s="16"/>
      <c r="R17" s="16"/>
      <c r="S17" s="16"/>
      <c r="T17" s="16"/>
      <c r="U17" s="9"/>
      <c r="V17" s="16"/>
      <c r="W17" s="16"/>
      <c r="X17" s="16"/>
      <c r="Y17" s="16"/>
      <c r="Z17" s="16"/>
      <c r="AA17" s="16"/>
      <c r="AB17" s="16"/>
      <c r="AC17" s="16"/>
      <c r="AD17" s="16"/>
      <c r="AE17" s="9"/>
      <c r="AF17" s="16"/>
      <c r="AG17" s="16"/>
      <c r="AH17" s="16"/>
      <c r="AI17" s="16"/>
      <c r="AJ17" s="16"/>
      <c r="AK17" s="16"/>
      <c r="AL17" s="16"/>
      <c r="AM17" s="16"/>
      <c r="AN17" s="16"/>
      <c r="AO17" s="9"/>
    </row>
    <row r="18" spans="1:41" ht="15" customHeight="1" x14ac:dyDescent="0.2">
      <c r="A18" s="9"/>
      <c r="B18" s="16"/>
      <c r="C18" s="16"/>
      <c r="D18" s="16"/>
      <c r="E18" s="16"/>
      <c r="F18" s="16"/>
      <c r="G18" s="16"/>
      <c r="H18" s="16"/>
      <c r="I18" s="16"/>
      <c r="J18" s="16"/>
      <c r="K18" s="9"/>
      <c r="L18" s="16"/>
      <c r="M18" s="16"/>
      <c r="N18" s="16"/>
      <c r="O18" s="16"/>
      <c r="P18" s="16"/>
      <c r="Q18" s="16"/>
      <c r="R18" s="16"/>
      <c r="S18" s="16"/>
      <c r="T18" s="16"/>
      <c r="U18" s="9"/>
      <c r="V18" s="16"/>
      <c r="W18" s="16"/>
      <c r="X18" s="16"/>
      <c r="Y18" s="16"/>
      <c r="Z18" s="16"/>
      <c r="AA18" s="16"/>
      <c r="AB18" s="16"/>
      <c r="AC18" s="16"/>
      <c r="AD18" s="16"/>
      <c r="AE18" s="9"/>
      <c r="AF18" s="16"/>
      <c r="AG18" s="16"/>
      <c r="AH18" s="16"/>
      <c r="AI18" s="16"/>
      <c r="AJ18" s="16"/>
      <c r="AK18" s="16"/>
      <c r="AL18" s="16"/>
      <c r="AM18" s="16"/>
      <c r="AN18" s="16"/>
      <c r="AO18" s="9"/>
    </row>
    <row r="19" spans="1:41" ht="15" customHeight="1" x14ac:dyDescent="0.2">
      <c r="A19" s="9"/>
      <c r="B19" s="16"/>
      <c r="C19" s="16"/>
      <c r="D19" s="16"/>
      <c r="E19" s="16"/>
      <c r="F19" s="16"/>
      <c r="G19" s="16"/>
      <c r="H19" s="16"/>
      <c r="I19" s="16"/>
      <c r="J19" s="16"/>
      <c r="K19" s="9"/>
      <c r="L19" s="16"/>
      <c r="M19" s="16"/>
      <c r="N19" s="16"/>
      <c r="O19" s="16"/>
      <c r="P19" s="16"/>
      <c r="Q19" s="16"/>
      <c r="R19" s="16"/>
      <c r="S19" s="16"/>
      <c r="T19" s="16"/>
      <c r="U19" s="9"/>
      <c r="V19" s="16"/>
      <c r="W19" s="16"/>
      <c r="X19" s="16"/>
      <c r="Y19" s="16"/>
      <c r="Z19" s="16"/>
      <c r="AA19" s="16"/>
      <c r="AB19" s="16"/>
      <c r="AC19" s="16"/>
      <c r="AD19" s="16"/>
      <c r="AE19" s="9"/>
      <c r="AF19" s="16"/>
      <c r="AG19" s="16"/>
      <c r="AH19" s="16"/>
      <c r="AI19" s="16"/>
      <c r="AJ19" s="16"/>
      <c r="AK19" s="16"/>
      <c r="AL19" s="16"/>
      <c r="AM19" s="16"/>
      <c r="AN19" s="16"/>
      <c r="AO19" s="9"/>
    </row>
    <row r="20" spans="1:41" ht="15" customHeight="1" x14ac:dyDescent="0.2">
      <c r="A20" s="9"/>
      <c r="B20" s="16"/>
      <c r="C20" s="16"/>
      <c r="D20" s="16"/>
      <c r="E20" s="16"/>
      <c r="F20" s="16"/>
      <c r="G20" s="16"/>
      <c r="H20" s="16"/>
      <c r="I20" s="16"/>
      <c r="J20" s="16"/>
      <c r="K20" s="9"/>
      <c r="L20" s="16"/>
      <c r="M20" s="16"/>
      <c r="N20" s="16"/>
      <c r="O20" s="16"/>
      <c r="P20" s="16"/>
      <c r="Q20" s="16"/>
      <c r="R20" s="16"/>
      <c r="S20" s="16"/>
      <c r="T20" s="16"/>
      <c r="U20" s="9"/>
      <c r="V20" s="16"/>
      <c r="W20" s="16"/>
      <c r="X20" s="16"/>
      <c r="Y20" s="16"/>
      <c r="Z20" s="16"/>
      <c r="AA20" s="16"/>
      <c r="AB20" s="16"/>
      <c r="AC20" s="16"/>
      <c r="AD20" s="16"/>
      <c r="AE20" s="9"/>
      <c r="AF20" s="16"/>
      <c r="AG20" s="16"/>
      <c r="AH20" s="16"/>
      <c r="AI20" s="16"/>
      <c r="AJ20" s="16"/>
      <c r="AK20" s="16"/>
      <c r="AL20" s="16"/>
      <c r="AM20" s="16"/>
      <c r="AN20" s="16"/>
      <c r="AO20" s="9"/>
    </row>
    <row r="21" spans="1:41" ht="15" customHeight="1" x14ac:dyDescent="0.2">
      <c r="A21" s="9"/>
      <c r="B21" s="16"/>
      <c r="C21" s="16"/>
      <c r="D21" s="16"/>
      <c r="E21" s="16"/>
      <c r="F21" s="16"/>
      <c r="G21" s="16"/>
      <c r="H21" s="16"/>
      <c r="I21" s="16"/>
      <c r="J21" s="16"/>
      <c r="K21" s="9"/>
      <c r="L21" s="16"/>
      <c r="M21" s="16"/>
      <c r="N21" s="16"/>
      <c r="O21" s="16"/>
      <c r="P21" s="16"/>
      <c r="Q21" s="16"/>
      <c r="R21" s="16"/>
      <c r="S21" s="16"/>
      <c r="T21" s="16"/>
      <c r="U21" s="9"/>
      <c r="V21" s="16"/>
      <c r="W21" s="16"/>
      <c r="X21" s="16"/>
      <c r="Y21" s="16"/>
      <c r="Z21" s="16"/>
      <c r="AA21" s="16"/>
      <c r="AB21" s="16"/>
      <c r="AC21" s="16"/>
      <c r="AD21" s="16"/>
      <c r="AE21" s="9"/>
      <c r="AF21" s="16"/>
      <c r="AG21" s="16"/>
      <c r="AH21" s="16"/>
      <c r="AI21" s="16"/>
      <c r="AJ21" s="16"/>
      <c r="AK21" s="16"/>
      <c r="AL21" s="16"/>
      <c r="AM21" s="16"/>
      <c r="AN21" s="16"/>
      <c r="AO21" s="9"/>
    </row>
    <row r="22" spans="1:41" ht="15" customHeight="1" x14ac:dyDescent="0.2">
      <c r="A22" s="9"/>
      <c r="B22" s="16"/>
      <c r="C22" s="16"/>
      <c r="D22" s="16"/>
      <c r="E22" s="16"/>
      <c r="F22" s="16"/>
      <c r="G22" s="16"/>
      <c r="H22" s="16"/>
      <c r="I22" s="16"/>
      <c r="J22" s="16"/>
      <c r="K22" s="9"/>
      <c r="L22" s="16"/>
      <c r="M22" s="16"/>
      <c r="N22" s="16"/>
      <c r="O22" s="16"/>
      <c r="P22" s="16"/>
      <c r="Q22" s="16"/>
      <c r="R22" s="16"/>
      <c r="S22" s="16"/>
      <c r="T22" s="16"/>
      <c r="U22" s="9"/>
      <c r="V22" s="16"/>
      <c r="W22" s="16"/>
      <c r="X22" s="16"/>
      <c r="Y22" s="16"/>
      <c r="Z22" s="16"/>
      <c r="AA22" s="16"/>
      <c r="AB22" s="16"/>
      <c r="AC22" s="16"/>
      <c r="AD22" s="16"/>
      <c r="AE22" s="9"/>
      <c r="AF22" s="16"/>
      <c r="AG22" s="16"/>
      <c r="AH22" s="16"/>
      <c r="AI22" s="16"/>
      <c r="AJ22" s="16"/>
      <c r="AK22" s="16"/>
      <c r="AL22" s="16"/>
      <c r="AM22" s="16"/>
      <c r="AN22" s="16"/>
      <c r="AO22" s="9"/>
    </row>
    <row r="23" spans="1:41" ht="15" customHeight="1" x14ac:dyDescent="0.2">
      <c r="A23" s="9"/>
      <c r="B23" s="16"/>
      <c r="C23" s="16"/>
      <c r="D23" s="16"/>
      <c r="E23" s="16"/>
      <c r="F23" s="16"/>
      <c r="G23" s="16"/>
      <c r="H23" s="16"/>
      <c r="I23" s="16"/>
      <c r="J23" s="16"/>
      <c r="K23" s="9"/>
      <c r="L23" s="16"/>
      <c r="M23" s="16"/>
      <c r="N23" s="16"/>
      <c r="O23" s="16"/>
      <c r="P23" s="16"/>
      <c r="Q23" s="16"/>
      <c r="R23" s="16"/>
      <c r="S23" s="16"/>
      <c r="T23" s="16"/>
      <c r="U23" s="9"/>
      <c r="V23" s="16"/>
      <c r="W23" s="16"/>
      <c r="X23" s="16"/>
      <c r="Y23" s="16"/>
      <c r="Z23" s="16"/>
      <c r="AA23" s="16"/>
      <c r="AB23" s="16"/>
      <c r="AC23" s="16"/>
      <c r="AD23" s="16"/>
      <c r="AE23" s="9"/>
      <c r="AF23" s="16"/>
      <c r="AG23" s="16"/>
      <c r="AH23" s="16"/>
      <c r="AI23" s="16"/>
      <c r="AJ23" s="16"/>
      <c r="AK23" s="16"/>
      <c r="AL23" s="16"/>
      <c r="AM23" s="16"/>
      <c r="AN23" s="16"/>
      <c r="AO23" s="9"/>
    </row>
    <row r="24" spans="1:41" ht="15" customHeight="1" x14ac:dyDescent="0.2">
      <c r="A24" s="9"/>
      <c r="B24" s="16"/>
      <c r="C24" s="16"/>
      <c r="D24" s="16"/>
      <c r="E24" s="16"/>
      <c r="F24" s="16"/>
      <c r="G24" s="16"/>
      <c r="H24" s="16"/>
      <c r="I24" s="16"/>
      <c r="J24" s="16"/>
      <c r="K24" s="9"/>
      <c r="L24" s="16"/>
      <c r="M24" s="16"/>
      <c r="N24" s="16"/>
      <c r="O24" s="16"/>
      <c r="P24" s="16"/>
      <c r="Q24" s="16"/>
      <c r="R24" s="16"/>
      <c r="S24" s="16"/>
      <c r="T24" s="16"/>
      <c r="U24" s="9"/>
      <c r="V24" s="16"/>
      <c r="W24" s="16"/>
      <c r="X24" s="16"/>
      <c r="Y24" s="16"/>
      <c r="Z24" s="16"/>
      <c r="AA24" s="16"/>
      <c r="AB24" s="16"/>
      <c r="AC24" s="16"/>
      <c r="AD24" s="16"/>
      <c r="AE24" s="9"/>
      <c r="AF24" s="16"/>
      <c r="AG24" s="16"/>
      <c r="AH24" s="16"/>
      <c r="AI24" s="16"/>
      <c r="AJ24" s="16"/>
      <c r="AK24" s="16"/>
      <c r="AL24" s="16"/>
      <c r="AM24" s="16"/>
      <c r="AN24" s="16"/>
      <c r="AO24" s="9"/>
    </row>
    <row r="25" spans="1:41" ht="15" customHeight="1" x14ac:dyDescent="0.2">
      <c r="A25" s="9"/>
      <c r="B25" s="16"/>
      <c r="C25" s="16"/>
      <c r="D25" s="16"/>
      <c r="E25" s="16"/>
      <c r="F25" s="16"/>
      <c r="G25" s="16"/>
      <c r="H25" s="16"/>
      <c r="I25" s="16"/>
      <c r="J25" s="16"/>
      <c r="K25" s="9"/>
      <c r="L25" s="16"/>
      <c r="M25" s="16"/>
      <c r="N25" s="16"/>
      <c r="O25" s="16"/>
      <c r="P25" s="16"/>
      <c r="Q25" s="16"/>
      <c r="R25" s="16"/>
      <c r="S25" s="16"/>
      <c r="T25" s="16"/>
      <c r="U25" s="9"/>
      <c r="V25" s="16"/>
      <c r="W25" s="16"/>
      <c r="X25" s="16"/>
      <c r="Y25" s="16"/>
      <c r="Z25" s="16"/>
      <c r="AA25" s="16"/>
      <c r="AB25" s="16"/>
      <c r="AC25" s="16"/>
      <c r="AD25" s="16"/>
      <c r="AE25" s="9"/>
      <c r="AF25" s="16"/>
      <c r="AG25" s="16"/>
      <c r="AH25" s="16"/>
      <c r="AI25" s="16"/>
      <c r="AJ25" s="16"/>
      <c r="AK25" s="16"/>
      <c r="AL25" s="16"/>
      <c r="AM25" s="16"/>
      <c r="AN25" s="16"/>
      <c r="AO25" s="9"/>
    </row>
    <row r="26" spans="1:41" ht="15" customHeight="1" x14ac:dyDescent="0.2">
      <c r="A26" s="9"/>
      <c r="B26" s="16"/>
      <c r="C26" s="16"/>
      <c r="D26" s="16"/>
      <c r="E26" s="16"/>
      <c r="F26" s="16"/>
      <c r="G26" s="16"/>
      <c r="H26" s="16"/>
      <c r="I26" s="16"/>
      <c r="J26" s="16"/>
      <c r="K26" s="9"/>
      <c r="L26" s="16"/>
      <c r="M26" s="16"/>
      <c r="N26" s="16"/>
      <c r="O26" s="16"/>
      <c r="P26" s="16"/>
      <c r="Q26" s="16"/>
      <c r="R26" s="16"/>
      <c r="S26" s="16"/>
      <c r="T26" s="16"/>
      <c r="U26" s="9"/>
      <c r="V26" s="16"/>
      <c r="W26" s="16"/>
      <c r="X26" s="16"/>
      <c r="Y26" s="16"/>
      <c r="Z26" s="16"/>
      <c r="AA26" s="16"/>
      <c r="AB26" s="16"/>
      <c r="AC26" s="16"/>
      <c r="AD26" s="16"/>
      <c r="AE26" s="9"/>
      <c r="AF26" s="16"/>
      <c r="AG26" s="16"/>
      <c r="AH26" s="16"/>
      <c r="AI26" s="16"/>
      <c r="AJ26" s="16"/>
      <c r="AK26" s="16"/>
      <c r="AL26" s="16"/>
      <c r="AM26" s="16"/>
      <c r="AN26" s="16"/>
      <c r="AO26" s="9"/>
    </row>
    <row r="27" spans="1:41" ht="15" customHeight="1" x14ac:dyDescent="0.2">
      <c r="A27" s="9"/>
      <c r="B27" s="16"/>
      <c r="C27" s="16"/>
      <c r="D27" s="16"/>
      <c r="E27" s="16"/>
      <c r="F27" s="16"/>
      <c r="G27" s="16"/>
      <c r="H27" s="16"/>
      <c r="I27" s="16"/>
      <c r="J27" s="16"/>
      <c r="K27" s="9"/>
      <c r="L27" s="16"/>
      <c r="M27" s="16"/>
      <c r="N27" s="16"/>
      <c r="O27" s="16"/>
      <c r="P27" s="16"/>
      <c r="Q27" s="16"/>
      <c r="R27" s="16"/>
      <c r="S27" s="16"/>
      <c r="T27" s="16"/>
      <c r="U27" s="9"/>
      <c r="V27" s="16"/>
      <c r="W27" s="16"/>
      <c r="X27" s="16"/>
      <c r="Y27" s="16"/>
      <c r="Z27" s="16"/>
      <c r="AA27" s="16"/>
      <c r="AB27" s="16"/>
      <c r="AC27" s="16"/>
      <c r="AD27" s="16"/>
      <c r="AE27" s="9"/>
      <c r="AF27" s="16"/>
      <c r="AG27" s="16"/>
      <c r="AH27" s="16"/>
      <c r="AI27" s="16"/>
      <c r="AJ27" s="16"/>
      <c r="AK27" s="16"/>
      <c r="AL27" s="16"/>
      <c r="AM27" s="16"/>
      <c r="AN27" s="16"/>
      <c r="AO27" s="9"/>
    </row>
    <row r="28" spans="1:41" ht="8" customHeight="1" x14ac:dyDescent="0.2">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row>
    <row r="29" spans="1:41" ht="15" customHeight="1" x14ac:dyDescent="0.2">
      <c r="A29" s="9"/>
      <c r="B29" s="15" t="s">
        <v>63</v>
      </c>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9"/>
      <c r="AF29" s="15" t="s">
        <v>64</v>
      </c>
      <c r="AG29" s="16"/>
      <c r="AH29" s="16"/>
      <c r="AI29" s="16"/>
      <c r="AJ29" s="16"/>
      <c r="AK29" s="16"/>
      <c r="AL29" s="16"/>
      <c r="AM29" s="16"/>
      <c r="AN29" s="16"/>
      <c r="AO29" s="9"/>
    </row>
    <row r="30" spans="1:41" ht="15" customHeight="1" x14ac:dyDescent="0.2">
      <c r="A30" s="9"/>
      <c r="B30" s="16"/>
      <c r="C30" s="17" t="s">
        <v>65</v>
      </c>
      <c r="D30" s="18">
        <v>0</v>
      </c>
      <c r="E30" s="18">
        <v>1</v>
      </c>
      <c r="F30" s="18">
        <v>2</v>
      </c>
      <c r="G30" s="18">
        <v>3</v>
      </c>
      <c r="H30" s="18">
        <v>4</v>
      </c>
      <c r="I30" s="18">
        <v>5</v>
      </c>
      <c r="J30" s="18">
        <v>6</v>
      </c>
      <c r="K30" s="18">
        <v>7</v>
      </c>
      <c r="L30" s="18">
        <v>8</v>
      </c>
      <c r="M30" s="18">
        <v>9</v>
      </c>
      <c r="N30" s="18">
        <v>10</v>
      </c>
      <c r="O30" s="18">
        <v>11</v>
      </c>
      <c r="P30" s="18">
        <v>12</v>
      </c>
      <c r="Q30" s="18">
        <v>13</v>
      </c>
      <c r="R30" s="18">
        <v>14</v>
      </c>
      <c r="S30" s="18">
        <v>15</v>
      </c>
      <c r="T30" s="18">
        <v>16</v>
      </c>
      <c r="U30" s="18">
        <v>17</v>
      </c>
      <c r="V30" s="18">
        <v>18</v>
      </c>
      <c r="W30" s="18">
        <v>19</v>
      </c>
      <c r="X30" s="18">
        <v>20</v>
      </c>
      <c r="Y30" s="18">
        <v>21</v>
      </c>
      <c r="Z30" s="18">
        <v>22</v>
      </c>
      <c r="AA30" s="18">
        <v>23</v>
      </c>
      <c r="AB30" s="16"/>
      <c r="AC30" s="16"/>
      <c r="AD30" s="16"/>
      <c r="AE30" s="9"/>
      <c r="AF30" s="16"/>
      <c r="AG30" s="16"/>
      <c r="AH30" s="16"/>
      <c r="AI30" s="16"/>
      <c r="AJ30" s="16"/>
      <c r="AK30" s="16"/>
      <c r="AL30" s="16"/>
      <c r="AM30" s="16"/>
      <c r="AN30" s="16"/>
      <c r="AO30" s="9"/>
    </row>
    <row r="31" spans="1:41" ht="15" customHeight="1" x14ac:dyDescent="0.2">
      <c r="A31" s="9"/>
      <c r="B31" s="16"/>
      <c r="C31" s="19" t="s">
        <v>66</v>
      </c>
      <c r="D31" s="20">
        <f>IFERROR(AVERAGEIFS(f_cnt,f_Day_Type,Dashboard_Calc!$B$5,f_Weather,Dashboard_Calc!$B$6,f_Month,Dashboard_Calc!$B$7,f_Time_Band,Dashboard_Calc!$B$8,f_dteday,"&gt;="&amp;Dashboard_Calc!$B$9,f_dteday,"&lt;="&amp;Dashboard_Calc!$B$10,f_Visible,1,f_hr,D$30,f_Day_Name,$C31),0)</f>
        <v>9.5714285714285712</v>
      </c>
      <c r="E31" s="20">
        <f>IFERROR(AVERAGEIFS(f_cnt,f_Day_Type,Dashboard_Calc!$B$5,f_Weather,Dashboard_Calc!$B$6,f_Month,Dashboard_Calc!$B$7,f_Time_Band,Dashboard_Calc!$B$8,f_dteday,"&gt;="&amp;Dashboard_Calc!$B$9,f_dteday,"&lt;="&amp;Dashboard_Calc!$B$10,f_Visible,1,f_hr,E$30,f_Day_Name,$C31),0)</f>
        <v>5.5714285714285712</v>
      </c>
      <c r="F31" s="20">
        <f>IFERROR(AVERAGEIFS(f_cnt,f_Day_Type,Dashboard_Calc!$B$5,f_Weather,Dashboard_Calc!$B$6,f_Month,Dashboard_Calc!$B$7,f_Time_Band,Dashboard_Calc!$B$8,f_dteday,"&gt;="&amp;Dashboard_Calc!$B$9,f_dteday,"&lt;="&amp;Dashboard_Calc!$B$10,f_Visible,1,f_hr,F$30,f_Day_Name,$C31),0)</f>
        <v>3.4</v>
      </c>
      <c r="G31" s="20">
        <f>IFERROR(AVERAGEIFS(f_cnt,f_Day_Type,Dashboard_Calc!$B$5,f_Weather,Dashboard_Calc!$B$6,f_Month,Dashboard_Calc!$B$7,f_Time_Band,Dashboard_Calc!$B$8,f_dteday,"&gt;="&amp;Dashboard_Calc!$B$9,f_dteday,"&lt;="&amp;Dashboard_Calc!$B$10,f_Visible,1,f_hr,G$30,f_Day_Name,$C31),0)</f>
        <v>1.5</v>
      </c>
      <c r="H31" s="20">
        <f>IFERROR(AVERAGEIFS(f_cnt,f_Day_Type,Dashboard_Calc!$B$5,f_Weather,Dashboard_Calc!$B$6,f_Month,Dashboard_Calc!$B$7,f_Time_Band,Dashboard_Calc!$B$8,f_dteday,"&gt;="&amp;Dashboard_Calc!$B$9,f_dteday,"&lt;="&amp;Dashboard_Calc!$B$10,f_Visible,1,f_hr,H$30,f_Day_Name,$C31),0)</f>
        <v>2</v>
      </c>
      <c r="I31" s="20">
        <f>IFERROR(AVERAGEIFS(f_cnt,f_Day_Type,Dashboard_Calc!$B$5,f_Weather,Dashboard_Calc!$B$6,f_Month,Dashboard_Calc!$B$7,f_Time_Band,Dashboard_Calc!$B$8,f_dteday,"&gt;="&amp;Dashboard_Calc!$B$9,f_dteday,"&lt;="&amp;Dashboard_Calc!$B$10,f_Visible,1,f_hr,I$30,f_Day_Name,$C31),0)</f>
        <v>4.7142857142857144</v>
      </c>
      <c r="J31" s="20">
        <f>IFERROR(AVERAGEIFS(f_cnt,f_Day_Type,Dashboard_Calc!$B$5,f_Weather,Dashboard_Calc!$B$6,f_Month,Dashboard_Calc!$B$7,f_Time_Band,Dashboard_Calc!$B$8,f_dteday,"&gt;="&amp;Dashboard_Calc!$B$9,f_dteday,"&lt;="&amp;Dashboard_Calc!$B$10,f_Visible,1,f_hr,J$30,f_Day_Name,$C31),0)</f>
        <v>24.857142857142858</v>
      </c>
      <c r="K31" s="20">
        <f>IFERROR(AVERAGEIFS(f_cnt,f_Day_Type,Dashboard_Calc!$B$5,f_Weather,Dashboard_Calc!$B$6,f_Month,Dashboard_Calc!$B$7,f_Time_Band,Dashboard_Calc!$B$8,f_dteday,"&gt;="&amp;Dashboard_Calc!$B$9,f_dteday,"&lt;="&amp;Dashboard_Calc!$B$10,f_Visible,1,f_hr,K$30,f_Day_Name,$C31),0)</f>
        <v>71.857142857142861</v>
      </c>
      <c r="L31" s="20">
        <f>IFERROR(AVERAGEIFS(f_cnt,f_Day_Type,Dashboard_Calc!$B$5,f_Weather,Dashboard_Calc!$B$6,f_Month,Dashboard_Calc!$B$7,f_Time_Band,Dashboard_Calc!$B$8,f_dteday,"&gt;="&amp;Dashboard_Calc!$B$9,f_dteday,"&lt;="&amp;Dashboard_Calc!$B$10,f_Visible,1,f_hr,L$30,f_Day_Name,$C31),0)</f>
        <v>161.16666666666666</v>
      </c>
      <c r="M31" s="20">
        <f>IFERROR(AVERAGEIFS(f_cnt,f_Day_Type,Dashboard_Calc!$B$5,f_Weather,Dashboard_Calc!$B$6,f_Month,Dashboard_Calc!$B$7,f_Time_Band,Dashboard_Calc!$B$8,f_dteday,"&gt;="&amp;Dashboard_Calc!$B$9,f_dteday,"&lt;="&amp;Dashboard_Calc!$B$10,f_Visible,1,f_hr,M$30,f_Day_Name,$C31),0)</f>
        <v>93.5</v>
      </c>
      <c r="N31" s="20">
        <f>IFERROR(AVERAGEIFS(f_cnt,f_Day_Type,Dashboard_Calc!$B$5,f_Weather,Dashboard_Calc!$B$6,f_Month,Dashboard_Calc!$B$7,f_Time_Band,Dashboard_Calc!$B$8,f_dteday,"&gt;="&amp;Dashboard_Calc!$B$9,f_dteday,"&lt;="&amp;Dashboard_Calc!$B$10,f_Visible,1,f_hr,N$30,f_Day_Name,$C31),0)</f>
        <v>49.333333333333336</v>
      </c>
      <c r="O31" s="20">
        <f>IFERROR(AVERAGEIFS(f_cnt,f_Day_Type,Dashboard_Calc!$B$5,f_Weather,Dashboard_Calc!$B$6,f_Month,Dashboard_Calc!$B$7,f_Time_Band,Dashboard_Calc!$B$8,f_dteday,"&gt;="&amp;Dashboard_Calc!$B$9,f_dteday,"&lt;="&amp;Dashboard_Calc!$B$10,f_Visible,1,f_hr,O$30,f_Day_Name,$C31),0)</f>
        <v>47.666666666666664</v>
      </c>
      <c r="P31" s="20">
        <f>IFERROR(AVERAGEIFS(f_cnt,f_Day_Type,Dashboard_Calc!$B$5,f_Weather,Dashboard_Calc!$B$6,f_Month,Dashboard_Calc!$B$7,f_Time_Band,Dashboard_Calc!$B$8,f_dteday,"&gt;="&amp;Dashboard_Calc!$B$9,f_dteday,"&lt;="&amp;Dashboard_Calc!$B$10,f_Visible,1,f_hr,P$30,f_Day_Name,$C31),0)</f>
        <v>65</v>
      </c>
      <c r="Q31" s="20">
        <f>IFERROR(AVERAGEIFS(f_cnt,f_Day_Type,Dashboard_Calc!$B$5,f_Weather,Dashboard_Calc!$B$6,f_Month,Dashboard_Calc!$B$7,f_Time_Band,Dashboard_Calc!$B$8,f_dteday,"&gt;="&amp;Dashboard_Calc!$B$9,f_dteday,"&lt;="&amp;Dashboard_Calc!$B$10,f_Visible,1,f_hr,Q$30,f_Day_Name,$C31),0)</f>
        <v>64.333333333333329</v>
      </c>
      <c r="R31" s="20">
        <f>IFERROR(AVERAGEIFS(f_cnt,f_Day_Type,Dashboard_Calc!$B$5,f_Weather,Dashboard_Calc!$B$6,f_Month,Dashboard_Calc!$B$7,f_Time_Band,Dashboard_Calc!$B$8,f_dteday,"&gt;="&amp;Dashboard_Calc!$B$9,f_dteday,"&lt;="&amp;Dashboard_Calc!$B$10,f_Visible,1,f_hr,R$30,f_Day_Name,$C31),0)</f>
        <v>66.833333333333329</v>
      </c>
      <c r="S31" s="20">
        <f>IFERROR(AVERAGEIFS(f_cnt,f_Day_Type,Dashboard_Calc!$B$5,f_Weather,Dashboard_Calc!$B$6,f_Month,Dashboard_Calc!$B$7,f_Time_Band,Dashboard_Calc!$B$8,f_dteday,"&gt;="&amp;Dashboard_Calc!$B$9,f_dteday,"&lt;="&amp;Dashboard_Calc!$B$10,f_Visible,1,f_hr,S$30,f_Day_Name,$C31),0)</f>
        <v>60.166666666666664</v>
      </c>
      <c r="T31" s="20">
        <f>IFERROR(AVERAGEIFS(f_cnt,f_Day_Type,Dashboard_Calc!$B$5,f_Weather,Dashboard_Calc!$B$6,f_Month,Dashboard_Calc!$B$7,f_Time_Band,Dashboard_Calc!$B$8,f_dteday,"&gt;="&amp;Dashboard_Calc!$B$9,f_dteday,"&lt;="&amp;Dashboard_Calc!$B$10,f_Visible,1,f_hr,T$30,f_Day_Name,$C31),0)</f>
        <v>83.666666666666671</v>
      </c>
      <c r="U31" s="20">
        <f>IFERROR(AVERAGEIFS(f_cnt,f_Day_Type,Dashboard_Calc!$B$5,f_Weather,Dashboard_Calc!$B$6,f_Month,Dashboard_Calc!$B$7,f_Time_Band,Dashboard_Calc!$B$8,f_dteday,"&gt;="&amp;Dashboard_Calc!$B$9,f_dteday,"&lt;="&amp;Dashboard_Calc!$B$10,f_Visible,1,f_hr,U$30,f_Day_Name,$C31),0)</f>
        <v>161.16666666666666</v>
      </c>
      <c r="V31" s="20">
        <f>IFERROR(AVERAGEIFS(f_cnt,f_Day_Type,Dashboard_Calc!$B$5,f_Weather,Dashboard_Calc!$B$6,f_Month,Dashboard_Calc!$B$7,f_Time_Band,Dashboard_Calc!$B$8,f_dteday,"&gt;="&amp;Dashboard_Calc!$B$9,f_dteday,"&lt;="&amp;Dashboard_Calc!$B$10,f_Visible,1,f_hr,V$30,f_Day_Name,$C31),0)</f>
        <v>148</v>
      </c>
      <c r="W31" s="20">
        <f>IFERROR(AVERAGEIFS(f_cnt,f_Day_Type,Dashboard_Calc!$B$5,f_Weather,Dashboard_Calc!$B$6,f_Month,Dashboard_Calc!$B$7,f_Time_Band,Dashboard_Calc!$B$8,f_dteday,"&gt;="&amp;Dashboard_Calc!$B$9,f_dteday,"&lt;="&amp;Dashboard_Calc!$B$10,f_Visible,1,f_hr,W$30,f_Day_Name,$C31),0)</f>
        <v>101.66666666666667</v>
      </c>
      <c r="X31" s="20">
        <f>IFERROR(AVERAGEIFS(f_cnt,f_Day_Type,Dashboard_Calc!$B$5,f_Weather,Dashboard_Calc!$B$6,f_Month,Dashboard_Calc!$B$7,f_Time_Band,Dashboard_Calc!$B$8,f_dteday,"&gt;="&amp;Dashboard_Calc!$B$9,f_dteday,"&lt;="&amp;Dashboard_Calc!$B$10,f_Visible,1,f_hr,X$30,f_Day_Name,$C31),0)</f>
        <v>67.666666666666671</v>
      </c>
      <c r="Y31" s="20">
        <f>IFERROR(AVERAGEIFS(f_cnt,f_Day_Type,Dashboard_Calc!$B$5,f_Weather,Dashboard_Calc!$B$6,f_Month,Dashboard_Calc!$B$7,f_Time_Band,Dashboard_Calc!$B$8,f_dteday,"&gt;="&amp;Dashboard_Calc!$B$9,f_dteday,"&lt;="&amp;Dashboard_Calc!$B$10,f_Visible,1,f_hr,Y$30,f_Day_Name,$C31),0)</f>
        <v>51.666666666666664</v>
      </c>
      <c r="Z31" s="20">
        <f>IFERROR(AVERAGEIFS(f_cnt,f_Day_Type,Dashboard_Calc!$B$5,f_Weather,Dashboard_Calc!$B$6,f_Month,Dashboard_Calc!$B$7,f_Time_Band,Dashboard_Calc!$B$8,f_dteday,"&gt;="&amp;Dashboard_Calc!$B$9,f_dteday,"&lt;="&amp;Dashboard_Calc!$B$10,f_Visible,1,f_hr,Z$30,f_Day_Name,$C31),0)</f>
        <v>27.166666666666668</v>
      </c>
      <c r="AA31" s="20">
        <f>IFERROR(AVERAGEIFS(f_cnt,f_Day_Type,Dashboard_Calc!$B$5,f_Weather,Dashboard_Calc!$B$6,f_Month,Dashboard_Calc!$B$7,f_Time_Band,Dashboard_Calc!$B$8,f_dteday,"&gt;="&amp;Dashboard_Calc!$B$9,f_dteday,"&lt;="&amp;Dashboard_Calc!$B$10,f_Visible,1,f_hr,AA$30,f_Day_Name,$C31),0)</f>
        <v>16.666666666666668</v>
      </c>
      <c r="AB31" s="123" t="s">
        <v>67</v>
      </c>
      <c r="AC31" s="104"/>
      <c r="AD31" s="104"/>
      <c r="AE31" s="9"/>
      <c r="AF31" s="16"/>
      <c r="AG31" s="16"/>
      <c r="AH31" s="16"/>
      <c r="AI31" s="16"/>
      <c r="AJ31" s="16"/>
      <c r="AK31" s="16"/>
      <c r="AL31" s="16"/>
      <c r="AM31" s="16"/>
      <c r="AN31" s="16"/>
      <c r="AO31" s="9"/>
    </row>
    <row r="32" spans="1:41" ht="15" customHeight="1" x14ac:dyDescent="0.2">
      <c r="A32" s="9"/>
      <c r="B32" s="16"/>
      <c r="C32" s="19" t="s">
        <v>68</v>
      </c>
      <c r="D32" s="20">
        <f>IFERROR(AVERAGEIFS(f_cnt,f_Day_Type,Dashboard_Calc!$B$5,f_Weather,Dashboard_Calc!$B$6,f_Month,Dashboard_Calc!$B$7,f_Time_Band,Dashboard_Calc!$B$8,f_dteday,"&gt;="&amp;Dashboard_Calc!$B$9,f_dteday,"&lt;="&amp;Dashboard_Calc!$B$10,f_Visible,1,f_hr,D$30,f_Day_Name,$C32),0)</f>
        <v>8.8000000000000007</v>
      </c>
      <c r="E32" s="20">
        <f>IFERROR(AVERAGEIFS(f_cnt,f_Day_Type,Dashboard_Calc!$B$5,f_Weather,Dashboard_Calc!$B$6,f_Month,Dashboard_Calc!$B$7,f_Time_Band,Dashboard_Calc!$B$8,f_dteday,"&gt;="&amp;Dashboard_Calc!$B$9,f_dteday,"&lt;="&amp;Dashboard_Calc!$B$10,f_Visible,1,f_hr,E$30,f_Day_Name,$C32),0)</f>
        <v>3.4</v>
      </c>
      <c r="F32" s="20">
        <f>IFERROR(AVERAGEIFS(f_cnt,f_Day_Type,Dashboard_Calc!$B$5,f_Weather,Dashboard_Calc!$B$6,f_Month,Dashboard_Calc!$B$7,f_Time_Band,Dashboard_Calc!$B$8,f_dteday,"&gt;="&amp;Dashboard_Calc!$B$9,f_dteday,"&lt;="&amp;Dashboard_Calc!$B$10,f_Visible,1,f_hr,F$30,f_Day_Name,$C32),0)</f>
        <v>2</v>
      </c>
      <c r="G32" s="20">
        <f>IFERROR(AVERAGEIFS(f_cnt,f_Day_Type,Dashboard_Calc!$B$5,f_Weather,Dashboard_Calc!$B$6,f_Month,Dashboard_Calc!$B$7,f_Time_Band,Dashboard_Calc!$B$8,f_dteday,"&gt;="&amp;Dashboard_Calc!$B$9,f_dteday,"&lt;="&amp;Dashboard_Calc!$B$10,f_Visible,1,f_hr,G$30,f_Day_Name,$C32),0)</f>
        <v>1.5</v>
      </c>
      <c r="H32" s="20">
        <f>IFERROR(AVERAGEIFS(f_cnt,f_Day_Type,Dashboard_Calc!$B$5,f_Weather,Dashboard_Calc!$B$6,f_Month,Dashboard_Calc!$B$7,f_Time_Band,Dashboard_Calc!$B$8,f_dteday,"&gt;="&amp;Dashboard_Calc!$B$9,f_dteday,"&lt;="&amp;Dashboard_Calc!$B$10,f_Visible,1,f_hr,H$30,f_Day_Name,$C32),0)</f>
        <v>2</v>
      </c>
      <c r="I32" s="20">
        <f>IFERROR(AVERAGEIFS(f_cnt,f_Day_Type,Dashboard_Calc!$B$5,f_Weather,Dashboard_Calc!$B$6,f_Month,Dashboard_Calc!$B$7,f_Time_Band,Dashboard_Calc!$B$8,f_dteday,"&gt;="&amp;Dashboard_Calc!$B$9,f_dteday,"&lt;="&amp;Dashboard_Calc!$B$10,f_Visible,1,f_hr,I$30,f_Day_Name,$C32),0)</f>
        <v>4.8</v>
      </c>
      <c r="J32" s="20">
        <f>IFERROR(AVERAGEIFS(f_cnt,f_Day_Type,Dashboard_Calc!$B$5,f_Weather,Dashboard_Calc!$B$6,f_Month,Dashboard_Calc!$B$7,f_Time_Band,Dashboard_Calc!$B$8,f_dteday,"&gt;="&amp;Dashboard_Calc!$B$9,f_dteday,"&lt;="&amp;Dashboard_Calc!$B$10,f_Visible,1,f_hr,J$30,f_Day_Name,$C32),0)</f>
        <v>32</v>
      </c>
      <c r="K32" s="20">
        <f>IFERROR(AVERAGEIFS(f_cnt,f_Day_Type,Dashboard_Calc!$B$5,f_Weather,Dashboard_Calc!$B$6,f_Month,Dashboard_Calc!$B$7,f_Time_Band,Dashboard_Calc!$B$8,f_dteday,"&gt;="&amp;Dashboard_Calc!$B$9,f_dteday,"&lt;="&amp;Dashboard_Calc!$B$10,f_Visible,1,f_hr,K$30,f_Day_Name,$C32),0)</f>
        <v>90.6</v>
      </c>
      <c r="L32" s="20">
        <f>IFERROR(AVERAGEIFS(f_cnt,f_Day_Type,Dashboard_Calc!$B$5,f_Weather,Dashboard_Calc!$B$6,f_Month,Dashboard_Calc!$B$7,f_Time_Band,Dashboard_Calc!$B$8,f_dteday,"&gt;="&amp;Dashboard_Calc!$B$9,f_dteday,"&lt;="&amp;Dashboard_Calc!$B$10,f_Visible,1,f_hr,L$30,f_Day_Name,$C32),0)</f>
        <v>202.4</v>
      </c>
      <c r="M32" s="20">
        <f>IFERROR(AVERAGEIFS(f_cnt,f_Day_Type,Dashboard_Calc!$B$5,f_Weather,Dashboard_Calc!$B$6,f_Month,Dashboard_Calc!$B$7,f_Time_Band,Dashboard_Calc!$B$8,f_dteday,"&gt;="&amp;Dashboard_Calc!$B$9,f_dteday,"&lt;="&amp;Dashboard_Calc!$B$10,f_Visible,1,f_hr,M$30,f_Day_Name,$C32),0)</f>
        <v>125</v>
      </c>
      <c r="N32" s="20">
        <f>IFERROR(AVERAGEIFS(f_cnt,f_Day_Type,Dashboard_Calc!$B$5,f_Weather,Dashboard_Calc!$B$6,f_Month,Dashboard_Calc!$B$7,f_Time_Band,Dashboard_Calc!$B$8,f_dteday,"&gt;="&amp;Dashboard_Calc!$B$9,f_dteday,"&lt;="&amp;Dashboard_Calc!$B$10,f_Visible,1,f_hr,N$30,f_Day_Name,$C32),0)</f>
        <v>49.2</v>
      </c>
      <c r="O32" s="20">
        <f>IFERROR(AVERAGEIFS(f_cnt,f_Day_Type,Dashboard_Calc!$B$5,f_Weather,Dashboard_Calc!$B$6,f_Month,Dashboard_Calc!$B$7,f_Time_Band,Dashboard_Calc!$B$8,f_dteday,"&gt;="&amp;Dashboard_Calc!$B$9,f_dteday,"&lt;="&amp;Dashboard_Calc!$B$10,f_Visible,1,f_hr,O$30,f_Day_Name,$C32),0)</f>
        <v>50.8</v>
      </c>
      <c r="P32" s="20">
        <f>IFERROR(AVERAGEIFS(f_cnt,f_Day_Type,Dashboard_Calc!$B$5,f_Weather,Dashboard_Calc!$B$6,f_Month,Dashboard_Calc!$B$7,f_Time_Band,Dashboard_Calc!$B$8,f_dteday,"&gt;="&amp;Dashboard_Calc!$B$9,f_dteday,"&lt;="&amp;Dashboard_Calc!$B$10,f_Visible,1,f_hr,P$30,f_Day_Name,$C32),0)</f>
        <v>60.666666666666664</v>
      </c>
      <c r="Q32" s="20">
        <f>IFERROR(AVERAGEIFS(f_cnt,f_Day_Type,Dashboard_Calc!$B$5,f_Weather,Dashboard_Calc!$B$6,f_Month,Dashboard_Calc!$B$7,f_Time_Band,Dashboard_Calc!$B$8,f_dteday,"&gt;="&amp;Dashboard_Calc!$B$9,f_dteday,"&lt;="&amp;Dashboard_Calc!$B$10,f_Visible,1,f_hr,Q$30,f_Day_Name,$C32),0)</f>
        <v>61</v>
      </c>
      <c r="R32" s="20">
        <f>IFERROR(AVERAGEIFS(f_cnt,f_Day_Type,Dashboard_Calc!$B$5,f_Weather,Dashboard_Calc!$B$6,f_Month,Dashboard_Calc!$B$7,f_Time_Band,Dashboard_Calc!$B$8,f_dteday,"&gt;="&amp;Dashboard_Calc!$B$9,f_dteday,"&lt;="&amp;Dashboard_Calc!$B$10,f_Visible,1,f_hr,R$30,f_Day_Name,$C32),0)</f>
        <v>56.666666666666664</v>
      </c>
      <c r="S32" s="20">
        <f>IFERROR(AVERAGEIFS(f_cnt,f_Day_Type,Dashboard_Calc!$B$5,f_Weather,Dashboard_Calc!$B$6,f_Month,Dashboard_Calc!$B$7,f_Time_Band,Dashboard_Calc!$B$8,f_dteday,"&gt;="&amp;Dashboard_Calc!$B$9,f_dteday,"&lt;="&amp;Dashboard_Calc!$B$10,f_Visible,1,f_hr,S$30,f_Day_Name,$C32),0)</f>
        <v>55.666666666666664</v>
      </c>
      <c r="T32" s="20">
        <f>IFERROR(AVERAGEIFS(f_cnt,f_Day_Type,Dashboard_Calc!$B$5,f_Weather,Dashboard_Calc!$B$6,f_Month,Dashboard_Calc!$B$7,f_Time_Band,Dashboard_Calc!$B$8,f_dteday,"&gt;="&amp;Dashboard_Calc!$B$9,f_dteday,"&lt;="&amp;Dashboard_Calc!$B$10,f_Visible,1,f_hr,T$30,f_Day_Name,$C32),0)</f>
        <v>80.5</v>
      </c>
      <c r="U32" s="20">
        <f>IFERROR(AVERAGEIFS(f_cnt,f_Day_Type,Dashboard_Calc!$B$5,f_Weather,Dashboard_Calc!$B$6,f_Month,Dashboard_Calc!$B$7,f_Time_Band,Dashboard_Calc!$B$8,f_dteday,"&gt;="&amp;Dashboard_Calc!$B$9,f_dteday,"&lt;="&amp;Dashboard_Calc!$B$10,f_Visible,1,f_hr,U$30,f_Day_Name,$C32),0)</f>
        <v>174.5</v>
      </c>
      <c r="V32" s="20">
        <f>IFERROR(AVERAGEIFS(f_cnt,f_Day_Type,Dashboard_Calc!$B$5,f_Weather,Dashboard_Calc!$B$6,f_Month,Dashboard_Calc!$B$7,f_Time_Band,Dashboard_Calc!$B$8,f_dteday,"&gt;="&amp;Dashboard_Calc!$B$9,f_dteday,"&lt;="&amp;Dashboard_Calc!$B$10,f_Visible,1,f_hr,V$30,f_Day_Name,$C32),0)</f>
        <v>159.16666666666666</v>
      </c>
      <c r="W32" s="20">
        <f>IFERROR(AVERAGEIFS(f_cnt,f_Day_Type,Dashboard_Calc!$B$5,f_Weather,Dashboard_Calc!$B$6,f_Month,Dashboard_Calc!$B$7,f_Time_Band,Dashboard_Calc!$B$8,f_dteday,"&gt;="&amp;Dashboard_Calc!$B$9,f_dteday,"&lt;="&amp;Dashboard_Calc!$B$10,f_Visible,1,f_hr,W$30,f_Day_Name,$C32),0)</f>
        <v>102.83333333333333</v>
      </c>
      <c r="X32" s="20">
        <f>IFERROR(AVERAGEIFS(f_cnt,f_Day_Type,Dashboard_Calc!$B$5,f_Weather,Dashboard_Calc!$B$6,f_Month,Dashboard_Calc!$B$7,f_Time_Band,Dashboard_Calc!$B$8,f_dteday,"&gt;="&amp;Dashboard_Calc!$B$9,f_dteday,"&lt;="&amp;Dashboard_Calc!$B$10,f_Visible,1,f_hr,X$30,f_Day_Name,$C32),0)</f>
        <v>69.666666666666671</v>
      </c>
      <c r="Y32" s="20">
        <f>IFERROR(AVERAGEIFS(f_cnt,f_Day_Type,Dashboard_Calc!$B$5,f_Weather,Dashboard_Calc!$B$6,f_Month,Dashboard_Calc!$B$7,f_Time_Band,Dashboard_Calc!$B$8,f_dteday,"&gt;="&amp;Dashboard_Calc!$B$9,f_dteday,"&lt;="&amp;Dashboard_Calc!$B$10,f_Visible,1,f_hr,Y$30,f_Day_Name,$C32),0)</f>
        <v>45.333333333333336</v>
      </c>
      <c r="Z32" s="20">
        <f>IFERROR(AVERAGEIFS(f_cnt,f_Day_Type,Dashboard_Calc!$B$5,f_Weather,Dashboard_Calc!$B$6,f_Month,Dashboard_Calc!$B$7,f_Time_Band,Dashboard_Calc!$B$8,f_dteday,"&gt;="&amp;Dashboard_Calc!$B$9,f_dteday,"&lt;="&amp;Dashboard_Calc!$B$10,f_Visible,1,f_hr,Z$30,f_Day_Name,$C32),0)</f>
        <v>35.833333333333336</v>
      </c>
      <c r="AA32" s="20">
        <f>IFERROR(AVERAGEIFS(f_cnt,f_Day_Type,Dashboard_Calc!$B$5,f_Weather,Dashboard_Calc!$B$6,f_Month,Dashboard_Calc!$B$7,f_Time_Band,Dashboard_Calc!$B$8,f_dteday,"&gt;="&amp;Dashboard_Calc!$B$9,f_dteday,"&lt;="&amp;Dashboard_Calc!$B$10,f_Visible,1,f_hr,AA$30,f_Day_Name,$C32),0)</f>
        <v>19.666666666666668</v>
      </c>
      <c r="AB32" s="104"/>
      <c r="AC32" s="104"/>
      <c r="AD32" s="104"/>
      <c r="AE32" s="9"/>
      <c r="AF32" s="16"/>
      <c r="AG32" s="16"/>
      <c r="AH32" s="16"/>
      <c r="AI32" s="16"/>
      <c r="AJ32" s="16"/>
      <c r="AK32" s="16"/>
      <c r="AL32" s="16"/>
      <c r="AM32" s="16"/>
      <c r="AN32" s="16"/>
      <c r="AO32" s="9"/>
    </row>
    <row r="33" spans="1:41" ht="15" customHeight="1" x14ac:dyDescent="0.2">
      <c r="A33" s="9"/>
      <c r="B33" s="16"/>
      <c r="C33" s="19" t="s">
        <v>69</v>
      </c>
      <c r="D33" s="20">
        <f>IFERROR(AVERAGEIFS(f_cnt,f_Day_Type,Dashboard_Calc!$B$5,f_Weather,Dashboard_Calc!$B$6,f_Month,Dashboard_Calc!$B$7,f_Time_Band,Dashboard_Calc!$B$8,f_dteday,"&gt;="&amp;Dashboard_Calc!$B$9,f_dteday,"&lt;="&amp;Dashboard_Calc!$B$10,f_Visible,1,f_hr,D$30,f_Day_Name,$C33),0)</f>
        <v>8.6666666666666661</v>
      </c>
      <c r="E33" s="20">
        <f>IFERROR(AVERAGEIFS(f_cnt,f_Day_Type,Dashboard_Calc!$B$5,f_Weather,Dashboard_Calc!$B$6,f_Month,Dashboard_Calc!$B$7,f_Time_Band,Dashboard_Calc!$B$8,f_dteday,"&gt;="&amp;Dashboard_Calc!$B$9,f_dteday,"&lt;="&amp;Dashboard_Calc!$B$10,f_Visible,1,f_hr,E$30,f_Day_Name,$C33),0)</f>
        <v>5.666666666666667</v>
      </c>
      <c r="F33" s="20">
        <f>IFERROR(AVERAGEIFS(f_cnt,f_Day_Type,Dashboard_Calc!$B$5,f_Weather,Dashboard_Calc!$B$6,f_Month,Dashboard_Calc!$B$7,f_Time_Band,Dashboard_Calc!$B$8,f_dteday,"&gt;="&amp;Dashboard_Calc!$B$9,f_dteday,"&lt;="&amp;Dashboard_Calc!$B$10,f_Visible,1,f_hr,F$30,f_Day_Name,$C33),0)</f>
        <v>3.8333333333333335</v>
      </c>
      <c r="G33" s="20">
        <f>IFERROR(AVERAGEIFS(f_cnt,f_Day_Type,Dashboard_Calc!$B$5,f_Weather,Dashboard_Calc!$B$6,f_Month,Dashboard_Calc!$B$7,f_Time_Band,Dashboard_Calc!$B$8,f_dteday,"&gt;="&amp;Dashboard_Calc!$B$9,f_dteday,"&lt;="&amp;Dashboard_Calc!$B$10,f_Visible,1,f_hr,G$30,f_Day_Name,$C33),0)</f>
        <v>1.5</v>
      </c>
      <c r="H33" s="20">
        <f>IFERROR(AVERAGEIFS(f_cnt,f_Day_Type,Dashboard_Calc!$B$5,f_Weather,Dashboard_Calc!$B$6,f_Month,Dashboard_Calc!$B$7,f_Time_Band,Dashboard_Calc!$B$8,f_dteday,"&gt;="&amp;Dashboard_Calc!$B$9,f_dteday,"&lt;="&amp;Dashboard_Calc!$B$10,f_Visible,1,f_hr,H$30,f_Day_Name,$C33),0)</f>
        <v>1.6666666666666667</v>
      </c>
      <c r="I33" s="20">
        <f>IFERROR(AVERAGEIFS(f_cnt,f_Day_Type,Dashboard_Calc!$B$5,f_Weather,Dashboard_Calc!$B$6,f_Month,Dashboard_Calc!$B$7,f_Time_Band,Dashboard_Calc!$B$8,f_dteday,"&gt;="&amp;Dashboard_Calc!$B$9,f_dteday,"&lt;="&amp;Dashboard_Calc!$B$10,f_Visible,1,f_hr,I$30,f_Day_Name,$C33),0)</f>
        <v>4.333333333333333</v>
      </c>
      <c r="J33" s="20">
        <f>IFERROR(AVERAGEIFS(f_cnt,f_Day_Type,Dashboard_Calc!$B$5,f_Weather,Dashboard_Calc!$B$6,f_Month,Dashboard_Calc!$B$7,f_Time_Band,Dashboard_Calc!$B$8,f_dteday,"&gt;="&amp;Dashboard_Calc!$B$9,f_dteday,"&lt;="&amp;Dashboard_Calc!$B$10,f_Visible,1,f_hr,J$30,f_Day_Name,$C33),0)</f>
        <v>25</v>
      </c>
      <c r="K33" s="20">
        <f>IFERROR(AVERAGEIFS(f_cnt,f_Day_Type,Dashboard_Calc!$B$5,f_Weather,Dashboard_Calc!$B$6,f_Month,Dashboard_Calc!$B$7,f_Time_Band,Dashboard_Calc!$B$8,f_dteday,"&gt;="&amp;Dashboard_Calc!$B$9,f_dteday,"&lt;="&amp;Dashboard_Calc!$B$10,f_Visible,1,f_hr,K$30,f_Day_Name,$C33),0)</f>
        <v>68.333333333333329</v>
      </c>
      <c r="L33" s="20">
        <f>IFERROR(AVERAGEIFS(f_cnt,f_Day_Type,Dashboard_Calc!$B$5,f_Weather,Dashboard_Calc!$B$6,f_Month,Dashboard_Calc!$B$7,f_Time_Band,Dashboard_Calc!$B$8,f_dteday,"&gt;="&amp;Dashboard_Calc!$B$9,f_dteday,"&lt;="&amp;Dashboard_Calc!$B$10,f_Visible,1,f_hr,L$30,f_Day_Name,$C33),0)</f>
        <v>157.66666666666666</v>
      </c>
      <c r="M33" s="20">
        <f>IFERROR(AVERAGEIFS(f_cnt,f_Day_Type,Dashboard_Calc!$B$5,f_Weather,Dashboard_Calc!$B$6,f_Month,Dashboard_Calc!$B$7,f_Time_Band,Dashboard_Calc!$B$8,f_dteday,"&gt;="&amp;Dashboard_Calc!$B$9,f_dteday,"&lt;="&amp;Dashboard_Calc!$B$10,f_Visible,1,f_hr,M$30,f_Day_Name,$C33),0)</f>
        <v>101.5</v>
      </c>
      <c r="N33" s="20">
        <f>IFERROR(AVERAGEIFS(f_cnt,f_Day_Type,Dashboard_Calc!$B$5,f_Weather,Dashboard_Calc!$B$6,f_Month,Dashboard_Calc!$B$7,f_Time_Band,Dashboard_Calc!$B$8,f_dteday,"&gt;="&amp;Dashboard_Calc!$B$9,f_dteday,"&lt;="&amp;Dashboard_Calc!$B$10,f_Visible,1,f_hr,N$30,f_Day_Name,$C33),0)</f>
        <v>48.5</v>
      </c>
      <c r="O33" s="20">
        <f>IFERROR(AVERAGEIFS(f_cnt,f_Day_Type,Dashboard_Calc!$B$5,f_Weather,Dashboard_Calc!$B$6,f_Month,Dashboard_Calc!$B$7,f_Time_Band,Dashboard_Calc!$B$8,f_dteday,"&gt;="&amp;Dashboard_Calc!$B$9,f_dteday,"&lt;="&amp;Dashboard_Calc!$B$10,f_Visible,1,f_hr,O$30,f_Day_Name,$C33),0)</f>
        <v>44.5</v>
      </c>
      <c r="P33" s="20">
        <f>IFERROR(AVERAGEIFS(f_cnt,f_Day_Type,Dashboard_Calc!$B$5,f_Weather,Dashboard_Calc!$B$6,f_Month,Dashboard_Calc!$B$7,f_Time_Band,Dashboard_Calc!$B$8,f_dteday,"&gt;="&amp;Dashboard_Calc!$B$9,f_dteday,"&lt;="&amp;Dashboard_Calc!$B$10,f_Visible,1,f_hr,P$30,f_Day_Name,$C33),0)</f>
        <v>62.833333333333336</v>
      </c>
      <c r="Q33" s="20">
        <f>IFERROR(AVERAGEIFS(f_cnt,f_Day_Type,Dashboard_Calc!$B$5,f_Weather,Dashboard_Calc!$B$6,f_Month,Dashboard_Calc!$B$7,f_Time_Band,Dashboard_Calc!$B$8,f_dteday,"&gt;="&amp;Dashboard_Calc!$B$9,f_dteday,"&lt;="&amp;Dashboard_Calc!$B$10,f_Visible,1,f_hr,Q$30,f_Day_Name,$C33),0)</f>
        <v>64.833333333333329</v>
      </c>
      <c r="R33" s="20">
        <f>IFERROR(AVERAGEIFS(f_cnt,f_Day_Type,Dashboard_Calc!$B$5,f_Weather,Dashboard_Calc!$B$6,f_Month,Dashboard_Calc!$B$7,f_Time_Band,Dashboard_Calc!$B$8,f_dteday,"&gt;="&amp;Dashboard_Calc!$B$9,f_dteday,"&lt;="&amp;Dashboard_Calc!$B$10,f_Visible,1,f_hr,R$30,f_Day_Name,$C33),0)</f>
        <v>56.333333333333336</v>
      </c>
      <c r="S33" s="20">
        <f>IFERROR(AVERAGEIFS(f_cnt,f_Day_Type,Dashboard_Calc!$B$5,f_Weather,Dashboard_Calc!$B$6,f_Month,Dashboard_Calc!$B$7,f_Time_Band,Dashboard_Calc!$B$8,f_dteday,"&gt;="&amp;Dashboard_Calc!$B$9,f_dteday,"&lt;="&amp;Dashboard_Calc!$B$10,f_Visible,1,f_hr,S$30,f_Day_Name,$C33),0)</f>
        <v>62.666666666666664</v>
      </c>
      <c r="T33" s="20">
        <f>IFERROR(AVERAGEIFS(f_cnt,f_Day_Type,Dashboard_Calc!$B$5,f_Weather,Dashboard_Calc!$B$6,f_Month,Dashboard_Calc!$B$7,f_Time_Band,Dashboard_Calc!$B$8,f_dteday,"&gt;="&amp;Dashboard_Calc!$B$9,f_dteday,"&lt;="&amp;Dashboard_Calc!$B$10,f_Visible,1,f_hr,T$30,f_Day_Name,$C33),0)</f>
        <v>79.833333333333329</v>
      </c>
      <c r="U33" s="20">
        <f>IFERROR(AVERAGEIFS(f_cnt,f_Day_Type,Dashboard_Calc!$B$5,f_Weather,Dashboard_Calc!$B$6,f_Month,Dashboard_Calc!$B$7,f_Time_Band,Dashboard_Calc!$B$8,f_dteday,"&gt;="&amp;Dashboard_Calc!$B$9,f_dteday,"&lt;="&amp;Dashboard_Calc!$B$10,f_Visible,1,f_hr,U$30,f_Day_Name,$C33),0)</f>
        <v>151.33333333333334</v>
      </c>
      <c r="V33" s="20">
        <f>IFERROR(AVERAGEIFS(f_cnt,f_Day_Type,Dashboard_Calc!$B$5,f_Weather,Dashboard_Calc!$B$6,f_Month,Dashboard_Calc!$B$7,f_Time_Band,Dashboard_Calc!$B$8,f_dteday,"&gt;="&amp;Dashboard_Calc!$B$9,f_dteday,"&lt;="&amp;Dashboard_Calc!$B$10,f_Visible,1,f_hr,V$30,f_Day_Name,$C33),0)</f>
        <v>163.80000000000001</v>
      </c>
      <c r="W33" s="20">
        <f>IFERROR(AVERAGEIFS(f_cnt,f_Day_Type,Dashboard_Calc!$B$5,f_Weather,Dashboard_Calc!$B$6,f_Month,Dashboard_Calc!$B$7,f_Time_Band,Dashboard_Calc!$B$8,f_dteday,"&gt;="&amp;Dashboard_Calc!$B$9,f_dteday,"&lt;="&amp;Dashboard_Calc!$B$10,f_Visible,1,f_hr,W$30,f_Day_Name,$C33),0)</f>
        <v>101.2</v>
      </c>
      <c r="X33" s="20">
        <f>IFERROR(AVERAGEIFS(f_cnt,f_Day_Type,Dashboard_Calc!$B$5,f_Weather,Dashboard_Calc!$B$6,f_Month,Dashboard_Calc!$B$7,f_Time_Band,Dashboard_Calc!$B$8,f_dteday,"&gt;="&amp;Dashboard_Calc!$B$9,f_dteday,"&lt;="&amp;Dashboard_Calc!$B$10,f_Visible,1,f_hr,X$30,f_Day_Name,$C33),0)</f>
        <v>76</v>
      </c>
      <c r="Y33" s="20">
        <f>IFERROR(AVERAGEIFS(f_cnt,f_Day_Type,Dashboard_Calc!$B$5,f_Weather,Dashboard_Calc!$B$6,f_Month,Dashboard_Calc!$B$7,f_Time_Band,Dashboard_Calc!$B$8,f_dteday,"&gt;="&amp;Dashboard_Calc!$B$9,f_dteday,"&lt;="&amp;Dashboard_Calc!$B$10,f_Visible,1,f_hr,Y$30,f_Day_Name,$C33),0)</f>
        <v>61</v>
      </c>
      <c r="Z33" s="20">
        <f>IFERROR(AVERAGEIFS(f_cnt,f_Day_Type,Dashboard_Calc!$B$5,f_Weather,Dashboard_Calc!$B$6,f_Month,Dashboard_Calc!$B$7,f_Time_Band,Dashboard_Calc!$B$8,f_dteday,"&gt;="&amp;Dashboard_Calc!$B$9,f_dteday,"&lt;="&amp;Dashboard_Calc!$B$10,f_Visible,1,f_hr,Z$30,f_Day_Name,$C33),0)</f>
        <v>44</v>
      </c>
      <c r="AA33" s="20">
        <f>IFERROR(AVERAGEIFS(f_cnt,f_Day_Type,Dashboard_Calc!$B$5,f_Weather,Dashboard_Calc!$B$6,f_Month,Dashboard_Calc!$B$7,f_Time_Band,Dashboard_Calc!$B$8,f_dteday,"&gt;="&amp;Dashboard_Calc!$B$9,f_dteday,"&lt;="&amp;Dashboard_Calc!$B$10,f_Visible,1,f_hr,AA$30,f_Day_Name,$C33),0)</f>
        <v>27.2</v>
      </c>
      <c r="AB33" s="16"/>
      <c r="AC33" s="16"/>
      <c r="AD33" s="16"/>
      <c r="AE33" s="9"/>
      <c r="AF33" s="16"/>
      <c r="AG33" s="16"/>
      <c r="AH33" s="16"/>
      <c r="AI33" s="16"/>
      <c r="AJ33" s="16"/>
      <c r="AK33" s="16"/>
      <c r="AL33" s="16"/>
      <c r="AM33" s="16"/>
      <c r="AN33" s="16"/>
      <c r="AO33" s="9"/>
    </row>
    <row r="34" spans="1:41" ht="15" customHeight="1" x14ac:dyDescent="0.2">
      <c r="A34" s="9"/>
      <c r="B34" s="16"/>
      <c r="C34" s="19" t="s">
        <v>70</v>
      </c>
      <c r="D34" s="20">
        <f>IFERROR(AVERAGEIFS(f_cnt,f_Day_Type,Dashboard_Calc!$B$5,f_Weather,Dashboard_Calc!$B$6,f_Month,Dashboard_Calc!$B$7,f_Time_Band,Dashboard_Calc!$B$8,f_dteday,"&gt;="&amp;Dashboard_Calc!$B$9,f_dteday,"&lt;="&amp;Dashboard_Calc!$B$10,f_Visible,1,f_hr,D$30,f_Day_Name,$C34),0)</f>
        <v>11.8</v>
      </c>
      <c r="E34" s="20">
        <f>IFERROR(AVERAGEIFS(f_cnt,f_Day_Type,Dashboard_Calc!$B$5,f_Weather,Dashboard_Calc!$B$6,f_Month,Dashboard_Calc!$B$7,f_Time_Band,Dashboard_Calc!$B$8,f_dteday,"&gt;="&amp;Dashboard_Calc!$B$9,f_dteday,"&lt;="&amp;Dashboard_Calc!$B$10,f_Visible,1,f_hr,E$30,f_Day_Name,$C34),0)</f>
        <v>4.5999999999999996</v>
      </c>
      <c r="F34" s="20">
        <f>IFERROR(AVERAGEIFS(f_cnt,f_Day_Type,Dashboard_Calc!$B$5,f_Weather,Dashboard_Calc!$B$6,f_Month,Dashboard_Calc!$B$7,f_Time_Band,Dashboard_Calc!$B$8,f_dteday,"&gt;="&amp;Dashboard_Calc!$B$9,f_dteday,"&lt;="&amp;Dashboard_Calc!$B$10,f_Visible,1,f_hr,F$30,f_Day_Name,$C34),0)</f>
        <v>2.2000000000000002</v>
      </c>
      <c r="G34" s="20">
        <f>IFERROR(AVERAGEIFS(f_cnt,f_Day_Type,Dashboard_Calc!$B$5,f_Weather,Dashboard_Calc!$B$6,f_Month,Dashboard_Calc!$B$7,f_Time_Band,Dashboard_Calc!$B$8,f_dteday,"&gt;="&amp;Dashboard_Calc!$B$9,f_dteday,"&lt;="&amp;Dashboard_Calc!$B$10,f_Visible,1,f_hr,G$30,f_Day_Name,$C34),0)</f>
        <v>1.6666666666666667</v>
      </c>
      <c r="H34" s="20">
        <f>IFERROR(AVERAGEIFS(f_cnt,f_Day_Type,Dashboard_Calc!$B$5,f_Weather,Dashboard_Calc!$B$6,f_Month,Dashboard_Calc!$B$7,f_Time_Band,Dashboard_Calc!$B$8,f_dteday,"&gt;="&amp;Dashboard_Calc!$B$9,f_dteday,"&lt;="&amp;Dashboard_Calc!$B$10,f_Visible,1,f_hr,H$30,f_Day_Name,$C34),0)</f>
        <v>1.75</v>
      </c>
      <c r="I34" s="20">
        <f>IFERROR(AVERAGEIFS(f_cnt,f_Day_Type,Dashboard_Calc!$B$5,f_Weather,Dashboard_Calc!$B$6,f_Month,Dashboard_Calc!$B$7,f_Time_Band,Dashboard_Calc!$B$8,f_dteday,"&gt;="&amp;Dashboard_Calc!$B$9,f_dteday,"&lt;="&amp;Dashboard_Calc!$B$10,f_Visible,1,f_hr,I$30,f_Day_Name,$C34),0)</f>
        <v>4.2</v>
      </c>
      <c r="J34" s="20">
        <f>IFERROR(AVERAGEIFS(f_cnt,f_Day_Type,Dashboard_Calc!$B$5,f_Weather,Dashboard_Calc!$B$6,f_Month,Dashboard_Calc!$B$7,f_Time_Band,Dashboard_Calc!$B$8,f_dteday,"&gt;="&amp;Dashboard_Calc!$B$9,f_dteday,"&lt;="&amp;Dashboard_Calc!$B$10,f_Visible,1,f_hr,J$30,f_Day_Name,$C34),0)</f>
        <v>32.799999999999997</v>
      </c>
      <c r="K34" s="20">
        <f>IFERROR(AVERAGEIFS(f_cnt,f_Day_Type,Dashboard_Calc!$B$5,f_Weather,Dashboard_Calc!$B$6,f_Month,Dashboard_Calc!$B$7,f_Time_Band,Dashboard_Calc!$B$8,f_dteday,"&gt;="&amp;Dashboard_Calc!$B$9,f_dteday,"&lt;="&amp;Dashboard_Calc!$B$10,f_Visible,1,f_hr,K$30,f_Day_Name,$C34),0)</f>
        <v>90.8</v>
      </c>
      <c r="L34" s="20">
        <f>IFERROR(AVERAGEIFS(f_cnt,f_Day_Type,Dashboard_Calc!$B$5,f_Weather,Dashboard_Calc!$B$6,f_Month,Dashboard_Calc!$B$7,f_Time_Band,Dashboard_Calc!$B$8,f_dteday,"&gt;="&amp;Dashboard_Calc!$B$9,f_dteday,"&lt;="&amp;Dashboard_Calc!$B$10,f_Visible,1,f_hr,L$30,f_Day_Name,$C34),0)</f>
        <v>207.2</v>
      </c>
      <c r="M34" s="20">
        <f>IFERROR(AVERAGEIFS(f_cnt,f_Day_Type,Dashboard_Calc!$B$5,f_Weather,Dashboard_Calc!$B$6,f_Month,Dashboard_Calc!$B$7,f_Time_Band,Dashboard_Calc!$B$8,f_dteday,"&gt;="&amp;Dashboard_Calc!$B$9,f_dteday,"&lt;="&amp;Dashboard_Calc!$B$10,f_Visible,1,f_hr,M$30,f_Day_Name,$C34),0)</f>
        <v>131.80000000000001</v>
      </c>
      <c r="N34" s="20">
        <f>IFERROR(AVERAGEIFS(f_cnt,f_Day_Type,Dashboard_Calc!$B$5,f_Weather,Dashboard_Calc!$B$6,f_Month,Dashboard_Calc!$B$7,f_Time_Band,Dashboard_Calc!$B$8,f_dteday,"&gt;="&amp;Dashboard_Calc!$B$9,f_dteday,"&lt;="&amp;Dashboard_Calc!$B$10,f_Visible,1,f_hr,N$30,f_Day_Name,$C34),0)</f>
        <v>45.4</v>
      </c>
      <c r="O34" s="20">
        <f>IFERROR(AVERAGEIFS(f_cnt,f_Day_Type,Dashboard_Calc!$B$5,f_Weather,Dashboard_Calc!$B$6,f_Month,Dashboard_Calc!$B$7,f_Time_Band,Dashboard_Calc!$B$8,f_dteday,"&gt;="&amp;Dashboard_Calc!$B$9,f_dteday,"&lt;="&amp;Dashboard_Calc!$B$10,f_Visible,1,f_hr,O$30,f_Day_Name,$C34),0)</f>
        <v>54.6</v>
      </c>
      <c r="P34" s="20">
        <f>IFERROR(AVERAGEIFS(f_cnt,f_Day_Type,Dashboard_Calc!$B$5,f_Weather,Dashboard_Calc!$B$6,f_Month,Dashboard_Calc!$B$7,f_Time_Band,Dashboard_Calc!$B$8,f_dteday,"&gt;="&amp;Dashboard_Calc!$B$9,f_dteday,"&lt;="&amp;Dashboard_Calc!$B$10,f_Visible,1,f_hr,P$30,f_Day_Name,$C34),0)</f>
        <v>71.599999999999994</v>
      </c>
      <c r="Q34" s="20">
        <f>IFERROR(AVERAGEIFS(f_cnt,f_Day_Type,Dashboard_Calc!$B$5,f_Weather,Dashboard_Calc!$B$6,f_Month,Dashboard_Calc!$B$7,f_Time_Band,Dashboard_Calc!$B$8,f_dteday,"&gt;="&amp;Dashboard_Calc!$B$9,f_dteday,"&lt;="&amp;Dashboard_Calc!$B$10,f_Visible,1,f_hr,Q$30,f_Day_Name,$C34),0)</f>
        <v>72.2</v>
      </c>
      <c r="R34" s="20">
        <f>IFERROR(AVERAGEIFS(f_cnt,f_Day_Type,Dashboard_Calc!$B$5,f_Weather,Dashboard_Calc!$B$6,f_Month,Dashboard_Calc!$B$7,f_Time_Band,Dashboard_Calc!$B$8,f_dteday,"&gt;="&amp;Dashboard_Calc!$B$9,f_dteday,"&lt;="&amp;Dashboard_Calc!$B$10,f_Visible,1,f_hr,R$30,f_Day_Name,$C34),0)</f>
        <v>57.6</v>
      </c>
      <c r="S34" s="20">
        <f>IFERROR(AVERAGEIFS(f_cnt,f_Day_Type,Dashboard_Calc!$B$5,f_Weather,Dashboard_Calc!$B$6,f_Month,Dashboard_Calc!$B$7,f_Time_Band,Dashboard_Calc!$B$8,f_dteday,"&gt;="&amp;Dashboard_Calc!$B$9,f_dteday,"&lt;="&amp;Dashboard_Calc!$B$10,f_Visible,1,f_hr,S$30,f_Day_Name,$C34),0)</f>
        <v>60.4</v>
      </c>
      <c r="T34" s="20">
        <f>IFERROR(AVERAGEIFS(f_cnt,f_Day_Type,Dashboard_Calc!$B$5,f_Weather,Dashboard_Calc!$B$6,f_Month,Dashboard_Calc!$B$7,f_Time_Band,Dashboard_Calc!$B$8,f_dteday,"&gt;="&amp;Dashboard_Calc!$B$9,f_dteday,"&lt;="&amp;Dashboard_Calc!$B$10,f_Visible,1,f_hr,T$30,f_Day_Name,$C34),0)</f>
        <v>72.833333333333329</v>
      </c>
      <c r="U34" s="20">
        <f>IFERROR(AVERAGEIFS(f_cnt,f_Day_Type,Dashboard_Calc!$B$5,f_Weather,Dashboard_Calc!$B$6,f_Month,Dashboard_Calc!$B$7,f_Time_Band,Dashboard_Calc!$B$8,f_dteday,"&gt;="&amp;Dashboard_Calc!$B$9,f_dteday,"&lt;="&amp;Dashboard_Calc!$B$10,f_Visible,1,f_hr,U$30,f_Day_Name,$C34),0)</f>
        <v>162.16666666666666</v>
      </c>
      <c r="V34" s="20">
        <f>IFERROR(AVERAGEIFS(f_cnt,f_Day_Type,Dashboard_Calc!$B$5,f_Weather,Dashboard_Calc!$B$6,f_Month,Dashboard_Calc!$B$7,f_Time_Band,Dashboard_Calc!$B$8,f_dteday,"&gt;="&amp;Dashboard_Calc!$B$9,f_dteday,"&lt;="&amp;Dashboard_Calc!$B$10,f_Visible,1,f_hr,V$30,f_Day_Name,$C34),0)</f>
        <v>150.5</v>
      </c>
      <c r="W34" s="20">
        <f>IFERROR(AVERAGEIFS(f_cnt,f_Day_Type,Dashboard_Calc!$B$5,f_Weather,Dashboard_Calc!$B$6,f_Month,Dashboard_Calc!$B$7,f_Time_Band,Dashboard_Calc!$B$8,f_dteday,"&gt;="&amp;Dashboard_Calc!$B$9,f_dteday,"&lt;="&amp;Dashboard_Calc!$B$10,f_Visible,1,f_hr,W$30,f_Day_Name,$C34),0)</f>
        <v>108.33333333333333</v>
      </c>
      <c r="X34" s="20">
        <f>IFERROR(AVERAGEIFS(f_cnt,f_Day_Type,Dashboard_Calc!$B$5,f_Weather,Dashboard_Calc!$B$6,f_Month,Dashboard_Calc!$B$7,f_Time_Band,Dashboard_Calc!$B$8,f_dteday,"&gt;="&amp;Dashboard_Calc!$B$9,f_dteday,"&lt;="&amp;Dashboard_Calc!$B$10,f_Visible,1,f_hr,X$30,f_Day_Name,$C34),0)</f>
        <v>87.333333333333329</v>
      </c>
      <c r="Y34" s="20">
        <f>IFERROR(AVERAGEIFS(f_cnt,f_Day_Type,Dashboard_Calc!$B$5,f_Weather,Dashboard_Calc!$B$6,f_Month,Dashboard_Calc!$B$7,f_Time_Band,Dashboard_Calc!$B$8,f_dteday,"&gt;="&amp;Dashboard_Calc!$B$9,f_dteday,"&lt;="&amp;Dashboard_Calc!$B$10,f_Visible,1,f_hr,Y$30,f_Day_Name,$C34),0)</f>
        <v>51.5</v>
      </c>
      <c r="Z34" s="20">
        <f>IFERROR(AVERAGEIFS(f_cnt,f_Day_Type,Dashboard_Calc!$B$5,f_Weather,Dashboard_Calc!$B$6,f_Month,Dashboard_Calc!$B$7,f_Time_Band,Dashboard_Calc!$B$8,f_dteday,"&gt;="&amp;Dashboard_Calc!$B$9,f_dteday,"&lt;="&amp;Dashboard_Calc!$B$10,f_Visible,1,f_hr,Z$30,f_Day_Name,$C34),0)</f>
        <v>42.833333333333336</v>
      </c>
      <c r="AA34" s="20">
        <f>IFERROR(AVERAGEIFS(f_cnt,f_Day_Type,Dashboard_Calc!$B$5,f_Weather,Dashboard_Calc!$B$6,f_Month,Dashboard_Calc!$B$7,f_Time_Band,Dashboard_Calc!$B$8,f_dteday,"&gt;="&amp;Dashboard_Calc!$B$9,f_dteday,"&lt;="&amp;Dashboard_Calc!$B$10,f_Visible,1,f_hr,AA$30,f_Day_Name,$C34),0)</f>
        <v>26.166666666666668</v>
      </c>
      <c r="AB34" s="16"/>
      <c r="AC34" s="16"/>
      <c r="AD34" s="16"/>
      <c r="AE34" s="9"/>
      <c r="AF34" s="16"/>
      <c r="AG34" s="16"/>
      <c r="AH34" s="16"/>
      <c r="AI34" s="16"/>
      <c r="AJ34" s="16"/>
      <c r="AK34" s="16"/>
      <c r="AL34" s="16"/>
      <c r="AM34" s="16"/>
      <c r="AN34" s="16"/>
      <c r="AO34" s="9"/>
    </row>
    <row r="35" spans="1:41" ht="15" customHeight="1" x14ac:dyDescent="0.2">
      <c r="A35" s="9"/>
      <c r="B35" s="16"/>
      <c r="C35" s="19" t="s">
        <v>71</v>
      </c>
      <c r="D35" s="20">
        <f>IFERROR(AVERAGEIFS(f_cnt,f_Day_Type,Dashboard_Calc!$B$5,f_Weather,Dashboard_Calc!$B$6,f_Month,Dashboard_Calc!$B$7,f_Time_Band,Dashboard_Calc!$B$8,f_dteday,"&gt;="&amp;Dashboard_Calc!$B$9,f_dteday,"&lt;="&amp;Dashboard_Calc!$B$10,f_Visible,1,f_hr,D$30,f_Day_Name,$C35),0)</f>
        <v>14.666666666666666</v>
      </c>
      <c r="E35" s="20">
        <f>IFERROR(AVERAGEIFS(f_cnt,f_Day_Type,Dashboard_Calc!$B$5,f_Weather,Dashboard_Calc!$B$6,f_Month,Dashboard_Calc!$B$7,f_Time_Band,Dashboard_Calc!$B$8,f_dteday,"&gt;="&amp;Dashboard_Calc!$B$9,f_dteday,"&lt;="&amp;Dashboard_Calc!$B$10,f_Visible,1,f_hr,E$30,f_Day_Name,$C35),0)</f>
        <v>5.833333333333333</v>
      </c>
      <c r="F35" s="20">
        <f>IFERROR(AVERAGEIFS(f_cnt,f_Day_Type,Dashboard_Calc!$B$5,f_Weather,Dashboard_Calc!$B$6,f_Month,Dashboard_Calc!$B$7,f_Time_Band,Dashboard_Calc!$B$8,f_dteday,"&gt;="&amp;Dashboard_Calc!$B$9,f_dteday,"&lt;="&amp;Dashboard_Calc!$B$10,f_Visible,1,f_hr,F$30,f_Day_Name,$C35),0)</f>
        <v>1.6666666666666667</v>
      </c>
      <c r="G35" s="20">
        <f>IFERROR(AVERAGEIFS(f_cnt,f_Day_Type,Dashboard_Calc!$B$5,f_Weather,Dashboard_Calc!$B$6,f_Month,Dashboard_Calc!$B$7,f_Time_Band,Dashboard_Calc!$B$8,f_dteday,"&gt;="&amp;Dashboard_Calc!$B$9,f_dteday,"&lt;="&amp;Dashboard_Calc!$B$10,f_Visible,1,f_hr,G$30,f_Day_Name,$C35),0)</f>
        <v>1</v>
      </c>
      <c r="H35" s="20">
        <f>IFERROR(AVERAGEIFS(f_cnt,f_Day_Type,Dashboard_Calc!$B$5,f_Weather,Dashboard_Calc!$B$6,f_Month,Dashboard_Calc!$B$7,f_Time_Band,Dashboard_Calc!$B$8,f_dteday,"&gt;="&amp;Dashboard_Calc!$B$9,f_dteday,"&lt;="&amp;Dashboard_Calc!$B$10,f_Visible,1,f_hr,H$30,f_Day_Name,$C35),0)</f>
        <v>1</v>
      </c>
      <c r="I35" s="20">
        <f>IFERROR(AVERAGEIFS(f_cnt,f_Day_Type,Dashboard_Calc!$B$5,f_Weather,Dashboard_Calc!$B$6,f_Month,Dashboard_Calc!$B$7,f_Time_Band,Dashboard_Calc!$B$8,f_dteday,"&gt;="&amp;Dashboard_Calc!$B$9,f_dteday,"&lt;="&amp;Dashboard_Calc!$B$10,f_Visible,1,f_hr,I$30,f_Day_Name,$C35),0)</f>
        <v>5.5</v>
      </c>
      <c r="J35" s="20">
        <f>IFERROR(AVERAGEIFS(f_cnt,f_Day_Type,Dashboard_Calc!$B$5,f_Weather,Dashboard_Calc!$B$6,f_Month,Dashboard_Calc!$B$7,f_Time_Band,Dashboard_Calc!$B$8,f_dteday,"&gt;="&amp;Dashboard_Calc!$B$9,f_dteday,"&lt;="&amp;Dashboard_Calc!$B$10,f_Visible,1,f_hr,J$30,f_Day_Name,$C35),0)</f>
        <v>24.333333333333332</v>
      </c>
      <c r="K35" s="20">
        <f>IFERROR(AVERAGEIFS(f_cnt,f_Day_Type,Dashboard_Calc!$B$5,f_Weather,Dashboard_Calc!$B$6,f_Month,Dashboard_Calc!$B$7,f_Time_Band,Dashboard_Calc!$B$8,f_dteday,"&gt;="&amp;Dashboard_Calc!$B$9,f_dteday,"&lt;="&amp;Dashboard_Calc!$B$10,f_Visible,1,f_hr,K$30,f_Day_Name,$C35),0)</f>
        <v>73.833333333333329</v>
      </c>
      <c r="L35" s="20">
        <f>IFERROR(AVERAGEIFS(f_cnt,f_Day_Type,Dashboard_Calc!$B$5,f_Weather,Dashboard_Calc!$B$6,f_Month,Dashboard_Calc!$B$7,f_Time_Band,Dashboard_Calc!$B$8,f_dteday,"&gt;="&amp;Dashboard_Calc!$B$9,f_dteday,"&lt;="&amp;Dashboard_Calc!$B$10,f_Visible,1,f_hr,L$30,f_Day_Name,$C35),0)</f>
        <v>196.33333333333334</v>
      </c>
      <c r="M35" s="20">
        <f>IFERROR(AVERAGEIFS(f_cnt,f_Day_Type,Dashboard_Calc!$B$5,f_Weather,Dashboard_Calc!$B$6,f_Month,Dashboard_Calc!$B$7,f_Time_Band,Dashboard_Calc!$B$8,f_dteday,"&gt;="&amp;Dashboard_Calc!$B$9,f_dteday,"&lt;="&amp;Dashboard_Calc!$B$10,f_Visible,1,f_hr,M$30,f_Day_Name,$C35),0)</f>
        <v>130.83333333333334</v>
      </c>
      <c r="N35" s="20">
        <f>IFERROR(AVERAGEIFS(f_cnt,f_Day_Type,Dashboard_Calc!$B$5,f_Weather,Dashboard_Calc!$B$6,f_Month,Dashboard_Calc!$B$7,f_Time_Band,Dashboard_Calc!$B$8,f_dteday,"&gt;="&amp;Dashboard_Calc!$B$9,f_dteday,"&lt;="&amp;Dashboard_Calc!$B$10,f_Visible,1,f_hr,N$30,f_Day_Name,$C35),0)</f>
        <v>52.333333333333336</v>
      </c>
      <c r="O35" s="20">
        <f>IFERROR(AVERAGEIFS(f_cnt,f_Day_Type,Dashboard_Calc!$B$5,f_Weather,Dashboard_Calc!$B$6,f_Month,Dashboard_Calc!$B$7,f_Time_Band,Dashboard_Calc!$B$8,f_dteday,"&gt;="&amp;Dashboard_Calc!$B$9,f_dteday,"&lt;="&amp;Dashboard_Calc!$B$10,f_Visible,1,f_hr,O$30,f_Day_Name,$C35),0)</f>
        <v>56.166666666666664</v>
      </c>
      <c r="P35" s="20">
        <f>IFERROR(AVERAGEIFS(f_cnt,f_Day_Type,Dashboard_Calc!$B$5,f_Weather,Dashboard_Calc!$B$6,f_Month,Dashboard_Calc!$B$7,f_Time_Band,Dashboard_Calc!$B$8,f_dteday,"&gt;="&amp;Dashboard_Calc!$B$9,f_dteday,"&lt;="&amp;Dashboard_Calc!$B$10,f_Visible,1,f_hr,P$30,f_Day_Name,$C35),0)</f>
        <v>64</v>
      </c>
      <c r="Q35" s="20">
        <f>IFERROR(AVERAGEIFS(f_cnt,f_Day_Type,Dashboard_Calc!$B$5,f_Weather,Dashboard_Calc!$B$6,f_Month,Dashboard_Calc!$B$7,f_Time_Band,Dashboard_Calc!$B$8,f_dteday,"&gt;="&amp;Dashboard_Calc!$B$9,f_dteday,"&lt;="&amp;Dashboard_Calc!$B$10,f_Visible,1,f_hr,Q$30,f_Day_Name,$C35),0)</f>
        <v>74.333333333333329</v>
      </c>
      <c r="R35" s="20">
        <f>IFERROR(AVERAGEIFS(f_cnt,f_Day_Type,Dashboard_Calc!$B$5,f_Weather,Dashboard_Calc!$B$6,f_Month,Dashboard_Calc!$B$7,f_Time_Band,Dashboard_Calc!$B$8,f_dteday,"&gt;="&amp;Dashboard_Calc!$B$9,f_dteday,"&lt;="&amp;Dashboard_Calc!$B$10,f_Visible,1,f_hr,R$30,f_Day_Name,$C35),0)</f>
        <v>64.833333333333329</v>
      </c>
      <c r="S35" s="20">
        <f>IFERROR(AVERAGEIFS(f_cnt,f_Day_Type,Dashboard_Calc!$B$5,f_Weather,Dashboard_Calc!$B$6,f_Month,Dashboard_Calc!$B$7,f_Time_Band,Dashboard_Calc!$B$8,f_dteday,"&gt;="&amp;Dashboard_Calc!$B$9,f_dteday,"&lt;="&amp;Dashboard_Calc!$B$10,f_Visible,1,f_hr,S$30,f_Day_Name,$C35),0)</f>
        <v>68.333333333333329</v>
      </c>
      <c r="T35" s="20">
        <f>IFERROR(AVERAGEIFS(f_cnt,f_Day_Type,Dashboard_Calc!$B$5,f_Weather,Dashboard_Calc!$B$6,f_Month,Dashboard_Calc!$B$7,f_Time_Band,Dashboard_Calc!$B$8,f_dteday,"&gt;="&amp;Dashboard_Calc!$B$9,f_dteday,"&lt;="&amp;Dashboard_Calc!$B$10,f_Visible,1,f_hr,T$30,f_Day_Name,$C35),0)</f>
        <v>96.333333333333329</v>
      </c>
      <c r="U35" s="20">
        <f>IFERROR(AVERAGEIFS(f_cnt,f_Day_Type,Dashboard_Calc!$B$5,f_Weather,Dashboard_Calc!$B$6,f_Month,Dashboard_Calc!$B$7,f_Time_Band,Dashboard_Calc!$B$8,f_dteday,"&gt;="&amp;Dashboard_Calc!$B$9,f_dteday,"&lt;="&amp;Dashboard_Calc!$B$10,f_Visible,1,f_hr,U$30,f_Day_Name,$C35),0)</f>
        <v>178.66666666666666</v>
      </c>
      <c r="V35" s="20">
        <f>IFERROR(AVERAGEIFS(f_cnt,f_Day_Type,Dashboard_Calc!$B$5,f_Weather,Dashboard_Calc!$B$6,f_Month,Dashboard_Calc!$B$7,f_Time_Band,Dashboard_Calc!$B$8,f_dteday,"&gt;="&amp;Dashboard_Calc!$B$9,f_dteday,"&lt;="&amp;Dashboard_Calc!$B$10,f_Visible,1,f_hr,V$30,f_Day_Name,$C35),0)</f>
        <v>136.66666666666666</v>
      </c>
      <c r="W35" s="20">
        <f>IFERROR(AVERAGEIFS(f_cnt,f_Day_Type,Dashboard_Calc!$B$5,f_Weather,Dashboard_Calc!$B$6,f_Month,Dashboard_Calc!$B$7,f_Time_Band,Dashboard_Calc!$B$8,f_dteday,"&gt;="&amp;Dashboard_Calc!$B$9,f_dteday,"&lt;="&amp;Dashboard_Calc!$B$10,f_Visible,1,f_hr,W$30,f_Day_Name,$C35),0)</f>
        <v>96</v>
      </c>
      <c r="X35" s="20">
        <f>IFERROR(AVERAGEIFS(f_cnt,f_Day_Type,Dashboard_Calc!$B$5,f_Weather,Dashboard_Calc!$B$6,f_Month,Dashboard_Calc!$B$7,f_Time_Band,Dashboard_Calc!$B$8,f_dteday,"&gt;="&amp;Dashboard_Calc!$B$9,f_dteday,"&lt;="&amp;Dashboard_Calc!$B$10,f_Visible,1,f_hr,X$30,f_Day_Name,$C35),0)</f>
        <v>61.333333333333336</v>
      </c>
      <c r="Y35" s="20">
        <f>IFERROR(AVERAGEIFS(f_cnt,f_Day_Type,Dashboard_Calc!$B$5,f_Weather,Dashboard_Calc!$B$6,f_Month,Dashboard_Calc!$B$7,f_Time_Band,Dashboard_Calc!$B$8,f_dteday,"&gt;="&amp;Dashboard_Calc!$B$9,f_dteday,"&lt;="&amp;Dashboard_Calc!$B$10,f_Visible,1,f_hr,Y$30,f_Day_Name,$C35),0)</f>
        <v>46.666666666666664</v>
      </c>
      <c r="Z35" s="20">
        <f>IFERROR(AVERAGEIFS(f_cnt,f_Day_Type,Dashboard_Calc!$B$5,f_Weather,Dashboard_Calc!$B$6,f_Month,Dashboard_Calc!$B$7,f_Time_Band,Dashboard_Calc!$B$8,f_dteday,"&gt;="&amp;Dashboard_Calc!$B$9,f_dteday,"&lt;="&amp;Dashboard_Calc!$B$10,f_Visible,1,f_hr,Z$30,f_Day_Name,$C35),0)</f>
        <v>36.833333333333336</v>
      </c>
      <c r="AA35" s="20">
        <f>IFERROR(AVERAGEIFS(f_cnt,f_Day_Type,Dashboard_Calc!$B$5,f_Weather,Dashboard_Calc!$B$6,f_Month,Dashboard_Calc!$B$7,f_Time_Band,Dashboard_Calc!$B$8,f_dteday,"&gt;="&amp;Dashboard_Calc!$B$9,f_dteday,"&lt;="&amp;Dashboard_Calc!$B$10,f_Visible,1,f_hr,AA$30,f_Day_Name,$C35),0)</f>
        <v>29.333333333333332</v>
      </c>
      <c r="AB35" s="16"/>
      <c r="AC35" s="16"/>
      <c r="AD35" s="16"/>
      <c r="AE35" s="9"/>
      <c r="AF35" s="16"/>
      <c r="AG35" s="16"/>
      <c r="AH35" s="16"/>
      <c r="AI35" s="16"/>
      <c r="AJ35" s="16"/>
      <c r="AK35" s="16"/>
      <c r="AL35" s="16"/>
      <c r="AM35" s="16"/>
      <c r="AN35" s="16"/>
      <c r="AO35" s="9"/>
    </row>
    <row r="36" spans="1:41" ht="15" customHeight="1" x14ac:dyDescent="0.2">
      <c r="A36" s="9"/>
      <c r="B36" s="16"/>
      <c r="C36" s="19" t="s">
        <v>72</v>
      </c>
      <c r="D36" s="20">
        <f>IFERROR(AVERAGEIFS(f_cnt,f_Day_Type,Dashboard_Calc!$B$5,f_Weather,Dashboard_Calc!$B$6,f_Month,Dashboard_Calc!$B$7,f_Time_Band,Dashboard_Calc!$B$8,f_dteday,"&gt;="&amp;Dashboard_Calc!$B$9,f_dteday,"&lt;="&amp;Dashboard_Calc!$B$10,f_Visible,1,f_hr,D$30,f_Day_Name,$C36),0)</f>
        <v>25.571428571428573</v>
      </c>
      <c r="E36" s="20">
        <f>IFERROR(AVERAGEIFS(f_cnt,f_Day_Type,Dashboard_Calc!$B$5,f_Weather,Dashboard_Calc!$B$6,f_Month,Dashboard_Calc!$B$7,f_Time_Band,Dashboard_Calc!$B$8,f_dteday,"&gt;="&amp;Dashboard_Calc!$B$9,f_dteday,"&lt;="&amp;Dashboard_Calc!$B$10,f_Visible,1,f_hr,E$30,f_Day_Name,$C36),0)</f>
        <v>21.428571428571427</v>
      </c>
      <c r="F36" s="20">
        <f>IFERROR(AVERAGEIFS(f_cnt,f_Day_Type,Dashboard_Calc!$B$5,f_Weather,Dashboard_Calc!$B$6,f_Month,Dashboard_Calc!$B$7,f_Time_Band,Dashboard_Calc!$B$8,f_dteday,"&gt;="&amp;Dashboard_Calc!$B$9,f_dteday,"&lt;="&amp;Dashboard_Calc!$B$10,f_Visible,1,f_hr,F$30,f_Day_Name,$C36),0)</f>
        <v>16.857142857142858</v>
      </c>
      <c r="G36" s="20">
        <f>IFERROR(AVERAGEIFS(f_cnt,f_Day_Type,Dashboard_Calc!$B$5,f_Weather,Dashboard_Calc!$B$6,f_Month,Dashboard_Calc!$B$7,f_Time_Band,Dashboard_Calc!$B$8,f_dteday,"&gt;="&amp;Dashboard_Calc!$B$9,f_dteday,"&lt;="&amp;Dashboard_Calc!$B$10,f_Visible,1,f_hr,G$30,f_Day_Name,$C36),0)</f>
        <v>9.1428571428571423</v>
      </c>
      <c r="H36" s="20">
        <f>IFERROR(AVERAGEIFS(f_cnt,f_Day_Type,Dashboard_Calc!$B$5,f_Weather,Dashboard_Calc!$B$6,f_Month,Dashboard_Calc!$B$7,f_Time_Band,Dashboard_Calc!$B$8,f_dteday,"&gt;="&amp;Dashboard_Calc!$B$9,f_dteday,"&lt;="&amp;Dashboard_Calc!$B$10,f_Visible,1,f_hr,H$30,f_Day_Name,$C36),0)</f>
        <v>3.5714285714285716</v>
      </c>
      <c r="I36" s="20">
        <f>IFERROR(AVERAGEIFS(f_cnt,f_Day_Type,Dashboard_Calc!$B$5,f_Weather,Dashboard_Calc!$B$6,f_Month,Dashboard_Calc!$B$7,f_Time_Band,Dashboard_Calc!$B$8,f_dteday,"&gt;="&amp;Dashboard_Calc!$B$9,f_dteday,"&lt;="&amp;Dashboard_Calc!$B$10,f_Visible,1,f_hr,I$30,f_Day_Name,$C36),0)</f>
        <v>3.4</v>
      </c>
      <c r="J36" s="20">
        <f>IFERROR(AVERAGEIFS(f_cnt,f_Day_Type,Dashboard_Calc!$B$5,f_Weather,Dashboard_Calc!$B$6,f_Month,Dashboard_Calc!$B$7,f_Time_Band,Dashboard_Calc!$B$8,f_dteday,"&gt;="&amp;Dashboard_Calc!$B$9,f_dteday,"&lt;="&amp;Dashboard_Calc!$B$10,f_Visible,1,f_hr,J$30,f_Day_Name,$C36),0)</f>
        <v>2.4285714285714284</v>
      </c>
      <c r="K36" s="20">
        <f>IFERROR(AVERAGEIFS(f_cnt,f_Day_Type,Dashboard_Calc!$B$5,f_Weather,Dashboard_Calc!$B$6,f_Month,Dashboard_Calc!$B$7,f_Time_Band,Dashboard_Calc!$B$8,f_dteday,"&gt;="&amp;Dashboard_Calc!$B$9,f_dteday,"&lt;="&amp;Dashboard_Calc!$B$10,f_Visible,1,f_hr,K$30,f_Day_Name,$C36),0)</f>
        <v>7.1428571428571432</v>
      </c>
      <c r="L36" s="20">
        <f>IFERROR(AVERAGEIFS(f_cnt,f_Day_Type,Dashboard_Calc!$B$5,f_Weather,Dashboard_Calc!$B$6,f_Month,Dashboard_Calc!$B$7,f_Time_Band,Dashboard_Calc!$B$8,f_dteday,"&gt;="&amp;Dashboard_Calc!$B$9,f_dteday,"&lt;="&amp;Dashboard_Calc!$B$10,f_Visible,1,f_hr,L$30,f_Day_Name,$C36),0)</f>
        <v>21</v>
      </c>
      <c r="M36" s="20">
        <f>IFERROR(AVERAGEIFS(f_cnt,f_Day_Type,Dashboard_Calc!$B$5,f_Weather,Dashboard_Calc!$B$6,f_Month,Dashboard_Calc!$B$7,f_Time_Band,Dashboard_Calc!$B$8,f_dteday,"&gt;="&amp;Dashboard_Calc!$B$9,f_dteday,"&lt;="&amp;Dashboard_Calc!$B$10,f_Visible,1,f_hr,M$30,f_Day_Name,$C36),0)</f>
        <v>29.142857142857142</v>
      </c>
      <c r="N36" s="20">
        <f>IFERROR(AVERAGEIFS(f_cnt,f_Day_Type,Dashboard_Calc!$B$5,f_Weather,Dashboard_Calc!$B$6,f_Month,Dashboard_Calc!$B$7,f_Time_Band,Dashboard_Calc!$B$8,f_dteday,"&gt;="&amp;Dashboard_Calc!$B$9,f_dteday,"&lt;="&amp;Dashboard_Calc!$B$10,f_Visible,1,f_hr,N$30,f_Day_Name,$C36),0)</f>
        <v>54.571428571428569</v>
      </c>
      <c r="O36" s="20">
        <f>IFERROR(AVERAGEIFS(f_cnt,f_Day_Type,Dashboard_Calc!$B$5,f_Weather,Dashboard_Calc!$B$6,f_Month,Dashboard_Calc!$B$7,f_Time_Band,Dashboard_Calc!$B$8,f_dteday,"&gt;="&amp;Dashboard_Calc!$B$9,f_dteday,"&lt;="&amp;Dashboard_Calc!$B$10,f_Visible,1,f_hr,O$30,f_Day_Name,$C36),0)</f>
        <v>68.285714285714292</v>
      </c>
      <c r="P36" s="20">
        <f>IFERROR(AVERAGEIFS(f_cnt,f_Day_Type,Dashboard_Calc!$B$5,f_Weather,Dashboard_Calc!$B$6,f_Month,Dashboard_Calc!$B$7,f_Time_Band,Dashboard_Calc!$B$8,f_dteday,"&gt;="&amp;Dashboard_Calc!$B$9,f_dteday,"&lt;="&amp;Dashboard_Calc!$B$10,f_Visible,1,f_hr,P$30,f_Day_Name,$C36),0)</f>
        <v>84.428571428571431</v>
      </c>
      <c r="Q36" s="20">
        <f>IFERROR(AVERAGEIFS(f_cnt,f_Day_Type,Dashboard_Calc!$B$5,f_Weather,Dashboard_Calc!$B$6,f_Month,Dashboard_Calc!$B$7,f_Time_Band,Dashboard_Calc!$B$8,f_dteday,"&gt;="&amp;Dashboard_Calc!$B$9,f_dteday,"&lt;="&amp;Dashboard_Calc!$B$10,f_Visible,1,f_hr,Q$30,f_Day_Name,$C36),0)</f>
        <v>93.285714285714292</v>
      </c>
      <c r="R36" s="20">
        <f>IFERROR(AVERAGEIFS(f_cnt,f_Day_Type,Dashboard_Calc!$B$5,f_Weather,Dashboard_Calc!$B$6,f_Month,Dashboard_Calc!$B$7,f_Time_Band,Dashboard_Calc!$B$8,f_dteday,"&gt;="&amp;Dashboard_Calc!$B$9,f_dteday,"&lt;="&amp;Dashboard_Calc!$B$10,f_Visible,1,f_hr,R$30,f_Day_Name,$C36),0)</f>
        <v>95.428571428571431</v>
      </c>
      <c r="S36" s="20">
        <f>IFERROR(AVERAGEIFS(f_cnt,f_Day_Type,Dashboard_Calc!$B$5,f_Weather,Dashboard_Calc!$B$6,f_Month,Dashboard_Calc!$B$7,f_Time_Band,Dashboard_Calc!$B$8,f_dteday,"&gt;="&amp;Dashboard_Calc!$B$9,f_dteday,"&lt;="&amp;Dashboard_Calc!$B$10,f_Visible,1,f_hr,S$30,f_Day_Name,$C36),0)</f>
        <v>110</v>
      </c>
      <c r="T36" s="20">
        <f>IFERROR(AVERAGEIFS(f_cnt,f_Day_Type,Dashboard_Calc!$B$5,f_Weather,Dashboard_Calc!$B$6,f_Month,Dashboard_Calc!$B$7,f_Time_Band,Dashboard_Calc!$B$8,f_dteday,"&gt;="&amp;Dashboard_Calc!$B$9,f_dteday,"&lt;="&amp;Dashboard_Calc!$B$10,f_Visible,1,f_hr,T$30,f_Day_Name,$C36),0)</f>
        <v>100.42857142857143</v>
      </c>
      <c r="U36" s="20">
        <f>IFERROR(AVERAGEIFS(f_cnt,f_Day_Type,Dashboard_Calc!$B$5,f_Weather,Dashboard_Calc!$B$6,f_Month,Dashboard_Calc!$B$7,f_Time_Band,Dashboard_Calc!$B$8,f_dteday,"&gt;="&amp;Dashboard_Calc!$B$9,f_dteday,"&lt;="&amp;Dashboard_Calc!$B$10,f_Visible,1,f_hr,U$30,f_Day_Name,$C36),0)</f>
        <v>84.571428571428569</v>
      </c>
      <c r="V36" s="20">
        <f>IFERROR(AVERAGEIFS(f_cnt,f_Day_Type,Dashboard_Calc!$B$5,f_Weather,Dashboard_Calc!$B$6,f_Month,Dashboard_Calc!$B$7,f_Time_Band,Dashboard_Calc!$B$8,f_dteday,"&gt;="&amp;Dashboard_Calc!$B$9,f_dteday,"&lt;="&amp;Dashboard_Calc!$B$10,f_Visible,1,f_hr,V$30,f_Day_Name,$C36),0)</f>
        <v>63.285714285714285</v>
      </c>
      <c r="W36" s="20">
        <f>IFERROR(AVERAGEIFS(f_cnt,f_Day_Type,Dashboard_Calc!$B$5,f_Weather,Dashboard_Calc!$B$6,f_Month,Dashboard_Calc!$B$7,f_Time_Band,Dashboard_Calc!$B$8,f_dteday,"&gt;="&amp;Dashboard_Calc!$B$9,f_dteday,"&lt;="&amp;Dashboard_Calc!$B$10,f_Visible,1,f_hr,W$30,f_Day_Name,$C36),0)</f>
        <v>54.714285714285715</v>
      </c>
      <c r="X36" s="20">
        <f>IFERROR(AVERAGEIFS(f_cnt,f_Day_Type,Dashboard_Calc!$B$5,f_Weather,Dashboard_Calc!$B$6,f_Month,Dashboard_Calc!$B$7,f_Time_Band,Dashboard_Calc!$B$8,f_dteday,"&gt;="&amp;Dashboard_Calc!$B$9,f_dteday,"&lt;="&amp;Dashboard_Calc!$B$10,f_Visible,1,f_hr,X$30,f_Day_Name,$C36),0)</f>
        <v>43.142857142857146</v>
      </c>
      <c r="Y36" s="20">
        <f>IFERROR(AVERAGEIFS(f_cnt,f_Day_Type,Dashboard_Calc!$B$5,f_Weather,Dashboard_Calc!$B$6,f_Month,Dashboard_Calc!$B$7,f_Time_Band,Dashboard_Calc!$B$8,f_dteday,"&gt;="&amp;Dashboard_Calc!$B$9,f_dteday,"&lt;="&amp;Dashboard_Calc!$B$10,f_Visible,1,f_hr,Y$30,f_Day_Name,$C36),0)</f>
        <v>44.285714285714285</v>
      </c>
      <c r="Z36" s="20">
        <f>IFERROR(AVERAGEIFS(f_cnt,f_Day_Type,Dashboard_Calc!$B$5,f_Weather,Dashboard_Calc!$B$6,f_Month,Dashboard_Calc!$B$7,f_Time_Band,Dashboard_Calc!$B$8,f_dteday,"&gt;="&amp;Dashboard_Calc!$B$9,f_dteday,"&lt;="&amp;Dashboard_Calc!$B$10,f_Visible,1,f_hr,Z$30,f_Day_Name,$C36),0)</f>
        <v>34.285714285714285</v>
      </c>
      <c r="AA36" s="20">
        <f>IFERROR(AVERAGEIFS(f_cnt,f_Day_Type,Dashboard_Calc!$B$5,f_Weather,Dashboard_Calc!$B$6,f_Month,Dashboard_Calc!$B$7,f_Time_Band,Dashboard_Calc!$B$8,f_dteday,"&gt;="&amp;Dashboard_Calc!$B$9,f_dteday,"&lt;="&amp;Dashboard_Calc!$B$10,f_Visible,1,f_hr,AA$30,f_Day_Name,$C36),0)</f>
        <v>37.428571428571431</v>
      </c>
      <c r="AB36" s="123" t="s">
        <v>73</v>
      </c>
      <c r="AC36" s="104"/>
      <c r="AD36" s="104"/>
      <c r="AE36" s="9"/>
      <c r="AF36" s="16"/>
      <c r="AG36" s="16"/>
      <c r="AH36" s="16"/>
      <c r="AI36" s="16"/>
      <c r="AJ36" s="16"/>
      <c r="AK36" s="16"/>
      <c r="AL36" s="16"/>
      <c r="AM36" s="16"/>
      <c r="AN36" s="16"/>
      <c r="AO36" s="9"/>
    </row>
    <row r="37" spans="1:41" ht="15" customHeight="1" x14ac:dyDescent="0.2">
      <c r="A37" s="9"/>
      <c r="B37" s="16"/>
      <c r="C37" s="19" t="s">
        <v>74</v>
      </c>
      <c r="D37" s="20">
        <f>IFERROR(AVERAGEIFS(f_cnt,f_Day_Type,Dashboard_Calc!$B$5,f_Weather,Dashboard_Calc!$B$6,f_Month,Dashboard_Calc!$B$7,f_Time_Band,Dashboard_Calc!$B$8,f_dteday,"&gt;="&amp;Dashboard_Calc!$B$9,f_dteday,"&lt;="&amp;Dashboard_Calc!$B$10,f_Visible,1,f_hr,D$30,f_Day_Name,$C37),0)</f>
        <v>30.571428571428573</v>
      </c>
      <c r="E37" s="20">
        <f>IFERROR(AVERAGEIFS(f_cnt,f_Day_Type,Dashboard_Calc!$B$5,f_Weather,Dashboard_Calc!$B$6,f_Month,Dashboard_Calc!$B$7,f_Time_Band,Dashboard_Calc!$B$8,f_dteday,"&gt;="&amp;Dashboard_Calc!$B$9,f_dteday,"&lt;="&amp;Dashboard_Calc!$B$10,f_Visible,1,f_hr,E$30,f_Day_Name,$C37),0)</f>
        <v>23.142857142857142</v>
      </c>
      <c r="F37" s="20">
        <f>IFERROR(AVERAGEIFS(f_cnt,f_Day_Type,Dashboard_Calc!$B$5,f_Weather,Dashboard_Calc!$B$6,f_Month,Dashboard_Calc!$B$7,f_Time_Band,Dashboard_Calc!$B$8,f_dteday,"&gt;="&amp;Dashboard_Calc!$B$9,f_dteday,"&lt;="&amp;Dashboard_Calc!$B$10,f_Visible,1,f_hr,F$30,f_Day_Name,$C37),0)</f>
        <v>15</v>
      </c>
      <c r="G37" s="20">
        <f>IFERROR(AVERAGEIFS(f_cnt,f_Day_Type,Dashboard_Calc!$B$5,f_Weather,Dashboard_Calc!$B$6,f_Month,Dashboard_Calc!$B$7,f_Time_Band,Dashboard_Calc!$B$8,f_dteday,"&gt;="&amp;Dashboard_Calc!$B$9,f_dteday,"&lt;="&amp;Dashboard_Calc!$B$10,f_Visible,1,f_hr,G$30,f_Day_Name,$C37),0)</f>
        <v>9</v>
      </c>
      <c r="H37" s="20">
        <f>IFERROR(AVERAGEIFS(f_cnt,f_Day_Type,Dashboard_Calc!$B$5,f_Weather,Dashboard_Calc!$B$6,f_Month,Dashboard_Calc!$B$7,f_Time_Band,Dashboard_Calc!$B$8,f_dteday,"&gt;="&amp;Dashboard_Calc!$B$9,f_dteday,"&lt;="&amp;Dashboard_Calc!$B$10,f_Visible,1,f_hr,H$30,f_Day_Name,$C37),0)</f>
        <v>1.6666666666666667</v>
      </c>
      <c r="I37" s="20">
        <f>IFERROR(AVERAGEIFS(f_cnt,f_Day_Type,Dashboard_Calc!$B$5,f_Weather,Dashboard_Calc!$B$6,f_Month,Dashboard_Calc!$B$7,f_Time_Band,Dashboard_Calc!$B$8,f_dteday,"&gt;="&amp;Dashboard_Calc!$B$9,f_dteday,"&lt;="&amp;Dashboard_Calc!$B$10,f_Visible,1,f_hr,I$30,f_Day_Name,$C37),0)</f>
        <v>2</v>
      </c>
      <c r="J37" s="20">
        <f>IFERROR(AVERAGEIFS(f_cnt,f_Day_Type,Dashboard_Calc!$B$5,f_Weather,Dashboard_Calc!$B$6,f_Month,Dashboard_Calc!$B$7,f_Time_Band,Dashboard_Calc!$B$8,f_dteday,"&gt;="&amp;Dashboard_Calc!$B$9,f_dteday,"&lt;="&amp;Dashboard_Calc!$B$10,f_Visible,1,f_hr,J$30,f_Day_Name,$C37),0)</f>
        <v>1.8333333333333333</v>
      </c>
      <c r="K37" s="20">
        <f>IFERROR(AVERAGEIFS(f_cnt,f_Day_Type,Dashboard_Calc!$B$5,f_Weather,Dashboard_Calc!$B$6,f_Month,Dashboard_Calc!$B$7,f_Time_Band,Dashboard_Calc!$B$8,f_dteday,"&gt;="&amp;Dashboard_Calc!$B$9,f_dteday,"&lt;="&amp;Dashboard_Calc!$B$10,f_Visible,1,f_hr,K$30,f_Day_Name,$C37),0)</f>
        <v>3.7142857142857144</v>
      </c>
      <c r="L37" s="20">
        <f>IFERROR(AVERAGEIFS(f_cnt,f_Day_Type,Dashboard_Calc!$B$5,f_Weather,Dashboard_Calc!$B$6,f_Month,Dashboard_Calc!$B$7,f_Time_Band,Dashboard_Calc!$B$8,f_dteday,"&gt;="&amp;Dashboard_Calc!$B$9,f_dteday,"&lt;="&amp;Dashboard_Calc!$B$10,f_Visible,1,f_hr,L$30,f_Day_Name,$C37),0)</f>
        <v>14.571428571428571</v>
      </c>
      <c r="M37" s="20">
        <f>IFERROR(AVERAGEIFS(f_cnt,f_Day_Type,Dashboard_Calc!$B$5,f_Weather,Dashboard_Calc!$B$6,f_Month,Dashboard_Calc!$B$7,f_Time_Band,Dashboard_Calc!$B$8,f_dteday,"&gt;="&amp;Dashboard_Calc!$B$9,f_dteday,"&lt;="&amp;Dashboard_Calc!$B$10,f_Visible,1,f_hr,M$30,f_Day_Name,$C37),0)</f>
        <v>32.714285714285715</v>
      </c>
      <c r="N37" s="20">
        <f>IFERROR(AVERAGEIFS(f_cnt,f_Day_Type,Dashboard_Calc!$B$5,f_Weather,Dashboard_Calc!$B$6,f_Month,Dashboard_Calc!$B$7,f_Time_Band,Dashboard_Calc!$B$8,f_dteday,"&gt;="&amp;Dashboard_Calc!$B$9,f_dteday,"&lt;="&amp;Dashboard_Calc!$B$10,f_Visible,1,f_hr,N$30,f_Day_Name,$C37),0)</f>
        <v>71</v>
      </c>
      <c r="O37" s="20">
        <f>IFERROR(AVERAGEIFS(f_cnt,f_Day_Type,Dashboard_Calc!$B$5,f_Weather,Dashboard_Calc!$B$6,f_Month,Dashboard_Calc!$B$7,f_Time_Band,Dashboard_Calc!$B$8,f_dteday,"&gt;="&amp;Dashboard_Calc!$B$9,f_dteday,"&lt;="&amp;Dashboard_Calc!$B$10,f_Visible,1,f_hr,O$30,f_Day_Name,$C37),0)</f>
        <v>85.571428571428569</v>
      </c>
      <c r="P37" s="20">
        <f>IFERROR(AVERAGEIFS(f_cnt,f_Day_Type,Dashboard_Calc!$B$5,f_Weather,Dashboard_Calc!$B$6,f_Month,Dashboard_Calc!$B$7,f_Time_Band,Dashboard_Calc!$B$8,f_dteday,"&gt;="&amp;Dashboard_Calc!$B$9,f_dteday,"&lt;="&amp;Dashboard_Calc!$B$10,f_Visible,1,f_hr,P$30,f_Day_Name,$C37),0)</f>
        <v>117</v>
      </c>
      <c r="Q37" s="20">
        <f>IFERROR(AVERAGEIFS(f_cnt,f_Day_Type,Dashboard_Calc!$B$5,f_Weather,Dashboard_Calc!$B$6,f_Month,Dashboard_Calc!$B$7,f_Time_Band,Dashboard_Calc!$B$8,f_dteday,"&gt;="&amp;Dashboard_Calc!$B$9,f_dteday,"&lt;="&amp;Dashboard_Calc!$B$10,f_Visible,1,f_hr,Q$30,f_Day_Name,$C37),0)</f>
        <v>110.71428571428571</v>
      </c>
      <c r="R37" s="20">
        <f>IFERROR(AVERAGEIFS(f_cnt,f_Day_Type,Dashboard_Calc!$B$5,f_Weather,Dashboard_Calc!$B$6,f_Month,Dashboard_Calc!$B$7,f_Time_Band,Dashboard_Calc!$B$8,f_dteday,"&gt;="&amp;Dashboard_Calc!$B$9,f_dteday,"&lt;="&amp;Dashboard_Calc!$B$10,f_Visible,1,f_hr,R$30,f_Day_Name,$C37),0)</f>
        <v>110.85714285714286</v>
      </c>
      <c r="S37" s="20">
        <f>IFERROR(AVERAGEIFS(f_cnt,f_Day_Type,Dashboard_Calc!$B$5,f_Weather,Dashboard_Calc!$B$6,f_Month,Dashboard_Calc!$B$7,f_Time_Band,Dashboard_Calc!$B$8,f_dteday,"&gt;="&amp;Dashboard_Calc!$B$9,f_dteday,"&lt;="&amp;Dashboard_Calc!$B$10,f_Visible,1,f_hr,S$30,f_Day_Name,$C37),0)</f>
        <v>114.14285714285714</v>
      </c>
      <c r="T37" s="20">
        <f>IFERROR(AVERAGEIFS(f_cnt,f_Day_Type,Dashboard_Calc!$B$5,f_Weather,Dashboard_Calc!$B$6,f_Month,Dashboard_Calc!$B$7,f_Time_Band,Dashboard_Calc!$B$8,f_dteday,"&gt;="&amp;Dashboard_Calc!$B$9,f_dteday,"&lt;="&amp;Dashboard_Calc!$B$10,f_Visible,1,f_hr,T$30,f_Day_Name,$C37),0)</f>
        <v>106.57142857142857</v>
      </c>
      <c r="U37" s="20">
        <f>IFERROR(AVERAGEIFS(f_cnt,f_Day_Type,Dashboard_Calc!$B$5,f_Weather,Dashboard_Calc!$B$6,f_Month,Dashboard_Calc!$B$7,f_Time_Band,Dashboard_Calc!$B$8,f_dteday,"&gt;="&amp;Dashboard_Calc!$B$9,f_dteday,"&lt;="&amp;Dashboard_Calc!$B$10,f_Visible,1,f_hr,U$30,f_Day_Name,$C37),0)</f>
        <v>87.142857142857139</v>
      </c>
      <c r="V37" s="20">
        <f>IFERROR(AVERAGEIFS(f_cnt,f_Day_Type,Dashboard_Calc!$B$5,f_Weather,Dashboard_Calc!$B$6,f_Month,Dashboard_Calc!$B$7,f_Time_Band,Dashboard_Calc!$B$8,f_dteday,"&gt;="&amp;Dashboard_Calc!$B$9,f_dteday,"&lt;="&amp;Dashboard_Calc!$B$10,f_Visible,1,f_hr,V$30,f_Day_Name,$C37),0)</f>
        <v>65</v>
      </c>
      <c r="W37" s="20">
        <f>IFERROR(AVERAGEIFS(f_cnt,f_Day_Type,Dashboard_Calc!$B$5,f_Weather,Dashboard_Calc!$B$6,f_Month,Dashboard_Calc!$B$7,f_Time_Band,Dashboard_Calc!$B$8,f_dteday,"&gt;="&amp;Dashboard_Calc!$B$9,f_dteday,"&lt;="&amp;Dashboard_Calc!$B$10,f_Visible,1,f_hr,W$30,f_Day_Name,$C37),0)</f>
        <v>45.571428571428569</v>
      </c>
      <c r="X37" s="20">
        <f>IFERROR(AVERAGEIFS(f_cnt,f_Day_Type,Dashboard_Calc!$B$5,f_Weather,Dashboard_Calc!$B$6,f_Month,Dashboard_Calc!$B$7,f_Time_Band,Dashboard_Calc!$B$8,f_dteday,"&gt;="&amp;Dashboard_Calc!$B$9,f_dteday,"&lt;="&amp;Dashboard_Calc!$B$10,f_Visible,1,f_hr,X$30,f_Day_Name,$C37),0)</f>
        <v>36.857142857142854</v>
      </c>
      <c r="Y37" s="20">
        <f>IFERROR(AVERAGEIFS(f_cnt,f_Day_Type,Dashboard_Calc!$B$5,f_Weather,Dashboard_Calc!$B$6,f_Month,Dashboard_Calc!$B$7,f_Time_Band,Dashboard_Calc!$B$8,f_dteday,"&gt;="&amp;Dashboard_Calc!$B$9,f_dteday,"&lt;="&amp;Dashboard_Calc!$B$10,f_Visible,1,f_hr,Y$30,f_Day_Name,$C37),0)</f>
        <v>30</v>
      </c>
      <c r="Z37" s="20">
        <f>IFERROR(AVERAGEIFS(f_cnt,f_Day_Type,Dashboard_Calc!$B$5,f_Weather,Dashboard_Calc!$B$6,f_Month,Dashboard_Calc!$B$7,f_Time_Band,Dashboard_Calc!$B$8,f_dteday,"&gt;="&amp;Dashboard_Calc!$B$9,f_dteday,"&lt;="&amp;Dashboard_Calc!$B$10,f_Visible,1,f_hr,Z$30,f_Day_Name,$C37),0)</f>
        <v>27.428571428571427</v>
      </c>
      <c r="AA37" s="20">
        <f>IFERROR(AVERAGEIFS(f_cnt,f_Day_Type,Dashboard_Calc!$B$5,f_Weather,Dashboard_Calc!$B$6,f_Month,Dashboard_Calc!$B$7,f_Time_Band,Dashboard_Calc!$B$8,f_dteday,"&gt;="&amp;Dashboard_Calc!$B$9,f_dteday,"&lt;="&amp;Dashboard_Calc!$B$10,f_Visible,1,f_hr,AA$30,f_Day_Name,$C37),0)</f>
        <v>19.142857142857142</v>
      </c>
      <c r="AB37" s="104"/>
      <c r="AC37" s="104"/>
      <c r="AD37" s="104"/>
      <c r="AE37" s="9"/>
      <c r="AF37" s="16"/>
      <c r="AG37" s="16"/>
      <c r="AH37" s="16"/>
      <c r="AI37" s="16"/>
      <c r="AJ37" s="16"/>
      <c r="AK37" s="16"/>
      <c r="AL37" s="16"/>
      <c r="AM37" s="16"/>
      <c r="AN37" s="16"/>
      <c r="AO37" s="9"/>
    </row>
    <row r="38" spans="1:41" ht="15" customHeight="1" x14ac:dyDescent="0.2">
      <c r="A38" s="9"/>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9"/>
      <c r="AF38" s="16"/>
      <c r="AG38" s="16"/>
      <c r="AH38" s="16"/>
      <c r="AI38" s="16"/>
      <c r="AJ38" s="16"/>
      <c r="AK38" s="16"/>
      <c r="AL38" s="16"/>
      <c r="AM38" s="16"/>
      <c r="AN38" s="16"/>
      <c r="AO38" s="9"/>
    </row>
    <row r="39" spans="1:41" ht="15" customHeight="1" x14ac:dyDescent="0.2">
      <c r="A39" s="9"/>
      <c r="B39" s="21" t="s">
        <v>75</v>
      </c>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9"/>
      <c r="AF39" s="16"/>
      <c r="AG39" s="16"/>
      <c r="AH39" s="16"/>
      <c r="AI39" s="16"/>
      <c r="AJ39" s="16"/>
      <c r="AK39" s="16"/>
      <c r="AL39" s="16"/>
      <c r="AM39" s="16"/>
      <c r="AN39" s="16"/>
      <c r="AO39" s="9"/>
    </row>
    <row r="40" spans="1:41" ht="16" customHeight="1" x14ac:dyDescent="0.2">
      <c r="A40" s="9"/>
      <c r="B40" s="22">
        <v>1</v>
      </c>
      <c r="C40" s="107" t="str">
        <f>"Commuters drive demand: registered riders are "&amp;TEXT(Stats!C14,"0%")&amp;" of all rentals."</f>
        <v>Commuters drive demand: registered riders are 92% of all rentals.</v>
      </c>
      <c r="D40" s="104"/>
      <c r="E40" s="104"/>
      <c r="F40" s="104"/>
      <c r="G40" s="104"/>
      <c r="H40" s="104"/>
      <c r="I40" s="104"/>
      <c r="J40" s="104"/>
      <c r="K40" s="104"/>
      <c r="L40" s="104"/>
      <c r="M40" s="104"/>
      <c r="N40" s="104"/>
      <c r="O40" s="104"/>
      <c r="P40" s="104"/>
      <c r="Q40" s="22">
        <v>5</v>
      </c>
      <c r="R40" s="107" t="str">
        <f>"Light rain/snow cuts hourly rentals by about "&amp;TEXT(-Dashboard_Calc!B25,"0%")&amp;" vs clear weather."</f>
        <v>Light rain/snow cuts hourly rentals by about 46% vs clear weather.</v>
      </c>
      <c r="S40" s="104"/>
      <c r="T40" s="104"/>
      <c r="U40" s="104"/>
      <c r="V40" s="104"/>
      <c r="W40" s="104"/>
      <c r="X40" s="104"/>
      <c r="Y40" s="104"/>
      <c r="Z40" s="104"/>
      <c r="AA40" s="104"/>
      <c r="AB40" s="104"/>
      <c r="AC40" s="104"/>
      <c r="AD40" s="104"/>
      <c r="AE40" s="9"/>
      <c r="AF40" s="16"/>
      <c r="AG40" s="16"/>
      <c r="AH40" s="16"/>
      <c r="AI40" s="16"/>
      <c r="AJ40" s="16"/>
      <c r="AK40" s="16"/>
      <c r="AL40" s="16"/>
      <c r="AM40" s="16"/>
      <c r="AN40" s="16"/>
      <c r="AO40" s="9"/>
    </row>
    <row r="41" spans="1:41" ht="16" customHeight="1" x14ac:dyDescent="0.2">
      <c r="A41" s="9"/>
      <c r="B41" s="23">
        <v>2</v>
      </c>
      <c r="C41" s="107" t="str">
        <f>"Two daily peaks, 8 AM and 5 PM; the 5 PM hour averages "&amp;TEXT(MAX(Analysis!E6:E29),"0")&amp;" rentals."</f>
        <v>Two daily peaks, 8 AM and 5 PM; the 5 PM hour averages 140 rentals.</v>
      </c>
      <c r="D41" s="104"/>
      <c r="E41" s="104"/>
      <c r="F41" s="104"/>
      <c r="G41" s="104"/>
      <c r="H41" s="104"/>
      <c r="I41" s="104"/>
      <c r="J41" s="104"/>
      <c r="K41" s="104"/>
      <c r="L41" s="104"/>
      <c r="M41" s="104"/>
      <c r="N41" s="104"/>
      <c r="O41" s="104"/>
      <c r="P41" s="104"/>
      <c r="Q41" s="23">
        <v>6</v>
      </c>
      <c r="R41" s="107" t="str">
        <f>"Warmer hours sell more: Warm band averages "&amp;TEXT(Analysis!E104, "0")&amp;" vs "&amp;TEXT(Analysis!E102, "0")&amp;" in Cold."</f>
        <v>Warmer hours sell more: Warm band averages 86 vs 48 in Cold.</v>
      </c>
      <c r="S41" s="104"/>
      <c r="T41" s="104"/>
      <c r="U41" s="104"/>
      <c r="V41" s="104"/>
      <c r="W41" s="104"/>
      <c r="X41" s="104"/>
      <c r="Y41" s="104"/>
      <c r="Z41" s="104"/>
      <c r="AA41" s="104"/>
      <c r="AB41" s="104"/>
      <c r="AC41" s="104"/>
      <c r="AD41" s="104"/>
      <c r="AE41" s="9"/>
      <c r="AF41" s="16"/>
      <c r="AG41" s="16"/>
      <c r="AH41" s="16"/>
      <c r="AI41" s="16"/>
      <c r="AJ41" s="16"/>
      <c r="AK41" s="16"/>
      <c r="AL41" s="16"/>
      <c r="AM41" s="16"/>
      <c r="AN41" s="16"/>
      <c r="AO41" s="9"/>
    </row>
    <row r="42" spans="1:41" ht="16" customHeight="1" x14ac:dyDescent="0.2">
      <c r="A42" s="9"/>
      <c r="B42" s="22">
        <v>3</v>
      </c>
      <c r="C42" s="107" t="str">
        <f>"Weekday commute hours carry "&amp;TEXT(Stats!C20,"0%")&amp;" of all rentals."</f>
        <v>Weekday commute hours carry 44% of all rentals.</v>
      </c>
      <c r="D42" s="104"/>
      <c r="E42" s="104"/>
      <c r="F42" s="104"/>
      <c r="G42" s="104"/>
      <c r="H42" s="104"/>
      <c r="I42" s="104"/>
      <c r="J42" s="104"/>
      <c r="K42" s="104"/>
      <c r="L42" s="104"/>
      <c r="M42" s="104"/>
      <c r="N42" s="104"/>
      <c r="O42" s="104"/>
      <c r="P42" s="104"/>
      <c r="Q42" s="22">
        <v>7</v>
      </c>
      <c r="R42" s="107" t="str">
        <f>"Night (0-5 AM) averages under 10 rentals/hour: best window for rebalancing and repairs."</f>
        <v>Night (0-5 AM) averages under 10 rentals/hour: best window for rebalancing and repairs.</v>
      </c>
      <c r="S42" s="104"/>
      <c r="T42" s="104"/>
      <c r="U42" s="104"/>
      <c r="V42" s="104"/>
      <c r="W42" s="104"/>
      <c r="X42" s="104"/>
      <c r="Y42" s="104"/>
      <c r="Z42" s="104"/>
      <c r="AA42" s="104"/>
      <c r="AB42" s="104"/>
      <c r="AC42" s="104"/>
      <c r="AD42" s="104"/>
      <c r="AE42" s="9"/>
      <c r="AF42" s="16"/>
      <c r="AG42" s="16"/>
      <c r="AH42" s="16"/>
      <c r="AI42" s="16"/>
      <c r="AJ42" s="16"/>
      <c r="AK42" s="16"/>
      <c r="AL42" s="16"/>
      <c r="AM42" s="16"/>
      <c r="AN42" s="16"/>
      <c r="AO42" s="9"/>
    </row>
    <row r="43" spans="1:41" ht="16" customHeight="1" x14ac:dyDescent="0.2">
      <c r="A43" s="9"/>
      <c r="B43" s="23">
        <v>4</v>
      </c>
      <c r="C43" s="107" t="str">
        <f>"Weekends bring 2-3x more casual riders, mostly 11 AM to 4 PM."</f>
        <v>Weekends bring 2-3x more casual riders, mostly 11 AM to 4 PM.</v>
      </c>
      <c r="D43" s="104"/>
      <c r="E43" s="104"/>
      <c r="F43" s="104"/>
      <c r="G43" s="104"/>
      <c r="H43" s="104"/>
      <c r="I43" s="104"/>
      <c r="J43" s="104"/>
      <c r="K43" s="104"/>
      <c r="L43" s="104"/>
      <c r="M43" s="104"/>
      <c r="N43" s="104"/>
      <c r="O43" s="104"/>
      <c r="P43" s="104"/>
      <c r="Q43" s="23">
        <v>8</v>
      </c>
      <c r="R43" s="107" t="str">
        <f>"Forecast: the next 24 hours repeat the commute shape (see Forecast sheet)."</f>
        <v>Forecast: the next 24 hours repeat the commute shape (see Forecast sheet).</v>
      </c>
      <c r="S43" s="104"/>
      <c r="T43" s="104"/>
      <c r="U43" s="104"/>
      <c r="V43" s="104"/>
      <c r="W43" s="104"/>
      <c r="X43" s="104"/>
      <c r="Y43" s="104"/>
      <c r="Z43" s="104"/>
      <c r="AA43" s="104"/>
      <c r="AB43" s="104"/>
      <c r="AC43" s="104"/>
      <c r="AD43" s="104"/>
      <c r="AE43" s="9"/>
      <c r="AF43" s="16"/>
      <c r="AG43" s="16"/>
      <c r="AH43" s="16"/>
      <c r="AI43" s="16"/>
      <c r="AJ43" s="16"/>
      <c r="AK43" s="16"/>
      <c r="AL43" s="16"/>
      <c r="AM43" s="16"/>
      <c r="AN43" s="16"/>
      <c r="AO43" s="9"/>
    </row>
    <row r="44" spans="1:41" ht="15" customHeight="1" x14ac:dyDescent="0.2">
      <c r="A44" s="9"/>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9"/>
      <c r="AF44" s="16"/>
      <c r="AG44" s="16"/>
      <c r="AH44" s="16"/>
      <c r="AI44" s="16"/>
      <c r="AJ44" s="16"/>
      <c r="AK44" s="16"/>
      <c r="AL44" s="16"/>
      <c r="AM44" s="16"/>
      <c r="AN44" s="16"/>
      <c r="AO44" s="9"/>
    </row>
    <row r="45" spans="1:41" ht="6" customHeight="1" x14ac:dyDescent="0.2">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row>
    <row r="46" spans="1:41" ht="15" customHeight="1" x14ac:dyDescent="0.2">
      <c r="A46" s="9"/>
      <c r="B46" s="121" t="s">
        <v>76</v>
      </c>
      <c r="C46" s="104"/>
      <c r="D46" s="104"/>
      <c r="E46" s="104"/>
      <c r="F46" s="104"/>
      <c r="G46" s="104"/>
      <c r="H46" s="104"/>
      <c r="I46" s="104"/>
      <c r="J46" s="104"/>
      <c r="K46" s="104"/>
      <c r="L46" s="104"/>
      <c r="M46" s="104"/>
      <c r="N46" s="104"/>
      <c r="O46" s="104"/>
      <c r="P46" s="104"/>
      <c r="Q46" s="104"/>
      <c r="R46" s="104"/>
      <c r="S46" s="104"/>
      <c r="T46" s="104"/>
      <c r="U46" s="104"/>
      <c r="V46" s="104"/>
      <c r="W46" s="104"/>
      <c r="X46" s="104"/>
      <c r="Y46" s="104"/>
      <c r="Z46" s="104"/>
      <c r="AA46" s="104"/>
      <c r="AB46" s="104"/>
      <c r="AC46" s="104"/>
      <c r="AD46" s="104"/>
      <c r="AE46" s="104"/>
      <c r="AF46" s="104"/>
      <c r="AG46" s="104"/>
      <c r="AH46" s="104"/>
      <c r="AI46" s="104"/>
      <c r="AJ46" s="104"/>
      <c r="AK46" s="104"/>
      <c r="AL46" s="104"/>
      <c r="AM46" s="104"/>
      <c r="AN46" s="104"/>
      <c r="AO46" s="9"/>
    </row>
    <row r="47" spans="1:41" ht="15" customHeight="1" x14ac:dyDescent="0.2">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row>
  </sheetData>
  <mergeCells count="44">
    <mergeCell ref="B46:AN46"/>
    <mergeCell ref="AF11:AI11"/>
    <mergeCell ref="C2:AN2"/>
    <mergeCell ref="B6:F6"/>
    <mergeCell ref="T6:X6"/>
    <mergeCell ref="AB36:AD37"/>
    <mergeCell ref="N6:R6"/>
    <mergeCell ref="AL5:AN6"/>
    <mergeCell ref="W9:Y10"/>
    <mergeCell ref="AK11:AN11"/>
    <mergeCell ref="V11:Y11"/>
    <mergeCell ref="C43:P43"/>
    <mergeCell ref="H8:J8"/>
    <mergeCell ref="AB31:AD32"/>
    <mergeCell ref="R40:AD40"/>
    <mergeCell ref="C9:E10"/>
    <mergeCell ref="AL9:AN10"/>
    <mergeCell ref="L11:O11"/>
    <mergeCell ref="G11:J11"/>
    <mergeCell ref="C41:P41"/>
    <mergeCell ref="C40:P40"/>
    <mergeCell ref="R41:AD41"/>
    <mergeCell ref="R9:T10"/>
    <mergeCell ref="B11:E11"/>
    <mergeCell ref="R8:T8"/>
    <mergeCell ref="R43:AD43"/>
    <mergeCell ref="AA11:AD11"/>
    <mergeCell ref="C42:P42"/>
    <mergeCell ref="C3:AN3"/>
    <mergeCell ref="M9:O10"/>
    <mergeCell ref="Q11:T11"/>
    <mergeCell ref="R42:AD42"/>
    <mergeCell ref="C8:E8"/>
    <mergeCell ref="AG8:AI8"/>
    <mergeCell ref="H6:L6"/>
    <mergeCell ref="H9:J10"/>
    <mergeCell ref="AL8:AN8"/>
    <mergeCell ref="AB8:AD8"/>
    <mergeCell ref="M8:O8"/>
    <mergeCell ref="AG9:AI10"/>
    <mergeCell ref="AF6:AJ6"/>
    <mergeCell ref="W8:Y8"/>
    <mergeCell ref="AB9:AD10"/>
    <mergeCell ref="Z6:AD6"/>
  </mergeCells>
  <conditionalFormatting sqref="D31:AA37">
    <cfRule type="colorScale" priority="1">
      <colorScale>
        <cfvo type="min"/>
        <cfvo type="percentile" val="60"/>
        <cfvo type="max"/>
        <color rgb="FFF7FBFF"/>
        <color rgb="FFF4A261"/>
        <color rgb="FF9B2226"/>
      </colorScale>
    </cfRule>
  </conditionalFormatting>
  <dataValidations count="1">
    <dataValidation type="date" error="Pick a date between 01-Jan-2011 and 14-Feb-2011" sqref="Z6 AF6" xr:uid="{00000000-0002-0000-0100-000004000000}">
      <formula1>DATE(2011,1,1)</formula1>
      <formula2>DATE(2011,2,14)</formula2>
    </dataValidation>
  </dataValidations>
  <printOptions horizontalCentered="1"/>
  <pageMargins left="0.25" right="0.25" top="0.3" bottom="0.3" header="0.5" footer="0.5"/>
  <pageSetup paperSize="9" orientation="landscape"/>
  <drawing r:id="rId1"/>
  <legacyDrawing r:id="rId2"/>
  <extLst>
    <ext xmlns:x14="http://schemas.microsoft.com/office/spreadsheetml/2009/9/main" uri="{CCE6A557-97BC-4b89-ADB6-D9C93CAAB3DF}">
      <x14:dataValidations xmlns:xm="http://schemas.microsoft.com/office/excel/2006/main" count="4">
        <x14:dataValidation type="list" xr:uid="{00000000-0002-0000-0100-000000000000}">
          <x14:formula1>
            <xm:f>Lookups!$E$5:$E$7</xm:f>
          </x14:formula1>
          <xm:sqref>B6</xm:sqref>
        </x14:dataValidation>
        <x14:dataValidation type="list" xr:uid="{00000000-0002-0000-0100-000001000000}">
          <x14:formula1>
            <xm:f>Lookups!$F$5:$F$9</xm:f>
          </x14:formula1>
          <xm:sqref>H6</xm:sqref>
        </x14:dataValidation>
        <x14:dataValidation type="list" xr:uid="{00000000-0002-0000-0100-000002000000}">
          <x14:formula1>
            <xm:f>Lookups!$G$5:$G$7</xm:f>
          </x14:formula1>
          <xm:sqref>N6</xm:sqref>
        </x14:dataValidation>
        <x14:dataValidation type="list" xr:uid="{00000000-0002-0000-0100-000003000000}">
          <x14:formula1>
            <xm:f>Lookups!$H$5:$H$10</xm:f>
          </x14:formula1>
          <xm:sqref>T6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76F51"/>
  </sheetPr>
  <dimension ref="A1:B27"/>
  <sheetViews>
    <sheetView showGridLines="0" workbookViewId="0">
      <selection activeCell="B34" sqref="B34"/>
    </sheetView>
  </sheetViews>
  <sheetFormatPr baseColWidth="10" defaultColWidth="8.83203125" defaultRowHeight="15" x14ac:dyDescent="0.2"/>
  <cols>
    <col min="1" max="1" width="4" customWidth="1"/>
    <col min="2" max="2" width="120" customWidth="1"/>
  </cols>
  <sheetData>
    <row r="1" spans="1:2" ht="20" x14ac:dyDescent="0.2">
      <c r="A1" s="24" t="s">
        <v>77</v>
      </c>
    </row>
    <row r="2" spans="1:2" x14ac:dyDescent="0.2">
      <c r="A2" s="25" t="s">
        <v>78</v>
      </c>
    </row>
    <row r="4" spans="1:2" ht="17" x14ac:dyDescent="0.2">
      <c r="A4" s="26" t="s">
        <v>79</v>
      </c>
    </row>
    <row r="5" spans="1:2" ht="30" customHeight="1" x14ac:dyDescent="0.2">
      <c r="A5" s="27">
        <v>1</v>
      </c>
      <c r="B5" s="28" t="str">
        <f>"Registered (subscribed) riders generate "&amp;TEXT(Stats!C14,"0.0%")&amp;" of all "&amp;TEXT(Stats!C5,"#,##0")&amp;" rentals; casual riders only "&amp;TEXT(1-Stats!C14,"0.0%")&amp;"."</f>
        <v>Registered (subscribed) riders generate 91.6% of all 58,304 rentals; casual riders only 8.4%.</v>
      </c>
    </row>
    <row r="6" spans="1:2" ht="30" customHeight="1" x14ac:dyDescent="0.2">
      <c r="A6" s="27">
        <v>2</v>
      </c>
      <c r="B6" s="28" t="str">
        <f>"Demand follows a commuter pattern: peaks at 8 AM and 5 PM on weekdays; weekday peak hours hold "&amp;TEXT(Stats!C20,"0%")&amp;" of all rentals."</f>
        <v>Demand follows a commuter pattern: peaks at 8 AM and 5 PM on weekdays; weekday peak hours hold 44% of all rentals.</v>
      </c>
    </row>
    <row r="7" spans="1:2" ht="30" customHeight="1" x14ac:dyDescent="0.2">
      <c r="A7" s="27">
        <v>3</v>
      </c>
      <c r="B7" s="28" t="str">
        <f>"Weekdays average "&amp;TEXT(Stats!C17,"0.0")&amp;" rentals per hour vs "&amp;TEXT(Stats!C18,"0.0")&amp;" at weekends, but casual riding more than doubles at weekends (leisure use)."</f>
        <v>Weekdays average 63.3 rentals per hour vs 48.1 at weekends, but casual riding more than doubles at weekends (leisure use).</v>
      </c>
    </row>
    <row r="8" spans="1:2" ht="30" customHeight="1" x14ac:dyDescent="0.2">
      <c r="A8" s="27">
        <v>4</v>
      </c>
      <c r="B8" s="28" t="str">
        <f>"Weather matters most when it rains: Light Rain/Snow hours average "&amp;TEXT(Analysis!E70,"0")&amp;" rentals vs "&amp;TEXT(Analysis!E68,"0")&amp;" in Clear hours."</f>
        <v>Weather matters most when it rains: Light Rain/Snow hours average 33 rentals vs 62 in Clear hours.</v>
      </c>
    </row>
    <row r="9" spans="1:2" ht="30" customHeight="1" x14ac:dyDescent="0.2">
      <c r="A9" s="27">
        <v>5</v>
      </c>
      <c r="B9" s="28" t="str">
        <f>"Temperature and humidity have weak correlations with demand (temp "&amp;TEXT(Stats!C22,"0.00")&amp;", humidity "&amp;TEXT(Stats!C23,"0.00")&amp;"); time of day explains far more."</f>
        <v>Temperature and humidity have weak correlations with demand (temp 0.23, humidity -0.25); time of day explains far more.</v>
      </c>
    </row>
    <row r="10" spans="1:2" ht="30" customHeight="1" x14ac:dyDescent="0.2">
      <c r="A10" s="27">
        <v>6</v>
      </c>
      <c r="B10" s="28" t="str">
        <f>"Night hours (0–5 AM) average "&amp;TEXT(Analysis!E85,"0.0")&amp;" rentals per hour, the quietest period."</f>
        <v>Night hours (0–5 AM) average 8.0 rentals per hour, the quietest period.</v>
      </c>
    </row>
    <row r="11" spans="1:2" ht="30" customHeight="1" x14ac:dyDescent="0.2">
      <c r="A11" s="27">
        <v>7</v>
      </c>
      <c r="B11" s="28" t="str">
        <f>"Anomaly check flagged "&amp;Anomalies!B7+Anomalies!B8&amp;" of 1,000 hours as unusual for their hour of day; they are real busy hours, so they are kept."</f>
        <v>Anomaly check flagged 7 of 1,000 hours as unusual for their hour of day; they are real busy hours, so they are kept.</v>
      </c>
    </row>
    <row r="12" spans="1:2" ht="30" customHeight="1" x14ac:dyDescent="0.2">
      <c r="A12" s="27">
        <v>8</v>
      </c>
      <c r="B12" s="28" t="str">
        <f>"The FORECAST.ETS model (24-hour seasonality) has MASE "&amp;TEXT(Forecast!E7,"0.00")&amp;" and a typical error (MAE) of "&amp;TEXT(Forecast!E9,"0")&amp;" rentals per hour."</f>
        <v>The FORECAST.ETS model (24-hour seasonality) has MASE 0.98 and a typical error (MAE) of 21 rentals per hour.</v>
      </c>
    </row>
    <row r="14" spans="1:2" ht="17" x14ac:dyDescent="0.2">
      <c r="A14" s="26" t="s">
        <v>80</v>
      </c>
    </row>
    <row r="15" spans="1:2" ht="30" customHeight="1" x14ac:dyDescent="0.2">
      <c r="A15" s="27">
        <v>1</v>
      </c>
      <c r="B15" s="28" t="s">
        <v>81</v>
      </c>
    </row>
    <row r="16" spans="1:2" ht="30" customHeight="1" x14ac:dyDescent="0.2">
      <c r="A16" s="27">
        <v>2</v>
      </c>
      <c r="B16" s="28" t="s">
        <v>82</v>
      </c>
    </row>
    <row r="17" spans="1:2" ht="30" customHeight="1" x14ac:dyDescent="0.2">
      <c r="A17" s="27">
        <v>3</v>
      </c>
      <c r="B17" s="28" t="s">
        <v>83</v>
      </c>
    </row>
    <row r="18" spans="1:2" ht="30" customHeight="1" x14ac:dyDescent="0.2">
      <c r="A18" s="27">
        <v>4</v>
      </c>
      <c r="B18" s="28" t="s">
        <v>84</v>
      </c>
    </row>
    <row r="19" spans="1:2" ht="30" customHeight="1" x14ac:dyDescent="0.2">
      <c r="A19" s="27">
        <v>5</v>
      </c>
      <c r="B19" s="28" t="s">
        <v>85</v>
      </c>
    </row>
    <row r="20" spans="1:2" ht="30" customHeight="1" x14ac:dyDescent="0.2">
      <c r="A20" s="27">
        <v>6</v>
      </c>
      <c r="B20" s="28" t="s">
        <v>86</v>
      </c>
    </row>
    <row r="22" spans="1:2" ht="17" x14ac:dyDescent="0.2">
      <c r="A22" s="26" t="s">
        <v>87</v>
      </c>
    </row>
    <row r="23" spans="1:2" ht="30" customHeight="1" x14ac:dyDescent="0.2">
      <c r="A23" s="27">
        <v>1</v>
      </c>
      <c r="B23" s="28" t="s">
        <v>88</v>
      </c>
    </row>
    <row r="24" spans="1:2" ht="30" customHeight="1" x14ac:dyDescent="0.2">
      <c r="A24" s="27">
        <v>2</v>
      </c>
      <c r="B24" s="28" t="s">
        <v>89</v>
      </c>
    </row>
    <row r="25" spans="1:2" ht="30" customHeight="1" x14ac:dyDescent="0.2">
      <c r="A25" s="27">
        <v>3</v>
      </c>
      <c r="B25" s="28" t="s">
        <v>90</v>
      </c>
    </row>
    <row r="26" spans="1:2" ht="30" customHeight="1" x14ac:dyDescent="0.2">
      <c r="A26" s="27">
        <v>4</v>
      </c>
      <c r="B26" s="28" t="s">
        <v>91</v>
      </c>
    </row>
    <row r="27" spans="1:2" ht="30" customHeight="1" x14ac:dyDescent="0.2">
      <c r="A27" s="27">
        <v>5</v>
      </c>
      <c r="B27" s="28" t="s">
        <v>92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A9D8F"/>
  </sheetPr>
  <dimension ref="A1:H197"/>
  <sheetViews>
    <sheetView showGridLines="0" workbookViewId="0">
      <selection activeCell="C134" sqref="C134"/>
    </sheetView>
  </sheetViews>
  <sheetFormatPr baseColWidth="10" defaultColWidth="8.83203125" defaultRowHeight="15" x14ac:dyDescent="0.2"/>
  <cols>
    <col min="1" max="1" width="2" customWidth="1"/>
    <col min="2" max="2" width="18" customWidth="1"/>
    <col min="3" max="5" width="13" customWidth="1"/>
    <col min="6" max="6" width="14" customWidth="1"/>
    <col min="7" max="8" width="13" customWidth="1"/>
  </cols>
  <sheetData>
    <row r="1" spans="1:8" ht="20" x14ac:dyDescent="0.2">
      <c r="A1" s="24" t="s">
        <v>93</v>
      </c>
    </row>
    <row r="2" spans="1:8" x14ac:dyDescent="0.2">
      <c r="A2" s="25" t="s">
        <v>94</v>
      </c>
    </row>
    <row r="4" spans="1:8" ht="16" x14ac:dyDescent="0.2">
      <c r="B4" s="5" t="s">
        <v>95</v>
      </c>
    </row>
    <row r="5" spans="1:8" ht="28" x14ac:dyDescent="0.2">
      <c r="B5" s="29" t="s">
        <v>96</v>
      </c>
      <c r="C5" s="29" t="s">
        <v>97</v>
      </c>
      <c r="D5" s="29" t="s">
        <v>98</v>
      </c>
      <c r="E5" s="29" t="s">
        <v>99</v>
      </c>
      <c r="F5" s="29" t="s">
        <v>100</v>
      </c>
      <c r="G5" s="29" t="s">
        <v>101</v>
      </c>
      <c r="H5" s="29" t="s">
        <v>102</v>
      </c>
    </row>
    <row r="6" spans="1:8" x14ac:dyDescent="0.2">
      <c r="B6" s="30">
        <v>0</v>
      </c>
      <c r="C6" s="31">
        <f t="shared" ref="C6:C29" si="0">IFERROR(AVERAGEIFS(f_casual,f_hr,$B6),0)</f>
        <v>1.7209302325581395</v>
      </c>
      <c r="D6" s="31">
        <f t="shared" ref="D6:D29" si="1">IFERROR(AVERAGEIFS(f_registered,f_hr,$B6),0)</f>
        <v>14.627906976744185</v>
      </c>
      <c r="E6" s="32">
        <f t="shared" ref="E6:E29" si="2">IFERROR(AVERAGEIFS(f_cnt,f_hr,$B6),0)</f>
        <v>16.348837209302324</v>
      </c>
      <c r="F6" s="32">
        <f t="shared" ref="F6:F29" si="3">COUNTIFS(f_hr,$B6)</f>
        <v>43</v>
      </c>
      <c r="G6" s="32">
        <f t="shared" ref="G6:G29" si="4">SUMIFS(f_cnt,f_hr,$B6)</f>
        <v>703</v>
      </c>
      <c r="H6" s="33">
        <f t="shared" ref="H6:H29" si="5">IFERROR(SUMIFS(f_casual,f_hr,$B6)/SUMIFS(f_cnt,f_hr,$B6),0)</f>
        <v>0.10526315789473684</v>
      </c>
    </row>
    <row r="7" spans="1:8" x14ac:dyDescent="0.2">
      <c r="B7" s="30">
        <v>1</v>
      </c>
      <c r="C7" s="31">
        <f t="shared" si="0"/>
        <v>1.1162790697674418</v>
      </c>
      <c r="D7" s="31">
        <f t="shared" si="1"/>
        <v>9.5813953488372086</v>
      </c>
      <c r="E7" s="32">
        <f t="shared" si="2"/>
        <v>10.697674418604651</v>
      </c>
      <c r="F7" s="32">
        <f t="shared" si="3"/>
        <v>43</v>
      </c>
      <c r="G7" s="32">
        <f t="shared" si="4"/>
        <v>460</v>
      </c>
      <c r="H7" s="33">
        <f t="shared" si="5"/>
        <v>0.10434782608695652</v>
      </c>
    </row>
    <row r="8" spans="1:8" x14ac:dyDescent="0.2">
      <c r="B8" s="30">
        <v>2</v>
      </c>
      <c r="C8" s="31">
        <f t="shared" si="0"/>
        <v>0.80487804878048785</v>
      </c>
      <c r="D8" s="31">
        <f t="shared" si="1"/>
        <v>6.3658536585365857</v>
      </c>
      <c r="E8" s="32">
        <f t="shared" si="2"/>
        <v>7.1707317073170733</v>
      </c>
      <c r="F8" s="32">
        <f t="shared" si="3"/>
        <v>41</v>
      </c>
      <c r="G8" s="32">
        <f t="shared" si="4"/>
        <v>294</v>
      </c>
      <c r="H8" s="33">
        <f t="shared" si="5"/>
        <v>0.11224489795918367</v>
      </c>
    </row>
    <row r="9" spans="1:8" x14ac:dyDescent="0.2">
      <c r="B9" s="30">
        <v>3</v>
      </c>
      <c r="C9" s="31">
        <f t="shared" si="0"/>
        <v>1.096774193548387</v>
      </c>
      <c r="D9" s="31">
        <f t="shared" si="1"/>
        <v>3.774193548387097</v>
      </c>
      <c r="E9" s="32">
        <f t="shared" si="2"/>
        <v>4.870967741935484</v>
      </c>
      <c r="F9" s="32">
        <f t="shared" si="3"/>
        <v>31</v>
      </c>
      <c r="G9" s="32">
        <f t="shared" si="4"/>
        <v>151</v>
      </c>
      <c r="H9" s="33">
        <f t="shared" si="5"/>
        <v>0.2251655629139073</v>
      </c>
    </row>
    <row r="10" spans="1:8" x14ac:dyDescent="0.2">
      <c r="B10" s="30">
        <v>4</v>
      </c>
      <c r="C10" s="31">
        <f t="shared" si="0"/>
        <v>0.21875</v>
      </c>
      <c r="D10" s="31">
        <f t="shared" si="1"/>
        <v>1.9375</v>
      </c>
      <c r="E10" s="32">
        <f t="shared" si="2"/>
        <v>2.15625</v>
      </c>
      <c r="F10" s="32">
        <f t="shared" si="3"/>
        <v>32</v>
      </c>
      <c r="G10" s="32">
        <f t="shared" si="4"/>
        <v>69</v>
      </c>
      <c r="H10" s="33">
        <f t="shared" si="5"/>
        <v>0.10144927536231885</v>
      </c>
    </row>
    <row r="11" spans="1:8" x14ac:dyDescent="0.2">
      <c r="B11" s="30">
        <v>5</v>
      </c>
      <c r="C11" s="31">
        <f t="shared" si="0"/>
        <v>7.6923076923076927E-2</v>
      </c>
      <c r="D11" s="31">
        <f t="shared" si="1"/>
        <v>4.1282051282051286</v>
      </c>
      <c r="E11" s="32">
        <f t="shared" si="2"/>
        <v>4.2051282051282053</v>
      </c>
      <c r="F11" s="32">
        <f t="shared" si="3"/>
        <v>39</v>
      </c>
      <c r="G11" s="32">
        <f t="shared" si="4"/>
        <v>164</v>
      </c>
      <c r="H11" s="33">
        <f t="shared" si="5"/>
        <v>1.8292682926829267E-2</v>
      </c>
    </row>
    <row r="12" spans="1:8" x14ac:dyDescent="0.2">
      <c r="B12" s="30">
        <v>6</v>
      </c>
      <c r="C12" s="31">
        <f t="shared" si="0"/>
        <v>0.5</v>
      </c>
      <c r="D12" s="31">
        <f t="shared" si="1"/>
        <v>19.071428571428573</v>
      </c>
      <c r="E12" s="32">
        <f t="shared" si="2"/>
        <v>19.571428571428573</v>
      </c>
      <c r="F12" s="32">
        <f t="shared" si="3"/>
        <v>42</v>
      </c>
      <c r="G12" s="32">
        <f t="shared" si="4"/>
        <v>822</v>
      </c>
      <c r="H12" s="33">
        <f t="shared" si="5"/>
        <v>2.5547445255474453E-2</v>
      </c>
    </row>
    <row r="13" spans="1:8" x14ac:dyDescent="0.2">
      <c r="B13" s="30">
        <v>7</v>
      </c>
      <c r="C13" s="31">
        <f t="shared" si="0"/>
        <v>1.4883720930232558</v>
      </c>
      <c r="D13" s="31">
        <f t="shared" si="1"/>
        <v>52.906976744186046</v>
      </c>
      <c r="E13" s="32">
        <f t="shared" si="2"/>
        <v>54.395348837209305</v>
      </c>
      <c r="F13" s="32">
        <f t="shared" si="3"/>
        <v>43</v>
      </c>
      <c r="G13" s="32">
        <f t="shared" si="4"/>
        <v>2339</v>
      </c>
      <c r="H13" s="33">
        <f t="shared" si="5"/>
        <v>2.7362120564343735E-2</v>
      </c>
    </row>
    <row r="14" spans="1:8" x14ac:dyDescent="0.2">
      <c r="B14" s="30">
        <v>8</v>
      </c>
      <c r="C14" s="31">
        <f t="shared" si="0"/>
        <v>3.0238095238095237</v>
      </c>
      <c r="D14" s="31">
        <f t="shared" si="1"/>
        <v>125.26190476190476</v>
      </c>
      <c r="E14" s="32">
        <f t="shared" si="2"/>
        <v>128.28571428571428</v>
      </c>
      <c r="F14" s="32">
        <f t="shared" si="3"/>
        <v>42</v>
      </c>
      <c r="G14" s="32">
        <f t="shared" si="4"/>
        <v>5388</v>
      </c>
      <c r="H14" s="33">
        <f t="shared" si="5"/>
        <v>2.3570898292501856E-2</v>
      </c>
    </row>
    <row r="15" spans="1:8" x14ac:dyDescent="0.2">
      <c r="B15" s="30">
        <v>9</v>
      </c>
      <c r="C15" s="31">
        <f t="shared" si="0"/>
        <v>4.0952380952380949</v>
      </c>
      <c r="D15" s="31">
        <f t="shared" si="1"/>
        <v>83.333333333333329</v>
      </c>
      <c r="E15" s="32">
        <f t="shared" si="2"/>
        <v>87.428571428571431</v>
      </c>
      <c r="F15" s="32">
        <f t="shared" si="3"/>
        <v>42</v>
      </c>
      <c r="G15" s="32">
        <f t="shared" si="4"/>
        <v>3672</v>
      </c>
      <c r="H15" s="33">
        <f t="shared" si="5"/>
        <v>4.6840958605664486E-2</v>
      </c>
    </row>
    <row r="16" spans="1:8" x14ac:dyDescent="0.2">
      <c r="B16" s="30">
        <v>10</v>
      </c>
      <c r="C16" s="31">
        <f t="shared" si="0"/>
        <v>5.1428571428571432</v>
      </c>
      <c r="D16" s="31">
        <f t="shared" si="1"/>
        <v>48.5</v>
      </c>
      <c r="E16" s="32">
        <f t="shared" si="2"/>
        <v>53.642857142857146</v>
      </c>
      <c r="F16" s="32">
        <f t="shared" si="3"/>
        <v>42</v>
      </c>
      <c r="G16" s="32">
        <f t="shared" si="4"/>
        <v>2253</v>
      </c>
      <c r="H16" s="33">
        <f t="shared" si="5"/>
        <v>9.5872170439414109E-2</v>
      </c>
    </row>
    <row r="17" spans="2:8" x14ac:dyDescent="0.2">
      <c r="B17" s="30">
        <v>11</v>
      </c>
      <c r="C17" s="31">
        <f t="shared" si="0"/>
        <v>8.7380952380952372</v>
      </c>
      <c r="D17" s="31">
        <f t="shared" si="1"/>
        <v>50.642857142857146</v>
      </c>
      <c r="E17" s="32">
        <f t="shared" si="2"/>
        <v>59.38095238095238</v>
      </c>
      <c r="F17" s="32">
        <f t="shared" si="3"/>
        <v>42</v>
      </c>
      <c r="G17" s="32">
        <f t="shared" si="4"/>
        <v>2494</v>
      </c>
      <c r="H17" s="33">
        <f t="shared" si="5"/>
        <v>0.14715316760224539</v>
      </c>
    </row>
    <row r="18" spans="2:8" x14ac:dyDescent="0.2">
      <c r="B18" s="30">
        <v>12</v>
      </c>
      <c r="C18" s="31">
        <f t="shared" si="0"/>
        <v>11.209302325581396</v>
      </c>
      <c r="D18" s="31">
        <f t="shared" si="1"/>
        <v>65.139534883720927</v>
      </c>
      <c r="E18" s="32">
        <f t="shared" si="2"/>
        <v>76.348837209302332</v>
      </c>
      <c r="F18" s="32">
        <f t="shared" si="3"/>
        <v>43</v>
      </c>
      <c r="G18" s="32">
        <f t="shared" si="4"/>
        <v>3283</v>
      </c>
      <c r="H18" s="33">
        <f t="shared" si="5"/>
        <v>0.14681693572951568</v>
      </c>
    </row>
    <row r="19" spans="2:8" x14ac:dyDescent="0.2">
      <c r="B19" s="30">
        <v>13</v>
      </c>
      <c r="C19" s="31">
        <f t="shared" si="0"/>
        <v>11.930232558139535</v>
      </c>
      <c r="D19" s="31">
        <f t="shared" si="1"/>
        <v>66.581395348837205</v>
      </c>
      <c r="E19" s="32">
        <f t="shared" si="2"/>
        <v>78.511627906976742</v>
      </c>
      <c r="F19" s="32">
        <f t="shared" si="3"/>
        <v>43</v>
      </c>
      <c r="G19" s="32">
        <f t="shared" si="4"/>
        <v>3376</v>
      </c>
      <c r="H19" s="33">
        <f t="shared" si="5"/>
        <v>0.15195497630331753</v>
      </c>
    </row>
    <row r="20" spans="2:8" x14ac:dyDescent="0.2">
      <c r="B20" s="30">
        <v>14</v>
      </c>
      <c r="C20" s="31">
        <f t="shared" si="0"/>
        <v>10.837209302325581</v>
      </c>
      <c r="D20" s="31">
        <f t="shared" si="1"/>
        <v>63.581395348837212</v>
      </c>
      <c r="E20" s="32">
        <f t="shared" si="2"/>
        <v>74.418604651162795</v>
      </c>
      <c r="F20" s="32">
        <f t="shared" si="3"/>
        <v>43</v>
      </c>
      <c r="G20" s="32">
        <f t="shared" si="4"/>
        <v>3200</v>
      </c>
      <c r="H20" s="33">
        <f t="shared" si="5"/>
        <v>0.145625</v>
      </c>
    </row>
    <row r="21" spans="2:8" x14ac:dyDescent="0.2">
      <c r="B21" s="30">
        <v>15</v>
      </c>
      <c r="C21" s="31">
        <f t="shared" si="0"/>
        <v>12.465116279069768</v>
      </c>
      <c r="D21" s="31">
        <f t="shared" si="1"/>
        <v>65.488372093023258</v>
      </c>
      <c r="E21" s="32">
        <f t="shared" si="2"/>
        <v>77.95348837209302</v>
      </c>
      <c r="F21" s="32">
        <f t="shared" si="3"/>
        <v>43</v>
      </c>
      <c r="G21" s="32">
        <f t="shared" si="4"/>
        <v>3352</v>
      </c>
      <c r="H21" s="33">
        <f t="shared" si="5"/>
        <v>0.15990453460620524</v>
      </c>
    </row>
    <row r="22" spans="2:8" x14ac:dyDescent="0.2">
      <c r="B22" s="30">
        <v>16</v>
      </c>
      <c r="C22" s="31">
        <f t="shared" si="0"/>
        <v>11.204545454545455</v>
      </c>
      <c r="D22" s="31">
        <f t="shared" si="1"/>
        <v>78.068181818181813</v>
      </c>
      <c r="E22" s="32">
        <f t="shared" si="2"/>
        <v>89.272727272727266</v>
      </c>
      <c r="F22" s="32">
        <f t="shared" si="3"/>
        <v>44</v>
      </c>
      <c r="G22" s="32">
        <f t="shared" si="4"/>
        <v>3928</v>
      </c>
      <c r="H22" s="33">
        <f t="shared" si="5"/>
        <v>0.12550916496945011</v>
      </c>
    </row>
    <row r="23" spans="2:8" x14ac:dyDescent="0.2">
      <c r="B23" s="30">
        <v>17</v>
      </c>
      <c r="C23" s="31">
        <f t="shared" si="0"/>
        <v>8.9772727272727266</v>
      </c>
      <c r="D23" s="31">
        <f t="shared" si="1"/>
        <v>131.22727272727272</v>
      </c>
      <c r="E23" s="32">
        <f t="shared" si="2"/>
        <v>140.20454545454547</v>
      </c>
      <c r="F23" s="32">
        <f t="shared" si="3"/>
        <v>44</v>
      </c>
      <c r="G23" s="32">
        <f t="shared" si="4"/>
        <v>6169</v>
      </c>
      <c r="H23" s="33">
        <f t="shared" si="5"/>
        <v>6.4029826552115421E-2</v>
      </c>
    </row>
    <row r="24" spans="2:8" x14ac:dyDescent="0.2">
      <c r="B24" s="30">
        <v>18</v>
      </c>
      <c r="C24" s="31">
        <f t="shared" si="0"/>
        <v>5.1627906976744189</v>
      </c>
      <c r="D24" s="31">
        <f t="shared" si="1"/>
        <v>117.69767441860465</v>
      </c>
      <c r="E24" s="32">
        <f t="shared" si="2"/>
        <v>122.86046511627907</v>
      </c>
      <c r="F24" s="32">
        <f t="shared" si="3"/>
        <v>43</v>
      </c>
      <c r="G24" s="32">
        <f t="shared" si="4"/>
        <v>5283</v>
      </c>
      <c r="H24" s="33">
        <f t="shared" si="5"/>
        <v>4.2021578648495171E-2</v>
      </c>
    </row>
    <row r="25" spans="2:8" x14ac:dyDescent="0.2">
      <c r="B25" s="30">
        <v>19</v>
      </c>
      <c r="C25" s="31">
        <f t="shared" si="0"/>
        <v>4.3488372093023253</v>
      </c>
      <c r="D25" s="31">
        <f t="shared" si="1"/>
        <v>80.79069767441861</v>
      </c>
      <c r="E25" s="32">
        <f t="shared" si="2"/>
        <v>85.139534883720927</v>
      </c>
      <c r="F25" s="32">
        <f t="shared" si="3"/>
        <v>43</v>
      </c>
      <c r="G25" s="32">
        <f t="shared" si="4"/>
        <v>3661</v>
      </c>
      <c r="H25" s="33">
        <f t="shared" si="5"/>
        <v>5.1078940180278615E-2</v>
      </c>
    </row>
    <row r="26" spans="2:8" x14ac:dyDescent="0.2">
      <c r="B26" s="30">
        <v>20</v>
      </c>
      <c r="C26" s="31">
        <f t="shared" si="0"/>
        <v>3.2558139534883721</v>
      </c>
      <c r="D26" s="31">
        <f t="shared" si="1"/>
        <v>58.511627906976742</v>
      </c>
      <c r="E26" s="32">
        <f t="shared" si="2"/>
        <v>61.767441860465119</v>
      </c>
      <c r="F26" s="32">
        <f t="shared" si="3"/>
        <v>43</v>
      </c>
      <c r="G26" s="32">
        <f t="shared" si="4"/>
        <v>2656</v>
      </c>
      <c r="H26" s="33">
        <f t="shared" si="5"/>
        <v>5.2710843373493979E-2</v>
      </c>
    </row>
    <row r="27" spans="2:8" x14ac:dyDescent="0.2">
      <c r="B27" s="30">
        <v>21</v>
      </c>
      <c r="C27" s="31">
        <f t="shared" si="0"/>
        <v>2.7209302325581395</v>
      </c>
      <c r="D27" s="31">
        <f t="shared" si="1"/>
        <v>43.697674418604649</v>
      </c>
      <c r="E27" s="32">
        <f t="shared" si="2"/>
        <v>46.418604651162788</v>
      </c>
      <c r="F27" s="32">
        <f t="shared" si="3"/>
        <v>43</v>
      </c>
      <c r="G27" s="32">
        <f t="shared" si="4"/>
        <v>1996</v>
      </c>
      <c r="H27" s="33">
        <f t="shared" si="5"/>
        <v>5.8617234468937879E-2</v>
      </c>
    </row>
    <row r="28" spans="2:8" x14ac:dyDescent="0.2">
      <c r="B28" s="30">
        <v>22</v>
      </c>
      <c r="C28" s="31">
        <f t="shared" si="0"/>
        <v>2.3953488372093021</v>
      </c>
      <c r="D28" s="31">
        <f t="shared" si="1"/>
        <v>32.674418604651166</v>
      </c>
      <c r="E28" s="32">
        <f t="shared" si="2"/>
        <v>35.069767441860463</v>
      </c>
      <c r="F28" s="32">
        <f t="shared" si="3"/>
        <v>43</v>
      </c>
      <c r="G28" s="32">
        <f t="shared" si="4"/>
        <v>1508</v>
      </c>
      <c r="H28" s="33">
        <f t="shared" si="5"/>
        <v>6.830238726790451E-2</v>
      </c>
    </row>
    <row r="29" spans="2:8" x14ac:dyDescent="0.2">
      <c r="B29" s="30">
        <v>23</v>
      </c>
      <c r="C29" s="31">
        <f t="shared" si="0"/>
        <v>2.3488372093023258</v>
      </c>
      <c r="D29" s="31">
        <f t="shared" si="1"/>
        <v>22.837209302325583</v>
      </c>
      <c r="E29" s="32">
        <f t="shared" si="2"/>
        <v>25.186046511627907</v>
      </c>
      <c r="F29" s="32">
        <f t="shared" si="3"/>
        <v>43</v>
      </c>
      <c r="G29" s="32">
        <f t="shared" si="4"/>
        <v>1083</v>
      </c>
      <c r="H29" s="33">
        <f t="shared" si="5"/>
        <v>9.3259464450600182E-2</v>
      </c>
    </row>
    <row r="32" spans="2:8" ht="16" x14ac:dyDescent="0.2">
      <c r="B32" s="5" t="s">
        <v>103</v>
      </c>
    </row>
    <row r="33" spans="2:8" ht="28" x14ac:dyDescent="0.2">
      <c r="B33" s="29" t="s">
        <v>104</v>
      </c>
      <c r="C33" s="29" t="s">
        <v>97</v>
      </c>
      <c r="D33" s="29" t="s">
        <v>98</v>
      </c>
      <c r="E33" s="29" t="s">
        <v>99</v>
      </c>
      <c r="F33" s="29" t="s">
        <v>100</v>
      </c>
      <c r="G33" s="29" t="s">
        <v>101</v>
      </c>
      <c r="H33" s="29" t="s">
        <v>102</v>
      </c>
    </row>
    <row r="34" spans="2:8" ht="16" x14ac:dyDescent="0.2">
      <c r="B34" s="30" t="s">
        <v>66</v>
      </c>
      <c r="C34" s="31">
        <f t="shared" ref="C34:C40" si="6">IFERROR(AVERAGEIFS(f_casual,f_Day_Name,$B34),0)</f>
        <v>3.5838926174496644</v>
      </c>
      <c r="D34" s="31">
        <f t="shared" ref="D34:D40" si="7">IFERROR(AVERAGEIFS(f_registered,f_Day_Name,$B34),0)</f>
        <v>53.127516778523493</v>
      </c>
      <c r="E34" s="32">
        <f t="shared" ref="E34:E40" si="8">IFERROR(AVERAGEIFS(f_cnt,f_Day_Name,$B34),0)</f>
        <v>56.711409395973156</v>
      </c>
      <c r="F34" s="32">
        <f t="shared" ref="F34:F40" si="9">COUNTIFS(f_Day_Name,$B34)</f>
        <v>149</v>
      </c>
      <c r="G34" s="32">
        <f t="shared" ref="G34:G40" si="10">SUMIFS(f_cnt,f_Day_Name,$B34)</f>
        <v>8450</v>
      </c>
      <c r="H34" s="33">
        <f t="shared" ref="H34:H40" si="11">IFERROR(SUMIFS(f_casual,f_Day_Name,$B34)/SUMIFS(f_cnt,f_Day_Name,$B34),0)</f>
        <v>6.3195266272189354E-2</v>
      </c>
    </row>
    <row r="35" spans="2:8" ht="16" x14ac:dyDescent="0.2">
      <c r="B35" s="30" t="s">
        <v>68</v>
      </c>
      <c r="C35" s="31">
        <f t="shared" si="6"/>
        <v>3.5984251968503935</v>
      </c>
      <c r="D35" s="31">
        <f t="shared" si="7"/>
        <v>62.409448818897637</v>
      </c>
      <c r="E35" s="32">
        <f t="shared" si="8"/>
        <v>66.00787401574803</v>
      </c>
      <c r="F35" s="32">
        <f t="shared" si="9"/>
        <v>127</v>
      </c>
      <c r="G35" s="32">
        <f t="shared" si="10"/>
        <v>8383</v>
      </c>
      <c r="H35" s="33">
        <f t="shared" si="11"/>
        <v>5.4515090063223193E-2</v>
      </c>
    </row>
    <row r="36" spans="2:8" ht="16" x14ac:dyDescent="0.2">
      <c r="B36" s="30" t="s">
        <v>69</v>
      </c>
      <c r="C36" s="31">
        <f t="shared" si="6"/>
        <v>2.6259541984732824</v>
      </c>
      <c r="D36" s="31">
        <f t="shared" si="7"/>
        <v>58.81679389312977</v>
      </c>
      <c r="E36" s="32">
        <f t="shared" si="8"/>
        <v>61.44274809160305</v>
      </c>
      <c r="F36" s="32">
        <f t="shared" si="9"/>
        <v>131</v>
      </c>
      <c r="G36" s="32">
        <f t="shared" si="10"/>
        <v>8049</v>
      </c>
      <c r="H36" s="33">
        <f t="shared" si="11"/>
        <v>4.2738228351347995E-2</v>
      </c>
    </row>
    <row r="37" spans="2:8" ht="16" x14ac:dyDescent="0.2">
      <c r="B37" s="30" t="s">
        <v>70</v>
      </c>
      <c r="C37" s="31">
        <f t="shared" si="6"/>
        <v>2.6560000000000001</v>
      </c>
      <c r="D37" s="31">
        <f t="shared" si="7"/>
        <v>65.007999999999996</v>
      </c>
      <c r="E37" s="32">
        <f t="shared" si="8"/>
        <v>67.664000000000001</v>
      </c>
      <c r="F37" s="32">
        <f t="shared" si="9"/>
        <v>125</v>
      </c>
      <c r="G37" s="32">
        <f t="shared" si="10"/>
        <v>8458</v>
      </c>
      <c r="H37" s="33">
        <f t="shared" si="11"/>
        <v>3.9252778434618114E-2</v>
      </c>
    </row>
    <row r="38" spans="2:8" ht="16" x14ac:dyDescent="0.2">
      <c r="B38" s="30" t="s">
        <v>71</v>
      </c>
      <c r="C38" s="31">
        <f t="shared" si="6"/>
        <v>4</v>
      </c>
      <c r="D38" s="31">
        <f t="shared" si="7"/>
        <v>61.905797101449274</v>
      </c>
      <c r="E38" s="32">
        <f t="shared" si="8"/>
        <v>65.905797101449281</v>
      </c>
      <c r="F38" s="32">
        <f t="shared" si="9"/>
        <v>138</v>
      </c>
      <c r="G38" s="32">
        <f t="shared" si="10"/>
        <v>9095</v>
      </c>
      <c r="H38" s="33">
        <f t="shared" si="11"/>
        <v>6.069268829026938E-2</v>
      </c>
    </row>
    <row r="39" spans="2:8" ht="16" x14ac:dyDescent="0.2">
      <c r="B39" s="30" t="s">
        <v>72</v>
      </c>
      <c r="C39" s="31">
        <f t="shared" si="6"/>
        <v>7.3795180722891569</v>
      </c>
      <c r="D39" s="31">
        <f t="shared" si="7"/>
        <v>39.295180722891565</v>
      </c>
      <c r="E39" s="32">
        <f t="shared" si="8"/>
        <v>46.674698795180724</v>
      </c>
      <c r="F39" s="32">
        <f t="shared" si="9"/>
        <v>166</v>
      </c>
      <c r="G39" s="32">
        <f t="shared" si="10"/>
        <v>7748</v>
      </c>
      <c r="H39" s="33">
        <f t="shared" si="11"/>
        <v>0.15810531750129064</v>
      </c>
    </row>
    <row r="40" spans="2:8" ht="16" x14ac:dyDescent="0.2">
      <c r="B40" s="30" t="s">
        <v>74</v>
      </c>
      <c r="C40" s="31">
        <f t="shared" si="6"/>
        <v>9.0060975609756095</v>
      </c>
      <c r="D40" s="31">
        <f t="shared" si="7"/>
        <v>40.512195121951223</v>
      </c>
      <c r="E40" s="32">
        <f t="shared" si="8"/>
        <v>49.518292682926827</v>
      </c>
      <c r="F40" s="32">
        <f t="shared" si="9"/>
        <v>164</v>
      </c>
      <c r="G40" s="32">
        <f t="shared" si="10"/>
        <v>8121</v>
      </c>
      <c r="H40" s="33">
        <f t="shared" si="11"/>
        <v>0.18187415342938063</v>
      </c>
    </row>
    <row r="49" spans="2:8" ht="16" x14ac:dyDescent="0.2">
      <c r="B49" s="5" t="s">
        <v>105</v>
      </c>
    </row>
    <row r="50" spans="2:8" ht="28" x14ac:dyDescent="0.2">
      <c r="B50" s="29" t="s">
        <v>106</v>
      </c>
      <c r="C50" s="29" t="s">
        <v>97</v>
      </c>
      <c r="D50" s="29" t="s">
        <v>98</v>
      </c>
      <c r="E50" s="29" t="s">
        <v>99</v>
      </c>
      <c r="F50" s="29" t="s">
        <v>100</v>
      </c>
      <c r="G50" s="29" t="s">
        <v>101</v>
      </c>
      <c r="H50" s="29" t="s">
        <v>102</v>
      </c>
    </row>
    <row r="51" spans="2:8" ht="16" x14ac:dyDescent="0.2">
      <c r="B51" s="30" t="s">
        <v>107</v>
      </c>
      <c r="C51" s="31">
        <f>IFERROR(AVERAGEIFS(f_casual,f_Working_Day,$B51),0)</f>
        <v>3.2538699690402475</v>
      </c>
      <c r="D51" s="31">
        <f>IFERROR(AVERAGEIFS(f_registered,f_Working_Day,$B51),0)</f>
        <v>60.88699690402477</v>
      </c>
      <c r="E51" s="32">
        <f>IFERROR(AVERAGEIFS(f_cnt,f_Working_Day,$B51),0)</f>
        <v>64.140866873065022</v>
      </c>
      <c r="F51" s="32">
        <f>COUNTIFS(f_Working_Day,$B51)</f>
        <v>646</v>
      </c>
      <c r="G51" s="32">
        <f>SUMIFS(f_cnt,f_Working_Day,$B51)</f>
        <v>41435</v>
      </c>
      <c r="H51" s="33">
        <f>IFERROR(SUMIFS(f_casual,f_Working_Day,$B51)/SUMIFS(f_cnt,f_Working_Day,$B51),0)</f>
        <v>5.0730059128755882E-2</v>
      </c>
    </row>
    <row r="52" spans="2:8" ht="16" x14ac:dyDescent="0.2">
      <c r="B52" s="30" t="s">
        <v>108</v>
      </c>
      <c r="C52" s="31">
        <f>IFERROR(AVERAGEIFS(f_casual,f_Working_Day,$B52),0)</f>
        <v>7.963276836158192</v>
      </c>
      <c r="D52" s="31">
        <f>IFERROR(AVERAGEIFS(f_registered,f_Working_Day,$B52),0)</f>
        <v>39.689265536723163</v>
      </c>
      <c r="E52" s="32">
        <f>IFERROR(AVERAGEIFS(f_cnt,f_Working_Day,$B52),0)</f>
        <v>47.652542372881356</v>
      </c>
      <c r="F52" s="32">
        <f>COUNTIFS(f_Working_Day,$B52)</f>
        <v>354</v>
      </c>
      <c r="G52" s="32">
        <f>SUMIFS(f_cnt,f_Working_Day,$B52)</f>
        <v>16869</v>
      </c>
      <c r="H52" s="33">
        <f>IFERROR(SUMIFS(f_casual,f_Working_Day,$B52)/SUMIFS(f_cnt,f_Working_Day,$B52),0)</f>
        <v>0.167111269192009</v>
      </c>
    </row>
    <row r="66" spans="2:8" ht="16" x14ac:dyDescent="0.2">
      <c r="B66" s="5" t="s">
        <v>109</v>
      </c>
    </row>
    <row r="67" spans="2:8" ht="28" x14ac:dyDescent="0.2">
      <c r="B67" s="29" t="s">
        <v>110</v>
      </c>
      <c r="C67" s="29" t="s">
        <v>97</v>
      </c>
      <c r="D67" s="29" t="s">
        <v>98</v>
      </c>
      <c r="E67" s="29" t="s">
        <v>99</v>
      </c>
      <c r="F67" s="29" t="s">
        <v>100</v>
      </c>
      <c r="G67" s="29" t="s">
        <v>101</v>
      </c>
      <c r="H67" s="29" t="s">
        <v>102</v>
      </c>
    </row>
    <row r="68" spans="2:8" ht="16" x14ac:dyDescent="0.2">
      <c r="B68" s="30" t="s">
        <v>111</v>
      </c>
      <c r="C68" s="31">
        <f>IFERROR(AVERAGEIFS(f_casual,f_Weather,$B68),0)</f>
        <v>5.2986798679867988</v>
      </c>
      <c r="D68" s="31">
        <f>IFERROR(AVERAGEIFS(f_registered,f_Weather,$B68),0)</f>
        <v>56.372937293729372</v>
      </c>
      <c r="E68" s="32">
        <f>IFERROR(AVERAGEIFS(f_cnt,f_Weather,$B68),0)</f>
        <v>61.671617161716171</v>
      </c>
      <c r="F68" s="32">
        <f>COUNTIFS(f_Weather,$B68)</f>
        <v>606</v>
      </c>
      <c r="G68" s="32">
        <f>SUMIFS(f_cnt,f_Weather,$B68)</f>
        <v>37373</v>
      </c>
      <c r="H68" s="33">
        <f>IFERROR(SUMIFS(f_casual,f_Weather,$B68)/SUMIFS(f_cnt,f_Weather,$B68),0)</f>
        <v>8.5917641077783422E-2</v>
      </c>
    </row>
    <row r="69" spans="2:8" ht="16" x14ac:dyDescent="0.2">
      <c r="B69" s="30" t="s">
        <v>112</v>
      </c>
      <c r="C69" s="31">
        <f>IFERROR(AVERAGEIFS(f_casual,f_Weather,$B69),0)</f>
        <v>4.9773462783171523</v>
      </c>
      <c r="D69" s="31">
        <f>IFERROR(AVERAGEIFS(f_registered,f_Weather,$B69),0)</f>
        <v>53.618122977346282</v>
      </c>
      <c r="E69" s="32">
        <f>IFERROR(AVERAGEIFS(f_cnt,f_Weather,$B69),0)</f>
        <v>58.595469255663431</v>
      </c>
      <c r="F69" s="32">
        <f>COUNTIFS(f_Weather,$B69)</f>
        <v>309</v>
      </c>
      <c r="G69" s="32">
        <f>SUMIFS(f_cnt,f_Weather,$B69)</f>
        <v>18106</v>
      </c>
      <c r="H69" s="33">
        <f>IFERROR(SUMIFS(f_casual,f_Weather,$B69)/SUMIFS(f_cnt,f_Weather,$B69),0)</f>
        <v>8.4944217386501708E-2</v>
      </c>
    </row>
    <row r="70" spans="2:8" ht="16" x14ac:dyDescent="0.2">
      <c r="B70" s="30" t="s">
        <v>113</v>
      </c>
      <c r="C70" s="31">
        <f>IFERROR(AVERAGEIFS(f_casual,f_Weather,$B70),0)</f>
        <v>2.0357142857142856</v>
      </c>
      <c r="D70" s="31">
        <f>IFERROR(AVERAGEIFS(f_registered,f_Weather,$B70),0)</f>
        <v>31.166666666666668</v>
      </c>
      <c r="E70" s="32">
        <f>IFERROR(AVERAGEIFS(f_cnt,f_Weather,$B70),0)</f>
        <v>33.202380952380949</v>
      </c>
      <c r="F70" s="32">
        <f>COUNTIFS(f_Weather,$B70)</f>
        <v>84</v>
      </c>
      <c r="G70" s="32">
        <f>SUMIFS(f_cnt,f_Weather,$B70)</f>
        <v>2789</v>
      </c>
      <c r="H70" s="33">
        <f>IFERROR(SUMIFS(f_casual,f_Weather,$B70)/SUMIFS(f_cnt,f_Weather,$B70),0)</f>
        <v>6.1312298314808174E-2</v>
      </c>
    </row>
    <row r="71" spans="2:8" ht="16" x14ac:dyDescent="0.2">
      <c r="B71" s="30" t="s">
        <v>114</v>
      </c>
      <c r="C71" s="31">
        <f>IFERROR(AVERAGEIFS(f_casual,f_Weather,$B71),0)</f>
        <v>1</v>
      </c>
      <c r="D71" s="31">
        <f>IFERROR(AVERAGEIFS(f_registered,f_Weather,$B71),0)</f>
        <v>35</v>
      </c>
      <c r="E71" s="32">
        <f>IFERROR(AVERAGEIFS(f_cnt,f_Weather,$B71),0)</f>
        <v>36</v>
      </c>
      <c r="F71" s="32">
        <f>COUNTIFS(f_Weather,$B71)</f>
        <v>1</v>
      </c>
      <c r="G71" s="32">
        <f>SUMIFS(f_cnt,f_Weather,$B71)</f>
        <v>36</v>
      </c>
      <c r="H71" s="33">
        <f>IFERROR(SUMIFS(f_casual,f_Weather,$B71)/SUMIFS(f_cnt,f_Weather,$B71),0)</f>
        <v>2.7777777777777776E-2</v>
      </c>
    </row>
    <row r="83" spans="2:8" ht="16" x14ac:dyDescent="0.2">
      <c r="B83" s="5" t="s">
        <v>115</v>
      </c>
    </row>
    <row r="84" spans="2:8" ht="28" x14ac:dyDescent="0.2">
      <c r="B84" s="29" t="s">
        <v>116</v>
      </c>
      <c r="C84" s="29" t="s">
        <v>97</v>
      </c>
      <c r="D84" s="29" t="s">
        <v>98</v>
      </c>
      <c r="E84" s="29" t="s">
        <v>99</v>
      </c>
      <c r="F84" s="29" t="s">
        <v>100</v>
      </c>
      <c r="G84" s="29" t="s">
        <v>101</v>
      </c>
      <c r="H84" s="29" t="s">
        <v>102</v>
      </c>
    </row>
    <row r="85" spans="2:8" ht="16" x14ac:dyDescent="0.2">
      <c r="B85" s="30" t="s">
        <v>117</v>
      </c>
      <c r="C85" s="31">
        <f>IFERROR(AVERAGEIFS(f_casual,f_Time_Band,$B85),0)</f>
        <v>0.86899563318777295</v>
      </c>
      <c r="D85" s="31">
        <f>IFERROR(AVERAGEIFS(f_registered,f_Time_Band,$B85),0)</f>
        <v>7.1703056768558948</v>
      </c>
      <c r="E85" s="32">
        <f>IFERROR(AVERAGEIFS(f_cnt,f_Time_Band,$B85),0)</f>
        <v>8.039301310043669</v>
      </c>
      <c r="F85" s="32">
        <f>COUNTIFS(f_Time_Band,$B85)</f>
        <v>229</v>
      </c>
      <c r="G85" s="32">
        <f>SUMIFS(f_cnt,f_Time_Band,$B85)</f>
        <v>1841</v>
      </c>
      <c r="H85" s="33">
        <f>IFERROR(SUMIFS(f_casual,f_Time_Band,$B85)/SUMIFS(f_cnt,f_Time_Band,$B85),0)</f>
        <v>0.10809342748506247</v>
      </c>
    </row>
    <row r="86" spans="2:8" ht="16" x14ac:dyDescent="0.2">
      <c r="B86" s="30" t="s">
        <v>118</v>
      </c>
      <c r="C86" s="31">
        <f>IFERROR(AVERAGEIFS(f_casual,f_Time_Band,$B86),0)</f>
        <v>3.8221343873517788</v>
      </c>
      <c r="D86" s="31">
        <f>IFERROR(AVERAGEIFS(f_registered,f_Time_Band,$B86),0)</f>
        <v>63.245059288537547</v>
      </c>
      <c r="E86" s="32">
        <f>IFERROR(AVERAGEIFS(f_cnt,f_Time_Band,$B86),0)</f>
        <v>67.067193675889328</v>
      </c>
      <c r="F86" s="32">
        <f>COUNTIFS(f_Time_Band,$B86)</f>
        <v>253</v>
      </c>
      <c r="G86" s="32">
        <f>SUMIFS(f_cnt,f_Time_Band,$B86)</f>
        <v>16968</v>
      </c>
      <c r="H86" s="33">
        <f>IFERROR(SUMIFS(f_casual,f_Time_Band,$B86)/SUMIFS(f_cnt,f_Time_Band,$B86),0)</f>
        <v>5.6989627534181991E-2</v>
      </c>
    </row>
    <row r="87" spans="2:8" ht="16" x14ac:dyDescent="0.2">
      <c r="B87" s="30" t="s">
        <v>119</v>
      </c>
      <c r="C87" s="31">
        <f>IFERROR(AVERAGEIFS(f_casual,f_Time_Band,$B87),0)</f>
        <v>11.527777777777779</v>
      </c>
      <c r="D87" s="31">
        <f>IFERROR(AVERAGEIFS(f_registered,f_Time_Band,$B87),0)</f>
        <v>67.819444444444443</v>
      </c>
      <c r="E87" s="32">
        <f>IFERROR(AVERAGEIFS(f_cnt,f_Time_Band,$B87),0)</f>
        <v>79.347222222222229</v>
      </c>
      <c r="F87" s="32">
        <f>COUNTIFS(f_Time_Band,$B87)</f>
        <v>216</v>
      </c>
      <c r="G87" s="32">
        <f>SUMIFS(f_cnt,f_Time_Band,$B87)</f>
        <v>17139</v>
      </c>
      <c r="H87" s="33">
        <f>IFERROR(SUMIFS(f_casual,f_Time_Band,$B87)/SUMIFS(f_cnt,f_Time_Band,$B87),0)</f>
        <v>0.14528268860493612</v>
      </c>
    </row>
    <row r="88" spans="2:8" ht="16" x14ac:dyDescent="0.2">
      <c r="B88" s="30" t="s">
        <v>120</v>
      </c>
      <c r="C88" s="31">
        <f>IFERROR(AVERAGEIFS(f_casual,f_Time_Band,$B88),0)</f>
        <v>5.4566473988439306</v>
      </c>
      <c r="D88" s="31">
        <f>IFERROR(AVERAGEIFS(f_registered,f_Time_Band,$B88),0)</f>
        <v>97.25433526011561</v>
      </c>
      <c r="E88" s="32">
        <f>IFERROR(AVERAGEIFS(f_cnt,f_Time_Band,$B88),0)</f>
        <v>102.71098265895954</v>
      </c>
      <c r="F88" s="32">
        <f>COUNTIFS(f_Time_Band,$B88)</f>
        <v>173</v>
      </c>
      <c r="G88" s="32">
        <f>SUMIFS(f_cnt,f_Time_Band,$B88)</f>
        <v>17769</v>
      </c>
      <c r="H88" s="33">
        <f>IFERROR(SUMIFS(f_casual,f_Time_Band,$B88)/SUMIFS(f_cnt,f_Time_Band,$B88),0)</f>
        <v>5.3126231076594067E-2</v>
      </c>
    </row>
    <row r="89" spans="2:8" ht="16" x14ac:dyDescent="0.2">
      <c r="B89" s="30" t="s">
        <v>121</v>
      </c>
      <c r="C89" s="31">
        <f>IFERROR(AVERAGEIFS(f_casual,f_Time_Band,$B89),0)</f>
        <v>2.4883720930232558</v>
      </c>
      <c r="D89" s="31">
        <f>IFERROR(AVERAGEIFS(f_registered,f_Time_Band,$B89),0)</f>
        <v>33.069767441860463</v>
      </c>
      <c r="E89" s="32">
        <f>IFERROR(AVERAGEIFS(f_cnt,f_Time_Band,$B89),0)</f>
        <v>35.558139534883722</v>
      </c>
      <c r="F89" s="32">
        <f>COUNTIFS(f_Time_Band,$B89)</f>
        <v>129</v>
      </c>
      <c r="G89" s="32">
        <f>SUMIFS(f_cnt,f_Time_Band,$B89)</f>
        <v>4587</v>
      </c>
      <c r="H89" s="33">
        <f>IFERROR(SUMIFS(f_casual,f_Time_Band,$B89)/SUMIFS(f_cnt,f_Time_Band,$B89),0)</f>
        <v>6.9980379332897316E-2</v>
      </c>
    </row>
    <row r="100" spans="2:8" ht="16" x14ac:dyDescent="0.2">
      <c r="B100" s="5" t="s">
        <v>122</v>
      </c>
    </row>
    <row r="101" spans="2:8" ht="28" x14ac:dyDescent="0.2">
      <c r="B101" s="29" t="s">
        <v>123</v>
      </c>
      <c r="C101" s="29" t="s">
        <v>97</v>
      </c>
      <c r="D101" s="29" t="s">
        <v>98</v>
      </c>
      <c r="E101" s="29" t="s">
        <v>99</v>
      </c>
      <c r="F101" s="29" t="s">
        <v>100</v>
      </c>
      <c r="G101" s="29" t="s">
        <v>101</v>
      </c>
      <c r="H101" s="29" t="s">
        <v>102</v>
      </c>
    </row>
    <row r="102" spans="2:8" ht="16" x14ac:dyDescent="0.2">
      <c r="B102" s="30" t="s">
        <v>124</v>
      </c>
      <c r="C102" s="31">
        <f>IFERROR(AVERAGEIFS(f_casual,f_Temp_Band,$B102),0)</f>
        <v>2.2823529411764705</v>
      </c>
      <c r="D102" s="31">
        <f>IFERROR(AVERAGEIFS(f_registered,f_Temp_Band,$B102),0)</f>
        <v>45.402352941176474</v>
      </c>
      <c r="E102" s="32">
        <f>IFERROR(AVERAGEIFS(f_cnt,f_Temp_Band,$B102),0)</f>
        <v>47.684705882352944</v>
      </c>
      <c r="F102" s="32">
        <f>COUNTIFS(f_Temp_Band,$B102)</f>
        <v>425</v>
      </c>
      <c r="G102" s="32">
        <f>SUMIFS(f_cnt,f_Temp_Band,$B102)</f>
        <v>20266</v>
      </c>
      <c r="H102" s="33">
        <f>IFERROR(SUMIFS(f_casual,f_Temp_Band,$B102)/SUMIFS(f_cnt,f_Temp_Band,$B102),0)</f>
        <v>4.7863416559755255E-2</v>
      </c>
    </row>
    <row r="103" spans="2:8" ht="16" x14ac:dyDescent="0.2">
      <c r="B103" s="30" t="s">
        <v>125</v>
      </c>
      <c r="C103" s="31">
        <f>IFERROR(AVERAGEIFS(f_casual,f_Temp_Band,$B103),0)</f>
        <v>4.5400457665903886</v>
      </c>
      <c r="D103" s="31">
        <f>IFERROR(AVERAGEIFS(f_registered,f_Temp_Band,$B103),0)</f>
        <v>55.455377574370708</v>
      </c>
      <c r="E103" s="32">
        <f>IFERROR(AVERAGEIFS(f_cnt,f_Temp_Band,$B103),0)</f>
        <v>59.995423340961096</v>
      </c>
      <c r="F103" s="32">
        <f>COUNTIFS(f_Temp_Band,$B103)</f>
        <v>437</v>
      </c>
      <c r="G103" s="32">
        <f>SUMIFS(f_cnt,f_Temp_Band,$B103)</f>
        <v>26218</v>
      </c>
      <c r="H103" s="33">
        <f>IFERROR(SUMIFS(f_casual,f_Temp_Band,$B103)/SUMIFS(f_cnt,f_Temp_Band,$B103),0)</f>
        <v>7.5673201617209557E-2</v>
      </c>
    </row>
    <row r="104" spans="2:8" ht="16" x14ac:dyDescent="0.2">
      <c r="B104" s="30" t="s">
        <v>126</v>
      </c>
      <c r="C104" s="31">
        <f>IFERROR(AVERAGEIFS(f_casual,f_Temp_Band,$B104),0)</f>
        <v>14.253623188405797</v>
      </c>
      <c r="D104" s="31">
        <f>IFERROR(AVERAGEIFS(f_registered,f_Temp_Band,$B104),0)</f>
        <v>71.398550724637687</v>
      </c>
      <c r="E104" s="32">
        <f>IFERROR(AVERAGEIFS(f_cnt,f_Temp_Band,$B104),0)</f>
        <v>85.652173913043484</v>
      </c>
      <c r="F104" s="32">
        <f>COUNTIFS(f_Temp_Band,$B104)</f>
        <v>138</v>
      </c>
      <c r="G104" s="32">
        <f>SUMIFS(f_cnt,f_Temp_Band,$B104)</f>
        <v>11820</v>
      </c>
      <c r="H104" s="33">
        <f>IFERROR(SUMIFS(f_casual,f_Temp_Band,$B104)/SUMIFS(f_cnt,f_Temp_Band,$B104),0)</f>
        <v>0.16641285956006768</v>
      </c>
    </row>
    <row r="117" spans="2:8" ht="16" x14ac:dyDescent="0.2">
      <c r="B117" s="5" t="s">
        <v>127</v>
      </c>
    </row>
    <row r="118" spans="2:8" ht="28" x14ac:dyDescent="0.2">
      <c r="B118" s="29" t="s">
        <v>128</v>
      </c>
      <c r="C118" s="29" t="s">
        <v>97</v>
      </c>
      <c r="D118" s="29" t="s">
        <v>98</v>
      </c>
      <c r="E118" s="29" t="s">
        <v>99</v>
      </c>
      <c r="F118" s="29" t="s">
        <v>100</v>
      </c>
      <c r="G118" s="29" t="s">
        <v>101</v>
      </c>
      <c r="H118" s="29" t="s">
        <v>102</v>
      </c>
    </row>
    <row r="119" spans="2:8" ht="16" x14ac:dyDescent="0.2">
      <c r="B119" s="30" t="s">
        <v>129</v>
      </c>
      <c r="C119" s="31">
        <f>IFERROR(AVERAGEIFS(f_casual,f_Humidity_Band,$B119),0)</f>
        <v>7.5447368421052632</v>
      </c>
      <c r="D119" s="31">
        <f>IFERROR(AVERAGEIFS(f_registered,f_Humidity_Band,$B119),0)</f>
        <v>65.563157894736847</v>
      </c>
      <c r="E119" s="32">
        <f>IFERROR(AVERAGEIFS(f_cnt,f_Humidity_Band,$B119),0)</f>
        <v>73.107894736842098</v>
      </c>
      <c r="F119" s="32">
        <f>COUNTIFS(f_Humidity_Band,$B119)</f>
        <v>380</v>
      </c>
      <c r="G119" s="32">
        <f>SUMIFS(f_cnt,f_Humidity_Band,$B119)</f>
        <v>27781</v>
      </c>
      <c r="H119" s="33">
        <f>IFERROR(SUMIFS(f_casual,f_Humidity_Band,$B119)/SUMIFS(f_cnt,f_Humidity_Band,$B119),0)</f>
        <v>0.10320002879665958</v>
      </c>
    </row>
    <row r="120" spans="2:8" ht="16" x14ac:dyDescent="0.2">
      <c r="B120" s="30" t="s">
        <v>130</v>
      </c>
      <c r="C120" s="31">
        <f>IFERROR(AVERAGEIFS(f_casual,f_Humidity_Band,$B120),0)</f>
        <v>3.4239401496259352</v>
      </c>
      <c r="D120" s="31">
        <f>IFERROR(AVERAGEIFS(f_registered,f_Humidity_Band,$B120),0)</f>
        <v>49.710723192019948</v>
      </c>
      <c r="E120" s="32">
        <f>IFERROR(AVERAGEIFS(f_cnt,f_Humidity_Band,$B120),0)</f>
        <v>53.134663341645883</v>
      </c>
      <c r="F120" s="32">
        <f>COUNTIFS(f_Humidity_Band,$B120)</f>
        <v>401</v>
      </c>
      <c r="G120" s="32">
        <f>SUMIFS(f_cnt,f_Humidity_Band,$B120)</f>
        <v>21307</v>
      </c>
      <c r="H120" s="33">
        <f>IFERROR(SUMIFS(f_casual,f_Humidity_Band,$B120)/SUMIFS(f_cnt,f_Humidity_Band,$B120),0)</f>
        <v>6.4438916787910083E-2</v>
      </c>
    </row>
    <row r="121" spans="2:8" ht="16" x14ac:dyDescent="0.2">
      <c r="B121" s="30" t="s">
        <v>131</v>
      </c>
      <c r="C121" s="31">
        <f>IFERROR(AVERAGEIFS(f_casual,f_Humidity_Band,$B121),0)</f>
        <v>3.1095890410958904</v>
      </c>
      <c r="D121" s="31">
        <f>IFERROR(AVERAGEIFS(f_registered,f_Humidity_Band,$B121),0)</f>
        <v>38.972602739726028</v>
      </c>
      <c r="E121" s="32">
        <f>IFERROR(AVERAGEIFS(f_cnt,f_Humidity_Band,$B121),0)</f>
        <v>42.082191780821915</v>
      </c>
      <c r="F121" s="32">
        <f>COUNTIFS(f_Humidity_Band,$B121)</f>
        <v>219</v>
      </c>
      <c r="G121" s="32">
        <f>SUMIFS(f_cnt,f_Humidity_Band,$B121)</f>
        <v>9216</v>
      </c>
      <c r="H121" s="33">
        <f>IFERROR(SUMIFS(f_casual,f_Humidity_Band,$B121)/SUMIFS(f_cnt,f_Humidity_Band,$B121),0)</f>
        <v>7.3893229166666671E-2</v>
      </c>
    </row>
    <row r="134" spans="2:8" ht="16" x14ac:dyDescent="0.2">
      <c r="B134" s="5" t="s">
        <v>132</v>
      </c>
    </row>
    <row r="135" spans="2:8" ht="28" x14ac:dyDescent="0.2">
      <c r="B135" s="29" t="s">
        <v>133</v>
      </c>
      <c r="C135" s="29" t="s">
        <v>97</v>
      </c>
      <c r="D135" s="29" t="s">
        <v>98</v>
      </c>
      <c r="E135" s="29" t="s">
        <v>99</v>
      </c>
      <c r="F135" s="29" t="s">
        <v>100</v>
      </c>
      <c r="G135" s="29" t="s">
        <v>101</v>
      </c>
      <c r="H135" s="29" t="s">
        <v>102</v>
      </c>
    </row>
    <row r="136" spans="2:8" ht="16" x14ac:dyDescent="0.2">
      <c r="B136" s="30" t="s">
        <v>134</v>
      </c>
      <c r="C136" s="31">
        <f>IFERROR(AVERAGEIFS(f_casual,f_Month,$B136),0)</f>
        <v>4.4665697674418601</v>
      </c>
      <c r="D136" s="31">
        <f>IFERROR(AVERAGEIFS(f_registered,f_Month,$B136),0)</f>
        <v>51.040697674418603</v>
      </c>
      <c r="E136" s="32">
        <f>IFERROR(AVERAGEIFS(f_cnt,f_Month,$B136),0)</f>
        <v>55.507267441860463</v>
      </c>
      <c r="F136" s="32">
        <f>COUNTIFS(f_Month,$B136)</f>
        <v>688</v>
      </c>
      <c r="G136" s="32">
        <f>SUMIFS(f_cnt,f_Month,$B136)</f>
        <v>38189</v>
      </c>
      <c r="H136" s="33">
        <f>IFERROR(SUMIFS(f_casual,f_Month,$B136)/SUMIFS(f_cnt,f_Month,$B136),0)</f>
        <v>8.0468197648537534E-2</v>
      </c>
    </row>
    <row r="137" spans="2:8" ht="16" x14ac:dyDescent="0.2">
      <c r="B137" s="30" t="s">
        <v>135</v>
      </c>
      <c r="C137" s="31">
        <f>IFERROR(AVERAGEIFS(f_casual,f_Month,$B137),0)</f>
        <v>5.9230769230769234</v>
      </c>
      <c r="D137" s="31">
        <f>IFERROR(AVERAGEIFS(f_registered,f_Month,$B137),0)</f>
        <v>58.54807692307692</v>
      </c>
      <c r="E137" s="32">
        <f>IFERROR(AVERAGEIFS(f_cnt,f_Month,$B137),0)</f>
        <v>64.47115384615384</v>
      </c>
      <c r="F137" s="32">
        <f>COUNTIFS(f_Month,$B137)</f>
        <v>312</v>
      </c>
      <c r="G137" s="32">
        <f>SUMIFS(f_cnt,f_Month,$B137)</f>
        <v>20115</v>
      </c>
      <c r="H137" s="33">
        <f>IFERROR(SUMIFS(f_casual,f_Month,$B137)/SUMIFS(f_cnt,f_Month,$B137),0)</f>
        <v>9.1871737509321399E-2</v>
      </c>
    </row>
    <row r="151" spans="2:6" ht="16" x14ac:dyDescent="0.2">
      <c r="B151" s="5" t="s">
        <v>136</v>
      </c>
    </row>
    <row r="152" spans="2:6" ht="28" x14ac:dyDescent="0.2">
      <c r="B152" s="29" t="s">
        <v>137</v>
      </c>
      <c r="C152" s="29" t="s">
        <v>101</v>
      </c>
      <c r="D152" s="29" t="s">
        <v>138</v>
      </c>
      <c r="E152" s="29" t="s">
        <v>139</v>
      </c>
      <c r="F152" s="29" t="s">
        <v>140</v>
      </c>
    </row>
    <row r="153" spans="2:6" x14ac:dyDescent="0.2">
      <c r="B153" s="34">
        <v>40544</v>
      </c>
      <c r="C153" s="32">
        <f t="shared" ref="C153:C197" si="12">SUMIFS(f_cnt,f_dteday,$B153)</f>
        <v>985</v>
      </c>
      <c r="D153" s="32">
        <f t="shared" ref="D153:D197" si="13">SUMIFS(f_registered,f_dteday,$B153)</f>
        <v>654</v>
      </c>
      <c r="E153" s="32">
        <f t="shared" ref="E153:E197" si="14">SUMIFS(f_casual,f_dteday,$B153)</f>
        <v>331</v>
      </c>
      <c r="F153" s="35" t="str">
        <f t="shared" ref="F153:F197" si="15">IF(COUNTIFS(f_dteday,$B153,f_weathersit,3)+COUNTIFS(f_dteday,$B153,f_weathersit,4)&gt;=6,"Rainy day",IF(COUNTIFS(f_dteday,$B153,f_weathersit,1)&gt;=12,"Mostly clear","Mixed"))</f>
        <v>Mostly clear</v>
      </c>
    </row>
    <row r="154" spans="2:6" x14ac:dyDescent="0.2">
      <c r="B154" s="34">
        <v>40545</v>
      </c>
      <c r="C154" s="32">
        <f t="shared" si="12"/>
        <v>801</v>
      </c>
      <c r="D154" s="32">
        <f t="shared" si="13"/>
        <v>670</v>
      </c>
      <c r="E154" s="32">
        <f t="shared" si="14"/>
        <v>131</v>
      </c>
      <c r="F154" s="35" t="str">
        <f t="shared" si="15"/>
        <v>Mixed</v>
      </c>
    </row>
    <row r="155" spans="2:6" x14ac:dyDescent="0.2">
      <c r="B155" s="34">
        <v>40546</v>
      </c>
      <c r="C155" s="32">
        <f t="shared" si="12"/>
        <v>1349</v>
      </c>
      <c r="D155" s="32">
        <f t="shared" si="13"/>
        <v>1229</v>
      </c>
      <c r="E155" s="32">
        <f t="shared" si="14"/>
        <v>120</v>
      </c>
      <c r="F155" s="35" t="str">
        <f t="shared" si="15"/>
        <v>Mostly clear</v>
      </c>
    </row>
    <row r="156" spans="2:6" x14ac:dyDescent="0.2">
      <c r="B156" s="34">
        <v>40547</v>
      </c>
      <c r="C156" s="32">
        <f t="shared" si="12"/>
        <v>1562</v>
      </c>
      <c r="D156" s="32">
        <f t="shared" si="13"/>
        <v>1454</v>
      </c>
      <c r="E156" s="32">
        <f t="shared" si="14"/>
        <v>108</v>
      </c>
      <c r="F156" s="35" t="str">
        <f t="shared" si="15"/>
        <v>Mostly clear</v>
      </c>
    </row>
    <row r="157" spans="2:6" x14ac:dyDescent="0.2">
      <c r="B157" s="34">
        <v>40548</v>
      </c>
      <c r="C157" s="32">
        <f t="shared" si="12"/>
        <v>1600</v>
      </c>
      <c r="D157" s="32">
        <f t="shared" si="13"/>
        <v>1518</v>
      </c>
      <c r="E157" s="32">
        <f t="shared" si="14"/>
        <v>82</v>
      </c>
      <c r="F157" s="35" t="str">
        <f t="shared" si="15"/>
        <v>Mostly clear</v>
      </c>
    </row>
    <row r="158" spans="2:6" x14ac:dyDescent="0.2">
      <c r="B158" s="34">
        <v>40549</v>
      </c>
      <c r="C158" s="32">
        <f t="shared" si="12"/>
        <v>1606</v>
      </c>
      <c r="D158" s="32">
        <f t="shared" si="13"/>
        <v>1518</v>
      </c>
      <c r="E158" s="32">
        <f t="shared" si="14"/>
        <v>88</v>
      </c>
      <c r="F158" s="35" t="str">
        <f t="shared" si="15"/>
        <v>Mostly clear</v>
      </c>
    </row>
    <row r="159" spans="2:6" x14ac:dyDescent="0.2">
      <c r="B159" s="34">
        <v>40550</v>
      </c>
      <c r="C159" s="32">
        <f t="shared" si="12"/>
        <v>1510</v>
      </c>
      <c r="D159" s="32">
        <f t="shared" si="13"/>
        <v>1362</v>
      </c>
      <c r="E159" s="32">
        <f t="shared" si="14"/>
        <v>148</v>
      </c>
      <c r="F159" s="35" t="str">
        <f t="shared" si="15"/>
        <v>Mixed</v>
      </c>
    </row>
    <row r="160" spans="2:6" x14ac:dyDescent="0.2">
      <c r="B160" s="34">
        <v>40551</v>
      </c>
      <c r="C160" s="32">
        <f t="shared" si="12"/>
        <v>959</v>
      </c>
      <c r="D160" s="32">
        <f t="shared" si="13"/>
        <v>891</v>
      </c>
      <c r="E160" s="32">
        <f t="shared" si="14"/>
        <v>68</v>
      </c>
      <c r="F160" s="35" t="str">
        <f t="shared" si="15"/>
        <v>Mixed</v>
      </c>
    </row>
    <row r="161" spans="2:6" x14ac:dyDescent="0.2">
      <c r="B161" s="34">
        <v>40552</v>
      </c>
      <c r="C161" s="32">
        <f t="shared" si="12"/>
        <v>822</v>
      </c>
      <c r="D161" s="32">
        <f t="shared" si="13"/>
        <v>768</v>
      </c>
      <c r="E161" s="32">
        <f t="shared" si="14"/>
        <v>54</v>
      </c>
      <c r="F161" s="35" t="str">
        <f t="shared" si="15"/>
        <v>Mostly clear</v>
      </c>
    </row>
    <row r="162" spans="2:6" x14ac:dyDescent="0.2">
      <c r="B162" s="34">
        <v>40553</v>
      </c>
      <c r="C162" s="32">
        <f t="shared" si="12"/>
        <v>1321</v>
      </c>
      <c r="D162" s="32">
        <f t="shared" si="13"/>
        <v>1280</v>
      </c>
      <c r="E162" s="32">
        <f t="shared" si="14"/>
        <v>41</v>
      </c>
      <c r="F162" s="35" t="str">
        <f t="shared" si="15"/>
        <v>Mostly clear</v>
      </c>
    </row>
    <row r="163" spans="2:6" x14ac:dyDescent="0.2">
      <c r="B163" s="34">
        <v>40554</v>
      </c>
      <c r="C163" s="32">
        <f t="shared" si="12"/>
        <v>1263</v>
      </c>
      <c r="D163" s="32">
        <f t="shared" si="13"/>
        <v>1220</v>
      </c>
      <c r="E163" s="32">
        <f t="shared" si="14"/>
        <v>43</v>
      </c>
      <c r="F163" s="35" t="str">
        <f t="shared" si="15"/>
        <v>Rainy day</v>
      </c>
    </row>
    <row r="164" spans="2:6" x14ac:dyDescent="0.2">
      <c r="B164" s="34">
        <v>40555</v>
      </c>
      <c r="C164" s="32">
        <f t="shared" si="12"/>
        <v>1162</v>
      </c>
      <c r="D164" s="32">
        <f t="shared" si="13"/>
        <v>1137</v>
      </c>
      <c r="E164" s="32">
        <f t="shared" si="14"/>
        <v>25</v>
      </c>
      <c r="F164" s="35" t="str">
        <f t="shared" si="15"/>
        <v>Mostly clear</v>
      </c>
    </row>
    <row r="165" spans="2:6" x14ac:dyDescent="0.2">
      <c r="B165" s="34">
        <v>40556</v>
      </c>
      <c r="C165" s="32">
        <f t="shared" si="12"/>
        <v>1406</v>
      </c>
      <c r="D165" s="32">
        <f t="shared" si="13"/>
        <v>1368</v>
      </c>
      <c r="E165" s="32">
        <f t="shared" si="14"/>
        <v>38</v>
      </c>
      <c r="F165" s="35" t="str">
        <f t="shared" si="15"/>
        <v>Mostly clear</v>
      </c>
    </row>
    <row r="166" spans="2:6" x14ac:dyDescent="0.2">
      <c r="B166" s="34">
        <v>40557</v>
      </c>
      <c r="C166" s="32">
        <f t="shared" si="12"/>
        <v>1421</v>
      </c>
      <c r="D166" s="32">
        <f t="shared" si="13"/>
        <v>1367</v>
      </c>
      <c r="E166" s="32">
        <f t="shared" si="14"/>
        <v>54</v>
      </c>
      <c r="F166" s="35" t="str">
        <f t="shared" si="15"/>
        <v>Mostly clear</v>
      </c>
    </row>
    <row r="167" spans="2:6" x14ac:dyDescent="0.2">
      <c r="B167" s="34">
        <v>40558</v>
      </c>
      <c r="C167" s="32">
        <f t="shared" si="12"/>
        <v>1248</v>
      </c>
      <c r="D167" s="32">
        <f t="shared" si="13"/>
        <v>1026</v>
      </c>
      <c r="E167" s="32">
        <f t="shared" si="14"/>
        <v>222</v>
      </c>
      <c r="F167" s="35" t="str">
        <f t="shared" si="15"/>
        <v>Mostly clear</v>
      </c>
    </row>
    <row r="168" spans="2:6" x14ac:dyDescent="0.2">
      <c r="B168" s="34">
        <v>40559</v>
      </c>
      <c r="C168" s="32">
        <f t="shared" si="12"/>
        <v>1204</v>
      </c>
      <c r="D168" s="32">
        <f t="shared" si="13"/>
        <v>953</v>
      </c>
      <c r="E168" s="32">
        <f t="shared" si="14"/>
        <v>251</v>
      </c>
      <c r="F168" s="35" t="str">
        <f t="shared" si="15"/>
        <v>Mostly clear</v>
      </c>
    </row>
    <row r="169" spans="2:6" x14ac:dyDescent="0.2">
      <c r="B169" s="34">
        <v>40560</v>
      </c>
      <c r="C169" s="32">
        <f t="shared" si="12"/>
        <v>1000</v>
      </c>
      <c r="D169" s="32">
        <f t="shared" si="13"/>
        <v>883</v>
      </c>
      <c r="E169" s="32">
        <f t="shared" si="14"/>
        <v>117</v>
      </c>
      <c r="F169" s="35" t="str">
        <f t="shared" si="15"/>
        <v>Mixed</v>
      </c>
    </row>
    <row r="170" spans="2:6" x14ac:dyDescent="0.2">
      <c r="B170" s="34">
        <v>40561</v>
      </c>
      <c r="C170" s="32">
        <f t="shared" si="12"/>
        <v>683</v>
      </c>
      <c r="D170" s="32">
        <f t="shared" si="13"/>
        <v>674</v>
      </c>
      <c r="E170" s="32">
        <f t="shared" si="14"/>
        <v>9</v>
      </c>
      <c r="F170" s="35" t="str">
        <f t="shared" si="15"/>
        <v>Mixed</v>
      </c>
    </row>
    <row r="171" spans="2:6" x14ac:dyDescent="0.2">
      <c r="B171" s="34">
        <v>40562</v>
      </c>
      <c r="C171" s="32">
        <f t="shared" si="12"/>
        <v>1650</v>
      </c>
      <c r="D171" s="32">
        <f t="shared" si="13"/>
        <v>1572</v>
      </c>
      <c r="E171" s="32">
        <f t="shared" si="14"/>
        <v>78</v>
      </c>
      <c r="F171" s="35" t="str">
        <f t="shared" si="15"/>
        <v>Mixed</v>
      </c>
    </row>
    <row r="172" spans="2:6" x14ac:dyDescent="0.2">
      <c r="B172" s="34">
        <v>40563</v>
      </c>
      <c r="C172" s="32">
        <f t="shared" si="12"/>
        <v>1927</v>
      </c>
      <c r="D172" s="32">
        <f t="shared" si="13"/>
        <v>1844</v>
      </c>
      <c r="E172" s="32">
        <f t="shared" si="14"/>
        <v>83</v>
      </c>
      <c r="F172" s="35" t="str">
        <f t="shared" si="15"/>
        <v>Mixed</v>
      </c>
    </row>
    <row r="173" spans="2:6" x14ac:dyDescent="0.2">
      <c r="B173" s="34">
        <v>40564</v>
      </c>
      <c r="C173" s="32">
        <f t="shared" si="12"/>
        <v>1543</v>
      </c>
      <c r="D173" s="32">
        <f t="shared" si="13"/>
        <v>1468</v>
      </c>
      <c r="E173" s="32">
        <f t="shared" si="14"/>
        <v>75</v>
      </c>
      <c r="F173" s="35" t="str">
        <f t="shared" si="15"/>
        <v>Mostly clear</v>
      </c>
    </row>
    <row r="174" spans="2:6" x14ac:dyDescent="0.2">
      <c r="B174" s="34">
        <v>40565</v>
      </c>
      <c r="C174" s="32">
        <f t="shared" si="12"/>
        <v>981</v>
      </c>
      <c r="D174" s="32">
        <f t="shared" si="13"/>
        <v>888</v>
      </c>
      <c r="E174" s="32">
        <f t="shared" si="14"/>
        <v>93</v>
      </c>
      <c r="F174" s="35" t="str">
        <f t="shared" si="15"/>
        <v>Mostly clear</v>
      </c>
    </row>
    <row r="175" spans="2:6" x14ac:dyDescent="0.2">
      <c r="B175" s="34">
        <v>40566</v>
      </c>
      <c r="C175" s="32">
        <f t="shared" si="12"/>
        <v>986</v>
      </c>
      <c r="D175" s="32">
        <f t="shared" si="13"/>
        <v>836</v>
      </c>
      <c r="E175" s="32">
        <f t="shared" si="14"/>
        <v>150</v>
      </c>
      <c r="F175" s="35" t="str">
        <f t="shared" si="15"/>
        <v>Mostly clear</v>
      </c>
    </row>
    <row r="176" spans="2:6" x14ac:dyDescent="0.2">
      <c r="B176" s="34">
        <v>40567</v>
      </c>
      <c r="C176" s="32">
        <f t="shared" si="12"/>
        <v>1416</v>
      </c>
      <c r="D176" s="32">
        <f t="shared" si="13"/>
        <v>1330</v>
      </c>
      <c r="E176" s="32">
        <f t="shared" si="14"/>
        <v>86</v>
      </c>
      <c r="F176" s="35" t="str">
        <f t="shared" si="15"/>
        <v>Mostly clear</v>
      </c>
    </row>
    <row r="177" spans="2:6" x14ac:dyDescent="0.2">
      <c r="B177" s="34">
        <v>40568</v>
      </c>
      <c r="C177" s="32">
        <f t="shared" si="12"/>
        <v>1985</v>
      </c>
      <c r="D177" s="32">
        <f t="shared" si="13"/>
        <v>1799</v>
      </c>
      <c r="E177" s="32">
        <f t="shared" si="14"/>
        <v>186</v>
      </c>
      <c r="F177" s="35" t="str">
        <f t="shared" si="15"/>
        <v>Mixed</v>
      </c>
    </row>
    <row r="178" spans="2:6" x14ac:dyDescent="0.2">
      <c r="B178" s="34">
        <v>40569</v>
      </c>
      <c r="C178" s="32">
        <f t="shared" si="12"/>
        <v>506</v>
      </c>
      <c r="D178" s="32">
        <f t="shared" si="13"/>
        <v>472</v>
      </c>
      <c r="E178" s="32">
        <f t="shared" si="14"/>
        <v>34</v>
      </c>
      <c r="F178" s="35" t="str">
        <f t="shared" si="15"/>
        <v>Rainy day</v>
      </c>
    </row>
    <row r="179" spans="2:6" x14ac:dyDescent="0.2">
      <c r="B179" s="34">
        <v>40570</v>
      </c>
      <c r="C179" s="32">
        <f t="shared" si="12"/>
        <v>431</v>
      </c>
      <c r="D179" s="32">
        <f t="shared" si="13"/>
        <v>416</v>
      </c>
      <c r="E179" s="32">
        <f t="shared" si="14"/>
        <v>15</v>
      </c>
      <c r="F179" s="35" t="str">
        <f t="shared" si="15"/>
        <v>Mixed</v>
      </c>
    </row>
    <row r="180" spans="2:6" x14ac:dyDescent="0.2">
      <c r="B180" s="34">
        <v>40571</v>
      </c>
      <c r="C180" s="32">
        <f t="shared" si="12"/>
        <v>1167</v>
      </c>
      <c r="D180" s="32">
        <f t="shared" si="13"/>
        <v>1129</v>
      </c>
      <c r="E180" s="32">
        <f t="shared" si="14"/>
        <v>38</v>
      </c>
      <c r="F180" s="35" t="str">
        <f t="shared" si="15"/>
        <v>Rainy day</v>
      </c>
    </row>
    <row r="181" spans="2:6" x14ac:dyDescent="0.2">
      <c r="B181" s="34">
        <v>40572</v>
      </c>
      <c r="C181" s="32">
        <f t="shared" si="12"/>
        <v>1098</v>
      </c>
      <c r="D181" s="32">
        <f t="shared" si="13"/>
        <v>975</v>
      </c>
      <c r="E181" s="32">
        <f t="shared" si="14"/>
        <v>123</v>
      </c>
      <c r="F181" s="35" t="str">
        <f t="shared" si="15"/>
        <v>Mostly clear</v>
      </c>
    </row>
    <row r="182" spans="2:6" x14ac:dyDescent="0.2">
      <c r="B182" s="34">
        <v>40573</v>
      </c>
      <c r="C182" s="32">
        <f t="shared" si="12"/>
        <v>1096</v>
      </c>
      <c r="D182" s="32">
        <f t="shared" si="13"/>
        <v>956</v>
      </c>
      <c r="E182" s="32">
        <f t="shared" si="14"/>
        <v>140</v>
      </c>
      <c r="F182" s="35" t="str">
        <f t="shared" si="15"/>
        <v>Mostly clear</v>
      </c>
    </row>
    <row r="183" spans="2:6" x14ac:dyDescent="0.2">
      <c r="B183" s="34">
        <v>40574</v>
      </c>
      <c r="C183" s="32">
        <f t="shared" si="12"/>
        <v>1501</v>
      </c>
      <c r="D183" s="32">
        <f t="shared" si="13"/>
        <v>1459</v>
      </c>
      <c r="E183" s="32">
        <f t="shared" si="14"/>
        <v>42</v>
      </c>
      <c r="F183" s="35" t="str">
        <f t="shared" si="15"/>
        <v>Mixed</v>
      </c>
    </row>
    <row r="184" spans="2:6" x14ac:dyDescent="0.2">
      <c r="B184" s="34">
        <v>40575</v>
      </c>
      <c r="C184" s="32">
        <f t="shared" si="12"/>
        <v>1360</v>
      </c>
      <c r="D184" s="32">
        <f t="shared" si="13"/>
        <v>1313</v>
      </c>
      <c r="E184" s="32">
        <f t="shared" si="14"/>
        <v>47</v>
      </c>
      <c r="F184" s="35" t="str">
        <f t="shared" si="15"/>
        <v>Mixed</v>
      </c>
    </row>
    <row r="185" spans="2:6" x14ac:dyDescent="0.2">
      <c r="B185" s="34">
        <v>40576</v>
      </c>
      <c r="C185" s="32">
        <f t="shared" si="12"/>
        <v>1526</v>
      </c>
      <c r="D185" s="32">
        <f t="shared" si="13"/>
        <v>1454</v>
      </c>
      <c r="E185" s="32">
        <f t="shared" si="14"/>
        <v>72</v>
      </c>
      <c r="F185" s="35" t="str">
        <f t="shared" si="15"/>
        <v>Rainy day</v>
      </c>
    </row>
    <row r="186" spans="2:6" x14ac:dyDescent="0.2">
      <c r="B186" s="34">
        <v>40577</v>
      </c>
      <c r="C186" s="32">
        <f t="shared" si="12"/>
        <v>1550</v>
      </c>
      <c r="D186" s="32">
        <f t="shared" si="13"/>
        <v>1489</v>
      </c>
      <c r="E186" s="32">
        <f t="shared" si="14"/>
        <v>61</v>
      </c>
      <c r="F186" s="35" t="str">
        <f t="shared" si="15"/>
        <v>Mostly clear</v>
      </c>
    </row>
    <row r="187" spans="2:6" x14ac:dyDescent="0.2">
      <c r="B187" s="34">
        <v>40578</v>
      </c>
      <c r="C187" s="32">
        <f t="shared" si="12"/>
        <v>1708</v>
      </c>
      <c r="D187" s="32">
        <f t="shared" si="13"/>
        <v>1620</v>
      </c>
      <c r="E187" s="32">
        <f t="shared" si="14"/>
        <v>88</v>
      </c>
      <c r="F187" s="35" t="str">
        <f t="shared" si="15"/>
        <v>Mixed</v>
      </c>
    </row>
    <row r="188" spans="2:6" x14ac:dyDescent="0.2">
      <c r="B188" s="34">
        <v>40579</v>
      </c>
      <c r="C188" s="32">
        <f t="shared" si="12"/>
        <v>1005</v>
      </c>
      <c r="D188" s="32">
        <f t="shared" si="13"/>
        <v>905</v>
      </c>
      <c r="E188" s="32">
        <f t="shared" si="14"/>
        <v>100</v>
      </c>
      <c r="F188" s="35" t="str">
        <f t="shared" si="15"/>
        <v>Rainy day</v>
      </c>
    </row>
    <row r="189" spans="2:6" x14ac:dyDescent="0.2">
      <c r="B189" s="34">
        <v>40580</v>
      </c>
      <c r="C189" s="32">
        <f t="shared" si="12"/>
        <v>1623</v>
      </c>
      <c r="D189" s="32">
        <f t="shared" si="13"/>
        <v>1269</v>
      </c>
      <c r="E189" s="32">
        <f t="shared" si="14"/>
        <v>354</v>
      </c>
      <c r="F189" s="35" t="str">
        <f t="shared" si="15"/>
        <v>Mostly clear</v>
      </c>
    </row>
    <row r="190" spans="2:6" x14ac:dyDescent="0.2">
      <c r="B190" s="34">
        <v>40581</v>
      </c>
      <c r="C190" s="32">
        <f t="shared" si="12"/>
        <v>1712</v>
      </c>
      <c r="D190" s="32">
        <f t="shared" si="13"/>
        <v>1592</v>
      </c>
      <c r="E190" s="32">
        <f t="shared" si="14"/>
        <v>120</v>
      </c>
      <c r="F190" s="35" t="str">
        <f t="shared" si="15"/>
        <v>Mostly clear</v>
      </c>
    </row>
    <row r="191" spans="2:6" x14ac:dyDescent="0.2">
      <c r="B191" s="34">
        <v>40582</v>
      </c>
      <c r="C191" s="32">
        <f t="shared" si="12"/>
        <v>1530</v>
      </c>
      <c r="D191" s="32">
        <f t="shared" si="13"/>
        <v>1466</v>
      </c>
      <c r="E191" s="32">
        <f t="shared" si="14"/>
        <v>64</v>
      </c>
      <c r="F191" s="35" t="str">
        <f t="shared" si="15"/>
        <v>Mostly clear</v>
      </c>
    </row>
    <row r="192" spans="2:6" x14ac:dyDescent="0.2">
      <c r="B192" s="34">
        <v>40583</v>
      </c>
      <c r="C192" s="32">
        <f t="shared" si="12"/>
        <v>1605</v>
      </c>
      <c r="D192" s="32">
        <f t="shared" si="13"/>
        <v>1552</v>
      </c>
      <c r="E192" s="32">
        <f t="shared" si="14"/>
        <v>53</v>
      </c>
      <c r="F192" s="35" t="str">
        <f t="shared" si="15"/>
        <v>Mostly clear</v>
      </c>
    </row>
    <row r="193" spans="2:6" x14ac:dyDescent="0.2">
      <c r="B193" s="34">
        <v>40584</v>
      </c>
      <c r="C193" s="32">
        <f t="shared" si="12"/>
        <v>1538</v>
      </c>
      <c r="D193" s="32">
        <f t="shared" si="13"/>
        <v>1491</v>
      </c>
      <c r="E193" s="32">
        <f t="shared" si="14"/>
        <v>47</v>
      </c>
      <c r="F193" s="35" t="str">
        <f t="shared" si="15"/>
        <v>Mostly clear</v>
      </c>
    </row>
    <row r="194" spans="2:6" x14ac:dyDescent="0.2">
      <c r="B194" s="34">
        <v>40585</v>
      </c>
      <c r="C194" s="32">
        <f t="shared" si="12"/>
        <v>1746</v>
      </c>
      <c r="D194" s="32">
        <f t="shared" si="13"/>
        <v>1597</v>
      </c>
      <c r="E194" s="32">
        <f t="shared" si="14"/>
        <v>149</v>
      </c>
      <c r="F194" s="35" t="str">
        <f t="shared" si="15"/>
        <v>Mostly clear</v>
      </c>
    </row>
    <row r="195" spans="2:6" x14ac:dyDescent="0.2">
      <c r="B195" s="34">
        <v>40586</v>
      </c>
      <c r="C195" s="32">
        <f t="shared" si="12"/>
        <v>1472</v>
      </c>
      <c r="D195" s="32">
        <f t="shared" si="13"/>
        <v>1184</v>
      </c>
      <c r="E195" s="32">
        <f t="shared" si="14"/>
        <v>288</v>
      </c>
      <c r="F195" s="35" t="str">
        <f t="shared" si="15"/>
        <v>Mostly clear</v>
      </c>
    </row>
    <row r="196" spans="2:6" x14ac:dyDescent="0.2">
      <c r="B196" s="34">
        <v>40587</v>
      </c>
      <c r="C196" s="32">
        <f t="shared" si="12"/>
        <v>1589</v>
      </c>
      <c r="D196" s="32">
        <f t="shared" si="13"/>
        <v>1192</v>
      </c>
      <c r="E196" s="32">
        <f t="shared" si="14"/>
        <v>397</v>
      </c>
      <c r="F196" s="35" t="str">
        <f t="shared" si="15"/>
        <v>Mostly clear</v>
      </c>
    </row>
    <row r="197" spans="2:6" x14ac:dyDescent="0.2">
      <c r="B197" s="34">
        <v>40588</v>
      </c>
      <c r="C197" s="32">
        <f t="shared" si="12"/>
        <v>151</v>
      </c>
      <c r="D197" s="32">
        <f t="shared" si="13"/>
        <v>143</v>
      </c>
      <c r="E197" s="32">
        <f t="shared" si="14"/>
        <v>8</v>
      </c>
      <c r="F197" s="35" t="str">
        <f t="shared" si="15"/>
        <v>Mixed</v>
      </c>
    </row>
  </sheetData>
  <autoFilter ref="B5:H29" xr:uid="{00000000-0001-0000-0300-000000000000}"/>
  <conditionalFormatting sqref="C153:C197">
    <cfRule type="dataBar" priority="1">
      <dataBar>
        <cfvo type="min"/>
        <cfvo type="max"/>
        <color rgb="FF2A9D8F"/>
      </dataBar>
    </cfRule>
  </conditionalFormatting>
  <pageMargins left="0.75" right="0.75" top="1" bottom="1" header="0.5" footer="0.5"/>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A9D8F"/>
  </sheetPr>
  <dimension ref="A1:I57"/>
  <sheetViews>
    <sheetView showGridLines="0" topLeftCell="B22" workbookViewId="0">
      <selection activeCell="H15" sqref="H15"/>
    </sheetView>
  </sheetViews>
  <sheetFormatPr baseColWidth="10" defaultColWidth="8.83203125" defaultRowHeight="15" x14ac:dyDescent="0.2"/>
  <cols>
    <col min="1" max="1" width="2" customWidth="1"/>
    <col min="2" max="2" width="38" customWidth="1"/>
    <col min="3" max="3" width="14" customWidth="1"/>
    <col min="4" max="4" width="12" customWidth="1"/>
    <col min="5" max="5" width="14" customWidth="1"/>
    <col min="6" max="6" width="18" customWidth="1"/>
    <col min="7" max="7" width="20" customWidth="1"/>
    <col min="8" max="8" width="30" customWidth="1"/>
    <col min="9" max="9" width="32" customWidth="1"/>
  </cols>
  <sheetData>
    <row r="1" spans="1:9" ht="20" x14ac:dyDescent="0.2">
      <c r="A1" s="24" t="s">
        <v>141</v>
      </c>
    </row>
    <row r="2" spans="1:9" x14ac:dyDescent="0.2">
      <c r="A2" s="25" t="s">
        <v>142</v>
      </c>
    </row>
    <row r="4" spans="1:9" ht="28" x14ac:dyDescent="0.2">
      <c r="B4" s="29" t="s">
        <v>143</v>
      </c>
      <c r="C4" s="29" t="s">
        <v>144</v>
      </c>
      <c r="D4" s="29" t="s">
        <v>145</v>
      </c>
      <c r="F4" s="29" t="s">
        <v>146</v>
      </c>
      <c r="G4" s="29" t="s">
        <v>147</v>
      </c>
      <c r="H4" s="29" t="s">
        <v>148</v>
      </c>
      <c r="I4" s="29" t="s">
        <v>149</v>
      </c>
    </row>
    <row r="5" spans="1:9" x14ac:dyDescent="0.2">
      <c r="B5" s="35" t="s">
        <v>150</v>
      </c>
      <c r="C5" s="36">
        <f>SUM(f_cnt)</f>
        <v>58304</v>
      </c>
      <c r="D5" s="37" t="s">
        <v>151</v>
      </c>
      <c r="F5" s="35" t="s">
        <v>152</v>
      </c>
      <c r="G5" s="35" t="str">
        <f>Final_Dataset!Q2</f>
        <v>REC-0001</v>
      </c>
      <c r="H5" s="35" t="str">
        <f>LEFT(G5,3)</f>
        <v>REC</v>
      </c>
      <c r="I5" s="35" t="s">
        <v>153</v>
      </c>
    </row>
    <row r="6" spans="1:9" x14ac:dyDescent="0.2">
      <c r="B6" s="35" t="s">
        <v>154</v>
      </c>
      <c r="C6" s="38">
        <f>AVERAGE(f_cnt)</f>
        <v>58.304000000000002</v>
      </c>
      <c r="D6" s="37" t="s">
        <v>155</v>
      </c>
      <c r="F6" s="35" t="s">
        <v>156</v>
      </c>
      <c r="G6" s="35" t="str">
        <f>Final_Dataset!Q2</f>
        <v>REC-0001</v>
      </c>
      <c r="H6" s="35" t="str">
        <f>RIGHT(G6,4)</f>
        <v>0001</v>
      </c>
      <c r="I6" s="35" t="s">
        <v>157</v>
      </c>
    </row>
    <row r="7" spans="1:9" x14ac:dyDescent="0.2">
      <c r="B7" s="35" t="s">
        <v>158</v>
      </c>
      <c r="C7" s="39">
        <f>COUNT(f_cnt)</f>
        <v>1000</v>
      </c>
      <c r="D7" s="37" t="s">
        <v>159</v>
      </c>
      <c r="F7" s="35" t="s">
        <v>160</v>
      </c>
      <c r="G7" s="35" t="str">
        <f>Final_Dataset!Q2</f>
        <v>REC-0001</v>
      </c>
      <c r="H7" s="35">
        <f>LEN(G7)</f>
        <v>8</v>
      </c>
      <c r="I7" s="35" t="s">
        <v>161</v>
      </c>
    </row>
    <row r="8" spans="1:9" x14ac:dyDescent="0.2">
      <c r="B8" s="35" t="s">
        <v>162</v>
      </c>
      <c r="C8" s="39">
        <f>MEDIAN(f_cnt)</f>
        <v>49</v>
      </c>
      <c r="D8" s="37" t="s">
        <v>163</v>
      </c>
      <c r="F8" s="35" t="s">
        <v>164</v>
      </c>
      <c r="G8" s="35" t="str">
        <f>Final_Dataset!T2</f>
        <v>Sat</v>
      </c>
      <c r="H8" s="35" t="str">
        <f>UPPER(G8)</f>
        <v>SAT</v>
      </c>
      <c r="I8" s="35" t="s">
        <v>165</v>
      </c>
    </row>
    <row r="9" spans="1:9" x14ac:dyDescent="0.2">
      <c r="B9" s="35" t="s">
        <v>166</v>
      </c>
      <c r="C9" s="39">
        <f>MIN(f_cnt)</f>
        <v>1</v>
      </c>
      <c r="D9" s="37" t="s">
        <v>167</v>
      </c>
      <c r="F9" s="35" t="s">
        <v>168</v>
      </c>
      <c r="G9" s="40">
        <f>Final_Dataset!B2</f>
        <v>40544</v>
      </c>
      <c r="H9" s="35" t="str">
        <f>TEXT(G9,"dddd, dd mmm yyyy")</f>
        <v>Saturday, 01 Jan 2011</v>
      </c>
      <c r="I9" s="35" t="s">
        <v>169</v>
      </c>
    </row>
    <row r="10" spans="1:9" x14ac:dyDescent="0.2">
      <c r="B10" s="35" t="s">
        <v>170</v>
      </c>
      <c r="C10" s="39">
        <f>MAX(f_cnt)</f>
        <v>249</v>
      </c>
      <c r="D10" s="37" t="s">
        <v>171</v>
      </c>
      <c r="F10" s="35" t="s">
        <v>172</v>
      </c>
      <c r="G10" s="35" t="str">
        <f>Final_Dataset!T2</f>
        <v>Sat</v>
      </c>
      <c r="H10" s="35" t="str">
        <f>G10&amp;" | "&amp;Final_Dataset!X2&amp;" | "&amp;Final_Dataset!F2&amp;":00"</f>
        <v>Sat | Clear | 0:00</v>
      </c>
      <c r="I10" s="35" t="s">
        <v>173</v>
      </c>
    </row>
    <row r="11" spans="1:9" x14ac:dyDescent="0.2">
      <c r="B11" s="35" t="s">
        <v>174</v>
      </c>
      <c r="C11" s="38">
        <f>STDEV(f_cnt)</f>
        <v>50.985557867999354</v>
      </c>
      <c r="D11" s="37" t="s">
        <v>175</v>
      </c>
    </row>
    <row r="12" spans="1:9" x14ac:dyDescent="0.2">
      <c r="B12" s="35" t="s">
        <v>176</v>
      </c>
      <c r="C12" s="36">
        <f>SUM(f_registered)</f>
        <v>53383</v>
      </c>
      <c r="D12" s="37" t="s">
        <v>151</v>
      </c>
    </row>
    <row r="13" spans="1:9" x14ac:dyDescent="0.2">
      <c r="B13" s="35" t="s">
        <v>177</v>
      </c>
      <c r="C13" s="36">
        <f>SUM(f_casual)</f>
        <v>4921</v>
      </c>
      <c r="D13" s="37" t="s">
        <v>151</v>
      </c>
    </row>
    <row r="14" spans="1:9" x14ac:dyDescent="0.2">
      <c r="B14" s="35" t="s">
        <v>178</v>
      </c>
      <c r="C14" s="41">
        <f>C12/C5</f>
        <v>0.9155975576289791</v>
      </c>
      <c r="D14" s="37" t="s">
        <v>179</v>
      </c>
    </row>
    <row r="15" spans="1:9" x14ac:dyDescent="0.2">
      <c r="B15" s="35" t="s">
        <v>180</v>
      </c>
      <c r="C15" s="39">
        <f>COUNTIF(f_Weather,"Clear")</f>
        <v>606</v>
      </c>
      <c r="D15" s="37" t="s">
        <v>181</v>
      </c>
    </row>
    <row r="16" spans="1:9" x14ac:dyDescent="0.2">
      <c r="B16" s="35" t="s">
        <v>182</v>
      </c>
      <c r="C16" s="36">
        <f>SUMIF(f_Day_Type,"Weekend",f_cnt)</f>
        <v>15869</v>
      </c>
      <c r="D16" s="37" t="s">
        <v>183</v>
      </c>
    </row>
    <row r="17" spans="2:4" x14ac:dyDescent="0.2">
      <c r="B17" s="35" t="s">
        <v>184</v>
      </c>
      <c r="C17" s="42">
        <f>AVERAGEIF(f_Day_Type,"Weekday",f_cnt)</f>
        <v>63.335820895522389</v>
      </c>
      <c r="D17" s="37" t="s">
        <v>185</v>
      </c>
    </row>
    <row r="18" spans="2:4" x14ac:dyDescent="0.2">
      <c r="B18" s="35" t="s">
        <v>186</v>
      </c>
      <c r="C18" s="42">
        <f>AVERAGEIF(f_Day_Type,"Weekend",f_cnt)</f>
        <v>48.087878787878786</v>
      </c>
      <c r="D18" s="37" t="s">
        <v>185</v>
      </c>
    </row>
    <row r="19" spans="2:4" x14ac:dyDescent="0.2">
      <c r="B19" s="35" t="s">
        <v>187</v>
      </c>
      <c r="C19" s="36">
        <f>SUMIFS(f_cnt,f_Peak_Hour,"Peak")</f>
        <v>25431</v>
      </c>
      <c r="D19" s="37" t="s">
        <v>188</v>
      </c>
    </row>
    <row r="20" spans="2:4" x14ac:dyDescent="0.2">
      <c r="B20" s="35" t="s">
        <v>189</v>
      </c>
      <c r="C20" s="41">
        <f>C19/C5</f>
        <v>0.43617933589462132</v>
      </c>
      <c r="D20" s="37" t="s">
        <v>179</v>
      </c>
    </row>
    <row r="21" spans="2:4" x14ac:dyDescent="0.2">
      <c r="B21" s="35" t="s">
        <v>190</v>
      </c>
      <c r="C21" s="39">
        <f>COUNTIF(f_Demand_Level,"High")</f>
        <v>259</v>
      </c>
      <c r="D21" s="37" t="s">
        <v>181</v>
      </c>
    </row>
    <row r="22" spans="2:4" x14ac:dyDescent="0.2">
      <c r="B22" s="35" t="s">
        <v>191</v>
      </c>
      <c r="C22" s="43">
        <f>CORREL(f_temp,f_cnt)</f>
        <v>0.22929155386993369</v>
      </c>
      <c r="D22" s="37" t="s">
        <v>192</v>
      </c>
    </row>
    <row r="23" spans="2:4" x14ac:dyDescent="0.2">
      <c r="B23" s="35" t="s">
        <v>193</v>
      </c>
      <c r="C23" s="43">
        <f>CORREL(f_hum,f_cnt)</f>
        <v>-0.25435329828790432</v>
      </c>
      <c r="D23" s="37" t="s">
        <v>192</v>
      </c>
    </row>
    <row r="24" spans="2:4" x14ac:dyDescent="0.2">
      <c r="B24" s="35" t="s">
        <v>194</v>
      </c>
      <c r="C24" s="43">
        <f>CORREL(f_registered,f_cnt)</f>
        <v>0.98999319275208175</v>
      </c>
      <c r="D24" s="37" t="s">
        <v>192</v>
      </c>
    </row>
    <row r="28" spans="2:4" x14ac:dyDescent="0.2">
      <c r="B28" s="44" t="s">
        <v>195</v>
      </c>
    </row>
    <row r="29" spans="2:4" x14ac:dyDescent="0.2">
      <c r="B29" s="35" t="s">
        <v>196</v>
      </c>
      <c r="C29" s="39">
        <f>QUARTILE(f_cnt,1)</f>
        <v>16</v>
      </c>
      <c r="D29" s="37" t="s">
        <v>197</v>
      </c>
    </row>
    <row r="30" spans="2:4" x14ac:dyDescent="0.2">
      <c r="B30" s="35" t="s">
        <v>198</v>
      </c>
      <c r="C30" s="39">
        <f>QUARTILE(f_cnt,3)</f>
        <v>83</v>
      </c>
      <c r="D30" s="37" t="s">
        <v>197</v>
      </c>
    </row>
    <row r="32" spans="2:4" ht="16" x14ac:dyDescent="0.2">
      <c r="B32" s="5" t="s">
        <v>199</v>
      </c>
    </row>
    <row r="33" spans="2:9" x14ac:dyDescent="0.2">
      <c r="B33" s="29" t="s">
        <v>200</v>
      </c>
      <c r="C33" s="29" t="s">
        <v>201</v>
      </c>
      <c r="D33" s="29" t="s">
        <v>202</v>
      </c>
      <c r="E33" s="29" t="s">
        <v>203</v>
      </c>
      <c r="F33" s="29" t="s">
        <v>204</v>
      </c>
      <c r="G33" s="29" t="s">
        <v>205</v>
      </c>
      <c r="H33" s="29" t="s">
        <v>206</v>
      </c>
      <c r="I33" s="29" t="s">
        <v>207</v>
      </c>
    </row>
    <row r="34" spans="2:9" x14ac:dyDescent="0.2">
      <c r="B34" s="45" t="s">
        <v>208</v>
      </c>
      <c r="C34" s="46">
        <f>AVERAGE(f_temp)</f>
        <v>0.20589999999999961</v>
      </c>
      <c r="D34" s="46">
        <f>AVERAGE(f_atemp)</f>
        <v>0.21302040000000047</v>
      </c>
      <c r="E34" s="46">
        <f>AVERAGE(f_hum)</f>
        <v>0.58248000000000033</v>
      </c>
      <c r="F34" s="46">
        <f>AVERAGE(f_windspeed)</f>
        <v>0.19493129999999903</v>
      </c>
      <c r="G34" s="47">
        <f>AVERAGE(f_casual)</f>
        <v>4.9210000000000003</v>
      </c>
      <c r="H34" s="47">
        <f>AVERAGE(f_registered)</f>
        <v>53.383000000000003</v>
      </c>
      <c r="I34" s="47">
        <f>AVERAGE(f_cnt)</f>
        <v>58.304000000000002</v>
      </c>
    </row>
    <row r="35" spans="2:9" x14ac:dyDescent="0.2">
      <c r="B35" s="45" t="s">
        <v>209</v>
      </c>
      <c r="C35" s="46">
        <f>MEDIAN(f_temp)</f>
        <v>0.2</v>
      </c>
      <c r="D35" s="46">
        <f>MEDIAN(f_atemp)</f>
        <v>0.21210000000000001</v>
      </c>
      <c r="E35" s="46">
        <f>MEDIAN(f_hum)</f>
        <v>0.55000000000000004</v>
      </c>
      <c r="F35" s="46">
        <f>MEDIAN(f_windspeed)</f>
        <v>0.16420000000000001</v>
      </c>
      <c r="G35" s="47">
        <f>MEDIAN(f_casual)</f>
        <v>3</v>
      </c>
      <c r="H35" s="47">
        <f>MEDIAN(f_registered)</f>
        <v>46</v>
      </c>
      <c r="I35" s="47">
        <f>MEDIAN(f_cnt)</f>
        <v>49</v>
      </c>
    </row>
    <row r="36" spans="2:9" x14ac:dyDescent="0.2">
      <c r="B36" s="45" t="s">
        <v>210</v>
      </c>
      <c r="C36" s="46">
        <f>MODE(f_temp)</f>
        <v>0.22</v>
      </c>
      <c r="D36" s="46">
        <f>MODE(f_atemp)</f>
        <v>0.2273</v>
      </c>
      <c r="E36" s="46">
        <f>MODE(f_hum)</f>
        <v>0.93</v>
      </c>
      <c r="F36" s="46">
        <f>MODE(f_windspeed)</f>
        <v>0</v>
      </c>
      <c r="G36" s="47">
        <f>MODE(f_casual)</f>
        <v>0</v>
      </c>
      <c r="H36" s="47">
        <f>MODE(f_registered)</f>
        <v>1</v>
      </c>
      <c r="I36" s="47">
        <f>MODE(f_cnt)</f>
        <v>1</v>
      </c>
    </row>
    <row r="37" spans="2:9" x14ac:dyDescent="0.2">
      <c r="B37" s="45" t="s">
        <v>211</v>
      </c>
      <c r="C37" s="46">
        <f>STDEV(f_temp)</f>
        <v>7.8977385544392681E-2</v>
      </c>
      <c r="D37" s="46">
        <f>STDEV(f_atemp)</f>
        <v>7.7590771820568755E-2</v>
      </c>
      <c r="E37" s="46">
        <f>STDEV(f_hum)</f>
        <v>0.18797708632964827</v>
      </c>
      <c r="F37" s="46">
        <f>STDEV(f_windspeed)</f>
        <v>0.12912606627362996</v>
      </c>
      <c r="G37" s="47">
        <f>STDEV(f_casual)</f>
        <v>7.6438987557520797</v>
      </c>
      <c r="H37" s="47">
        <f>STDEV(f_registered)</f>
        <v>47.893967711426278</v>
      </c>
      <c r="I37" s="47">
        <f>STDEV(f_cnt)</f>
        <v>50.985557867999354</v>
      </c>
    </row>
    <row r="38" spans="2:9" x14ac:dyDescent="0.2">
      <c r="B38" s="45" t="s">
        <v>212</v>
      </c>
      <c r="C38" s="46">
        <f>VAR(f_temp)</f>
        <v>6.2374274274276456E-3</v>
      </c>
      <c r="D38" s="46">
        <f>VAR(f_atemp)</f>
        <v>6.0203278717115673E-3</v>
      </c>
      <c r="E38" s="46">
        <f>VAR(f_hum)</f>
        <v>3.5335384984984043E-2</v>
      </c>
      <c r="F38" s="46">
        <f>VAR(f_windspeed)</f>
        <v>1.6673540991301875E-2</v>
      </c>
      <c r="G38" s="47">
        <f>VAR(f_casual)</f>
        <v>58.429188188188185</v>
      </c>
      <c r="H38" s="47">
        <f>VAR(f_registered)</f>
        <v>2293.8321431431432</v>
      </c>
      <c r="I38" s="47">
        <f>VAR(f_cnt)</f>
        <v>2599.527111111111</v>
      </c>
    </row>
    <row r="39" spans="2:9" x14ac:dyDescent="0.2">
      <c r="B39" s="45" t="s">
        <v>213</v>
      </c>
      <c r="C39" s="46">
        <f>SKEW(f_temp)</f>
        <v>0.54799688242036793</v>
      </c>
      <c r="D39" s="46">
        <f>SKEW(f_atemp)</f>
        <v>0.45310411643510295</v>
      </c>
      <c r="E39" s="46">
        <f>SKEW(f_hum)</f>
        <v>0.43689346451282174</v>
      </c>
      <c r="F39" s="46">
        <f>SKEW(f_windspeed)</f>
        <v>0.43367506246880855</v>
      </c>
      <c r="G39" s="47">
        <f>SKEW(f_casual)</f>
        <v>3.4141050413066441</v>
      </c>
      <c r="H39" s="47">
        <f>SKEW(f_registered)</f>
        <v>1.296723304637722</v>
      </c>
      <c r="I39" s="47">
        <f>SKEW(f_cnt)</f>
        <v>1.1377091237001229</v>
      </c>
    </row>
    <row r="40" spans="2:9" x14ac:dyDescent="0.2">
      <c r="B40" s="45" t="s">
        <v>214</v>
      </c>
      <c r="C40" s="46">
        <f>KURT(f_temp)</f>
        <v>0.77506113468998628</v>
      </c>
      <c r="D40" s="46">
        <f>KURT(f_atemp)</f>
        <v>0.66738551722696249</v>
      </c>
      <c r="E40" s="46">
        <f>KURT(f_hum)</f>
        <v>-0.72312265429044098</v>
      </c>
      <c r="F40" s="46">
        <f>KURT(f_windspeed)</f>
        <v>-0.2098533612109148</v>
      </c>
      <c r="G40" s="47">
        <f>KURT(f_casual)</f>
        <v>15.097739783279556</v>
      </c>
      <c r="H40" s="47">
        <f>KURT(f_registered)</f>
        <v>1.6425062532387078</v>
      </c>
      <c r="I40" s="47">
        <f>KURT(f_cnt)</f>
        <v>1.0266606324511431</v>
      </c>
    </row>
    <row r="41" spans="2:9" x14ac:dyDescent="0.2">
      <c r="B41" s="45" t="s">
        <v>215</v>
      </c>
      <c r="C41" s="46">
        <f>MIN(f_temp)</f>
        <v>0.02</v>
      </c>
      <c r="D41" s="46">
        <f>MIN(f_atemp)</f>
        <v>0</v>
      </c>
      <c r="E41" s="46">
        <f>MIN(f_hum)</f>
        <v>0.21</v>
      </c>
      <c r="F41" s="46">
        <f>MIN(f_windspeed)</f>
        <v>0</v>
      </c>
      <c r="G41" s="47">
        <f>MIN(f_casual)</f>
        <v>0</v>
      </c>
      <c r="H41" s="47">
        <f>MIN(f_registered)</f>
        <v>0</v>
      </c>
      <c r="I41" s="47">
        <f>MIN(f_cnt)</f>
        <v>1</v>
      </c>
    </row>
    <row r="42" spans="2:9" x14ac:dyDescent="0.2">
      <c r="B42" s="45" t="s">
        <v>216</v>
      </c>
      <c r="C42" s="46">
        <f>QUARTILE(f_temp,1)</f>
        <v>0.16</v>
      </c>
      <c r="D42" s="46">
        <f>QUARTILE(f_atemp,1)</f>
        <v>0.16669999999999999</v>
      </c>
      <c r="E42" s="46">
        <f>QUARTILE(f_hum,1)</f>
        <v>0.44</v>
      </c>
      <c r="F42" s="46">
        <f>QUARTILE(f_windspeed,1)</f>
        <v>0.1045</v>
      </c>
      <c r="G42" s="47">
        <f>QUARTILE(f_casual,1)</f>
        <v>0</v>
      </c>
      <c r="H42" s="47">
        <f>QUARTILE(f_registered,1)</f>
        <v>15</v>
      </c>
      <c r="I42" s="47">
        <f>QUARTILE(f_cnt,1)</f>
        <v>16</v>
      </c>
    </row>
    <row r="43" spans="2:9" x14ac:dyDescent="0.2">
      <c r="B43" s="45" t="s">
        <v>217</v>
      </c>
      <c r="C43" s="46">
        <f>QUARTILE(f_temp,3)</f>
        <v>0.24</v>
      </c>
      <c r="D43" s="46">
        <f>QUARTILE(f_atemp,3)</f>
        <v>0.2576</v>
      </c>
      <c r="E43" s="46">
        <f>QUARTILE(f_hum,3)</f>
        <v>0.7</v>
      </c>
      <c r="F43" s="46">
        <f>QUARTILE(f_windspeed,3)</f>
        <v>0.28360000000000002</v>
      </c>
      <c r="G43" s="47">
        <f>QUARTILE(f_casual,3)</f>
        <v>6</v>
      </c>
      <c r="H43" s="47">
        <f>QUARTILE(f_registered,3)</f>
        <v>74</v>
      </c>
      <c r="I43" s="47">
        <f>QUARTILE(f_cnt,3)</f>
        <v>83</v>
      </c>
    </row>
    <row r="44" spans="2:9" x14ac:dyDescent="0.2">
      <c r="B44" s="45" t="s">
        <v>218</v>
      </c>
      <c r="C44" s="46">
        <f>MAX(f_temp)</f>
        <v>0.46</v>
      </c>
      <c r="D44" s="46">
        <f>MAX(f_atemp)</f>
        <v>0.45450000000000002</v>
      </c>
      <c r="E44" s="46">
        <f>MAX(f_hum)</f>
        <v>1</v>
      </c>
      <c r="F44" s="46">
        <f>MAX(f_windspeed)</f>
        <v>0.58209999999999995</v>
      </c>
      <c r="G44" s="47">
        <f>MAX(f_casual)</f>
        <v>62</v>
      </c>
      <c r="H44" s="47">
        <f>MAX(f_registered)</f>
        <v>247</v>
      </c>
      <c r="I44" s="47">
        <f>MAX(f_cnt)</f>
        <v>249</v>
      </c>
    </row>
    <row r="45" spans="2:9" x14ac:dyDescent="0.2">
      <c r="B45" s="45" t="s">
        <v>219</v>
      </c>
      <c r="C45" s="46">
        <f>MAX(f_temp)-MIN(f_temp)</f>
        <v>0.44</v>
      </c>
      <c r="D45" s="46">
        <f>MAX(f_atemp)-MIN(f_atemp)</f>
        <v>0.45450000000000002</v>
      </c>
      <c r="E45" s="46">
        <f>MAX(f_hum)-MIN(f_hum)</f>
        <v>0.79</v>
      </c>
      <c r="F45" s="46">
        <f>MAX(f_windspeed)-MIN(f_windspeed)</f>
        <v>0.58209999999999995</v>
      </c>
      <c r="G45" s="47">
        <f>MAX(f_casual)-MIN(f_casual)</f>
        <v>62</v>
      </c>
      <c r="H45" s="47">
        <f>MAX(f_registered)-MIN(f_registered)</f>
        <v>247</v>
      </c>
      <c r="I45" s="47">
        <f>MAX(f_cnt)-MIN(f_cnt)</f>
        <v>248</v>
      </c>
    </row>
    <row r="46" spans="2:9" x14ac:dyDescent="0.2">
      <c r="B46" s="45" t="s">
        <v>220</v>
      </c>
      <c r="C46" s="48">
        <f>COUNT(f_temp)</f>
        <v>1000</v>
      </c>
      <c r="D46" s="48">
        <f>COUNT(f_atemp)</f>
        <v>1000</v>
      </c>
      <c r="E46" s="48">
        <f>COUNT(f_hum)</f>
        <v>1000</v>
      </c>
      <c r="F46" s="48">
        <f>COUNT(f_windspeed)</f>
        <v>1000</v>
      </c>
      <c r="G46" s="48">
        <f>COUNT(f_casual)</f>
        <v>1000</v>
      </c>
      <c r="H46" s="48">
        <f>COUNT(f_registered)</f>
        <v>1000</v>
      </c>
      <c r="I46" s="48">
        <f>COUNT(f_cnt)</f>
        <v>1000</v>
      </c>
    </row>
    <row r="49" spans="2:9" ht="16" x14ac:dyDescent="0.2">
      <c r="B49" s="5" t="s">
        <v>221</v>
      </c>
    </row>
    <row r="50" spans="2:9" x14ac:dyDescent="0.2">
      <c r="B50" s="29"/>
      <c r="C50" s="29" t="s">
        <v>201</v>
      </c>
      <c r="D50" s="29" t="s">
        <v>202</v>
      </c>
      <c r="E50" s="29" t="s">
        <v>203</v>
      </c>
      <c r="F50" s="29" t="s">
        <v>204</v>
      </c>
      <c r="G50" s="29" t="s">
        <v>205</v>
      </c>
      <c r="H50" s="29" t="s">
        <v>206</v>
      </c>
      <c r="I50" s="29" t="s">
        <v>207</v>
      </c>
    </row>
    <row r="51" spans="2:9" x14ac:dyDescent="0.2">
      <c r="B51" s="49" t="s">
        <v>201</v>
      </c>
      <c r="C51" s="50">
        <f>CORREL(f_temp,f_temp)</f>
        <v>1.0000000000000002</v>
      </c>
      <c r="D51" s="50">
        <f>CORREL(f_temp,f_atemp)</f>
        <v>0.93309851325489179</v>
      </c>
      <c r="E51" s="50">
        <f>CORREL(f_temp,f_hum)</f>
        <v>8.0720147162812214E-2</v>
      </c>
      <c r="F51" s="50">
        <f>CORREL(f_temp,f_windspeed)</f>
        <v>0.12262532562998485</v>
      </c>
      <c r="G51" s="50">
        <f>CORREL(f_temp,f_casual)</f>
        <v>0.47022073160199324</v>
      </c>
      <c r="H51" s="50">
        <f>CORREL(f_temp,f_registered)</f>
        <v>0.16904504909761614</v>
      </c>
      <c r="I51" s="50">
        <f>CORREL(f_temp,f_cnt)</f>
        <v>0.22929155386993369</v>
      </c>
    </row>
    <row r="52" spans="2:9" x14ac:dyDescent="0.2">
      <c r="B52" s="49" t="s">
        <v>202</v>
      </c>
      <c r="C52" s="50">
        <f>CORREL(f_atemp,f_temp)</f>
        <v>0.93309851325489179</v>
      </c>
      <c r="D52" s="50">
        <f>CORREL(f_atemp,f_atemp)</f>
        <v>0.99999999999999989</v>
      </c>
      <c r="E52" s="50">
        <f>CORREL(f_atemp,f_hum)</f>
        <v>0.20748412968838836</v>
      </c>
      <c r="F52" s="50">
        <f>CORREL(f_atemp,f_windspeed)</f>
        <v>-0.20548112204173463</v>
      </c>
      <c r="G52" s="50">
        <f>CORREL(f_atemp,f_casual)</f>
        <v>0.42130546222930682</v>
      </c>
      <c r="H52" s="50">
        <f>CORREL(f_atemp,f_registered)</f>
        <v>0.12762922280660305</v>
      </c>
      <c r="I52" s="50">
        <f>CORREL(f_atemp,f_cnt)</f>
        <v>0.18305352662460217</v>
      </c>
    </row>
    <row r="53" spans="2:9" x14ac:dyDescent="0.2">
      <c r="B53" s="49" t="s">
        <v>203</v>
      </c>
      <c r="C53" s="50">
        <f>CORREL(f_hum,f_temp)</f>
        <v>8.0720147162812214E-2</v>
      </c>
      <c r="D53" s="50">
        <f>CORREL(f_hum,f_atemp)</f>
        <v>0.20748412968838836</v>
      </c>
      <c r="E53" s="50">
        <f>CORREL(f_hum,f_hum)</f>
        <v>1</v>
      </c>
      <c r="F53" s="50">
        <f>CORREL(f_hum,f_windspeed)</f>
        <v>-0.38555034700358864</v>
      </c>
      <c r="G53" s="50">
        <f>CORREL(f_hum,f_casual)</f>
        <v>-0.2594074545428624</v>
      </c>
      <c r="H53" s="50">
        <f>CORREL(f_hum,f_registered)</f>
        <v>-0.22937044088624536</v>
      </c>
      <c r="I53" s="50">
        <f>CORREL(f_hum,f_cnt)</f>
        <v>-0.25435329828790432</v>
      </c>
    </row>
    <row r="54" spans="2:9" x14ac:dyDescent="0.2">
      <c r="B54" s="49" t="s">
        <v>204</v>
      </c>
      <c r="C54" s="50">
        <f>CORREL(f_windspeed,f_temp)</f>
        <v>0.12262532562998485</v>
      </c>
      <c r="D54" s="50">
        <f>CORREL(f_windspeed,f_atemp)</f>
        <v>-0.20548112204173463</v>
      </c>
      <c r="E54" s="50">
        <f>CORREL(f_windspeed,f_hum)</f>
        <v>-0.38555034700358864</v>
      </c>
      <c r="F54" s="50">
        <f>CORREL(f_windspeed,f_windspeed)</f>
        <v>1.0000000000000002</v>
      </c>
      <c r="G54" s="50">
        <f>CORREL(f_windspeed,f_casual)</f>
        <v>0.12939194234487605</v>
      </c>
      <c r="H54" s="50">
        <f>CORREL(f_windspeed,f_registered)</f>
        <v>9.0058728679306796E-2</v>
      </c>
      <c r="I54" s="50">
        <f>CORREL(f_windspeed,f_cnt)</f>
        <v>0.10399668008577614</v>
      </c>
    </row>
    <row r="55" spans="2:9" x14ac:dyDescent="0.2">
      <c r="B55" s="49" t="s">
        <v>205</v>
      </c>
      <c r="C55" s="50">
        <f>CORREL(f_casual,f_temp)</f>
        <v>0.47022073160199324</v>
      </c>
      <c r="D55" s="50">
        <f>CORREL(f_casual,f_atemp)</f>
        <v>0.42130546222930682</v>
      </c>
      <c r="E55" s="50">
        <f>CORREL(f_casual,f_hum)</f>
        <v>-0.2594074545428624</v>
      </c>
      <c r="F55" s="50">
        <f>CORREL(f_casual,f_windspeed)</f>
        <v>0.12939194234487605</v>
      </c>
      <c r="G55" s="50">
        <f>CORREL(f_casual,f_casual)</f>
        <v>1</v>
      </c>
      <c r="H55" s="50">
        <f>CORREL(f_casual,f_registered)</f>
        <v>0.33770561189314974</v>
      </c>
      <c r="I55" s="50">
        <f>CORREL(f_casual,f_cnt)</f>
        <v>0.46715111933058207</v>
      </c>
    </row>
    <row r="56" spans="2:9" x14ac:dyDescent="0.2">
      <c r="B56" s="49" t="s">
        <v>206</v>
      </c>
      <c r="C56" s="50">
        <f>CORREL(f_registered,f_temp)</f>
        <v>0.16904504909761614</v>
      </c>
      <c r="D56" s="50">
        <f>CORREL(f_registered,f_atemp)</f>
        <v>0.12762922280660305</v>
      </c>
      <c r="E56" s="50">
        <f>CORREL(f_registered,f_hum)</f>
        <v>-0.22937044088624536</v>
      </c>
      <c r="F56" s="50">
        <f>CORREL(f_registered,f_windspeed)</f>
        <v>9.0058728679306796E-2</v>
      </c>
      <c r="G56" s="50">
        <f>CORREL(f_registered,f_casual)</f>
        <v>0.33770561189314974</v>
      </c>
      <c r="H56" s="50">
        <f>CORREL(f_registered,f_registered)</f>
        <v>1</v>
      </c>
      <c r="I56" s="50">
        <f>CORREL(f_registered,f_cnt)</f>
        <v>0.98999319275208175</v>
      </c>
    </row>
    <row r="57" spans="2:9" x14ac:dyDescent="0.2">
      <c r="B57" s="49" t="s">
        <v>207</v>
      </c>
      <c r="C57" s="50">
        <f>CORREL(f_cnt,f_temp)</f>
        <v>0.22929155386993369</v>
      </c>
      <c r="D57" s="50">
        <f>CORREL(f_cnt,f_atemp)</f>
        <v>0.18305352662460217</v>
      </c>
      <c r="E57" s="50">
        <f>CORREL(f_cnt,f_hum)</f>
        <v>-0.25435329828790432</v>
      </c>
      <c r="F57" s="50">
        <f>CORREL(f_cnt,f_windspeed)</f>
        <v>0.10399668008577614</v>
      </c>
      <c r="G57" s="50">
        <f>CORREL(f_cnt,f_casual)</f>
        <v>0.46715111933058207</v>
      </c>
      <c r="H57" s="50">
        <f>CORREL(f_cnt,f_registered)</f>
        <v>0.98999319275208175</v>
      </c>
      <c r="I57" s="50">
        <f>CORREL(f_cnt,f_cnt)</f>
        <v>1</v>
      </c>
    </row>
  </sheetData>
  <conditionalFormatting sqref="C51:I57">
    <cfRule type="colorScale" priority="1">
      <colorScale>
        <cfvo type="num" val="-1"/>
        <cfvo type="num" val="0"/>
        <cfvo type="num" val="1"/>
        <color rgb="FFE76F51"/>
        <color rgb="FFFFFFFF"/>
        <color rgb="FF2A9D8F"/>
      </colorScale>
    </cfRule>
  </conditionalFormatting>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A9D8F"/>
  </sheetPr>
  <dimension ref="A1:M1030"/>
  <sheetViews>
    <sheetView showGridLines="0" workbookViewId="0">
      <pane ySplit="2" topLeftCell="A3" activePane="bottomLeft" state="frozen"/>
      <selection pane="bottomLeft" activeCell="S24" sqref="S24"/>
    </sheetView>
  </sheetViews>
  <sheetFormatPr baseColWidth="10" defaultColWidth="8.83203125" defaultRowHeight="15" x14ac:dyDescent="0.2"/>
  <cols>
    <col min="1" max="1" width="32" customWidth="1"/>
    <col min="2" max="2" width="11" customWidth="1"/>
    <col min="3" max="4" width="8" customWidth="1"/>
    <col min="5" max="5" width="16" customWidth="1"/>
    <col min="6" max="6" width="8" customWidth="1"/>
    <col min="7" max="7" width="10" customWidth="1"/>
    <col min="8" max="8" width="11" customWidth="1"/>
    <col min="9" max="9" width="8" customWidth="1"/>
    <col min="10" max="11" width="11" customWidth="1"/>
    <col min="12" max="12" width="9" customWidth="1"/>
    <col min="13" max="13" width="8" customWidth="1"/>
  </cols>
  <sheetData>
    <row r="1" spans="1:10" ht="20" x14ac:dyDescent="0.2">
      <c r="A1" s="24" t="s">
        <v>222</v>
      </c>
    </row>
    <row r="2" spans="1:10" x14ac:dyDescent="0.2">
      <c r="A2" s="25" t="s">
        <v>223</v>
      </c>
    </row>
    <row r="4" spans="1:10" ht="28" x14ac:dyDescent="0.2">
      <c r="A4" t="s">
        <v>224</v>
      </c>
      <c r="B4" s="51">
        <v>3</v>
      </c>
      <c r="D4" s="29" t="s">
        <v>96</v>
      </c>
      <c r="E4" s="29" t="s">
        <v>225</v>
      </c>
      <c r="F4" s="29" t="s">
        <v>226</v>
      </c>
      <c r="G4" s="29" t="s">
        <v>227</v>
      </c>
      <c r="H4" s="29" t="s">
        <v>228</v>
      </c>
      <c r="I4" s="29" t="s">
        <v>229</v>
      </c>
      <c r="J4" s="29" t="s">
        <v>230</v>
      </c>
    </row>
    <row r="5" spans="1:10" x14ac:dyDescent="0.2">
      <c r="D5" s="35">
        <v>0</v>
      </c>
      <c r="E5" s="35">
        <f t="shared" ref="E5:E28" si="0">COUNTIF(f_hr,D5)</f>
        <v>43</v>
      </c>
      <c r="F5" s="31">
        <f t="shared" ref="F5:F28" si="1">AVERAGEIF(f_hr,D5,f_cnt)</f>
        <v>16.348837209302324</v>
      </c>
      <c r="G5" s="31">
        <f t="shared" ref="G5:G28" si="2">SQRT(SUMPRODUCT((f_hr=D5)*(f_cnt-F5)^2)/(E5-1))</f>
        <v>10.442321674276208</v>
      </c>
      <c r="H5" s="31">
        <f t="shared" ref="H5:H28" si="3">F5+$B$4*G5</f>
        <v>47.675802232130948</v>
      </c>
      <c r="I5" s="31">
        <f t="shared" ref="I5:I28" si="4">MAX(0,F5-$B$4*G5)</f>
        <v>0</v>
      </c>
      <c r="J5" s="35">
        <f t="shared" ref="J5:J28" si="5">COUNTIFS($C$31:$C$1030,D5,$M$31:$M$1030,"?*")</f>
        <v>0</v>
      </c>
    </row>
    <row r="6" spans="1:10" x14ac:dyDescent="0.2">
      <c r="A6" s="35" t="s">
        <v>231</v>
      </c>
      <c r="B6" s="45">
        <f>COUNT(I31:I1030)</f>
        <v>1000</v>
      </c>
      <c r="D6" s="35">
        <v>1</v>
      </c>
      <c r="E6" s="35">
        <f t="shared" si="0"/>
        <v>43</v>
      </c>
      <c r="F6" s="31">
        <f t="shared" si="1"/>
        <v>10.697674418604651</v>
      </c>
      <c r="G6" s="31">
        <f t="shared" si="2"/>
        <v>10.060613641515801</v>
      </c>
      <c r="H6" s="31">
        <f t="shared" si="3"/>
        <v>40.87951534315205</v>
      </c>
      <c r="I6" s="31">
        <f t="shared" si="4"/>
        <v>0</v>
      </c>
      <c r="J6" s="35">
        <f t="shared" si="5"/>
        <v>1</v>
      </c>
    </row>
    <row r="7" spans="1:10" x14ac:dyDescent="0.2">
      <c r="A7" s="35" t="s">
        <v>232</v>
      </c>
      <c r="B7" s="45">
        <f>COUNTIF(M31:M1030,"High")</f>
        <v>7</v>
      </c>
      <c r="D7" s="35">
        <v>2</v>
      </c>
      <c r="E7" s="35">
        <f t="shared" si="0"/>
        <v>41</v>
      </c>
      <c r="F7" s="31">
        <f t="shared" si="1"/>
        <v>7.1707317073170733</v>
      </c>
      <c r="G7" s="31">
        <f t="shared" si="2"/>
        <v>7.3685223723090862</v>
      </c>
      <c r="H7" s="31">
        <f t="shared" si="3"/>
        <v>29.276298824244332</v>
      </c>
      <c r="I7" s="31">
        <f t="shared" si="4"/>
        <v>0</v>
      </c>
      <c r="J7" s="35">
        <f t="shared" si="5"/>
        <v>1</v>
      </c>
    </row>
    <row r="8" spans="1:10" x14ac:dyDescent="0.2">
      <c r="A8" s="35" t="s">
        <v>233</v>
      </c>
      <c r="B8" s="45">
        <f>COUNTIF(M31:M1030,"Low")</f>
        <v>0</v>
      </c>
      <c r="D8" s="35">
        <v>3</v>
      </c>
      <c r="E8" s="35">
        <f t="shared" si="0"/>
        <v>31</v>
      </c>
      <c r="F8" s="31">
        <f t="shared" si="1"/>
        <v>4.870967741935484</v>
      </c>
      <c r="G8" s="31">
        <f t="shared" si="2"/>
        <v>4.4702120418303126</v>
      </c>
      <c r="H8" s="31">
        <f t="shared" si="3"/>
        <v>18.281603867426423</v>
      </c>
      <c r="I8" s="31">
        <f t="shared" si="4"/>
        <v>0</v>
      </c>
      <c r="J8" s="35">
        <f t="shared" si="5"/>
        <v>0</v>
      </c>
    </row>
    <row r="9" spans="1:10" x14ac:dyDescent="0.2">
      <c r="A9" s="35" t="s">
        <v>234</v>
      </c>
      <c r="B9" s="52">
        <f>IF(B6=0,0,(B7+B8)/B6)</f>
        <v>7.0000000000000001E-3</v>
      </c>
      <c r="D9" s="35">
        <v>4</v>
      </c>
      <c r="E9" s="35">
        <f t="shared" si="0"/>
        <v>32</v>
      </c>
      <c r="F9" s="31">
        <f t="shared" si="1"/>
        <v>2.15625</v>
      </c>
      <c r="G9" s="31">
        <f t="shared" si="2"/>
        <v>1.5263148747143209</v>
      </c>
      <c r="H9" s="31">
        <f t="shared" si="3"/>
        <v>6.735194624142963</v>
      </c>
      <c r="I9" s="31">
        <f t="shared" si="4"/>
        <v>0</v>
      </c>
      <c r="J9" s="35">
        <f t="shared" si="5"/>
        <v>1</v>
      </c>
    </row>
    <row r="10" spans="1:10" x14ac:dyDescent="0.2">
      <c r="D10" s="35">
        <v>5</v>
      </c>
      <c r="E10" s="35">
        <f t="shared" si="0"/>
        <v>39</v>
      </c>
      <c r="F10" s="31">
        <f t="shared" si="1"/>
        <v>4.2051282051282053</v>
      </c>
      <c r="G10" s="31">
        <f t="shared" si="2"/>
        <v>2.5358429220352288</v>
      </c>
      <c r="H10" s="31">
        <f t="shared" si="3"/>
        <v>11.812656971233892</v>
      </c>
      <c r="I10" s="31">
        <f t="shared" si="4"/>
        <v>0</v>
      </c>
      <c r="J10" s="35">
        <f t="shared" si="5"/>
        <v>0</v>
      </c>
    </row>
    <row r="11" spans="1:10" x14ac:dyDescent="0.2">
      <c r="D11" s="35">
        <v>6</v>
      </c>
      <c r="E11" s="35">
        <f t="shared" si="0"/>
        <v>42</v>
      </c>
      <c r="F11" s="31">
        <f t="shared" si="1"/>
        <v>19.571428571428573</v>
      </c>
      <c r="G11" s="31">
        <f t="shared" si="2"/>
        <v>14.202615453298934</v>
      </c>
      <c r="H11" s="31">
        <f t="shared" si="3"/>
        <v>62.179274931325381</v>
      </c>
      <c r="I11" s="31">
        <f t="shared" si="4"/>
        <v>0</v>
      </c>
      <c r="J11" s="35">
        <f t="shared" si="5"/>
        <v>0</v>
      </c>
    </row>
    <row r="12" spans="1:10" x14ac:dyDescent="0.2">
      <c r="D12" s="35">
        <v>7</v>
      </c>
      <c r="E12" s="35">
        <f t="shared" si="0"/>
        <v>43</v>
      </c>
      <c r="F12" s="31">
        <f t="shared" si="1"/>
        <v>54.395348837209305</v>
      </c>
      <c r="G12" s="31">
        <f t="shared" si="2"/>
        <v>39.112864486352777</v>
      </c>
      <c r="H12" s="31">
        <f t="shared" si="3"/>
        <v>171.73394229626763</v>
      </c>
      <c r="I12" s="31">
        <f t="shared" si="4"/>
        <v>0</v>
      </c>
      <c r="J12" s="35">
        <f t="shared" si="5"/>
        <v>0</v>
      </c>
    </row>
    <row r="13" spans="1:10" x14ac:dyDescent="0.2">
      <c r="D13" s="35">
        <v>8</v>
      </c>
      <c r="E13" s="35">
        <f t="shared" si="0"/>
        <v>42</v>
      </c>
      <c r="F13" s="31">
        <f t="shared" si="1"/>
        <v>128.28571428571428</v>
      </c>
      <c r="G13" s="31">
        <f t="shared" si="2"/>
        <v>88.551565717048533</v>
      </c>
      <c r="H13" s="31">
        <f t="shared" si="3"/>
        <v>393.94041143685985</v>
      </c>
      <c r="I13" s="31">
        <f t="shared" si="4"/>
        <v>0</v>
      </c>
      <c r="J13" s="35">
        <f t="shared" si="5"/>
        <v>0</v>
      </c>
    </row>
    <row r="14" spans="1:10" x14ac:dyDescent="0.2">
      <c r="D14" s="35">
        <v>9</v>
      </c>
      <c r="E14" s="35">
        <f t="shared" si="0"/>
        <v>42</v>
      </c>
      <c r="F14" s="31">
        <f t="shared" si="1"/>
        <v>87.428571428571431</v>
      </c>
      <c r="G14" s="31">
        <f t="shared" si="2"/>
        <v>45.93852884078624</v>
      </c>
      <c r="H14" s="31">
        <f t="shared" si="3"/>
        <v>225.24415795093017</v>
      </c>
      <c r="I14" s="31">
        <f t="shared" si="4"/>
        <v>0</v>
      </c>
      <c r="J14" s="35">
        <f t="shared" si="5"/>
        <v>0</v>
      </c>
    </row>
    <row r="15" spans="1:10" x14ac:dyDescent="0.2">
      <c r="D15" s="35">
        <v>10</v>
      </c>
      <c r="E15" s="35">
        <f t="shared" si="0"/>
        <v>42</v>
      </c>
      <c r="F15" s="31">
        <f t="shared" si="1"/>
        <v>53.642857142857146</v>
      </c>
      <c r="G15" s="31">
        <f t="shared" si="2"/>
        <v>15.395313554536934</v>
      </c>
      <c r="H15" s="31">
        <f t="shared" si="3"/>
        <v>99.828797806467946</v>
      </c>
      <c r="I15" s="31">
        <f t="shared" si="4"/>
        <v>7.4569164792463454</v>
      </c>
      <c r="J15" s="35">
        <f t="shared" si="5"/>
        <v>1</v>
      </c>
    </row>
    <row r="16" spans="1:10" x14ac:dyDescent="0.2">
      <c r="D16" s="35">
        <v>11</v>
      </c>
      <c r="E16" s="35">
        <f t="shared" si="0"/>
        <v>42</v>
      </c>
      <c r="F16" s="31">
        <f t="shared" si="1"/>
        <v>59.38095238095238</v>
      </c>
      <c r="G16" s="31">
        <f t="shared" si="2"/>
        <v>20.89573696860419</v>
      </c>
      <c r="H16" s="31">
        <f t="shared" si="3"/>
        <v>122.06816328676496</v>
      </c>
      <c r="I16" s="31">
        <f t="shared" si="4"/>
        <v>0</v>
      </c>
      <c r="J16" s="35">
        <f t="shared" si="5"/>
        <v>0</v>
      </c>
    </row>
    <row r="17" spans="1:13" x14ac:dyDescent="0.2">
      <c r="D17" s="35">
        <v>12</v>
      </c>
      <c r="E17" s="35">
        <f t="shared" si="0"/>
        <v>43</v>
      </c>
      <c r="F17" s="31">
        <f t="shared" si="1"/>
        <v>76.348837209302332</v>
      </c>
      <c r="G17" s="31">
        <f t="shared" si="2"/>
        <v>29.034366927857057</v>
      </c>
      <c r="H17" s="31">
        <f t="shared" si="3"/>
        <v>163.4519379928735</v>
      </c>
      <c r="I17" s="31">
        <f t="shared" si="4"/>
        <v>0</v>
      </c>
      <c r="J17" s="35">
        <f t="shared" si="5"/>
        <v>1</v>
      </c>
    </row>
    <row r="18" spans="1:13" x14ac:dyDescent="0.2">
      <c r="D18" s="35">
        <v>13</v>
      </c>
      <c r="E18" s="35">
        <f t="shared" si="0"/>
        <v>43</v>
      </c>
      <c r="F18" s="31">
        <f t="shared" si="1"/>
        <v>78.511627906976742</v>
      </c>
      <c r="G18" s="31">
        <f t="shared" si="2"/>
        <v>30.072430098825173</v>
      </c>
      <c r="H18" s="31">
        <f t="shared" si="3"/>
        <v>168.72891820345225</v>
      </c>
      <c r="I18" s="31">
        <f t="shared" si="4"/>
        <v>0</v>
      </c>
      <c r="J18" s="35">
        <f t="shared" si="5"/>
        <v>1</v>
      </c>
    </row>
    <row r="19" spans="1:13" x14ac:dyDescent="0.2">
      <c r="D19" s="35">
        <v>14</v>
      </c>
      <c r="E19" s="35">
        <f t="shared" si="0"/>
        <v>43</v>
      </c>
      <c r="F19" s="31">
        <f t="shared" si="1"/>
        <v>74.418604651162795</v>
      </c>
      <c r="G19" s="31">
        <f t="shared" si="2"/>
        <v>30.305769180565147</v>
      </c>
      <c r="H19" s="31">
        <f t="shared" si="3"/>
        <v>165.33591219285825</v>
      </c>
      <c r="I19" s="31">
        <f t="shared" si="4"/>
        <v>0</v>
      </c>
      <c r="J19" s="35">
        <f t="shared" si="5"/>
        <v>0</v>
      </c>
    </row>
    <row r="20" spans="1:13" x14ac:dyDescent="0.2">
      <c r="D20" s="35">
        <v>15</v>
      </c>
      <c r="E20" s="35">
        <f t="shared" si="0"/>
        <v>43</v>
      </c>
      <c r="F20" s="31">
        <f t="shared" si="1"/>
        <v>77.95348837209302</v>
      </c>
      <c r="G20" s="31">
        <f t="shared" si="2"/>
        <v>34.481156681772681</v>
      </c>
      <c r="H20" s="31">
        <f t="shared" si="3"/>
        <v>181.39695841741104</v>
      </c>
      <c r="I20" s="31">
        <f t="shared" si="4"/>
        <v>0</v>
      </c>
      <c r="J20" s="35">
        <f t="shared" si="5"/>
        <v>1</v>
      </c>
    </row>
    <row r="21" spans="1:13" x14ac:dyDescent="0.2">
      <c r="D21" s="35">
        <v>16</v>
      </c>
      <c r="E21" s="35">
        <f t="shared" si="0"/>
        <v>44</v>
      </c>
      <c r="F21" s="31">
        <f t="shared" si="1"/>
        <v>89.272727272727266</v>
      </c>
      <c r="G21" s="31">
        <f t="shared" si="2"/>
        <v>25.461657115880747</v>
      </c>
      <c r="H21" s="31">
        <f t="shared" si="3"/>
        <v>165.6576986203695</v>
      </c>
      <c r="I21" s="31">
        <f t="shared" si="4"/>
        <v>12.887755925085017</v>
      </c>
      <c r="J21" s="35">
        <f t="shared" si="5"/>
        <v>0</v>
      </c>
    </row>
    <row r="22" spans="1:13" x14ac:dyDescent="0.2">
      <c r="D22" s="35">
        <v>17</v>
      </c>
      <c r="E22" s="35">
        <f t="shared" si="0"/>
        <v>44</v>
      </c>
      <c r="F22" s="31">
        <f t="shared" si="1"/>
        <v>140.20454545454547</v>
      </c>
      <c r="G22" s="31">
        <f t="shared" si="2"/>
        <v>54.067391000084569</v>
      </c>
      <c r="H22" s="31">
        <f t="shared" si="3"/>
        <v>302.40671845479915</v>
      </c>
      <c r="I22" s="31">
        <f t="shared" si="4"/>
        <v>0</v>
      </c>
      <c r="J22" s="35">
        <f t="shared" si="5"/>
        <v>0</v>
      </c>
    </row>
    <row r="23" spans="1:13" x14ac:dyDescent="0.2">
      <c r="D23" s="35">
        <v>18</v>
      </c>
      <c r="E23" s="35">
        <f t="shared" si="0"/>
        <v>43</v>
      </c>
      <c r="F23" s="31">
        <f t="shared" si="1"/>
        <v>122.86046511627907</v>
      </c>
      <c r="G23" s="31">
        <f t="shared" si="2"/>
        <v>48.613432101949947</v>
      </c>
      <c r="H23" s="31">
        <f t="shared" si="3"/>
        <v>268.70076142212895</v>
      </c>
      <c r="I23" s="31">
        <f t="shared" si="4"/>
        <v>0</v>
      </c>
      <c r="J23" s="35">
        <f t="shared" si="5"/>
        <v>0</v>
      </c>
    </row>
    <row r="24" spans="1:13" x14ac:dyDescent="0.2">
      <c r="D24" s="35">
        <v>19</v>
      </c>
      <c r="E24" s="35">
        <f t="shared" si="0"/>
        <v>43</v>
      </c>
      <c r="F24" s="31">
        <f t="shared" si="1"/>
        <v>85.139534883720927</v>
      </c>
      <c r="G24" s="31">
        <f t="shared" si="2"/>
        <v>31.690904054294759</v>
      </c>
      <c r="H24" s="31">
        <f t="shared" si="3"/>
        <v>180.2122470466052</v>
      </c>
      <c r="I24" s="31">
        <f t="shared" si="4"/>
        <v>0</v>
      </c>
      <c r="J24" s="35">
        <f t="shared" si="5"/>
        <v>0</v>
      </c>
    </row>
    <row r="25" spans="1:13" x14ac:dyDescent="0.2">
      <c r="D25" s="35">
        <v>20</v>
      </c>
      <c r="E25" s="35">
        <f t="shared" si="0"/>
        <v>43</v>
      </c>
      <c r="F25" s="31">
        <f t="shared" si="1"/>
        <v>61.767441860465119</v>
      </c>
      <c r="G25" s="31">
        <f t="shared" si="2"/>
        <v>24.6323801696856</v>
      </c>
      <c r="H25" s="31">
        <f t="shared" si="3"/>
        <v>135.66458236952192</v>
      </c>
      <c r="I25" s="31">
        <f t="shared" si="4"/>
        <v>0</v>
      </c>
      <c r="J25" s="35">
        <f t="shared" si="5"/>
        <v>0</v>
      </c>
    </row>
    <row r="26" spans="1:13" x14ac:dyDescent="0.2">
      <c r="D26" s="35">
        <v>21</v>
      </c>
      <c r="E26" s="35">
        <f t="shared" si="0"/>
        <v>43</v>
      </c>
      <c r="F26" s="31">
        <f t="shared" si="1"/>
        <v>46.418604651162788</v>
      </c>
      <c r="G26" s="31">
        <f t="shared" si="2"/>
        <v>14.656759464719499</v>
      </c>
      <c r="H26" s="31">
        <f t="shared" si="3"/>
        <v>90.388883045321279</v>
      </c>
      <c r="I26" s="31">
        <f t="shared" si="4"/>
        <v>2.4483262570042896</v>
      </c>
      <c r="J26" s="35">
        <f t="shared" si="5"/>
        <v>0</v>
      </c>
    </row>
    <row r="27" spans="1:13" x14ac:dyDescent="0.2">
      <c r="D27" s="35">
        <v>22</v>
      </c>
      <c r="E27" s="35">
        <f t="shared" si="0"/>
        <v>43</v>
      </c>
      <c r="F27" s="31">
        <f t="shared" si="1"/>
        <v>35.069767441860463</v>
      </c>
      <c r="G27" s="31">
        <f t="shared" si="2"/>
        <v>11.95506537162667</v>
      </c>
      <c r="H27" s="31">
        <f t="shared" si="3"/>
        <v>70.93496355674047</v>
      </c>
      <c r="I27" s="31">
        <f t="shared" si="4"/>
        <v>0</v>
      </c>
      <c r="J27" s="35">
        <f t="shared" si="5"/>
        <v>0</v>
      </c>
    </row>
    <row r="28" spans="1:13" x14ac:dyDescent="0.2">
      <c r="D28" s="35">
        <v>23</v>
      </c>
      <c r="E28" s="35">
        <f t="shared" si="0"/>
        <v>43</v>
      </c>
      <c r="F28" s="31">
        <f t="shared" si="1"/>
        <v>25.186046511627907</v>
      </c>
      <c r="G28" s="31">
        <f t="shared" si="2"/>
        <v>11.751911321656186</v>
      </c>
      <c r="H28" s="31">
        <f t="shared" si="3"/>
        <v>60.441780476596463</v>
      </c>
      <c r="I28" s="31">
        <f t="shared" si="4"/>
        <v>0</v>
      </c>
      <c r="J28" s="35">
        <f t="shared" si="5"/>
        <v>0</v>
      </c>
    </row>
    <row r="29" spans="1:13" x14ac:dyDescent="0.2">
      <c r="A29" s="44" t="s">
        <v>235</v>
      </c>
    </row>
    <row r="30" spans="1:13" x14ac:dyDescent="0.2">
      <c r="A30" s="29" t="s">
        <v>236</v>
      </c>
      <c r="B30" s="29" t="s">
        <v>137</v>
      </c>
      <c r="C30" s="29" t="s">
        <v>96</v>
      </c>
      <c r="D30" s="29" t="s">
        <v>104</v>
      </c>
      <c r="E30" s="29" t="s">
        <v>110</v>
      </c>
      <c r="F30" s="29" t="s">
        <v>237</v>
      </c>
      <c r="G30" s="29" t="s">
        <v>128</v>
      </c>
      <c r="H30" s="29" t="s">
        <v>238</v>
      </c>
      <c r="I30" s="29" t="s">
        <v>207</v>
      </c>
      <c r="J30" s="29" t="s">
        <v>239</v>
      </c>
      <c r="K30" s="29" t="s">
        <v>240</v>
      </c>
      <c r="L30" s="29" t="s">
        <v>241</v>
      </c>
      <c r="M30" s="29" t="s">
        <v>242</v>
      </c>
    </row>
    <row r="31" spans="1:13" x14ac:dyDescent="0.2">
      <c r="A31">
        <f>Final_Dataset!A2</f>
        <v>1</v>
      </c>
      <c r="B31" s="53">
        <f>Final_Dataset!B2</f>
        <v>40544</v>
      </c>
      <c r="C31">
        <f>Final_Dataset!F2</f>
        <v>0</v>
      </c>
      <c r="D31" t="str">
        <f>Final_Dataset!T2</f>
        <v>Sat</v>
      </c>
      <c r="E31" t="str">
        <f>Final_Dataset!X2</f>
        <v>Clear</v>
      </c>
      <c r="F31">
        <f>Final_Dataset!J2</f>
        <v>0.24</v>
      </c>
      <c r="G31">
        <f>Final_Dataset!L2</f>
        <v>0.81</v>
      </c>
      <c r="H31">
        <f>Final_Dataset!M2</f>
        <v>0</v>
      </c>
      <c r="I31">
        <f>Final_Dataset!P2</f>
        <v>16</v>
      </c>
      <c r="J31" s="54">
        <f t="shared" ref="J31:J94" si="6">INDEX($F$5:$F$28,MATCH(C31,$D$5:$D$28,0))</f>
        <v>16.348837209302324</v>
      </c>
      <c r="K31" s="54">
        <f t="shared" ref="K31:K94" si="7">INDEX($G$5:$G$28,MATCH(C31,$D$5:$D$28,0))</f>
        <v>10.442321674276208</v>
      </c>
      <c r="L31" s="55">
        <f t="shared" ref="L31:L94" si="8">IF(K31=0,0,(I31-J31)/K31)</f>
        <v>-3.3406096860782976E-2</v>
      </c>
      <c r="M31" t="str">
        <f t="shared" ref="M31:M94" si="9">IF(ABS(L31)&gt;=$B$4,IF(L31&gt;0,"High","Low"),"")</f>
        <v/>
      </c>
    </row>
    <row r="32" spans="1:13" x14ac:dyDescent="0.2">
      <c r="A32">
        <f>Final_Dataset!A3</f>
        <v>2</v>
      </c>
      <c r="B32" s="53">
        <f>Final_Dataset!B3</f>
        <v>40544</v>
      </c>
      <c r="C32">
        <f>Final_Dataset!F3</f>
        <v>1</v>
      </c>
      <c r="D32" t="str">
        <f>Final_Dataset!T3</f>
        <v>Sat</v>
      </c>
      <c r="E32" t="str">
        <f>Final_Dataset!X3</f>
        <v>Clear</v>
      </c>
      <c r="F32">
        <f>Final_Dataset!J3</f>
        <v>0.22</v>
      </c>
      <c r="G32">
        <f>Final_Dataset!L3</f>
        <v>0.8</v>
      </c>
      <c r="H32">
        <f>Final_Dataset!M3</f>
        <v>0</v>
      </c>
      <c r="I32">
        <f>Final_Dataset!P3</f>
        <v>40</v>
      </c>
      <c r="J32" s="54">
        <f t="shared" si="6"/>
        <v>10.697674418604651</v>
      </c>
      <c r="K32" s="54">
        <f t="shared" si="7"/>
        <v>10.060613641515801</v>
      </c>
      <c r="L32" s="55">
        <f t="shared" si="8"/>
        <v>2.9125783600790838</v>
      </c>
      <c r="M32" t="str">
        <f t="shared" si="9"/>
        <v/>
      </c>
    </row>
    <row r="33" spans="1:13" x14ac:dyDescent="0.2">
      <c r="A33">
        <f>Final_Dataset!A4</f>
        <v>3</v>
      </c>
      <c r="B33" s="53">
        <f>Final_Dataset!B4</f>
        <v>40544</v>
      </c>
      <c r="C33">
        <f>Final_Dataset!F4</f>
        <v>2</v>
      </c>
      <c r="D33" t="str">
        <f>Final_Dataset!T4</f>
        <v>Sat</v>
      </c>
      <c r="E33" t="str">
        <f>Final_Dataset!X4</f>
        <v>Clear</v>
      </c>
      <c r="F33">
        <f>Final_Dataset!J4</f>
        <v>0.22</v>
      </c>
      <c r="G33">
        <f>Final_Dataset!L4</f>
        <v>0.8</v>
      </c>
      <c r="H33">
        <f>Final_Dataset!M4</f>
        <v>0</v>
      </c>
      <c r="I33">
        <f>Final_Dataset!P4</f>
        <v>32</v>
      </c>
      <c r="J33" s="54">
        <f t="shared" si="6"/>
        <v>7.1707317073170733</v>
      </c>
      <c r="K33" s="54">
        <f t="shared" si="7"/>
        <v>7.3685223723090862</v>
      </c>
      <c r="L33" s="55">
        <f t="shared" si="8"/>
        <v>3.3696400768207395</v>
      </c>
      <c r="M33" t="str">
        <f t="shared" si="9"/>
        <v>High</v>
      </c>
    </row>
    <row r="34" spans="1:13" x14ac:dyDescent="0.2">
      <c r="A34">
        <f>Final_Dataset!A5</f>
        <v>4</v>
      </c>
      <c r="B34" s="53">
        <f>Final_Dataset!B5</f>
        <v>40544</v>
      </c>
      <c r="C34">
        <f>Final_Dataset!F5</f>
        <v>3</v>
      </c>
      <c r="D34" t="str">
        <f>Final_Dataset!T5</f>
        <v>Sat</v>
      </c>
      <c r="E34" t="str">
        <f>Final_Dataset!X5</f>
        <v>Clear</v>
      </c>
      <c r="F34">
        <f>Final_Dataset!J5</f>
        <v>0.24</v>
      </c>
      <c r="G34">
        <f>Final_Dataset!L5</f>
        <v>0.75</v>
      </c>
      <c r="H34">
        <f>Final_Dataset!M5</f>
        <v>0</v>
      </c>
      <c r="I34">
        <f>Final_Dataset!P5</f>
        <v>13</v>
      </c>
      <c r="J34" s="54">
        <f t="shared" si="6"/>
        <v>4.870967741935484</v>
      </c>
      <c r="K34" s="54">
        <f t="shared" si="7"/>
        <v>4.4702120418303126</v>
      </c>
      <c r="L34" s="55">
        <f t="shared" si="8"/>
        <v>1.8184891861944232</v>
      </c>
      <c r="M34" t="str">
        <f t="shared" si="9"/>
        <v/>
      </c>
    </row>
    <row r="35" spans="1:13" x14ac:dyDescent="0.2">
      <c r="A35">
        <f>Final_Dataset!A6</f>
        <v>5</v>
      </c>
      <c r="B35" s="53">
        <f>Final_Dataset!B6</f>
        <v>40544</v>
      </c>
      <c r="C35">
        <f>Final_Dataset!F6</f>
        <v>4</v>
      </c>
      <c r="D35" t="str">
        <f>Final_Dataset!T6</f>
        <v>Sat</v>
      </c>
      <c r="E35" t="str">
        <f>Final_Dataset!X6</f>
        <v>Clear</v>
      </c>
      <c r="F35">
        <f>Final_Dataset!J6</f>
        <v>0.24</v>
      </c>
      <c r="G35">
        <f>Final_Dataset!L6</f>
        <v>0.75</v>
      </c>
      <c r="H35">
        <f>Final_Dataset!M6</f>
        <v>0</v>
      </c>
      <c r="I35">
        <f>Final_Dataset!P6</f>
        <v>1</v>
      </c>
      <c r="J35" s="54">
        <f t="shared" si="6"/>
        <v>2.15625</v>
      </c>
      <c r="K35" s="54">
        <f t="shared" si="7"/>
        <v>1.5263148747143209</v>
      </c>
      <c r="L35" s="55">
        <f t="shared" si="8"/>
        <v>-0.75754355746314428</v>
      </c>
      <c r="M35" t="str">
        <f t="shared" si="9"/>
        <v/>
      </c>
    </row>
    <row r="36" spans="1:13" x14ac:dyDescent="0.2">
      <c r="A36">
        <f>Final_Dataset!A7</f>
        <v>6</v>
      </c>
      <c r="B36" s="53">
        <f>Final_Dataset!B7</f>
        <v>40544</v>
      </c>
      <c r="C36">
        <f>Final_Dataset!F7</f>
        <v>5</v>
      </c>
      <c r="D36" t="str">
        <f>Final_Dataset!T7</f>
        <v>Sat</v>
      </c>
      <c r="E36" t="str">
        <f>Final_Dataset!X7</f>
        <v>Cloudy/Mist</v>
      </c>
      <c r="F36">
        <f>Final_Dataset!J7</f>
        <v>0.24</v>
      </c>
      <c r="G36">
        <f>Final_Dataset!L7</f>
        <v>0.75</v>
      </c>
      <c r="H36">
        <f>Final_Dataset!M7</f>
        <v>8.9599999999999999E-2</v>
      </c>
      <c r="I36">
        <f>Final_Dataset!P7</f>
        <v>1</v>
      </c>
      <c r="J36" s="54">
        <f t="shared" si="6"/>
        <v>4.2051282051282053</v>
      </c>
      <c r="K36" s="54">
        <f t="shared" si="7"/>
        <v>2.5358429220352288</v>
      </c>
      <c r="L36" s="55">
        <f t="shared" si="8"/>
        <v>-1.2639301027982515</v>
      </c>
      <c r="M36" t="str">
        <f t="shared" si="9"/>
        <v/>
      </c>
    </row>
    <row r="37" spans="1:13" x14ac:dyDescent="0.2">
      <c r="A37">
        <f>Final_Dataset!A8</f>
        <v>7</v>
      </c>
      <c r="B37" s="53">
        <f>Final_Dataset!B8</f>
        <v>40544</v>
      </c>
      <c r="C37">
        <f>Final_Dataset!F8</f>
        <v>6</v>
      </c>
      <c r="D37" t="str">
        <f>Final_Dataset!T8</f>
        <v>Sat</v>
      </c>
      <c r="E37" t="str">
        <f>Final_Dataset!X8</f>
        <v>Clear</v>
      </c>
      <c r="F37">
        <f>Final_Dataset!J8</f>
        <v>0.22</v>
      </c>
      <c r="G37">
        <f>Final_Dataset!L8</f>
        <v>0.8</v>
      </c>
      <c r="H37">
        <f>Final_Dataset!M8</f>
        <v>0</v>
      </c>
      <c r="I37">
        <f>Final_Dataset!P8</f>
        <v>2</v>
      </c>
      <c r="J37" s="54">
        <f t="shared" si="6"/>
        <v>19.571428571428573</v>
      </c>
      <c r="K37" s="54">
        <f t="shared" si="7"/>
        <v>14.202615453298934</v>
      </c>
      <c r="L37" s="55">
        <f t="shared" si="8"/>
        <v>-1.2371966719233494</v>
      </c>
      <c r="M37" t="str">
        <f t="shared" si="9"/>
        <v/>
      </c>
    </row>
    <row r="38" spans="1:13" x14ac:dyDescent="0.2">
      <c r="A38">
        <f>Final_Dataset!A9</f>
        <v>8</v>
      </c>
      <c r="B38" s="53">
        <f>Final_Dataset!B9</f>
        <v>40544</v>
      </c>
      <c r="C38">
        <f>Final_Dataset!F9</f>
        <v>7</v>
      </c>
      <c r="D38" t="str">
        <f>Final_Dataset!T9</f>
        <v>Sat</v>
      </c>
      <c r="E38" t="str">
        <f>Final_Dataset!X9</f>
        <v>Clear</v>
      </c>
      <c r="F38">
        <f>Final_Dataset!J9</f>
        <v>0.2</v>
      </c>
      <c r="G38">
        <f>Final_Dataset!L9</f>
        <v>0.86</v>
      </c>
      <c r="H38">
        <f>Final_Dataset!M9</f>
        <v>0</v>
      </c>
      <c r="I38">
        <f>Final_Dataset!P9</f>
        <v>3</v>
      </c>
      <c r="J38" s="54">
        <f t="shared" si="6"/>
        <v>54.395348837209305</v>
      </c>
      <c r="K38" s="54">
        <f t="shared" si="7"/>
        <v>39.112864486352777</v>
      </c>
      <c r="L38" s="55">
        <f t="shared" si="8"/>
        <v>-1.3140267150502905</v>
      </c>
      <c r="M38" t="str">
        <f t="shared" si="9"/>
        <v/>
      </c>
    </row>
    <row r="39" spans="1:13" x14ac:dyDescent="0.2">
      <c r="A39">
        <f>Final_Dataset!A10</f>
        <v>9</v>
      </c>
      <c r="B39" s="53">
        <f>Final_Dataset!B10</f>
        <v>40544</v>
      </c>
      <c r="C39">
        <f>Final_Dataset!F10</f>
        <v>8</v>
      </c>
      <c r="D39" t="str">
        <f>Final_Dataset!T10</f>
        <v>Sat</v>
      </c>
      <c r="E39" t="str">
        <f>Final_Dataset!X10</f>
        <v>Clear</v>
      </c>
      <c r="F39">
        <f>Final_Dataset!J10</f>
        <v>0.24</v>
      </c>
      <c r="G39">
        <f>Final_Dataset!L10</f>
        <v>0.75</v>
      </c>
      <c r="H39">
        <f>Final_Dataset!M10</f>
        <v>0</v>
      </c>
      <c r="I39">
        <f>Final_Dataset!P10</f>
        <v>8</v>
      </c>
      <c r="J39" s="54">
        <f t="shared" si="6"/>
        <v>128.28571428571428</v>
      </c>
      <c r="K39" s="54">
        <f t="shared" si="7"/>
        <v>88.551565717048533</v>
      </c>
      <c r="L39" s="55">
        <f t="shared" si="8"/>
        <v>-1.3583691413211916</v>
      </c>
      <c r="M39" t="str">
        <f t="shared" si="9"/>
        <v/>
      </c>
    </row>
    <row r="40" spans="1:13" x14ac:dyDescent="0.2">
      <c r="A40">
        <f>Final_Dataset!A11</f>
        <v>10</v>
      </c>
      <c r="B40" s="53">
        <f>Final_Dataset!B11</f>
        <v>40544</v>
      </c>
      <c r="C40">
        <f>Final_Dataset!F11</f>
        <v>9</v>
      </c>
      <c r="D40" t="str">
        <f>Final_Dataset!T11</f>
        <v>Sat</v>
      </c>
      <c r="E40" t="str">
        <f>Final_Dataset!X11</f>
        <v>Clear</v>
      </c>
      <c r="F40">
        <f>Final_Dataset!J11</f>
        <v>0.32</v>
      </c>
      <c r="G40">
        <f>Final_Dataset!L11</f>
        <v>0.76</v>
      </c>
      <c r="H40">
        <f>Final_Dataset!M11</f>
        <v>0</v>
      </c>
      <c r="I40">
        <f>Final_Dataset!P11</f>
        <v>14</v>
      </c>
      <c r="J40" s="54">
        <f t="shared" si="6"/>
        <v>87.428571428571431</v>
      </c>
      <c r="K40" s="54">
        <f t="shared" si="7"/>
        <v>45.93852884078624</v>
      </c>
      <c r="L40" s="55">
        <f t="shared" si="8"/>
        <v>-1.5984092934943603</v>
      </c>
      <c r="M40" t="str">
        <f t="shared" si="9"/>
        <v/>
      </c>
    </row>
    <row r="41" spans="1:13" x14ac:dyDescent="0.2">
      <c r="A41">
        <f>Final_Dataset!A12</f>
        <v>11</v>
      </c>
      <c r="B41" s="53">
        <f>Final_Dataset!B12</f>
        <v>40544</v>
      </c>
      <c r="C41">
        <f>Final_Dataset!F12</f>
        <v>10</v>
      </c>
      <c r="D41" t="str">
        <f>Final_Dataset!T12</f>
        <v>Sat</v>
      </c>
      <c r="E41" t="str">
        <f>Final_Dataset!X12</f>
        <v>Clear</v>
      </c>
      <c r="F41">
        <f>Final_Dataset!J12</f>
        <v>0.38</v>
      </c>
      <c r="G41">
        <f>Final_Dataset!L12</f>
        <v>0.76</v>
      </c>
      <c r="H41">
        <f>Final_Dataset!M12</f>
        <v>0.25369999999999998</v>
      </c>
      <c r="I41">
        <f>Final_Dataset!P12</f>
        <v>36</v>
      </c>
      <c r="J41" s="54">
        <f t="shared" si="6"/>
        <v>53.642857142857146</v>
      </c>
      <c r="K41" s="54">
        <f t="shared" si="7"/>
        <v>15.395313554536934</v>
      </c>
      <c r="L41" s="55">
        <f t="shared" si="8"/>
        <v>-1.1459888153858271</v>
      </c>
      <c r="M41" t="str">
        <f t="shared" si="9"/>
        <v/>
      </c>
    </row>
    <row r="42" spans="1:13" x14ac:dyDescent="0.2">
      <c r="A42">
        <f>Final_Dataset!A13</f>
        <v>12</v>
      </c>
      <c r="B42" s="53">
        <f>Final_Dataset!B13</f>
        <v>40544</v>
      </c>
      <c r="C42">
        <f>Final_Dataset!F13</f>
        <v>11</v>
      </c>
      <c r="D42" t="str">
        <f>Final_Dataset!T13</f>
        <v>Sat</v>
      </c>
      <c r="E42" t="str">
        <f>Final_Dataset!X13</f>
        <v>Clear</v>
      </c>
      <c r="F42">
        <f>Final_Dataset!J13</f>
        <v>0.36</v>
      </c>
      <c r="G42">
        <f>Final_Dataset!L13</f>
        <v>0.81</v>
      </c>
      <c r="H42">
        <f>Final_Dataset!M13</f>
        <v>0.28360000000000002</v>
      </c>
      <c r="I42">
        <f>Final_Dataset!P13</f>
        <v>56</v>
      </c>
      <c r="J42" s="54">
        <f t="shared" si="6"/>
        <v>59.38095238095238</v>
      </c>
      <c r="K42" s="54">
        <f t="shared" si="7"/>
        <v>20.89573696860419</v>
      </c>
      <c r="L42" s="55">
        <f t="shared" si="8"/>
        <v>-0.16180105951909018</v>
      </c>
      <c r="M42" t="str">
        <f t="shared" si="9"/>
        <v/>
      </c>
    </row>
    <row r="43" spans="1:13" x14ac:dyDescent="0.2">
      <c r="A43">
        <f>Final_Dataset!A14</f>
        <v>13</v>
      </c>
      <c r="B43" s="53">
        <f>Final_Dataset!B14</f>
        <v>40544</v>
      </c>
      <c r="C43">
        <f>Final_Dataset!F14</f>
        <v>12</v>
      </c>
      <c r="D43" t="str">
        <f>Final_Dataset!T14</f>
        <v>Sat</v>
      </c>
      <c r="E43" t="str">
        <f>Final_Dataset!X14</f>
        <v>Clear</v>
      </c>
      <c r="F43">
        <f>Final_Dataset!J14</f>
        <v>0.42</v>
      </c>
      <c r="G43">
        <f>Final_Dataset!L14</f>
        <v>0.77</v>
      </c>
      <c r="H43">
        <f>Final_Dataset!M14</f>
        <v>0.28360000000000002</v>
      </c>
      <c r="I43">
        <f>Final_Dataset!P14</f>
        <v>84</v>
      </c>
      <c r="J43" s="54">
        <f t="shared" si="6"/>
        <v>76.348837209302332</v>
      </c>
      <c r="K43" s="54">
        <f t="shared" si="7"/>
        <v>29.034366927857057</v>
      </c>
      <c r="L43" s="55">
        <f t="shared" si="8"/>
        <v>0.26352090988272081</v>
      </c>
      <c r="M43" t="str">
        <f t="shared" si="9"/>
        <v/>
      </c>
    </row>
    <row r="44" spans="1:13" x14ac:dyDescent="0.2">
      <c r="A44">
        <f>Final_Dataset!A15</f>
        <v>14</v>
      </c>
      <c r="B44" s="53">
        <f>Final_Dataset!B15</f>
        <v>40544</v>
      </c>
      <c r="C44">
        <f>Final_Dataset!F15</f>
        <v>13</v>
      </c>
      <c r="D44" t="str">
        <f>Final_Dataset!T15</f>
        <v>Sat</v>
      </c>
      <c r="E44" t="str">
        <f>Final_Dataset!X15</f>
        <v>Cloudy/Mist</v>
      </c>
      <c r="F44">
        <f>Final_Dataset!J15</f>
        <v>0.46</v>
      </c>
      <c r="G44">
        <f>Final_Dataset!L15</f>
        <v>0.72</v>
      </c>
      <c r="H44">
        <f>Final_Dataset!M15</f>
        <v>0.29849999999999999</v>
      </c>
      <c r="I44">
        <f>Final_Dataset!P15</f>
        <v>94</v>
      </c>
      <c r="J44" s="54">
        <f t="shared" si="6"/>
        <v>78.511627906976742</v>
      </c>
      <c r="K44" s="54">
        <f t="shared" si="7"/>
        <v>30.072430098825173</v>
      </c>
      <c r="L44" s="55">
        <f t="shared" si="8"/>
        <v>0.51503560045279928</v>
      </c>
      <c r="M44" t="str">
        <f t="shared" si="9"/>
        <v/>
      </c>
    </row>
    <row r="45" spans="1:13" x14ac:dyDescent="0.2">
      <c r="A45">
        <f>Final_Dataset!A16</f>
        <v>15</v>
      </c>
      <c r="B45" s="53">
        <f>Final_Dataset!B16</f>
        <v>40544</v>
      </c>
      <c r="C45">
        <f>Final_Dataset!F16</f>
        <v>14</v>
      </c>
      <c r="D45" t="str">
        <f>Final_Dataset!T16</f>
        <v>Sat</v>
      </c>
      <c r="E45" t="str">
        <f>Final_Dataset!X16</f>
        <v>Cloudy/Mist</v>
      </c>
      <c r="F45">
        <f>Final_Dataset!J16</f>
        <v>0.46</v>
      </c>
      <c r="G45">
        <f>Final_Dataset!L16</f>
        <v>0.72</v>
      </c>
      <c r="H45">
        <f>Final_Dataset!M16</f>
        <v>0.28360000000000002</v>
      </c>
      <c r="I45">
        <f>Final_Dataset!P16</f>
        <v>106</v>
      </c>
      <c r="J45" s="54">
        <f t="shared" si="6"/>
        <v>74.418604651162795</v>
      </c>
      <c r="K45" s="54">
        <f t="shared" si="7"/>
        <v>30.305769180565147</v>
      </c>
      <c r="L45" s="55">
        <f t="shared" si="8"/>
        <v>1.0420918591662114</v>
      </c>
      <c r="M45" t="str">
        <f t="shared" si="9"/>
        <v/>
      </c>
    </row>
    <row r="46" spans="1:13" x14ac:dyDescent="0.2">
      <c r="A46">
        <f>Final_Dataset!A17</f>
        <v>16</v>
      </c>
      <c r="B46" s="53">
        <f>Final_Dataset!B17</f>
        <v>40544</v>
      </c>
      <c r="C46">
        <f>Final_Dataset!F17</f>
        <v>15</v>
      </c>
      <c r="D46" t="str">
        <f>Final_Dataset!T17</f>
        <v>Sat</v>
      </c>
      <c r="E46" t="str">
        <f>Final_Dataset!X17</f>
        <v>Cloudy/Mist</v>
      </c>
      <c r="F46">
        <f>Final_Dataset!J17</f>
        <v>0.44</v>
      </c>
      <c r="G46">
        <f>Final_Dataset!L17</f>
        <v>0.77</v>
      </c>
      <c r="H46">
        <f>Final_Dataset!M17</f>
        <v>0.29849999999999999</v>
      </c>
      <c r="I46">
        <f>Final_Dataset!P17</f>
        <v>110</v>
      </c>
      <c r="J46" s="54">
        <f t="shared" si="6"/>
        <v>77.95348837209302</v>
      </c>
      <c r="K46" s="54">
        <f t="shared" si="7"/>
        <v>34.481156681772681</v>
      </c>
      <c r="L46" s="55">
        <f t="shared" si="8"/>
        <v>0.92939201325712206</v>
      </c>
      <c r="M46" t="str">
        <f t="shared" si="9"/>
        <v/>
      </c>
    </row>
    <row r="47" spans="1:13" x14ac:dyDescent="0.2">
      <c r="A47">
        <f>Final_Dataset!A18</f>
        <v>17</v>
      </c>
      <c r="B47" s="53">
        <f>Final_Dataset!B18</f>
        <v>40544</v>
      </c>
      <c r="C47">
        <f>Final_Dataset!F18</f>
        <v>16</v>
      </c>
      <c r="D47" t="str">
        <f>Final_Dataset!T18</f>
        <v>Sat</v>
      </c>
      <c r="E47" t="str">
        <f>Final_Dataset!X18</f>
        <v>Cloudy/Mist</v>
      </c>
      <c r="F47">
        <f>Final_Dataset!J18</f>
        <v>0.42</v>
      </c>
      <c r="G47">
        <f>Final_Dataset!L18</f>
        <v>0.82</v>
      </c>
      <c r="H47">
        <f>Final_Dataset!M18</f>
        <v>0.29849999999999999</v>
      </c>
      <c r="I47">
        <f>Final_Dataset!P18</f>
        <v>93</v>
      </c>
      <c r="J47" s="54">
        <f t="shared" si="6"/>
        <v>89.272727272727266</v>
      </c>
      <c r="K47" s="54">
        <f t="shared" si="7"/>
        <v>25.461657115880747</v>
      </c>
      <c r="L47" s="55">
        <f t="shared" si="8"/>
        <v>0.1463876726604722</v>
      </c>
      <c r="M47" t="str">
        <f t="shared" si="9"/>
        <v/>
      </c>
    </row>
    <row r="48" spans="1:13" x14ac:dyDescent="0.2">
      <c r="A48">
        <f>Final_Dataset!A19</f>
        <v>18</v>
      </c>
      <c r="B48" s="53">
        <f>Final_Dataset!B19</f>
        <v>40544</v>
      </c>
      <c r="C48">
        <f>Final_Dataset!F19</f>
        <v>17</v>
      </c>
      <c r="D48" t="str">
        <f>Final_Dataset!T19</f>
        <v>Sat</v>
      </c>
      <c r="E48" t="str">
        <f>Final_Dataset!X19</f>
        <v>Cloudy/Mist</v>
      </c>
      <c r="F48">
        <f>Final_Dataset!J19</f>
        <v>0.44</v>
      </c>
      <c r="G48">
        <f>Final_Dataset!L19</f>
        <v>0.82</v>
      </c>
      <c r="H48">
        <f>Final_Dataset!M19</f>
        <v>0.28360000000000002</v>
      </c>
      <c r="I48">
        <f>Final_Dataset!P19</f>
        <v>67</v>
      </c>
      <c r="J48" s="54">
        <f t="shared" si="6"/>
        <v>140.20454545454547</v>
      </c>
      <c r="K48" s="54">
        <f t="shared" si="7"/>
        <v>54.067391000084569</v>
      </c>
      <c r="L48" s="55">
        <f t="shared" si="8"/>
        <v>-1.3539500260782136</v>
      </c>
      <c r="M48" t="str">
        <f t="shared" si="9"/>
        <v/>
      </c>
    </row>
    <row r="49" spans="1:13" x14ac:dyDescent="0.2">
      <c r="A49">
        <f>Final_Dataset!A20</f>
        <v>19</v>
      </c>
      <c r="B49" s="53">
        <f>Final_Dataset!B20</f>
        <v>40544</v>
      </c>
      <c r="C49">
        <f>Final_Dataset!F20</f>
        <v>18</v>
      </c>
      <c r="D49" t="str">
        <f>Final_Dataset!T20</f>
        <v>Sat</v>
      </c>
      <c r="E49" t="str">
        <f>Final_Dataset!X20</f>
        <v>Light Rain/Snow</v>
      </c>
      <c r="F49">
        <f>Final_Dataset!J20</f>
        <v>0.42</v>
      </c>
      <c r="G49">
        <f>Final_Dataset!L20</f>
        <v>0.88</v>
      </c>
      <c r="H49">
        <f>Final_Dataset!M20</f>
        <v>0.25369999999999998</v>
      </c>
      <c r="I49">
        <f>Final_Dataset!P20</f>
        <v>35</v>
      </c>
      <c r="J49" s="54">
        <f t="shared" si="6"/>
        <v>122.86046511627907</v>
      </c>
      <c r="K49" s="54">
        <f t="shared" si="7"/>
        <v>48.613432101949947</v>
      </c>
      <c r="L49" s="55">
        <f t="shared" si="8"/>
        <v>-1.8073289894863209</v>
      </c>
      <c r="M49" t="str">
        <f t="shared" si="9"/>
        <v/>
      </c>
    </row>
    <row r="50" spans="1:13" x14ac:dyDescent="0.2">
      <c r="A50">
        <f>Final_Dataset!A21</f>
        <v>20</v>
      </c>
      <c r="B50" s="53">
        <f>Final_Dataset!B21</f>
        <v>40544</v>
      </c>
      <c r="C50">
        <f>Final_Dataset!F21</f>
        <v>19</v>
      </c>
      <c r="D50" t="str">
        <f>Final_Dataset!T21</f>
        <v>Sat</v>
      </c>
      <c r="E50" t="str">
        <f>Final_Dataset!X21</f>
        <v>Light Rain/Snow</v>
      </c>
      <c r="F50">
        <f>Final_Dataset!J21</f>
        <v>0.42</v>
      </c>
      <c r="G50">
        <f>Final_Dataset!L21</f>
        <v>0.88</v>
      </c>
      <c r="H50">
        <f>Final_Dataset!M21</f>
        <v>0.25369999999999998</v>
      </c>
      <c r="I50">
        <f>Final_Dataset!P21</f>
        <v>37</v>
      </c>
      <c r="J50" s="54">
        <f t="shared" si="6"/>
        <v>85.139534883720927</v>
      </c>
      <c r="K50" s="54">
        <f t="shared" si="7"/>
        <v>31.690904054294759</v>
      </c>
      <c r="L50" s="55">
        <f t="shared" si="8"/>
        <v>-1.5190331838197291</v>
      </c>
      <c r="M50" t="str">
        <f t="shared" si="9"/>
        <v/>
      </c>
    </row>
    <row r="51" spans="1:13" x14ac:dyDescent="0.2">
      <c r="A51">
        <f>Final_Dataset!A22</f>
        <v>21</v>
      </c>
      <c r="B51" s="53">
        <f>Final_Dataset!B22</f>
        <v>40544</v>
      </c>
      <c r="C51">
        <f>Final_Dataset!F22</f>
        <v>20</v>
      </c>
      <c r="D51" t="str">
        <f>Final_Dataset!T22</f>
        <v>Sat</v>
      </c>
      <c r="E51" t="str">
        <f>Final_Dataset!X22</f>
        <v>Cloudy/Mist</v>
      </c>
      <c r="F51">
        <f>Final_Dataset!J22</f>
        <v>0.4</v>
      </c>
      <c r="G51">
        <f>Final_Dataset!L22</f>
        <v>0.87</v>
      </c>
      <c r="H51">
        <f>Final_Dataset!M22</f>
        <v>0.25369999999999998</v>
      </c>
      <c r="I51">
        <f>Final_Dataset!P22</f>
        <v>36</v>
      </c>
      <c r="J51" s="54">
        <f t="shared" si="6"/>
        <v>61.767441860465119</v>
      </c>
      <c r="K51" s="54">
        <f t="shared" si="7"/>
        <v>24.6323801696856</v>
      </c>
      <c r="L51" s="55">
        <f t="shared" si="8"/>
        <v>-1.0460800654650666</v>
      </c>
      <c r="M51" t="str">
        <f t="shared" si="9"/>
        <v/>
      </c>
    </row>
    <row r="52" spans="1:13" x14ac:dyDescent="0.2">
      <c r="A52">
        <f>Final_Dataset!A23</f>
        <v>22</v>
      </c>
      <c r="B52" s="53">
        <f>Final_Dataset!B23</f>
        <v>40544</v>
      </c>
      <c r="C52">
        <f>Final_Dataset!F23</f>
        <v>21</v>
      </c>
      <c r="D52" t="str">
        <f>Final_Dataset!T23</f>
        <v>Sat</v>
      </c>
      <c r="E52" t="str">
        <f>Final_Dataset!X23</f>
        <v>Cloudy/Mist</v>
      </c>
      <c r="F52">
        <f>Final_Dataset!J23</f>
        <v>0.4</v>
      </c>
      <c r="G52">
        <f>Final_Dataset!L23</f>
        <v>0.87</v>
      </c>
      <c r="H52">
        <f>Final_Dataset!M23</f>
        <v>0.19400000000000001</v>
      </c>
      <c r="I52">
        <f>Final_Dataset!P23</f>
        <v>34</v>
      </c>
      <c r="J52" s="54">
        <f t="shared" si="6"/>
        <v>46.418604651162788</v>
      </c>
      <c r="K52" s="54">
        <f t="shared" si="7"/>
        <v>14.656759464719499</v>
      </c>
      <c r="L52" s="55">
        <f t="shared" si="8"/>
        <v>-0.84729538483972489</v>
      </c>
      <c r="M52" t="str">
        <f t="shared" si="9"/>
        <v/>
      </c>
    </row>
    <row r="53" spans="1:13" x14ac:dyDescent="0.2">
      <c r="A53">
        <f>Final_Dataset!A24</f>
        <v>23</v>
      </c>
      <c r="B53" s="53">
        <f>Final_Dataset!B24</f>
        <v>40544</v>
      </c>
      <c r="C53">
        <f>Final_Dataset!F24</f>
        <v>22</v>
      </c>
      <c r="D53" t="str">
        <f>Final_Dataset!T24</f>
        <v>Sat</v>
      </c>
      <c r="E53" t="str">
        <f>Final_Dataset!X24</f>
        <v>Cloudy/Mist</v>
      </c>
      <c r="F53">
        <f>Final_Dataset!J24</f>
        <v>0.4</v>
      </c>
      <c r="G53">
        <f>Final_Dataset!L24</f>
        <v>0.94</v>
      </c>
      <c r="H53">
        <f>Final_Dataset!M24</f>
        <v>0.22389999999999999</v>
      </c>
      <c r="I53">
        <f>Final_Dataset!P24</f>
        <v>28</v>
      </c>
      <c r="J53" s="54">
        <f t="shared" si="6"/>
        <v>35.069767441860463</v>
      </c>
      <c r="K53" s="54">
        <f t="shared" si="7"/>
        <v>11.95506537162667</v>
      </c>
      <c r="L53" s="55">
        <f t="shared" si="8"/>
        <v>-0.59136167156721398</v>
      </c>
      <c r="M53" t="str">
        <f t="shared" si="9"/>
        <v/>
      </c>
    </row>
    <row r="54" spans="1:13" x14ac:dyDescent="0.2">
      <c r="A54">
        <f>Final_Dataset!A25</f>
        <v>24</v>
      </c>
      <c r="B54" s="53">
        <f>Final_Dataset!B25</f>
        <v>40544</v>
      </c>
      <c r="C54">
        <f>Final_Dataset!F25</f>
        <v>23</v>
      </c>
      <c r="D54" t="str">
        <f>Final_Dataset!T25</f>
        <v>Sat</v>
      </c>
      <c r="E54" t="str">
        <f>Final_Dataset!X25</f>
        <v>Cloudy/Mist</v>
      </c>
      <c r="F54">
        <f>Final_Dataset!J25</f>
        <v>0.46</v>
      </c>
      <c r="G54">
        <f>Final_Dataset!L25</f>
        <v>0.88</v>
      </c>
      <c r="H54">
        <f>Final_Dataset!M25</f>
        <v>0.29849999999999999</v>
      </c>
      <c r="I54">
        <f>Final_Dataset!P25</f>
        <v>39</v>
      </c>
      <c r="J54" s="54">
        <f t="shared" si="6"/>
        <v>25.186046511627907</v>
      </c>
      <c r="K54" s="54">
        <f t="shared" si="7"/>
        <v>11.751911321656186</v>
      </c>
      <c r="L54" s="55">
        <f t="shared" si="8"/>
        <v>1.1754644083227566</v>
      </c>
      <c r="M54" t="str">
        <f t="shared" si="9"/>
        <v/>
      </c>
    </row>
    <row r="55" spans="1:13" x14ac:dyDescent="0.2">
      <c r="A55">
        <f>Final_Dataset!A26</f>
        <v>25</v>
      </c>
      <c r="B55" s="53">
        <f>Final_Dataset!B26</f>
        <v>40545</v>
      </c>
      <c r="C55">
        <f>Final_Dataset!F26</f>
        <v>0</v>
      </c>
      <c r="D55" t="str">
        <f>Final_Dataset!T26</f>
        <v>Sun</v>
      </c>
      <c r="E55" t="str">
        <f>Final_Dataset!X26</f>
        <v>Cloudy/Mist</v>
      </c>
      <c r="F55">
        <f>Final_Dataset!J26</f>
        <v>0.46</v>
      </c>
      <c r="G55">
        <f>Final_Dataset!L26</f>
        <v>0.88</v>
      </c>
      <c r="H55">
        <f>Final_Dataset!M26</f>
        <v>0.29849999999999999</v>
      </c>
      <c r="I55">
        <f>Final_Dataset!P26</f>
        <v>17</v>
      </c>
      <c r="J55" s="54">
        <f t="shared" si="6"/>
        <v>16.348837209302324</v>
      </c>
      <c r="K55" s="54">
        <f t="shared" si="7"/>
        <v>10.442321674276208</v>
      </c>
      <c r="L55" s="55">
        <f t="shared" si="8"/>
        <v>6.2358047473461867E-2</v>
      </c>
      <c r="M55" t="str">
        <f t="shared" si="9"/>
        <v/>
      </c>
    </row>
    <row r="56" spans="1:13" x14ac:dyDescent="0.2">
      <c r="A56">
        <f>Final_Dataset!A27</f>
        <v>26</v>
      </c>
      <c r="B56" s="53">
        <f>Final_Dataset!B27</f>
        <v>40545</v>
      </c>
      <c r="C56">
        <f>Final_Dataset!F27</f>
        <v>1</v>
      </c>
      <c r="D56" t="str">
        <f>Final_Dataset!T27</f>
        <v>Sun</v>
      </c>
      <c r="E56" t="str">
        <f>Final_Dataset!X27</f>
        <v>Cloudy/Mist</v>
      </c>
      <c r="F56">
        <f>Final_Dataset!J27</f>
        <v>0.44</v>
      </c>
      <c r="G56">
        <f>Final_Dataset!L27</f>
        <v>0.94</v>
      </c>
      <c r="H56">
        <f>Final_Dataset!M27</f>
        <v>0.25369999999999998</v>
      </c>
      <c r="I56">
        <f>Final_Dataset!P27</f>
        <v>17</v>
      </c>
      <c r="J56" s="54">
        <f t="shared" si="6"/>
        <v>10.697674418604651</v>
      </c>
      <c r="K56" s="54">
        <f t="shared" si="7"/>
        <v>10.060613641515801</v>
      </c>
      <c r="L56" s="55">
        <f t="shared" si="8"/>
        <v>0.62643550442970775</v>
      </c>
      <c r="M56" t="str">
        <f t="shared" si="9"/>
        <v/>
      </c>
    </row>
    <row r="57" spans="1:13" x14ac:dyDescent="0.2">
      <c r="A57">
        <f>Final_Dataset!A28</f>
        <v>27</v>
      </c>
      <c r="B57" s="53">
        <f>Final_Dataset!B28</f>
        <v>40545</v>
      </c>
      <c r="C57">
        <f>Final_Dataset!F28</f>
        <v>2</v>
      </c>
      <c r="D57" t="str">
        <f>Final_Dataset!T28</f>
        <v>Sun</v>
      </c>
      <c r="E57" t="str">
        <f>Final_Dataset!X28</f>
        <v>Cloudy/Mist</v>
      </c>
      <c r="F57">
        <f>Final_Dataset!J28</f>
        <v>0.42</v>
      </c>
      <c r="G57">
        <f>Final_Dataset!L28</f>
        <v>1</v>
      </c>
      <c r="H57">
        <f>Final_Dataset!M28</f>
        <v>0.28360000000000002</v>
      </c>
      <c r="I57">
        <f>Final_Dataset!P28</f>
        <v>9</v>
      </c>
      <c r="J57" s="54">
        <f t="shared" si="6"/>
        <v>7.1707317073170733</v>
      </c>
      <c r="K57" s="54">
        <f t="shared" si="7"/>
        <v>7.3685223723090862</v>
      </c>
      <c r="L57" s="55">
        <f t="shared" si="8"/>
        <v>0.24825442609190121</v>
      </c>
      <c r="M57" t="str">
        <f t="shared" si="9"/>
        <v/>
      </c>
    </row>
    <row r="58" spans="1:13" x14ac:dyDescent="0.2">
      <c r="A58">
        <f>Final_Dataset!A29</f>
        <v>28</v>
      </c>
      <c r="B58" s="53">
        <f>Final_Dataset!B29</f>
        <v>40545</v>
      </c>
      <c r="C58">
        <f>Final_Dataset!F29</f>
        <v>3</v>
      </c>
      <c r="D58" t="str">
        <f>Final_Dataset!T29</f>
        <v>Sun</v>
      </c>
      <c r="E58" t="str">
        <f>Final_Dataset!X29</f>
        <v>Cloudy/Mist</v>
      </c>
      <c r="F58">
        <f>Final_Dataset!J29</f>
        <v>0.46</v>
      </c>
      <c r="G58">
        <f>Final_Dataset!L29</f>
        <v>0.94</v>
      </c>
      <c r="H58">
        <f>Final_Dataset!M29</f>
        <v>0.19400000000000001</v>
      </c>
      <c r="I58">
        <f>Final_Dataset!P29</f>
        <v>6</v>
      </c>
      <c r="J58" s="54">
        <f t="shared" si="6"/>
        <v>4.870967741935484</v>
      </c>
      <c r="K58" s="54">
        <f t="shared" si="7"/>
        <v>4.4702120418303126</v>
      </c>
      <c r="L58" s="55">
        <f t="shared" si="8"/>
        <v>0.25256794252700321</v>
      </c>
      <c r="M58" t="str">
        <f t="shared" si="9"/>
        <v/>
      </c>
    </row>
    <row r="59" spans="1:13" x14ac:dyDescent="0.2">
      <c r="A59">
        <f>Final_Dataset!A30</f>
        <v>29</v>
      </c>
      <c r="B59" s="53">
        <f>Final_Dataset!B30</f>
        <v>40545</v>
      </c>
      <c r="C59">
        <f>Final_Dataset!F30</f>
        <v>4</v>
      </c>
      <c r="D59" t="str">
        <f>Final_Dataset!T30</f>
        <v>Sun</v>
      </c>
      <c r="E59" t="str">
        <f>Final_Dataset!X30</f>
        <v>Cloudy/Mist</v>
      </c>
      <c r="F59">
        <f>Final_Dataset!J30</f>
        <v>0.46</v>
      </c>
      <c r="G59">
        <f>Final_Dataset!L30</f>
        <v>0.94</v>
      </c>
      <c r="H59">
        <f>Final_Dataset!M30</f>
        <v>0.19400000000000001</v>
      </c>
      <c r="I59">
        <f>Final_Dataset!P30</f>
        <v>3</v>
      </c>
      <c r="J59" s="54">
        <f t="shared" si="6"/>
        <v>2.15625</v>
      </c>
      <c r="K59" s="54">
        <f t="shared" si="7"/>
        <v>1.5263148747143209</v>
      </c>
      <c r="L59" s="55">
        <f t="shared" si="8"/>
        <v>0.55280205544607819</v>
      </c>
      <c r="M59" t="str">
        <f t="shared" si="9"/>
        <v/>
      </c>
    </row>
    <row r="60" spans="1:13" x14ac:dyDescent="0.2">
      <c r="A60">
        <f>Final_Dataset!A31</f>
        <v>30</v>
      </c>
      <c r="B60" s="53">
        <f>Final_Dataset!B31</f>
        <v>40545</v>
      </c>
      <c r="C60">
        <f>Final_Dataset!F31</f>
        <v>6</v>
      </c>
      <c r="D60" t="str">
        <f>Final_Dataset!T31</f>
        <v>Sun</v>
      </c>
      <c r="E60" t="str">
        <f>Final_Dataset!X31</f>
        <v>Light Rain/Snow</v>
      </c>
      <c r="F60">
        <f>Final_Dataset!J31</f>
        <v>0.42</v>
      </c>
      <c r="G60">
        <f>Final_Dataset!L31</f>
        <v>0.77</v>
      </c>
      <c r="H60">
        <f>Final_Dataset!M31</f>
        <v>0.29849999999999999</v>
      </c>
      <c r="I60">
        <f>Final_Dataset!P31</f>
        <v>2</v>
      </c>
      <c r="J60" s="54">
        <f t="shared" si="6"/>
        <v>19.571428571428573</v>
      </c>
      <c r="K60" s="54">
        <f t="shared" si="7"/>
        <v>14.202615453298934</v>
      </c>
      <c r="L60" s="55">
        <f t="shared" si="8"/>
        <v>-1.2371966719233494</v>
      </c>
      <c r="M60" t="str">
        <f t="shared" si="9"/>
        <v/>
      </c>
    </row>
    <row r="61" spans="1:13" x14ac:dyDescent="0.2">
      <c r="A61">
        <f>Final_Dataset!A32</f>
        <v>31</v>
      </c>
      <c r="B61" s="53">
        <f>Final_Dataset!B32</f>
        <v>40545</v>
      </c>
      <c r="C61">
        <f>Final_Dataset!F32</f>
        <v>7</v>
      </c>
      <c r="D61" t="str">
        <f>Final_Dataset!T32</f>
        <v>Sun</v>
      </c>
      <c r="E61" t="str">
        <f>Final_Dataset!X32</f>
        <v>Cloudy/Mist</v>
      </c>
      <c r="F61">
        <f>Final_Dataset!J32</f>
        <v>0.4</v>
      </c>
      <c r="G61">
        <f>Final_Dataset!L32</f>
        <v>0.76</v>
      </c>
      <c r="H61">
        <f>Final_Dataset!M32</f>
        <v>0.19400000000000001</v>
      </c>
      <c r="I61">
        <f>Final_Dataset!P32</f>
        <v>1</v>
      </c>
      <c r="J61" s="54">
        <f t="shared" si="6"/>
        <v>54.395348837209305</v>
      </c>
      <c r="K61" s="54">
        <f t="shared" si="7"/>
        <v>39.112864486352777</v>
      </c>
      <c r="L61" s="55">
        <f t="shared" si="8"/>
        <v>-1.3651607863146908</v>
      </c>
      <c r="M61" t="str">
        <f t="shared" si="9"/>
        <v/>
      </c>
    </row>
    <row r="62" spans="1:13" x14ac:dyDescent="0.2">
      <c r="A62">
        <f>Final_Dataset!A33</f>
        <v>32</v>
      </c>
      <c r="B62" s="53">
        <f>Final_Dataset!B33</f>
        <v>40545</v>
      </c>
      <c r="C62">
        <f>Final_Dataset!F33</f>
        <v>8</v>
      </c>
      <c r="D62" t="str">
        <f>Final_Dataset!T33</f>
        <v>Sun</v>
      </c>
      <c r="E62" t="str">
        <f>Final_Dataset!X33</f>
        <v>Light Rain/Snow</v>
      </c>
      <c r="F62">
        <f>Final_Dataset!J33</f>
        <v>0.4</v>
      </c>
      <c r="G62">
        <f>Final_Dataset!L33</f>
        <v>0.71</v>
      </c>
      <c r="H62">
        <f>Final_Dataset!M33</f>
        <v>0.22389999999999999</v>
      </c>
      <c r="I62">
        <f>Final_Dataset!P33</f>
        <v>8</v>
      </c>
      <c r="J62" s="54">
        <f t="shared" si="6"/>
        <v>128.28571428571428</v>
      </c>
      <c r="K62" s="54">
        <f t="shared" si="7"/>
        <v>88.551565717048533</v>
      </c>
      <c r="L62" s="55">
        <f t="shared" si="8"/>
        <v>-1.3583691413211916</v>
      </c>
      <c r="M62" t="str">
        <f t="shared" si="9"/>
        <v/>
      </c>
    </row>
    <row r="63" spans="1:13" x14ac:dyDescent="0.2">
      <c r="A63">
        <f>Final_Dataset!A34</f>
        <v>33</v>
      </c>
      <c r="B63" s="53">
        <f>Final_Dataset!B34</f>
        <v>40545</v>
      </c>
      <c r="C63">
        <f>Final_Dataset!F34</f>
        <v>9</v>
      </c>
      <c r="D63" t="str">
        <f>Final_Dataset!T34</f>
        <v>Sun</v>
      </c>
      <c r="E63" t="str">
        <f>Final_Dataset!X34</f>
        <v>Cloudy/Mist</v>
      </c>
      <c r="F63">
        <f>Final_Dataset!J34</f>
        <v>0.38</v>
      </c>
      <c r="G63">
        <f>Final_Dataset!L34</f>
        <v>0.76</v>
      </c>
      <c r="H63">
        <f>Final_Dataset!M34</f>
        <v>0.22389999999999999</v>
      </c>
      <c r="I63">
        <f>Final_Dataset!P34</f>
        <v>20</v>
      </c>
      <c r="J63" s="54">
        <f t="shared" si="6"/>
        <v>87.428571428571431</v>
      </c>
      <c r="K63" s="54">
        <f t="shared" si="7"/>
        <v>45.93852884078624</v>
      </c>
      <c r="L63" s="55">
        <f t="shared" si="8"/>
        <v>-1.4677999737924865</v>
      </c>
      <c r="M63" t="str">
        <f t="shared" si="9"/>
        <v/>
      </c>
    </row>
    <row r="64" spans="1:13" x14ac:dyDescent="0.2">
      <c r="A64">
        <f>Final_Dataset!A35</f>
        <v>34</v>
      </c>
      <c r="B64" s="53">
        <f>Final_Dataset!B35</f>
        <v>40545</v>
      </c>
      <c r="C64">
        <f>Final_Dataset!F35</f>
        <v>10</v>
      </c>
      <c r="D64" t="str">
        <f>Final_Dataset!T35</f>
        <v>Sun</v>
      </c>
      <c r="E64" t="str">
        <f>Final_Dataset!X35</f>
        <v>Cloudy/Mist</v>
      </c>
      <c r="F64">
        <f>Final_Dataset!J35</f>
        <v>0.36</v>
      </c>
      <c r="G64">
        <f>Final_Dataset!L35</f>
        <v>0.81</v>
      </c>
      <c r="H64">
        <f>Final_Dataset!M35</f>
        <v>0.22389999999999999</v>
      </c>
      <c r="I64">
        <f>Final_Dataset!P35</f>
        <v>53</v>
      </c>
      <c r="J64" s="54">
        <f t="shared" si="6"/>
        <v>53.642857142857146</v>
      </c>
      <c r="K64" s="54">
        <f t="shared" si="7"/>
        <v>15.395313554536934</v>
      </c>
      <c r="L64" s="55">
        <f t="shared" si="8"/>
        <v>-4.1756677483694292E-2</v>
      </c>
      <c r="M64" t="str">
        <f t="shared" si="9"/>
        <v/>
      </c>
    </row>
    <row r="65" spans="1:13" x14ac:dyDescent="0.2">
      <c r="A65">
        <f>Final_Dataset!A36</f>
        <v>35</v>
      </c>
      <c r="B65" s="53">
        <f>Final_Dataset!B36</f>
        <v>40545</v>
      </c>
      <c r="C65">
        <f>Final_Dataset!F36</f>
        <v>11</v>
      </c>
      <c r="D65" t="str">
        <f>Final_Dataset!T36</f>
        <v>Sun</v>
      </c>
      <c r="E65" t="str">
        <f>Final_Dataset!X36</f>
        <v>Cloudy/Mist</v>
      </c>
      <c r="F65">
        <f>Final_Dataset!J36</f>
        <v>0.36</v>
      </c>
      <c r="G65">
        <f>Final_Dataset!L36</f>
        <v>0.71</v>
      </c>
      <c r="H65">
        <f>Final_Dataset!M36</f>
        <v>0.25369999999999998</v>
      </c>
      <c r="I65">
        <f>Final_Dataset!P36</f>
        <v>70</v>
      </c>
      <c r="J65" s="54">
        <f t="shared" si="6"/>
        <v>59.38095238095238</v>
      </c>
      <c r="K65" s="54">
        <f t="shared" si="7"/>
        <v>20.89573696860419</v>
      </c>
      <c r="L65" s="55">
        <f t="shared" si="8"/>
        <v>0.50819206017967788</v>
      </c>
      <c r="M65" t="str">
        <f t="shared" si="9"/>
        <v/>
      </c>
    </row>
    <row r="66" spans="1:13" x14ac:dyDescent="0.2">
      <c r="A66">
        <f>Final_Dataset!A37</f>
        <v>36</v>
      </c>
      <c r="B66" s="53">
        <f>Final_Dataset!B37</f>
        <v>40545</v>
      </c>
      <c r="C66">
        <f>Final_Dataset!F37</f>
        <v>12</v>
      </c>
      <c r="D66" t="str">
        <f>Final_Dataset!T37</f>
        <v>Sun</v>
      </c>
      <c r="E66" t="str">
        <f>Final_Dataset!X37</f>
        <v>Cloudy/Mist</v>
      </c>
      <c r="F66">
        <f>Final_Dataset!J37</f>
        <v>0.36</v>
      </c>
      <c r="G66">
        <f>Final_Dataset!L37</f>
        <v>0.66</v>
      </c>
      <c r="H66">
        <f>Final_Dataset!M37</f>
        <v>0.29849999999999999</v>
      </c>
      <c r="I66">
        <f>Final_Dataset!P37</f>
        <v>93</v>
      </c>
      <c r="J66" s="54">
        <f t="shared" si="6"/>
        <v>76.348837209302332</v>
      </c>
      <c r="K66" s="54">
        <f t="shared" si="7"/>
        <v>29.034366927857057</v>
      </c>
      <c r="L66" s="55">
        <f t="shared" si="8"/>
        <v>0.57349839354415855</v>
      </c>
      <c r="M66" t="str">
        <f t="shared" si="9"/>
        <v/>
      </c>
    </row>
    <row r="67" spans="1:13" x14ac:dyDescent="0.2">
      <c r="A67">
        <f>Final_Dataset!A38</f>
        <v>37</v>
      </c>
      <c r="B67" s="53">
        <f>Final_Dataset!B38</f>
        <v>40545</v>
      </c>
      <c r="C67">
        <f>Final_Dataset!F38</f>
        <v>13</v>
      </c>
      <c r="D67" t="str">
        <f>Final_Dataset!T38</f>
        <v>Sun</v>
      </c>
      <c r="E67" t="str">
        <f>Final_Dataset!X38</f>
        <v>Cloudy/Mist</v>
      </c>
      <c r="F67">
        <f>Final_Dataset!J38</f>
        <v>0.36</v>
      </c>
      <c r="G67">
        <f>Final_Dataset!L38</f>
        <v>0.66</v>
      </c>
      <c r="H67">
        <f>Final_Dataset!M38</f>
        <v>0.1343</v>
      </c>
      <c r="I67">
        <f>Final_Dataset!P38</f>
        <v>75</v>
      </c>
      <c r="J67" s="54">
        <f t="shared" si="6"/>
        <v>78.511627906976742</v>
      </c>
      <c r="K67" s="54">
        <f t="shared" si="7"/>
        <v>30.072430098825173</v>
      </c>
      <c r="L67" s="55">
        <f t="shared" si="8"/>
        <v>-0.11677233583839734</v>
      </c>
      <c r="M67" t="str">
        <f t="shared" si="9"/>
        <v/>
      </c>
    </row>
    <row r="68" spans="1:13" x14ac:dyDescent="0.2">
      <c r="A68">
        <f>Final_Dataset!A39</f>
        <v>38</v>
      </c>
      <c r="B68" s="53">
        <f>Final_Dataset!B39</f>
        <v>40545</v>
      </c>
      <c r="C68">
        <f>Final_Dataset!F39</f>
        <v>14</v>
      </c>
      <c r="D68" t="str">
        <f>Final_Dataset!T39</f>
        <v>Sun</v>
      </c>
      <c r="E68" t="str">
        <f>Final_Dataset!X39</f>
        <v>Light Rain/Snow</v>
      </c>
      <c r="F68">
        <f>Final_Dataset!J39</f>
        <v>0.36</v>
      </c>
      <c r="G68">
        <f>Final_Dataset!L39</f>
        <v>0.76</v>
      </c>
      <c r="H68">
        <f>Final_Dataset!M39</f>
        <v>0.19400000000000001</v>
      </c>
      <c r="I68">
        <f>Final_Dataset!P39</f>
        <v>59</v>
      </c>
      <c r="J68" s="54">
        <f t="shared" si="6"/>
        <v>74.418604651162795</v>
      </c>
      <c r="K68" s="54">
        <f t="shared" si="7"/>
        <v>30.305769180565147</v>
      </c>
      <c r="L68" s="55">
        <f t="shared" si="8"/>
        <v>-0.50876796953401948</v>
      </c>
      <c r="M68" t="str">
        <f t="shared" si="9"/>
        <v/>
      </c>
    </row>
    <row r="69" spans="1:13" x14ac:dyDescent="0.2">
      <c r="A69">
        <f>Final_Dataset!A40</f>
        <v>39</v>
      </c>
      <c r="B69" s="53">
        <f>Final_Dataset!B40</f>
        <v>40545</v>
      </c>
      <c r="C69">
        <f>Final_Dataset!F40</f>
        <v>15</v>
      </c>
      <c r="D69" t="str">
        <f>Final_Dataset!T40</f>
        <v>Sun</v>
      </c>
      <c r="E69" t="str">
        <f>Final_Dataset!X40</f>
        <v>Light Rain/Snow</v>
      </c>
      <c r="F69">
        <f>Final_Dataset!J40</f>
        <v>0.34</v>
      </c>
      <c r="G69">
        <f>Final_Dataset!L40</f>
        <v>0.81</v>
      </c>
      <c r="H69">
        <f>Final_Dataset!M40</f>
        <v>0.16420000000000001</v>
      </c>
      <c r="I69">
        <f>Final_Dataset!P40</f>
        <v>74</v>
      </c>
      <c r="J69" s="54">
        <f t="shared" si="6"/>
        <v>77.95348837209302</v>
      </c>
      <c r="K69" s="54">
        <f t="shared" si="7"/>
        <v>34.481156681772681</v>
      </c>
      <c r="L69" s="55">
        <f t="shared" si="8"/>
        <v>-0.11465648929877402</v>
      </c>
      <c r="M69" t="str">
        <f t="shared" si="9"/>
        <v/>
      </c>
    </row>
    <row r="70" spans="1:13" x14ac:dyDescent="0.2">
      <c r="A70">
        <f>Final_Dataset!A41</f>
        <v>40</v>
      </c>
      <c r="B70" s="53">
        <f>Final_Dataset!B41</f>
        <v>40545</v>
      </c>
      <c r="C70">
        <f>Final_Dataset!F41</f>
        <v>16</v>
      </c>
      <c r="D70" t="str">
        <f>Final_Dataset!T41</f>
        <v>Sun</v>
      </c>
      <c r="E70" t="str">
        <f>Final_Dataset!X41</f>
        <v>Light Rain/Snow</v>
      </c>
      <c r="F70">
        <f>Final_Dataset!J41</f>
        <v>0.34</v>
      </c>
      <c r="G70">
        <f>Final_Dataset!L41</f>
        <v>0.71</v>
      </c>
      <c r="H70">
        <f>Final_Dataset!M41</f>
        <v>0.16420000000000001</v>
      </c>
      <c r="I70">
        <f>Final_Dataset!P41</f>
        <v>76</v>
      </c>
      <c r="J70" s="54">
        <f t="shared" si="6"/>
        <v>89.272727272727266</v>
      </c>
      <c r="K70" s="54">
        <f t="shared" si="7"/>
        <v>25.461657115880747</v>
      </c>
      <c r="L70" s="55">
        <f t="shared" si="8"/>
        <v>-0.52128293191289987</v>
      </c>
      <c r="M70" t="str">
        <f t="shared" si="9"/>
        <v/>
      </c>
    </row>
    <row r="71" spans="1:13" x14ac:dyDescent="0.2">
      <c r="A71">
        <f>Final_Dataset!A42</f>
        <v>41</v>
      </c>
      <c r="B71" s="53">
        <f>Final_Dataset!B42</f>
        <v>40545</v>
      </c>
      <c r="C71">
        <f>Final_Dataset!F42</f>
        <v>17</v>
      </c>
      <c r="D71" t="str">
        <f>Final_Dataset!T42</f>
        <v>Sun</v>
      </c>
      <c r="E71" t="str">
        <f>Final_Dataset!X42</f>
        <v>Clear</v>
      </c>
      <c r="F71">
        <f>Final_Dataset!J42</f>
        <v>0.34</v>
      </c>
      <c r="G71">
        <f>Final_Dataset!L42</f>
        <v>0.56999999999999995</v>
      </c>
      <c r="H71">
        <f>Final_Dataset!M42</f>
        <v>0.19400000000000001</v>
      </c>
      <c r="I71">
        <f>Final_Dataset!P42</f>
        <v>65</v>
      </c>
      <c r="J71" s="54">
        <f t="shared" si="6"/>
        <v>140.20454545454547</v>
      </c>
      <c r="K71" s="54">
        <f t="shared" si="7"/>
        <v>54.067391000084569</v>
      </c>
      <c r="L71" s="55">
        <f t="shared" si="8"/>
        <v>-1.3909408991905645</v>
      </c>
      <c r="M71" t="str">
        <f t="shared" si="9"/>
        <v/>
      </c>
    </row>
    <row r="72" spans="1:13" x14ac:dyDescent="0.2">
      <c r="A72">
        <f>Final_Dataset!A43</f>
        <v>42</v>
      </c>
      <c r="B72" s="53">
        <f>Final_Dataset!B43</f>
        <v>40545</v>
      </c>
      <c r="C72">
        <f>Final_Dataset!F43</f>
        <v>18</v>
      </c>
      <c r="D72" t="str">
        <f>Final_Dataset!T43</f>
        <v>Sun</v>
      </c>
      <c r="E72" t="str">
        <f>Final_Dataset!X43</f>
        <v>Cloudy/Mist</v>
      </c>
      <c r="F72">
        <f>Final_Dataset!J43</f>
        <v>0.36</v>
      </c>
      <c r="G72">
        <f>Final_Dataset!L43</f>
        <v>0.46</v>
      </c>
      <c r="H72">
        <f>Final_Dataset!M43</f>
        <v>0.32840000000000003</v>
      </c>
      <c r="I72">
        <f>Final_Dataset!P43</f>
        <v>53</v>
      </c>
      <c r="J72" s="54">
        <f t="shared" si="6"/>
        <v>122.86046511627907</v>
      </c>
      <c r="K72" s="54">
        <f t="shared" si="7"/>
        <v>48.613432101949947</v>
      </c>
      <c r="L72" s="55">
        <f t="shared" si="8"/>
        <v>-1.4370609540542372</v>
      </c>
      <c r="M72" t="str">
        <f t="shared" si="9"/>
        <v/>
      </c>
    </row>
    <row r="73" spans="1:13" x14ac:dyDescent="0.2">
      <c r="A73">
        <f>Final_Dataset!A44</f>
        <v>43</v>
      </c>
      <c r="B73" s="53">
        <f>Final_Dataset!B44</f>
        <v>40545</v>
      </c>
      <c r="C73">
        <f>Final_Dataset!F44</f>
        <v>19</v>
      </c>
      <c r="D73" t="str">
        <f>Final_Dataset!T44</f>
        <v>Sun</v>
      </c>
      <c r="E73" t="str">
        <f>Final_Dataset!X44</f>
        <v>Clear</v>
      </c>
      <c r="F73">
        <f>Final_Dataset!J44</f>
        <v>0.32</v>
      </c>
      <c r="G73">
        <f>Final_Dataset!L44</f>
        <v>0.42</v>
      </c>
      <c r="H73">
        <f>Final_Dataset!M44</f>
        <v>0.44779999999999998</v>
      </c>
      <c r="I73">
        <f>Final_Dataset!P44</f>
        <v>30</v>
      </c>
      <c r="J73" s="54">
        <f t="shared" si="6"/>
        <v>85.139534883720927</v>
      </c>
      <c r="K73" s="54">
        <f t="shared" si="7"/>
        <v>31.690904054294759</v>
      </c>
      <c r="L73" s="55">
        <f t="shared" si="8"/>
        <v>-1.7399167530611486</v>
      </c>
      <c r="M73" t="str">
        <f t="shared" si="9"/>
        <v/>
      </c>
    </row>
    <row r="74" spans="1:13" x14ac:dyDescent="0.2">
      <c r="A74">
        <f>Final_Dataset!A45</f>
        <v>44</v>
      </c>
      <c r="B74" s="53">
        <f>Final_Dataset!B45</f>
        <v>40545</v>
      </c>
      <c r="C74">
        <f>Final_Dataset!F45</f>
        <v>20</v>
      </c>
      <c r="D74" t="str">
        <f>Final_Dataset!T45</f>
        <v>Sun</v>
      </c>
      <c r="E74" t="str">
        <f>Final_Dataset!X45</f>
        <v>Clear</v>
      </c>
      <c r="F74">
        <f>Final_Dataset!J45</f>
        <v>0.3</v>
      </c>
      <c r="G74">
        <f>Final_Dataset!L45</f>
        <v>0.39</v>
      </c>
      <c r="H74">
        <f>Final_Dataset!M45</f>
        <v>0.35820000000000002</v>
      </c>
      <c r="I74">
        <f>Final_Dataset!P45</f>
        <v>22</v>
      </c>
      <c r="J74" s="54">
        <f t="shared" si="6"/>
        <v>61.767441860465119</v>
      </c>
      <c r="K74" s="54">
        <f t="shared" si="7"/>
        <v>24.6323801696856</v>
      </c>
      <c r="L74" s="55">
        <f t="shared" si="8"/>
        <v>-1.6144376461599852</v>
      </c>
      <c r="M74" t="str">
        <f t="shared" si="9"/>
        <v/>
      </c>
    </row>
    <row r="75" spans="1:13" x14ac:dyDescent="0.2">
      <c r="A75">
        <f>Final_Dataset!A46</f>
        <v>45</v>
      </c>
      <c r="B75" s="53">
        <f>Final_Dataset!B46</f>
        <v>40545</v>
      </c>
      <c r="C75">
        <f>Final_Dataset!F46</f>
        <v>21</v>
      </c>
      <c r="D75" t="str">
        <f>Final_Dataset!T46</f>
        <v>Sun</v>
      </c>
      <c r="E75" t="str">
        <f>Final_Dataset!X46</f>
        <v>Clear</v>
      </c>
      <c r="F75">
        <f>Final_Dataset!J46</f>
        <v>0.26</v>
      </c>
      <c r="G75">
        <f>Final_Dataset!L46</f>
        <v>0.44</v>
      </c>
      <c r="H75">
        <f>Final_Dataset!M46</f>
        <v>0.32840000000000003</v>
      </c>
      <c r="I75">
        <f>Final_Dataset!P46</f>
        <v>31</v>
      </c>
      <c r="J75" s="54">
        <f t="shared" si="6"/>
        <v>46.418604651162788</v>
      </c>
      <c r="K75" s="54">
        <f t="shared" si="7"/>
        <v>14.656759464719499</v>
      </c>
      <c r="L75" s="55">
        <f t="shared" si="8"/>
        <v>-1.0519791014021302</v>
      </c>
      <c r="M75" t="str">
        <f t="shared" si="9"/>
        <v/>
      </c>
    </row>
    <row r="76" spans="1:13" x14ac:dyDescent="0.2">
      <c r="A76">
        <f>Final_Dataset!A47</f>
        <v>46</v>
      </c>
      <c r="B76" s="53">
        <f>Final_Dataset!B47</f>
        <v>40545</v>
      </c>
      <c r="C76">
        <f>Final_Dataset!F47</f>
        <v>22</v>
      </c>
      <c r="D76" t="str">
        <f>Final_Dataset!T47</f>
        <v>Sun</v>
      </c>
      <c r="E76" t="str">
        <f>Final_Dataset!X47</f>
        <v>Clear</v>
      </c>
      <c r="F76">
        <f>Final_Dataset!J47</f>
        <v>0.24</v>
      </c>
      <c r="G76">
        <f>Final_Dataset!L47</f>
        <v>0.44</v>
      </c>
      <c r="H76">
        <f>Final_Dataset!M47</f>
        <v>0.29849999999999999</v>
      </c>
      <c r="I76">
        <f>Final_Dataset!P47</f>
        <v>9</v>
      </c>
      <c r="J76" s="54">
        <f t="shared" si="6"/>
        <v>35.069767441860463</v>
      </c>
      <c r="K76" s="54">
        <f t="shared" si="7"/>
        <v>11.95506537162667</v>
      </c>
      <c r="L76" s="55">
        <f t="shared" si="8"/>
        <v>-2.1806461639041017</v>
      </c>
      <c r="M76" t="str">
        <f t="shared" si="9"/>
        <v/>
      </c>
    </row>
    <row r="77" spans="1:13" x14ac:dyDescent="0.2">
      <c r="A77">
        <f>Final_Dataset!A48</f>
        <v>47</v>
      </c>
      <c r="B77" s="53">
        <f>Final_Dataset!B48</f>
        <v>40545</v>
      </c>
      <c r="C77">
        <f>Final_Dataset!F48</f>
        <v>23</v>
      </c>
      <c r="D77" t="str">
        <f>Final_Dataset!T48</f>
        <v>Sun</v>
      </c>
      <c r="E77" t="str">
        <f>Final_Dataset!X48</f>
        <v>Clear</v>
      </c>
      <c r="F77">
        <f>Final_Dataset!J48</f>
        <v>0.22</v>
      </c>
      <c r="G77">
        <f>Final_Dataset!L48</f>
        <v>0.47</v>
      </c>
      <c r="H77">
        <f>Final_Dataset!M48</f>
        <v>0.16420000000000001</v>
      </c>
      <c r="I77">
        <f>Final_Dataset!P48</f>
        <v>8</v>
      </c>
      <c r="J77" s="54">
        <f t="shared" si="6"/>
        <v>25.186046511627907</v>
      </c>
      <c r="K77" s="54">
        <f t="shared" si="7"/>
        <v>11.751911321656186</v>
      </c>
      <c r="L77" s="55">
        <f t="shared" si="8"/>
        <v>-1.4624043733173688</v>
      </c>
      <c r="M77" t="str">
        <f t="shared" si="9"/>
        <v/>
      </c>
    </row>
    <row r="78" spans="1:13" x14ac:dyDescent="0.2">
      <c r="A78">
        <f>Final_Dataset!A49</f>
        <v>48</v>
      </c>
      <c r="B78" s="53">
        <f>Final_Dataset!B49</f>
        <v>40546</v>
      </c>
      <c r="C78">
        <f>Final_Dataset!F49</f>
        <v>0</v>
      </c>
      <c r="D78" t="str">
        <f>Final_Dataset!T49</f>
        <v>Mon</v>
      </c>
      <c r="E78" t="str">
        <f>Final_Dataset!X49</f>
        <v>Clear</v>
      </c>
      <c r="F78">
        <f>Final_Dataset!J49</f>
        <v>0.22</v>
      </c>
      <c r="G78">
        <f>Final_Dataset!L49</f>
        <v>0.44</v>
      </c>
      <c r="H78">
        <f>Final_Dataset!M49</f>
        <v>0.35820000000000002</v>
      </c>
      <c r="I78">
        <f>Final_Dataset!P49</f>
        <v>5</v>
      </c>
      <c r="J78" s="54">
        <f t="shared" si="6"/>
        <v>16.348837209302324</v>
      </c>
      <c r="K78" s="54">
        <f t="shared" si="7"/>
        <v>10.442321674276208</v>
      </c>
      <c r="L78" s="55">
        <f t="shared" si="8"/>
        <v>-1.0868116845374762</v>
      </c>
      <c r="M78" t="str">
        <f t="shared" si="9"/>
        <v/>
      </c>
    </row>
    <row r="79" spans="1:13" x14ac:dyDescent="0.2">
      <c r="A79">
        <f>Final_Dataset!A50</f>
        <v>49</v>
      </c>
      <c r="B79" s="53">
        <f>Final_Dataset!B50</f>
        <v>40546</v>
      </c>
      <c r="C79">
        <f>Final_Dataset!F50</f>
        <v>1</v>
      </c>
      <c r="D79" t="str">
        <f>Final_Dataset!T50</f>
        <v>Mon</v>
      </c>
      <c r="E79" t="str">
        <f>Final_Dataset!X50</f>
        <v>Clear</v>
      </c>
      <c r="F79">
        <f>Final_Dataset!J50</f>
        <v>0.2</v>
      </c>
      <c r="G79">
        <f>Final_Dataset!L50</f>
        <v>0.44</v>
      </c>
      <c r="H79">
        <f>Final_Dataset!M50</f>
        <v>0.41789999999999999</v>
      </c>
      <c r="I79">
        <f>Final_Dataset!P50</f>
        <v>2</v>
      </c>
      <c r="J79" s="54">
        <f t="shared" si="6"/>
        <v>10.697674418604651</v>
      </c>
      <c r="K79" s="54">
        <f t="shared" si="7"/>
        <v>10.060613641515801</v>
      </c>
      <c r="L79" s="55">
        <f t="shared" si="8"/>
        <v>-0.86452722751553746</v>
      </c>
      <c r="M79" t="str">
        <f t="shared" si="9"/>
        <v/>
      </c>
    </row>
    <row r="80" spans="1:13" x14ac:dyDescent="0.2">
      <c r="A80">
        <f>Final_Dataset!A51</f>
        <v>50</v>
      </c>
      <c r="B80" s="53">
        <f>Final_Dataset!B51</f>
        <v>40546</v>
      </c>
      <c r="C80">
        <f>Final_Dataset!F51</f>
        <v>4</v>
      </c>
      <c r="D80" t="str">
        <f>Final_Dataset!T51</f>
        <v>Mon</v>
      </c>
      <c r="E80" t="str">
        <f>Final_Dataset!X51</f>
        <v>Clear</v>
      </c>
      <c r="F80">
        <f>Final_Dataset!J51</f>
        <v>0.16</v>
      </c>
      <c r="G80">
        <f>Final_Dataset!L51</f>
        <v>0.47</v>
      </c>
      <c r="H80">
        <f>Final_Dataset!M51</f>
        <v>0.3881</v>
      </c>
      <c r="I80">
        <f>Final_Dataset!P51</f>
        <v>1</v>
      </c>
      <c r="J80" s="54">
        <f t="shared" si="6"/>
        <v>2.15625</v>
      </c>
      <c r="K80" s="54">
        <f t="shared" si="7"/>
        <v>1.5263148747143209</v>
      </c>
      <c r="L80" s="55">
        <f t="shared" si="8"/>
        <v>-0.75754355746314428</v>
      </c>
      <c r="M80" t="str">
        <f t="shared" si="9"/>
        <v/>
      </c>
    </row>
    <row r="81" spans="1:13" x14ac:dyDescent="0.2">
      <c r="A81">
        <f>Final_Dataset!A52</f>
        <v>51</v>
      </c>
      <c r="B81" s="53">
        <f>Final_Dataset!B52</f>
        <v>40546</v>
      </c>
      <c r="C81">
        <f>Final_Dataset!F52</f>
        <v>5</v>
      </c>
      <c r="D81" t="str">
        <f>Final_Dataset!T52</f>
        <v>Mon</v>
      </c>
      <c r="E81" t="str">
        <f>Final_Dataset!X52</f>
        <v>Clear</v>
      </c>
      <c r="F81">
        <f>Final_Dataset!J52</f>
        <v>0.16</v>
      </c>
      <c r="G81">
        <f>Final_Dataset!L52</f>
        <v>0.47</v>
      </c>
      <c r="H81">
        <f>Final_Dataset!M52</f>
        <v>0.28360000000000002</v>
      </c>
      <c r="I81">
        <f>Final_Dataset!P52</f>
        <v>3</v>
      </c>
      <c r="J81" s="54">
        <f t="shared" si="6"/>
        <v>4.2051282051282053</v>
      </c>
      <c r="K81" s="54">
        <f t="shared" si="7"/>
        <v>2.5358429220352288</v>
      </c>
      <c r="L81" s="55">
        <f t="shared" si="8"/>
        <v>-0.47523771865214265</v>
      </c>
      <c r="M81" t="str">
        <f t="shared" si="9"/>
        <v/>
      </c>
    </row>
    <row r="82" spans="1:13" x14ac:dyDescent="0.2">
      <c r="A82">
        <f>Final_Dataset!A53</f>
        <v>52</v>
      </c>
      <c r="B82" s="53">
        <f>Final_Dataset!B53</f>
        <v>40546</v>
      </c>
      <c r="C82">
        <f>Final_Dataset!F53</f>
        <v>6</v>
      </c>
      <c r="D82" t="str">
        <f>Final_Dataset!T53</f>
        <v>Mon</v>
      </c>
      <c r="E82" t="str">
        <f>Final_Dataset!X53</f>
        <v>Clear</v>
      </c>
      <c r="F82">
        <f>Final_Dataset!J53</f>
        <v>0.14000000000000001</v>
      </c>
      <c r="G82">
        <f>Final_Dataset!L53</f>
        <v>0.5</v>
      </c>
      <c r="H82">
        <f>Final_Dataset!M53</f>
        <v>0.3881</v>
      </c>
      <c r="I82">
        <f>Final_Dataset!P53</f>
        <v>30</v>
      </c>
      <c r="J82" s="54">
        <f t="shared" si="6"/>
        <v>19.571428571428573</v>
      </c>
      <c r="K82" s="54">
        <f t="shared" si="7"/>
        <v>14.202615453298934</v>
      </c>
      <c r="L82" s="55">
        <f t="shared" si="8"/>
        <v>0.7342711955317438</v>
      </c>
      <c r="M82" t="str">
        <f t="shared" si="9"/>
        <v/>
      </c>
    </row>
    <row r="83" spans="1:13" x14ac:dyDescent="0.2">
      <c r="A83">
        <f>Final_Dataset!A54</f>
        <v>53</v>
      </c>
      <c r="B83" s="53">
        <f>Final_Dataset!B54</f>
        <v>40546</v>
      </c>
      <c r="C83">
        <f>Final_Dataset!F54</f>
        <v>7</v>
      </c>
      <c r="D83" t="str">
        <f>Final_Dataset!T54</f>
        <v>Mon</v>
      </c>
      <c r="E83" t="str">
        <f>Final_Dataset!X54</f>
        <v>Clear</v>
      </c>
      <c r="F83">
        <f>Final_Dataset!J54</f>
        <v>0.14000000000000001</v>
      </c>
      <c r="G83">
        <f>Final_Dataset!L54</f>
        <v>0.5</v>
      </c>
      <c r="H83">
        <f>Final_Dataset!M54</f>
        <v>0.19400000000000001</v>
      </c>
      <c r="I83">
        <f>Final_Dataset!P54</f>
        <v>64</v>
      </c>
      <c r="J83" s="54">
        <f t="shared" si="6"/>
        <v>54.395348837209305</v>
      </c>
      <c r="K83" s="54">
        <f t="shared" si="7"/>
        <v>39.112864486352777</v>
      </c>
      <c r="L83" s="55">
        <f t="shared" si="8"/>
        <v>0.24556245851392297</v>
      </c>
      <c r="M83" t="str">
        <f t="shared" si="9"/>
        <v/>
      </c>
    </row>
    <row r="84" spans="1:13" x14ac:dyDescent="0.2">
      <c r="A84">
        <f>Final_Dataset!A55</f>
        <v>54</v>
      </c>
      <c r="B84" s="53">
        <f>Final_Dataset!B55</f>
        <v>40546</v>
      </c>
      <c r="C84">
        <f>Final_Dataset!F55</f>
        <v>8</v>
      </c>
      <c r="D84" t="str">
        <f>Final_Dataset!T55</f>
        <v>Mon</v>
      </c>
      <c r="E84" t="str">
        <f>Final_Dataset!X55</f>
        <v>Clear</v>
      </c>
      <c r="F84">
        <f>Final_Dataset!J55</f>
        <v>0.14000000000000001</v>
      </c>
      <c r="G84">
        <f>Final_Dataset!L55</f>
        <v>0.5</v>
      </c>
      <c r="H84">
        <f>Final_Dataset!M55</f>
        <v>0.28360000000000002</v>
      </c>
      <c r="I84">
        <f>Final_Dataset!P55</f>
        <v>154</v>
      </c>
      <c r="J84" s="54">
        <f t="shared" si="6"/>
        <v>128.28571428571428</v>
      </c>
      <c r="K84" s="54">
        <f t="shared" si="7"/>
        <v>88.551565717048533</v>
      </c>
      <c r="L84" s="55">
        <f t="shared" si="8"/>
        <v>0.29038770242020734</v>
      </c>
      <c r="M84" t="str">
        <f t="shared" si="9"/>
        <v/>
      </c>
    </row>
    <row r="85" spans="1:13" x14ac:dyDescent="0.2">
      <c r="A85">
        <f>Final_Dataset!A56</f>
        <v>55</v>
      </c>
      <c r="B85" s="53">
        <f>Final_Dataset!B56</f>
        <v>40546</v>
      </c>
      <c r="C85">
        <f>Final_Dataset!F56</f>
        <v>9</v>
      </c>
      <c r="D85" t="str">
        <f>Final_Dataset!T56</f>
        <v>Mon</v>
      </c>
      <c r="E85" t="str">
        <f>Final_Dataset!X56</f>
        <v>Clear</v>
      </c>
      <c r="F85">
        <f>Final_Dataset!J56</f>
        <v>0.16</v>
      </c>
      <c r="G85">
        <f>Final_Dataset!L56</f>
        <v>0.43</v>
      </c>
      <c r="H85">
        <f>Final_Dataset!M56</f>
        <v>0.3881</v>
      </c>
      <c r="I85">
        <f>Final_Dataset!P56</f>
        <v>88</v>
      </c>
      <c r="J85" s="54">
        <f t="shared" si="6"/>
        <v>87.428571428571431</v>
      </c>
      <c r="K85" s="54">
        <f t="shared" si="7"/>
        <v>45.93852884078624</v>
      </c>
      <c r="L85" s="55">
        <f t="shared" si="8"/>
        <v>1.2438982828749841E-2</v>
      </c>
      <c r="M85" t="str">
        <f t="shared" si="9"/>
        <v/>
      </c>
    </row>
    <row r="86" spans="1:13" x14ac:dyDescent="0.2">
      <c r="A86">
        <f>Final_Dataset!A57</f>
        <v>56</v>
      </c>
      <c r="B86" s="53">
        <f>Final_Dataset!B57</f>
        <v>40546</v>
      </c>
      <c r="C86">
        <f>Final_Dataset!F57</f>
        <v>10</v>
      </c>
      <c r="D86" t="str">
        <f>Final_Dataset!T57</f>
        <v>Mon</v>
      </c>
      <c r="E86" t="str">
        <f>Final_Dataset!X57</f>
        <v>Clear</v>
      </c>
      <c r="F86">
        <f>Final_Dataset!J57</f>
        <v>0.18</v>
      </c>
      <c r="G86">
        <f>Final_Dataset!L57</f>
        <v>0.43</v>
      </c>
      <c r="H86">
        <f>Final_Dataset!M57</f>
        <v>0.25369999999999998</v>
      </c>
      <c r="I86">
        <f>Final_Dataset!P57</f>
        <v>44</v>
      </c>
      <c r="J86" s="54">
        <f t="shared" si="6"/>
        <v>53.642857142857146</v>
      </c>
      <c r="K86" s="54">
        <f t="shared" si="7"/>
        <v>15.395313554536934</v>
      </c>
      <c r="L86" s="55">
        <f t="shared" si="8"/>
        <v>-0.62635016225541162</v>
      </c>
      <c r="M86" t="str">
        <f t="shared" si="9"/>
        <v/>
      </c>
    </row>
    <row r="87" spans="1:13" x14ac:dyDescent="0.2">
      <c r="A87">
        <f>Final_Dataset!A58</f>
        <v>57</v>
      </c>
      <c r="B87" s="53">
        <f>Final_Dataset!B58</f>
        <v>40546</v>
      </c>
      <c r="C87">
        <f>Final_Dataset!F58</f>
        <v>11</v>
      </c>
      <c r="D87" t="str">
        <f>Final_Dataset!T58</f>
        <v>Mon</v>
      </c>
      <c r="E87" t="str">
        <f>Final_Dataset!X58</f>
        <v>Clear</v>
      </c>
      <c r="F87">
        <f>Final_Dataset!J58</f>
        <v>0.2</v>
      </c>
      <c r="G87">
        <f>Final_Dataset!L58</f>
        <v>0.4</v>
      </c>
      <c r="H87">
        <f>Final_Dataset!M58</f>
        <v>0.32840000000000003</v>
      </c>
      <c r="I87">
        <f>Final_Dataset!P58</f>
        <v>51</v>
      </c>
      <c r="J87" s="54">
        <f t="shared" si="6"/>
        <v>59.38095238095238</v>
      </c>
      <c r="K87" s="54">
        <f t="shared" si="7"/>
        <v>20.89573696860419</v>
      </c>
      <c r="L87" s="55">
        <f t="shared" si="8"/>
        <v>-0.4010843165543645</v>
      </c>
      <c r="M87" t="str">
        <f t="shared" si="9"/>
        <v/>
      </c>
    </row>
    <row r="88" spans="1:13" x14ac:dyDescent="0.2">
      <c r="A88">
        <f>Final_Dataset!A59</f>
        <v>58</v>
      </c>
      <c r="B88" s="53">
        <f>Final_Dataset!B59</f>
        <v>40546</v>
      </c>
      <c r="C88">
        <f>Final_Dataset!F59</f>
        <v>12</v>
      </c>
      <c r="D88" t="str">
        <f>Final_Dataset!T59</f>
        <v>Mon</v>
      </c>
      <c r="E88" t="str">
        <f>Final_Dataset!X59</f>
        <v>Clear</v>
      </c>
      <c r="F88">
        <f>Final_Dataset!J59</f>
        <v>0.22</v>
      </c>
      <c r="G88">
        <f>Final_Dataset!L59</f>
        <v>0.35</v>
      </c>
      <c r="H88">
        <f>Final_Dataset!M59</f>
        <v>0.29849999999999999</v>
      </c>
      <c r="I88">
        <f>Final_Dataset!P59</f>
        <v>61</v>
      </c>
      <c r="J88" s="54">
        <f t="shared" si="6"/>
        <v>76.348837209302332</v>
      </c>
      <c r="K88" s="54">
        <f t="shared" si="7"/>
        <v>29.034366927857057</v>
      </c>
      <c r="L88" s="55">
        <f t="shared" si="8"/>
        <v>-0.52864377058539791</v>
      </c>
      <c r="M88" t="str">
        <f t="shared" si="9"/>
        <v/>
      </c>
    </row>
    <row r="89" spans="1:13" x14ac:dyDescent="0.2">
      <c r="A89">
        <f>Final_Dataset!A60</f>
        <v>59</v>
      </c>
      <c r="B89" s="53">
        <f>Final_Dataset!B60</f>
        <v>40546</v>
      </c>
      <c r="C89">
        <f>Final_Dataset!F60</f>
        <v>13</v>
      </c>
      <c r="D89" t="str">
        <f>Final_Dataset!T60</f>
        <v>Mon</v>
      </c>
      <c r="E89" t="str">
        <f>Final_Dataset!X60</f>
        <v>Clear</v>
      </c>
      <c r="F89">
        <f>Final_Dataset!J60</f>
        <v>0.24</v>
      </c>
      <c r="G89">
        <f>Final_Dataset!L60</f>
        <v>0.35</v>
      </c>
      <c r="H89">
        <f>Final_Dataset!M60</f>
        <v>0.28360000000000002</v>
      </c>
      <c r="I89">
        <f>Final_Dataset!P60</f>
        <v>61</v>
      </c>
      <c r="J89" s="54">
        <f t="shared" si="6"/>
        <v>78.511627906976742</v>
      </c>
      <c r="K89" s="54">
        <f t="shared" si="7"/>
        <v>30.072430098825173</v>
      </c>
      <c r="L89" s="55">
        <f t="shared" si="8"/>
        <v>-0.58231502573717386</v>
      </c>
      <c r="M89" t="str">
        <f t="shared" si="9"/>
        <v/>
      </c>
    </row>
    <row r="90" spans="1:13" x14ac:dyDescent="0.2">
      <c r="A90">
        <f>Final_Dataset!A61</f>
        <v>60</v>
      </c>
      <c r="B90" s="53">
        <f>Final_Dataset!B61</f>
        <v>40546</v>
      </c>
      <c r="C90">
        <f>Final_Dataset!F61</f>
        <v>14</v>
      </c>
      <c r="D90" t="str">
        <f>Final_Dataset!T61</f>
        <v>Mon</v>
      </c>
      <c r="E90" t="str">
        <f>Final_Dataset!X61</f>
        <v>Clear</v>
      </c>
      <c r="F90">
        <f>Final_Dataset!J61</f>
        <v>0.26</v>
      </c>
      <c r="G90">
        <f>Final_Dataset!L61</f>
        <v>0.3</v>
      </c>
      <c r="H90">
        <f>Final_Dataset!M61</f>
        <v>0.28360000000000002</v>
      </c>
      <c r="I90">
        <f>Final_Dataset!P61</f>
        <v>77</v>
      </c>
      <c r="J90" s="54">
        <f t="shared" si="6"/>
        <v>74.418604651162795</v>
      </c>
      <c r="K90" s="54">
        <f t="shared" si="7"/>
        <v>30.305769180565147</v>
      </c>
      <c r="L90" s="55">
        <f t="shared" si="8"/>
        <v>8.517834784053703E-2</v>
      </c>
      <c r="M90" t="str">
        <f t="shared" si="9"/>
        <v/>
      </c>
    </row>
    <row r="91" spans="1:13" x14ac:dyDescent="0.2">
      <c r="A91">
        <f>Final_Dataset!A62</f>
        <v>61</v>
      </c>
      <c r="B91" s="53">
        <f>Final_Dataset!B62</f>
        <v>40546</v>
      </c>
      <c r="C91">
        <f>Final_Dataset!F62</f>
        <v>15</v>
      </c>
      <c r="D91" t="str">
        <f>Final_Dataset!T62</f>
        <v>Mon</v>
      </c>
      <c r="E91" t="str">
        <f>Final_Dataset!X62</f>
        <v>Clear</v>
      </c>
      <c r="F91">
        <f>Final_Dataset!J62</f>
        <v>0.26</v>
      </c>
      <c r="G91">
        <f>Final_Dataset!L62</f>
        <v>0.3</v>
      </c>
      <c r="H91">
        <f>Final_Dataset!M62</f>
        <v>0.25369999999999998</v>
      </c>
      <c r="I91">
        <f>Final_Dataset!P62</f>
        <v>72</v>
      </c>
      <c r="J91" s="54">
        <f t="shared" si="6"/>
        <v>77.95348837209302</v>
      </c>
      <c r="K91" s="54">
        <f t="shared" si="7"/>
        <v>34.481156681772681</v>
      </c>
      <c r="L91" s="55">
        <f t="shared" si="8"/>
        <v>-0.1726591838852127</v>
      </c>
      <c r="M91" t="str">
        <f t="shared" si="9"/>
        <v/>
      </c>
    </row>
    <row r="92" spans="1:13" x14ac:dyDescent="0.2">
      <c r="A92">
        <f>Final_Dataset!A63</f>
        <v>62</v>
      </c>
      <c r="B92" s="53">
        <f>Final_Dataset!B63</f>
        <v>40546</v>
      </c>
      <c r="C92">
        <f>Final_Dataset!F63</f>
        <v>16</v>
      </c>
      <c r="D92" t="str">
        <f>Final_Dataset!T63</f>
        <v>Mon</v>
      </c>
      <c r="E92" t="str">
        <f>Final_Dataset!X63</f>
        <v>Clear</v>
      </c>
      <c r="F92">
        <f>Final_Dataset!J63</f>
        <v>0.26</v>
      </c>
      <c r="G92">
        <f>Final_Dataset!L63</f>
        <v>0.3</v>
      </c>
      <c r="H92">
        <f>Final_Dataset!M63</f>
        <v>0.25369999999999998</v>
      </c>
      <c r="I92">
        <f>Final_Dataset!P63</f>
        <v>76</v>
      </c>
      <c r="J92" s="54">
        <f t="shared" si="6"/>
        <v>89.272727272727266</v>
      </c>
      <c r="K92" s="54">
        <f t="shared" si="7"/>
        <v>25.461657115880747</v>
      </c>
      <c r="L92" s="55">
        <f t="shared" si="8"/>
        <v>-0.52128293191289987</v>
      </c>
      <c r="M92" t="str">
        <f t="shared" si="9"/>
        <v/>
      </c>
    </row>
    <row r="93" spans="1:13" x14ac:dyDescent="0.2">
      <c r="A93">
        <f>Final_Dataset!A64</f>
        <v>63</v>
      </c>
      <c r="B93" s="53">
        <f>Final_Dataset!B64</f>
        <v>40546</v>
      </c>
      <c r="C93">
        <f>Final_Dataset!F64</f>
        <v>17</v>
      </c>
      <c r="D93" t="str">
        <f>Final_Dataset!T64</f>
        <v>Mon</v>
      </c>
      <c r="E93" t="str">
        <f>Final_Dataset!X64</f>
        <v>Clear</v>
      </c>
      <c r="F93">
        <f>Final_Dataset!J64</f>
        <v>0.24</v>
      </c>
      <c r="G93">
        <f>Final_Dataset!L64</f>
        <v>0.3</v>
      </c>
      <c r="H93">
        <f>Final_Dataset!M64</f>
        <v>0.22389999999999999</v>
      </c>
      <c r="I93">
        <f>Final_Dataset!P64</f>
        <v>157</v>
      </c>
      <c r="J93" s="54">
        <f t="shared" si="6"/>
        <v>140.20454545454547</v>
      </c>
      <c r="K93" s="54">
        <f t="shared" si="7"/>
        <v>54.067391000084569</v>
      </c>
      <c r="L93" s="55">
        <f t="shared" si="8"/>
        <v>0.31063926397758423</v>
      </c>
      <c r="M93" t="str">
        <f t="shared" si="9"/>
        <v/>
      </c>
    </row>
    <row r="94" spans="1:13" x14ac:dyDescent="0.2">
      <c r="A94">
        <f>Final_Dataset!A65</f>
        <v>64</v>
      </c>
      <c r="B94" s="53">
        <f>Final_Dataset!B65</f>
        <v>40546</v>
      </c>
      <c r="C94">
        <f>Final_Dataset!F65</f>
        <v>18</v>
      </c>
      <c r="D94" t="str">
        <f>Final_Dataset!T65</f>
        <v>Mon</v>
      </c>
      <c r="E94" t="str">
        <f>Final_Dataset!X65</f>
        <v>Clear</v>
      </c>
      <c r="F94">
        <f>Final_Dataset!J65</f>
        <v>0.24</v>
      </c>
      <c r="G94">
        <f>Final_Dataset!L65</f>
        <v>0.32</v>
      </c>
      <c r="H94">
        <f>Final_Dataset!M65</f>
        <v>0.1045</v>
      </c>
      <c r="I94">
        <f>Final_Dataset!P65</f>
        <v>157</v>
      </c>
      <c r="J94" s="54">
        <f t="shared" si="6"/>
        <v>122.86046511627907</v>
      </c>
      <c r="K94" s="54">
        <f t="shared" si="7"/>
        <v>48.613432101949947</v>
      </c>
      <c r="L94" s="55">
        <f t="shared" si="8"/>
        <v>0.70226547288669106</v>
      </c>
      <c r="M94" t="str">
        <f t="shared" si="9"/>
        <v/>
      </c>
    </row>
    <row r="95" spans="1:13" x14ac:dyDescent="0.2">
      <c r="A95">
        <f>Final_Dataset!A66</f>
        <v>65</v>
      </c>
      <c r="B95" s="53">
        <f>Final_Dataset!B66</f>
        <v>40546</v>
      </c>
      <c r="C95">
        <f>Final_Dataset!F66</f>
        <v>19</v>
      </c>
      <c r="D95" t="str">
        <f>Final_Dataset!T66</f>
        <v>Mon</v>
      </c>
      <c r="E95" t="str">
        <f>Final_Dataset!X66</f>
        <v>Clear</v>
      </c>
      <c r="F95">
        <f>Final_Dataset!J66</f>
        <v>0.2</v>
      </c>
      <c r="G95">
        <f>Final_Dataset!L66</f>
        <v>0.47</v>
      </c>
      <c r="H95">
        <f>Final_Dataset!M66</f>
        <v>0</v>
      </c>
      <c r="I95">
        <f>Final_Dataset!P66</f>
        <v>110</v>
      </c>
      <c r="J95" s="54">
        <f t="shared" ref="J95:J158" si="10">INDEX($F$5:$F$28,MATCH(C95,$D$5:$D$28,0))</f>
        <v>85.139534883720927</v>
      </c>
      <c r="K95" s="54">
        <f t="shared" ref="K95:K158" si="11">INDEX($G$5:$G$28,MATCH(C95,$D$5:$D$28,0))</f>
        <v>31.690904054294759</v>
      </c>
      <c r="L95" s="55">
        <f t="shared" ref="L95:L158" si="12">IF(K95=0,0,(I95-J95)/K95)</f>
        <v>0.7844668954122177</v>
      </c>
      <c r="M95" t="str">
        <f t="shared" ref="M95:M158" si="13">IF(ABS(L95)&gt;=$B$4,IF(L95&gt;0,"High","Low"),"")</f>
        <v/>
      </c>
    </row>
    <row r="96" spans="1:13" x14ac:dyDescent="0.2">
      <c r="A96">
        <f>Final_Dataset!A67</f>
        <v>66</v>
      </c>
      <c r="B96" s="53">
        <f>Final_Dataset!B67</f>
        <v>40546</v>
      </c>
      <c r="C96">
        <f>Final_Dataset!F67</f>
        <v>20</v>
      </c>
      <c r="D96" t="str">
        <f>Final_Dataset!T67</f>
        <v>Mon</v>
      </c>
      <c r="E96" t="str">
        <f>Final_Dataset!X67</f>
        <v>Clear</v>
      </c>
      <c r="F96">
        <f>Final_Dataset!J67</f>
        <v>0.2</v>
      </c>
      <c r="G96">
        <f>Final_Dataset!L67</f>
        <v>0.47</v>
      </c>
      <c r="H96">
        <f>Final_Dataset!M67</f>
        <v>0.1045</v>
      </c>
      <c r="I96">
        <f>Final_Dataset!P67</f>
        <v>52</v>
      </c>
      <c r="J96" s="54">
        <f t="shared" si="10"/>
        <v>61.767441860465119</v>
      </c>
      <c r="K96" s="54">
        <f t="shared" si="11"/>
        <v>24.6323801696856</v>
      </c>
      <c r="L96" s="55">
        <f t="shared" si="12"/>
        <v>-0.39652854467087367</v>
      </c>
      <c r="M96" t="str">
        <f t="shared" si="13"/>
        <v/>
      </c>
    </row>
    <row r="97" spans="1:13" x14ac:dyDescent="0.2">
      <c r="A97">
        <f>Final_Dataset!A68</f>
        <v>67</v>
      </c>
      <c r="B97" s="53">
        <f>Final_Dataset!B68</f>
        <v>40546</v>
      </c>
      <c r="C97">
        <f>Final_Dataset!F68</f>
        <v>21</v>
      </c>
      <c r="D97" t="str">
        <f>Final_Dataset!T68</f>
        <v>Mon</v>
      </c>
      <c r="E97" t="str">
        <f>Final_Dataset!X68</f>
        <v>Clear</v>
      </c>
      <c r="F97">
        <f>Final_Dataset!J68</f>
        <v>0.18</v>
      </c>
      <c r="G97">
        <f>Final_Dataset!L68</f>
        <v>0.64</v>
      </c>
      <c r="H97">
        <f>Final_Dataset!M68</f>
        <v>0.1343</v>
      </c>
      <c r="I97">
        <f>Final_Dataset!P68</f>
        <v>52</v>
      </c>
      <c r="J97" s="54">
        <f t="shared" si="10"/>
        <v>46.418604651162788</v>
      </c>
      <c r="K97" s="54">
        <f t="shared" si="11"/>
        <v>14.656759464719499</v>
      </c>
      <c r="L97" s="55">
        <f t="shared" si="12"/>
        <v>0.38080691453470805</v>
      </c>
      <c r="M97" t="str">
        <f t="shared" si="13"/>
        <v/>
      </c>
    </row>
    <row r="98" spans="1:13" x14ac:dyDescent="0.2">
      <c r="A98">
        <f>Final_Dataset!A69</f>
        <v>68</v>
      </c>
      <c r="B98" s="53">
        <f>Final_Dataset!B69</f>
        <v>40546</v>
      </c>
      <c r="C98">
        <f>Final_Dataset!F69</f>
        <v>22</v>
      </c>
      <c r="D98" t="str">
        <f>Final_Dataset!T69</f>
        <v>Mon</v>
      </c>
      <c r="E98" t="str">
        <f>Final_Dataset!X69</f>
        <v>Clear</v>
      </c>
      <c r="F98">
        <f>Final_Dataset!J69</f>
        <v>0.14000000000000001</v>
      </c>
      <c r="G98">
        <f>Final_Dataset!L69</f>
        <v>0.69</v>
      </c>
      <c r="H98">
        <f>Final_Dataset!M69</f>
        <v>0.1343</v>
      </c>
      <c r="I98">
        <f>Final_Dataset!P69</f>
        <v>20</v>
      </c>
      <c r="J98" s="54">
        <f t="shared" si="10"/>
        <v>35.069767441860463</v>
      </c>
      <c r="K98" s="54">
        <f t="shared" si="11"/>
        <v>11.95506537162667</v>
      </c>
      <c r="L98" s="55">
        <f t="shared" si="12"/>
        <v>-1.2605340893932719</v>
      </c>
      <c r="M98" t="str">
        <f t="shared" si="13"/>
        <v/>
      </c>
    </row>
    <row r="99" spans="1:13" x14ac:dyDescent="0.2">
      <c r="A99">
        <f>Final_Dataset!A70</f>
        <v>69</v>
      </c>
      <c r="B99" s="53">
        <f>Final_Dataset!B70</f>
        <v>40546</v>
      </c>
      <c r="C99">
        <f>Final_Dataset!F70</f>
        <v>23</v>
      </c>
      <c r="D99" t="str">
        <f>Final_Dataset!T70</f>
        <v>Mon</v>
      </c>
      <c r="E99" t="str">
        <f>Final_Dataset!X70</f>
        <v>Clear</v>
      </c>
      <c r="F99">
        <f>Final_Dataset!J70</f>
        <v>0.18</v>
      </c>
      <c r="G99">
        <f>Final_Dataset!L70</f>
        <v>0.55000000000000004</v>
      </c>
      <c r="H99">
        <f>Final_Dataset!M70</f>
        <v>0.1045</v>
      </c>
      <c r="I99">
        <f>Final_Dataset!P70</f>
        <v>12</v>
      </c>
      <c r="J99" s="54">
        <f t="shared" si="10"/>
        <v>25.186046511627907</v>
      </c>
      <c r="K99" s="54">
        <f t="shared" si="11"/>
        <v>11.751911321656186</v>
      </c>
      <c r="L99" s="55">
        <f t="shared" si="12"/>
        <v>-1.1220342079444494</v>
      </c>
      <c r="M99" t="str">
        <f t="shared" si="13"/>
        <v/>
      </c>
    </row>
    <row r="100" spans="1:13" x14ac:dyDescent="0.2">
      <c r="A100">
        <f>Final_Dataset!A71</f>
        <v>70</v>
      </c>
      <c r="B100" s="53">
        <f>Final_Dataset!B71</f>
        <v>40547</v>
      </c>
      <c r="C100">
        <f>Final_Dataset!F71</f>
        <v>0</v>
      </c>
      <c r="D100" t="str">
        <f>Final_Dataset!T71</f>
        <v>Tue</v>
      </c>
      <c r="E100" t="str">
        <f>Final_Dataset!X71</f>
        <v>Clear</v>
      </c>
      <c r="F100">
        <f>Final_Dataset!J71</f>
        <v>0.16</v>
      </c>
      <c r="G100">
        <f>Final_Dataset!L71</f>
        <v>0.55000000000000004</v>
      </c>
      <c r="H100">
        <f>Final_Dataset!M71</f>
        <v>0.1045</v>
      </c>
      <c r="I100">
        <f>Final_Dataset!P71</f>
        <v>5</v>
      </c>
      <c r="J100" s="54">
        <f t="shared" si="10"/>
        <v>16.348837209302324</v>
      </c>
      <c r="K100" s="54">
        <f t="shared" si="11"/>
        <v>10.442321674276208</v>
      </c>
      <c r="L100" s="55">
        <f t="shared" si="12"/>
        <v>-1.0868116845374762</v>
      </c>
      <c r="M100" t="str">
        <f t="shared" si="13"/>
        <v/>
      </c>
    </row>
    <row r="101" spans="1:13" x14ac:dyDescent="0.2">
      <c r="A101">
        <f>Final_Dataset!A72</f>
        <v>71</v>
      </c>
      <c r="B101" s="53">
        <f>Final_Dataset!B72</f>
        <v>40547</v>
      </c>
      <c r="C101">
        <f>Final_Dataset!F72</f>
        <v>1</v>
      </c>
      <c r="D101" t="str">
        <f>Final_Dataset!T72</f>
        <v>Tue</v>
      </c>
      <c r="E101" t="str">
        <f>Final_Dataset!X72</f>
        <v>Clear</v>
      </c>
      <c r="F101">
        <f>Final_Dataset!J72</f>
        <v>0.16</v>
      </c>
      <c r="G101">
        <f>Final_Dataset!L72</f>
        <v>0.59</v>
      </c>
      <c r="H101">
        <f>Final_Dataset!M72</f>
        <v>0.1045</v>
      </c>
      <c r="I101">
        <f>Final_Dataset!P72</f>
        <v>2</v>
      </c>
      <c r="J101" s="54">
        <f t="shared" si="10"/>
        <v>10.697674418604651</v>
      </c>
      <c r="K101" s="54">
        <f t="shared" si="11"/>
        <v>10.060613641515801</v>
      </c>
      <c r="L101" s="55">
        <f t="shared" si="12"/>
        <v>-0.86452722751553746</v>
      </c>
      <c r="M101" t="str">
        <f t="shared" si="13"/>
        <v/>
      </c>
    </row>
    <row r="102" spans="1:13" x14ac:dyDescent="0.2">
      <c r="A102">
        <f>Final_Dataset!A73</f>
        <v>72</v>
      </c>
      <c r="B102" s="53">
        <f>Final_Dataset!B73</f>
        <v>40547</v>
      </c>
      <c r="C102">
        <f>Final_Dataset!F73</f>
        <v>2</v>
      </c>
      <c r="D102" t="str">
        <f>Final_Dataset!T73</f>
        <v>Tue</v>
      </c>
      <c r="E102" t="str">
        <f>Final_Dataset!X73</f>
        <v>Clear</v>
      </c>
      <c r="F102">
        <f>Final_Dataset!J73</f>
        <v>0.14000000000000001</v>
      </c>
      <c r="G102">
        <f>Final_Dataset!L73</f>
        <v>0.63</v>
      </c>
      <c r="H102">
        <f>Final_Dataset!M73</f>
        <v>0.1343</v>
      </c>
      <c r="I102">
        <f>Final_Dataset!P73</f>
        <v>1</v>
      </c>
      <c r="J102" s="54">
        <f t="shared" si="10"/>
        <v>7.1707317073170733</v>
      </c>
      <c r="K102" s="54">
        <f t="shared" si="11"/>
        <v>7.3685223723090862</v>
      </c>
      <c r="L102" s="55">
        <f t="shared" si="12"/>
        <v>-0.83744493068334691</v>
      </c>
      <c r="M102" t="str">
        <f t="shared" si="13"/>
        <v/>
      </c>
    </row>
    <row r="103" spans="1:13" x14ac:dyDescent="0.2">
      <c r="A103">
        <f>Final_Dataset!A74</f>
        <v>73</v>
      </c>
      <c r="B103" s="53">
        <f>Final_Dataset!B74</f>
        <v>40547</v>
      </c>
      <c r="C103">
        <f>Final_Dataset!F74</f>
        <v>4</v>
      </c>
      <c r="D103" t="str">
        <f>Final_Dataset!T74</f>
        <v>Tue</v>
      </c>
      <c r="E103" t="str">
        <f>Final_Dataset!X74</f>
        <v>Clear</v>
      </c>
      <c r="F103">
        <f>Final_Dataset!J74</f>
        <v>0.14000000000000001</v>
      </c>
      <c r="G103">
        <f>Final_Dataset!L74</f>
        <v>0.63</v>
      </c>
      <c r="H103">
        <f>Final_Dataset!M74</f>
        <v>8.9599999999999999E-2</v>
      </c>
      <c r="I103">
        <f>Final_Dataset!P74</f>
        <v>2</v>
      </c>
      <c r="J103" s="54">
        <f t="shared" si="10"/>
        <v>2.15625</v>
      </c>
      <c r="K103" s="54">
        <f t="shared" si="11"/>
        <v>1.5263148747143209</v>
      </c>
      <c r="L103" s="55">
        <f t="shared" si="12"/>
        <v>-0.102370751008533</v>
      </c>
      <c r="M103" t="str">
        <f t="shared" si="13"/>
        <v/>
      </c>
    </row>
    <row r="104" spans="1:13" x14ac:dyDescent="0.2">
      <c r="A104">
        <f>Final_Dataset!A75</f>
        <v>74</v>
      </c>
      <c r="B104" s="53">
        <f>Final_Dataset!B75</f>
        <v>40547</v>
      </c>
      <c r="C104">
        <f>Final_Dataset!F75</f>
        <v>5</v>
      </c>
      <c r="D104" t="str">
        <f>Final_Dataset!T75</f>
        <v>Tue</v>
      </c>
      <c r="E104" t="str">
        <f>Final_Dataset!X75</f>
        <v>Clear</v>
      </c>
      <c r="F104">
        <f>Final_Dataset!J75</f>
        <v>0.12</v>
      </c>
      <c r="G104">
        <f>Final_Dataset!L75</f>
        <v>0.68</v>
      </c>
      <c r="H104">
        <f>Final_Dataset!M75</f>
        <v>0.1045</v>
      </c>
      <c r="I104">
        <f>Final_Dataset!P75</f>
        <v>4</v>
      </c>
      <c r="J104" s="54">
        <f t="shared" si="10"/>
        <v>4.2051282051282053</v>
      </c>
      <c r="K104" s="54">
        <f t="shared" si="11"/>
        <v>2.5358429220352288</v>
      </c>
      <c r="L104" s="55">
        <f t="shared" si="12"/>
        <v>-8.0891526579088158E-2</v>
      </c>
      <c r="M104" t="str">
        <f t="shared" si="13"/>
        <v/>
      </c>
    </row>
    <row r="105" spans="1:13" x14ac:dyDescent="0.2">
      <c r="A105">
        <f>Final_Dataset!A76</f>
        <v>75</v>
      </c>
      <c r="B105" s="53">
        <f>Final_Dataset!B76</f>
        <v>40547</v>
      </c>
      <c r="C105">
        <f>Final_Dataset!F76</f>
        <v>6</v>
      </c>
      <c r="D105" t="str">
        <f>Final_Dataset!T76</f>
        <v>Tue</v>
      </c>
      <c r="E105" t="str">
        <f>Final_Dataset!X76</f>
        <v>Clear</v>
      </c>
      <c r="F105">
        <f>Final_Dataset!J76</f>
        <v>0.12</v>
      </c>
      <c r="G105">
        <f>Final_Dataset!L76</f>
        <v>0.74</v>
      </c>
      <c r="H105">
        <f>Final_Dataset!M76</f>
        <v>0.1045</v>
      </c>
      <c r="I105">
        <f>Final_Dataset!P76</f>
        <v>36</v>
      </c>
      <c r="J105" s="54">
        <f t="shared" si="10"/>
        <v>19.571428571428573</v>
      </c>
      <c r="K105" s="54">
        <f t="shared" si="11"/>
        <v>14.202615453298934</v>
      </c>
      <c r="L105" s="55">
        <f t="shared" si="12"/>
        <v>1.1567285957006923</v>
      </c>
      <c r="M105" t="str">
        <f t="shared" si="13"/>
        <v/>
      </c>
    </row>
    <row r="106" spans="1:13" x14ac:dyDescent="0.2">
      <c r="A106">
        <f>Final_Dataset!A77</f>
        <v>76</v>
      </c>
      <c r="B106" s="53">
        <f>Final_Dataset!B77</f>
        <v>40547</v>
      </c>
      <c r="C106">
        <f>Final_Dataset!F77</f>
        <v>7</v>
      </c>
      <c r="D106" t="str">
        <f>Final_Dataset!T77</f>
        <v>Tue</v>
      </c>
      <c r="E106" t="str">
        <f>Final_Dataset!X77</f>
        <v>Clear</v>
      </c>
      <c r="F106">
        <f>Final_Dataset!J77</f>
        <v>0.12</v>
      </c>
      <c r="G106">
        <f>Final_Dataset!L77</f>
        <v>0.74</v>
      </c>
      <c r="H106">
        <f>Final_Dataset!M77</f>
        <v>0.1343</v>
      </c>
      <c r="I106">
        <f>Final_Dataset!P77</f>
        <v>94</v>
      </c>
      <c r="J106" s="54">
        <f t="shared" si="10"/>
        <v>54.395348837209305</v>
      </c>
      <c r="K106" s="54">
        <f t="shared" si="11"/>
        <v>39.112864486352777</v>
      </c>
      <c r="L106" s="55">
        <f t="shared" si="12"/>
        <v>1.0125735274799297</v>
      </c>
      <c r="M106" t="str">
        <f t="shared" si="13"/>
        <v/>
      </c>
    </row>
    <row r="107" spans="1:13" x14ac:dyDescent="0.2">
      <c r="A107">
        <f>Final_Dataset!A78</f>
        <v>77</v>
      </c>
      <c r="B107" s="53">
        <f>Final_Dataset!B78</f>
        <v>40547</v>
      </c>
      <c r="C107">
        <f>Final_Dataset!F78</f>
        <v>8</v>
      </c>
      <c r="D107" t="str">
        <f>Final_Dataset!T78</f>
        <v>Tue</v>
      </c>
      <c r="E107" t="str">
        <f>Final_Dataset!X78</f>
        <v>Clear</v>
      </c>
      <c r="F107">
        <f>Final_Dataset!J78</f>
        <v>0.14000000000000001</v>
      </c>
      <c r="G107">
        <f>Final_Dataset!L78</f>
        <v>0.69</v>
      </c>
      <c r="H107">
        <f>Final_Dataset!M78</f>
        <v>0.16420000000000001</v>
      </c>
      <c r="I107">
        <f>Final_Dataset!P78</f>
        <v>179</v>
      </c>
      <c r="J107" s="54">
        <f t="shared" si="10"/>
        <v>128.28571428571428</v>
      </c>
      <c r="K107" s="54">
        <f t="shared" si="11"/>
        <v>88.551565717048533</v>
      </c>
      <c r="L107" s="55">
        <f t="shared" si="12"/>
        <v>0.57270907977318664</v>
      </c>
      <c r="M107" t="str">
        <f t="shared" si="13"/>
        <v/>
      </c>
    </row>
    <row r="108" spans="1:13" x14ac:dyDescent="0.2">
      <c r="A108">
        <f>Final_Dataset!A79</f>
        <v>78</v>
      </c>
      <c r="B108" s="53">
        <f>Final_Dataset!B79</f>
        <v>40547</v>
      </c>
      <c r="C108">
        <f>Final_Dataset!F79</f>
        <v>9</v>
      </c>
      <c r="D108" t="str">
        <f>Final_Dataset!T79</f>
        <v>Tue</v>
      </c>
      <c r="E108" t="str">
        <f>Final_Dataset!X79</f>
        <v>Clear</v>
      </c>
      <c r="F108">
        <f>Final_Dataset!J79</f>
        <v>0.16</v>
      </c>
      <c r="G108">
        <f>Final_Dataset!L79</f>
        <v>0.64</v>
      </c>
      <c r="H108">
        <f>Final_Dataset!M79</f>
        <v>0.22389999999999999</v>
      </c>
      <c r="I108">
        <f>Final_Dataset!P79</f>
        <v>100</v>
      </c>
      <c r="J108" s="54">
        <f t="shared" si="10"/>
        <v>87.428571428571431</v>
      </c>
      <c r="K108" s="54">
        <f t="shared" si="11"/>
        <v>45.93852884078624</v>
      </c>
      <c r="L108" s="55">
        <f t="shared" si="12"/>
        <v>0.27365762223249745</v>
      </c>
      <c r="M108" t="str">
        <f t="shared" si="13"/>
        <v/>
      </c>
    </row>
    <row r="109" spans="1:13" x14ac:dyDescent="0.2">
      <c r="A109">
        <f>Final_Dataset!A80</f>
        <v>79</v>
      </c>
      <c r="B109" s="53">
        <f>Final_Dataset!B80</f>
        <v>40547</v>
      </c>
      <c r="C109">
        <f>Final_Dataset!F80</f>
        <v>10</v>
      </c>
      <c r="D109" t="str">
        <f>Final_Dataset!T80</f>
        <v>Tue</v>
      </c>
      <c r="E109" t="str">
        <f>Final_Dataset!X80</f>
        <v>Cloudy/Mist</v>
      </c>
      <c r="F109">
        <f>Final_Dataset!J80</f>
        <v>0.16</v>
      </c>
      <c r="G109">
        <f>Final_Dataset!L80</f>
        <v>0.69</v>
      </c>
      <c r="H109">
        <f>Final_Dataset!M80</f>
        <v>0.32840000000000003</v>
      </c>
      <c r="I109">
        <f>Final_Dataset!P80</f>
        <v>42</v>
      </c>
      <c r="J109" s="54">
        <f t="shared" si="10"/>
        <v>53.642857142857146</v>
      </c>
      <c r="K109" s="54">
        <f t="shared" si="11"/>
        <v>15.395313554536934</v>
      </c>
      <c r="L109" s="55">
        <f t="shared" si="12"/>
        <v>-0.75625982553801541</v>
      </c>
      <c r="M109" t="str">
        <f t="shared" si="13"/>
        <v/>
      </c>
    </row>
    <row r="110" spans="1:13" x14ac:dyDescent="0.2">
      <c r="A110">
        <f>Final_Dataset!A81</f>
        <v>80</v>
      </c>
      <c r="B110" s="53">
        <f>Final_Dataset!B81</f>
        <v>40547</v>
      </c>
      <c r="C110">
        <f>Final_Dataset!F81</f>
        <v>11</v>
      </c>
      <c r="D110" t="str">
        <f>Final_Dataset!T81</f>
        <v>Tue</v>
      </c>
      <c r="E110" t="str">
        <f>Final_Dataset!X81</f>
        <v>Clear</v>
      </c>
      <c r="F110">
        <f>Final_Dataset!J81</f>
        <v>0.22</v>
      </c>
      <c r="G110">
        <f>Final_Dataset!L81</f>
        <v>0.51</v>
      </c>
      <c r="H110">
        <f>Final_Dataset!M81</f>
        <v>0.29849999999999999</v>
      </c>
      <c r="I110">
        <f>Final_Dataset!P81</f>
        <v>57</v>
      </c>
      <c r="J110" s="54">
        <f t="shared" si="10"/>
        <v>59.38095238095238</v>
      </c>
      <c r="K110" s="54">
        <f t="shared" si="11"/>
        <v>20.89573696860419</v>
      </c>
      <c r="L110" s="55">
        <f t="shared" si="12"/>
        <v>-0.11394440811203532</v>
      </c>
      <c r="M110" t="str">
        <f t="shared" si="13"/>
        <v/>
      </c>
    </row>
    <row r="111" spans="1:13" x14ac:dyDescent="0.2">
      <c r="A111">
        <f>Final_Dataset!A82</f>
        <v>81</v>
      </c>
      <c r="B111" s="53">
        <f>Final_Dataset!B82</f>
        <v>40547</v>
      </c>
      <c r="C111">
        <f>Final_Dataset!F82</f>
        <v>12</v>
      </c>
      <c r="D111" t="str">
        <f>Final_Dataset!T82</f>
        <v>Tue</v>
      </c>
      <c r="E111" t="str">
        <f>Final_Dataset!X82</f>
        <v>Clear</v>
      </c>
      <c r="F111">
        <f>Final_Dataset!J82</f>
        <v>0.22</v>
      </c>
      <c r="G111">
        <f>Final_Dataset!L82</f>
        <v>0.51</v>
      </c>
      <c r="H111">
        <f>Final_Dataset!M82</f>
        <v>0.16420000000000001</v>
      </c>
      <c r="I111">
        <f>Final_Dataset!P82</f>
        <v>78</v>
      </c>
      <c r="J111" s="54">
        <f t="shared" si="10"/>
        <v>76.348837209302332</v>
      </c>
      <c r="K111" s="54">
        <f t="shared" si="11"/>
        <v>29.034366927857057</v>
      </c>
      <c r="L111" s="55">
        <f t="shared" si="12"/>
        <v>5.6869254108428947E-2</v>
      </c>
      <c r="M111" t="str">
        <f t="shared" si="13"/>
        <v/>
      </c>
    </row>
    <row r="112" spans="1:13" x14ac:dyDescent="0.2">
      <c r="A112">
        <f>Final_Dataset!A83</f>
        <v>82</v>
      </c>
      <c r="B112" s="53">
        <f>Final_Dataset!B83</f>
        <v>40547</v>
      </c>
      <c r="C112">
        <f>Final_Dataset!F83</f>
        <v>13</v>
      </c>
      <c r="D112" t="str">
        <f>Final_Dataset!T83</f>
        <v>Tue</v>
      </c>
      <c r="E112" t="str">
        <f>Final_Dataset!X83</f>
        <v>Clear</v>
      </c>
      <c r="F112">
        <f>Final_Dataset!J83</f>
        <v>0.24</v>
      </c>
      <c r="G112">
        <f>Final_Dataset!L83</f>
        <v>0.56000000000000005</v>
      </c>
      <c r="H112">
        <f>Final_Dataset!M83</f>
        <v>0.19400000000000001</v>
      </c>
      <c r="I112">
        <f>Final_Dataset!P83</f>
        <v>97</v>
      </c>
      <c r="J112" s="54">
        <f t="shared" si="10"/>
        <v>78.511627906976742</v>
      </c>
      <c r="K112" s="54">
        <f t="shared" si="11"/>
        <v>30.072430098825173</v>
      </c>
      <c r="L112" s="55">
        <f t="shared" si="12"/>
        <v>0.61479474828825142</v>
      </c>
      <c r="M112" t="str">
        <f t="shared" si="13"/>
        <v/>
      </c>
    </row>
    <row r="113" spans="1:13" x14ac:dyDescent="0.2">
      <c r="A113">
        <f>Final_Dataset!A84</f>
        <v>83</v>
      </c>
      <c r="B113" s="53">
        <f>Final_Dataset!B84</f>
        <v>40547</v>
      </c>
      <c r="C113">
        <f>Final_Dataset!F84</f>
        <v>14</v>
      </c>
      <c r="D113" t="str">
        <f>Final_Dataset!T84</f>
        <v>Tue</v>
      </c>
      <c r="E113" t="str">
        <f>Final_Dataset!X84</f>
        <v>Clear</v>
      </c>
      <c r="F113">
        <f>Final_Dataset!J84</f>
        <v>0.26</v>
      </c>
      <c r="G113">
        <f>Final_Dataset!L84</f>
        <v>0.52</v>
      </c>
      <c r="H113">
        <f>Final_Dataset!M84</f>
        <v>0.22389999999999999</v>
      </c>
      <c r="I113">
        <f>Final_Dataset!P84</f>
        <v>63</v>
      </c>
      <c r="J113" s="54">
        <f t="shared" si="10"/>
        <v>74.418604651162795</v>
      </c>
      <c r="K113" s="54">
        <f t="shared" si="11"/>
        <v>30.305769180565147</v>
      </c>
      <c r="L113" s="55">
        <f t="shared" si="12"/>
        <v>-0.37677989900634024</v>
      </c>
      <c r="M113" t="str">
        <f t="shared" si="13"/>
        <v/>
      </c>
    </row>
    <row r="114" spans="1:13" x14ac:dyDescent="0.2">
      <c r="A114">
        <f>Final_Dataset!A85</f>
        <v>84</v>
      </c>
      <c r="B114" s="53">
        <f>Final_Dataset!B85</f>
        <v>40547</v>
      </c>
      <c r="C114">
        <f>Final_Dataset!F85</f>
        <v>15</v>
      </c>
      <c r="D114" t="str">
        <f>Final_Dataset!T85</f>
        <v>Tue</v>
      </c>
      <c r="E114" t="str">
        <f>Final_Dataset!X85</f>
        <v>Clear</v>
      </c>
      <c r="F114">
        <f>Final_Dataset!J85</f>
        <v>0.28000000000000003</v>
      </c>
      <c r="G114">
        <f>Final_Dataset!L85</f>
        <v>0.52</v>
      </c>
      <c r="H114">
        <f>Final_Dataset!M85</f>
        <v>0.25369999999999998</v>
      </c>
      <c r="I114">
        <f>Final_Dataset!P85</f>
        <v>65</v>
      </c>
      <c r="J114" s="54">
        <f t="shared" si="10"/>
        <v>77.95348837209302</v>
      </c>
      <c r="K114" s="54">
        <f t="shared" si="11"/>
        <v>34.481156681772681</v>
      </c>
      <c r="L114" s="55">
        <f t="shared" si="12"/>
        <v>-0.37566861493774806</v>
      </c>
      <c r="M114" t="str">
        <f t="shared" si="13"/>
        <v/>
      </c>
    </row>
    <row r="115" spans="1:13" x14ac:dyDescent="0.2">
      <c r="A115">
        <f>Final_Dataset!A86</f>
        <v>85</v>
      </c>
      <c r="B115" s="53">
        <f>Final_Dataset!B86</f>
        <v>40547</v>
      </c>
      <c r="C115">
        <f>Final_Dataset!F86</f>
        <v>16</v>
      </c>
      <c r="D115" t="str">
        <f>Final_Dataset!T86</f>
        <v>Tue</v>
      </c>
      <c r="E115" t="str">
        <f>Final_Dataset!X86</f>
        <v>Clear</v>
      </c>
      <c r="F115">
        <f>Final_Dataset!J86</f>
        <v>0.3</v>
      </c>
      <c r="G115">
        <f>Final_Dataset!L86</f>
        <v>0.49</v>
      </c>
      <c r="H115">
        <f>Final_Dataset!M86</f>
        <v>0.25369999999999998</v>
      </c>
      <c r="I115">
        <f>Final_Dataset!P86</f>
        <v>83</v>
      </c>
      <c r="J115" s="54">
        <f t="shared" si="10"/>
        <v>89.272727272727266</v>
      </c>
      <c r="K115" s="54">
        <f t="shared" si="11"/>
        <v>25.461657115880747</v>
      </c>
      <c r="L115" s="55">
        <f t="shared" si="12"/>
        <v>-0.24635974179445255</v>
      </c>
      <c r="M115" t="str">
        <f t="shared" si="13"/>
        <v/>
      </c>
    </row>
    <row r="116" spans="1:13" x14ac:dyDescent="0.2">
      <c r="A116">
        <f>Final_Dataset!A87</f>
        <v>86</v>
      </c>
      <c r="B116" s="53">
        <f>Final_Dataset!B87</f>
        <v>40547</v>
      </c>
      <c r="C116">
        <f>Final_Dataset!F87</f>
        <v>17</v>
      </c>
      <c r="D116" t="str">
        <f>Final_Dataset!T87</f>
        <v>Tue</v>
      </c>
      <c r="E116" t="str">
        <f>Final_Dataset!X87</f>
        <v>Clear</v>
      </c>
      <c r="F116">
        <f>Final_Dataset!J87</f>
        <v>0.28000000000000003</v>
      </c>
      <c r="G116">
        <f>Final_Dataset!L87</f>
        <v>0.48</v>
      </c>
      <c r="H116">
        <f>Final_Dataset!M87</f>
        <v>0.22389999999999999</v>
      </c>
      <c r="I116">
        <f>Final_Dataset!P87</f>
        <v>212</v>
      </c>
      <c r="J116" s="54">
        <f t="shared" si="10"/>
        <v>140.20454545454547</v>
      </c>
      <c r="K116" s="54">
        <f t="shared" si="11"/>
        <v>54.067391000084569</v>
      </c>
      <c r="L116" s="55">
        <f t="shared" si="12"/>
        <v>1.3278882745672385</v>
      </c>
      <c r="M116" t="str">
        <f t="shared" si="13"/>
        <v/>
      </c>
    </row>
    <row r="117" spans="1:13" x14ac:dyDescent="0.2">
      <c r="A117">
        <f>Final_Dataset!A88</f>
        <v>87</v>
      </c>
      <c r="B117" s="53">
        <f>Final_Dataset!B88</f>
        <v>40547</v>
      </c>
      <c r="C117">
        <f>Final_Dataset!F88</f>
        <v>18</v>
      </c>
      <c r="D117" t="str">
        <f>Final_Dataset!T88</f>
        <v>Tue</v>
      </c>
      <c r="E117" t="str">
        <f>Final_Dataset!X88</f>
        <v>Clear</v>
      </c>
      <c r="F117">
        <f>Final_Dataset!J88</f>
        <v>0.26</v>
      </c>
      <c r="G117">
        <f>Final_Dataset!L88</f>
        <v>0.48</v>
      </c>
      <c r="H117">
        <f>Final_Dataset!M88</f>
        <v>0.19400000000000001</v>
      </c>
      <c r="I117">
        <f>Final_Dataset!P88</f>
        <v>182</v>
      </c>
      <c r="J117" s="54">
        <f t="shared" si="10"/>
        <v>122.86046511627907</v>
      </c>
      <c r="K117" s="54">
        <f t="shared" si="11"/>
        <v>48.613432101949947</v>
      </c>
      <c r="L117" s="55">
        <f t="shared" si="12"/>
        <v>1.2165266332090297</v>
      </c>
      <c r="M117" t="str">
        <f t="shared" si="13"/>
        <v/>
      </c>
    </row>
    <row r="118" spans="1:13" x14ac:dyDescent="0.2">
      <c r="A118">
        <f>Final_Dataset!A89</f>
        <v>88</v>
      </c>
      <c r="B118" s="53">
        <f>Final_Dataset!B89</f>
        <v>40547</v>
      </c>
      <c r="C118">
        <f>Final_Dataset!F89</f>
        <v>19</v>
      </c>
      <c r="D118" t="str">
        <f>Final_Dataset!T89</f>
        <v>Tue</v>
      </c>
      <c r="E118" t="str">
        <f>Final_Dataset!X89</f>
        <v>Clear</v>
      </c>
      <c r="F118">
        <f>Final_Dataset!J89</f>
        <v>0.24</v>
      </c>
      <c r="G118">
        <f>Final_Dataset!L89</f>
        <v>0.48</v>
      </c>
      <c r="H118">
        <f>Final_Dataset!M89</f>
        <v>0.1045</v>
      </c>
      <c r="I118">
        <f>Final_Dataset!P89</f>
        <v>112</v>
      </c>
      <c r="J118" s="54">
        <f t="shared" si="10"/>
        <v>85.139534883720927</v>
      </c>
      <c r="K118" s="54">
        <f t="shared" si="11"/>
        <v>31.690904054294759</v>
      </c>
      <c r="L118" s="55">
        <f t="shared" si="12"/>
        <v>0.84757648662405183</v>
      </c>
      <c r="M118" t="str">
        <f t="shared" si="13"/>
        <v/>
      </c>
    </row>
    <row r="119" spans="1:13" x14ac:dyDescent="0.2">
      <c r="A119">
        <f>Final_Dataset!A90</f>
        <v>89</v>
      </c>
      <c r="B119" s="53">
        <f>Final_Dataset!B90</f>
        <v>40547</v>
      </c>
      <c r="C119">
        <f>Final_Dataset!F90</f>
        <v>20</v>
      </c>
      <c r="D119" t="str">
        <f>Final_Dataset!T90</f>
        <v>Tue</v>
      </c>
      <c r="E119" t="str">
        <f>Final_Dataset!X90</f>
        <v>Clear</v>
      </c>
      <c r="F119">
        <f>Final_Dataset!J90</f>
        <v>0.24</v>
      </c>
      <c r="G119">
        <f>Final_Dataset!L90</f>
        <v>0.48</v>
      </c>
      <c r="H119">
        <f>Final_Dataset!M90</f>
        <v>0.1045</v>
      </c>
      <c r="I119">
        <f>Final_Dataset!P90</f>
        <v>54</v>
      </c>
      <c r="J119" s="54">
        <f t="shared" si="10"/>
        <v>61.767441860465119</v>
      </c>
      <c r="K119" s="54">
        <f t="shared" si="11"/>
        <v>24.6323801696856</v>
      </c>
      <c r="L119" s="55">
        <f t="shared" si="12"/>
        <v>-0.31533460457159956</v>
      </c>
      <c r="M119" t="str">
        <f t="shared" si="13"/>
        <v/>
      </c>
    </row>
    <row r="120" spans="1:13" x14ac:dyDescent="0.2">
      <c r="A120">
        <f>Final_Dataset!A91</f>
        <v>90</v>
      </c>
      <c r="B120" s="53">
        <f>Final_Dataset!B91</f>
        <v>40547</v>
      </c>
      <c r="C120">
        <f>Final_Dataset!F91</f>
        <v>21</v>
      </c>
      <c r="D120" t="str">
        <f>Final_Dataset!T91</f>
        <v>Tue</v>
      </c>
      <c r="E120" t="str">
        <f>Final_Dataset!X91</f>
        <v>Clear</v>
      </c>
      <c r="F120">
        <f>Final_Dataset!J91</f>
        <v>0.22</v>
      </c>
      <c r="G120">
        <f>Final_Dataset!L91</f>
        <v>0.64</v>
      </c>
      <c r="H120">
        <f>Final_Dataset!M91</f>
        <v>0</v>
      </c>
      <c r="I120">
        <f>Final_Dataset!P91</f>
        <v>48</v>
      </c>
      <c r="J120" s="54">
        <f t="shared" si="10"/>
        <v>46.418604651162788</v>
      </c>
      <c r="K120" s="54">
        <f t="shared" si="11"/>
        <v>14.656759464719499</v>
      </c>
      <c r="L120" s="55">
        <f t="shared" si="12"/>
        <v>0.10789529245150076</v>
      </c>
      <c r="M120" t="str">
        <f t="shared" si="13"/>
        <v/>
      </c>
    </row>
    <row r="121" spans="1:13" x14ac:dyDescent="0.2">
      <c r="A121">
        <f>Final_Dataset!A92</f>
        <v>91</v>
      </c>
      <c r="B121" s="53">
        <f>Final_Dataset!B92</f>
        <v>40547</v>
      </c>
      <c r="C121">
        <f>Final_Dataset!F92</f>
        <v>22</v>
      </c>
      <c r="D121" t="str">
        <f>Final_Dataset!T92</f>
        <v>Tue</v>
      </c>
      <c r="E121" t="str">
        <f>Final_Dataset!X92</f>
        <v>Clear</v>
      </c>
      <c r="F121">
        <f>Final_Dataset!J92</f>
        <v>0.22</v>
      </c>
      <c r="G121">
        <f>Final_Dataset!L92</f>
        <v>0.64</v>
      </c>
      <c r="H121">
        <f>Final_Dataset!M92</f>
        <v>8.9599999999999999E-2</v>
      </c>
      <c r="I121">
        <f>Final_Dataset!P92</f>
        <v>35</v>
      </c>
      <c r="J121" s="54">
        <f t="shared" si="10"/>
        <v>35.069767441860463</v>
      </c>
      <c r="K121" s="54">
        <f t="shared" si="11"/>
        <v>11.95506537162667</v>
      </c>
      <c r="L121" s="55">
        <f t="shared" si="12"/>
        <v>-5.8358059694131586E-3</v>
      </c>
      <c r="M121" t="str">
        <f t="shared" si="13"/>
        <v/>
      </c>
    </row>
    <row r="122" spans="1:13" x14ac:dyDescent="0.2">
      <c r="A122">
        <f>Final_Dataset!A93</f>
        <v>92</v>
      </c>
      <c r="B122" s="53">
        <f>Final_Dataset!B93</f>
        <v>40547</v>
      </c>
      <c r="C122">
        <f>Final_Dataset!F93</f>
        <v>23</v>
      </c>
      <c r="D122" t="str">
        <f>Final_Dataset!T93</f>
        <v>Tue</v>
      </c>
      <c r="E122" t="str">
        <f>Final_Dataset!X93</f>
        <v>Clear</v>
      </c>
      <c r="F122">
        <f>Final_Dataset!J93</f>
        <v>0.2</v>
      </c>
      <c r="G122">
        <f>Final_Dataset!L93</f>
        <v>0.69</v>
      </c>
      <c r="H122">
        <f>Final_Dataset!M93</f>
        <v>8.9599999999999999E-2</v>
      </c>
      <c r="I122">
        <f>Final_Dataset!P93</f>
        <v>11</v>
      </c>
      <c r="J122" s="54">
        <f t="shared" si="10"/>
        <v>25.186046511627907</v>
      </c>
      <c r="K122" s="54">
        <f t="shared" si="11"/>
        <v>11.751911321656186</v>
      </c>
      <c r="L122" s="55">
        <f t="shared" si="12"/>
        <v>-1.2071267492876794</v>
      </c>
      <c r="M122" t="str">
        <f t="shared" si="13"/>
        <v/>
      </c>
    </row>
    <row r="123" spans="1:13" x14ac:dyDescent="0.2">
      <c r="A123">
        <f>Final_Dataset!A94</f>
        <v>93</v>
      </c>
      <c r="B123" s="53">
        <f>Final_Dataset!B94</f>
        <v>40548</v>
      </c>
      <c r="C123">
        <f>Final_Dataset!F94</f>
        <v>0</v>
      </c>
      <c r="D123" t="str">
        <f>Final_Dataset!T94</f>
        <v>Wed</v>
      </c>
      <c r="E123" t="str">
        <f>Final_Dataset!X94</f>
        <v>Clear</v>
      </c>
      <c r="F123">
        <f>Final_Dataset!J94</f>
        <v>0.2</v>
      </c>
      <c r="G123">
        <f>Final_Dataset!L94</f>
        <v>0.64</v>
      </c>
      <c r="H123">
        <f>Final_Dataset!M94</f>
        <v>0</v>
      </c>
      <c r="I123">
        <f>Final_Dataset!P94</f>
        <v>6</v>
      </c>
      <c r="J123" s="54">
        <f t="shared" si="10"/>
        <v>16.348837209302324</v>
      </c>
      <c r="K123" s="54">
        <f t="shared" si="11"/>
        <v>10.442321674276208</v>
      </c>
      <c r="L123" s="55">
        <f t="shared" si="12"/>
        <v>-0.99104754020323138</v>
      </c>
      <c r="M123" t="str">
        <f t="shared" si="13"/>
        <v/>
      </c>
    </row>
    <row r="124" spans="1:13" x14ac:dyDescent="0.2">
      <c r="A124">
        <f>Final_Dataset!A95</f>
        <v>94</v>
      </c>
      <c r="B124" s="53">
        <f>Final_Dataset!B95</f>
        <v>40548</v>
      </c>
      <c r="C124">
        <f>Final_Dataset!F95</f>
        <v>1</v>
      </c>
      <c r="D124" t="str">
        <f>Final_Dataset!T95</f>
        <v>Wed</v>
      </c>
      <c r="E124" t="str">
        <f>Final_Dataset!X95</f>
        <v>Clear</v>
      </c>
      <c r="F124">
        <f>Final_Dataset!J95</f>
        <v>0.16</v>
      </c>
      <c r="G124">
        <f>Final_Dataset!L95</f>
        <v>0.74</v>
      </c>
      <c r="H124">
        <f>Final_Dataset!M95</f>
        <v>8.9599999999999999E-2</v>
      </c>
      <c r="I124">
        <f>Final_Dataset!P95</f>
        <v>6</v>
      </c>
      <c r="J124" s="54">
        <f t="shared" si="10"/>
        <v>10.697674418604651</v>
      </c>
      <c r="K124" s="54">
        <f t="shared" si="11"/>
        <v>10.060613641515801</v>
      </c>
      <c r="L124" s="55">
        <f t="shared" si="12"/>
        <v>-0.4669371656634721</v>
      </c>
      <c r="M124" t="str">
        <f t="shared" si="13"/>
        <v/>
      </c>
    </row>
    <row r="125" spans="1:13" x14ac:dyDescent="0.2">
      <c r="A125">
        <f>Final_Dataset!A96</f>
        <v>95</v>
      </c>
      <c r="B125" s="53">
        <f>Final_Dataset!B96</f>
        <v>40548</v>
      </c>
      <c r="C125">
        <f>Final_Dataset!F96</f>
        <v>2</v>
      </c>
      <c r="D125" t="str">
        <f>Final_Dataset!T96</f>
        <v>Wed</v>
      </c>
      <c r="E125" t="str">
        <f>Final_Dataset!X96</f>
        <v>Clear</v>
      </c>
      <c r="F125">
        <f>Final_Dataset!J96</f>
        <v>0.16</v>
      </c>
      <c r="G125">
        <f>Final_Dataset!L96</f>
        <v>0.74</v>
      </c>
      <c r="H125">
        <f>Final_Dataset!M96</f>
        <v>8.9599999999999999E-2</v>
      </c>
      <c r="I125">
        <f>Final_Dataset!P96</f>
        <v>2</v>
      </c>
      <c r="J125" s="54">
        <f t="shared" si="10"/>
        <v>7.1707317073170733</v>
      </c>
      <c r="K125" s="54">
        <f t="shared" si="11"/>
        <v>7.3685223723090862</v>
      </c>
      <c r="L125" s="55">
        <f t="shared" si="12"/>
        <v>-0.70173251108644086</v>
      </c>
      <c r="M125" t="str">
        <f t="shared" si="13"/>
        <v/>
      </c>
    </row>
    <row r="126" spans="1:13" x14ac:dyDescent="0.2">
      <c r="A126">
        <f>Final_Dataset!A97</f>
        <v>96</v>
      </c>
      <c r="B126" s="53">
        <f>Final_Dataset!B97</f>
        <v>40548</v>
      </c>
      <c r="C126">
        <f>Final_Dataset!F97</f>
        <v>4</v>
      </c>
      <c r="D126" t="str">
        <f>Final_Dataset!T97</f>
        <v>Wed</v>
      </c>
      <c r="E126" t="str">
        <f>Final_Dataset!X97</f>
        <v>Clear</v>
      </c>
      <c r="F126">
        <f>Final_Dataset!J97</f>
        <v>0.24</v>
      </c>
      <c r="G126">
        <f>Final_Dataset!L97</f>
        <v>0.48</v>
      </c>
      <c r="H126">
        <f>Final_Dataset!M97</f>
        <v>0.22389999999999999</v>
      </c>
      <c r="I126">
        <f>Final_Dataset!P97</f>
        <v>2</v>
      </c>
      <c r="J126" s="54">
        <f t="shared" si="10"/>
        <v>2.15625</v>
      </c>
      <c r="K126" s="54">
        <f t="shared" si="11"/>
        <v>1.5263148747143209</v>
      </c>
      <c r="L126" s="55">
        <f t="shared" si="12"/>
        <v>-0.102370751008533</v>
      </c>
      <c r="M126" t="str">
        <f t="shared" si="13"/>
        <v/>
      </c>
    </row>
    <row r="127" spans="1:13" x14ac:dyDescent="0.2">
      <c r="A127">
        <f>Final_Dataset!A98</f>
        <v>97</v>
      </c>
      <c r="B127" s="53">
        <f>Final_Dataset!B98</f>
        <v>40548</v>
      </c>
      <c r="C127">
        <f>Final_Dataset!F98</f>
        <v>5</v>
      </c>
      <c r="D127" t="str">
        <f>Final_Dataset!T98</f>
        <v>Wed</v>
      </c>
      <c r="E127" t="str">
        <f>Final_Dataset!X98</f>
        <v>Clear</v>
      </c>
      <c r="F127">
        <f>Final_Dataset!J98</f>
        <v>0.22</v>
      </c>
      <c r="G127">
        <f>Final_Dataset!L98</f>
        <v>0.47</v>
      </c>
      <c r="H127">
        <f>Final_Dataset!M98</f>
        <v>0.16420000000000001</v>
      </c>
      <c r="I127">
        <f>Final_Dataset!P98</f>
        <v>3</v>
      </c>
      <c r="J127" s="54">
        <f t="shared" si="10"/>
        <v>4.2051282051282053</v>
      </c>
      <c r="K127" s="54">
        <f t="shared" si="11"/>
        <v>2.5358429220352288</v>
      </c>
      <c r="L127" s="55">
        <f t="shared" si="12"/>
        <v>-0.47523771865214265</v>
      </c>
      <c r="M127" t="str">
        <f t="shared" si="13"/>
        <v/>
      </c>
    </row>
    <row r="128" spans="1:13" x14ac:dyDescent="0.2">
      <c r="A128">
        <f>Final_Dataset!A99</f>
        <v>98</v>
      </c>
      <c r="B128" s="53">
        <f>Final_Dataset!B99</f>
        <v>40548</v>
      </c>
      <c r="C128">
        <f>Final_Dataset!F99</f>
        <v>6</v>
      </c>
      <c r="D128" t="str">
        <f>Final_Dataset!T99</f>
        <v>Wed</v>
      </c>
      <c r="E128" t="str">
        <f>Final_Dataset!X99</f>
        <v>Clear</v>
      </c>
      <c r="F128">
        <f>Final_Dataset!J99</f>
        <v>0.2</v>
      </c>
      <c r="G128">
        <f>Final_Dataset!L99</f>
        <v>0.47</v>
      </c>
      <c r="H128">
        <f>Final_Dataset!M99</f>
        <v>0.22389999999999999</v>
      </c>
      <c r="I128">
        <f>Final_Dataset!P99</f>
        <v>33</v>
      </c>
      <c r="J128" s="54">
        <f t="shared" si="10"/>
        <v>19.571428571428573</v>
      </c>
      <c r="K128" s="54">
        <f t="shared" si="11"/>
        <v>14.202615453298934</v>
      </c>
      <c r="L128" s="55">
        <f t="shared" si="12"/>
        <v>0.94549989561621806</v>
      </c>
      <c r="M128" t="str">
        <f t="shared" si="13"/>
        <v/>
      </c>
    </row>
    <row r="129" spans="1:13" x14ac:dyDescent="0.2">
      <c r="A129">
        <f>Final_Dataset!A100</f>
        <v>99</v>
      </c>
      <c r="B129" s="53">
        <f>Final_Dataset!B100</f>
        <v>40548</v>
      </c>
      <c r="C129">
        <f>Final_Dataset!F100</f>
        <v>7</v>
      </c>
      <c r="D129" t="str">
        <f>Final_Dataset!T100</f>
        <v>Wed</v>
      </c>
      <c r="E129" t="str">
        <f>Final_Dataset!X100</f>
        <v>Clear</v>
      </c>
      <c r="F129">
        <f>Final_Dataset!J100</f>
        <v>0.18</v>
      </c>
      <c r="G129">
        <f>Final_Dataset!L100</f>
        <v>0.43</v>
      </c>
      <c r="H129">
        <f>Final_Dataset!M100</f>
        <v>0.19400000000000001</v>
      </c>
      <c r="I129">
        <f>Final_Dataset!P100</f>
        <v>88</v>
      </c>
      <c r="J129" s="54">
        <f t="shared" si="10"/>
        <v>54.395348837209305</v>
      </c>
      <c r="K129" s="54">
        <f t="shared" si="11"/>
        <v>39.112864486352777</v>
      </c>
      <c r="L129" s="55">
        <f t="shared" si="12"/>
        <v>0.85917131368672828</v>
      </c>
      <c r="M129" t="str">
        <f t="shared" si="13"/>
        <v/>
      </c>
    </row>
    <row r="130" spans="1:13" x14ac:dyDescent="0.2">
      <c r="A130">
        <f>Final_Dataset!A101</f>
        <v>100</v>
      </c>
      <c r="B130" s="53">
        <f>Final_Dataset!B101</f>
        <v>40548</v>
      </c>
      <c r="C130">
        <f>Final_Dataset!F101</f>
        <v>8</v>
      </c>
      <c r="D130" t="str">
        <f>Final_Dataset!T101</f>
        <v>Wed</v>
      </c>
      <c r="E130" t="str">
        <f>Final_Dataset!X101</f>
        <v>Clear</v>
      </c>
      <c r="F130">
        <f>Final_Dataset!J101</f>
        <v>0.2</v>
      </c>
      <c r="G130">
        <f>Final_Dataset!L101</f>
        <v>0.4</v>
      </c>
      <c r="H130">
        <f>Final_Dataset!M101</f>
        <v>0.29849999999999999</v>
      </c>
      <c r="I130">
        <f>Final_Dataset!P101</f>
        <v>195</v>
      </c>
      <c r="J130" s="54">
        <f t="shared" si="10"/>
        <v>128.28571428571428</v>
      </c>
      <c r="K130" s="54">
        <f t="shared" si="11"/>
        <v>88.551565717048533</v>
      </c>
      <c r="L130" s="55">
        <f t="shared" si="12"/>
        <v>0.75339476127909333</v>
      </c>
      <c r="M130" t="str">
        <f t="shared" si="13"/>
        <v/>
      </c>
    </row>
    <row r="131" spans="1:13" x14ac:dyDescent="0.2">
      <c r="A131">
        <f>Final_Dataset!A102</f>
        <v>101</v>
      </c>
      <c r="B131" s="53">
        <f>Final_Dataset!B102</f>
        <v>40548</v>
      </c>
      <c r="C131">
        <f>Final_Dataset!F102</f>
        <v>9</v>
      </c>
      <c r="D131" t="str">
        <f>Final_Dataset!T102</f>
        <v>Wed</v>
      </c>
      <c r="E131" t="str">
        <f>Final_Dataset!X102</f>
        <v>Clear</v>
      </c>
      <c r="F131">
        <f>Final_Dataset!J102</f>
        <v>0.22</v>
      </c>
      <c r="G131">
        <f>Final_Dataset!L102</f>
        <v>0.37</v>
      </c>
      <c r="H131">
        <f>Final_Dataset!M102</f>
        <v>0.32840000000000003</v>
      </c>
      <c r="I131">
        <f>Final_Dataset!P102</f>
        <v>115</v>
      </c>
      <c r="J131" s="54">
        <f t="shared" si="10"/>
        <v>87.428571428571431</v>
      </c>
      <c r="K131" s="54">
        <f t="shared" si="11"/>
        <v>45.93852884078624</v>
      </c>
      <c r="L131" s="55">
        <f t="shared" si="12"/>
        <v>0.60018092148718194</v>
      </c>
      <c r="M131" t="str">
        <f t="shared" si="13"/>
        <v/>
      </c>
    </row>
    <row r="132" spans="1:13" x14ac:dyDescent="0.2">
      <c r="A132">
        <f>Final_Dataset!A103</f>
        <v>102</v>
      </c>
      <c r="B132" s="53">
        <f>Final_Dataset!B103</f>
        <v>40548</v>
      </c>
      <c r="C132">
        <f>Final_Dataset!F103</f>
        <v>10</v>
      </c>
      <c r="D132" t="str">
        <f>Final_Dataset!T103</f>
        <v>Wed</v>
      </c>
      <c r="E132" t="str">
        <f>Final_Dataset!X103</f>
        <v>Clear</v>
      </c>
      <c r="F132">
        <f>Final_Dataset!J103</f>
        <v>0.22</v>
      </c>
      <c r="G132">
        <f>Final_Dataset!L103</f>
        <v>0.37</v>
      </c>
      <c r="H132">
        <f>Final_Dataset!M103</f>
        <v>0.32840000000000003</v>
      </c>
      <c r="I132">
        <f>Final_Dataset!P103</f>
        <v>57</v>
      </c>
      <c r="J132" s="54">
        <f t="shared" si="10"/>
        <v>53.642857142857146</v>
      </c>
      <c r="K132" s="54">
        <f t="shared" si="11"/>
        <v>15.395313554536934</v>
      </c>
      <c r="L132" s="55">
        <f t="shared" si="12"/>
        <v>0.2180626490815134</v>
      </c>
      <c r="M132" t="str">
        <f t="shared" si="13"/>
        <v/>
      </c>
    </row>
    <row r="133" spans="1:13" x14ac:dyDescent="0.2">
      <c r="A133">
        <f>Final_Dataset!A104</f>
        <v>103</v>
      </c>
      <c r="B133" s="53">
        <f>Final_Dataset!B104</f>
        <v>40548</v>
      </c>
      <c r="C133">
        <f>Final_Dataset!F104</f>
        <v>11</v>
      </c>
      <c r="D133" t="str">
        <f>Final_Dataset!T104</f>
        <v>Wed</v>
      </c>
      <c r="E133" t="str">
        <f>Final_Dataset!X104</f>
        <v>Clear</v>
      </c>
      <c r="F133">
        <f>Final_Dataset!J104</f>
        <v>0.26</v>
      </c>
      <c r="G133">
        <f>Final_Dataset!L104</f>
        <v>0.33</v>
      </c>
      <c r="H133">
        <f>Final_Dataset!M104</f>
        <v>0.32840000000000003</v>
      </c>
      <c r="I133">
        <f>Final_Dataset!P104</f>
        <v>46</v>
      </c>
      <c r="J133" s="54">
        <f t="shared" si="10"/>
        <v>59.38095238095238</v>
      </c>
      <c r="K133" s="54">
        <f t="shared" si="11"/>
        <v>20.89573696860419</v>
      </c>
      <c r="L133" s="55">
        <f t="shared" si="12"/>
        <v>-0.64036757358963881</v>
      </c>
      <c r="M133" t="str">
        <f t="shared" si="13"/>
        <v/>
      </c>
    </row>
    <row r="134" spans="1:13" x14ac:dyDescent="0.2">
      <c r="A134">
        <f>Final_Dataset!A105</f>
        <v>104</v>
      </c>
      <c r="B134" s="53">
        <f>Final_Dataset!B105</f>
        <v>40548</v>
      </c>
      <c r="C134">
        <f>Final_Dataset!F105</f>
        <v>12</v>
      </c>
      <c r="D134" t="str">
        <f>Final_Dataset!T105</f>
        <v>Wed</v>
      </c>
      <c r="E134" t="str">
        <f>Final_Dataset!X105</f>
        <v>Clear</v>
      </c>
      <c r="F134">
        <f>Final_Dataset!J105</f>
        <v>0.26</v>
      </c>
      <c r="G134">
        <f>Final_Dataset!L105</f>
        <v>0.33</v>
      </c>
      <c r="H134">
        <f>Final_Dataset!M105</f>
        <v>0.32840000000000003</v>
      </c>
      <c r="I134">
        <f>Final_Dataset!P105</f>
        <v>79</v>
      </c>
      <c r="J134" s="54">
        <f t="shared" si="10"/>
        <v>76.348837209302332</v>
      </c>
      <c r="K134" s="54">
        <f t="shared" si="11"/>
        <v>29.034366927857057</v>
      </c>
      <c r="L134" s="55">
        <f t="shared" si="12"/>
        <v>9.131119673747759E-2</v>
      </c>
      <c r="M134" t="str">
        <f t="shared" si="13"/>
        <v/>
      </c>
    </row>
    <row r="135" spans="1:13" x14ac:dyDescent="0.2">
      <c r="A135">
        <f>Final_Dataset!A106</f>
        <v>105</v>
      </c>
      <c r="B135" s="53">
        <f>Final_Dataset!B106</f>
        <v>40548</v>
      </c>
      <c r="C135">
        <f>Final_Dataset!F106</f>
        <v>13</v>
      </c>
      <c r="D135" t="str">
        <f>Final_Dataset!T106</f>
        <v>Wed</v>
      </c>
      <c r="E135" t="str">
        <f>Final_Dataset!X106</f>
        <v>Clear</v>
      </c>
      <c r="F135">
        <f>Final_Dataset!J106</f>
        <v>0.28000000000000003</v>
      </c>
      <c r="G135">
        <f>Final_Dataset!L106</f>
        <v>0.3</v>
      </c>
      <c r="H135">
        <f>Final_Dataset!M106</f>
        <v>0.29849999999999999</v>
      </c>
      <c r="I135">
        <f>Final_Dataset!P106</f>
        <v>71</v>
      </c>
      <c r="J135" s="54">
        <f t="shared" si="10"/>
        <v>78.511627906976742</v>
      </c>
      <c r="K135" s="54">
        <f t="shared" si="11"/>
        <v>30.072430098825173</v>
      </c>
      <c r="L135" s="55">
        <f t="shared" si="12"/>
        <v>-0.24978453295233349</v>
      </c>
      <c r="M135" t="str">
        <f t="shared" si="13"/>
        <v/>
      </c>
    </row>
    <row r="136" spans="1:13" x14ac:dyDescent="0.2">
      <c r="A136">
        <f>Final_Dataset!A107</f>
        <v>106</v>
      </c>
      <c r="B136" s="53">
        <f>Final_Dataset!B107</f>
        <v>40548</v>
      </c>
      <c r="C136">
        <f>Final_Dataset!F107</f>
        <v>14</v>
      </c>
      <c r="D136" t="str">
        <f>Final_Dataset!T107</f>
        <v>Wed</v>
      </c>
      <c r="E136" t="str">
        <f>Final_Dataset!X107</f>
        <v>Clear</v>
      </c>
      <c r="F136">
        <f>Final_Dataset!J107</f>
        <v>0.3</v>
      </c>
      <c r="G136">
        <f>Final_Dataset!L107</f>
        <v>0.28000000000000003</v>
      </c>
      <c r="H136">
        <f>Final_Dataset!M107</f>
        <v>0.19400000000000001</v>
      </c>
      <c r="I136">
        <f>Final_Dataset!P107</f>
        <v>62</v>
      </c>
      <c r="J136" s="54">
        <f t="shared" si="10"/>
        <v>74.418604651162795</v>
      </c>
      <c r="K136" s="54">
        <f t="shared" si="11"/>
        <v>30.305769180565147</v>
      </c>
      <c r="L136" s="55">
        <f t="shared" si="12"/>
        <v>-0.40977691663826005</v>
      </c>
      <c r="M136" t="str">
        <f t="shared" si="13"/>
        <v/>
      </c>
    </row>
    <row r="137" spans="1:13" x14ac:dyDescent="0.2">
      <c r="A137">
        <f>Final_Dataset!A108</f>
        <v>107</v>
      </c>
      <c r="B137" s="53">
        <f>Final_Dataset!B108</f>
        <v>40548</v>
      </c>
      <c r="C137">
        <f>Final_Dataset!F108</f>
        <v>15</v>
      </c>
      <c r="D137" t="str">
        <f>Final_Dataset!T108</f>
        <v>Wed</v>
      </c>
      <c r="E137" t="str">
        <f>Final_Dataset!X108</f>
        <v>Clear</v>
      </c>
      <c r="F137">
        <f>Final_Dataset!J108</f>
        <v>0.3</v>
      </c>
      <c r="G137">
        <f>Final_Dataset!L108</f>
        <v>0.28000000000000003</v>
      </c>
      <c r="H137">
        <f>Final_Dataset!M108</f>
        <v>0.19400000000000001</v>
      </c>
      <c r="I137">
        <f>Final_Dataset!P108</f>
        <v>62</v>
      </c>
      <c r="J137" s="54">
        <f t="shared" si="10"/>
        <v>77.95348837209302</v>
      </c>
      <c r="K137" s="54">
        <f t="shared" si="11"/>
        <v>34.481156681772681</v>
      </c>
      <c r="L137" s="55">
        <f t="shared" si="12"/>
        <v>-0.46267265681740605</v>
      </c>
      <c r="M137" t="str">
        <f t="shared" si="13"/>
        <v/>
      </c>
    </row>
    <row r="138" spans="1:13" x14ac:dyDescent="0.2">
      <c r="A138">
        <f>Final_Dataset!A109</f>
        <v>108</v>
      </c>
      <c r="B138" s="53">
        <f>Final_Dataset!B109</f>
        <v>40548</v>
      </c>
      <c r="C138">
        <f>Final_Dataset!F109</f>
        <v>16</v>
      </c>
      <c r="D138" t="str">
        <f>Final_Dataset!T109</f>
        <v>Wed</v>
      </c>
      <c r="E138" t="str">
        <f>Final_Dataset!X109</f>
        <v>Clear</v>
      </c>
      <c r="F138">
        <f>Final_Dataset!J109</f>
        <v>0.3</v>
      </c>
      <c r="G138">
        <f>Final_Dataset!L109</f>
        <v>0.28000000000000003</v>
      </c>
      <c r="H138">
        <f>Final_Dataset!M109</f>
        <v>8.9599999999999999E-2</v>
      </c>
      <c r="I138">
        <f>Final_Dataset!P109</f>
        <v>89</v>
      </c>
      <c r="J138" s="54">
        <f t="shared" si="10"/>
        <v>89.272727272727266</v>
      </c>
      <c r="K138" s="54">
        <f t="shared" si="11"/>
        <v>25.461657115880747</v>
      </c>
      <c r="L138" s="55">
        <f t="shared" si="12"/>
        <v>-1.0711293121497694E-2</v>
      </c>
      <c r="M138" t="str">
        <f t="shared" si="13"/>
        <v/>
      </c>
    </row>
    <row r="139" spans="1:13" x14ac:dyDescent="0.2">
      <c r="A139">
        <f>Final_Dataset!A110</f>
        <v>109</v>
      </c>
      <c r="B139" s="53">
        <f>Final_Dataset!B110</f>
        <v>40548</v>
      </c>
      <c r="C139">
        <f>Final_Dataset!F110</f>
        <v>17</v>
      </c>
      <c r="D139" t="str">
        <f>Final_Dataset!T110</f>
        <v>Wed</v>
      </c>
      <c r="E139" t="str">
        <f>Final_Dataset!X110</f>
        <v>Clear</v>
      </c>
      <c r="F139">
        <f>Final_Dataset!J110</f>
        <v>0.24</v>
      </c>
      <c r="G139">
        <f>Final_Dataset!L110</f>
        <v>0.38</v>
      </c>
      <c r="H139">
        <f>Final_Dataset!M110</f>
        <v>0.19400000000000001</v>
      </c>
      <c r="I139">
        <f>Final_Dataset!P110</f>
        <v>190</v>
      </c>
      <c r="J139" s="54">
        <f t="shared" si="10"/>
        <v>140.20454545454547</v>
      </c>
      <c r="K139" s="54">
        <f t="shared" si="11"/>
        <v>54.067391000084569</v>
      </c>
      <c r="L139" s="55">
        <f t="shared" si="12"/>
        <v>0.92098867033137677</v>
      </c>
      <c r="M139" t="str">
        <f t="shared" si="13"/>
        <v/>
      </c>
    </row>
    <row r="140" spans="1:13" x14ac:dyDescent="0.2">
      <c r="A140">
        <f>Final_Dataset!A111</f>
        <v>110</v>
      </c>
      <c r="B140" s="53">
        <f>Final_Dataset!B111</f>
        <v>40548</v>
      </c>
      <c r="C140">
        <f>Final_Dataset!F111</f>
        <v>18</v>
      </c>
      <c r="D140" t="str">
        <f>Final_Dataset!T111</f>
        <v>Wed</v>
      </c>
      <c r="E140" t="str">
        <f>Final_Dataset!X111</f>
        <v>Clear</v>
      </c>
      <c r="F140">
        <f>Final_Dataset!J111</f>
        <v>0.24</v>
      </c>
      <c r="G140">
        <f>Final_Dataset!L111</f>
        <v>0.38</v>
      </c>
      <c r="H140">
        <f>Final_Dataset!M111</f>
        <v>0.1343</v>
      </c>
      <c r="I140">
        <f>Final_Dataset!P111</f>
        <v>169</v>
      </c>
      <c r="J140" s="54">
        <f t="shared" si="10"/>
        <v>122.86046511627907</v>
      </c>
      <c r="K140" s="54">
        <f t="shared" si="11"/>
        <v>48.613432101949947</v>
      </c>
      <c r="L140" s="55">
        <f t="shared" si="12"/>
        <v>0.94911082984141359</v>
      </c>
      <c r="M140" t="str">
        <f t="shared" si="13"/>
        <v/>
      </c>
    </row>
    <row r="141" spans="1:13" x14ac:dyDescent="0.2">
      <c r="A141">
        <f>Final_Dataset!A112</f>
        <v>111</v>
      </c>
      <c r="B141" s="53">
        <f>Final_Dataset!B112</f>
        <v>40548</v>
      </c>
      <c r="C141">
        <f>Final_Dataset!F112</f>
        <v>19</v>
      </c>
      <c r="D141" t="str">
        <f>Final_Dataset!T112</f>
        <v>Wed</v>
      </c>
      <c r="E141" t="str">
        <f>Final_Dataset!X112</f>
        <v>Clear</v>
      </c>
      <c r="F141">
        <f>Final_Dataset!J112</f>
        <v>0.24</v>
      </c>
      <c r="G141">
        <f>Final_Dataset!L112</f>
        <v>0.38</v>
      </c>
      <c r="H141">
        <f>Final_Dataset!M112</f>
        <v>0.1045</v>
      </c>
      <c r="I141">
        <f>Final_Dataset!P112</f>
        <v>132</v>
      </c>
      <c r="J141" s="54">
        <f t="shared" si="10"/>
        <v>85.139534883720927</v>
      </c>
      <c r="K141" s="54">
        <f t="shared" si="11"/>
        <v>31.690904054294759</v>
      </c>
      <c r="L141" s="55">
        <f t="shared" si="12"/>
        <v>1.4786723987423935</v>
      </c>
      <c r="M141" t="str">
        <f t="shared" si="13"/>
        <v/>
      </c>
    </row>
    <row r="142" spans="1:13" x14ac:dyDescent="0.2">
      <c r="A142">
        <f>Final_Dataset!A113</f>
        <v>112</v>
      </c>
      <c r="B142" s="53">
        <f>Final_Dataset!B113</f>
        <v>40548</v>
      </c>
      <c r="C142">
        <f>Final_Dataset!F113</f>
        <v>20</v>
      </c>
      <c r="D142" t="str">
        <f>Final_Dataset!T113</f>
        <v>Wed</v>
      </c>
      <c r="E142" t="str">
        <f>Final_Dataset!X113</f>
        <v>Clear</v>
      </c>
      <c r="F142">
        <f>Final_Dataset!J113</f>
        <v>0.22</v>
      </c>
      <c r="G142">
        <f>Final_Dataset!L113</f>
        <v>0.47</v>
      </c>
      <c r="H142">
        <f>Final_Dataset!M113</f>
        <v>0.16420000000000001</v>
      </c>
      <c r="I142">
        <f>Final_Dataset!P113</f>
        <v>89</v>
      </c>
      <c r="J142" s="54">
        <f t="shared" si="10"/>
        <v>61.767441860465119</v>
      </c>
      <c r="K142" s="54">
        <f t="shared" si="11"/>
        <v>24.6323801696856</v>
      </c>
      <c r="L142" s="55">
        <f t="shared" si="12"/>
        <v>1.1055593471656973</v>
      </c>
      <c r="M142" t="str">
        <f t="shared" si="13"/>
        <v/>
      </c>
    </row>
    <row r="143" spans="1:13" x14ac:dyDescent="0.2">
      <c r="A143">
        <f>Final_Dataset!A114</f>
        <v>113</v>
      </c>
      <c r="B143" s="53">
        <f>Final_Dataset!B114</f>
        <v>40548</v>
      </c>
      <c r="C143">
        <f>Final_Dataset!F114</f>
        <v>21</v>
      </c>
      <c r="D143" t="str">
        <f>Final_Dataset!T114</f>
        <v>Wed</v>
      </c>
      <c r="E143" t="str">
        <f>Final_Dataset!X114</f>
        <v>Clear</v>
      </c>
      <c r="F143">
        <f>Final_Dataset!J114</f>
        <v>0.2</v>
      </c>
      <c r="G143">
        <f>Final_Dataset!L114</f>
        <v>0.51</v>
      </c>
      <c r="H143">
        <f>Final_Dataset!M114</f>
        <v>0.19400000000000001</v>
      </c>
      <c r="I143">
        <f>Final_Dataset!P114</f>
        <v>43</v>
      </c>
      <c r="J143" s="54">
        <f t="shared" si="10"/>
        <v>46.418604651162788</v>
      </c>
      <c r="K143" s="54">
        <f t="shared" si="11"/>
        <v>14.656759464719499</v>
      </c>
      <c r="L143" s="55">
        <f t="shared" si="12"/>
        <v>-0.23324423515250839</v>
      </c>
      <c r="M143" t="str">
        <f t="shared" si="13"/>
        <v/>
      </c>
    </row>
    <row r="144" spans="1:13" x14ac:dyDescent="0.2">
      <c r="A144">
        <f>Final_Dataset!A115</f>
        <v>114</v>
      </c>
      <c r="B144" s="53">
        <f>Final_Dataset!B115</f>
        <v>40548</v>
      </c>
      <c r="C144">
        <f>Final_Dataset!F115</f>
        <v>22</v>
      </c>
      <c r="D144" t="str">
        <f>Final_Dataset!T115</f>
        <v>Wed</v>
      </c>
      <c r="E144" t="str">
        <f>Final_Dataset!X115</f>
        <v>Clear</v>
      </c>
      <c r="F144">
        <f>Final_Dataset!J115</f>
        <v>0.18</v>
      </c>
      <c r="G144">
        <f>Final_Dataset!L115</f>
        <v>0.55000000000000004</v>
      </c>
      <c r="H144">
        <f>Final_Dataset!M115</f>
        <v>0.1343</v>
      </c>
      <c r="I144">
        <f>Final_Dataset!P115</f>
        <v>42</v>
      </c>
      <c r="J144" s="54">
        <f t="shared" si="10"/>
        <v>35.069767441860463</v>
      </c>
      <c r="K144" s="54">
        <f t="shared" si="11"/>
        <v>11.95506537162667</v>
      </c>
      <c r="L144" s="55">
        <f t="shared" si="12"/>
        <v>0.5796900596283876</v>
      </c>
      <c r="M144" t="str">
        <f t="shared" si="13"/>
        <v/>
      </c>
    </row>
    <row r="145" spans="1:13" x14ac:dyDescent="0.2">
      <c r="A145">
        <f>Final_Dataset!A116</f>
        <v>115</v>
      </c>
      <c r="B145" s="53">
        <f>Final_Dataset!B116</f>
        <v>40548</v>
      </c>
      <c r="C145">
        <f>Final_Dataset!F116</f>
        <v>23</v>
      </c>
      <c r="D145" t="str">
        <f>Final_Dataset!T116</f>
        <v>Wed</v>
      </c>
      <c r="E145" t="str">
        <f>Final_Dataset!X116</f>
        <v>Clear</v>
      </c>
      <c r="F145">
        <f>Final_Dataset!J116</f>
        <v>0.2</v>
      </c>
      <c r="G145">
        <f>Final_Dataset!L116</f>
        <v>0.47</v>
      </c>
      <c r="H145">
        <f>Final_Dataset!M116</f>
        <v>0</v>
      </c>
      <c r="I145">
        <f>Final_Dataset!P116</f>
        <v>19</v>
      </c>
      <c r="J145" s="54">
        <f t="shared" si="10"/>
        <v>25.186046511627907</v>
      </c>
      <c r="K145" s="54">
        <f t="shared" si="11"/>
        <v>11.751911321656186</v>
      </c>
      <c r="L145" s="55">
        <f t="shared" si="12"/>
        <v>-0.52638641854184054</v>
      </c>
      <c r="M145" t="str">
        <f t="shared" si="13"/>
        <v/>
      </c>
    </row>
    <row r="146" spans="1:13" x14ac:dyDescent="0.2">
      <c r="A146">
        <f>Final_Dataset!A117</f>
        <v>116</v>
      </c>
      <c r="B146" s="53">
        <f>Final_Dataset!B117</f>
        <v>40549</v>
      </c>
      <c r="C146">
        <f>Final_Dataset!F117</f>
        <v>0</v>
      </c>
      <c r="D146" t="str">
        <f>Final_Dataset!T117</f>
        <v>Thu</v>
      </c>
      <c r="E146" t="str">
        <f>Final_Dataset!X117</f>
        <v>Clear</v>
      </c>
      <c r="F146">
        <f>Final_Dataset!J117</f>
        <v>0.18</v>
      </c>
      <c r="G146">
        <f>Final_Dataset!L117</f>
        <v>0.55000000000000004</v>
      </c>
      <c r="H146">
        <f>Final_Dataset!M117</f>
        <v>0</v>
      </c>
      <c r="I146">
        <f>Final_Dataset!P117</f>
        <v>11</v>
      </c>
      <c r="J146" s="54">
        <f t="shared" si="10"/>
        <v>16.348837209302324</v>
      </c>
      <c r="K146" s="54">
        <f t="shared" si="11"/>
        <v>10.442321674276208</v>
      </c>
      <c r="L146" s="55">
        <f t="shared" si="12"/>
        <v>-0.51222681853200713</v>
      </c>
      <c r="M146" t="str">
        <f t="shared" si="13"/>
        <v/>
      </c>
    </row>
    <row r="147" spans="1:13" x14ac:dyDescent="0.2">
      <c r="A147">
        <f>Final_Dataset!A118</f>
        <v>117</v>
      </c>
      <c r="B147" s="53">
        <f>Final_Dataset!B118</f>
        <v>40549</v>
      </c>
      <c r="C147">
        <f>Final_Dataset!F118</f>
        <v>1</v>
      </c>
      <c r="D147" t="str">
        <f>Final_Dataset!T118</f>
        <v>Thu</v>
      </c>
      <c r="E147" t="str">
        <f>Final_Dataset!X118</f>
        <v>Clear</v>
      </c>
      <c r="F147">
        <f>Final_Dataset!J118</f>
        <v>0.16</v>
      </c>
      <c r="G147">
        <f>Final_Dataset!L118</f>
        <v>0.64</v>
      </c>
      <c r="H147">
        <f>Final_Dataset!M118</f>
        <v>0</v>
      </c>
      <c r="I147">
        <f>Final_Dataset!P118</f>
        <v>4</v>
      </c>
      <c r="J147" s="54">
        <f t="shared" si="10"/>
        <v>10.697674418604651</v>
      </c>
      <c r="K147" s="54">
        <f t="shared" si="11"/>
        <v>10.060613641515801</v>
      </c>
      <c r="L147" s="55">
        <f t="shared" si="12"/>
        <v>-0.66573219658950478</v>
      </c>
      <c r="M147" t="str">
        <f t="shared" si="13"/>
        <v/>
      </c>
    </row>
    <row r="148" spans="1:13" x14ac:dyDescent="0.2">
      <c r="A148">
        <f>Final_Dataset!A119</f>
        <v>118</v>
      </c>
      <c r="B148" s="53">
        <f>Final_Dataset!B119</f>
        <v>40549</v>
      </c>
      <c r="C148">
        <f>Final_Dataset!F119</f>
        <v>2</v>
      </c>
      <c r="D148" t="str">
        <f>Final_Dataset!T119</f>
        <v>Thu</v>
      </c>
      <c r="E148" t="str">
        <f>Final_Dataset!X119</f>
        <v>Clear</v>
      </c>
      <c r="F148">
        <f>Final_Dataset!J119</f>
        <v>0.16</v>
      </c>
      <c r="G148">
        <f>Final_Dataset!L119</f>
        <v>0.64</v>
      </c>
      <c r="H148">
        <f>Final_Dataset!M119</f>
        <v>0</v>
      </c>
      <c r="I148">
        <f>Final_Dataset!P119</f>
        <v>2</v>
      </c>
      <c r="J148" s="54">
        <f t="shared" si="10"/>
        <v>7.1707317073170733</v>
      </c>
      <c r="K148" s="54">
        <f t="shared" si="11"/>
        <v>7.3685223723090862</v>
      </c>
      <c r="L148" s="55">
        <f t="shared" si="12"/>
        <v>-0.70173251108644086</v>
      </c>
      <c r="M148" t="str">
        <f t="shared" si="13"/>
        <v/>
      </c>
    </row>
    <row r="149" spans="1:13" x14ac:dyDescent="0.2">
      <c r="A149">
        <f>Final_Dataset!A120</f>
        <v>119</v>
      </c>
      <c r="B149" s="53">
        <f>Final_Dataset!B120</f>
        <v>40549</v>
      </c>
      <c r="C149">
        <f>Final_Dataset!F120</f>
        <v>4</v>
      </c>
      <c r="D149" t="str">
        <f>Final_Dataset!T120</f>
        <v>Thu</v>
      </c>
      <c r="E149" t="str">
        <f>Final_Dataset!X120</f>
        <v>Cloudy/Mist</v>
      </c>
      <c r="F149">
        <f>Final_Dataset!J120</f>
        <v>0.16</v>
      </c>
      <c r="G149">
        <f>Final_Dataset!L120</f>
        <v>0.64</v>
      </c>
      <c r="H149">
        <f>Final_Dataset!M120</f>
        <v>8.9599999999999999E-2</v>
      </c>
      <c r="I149">
        <f>Final_Dataset!P120</f>
        <v>1</v>
      </c>
      <c r="J149" s="54">
        <f t="shared" si="10"/>
        <v>2.15625</v>
      </c>
      <c r="K149" s="54">
        <f t="shared" si="11"/>
        <v>1.5263148747143209</v>
      </c>
      <c r="L149" s="55">
        <f t="shared" si="12"/>
        <v>-0.75754355746314428</v>
      </c>
      <c r="M149" t="str">
        <f t="shared" si="13"/>
        <v/>
      </c>
    </row>
    <row r="150" spans="1:13" x14ac:dyDescent="0.2">
      <c r="A150">
        <f>Final_Dataset!A121</f>
        <v>120</v>
      </c>
      <c r="B150" s="53">
        <f>Final_Dataset!B121</f>
        <v>40549</v>
      </c>
      <c r="C150">
        <f>Final_Dataset!F121</f>
        <v>5</v>
      </c>
      <c r="D150" t="str">
        <f>Final_Dataset!T121</f>
        <v>Thu</v>
      </c>
      <c r="E150" t="str">
        <f>Final_Dataset!X121</f>
        <v>Cloudy/Mist</v>
      </c>
      <c r="F150">
        <f>Final_Dataset!J121</f>
        <v>0.14000000000000001</v>
      </c>
      <c r="G150">
        <f>Final_Dataset!L121</f>
        <v>0.69</v>
      </c>
      <c r="H150">
        <f>Final_Dataset!M121</f>
        <v>8.9599999999999999E-2</v>
      </c>
      <c r="I150">
        <f>Final_Dataset!P121</f>
        <v>4</v>
      </c>
      <c r="J150" s="54">
        <f t="shared" si="10"/>
        <v>4.2051282051282053</v>
      </c>
      <c r="K150" s="54">
        <f t="shared" si="11"/>
        <v>2.5358429220352288</v>
      </c>
      <c r="L150" s="55">
        <f t="shared" si="12"/>
        <v>-8.0891526579088158E-2</v>
      </c>
      <c r="M150" t="str">
        <f t="shared" si="13"/>
        <v/>
      </c>
    </row>
    <row r="151" spans="1:13" x14ac:dyDescent="0.2">
      <c r="A151">
        <f>Final_Dataset!A122</f>
        <v>121</v>
      </c>
      <c r="B151" s="53">
        <f>Final_Dataset!B122</f>
        <v>40549</v>
      </c>
      <c r="C151">
        <f>Final_Dataset!F122</f>
        <v>6</v>
      </c>
      <c r="D151" t="str">
        <f>Final_Dataset!T122</f>
        <v>Thu</v>
      </c>
      <c r="E151" t="str">
        <f>Final_Dataset!X122</f>
        <v>Cloudy/Mist</v>
      </c>
      <c r="F151">
        <f>Final_Dataset!J122</f>
        <v>0.14000000000000001</v>
      </c>
      <c r="G151">
        <f>Final_Dataset!L122</f>
        <v>0.63</v>
      </c>
      <c r="H151">
        <f>Final_Dataset!M122</f>
        <v>0.1045</v>
      </c>
      <c r="I151">
        <f>Final_Dataset!P122</f>
        <v>36</v>
      </c>
      <c r="J151" s="54">
        <f t="shared" si="10"/>
        <v>19.571428571428573</v>
      </c>
      <c r="K151" s="54">
        <f t="shared" si="11"/>
        <v>14.202615453298934</v>
      </c>
      <c r="L151" s="55">
        <f t="shared" si="12"/>
        <v>1.1567285957006923</v>
      </c>
      <c r="M151" t="str">
        <f t="shared" si="13"/>
        <v/>
      </c>
    </row>
    <row r="152" spans="1:13" x14ac:dyDescent="0.2">
      <c r="A152">
        <f>Final_Dataset!A123</f>
        <v>122</v>
      </c>
      <c r="B152" s="53">
        <f>Final_Dataset!B123</f>
        <v>40549</v>
      </c>
      <c r="C152">
        <f>Final_Dataset!F123</f>
        <v>7</v>
      </c>
      <c r="D152" t="str">
        <f>Final_Dataset!T123</f>
        <v>Thu</v>
      </c>
      <c r="E152" t="str">
        <f>Final_Dataset!X123</f>
        <v>Cloudy/Mist</v>
      </c>
      <c r="F152">
        <f>Final_Dataset!J123</f>
        <v>0.16</v>
      </c>
      <c r="G152">
        <f>Final_Dataset!L123</f>
        <v>0.59</v>
      </c>
      <c r="H152">
        <f>Final_Dataset!M123</f>
        <v>0</v>
      </c>
      <c r="I152">
        <f>Final_Dataset!P123</f>
        <v>95</v>
      </c>
      <c r="J152" s="54">
        <f t="shared" si="10"/>
        <v>54.395348837209305</v>
      </c>
      <c r="K152" s="54">
        <f t="shared" si="11"/>
        <v>39.112864486352777</v>
      </c>
      <c r="L152" s="55">
        <f t="shared" si="12"/>
        <v>1.0381405631121299</v>
      </c>
      <c r="M152" t="str">
        <f t="shared" si="13"/>
        <v/>
      </c>
    </row>
    <row r="153" spans="1:13" x14ac:dyDescent="0.2">
      <c r="A153">
        <f>Final_Dataset!A124</f>
        <v>123</v>
      </c>
      <c r="B153" s="53">
        <f>Final_Dataset!B124</f>
        <v>40549</v>
      </c>
      <c r="C153">
        <f>Final_Dataset!F124</f>
        <v>8</v>
      </c>
      <c r="D153" t="str">
        <f>Final_Dataset!T124</f>
        <v>Thu</v>
      </c>
      <c r="E153" t="str">
        <f>Final_Dataset!X124</f>
        <v>Clear</v>
      </c>
      <c r="F153">
        <f>Final_Dataset!J124</f>
        <v>0.16</v>
      </c>
      <c r="G153">
        <f>Final_Dataset!L124</f>
        <v>0.59</v>
      </c>
      <c r="H153">
        <f>Final_Dataset!M124</f>
        <v>0</v>
      </c>
      <c r="I153">
        <f>Final_Dataset!P124</f>
        <v>219</v>
      </c>
      <c r="J153" s="54">
        <f t="shared" si="10"/>
        <v>128.28571428571428</v>
      </c>
      <c r="K153" s="54">
        <f t="shared" si="11"/>
        <v>88.551565717048533</v>
      </c>
      <c r="L153" s="55">
        <f t="shared" si="12"/>
        <v>1.0244232835379534</v>
      </c>
      <c r="M153" t="str">
        <f t="shared" si="13"/>
        <v/>
      </c>
    </row>
    <row r="154" spans="1:13" x14ac:dyDescent="0.2">
      <c r="A154">
        <f>Final_Dataset!A125</f>
        <v>124</v>
      </c>
      <c r="B154" s="53">
        <f>Final_Dataset!B125</f>
        <v>40549</v>
      </c>
      <c r="C154">
        <f>Final_Dataset!F125</f>
        <v>9</v>
      </c>
      <c r="D154" t="str">
        <f>Final_Dataset!T125</f>
        <v>Thu</v>
      </c>
      <c r="E154" t="str">
        <f>Final_Dataset!X125</f>
        <v>Cloudy/Mist</v>
      </c>
      <c r="F154">
        <f>Final_Dataset!J125</f>
        <v>0.18</v>
      </c>
      <c r="G154">
        <f>Final_Dataset!L125</f>
        <v>0.51</v>
      </c>
      <c r="H154">
        <f>Final_Dataset!M125</f>
        <v>0</v>
      </c>
      <c r="I154">
        <f>Final_Dataset!P125</f>
        <v>122</v>
      </c>
      <c r="J154" s="54">
        <f t="shared" si="10"/>
        <v>87.428571428571431</v>
      </c>
      <c r="K154" s="54">
        <f t="shared" si="11"/>
        <v>45.93852884078624</v>
      </c>
      <c r="L154" s="55">
        <f t="shared" si="12"/>
        <v>0.75255846113936808</v>
      </c>
      <c r="M154" t="str">
        <f t="shared" si="13"/>
        <v/>
      </c>
    </row>
    <row r="155" spans="1:13" x14ac:dyDescent="0.2">
      <c r="A155">
        <f>Final_Dataset!A126</f>
        <v>125</v>
      </c>
      <c r="B155" s="53">
        <f>Final_Dataset!B126</f>
        <v>40549</v>
      </c>
      <c r="C155">
        <f>Final_Dataset!F126</f>
        <v>10</v>
      </c>
      <c r="D155" t="str">
        <f>Final_Dataset!T126</f>
        <v>Thu</v>
      </c>
      <c r="E155" t="str">
        <f>Final_Dataset!X126</f>
        <v>Clear</v>
      </c>
      <c r="F155">
        <f>Final_Dataset!J126</f>
        <v>0.2</v>
      </c>
      <c r="G155">
        <f>Final_Dataset!L126</f>
        <v>0.47</v>
      </c>
      <c r="H155">
        <f>Final_Dataset!M126</f>
        <v>0</v>
      </c>
      <c r="I155">
        <f>Final_Dataset!P126</f>
        <v>45</v>
      </c>
      <c r="J155" s="54">
        <f t="shared" si="10"/>
        <v>53.642857142857146</v>
      </c>
      <c r="K155" s="54">
        <f t="shared" si="11"/>
        <v>15.395313554536934</v>
      </c>
      <c r="L155" s="55">
        <f t="shared" si="12"/>
        <v>-0.56139533061410973</v>
      </c>
      <c r="M155" t="str">
        <f t="shared" si="13"/>
        <v/>
      </c>
    </row>
    <row r="156" spans="1:13" x14ac:dyDescent="0.2">
      <c r="A156">
        <f>Final_Dataset!A127</f>
        <v>126</v>
      </c>
      <c r="B156" s="53">
        <f>Final_Dataset!B127</f>
        <v>40549</v>
      </c>
      <c r="C156">
        <f>Final_Dataset!F127</f>
        <v>11</v>
      </c>
      <c r="D156" t="str">
        <f>Final_Dataset!T127</f>
        <v>Thu</v>
      </c>
      <c r="E156" t="str">
        <f>Final_Dataset!X127</f>
        <v>Clear</v>
      </c>
      <c r="F156">
        <f>Final_Dataset!J127</f>
        <v>0.22</v>
      </c>
      <c r="G156">
        <f>Final_Dataset!L127</f>
        <v>0.44</v>
      </c>
      <c r="H156">
        <f>Final_Dataset!M127</f>
        <v>8.9599999999999999E-2</v>
      </c>
      <c r="I156">
        <f>Final_Dataset!P127</f>
        <v>59</v>
      </c>
      <c r="J156" s="54">
        <f t="shared" si="10"/>
        <v>59.38095238095238</v>
      </c>
      <c r="K156" s="54">
        <f t="shared" si="11"/>
        <v>20.89573696860419</v>
      </c>
      <c r="L156" s="55">
        <f t="shared" si="12"/>
        <v>-1.8231105297925598E-2</v>
      </c>
      <c r="M156" t="str">
        <f t="shared" si="13"/>
        <v/>
      </c>
    </row>
    <row r="157" spans="1:13" x14ac:dyDescent="0.2">
      <c r="A157">
        <f>Final_Dataset!A128</f>
        <v>127</v>
      </c>
      <c r="B157" s="53">
        <f>Final_Dataset!B128</f>
        <v>40549</v>
      </c>
      <c r="C157">
        <f>Final_Dataset!F128</f>
        <v>12</v>
      </c>
      <c r="D157" t="str">
        <f>Final_Dataset!T128</f>
        <v>Thu</v>
      </c>
      <c r="E157" t="str">
        <f>Final_Dataset!X128</f>
        <v>Clear</v>
      </c>
      <c r="F157">
        <f>Final_Dataset!J128</f>
        <v>0.26</v>
      </c>
      <c r="G157">
        <f>Final_Dataset!L128</f>
        <v>0.35</v>
      </c>
      <c r="H157">
        <f>Final_Dataset!M128</f>
        <v>0</v>
      </c>
      <c r="I157">
        <f>Final_Dataset!P128</f>
        <v>84</v>
      </c>
      <c r="J157" s="54">
        <f t="shared" si="10"/>
        <v>76.348837209302332</v>
      </c>
      <c r="K157" s="54">
        <f t="shared" si="11"/>
        <v>29.034366927857057</v>
      </c>
      <c r="L157" s="55">
        <f t="shared" si="12"/>
        <v>0.26352090988272081</v>
      </c>
      <c r="M157" t="str">
        <f t="shared" si="13"/>
        <v/>
      </c>
    </row>
    <row r="158" spans="1:13" x14ac:dyDescent="0.2">
      <c r="A158">
        <f>Final_Dataset!A129</f>
        <v>128</v>
      </c>
      <c r="B158" s="53">
        <f>Final_Dataset!B129</f>
        <v>40549</v>
      </c>
      <c r="C158">
        <f>Final_Dataset!F129</f>
        <v>13</v>
      </c>
      <c r="D158" t="str">
        <f>Final_Dataset!T129</f>
        <v>Thu</v>
      </c>
      <c r="E158" t="str">
        <f>Final_Dataset!X129</f>
        <v>Clear</v>
      </c>
      <c r="F158">
        <f>Final_Dataset!J129</f>
        <v>0.26</v>
      </c>
      <c r="G158">
        <f>Final_Dataset!L129</f>
        <v>0.35</v>
      </c>
      <c r="H158">
        <f>Final_Dataset!M129</f>
        <v>0.1045</v>
      </c>
      <c r="I158">
        <f>Final_Dataset!P129</f>
        <v>67</v>
      </c>
      <c r="J158" s="54">
        <f t="shared" si="10"/>
        <v>78.511627906976742</v>
      </c>
      <c r="K158" s="54">
        <f t="shared" si="11"/>
        <v>30.072430098825173</v>
      </c>
      <c r="L158" s="55">
        <f t="shared" si="12"/>
        <v>-0.38279673006626963</v>
      </c>
      <c r="M158" t="str">
        <f t="shared" si="13"/>
        <v/>
      </c>
    </row>
    <row r="159" spans="1:13" x14ac:dyDescent="0.2">
      <c r="A159">
        <f>Final_Dataset!A130</f>
        <v>129</v>
      </c>
      <c r="B159" s="53">
        <f>Final_Dataset!B130</f>
        <v>40549</v>
      </c>
      <c r="C159">
        <f>Final_Dataset!F130</f>
        <v>14</v>
      </c>
      <c r="D159" t="str">
        <f>Final_Dataset!T130</f>
        <v>Thu</v>
      </c>
      <c r="E159" t="str">
        <f>Final_Dataset!X130</f>
        <v>Clear</v>
      </c>
      <c r="F159">
        <f>Final_Dataset!J130</f>
        <v>0.28000000000000003</v>
      </c>
      <c r="G159">
        <f>Final_Dataset!L130</f>
        <v>0.36</v>
      </c>
      <c r="H159">
        <f>Final_Dataset!M130</f>
        <v>0.16420000000000001</v>
      </c>
      <c r="I159">
        <f>Final_Dataset!P130</f>
        <v>70</v>
      </c>
      <c r="J159" s="54">
        <f t="shared" ref="J159:J222" si="14">INDEX($F$5:$F$28,MATCH(C159,$D$5:$D$28,0))</f>
        <v>74.418604651162795</v>
      </c>
      <c r="K159" s="54">
        <f t="shared" ref="K159:K222" si="15">INDEX($G$5:$G$28,MATCH(C159,$D$5:$D$28,0))</f>
        <v>30.305769180565147</v>
      </c>
      <c r="L159" s="55">
        <f t="shared" ref="L159:L222" si="16">IF(K159=0,0,(I159-J159)/K159)</f>
        <v>-0.14580077558290161</v>
      </c>
      <c r="M159" t="str">
        <f t="shared" ref="M159:M222" si="17">IF(ABS(L159)&gt;=$B$4,IF(L159&gt;0,"High","Low"),"")</f>
        <v/>
      </c>
    </row>
    <row r="160" spans="1:13" x14ac:dyDescent="0.2">
      <c r="A160">
        <f>Final_Dataset!A131</f>
        <v>130</v>
      </c>
      <c r="B160" s="53">
        <f>Final_Dataset!B131</f>
        <v>40549</v>
      </c>
      <c r="C160">
        <f>Final_Dataset!F131</f>
        <v>15</v>
      </c>
      <c r="D160" t="str">
        <f>Final_Dataset!T131</f>
        <v>Thu</v>
      </c>
      <c r="E160" t="str">
        <f>Final_Dataset!X131</f>
        <v>Clear</v>
      </c>
      <c r="F160">
        <f>Final_Dataset!J131</f>
        <v>0.28000000000000003</v>
      </c>
      <c r="G160">
        <f>Final_Dataset!L131</f>
        <v>0.36</v>
      </c>
      <c r="H160">
        <f>Final_Dataset!M131</f>
        <v>0</v>
      </c>
      <c r="I160">
        <f>Final_Dataset!P131</f>
        <v>62</v>
      </c>
      <c r="J160" s="54">
        <f t="shared" si="14"/>
        <v>77.95348837209302</v>
      </c>
      <c r="K160" s="54">
        <f t="shared" si="15"/>
        <v>34.481156681772681</v>
      </c>
      <c r="L160" s="55">
        <f t="shared" si="16"/>
        <v>-0.46267265681740605</v>
      </c>
      <c r="M160" t="str">
        <f t="shared" si="17"/>
        <v/>
      </c>
    </row>
    <row r="161" spans="1:13" x14ac:dyDescent="0.2">
      <c r="A161">
        <f>Final_Dataset!A132</f>
        <v>131</v>
      </c>
      <c r="B161" s="53">
        <f>Final_Dataset!B132</f>
        <v>40549</v>
      </c>
      <c r="C161">
        <f>Final_Dataset!F132</f>
        <v>16</v>
      </c>
      <c r="D161" t="str">
        <f>Final_Dataset!T132</f>
        <v>Thu</v>
      </c>
      <c r="E161" t="str">
        <f>Final_Dataset!X132</f>
        <v>Clear</v>
      </c>
      <c r="F161">
        <f>Final_Dataset!J132</f>
        <v>0.26</v>
      </c>
      <c r="G161">
        <f>Final_Dataset!L132</f>
        <v>0.38</v>
      </c>
      <c r="H161">
        <f>Final_Dataset!M132</f>
        <v>0.16420000000000001</v>
      </c>
      <c r="I161">
        <f>Final_Dataset!P132</f>
        <v>86</v>
      </c>
      <c r="J161" s="54">
        <f t="shared" si="14"/>
        <v>89.272727272727266</v>
      </c>
      <c r="K161" s="54">
        <f t="shared" si="15"/>
        <v>25.461657115880747</v>
      </c>
      <c r="L161" s="55">
        <f t="shared" si="16"/>
        <v>-0.12853551745797512</v>
      </c>
      <c r="M161" t="str">
        <f t="shared" si="17"/>
        <v/>
      </c>
    </row>
    <row r="162" spans="1:13" x14ac:dyDescent="0.2">
      <c r="A162">
        <f>Final_Dataset!A133</f>
        <v>132</v>
      </c>
      <c r="B162" s="53">
        <f>Final_Dataset!B133</f>
        <v>40549</v>
      </c>
      <c r="C162">
        <f>Final_Dataset!F133</f>
        <v>17</v>
      </c>
      <c r="D162" t="str">
        <f>Final_Dataset!T133</f>
        <v>Thu</v>
      </c>
      <c r="E162" t="str">
        <f>Final_Dataset!X133</f>
        <v>Clear</v>
      </c>
      <c r="F162">
        <f>Final_Dataset!J133</f>
        <v>0.22</v>
      </c>
      <c r="G162">
        <f>Final_Dataset!L133</f>
        <v>0.51</v>
      </c>
      <c r="H162">
        <f>Final_Dataset!M133</f>
        <v>0.16420000000000001</v>
      </c>
      <c r="I162">
        <f>Final_Dataset!P133</f>
        <v>172</v>
      </c>
      <c r="J162" s="54">
        <f t="shared" si="14"/>
        <v>140.20454545454547</v>
      </c>
      <c r="K162" s="54">
        <f t="shared" si="15"/>
        <v>54.067391000084569</v>
      </c>
      <c r="L162" s="55">
        <f t="shared" si="16"/>
        <v>0.58807081232021718</v>
      </c>
      <c r="M162" t="str">
        <f t="shared" si="17"/>
        <v/>
      </c>
    </row>
    <row r="163" spans="1:13" x14ac:dyDescent="0.2">
      <c r="A163">
        <f>Final_Dataset!A134</f>
        <v>133</v>
      </c>
      <c r="B163" s="53">
        <f>Final_Dataset!B134</f>
        <v>40549</v>
      </c>
      <c r="C163">
        <f>Final_Dataset!F134</f>
        <v>18</v>
      </c>
      <c r="D163" t="str">
        <f>Final_Dataset!T134</f>
        <v>Thu</v>
      </c>
      <c r="E163" t="str">
        <f>Final_Dataset!X134</f>
        <v>Clear</v>
      </c>
      <c r="F163">
        <f>Final_Dataset!J134</f>
        <v>0.22</v>
      </c>
      <c r="G163">
        <f>Final_Dataset!L134</f>
        <v>0.51</v>
      </c>
      <c r="H163">
        <f>Final_Dataset!M134</f>
        <v>0.1343</v>
      </c>
      <c r="I163">
        <f>Final_Dataset!P134</f>
        <v>163</v>
      </c>
      <c r="J163" s="54">
        <f t="shared" si="14"/>
        <v>122.86046511627907</v>
      </c>
      <c r="K163" s="54">
        <f t="shared" si="15"/>
        <v>48.613432101949947</v>
      </c>
      <c r="L163" s="55">
        <f t="shared" si="16"/>
        <v>0.82568815136405227</v>
      </c>
      <c r="M163" t="str">
        <f t="shared" si="17"/>
        <v/>
      </c>
    </row>
    <row r="164" spans="1:13" x14ac:dyDescent="0.2">
      <c r="A164">
        <f>Final_Dataset!A135</f>
        <v>134</v>
      </c>
      <c r="B164" s="53">
        <f>Final_Dataset!B135</f>
        <v>40549</v>
      </c>
      <c r="C164">
        <f>Final_Dataset!F135</f>
        <v>19</v>
      </c>
      <c r="D164" t="str">
        <f>Final_Dataset!T135</f>
        <v>Thu</v>
      </c>
      <c r="E164" t="str">
        <f>Final_Dataset!X135</f>
        <v>Clear</v>
      </c>
      <c r="F164">
        <f>Final_Dataset!J135</f>
        <v>0.22</v>
      </c>
      <c r="G164">
        <f>Final_Dataset!L135</f>
        <v>0.55000000000000004</v>
      </c>
      <c r="H164">
        <f>Final_Dataset!M135</f>
        <v>8.9599999999999999E-2</v>
      </c>
      <c r="I164">
        <f>Final_Dataset!P135</f>
        <v>112</v>
      </c>
      <c r="J164" s="54">
        <f t="shared" si="14"/>
        <v>85.139534883720927</v>
      </c>
      <c r="K164" s="54">
        <f t="shared" si="15"/>
        <v>31.690904054294759</v>
      </c>
      <c r="L164" s="55">
        <f t="shared" si="16"/>
        <v>0.84757648662405183</v>
      </c>
      <c r="M164" t="str">
        <f t="shared" si="17"/>
        <v/>
      </c>
    </row>
    <row r="165" spans="1:13" x14ac:dyDescent="0.2">
      <c r="A165">
        <f>Final_Dataset!A136</f>
        <v>135</v>
      </c>
      <c r="B165" s="53">
        <f>Final_Dataset!B136</f>
        <v>40549</v>
      </c>
      <c r="C165">
        <f>Final_Dataset!F136</f>
        <v>20</v>
      </c>
      <c r="D165" t="str">
        <f>Final_Dataset!T136</f>
        <v>Thu</v>
      </c>
      <c r="E165" t="str">
        <f>Final_Dataset!X136</f>
        <v>Clear</v>
      </c>
      <c r="F165">
        <f>Final_Dataset!J136</f>
        <v>0.2</v>
      </c>
      <c r="G165">
        <f>Final_Dataset!L136</f>
        <v>0.51</v>
      </c>
      <c r="H165">
        <f>Final_Dataset!M136</f>
        <v>0.16420000000000001</v>
      </c>
      <c r="I165">
        <f>Final_Dataset!P136</f>
        <v>69</v>
      </c>
      <c r="J165" s="54">
        <f t="shared" si="14"/>
        <v>61.767441860465119</v>
      </c>
      <c r="K165" s="54">
        <f t="shared" si="15"/>
        <v>24.6323801696856</v>
      </c>
      <c r="L165" s="55">
        <f t="shared" si="16"/>
        <v>0.29361994617295623</v>
      </c>
      <c r="M165" t="str">
        <f t="shared" si="17"/>
        <v/>
      </c>
    </row>
    <row r="166" spans="1:13" x14ac:dyDescent="0.2">
      <c r="A166">
        <f>Final_Dataset!A137</f>
        <v>136</v>
      </c>
      <c r="B166" s="53">
        <f>Final_Dataset!B137</f>
        <v>40549</v>
      </c>
      <c r="C166">
        <f>Final_Dataset!F137</f>
        <v>21</v>
      </c>
      <c r="D166" t="str">
        <f>Final_Dataset!T137</f>
        <v>Thu</v>
      </c>
      <c r="E166" t="str">
        <f>Final_Dataset!X137</f>
        <v>Cloudy/Mist</v>
      </c>
      <c r="F166">
        <f>Final_Dataset!J137</f>
        <v>0.22</v>
      </c>
      <c r="G166">
        <f>Final_Dataset!L137</f>
        <v>0.55000000000000004</v>
      </c>
      <c r="H166">
        <f>Final_Dataset!M137</f>
        <v>0.22389999999999999</v>
      </c>
      <c r="I166">
        <f>Final_Dataset!P137</f>
        <v>48</v>
      </c>
      <c r="J166" s="54">
        <f t="shared" si="14"/>
        <v>46.418604651162788</v>
      </c>
      <c r="K166" s="54">
        <f t="shared" si="15"/>
        <v>14.656759464719499</v>
      </c>
      <c r="L166" s="55">
        <f t="shared" si="16"/>
        <v>0.10789529245150076</v>
      </c>
      <c r="M166" t="str">
        <f t="shared" si="17"/>
        <v/>
      </c>
    </row>
    <row r="167" spans="1:13" x14ac:dyDescent="0.2">
      <c r="A167">
        <f>Final_Dataset!A138</f>
        <v>137</v>
      </c>
      <c r="B167" s="53">
        <f>Final_Dataset!B138</f>
        <v>40549</v>
      </c>
      <c r="C167">
        <f>Final_Dataset!F138</f>
        <v>22</v>
      </c>
      <c r="D167" t="str">
        <f>Final_Dataset!T138</f>
        <v>Thu</v>
      </c>
      <c r="E167" t="str">
        <f>Final_Dataset!X138</f>
        <v>Cloudy/Mist</v>
      </c>
      <c r="F167">
        <f>Final_Dataset!J138</f>
        <v>0.22</v>
      </c>
      <c r="G167">
        <f>Final_Dataset!L138</f>
        <v>0.51</v>
      </c>
      <c r="H167">
        <f>Final_Dataset!M138</f>
        <v>0.28360000000000002</v>
      </c>
      <c r="I167">
        <f>Final_Dataset!P138</f>
        <v>52</v>
      </c>
      <c r="J167" s="54">
        <f t="shared" si="14"/>
        <v>35.069767441860463</v>
      </c>
      <c r="K167" s="54">
        <f t="shared" si="15"/>
        <v>11.95506537162667</v>
      </c>
      <c r="L167" s="55">
        <f t="shared" si="16"/>
        <v>1.4161555819109601</v>
      </c>
      <c r="M167" t="str">
        <f t="shared" si="17"/>
        <v/>
      </c>
    </row>
    <row r="168" spans="1:13" x14ac:dyDescent="0.2">
      <c r="A168">
        <f>Final_Dataset!A139</f>
        <v>138</v>
      </c>
      <c r="B168" s="53">
        <f>Final_Dataset!B139</f>
        <v>40549</v>
      </c>
      <c r="C168">
        <f>Final_Dataset!F139</f>
        <v>23</v>
      </c>
      <c r="D168" t="str">
        <f>Final_Dataset!T139</f>
        <v>Thu</v>
      </c>
      <c r="E168" t="str">
        <f>Final_Dataset!X139</f>
        <v>Cloudy/Mist</v>
      </c>
      <c r="F168">
        <f>Final_Dataset!J139</f>
        <v>0.2</v>
      </c>
      <c r="G168">
        <f>Final_Dataset!L139</f>
        <v>0.59</v>
      </c>
      <c r="H168">
        <f>Final_Dataset!M139</f>
        <v>0.19400000000000001</v>
      </c>
      <c r="I168">
        <f>Final_Dataset!P139</f>
        <v>23</v>
      </c>
      <c r="J168" s="54">
        <f t="shared" si="14"/>
        <v>25.186046511627907</v>
      </c>
      <c r="K168" s="54">
        <f t="shared" si="15"/>
        <v>11.751911321656186</v>
      </c>
      <c r="L168" s="55">
        <f t="shared" si="16"/>
        <v>-0.18601625316892109</v>
      </c>
      <c r="M168" t="str">
        <f t="shared" si="17"/>
        <v/>
      </c>
    </row>
    <row r="169" spans="1:13" x14ac:dyDescent="0.2">
      <c r="A169">
        <f>Final_Dataset!A140</f>
        <v>139</v>
      </c>
      <c r="B169" s="53">
        <f>Final_Dataset!B140</f>
        <v>40550</v>
      </c>
      <c r="C169">
        <f>Final_Dataset!F140</f>
        <v>0</v>
      </c>
      <c r="D169" t="str">
        <f>Final_Dataset!T140</f>
        <v>Fri</v>
      </c>
      <c r="E169" t="str">
        <f>Final_Dataset!X140</f>
        <v>Cloudy/Mist</v>
      </c>
      <c r="F169">
        <f>Final_Dataset!J140</f>
        <v>0.2</v>
      </c>
      <c r="G169">
        <f>Final_Dataset!L140</f>
        <v>0.64</v>
      </c>
      <c r="H169">
        <f>Final_Dataset!M140</f>
        <v>0.19400000000000001</v>
      </c>
      <c r="I169">
        <f>Final_Dataset!P140</f>
        <v>17</v>
      </c>
      <c r="J169" s="54">
        <f t="shared" si="14"/>
        <v>16.348837209302324</v>
      </c>
      <c r="K169" s="54">
        <f t="shared" si="15"/>
        <v>10.442321674276208</v>
      </c>
      <c r="L169" s="55">
        <f t="shared" si="16"/>
        <v>6.2358047473461867E-2</v>
      </c>
      <c r="M169" t="str">
        <f t="shared" si="17"/>
        <v/>
      </c>
    </row>
    <row r="170" spans="1:13" x14ac:dyDescent="0.2">
      <c r="A170">
        <f>Final_Dataset!A141</f>
        <v>140</v>
      </c>
      <c r="B170" s="53">
        <f>Final_Dataset!B141</f>
        <v>40550</v>
      </c>
      <c r="C170">
        <f>Final_Dataset!F141</f>
        <v>1</v>
      </c>
      <c r="D170" t="str">
        <f>Final_Dataset!T141</f>
        <v>Fri</v>
      </c>
      <c r="E170" t="str">
        <f>Final_Dataset!X141</f>
        <v>Cloudy/Mist</v>
      </c>
      <c r="F170">
        <f>Final_Dataset!J141</f>
        <v>0.2</v>
      </c>
      <c r="G170">
        <f>Final_Dataset!L141</f>
        <v>0.69</v>
      </c>
      <c r="H170">
        <f>Final_Dataset!M141</f>
        <v>0.22389999999999999</v>
      </c>
      <c r="I170">
        <f>Final_Dataset!P141</f>
        <v>7</v>
      </c>
      <c r="J170" s="54">
        <f t="shared" si="14"/>
        <v>10.697674418604651</v>
      </c>
      <c r="K170" s="54">
        <f t="shared" si="15"/>
        <v>10.060613641515801</v>
      </c>
      <c r="L170" s="55">
        <f t="shared" si="16"/>
        <v>-0.36753965020045576</v>
      </c>
      <c r="M170" t="str">
        <f t="shared" si="17"/>
        <v/>
      </c>
    </row>
    <row r="171" spans="1:13" x14ac:dyDescent="0.2">
      <c r="A171">
        <f>Final_Dataset!A142</f>
        <v>141</v>
      </c>
      <c r="B171" s="53">
        <f>Final_Dataset!B142</f>
        <v>40550</v>
      </c>
      <c r="C171">
        <f>Final_Dataset!F142</f>
        <v>2</v>
      </c>
      <c r="D171" t="str">
        <f>Final_Dataset!T142</f>
        <v>Fri</v>
      </c>
      <c r="E171" t="str">
        <f>Final_Dataset!X142</f>
        <v>Cloudy/Mist</v>
      </c>
      <c r="F171">
        <f>Final_Dataset!J142</f>
        <v>0.2</v>
      </c>
      <c r="G171">
        <f>Final_Dataset!L142</f>
        <v>0.69</v>
      </c>
      <c r="H171">
        <f>Final_Dataset!M142</f>
        <v>0.22389999999999999</v>
      </c>
      <c r="I171">
        <f>Final_Dataset!P142</f>
        <v>1</v>
      </c>
      <c r="J171" s="54">
        <f t="shared" si="14"/>
        <v>7.1707317073170733</v>
      </c>
      <c r="K171" s="54">
        <f t="shared" si="15"/>
        <v>7.3685223723090862</v>
      </c>
      <c r="L171" s="55">
        <f t="shared" si="16"/>
        <v>-0.83744493068334691</v>
      </c>
      <c r="M171" t="str">
        <f t="shared" si="17"/>
        <v/>
      </c>
    </row>
    <row r="172" spans="1:13" x14ac:dyDescent="0.2">
      <c r="A172">
        <f>Final_Dataset!A143</f>
        <v>142</v>
      </c>
      <c r="B172" s="53">
        <f>Final_Dataset!B143</f>
        <v>40550</v>
      </c>
      <c r="C172">
        <f>Final_Dataset!F143</f>
        <v>4</v>
      </c>
      <c r="D172" t="str">
        <f>Final_Dataset!T143</f>
        <v>Fri</v>
      </c>
      <c r="E172" t="str">
        <f>Final_Dataset!X143</f>
        <v>Cloudy/Mist</v>
      </c>
      <c r="F172">
        <f>Final_Dataset!J143</f>
        <v>0.2</v>
      </c>
      <c r="G172">
        <f>Final_Dataset!L143</f>
        <v>0.69</v>
      </c>
      <c r="H172">
        <f>Final_Dataset!M143</f>
        <v>0.1343</v>
      </c>
      <c r="I172">
        <f>Final_Dataset!P143</f>
        <v>1</v>
      </c>
      <c r="J172" s="54">
        <f t="shared" si="14"/>
        <v>2.15625</v>
      </c>
      <c r="K172" s="54">
        <f t="shared" si="15"/>
        <v>1.5263148747143209</v>
      </c>
      <c r="L172" s="55">
        <f t="shared" si="16"/>
        <v>-0.75754355746314428</v>
      </c>
      <c r="M172" t="str">
        <f t="shared" si="17"/>
        <v/>
      </c>
    </row>
    <row r="173" spans="1:13" x14ac:dyDescent="0.2">
      <c r="A173">
        <f>Final_Dataset!A144</f>
        <v>143</v>
      </c>
      <c r="B173" s="53">
        <f>Final_Dataset!B144</f>
        <v>40550</v>
      </c>
      <c r="C173">
        <f>Final_Dataset!F144</f>
        <v>5</v>
      </c>
      <c r="D173" t="str">
        <f>Final_Dataset!T144</f>
        <v>Fri</v>
      </c>
      <c r="E173" t="str">
        <f>Final_Dataset!X144</f>
        <v>Light Rain/Snow</v>
      </c>
      <c r="F173">
        <f>Final_Dataset!J144</f>
        <v>0.22</v>
      </c>
      <c r="G173">
        <f>Final_Dataset!L144</f>
        <v>0.55000000000000004</v>
      </c>
      <c r="H173">
        <f>Final_Dataset!M144</f>
        <v>0</v>
      </c>
      <c r="I173">
        <f>Final_Dataset!P144</f>
        <v>5</v>
      </c>
      <c r="J173" s="54">
        <f t="shared" si="14"/>
        <v>4.2051282051282053</v>
      </c>
      <c r="K173" s="54">
        <f t="shared" si="15"/>
        <v>2.5358429220352288</v>
      </c>
      <c r="L173" s="55">
        <f t="shared" si="16"/>
        <v>0.31345466549396633</v>
      </c>
      <c r="M173" t="str">
        <f t="shared" si="17"/>
        <v/>
      </c>
    </row>
    <row r="174" spans="1:13" x14ac:dyDescent="0.2">
      <c r="A174">
        <f>Final_Dataset!A145</f>
        <v>144</v>
      </c>
      <c r="B174" s="53">
        <f>Final_Dataset!B145</f>
        <v>40550</v>
      </c>
      <c r="C174">
        <f>Final_Dataset!F145</f>
        <v>6</v>
      </c>
      <c r="D174" t="str">
        <f>Final_Dataset!T145</f>
        <v>Fri</v>
      </c>
      <c r="E174" t="str">
        <f>Final_Dataset!X145</f>
        <v>Cloudy/Mist</v>
      </c>
      <c r="F174">
        <f>Final_Dataset!J145</f>
        <v>0.2</v>
      </c>
      <c r="G174">
        <f>Final_Dataset!L145</f>
        <v>0.69</v>
      </c>
      <c r="H174">
        <f>Final_Dataset!M145</f>
        <v>0</v>
      </c>
      <c r="I174">
        <f>Final_Dataset!P145</f>
        <v>34</v>
      </c>
      <c r="J174" s="54">
        <f t="shared" si="14"/>
        <v>19.571428571428573</v>
      </c>
      <c r="K174" s="54">
        <f t="shared" si="15"/>
        <v>14.202615453298934</v>
      </c>
      <c r="L174" s="55">
        <f t="shared" si="16"/>
        <v>1.0159094623110427</v>
      </c>
      <c r="M174" t="str">
        <f t="shared" si="17"/>
        <v/>
      </c>
    </row>
    <row r="175" spans="1:13" x14ac:dyDescent="0.2">
      <c r="A175">
        <f>Final_Dataset!A146</f>
        <v>145</v>
      </c>
      <c r="B175" s="53">
        <f>Final_Dataset!B146</f>
        <v>40550</v>
      </c>
      <c r="C175">
        <f>Final_Dataset!F146</f>
        <v>7</v>
      </c>
      <c r="D175" t="str">
        <f>Final_Dataset!T146</f>
        <v>Fri</v>
      </c>
      <c r="E175" t="str">
        <f>Final_Dataset!X146</f>
        <v>Clear</v>
      </c>
      <c r="F175">
        <f>Final_Dataset!J146</f>
        <v>0.2</v>
      </c>
      <c r="G175">
        <f>Final_Dataset!L146</f>
        <v>0.69</v>
      </c>
      <c r="H175">
        <f>Final_Dataset!M146</f>
        <v>0.1343</v>
      </c>
      <c r="I175">
        <f>Final_Dataset!P146</f>
        <v>84</v>
      </c>
      <c r="J175" s="54">
        <f t="shared" si="14"/>
        <v>54.395348837209305</v>
      </c>
      <c r="K175" s="54">
        <f t="shared" si="15"/>
        <v>39.112864486352777</v>
      </c>
      <c r="L175" s="55">
        <f t="shared" si="16"/>
        <v>0.75690317115792738</v>
      </c>
      <c r="M175" t="str">
        <f t="shared" si="17"/>
        <v/>
      </c>
    </row>
    <row r="176" spans="1:13" x14ac:dyDescent="0.2">
      <c r="A176">
        <f>Final_Dataset!A147</f>
        <v>146</v>
      </c>
      <c r="B176" s="53">
        <f>Final_Dataset!B147</f>
        <v>40550</v>
      </c>
      <c r="C176">
        <f>Final_Dataset!F147</f>
        <v>8</v>
      </c>
      <c r="D176" t="str">
        <f>Final_Dataset!T147</f>
        <v>Fri</v>
      </c>
      <c r="E176" t="str">
        <f>Final_Dataset!X147</f>
        <v>Clear</v>
      </c>
      <c r="F176">
        <f>Final_Dataset!J147</f>
        <v>0.2</v>
      </c>
      <c r="G176">
        <f>Final_Dataset!L147</f>
        <v>0.51</v>
      </c>
      <c r="H176">
        <f>Final_Dataset!M147</f>
        <v>0.25369999999999998</v>
      </c>
      <c r="I176">
        <f>Final_Dataset!P147</f>
        <v>210</v>
      </c>
      <c r="J176" s="54">
        <f t="shared" si="14"/>
        <v>128.28571428571428</v>
      </c>
      <c r="K176" s="54">
        <f t="shared" si="15"/>
        <v>88.551565717048533</v>
      </c>
      <c r="L176" s="55">
        <f t="shared" si="16"/>
        <v>0.92278758769088087</v>
      </c>
      <c r="M176" t="str">
        <f t="shared" si="17"/>
        <v/>
      </c>
    </row>
    <row r="177" spans="1:13" x14ac:dyDescent="0.2">
      <c r="A177">
        <f>Final_Dataset!A148</f>
        <v>147</v>
      </c>
      <c r="B177" s="53">
        <f>Final_Dataset!B148</f>
        <v>40550</v>
      </c>
      <c r="C177">
        <f>Final_Dataset!F148</f>
        <v>9</v>
      </c>
      <c r="D177" t="str">
        <f>Final_Dataset!T148</f>
        <v>Fri</v>
      </c>
      <c r="E177" t="str">
        <f>Final_Dataset!X148</f>
        <v>Clear</v>
      </c>
      <c r="F177">
        <f>Final_Dataset!J148</f>
        <v>0.2</v>
      </c>
      <c r="G177">
        <f>Final_Dataset!L148</f>
        <v>0.47</v>
      </c>
      <c r="H177">
        <f>Final_Dataset!M148</f>
        <v>0.29849999999999999</v>
      </c>
      <c r="I177">
        <f>Final_Dataset!P148</f>
        <v>134</v>
      </c>
      <c r="J177" s="54">
        <f t="shared" si="14"/>
        <v>87.428571428571431</v>
      </c>
      <c r="K177" s="54">
        <f t="shared" si="15"/>
        <v>45.93852884078624</v>
      </c>
      <c r="L177" s="55">
        <f t="shared" si="16"/>
        <v>1.0137771005431155</v>
      </c>
      <c r="M177" t="str">
        <f t="shared" si="17"/>
        <v/>
      </c>
    </row>
    <row r="178" spans="1:13" x14ac:dyDescent="0.2">
      <c r="A178">
        <f>Final_Dataset!A149</f>
        <v>148</v>
      </c>
      <c r="B178" s="53">
        <f>Final_Dataset!B149</f>
        <v>40550</v>
      </c>
      <c r="C178">
        <f>Final_Dataset!F149</f>
        <v>10</v>
      </c>
      <c r="D178" t="str">
        <f>Final_Dataset!T149</f>
        <v>Fri</v>
      </c>
      <c r="E178" t="str">
        <f>Final_Dataset!X149</f>
        <v>Clear</v>
      </c>
      <c r="F178">
        <f>Final_Dataset!J149</f>
        <v>0.22</v>
      </c>
      <c r="G178">
        <f>Final_Dataset!L149</f>
        <v>0.37</v>
      </c>
      <c r="H178">
        <f>Final_Dataset!M149</f>
        <v>0.32840000000000003</v>
      </c>
      <c r="I178">
        <f>Final_Dataset!P149</f>
        <v>63</v>
      </c>
      <c r="J178" s="54">
        <f t="shared" si="14"/>
        <v>53.642857142857146</v>
      </c>
      <c r="K178" s="54">
        <f t="shared" si="15"/>
        <v>15.395313554536934</v>
      </c>
      <c r="L178" s="55">
        <f t="shared" si="16"/>
        <v>0.60779163892932497</v>
      </c>
      <c r="M178" t="str">
        <f t="shared" si="17"/>
        <v/>
      </c>
    </row>
    <row r="179" spans="1:13" x14ac:dyDescent="0.2">
      <c r="A179">
        <f>Final_Dataset!A150</f>
        <v>149</v>
      </c>
      <c r="B179" s="53">
        <f>Final_Dataset!B150</f>
        <v>40550</v>
      </c>
      <c r="C179">
        <f>Final_Dataset!F150</f>
        <v>11</v>
      </c>
      <c r="D179" t="str">
        <f>Final_Dataset!T150</f>
        <v>Fri</v>
      </c>
      <c r="E179" t="str">
        <f>Final_Dataset!X150</f>
        <v>Cloudy/Mist</v>
      </c>
      <c r="F179">
        <f>Final_Dataset!J150</f>
        <v>0.2</v>
      </c>
      <c r="G179">
        <f>Final_Dataset!L150</f>
        <v>0.4</v>
      </c>
      <c r="H179">
        <f>Final_Dataset!M150</f>
        <v>0.22389999999999999</v>
      </c>
      <c r="I179">
        <f>Final_Dataset!P150</f>
        <v>67</v>
      </c>
      <c r="J179" s="54">
        <f t="shared" si="14"/>
        <v>59.38095238095238</v>
      </c>
      <c r="K179" s="54">
        <f t="shared" si="15"/>
        <v>20.89573696860419</v>
      </c>
      <c r="L179" s="55">
        <f t="shared" si="16"/>
        <v>0.3646221059585133</v>
      </c>
      <c r="M179" t="str">
        <f t="shared" si="17"/>
        <v/>
      </c>
    </row>
    <row r="180" spans="1:13" x14ac:dyDescent="0.2">
      <c r="A180">
        <f>Final_Dataset!A151</f>
        <v>150</v>
      </c>
      <c r="B180" s="53">
        <f>Final_Dataset!B151</f>
        <v>40550</v>
      </c>
      <c r="C180">
        <f>Final_Dataset!F151</f>
        <v>12</v>
      </c>
      <c r="D180" t="str">
        <f>Final_Dataset!T151</f>
        <v>Fri</v>
      </c>
      <c r="E180" t="str">
        <f>Final_Dataset!X151</f>
        <v>Cloudy/Mist</v>
      </c>
      <c r="F180">
        <f>Final_Dataset!J151</f>
        <v>0.2</v>
      </c>
      <c r="G180">
        <f>Final_Dataset!L151</f>
        <v>0.37</v>
      </c>
      <c r="H180">
        <f>Final_Dataset!M151</f>
        <v>0.25369999999999998</v>
      </c>
      <c r="I180">
        <f>Final_Dataset!P151</f>
        <v>59</v>
      </c>
      <c r="J180" s="54">
        <f t="shared" si="14"/>
        <v>76.348837209302332</v>
      </c>
      <c r="K180" s="54">
        <f t="shared" si="15"/>
        <v>29.034366927857057</v>
      </c>
      <c r="L180" s="55">
        <f t="shared" si="16"/>
        <v>-0.59752765584349521</v>
      </c>
      <c r="M180" t="str">
        <f t="shared" si="17"/>
        <v/>
      </c>
    </row>
    <row r="181" spans="1:13" x14ac:dyDescent="0.2">
      <c r="A181">
        <f>Final_Dataset!A152</f>
        <v>151</v>
      </c>
      <c r="B181" s="53">
        <f>Final_Dataset!B152</f>
        <v>40550</v>
      </c>
      <c r="C181">
        <f>Final_Dataset!F152</f>
        <v>13</v>
      </c>
      <c r="D181" t="str">
        <f>Final_Dataset!T152</f>
        <v>Fri</v>
      </c>
      <c r="E181" t="str">
        <f>Final_Dataset!X152</f>
        <v>Cloudy/Mist</v>
      </c>
      <c r="F181">
        <f>Final_Dataset!J152</f>
        <v>0.2</v>
      </c>
      <c r="G181">
        <f>Final_Dataset!L152</f>
        <v>0.37</v>
      </c>
      <c r="H181">
        <f>Final_Dataset!M152</f>
        <v>0.28360000000000002</v>
      </c>
      <c r="I181">
        <f>Final_Dataset!P152</f>
        <v>73</v>
      </c>
      <c r="J181" s="54">
        <f t="shared" si="14"/>
        <v>78.511627906976742</v>
      </c>
      <c r="K181" s="54">
        <f t="shared" si="15"/>
        <v>30.072430098825173</v>
      </c>
      <c r="L181" s="55">
        <f t="shared" si="16"/>
        <v>-0.1832784343953654</v>
      </c>
      <c r="M181" t="str">
        <f t="shared" si="17"/>
        <v/>
      </c>
    </row>
    <row r="182" spans="1:13" x14ac:dyDescent="0.2">
      <c r="A182">
        <f>Final_Dataset!A153</f>
        <v>152</v>
      </c>
      <c r="B182" s="53">
        <f>Final_Dataset!B153</f>
        <v>40550</v>
      </c>
      <c r="C182">
        <f>Final_Dataset!F153</f>
        <v>14</v>
      </c>
      <c r="D182" t="str">
        <f>Final_Dataset!T153</f>
        <v>Fri</v>
      </c>
      <c r="E182" t="str">
        <f>Final_Dataset!X153</f>
        <v>Cloudy/Mist</v>
      </c>
      <c r="F182">
        <f>Final_Dataset!J153</f>
        <v>0.2</v>
      </c>
      <c r="G182">
        <f>Final_Dataset!L153</f>
        <v>0.4</v>
      </c>
      <c r="H182">
        <f>Final_Dataset!M153</f>
        <v>0.25369999999999998</v>
      </c>
      <c r="I182">
        <f>Final_Dataset!P153</f>
        <v>50</v>
      </c>
      <c r="J182" s="54">
        <f t="shared" si="14"/>
        <v>74.418604651162795</v>
      </c>
      <c r="K182" s="54">
        <f t="shared" si="15"/>
        <v>30.305769180565147</v>
      </c>
      <c r="L182" s="55">
        <f t="shared" si="16"/>
        <v>-0.80574112822129773</v>
      </c>
      <c r="M182" t="str">
        <f t="shared" si="17"/>
        <v/>
      </c>
    </row>
    <row r="183" spans="1:13" x14ac:dyDescent="0.2">
      <c r="A183">
        <f>Final_Dataset!A154</f>
        <v>153</v>
      </c>
      <c r="B183" s="53">
        <f>Final_Dataset!B154</f>
        <v>40550</v>
      </c>
      <c r="C183">
        <f>Final_Dataset!F154</f>
        <v>15</v>
      </c>
      <c r="D183" t="str">
        <f>Final_Dataset!T154</f>
        <v>Fri</v>
      </c>
      <c r="E183" t="str">
        <f>Final_Dataset!X154</f>
        <v>Cloudy/Mist</v>
      </c>
      <c r="F183">
        <f>Final_Dataset!J154</f>
        <v>0.2</v>
      </c>
      <c r="G183">
        <f>Final_Dataset!L154</f>
        <v>0.37</v>
      </c>
      <c r="H183">
        <f>Final_Dataset!M154</f>
        <v>0.16420000000000001</v>
      </c>
      <c r="I183">
        <f>Final_Dataset!P154</f>
        <v>72</v>
      </c>
      <c r="J183" s="54">
        <f t="shared" si="14"/>
        <v>77.95348837209302</v>
      </c>
      <c r="K183" s="54">
        <f t="shared" si="15"/>
        <v>34.481156681772681</v>
      </c>
      <c r="L183" s="55">
        <f t="shared" si="16"/>
        <v>-0.1726591838852127</v>
      </c>
      <c r="M183" t="str">
        <f t="shared" si="17"/>
        <v/>
      </c>
    </row>
    <row r="184" spans="1:13" x14ac:dyDescent="0.2">
      <c r="A184">
        <f>Final_Dataset!A155</f>
        <v>154</v>
      </c>
      <c r="B184" s="53">
        <f>Final_Dataset!B155</f>
        <v>40550</v>
      </c>
      <c r="C184">
        <f>Final_Dataset!F155</f>
        <v>16</v>
      </c>
      <c r="D184" t="str">
        <f>Final_Dataset!T155</f>
        <v>Fri</v>
      </c>
      <c r="E184" t="str">
        <f>Final_Dataset!X155</f>
        <v>Cloudy/Mist</v>
      </c>
      <c r="F184">
        <f>Final_Dataset!J155</f>
        <v>0.2</v>
      </c>
      <c r="G184">
        <f>Final_Dataset!L155</f>
        <v>0.37</v>
      </c>
      <c r="H184">
        <f>Final_Dataset!M155</f>
        <v>0.16420000000000001</v>
      </c>
      <c r="I184">
        <f>Final_Dataset!P155</f>
        <v>87</v>
      </c>
      <c r="J184" s="54">
        <f t="shared" si="14"/>
        <v>89.272727272727266</v>
      </c>
      <c r="K184" s="54">
        <f t="shared" si="15"/>
        <v>25.461657115880747</v>
      </c>
      <c r="L184" s="55">
        <f t="shared" si="16"/>
        <v>-8.926077601248264E-2</v>
      </c>
      <c r="M184" t="str">
        <f t="shared" si="17"/>
        <v/>
      </c>
    </row>
    <row r="185" spans="1:13" x14ac:dyDescent="0.2">
      <c r="A185">
        <f>Final_Dataset!A156</f>
        <v>155</v>
      </c>
      <c r="B185" s="53">
        <f>Final_Dataset!B156</f>
        <v>40550</v>
      </c>
      <c r="C185">
        <f>Final_Dataset!F156</f>
        <v>17</v>
      </c>
      <c r="D185" t="str">
        <f>Final_Dataset!T156</f>
        <v>Fri</v>
      </c>
      <c r="E185" t="str">
        <f>Final_Dataset!X156</f>
        <v>Cloudy/Mist</v>
      </c>
      <c r="F185">
        <f>Final_Dataset!J156</f>
        <v>0.2</v>
      </c>
      <c r="G185">
        <f>Final_Dataset!L156</f>
        <v>0.37</v>
      </c>
      <c r="H185">
        <f>Final_Dataset!M156</f>
        <v>0</v>
      </c>
      <c r="I185">
        <f>Final_Dataset!P156</f>
        <v>187</v>
      </c>
      <c r="J185" s="54">
        <f t="shared" si="14"/>
        <v>140.20454545454547</v>
      </c>
      <c r="K185" s="54">
        <f t="shared" si="15"/>
        <v>54.067391000084569</v>
      </c>
      <c r="L185" s="55">
        <f t="shared" si="16"/>
        <v>0.86550236066285013</v>
      </c>
      <c r="M185" t="str">
        <f t="shared" si="17"/>
        <v/>
      </c>
    </row>
    <row r="186" spans="1:13" x14ac:dyDescent="0.2">
      <c r="A186">
        <f>Final_Dataset!A157</f>
        <v>156</v>
      </c>
      <c r="B186" s="53">
        <f>Final_Dataset!B157</f>
        <v>40550</v>
      </c>
      <c r="C186">
        <f>Final_Dataset!F157</f>
        <v>18</v>
      </c>
      <c r="D186" t="str">
        <f>Final_Dataset!T157</f>
        <v>Fri</v>
      </c>
      <c r="E186" t="str">
        <f>Final_Dataset!X157</f>
        <v>Clear</v>
      </c>
      <c r="F186">
        <f>Final_Dataset!J157</f>
        <v>0.2</v>
      </c>
      <c r="G186">
        <f>Final_Dataset!L157</f>
        <v>0.4</v>
      </c>
      <c r="H186">
        <f>Final_Dataset!M157</f>
        <v>8.9599999999999999E-2</v>
      </c>
      <c r="I186">
        <f>Final_Dataset!P157</f>
        <v>123</v>
      </c>
      <c r="J186" s="54">
        <f t="shared" si="14"/>
        <v>122.86046511627907</v>
      </c>
      <c r="K186" s="54">
        <f t="shared" si="15"/>
        <v>48.613432101949947</v>
      </c>
      <c r="L186" s="55">
        <f t="shared" si="16"/>
        <v>2.8702948483106585E-3</v>
      </c>
      <c r="M186" t="str">
        <f t="shared" si="17"/>
        <v/>
      </c>
    </row>
    <row r="187" spans="1:13" x14ac:dyDescent="0.2">
      <c r="A187">
        <f>Final_Dataset!A158</f>
        <v>157</v>
      </c>
      <c r="B187" s="53">
        <f>Final_Dataset!B158</f>
        <v>40550</v>
      </c>
      <c r="C187">
        <f>Final_Dataset!F158</f>
        <v>19</v>
      </c>
      <c r="D187" t="str">
        <f>Final_Dataset!T158</f>
        <v>Fri</v>
      </c>
      <c r="E187" t="str">
        <f>Final_Dataset!X158</f>
        <v>Clear</v>
      </c>
      <c r="F187">
        <f>Final_Dataset!J158</f>
        <v>0.16</v>
      </c>
      <c r="G187">
        <f>Final_Dataset!L158</f>
        <v>0.55000000000000004</v>
      </c>
      <c r="H187">
        <f>Final_Dataset!M158</f>
        <v>8.9599999999999999E-2</v>
      </c>
      <c r="I187">
        <f>Final_Dataset!P158</f>
        <v>95</v>
      </c>
      <c r="J187" s="54">
        <f t="shared" si="14"/>
        <v>85.139534883720927</v>
      </c>
      <c r="K187" s="54">
        <f t="shared" si="15"/>
        <v>31.690904054294759</v>
      </c>
      <c r="L187" s="55">
        <f t="shared" si="16"/>
        <v>0.31114496132346153</v>
      </c>
      <c r="M187" t="str">
        <f t="shared" si="17"/>
        <v/>
      </c>
    </row>
    <row r="188" spans="1:13" x14ac:dyDescent="0.2">
      <c r="A188">
        <f>Final_Dataset!A159</f>
        <v>158</v>
      </c>
      <c r="B188" s="53">
        <f>Final_Dataset!B159</f>
        <v>40550</v>
      </c>
      <c r="C188">
        <f>Final_Dataset!F159</f>
        <v>20</v>
      </c>
      <c r="D188" t="str">
        <f>Final_Dataset!T159</f>
        <v>Fri</v>
      </c>
      <c r="E188" t="str">
        <f>Final_Dataset!X159</f>
        <v>Clear</v>
      </c>
      <c r="F188">
        <f>Final_Dataset!J159</f>
        <v>0.18</v>
      </c>
      <c r="G188">
        <f>Final_Dataset!L159</f>
        <v>0.47</v>
      </c>
      <c r="H188">
        <f>Final_Dataset!M159</f>
        <v>0.1045</v>
      </c>
      <c r="I188">
        <f>Final_Dataset!P159</f>
        <v>51</v>
      </c>
      <c r="J188" s="54">
        <f t="shared" si="14"/>
        <v>61.767441860465119</v>
      </c>
      <c r="K188" s="54">
        <f t="shared" si="15"/>
        <v>24.6323801696856</v>
      </c>
      <c r="L188" s="55">
        <f t="shared" si="16"/>
        <v>-0.43712551472051075</v>
      </c>
      <c r="M188" t="str">
        <f t="shared" si="17"/>
        <v/>
      </c>
    </row>
    <row r="189" spans="1:13" x14ac:dyDescent="0.2">
      <c r="A189">
        <f>Final_Dataset!A160</f>
        <v>159</v>
      </c>
      <c r="B189" s="53">
        <f>Final_Dataset!B160</f>
        <v>40550</v>
      </c>
      <c r="C189">
        <f>Final_Dataset!F160</f>
        <v>21</v>
      </c>
      <c r="D189" t="str">
        <f>Final_Dataset!T160</f>
        <v>Fri</v>
      </c>
      <c r="E189" t="str">
        <f>Final_Dataset!X160</f>
        <v>Clear</v>
      </c>
      <c r="F189">
        <f>Final_Dataset!J160</f>
        <v>0.18</v>
      </c>
      <c r="G189">
        <f>Final_Dataset!L160</f>
        <v>0.47</v>
      </c>
      <c r="H189">
        <f>Final_Dataset!M160</f>
        <v>0.1343</v>
      </c>
      <c r="I189">
        <f>Final_Dataset!P160</f>
        <v>39</v>
      </c>
      <c r="J189" s="54">
        <f t="shared" si="14"/>
        <v>46.418604651162788</v>
      </c>
      <c r="K189" s="54">
        <f t="shared" si="15"/>
        <v>14.656759464719499</v>
      </c>
      <c r="L189" s="55">
        <f t="shared" si="16"/>
        <v>-0.50615585723571566</v>
      </c>
      <c r="M189" t="str">
        <f t="shared" si="17"/>
        <v/>
      </c>
    </row>
    <row r="190" spans="1:13" x14ac:dyDescent="0.2">
      <c r="A190">
        <f>Final_Dataset!A161</f>
        <v>160</v>
      </c>
      <c r="B190" s="53">
        <f>Final_Dataset!B161</f>
        <v>40550</v>
      </c>
      <c r="C190">
        <f>Final_Dataset!F161</f>
        <v>22</v>
      </c>
      <c r="D190" t="str">
        <f>Final_Dataset!T161</f>
        <v>Fri</v>
      </c>
      <c r="E190" t="str">
        <f>Final_Dataset!X161</f>
        <v>Cloudy/Mist</v>
      </c>
      <c r="F190">
        <f>Final_Dataset!J161</f>
        <v>0.18</v>
      </c>
      <c r="G190">
        <f>Final_Dataset!L161</f>
        <v>0.43</v>
      </c>
      <c r="H190">
        <f>Final_Dataset!M161</f>
        <v>0.16420000000000001</v>
      </c>
      <c r="I190">
        <f>Final_Dataset!P161</f>
        <v>36</v>
      </c>
      <c r="J190" s="54">
        <f t="shared" si="14"/>
        <v>35.069767441860463</v>
      </c>
      <c r="K190" s="54">
        <f t="shared" si="15"/>
        <v>11.95506537162667</v>
      </c>
      <c r="L190" s="55">
        <f t="shared" si="16"/>
        <v>7.7810746258844099E-2</v>
      </c>
      <c r="M190" t="str">
        <f t="shared" si="17"/>
        <v/>
      </c>
    </row>
    <row r="191" spans="1:13" x14ac:dyDescent="0.2">
      <c r="A191">
        <f>Final_Dataset!A162</f>
        <v>161</v>
      </c>
      <c r="B191" s="53">
        <f>Final_Dataset!B162</f>
        <v>40550</v>
      </c>
      <c r="C191">
        <f>Final_Dataset!F162</f>
        <v>23</v>
      </c>
      <c r="D191" t="str">
        <f>Final_Dataset!T162</f>
        <v>Fri</v>
      </c>
      <c r="E191" t="str">
        <f>Final_Dataset!X162</f>
        <v>Cloudy/Mist</v>
      </c>
      <c r="F191">
        <f>Final_Dataset!J162</f>
        <v>0.18</v>
      </c>
      <c r="G191">
        <f>Final_Dataset!L162</f>
        <v>0.51</v>
      </c>
      <c r="H191">
        <f>Final_Dataset!M162</f>
        <v>0.16420000000000001</v>
      </c>
      <c r="I191">
        <f>Final_Dataset!P162</f>
        <v>15</v>
      </c>
      <c r="J191" s="54">
        <f t="shared" si="14"/>
        <v>25.186046511627907</v>
      </c>
      <c r="K191" s="54">
        <f t="shared" si="15"/>
        <v>11.751911321656186</v>
      </c>
      <c r="L191" s="55">
        <f t="shared" si="16"/>
        <v>-0.86675658391475996</v>
      </c>
      <c r="M191" t="str">
        <f t="shared" si="17"/>
        <v/>
      </c>
    </row>
    <row r="192" spans="1:13" x14ac:dyDescent="0.2">
      <c r="A192">
        <f>Final_Dataset!A163</f>
        <v>162</v>
      </c>
      <c r="B192" s="53">
        <f>Final_Dataset!B163</f>
        <v>40551</v>
      </c>
      <c r="C192">
        <f>Final_Dataset!F163</f>
        <v>0</v>
      </c>
      <c r="D192" t="str">
        <f>Final_Dataset!T163</f>
        <v>Sat</v>
      </c>
      <c r="E192" t="str">
        <f>Final_Dataset!X163</f>
        <v>Cloudy/Mist</v>
      </c>
      <c r="F192">
        <f>Final_Dataset!J163</f>
        <v>0.18</v>
      </c>
      <c r="G192">
        <f>Final_Dataset!L163</f>
        <v>0.51</v>
      </c>
      <c r="H192">
        <f>Final_Dataset!M163</f>
        <v>0.16420000000000001</v>
      </c>
      <c r="I192">
        <f>Final_Dataset!P163</f>
        <v>25</v>
      </c>
      <c r="J192" s="54">
        <f t="shared" si="14"/>
        <v>16.348837209302324</v>
      </c>
      <c r="K192" s="54">
        <f t="shared" si="15"/>
        <v>10.442321674276208</v>
      </c>
      <c r="L192" s="55">
        <f t="shared" si="16"/>
        <v>0.82847120214742054</v>
      </c>
      <c r="M192" t="str">
        <f t="shared" si="17"/>
        <v/>
      </c>
    </row>
    <row r="193" spans="1:13" x14ac:dyDescent="0.2">
      <c r="A193">
        <f>Final_Dataset!A164</f>
        <v>163</v>
      </c>
      <c r="B193" s="53">
        <f>Final_Dataset!B164</f>
        <v>40551</v>
      </c>
      <c r="C193">
        <f>Final_Dataset!F164</f>
        <v>1</v>
      </c>
      <c r="D193" t="str">
        <f>Final_Dataset!T164</f>
        <v>Sat</v>
      </c>
      <c r="E193" t="str">
        <f>Final_Dataset!X164</f>
        <v>Cloudy/Mist</v>
      </c>
      <c r="F193">
        <f>Final_Dataset!J164</f>
        <v>0.18</v>
      </c>
      <c r="G193">
        <f>Final_Dataset!L164</f>
        <v>0.55000000000000004</v>
      </c>
      <c r="H193">
        <f>Final_Dataset!M164</f>
        <v>8.9599999999999999E-2</v>
      </c>
      <c r="I193">
        <f>Final_Dataset!P164</f>
        <v>16</v>
      </c>
      <c r="J193" s="54">
        <f t="shared" si="14"/>
        <v>10.697674418604651</v>
      </c>
      <c r="K193" s="54">
        <f t="shared" si="15"/>
        <v>10.060613641515801</v>
      </c>
      <c r="L193" s="55">
        <f t="shared" si="16"/>
        <v>0.52703798896669141</v>
      </c>
      <c r="M193" t="str">
        <f t="shared" si="17"/>
        <v/>
      </c>
    </row>
    <row r="194" spans="1:13" x14ac:dyDescent="0.2">
      <c r="A194">
        <f>Final_Dataset!A165</f>
        <v>164</v>
      </c>
      <c r="B194" s="53">
        <f>Final_Dataset!B165</f>
        <v>40551</v>
      </c>
      <c r="C194">
        <f>Final_Dataset!F165</f>
        <v>2</v>
      </c>
      <c r="D194" t="str">
        <f>Final_Dataset!T165</f>
        <v>Sat</v>
      </c>
      <c r="E194" t="str">
        <f>Final_Dataset!X165</f>
        <v>Cloudy/Mist</v>
      </c>
      <c r="F194">
        <f>Final_Dataset!J165</f>
        <v>0.18</v>
      </c>
      <c r="G194">
        <f>Final_Dataset!L165</f>
        <v>0.55000000000000004</v>
      </c>
      <c r="H194">
        <f>Final_Dataset!M165</f>
        <v>0</v>
      </c>
      <c r="I194">
        <f>Final_Dataset!P165</f>
        <v>16</v>
      </c>
      <c r="J194" s="54">
        <f t="shared" si="14"/>
        <v>7.1707317073170733</v>
      </c>
      <c r="K194" s="54">
        <f t="shared" si="15"/>
        <v>7.3685223723090862</v>
      </c>
      <c r="L194" s="55">
        <f t="shared" si="16"/>
        <v>1.1982413632702431</v>
      </c>
      <c r="M194" t="str">
        <f t="shared" si="17"/>
        <v/>
      </c>
    </row>
    <row r="195" spans="1:13" x14ac:dyDescent="0.2">
      <c r="A195">
        <f>Final_Dataset!A166</f>
        <v>165</v>
      </c>
      <c r="B195" s="53">
        <f>Final_Dataset!B166</f>
        <v>40551</v>
      </c>
      <c r="C195">
        <f>Final_Dataset!F166</f>
        <v>3</v>
      </c>
      <c r="D195" t="str">
        <f>Final_Dataset!T166</f>
        <v>Sat</v>
      </c>
      <c r="E195" t="str">
        <f>Final_Dataset!X166</f>
        <v>Light Rain/Snow</v>
      </c>
      <c r="F195">
        <f>Final_Dataset!J166</f>
        <v>0.18</v>
      </c>
      <c r="G195">
        <f>Final_Dataset!L166</f>
        <v>0.55000000000000004</v>
      </c>
      <c r="H195">
        <f>Final_Dataset!M166</f>
        <v>0.16420000000000001</v>
      </c>
      <c r="I195">
        <f>Final_Dataset!P166</f>
        <v>7</v>
      </c>
      <c r="J195" s="54">
        <f t="shared" si="14"/>
        <v>4.870967741935484</v>
      </c>
      <c r="K195" s="54">
        <f t="shared" si="15"/>
        <v>4.4702120418303126</v>
      </c>
      <c r="L195" s="55">
        <f t="shared" si="16"/>
        <v>0.47627097733663465</v>
      </c>
      <c r="M195" t="str">
        <f t="shared" si="17"/>
        <v/>
      </c>
    </row>
    <row r="196" spans="1:13" x14ac:dyDescent="0.2">
      <c r="A196">
        <f>Final_Dataset!A167</f>
        <v>166</v>
      </c>
      <c r="B196" s="53">
        <f>Final_Dataset!B167</f>
        <v>40551</v>
      </c>
      <c r="C196">
        <f>Final_Dataset!F167</f>
        <v>4</v>
      </c>
      <c r="D196" t="str">
        <f>Final_Dataset!T167</f>
        <v>Sat</v>
      </c>
      <c r="E196" t="str">
        <f>Final_Dataset!X167</f>
        <v>Light Rain/Snow</v>
      </c>
      <c r="F196">
        <f>Final_Dataset!J167</f>
        <v>0.18</v>
      </c>
      <c r="G196">
        <f>Final_Dataset!L167</f>
        <v>0.55000000000000004</v>
      </c>
      <c r="H196">
        <f>Final_Dataset!M167</f>
        <v>0.16420000000000001</v>
      </c>
      <c r="I196">
        <f>Final_Dataset!P167</f>
        <v>1</v>
      </c>
      <c r="J196" s="54">
        <f t="shared" si="14"/>
        <v>2.15625</v>
      </c>
      <c r="K196" s="54">
        <f t="shared" si="15"/>
        <v>1.5263148747143209</v>
      </c>
      <c r="L196" s="55">
        <f t="shared" si="16"/>
        <v>-0.75754355746314428</v>
      </c>
      <c r="M196" t="str">
        <f t="shared" si="17"/>
        <v/>
      </c>
    </row>
    <row r="197" spans="1:13" x14ac:dyDescent="0.2">
      <c r="A197">
        <f>Final_Dataset!A168</f>
        <v>167</v>
      </c>
      <c r="B197" s="53">
        <f>Final_Dataset!B168</f>
        <v>40551</v>
      </c>
      <c r="C197">
        <f>Final_Dataset!F168</f>
        <v>5</v>
      </c>
      <c r="D197" t="str">
        <f>Final_Dataset!T168</f>
        <v>Sat</v>
      </c>
      <c r="E197" t="str">
        <f>Final_Dataset!X168</f>
        <v>Cloudy/Mist</v>
      </c>
      <c r="F197">
        <f>Final_Dataset!J168</f>
        <v>0.16</v>
      </c>
      <c r="G197">
        <f>Final_Dataset!L168</f>
        <v>0.74</v>
      </c>
      <c r="H197">
        <f>Final_Dataset!M168</f>
        <v>0.16420000000000001</v>
      </c>
      <c r="I197">
        <f>Final_Dataset!P168</f>
        <v>5</v>
      </c>
      <c r="J197" s="54">
        <f t="shared" si="14"/>
        <v>4.2051282051282053</v>
      </c>
      <c r="K197" s="54">
        <f t="shared" si="15"/>
        <v>2.5358429220352288</v>
      </c>
      <c r="L197" s="55">
        <f t="shared" si="16"/>
        <v>0.31345466549396633</v>
      </c>
      <c r="M197" t="str">
        <f t="shared" si="17"/>
        <v/>
      </c>
    </row>
    <row r="198" spans="1:13" x14ac:dyDescent="0.2">
      <c r="A198">
        <f>Final_Dataset!A169</f>
        <v>168</v>
      </c>
      <c r="B198" s="53">
        <f>Final_Dataset!B169</f>
        <v>40551</v>
      </c>
      <c r="C198">
        <f>Final_Dataset!F169</f>
        <v>6</v>
      </c>
      <c r="D198" t="str">
        <f>Final_Dataset!T169</f>
        <v>Sat</v>
      </c>
      <c r="E198" t="str">
        <f>Final_Dataset!X169</f>
        <v>Cloudy/Mist</v>
      </c>
      <c r="F198">
        <f>Final_Dataset!J169</f>
        <v>0.16</v>
      </c>
      <c r="G198">
        <f>Final_Dataset!L169</f>
        <v>0.74</v>
      </c>
      <c r="H198">
        <f>Final_Dataset!M169</f>
        <v>0.16420000000000001</v>
      </c>
      <c r="I198">
        <f>Final_Dataset!P169</f>
        <v>2</v>
      </c>
      <c r="J198" s="54">
        <f t="shared" si="14"/>
        <v>19.571428571428573</v>
      </c>
      <c r="K198" s="54">
        <f t="shared" si="15"/>
        <v>14.202615453298934</v>
      </c>
      <c r="L198" s="55">
        <f t="shared" si="16"/>
        <v>-1.2371966719233494</v>
      </c>
      <c r="M198" t="str">
        <f t="shared" si="17"/>
        <v/>
      </c>
    </row>
    <row r="199" spans="1:13" x14ac:dyDescent="0.2">
      <c r="A199">
        <f>Final_Dataset!A170</f>
        <v>169</v>
      </c>
      <c r="B199" s="53">
        <f>Final_Dataset!B170</f>
        <v>40551</v>
      </c>
      <c r="C199">
        <f>Final_Dataset!F170</f>
        <v>7</v>
      </c>
      <c r="D199" t="str">
        <f>Final_Dataset!T170</f>
        <v>Sat</v>
      </c>
      <c r="E199" t="str">
        <f>Final_Dataset!X170</f>
        <v>Cloudy/Mist</v>
      </c>
      <c r="F199">
        <f>Final_Dataset!J170</f>
        <v>0.16</v>
      </c>
      <c r="G199">
        <f>Final_Dataset!L170</f>
        <v>0.74</v>
      </c>
      <c r="H199">
        <f>Final_Dataset!M170</f>
        <v>0.1045</v>
      </c>
      <c r="I199">
        <f>Final_Dataset!P170</f>
        <v>9</v>
      </c>
      <c r="J199" s="54">
        <f t="shared" si="14"/>
        <v>54.395348837209305</v>
      </c>
      <c r="K199" s="54">
        <f t="shared" si="15"/>
        <v>39.112864486352777</v>
      </c>
      <c r="L199" s="55">
        <f t="shared" si="16"/>
        <v>-1.160624501257089</v>
      </c>
      <c r="M199" t="str">
        <f t="shared" si="17"/>
        <v/>
      </c>
    </row>
    <row r="200" spans="1:13" x14ac:dyDescent="0.2">
      <c r="A200">
        <f>Final_Dataset!A171</f>
        <v>170</v>
      </c>
      <c r="B200" s="53">
        <f>Final_Dataset!B171</f>
        <v>40551</v>
      </c>
      <c r="C200">
        <f>Final_Dataset!F171</f>
        <v>8</v>
      </c>
      <c r="D200" t="str">
        <f>Final_Dataset!T171</f>
        <v>Sat</v>
      </c>
      <c r="E200" t="str">
        <f>Final_Dataset!X171</f>
        <v>Light Rain/Snow</v>
      </c>
      <c r="F200">
        <f>Final_Dataset!J171</f>
        <v>0.16</v>
      </c>
      <c r="G200">
        <f>Final_Dataset!L171</f>
        <v>0.93</v>
      </c>
      <c r="H200">
        <f>Final_Dataset!M171</f>
        <v>0.1045</v>
      </c>
      <c r="I200">
        <f>Final_Dataset!P171</f>
        <v>15</v>
      </c>
      <c r="J200" s="54">
        <f t="shared" si="14"/>
        <v>128.28571428571428</v>
      </c>
      <c r="K200" s="54">
        <f t="shared" si="15"/>
        <v>88.551565717048533</v>
      </c>
      <c r="L200" s="55">
        <f t="shared" si="16"/>
        <v>-1.2793191556623573</v>
      </c>
      <c r="M200" t="str">
        <f t="shared" si="17"/>
        <v/>
      </c>
    </row>
    <row r="201" spans="1:13" x14ac:dyDescent="0.2">
      <c r="A201">
        <f>Final_Dataset!A172</f>
        <v>171</v>
      </c>
      <c r="B201" s="53">
        <f>Final_Dataset!B172</f>
        <v>40551</v>
      </c>
      <c r="C201">
        <f>Final_Dataset!F172</f>
        <v>9</v>
      </c>
      <c r="D201" t="str">
        <f>Final_Dataset!T172</f>
        <v>Sat</v>
      </c>
      <c r="E201" t="str">
        <f>Final_Dataset!X172</f>
        <v>Light Rain/Snow</v>
      </c>
      <c r="F201">
        <f>Final_Dataset!J172</f>
        <v>0.16</v>
      </c>
      <c r="G201">
        <f>Final_Dataset!L172</f>
        <v>0.93</v>
      </c>
      <c r="H201">
        <f>Final_Dataset!M172</f>
        <v>0.1045</v>
      </c>
      <c r="I201">
        <f>Final_Dataset!P172</f>
        <v>20</v>
      </c>
      <c r="J201" s="54">
        <f t="shared" si="14"/>
        <v>87.428571428571431</v>
      </c>
      <c r="K201" s="54">
        <f t="shared" si="15"/>
        <v>45.93852884078624</v>
      </c>
      <c r="L201" s="55">
        <f t="shared" si="16"/>
        <v>-1.4677999737924865</v>
      </c>
      <c r="M201" t="str">
        <f t="shared" si="17"/>
        <v/>
      </c>
    </row>
    <row r="202" spans="1:13" x14ac:dyDescent="0.2">
      <c r="A202">
        <f>Final_Dataset!A173</f>
        <v>172</v>
      </c>
      <c r="B202" s="53">
        <f>Final_Dataset!B173</f>
        <v>40551</v>
      </c>
      <c r="C202">
        <f>Final_Dataset!F173</f>
        <v>10</v>
      </c>
      <c r="D202" t="str">
        <f>Final_Dataset!T173</f>
        <v>Sat</v>
      </c>
      <c r="E202" t="str">
        <f>Final_Dataset!X173</f>
        <v>Cloudy/Mist</v>
      </c>
      <c r="F202">
        <f>Final_Dataset!J173</f>
        <v>0.18</v>
      </c>
      <c r="G202">
        <f>Final_Dataset!L173</f>
        <v>0.8</v>
      </c>
      <c r="H202">
        <f>Final_Dataset!M173</f>
        <v>0.16420000000000001</v>
      </c>
      <c r="I202">
        <f>Final_Dataset!P173</f>
        <v>61</v>
      </c>
      <c r="J202" s="54">
        <f t="shared" si="14"/>
        <v>53.642857142857146</v>
      </c>
      <c r="K202" s="54">
        <f t="shared" si="15"/>
        <v>15.395313554536934</v>
      </c>
      <c r="L202" s="55">
        <f t="shared" si="16"/>
        <v>0.47788197564672108</v>
      </c>
      <c r="M202" t="str">
        <f t="shared" si="17"/>
        <v/>
      </c>
    </row>
    <row r="203" spans="1:13" x14ac:dyDescent="0.2">
      <c r="A203">
        <f>Final_Dataset!A174</f>
        <v>173</v>
      </c>
      <c r="B203" s="53">
        <f>Final_Dataset!B174</f>
        <v>40551</v>
      </c>
      <c r="C203">
        <f>Final_Dataset!F174</f>
        <v>11</v>
      </c>
      <c r="D203" t="str">
        <f>Final_Dataset!T174</f>
        <v>Sat</v>
      </c>
      <c r="E203" t="str">
        <f>Final_Dataset!X174</f>
        <v>Cloudy/Mist</v>
      </c>
      <c r="F203">
        <f>Final_Dataset!J174</f>
        <v>0.2</v>
      </c>
      <c r="G203">
        <f>Final_Dataset!L174</f>
        <v>0.69</v>
      </c>
      <c r="H203">
        <f>Final_Dataset!M174</f>
        <v>0.3881</v>
      </c>
      <c r="I203">
        <f>Final_Dataset!P174</f>
        <v>62</v>
      </c>
      <c r="J203" s="54">
        <f t="shared" si="14"/>
        <v>59.38095238095238</v>
      </c>
      <c r="K203" s="54">
        <f t="shared" si="15"/>
        <v>20.89573696860419</v>
      </c>
      <c r="L203" s="55">
        <f t="shared" si="16"/>
        <v>0.12533884892323899</v>
      </c>
      <c r="M203" t="str">
        <f t="shared" si="17"/>
        <v/>
      </c>
    </row>
    <row r="204" spans="1:13" x14ac:dyDescent="0.2">
      <c r="A204">
        <f>Final_Dataset!A175</f>
        <v>174</v>
      </c>
      <c r="B204" s="53">
        <f>Final_Dataset!B175</f>
        <v>40551</v>
      </c>
      <c r="C204">
        <f>Final_Dataset!F175</f>
        <v>12</v>
      </c>
      <c r="D204" t="str">
        <f>Final_Dataset!T175</f>
        <v>Sat</v>
      </c>
      <c r="E204" t="str">
        <f>Final_Dataset!X175</f>
        <v>Cloudy/Mist</v>
      </c>
      <c r="F204">
        <f>Final_Dataset!J175</f>
        <v>0.2</v>
      </c>
      <c r="G204">
        <f>Final_Dataset!L175</f>
        <v>0.59</v>
      </c>
      <c r="H204">
        <f>Final_Dataset!M175</f>
        <v>0.35820000000000002</v>
      </c>
      <c r="I204">
        <f>Final_Dataset!P175</f>
        <v>98</v>
      </c>
      <c r="J204" s="54">
        <f t="shared" si="14"/>
        <v>76.348837209302332</v>
      </c>
      <c r="K204" s="54">
        <f t="shared" si="15"/>
        <v>29.034366927857057</v>
      </c>
      <c r="L204" s="55">
        <f t="shared" si="16"/>
        <v>0.7457081066894018</v>
      </c>
      <c r="M204" t="str">
        <f t="shared" si="17"/>
        <v/>
      </c>
    </row>
    <row r="205" spans="1:13" x14ac:dyDescent="0.2">
      <c r="A205">
        <f>Final_Dataset!A176</f>
        <v>175</v>
      </c>
      <c r="B205" s="53">
        <f>Final_Dataset!B176</f>
        <v>40551</v>
      </c>
      <c r="C205">
        <f>Final_Dataset!F176</f>
        <v>13</v>
      </c>
      <c r="D205" t="str">
        <f>Final_Dataset!T176</f>
        <v>Sat</v>
      </c>
      <c r="E205" t="str">
        <f>Final_Dataset!X176</f>
        <v>Clear</v>
      </c>
      <c r="F205">
        <f>Final_Dataset!J176</f>
        <v>0.2</v>
      </c>
      <c r="G205">
        <f>Final_Dataset!L176</f>
        <v>0.44</v>
      </c>
      <c r="H205">
        <f>Final_Dataset!M176</f>
        <v>0.32840000000000003</v>
      </c>
      <c r="I205">
        <f>Final_Dataset!P176</f>
        <v>102</v>
      </c>
      <c r="J205" s="54">
        <f t="shared" si="14"/>
        <v>78.511627906976742</v>
      </c>
      <c r="K205" s="54">
        <f t="shared" si="15"/>
        <v>30.072430098825173</v>
      </c>
      <c r="L205" s="55">
        <f t="shared" si="16"/>
        <v>0.78105999468067167</v>
      </c>
      <c r="M205" t="str">
        <f t="shared" si="17"/>
        <v/>
      </c>
    </row>
    <row r="206" spans="1:13" x14ac:dyDescent="0.2">
      <c r="A206">
        <f>Final_Dataset!A177</f>
        <v>176</v>
      </c>
      <c r="B206" s="53">
        <f>Final_Dataset!B177</f>
        <v>40551</v>
      </c>
      <c r="C206">
        <f>Final_Dataset!F177</f>
        <v>14</v>
      </c>
      <c r="D206" t="str">
        <f>Final_Dataset!T177</f>
        <v>Sat</v>
      </c>
      <c r="E206" t="str">
        <f>Final_Dataset!X177</f>
        <v>Clear</v>
      </c>
      <c r="F206">
        <f>Final_Dataset!J177</f>
        <v>0.2</v>
      </c>
      <c r="G206">
        <f>Final_Dataset!L177</f>
        <v>0.32</v>
      </c>
      <c r="H206">
        <f>Final_Dataset!M177</f>
        <v>0.49249999999999999</v>
      </c>
      <c r="I206">
        <f>Final_Dataset!P177</f>
        <v>95</v>
      </c>
      <c r="J206" s="54">
        <f t="shared" si="14"/>
        <v>74.418604651162795</v>
      </c>
      <c r="K206" s="54">
        <f t="shared" si="15"/>
        <v>30.305769180565147</v>
      </c>
      <c r="L206" s="55">
        <f t="shared" si="16"/>
        <v>0.67912466521509351</v>
      </c>
      <c r="M206" t="str">
        <f t="shared" si="17"/>
        <v/>
      </c>
    </row>
    <row r="207" spans="1:13" x14ac:dyDescent="0.2">
      <c r="A207">
        <f>Final_Dataset!A178</f>
        <v>177</v>
      </c>
      <c r="B207" s="53">
        <f>Final_Dataset!B178</f>
        <v>40551</v>
      </c>
      <c r="C207">
        <f>Final_Dataset!F178</f>
        <v>15</v>
      </c>
      <c r="D207" t="str">
        <f>Final_Dataset!T178</f>
        <v>Sat</v>
      </c>
      <c r="E207" t="str">
        <f>Final_Dataset!X178</f>
        <v>Clear</v>
      </c>
      <c r="F207">
        <f>Final_Dataset!J178</f>
        <v>0.2</v>
      </c>
      <c r="G207">
        <f>Final_Dataset!L178</f>
        <v>0.32</v>
      </c>
      <c r="H207">
        <f>Final_Dataset!M178</f>
        <v>0.44779999999999998</v>
      </c>
      <c r="I207">
        <f>Final_Dataset!P178</f>
        <v>74</v>
      </c>
      <c r="J207" s="54">
        <f t="shared" si="14"/>
        <v>77.95348837209302</v>
      </c>
      <c r="K207" s="54">
        <f t="shared" si="15"/>
        <v>34.481156681772681</v>
      </c>
      <c r="L207" s="55">
        <f t="shared" si="16"/>
        <v>-0.11465648929877402</v>
      </c>
      <c r="M207" t="str">
        <f t="shared" si="17"/>
        <v/>
      </c>
    </row>
    <row r="208" spans="1:13" x14ac:dyDescent="0.2">
      <c r="A208">
        <f>Final_Dataset!A179</f>
        <v>178</v>
      </c>
      <c r="B208" s="53">
        <f>Final_Dataset!B179</f>
        <v>40551</v>
      </c>
      <c r="C208">
        <f>Final_Dataset!F179</f>
        <v>16</v>
      </c>
      <c r="D208" t="str">
        <f>Final_Dataset!T179</f>
        <v>Sat</v>
      </c>
      <c r="E208" t="str">
        <f>Final_Dataset!X179</f>
        <v>Clear</v>
      </c>
      <c r="F208">
        <f>Final_Dataset!J179</f>
        <v>0.18</v>
      </c>
      <c r="G208">
        <f>Final_Dataset!L179</f>
        <v>0.28999999999999998</v>
      </c>
      <c r="H208">
        <f>Final_Dataset!M179</f>
        <v>0.44779999999999998</v>
      </c>
      <c r="I208">
        <f>Final_Dataset!P179</f>
        <v>76</v>
      </c>
      <c r="J208" s="54">
        <f t="shared" si="14"/>
        <v>89.272727272727266</v>
      </c>
      <c r="K208" s="54">
        <f t="shared" si="15"/>
        <v>25.461657115880747</v>
      </c>
      <c r="L208" s="55">
        <f t="shared" si="16"/>
        <v>-0.52128293191289987</v>
      </c>
      <c r="M208" t="str">
        <f t="shared" si="17"/>
        <v/>
      </c>
    </row>
    <row r="209" spans="1:13" x14ac:dyDescent="0.2">
      <c r="A209">
        <f>Final_Dataset!A180</f>
        <v>179</v>
      </c>
      <c r="B209" s="53">
        <f>Final_Dataset!B180</f>
        <v>40551</v>
      </c>
      <c r="C209">
        <f>Final_Dataset!F180</f>
        <v>17</v>
      </c>
      <c r="D209" t="str">
        <f>Final_Dataset!T180</f>
        <v>Sat</v>
      </c>
      <c r="E209" t="str">
        <f>Final_Dataset!X180</f>
        <v>Clear</v>
      </c>
      <c r="F209">
        <f>Final_Dataset!J180</f>
        <v>0.16</v>
      </c>
      <c r="G209">
        <f>Final_Dataset!L180</f>
        <v>0.37</v>
      </c>
      <c r="H209">
        <f>Final_Dataset!M180</f>
        <v>0.55220000000000002</v>
      </c>
      <c r="I209">
        <f>Final_Dataset!P180</f>
        <v>69</v>
      </c>
      <c r="J209" s="54">
        <f t="shared" si="14"/>
        <v>140.20454545454547</v>
      </c>
      <c r="K209" s="54">
        <f t="shared" si="15"/>
        <v>54.067391000084569</v>
      </c>
      <c r="L209" s="55">
        <f t="shared" si="16"/>
        <v>-1.3169591529658624</v>
      </c>
      <c r="M209" t="str">
        <f t="shared" si="17"/>
        <v/>
      </c>
    </row>
    <row r="210" spans="1:13" x14ac:dyDescent="0.2">
      <c r="A210">
        <f>Final_Dataset!A181</f>
        <v>180</v>
      </c>
      <c r="B210" s="53">
        <f>Final_Dataset!B181</f>
        <v>40551</v>
      </c>
      <c r="C210">
        <f>Final_Dataset!F181</f>
        <v>18</v>
      </c>
      <c r="D210" t="str">
        <f>Final_Dataset!T181</f>
        <v>Sat</v>
      </c>
      <c r="E210" t="str">
        <f>Final_Dataset!X181</f>
        <v>Clear</v>
      </c>
      <c r="F210">
        <f>Final_Dataset!J181</f>
        <v>0.14000000000000001</v>
      </c>
      <c r="G210">
        <f>Final_Dataset!L181</f>
        <v>0.39</v>
      </c>
      <c r="H210">
        <f>Final_Dataset!M181</f>
        <v>0.29849999999999999</v>
      </c>
      <c r="I210">
        <f>Final_Dataset!P181</f>
        <v>55</v>
      </c>
      <c r="J210" s="54">
        <f t="shared" si="14"/>
        <v>122.86046511627907</v>
      </c>
      <c r="K210" s="54">
        <f t="shared" si="15"/>
        <v>48.613432101949947</v>
      </c>
      <c r="L210" s="55">
        <f t="shared" si="16"/>
        <v>-1.3959200612284501</v>
      </c>
      <c r="M210" t="str">
        <f t="shared" si="17"/>
        <v/>
      </c>
    </row>
    <row r="211" spans="1:13" x14ac:dyDescent="0.2">
      <c r="A211">
        <f>Final_Dataset!A182</f>
        <v>181</v>
      </c>
      <c r="B211" s="53">
        <f>Final_Dataset!B182</f>
        <v>40551</v>
      </c>
      <c r="C211">
        <f>Final_Dataset!F182</f>
        <v>19</v>
      </c>
      <c r="D211" t="str">
        <f>Final_Dataset!T182</f>
        <v>Sat</v>
      </c>
      <c r="E211" t="str">
        <f>Final_Dataset!X182</f>
        <v>Clear</v>
      </c>
      <c r="F211">
        <f>Final_Dataset!J182</f>
        <v>0.14000000000000001</v>
      </c>
      <c r="G211">
        <f>Final_Dataset!L182</f>
        <v>0.36</v>
      </c>
      <c r="H211">
        <f>Final_Dataset!M182</f>
        <v>0.25369999999999998</v>
      </c>
      <c r="I211">
        <f>Final_Dataset!P182</f>
        <v>30</v>
      </c>
      <c r="J211" s="54">
        <f t="shared" si="14"/>
        <v>85.139534883720927</v>
      </c>
      <c r="K211" s="54">
        <f t="shared" si="15"/>
        <v>31.690904054294759</v>
      </c>
      <c r="L211" s="55">
        <f t="shared" si="16"/>
        <v>-1.7399167530611486</v>
      </c>
      <c r="M211" t="str">
        <f t="shared" si="17"/>
        <v/>
      </c>
    </row>
    <row r="212" spans="1:13" x14ac:dyDescent="0.2">
      <c r="A212">
        <f>Final_Dataset!A183</f>
        <v>182</v>
      </c>
      <c r="B212" s="53">
        <f>Final_Dataset!B183</f>
        <v>40551</v>
      </c>
      <c r="C212">
        <f>Final_Dataset!F183</f>
        <v>20</v>
      </c>
      <c r="D212" t="str">
        <f>Final_Dataset!T183</f>
        <v>Sat</v>
      </c>
      <c r="E212" t="str">
        <f>Final_Dataset!X183</f>
        <v>Clear</v>
      </c>
      <c r="F212">
        <f>Final_Dataset!J183</f>
        <v>0.12</v>
      </c>
      <c r="G212">
        <f>Final_Dataset!L183</f>
        <v>0.36</v>
      </c>
      <c r="H212">
        <f>Final_Dataset!M183</f>
        <v>0.25369999999999998</v>
      </c>
      <c r="I212">
        <f>Final_Dataset!P183</f>
        <v>28</v>
      </c>
      <c r="J212" s="54">
        <f t="shared" si="14"/>
        <v>61.767441860465119</v>
      </c>
      <c r="K212" s="54">
        <f t="shared" si="15"/>
        <v>24.6323801696856</v>
      </c>
      <c r="L212" s="55">
        <f t="shared" si="16"/>
        <v>-1.370855825862163</v>
      </c>
      <c r="M212" t="str">
        <f t="shared" si="17"/>
        <v/>
      </c>
    </row>
    <row r="213" spans="1:13" x14ac:dyDescent="0.2">
      <c r="A213">
        <f>Final_Dataset!A184</f>
        <v>183</v>
      </c>
      <c r="B213" s="53">
        <f>Final_Dataset!B184</f>
        <v>40551</v>
      </c>
      <c r="C213">
        <f>Final_Dataset!F184</f>
        <v>21</v>
      </c>
      <c r="D213" t="str">
        <f>Final_Dataset!T184</f>
        <v>Sat</v>
      </c>
      <c r="E213" t="str">
        <f>Final_Dataset!X184</f>
        <v>Clear</v>
      </c>
      <c r="F213">
        <f>Final_Dataset!J184</f>
        <v>0.12</v>
      </c>
      <c r="G213">
        <f>Final_Dataset!L184</f>
        <v>0.39</v>
      </c>
      <c r="H213">
        <f>Final_Dataset!M184</f>
        <v>0.35820000000000002</v>
      </c>
      <c r="I213">
        <f>Final_Dataset!P184</f>
        <v>37</v>
      </c>
      <c r="J213" s="54">
        <f t="shared" si="14"/>
        <v>46.418604651162788</v>
      </c>
      <c r="K213" s="54">
        <f t="shared" si="15"/>
        <v>14.656759464719499</v>
      </c>
      <c r="L213" s="55">
        <f t="shared" si="16"/>
        <v>-0.64261166827731941</v>
      </c>
      <c r="M213" t="str">
        <f t="shared" si="17"/>
        <v/>
      </c>
    </row>
    <row r="214" spans="1:13" x14ac:dyDescent="0.2">
      <c r="A214">
        <f>Final_Dataset!A185</f>
        <v>184</v>
      </c>
      <c r="B214" s="53">
        <f>Final_Dataset!B185</f>
        <v>40551</v>
      </c>
      <c r="C214">
        <f>Final_Dataset!F185</f>
        <v>22</v>
      </c>
      <c r="D214" t="str">
        <f>Final_Dataset!T185</f>
        <v>Sat</v>
      </c>
      <c r="E214" t="str">
        <f>Final_Dataset!X185</f>
        <v>Clear</v>
      </c>
      <c r="F214">
        <f>Final_Dataset!J185</f>
        <v>0.12</v>
      </c>
      <c r="G214">
        <f>Final_Dataset!L185</f>
        <v>0.36</v>
      </c>
      <c r="H214">
        <f>Final_Dataset!M185</f>
        <v>0.3881</v>
      </c>
      <c r="I214">
        <f>Final_Dataset!P185</f>
        <v>34</v>
      </c>
      <c r="J214" s="54">
        <f t="shared" si="14"/>
        <v>35.069767441860463</v>
      </c>
      <c r="K214" s="54">
        <f t="shared" si="15"/>
        <v>11.95506537162667</v>
      </c>
      <c r="L214" s="55">
        <f t="shared" si="16"/>
        <v>-8.948235819767042E-2</v>
      </c>
      <c r="M214" t="str">
        <f t="shared" si="17"/>
        <v/>
      </c>
    </row>
    <row r="215" spans="1:13" x14ac:dyDescent="0.2">
      <c r="A215">
        <f>Final_Dataset!A186</f>
        <v>185</v>
      </c>
      <c r="B215" s="53">
        <f>Final_Dataset!B186</f>
        <v>40551</v>
      </c>
      <c r="C215">
        <f>Final_Dataset!F186</f>
        <v>23</v>
      </c>
      <c r="D215" t="str">
        <f>Final_Dataset!T186</f>
        <v>Sat</v>
      </c>
      <c r="E215" t="str">
        <f>Final_Dataset!X186</f>
        <v>Clear</v>
      </c>
      <c r="F215">
        <f>Final_Dataset!J186</f>
        <v>0.1</v>
      </c>
      <c r="G215">
        <f>Final_Dataset!L186</f>
        <v>0.39</v>
      </c>
      <c r="H215">
        <f>Final_Dataset!M186</f>
        <v>0.44779999999999998</v>
      </c>
      <c r="I215">
        <f>Final_Dataset!P186</f>
        <v>22</v>
      </c>
      <c r="J215" s="54">
        <f t="shared" si="14"/>
        <v>25.186046511627907</v>
      </c>
      <c r="K215" s="54">
        <f t="shared" si="15"/>
        <v>11.751911321656186</v>
      </c>
      <c r="L215" s="55">
        <f t="shared" si="16"/>
        <v>-0.27110879451215097</v>
      </c>
      <c r="M215" t="str">
        <f t="shared" si="17"/>
        <v/>
      </c>
    </row>
    <row r="216" spans="1:13" x14ac:dyDescent="0.2">
      <c r="A216">
        <f>Final_Dataset!A187</f>
        <v>186</v>
      </c>
      <c r="B216" s="53">
        <f>Final_Dataset!B187</f>
        <v>40552</v>
      </c>
      <c r="C216">
        <f>Final_Dataset!F187</f>
        <v>0</v>
      </c>
      <c r="D216" t="str">
        <f>Final_Dataset!T187</f>
        <v>Sun</v>
      </c>
      <c r="E216" t="str">
        <f>Final_Dataset!X187</f>
        <v>Clear</v>
      </c>
      <c r="F216">
        <f>Final_Dataset!J187</f>
        <v>0.1</v>
      </c>
      <c r="G216">
        <f>Final_Dataset!L187</f>
        <v>0.42</v>
      </c>
      <c r="H216">
        <f>Final_Dataset!M187</f>
        <v>0.3881</v>
      </c>
      <c r="I216">
        <f>Final_Dataset!P187</f>
        <v>25</v>
      </c>
      <c r="J216" s="54">
        <f t="shared" si="14"/>
        <v>16.348837209302324</v>
      </c>
      <c r="K216" s="54">
        <f t="shared" si="15"/>
        <v>10.442321674276208</v>
      </c>
      <c r="L216" s="55">
        <f t="shared" si="16"/>
        <v>0.82847120214742054</v>
      </c>
      <c r="M216" t="str">
        <f t="shared" si="17"/>
        <v/>
      </c>
    </row>
    <row r="217" spans="1:13" x14ac:dyDescent="0.2">
      <c r="A217">
        <f>Final_Dataset!A188</f>
        <v>187</v>
      </c>
      <c r="B217" s="53">
        <f>Final_Dataset!B188</f>
        <v>40552</v>
      </c>
      <c r="C217">
        <f>Final_Dataset!F188</f>
        <v>1</v>
      </c>
      <c r="D217" t="str">
        <f>Final_Dataset!T188</f>
        <v>Sun</v>
      </c>
      <c r="E217" t="str">
        <f>Final_Dataset!X188</f>
        <v>Clear</v>
      </c>
      <c r="F217">
        <f>Final_Dataset!J188</f>
        <v>0.1</v>
      </c>
      <c r="G217">
        <f>Final_Dataset!L188</f>
        <v>0.42</v>
      </c>
      <c r="H217">
        <f>Final_Dataset!M188</f>
        <v>0.4627</v>
      </c>
      <c r="I217">
        <f>Final_Dataset!P188</f>
        <v>12</v>
      </c>
      <c r="J217" s="54">
        <f t="shared" si="14"/>
        <v>10.697674418604651</v>
      </c>
      <c r="K217" s="54">
        <f t="shared" si="15"/>
        <v>10.060613641515801</v>
      </c>
      <c r="L217" s="55">
        <f t="shared" si="16"/>
        <v>0.12944792711462599</v>
      </c>
      <c r="M217" t="str">
        <f t="shared" si="17"/>
        <v/>
      </c>
    </row>
    <row r="218" spans="1:13" x14ac:dyDescent="0.2">
      <c r="A218">
        <f>Final_Dataset!A189</f>
        <v>188</v>
      </c>
      <c r="B218" s="53">
        <f>Final_Dataset!B189</f>
        <v>40552</v>
      </c>
      <c r="C218">
        <f>Final_Dataset!F189</f>
        <v>2</v>
      </c>
      <c r="D218" t="str">
        <f>Final_Dataset!T189</f>
        <v>Sun</v>
      </c>
      <c r="E218" t="str">
        <f>Final_Dataset!X189</f>
        <v>Clear</v>
      </c>
      <c r="F218">
        <f>Final_Dataset!J189</f>
        <v>0.1</v>
      </c>
      <c r="G218">
        <f>Final_Dataset!L189</f>
        <v>0.46</v>
      </c>
      <c r="H218">
        <f>Final_Dataset!M189</f>
        <v>0.4627</v>
      </c>
      <c r="I218">
        <f>Final_Dataset!P189</f>
        <v>11</v>
      </c>
      <c r="J218" s="54">
        <f t="shared" si="14"/>
        <v>7.1707317073170733</v>
      </c>
      <c r="K218" s="54">
        <f t="shared" si="15"/>
        <v>7.3685223723090862</v>
      </c>
      <c r="L218" s="55">
        <f t="shared" si="16"/>
        <v>0.51967926528571329</v>
      </c>
      <c r="M218" t="str">
        <f t="shared" si="17"/>
        <v/>
      </c>
    </row>
    <row r="219" spans="1:13" x14ac:dyDescent="0.2">
      <c r="A219">
        <f>Final_Dataset!A190</f>
        <v>189</v>
      </c>
      <c r="B219" s="53">
        <f>Final_Dataset!B190</f>
        <v>40552</v>
      </c>
      <c r="C219">
        <f>Final_Dataset!F190</f>
        <v>3</v>
      </c>
      <c r="D219" t="str">
        <f>Final_Dataset!T190</f>
        <v>Sun</v>
      </c>
      <c r="E219" t="str">
        <f>Final_Dataset!X190</f>
        <v>Clear</v>
      </c>
      <c r="F219">
        <f>Final_Dataset!J190</f>
        <v>0.1</v>
      </c>
      <c r="G219">
        <f>Final_Dataset!L190</f>
        <v>0.46</v>
      </c>
      <c r="H219">
        <f>Final_Dataset!M190</f>
        <v>0.41789999999999999</v>
      </c>
      <c r="I219">
        <f>Final_Dataset!P190</f>
        <v>4</v>
      </c>
      <c r="J219" s="54">
        <f t="shared" si="14"/>
        <v>4.870967741935484</v>
      </c>
      <c r="K219" s="54">
        <f t="shared" si="15"/>
        <v>4.4702120418303126</v>
      </c>
      <c r="L219" s="55">
        <f t="shared" si="16"/>
        <v>-0.19483812709225964</v>
      </c>
      <c r="M219" t="str">
        <f t="shared" si="17"/>
        <v/>
      </c>
    </row>
    <row r="220" spans="1:13" x14ac:dyDescent="0.2">
      <c r="A220">
        <f>Final_Dataset!A191</f>
        <v>190</v>
      </c>
      <c r="B220" s="53">
        <f>Final_Dataset!B191</f>
        <v>40552</v>
      </c>
      <c r="C220">
        <f>Final_Dataset!F191</f>
        <v>4</v>
      </c>
      <c r="D220" t="str">
        <f>Final_Dataset!T191</f>
        <v>Sun</v>
      </c>
      <c r="E220" t="str">
        <f>Final_Dataset!X191</f>
        <v>Clear</v>
      </c>
      <c r="F220">
        <f>Final_Dataset!J191</f>
        <v>0.08</v>
      </c>
      <c r="G220">
        <f>Final_Dataset!L191</f>
        <v>0.53</v>
      </c>
      <c r="H220">
        <f>Final_Dataset!M191</f>
        <v>0.19400000000000001</v>
      </c>
      <c r="I220">
        <f>Final_Dataset!P191</f>
        <v>1</v>
      </c>
      <c r="J220" s="54">
        <f t="shared" si="14"/>
        <v>2.15625</v>
      </c>
      <c r="K220" s="54">
        <f t="shared" si="15"/>
        <v>1.5263148747143209</v>
      </c>
      <c r="L220" s="55">
        <f t="shared" si="16"/>
        <v>-0.75754355746314428</v>
      </c>
      <c r="M220" t="str">
        <f t="shared" si="17"/>
        <v/>
      </c>
    </row>
    <row r="221" spans="1:13" x14ac:dyDescent="0.2">
      <c r="A221">
        <f>Final_Dataset!A192</f>
        <v>191</v>
      </c>
      <c r="B221" s="53">
        <f>Final_Dataset!B192</f>
        <v>40552</v>
      </c>
      <c r="C221">
        <f>Final_Dataset!F192</f>
        <v>5</v>
      </c>
      <c r="D221" t="str">
        <f>Final_Dataset!T192</f>
        <v>Sun</v>
      </c>
      <c r="E221" t="str">
        <f>Final_Dataset!X192</f>
        <v>Clear</v>
      </c>
      <c r="F221">
        <f>Final_Dataset!J192</f>
        <v>0.08</v>
      </c>
      <c r="G221">
        <f>Final_Dataset!L192</f>
        <v>0.53</v>
      </c>
      <c r="H221">
        <f>Final_Dataset!M192</f>
        <v>0.19400000000000001</v>
      </c>
      <c r="I221">
        <f>Final_Dataset!P192</f>
        <v>1</v>
      </c>
      <c r="J221" s="54">
        <f t="shared" si="14"/>
        <v>4.2051282051282053</v>
      </c>
      <c r="K221" s="54">
        <f t="shared" si="15"/>
        <v>2.5358429220352288</v>
      </c>
      <c r="L221" s="55">
        <f t="shared" si="16"/>
        <v>-1.2639301027982515</v>
      </c>
      <c r="M221" t="str">
        <f t="shared" si="17"/>
        <v/>
      </c>
    </row>
    <row r="222" spans="1:13" x14ac:dyDescent="0.2">
      <c r="A222">
        <f>Final_Dataset!A193</f>
        <v>192</v>
      </c>
      <c r="B222" s="53">
        <f>Final_Dataset!B193</f>
        <v>40552</v>
      </c>
      <c r="C222">
        <f>Final_Dataset!F193</f>
        <v>6</v>
      </c>
      <c r="D222" t="str">
        <f>Final_Dataset!T193</f>
        <v>Sun</v>
      </c>
      <c r="E222" t="str">
        <f>Final_Dataset!X193</f>
        <v>Clear</v>
      </c>
      <c r="F222">
        <f>Final_Dataset!J193</f>
        <v>0.1</v>
      </c>
      <c r="G222">
        <f>Final_Dataset!L193</f>
        <v>0.49</v>
      </c>
      <c r="H222">
        <f>Final_Dataset!M193</f>
        <v>0.28360000000000002</v>
      </c>
      <c r="I222">
        <f>Final_Dataset!P193</f>
        <v>1</v>
      </c>
      <c r="J222" s="54">
        <f t="shared" si="14"/>
        <v>19.571428571428573</v>
      </c>
      <c r="K222" s="54">
        <f t="shared" si="15"/>
        <v>14.202615453298934</v>
      </c>
      <c r="L222" s="55">
        <f t="shared" si="16"/>
        <v>-1.3076062386181742</v>
      </c>
      <c r="M222" t="str">
        <f t="shared" si="17"/>
        <v/>
      </c>
    </row>
    <row r="223" spans="1:13" x14ac:dyDescent="0.2">
      <c r="A223">
        <f>Final_Dataset!A194</f>
        <v>193</v>
      </c>
      <c r="B223" s="53">
        <f>Final_Dataset!B194</f>
        <v>40552</v>
      </c>
      <c r="C223">
        <f>Final_Dataset!F194</f>
        <v>7</v>
      </c>
      <c r="D223" t="str">
        <f>Final_Dataset!T194</f>
        <v>Sun</v>
      </c>
      <c r="E223" t="str">
        <f>Final_Dataset!X194</f>
        <v>Clear</v>
      </c>
      <c r="F223">
        <f>Final_Dataset!J194</f>
        <v>0.08</v>
      </c>
      <c r="G223">
        <f>Final_Dataset!L194</f>
        <v>0.53</v>
      </c>
      <c r="H223">
        <f>Final_Dataset!M194</f>
        <v>0.19400000000000001</v>
      </c>
      <c r="I223">
        <f>Final_Dataset!P194</f>
        <v>6</v>
      </c>
      <c r="J223" s="54">
        <f t="shared" ref="J223:J286" si="18">INDEX($F$5:$F$28,MATCH(C223,$D$5:$D$28,0))</f>
        <v>54.395348837209305</v>
      </c>
      <c r="K223" s="54">
        <f t="shared" ref="K223:K286" si="19">INDEX($G$5:$G$28,MATCH(C223,$D$5:$D$28,0))</f>
        <v>39.112864486352777</v>
      </c>
      <c r="L223" s="55">
        <f t="shared" ref="L223:L286" si="20">IF(K223=0,0,(I223-J223)/K223)</f>
        <v>-1.2373256081536899</v>
      </c>
      <c r="M223" t="str">
        <f t="shared" ref="M223:M286" si="21">IF(ABS(L223)&gt;=$B$4,IF(L223&gt;0,"High","Low"),"")</f>
        <v/>
      </c>
    </row>
    <row r="224" spans="1:13" x14ac:dyDescent="0.2">
      <c r="A224">
        <f>Final_Dataset!A195</f>
        <v>194</v>
      </c>
      <c r="B224" s="53">
        <f>Final_Dataset!B195</f>
        <v>40552</v>
      </c>
      <c r="C224">
        <f>Final_Dataset!F195</f>
        <v>8</v>
      </c>
      <c r="D224" t="str">
        <f>Final_Dataset!T195</f>
        <v>Sun</v>
      </c>
      <c r="E224" t="str">
        <f>Final_Dataset!X195</f>
        <v>Clear</v>
      </c>
      <c r="F224">
        <f>Final_Dataset!J195</f>
        <v>0.1</v>
      </c>
      <c r="G224">
        <f>Final_Dataset!L195</f>
        <v>0.49</v>
      </c>
      <c r="H224">
        <f>Final_Dataset!M195</f>
        <v>0.28360000000000002</v>
      </c>
      <c r="I224">
        <f>Final_Dataset!P195</f>
        <v>10</v>
      </c>
      <c r="J224" s="54">
        <f t="shared" si="18"/>
        <v>128.28571428571428</v>
      </c>
      <c r="K224" s="54">
        <f t="shared" si="19"/>
        <v>88.551565717048533</v>
      </c>
      <c r="L224" s="55">
        <f t="shared" si="20"/>
        <v>-1.3357834311329533</v>
      </c>
      <c r="M224" t="str">
        <f t="shared" si="21"/>
        <v/>
      </c>
    </row>
    <row r="225" spans="1:13" x14ac:dyDescent="0.2">
      <c r="A225">
        <f>Final_Dataset!A196</f>
        <v>195</v>
      </c>
      <c r="B225" s="53">
        <f>Final_Dataset!B196</f>
        <v>40552</v>
      </c>
      <c r="C225">
        <f>Final_Dataset!F196</f>
        <v>9</v>
      </c>
      <c r="D225" t="str">
        <f>Final_Dataset!T196</f>
        <v>Sun</v>
      </c>
      <c r="E225" t="str">
        <f>Final_Dataset!X196</f>
        <v>Clear</v>
      </c>
      <c r="F225">
        <f>Final_Dataset!J196</f>
        <v>0.12</v>
      </c>
      <c r="G225">
        <f>Final_Dataset!L196</f>
        <v>0.46</v>
      </c>
      <c r="H225">
        <f>Final_Dataset!M196</f>
        <v>0.52239999999999998</v>
      </c>
      <c r="I225">
        <f>Final_Dataset!P196</f>
        <v>19</v>
      </c>
      <c r="J225" s="54">
        <f t="shared" si="18"/>
        <v>87.428571428571431</v>
      </c>
      <c r="K225" s="54">
        <f t="shared" si="19"/>
        <v>45.93852884078624</v>
      </c>
      <c r="L225" s="55">
        <f t="shared" si="20"/>
        <v>-1.4895681937427989</v>
      </c>
      <c r="M225" t="str">
        <f t="shared" si="21"/>
        <v/>
      </c>
    </row>
    <row r="226" spans="1:13" x14ac:dyDescent="0.2">
      <c r="A226">
        <f>Final_Dataset!A197</f>
        <v>196</v>
      </c>
      <c r="B226" s="53">
        <f>Final_Dataset!B197</f>
        <v>40552</v>
      </c>
      <c r="C226">
        <f>Final_Dataset!F197</f>
        <v>10</v>
      </c>
      <c r="D226" t="str">
        <f>Final_Dataset!T197</f>
        <v>Sun</v>
      </c>
      <c r="E226" t="str">
        <f>Final_Dataset!X197</f>
        <v>Clear</v>
      </c>
      <c r="F226">
        <f>Final_Dataset!J197</f>
        <v>0.14000000000000001</v>
      </c>
      <c r="G226">
        <f>Final_Dataset!L197</f>
        <v>0.43</v>
      </c>
      <c r="H226">
        <f>Final_Dataset!M197</f>
        <v>0.3881</v>
      </c>
      <c r="I226">
        <f>Final_Dataset!P197</f>
        <v>49</v>
      </c>
      <c r="J226" s="54">
        <f t="shared" si="18"/>
        <v>53.642857142857146</v>
      </c>
      <c r="K226" s="54">
        <f t="shared" si="19"/>
        <v>15.395313554536934</v>
      </c>
      <c r="L226" s="55">
        <f t="shared" si="20"/>
        <v>-0.301576004048902</v>
      </c>
      <c r="M226" t="str">
        <f t="shared" si="21"/>
        <v/>
      </c>
    </row>
    <row r="227" spans="1:13" x14ac:dyDescent="0.2">
      <c r="A227">
        <f>Final_Dataset!A198</f>
        <v>197</v>
      </c>
      <c r="B227" s="53">
        <f>Final_Dataset!B198</f>
        <v>40552</v>
      </c>
      <c r="C227">
        <f>Final_Dataset!F198</f>
        <v>11</v>
      </c>
      <c r="D227" t="str">
        <f>Final_Dataset!T198</f>
        <v>Sun</v>
      </c>
      <c r="E227" t="str">
        <f>Final_Dataset!X198</f>
        <v>Clear</v>
      </c>
      <c r="F227">
        <f>Final_Dataset!J198</f>
        <v>0.16</v>
      </c>
      <c r="G227">
        <f>Final_Dataset!L198</f>
        <v>0.4</v>
      </c>
      <c r="H227">
        <f>Final_Dataset!M198</f>
        <v>0.52239999999999998</v>
      </c>
      <c r="I227">
        <f>Final_Dataset!P198</f>
        <v>49</v>
      </c>
      <c r="J227" s="54">
        <f t="shared" si="18"/>
        <v>59.38095238095238</v>
      </c>
      <c r="K227" s="54">
        <f t="shared" si="19"/>
        <v>20.89573696860419</v>
      </c>
      <c r="L227" s="55">
        <f t="shared" si="20"/>
        <v>-0.49679761936847422</v>
      </c>
      <c r="M227" t="str">
        <f t="shared" si="21"/>
        <v/>
      </c>
    </row>
    <row r="228" spans="1:13" x14ac:dyDescent="0.2">
      <c r="A228">
        <f>Final_Dataset!A199</f>
        <v>198</v>
      </c>
      <c r="B228" s="53">
        <f>Final_Dataset!B199</f>
        <v>40552</v>
      </c>
      <c r="C228">
        <f>Final_Dataset!F199</f>
        <v>12</v>
      </c>
      <c r="D228" t="str">
        <f>Final_Dataset!T199</f>
        <v>Sun</v>
      </c>
      <c r="E228" t="str">
        <f>Final_Dataset!X199</f>
        <v>Clear</v>
      </c>
      <c r="F228">
        <f>Final_Dataset!J199</f>
        <v>0.18</v>
      </c>
      <c r="G228">
        <f>Final_Dataset!L199</f>
        <v>0.37</v>
      </c>
      <c r="H228">
        <f>Final_Dataset!M199</f>
        <v>0.44779999999999998</v>
      </c>
      <c r="I228">
        <f>Final_Dataset!P199</f>
        <v>83</v>
      </c>
      <c r="J228" s="54">
        <f t="shared" si="18"/>
        <v>76.348837209302332</v>
      </c>
      <c r="K228" s="54">
        <f t="shared" si="19"/>
        <v>29.034366927857057</v>
      </c>
      <c r="L228" s="55">
        <f t="shared" si="20"/>
        <v>0.22907896725367216</v>
      </c>
      <c r="M228" t="str">
        <f t="shared" si="21"/>
        <v/>
      </c>
    </row>
    <row r="229" spans="1:13" x14ac:dyDescent="0.2">
      <c r="A229">
        <f>Final_Dataset!A200</f>
        <v>199</v>
      </c>
      <c r="B229" s="53">
        <f>Final_Dataset!B200</f>
        <v>40552</v>
      </c>
      <c r="C229">
        <f>Final_Dataset!F200</f>
        <v>13</v>
      </c>
      <c r="D229" t="str">
        <f>Final_Dataset!T200</f>
        <v>Sun</v>
      </c>
      <c r="E229" t="str">
        <f>Final_Dataset!X200</f>
        <v>Clear</v>
      </c>
      <c r="F229">
        <f>Final_Dataset!J200</f>
        <v>0.2</v>
      </c>
      <c r="G229">
        <f>Final_Dataset!L200</f>
        <v>0.34</v>
      </c>
      <c r="H229">
        <f>Final_Dataset!M200</f>
        <v>0.44779999999999998</v>
      </c>
      <c r="I229">
        <f>Final_Dataset!P200</f>
        <v>75</v>
      </c>
      <c r="J229" s="54">
        <f t="shared" si="18"/>
        <v>78.511627906976742</v>
      </c>
      <c r="K229" s="54">
        <f t="shared" si="19"/>
        <v>30.072430098825173</v>
      </c>
      <c r="L229" s="55">
        <f t="shared" si="20"/>
        <v>-0.11677233583839734</v>
      </c>
      <c r="M229" t="str">
        <f t="shared" si="21"/>
        <v/>
      </c>
    </row>
    <row r="230" spans="1:13" x14ac:dyDescent="0.2">
      <c r="A230">
        <f>Final_Dataset!A201</f>
        <v>200</v>
      </c>
      <c r="B230" s="53">
        <f>Final_Dataset!B201</f>
        <v>40552</v>
      </c>
      <c r="C230">
        <f>Final_Dataset!F201</f>
        <v>14</v>
      </c>
      <c r="D230" t="str">
        <f>Final_Dataset!T201</f>
        <v>Sun</v>
      </c>
      <c r="E230" t="str">
        <f>Final_Dataset!X201</f>
        <v>Clear</v>
      </c>
      <c r="F230">
        <f>Final_Dataset!J201</f>
        <v>0.22</v>
      </c>
      <c r="G230">
        <f>Final_Dataset!L201</f>
        <v>0.32</v>
      </c>
      <c r="H230">
        <f>Final_Dataset!M201</f>
        <v>0.4627</v>
      </c>
      <c r="I230">
        <f>Final_Dataset!P201</f>
        <v>72</v>
      </c>
      <c r="J230" s="54">
        <f t="shared" si="18"/>
        <v>74.418604651162795</v>
      </c>
      <c r="K230" s="54">
        <f t="shared" si="19"/>
        <v>30.305769180565147</v>
      </c>
      <c r="L230" s="55">
        <f t="shared" si="20"/>
        <v>-7.9806740319062E-2</v>
      </c>
      <c r="M230" t="str">
        <f t="shared" si="21"/>
        <v/>
      </c>
    </row>
    <row r="231" spans="1:13" x14ac:dyDescent="0.2">
      <c r="A231">
        <f>Final_Dataset!A202</f>
        <v>201</v>
      </c>
      <c r="B231" s="53">
        <f>Final_Dataset!B202</f>
        <v>40552</v>
      </c>
      <c r="C231">
        <f>Final_Dataset!F202</f>
        <v>15</v>
      </c>
      <c r="D231" t="str">
        <f>Final_Dataset!T202</f>
        <v>Sun</v>
      </c>
      <c r="E231" t="str">
        <f>Final_Dataset!X202</f>
        <v>Clear</v>
      </c>
      <c r="F231">
        <f>Final_Dataset!J202</f>
        <v>0.22</v>
      </c>
      <c r="G231">
        <f>Final_Dataset!L202</f>
        <v>0.35</v>
      </c>
      <c r="H231">
        <f>Final_Dataset!M202</f>
        <v>0.35820000000000002</v>
      </c>
      <c r="I231">
        <f>Final_Dataset!P202</f>
        <v>82</v>
      </c>
      <c r="J231" s="54">
        <f t="shared" si="18"/>
        <v>77.95348837209302</v>
      </c>
      <c r="K231" s="54">
        <f t="shared" si="19"/>
        <v>34.481156681772681</v>
      </c>
      <c r="L231" s="55">
        <f t="shared" si="20"/>
        <v>0.11735428904698068</v>
      </c>
      <c r="M231" t="str">
        <f t="shared" si="21"/>
        <v/>
      </c>
    </row>
    <row r="232" spans="1:13" x14ac:dyDescent="0.2">
      <c r="A232">
        <f>Final_Dataset!A203</f>
        <v>202</v>
      </c>
      <c r="B232" s="53">
        <f>Final_Dataset!B203</f>
        <v>40552</v>
      </c>
      <c r="C232">
        <f>Final_Dataset!F203</f>
        <v>16</v>
      </c>
      <c r="D232" t="str">
        <f>Final_Dataset!T203</f>
        <v>Sun</v>
      </c>
      <c r="E232" t="str">
        <f>Final_Dataset!X203</f>
        <v>Clear</v>
      </c>
      <c r="F232">
        <f>Final_Dataset!J203</f>
        <v>0.2</v>
      </c>
      <c r="G232">
        <f>Final_Dataset!L203</f>
        <v>0.34</v>
      </c>
      <c r="H232">
        <f>Final_Dataset!M203</f>
        <v>0.44779999999999998</v>
      </c>
      <c r="I232">
        <f>Final_Dataset!P203</f>
        <v>92</v>
      </c>
      <c r="J232" s="54">
        <f t="shared" si="18"/>
        <v>89.272727272727266</v>
      </c>
      <c r="K232" s="54">
        <f t="shared" si="19"/>
        <v>25.461657115880747</v>
      </c>
      <c r="L232" s="55">
        <f t="shared" si="20"/>
        <v>0.10711293121497974</v>
      </c>
      <c r="M232" t="str">
        <f t="shared" si="21"/>
        <v/>
      </c>
    </row>
    <row r="233" spans="1:13" x14ac:dyDescent="0.2">
      <c r="A233">
        <f>Final_Dataset!A204</f>
        <v>203</v>
      </c>
      <c r="B233" s="53">
        <f>Final_Dataset!B204</f>
        <v>40552</v>
      </c>
      <c r="C233">
        <f>Final_Dataset!F204</f>
        <v>17</v>
      </c>
      <c r="D233" t="str">
        <f>Final_Dataset!T204</f>
        <v>Sun</v>
      </c>
      <c r="E233" t="str">
        <f>Final_Dataset!X204</f>
        <v>Clear</v>
      </c>
      <c r="F233">
        <f>Final_Dataset!J204</f>
        <v>0.18</v>
      </c>
      <c r="G233">
        <f>Final_Dataset!L204</f>
        <v>0.37</v>
      </c>
      <c r="H233">
        <f>Final_Dataset!M204</f>
        <v>0.3881</v>
      </c>
      <c r="I233">
        <f>Final_Dataset!P204</f>
        <v>62</v>
      </c>
      <c r="J233" s="54">
        <f t="shared" si="18"/>
        <v>140.20454545454547</v>
      </c>
      <c r="K233" s="54">
        <f t="shared" si="19"/>
        <v>54.067391000084569</v>
      </c>
      <c r="L233" s="55">
        <f t="shared" si="20"/>
        <v>-1.446427208859091</v>
      </c>
      <c r="M233" t="str">
        <f t="shared" si="21"/>
        <v/>
      </c>
    </row>
    <row r="234" spans="1:13" x14ac:dyDescent="0.2">
      <c r="A234">
        <f>Final_Dataset!A205</f>
        <v>204</v>
      </c>
      <c r="B234" s="53">
        <f>Final_Dataset!B205</f>
        <v>40552</v>
      </c>
      <c r="C234">
        <f>Final_Dataset!F205</f>
        <v>18</v>
      </c>
      <c r="D234" t="str">
        <f>Final_Dataset!T205</f>
        <v>Sun</v>
      </c>
      <c r="E234" t="str">
        <f>Final_Dataset!X205</f>
        <v>Clear</v>
      </c>
      <c r="F234">
        <f>Final_Dataset!J205</f>
        <v>0.16</v>
      </c>
      <c r="G234">
        <f>Final_Dataset!L205</f>
        <v>0.4</v>
      </c>
      <c r="H234">
        <f>Final_Dataset!M205</f>
        <v>0.32840000000000003</v>
      </c>
      <c r="I234">
        <f>Final_Dataset!P205</f>
        <v>48</v>
      </c>
      <c r="J234" s="54">
        <f t="shared" si="18"/>
        <v>122.86046511627907</v>
      </c>
      <c r="K234" s="54">
        <f t="shared" si="19"/>
        <v>48.613432101949947</v>
      </c>
      <c r="L234" s="55">
        <f t="shared" si="20"/>
        <v>-1.539913186118705</v>
      </c>
      <c r="M234" t="str">
        <f t="shared" si="21"/>
        <v/>
      </c>
    </row>
    <row r="235" spans="1:13" x14ac:dyDescent="0.2">
      <c r="A235">
        <f>Final_Dataset!A206</f>
        <v>205</v>
      </c>
      <c r="B235" s="53">
        <f>Final_Dataset!B206</f>
        <v>40552</v>
      </c>
      <c r="C235">
        <f>Final_Dataset!F206</f>
        <v>19</v>
      </c>
      <c r="D235" t="str">
        <f>Final_Dataset!T206</f>
        <v>Sun</v>
      </c>
      <c r="E235" t="str">
        <f>Final_Dataset!X206</f>
        <v>Clear</v>
      </c>
      <c r="F235">
        <f>Final_Dataset!J206</f>
        <v>0.16</v>
      </c>
      <c r="G235">
        <f>Final_Dataset!L206</f>
        <v>0.43</v>
      </c>
      <c r="H235">
        <f>Final_Dataset!M206</f>
        <v>0.32840000000000003</v>
      </c>
      <c r="I235">
        <f>Final_Dataset!P206</f>
        <v>41</v>
      </c>
      <c r="J235" s="54">
        <f t="shared" si="18"/>
        <v>85.139534883720927</v>
      </c>
      <c r="K235" s="54">
        <f t="shared" si="19"/>
        <v>31.690904054294759</v>
      </c>
      <c r="L235" s="55">
        <f t="shared" si="20"/>
        <v>-1.3928140013960608</v>
      </c>
      <c r="M235" t="str">
        <f t="shared" si="21"/>
        <v/>
      </c>
    </row>
    <row r="236" spans="1:13" x14ac:dyDescent="0.2">
      <c r="A236">
        <f>Final_Dataset!A207</f>
        <v>206</v>
      </c>
      <c r="B236" s="53">
        <f>Final_Dataset!B207</f>
        <v>40552</v>
      </c>
      <c r="C236">
        <f>Final_Dataset!F207</f>
        <v>20</v>
      </c>
      <c r="D236" t="str">
        <f>Final_Dataset!T207</f>
        <v>Sun</v>
      </c>
      <c r="E236" t="str">
        <f>Final_Dataset!X207</f>
        <v>Clear</v>
      </c>
      <c r="F236">
        <f>Final_Dataset!J207</f>
        <v>0.14000000000000001</v>
      </c>
      <c r="G236">
        <f>Final_Dataset!L207</f>
        <v>0.46</v>
      </c>
      <c r="H236">
        <f>Final_Dataset!M207</f>
        <v>0.25369999999999998</v>
      </c>
      <c r="I236">
        <f>Final_Dataset!P207</f>
        <v>38</v>
      </c>
      <c r="J236" s="54">
        <f t="shared" si="18"/>
        <v>61.767441860465119</v>
      </c>
      <c r="K236" s="54">
        <f t="shared" si="19"/>
        <v>24.6323801696856</v>
      </c>
      <c r="L236" s="55">
        <f t="shared" si="20"/>
        <v>-0.96488612536579244</v>
      </c>
      <c r="M236" t="str">
        <f t="shared" si="21"/>
        <v/>
      </c>
    </row>
    <row r="237" spans="1:13" x14ac:dyDescent="0.2">
      <c r="A237">
        <f>Final_Dataset!A208</f>
        <v>207</v>
      </c>
      <c r="B237" s="53">
        <f>Final_Dataset!B208</f>
        <v>40552</v>
      </c>
      <c r="C237">
        <f>Final_Dataset!F208</f>
        <v>21</v>
      </c>
      <c r="D237" t="str">
        <f>Final_Dataset!T208</f>
        <v>Sun</v>
      </c>
      <c r="E237" t="str">
        <f>Final_Dataset!X208</f>
        <v>Clear</v>
      </c>
      <c r="F237">
        <f>Final_Dataset!J208</f>
        <v>0.14000000000000001</v>
      </c>
      <c r="G237">
        <f>Final_Dataset!L208</f>
        <v>0.46</v>
      </c>
      <c r="H237">
        <f>Final_Dataset!M208</f>
        <v>0.41789999999999999</v>
      </c>
      <c r="I237">
        <f>Final_Dataset!P208</f>
        <v>20</v>
      </c>
      <c r="J237" s="54">
        <f t="shared" si="18"/>
        <v>46.418604651162788</v>
      </c>
      <c r="K237" s="54">
        <f t="shared" si="19"/>
        <v>14.656759464719499</v>
      </c>
      <c r="L237" s="55">
        <f t="shared" si="20"/>
        <v>-1.8024860621309504</v>
      </c>
      <c r="M237" t="str">
        <f t="shared" si="21"/>
        <v/>
      </c>
    </row>
    <row r="238" spans="1:13" x14ac:dyDescent="0.2">
      <c r="A238">
        <f>Final_Dataset!A209</f>
        <v>208</v>
      </c>
      <c r="B238" s="53">
        <f>Final_Dataset!B209</f>
        <v>40552</v>
      </c>
      <c r="C238">
        <f>Final_Dataset!F209</f>
        <v>22</v>
      </c>
      <c r="D238" t="str">
        <f>Final_Dataset!T209</f>
        <v>Sun</v>
      </c>
      <c r="E238" t="str">
        <f>Final_Dataset!X209</f>
        <v>Clear</v>
      </c>
      <c r="F238">
        <f>Final_Dataset!J209</f>
        <v>0.14000000000000001</v>
      </c>
      <c r="G238">
        <f>Final_Dataset!L209</f>
        <v>0.46</v>
      </c>
      <c r="H238">
        <f>Final_Dataset!M209</f>
        <v>0.29849999999999999</v>
      </c>
      <c r="I238">
        <f>Final_Dataset!P209</f>
        <v>15</v>
      </c>
      <c r="J238" s="54">
        <f t="shared" si="18"/>
        <v>35.069767441860463</v>
      </c>
      <c r="K238" s="54">
        <f t="shared" si="19"/>
        <v>11.95506537162667</v>
      </c>
      <c r="L238" s="55">
        <f t="shared" si="20"/>
        <v>-1.6787668505345583</v>
      </c>
      <c r="M238" t="str">
        <f t="shared" si="21"/>
        <v/>
      </c>
    </row>
    <row r="239" spans="1:13" x14ac:dyDescent="0.2">
      <c r="A239">
        <f>Final_Dataset!A210</f>
        <v>209</v>
      </c>
      <c r="B239" s="53">
        <f>Final_Dataset!B210</f>
        <v>40552</v>
      </c>
      <c r="C239">
        <f>Final_Dataset!F210</f>
        <v>23</v>
      </c>
      <c r="D239" t="str">
        <f>Final_Dataset!T210</f>
        <v>Sun</v>
      </c>
      <c r="E239" t="str">
        <f>Final_Dataset!X210</f>
        <v>Clear</v>
      </c>
      <c r="F239">
        <f>Final_Dataset!J210</f>
        <v>0.12</v>
      </c>
      <c r="G239">
        <f>Final_Dataset!L210</f>
        <v>0.5</v>
      </c>
      <c r="H239">
        <f>Final_Dataset!M210</f>
        <v>0.19400000000000001</v>
      </c>
      <c r="I239">
        <f>Final_Dataset!P210</f>
        <v>6</v>
      </c>
      <c r="J239" s="54">
        <f t="shared" si="18"/>
        <v>25.186046511627907</v>
      </c>
      <c r="K239" s="54">
        <f t="shared" si="19"/>
        <v>11.751911321656186</v>
      </c>
      <c r="L239" s="55">
        <f t="shared" si="20"/>
        <v>-1.6325894560038285</v>
      </c>
      <c r="M239" t="str">
        <f t="shared" si="21"/>
        <v/>
      </c>
    </row>
    <row r="240" spans="1:13" x14ac:dyDescent="0.2">
      <c r="A240">
        <f>Final_Dataset!A211</f>
        <v>210</v>
      </c>
      <c r="B240" s="53">
        <f>Final_Dataset!B211</f>
        <v>40553</v>
      </c>
      <c r="C240">
        <f>Final_Dataset!F211</f>
        <v>0</v>
      </c>
      <c r="D240" t="str">
        <f>Final_Dataset!T211</f>
        <v>Mon</v>
      </c>
      <c r="E240" t="str">
        <f>Final_Dataset!X211</f>
        <v>Clear</v>
      </c>
      <c r="F240">
        <f>Final_Dataset!J211</f>
        <v>0.12</v>
      </c>
      <c r="G240">
        <f>Final_Dataset!L211</f>
        <v>0.5</v>
      </c>
      <c r="H240">
        <f>Final_Dataset!M211</f>
        <v>0.28360000000000002</v>
      </c>
      <c r="I240">
        <f>Final_Dataset!P211</f>
        <v>5</v>
      </c>
      <c r="J240" s="54">
        <f t="shared" si="18"/>
        <v>16.348837209302324</v>
      </c>
      <c r="K240" s="54">
        <f t="shared" si="19"/>
        <v>10.442321674276208</v>
      </c>
      <c r="L240" s="55">
        <f t="shared" si="20"/>
        <v>-1.0868116845374762</v>
      </c>
      <c r="M240" t="str">
        <f t="shared" si="21"/>
        <v/>
      </c>
    </row>
    <row r="241" spans="1:13" x14ac:dyDescent="0.2">
      <c r="A241">
        <f>Final_Dataset!A212</f>
        <v>211</v>
      </c>
      <c r="B241" s="53">
        <f>Final_Dataset!B212</f>
        <v>40553</v>
      </c>
      <c r="C241">
        <f>Final_Dataset!F212</f>
        <v>1</v>
      </c>
      <c r="D241" t="str">
        <f>Final_Dataset!T212</f>
        <v>Mon</v>
      </c>
      <c r="E241" t="str">
        <f>Final_Dataset!X212</f>
        <v>Clear</v>
      </c>
      <c r="F241">
        <f>Final_Dataset!J212</f>
        <v>0.12</v>
      </c>
      <c r="G241">
        <f>Final_Dataset!L212</f>
        <v>0.5</v>
      </c>
      <c r="H241">
        <f>Final_Dataset!M212</f>
        <v>0.28360000000000002</v>
      </c>
      <c r="I241">
        <f>Final_Dataset!P212</f>
        <v>1</v>
      </c>
      <c r="J241" s="54">
        <f t="shared" si="18"/>
        <v>10.697674418604651</v>
      </c>
      <c r="K241" s="54">
        <f t="shared" si="19"/>
        <v>10.060613641515801</v>
      </c>
      <c r="L241" s="55">
        <f t="shared" si="20"/>
        <v>-0.96392474297855379</v>
      </c>
      <c r="M241" t="str">
        <f t="shared" si="21"/>
        <v/>
      </c>
    </row>
    <row r="242" spans="1:13" x14ac:dyDescent="0.2">
      <c r="A242">
        <f>Final_Dataset!A213</f>
        <v>212</v>
      </c>
      <c r="B242" s="53">
        <f>Final_Dataset!B213</f>
        <v>40553</v>
      </c>
      <c r="C242">
        <f>Final_Dataset!F213</f>
        <v>2</v>
      </c>
      <c r="D242" t="str">
        <f>Final_Dataset!T213</f>
        <v>Mon</v>
      </c>
      <c r="E242" t="str">
        <f>Final_Dataset!X213</f>
        <v>Clear</v>
      </c>
      <c r="F242">
        <f>Final_Dataset!J213</f>
        <v>0.12</v>
      </c>
      <c r="G242">
        <f>Final_Dataset!L213</f>
        <v>0.5</v>
      </c>
      <c r="H242">
        <f>Final_Dataset!M213</f>
        <v>0.22389999999999999</v>
      </c>
      <c r="I242">
        <f>Final_Dataset!P213</f>
        <v>3</v>
      </c>
      <c r="J242" s="54">
        <f t="shared" si="18"/>
        <v>7.1707317073170733</v>
      </c>
      <c r="K242" s="54">
        <f t="shared" si="19"/>
        <v>7.3685223723090862</v>
      </c>
      <c r="L242" s="55">
        <f t="shared" si="20"/>
        <v>-0.5660200914895348</v>
      </c>
      <c r="M242" t="str">
        <f t="shared" si="21"/>
        <v/>
      </c>
    </row>
    <row r="243" spans="1:13" x14ac:dyDescent="0.2">
      <c r="A243">
        <f>Final_Dataset!A214</f>
        <v>213</v>
      </c>
      <c r="B243" s="53">
        <f>Final_Dataset!B214</f>
        <v>40553</v>
      </c>
      <c r="C243">
        <f>Final_Dataset!F214</f>
        <v>3</v>
      </c>
      <c r="D243" t="str">
        <f>Final_Dataset!T214</f>
        <v>Mon</v>
      </c>
      <c r="E243" t="str">
        <f>Final_Dataset!X214</f>
        <v>Clear</v>
      </c>
      <c r="F243">
        <f>Final_Dataset!J214</f>
        <v>0.12</v>
      </c>
      <c r="G243">
        <f>Final_Dataset!L214</f>
        <v>0.5</v>
      </c>
      <c r="H243">
        <f>Final_Dataset!M214</f>
        <v>0.22389999999999999</v>
      </c>
      <c r="I243">
        <f>Final_Dataset!P214</f>
        <v>1</v>
      </c>
      <c r="J243" s="54">
        <f t="shared" si="18"/>
        <v>4.870967741935484</v>
      </c>
      <c r="K243" s="54">
        <f t="shared" si="19"/>
        <v>4.4702120418303126</v>
      </c>
      <c r="L243" s="55">
        <f t="shared" si="20"/>
        <v>-0.86594723152115394</v>
      </c>
      <c r="M243" t="str">
        <f t="shared" si="21"/>
        <v/>
      </c>
    </row>
    <row r="244" spans="1:13" x14ac:dyDescent="0.2">
      <c r="A244">
        <f>Final_Dataset!A215</f>
        <v>214</v>
      </c>
      <c r="B244" s="53">
        <f>Final_Dataset!B215</f>
        <v>40553</v>
      </c>
      <c r="C244">
        <f>Final_Dataset!F215</f>
        <v>4</v>
      </c>
      <c r="D244" t="str">
        <f>Final_Dataset!T215</f>
        <v>Mon</v>
      </c>
      <c r="E244" t="str">
        <f>Final_Dataset!X215</f>
        <v>Clear</v>
      </c>
      <c r="F244">
        <f>Final_Dataset!J215</f>
        <v>0.1</v>
      </c>
      <c r="G244">
        <f>Final_Dataset!L215</f>
        <v>0.54</v>
      </c>
      <c r="H244">
        <f>Final_Dataset!M215</f>
        <v>0.1343</v>
      </c>
      <c r="I244">
        <f>Final_Dataset!P215</f>
        <v>3</v>
      </c>
      <c r="J244" s="54">
        <f t="shared" si="18"/>
        <v>2.15625</v>
      </c>
      <c r="K244" s="54">
        <f t="shared" si="19"/>
        <v>1.5263148747143209</v>
      </c>
      <c r="L244" s="55">
        <f t="shared" si="20"/>
        <v>0.55280205544607819</v>
      </c>
      <c r="M244" t="str">
        <f t="shared" si="21"/>
        <v/>
      </c>
    </row>
    <row r="245" spans="1:13" x14ac:dyDescent="0.2">
      <c r="A245">
        <f>Final_Dataset!A216</f>
        <v>215</v>
      </c>
      <c r="B245" s="53">
        <f>Final_Dataset!B216</f>
        <v>40553</v>
      </c>
      <c r="C245">
        <f>Final_Dataset!F216</f>
        <v>5</v>
      </c>
      <c r="D245" t="str">
        <f>Final_Dataset!T216</f>
        <v>Mon</v>
      </c>
      <c r="E245" t="str">
        <f>Final_Dataset!X216</f>
        <v>Clear</v>
      </c>
      <c r="F245">
        <f>Final_Dataset!J216</f>
        <v>0.1</v>
      </c>
      <c r="G245">
        <f>Final_Dataset!L216</f>
        <v>0.54</v>
      </c>
      <c r="H245">
        <f>Final_Dataset!M216</f>
        <v>0.25369999999999998</v>
      </c>
      <c r="I245">
        <f>Final_Dataset!P216</f>
        <v>3</v>
      </c>
      <c r="J245" s="54">
        <f t="shared" si="18"/>
        <v>4.2051282051282053</v>
      </c>
      <c r="K245" s="54">
        <f t="shared" si="19"/>
        <v>2.5358429220352288</v>
      </c>
      <c r="L245" s="55">
        <f t="shared" si="20"/>
        <v>-0.47523771865214265</v>
      </c>
      <c r="M245" t="str">
        <f t="shared" si="21"/>
        <v/>
      </c>
    </row>
    <row r="246" spans="1:13" x14ac:dyDescent="0.2">
      <c r="A246">
        <f>Final_Dataset!A217</f>
        <v>216</v>
      </c>
      <c r="B246" s="53">
        <f>Final_Dataset!B217</f>
        <v>40553</v>
      </c>
      <c r="C246">
        <f>Final_Dataset!F217</f>
        <v>6</v>
      </c>
      <c r="D246" t="str">
        <f>Final_Dataset!T217</f>
        <v>Mon</v>
      </c>
      <c r="E246" t="str">
        <f>Final_Dataset!X217</f>
        <v>Clear</v>
      </c>
      <c r="F246">
        <f>Final_Dataset!J217</f>
        <v>0.12</v>
      </c>
      <c r="G246">
        <f>Final_Dataset!L217</f>
        <v>0.5</v>
      </c>
      <c r="H246">
        <f>Final_Dataset!M217</f>
        <v>0.28360000000000002</v>
      </c>
      <c r="I246">
        <f>Final_Dataset!P217</f>
        <v>31</v>
      </c>
      <c r="J246" s="54">
        <f t="shared" si="18"/>
        <v>19.571428571428573</v>
      </c>
      <c r="K246" s="54">
        <f t="shared" si="19"/>
        <v>14.202615453298934</v>
      </c>
      <c r="L246" s="55">
        <f t="shared" si="20"/>
        <v>0.80468076222656848</v>
      </c>
      <c r="M246" t="str">
        <f t="shared" si="21"/>
        <v/>
      </c>
    </row>
    <row r="247" spans="1:13" x14ac:dyDescent="0.2">
      <c r="A247">
        <f>Final_Dataset!A218</f>
        <v>217</v>
      </c>
      <c r="B247" s="53">
        <f>Final_Dataset!B218</f>
        <v>40553</v>
      </c>
      <c r="C247">
        <f>Final_Dataset!F218</f>
        <v>7</v>
      </c>
      <c r="D247" t="str">
        <f>Final_Dataset!T218</f>
        <v>Mon</v>
      </c>
      <c r="E247" t="str">
        <f>Final_Dataset!X218</f>
        <v>Clear</v>
      </c>
      <c r="F247">
        <f>Final_Dataset!J218</f>
        <v>0.12</v>
      </c>
      <c r="G247">
        <f>Final_Dataset!L218</f>
        <v>0.5</v>
      </c>
      <c r="H247">
        <f>Final_Dataset!M218</f>
        <v>0.22389999999999999</v>
      </c>
      <c r="I247">
        <f>Final_Dataset!P218</f>
        <v>77</v>
      </c>
      <c r="J247" s="54">
        <f t="shared" si="18"/>
        <v>54.395348837209305</v>
      </c>
      <c r="K247" s="54">
        <f t="shared" si="19"/>
        <v>39.112864486352777</v>
      </c>
      <c r="L247" s="55">
        <f t="shared" si="20"/>
        <v>0.57793392173252589</v>
      </c>
      <c r="M247" t="str">
        <f t="shared" si="21"/>
        <v/>
      </c>
    </row>
    <row r="248" spans="1:13" x14ac:dyDescent="0.2">
      <c r="A248">
        <f>Final_Dataset!A219</f>
        <v>218</v>
      </c>
      <c r="B248" s="53">
        <f>Final_Dataset!B219</f>
        <v>40553</v>
      </c>
      <c r="C248">
        <f>Final_Dataset!F219</f>
        <v>8</v>
      </c>
      <c r="D248" t="str">
        <f>Final_Dataset!T219</f>
        <v>Mon</v>
      </c>
      <c r="E248" t="str">
        <f>Final_Dataset!X219</f>
        <v>Cloudy/Mist</v>
      </c>
      <c r="F248">
        <f>Final_Dataset!J219</f>
        <v>0.12</v>
      </c>
      <c r="G248">
        <f>Final_Dataset!L219</f>
        <v>0.5</v>
      </c>
      <c r="H248">
        <f>Final_Dataset!M219</f>
        <v>0.28360000000000002</v>
      </c>
      <c r="I248">
        <f>Final_Dataset!P219</f>
        <v>188</v>
      </c>
      <c r="J248" s="54">
        <f t="shared" si="18"/>
        <v>128.28571428571428</v>
      </c>
      <c r="K248" s="54">
        <f t="shared" si="19"/>
        <v>88.551565717048533</v>
      </c>
      <c r="L248" s="55">
        <f t="shared" si="20"/>
        <v>0.67434477562025907</v>
      </c>
      <c r="M248" t="str">
        <f t="shared" si="21"/>
        <v/>
      </c>
    </row>
    <row r="249" spans="1:13" x14ac:dyDescent="0.2">
      <c r="A249">
        <f>Final_Dataset!A220</f>
        <v>219</v>
      </c>
      <c r="B249" s="53">
        <f>Final_Dataset!B220</f>
        <v>40553</v>
      </c>
      <c r="C249">
        <f>Final_Dataset!F220</f>
        <v>9</v>
      </c>
      <c r="D249" t="str">
        <f>Final_Dataset!T220</f>
        <v>Mon</v>
      </c>
      <c r="E249" t="str">
        <f>Final_Dataset!X220</f>
        <v>Cloudy/Mist</v>
      </c>
      <c r="F249">
        <f>Final_Dataset!J220</f>
        <v>0.14000000000000001</v>
      </c>
      <c r="G249">
        <f>Final_Dataset!L220</f>
        <v>0.5</v>
      </c>
      <c r="H249">
        <f>Final_Dataset!M220</f>
        <v>0.25369999999999998</v>
      </c>
      <c r="I249">
        <f>Final_Dataset!P220</f>
        <v>94</v>
      </c>
      <c r="J249" s="54">
        <f t="shared" si="18"/>
        <v>87.428571428571431</v>
      </c>
      <c r="K249" s="54">
        <f t="shared" si="19"/>
        <v>45.93852884078624</v>
      </c>
      <c r="L249" s="55">
        <f t="shared" si="20"/>
        <v>0.14304830253062364</v>
      </c>
      <c r="M249" t="str">
        <f t="shared" si="21"/>
        <v/>
      </c>
    </row>
    <row r="250" spans="1:13" x14ac:dyDescent="0.2">
      <c r="A250">
        <f>Final_Dataset!A221</f>
        <v>220</v>
      </c>
      <c r="B250" s="53">
        <f>Final_Dataset!B221</f>
        <v>40553</v>
      </c>
      <c r="C250">
        <f>Final_Dataset!F221</f>
        <v>10</v>
      </c>
      <c r="D250" t="str">
        <f>Final_Dataset!T221</f>
        <v>Mon</v>
      </c>
      <c r="E250" t="str">
        <f>Final_Dataset!X221</f>
        <v>Cloudy/Mist</v>
      </c>
      <c r="F250">
        <f>Final_Dataset!J221</f>
        <v>0.14000000000000001</v>
      </c>
      <c r="G250">
        <f>Final_Dataset!L221</f>
        <v>0.5</v>
      </c>
      <c r="H250">
        <f>Final_Dataset!M221</f>
        <v>0.29849999999999999</v>
      </c>
      <c r="I250">
        <f>Final_Dataset!P221</f>
        <v>31</v>
      </c>
      <c r="J250" s="54">
        <f t="shared" si="18"/>
        <v>53.642857142857146</v>
      </c>
      <c r="K250" s="54">
        <f t="shared" si="19"/>
        <v>15.395313554536934</v>
      </c>
      <c r="L250" s="55">
        <f t="shared" si="20"/>
        <v>-1.4707629735923367</v>
      </c>
      <c r="M250" t="str">
        <f t="shared" si="21"/>
        <v/>
      </c>
    </row>
    <row r="251" spans="1:13" x14ac:dyDescent="0.2">
      <c r="A251">
        <f>Final_Dataset!A222</f>
        <v>221</v>
      </c>
      <c r="B251" s="53">
        <f>Final_Dataset!B222</f>
        <v>40553</v>
      </c>
      <c r="C251">
        <f>Final_Dataset!F222</f>
        <v>11</v>
      </c>
      <c r="D251" t="str">
        <f>Final_Dataset!T222</f>
        <v>Mon</v>
      </c>
      <c r="E251" t="str">
        <f>Final_Dataset!X222</f>
        <v>Cloudy/Mist</v>
      </c>
      <c r="F251">
        <f>Final_Dataset!J222</f>
        <v>0.16</v>
      </c>
      <c r="G251">
        <f>Final_Dataset!L222</f>
        <v>0.47</v>
      </c>
      <c r="H251">
        <f>Final_Dataset!M222</f>
        <v>0.28360000000000002</v>
      </c>
      <c r="I251">
        <f>Final_Dataset!P222</f>
        <v>30</v>
      </c>
      <c r="J251" s="54">
        <f t="shared" si="18"/>
        <v>59.38095238095238</v>
      </c>
      <c r="K251" s="54">
        <f t="shared" si="19"/>
        <v>20.89573696860419</v>
      </c>
      <c r="L251" s="55">
        <f t="shared" si="20"/>
        <v>-1.4060739961025166</v>
      </c>
      <c r="M251" t="str">
        <f t="shared" si="21"/>
        <v/>
      </c>
    </row>
    <row r="252" spans="1:13" x14ac:dyDescent="0.2">
      <c r="A252">
        <f>Final_Dataset!A223</f>
        <v>222</v>
      </c>
      <c r="B252" s="53">
        <f>Final_Dataset!B223</f>
        <v>40553</v>
      </c>
      <c r="C252">
        <f>Final_Dataset!F223</f>
        <v>12</v>
      </c>
      <c r="D252" t="str">
        <f>Final_Dataset!T223</f>
        <v>Mon</v>
      </c>
      <c r="E252" t="str">
        <f>Final_Dataset!X223</f>
        <v>Cloudy/Mist</v>
      </c>
      <c r="F252">
        <f>Final_Dataset!J223</f>
        <v>0.2</v>
      </c>
      <c r="G252">
        <f>Final_Dataset!L223</f>
        <v>0.4</v>
      </c>
      <c r="H252">
        <f>Final_Dataset!M223</f>
        <v>0.28360000000000002</v>
      </c>
      <c r="I252">
        <f>Final_Dataset!P223</f>
        <v>52</v>
      </c>
      <c r="J252" s="54">
        <f t="shared" si="18"/>
        <v>76.348837209302332</v>
      </c>
      <c r="K252" s="54">
        <f t="shared" si="19"/>
        <v>29.034366927857057</v>
      </c>
      <c r="L252" s="55">
        <f t="shared" si="20"/>
        <v>-0.83862125424683576</v>
      </c>
      <c r="M252" t="str">
        <f t="shared" si="21"/>
        <v/>
      </c>
    </row>
    <row r="253" spans="1:13" x14ac:dyDescent="0.2">
      <c r="A253">
        <f>Final_Dataset!A224</f>
        <v>223</v>
      </c>
      <c r="B253" s="53">
        <f>Final_Dataset!B224</f>
        <v>40553</v>
      </c>
      <c r="C253">
        <f>Final_Dataset!F224</f>
        <v>13</v>
      </c>
      <c r="D253" t="str">
        <f>Final_Dataset!T224</f>
        <v>Mon</v>
      </c>
      <c r="E253" t="str">
        <f>Final_Dataset!X224</f>
        <v>Cloudy/Mist</v>
      </c>
      <c r="F253">
        <f>Final_Dataset!J224</f>
        <v>0.2</v>
      </c>
      <c r="G253">
        <f>Final_Dataset!L224</f>
        <v>0.4</v>
      </c>
      <c r="H253">
        <f>Final_Dataset!M224</f>
        <v>0.28360000000000002</v>
      </c>
      <c r="I253">
        <f>Final_Dataset!P224</f>
        <v>54</v>
      </c>
      <c r="J253" s="54">
        <f t="shared" si="18"/>
        <v>78.511627906976742</v>
      </c>
      <c r="K253" s="54">
        <f t="shared" si="19"/>
        <v>30.072430098825173</v>
      </c>
      <c r="L253" s="55">
        <f t="shared" si="20"/>
        <v>-0.81508637068656209</v>
      </c>
      <c r="M253" t="str">
        <f t="shared" si="21"/>
        <v/>
      </c>
    </row>
    <row r="254" spans="1:13" x14ac:dyDescent="0.2">
      <c r="A254">
        <f>Final_Dataset!A225</f>
        <v>224</v>
      </c>
      <c r="B254" s="53">
        <f>Final_Dataset!B225</f>
        <v>40553</v>
      </c>
      <c r="C254">
        <f>Final_Dataset!F225</f>
        <v>14</v>
      </c>
      <c r="D254" t="str">
        <f>Final_Dataset!T225</f>
        <v>Mon</v>
      </c>
      <c r="E254" t="str">
        <f>Final_Dataset!X225</f>
        <v>Cloudy/Mist</v>
      </c>
      <c r="F254">
        <f>Final_Dataset!J225</f>
        <v>0.2</v>
      </c>
      <c r="G254">
        <f>Final_Dataset!L225</f>
        <v>0.4</v>
      </c>
      <c r="H254">
        <f>Final_Dataset!M225</f>
        <v>0.22389999999999999</v>
      </c>
      <c r="I254">
        <f>Final_Dataset!P225</f>
        <v>47</v>
      </c>
      <c r="J254" s="54">
        <f t="shared" si="18"/>
        <v>74.418604651162795</v>
      </c>
      <c r="K254" s="54">
        <f t="shared" si="19"/>
        <v>30.305769180565147</v>
      </c>
      <c r="L254" s="55">
        <f t="shared" si="20"/>
        <v>-0.90473218111705711</v>
      </c>
      <c r="M254" t="str">
        <f t="shared" si="21"/>
        <v/>
      </c>
    </row>
    <row r="255" spans="1:13" x14ac:dyDescent="0.2">
      <c r="A255">
        <f>Final_Dataset!A226</f>
        <v>225</v>
      </c>
      <c r="B255" s="53">
        <f>Final_Dataset!B226</f>
        <v>40553</v>
      </c>
      <c r="C255">
        <f>Final_Dataset!F226</f>
        <v>15</v>
      </c>
      <c r="D255" t="str">
        <f>Final_Dataset!T226</f>
        <v>Mon</v>
      </c>
      <c r="E255" t="str">
        <f>Final_Dataset!X226</f>
        <v>Cloudy/Mist</v>
      </c>
      <c r="F255">
        <f>Final_Dataset!J226</f>
        <v>0.2</v>
      </c>
      <c r="G255">
        <f>Final_Dataset!L226</f>
        <v>0.4</v>
      </c>
      <c r="H255">
        <f>Final_Dataset!M226</f>
        <v>0.22389999999999999</v>
      </c>
      <c r="I255">
        <f>Final_Dataset!P226</f>
        <v>45</v>
      </c>
      <c r="J255" s="54">
        <f t="shared" si="18"/>
        <v>77.95348837209302</v>
      </c>
      <c r="K255" s="54">
        <f t="shared" si="19"/>
        <v>34.481156681772681</v>
      </c>
      <c r="L255" s="55">
        <f t="shared" si="20"/>
        <v>-0.9556955608021348</v>
      </c>
      <c r="M255" t="str">
        <f t="shared" si="21"/>
        <v/>
      </c>
    </row>
    <row r="256" spans="1:13" x14ac:dyDescent="0.2">
      <c r="A256">
        <f>Final_Dataset!A227</f>
        <v>226</v>
      </c>
      <c r="B256" s="53">
        <f>Final_Dataset!B227</f>
        <v>40553</v>
      </c>
      <c r="C256">
        <f>Final_Dataset!F227</f>
        <v>16</v>
      </c>
      <c r="D256" t="str">
        <f>Final_Dataset!T227</f>
        <v>Mon</v>
      </c>
      <c r="E256" t="str">
        <f>Final_Dataset!X227</f>
        <v>Clear</v>
      </c>
      <c r="F256">
        <f>Final_Dataset!J227</f>
        <v>0.2</v>
      </c>
      <c r="G256">
        <f>Final_Dataset!L227</f>
        <v>0.4</v>
      </c>
      <c r="H256">
        <f>Final_Dataset!M227</f>
        <v>0.1343</v>
      </c>
      <c r="I256">
        <f>Final_Dataset!P227</f>
        <v>74</v>
      </c>
      <c r="J256" s="54">
        <f t="shared" si="18"/>
        <v>89.272727272727266</v>
      </c>
      <c r="K256" s="54">
        <f t="shared" si="19"/>
        <v>25.461657115880747</v>
      </c>
      <c r="L256" s="55">
        <f t="shared" si="20"/>
        <v>-0.59983241480388483</v>
      </c>
      <c r="M256" t="str">
        <f t="shared" si="21"/>
        <v/>
      </c>
    </row>
    <row r="257" spans="1:13" x14ac:dyDescent="0.2">
      <c r="A257">
        <f>Final_Dataset!A228</f>
        <v>227</v>
      </c>
      <c r="B257" s="53">
        <f>Final_Dataset!B228</f>
        <v>40553</v>
      </c>
      <c r="C257">
        <f>Final_Dataset!F228</f>
        <v>17</v>
      </c>
      <c r="D257" t="str">
        <f>Final_Dataset!T228</f>
        <v>Mon</v>
      </c>
      <c r="E257" t="str">
        <f>Final_Dataset!X228</f>
        <v>Clear</v>
      </c>
      <c r="F257">
        <f>Final_Dataset!J228</f>
        <v>0.2</v>
      </c>
      <c r="G257">
        <f>Final_Dataset!L228</f>
        <v>0.4</v>
      </c>
      <c r="H257">
        <f>Final_Dataset!M228</f>
        <v>0.1045</v>
      </c>
      <c r="I257">
        <f>Final_Dataset!P228</f>
        <v>178</v>
      </c>
      <c r="J257" s="54">
        <f t="shared" si="18"/>
        <v>140.20454545454547</v>
      </c>
      <c r="K257" s="54">
        <f t="shared" si="19"/>
        <v>54.067391000084569</v>
      </c>
      <c r="L257" s="55">
        <f t="shared" si="20"/>
        <v>0.69904343165727034</v>
      </c>
      <c r="M257" t="str">
        <f t="shared" si="21"/>
        <v/>
      </c>
    </row>
    <row r="258" spans="1:13" x14ac:dyDescent="0.2">
      <c r="A258">
        <f>Final_Dataset!A229</f>
        <v>228</v>
      </c>
      <c r="B258" s="53">
        <f>Final_Dataset!B229</f>
        <v>40553</v>
      </c>
      <c r="C258">
        <f>Final_Dataset!F229</f>
        <v>18</v>
      </c>
      <c r="D258" t="str">
        <f>Final_Dataset!T229</f>
        <v>Mon</v>
      </c>
      <c r="E258" t="str">
        <f>Final_Dataset!X229</f>
        <v>Clear</v>
      </c>
      <c r="F258">
        <f>Final_Dataset!J229</f>
        <v>0.2</v>
      </c>
      <c r="G258">
        <f>Final_Dataset!L229</f>
        <v>0.4</v>
      </c>
      <c r="H258">
        <f>Final_Dataset!M229</f>
        <v>0.22389999999999999</v>
      </c>
      <c r="I258">
        <f>Final_Dataset!P229</f>
        <v>155</v>
      </c>
      <c r="J258" s="54">
        <f t="shared" si="18"/>
        <v>122.86046511627907</v>
      </c>
      <c r="K258" s="54">
        <f t="shared" si="19"/>
        <v>48.613432101949947</v>
      </c>
      <c r="L258" s="55">
        <f t="shared" si="20"/>
        <v>0.66112458006090402</v>
      </c>
      <c r="M258" t="str">
        <f t="shared" si="21"/>
        <v/>
      </c>
    </row>
    <row r="259" spans="1:13" x14ac:dyDescent="0.2">
      <c r="A259">
        <f>Final_Dataset!A230</f>
        <v>229</v>
      </c>
      <c r="B259" s="53">
        <f>Final_Dataset!B230</f>
        <v>40553</v>
      </c>
      <c r="C259">
        <f>Final_Dataset!F230</f>
        <v>19</v>
      </c>
      <c r="D259" t="str">
        <f>Final_Dataset!T230</f>
        <v>Mon</v>
      </c>
      <c r="E259" t="str">
        <f>Final_Dataset!X230</f>
        <v>Clear</v>
      </c>
      <c r="F259">
        <f>Final_Dataset!J230</f>
        <v>0.16</v>
      </c>
      <c r="G259">
        <f>Final_Dataset!L230</f>
        <v>0.47</v>
      </c>
      <c r="H259">
        <f>Final_Dataset!M230</f>
        <v>0.16420000000000001</v>
      </c>
      <c r="I259">
        <f>Final_Dataset!P230</f>
        <v>95</v>
      </c>
      <c r="J259" s="54">
        <f t="shared" si="18"/>
        <v>85.139534883720927</v>
      </c>
      <c r="K259" s="54">
        <f t="shared" si="19"/>
        <v>31.690904054294759</v>
      </c>
      <c r="L259" s="55">
        <f t="shared" si="20"/>
        <v>0.31114496132346153</v>
      </c>
      <c r="M259" t="str">
        <f t="shared" si="21"/>
        <v/>
      </c>
    </row>
    <row r="260" spans="1:13" x14ac:dyDescent="0.2">
      <c r="A260">
        <f>Final_Dataset!A231</f>
        <v>230</v>
      </c>
      <c r="B260" s="53">
        <f>Final_Dataset!B231</f>
        <v>40553</v>
      </c>
      <c r="C260">
        <f>Final_Dataset!F231</f>
        <v>20</v>
      </c>
      <c r="D260" t="str">
        <f>Final_Dataset!T231</f>
        <v>Mon</v>
      </c>
      <c r="E260" t="str">
        <f>Final_Dataset!X231</f>
        <v>Clear</v>
      </c>
      <c r="F260">
        <f>Final_Dataset!J231</f>
        <v>0.16</v>
      </c>
      <c r="G260">
        <f>Final_Dataset!L231</f>
        <v>0.5</v>
      </c>
      <c r="H260">
        <f>Final_Dataset!M231</f>
        <v>0.16420000000000001</v>
      </c>
      <c r="I260">
        <f>Final_Dataset!P231</f>
        <v>74</v>
      </c>
      <c r="J260" s="54">
        <f t="shared" si="18"/>
        <v>61.767441860465119</v>
      </c>
      <c r="K260" s="54">
        <f t="shared" si="19"/>
        <v>24.6323801696856</v>
      </c>
      <c r="L260" s="55">
        <f t="shared" si="20"/>
        <v>0.49660479642114153</v>
      </c>
      <c r="M260" t="str">
        <f t="shared" si="21"/>
        <v/>
      </c>
    </row>
    <row r="261" spans="1:13" x14ac:dyDescent="0.2">
      <c r="A261">
        <f>Final_Dataset!A232</f>
        <v>231</v>
      </c>
      <c r="B261" s="53">
        <f>Final_Dataset!B232</f>
        <v>40553</v>
      </c>
      <c r="C261">
        <f>Final_Dataset!F232</f>
        <v>21</v>
      </c>
      <c r="D261" t="str">
        <f>Final_Dataset!T232</f>
        <v>Mon</v>
      </c>
      <c r="E261" t="str">
        <f>Final_Dataset!X232</f>
        <v>Clear</v>
      </c>
      <c r="F261">
        <f>Final_Dataset!J232</f>
        <v>0.14000000000000001</v>
      </c>
      <c r="G261">
        <f>Final_Dataset!L232</f>
        <v>0.59</v>
      </c>
      <c r="H261">
        <f>Final_Dataset!M232</f>
        <v>0.19400000000000001</v>
      </c>
      <c r="I261">
        <f>Final_Dataset!P232</f>
        <v>38</v>
      </c>
      <c r="J261" s="54">
        <f t="shared" si="18"/>
        <v>46.418604651162788</v>
      </c>
      <c r="K261" s="54">
        <f t="shared" si="19"/>
        <v>14.656759464719499</v>
      </c>
      <c r="L261" s="55">
        <f t="shared" si="20"/>
        <v>-0.57438376275651748</v>
      </c>
      <c r="M261" t="str">
        <f t="shared" si="21"/>
        <v/>
      </c>
    </row>
    <row r="262" spans="1:13" x14ac:dyDescent="0.2">
      <c r="A262">
        <f>Final_Dataset!A233</f>
        <v>232</v>
      </c>
      <c r="B262" s="53">
        <f>Final_Dataset!B233</f>
        <v>40553</v>
      </c>
      <c r="C262">
        <f>Final_Dataset!F233</f>
        <v>22</v>
      </c>
      <c r="D262" t="str">
        <f>Final_Dataset!T233</f>
        <v>Mon</v>
      </c>
      <c r="E262" t="str">
        <f>Final_Dataset!X233</f>
        <v>Clear</v>
      </c>
      <c r="F262">
        <f>Final_Dataset!J233</f>
        <v>0.14000000000000001</v>
      </c>
      <c r="G262">
        <f>Final_Dataset!L233</f>
        <v>0.59</v>
      </c>
      <c r="H262">
        <f>Final_Dataset!M233</f>
        <v>0.16420000000000001</v>
      </c>
      <c r="I262">
        <f>Final_Dataset!P233</f>
        <v>24</v>
      </c>
      <c r="J262" s="54">
        <f t="shared" si="18"/>
        <v>35.069767441860463</v>
      </c>
      <c r="K262" s="54">
        <f t="shared" si="19"/>
        <v>11.95506537162667</v>
      </c>
      <c r="L262" s="55">
        <f t="shared" si="20"/>
        <v>-0.92594788048024301</v>
      </c>
      <c r="M262" t="str">
        <f t="shared" si="21"/>
        <v/>
      </c>
    </row>
    <row r="263" spans="1:13" x14ac:dyDescent="0.2">
      <c r="A263">
        <f>Final_Dataset!A234</f>
        <v>233</v>
      </c>
      <c r="B263" s="53">
        <f>Final_Dataset!B234</f>
        <v>40553</v>
      </c>
      <c r="C263">
        <f>Final_Dataset!F234</f>
        <v>23</v>
      </c>
      <c r="D263" t="str">
        <f>Final_Dataset!T234</f>
        <v>Mon</v>
      </c>
      <c r="E263" t="str">
        <f>Final_Dataset!X234</f>
        <v>Clear</v>
      </c>
      <c r="F263">
        <f>Final_Dataset!J234</f>
        <v>0.14000000000000001</v>
      </c>
      <c r="G263">
        <f>Final_Dataset!L234</f>
        <v>0.59</v>
      </c>
      <c r="H263">
        <f>Final_Dataset!M234</f>
        <v>0.16420000000000001</v>
      </c>
      <c r="I263">
        <f>Final_Dataset!P234</f>
        <v>18</v>
      </c>
      <c r="J263" s="54">
        <f t="shared" si="18"/>
        <v>25.186046511627907</v>
      </c>
      <c r="K263" s="54">
        <f t="shared" si="19"/>
        <v>11.751911321656186</v>
      </c>
      <c r="L263" s="55">
        <f t="shared" si="20"/>
        <v>-0.61147895988507039</v>
      </c>
      <c r="M263" t="str">
        <f t="shared" si="21"/>
        <v/>
      </c>
    </row>
    <row r="264" spans="1:13" x14ac:dyDescent="0.2">
      <c r="A264">
        <f>Final_Dataset!A235</f>
        <v>234</v>
      </c>
      <c r="B264" s="53">
        <f>Final_Dataset!B235</f>
        <v>40554</v>
      </c>
      <c r="C264">
        <f>Final_Dataset!F235</f>
        <v>0</v>
      </c>
      <c r="D264" t="str">
        <f>Final_Dataset!T235</f>
        <v>Tue</v>
      </c>
      <c r="E264" t="str">
        <f>Final_Dataset!X235</f>
        <v>Clear</v>
      </c>
      <c r="F264">
        <f>Final_Dataset!J235</f>
        <v>0.14000000000000001</v>
      </c>
      <c r="G264">
        <f>Final_Dataset!L235</f>
        <v>0.59</v>
      </c>
      <c r="H264">
        <f>Final_Dataset!M235</f>
        <v>0.1045</v>
      </c>
      <c r="I264">
        <f>Final_Dataset!P235</f>
        <v>12</v>
      </c>
      <c r="J264" s="54">
        <f t="shared" si="18"/>
        <v>16.348837209302324</v>
      </c>
      <c r="K264" s="54">
        <f t="shared" si="19"/>
        <v>10.442321674276208</v>
      </c>
      <c r="L264" s="55">
        <f t="shared" si="20"/>
        <v>-0.41646267419776234</v>
      </c>
      <c r="M264" t="str">
        <f t="shared" si="21"/>
        <v/>
      </c>
    </row>
    <row r="265" spans="1:13" x14ac:dyDescent="0.2">
      <c r="A265">
        <f>Final_Dataset!A236</f>
        <v>235</v>
      </c>
      <c r="B265" s="53">
        <f>Final_Dataset!B236</f>
        <v>40554</v>
      </c>
      <c r="C265">
        <f>Final_Dataset!F236</f>
        <v>1</v>
      </c>
      <c r="D265" t="str">
        <f>Final_Dataset!T236</f>
        <v>Tue</v>
      </c>
      <c r="E265" t="str">
        <f>Final_Dataset!X236</f>
        <v>Clear</v>
      </c>
      <c r="F265">
        <f>Final_Dataset!J236</f>
        <v>0.14000000000000001</v>
      </c>
      <c r="G265">
        <f>Final_Dataset!L236</f>
        <v>0.59</v>
      </c>
      <c r="H265">
        <f>Final_Dataset!M236</f>
        <v>0.16420000000000001</v>
      </c>
      <c r="I265">
        <f>Final_Dataset!P236</f>
        <v>3</v>
      </c>
      <c r="J265" s="54">
        <f t="shared" si="18"/>
        <v>10.697674418604651</v>
      </c>
      <c r="K265" s="54">
        <f t="shared" si="19"/>
        <v>10.060613641515801</v>
      </c>
      <c r="L265" s="55">
        <f t="shared" si="20"/>
        <v>-0.76512971205252112</v>
      </c>
      <c r="M265" t="str">
        <f t="shared" si="21"/>
        <v/>
      </c>
    </row>
    <row r="266" spans="1:13" x14ac:dyDescent="0.2">
      <c r="A266">
        <f>Final_Dataset!A237</f>
        <v>236</v>
      </c>
      <c r="B266" s="53">
        <f>Final_Dataset!B237</f>
        <v>40554</v>
      </c>
      <c r="C266">
        <f>Final_Dataset!F237</f>
        <v>2</v>
      </c>
      <c r="D266" t="str">
        <f>Final_Dataset!T237</f>
        <v>Tue</v>
      </c>
      <c r="E266" t="str">
        <f>Final_Dataset!X237</f>
        <v>Cloudy/Mist</v>
      </c>
      <c r="F266">
        <f>Final_Dataset!J237</f>
        <v>0.16</v>
      </c>
      <c r="G266">
        <f>Final_Dataset!L237</f>
        <v>0.55000000000000004</v>
      </c>
      <c r="H266">
        <f>Final_Dataset!M237</f>
        <v>0.19400000000000001</v>
      </c>
      <c r="I266">
        <f>Final_Dataset!P237</f>
        <v>3</v>
      </c>
      <c r="J266" s="54">
        <f t="shared" si="18"/>
        <v>7.1707317073170733</v>
      </c>
      <c r="K266" s="54">
        <f t="shared" si="19"/>
        <v>7.3685223723090862</v>
      </c>
      <c r="L266" s="55">
        <f t="shared" si="20"/>
        <v>-0.5660200914895348</v>
      </c>
      <c r="M266" t="str">
        <f t="shared" si="21"/>
        <v/>
      </c>
    </row>
    <row r="267" spans="1:13" x14ac:dyDescent="0.2">
      <c r="A267">
        <f>Final_Dataset!A238</f>
        <v>237</v>
      </c>
      <c r="B267" s="53">
        <f>Final_Dataset!B238</f>
        <v>40554</v>
      </c>
      <c r="C267">
        <f>Final_Dataset!F238</f>
        <v>5</v>
      </c>
      <c r="D267" t="str">
        <f>Final_Dataset!T238</f>
        <v>Tue</v>
      </c>
      <c r="E267" t="str">
        <f>Final_Dataset!X238</f>
        <v>Cloudy/Mist</v>
      </c>
      <c r="F267">
        <f>Final_Dataset!J238</f>
        <v>0.16</v>
      </c>
      <c r="G267">
        <f>Final_Dataset!L238</f>
        <v>0.55000000000000004</v>
      </c>
      <c r="H267">
        <f>Final_Dataset!M238</f>
        <v>0.1343</v>
      </c>
      <c r="I267">
        <f>Final_Dataset!P238</f>
        <v>6</v>
      </c>
      <c r="J267" s="54">
        <f t="shared" si="18"/>
        <v>4.2051282051282053</v>
      </c>
      <c r="K267" s="54">
        <f t="shared" si="19"/>
        <v>2.5358429220352288</v>
      </c>
      <c r="L267" s="55">
        <f t="shared" si="20"/>
        <v>0.70780085756702082</v>
      </c>
      <c r="M267" t="str">
        <f t="shared" si="21"/>
        <v/>
      </c>
    </row>
    <row r="268" spans="1:13" x14ac:dyDescent="0.2">
      <c r="A268">
        <f>Final_Dataset!A239</f>
        <v>238</v>
      </c>
      <c r="B268" s="53">
        <f>Final_Dataset!B239</f>
        <v>40554</v>
      </c>
      <c r="C268">
        <f>Final_Dataset!F239</f>
        <v>6</v>
      </c>
      <c r="D268" t="str">
        <f>Final_Dataset!T239</f>
        <v>Tue</v>
      </c>
      <c r="E268" t="str">
        <f>Final_Dataset!X239</f>
        <v>Cloudy/Mist</v>
      </c>
      <c r="F268">
        <f>Final_Dataset!J239</f>
        <v>0.16</v>
      </c>
      <c r="G268">
        <f>Final_Dataset!L239</f>
        <v>0.55000000000000004</v>
      </c>
      <c r="H268">
        <f>Final_Dataset!M239</f>
        <v>0.1343</v>
      </c>
      <c r="I268">
        <f>Final_Dataset!P239</f>
        <v>27</v>
      </c>
      <c r="J268" s="54">
        <f t="shared" si="18"/>
        <v>19.571428571428573</v>
      </c>
      <c r="K268" s="54">
        <f t="shared" si="19"/>
        <v>14.202615453298934</v>
      </c>
      <c r="L268" s="55">
        <f t="shared" si="20"/>
        <v>0.52304249544726944</v>
      </c>
      <c r="M268" t="str">
        <f t="shared" si="21"/>
        <v/>
      </c>
    </row>
    <row r="269" spans="1:13" x14ac:dyDescent="0.2">
      <c r="A269">
        <f>Final_Dataset!A240</f>
        <v>239</v>
      </c>
      <c r="B269" s="53">
        <f>Final_Dataset!B240</f>
        <v>40554</v>
      </c>
      <c r="C269">
        <f>Final_Dataset!F240</f>
        <v>7</v>
      </c>
      <c r="D269" t="str">
        <f>Final_Dataset!T240</f>
        <v>Tue</v>
      </c>
      <c r="E269" t="str">
        <f>Final_Dataset!X240</f>
        <v>Cloudy/Mist</v>
      </c>
      <c r="F269">
        <f>Final_Dataset!J240</f>
        <v>0.16</v>
      </c>
      <c r="G269">
        <f>Final_Dataset!L240</f>
        <v>0.55000000000000004</v>
      </c>
      <c r="H269">
        <f>Final_Dataset!M240</f>
        <v>0</v>
      </c>
      <c r="I269">
        <f>Final_Dataset!P240</f>
        <v>99</v>
      </c>
      <c r="J269" s="54">
        <f t="shared" si="18"/>
        <v>54.395348837209305</v>
      </c>
      <c r="K269" s="54">
        <f t="shared" si="19"/>
        <v>39.112864486352777</v>
      </c>
      <c r="L269" s="55">
        <f t="shared" si="20"/>
        <v>1.1404087056409307</v>
      </c>
      <c r="M269" t="str">
        <f t="shared" si="21"/>
        <v/>
      </c>
    </row>
    <row r="270" spans="1:13" x14ac:dyDescent="0.2">
      <c r="A270">
        <f>Final_Dataset!A241</f>
        <v>240</v>
      </c>
      <c r="B270" s="53">
        <f>Final_Dataset!B241</f>
        <v>40554</v>
      </c>
      <c r="C270">
        <f>Final_Dataset!F241</f>
        <v>8</v>
      </c>
      <c r="D270" t="str">
        <f>Final_Dataset!T241</f>
        <v>Tue</v>
      </c>
      <c r="E270" t="str">
        <f>Final_Dataset!X241</f>
        <v>Cloudy/Mist</v>
      </c>
      <c r="F270">
        <f>Final_Dataset!J241</f>
        <v>0.18</v>
      </c>
      <c r="G270">
        <f>Final_Dataset!L241</f>
        <v>0.51</v>
      </c>
      <c r="H270">
        <f>Final_Dataset!M241</f>
        <v>8.9599999999999999E-2</v>
      </c>
      <c r="I270">
        <f>Final_Dataset!P241</f>
        <v>217</v>
      </c>
      <c r="J270" s="54">
        <f t="shared" si="18"/>
        <v>128.28571428571428</v>
      </c>
      <c r="K270" s="54">
        <f t="shared" si="19"/>
        <v>88.551565717048533</v>
      </c>
      <c r="L270" s="55">
        <f t="shared" si="20"/>
        <v>1.0018375733497151</v>
      </c>
      <c r="M270" t="str">
        <f t="shared" si="21"/>
        <v/>
      </c>
    </row>
    <row r="271" spans="1:13" x14ac:dyDescent="0.2">
      <c r="A271">
        <f>Final_Dataset!A242</f>
        <v>241</v>
      </c>
      <c r="B271" s="53">
        <f>Final_Dataset!B242</f>
        <v>40554</v>
      </c>
      <c r="C271">
        <f>Final_Dataset!F242</f>
        <v>9</v>
      </c>
      <c r="D271" t="str">
        <f>Final_Dataset!T242</f>
        <v>Tue</v>
      </c>
      <c r="E271" t="str">
        <f>Final_Dataset!X242</f>
        <v>Cloudy/Mist</v>
      </c>
      <c r="F271">
        <f>Final_Dataset!J242</f>
        <v>0.18</v>
      </c>
      <c r="G271">
        <f>Final_Dataset!L242</f>
        <v>0.51</v>
      </c>
      <c r="H271">
        <f>Final_Dataset!M242</f>
        <v>0.16420000000000001</v>
      </c>
      <c r="I271">
        <f>Final_Dataset!P242</f>
        <v>130</v>
      </c>
      <c r="J271" s="54">
        <f t="shared" si="18"/>
        <v>87.428571428571431</v>
      </c>
      <c r="K271" s="54">
        <f t="shared" si="19"/>
        <v>45.93852884078624</v>
      </c>
      <c r="L271" s="55">
        <f t="shared" si="20"/>
        <v>0.92670422074186642</v>
      </c>
      <c r="M271" t="str">
        <f t="shared" si="21"/>
        <v/>
      </c>
    </row>
    <row r="272" spans="1:13" x14ac:dyDescent="0.2">
      <c r="A272">
        <f>Final_Dataset!A243</f>
        <v>242</v>
      </c>
      <c r="B272" s="53">
        <f>Final_Dataset!B243</f>
        <v>40554</v>
      </c>
      <c r="C272">
        <f>Final_Dataset!F243</f>
        <v>10</v>
      </c>
      <c r="D272" t="str">
        <f>Final_Dataset!T243</f>
        <v>Tue</v>
      </c>
      <c r="E272" t="str">
        <f>Final_Dataset!X243</f>
        <v>Cloudy/Mist</v>
      </c>
      <c r="F272">
        <f>Final_Dataset!J243</f>
        <v>0.2</v>
      </c>
      <c r="G272">
        <f>Final_Dataset!L243</f>
        <v>0.51</v>
      </c>
      <c r="H272">
        <f>Final_Dataset!M243</f>
        <v>0.16420000000000001</v>
      </c>
      <c r="I272">
        <f>Final_Dataset!P243</f>
        <v>54</v>
      </c>
      <c r="J272" s="54">
        <f t="shared" si="18"/>
        <v>53.642857142857146</v>
      </c>
      <c r="K272" s="54">
        <f t="shared" si="19"/>
        <v>15.395313554536934</v>
      </c>
      <c r="L272" s="55">
        <f t="shared" si="20"/>
        <v>2.319815415760763E-2</v>
      </c>
      <c r="M272" t="str">
        <f t="shared" si="21"/>
        <v/>
      </c>
    </row>
    <row r="273" spans="1:13" x14ac:dyDescent="0.2">
      <c r="A273">
        <f>Final_Dataset!A244</f>
        <v>243</v>
      </c>
      <c r="B273" s="53">
        <f>Final_Dataset!B244</f>
        <v>40554</v>
      </c>
      <c r="C273">
        <f>Final_Dataset!F244</f>
        <v>11</v>
      </c>
      <c r="D273" t="str">
        <f>Final_Dataset!T244</f>
        <v>Tue</v>
      </c>
      <c r="E273" t="str">
        <f>Final_Dataset!X244</f>
        <v>Cloudy/Mist</v>
      </c>
      <c r="F273">
        <f>Final_Dataset!J244</f>
        <v>0.2</v>
      </c>
      <c r="G273">
        <f>Final_Dataset!L244</f>
        <v>0.47</v>
      </c>
      <c r="H273">
        <f>Final_Dataset!M244</f>
        <v>0.1343</v>
      </c>
      <c r="I273">
        <f>Final_Dataset!P244</f>
        <v>35</v>
      </c>
      <c r="J273" s="54">
        <f t="shared" si="18"/>
        <v>59.38095238095238</v>
      </c>
      <c r="K273" s="54">
        <f t="shared" si="19"/>
        <v>20.89573696860419</v>
      </c>
      <c r="L273" s="55">
        <f t="shared" si="20"/>
        <v>-1.1667907390672423</v>
      </c>
      <c r="M273" t="str">
        <f t="shared" si="21"/>
        <v/>
      </c>
    </row>
    <row r="274" spans="1:13" x14ac:dyDescent="0.2">
      <c r="A274">
        <f>Final_Dataset!A245</f>
        <v>244</v>
      </c>
      <c r="B274" s="53">
        <f>Final_Dataset!B245</f>
        <v>40554</v>
      </c>
      <c r="C274">
        <f>Final_Dataset!F245</f>
        <v>12</v>
      </c>
      <c r="D274" t="str">
        <f>Final_Dataset!T245</f>
        <v>Tue</v>
      </c>
      <c r="E274" t="str">
        <f>Final_Dataset!X245</f>
        <v>Cloudy/Mist</v>
      </c>
      <c r="F274">
        <f>Final_Dataset!J245</f>
        <v>0.2</v>
      </c>
      <c r="G274">
        <f>Final_Dataset!L245</f>
        <v>0.51</v>
      </c>
      <c r="H274">
        <f>Final_Dataset!M245</f>
        <v>0.1045</v>
      </c>
      <c r="I274">
        <f>Final_Dataset!P245</f>
        <v>57</v>
      </c>
      <c r="J274" s="54">
        <f t="shared" si="18"/>
        <v>76.348837209302332</v>
      </c>
      <c r="K274" s="54">
        <f t="shared" si="19"/>
        <v>29.034366927857057</v>
      </c>
      <c r="L274" s="55">
        <f t="shared" si="20"/>
        <v>-0.66641154110159251</v>
      </c>
      <c r="M274" t="str">
        <f t="shared" si="21"/>
        <v/>
      </c>
    </row>
    <row r="275" spans="1:13" x14ac:dyDescent="0.2">
      <c r="A275">
        <f>Final_Dataset!A246</f>
        <v>245</v>
      </c>
      <c r="B275" s="53">
        <f>Final_Dataset!B246</f>
        <v>40554</v>
      </c>
      <c r="C275">
        <f>Final_Dataset!F246</f>
        <v>13</v>
      </c>
      <c r="D275" t="str">
        <f>Final_Dataset!T246</f>
        <v>Tue</v>
      </c>
      <c r="E275" t="str">
        <f>Final_Dataset!X246</f>
        <v>Cloudy/Mist</v>
      </c>
      <c r="F275">
        <f>Final_Dataset!J246</f>
        <v>0.2</v>
      </c>
      <c r="G275">
        <f>Final_Dataset!L246</f>
        <v>0.59</v>
      </c>
      <c r="H275">
        <f>Final_Dataset!M246</f>
        <v>8.9599999999999999E-2</v>
      </c>
      <c r="I275">
        <f>Final_Dataset!P246</f>
        <v>52</v>
      </c>
      <c r="J275" s="54">
        <f t="shared" si="18"/>
        <v>78.511627906976742</v>
      </c>
      <c r="K275" s="54">
        <f t="shared" si="19"/>
        <v>30.072430098825173</v>
      </c>
      <c r="L275" s="55">
        <f t="shared" si="20"/>
        <v>-0.88159246924353019</v>
      </c>
      <c r="M275" t="str">
        <f t="shared" si="21"/>
        <v/>
      </c>
    </row>
    <row r="276" spans="1:13" x14ac:dyDescent="0.2">
      <c r="A276">
        <f>Final_Dataset!A247</f>
        <v>246</v>
      </c>
      <c r="B276" s="53">
        <f>Final_Dataset!B247</f>
        <v>40554</v>
      </c>
      <c r="C276">
        <f>Final_Dataset!F247</f>
        <v>14</v>
      </c>
      <c r="D276" t="str">
        <f>Final_Dataset!T247</f>
        <v>Tue</v>
      </c>
      <c r="E276" t="str">
        <f>Final_Dataset!X247</f>
        <v>Cloudy/Mist</v>
      </c>
      <c r="F276">
        <f>Final_Dataset!J247</f>
        <v>0.2</v>
      </c>
      <c r="G276">
        <f>Final_Dataset!L247</f>
        <v>0.59</v>
      </c>
      <c r="H276">
        <f>Final_Dataset!M247</f>
        <v>8.9599999999999999E-2</v>
      </c>
      <c r="I276">
        <f>Final_Dataset!P247</f>
        <v>63</v>
      </c>
      <c r="J276" s="54">
        <f t="shared" si="18"/>
        <v>74.418604651162795</v>
      </c>
      <c r="K276" s="54">
        <f t="shared" si="19"/>
        <v>30.305769180565147</v>
      </c>
      <c r="L276" s="55">
        <f t="shared" si="20"/>
        <v>-0.37677989900634024</v>
      </c>
      <c r="M276" t="str">
        <f t="shared" si="21"/>
        <v/>
      </c>
    </row>
    <row r="277" spans="1:13" x14ac:dyDescent="0.2">
      <c r="A277">
        <f>Final_Dataset!A248</f>
        <v>247</v>
      </c>
      <c r="B277" s="53">
        <f>Final_Dataset!B248</f>
        <v>40554</v>
      </c>
      <c r="C277">
        <f>Final_Dataset!F248</f>
        <v>15</v>
      </c>
      <c r="D277" t="str">
        <f>Final_Dataset!T248</f>
        <v>Tue</v>
      </c>
      <c r="E277" t="str">
        <f>Final_Dataset!X248</f>
        <v>Cloudy/Mist</v>
      </c>
      <c r="F277">
        <f>Final_Dataset!J248</f>
        <v>0.16</v>
      </c>
      <c r="G277">
        <f>Final_Dataset!L248</f>
        <v>0.8</v>
      </c>
      <c r="H277">
        <f>Final_Dataset!M248</f>
        <v>8.9599999999999999E-2</v>
      </c>
      <c r="I277">
        <f>Final_Dataset!P248</f>
        <v>47</v>
      </c>
      <c r="J277" s="54">
        <f t="shared" si="18"/>
        <v>77.95348837209302</v>
      </c>
      <c r="K277" s="54">
        <f t="shared" si="19"/>
        <v>34.481156681772681</v>
      </c>
      <c r="L277" s="55">
        <f t="shared" si="20"/>
        <v>-0.89769286621569611</v>
      </c>
      <c r="M277" t="str">
        <f t="shared" si="21"/>
        <v/>
      </c>
    </row>
    <row r="278" spans="1:13" x14ac:dyDescent="0.2">
      <c r="A278">
        <f>Final_Dataset!A249</f>
        <v>248</v>
      </c>
      <c r="B278" s="53">
        <f>Final_Dataset!B249</f>
        <v>40554</v>
      </c>
      <c r="C278">
        <f>Final_Dataset!F249</f>
        <v>16</v>
      </c>
      <c r="D278" t="str">
        <f>Final_Dataset!T249</f>
        <v>Tue</v>
      </c>
      <c r="E278" t="str">
        <f>Final_Dataset!X249</f>
        <v>Cloudy/Mist</v>
      </c>
      <c r="F278">
        <f>Final_Dataset!J249</f>
        <v>0.16</v>
      </c>
      <c r="G278">
        <f>Final_Dataset!L249</f>
        <v>0.86</v>
      </c>
      <c r="H278">
        <f>Final_Dataset!M249</f>
        <v>0.22389999999999999</v>
      </c>
      <c r="I278">
        <f>Final_Dataset!P249</f>
        <v>76</v>
      </c>
      <c r="J278" s="54">
        <f t="shared" si="18"/>
        <v>89.272727272727266</v>
      </c>
      <c r="K278" s="54">
        <f t="shared" si="19"/>
        <v>25.461657115880747</v>
      </c>
      <c r="L278" s="55">
        <f t="shared" si="20"/>
        <v>-0.52128293191289987</v>
      </c>
      <c r="M278" t="str">
        <f t="shared" si="21"/>
        <v/>
      </c>
    </row>
    <row r="279" spans="1:13" x14ac:dyDescent="0.2">
      <c r="A279">
        <f>Final_Dataset!A250</f>
        <v>249</v>
      </c>
      <c r="B279" s="53">
        <f>Final_Dataset!B250</f>
        <v>40554</v>
      </c>
      <c r="C279">
        <f>Final_Dataset!F250</f>
        <v>17</v>
      </c>
      <c r="D279" t="str">
        <f>Final_Dataset!T250</f>
        <v>Tue</v>
      </c>
      <c r="E279" t="str">
        <f>Final_Dataset!X250</f>
        <v>Cloudy/Mist</v>
      </c>
      <c r="F279">
        <f>Final_Dataset!J250</f>
        <v>0.16</v>
      </c>
      <c r="G279">
        <f>Final_Dataset!L250</f>
        <v>0.86</v>
      </c>
      <c r="H279">
        <f>Final_Dataset!M250</f>
        <v>0.22389999999999999</v>
      </c>
      <c r="I279">
        <f>Final_Dataset!P250</f>
        <v>136</v>
      </c>
      <c r="J279" s="54">
        <f t="shared" si="18"/>
        <v>140.20454545454547</v>
      </c>
      <c r="K279" s="54">
        <f t="shared" si="19"/>
        <v>54.067391000084569</v>
      </c>
      <c r="L279" s="55">
        <f t="shared" si="20"/>
        <v>-7.7764903702101901E-2</v>
      </c>
      <c r="M279" t="str">
        <f t="shared" si="21"/>
        <v/>
      </c>
    </row>
    <row r="280" spans="1:13" x14ac:dyDescent="0.2">
      <c r="A280">
        <f>Final_Dataset!A251</f>
        <v>250</v>
      </c>
      <c r="B280" s="53">
        <f>Final_Dataset!B251</f>
        <v>40554</v>
      </c>
      <c r="C280">
        <f>Final_Dataset!F251</f>
        <v>18</v>
      </c>
      <c r="D280" t="str">
        <f>Final_Dataset!T251</f>
        <v>Tue</v>
      </c>
      <c r="E280" t="str">
        <f>Final_Dataset!X251</f>
        <v>Light Rain/Snow</v>
      </c>
      <c r="F280">
        <f>Final_Dataset!J251</f>
        <v>0.16</v>
      </c>
      <c r="G280">
        <f>Final_Dataset!L251</f>
        <v>0.93</v>
      </c>
      <c r="H280">
        <f>Final_Dataset!M251</f>
        <v>0.1045</v>
      </c>
      <c r="I280">
        <f>Final_Dataset!P251</f>
        <v>95</v>
      </c>
      <c r="J280" s="54">
        <f t="shared" si="18"/>
        <v>122.86046511627907</v>
      </c>
      <c r="K280" s="54">
        <f t="shared" si="19"/>
        <v>48.613432101949947</v>
      </c>
      <c r="L280" s="55">
        <f t="shared" si="20"/>
        <v>-0.57310220471270845</v>
      </c>
      <c r="M280" t="str">
        <f t="shared" si="21"/>
        <v/>
      </c>
    </row>
    <row r="281" spans="1:13" x14ac:dyDescent="0.2">
      <c r="A281">
        <f>Final_Dataset!A252</f>
        <v>251</v>
      </c>
      <c r="B281" s="53">
        <f>Final_Dataset!B252</f>
        <v>40554</v>
      </c>
      <c r="C281">
        <f>Final_Dataset!F252</f>
        <v>19</v>
      </c>
      <c r="D281" t="str">
        <f>Final_Dataset!T252</f>
        <v>Tue</v>
      </c>
      <c r="E281" t="str">
        <f>Final_Dataset!X252</f>
        <v>Light Rain/Snow</v>
      </c>
      <c r="F281">
        <f>Final_Dataset!J252</f>
        <v>0.16</v>
      </c>
      <c r="G281">
        <f>Final_Dataset!L252</f>
        <v>0.93</v>
      </c>
      <c r="H281">
        <f>Final_Dataset!M252</f>
        <v>0</v>
      </c>
      <c r="I281">
        <f>Final_Dataset!P252</f>
        <v>51</v>
      </c>
      <c r="J281" s="54">
        <f t="shared" si="18"/>
        <v>85.139534883720927</v>
      </c>
      <c r="K281" s="54">
        <f t="shared" si="19"/>
        <v>31.690904054294759</v>
      </c>
      <c r="L281" s="55">
        <f t="shared" si="20"/>
        <v>-1.0772660453368899</v>
      </c>
      <c r="M281" t="str">
        <f t="shared" si="21"/>
        <v/>
      </c>
    </row>
    <row r="282" spans="1:13" x14ac:dyDescent="0.2">
      <c r="A282">
        <f>Final_Dataset!A253</f>
        <v>252</v>
      </c>
      <c r="B282" s="53">
        <f>Final_Dataset!B253</f>
        <v>40554</v>
      </c>
      <c r="C282">
        <f>Final_Dataset!F253</f>
        <v>20</v>
      </c>
      <c r="D282" t="str">
        <f>Final_Dataset!T253</f>
        <v>Tue</v>
      </c>
      <c r="E282" t="str">
        <f>Final_Dataset!X253</f>
        <v>Light Rain/Snow</v>
      </c>
      <c r="F282">
        <f>Final_Dataset!J253</f>
        <v>0.16</v>
      </c>
      <c r="G282">
        <f>Final_Dataset!L253</f>
        <v>0.93</v>
      </c>
      <c r="H282">
        <f>Final_Dataset!M253</f>
        <v>0.19400000000000001</v>
      </c>
      <c r="I282">
        <f>Final_Dataset!P253</f>
        <v>32</v>
      </c>
      <c r="J282" s="54">
        <f t="shared" si="18"/>
        <v>61.767441860465119</v>
      </c>
      <c r="K282" s="54">
        <f t="shared" si="19"/>
        <v>24.6323801696856</v>
      </c>
      <c r="L282" s="55">
        <f t="shared" si="20"/>
        <v>-1.2084679456636147</v>
      </c>
      <c r="M282" t="str">
        <f t="shared" si="21"/>
        <v/>
      </c>
    </row>
    <row r="283" spans="1:13" x14ac:dyDescent="0.2">
      <c r="A283">
        <f>Final_Dataset!A254</f>
        <v>253</v>
      </c>
      <c r="B283" s="53">
        <f>Final_Dataset!B254</f>
        <v>40554</v>
      </c>
      <c r="C283">
        <f>Final_Dataset!F254</f>
        <v>21</v>
      </c>
      <c r="D283" t="str">
        <f>Final_Dataset!T254</f>
        <v>Tue</v>
      </c>
      <c r="E283" t="str">
        <f>Final_Dataset!X254</f>
        <v>Light Rain/Snow</v>
      </c>
      <c r="F283">
        <f>Final_Dataset!J254</f>
        <v>0.16</v>
      </c>
      <c r="G283">
        <f>Final_Dataset!L254</f>
        <v>0.86</v>
      </c>
      <c r="H283">
        <f>Final_Dataset!M254</f>
        <v>8.9599999999999999E-2</v>
      </c>
      <c r="I283">
        <f>Final_Dataset!P254</f>
        <v>20</v>
      </c>
      <c r="J283" s="54">
        <f t="shared" si="18"/>
        <v>46.418604651162788</v>
      </c>
      <c r="K283" s="54">
        <f t="shared" si="19"/>
        <v>14.656759464719499</v>
      </c>
      <c r="L283" s="55">
        <f t="shared" si="20"/>
        <v>-1.8024860621309504</v>
      </c>
      <c r="M283" t="str">
        <f t="shared" si="21"/>
        <v/>
      </c>
    </row>
    <row r="284" spans="1:13" x14ac:dyDescent="0.2">
      <c r="A284">
        <f>Final_Dataset!A255</f>
        <v>254</v>
      </c>
      <c r="B284" s="53">
        <f>Final_Dataset!B255</f>
        <v>40554</v>
      </c>
      <c r="C284">
        <f>Final_Dataset!F255</f>
        <v>22</v>
      </c>
      <c r="D284" t="str">
        <f>Final_Dataset!T255</f>
        <v>Tue</v>
      </c>
      <c r="E284" t="str">
        <f>Final_Dataset!X255</f>
        <v>Light Rain/Snow</v>
      </c>
      <c r="F284">
        <f>Final_Dataset!J255</f>
        <v>0.16</v>
      </c>
      <c r="G284">
        <f>Final_Dataset!L255</f>
        <v>0.93</v>
      </c>
      <c r="H284">
        <f>Final_Dataset!M255</f>
        <v>0.1045</v>
      </c>
      <c r="I284">
        <f>Final_Dataset!P255</f>
        <v>29</v>
      </c>
      <c r="J284" s="54">
        <f t="shared" si="18"/>
        <v>35.069767441860463</v>
      </c>
      <c r="K284" s="54">
        <f t="shared" si="19"/>
        <v>11.95506537162667</v>
      </c>
      <c r="L284" s="55">
        <f t="shared" si="20"/>
        <v>-0.50771511933895674</v>
      </c>
      <c r="M284" t="str">
        <f t="shared" si="21"/>
        <v/>
      </c>
    </row>
    <row r="285" spans="1:13" x14ac:dyDescent="0.2">
      <c r="A285">
        <f>Final_Dataset!A256</f>
        <v>255</v>
      </c>
      <c r="B285" s="53">
        <f>Final_Dataset!B256</f>
        <v>40554</v>
      </c>
      <c r="C285">
        <f>Final_Dataset!F256</f>
        <v>23</v>
      </c>
      <c r="D285" t="str">
        <f>Final_Dataset!T256</f>
        <v>Tue</v>
      </c>
      <c r="E285" t="str">
        <f>Final_Dataset!X256</f>
        <v>Light Rain/Snow</v>
      </c>
      <c r="F285">
        <f>Final_Dataset!J256</f>
        <v>0.16</v>
      </c>
      <c r="G285">
        <f>Final_Dataset!L256</f>
        <v>0.93</v>
      </c>
      <c r="H285">
        <f>Final_Dataset!M256</f>
        <v>8.9599999999999999E-2</v>
      </c>
      <c r="I285">
        <f>Final_Dataset!P256</f>
        <v>19</v>
      </c>
      <c r="J285" s="54">
        <f t="shared" si="18"/>
        <v>25.186046511627907</v>
      </c>
      <c r="K285" s="54">
        <f t="shared" si="19"/>
        <v>11.751911321656186</v>
      </c>
      <c r="L285" s="55">
        <f t="shared" si="20"/>
        <v>-0.52638641854184054</v>
      </c>
      <c r="M285" t="str">
        <f t="shared" si="21"/>
        <v/>
      </c>
    </row>
    <row r="286" spans="1:13" x14ac:dyDescent="0.2">
      <c r="A286">
        <f>Final_Dataset!A257</f>
        <v>256</v>
      </c>
      <c r="B286" s="53">
        <f>Final_Dataset!B257</f>
        <v>40555</v>
      </c>
      <c r="C286">
        <f>Final_Dataset!F257</f>
        <v>0</v>
      </c>
      <c r="D286" t="str">
        <f>Final_Dataset!T257</f>
        <v>Wed</v>
      </c>
      <c r="E286" t="str">
        <f>Final_Dataset!X257</f>
        <v>Cloudy/Mist</v>
      </c>
      <c r="F286">
        <f>Final_Dataset!J257</f>
        <v>0.16</v>
      </c>
      <c r="G286">
        <f>Final_Dataset!L257</f>
        <v>0.86</v>
      </c>
      <c r="H286">
        <f>Final_Dataset!M257</f>
        <v>8.9599999999999999E-2</v>
      </c>
      <c r="I286">
        <f>Final_Dataset!P257</f>
        <v>7</v>
      </c>
      <c r="J286" s="54">
        <f t="shared" si="18"/>
        <v>16.348837209302324</v>
      </c>
      <c r="K286" s="54">
        <f t="shared" si="19"/>
        <v>10.442321674276208</v>
      </c>
      <c r="L286" s="55">
        <f t="shared" si="20"/>
        <v>-0.89528339586898653</v>
      </c>
      <c r="M286" t="str">
        <f t="shared" si="21"/>
        <v/>
      </c>
    </row>
    <row r="287" spans="1:13" x14ac:dyDescent="0.2">
      <c r="A287">
        <f>Final_Dataset!A258</f>
        <v>257</v>
      </c>
      <c r="B287" s="53">
        <f>Final_Dataset!B258</f>
        <v>40555</v>
      </c>
      <c r="C287">
        <f>Final_Dataset!F258</f>
        <v>1</v>
      </c>
      <c r="D287" t="str">
        <f>Final_Dataset!T258</f>
        <v>Wed</v>
      </c>
      <c r="E287" t="str">
        <f>Final_Dataset!X258</f>
        <v>Cloudy/Mist</v>
      </c>
      <c r="F287">
        <f>Final_Dataset!J258</f>
        <v>0.16</v>
      </c>
      <c r="G287">
        <f>Final_Dataset!L258</f>
        <v>0.86</v>
      </c>
      <c r="H287">
        <f>Final_Dataset!M258</f>
        <v>0.1045</v>
      </c>
      <c r="I287">
        <f>Final_Dataset!P258</f>
        <v>6</v>
      </c>
      <c r="J287" s="54">
        <f t="shared" ref="J287:J350" si="22">INDEX($F$5:$F$28,MATCH(C287,$D$5:$D$28,0))</f>
        <v>10.697674418604651</v>
      </c>
      <c r="K287" s="54">
        <f t="shared" ref="K287:K350" si="23">INDEX($G$5:$G$28,MATCH(C287,$D$5:$D$28,0))</f>
        <v>10.060613641515801</v>
      </c>
      <c r="L287" s="55">
        <f t="shared" ref="L287:L350" si="24">IF(K287=0,0,(I287-J287)/K287)</f>
        <v>-0.4669371656634721</v>
      </c>
      <c r="M287" t="str">
        <f t="shared" ref="M287:M350" si="25">IF(ABS(L287)&gt;=$B$4,IF(L287&gt;0,"High","Low"),"")</f>
        <v/>
      </c>
    </row>
    <row r="288" spans="1:13" x14ac:dyDescent="0.2">
      <c r="A288">
        <f>Final_Dataset!A259</f>
        <v>258</v>
      </c>
      <c r="B288" s="53">
        <f>Final_Dataset!B259</f>
        <v>40555</v>
      </c>
      <c r="C288">
        <f>Final_Dataset!F259</f>
        <v>2</v>
      </c>
      <c r="D288" t="str">
        <f>Final_Dataset!T259</f>
        <v>Wed</v>
      </c>
      <c r="E288" t="str">
        <f>Final_Dataset!X259</f>
        <v>Clear</v>
      </c>
      <c r="F288">
        <f>Final_Dataset!J259</f>
        <v>0.14000000000000001</v>
      </c>
      <c r="G288">
        <f>Final_Dataset!L259</f>
        <v>0.86</v>
      </c>
      <c r="H288">
        <f>Final_Dataset!M259</f>
        <v>0.1343</v>
      </c>
      <c r="I288">
        <f>Final_Dataset!P259</f>
        <v>1</v>
      </c>
      <c r="J288" s="54">
        <f t="shared" si="22"/>
        <v>7.1707317073170733</v>
      </c>
      <c r="K288" s="54">
        <f t="shared" si="23"/>
        <v>7.3685223723090862</v>
      </c>
      <c r="L288" s="55">
        <f t="shared" si="24"/>
        <v>-0.83744493068334691</v>
      </c>
      <c r="M288" t="str">
        <f t="shared" si="25"/>
        <v/>
      </c>
    </row>
    <row r="289" spans="1:13" x14ac:dyDescent="0.2">
      <c r="A289">
        <f>Final_Dataset!A260</f>
        <v>259</v>
      </c>
      <c r="B289" s="53">
        <f>Final_Dataset!B260</f>
        <v>40555</v>
      </c>
      <c r="C289">
        <f>Final_Dataset!F260</f>
        <v>5</v>
      </c>
      <c r="D289" t="str">
        <f>Final_Dataset!T260</f>
        <v>Wed</v>
      </c>
      <c r="E289" t="str">
        <f>Final_Dataset!X260</f>
        <v>Clear</v>
      </c>
      <c r="F289">
        <f>Final_Dataset!J260</f>
        <v>0.14000000000000001</v>
      </c>
      <c r="G289">
        <f>Final_Dataset!L260</f>
        <v>0.86</v>
      </c>
      <c r="H289">
        <f>Final_Dataset!M260</f>
        <v>0.16420000000000001</v>
      </c>
      <c r="I289">
        <f>Final_Dataset!P260</f>
        <v>5</v>
      </c>
      <c r="J289" s="54">
        <f t="shared" si="22"/>
        <v>4.2051282051282053</v>
      </c>
      <c r="K289" s="54">
        <f t="shared" si="23"/>
        <v>2.5358429220352288</v>
      </c>
      <c r="L289" s="55">
        <f t="shared" si="24"/>
        <v>0.31345466549396633</v>
      </c>
      <c r="M289" t="str">
        <f t="shared" si="25"/>
        <v/>
      </c>
    </row>
    <row r="290" spans="1:13" x14ac:dyDescent="0.2">
      <c r="A290">
        <f>Final_Dataset!A261</f>
        <v>260</v>
      </c>
      <c r="B290" s="53">
        <f>Final_Dataset!B261</f>
        <v>40555</v>
      </c>
      <c r="C290">
        <f>Final_Dataset!F261</f>
        <v>6</v>
      </c>
      <c r="D290" t="str">
        <f>Final_Dataset!T261</f>
        <v>Wed</v>
      </c>
      <c r="E290" t="str">
        <f>Final_Dataset!X261</f>
        <v>Clear</v>
      </c>
      <c r="F290">
        <f>Final_Dataset!J261</f>
        <v>0.12</v>
      </c>
      <c r="G290">
        <f>Final_Dataset!L261</f>
        <v>0.93</v>
      </c>
      <c r="H290">
        <f>Final_Dataset!M261</f>
        <v>0.1343</v>
      </c>
      <c r="I290">
        <f>Final_Dataset!P261</f>
        <v>16</v>
      </c>
      <c r="J290" s="54">
        <f t="shared" si="22"/>
        <v>19.571428571428573</v>
      </c>
      <c r="K290" s="54">
        <f t="shared" si="23"/>
        <v>14.202615453298934</v>
      </c>
      <c r="L290" s="55">
        <f t="shared" si="24"/>
        <v>-0.25146273819580278</v>
      </c>
      <c r="M290" t="str">
        <f t="shared" si="25"/>
        <v/>
      </c>
    </row>
    <row r="291" spans="1:13" x14ac:dyDescent="0.2">
      <c r="A291">
        <f>Final_Dataset!A262</f>
        <v>261</v>
      </c>
      <c r="B291" s="53">
        <f>Final_Dataset!B262</f>
        <v>40555</v>
      </c>
      <c r="C291">
        <f>Final_Dataset!F262</f>
        <v>7</v>
      </c>
      <c r="D291" t="str">
        <f>Final_Dataset!T262</f>
        <v>Wed</v>
      </c>
      <c r="E291" t="str">
        <f>Final_Dataset!X262</f>
        <v>Clear</v>
      </c>
      <c r="F291">
        <f>Final_Dataset!J262</f>
        <v>0.14000000000000001</v>
      </c>
      <c r="G291">
        <f>Final_Dataset!L262</f>
        <v>0.69</v>
      </c>
      <c r="H291">
        <f>Final_Dataset!M262</f>
        <v>0.1343</v>
      </c>
      <c r="I291">
        <f>Final_Dataset!P262</f>
        <v>54</v>
      </c>
      <c r="J291" s="54">
        <f t="shared" si="22"/>
        <v>54.395348837209305</v>
      </c>
      <c r="K291" s="54">
        <f t="shared" si="23"/>
        <v>39.112864486352777</v>
      </c>
      <c r="L291" s="55">
        <f t="shared" si="24"/>
        <v>-1.0107897808079221E-2</v>
      </c>
      <c r="M291" t="str">
        <f t="shared" si="25"/>
        <v/>
      </c>
    </row>
    <row r="292" spans="1:13" x14ac:dyDescent="0.2">
      <c r="A292">
        <f>Final_Dataset!A263</f>
        <v>262</v>
      </c>
      <c r="B292" s="53">
        <f>Final_Dataset!B263</f>
        <v>40555</v>
      </c>
      <c r="C292">
        <f>Final_Dataset!F263</f>
        <v>8</v>
      </c>
      <c r="D292" t="str">
        <f>Final_Dataset!T263</f>
        <v>Wed</v>
      </c>
      <c r="E292" t="str">
        <f>Final_Dataset!X263</f>
        <v>Clear</v>
      </c>
      <c r="F292">
        <f>Final_Dataset!J263</f>
        <v>0.16</v>
      </c>
      <c r="G292">
        <f>Final_Dataset!L263</f>
        <v>0.59</v>
      </c>
      <c r="H292">
        <f>Final_Dataset!M263</f>
        <v>0.16420000000000001</v>
      </c>
      <c r="I292">
        <f>Final_Dataset!P263</f>
        <v>128</v>
      </c>
      <c r="J292" s="54">
        <f t="shared" si="22"/>
        <v>128.28571428571428</v>
      </c>
      <c r="K292" s="54">
        <f t="shared" si="23"/>
        <v>88.551565717048533</v>
      </c>
      <c r="L292" s="55">
        <f t="shared" si="24"/>
        <v>-3.2265300268910996E-3</v>
      </c>
      <c r="M292" t="str">
        <f t="shared" si="25"/>
        <v/>
      </c>
    </row>
    <row r="293" spans="1:13" x14ac:dyDescent="0.2">
      <c r="A293">
        <f>Final_Dataset!A264</f>
        <v>263</v>
      </c>
      <c r="B293" s="53">
        <f>Final_Dataset!B264</f>
        <v>40555</v>
      </c>
      <c r="C293">
        <f>Final_Dataset!F264</f>
        <v>9</v>
      </c>
      <c r="D293" t="str">
        <f>Final_Dataset!T264</f>
        <v>Wed</v>
      </c>
      <c r="E293" t="str">
        <f>Final_Dataset!X264</f>
        <v>Clear</v>
      </c>
      <c r="F293">
        <f>Final_Dataset!J264</f>
        <v>0.16</v>
      </c>
      <c r="G293">
        <f>Final_Dataset!L264</f>
        <v>0.59</v>
      </c>
      <c r="H293">
        <f>Final_Dataset!M264</f>
        <v>0.32840000000000003</v>
      </c>
      <c r="I293">
        <f>Final_Dataset!P264</f>
        <v>81</v>
      </c>
      <c r="J293" s="54">
        <f t="shared" si="22"/>
        <v>87.428571428571431</v>
      </c>
      <c r="K293" s="54">
        <f t="shared" si="23"/>
        <v>45.93852884078624</v>
      </c>
      <c r="L293" s="55">
        <f t="shared" si="24"/>
        <v>-0.13993855682343626</v>
      </c>
      <c r="M293" t="str">
        <f t="shared" si="25"/>
        <v/>
      </c>
    </row>
    <row r="294" spans="1:13" x14ac:dyDescent="0.2">
      <c r="A294">
        <f>Final_Dataset!A265</f>
        <v>264</v>
      </c>
      <c r="B294" s="53">
        <f>Final_Dataset!B265</f>
        <v>40555</v>
      </c>
      <c r="C294">
        <f>Final_Dataset!F265</f>
        <v>10</v>
      </c>
      <c r="D294" t="str">
        <f>Final_Dataset!T265</f>
        <v>Wed</v>
      </c>
      <c r="E294" t="str">
        <f>Final_Dataset!X265</f>
        <v>Clear</v>
      </c>
      <c r="F294">
        <f>Final_Dataset!J265</f>
        <v>0.18</v>
      </c>
      <c r="G294">
        <f>Final_Dataset!L265</f>
        <v>0.55000000000000004</v>
      </c>
      <c r="H294">
        <f>Final_Dataset!M265</f>
        <v>0.22389999999999999</v>
      </c>
      <c r="I294">
        <f>Final_Dataset!P265</f>
        <v>39</v>
      </c>
      <c r="J294" s="54">
        <f t="shared" si="22"/>
        <v>53.642857142857146</v>
      </c>
      <c r="K294" s="54">
        <f t="shared" si="23"/>
        <v>15.395313554536934</v>
      </c>
      <c r="L294" s="55">
        <f t="shared" si="24"/>
        <v>-0.95112432046192119</v>
      </c>
      <c r="M294" t="str">
        <f t="shared" si="25"/>
        <v/>
      </c>
    </row>
    <row r="295" spans="1:13" x14ac:dyDescent="0.2">
      <c r="A295">
        <f>Final_Dataset!A266</f>
        <v>265</v>
      </c>
      <c r="B295" s="53">
        <f>Final_Dataset!B266</f>
        <v>40555</v>
      </c>
      <c r="C295">
        <f>Final_Dataset!F266</f>
        <v>11</v>
      </c>
      <c r="D295" t="str">
        <f>Final_Dataset!T266</f>
        <v>Wed</v>
      </c>
      <c r="E295" t="str">
        <f>Final_Dataset!X266</f>
        <v>Clear</v>
      </c>
      <c r="F295">
        <f>Final_Dataset!J266</f>
        <v>0.2</v>
      </c>
      <c r="G295">
        <f>Final_Dataset!L266</f>
        <v>0.51</v>
      </c>
      <c r="H295">
        <f>Final_Dataset!M266</f>
        <v>0.3881</v>
      </c>
      <c r="I295">
        <f>Final_Dataset!P266</f>
        <v>35</v>
      </c>
      <c r="J295" s="54">
        <f t="shared" si="22"/>
        <v>59.38095238095238</v>
      </c>
      <c r="K295" s="54">
        <f t="shared" si="23"/>
        <v>20.89573696860419</v>
      </c>
      <c r="L295" s="55">
        <f t="shared" si="24"/>
        <v>-1.1667907390672423</v>
      </c>
      <c r="M295" t="str">
        <f t="shared" si="25"/>
        <v/>
      </c>
    </row>
    <row r="296" spans="1:13" x14ac:dyDescent="0.2">
      <c r="A296">
        <f>Final_Dataset!A267</f>
        <v>266</v>
      </c>
      <c r="B296" s="53">
        <f>Final_Dataset!B267</f>
        <v>40555</v>
      </c>
      <c r="C296">
        <f>Final_Dataset!F267</f>
        <v>12</v>
      </c>
      <c r="D296" t="str">
        <f>Final_Dataset!T267</f>
        <v>Wed</v>
      </c>
      <c r="E296" t="str">
        <f>Final_Dataset!X267</f>
        <v>Clear</v>
      </c>
      <c r="F296">
        <f>Final_Dataset!J267</f>
        <v>0.2</v>
      </c>
      <c r="G296">
        <f>Final_Dataset!L267</f>
        <v>0.47</v>
      </c>
      <c r="H296">
        <f>Final_Dataset!M267</f>
        <v>0.58209999999999995</v>
      </c>
      <c r="I296">
        <f>Final_Dataset!P267</f>
        <v>55</v>
      </c>
      <c r="J296" s="54">
        <f t="shared" si="22"/>
        <v>76.348837209302332</v>
      </c>
      <c r="K296" s="54">
        <f t="shared" si="23"/>
        <v>29.034366927857057</v>
      </c>
      <c r="L296" s="55">
        <f t="shared" si="24"/>
        <v>-0.73529542635968981</v>
      </c>
      <c r="M296" t="str">
        <f t="shared" si="25"/>
        <v/>
      </c>
    </row>
    <row r="297" spans="1:13" x14ac:dyDescent="0.2">
      <c r="A297">
        <f>Final_Dataset!A268</f>
        <v>267</v>
      </c>
      <c r="B297" s="53">
        <f>Final_Dataset!B268</f>
        <v>40555</v>
      </c>
      <c r="C297">
        <f>Final_Dataset!F268</f>
        <v>13</v>
      </c>
      <c r="D297" t="str">
        <f>Final_Dataset!T268</f>
        <v>Wed</v>
      </c>
      <c r="E297" t="str">
        <f>Final_Dataset!X268</f>
        <v>Clear</v>
      </c>
      <c r="F297">
        <f>Final_Dataset!J268</f>
        <v>0.22</v>
      </c>
      <c r="G297">
        <f>Final_Dataset!L268</f>
        <v>0.44</v>
      </c>
      <c r="H297">
        <f>Final_Dataset!M268</f>
        <v>0.35820000000000002</v>
      </c>
      <c r="I297">
        <f>Final_Dataset!P268</f>
        <v>49</v>
      </c>
      <c r="J297" s="54">
        <f t="shared" si="22"/>
        <v>78.511627906976742</v>
      </c>
      <c r="K297" s="54">
        <f t="shared" si="23"/>
        <v>30.072430098825173</v>
      </c>
      <c r="L297" s="55">
        <f t="shared" si="24"/>
        <v>-0.98135161707898222</v>
      </c>
      <c r="M297" t="str">
        <f t="shared" si="25"/>
        <v/>
      </c>
    </row>
    <row r="298" spans="1:13" x14ac:dyDescent="0.2">
      <c r="A298">
        <f>Final_Dataset!A269</f>
        <v>268</v>
      </c>
      <c r="B298" s="53">
        <f>Final_Dataset!B269</f>
        <v>40555</v>
      </c>
      <c r="C298">
        <f>Final_Dataset!F269</f>
        <v>14</v>
      </c>
      <c r="D298" t="str">
        <f>Final_Dataset!T269</f>
        <v>Wed</v>
      </c>
      <c r="E298" t="str">
        <f>Final_Dataset!X269</f>
        <v>Clear</v>
      </c>
      <c r="F298">
        <f>Final_Dataset!J269</f>
        <v>0.2</v>
      </c>
      <c r="G298">
        <f>Final_Dataset!L269</f>
        <v>0.47</v>
      </c>
      <c r="H298">
        <f>Final_Dataset!M269</f>
        <v>0.32840000000000003</v>
      </c>
      <c r="I298">
        <f>Final_Dataset!P269</f>
        <v>44</v>
      </c>
      <c r="J298" s="54">
        <f t="shared" si="22"/>
        <v>74.418604651162795</v>
      </c>
      <c r="K298" s="54">
        <f t="shared" si="23"/>
        <v>30.305769180565147</v>
      </c>
      <c r="L298" s="55">
        <f t="shared" si="24"/>
        <v>-1.0037232340128166</v>
      </c>
      <c r="M298" t="str">
        <f t="shared" si="25"/>
        <v/>
      </c>
    </row>
    <row r="299" spans="1:13" x14ac:dyDescent="0.2">
      <c r="A299">
        <f>Final_Dataset!A270</f>
        <v>269</v>
      </c>
      <c r="B299" s="53">
        <f>Final_Dataset!B270</f>
        <v>40555</v>
      </c>
      <c r="C299">
        <f>Final_Dataset!F270</f>
        <v>15</v>
      </c>
      <c r="D299" t="str">
        <f>Final_Dataset!T270</f>
        <v>Wed</v>
      </c>
      <c r="E299" t="str">
        <f>Final_Dataset!X270</f>
        <v>Clear</v>
      </c>
      <c r="F299">
        <f>Final_Dataset!J270</f>
        <v>0.2</v>
      </c>
      <c r="G299">
        <f>Final_Dataset!L270</f>
        <v>0.47</v>
      </c>
      <c r="H299">
        <f>Final_Dataset!M270</f>
        <v>0.41789999999999999</v>
      </c>
      <c r="I299">
        <f>Final_Dataset!P270</f>
        <v>49</v>
      </c>
      <c r="J299" s="54">
        <f t="shared" si="22"/>
        <v>77.95348837209302</v>
      </c>
      <c r="K299" s="54">
        <f t="shared" si="23"/>
        <v>34.481156681772681</v>
      </c>
      <c r="L299" s="55">
        <f t="shared" si="24"/>
        <v>-0.83969017162925741</v>
      </c>
      <c r="M299" t="str">
        <f t="shared" si="25"/>
        <v/>
      </c>
    </row>
    <row r="300" spans="1:13" x14ac:dyDescent="0.2">
      <c r="A300">
        <f>Final_Dataset!A271</f>
        <v>270</v>
      </c>
      <c r="B300" s="53">
        <f>Final_Dataset!B271</f>
        <v>40555</v>
      </c>
      <c r="C300">
        <f>Final_Dataset!F271</f>
        <v>16</v>
      </c>
      <c r="D300" t="str">
        <f>Final_Dataset!T271</f>
        <v>Wed</v>
      </c>
      <c r="E300" t="str">
        <f>Final_Dataset!X271</f>
        <v>Clear</v>
      </c>
      <c r="F300">
        <f>Final_Dataset!J271</f>
        <v>0.22</v>
      </c>
      <c r="G300">
        <f>Final_Dataset!L271</f>
        <v>0.44</v>
      </c>
      <c r="H300">
        <f>Final_Dataset!M271</f>
        <v>0.32840000000000003</v>
      </c>
      <c r="I300">
        <f>Final_Dataset!P271</f>
        <v>68</v>
      </c>
      <c r="J300" s="54">
        <f t="shared" si="22"/>
        <v>89.272727272727266</v>
      </c>
      <c r="K300" s="54">
        <f t="shared" si="23"/>
        <v>25.461657115880747</v>
      </c>
      <c r="L300" s="55">
        <f t="shared" si="24"/>
        <v>-0.8354808634768397</v>
      </c>
      <c r="M300" t="str">
        <f t="shared" si="25"/>
        <v/>
      </c>
    </row>
    <row r="301" spans="1:13" x14ac:dyDescent="0.2">
      <c r="A301">
        <f>Final_Dataset!A272</f>
        <v>271</v>
      </c>
      <c r="B301" s="53">
        <f>Final_Dataset!B272</f>
        <v>40555</v>
      </c>
      <c r="C301">
        <f>Final_Dataset!F272</f>
        <v>17</v>
      </c>
      <c r="D301" t="str">
        <f>Final_Dataset!T272</f>
        <v>Wed</v>
      </c>
      <c r="E301" t="str">
        <f>Final_Dataset!X272</f>
        <v>Clear</v>
      </c>
      <c r="F301">
        <f>Final_Dataset!J272</f>
        <v>0.2</v>
      </c>
      <c r="G301">
        <f>Final_Dataset!L272</f>
        <v>0.47</v>
      </c>
      <c r="H301">
        <f>Final_Dataset!M272</f>
        <v>0.35820000000000002</v>
      </c>
      <c r="I301">
        <f>Final_Dataset!P272</f>
        <v>139</v>
      </c>
      <c r="J301" s="54">
        <f t="shared" si="22"/>
        <v>140.20454545454547</v>
      </c>
      <c r="K301" s="54">
        <f t="shared" si="23"/>
        <v>54.067391000084569</v>
      </c>
      <c r="L301" s="55">
        <f t="shared" si="24"/>
        <v>-2.2278594033575308E-2</v>
      </c>
      <c r="M301" t="str">
        <f t="shared" si="25"/>
        <v/>
      </c>
    </row>
    <row r="302" spans="1:13" x14ac:dyDescent="0.2">
      <c r="A302">
        <f>Final_Dataset!A273</f>
        <v>272</v>
      </c>
      <c r="B302" s="53">
        <f>Final_Dataset!B273</f>
        <v>40555</v>
      </c>
      <c r="C302">
        <f>Final_Dataset!F273</f>
        <v>18</v>
      </c>
      <c r="D302" t="str">
        <f>Final_Dataset!T273</f>
        <v>Wed</v>
      </c>
      <c r="E302" t="str">
        <f>Final_Dataset!X273</f>
        <v>Clear</v>
      </c>
      <c r="F302">
        <f>Final_Dataset!J273</f>
        <v>0.2</v>
      </c>
      <c r="G302">
        <f>Final_Dataset!L273</f>
        <v>0.47</v>
      </c>
      <c r="H302">
        <f>Final_Dataset!M273</f>
        <v>0.52239999999999998</v>
      </c>
      <c r="I302">
        <f>Final_Dataset!P273</f>
        <v>137</v>
      </c>
      <c r="J302" s="54">
        <f t="shared" si="22"/>
        <v>122.86046511627907</v>
      </c>
      <c r="K302" s="54">
        <f t="shared" si="23"/>
        <v>48.613432101949947</v>
      </c>
      <c r="L302" s="55">
        <f t="shared" si="24"/>
        <v>0.29085654462882021</v>
      </c>
      <c r="M302" t="str">
        <f t="shared" si="25"/>
        <v/>
      </c>
    </row>
    <row r="303" spans="1:13" x14ac:dyDescent="0.2">
      <c r="A303">
        <f>Final_Dataset!A274</f>
        <v>273</v>
      </c>
      <c r="B303" s="53">
        <f>Final_Dataset!B274</f>
        <v>40555</v>
      </c>
      <c r="C303">
        <f>Final_Dataset!F274</f>
        <v>19</v>
      </c>
      <c r="D303" t="str">
        <f>Final_Dataset!T274</f>
        <v>Wed</v>
      </c>
      <c r="E303" t="str">
        <f>Final_Dataset!X274</f>
        <v>Clear</v>
      </c>
      <c r="F303">
        <f>Final_Dataset!J274</f>
        <v>0.18</v>
      </c>
      <c r="G303">
        <f>Final_Dataset!L274</f>
        <v>0.47</v>
      </c>
      <c r="H303">
        <f>Final_Dataset!M274</f>
        <v>0.41789999999999999</v>
      </c>
      <c r="I303">
        <f>Final_Dataset!P274</f>
        <v>83</v>
      </c>
      <c r="J303" s="54">
        <f t="shared" si="22"/>
        <v>85.139534883720927</v>
      </c>
      <c r="K303" s="54">
        <f t="shared" si="23"/>
        <v>31.690904054294759</v>
      </c>
      <c r="L303" s="55">
        <f t="shared" si="24"/>
        <v>-6.7512585947543419E-2</v>
      </c>
      <c r="M303" t="str">
        <f t="shared" si="25"/>
        <v/>
      </c>
    </row>
    <row r="304" spans="1:13" x14ac:dyDescent="0.2">
      <c r="A304">
        <f>Final_Dataset!A275</f>
        <v>274</v>
      </c>
      <c r="B304" s="53">
        <f>Final_Dataset!B275</f>
        <v>40555</v>
      </c>
      <c r="C304">
        <f>Final_Dataset!F275</f>
        <v>20</v>
      </c>
      <c r="D304" t="str">
        <f>Final_Dataset!T275</f>
        <v>Wed</v>
      </c>
      <c r="E304" t="str">
        <f>Final_Dataset!X275</f>
        <v>Clear</v>
      </c>
      <c r="F304">
        <f>Final_Dataset!J275</f>
        <v>0.16</v>
      </c>
      <c r="G304">
        <f>Final_Dataset!L275</f>
        <v>0.5</v>
      </c>
      <c r="H304">
        <f>Final_Dataset!M275</f>
        <v>0.32840000000000003</v>
      </c>
      <c r="I304">
        <f>Final_Dataset!P275</f>
        <v>56</v>
      </c>
      <c r="J304" s="54">
        <f t="shared" si="22"/>
        <v>61.767441860465119</v>
      </c>
      <c r="K304" s="54">
        <f t="shared" si="23"/>
        <v>24.6323801696856</v>
      </c>
      <c r="L304" s="55">
        <f t="shared" si="24"/>
        <v>-0.23414066447232545</v>
      </c>
      <c r="M304" t="str">
        <f t="shared" si="25"/>
        <v/>
      </c>
    </row>
    <row r="305" spans="1:13" x14ac:dyDescent="0.2">
      <c r="A305">
        <f>Final_Dataset!A276</f>
        <v>275</v>
      </c>
      <c r="B305" s="53">
        <f>Final_Dataset!B276</f>
        <v>40555</v>
      </c>
      <c r="C305">
        <f>Final_Dataset!F276</f>
        <v>21</v>
      </c>
      <c r="D305" t="str">
        <f>Final_Dataset!T276</f>
        <v>Wed</v>
      </c>
      <c r="E305" t="str">
        <f>Final_Dataset!X276</f>
        <v>Clear</v>
      </c>
      <c r="F305">
        <f>Final_Dataset!J276</f>
        <v>0.16</v>
      </c>
      <c r="G305">
        <f>Final_Dataset!L276</f>
        <v>0.55000000000000004</v>
      </c>
      <c r="H305">
        <f>Final_Dataset!M276</f>
        <v>0.32840000000000003</v>
      </c>
      <c r="I305">
        <f>Final_Dataset!P276</f>
        <v>57</v>
      </c>
      <c r="J305" s="54">
        <f t="shared" si="22"/>
        <v>46.418604651162788</v>
      </c>
      <c r="K305" s="54">
        <f t="shared" si="23"/>
        <v>14.656759464719499</v>
      </c>
      <c r="L305" s="55">
        <f t="shared" si="24"/>
        <v>0.72194644213871717</v>
      </c>
      <c r="M305" t="str">
        <f t="shared" si="25"/>
        <v/>
      </c>
    </row>
    <row r="306" spans="1:13" x14ac:dyDescent="0.2">
      <c r="A306">
        <f>Final_Dataset!A277</f>
        <v>276</v>
      </c>
      <c r="B306" s="53">
        <f>Final_Dataset!B277</f>
        <v>40555</v>
      </c>
      <c r="C306">
        <f>Final_Dataset!F277</f>
        <v>22</v>
      </c>
      <c r="D306" t="str">
        <f>Final_Dataset!T277</f>
        <v>Wed</v>
      </c>
      <c r="E306" t="str">
        <f>Final_Dataset!X277</f>
        <v>Clear</v>
      </c>
      <c r="F306">
        <f>Final_Dataset!J277</f>
        <v>0.16</v>
      </c>
      <c r="G306">
        <f>Final_Dataset!L277</f>
        <v>0.55000000000000004</v>
      </c>
      <c r="H306">
        <f>Final_Dataset!M277</f>
        <v>0.44779999999999998</v>
      </c>
      <c r="I306">
        <f>Final_Dataset!P277</f>
        <v>33</v>
      </c>
      <c r="J306" s="54">
        <f t="shared" si="22"/>
        <v>35.069767441860463</v>
      </c>
      <c r="K306" s="54">
        <f t="shared" si="23"/>
        <v>11.95506537162667</v>
      </c>
      <c r="L306" s="55">
        <f t="shared" si="24"/>
        <v>-0.17312891042592768</v>
      </c>
      <c r="M306" t="str">
        <f t="shared" si="25"/>
        <v/>
      </c>
    </row>
    <row r="307" spans="1:13" x14ac:dyDescent="0.2">
      <c r="A307">
        <f>Final_Dataset!A278</f>
        <v>277</v>
      </c>
      <c r="B307" s="53">
        <f>Final_Dataset!B278</f>
        <v>40555</v>
      </c>
      <c r="C307">
        <f>Final_Dataset!F278</f>
        <v>23</v>
      </c>
      <c r="D307" t="str">
        <f>Final_Dataset!T278</f>
        <v>Wed</v>
      </c>
      <c r="E307" t="str">
        <f>Final_Dataset!X278</f>
        <v>Clear</v>
      </c>
      <c r="F307">
        <f>Final_Dataset!J278</f>
        <v>0.14000000000000001</v>
      </c>
      <c r="G307">
        <f>Final_Dataset!L278</f>
        <v>0.59</v>
      </c>
      <c r="H307">
        <f>Final_Dataset!M278</f>
        <v>0.41789999999999999</v>
      </c>
      <c r="I307">
        <f>Final_Dataset!P278</f>
        <v>20</v>
      </c>
      <c r="J307" s="54">
        <f t="shared" si="22"/>
        <v>25.186046511627907</v>
      </c>
      <c r="K307" s="54">
        <f t="shared" si="23"/>
        <v>11.751911321656186</v>
      </c>
      <c r="L307" s="55">
        <f t="shared" si="24"/>
        <v>-0.44129387719861068</v>
      </c>
      <c r="M307" t="str">
        <f t="shared" si="25"/>
        <v/>
      </c>
    </row>
    <row r="308" spans="1:13" x14ac:dyDescent="0.2">
      <c r="A308">
        <f>Final_Dataset!A279</f>
        <v>278</v>
      </c>
      <c r="B308" s="53">
        <f>Final_Dataset!B279</f>
        <v>40556</v>
      </c>
      <c r="C308">
        <f>Final_Dataset!F279</f>
        <v>0</v>
      </c>
      <c r="D308" t="str">
        <f>Final_Dataset!T279</f>
        <v>Thu</v>
      </c>
      <c r="E308" t="str">
        <f>Final_Dataset!X279</f>
        <v>Clear</v>
      </c>
      <c r="F308">
        <f>Final_Dataset!J279</f>
        <v>0.14000000000000001</v>
      </c>
      <c r="G308">
        <f>Final_Dataset!L279</f>
        <v>0.59</v>
      </c>
      <c r="H308">
        <f>Final_Dataset!M279</f>
        <v>0.28360000000000002</v>
      </c>
      <c r="I308">
        <f>Final_Dataset!P279</f>
        <v>7</v>
      </c>
      <c r="J308" s="54">
        <f t="shared" si="22"/>
        <v>16.348837209302324</v>
      </c>
      <c r="K308" s="54">
        <f t="shared" si="23"/>
        <v>10.442321674276208</v>
      </c>
      <c r="L308" s="55">
        <f t="shared" si="24"/>
        <v>-0.89528339586898653</v>
      </c>
      <c r="M308" t="str">
        <f t="shared" si="25"/>
        <v/>
      </c>
    </row>
    <row r="309" spans="1:13" x14ac:dyDescent="0.2">
      <c r="A309">
        <f>Final_Dataset!A280</f>
        <v>279</v>
      </c>
      <c r="B309" s="53">
        <f>Final_Dataset!B280</f>
        <v>40556</v>
      </c>
      <c r="C309">
        <f>Final_Dataset!F280</f>
        <v>1</v>
      </c>
      <c r="D309" t="str">
        <f>Final_Dataset!T280</f>
        <v>Thu</v>
      </c>
      <c r="E309" t="str">
        <f>Final_Dataset!X280</f>
        <v>Clear</v>
      </c>
      <c r="F309">
        <f>Final_Dataset!J280</f>
        <v>0.14000000000000001</v>
      </c>
      <c r="G309">
        <f>Final_Dataset!L280</f>
        <v>0.5</v>
      </c>
      <c r="H309">
        <f>Final_Dataset!M280</f>
        <v>0.28360000000000002</v>
      </c>
      <c r="I309">
        <f>Final_Dataset!P280</f>
        <v>2</v>
      </c>
      <c r="J309" s="54">
        <f t="shared" si="22"/>
        <v>10.697674418604651</v>
      </c>
      <c r="K309" s="54">
        <f t="shared" si="23"/>
        <v>10.060613641515801</v>
      </c>
      <c r="L309" s="55">
        <f t="shared" si="24"/>
        <v>-0.86452722751553746</v>
      </c>
      <c r="M309" t="str">
        <f t="shared" si="25"/>
        <v/>
      </c>
    </row>
    <row r="310" spans="1:13" x14ac:dyDescent="0.2">
      <c r="A310">
        <f>Final_Dataset!A281</f>
        <v>280</v>
      </c>
      <c r="B310" s="53">
        <f>Final_Dataset!B281</f>
        <v>40556</v>
      </c>
      <c r="C310">
        <f>Final_Dataset!F281</f>
        <v>2</v>
      </c>
      <c r="D310" t="str">
        <f>Final_Dataset!T281</f>
        <v>Thu</v>
      </c>
      <c r="E310" t="str">
        <f>Final_Dataset!X281</f>
        <v>Clear</v>
      </c>
      <c r="F310">
        <f>Final_Dataset!J281</f>
        <v>0.14000000000000001</v>
      </c>
      <c r="G310">
        <f>Final_Dataset!L281</f>
        <v>0.5</v>
      </c>
      <c r="H310">
        <f>Final_Dataset!M281</f>
        <v>0.35820000000000002</v>
      </c>
      <c r="I310">
        <f>Final_Dataset!P281</f>
        <v>2</v>
      </c>
      <c r="J310" s="54">
        <f t="shared" si="22"/>
        <v>7.1707317073170733</v>
      </c>
      <c r="K310" s="54">
        <f t="shared" si="23"/>
        <v>7.3685223723090862</v>
      </c>
      <c r="L310" s="55">
        <f t="shared" si="24"/>
        <v>-0.70173251108644086</v>
      </c>
      <c r="M310" t="str">
        <f t="shared" si="25"/>
        <v/>
      </c>
    </row>
    <row r="311" spans="1:13" x14ac:dyDescent="0.2">
      <c r="A311">
        <f>Final_Dataset!A282</f>
        <v>281</v>
      </c>
      <c r="B311" s="53">
        <f>Final_Dataset!B282</f>
        <v>40556</v>
      </c>
      <c r="C311">
        <f>Final_Dataset!F282</f>
        <v>3</v>
      </c>
      <c r="D311" t="str">
        <f>Final_Dataset!T282</f>
        <v>Thu</v>
      </c>
      <c r="E311" t="str">
        <f>Final_Dataset!X282</f>
        <v>Clear</v>
      </c>
      <c r="F311">
        <f>Final_Dataset!J282</f>
        <v>0.14000000000000001</v>
      </c>
      <c r="G311">
        <f>Final_Dataset!L282</f>
        <v>0.5</v>
      </c>
      <c r="H311">
        <f>Final_Dataset!M282</f>
        <v>0.32840000000000003</v>
      </c>
      <c r="I311">
        <f>Final_Dataset!P282</f>
        <v>3</v>
      </c>
      <c r="J311" s="54">
        <f t="shared" si="22"/>
        <v>4.870967741935484</v>
      </c>
      <c r="K311" s="54">
        <f t="shared" si="23"/>
        <v>4.4702120418303126</v>
      </c>
      <c r="L311" s="55">
        <f t="shared" si="24"/>
        <v>-0.41854116190189106</v>
      </c>
      <c r="M311" t="str">
        <f t="shared" si="25"/>
        <v/>
      </c>
    </row>
    <row r="312" spans="1:13" x14ac:dyDescent="0.2">
      <c r="A312">
        <f>Final_Dataset!A283</f>
        <v>282</v>
      </c>
      <c r="B312" s="53">
        <f>Final_Dataset!B283</f>
        <v>40556</v>
      </c>
      <c r="C312">
        <f>Final_Dataset!F283</f>
        <v>4</v>
      </c>
      <c r="D312" t="str">
        <f>Final_Dataset!T283</f>
        <v>Thu</v>
      </c>
      <c r="E312" t="str">
        <f>Final_Dataset!X283</f>
        <v>Clear</v>
      </c>
      <c r="F312">
        <f>Final_Dataset!J283</f>
        <v>0.14000000000000001</v>
      </c>
      <c r="G312">
        <f>Final_Dataset!L283</f>
        <v>0.5</v>
      </c>
      <c r="H312">
        <f>Final_Dataset!M283</f>
        <v>0.25369999999999998</v>
      </c>
      <c r="I312">
        <f>Final_Dataset!P283</f>
        <v>4</v>
      </c>
      <c r="J312" s="54">
        <f t="shared" si="22"/>
        <v>2.15625</v>
      </c>
      <c r="K312" s="54">
        <f t="shared" si="23"/>
        <v>1.5263148747143209</v>
      </c>
      <c r="L312" s="55">
        <f t="shared" si="24"/>
        <v>1.2079748619006896</v>
      </c>
      <c r="M312" t="str">
        <f t="shared" si="25"/>
        <v/>
      </c>
    </row>
    <row r="313" spans="1:13" x14ac:dyDescent="0.2">
      <c r="A313">
        <f>Final_Dataset!A284</f>
        <v>283</v>
      </c>
      <c r="B313" s="53">
        <f>Final_Dataset!B284</f>
        <v>40556</v>
      </c>
      <c r="C313">
        <f>Final_Dataset!F284</f>
        <v>5</v>
      </c>
      <c r="D313" t="str">
        <f>Final_Dataset!T284</f>
        <v>Thu</v>
      </c>
      <c r="E313" t="str">
        <f>Final_Dataset!X284</f>
        <v>Clear</v>
      </c>
      <c r="F313">
        <f>Final_Dataset!J284</f>
        <v>0.14000000000000001</v>
      </c>
      <c r="G313">
        <f>Final_Dataset!L284</f>
        <v>0.5</v>
      </c>
      <c r="H313">
        <f>Final_Dataset!M284</f>
        <v>0.29849999999999999</v>
      </c>
      <c r="I313">
        <f>Final_Dataset!P284</f>
        <v>3</v>
      </c>
      <c r="J313" s="54">
        <f t="shared" si="22"/>
        <v>4.2051282051282053</v>
      </c>
      <c r="K313" s="54">
        <f t="shared" si="23"/>
        <v>2.5358429220352288</v>
      </c>
      <c r="L313" s="55">
        <f t="shared" si="24"/>
        <v>-0.47523771865214265</v>
      </c>
      <c r="M313" t="str">
        <f t="shared" si="25"/>
        <v/>
      </c>
    </row>
    <row r="314" spans="1:13" x14ac:dyDescent="0.2">
      <c r="A314">
        <f>Final_Dataset!A285</f>
        <v>284</v>
      </c>
      <c r="B314" s="53">
        <f>Final_Dataset!B285</f>
        <v>40556</v>
      </c>
      <c r="C314">
        <f>Final_Dataset!F285</f>
        <v>6</v>
      </c>
      <c r="D314" t="str">
        <f>Final_Dataset!T285</f>
        <v>Thu</v>
      </c>
      <c r="E314" t="str">
        <f>Final_Dataset!X285</f>
        <v>Clear</v>
      </c>
      <c r="F314">
        <f>Final_Dataset!J285</f>
        <v>0.12</v>
      </c>
      <c r="G314">
        <f>Final_Dataset!L285</f>
        <v>0.54</v>
      </c>
      <c r="H314">
        <f>Final_Dataset!M285</f>
        <v>0.1343</v>
      </c>
      <c r="I314">
        <f>Final_Dataset!P285</f>
        <v>28</v>
      </c>
      <c r="J314" s="54">
        <f t="shared" si="22"/>
        <v>19.571428571428573</v>
      </c>
      <c r="K314" s="54">
        <f t="shared" si="23"/>
        <v>14.202615453298934</v>
      </c>
      <c r="L314" s="55">
        <f t="shared" si="24"/>
        <v>0.59345206214209423</v>
      </c>
      <c r="M314" t="str">
        <f t="shared" si="25"/>
        <v/>
      </c>
    </row>
    <row r="315" spans="1:13" x14ac:dyDescent="0.2">
      <c r="A315">
        <f>Final_Dataset!A286</f>
        <v>285</v>
      </c>
      <c r="B315" s="53">
        <f>Final_Dataset!B286</f>
        <v>40556</v>
      </c>
      <c r="C315">
        <f>Final_Dataset!F286</f>
        <v>7</v>
      </c>
      <c r="D315" t="str">
        <f>Final_Dataset!T286</f>
        <v>Thu</v>
      </c>
      <c r="E315" t="str">
        <f>Final_Dataset!X286</f>
        <v>Clear</v>
      </c>
      <c r="F315">
        <f>Final_Dataset!J286</f>
        <v>0.12</v>
      </c>
      <c r="G315">
        <f>Final_Dataset!L286</f>
        <v>0.54</v>
      </c>
      <c r="H315">
        <f>Final_Dataset!M286</f>
        <v>0.1343</v>
      </c>
      <c r="I315">
        <f>Final_Dataset!P286</f>
        <v>72</v>
      </c>
      <c r="J315" s="54">
        <f t="shared" si="22"/>
        <v>54.395348837209305</v>
      </c>
      <c r="K315" s="54">
        <f t="shared" si="23"/>
        <v>39.112864486352777</v>
      </c>
      <c r="L315" s="55">
        <f t="shared" si="24"/>
        <v>0.45009874357152474</v>
      </c>
      <c r="M315" t="str">
        <f t="shared" si="25"/>
        <v/>
      </c>
    </row>
    <row r="316" spans="1:13" x14ac:dyDescent="0.2">
      <c r="A316">
        <f>Final_Dataset!A287</f>
        <v>286</v>
      </c>
      <c r="B316" s="53">
        <f>Final_Dataset!B287</f>
        <v>40556</v>
      </c>
      <c r="C316">
        <f>Final_Dataset!F287</f>
        <v>8</v>
      </c>
      <c r="D316" t="str">
        <f>Final_Dataset!T287</f>
        <v>Thu</v>
      </c>
      <c r="E316" t="str">
        <f>Final_Dataset!X287</f>
        <v>Clear</v>
      </c>
      <c r="F316">
        <f>Final_Dataset!J287</f>
        <v>0.14000000000000001</v>
      </c>
      <c r="G316">
        <f>Final_Dataset!L287</f>
        <v>0.5</v>
      </c>
      <c r="H316">
        <f>Final_Dataset!M287</f>
        <v>0.19400000000000001</v>
      </c>
      <c r="I316">
        <f>Final_Dataset!P287</f>
        <v>202</v>
      </c>
      <c r="J316" s="54">
        <f t="shared" si="22"/>
        <v>128.28571428571428</v>
      </c>
      <c r="K316" s="54">
        <f t="shared" si="23"/>
        <v>88.551565717048533</v>
      </c>
      <c r="L316" s="55">
        <f t="shared" si="24"/>
        <v>0.83244474693792747</v>
      </c>
      <c r="M316" t="str">
        <f t="shared" si="25"/>
        <v/>
      </c>
    </row>
    <row r="317" spans="1:13" x14ac:dyDescent="0.2">
      <c r="A317">
        <f>Final_Dataset!A288</f>
        <v>287</v>
      </c>
      <c r="B317" s="53">
        <f>Final_Dataset!B288</f>
        <v>40556</v>
      </c>
      <c r="C317">
        <f>Final_Dataset!F288</f>
        <v>9</v>
      </c>
      <c r="D317" t="str">
        <f>Final_Dataset!T288</f>
        <v>Thu</v>
      </c>
      <c r="E317" t="str">
        <f>Final_Dataset!X288</f>
        <v>Clear</v>
      </c>
      <c r="F317">
        <f>Final_Dataset!J288</f>
        <v>0.14000000000000001</v>
      </c>
      <c r="G317">
        <f>Final_Dataset!L288</f>
        <v>0.5</v>
      </c>
      <c r="H317">
        <f>Final_Dataset!M288</f>
        <v>0.32840000000000003</v>
      </c>
      <c r="I317">
        <f>Final_Dataset!P288</f>
        <v>139</v>
      </c>
      <c r="J317" s="54">
        <f t="shared" si="22"/>
        <v>87.428571428571431</v>
      </c>
      <c r="K317" s="54">
        <f t="shared" si="23"/>
        <v>45.93852884078624</v>
      </c>
      <c r="L317" s="55">
        <f t="shared" si="24"/>
        <v>1.1226182002946772</v>
      </c>
      <c r="M317" t="str">
        <f t="shared" si="25"/>
        <v/>
      </c>
    </row>
    <row r="318" spans="1:13" x14ac:dyDescent="0.2">
      <c r="A318">
        <f>Final_Dataset!A289</f>
        <v>288</v>
      </c>
      <c r="B318" s="53">
        <f>Final_Dataset!B289</f>
        <v>40556</v>
      </c>
      <c r="C318">
        <f>Final_Dataset!F289</f>
        <v>10</v>
      </c>
      <c r="D318" t="str">
        <f>Final_Dataset!T289</f>
        <v>Thu</v>
      </c>
      <c r="E318" t="str">
        <f>Final_Dataset!X289</f>
        <v>Cloudy/Mist</v>
      </c>
      <c r="F318">
        <f>Final_Dataset!J289</f>
        <v>0.16</v>
      </c>
      <c r="G318">
        <f>Final_Dataset!L289</f>
        <v>0.5</v>
      </c>
      <c r="H318">
        <f>Final_Dataset!M289</f>
        <v>0.35820000000000002</v>
      </c>
      <c r="I318">
        <f>Final_Dataset!P289</f>
        <v>38</v>
      </c>
      <c r="J318" s="54">
        <f t="shared" si="22"/>
        <v>53.642857142857146</v>
      </c>
      <c r="K318" s="54">
        <f t="shared" si="23"/>
        <v>15.395313554536934</v>
      </c>
      <c r="L318" s="55">
        <f t="shared" si="24"/>
        <v>-1.0160791521032231</v>
      </c>
      <c r="M318" t="str">
        <f t="shared" si="25"/>
        <v/>
      </c>
    </row>
    <row r="319" spans="1:13" x14ac:dyDescent="0.2">
      <c r="A319">
        <f>Final_Dataset!A290</f>
        <v>289</v>
      </c>
      <c r="B319" s="53">
        <f>Final_Dataset!B290</f>
        <v>40556</v>
      </c>
      <c r="C319">
        <f>Final_Dataset!F290</f>
        <v>11</v>
      </c>
      <c r="D319" t="str">
        <f>Final_Dataset!T290</f>
        <v>Thu</v>
      </c>
      <c r="E319" t="str">
        <f>Final_Dataset!X290</f>
        <v>Cloudy/Mist</v>
      </c>
      <c r="F319">
        <f>Final_Dataset!J290</f>
        <v>0.2</v>
      </c>
      <c r="G319">
        <f>Final_Dataset!L290</f>
        <v>0.44</v>
      </c>
      <c r="H319">
        <f>Final_Dataset!M290</f>
        <v>0.44779999999999998</v>
      </c>
      <c r="I319">
        <f>Final_Dataset!P290</f>
        <v>37</v>
      </c>
      <c r="J319" s="54">
        <f t="shared" si="22"/>
        <v>59.38095238095238</v>
      </c>
      <c r="K319" s="54">
        <f t="shared" si="23"/>
        <v>20.89573696860419</v>
      </c>
      <c r="L319" s="55">
        <f t="shared" si="24"/>
        <v>-1.0710774362531326</v>
      </c>
      <c r="M319" t="str">
        <f t="shared" si="25"/>
        <v/>
      </c>
    </row>
    <row r="320" spans="1:13" x14ac:dyDescent="0.2">
      <c r="A320">
        <f>Final_Dataset!A291</f>
        <v>290</v>
      </c>
      <c r="B320" s="53">
        <f>Final_Dataset!B291</f>
        <v>40556</v>
      </c>
      <c r="C320">
        <f>Final_Dataset!F291</f>
        <v>12</v>
      </c>
      <c r="D320" t="str">
        <f>Final_Dataset!T291</f>
        <v>Thu</v>
      </c>
      <c r="E320" t="str">
        <f>Final_Dataset!X291</f>
        <v>Clear</v>
      </c>
      <c r="F320">
        <f>Final_Dataset!J291</f>
        <v>0.2</v>
      </c>
      <c r="G320">
        <f>Final_Dataset!L291</f>
        <v>0.44</v>
      </c>
      <c r="H320">
        <f>Final_Dataset!M291</f>
        <v>0.41789999999999999</v>
      </c>
      <c r="I320">
        <f>Final_Dataset!P291</f>
        <v>52</v>
      </c>
      <c r="J320" s="54">
        <f t="shared" si="22"/>
        <v>76.348837209302332</v>
      </c>
      <c r="K320" s="54">
        <f t="shared" si="23"/>
        <v>29.034366927857057</v>
      </c>
      <c r="L320" s="55">
        <f t="shared" si="24"/>
        <v>-0.83862125424683576</v>
      </c>
      <c r="M320" t="str">
        <f t="shared" si="25"/>
        <v/>
      </c>
    </row>
    <row r="321" spans="1:13" x14ac:dyDescent="0.2">
      <c r="A321">
        <f>Final_Dataset!A292</f>
        <v>291</v>
      </c>
      <c r="B321" s="53">
        <f>Final_Dataset!B292</f>
        <v>40556</v>
      </c>
      <c r="C321">
        <f>Final_Dataset!F292</f>
        <v>13</v>
      </c>
      <c r="D321" t="str">
        <f>Final_Dataset!T292</f>
        <v>Thu</v>
      </c>
      <c r="E321" t="str">
        <f>Final_Dataset!X292</f>
        <v>Clear</v>
      </c>
      <c r="F321">
        <f>Final_Dataset!J292</f>
        <v>0.22</v>
      </c>
      <c r="G321">
        <f>Final_Dataset!L292</f>
        <v>0.41</v>
      </c>
      <c r="H321">
        <f>Final_Dataset!M292</f>
        <v>0.44779999999999998</v>
      </c>
      <c r="I321">
        <f>Final_Dataset!P292</f>
        <v>83</v>
      </c>
      <c r="J321" s="54">
        <f t="shared" si="22"/>
        <v>78.511627906976742</v>
      </c>
      <c r="K321" s="54">
        <f t="shared" si="23"/>
        <v>30.072430098825173</v>
      </c>
      <c r="L321" s="55">
        <f t="shared" si="24"/>
        <v>0.14925205838947495</v>
      </c>
      <c r="M321" t="str">
        <f t="shared" si="25"/>
        <v/>
      </c>
    </row>
    <row r="322" spans="1:13" x14ac:dyDescent="0.2">
      <c r="A322">
        <f>Final_Dataset!A293</f>
        <v>292</v>
      </c>
      <c r="B322" s="53">
        <f>Final_Dataset!B293</f>
        <v>40556</v>
      </c>
      <c r="C322">
        <f>Final_Dataset!F293</f>
        <v>14</v>
      </c>
      <c r="D322" t="str">
        <f>Final_Dataset!T293</f>
        <v>Thu</v>
      </c>
      <c r="E322" t="str">
        <f>Final_Dataset!X293</f>
        <v>Clear</v>
      </c>
      <c r="F322">
        <f>Final_Dataset!J293</f>
        <v>0.22</v>
      </c>
      <c r="G322">
        <f>Final_Dataset!L293</f>
        <v>0.41</v>
      </c>
      <c r="H322">
        <f>Final_Dataset!M293</f>
        <v>0.3881</v>
      </c>
      <c r="I322">
        <f>Final_Dataset!P293</f>
        <v>42</v>
      </c>
      <c r="J322" s="54">
        <f t="shared" si="22"/>
        <v>74.418604651162795</v>
      </c>
      <c r="K322" s="54">
        <f t="shared" si="23"/>
        <v>30.305769180565147</v>
      </c>
      <c r="L322" s="55">
        <f t="shared" si="24"/>
        <v>-1.0697172692766561</v>
      </c>
      <c r="M322" t="str">
        <f t="shared" si="25"/>
        <v/>
      </c>
    </row>
    <row r="323" spans="1:13" x14ac:dyDescent="0.2">
      <c r="A323">
        <f>Final_Dataset!A294</f>
        <v>293</v>
      </c>
      <c r="B323" s="53">
        <f>Final_Dataset!B294</f>
        <v>40556</v>
      </c>
      <c r="C323">
        <f>Final_Dataset!F294</f>
        <v>15</v>
      </c>
      <c r="D323" t="str">
        <f>Final_Dataset!T294</f>
        <v>Thu</v>
      </c>
      <c r="E323" t="str">
        <f>Final_Dataset!X294</f>
        <v>Clear</v>
      </c>
      <c r="F323">
        <f>Final_Dataset!J294</f>
        <v>0.24</v>
      </c>
      <c r="G323">
        <f>Final_Dataset!L294</f>
        <v>0.38</v>
      </c>
      <c r="H323">
        <f>Final_Dataset!M294</f>
        <v>0.29849999999999999</v>
      </c>
      <c r="I323">
        <f>Final_Dataset!P294</f>
        <v>60</v>
      </c>
      <c r="J323" s="54">
        <f t="shared" si="22"/>
        <v>77.95348837209302</v>
      </c>
      <c r="K323" s="54">
        <f t="shared" si="23"/>
        <v>34.481156681772681</v>
      </c>
      <c r="L323" s="55">
        <f t="shared" si="24"/>
        <v>-0.52067535140384469</v>
      </c>
      <c r="M323" t="str">
        <f t="shared" si="25"/>
        <v/>
      </c>
    </row>
    <row r="324" spans="1:13" x14ac:dyDescent="0.2">
      <c r="A324">
        <f>Final_Dataset!A295</f>
        <v>294</v>
      </c>
      <c r="B324" s="53">
        <f>Final_Dataset!B295</f>
        <v>40556</v>
      </c>
      <c r="C324">
        <f>Final_Dataset!F295</f>
        <v>16</v>
      </c>
      <c r="D324" t="str">
        <f>Final_Dataset!T295</f>
        <v>Thu</v>
      </c>
      <c r="E324" t="str">
        <f>Final_Dataset!X295</f>
        <v>Clear</v>
      </c>
      <c r="F324">
        <f>Final_Dataset!J295</f>
        <v>0.24</v>
      </c>
      <c r="G324">
        <f>Final_Dataset!L295</f>
        <v>0.38</v>
      </c>
      <c r="H324">
        <f>Final_Dataset!M295</f>
        <v>0.35820000000000002</v>
      </c>
      <c r="I324">
        <f>Final_Dataset!P295</f>
        <v>78</v>
      </c>
      <c r="J324" s="54">
        <f t="shared" si="22"/>
        <v>89.272727272727266</v>
      </c>
      <c r="K324" s="54">
        <f t="shared" si="23"/>
        <v>25.461657115880747</v>
      </c>
      <c r="L324" s="55">
        <f t="shared" si="24"/>
        <v>-0.44273344902191492</v>
      </c>
      <c r="M324" t="str">
        <f t="shared" si="25"/>
        <v/>
      </c>
    </row>
    <row r="325" spans="1:13" x14ac:dyDescent="0.2">
      <c r="A325">
        <f>Final_Dataset!A296</f>
        <v>295</v>
      </c>
      <c r="B325" s="53">
        <f>Final_Dataset!B296</f>
        <v>40556</v>
      </c>
      <c r="C325">
        <f>Final_Dataset!F296</f>
        <v>17</v>
      </c>
      <c r="D325" t="str">
        <f>Final_Dataset!T296</f>
        <v>Thu</v>
      </c>
      <c r="E325" t="str">
        <f>Final_Dataset!X296</f>
        <v>Clear</v>
      </c>
      <c r="F325">
        <f>Final_Dataset!J296</f>
        <v>0.2</v>
      </c>
      <c r="G325">
        <f>Final_Dataset!L296</f>
        <v>0.4</v>
      </c>
      <c r="H325">
        <f>Final_Dataset!M296</f>
        <v>0.28360000000000002</v>
      </c>
      <c r="I325">
        <f>Final_Dataset!P296</f>
        <v>162</v>
      </c>
      <c r="J325" s="54">
        <f t="shared" si="22"/>
        <v>140.20454545454547</v>
      </c>
      <c r="K325" s="54">
        <f t="shared" si="23"/>
        <v>54.067391000084569</v>
      </c>
      <c r="L325" s="55">
        <f t="shared" si="24"/>
        <v>0.40311644675846187</v>
      </c>
      <c r="M325" t="str">
        <f t="shared" si="25"/>
        <v/>
      </c>
    </row>
    <row r="326" spans="1:13" x14ac:dyDescent="0.2">
      <c r="A326">
        <f>Final_Dataset!A297</f>
        <v>296</v>
      </c>
      <c r="B326" s="53">
        <f>Final_Dataset!B297</f>
        <v>40556</v>
      </c>
      <c r="C326">
        <f>Final_Dataset!F297</f>
        <v>18</v>
      </c>
      <c r="D326" t="str">
        <f>Final_Dataset!T297</f>
        <v>Thu</v>
      </c>
      <c r="E326" t="str">
        <f>Final_Dataset!X297</f>
        <v>Clear</v>
      </c>
      <c r="F326">
        <f>Final_Dataset!J297</f>
        <v>0.2</v>
      </c>
      <c r="G326">
        <f>Final_Dataset!L297</f>
        <v>0.4</v>
      </c>
      <c r="H326">
        <f>Final_Dataset!M297</f>
        <v>0.32840000000000003</v>
      </c>
      <c r="I326">
        <f>Final_Dataset!P297</f>
        <v>144</v>
      </c>
      <c r="J326" s="54">
        <f t="shared" si="22"/>
        <v>122.86046511627907</v>
      </c>
      <c r="K326" s="54">
        <f t="shared" si="23"/>
        <v>48.613432101949947</v>
      </c>
      <c r="L326" s="55">
        <f t="shared" si="24"/>
        <v>0.434849669519075</v>
      </c>
      <c r="M326" t="str">
        <f t="shared" si="25"/>
        <v/>
      </c>
    </row>
    <row r="327" spans="1:13" x14ac:dyDescent="0.2">
      <c r="A327">
        <f>Final_Dataset!A298</f>
        <v>297</v>
      </c>
      <c r="B327" s="53">
        <f>Final_Dataset!B298</f>
        <v>40556</v>
      </c>
      <c r="C327">
        <f>Final_Dataset!F298</f>
        <v>19</v>
      </c>
      <c r="D327" t="str">
        <f>Final_Dataset!T298</f>
        <v>Thu</v>
      </c>
      <c r="E327" t="str">
        <f>Final_Dataset!X298</f>
        <v>Clear</v>
      </c>
      <c r="F327">
        <f>Final_Dataset!J298</f>
        <v>0.16</v>
      </c>
      <c r="G327">
        <f>Final_Dataset!L298</f>
        <v>0.47</v>
      </c>
      <c r="H327">
        <f>Final_Dataset!M298</f>
        <v>0.25369999999999998</v>
      </c>
      <c r="I327">
        <f>Final_Dataset!P298</f>
        <v>99</v>
      </c>
      <c r="J327" s="54">
        <f t="shared" si="22"/>
        <v>85.139534883720927</v>
      </c>
      <c r="K327" s="54">
        <f t="shared" si="23"/>
        <v>31.690904054294759</v>
      </c>
      <c r="L327" s="55">
        <f t="shared" si="24"/>
        <v>0.43736414374712984</v>
      </c>
      <c r="M327" t="str">
        <f t="shared" si="25"/>
        <v/>
      </c>
    </row>
    <row r="328" spans="1:13" x14ac:dyDescent="0.2">
      <c r="A328">
        <f>Final_Dataset!A299</f>
        <v>298</v>
      </c>
      <c r="B328" s="53">
        <f>Final_Dataset!B299</f>
        <v>40556</v>
      </c>
      <c r="C328">
        <f>Final_Dataset!F299</f>
        <v>20</v>
      </c>
      <c r="D328" t="str">
        <f>Final_Dataset!T299</f>
        <v>Thu</v>
      </c>
      <c r="E328" t="str">
        <f>Final_Dataset!X299</f>
        <v>Clear</v>
      </c>
      <c r="F328">
        <f>Final_Dataset!J299</f>
        <v>0.16</v>
      </c>
      <c r="G328">
        <f>Final_Dataset!L299</f>
        <v>0.47</v>
      </c>
      <c r="H328">
        <f>Final_Dataset!M299</f>
        <v>0.22389999999999999</v>
      </c>
      <c r="I328">
        <f>Final_Dataset!P299</f>
        <v>64</v>
      </c>
      <c r="J328" s="54">
        <f t="shared" si="22"/>
        <v>61.767441860465119</v>
      </c>
      <c r="K328" s="54">
        <f t="shared" si="23"/>
        <v>24.6323801696856</v>
      </c>
      <c r="L328" s="55">
        <f t="shared" si="24"/>
        <v>9.0635095924770967E-2</v>
      </c>
      <c r="M328" t="str">
        <f t="shared" si="25"/>
        <v/>
      </c>
    </row>
    <row r="329" spans="1:13" x14ac:dyDescent="0.2">
      <c r="A329">
        <f>Final_Dataset!A300</f>
        <v>299</v>
      </c>
      <c r="B329" s="53">
        <f>Final_Dataset!B300</f>
        <v>40556</v>
      </c>
      <c r="C329">
        <f>Final_Dataset!F300</f>
        <v>21</v>
      </c>
      <c r="D329" t="str">
        <f>Final_Dataset!T300</f>
        <v>Thu</v>
      </c>
      <c r="E329" t="str">
        <f>Final_Dataset!X300</f>
        <v>Clear</v>
      </c>
      <c r="F329">
        <f>Final_Dataset!J300</f>
        <v>0.14000000000000001</v>
      </c>
      <c r="G329">
        <f>Final_Dataset!L300</f>
        <v>0.46</v>
      </c>
      <c r="H329">
        <f>Final_Dataset!M300</f>
        <v>0.29849999999999999</v>
      </c>
      <c r="I329">
        <f>Final_Dataset!P300</f>
        <v>40</v>
      </c>
      <c r="J329" s="54">
        <f t="shared" si="22"/>
        <v>46.418604651162788</v>
      </c>
      <c r="K329" s="54">
        <f t="shared" si="23"/>
        <v>14.656759464719499</v>
      </c>
      <c r="L329" s="55">
        <f t="shared" si="24"/>
        <v>-0.43792795171491389</v>
      </c>
      <c r="M329" t="str">
        <f t="shared" si="25"/>
        <v/>
      </c>
    </row>
    <row r="330" spans="1:13" x14ac:dyDescent="0.2">
      <c r="A330">
        <f>Final_Dataset!A301</f>
        <v>300</v>
      </c>
      <c r="B330" s="53">
        <f>Final_Dataset!B301</f>
        <v>40556</v>
      </c>
      <c r="C330">
        <f>Final_Dataset!F301</f>
        <v>22</v>
      </c>
      <c r="D330" t="str">
        <f>Final_Dataset!T301</f>
        <v>Thu</v>
      </c>
      <c r="E330" t="str">
        <f>Final_Dataset!X301</f>
        <v>Clear</v>
      </c>
      <c r="F330">
        <f>Final_Dataset!J301</f>
        <v>0.14000000000000001</v>
      </c>
      <c r="G330">
        <f>Final_Dataset!L301</f>
        <v>0.46</v>
      </c>
      <c r="H330">
        <f>Final_Dataset!M301</f>
        <v>0.32840000000000003</v>
      </c>
      <c r="I330">
        <f>Final_Dataset!P301</f>
        <v>30</v>
      </c>
      <c r="J330" s="54">
        <f t="shared" si="22"/>
        <v>35.069767441860463</v>
      </c>
      <c r="K330" s="54">
        <f t="shared" si="23"/>
        <v>11.95506537162667</v>
      </c>
      <c r="L330" s="55">
        <f t="shared" si="24"/>
        <v>-0.42406856711069946</v>
      </c>
      <c r="M330" t="str">
        <f t="shared" si="25"/>
        <v/>
      </c>
    </row>
    <row r="331" spans="1:13" x14ac:dyDescent="0.2">
      <c r="A331">
        <f>Final_Dataset!A302</f>
        <v>301</v>
      </c>
      <c r="B331" s="53">
        <f>Final_Dataset!B302</f>
        <v>40556</v>
      </c>
      <c r="C331">
        <f>Final_Dataset!F302</f>
        <v>23</v>
      </c>
      <c r="D331" t="str">
        <f>Final_Dataset!T302</f>
        <v>Thu</v>
      </c>
      <c r="E331" t="str">
        <f>Final_Dataset!X302</f>
        <v>Clear</v>
      </c>
      <c r="F331">
        <f>Final_Dataset!J302</f>
        <v>0.12</v>
      </c>
      <c r="G331">
        <f>Final_Dataset!L302</f>
        <v>0.5</v>
      </c>
      <c r="H331">
        <f>Final_Dataset!M302</f>
        <v>0.19400000000000001</v>
      </c>
      <c r="I331">
        <f>Final_Dataset!P302</f>
        <v>15</v>
      </c>
      <c r="J331" s="54">
        <f t="shared" si="22"/>
        <v>25.186046511627907</v>
      </c>
      <c r="K331" s="54">
        <f t="shared" si="23"/>
        <v>11.751911321656186</v>
      </c>
      <c r="L331" s="55">
        <f t="shared" si="24"/>
        <v>-0.86675658391475996</v>
      </c>
      <c r="M331" t="str">
        <f t="shared" si="25"/>
        <v/>
      </c>
    </row>
    <row r="332" spans="1:13" x14ac:dyDescent="0.2">
      <c r="A332">
        <f>Final_Dataset!A303</f>
        <v>302</v>
      </c>
      <c r="B332" s="53">
        <f>Final_Dataset!B303</f>
        <v>40557</v>
      </c>
      <c r="C332">
        <f>Final_Dataset!F303</f>
        <v>0</v>
      </c>
      <c r="D332" t="str">
        <f>Final_Dataset!T303</f>
        <v>Fri</v>
      </c>
      <c r="E332" t="str">
        <f>Final_Dataset!X303</f>
        <v>Clear</v>
      </c>
      <c r="F332">
        <f>Final_Dataset!J303</f>
        <v>0.12</v>
      </c>
      <c r="G332">
        <f>Final_Dataset!L303</f>
        <v>0.5</v>
      </c>
      <c r="H332">
        <f>Final_Dataset!M303</f>
        <v>0.19400000000000001</v>
      </c>
      <c r="I332">
        <f>Final_Dataset!P303</f>
        <v>14</v>
      </c>
      <c r="J332" s="54">
        <f t="shared" si="22"/>
        <v>16.348837209302324</v>
      </c>
      <c r="K332" s="54">
        <f t="shared" si="23"/>
        <v>10.442321674276208</v>
      </c>
      <c r="L332" s="55">
        <f t="shared" si="24"/>
        <v>-0.22493438552927264</v>
      </c>
      <c r="M332" t="str">
        <f t="shared" si="25"/>
        <v/>
      </c>
    </row>
    <row r="333" spans="1:13" x14ac:dyDescent="0.2">
      <c r="A333">
        <f>Final_Dataset!A304</f>
        <v>303</v>
      </c>
      <c r="B333" s="53">
        <f>Final_Dataset!B304</f>
        <v>40557</v>
      </c>
      <c r="C333">
        <f>Final_Dataset!F304</f>
        <v>1</v>
      </c>
      <c r="D333" t="str">
        <f>Final_Dataset!T304</f>
        <v>Fri</v>
      </c>
      <c r="E333" t="str">
        <f>Final_Dataset!X304</f>
        <v>Clear</v>
      </c>
      <c r="F333">
        <f>Final_Dataset!J304</f>
        <v>0.1</v>
      </c>
      <c r="G333">
        <f>Final_Dataset!L304</f>
        <v>0.54</v>
      </c>
      <c r="H333">
        <f>Final_Dataset!M304</f>
        <v>0.16420000000000001</v>
      </c>
      <c r="I333">
        <f>Final_Dataset!P304</f>
        <v>5</v>
      </c>
      <c r="J333" s="54">
        <f t="shared" si="22"/>
        <v>10.697674418604651</v>
      </c>
      <c r="K333" s="54">
        <f t="shared" si="23"/>
        <v>10.060613641515801</v>
      </c>
      <c r="L333" s="55">
        <f t="shared" si="24"/>
        <v>-0.56633468112648844</v>
      </c>
      <c r="M333" t="str">
        <f t="shared" si="25"/>
        <v/>
      </c>
    </row>
    <row r="334" spans="1:13" x14ac:dyDescent="0.2">
      <c r="A334">
        <f>Final_Dataset!A305</f>
        <v>304</v>
      </c>
      <c r="B334" s="53">
        <f>Final_Dataset!B305</f>
        <v>40557</v>
      </c>
      <c r="C334">
        <f>Final_Dataset!F305</f>
        <v>2</v>
      </c>
      <c r="D334" t="str">
        <f>Final_Dataset!T305</f>
        <v>Fri</v>
      </c>
      <c r="E334" t="str">
        <f>Final_Dataset!X305</f>
        <v>Clear</v>
      </c>
      <c r="F334">
        <f>Final_Dataset!J305</f>
        <v>0.1</v>
      </c>
      <c r="G334">
        <f>Final_Dataset!L305</f>
        <v>0.54</v>
      </c>
      <c r="H334">
        <f>Final_Dataset!M305</f>
        <v>0.1343</v>
      </c>
      <c r="I334">
        <f>Final_Dataset!P305</f>
        <v>1</v>
      </c>
      <c r="J334" s="54">
        <f t="shared" si="22"/>
        <v>7.1707317073170733</v>
      </c>
      <c r="K334" s="54">
        <f t="shared" si="23"/>
        <v>7.3685223723090862</v>
      </c>
      <c r="L334" s="55">
        <f t="shared" si="24"/>
        <v>-0.83744493068334691</v>
      </c>
      <c r="M334" t="str">
        <f t="shared" si="25"/>
        <v/>
      </c>
    </row>
    <row r="335" spans="1:13" x14ac:dyDescent="0.2">
      <c r="A335">
        <f>Final_Dataset!A306</f>
        <v>305</v>
      </c>
      <c r="B335" s="53">
        <f>Final_Dataset!B306</f>
        <v>40557</v>
      </c>
      <c r="C335">
        <f>Final_Dataset!F306</f>
        <v>3</v>
      </c>
      <c r="D335" t="str">
        <f>Final_Dataset!T306</f>
        <v>Fri</v>
      </c>
      <c r="E335" t="str">
        <f>Final_Dataset!X306</f>
        <v>Clear</v>
      </c>
      <c r="F335">
        <f>Final_Dataset!J306</f>
        <v>0.1</v>
      </c>
      <c r="G335">
        <f>Final_Dataset!L306</f>
        <v>0.54</v>
      </c>
      <c r="H335">
        <f>Final_Dataset!M306</f>
        <v>0.1045</v>
      </c>
      <c r="I335">
        <f>Final_Dataset!P306</f>
        <v>1</v>
      </c>
      <c r="J335" s="54">
        <f t="shared" si="22"/>
        <v>4.870967741935484</v>
      </c>
      <c r="K335" s="54">
        <f t="shared" si="23"/>
        <v>4.4702120418303126</v>
      </c>
      <c r="L335" s="55">
        <f t="shared" si="24"/>
        <v>-0.86594723152115394</v>
      </c>
      <c r="M335" t="str">
        <f t="shared" si="25"/>
        <v/>
      </c>
    </row>
    <row r="336" spans="1:13" x14ac:dyDescent="0.2">
      <c r="A336">
        <f>Final_Dataset!A307</f>
        <v>306</v>
      </c>
      <c r="B336" s="53">
        <f>Final_Dataset!B307</f>
        <v>40557</v>
      </c>
      <c r="C336">
        <f>Final_Dataset!F307</f>
        <v>5</v>
      </c>
      <c r="D336" t="str">
        <f>Final_Dataset!T307</f>
        <v>Fri</v>
      </c>
      <c r="E336" t="str">
        <f>Final_Dataset!X307</f>
        <v>Clear</v>
      </c>
      <c r="F336">
        <f>Final_Dataset!J307</f>
        <v>0.1</v>
      </c>
      <c r="G336">
        <f>Final_Dataset!L307</f>
        <v>0.54</v>
      </c>
      <c r="H336">
        <f>Final_Dataset!M307</f>
        <v>8.9599999999999999E-2</v>
      </c>
      <c r="I336">
        <f>Final_Dataset!P307</f>
        <v>8</v>
      </c>
      <c r="J336" s="54">
        <f t="shared" si="22"/>
        <v>4.2051282051282053</v>
      </c>
      <c r="K336" s="54">
        <f t="shared" si="23"/>
        <v>2.5358429220352288</v>
      </c>
      <c r="L336" s="55">
        <f t="shared" si="24"/>
        <v>1.4964932417131298</v>
      </c>
      <c r="M336" t="str">
        <f t="shared" si="25"/>
        <v/>
      </c>
    </row>
    <row r="337" spans="1:13" x14ac:dyDescent="0.2">
      <c r="A337">
        <f>Final_Dataset!A308</f>
        <v>307</v>
      </c>
      <c r="B337" s="53">
        <f>Final_Dataset!B308</f>
        <v>40557</v>
      </c>
      <c r="C337">
        <f>Final_Dataset!F308</f>
        <v>6</v>
      </c>
      <c r="D337" t="str">
        <f>Final_Dataset!T308</f>
        <v>Fri</v>
      </c>
      <c r="E337" t="str">
        <f>Final_Dataset!X308</f>
        <v>Clear</v>
      </c>
      <c r="F337">
        <f>Final_Dataset!J308</f>
        <v>0.1</v>
      </c>
      <c r="G337">
        <f>Final_Dataset!L308</f>
        <v>0.54</v>
      </c>
      <c r="H337">
        <f>Final_Dataset!M308</f>
        <v>0</v>
      </c>
      <c r="I337">
        <f>Final_Dataset!P308</f>
        <v>17</v>
      </c>
      <c r="J337" s="54">
        <f t="shared" si="22"/>
        <v>19.571428571428573</v>
      </c>
      <c r="K337" s="54">
        <f t="shared" si="23"/>
        <v>14.202615453298934</v>
      </c>
      <c r="L337" s="55">
        <f t="shared" si="24"/>
        <v>-0.18105317150097805</v>
      </c>
      <c r="M337" t="str">
        <f t="shared" si="25"/>
        <v/>
      </c>
    </row>
    <row r="338" spans="1:13" x14ac:dyDescent="0.2">
      <c r="A338">
        <f>Final_Dataset!A309</f>
        <v>308</v>
      </c>
      <c r="B338" s="53">
        <f>Final_Dataset!B309</f>
        <v>40557</v>
      </c>
      <c r="C338">
        <f>Final_Dataset!F309</f>
        <v>7</v>
      </c>
      <c r="D338" t="str">
        <f>Final_Dataset!T309</f>
        <v>Fri</v>
      </c>
      <c r="E338" t="str">
        <f>Final_Dataset!X309</f>
        <v>Clear</v>
      </c>
      <c r="F338">
        <f>Final_Dataset!J309</f>
        <v>0.1</v>
      </c>
      <c r="G338">
        <f>Final_Dataset!L309</f>
        <v>0.74</v>
      </c>
      <c r="H338">
        <f>Final_Dataset!M309</f>
        <v>0.16420000000000001</v>
      </c>
      <c r="I338">
        <f>Final_Dataset!P309</f>
        <v>70</v>
      </c>
      <c r="J338" s="54">
        <f t="shared" si="22"/>
        <v>54.395348837209305</v>
      </c>
      <c r="K338" s="54">
        <f t="shared" si="23"/>
        <v>39.112864486352777</v>
      </c>
      <c r="L338" s="55">
        <f t="shared" si="24"/>
        <v>0.39896467230712429</v>
      </c>
      <c r="M338" t="str">
        <f t="shared" si="25"/>
        <v/>
      </c>
    </row>
    <row r="339" spans="1:13" x14ac:dyDescent="0.2">
      <c r="A339">
        <f>Final_Dataset!A310</f>
        <v>309</v>
      </c>
      <c r="B339" s="53">
        <f>Final_Dataset!B310</f>
        <v>40557</v>
      </c>
      <c r="C339">
        <f>Final_Dataset!F310</f>
        <v>8</v>
      </c>
      <c r="D339" t="str">
        <f>Final_Dataset!T310</f>
        <v>Fri</v>
      </c>
      <c r="E339" t="str">
        <f>Final_Dataset!X310</f>
        <v>Clear</v>
      </c>
      <c r="F339">
        <f>Final_Dataset!J310</f>
        <v>0.12</v>
      </c>
      <c r="G339">
        <f>Final_Dataset!L310</f>
        <v>0.68</v>
      </c>
      <c r="H339">
        <f>Final_Dataset!M310</f>
        <v>0</v>
      </c>
      <c r="I339">
        <f>Final_Dataset!P310</f>
        <v>158</v>
      </c>
      <c r="J339" s="54">
        <f t="shared" si="22"/>
        <v>128.28571428571428</v>
      </c>
      <c r="K339" s="54">
        <f t="shared" si="23"/>
        <v>88.551565717048533</v>
      </c>
      <c r="L339" s="55">
        <f t="shared" si="24"/>
        <v>0.33555912279668398</v>
      </c>
      <c r="M339" t="str">
        <f t="shared" si="25"/>
        <v/>
      </c>
    </row>
    <row r="340" spans="1:13" x14ac:dyDescent="0.2">
      <c r="A340">
        <f>Final_Dataset!A311</f>
        <v>310</v>
      </c>
      <c r="B340" s="53">
        <f>Final_Dataset!B311</f>
        <v>40557</v>
      </c>
      <c r="C340">
        <f>Final_Dataset!F311</f>
        <v>9</v>
      </c>
      <c r="D340" t="str">
        <f>Final_Dataset!T311</f>
        <v>Fri</v>
      </c>
      <c r="E340" t="str">
        <f>Final_Dataset!X311</f>
        <v>Clear</v>
      </c>
      <c r="F340">
        <f>Final_Dataset!J311</f>
        <v>0.14000000000000001</v>
      </c>
      <c r="G340">
        <f>Final_Dataset!L311</f>
        <v>0.69</v>
      </c>
      <c r="H340">
        <f>Final_Dataset!M311</f>
        <v>0.1343</v>
      </c>
      <c r="I340">
        <f>Final_Dataset!P311</f>
        <v>117</v>
      </c>
      <c r="J340" s="54">
        <f t="shared" si="22"/>
        <v>87.428571428571431</v>
      </c>
      <c r="K340" s="54">
        <f t="shared" si="23"/>
        <v>45.93852884078624</v>
      </c>
      <c r="L340" s="55">
        <f t="shared" si="24"/>
        <v>0.64371736138780655</v>
      </c>
      <c r="M340" t="str">
        <f t="shared" si="25"/>
        <v/>
      </c>
    </row>
    <row r="341" spans="1:13" x14ac:dyDescent="0.2">
      <c r="A341">
        <f>Final_Dataset!A312</f>
        <v>311</v>
      </c>
      <c r="B341" s="53">
        <f>Final_Dataset!B312</f>
        <v>40557</v>
      </c>
      <c r="C341">
        <f>Final_Dataset!F312</f>
        <v>10</v>
      </c>
      <c r="D341" t="str">
        <f>Final_Dataset!T312</f>
        <v>Fri</v>
      </c>
      <c r="E341" t="str">
        <f>Final_Dataset!X312</f>
        <v>Clear</v>
      </c>
      <c r="F341">
        <f>Final_Dataset!J312</f>
        <v>0.18</v>
      </c>
      <c r="G341">
        <f>Final_Dataset!L312</f>
        <v>0.55000000000000004</v>
      </c>
      <c r="H341">
        <f>Final_Dataset!M312</f>
        <v>0.19400000000000001</v>
      </c>
      <c r="I341">
        <f>Final_Dataset!P312</f>
        <v>44</v>
      </c>
      <c r="J341" s="54">
        <f t="shared" si="22"/>
        <v>53.642857142857146</v>
      </c>
      <c r="K341" s="54">
        <f t="shared" si="23"/>
        <v>15.395313554536934</v>
      </c>
      <c r="L341" s="55">
        <f t="shared" si="24"/>
        <v>-0.62635016225541162</v>
      </c>
      <c r="M341" t="str">
        <f t="shared" si="25"/>
        <v/>
      </c>
    </row>
    <row r="342" spans="1:13" x14ac:dyDescent="0.2">
      <c r="A342">
        <f>Final_Dataset!A313</f>
        <v>312</v>
      </c>
      <c r="B342" s="53">
        <f>Final_Dataset!B313</f>
        <v>40557</v>
      </c>
      <c r="C342">
        <f>Final_Dataset!F313</f>
        <v>11</v>
      </c>
      <c r="D342" t="str">
        <f>Final_Dataset!T313</f>
        <v>Fri</v>
      </c>
      <c r="E342" t="str">
        <f>Final_Dataset!X313</f>
        <v>Clear</v>
      </c>
      <c r="F342">
        <f>Final_Dataset!J313</f>
        <v>0.18</v>
      </c>
      <c r="G342">
        <f>Final_Dataset!L313</f>
        <v>0.51</v>
      </c>
      <c r="H342">
        <f>Final_Dataset!M313</f>
        <v>0.28360000000000002</v>
      </c>
      <c r="I342">
        <f>Final_Dataset!P313</f>
        <v>53</v>
      </c>
      <c r="J342" s="54">
        <f t="shared" si="22"/>
        <v>59.38095238095238</v>
      </c>
      <c r="K342" s="54">
        <f t="shared" si="23"/>
        <v>20.89573696860419</v>
      </c>
      <c r="L342" s="55">
        <f t="shared" si="24"/>
        <v>-0.30537101374025477</v>
      </c>
      <c r="M342" t="str">
        <f t="shared" si="25"/>
        <v/>
      </c>
    </row>
    <row r="343" spans="1:13" x14ac:dyDescent="0.2">
      <c r="A343">
        <f>Final_Dataset!A314</f>
        <v>313</v>
      </c>
      <c r="B343" s="53">
        <f>Final_Dataset!B314</f>
        <v>40557</v>
      </c>
      <c r="C343">
        <f>Final_Dataset!F314</f>
        <v>12</v>
      </c>
      <c r="D343" t="str">
        <f>Final_Dataset!T314</f>
        <v>Fri</v>
      </c>
      <c r="E343" t="str">
        <f>Final_Dataset!X314</f>
        <v>Clear</v>
      </c>
      <c r="F343">
        <f>Final_Dataset!J314</f>
        <v>0.2</v>
      </c>
      <c r="G343">
        <f>Final_Dataset!L314</f>
        <v>0.44</v>
      </c>
      <c r="H343">
        <f>Final_Dataset!M314</f>
        <v>0.25369999999999998</v>
      </c>
      <c r="I343">
        <f>Final_Dataset!P314</f>
        <v>61</v>
      </c>
      <c r="J343" s="54">
        <f t="shared" si="22"/>
        <v>76.348837209302332</v>
      </c>
      <c r="K343" s="54">
        <f t="shared" si="23"/>
        <v>29.034366927857057</v>
      </c>
      <c r="L343" s="55">
        <f t="shared" si="24"/>
        <v>-0.52864377058539791</v>
      </c>
      <c r="M343" t="str">
        <f t="shared" si="25"/>
        <v/>
      </c>
    </row>
    <row r="344" spans="1:13" x14ac:dyDescent="0.2">
      <c r="A344">
        <f>Final_Dataset!A315</f>
        <v>314</v>
      </c>
      <c r="B344" s="53">
        <f>Final_Dataset!B315</f>
        <v>40557</v>
      </c>
      <c r="C344">
        <f>Final_Dataset!F315</f>
        <v>13</v>
      </c>
      <c r="D344" t="str">
        <f>Final_Dataset!T315</f>
        <v>Fri</v>
      </c>
      <c r="E344" t="str">
        <f>Final_Dataset!X315</f>
        <v>Clear</v>
      </c>
      <c r="F344">
        <f>Final_Dataset!J315</f>
        <v>0.22</v>
      </c>
      <c r="G344">
        <f>Final_Dataset!L315</f>
        <v>0.37</v>
      </c>
      <c r="H344">
        <f>Final_Dataset!M315</f>
        <v>0.3881</v>
      </c>
      <c r="I344">
        <f>Final_Dataset!P315</f>
        <v>77</v>
      </c>
      <c r="J344" s="54">
        <f t="shared" si="22"/>
        <v>78.511627906976742</v>
      </c>
      <c r="K344" s="54">
        <f t="shared" si="23"/>
        <v>30.072430098825173</v>
      </c>
      <c r="L344" s="55">
        <f t="shared" si="24"/>
        <v>-5.0266237281429267E-2</v>
      </c>
      <c r="M344" t="str">
        <f t="shared" si="25"/>
        <v/>
      </c>
    </row>
    <row r="345" spans="1:13" x14ac:dyDescent="0.2">
      <c r="A345">
        <f>Final_Dataset!A316</f>
        <v>315</v>
      </c>
      <c r="B345" s="53">
        <f>Final_Dataset!B316</f>
        <v>40557</v>
      </c>
      <c r="C345">
        <f>Final_Dataset!F316</f>
        <v>14</v>
      </c>
      <c r="D345" t="str">
        <f>Final_Dataset!T316</f>
        <v>Fri</v>
      </c>
      <c r="E345" t="str">
        <f>Final_Dataset!X316</f>
        <v>Clear</v>
      </c>
      <c r="F345">
        <f>Final_Dataset!J316</f>
        <v>0.22</v>
      </c>
      <c r="G345">
        <f>Final_Dataset!L316</f>
        <v>0.41</v>
      </c>
      <c r="H345">
        <f>Final_Dataset!M316</f>
        <v>0.28360000000000002</v>
      </c>
      <c r="I345">
        <f>Final_Dataset!P316</f>
        <v>64</v>
      </c>
      <c r="J345" s="54">
        <f t="shared" si="22"/>
        <v>74.418604651162795</v>
      </c>
      <c r="K345" s="54">
        <f t="shared" si="23"/>
        <v>30.305769180565147</v>
      </c>
      <c r="L345" s="55">
        <f t="shared" si="24"/>
        <v>-0.34378288137442042</v>
      </c>
      <c r="M345" t="str">
        <f t="shared" si="25"/>
        <v/>
      </c>
    </row>
    <row r="346" spans="1:13" x14ac:dyDescent="0.2">
      <c r="A346">
        <f>Final_Dataset!A317</f>
        <v>316</v>
      </c>
      <c r="B346" s="53">
        <f>Final_Dataset!B317</f>
        <v>40557</v>
      </c>
      <c r="C346">
        <f>Final_Dataset!F317</f>
        <v>15</v>
      </c>
      <c r="D346" t="str">
        <f>Final_Dataset!T317</f>
        <v>Fri</v>
      </c>
      <c r="E346" t="str">
        <f>Final_Dataset!X317</f>
        <v>Clear</v>
      </c>
      <c r="F346">
        <f>Final_Dataset!J317</f>
        <v>0.24</v>
      </c>
      <c r="G346">
        <f>Final_Dataset!L317</f>
        <v>0.38</v>
      </c>
      <c r="H346">
        <f>Final_Dataset!M317</f>
        <v>0.16420000000000001</v>
      </c>
      <c r="I346">
        <f>Final_Dataset!P317</f>
        <v>68</v>
      </c>
      <c r="J346" s="54">
        <f t="shared" si="22"/>
        <v>77.95348837209302</v>
      </c>
      <c r="K346" s="54">
        <f t="shared" si="23"/>
        <v>34.481156681772681</v>
      </c>
      <c r="L346" s="55">
        <f t="shared" si="24"/>
        <v>-0.28866457305809001</v>
      </c>
      <c r="M346" t="str">
        <f t="shared" si="25"/>
        <v/>
      </c>
    </row>
    <row r="347" spans="1:13" x14ac:dyDescent="0.2">
      <c r="A347">
        <f>Final_Dataset!A318</f>
        <v>317</v>
      </c>
      <c r="B347" s="53">
        <f>Final_Dataset!B318</f>
        <v>40557</v>
      </c>
      <c r="C347">
        <f>Final_Dataset!F318</f>
        <v>16</v>
      </c>
      <c r="D347" t="str">
        <f>Final_Dataset!T318</f>
        <v>Fri</v>
      </c>
      <c r="E347" t="str">
        <f>Final_Dataset!X318</f>
        <v>Clear</v>
      </c>
      <c r="F347">
        <f>Final_Dataset!J318</f>
        <v>0.22</v>
      </c>
      <c r="G347">
        <f>Final_Dataset!L318</f>
        <v>0.41</v>
      </c>
      <c r="H347">
        <f>Final_Dataset!M318</f>
        <v>0.1045</v>
      </c>
      <c r="I347">
        <f>Final_Dataset!P318</f>
        <v>90</v>
      </c>
      <c r="J347" s="54">
        <f t="shared" si="22"/>
        <v>89.272727272727266</v>
      </c>
      <c r="K347" s="54">
        <f t="shared" si="23"/>
        <v>25.461657115880747</v>
      </c>
      <c r="L347" s="55">
        <f t="shared" si="24"/>
        <v>2.8563448323994781E-2</v>
      </c>
      <c r="M347" t="str">
        <f t="shared" si="25"/>
        <v/>
      </c>
    </row>
    <row r="348" spans="1:13" x14ac:dyDescent="0.2">
      <c r="A348">
        <f>Final_Dataset!A319</f>
        <v>318</v>
      </c>
      <c r="B348" s="53">
        <f>Final_Dataset!B319</f>
        <v>40557</v>
      </c>
      <c r="C348">
        <f>Final_Dataset!F319</f>
        <v>17</v>
      </c>
      <c r="D348" t="str">
        <f>Final_Dataset!T319</f>
        <v>Fri</v>
      </c>
      <c r="E348" t="str">
        <f>Final_Dataset!X319</f>
        <v>Clear</v>
      </c>
      <c r="F348">
        <f>Final_Dataset!J319</f>
        <v>0.22</v>
      </c>
      <c r="G348">
        <f>Final_Dataset!L319</f>
        <v>0.41</v>
      </c>
      <c r="H348">
        <f>Final_Dataset!M319</f>
        <v>0.16420000000000001</v>
      </c>
      <c r="I348">
        <f>Final_Dataset!P319</f>
        <v>159</v>
      </c>
      <c r="J348" s="54">
        <f t="shared" si="22"/>
        <v>140.20454545454547</v>
      </c>
      <c r="K348" s="54">
        <f t="shared" si="23"/>
        <v>54.067391000084569</v>
      </c>
      <c r="L348" s="55">
        <f t="shared" si="24"/>
        <v>0.34763013708993529</v>
      </c>
      <c r="M348" t="str">
        <f t="shared" si="25"/>
        <v/>
      </c>
    </row>
    <row r="349" spans="1:13" x14ac:dyDescent="0.2">
      <c r="A349">
        <f>Final_Dataset!A320</f>
        <v>319</v>
      </c>
      <c r="B349" s="53">
        <f>Final_Dataset!B320</f>
        <v>40557</v>
      </c>
      <c r="C349">
        <f>Final_Dataset!F320</f>
        <v>18</v>
      </c>
      <c r="D349" t="str">
        <f>Final_Dataset!T320</f>
        <v>Fri</v>
      </c>
      <c r="E349" t="str">
        <f>Final_Dataset!X320</f>
        <v>Clear</v>
      </c>
      <c r="F349">
        <f>Final_Dataset!J320</f>
        <v>0.2</v>
      </c>
      <c r="G349">
        <f>Final_Dataset!L320</f>
        <v>0.47</v>
      </c>
      <c r="H349">
        <f>Final_Dataset!M320</f>
        <v>0</v>
      </c>
      <c r="I349">
        <f>Final_Dataset!P320</f>
        <v>139</v>
      </c>
      <c r="J349" s="54">
        <f t="shared" si="22"/>
        <v>122.86046511627907</v>
      </c>
      <c r="K349" s="54">
        <f t="shared" si="23"/>
        <v>48.613432101949947</v>
      </c>
      <c r="L349" s="55">
        <f t="shared" si="24"/>
        <v>0.3319974374546073</v>
      </c>
      <c r="M349" t="str">
        <f t="shared" si="25"/>
        <v/>
      </c>
    </row>
    <row r="350" spans="1:13" x14ac:dyDescent="0.2">
      <c r="A350">
        <f>Final_Dataset!A321</f>
        <v>320</v>
      </c>
      <c r="B350" s="53">
        <f>Final_Dataset!B321</f>
        <v>40557</v>
      </c>
      <c r="C350">
        <f>Final_Dataset!F321</f>
        <v>19</v>
      </c>
      <c r="D350" t="str">
        <f>Final_Dataset!T321</f>
        <v>Fri</v>
      </c>
      <c r="E350" t="str">
        <f>Final_Dataset!X321</f>
        <v>Clear</v>
      </c>
      <c r="F350">
        <f>Final_Dataset!J321</f>
        <v>0.16</v>
      </c>
      <c r="G350">
        <f>Final_Dataset!L321</f>
        <v>0.59</v>
      </c>
      <c r="H350">
        <f>Final_Dataset!M321</f>
        <v>8.9599999999999999E-2</v>
      </c>
      <c r="I350">
        <f>Final_Dataset!P321</f>
        <v>92</v>
      </c>
      <c r="J350" s="54">
        <f t="shared" si="22"/>
        <v>85.139534883720927</v>
      </c>
      <c r="K350" s="54">
        <f t="shared" si="23"/>
        <v>31.690904054294759</v>
      </c>
      <c r="L350" s="55">
        <f t="shared" si="24"/>
        <v>0.21648057450571029</v>
      </c>
      <c r="M350" t="str">
        <f t="shared" si="25"/>
        <v/>
      </c>
    </row>
    <row r="351" spans="1:13" x14ac:dyDescent="0.2">
      <c r="A351">
        <f>Final_Dataset!A322</f>
        <v>321</v>
      </c>
      <c r="B351" s="53">
        <f>Final_Dataset!B322</f>
        <v>40557</v>
      </c>
      <c r="C351">
        <f>Final_Dataset!F322</f>
        <v>20</v>
      </c>
      <c r="D351" t="str">
        <f>Final_Dataset!T322</f>
        <v>Fri</v>
      </c>
      <c r="E351" t="str">
        <f>Final_Dataset!X322</f>
        <v>Clear</v>
      </c>
      <c r="F351">
        <f>Final_Dataset!J322</f>
        <v>0.18</v>
      </c>
      <c r="G351">
        <f>Final_Dataset!L322</f>
        <v>0.59</v>
      </c>
      <c r="H351">
        <f>Final_Dataset!M322</f>
        <v>0</v>
      </c>
      <c r="I351">
        <f>Final_Dataset!P322</f>
        <v>68</v>
      </c>
      <c r="J351" s="54">
        <f t="shared" ref="J351:J414" si="26">INDEX($F$5:$F$28,MATCH(C351,$D$5:$D$28,0))</f>
        <v>61.767441860465119</v>
      </c>
      <c r="K351" s="54">
        <f t="shared" ref="K351:K414" si="27">INDEX($G$5:$G$28,MATCH(C351,$D$5:$D$28,0))</f>
        <v>24.6323801696856</v>
      </c>
      <c r="L351" s="55">
        <f t="shared" ref="L351:L414" si="28">IF(K351=0,0,(I351-J351)/K351)</f>
        <v>0.2530229761233192</v>
      </c>
      <c r="M351" t="str">
        <f t="shared" ref="M351:M414" si="29">IF(ABS(L351)&gt;=$B$4,IF(L351&gt;0,"High","Low"),"")</f>
        <v/>
      </c>
    </row>
    <row r="352" spans="1:13" x14ac:dyDescent="0.2">
      <c r="A352">
        <f>Final_Dataset!A323</f>
        <v>322</v>
      </c>
      <c r="B352" s="53">
        <f>Final_Dataset!B323</f>
        <v>40557</v>
      </c>
      <c r="C352">
        <f>Final_Dataset!F323</f>
        <v>21</v>
      </c>
      <c r="D352" t="str">
        <f>Final_Dataset!T323</f>
        <v>Fri</v>
      </c>
      <c r="E352" t="str">
        <f>Final_Dataset!X323</f>
        <v>Clear</v>
      </c>
      <c r="F352">
        <f>Final_Dataset!J323</f>
        <v>0.16</v>
      </c>
      <c r="G352">
        <f>Final_Dataset!L323</f>
        <v>0.69</v>
      </c>
      <c r="H352">
        <f>Final_Dataset!M323</f>
        <v>0</v>
      </c>
      <c r="I352">
        <f>Final_Dataset!P323</f>
        <v>52</v>
      </c>
      <c r="J352" s="54">
        <f t="shared" si="26"/>
        <v>46.418604651162788</v>
      </c>
      <c r="K352" s="54">
        <f t="shared" si="27"/>
        <v>14.656759464719499</v>
      </c>
      <c r="L352" s="55">
        <f t="shared" si="28"/>
        <v>0.38080691453470805</v>
      </c>
      <c r="M352" t="str">
        <f t="shared" si="29"/>
        <v/>
      </c>
    </row>
    <row r="353" spans="1:13" x14ac:dyDescent="0.2">
      <c r="A353">
        <f>Final_Dataset!A324</f>
        <v>323</v>
      </c>
      <c r="B353" s="53">
        <f>Final_Dataset!B324</f>
        <v>40557</v>
      </c>
      <c r="C353">
        <f>Final_Dataset!F324</f>
        <v>22</v>
      </c>
      <c r="D353" t="str">
        <f>Final_Dataset!T324</f>
        <v>Fri</v>
      </c>
      <c r="E353" t="str">
        <f>Final_Dataset!X324</f>
        <v>Cloudy/Mist</v>
      </c>
      <c r="F353">
        <f>Final_Dataset!J324</f>
        <v>0.16</v>
      </c>
      <c r="G353">
        <f>Final_Dataset!L324</f>
        <v>0.69</v>
      </c>
      <c r="H353">
        <f>Final_Dataset!M324</f>
        <v>0</v>
      </c>
      <c r="I353">
        <f>Final_Dataset!P324</f>
        <v>36</v>
      </c>
      <c r="J353" s="54">
        <f t="shared" si="26"/>
        <v>35.069767441860463</v>
      </c>
      <c r="K353" s="54">
        <f t="shared" si="27"/>
        <v>11.95506537162667</v>
      </c>
      <c r="L353" s="55">
        <f t="shared" si="28"/>
        <v>7.7810746258844099E-2</v>
      </c>
      <c r="M353" t="str">
        <f t="shared" si="29"/>
        <v/>
      </c>
    </row>
    <row r="354" spans="1:13" x14ac:dyDescent="0.2">
      <c r="A354">
        <f>Final_Dataset!A325</f>
        <v>324</v>
      </c>
      <c r="B354" s="53">
        <f>Final_Dataset!B325</f>
        <v>40557</v>
      </c>
      <c r="C354">
        <f>Final_Dataset!F325</f>
        <v>23</v>
      </c>
      <c r="D354" t="str">
        <f>Final_Dataset!T325</f>
        <v>Fri</v>
      </c>
      <c r="E354" t="str">
        <f>Final_Dataset!X325</f>
        <v>Cloudy/Mist</v>
      </c>
      <c r="F354">
        <f>Final_Dataset!J325</f>
        <v>0.18</v>
      </c>
      <c r="G354">
        <f>Final_Dataset!L325</f>
        <v>0.55000000000000004</v>
      </c>
      <c r="H354">
        <f>Final_Dataset!M325</f>
        <v>0</v>
      </c>
      <c r="I354">
        <f>Final_Dataset!P325</f>
        <v>27</v>
      </c>
      <c r="J354" s="54">
        <f t="shared" si="26"/>
        <v>25.186046511627907</v>
      </c>
      <c r="K354" s="54">
        <f t="shared" si="27"/>
        <v>11.751911321656186</v>
      </c>
      <c r="L354" s="55">
        <f t="shared" si="28"/>
        <v>0.1543539122039983</v>
      </c>
      <c r="M354" t="str">
        <f t="shared" si="29"/>
        <v/>
      </c>
    </row>
    <row r="355" spans="1:13" x14ac:dyDescent="0.2">
      <c r="A355">
        <f>Final_Dataset!A326</f>
        <v>325</v>
      </c>
      <c r="B355" s="53">
        <f>Final_Dataset!B326</f>
        <v>40558</v>
      </c>
      <c r="C355">
        <f>Final_Dataset!F326</f>
        <v>0</v>
      </c>
      <c r="D355" t="str">
        <f>Final_Dataset!T326</f>
        <v>Sat</v>
      </c>
      <c r="E355" t="str">
        <f>Final_Dataset!X326</f>
        <v>Clear</v>
      </c>
      <c r="F355">
        <f>Final_Dataset!J326</f>
        <v>0.18</v>
      </c>
      <c r="G355">
        <f>Final_Dataset!L326</f>
        <v>0.55000000000000004</v>
      </c>
      <c r="H355">
        <f>Final_Dataset!M326</f>
        <v>0</v>
      </c>
      <c r="I355">
        <f>Final_Dataset!P326</f>
        <v>28</v>
      </c>
      <c r="J355" s="54">
        <f t="shared" si="26"/>
        <v>16.348837209302324</v>
      </c>
      <c r="K355" s="54">
        <f t="shared" si="27"/>
        <v>10.442321674276208</v>
      </c>
      <c r="L355" s="55">
        <f t="shared" si="28"/>
        <v>1.1157636351501552</v>
      </c>
      <c r="M355" t="str">
        <f t="shared" si="29"/>
        <v/>
      </c>
    </row>
    <row r="356" spans="1:13" x14ac:dyDescent="0.2">
      <c r="A356">
        <f>Final_Dataset!A327</f>
        <v>326</v>
      </c>
      <c r="B356" s="53">
        <f>Final_Dataset!B327</f>
        <v>40558</v>
      </c>
      <c r="C356">
        <f>Final_Dataset!F327</f>
        <v>1</v>
      </c>
      <c r="D356" t="str">
        <f>Final_Dataset!T327</f>
        <v>Sat</v>
      </c>
      <c r="E356" t="str">
        <f>Final_Dataset!X327</f>
        <v>Cloudy/Mist</v>
      </c>
      <c r="F356">
        <f>Final_Dataset!J327</f>
        <v>0.16</v>
      </c>
      <c r="G356">
        <f>Final_Dataset!L327</f>
        <v>0.59</v>
      </c>
      <c r="H356">
        <f>Final_Dataset!M327</f>
        <v>8.9599999999999999E-2</v>
      </c>
      <c r="I356">
        <f>Final_Dataset!P327</f>
        <v>20</v>
      </c>
      <c r="J356" s="54">
        <f t="shared" si="26"/>
        <v>10.697674418604651</v>
      </c>
      <c r="K356" s="54">
        <f t="shared" si="27"/>
        <v>10.060613641515801</v>
      </c>
      <c r="L356" s="55">
        <f t="shared" si="28"/>
        <v>0.92462805081875676</v>
      </c>
      <c r="M356" t="str">
        <f t="shared" si="29"/>
        <v/>
      </c>
    </row>
    <row r="357" spans="1:13" x14ac:dyDescent="0.2">
      <c r="A357">
        <f>Final_Dataset!A328</f>
        <v>327</v>
      </c>
      <c r="B357" s="53">
        <f>Final_Dataset!B328</f>
        <v>40558</v>
      </c>
      <c r="C357">
        <f>Final_Dataset!F328</f>
        <v>2</v>
      </c>
      <c r="D357" t="str">
        <f>Final_Dataset!T328</f>
        <v>Sat</v>
      </c>
      <c r="E357" t="str">
        <f>Final_Dataset!X328</f>
        <v>Cloudy/Mist</v>
      </c>
      <c r="F357">
        <f>Final_Dataset!J328</f>
        <v>0.16</v>
      </c>
      <c r="G357">
        <f>Final_Dataset!L328</f>
        <v>0.59</v>
      </c>
      <c r="H357">
        <f>Final_Dataset!M328</f>
        <v>8.9599999999999999E-2</v>
      </c>
      <c r="I357">
        <f>Final_Dataset!P328</f>
        <v>12</v>
      </c>
      <c r="J357" s="54">
        <f t="shared" si="26"/>
        <v>7.1707317073170733</v>
      </c>
      <c r="K357" s="54">
        <f t="shared" si="27"/>
        <v>7.3685223723090862</v>
      </c>
      <c r="L357" s="55">
        <f t="shared" si="28"/>
        <v>0.65539168488261923</v>
      </c>
      <c r="M357" t="str">
        <f t="shared" si="29"/>
        <v/>
      </c>
    </row>
    <row r="358" spans="1:13" x14ac:dyDescent="0.2">
      <c r="A358">
        <f>Final_Dataset!A329</f>
        <v>328</v>
      </c>
      <c r="B358" s="53">
        <f>Final_Dataset!B329</f>
        <v>40558</v>
      </c>
      <c r="C358">
        <f>Final_Dataset!F329</f>
        <v>3</v>
      </c>
      <c r="D358" t="str">
        <f>Final_Dataset!T329</f>
        <v>Sat</v>
      </c>
      <c r="E358" t="str">
        <f>Final_Dataset!X329</f>
        <v>Cloudy/Mist</v>
      </c>
      <c r="F358">
        <f>Final_Dataset!J329</f>
        <v>0.16</v>
      </c>
      <c r="G358">
        <f>Final_Dataset!L329</f>
        <v>0.59</v>
      </c>
      <c r="H358">
        <f>Final_Dataset!M329</f>
        <v>0</v>
      </c>
      <c r="I358">
        <f>Final_Dataset!P329</f>
        <v>8</v>
      </c>
      <c r="J358" s="54">
        <f t="shared" si="26"/>
        <v>4.870967741935484</v>
      </c>
      <c r="K358" s="54">
        <f t="shared" si="27"/>
        <v>4.4702120418303126</v>
      </c>
      <c r="L358" s="55">
        <f t="shared" si="28"/>
        <v>0.69997401214626609</v>
      </c>
      <c r="M358" t="str">
        <f t="shared" si="29"/>
        <v/>
      </c>
    </row>
    <row r="359" spans="1:13" x14ac:dyDescent="0.2">
      <c r="A359">
        <f>Final_Dataset!A330</f>
        <v>329</v>
      </c>
      <c r="B359" s="53">
        <f>Final_Dataset!B330</f>
        <v>40558</v>
      </c>
      <c r="C359">
        <f>Final_Dataset!F330</f>
        <v>4</v>
      </c>
      <c r="D359" t="str">
        <f>Final_Dataset!T330</f>
        <v>Sat</v>
      </c>
      <c r="E359" t="str">
        <f>Final_Dataset!X330</f>
        <v>Cloudy/Mist</v>
      </c>
      <c r="F359">
        <f>Final_Dataset!J330</f>
        <v>0.16</v>
      </c>
      <c r="G359">
        <f>Final_Dataset!L330</f>
        <v>0.59</v>
      </c>
      <c r="H359">
        <f>Final_Dataset!M330</f>
        <v>0</v>
      </c>
      <c r="I359">
        <f>Final_Dataset!P330</f>
        <v>5</v>
      </c>
      <c r="J359" s="54">
        <f t="shared" si="26"/>
        <v>2.15625</v>
      </c>
      <c r="K359" s="54">
        <f t="shared" si="27"/>
        <v>1.5263148747143209</v>
      </c>
      <c r="L359" s="55">
        <f t="shared" si="28"/>
        <v>1.8631476683553008</v>
      </c>
      <c r="M359" t="str">
        <f t="shared" si="29"/>
        <v/>
      </c>
    </row>
    <row r="360" spans="1:13" x14ac:dyDescent="0.2">
      <c r="A360">
        <f>Final_Dataset!A331</f>
        <v>330</v>
      </c>
      <c r="B360" s="53">
        <f>Final_Dataset!B331</f>
        <v>40558</v>
      </c>
      <c r="C360">
        <f>Final_Dataset!F331</f>
        <v>5</v>
      </c>
      <c r="D360" t="str">
        <f>Final_Dataset!T331</f>
        <v>Sat</v>
      </c>
      <c r="E360" t="str">
        <f>Final_Dataset!X331</f>
        <v>Clear</v>
      </c>
      <c r="F360">
        <f>Final_Dataset!J331</f>
        <v>0.16</v>
      </c>
      <c r="G360">
        <f>Final_Dataset!L331</f>
        <v>0.59</v>
      </c>
      <c r="H360">
        <f>Final_Dataset!M331</f>
        <v>0</v>
      </c>
      <c r="I360">
        <f>Final_Dataset!P331</f>
        <v>1</v>
      </c>
      <c r="J360" s="54">
        <f t="shared" si="26"/>
        <v>4.2051282051282053</v>
      </c>
      <c r="K360" s="54">
        <f t="shared" si="27"/>
        <v>2.5358429220352288</v>
      </c>
      <c r="L360" s="55">
        <f t="shared" si="28"/>
        <v>-1.2639301027982515</v>
      </c>
      <c r="M360" t="str">
        <f t="shared" si="29"/>
        <v/>
      </c>
    </row>
    <row r="361" spans="1:13" x14ac:dyDescent="0.2">
      <c r="A361">
        <f>Final_Dataset!A332</f>
        <v>331</v>
      </c>
      <c r="B361" s="53">
        <f>Final_Dataset!B332</f>
        <v>40558</v>
      </c>
      <c r="C361">
        <f>Final_Dataset!F332</f>
        <v>6</v>
      </c>
      <c r="D361" t="str">
        <f>Final_Dataset!T332</f>
        <v>Sat</v>
      </c>
      <c r="E361" t="str">
        <f>Final_Dataset!X332</f>
        <v>Clear</v>
      </c>
      <c r="F361">
        <f>Final_Dataset!J332</f>
        <v>0.14000000000000001</v>
      </c>
      <c r="G361">
        <f>Final_Dataset!L332</f>
        <v>0.63</v>
      </c>
      <c r="H361">
        <f>Final_Dataset!M332</f>
        <v>0.1045</v>
      </c>
      <c r="I361">
        <f>Final_Dataset!P332</f>
        <v>3</v>
      </c>
      <c r="J361" s="54">
        <f t="shared" si="26"/>
        <v>19.571428571428573</v>
      </c>
      <c r="K361" s="54">
        <f t="shared" si="27"/>
        <v>14.202615453298934</v>
      </c>
      <c r="L361" s="55">
        <f t="shared" si="28"/>
        <v>-1.1667871052285246</v>
      </c>
      <c r="M361" t="str">
        <f t="shared" si="29"/>
        <v/>
      </c>
    </row>
    <row r="362" spans="1:13" x14ac:dyDescent="0.2">
      <c r="A362">
        <f>Final_Dataset!A333</f>
        <v>332</v>
      </c>
      <c r="B362" s="53">
        <f>Final_Dataset!B333</f>
        <v>40558</v>
      </c>
      <c r="C362">
        <f>Final_Dataset!F333</f>
        <v>7</v>
      </c>
      <c r="D362" t="str">
        <f>Final_Dataset!T333</f>
        <v>Sat</v>
      </c>
      <c r="E362" t="str">
        <f>Final_Dataset!X333</f>
        <v>Clear</v>
      </c>
      <c r="F362">
        <f>Final_Dataset!J333</f>
        <v>0.14000000000000001</v>
      </c>
      <c r="G362">
        <f>Final_Dataset!L333</f>
        <v>0.63</v>
      </c>
      <c r="H362">
        <f>Final_Dataset!M333</f>
        <v>0</v>
      </c>
      <c r="I362">
        <f>Final_Dataset!P333</f>
        <v>10</v>
      </c>
      <c r="J362" s="54">
        <f t="shared" si="26"/>
        <v>54.395348837209305</v>
      </c>
      <c r="K362" s="54">
        <f t="shared" si="27"/>
        <v>39.112864486352777</v>
      </c>
      <c r="L362" s="55">
        <f t="shared" si="28"/>
        <v>-1.1350574656248889</v>
      </c>
      <c r="M362" t="str">
        <f t="shared" si="29"/>
        <v/>
      </c>
    </row>
    <row r="363" spans="1:13" x14ac:dyDescent="0.2">
      <c r="A363">
        <f>Final_Dataset!A334</f>
        <v>333</v>
      </c>
      <c r="B363" s="53">
        <f>Final_Dataset!B334</f>
        <v>40558</v>
      </c>
      <c r="C363">
        <f>Final_Dataset!F334</f>
        <v>8</v>
      </c>
      <c r="D363" t="str">
        <f>Final_Dataset!T334</f>
        <v>Sat</v>
      </c>
      <c r="E363" t="str">
        <f>Final_Dataset!X334</f>
        <v>Clear</v>
      </c>
      <c r="F363">
        <f>Final_Dataset!J334</f>
        <v>0.14000000000000001</v>
      </c>
      <c r="G363">
        <f>Final_Dataset!L334</f>
        <v>0.63</v>
      </c>
      <c r="H363">
        <f>Final_Dataset!M334</f>
        <v>0.1343</v>
      </c>
      <c r="I363">
        <f>Final_Dataset!P334</f>
        <v>23</v>
      </c>
      <c r="J363" s="54">
        <f t="shared" si="26"/>
        <v>128.28571428571428</v>
      </c>
      <c r="K363" s="54">
        <f t="shared" si="27"/>
        <v>88.551565717048533</v>
      </c>
      <c r="L363" s="55">
        <f t="shared" si="28"/>
        <v>-1.1889763149094039</v>
      </c>
      <c r="M363" t="str">
        <f t="shared" si="29"/>
        <v/>
      </c>
    </row>
    <row r="364" spans="1:13" x14ac:dyDescent="0.2">
      <c r="A364">
        <f>Final_Dataset!A335</f>
        <v>334</v>
      </c>
      <c r="B364" s="53">
        <f>Final_Dataset!B335</f>
        <v>40558</v>
      </c>
      <c r="C364">
        <f>Final_Dataset!F335</f>
        <v>9</v>
      </c>
      <c r="D364" t="str">
        <f>Final_Dataset!T335</f>
        <v>Sat</v>
      </c>
      <c r="E364" t="str">
        <f>Final_Dataset!X335</f>
        <v>Clear</v>
      </c>
      <c r="F364">
        <f>Final_Dataset!J335</f>
        <v>0.16</v>
      </c>
      <c r="G364">
        <f>Final_Dataset!L335</f>
        <v>0.64</v>
      </c>
      <c r="H364">
        <f>Final_Dataset!M335</f>
        <v>0.1343</v>
      </c>
      <c r="I364">
        <f>Final_Dataset!P335</f>
        <v>33</v>
      </c>
      <c r="J364" s="54">
        <f t="shared" si="26"/>
        <v>87.428571428571431</v>
      </c>
      <c r="K364" s="54">
        <f t="shared" si="27"/>
        <v>45.93852884078624</v>
      </c>
      <c r="L364" s="55">
        <f t="shared" si="28"/>
        <v>-1.1848131144384266</v>
      </c>
      <c r="M364" t="str">
        <f t="shared" si="29"/>
        <v/>
      </c>
    </row>
    <row r="365" spans="1:13" x14ac:dyDescent="0.2">
      <c r="A365">
        <f>Final_Dataset!A336</f>
        <v>335</v>
      </c>
      <c r="B365" s="53">
        <f>Final_Dataset!B336</f>
        <v>40558</v>
      </c>
      <c r="C365">
        <f>Final_Dataset!F336</f>
        <v>10</v>
      </c>
      <c r="D365" t="str">
        <f>Final_Dataset!T336</f>
        <v>Sat</v>
      </c>
      <c r="E365" t="str">
        <f>Final_Dataset!X336</f>
        <v>Clear</v>
      </c>
      <c r="F365">
        <f>Final_Dataset!J336</f>
        <v>0.18</v>
      </c>
      <c r="G365">
        <f>Final_Dataset!L336</f>
        <v>0.59</v>
      </c>
      <c r="H365">
        <f>Final_Dataset!M336</f>
        <v>0.16420000000000001</v>
      </c>
      <c r="I365">
        <f>Final_Dataset!P336</f>
        <v>59</v>
      </c>
      <c r="J365" s="54">
        <f t="shared" si="26"/>
        <v>53.642857142857146</v>
      </c>
      <c r="K365" s="54">
        <f t="shared" si="27"/>
        <v>15.395313554536934</v>
      </c>
      <c r="L365" s="55">
        <f t="shared" si="28"/>
        <v>0.34797231236411724</v>
      </c>
      <c r="M365" t="str">
        <f t="shared" si="29"/>
        <v/>
      </c>
    </row>
    <row r="366" spans="1:13" x14ac:dyDescent="0.2">
      <c r="A366">
        <f>Final_Dataset!A337</f>
        <v>336</v>
      </c>
      <c r="B366" s="53">
        <f>Final_Dataset!B337</f>
        <v>40558</v>
      </c>
      <c r="C366">
        <f>Final_Dataset!F337</f>
        <v>11</v>
      </c>
      <c r="D366" t="str">
        <f>Final_Dataset!T337</f>
        <v>Sat</v>
      </c>
      <c r="E366" t="str">
        <f>Final_Dataset!X337</f>
        <v>Clear</v>
      </c>
      <c r="F366">
        <f>Final_Dataset!J337</f>
        <v>0.2</v>
      </c>
      <c r="G366">
        <f>Final_Dataset!L337</f>
        <v>0.55000000000000004</v>
      </c>
      <c r="H366">
        <f>Final_Dataset!M337</f>
        <v>0.22389999999999999</v>
      </c>
      <c r="I366">
        <f>Final_Dataset!P337</f>
        <v>72</v>
      </c>
      <c r="J366" s="54">
        <f t="shared" si="26"/>
        <v>59.38095238095238</v>
      </c>
      <c r="K366" s="54">
        <f t="shared" si="27"/>
        <v>20.89573696860419</v>
      </c>
      <c r="L366" s="55">
        <f t="shared" si="28"/>
        <v>0.60390536299378761</v>
      </c>
      <c r="M366" t="str">
        <f t="shared" si="29"/>
        <v/>
      </c>
    </row>
    <row r="367" spans="1:13" x14ac:dyDescent="0.2">
      <c r="A367">
        <f>Final_Dataset!A338</f>
        <v>337</v>
      </c>
      <c r="B367" s="53">
        <f>Final_Dataset!B338</f>
        <v>40558</v>
      </c>
      <c r="C367">
        <f>Final_Dataset!F338</f>
        <v>12</v>
      </c>
      <c r="D367" t="str">
        <f>Final_Dataset!T338</f>
        <v>Sat</v>
      </c>
      <c r="E367" t="str">
        <f>Final_Dataset!X338</f>
        <v>Clear</v>
      </c>
      <c r="F367">
        <f>Final_Dataset!J338</f>
        <v>0.24</v>
      </c>
      <c r="G367">
        <f>Final_Dataset!L338</f>
        <v>0.48</v>
      </c>
      <c r="H367">
        <f>Final_Dataset!M338</f>
        <v>0.22389999999999999</v>
      </c>
      <c r="I367">
        <f>Final_Dataset!P338</f>
        <v>89</v>
      </c>
      <c r="J367" s="54">
        <f t="shared" si="26"/>
        <v>76.348837209302332</v>
      </c>
      <c r="K367" s="54">
        <f t="shared" si="27"/>
        <v>29.034366927857057</v>
      </c>
      <c r="L367" s="55">
        <f t="shared" si="28"/>
        <v>0.435730623027964</v>
      </c>
      <c r="M367" t="str">
        <f t="shared" si="29"/>
        <v/>
      </c>
    </row>
    <row r="368" spans="1:13" x14ac:dyDescent="0.2">
      <c r="A368">
        <f>Final_Dataset!A339</f>
        <v>338</v>
      </c>
      <c r="B368" s="53">
        <f>Final_Dataset!B339</f>
        <v>40558</v>
      </c>
      <c r="C368">
        <f>Final_Dataset!F339</f>
        <v>13</v>
      </c>
      <c r="D368" t="str">
        <f>Final_Dataset!T339</f>
        <v>Sat</v>
      </c>
      <c r="E368" t="str">
        <f>Final_Dataset!X339</f>
        <v>Clear</v>
      </c>
      <c r="F368">
        <f>Final_Dataset!J339</f>
        <v>0.28000000000000003</v>
      </c>
      <c r="G368">
        <f>Final_Dataset!L339</f>
        <v>0.38</v>
      </c>
      <c r="H368">
        <f>Final_Dataset!M339</f>
        <v>0.29849999999999999</v>
      </c>
      <c r="I368">
        <f>Final_Dataset!P339</f>
        <v>101</v>
      </c>
      <c r="J368" s="54">
        <f t="shared" si="26"/>
        <v>78.511627906976742</v>
      </c>
      <c r="K368" s="54">
        <f t="shared" si="27"/>
        <v>30.072430098825173</v>
      </c>
      <c r="L368" s="55">
        <f t="shared" si="28"/>
        <v>0.74780694540218762</v>
      </c>
      <c r="M368" t="str">
        <f t="shared" si="29"/>
        <v/>
      </c>
    </row>
    <row r="369" spans="1:13" x14ac:dyDescent="0.2">
      <c r="A369">
        <f>Final_Dataset!A340</f>
        <v>339</v>
      </c>
      <c r="B369" s="53">
        <f>Final_Dataset!B340</f>
        <v>40558</v>
      </c>
      <c r="C369">
        <f>Final_Dataset!F340</f>
        <v>14</v>
      </c>
      <c r="D369" t="str">
        <f>Final_Dataset!T340</f>
        <v>Sat</v>
      </c>
      <c r="E369" t="str">
        <f>Final_Dataset!X340</f>
        <v>Clear</v>
      </c>
      <c r="F369">
        <f>Final_Dataset!J340</f>
        <v>0.3</v>
      </c>
      <c r="G369">
        <f>Final_Dataset!L340</f>
        <v>0.39</v>
      </c>
      <c r="H369">
        <f>Final_Dataset!M340</f>
        <v>0.28360000000000002</v>
      </c>
      <c r="I369">
        <f>Final_Dataset!P340</f>
        <v>118</v>
      </c>
      <c r="J369" s="54">
        <f t="shared" si="26"/>
        <v>74.418604651162795</v>
      </c>
      <c r="K369" s="54">
        <f t="shared" si="27"/>
        <v>30.305769180565147</v>
      </c>
      <c r="L369" s="55">
        <f t="shared" si="28"/>
        <v>1.4380560707492491</v>
      </c>
      <c r="M369" t="str">
        <f t="shared" si="29"/>
        <v/>
      </c>
    </row>
    <row r="370" spans="1:13" x14ac:dyDescent="0.2">
      <c r="A370">
        <f>Final_Dataset!A341</f>
        <v>340</v>
      </c>
      <c r="B370" s="53">
        <f>Final_Dataset!B341</f>
        <v>40558</v>
      </c>
      <c r="C370">
        <f>Final_Dataset!F341</f>
        <v>15</v>
      </c>
      <c r="D370" t="str">
        <f>Final_Dataset!T341</f>
        <v>Sat</v>
      </c>
      <c r="E370" t="str">
        <f>Final_Dataset!X341</f>
        <v>Cloudy/Mist</v>
      </c>
      <c r="F370">
        <f>Final_Dataset!J341</f>
        <v>0.32</v>
      </c>
      <c r="G370">
        <f>Final_Dataset!L341</f>
        <v>0.36</v>
      </c>
      <c r="H370">
        <f>Final_Dataset!M341</f>
        <v>0.19400000000000001</v>
      </c>
      <c r="I370">
        <f>Final_Dataset!P341</f>
        <v>129</v>
      </c>
      <c r="J370" s="54">
        <f t="shared" si="26"/>
        <v>77.95348837209302</v>
      </c>
      <c r="K370" s="54">
        <f t="shared" si="27"/>
        <v>34.481156681772681</v>
      </c>
      <c r="L370" s="55">
        <f t="shared" si="28"/>
        <v>1.4804176118282895</v>
      </c>
      <c r="M370" t="str">
        <f t="shared" si="29"/>
        <v/>
      </c>
    </row>
    <row r="371" spans="1:13" x14ac:dyDescent="0.2">
      <c r="A371">
        <f>Final_Dataset!A342</f>
        <v>341</v>
      </c>
      <c r="B371" s="53">
        <f>Final_Dataset!B342</f>
        <v>40558</v>
      </c>
      <c r="C371">
        <f>Final_Dataset!F342</f>
        <v>16</v>
      </c>
      <c r="D371" t="str">
        <f>Final_Dataset!T342</f>
        <v>Sat</v>
      </c>
      <c r="E371" t="str">
        <f>Final_Dataset!X342</f>
        <v>Cloudy/Mist</v>
      </c>
      <c r="F371">
        <f>Final_Dataset!J342</f>
        <v>0.34</v>
      </c>
      <c r="G371">
        <f>Final_Dataset!L342</f>
        <v>0.34</v>
      </c>
      <c r="H371">
        <f>Final_Dataset!M342</f>
        <v>0.19400000000000001</v>
      </c>
      <c r="I371">
        <f>Final_Dataset!P342</f>
        <v>128</v>
      </c>
      <c r="J371" s="54">
        <f t="shared" si="26"/>
        <v>89.272727272727266</v>
      </c>
      <c r="K371" s="54">
        <f t="shared" si="27"/>
        <v>25.461657115880747</v>
      </c>
      <c r="L371" s="55">
        <f t="shared" si="28"/>
        <v>1.5210036232527089</v>
      </c>
      <c r="M371" t="str">
        <f t="shared" si="29"/>
        <v/>
      </c>
    </row>
    <row r="372" spans="1:13" x14ac:dyDescent="0.2">
      <c r="A372">
        <f>Final_Dataset!A343</f>
        <v>342</v>
      </c>
      <c r="B372" s="53">
        <f>Final_Dataset!B343</f>
        <v>40558</v>
      </c>
      <c r="C372">
        <f>Final_Dataset!F343</f>
        <v>17</v>
      </c>
      <c r="D372" t="str">
        <f>Final_Dataset!T343</f>
        <v>Sat</v>
      </c>
      <c r="E372" t="str">
        <f>Final_Dataset!X343</f>
        <v>Cloudy/Mist</v>
      </c>
      <c r="F372">
        <f>Final_Dataset!J343</f>
        <v>0.32</v>
      </c>
      <c r="G372">
        <f>Final_Dataset!L343</f>
        <v>0.36</v>
      </c>
      <c r="H372">
        <f>Final_Dataset!M343</f>
        <v>0.28360000000000002</v>
      </c>
      <c r="I372">
        <f>Final_Dataset!P343</f>
        <v>83</v>
      </c>
      <c r="J372" s="54">
        <f t="shared" si="26"/>
        <v>140.20454545454547</v>
      </c>
      <c r="K372" s="54">
        <f t="shared" si="27"/>
        <v>54.067391000084569</v>
      </c>
      <c r="L372" s="55">
        <f t="shared" si="28"/>
        <v>-1.0580230411794049</v>
      </c>
      <c r="M372" t="str">
        <f t="shared" si="29"/>
        <v/>
      </c>
    </row>
    <row r="373" spans="1:13" x14ac:dyDescent="0.2">
      <c r="A373">
        <f>Final_Dataset!A344</f>
        <v>343</v>
      </c>
      <c r="B373" s="53">
        <f>Final_Dataset!B344</f>
        <v>40558</v>
      </c>
      <c r="C373">
        <f>Final_Dataset!F344</f>
        <v>18</v>
      </c>
      <c r="D373" t="str">
        <f>Final_Dataset!T344</f>
        <v>Sat</v>
      </c>
      <c r="E373" t="str">
        <f>Final_Dataset!X344</f>
        <v>Cloudy/Mist</v>
      </c>
      <c r="F373">
        <f>Final_Dataset!J344</f>
        <v>0.3</v>
      </c>
      <c r="G373">
        <f>Final_Dataset!L344</f>
        <v>0.45</v>
      </c>
      <c r="H373">
        <f>Final_Dataset!M344</f>
        <v>0.25369999999999998</v>
      </c>
      <c r="I373">
        <f>Final_Dataset!P344</f>
        <v>84</v>
      </c>
      <c r="J373" s="54">
        <f t="shared" si="26"/>
        <v>122.86046511627907</v>
      </c>
      <c r="K373" s="54">
        <f t="shared" si="27"/>
        <v>48.613432101949947</v>
      </c>
      <c r="L373" s="55">
        <f t="shared" si="28"/>
        <v>-0.79937711525453747</v>
      </c>
      <c r="M373" t="str">
        <f t="shared" si="29"/>
        <v/>
      </c>
    </row>
    <row r="374" spans="1:13" x14ac:dyDescent="0.2">
      <c r="A374">
        <f>Final_Dataset!A345</f>
        <v>344</v>
      </c>
      <c r="B374" s="53">
        <f>Final_Dataset!B345</f>
        <v>40558</v>
      </c>
      <c r="C374">
        <f>Final_Dataset!F345</f>
        <v>19</v>
      </c>
      <c r="D374" t="str">
        <f>Final_Dataset!T345</f>
        <v>Sat</v>
      </c>
      <c r="E374" t="str">
        <f>Final_Dataset!X345</f>
        <v>Cloudy/Mist</v>
      </c>
      <c r="F374">
        <f>Final_Dataset!J345</f>
        <v>0.32</v>
      </c>
      <c r="G374">
        <f>Final_Dataset!L345</f>
        <v>0.39</v>
      </c>
      <c r="H374">
        <f>Final_Dataset!M345</f>
        <v>0.25369999999999998</v>
      </c>
      <c r="I374">
        <f>Final_Dataset!P345</f>
        <v>74</v>
      </c>
      <c r="J374" s="54">
        <f t="shared" si="26"/>
        <v>85.139534883720927</v>
      </c>
      <c r="K374" s="54">
        <f t="shared" si="27"/>
        <v>31.690904054294759</v>
      </c>
      <c r="L374" s="55">
        <f t="shared" si="28"/>
        <v>-0.35150574640079713</v>
      </c>
      <c r="M374" t="str">
        <f t="shared" si="29"/>
        <v/>
      </c>
    </row>
    <row r="375" spans="1:13" x14ac:dyDescent="0.2">
      <c r="A375">
        <f>Final_Dataset!A346</f>
        <v>345</v>
      </c>
      <c r="B375" s="53">
        <f>Final_Dataset!B346</f>
        <v>40558</v>
      </c>
      <c r="C375">
        <f>Final_Dataset!F346</f>
        <v>20</v>
      </c>
      <c r="D375" t="str">
        <f>Final_Dataset!T346</f>
        <v>Sat</v>
      </c>
      <c r="E375" t="str">
        <f>Final_Dataset!X346</f>
        <v>Cloudy/Mist</v>
      </c>
      <c r="F375">
        <f>Final_Dataset!J346</f>
        <v>0.32</v>
      </c>
      <c r="G375">
        <f>Final_Dataset!L346</f>
        <v>0.39</v>
      </c>
      <c r="H375">
        <f>Final_Dataset!M346</f>
        <v>0.25369999999999998</v>
      </c>
      <c r="I375">
        <f>Final_Dataset!P346</f>
        <v>41</v>
      </c>
      <c r="J375" s="54">
        <f t="shared" si="26"/>
        <v>61.767441860465119</v>
      </c>
      <c r="K375" s="54">
        <f t="shared" si="27"/>
        <v>24.6323801696856</v>
      </c>
      <c r="L375" s="55">
        <f t="shared" si="28"/>
        <v>-0.84309521521688124</v>
      </c>
      <c r="M375" t="str">
        <f t="shared" si="29"/>
        <v/>
      </c>
    </row>
    <row r="376" spans="1:13" x14ac:dyDescent="0.2">
      <c r="A376">
        <f>Final_Dataset!A347</f>
        <v>346</v>
      </c>
      <c r="B376" s="53">
        <f>Final_Dataset!B347</f>
        <v>40558</v>
      </c>
      <c r="C376">
        <f>Final_Dataset!F347</f>
        <v>21</v>
      </c>
      <c r="D376" t="str">
        <f>Final_Dataset!T347</f>
        <v>Sat</v>
      </c>
      <c r="E376" t="str">
        <f>Final_Dataset!X347</f>
        <v>Cloudy/Mist</v>
      </c>
      <c r="F376">
        <f>Final_Dataset!J347</f>
        <v>0.32</v>
      </c>
      <c r="G376">
        <f>Final_Dataset!L347</f>
        <v>0.39</v>
      </c>
      <c r="H376">
        <f>Final_Dataset!M347</f>
        <v>0.22389999999999999</v>
      </c>
      <c r="I376">
        <f>Final_Dataset!P347</f>
        <v>57</v>
      </c>
      <c r="J376" s="54">
        <f t="shared" si="26"/>
        <v>46.418604651162788</v>
      </c>
      <c r="K376" s="54">
        <f t="shared" si="27"/>
        <v>14.656759464719499</v>
      </c>
      <c r="L376" s="55">
        <f t="shared" si="28"/>
        <v>0.72194644213871717</v>
      </c>
      <c r="M376" t="str">
        <f t="shared" si="29"/>
        <v/>
      </c>
    </row>
    <row r="377" spans="1:13" x14ac:dyDescent="0.2">
      <c r="A377">
        <f>Final_Dataset!A348</f>
        <v>347</v>
      </c>
      <c r="B377" s="53">
        <f>Final_Dataset!B348</f>
        <v>40558</v>
      </c>
      <c r="C377">
        <f>Final_Dataset!F348</f>
        <v>22</v>
      </c>
      <c r="D377" t="str">
        <f>Final_Dataset!T348</f>
        <v>Sat</v>
      </c>
      <c r="E377" t="str">
        <f>Final_Dataset!X348</f>
        <v>Cloudy/Mist</v>
      </c>
      <c r="F377">
        <f>Final_Dataset!J348</f>
        <v>0.3</v>
      </c>
      <c r="G377">
        <f>Final_Dataset!L348</f>
        <v>0.42</v>
      </c>
      <c r="H377">
        <f>Final_Dataset!M348</f>
        <v>0.1045</v>
      </c>
      <c r="I377">
        <f>Final_Dataset!P348</f>
        <v>26</v>
      </c>
      <c r="J377" s="54">
        <f t="shared" si="26"/>
        <v>35.069767441860463</v>
      </c>
      <c r="K377" s="54">
        <f t="shared" si="27"/>
        <v>11.95506537162667</v>
      </c>
      <c r="L377" s="55">
        <f t="shared" si="28"/>
        <v>-0.75865477602372844</v>
      </c>
      <c r="M377" t="str">
        <f t="shared" si="29"/>
        <v/>
      </c>
    </row>
    <row r="378" spans="1:13" x14ac:dyDescent="0.2">
      <c r="A378">
        <f>Final_Dataset!A349</f>
        <v>348</v>
      </c>
      <c r="B378" s="53">
        <f>Final_Dataset!B349</f>
        <v>40558</v>
      </c>
      <c r="C378">
        <f>Final_Dataset!F349</f>
        <v>23</v>
      </c>
      <c r="D378" t="str">
        <f>Final_Dataset!T349</f>
        <v>Sat</v>
      </c>
      <c r="E378" t="str">
        <f>Final_Dataset!X349</f>
        <v>Clear</v>
      </c>
      <c r="F378">
        <f>Final_Dataset!J349</f>
        <v>0.3</v>
      </c>
      <c r="G378">
        <f>Final_Dataset!L349</f>
        <v>0.45</v>
      </c>
      <c r="H378">
        <f>Final_Dataset!M349</f>
        <v>0.28360000000000002</v>
      </c>
      <c r="I378">
        <f>Final_Dataset!P349</f>
        <v>44</v>
      </c>
      <c r="J378" s="54">
        <f t="shared" si="26"/>
        <v>25.186046511627907</v>
      </c>
      <c r="K378" s="54">
        <f t="shared" si="27"/>
        <v>11.751911321656186</v>
      </c>
      <c r="L378" s="55">
        <f t="shared" si="28"/>
        <v>1.6009271150389059</v>
      </c>
      <c r="M378" t="str">
        <f t="shared" si="29"/>
        <v/>
      </c>
    </row>
    <row r="379" spans="1:13" x14ac:dyDescent="0.2">
      <c r="A379">
        <f>Final_Dataset!A350</f>
        <v>349</v>
      </c>
      <c r="B379" s="53">
        <f>Final_Dataset!B350</f>
        <v>40559</v>
      </c>
      <c r="C379">
        <f>Final_Dataset!F350</f>
        <v>0</v>
      </c>
      <c r="D379" t="str">
        <f>Final_Dataset!T350</f>
        <v>Sun</v>
      </c>
      <c r="E379" t="str">
        <f>Final_Dataset!X350</f>
        <v>Clear</v>
      </c>
      <c r="F379">
        <f>Final_Dataset!J350</f>
        <v>0.26</v>
      </c>
      <c r="G379">
        <f>Final_Dataset!L350</f>
        <v>0.56000000000000005</v>
      </c>
      <c r="H379">
        <f>Final_Dataset!M350</f>
        <v>0</v>
      </c>
      <c r="I379">
        <f>Final_Dataset!P350</f>
        <v>39</v>
      </c>
      <c r="J379" s="54">
        <f t="shared" si="26"/>
        <v>16.348837209302324</v>
      </c>
      <c r="K379" s="54">
        <f t="shared" si="27"/>
        <v>10.442321674276208</v>
      </c>
      <c r="L379" s="55">
        <f t="shared" si="28"/>
        <v>2.1691692228268482</v>
      </c>
      <c r="M379" t="str">
        <f t="shared" si="29"/>
        <v/>
      </c>
    </row>
    <row r="380" spans="1:13" x14ac:dyDescent="0.2">
      <c r="A380">
        <f>Final_Dataset!A351</f>
        <v>350</v>
      </c>
      <c r="B380" s="53">
        <f>Final_Dataset!B351</f>
        <v>40559</v>
      </c>
      <c r="C380">
        <f>Final_Dataset!F351</f>
        <v>1</v>
      </c>
      <c r="D380" t="str">
        <f>Final_Dataset!T351</f>
        <v>Sun</v>
      </c>
      <c r="E380" t="str">
        <f>Final_Dataset!X351</f>
        <v>Clear</v>
      </c>
      <c r="F380">
        <f>Final_Dataset!J351</f>
        <v>0.26</v>
      </c>
      <c r="G380">
        <f>Final_Dataset!L351</f>
        <v>0.56000000000000005</v>
      </c>
      <c r="H380">
        <f>Final_Dataset!M351</f>
        <v>0.1343</v>
      </c>
      <c r="I380">
        <f>Final_Dataset!P351</f>
        <v>23</v>
      </c>
      <c r="J380" s="54">
        <f t="shared" si="26"/>
        <v>10.697674418604651</v>
      </c>
      <c r="K380" s="54">
        <f t="shared" si="27"/>
        <v>10.060613641515801</v>
      </c>
      <c r="L380" s="55">
        <f t="shared" si="28"/>
        <v>1.2228205972078059</v>
      </c>
      <c r="M380" t="str">
        <f t="shared" si="29"/>
        <v/>
      </c>
    </row>
    <row r="381" spans="1:13" x14ac:dyDescent="0.2">
      <c r="A381">
        <f>Final_Dataset!A352</f>
        <v>351</v>
      </c>
      <c r="B381" s="53">
        <f>Final_Dataset!B352</f>
        <v>40559</v>
      </c>
      <c r="C381">
        <f>Final_Dataset!F352</f>
        <v>2</v>
      </c>
      <c r="D381" t="str">
        <f>Final_Dataset!T352</f>
        <v>Sun</v>
      </c>
      <c r="E381" t="str">
        <f>Final_Dataset!X352</f>
        <v>Clear</v>
      </c>
      <c r="F381">
        <f>Final_Dataset!J352</f>
        <v>0.26</v>
      </c>
      <c r="G381">
        <f>Final_Dataset!L352</f>
        <v>0.56000000000000005</v>
      </c>
      <c r="H381">
        <f>Final_Dataset!M352</f>
        <v>8.9599999999999999E-2</v>
      </c>
      <c r="I381">
        <f>Final_Dataset!P352</f>
        <v>16</v>
      </c>
      <c r="J381" s="54">
        <f t="shared" si="26"/>
        <v>7.1707317073170733</v>
      </c>
      <c r="K381" s="54">
        <f t="shared" si="27"/>
        <v>7.3685223723090862</v>
      </c>
      <c r="L381" s="55">
        <f t="shared" si="28"/>
        <v>1.1982413632702431</v>
      </c>
      <c r="M381" t="str">
        <f t="shared" si="29"/>
        <v/>
      </c>
    </row>
    <row r="382" spans="1:13" x14ac:dyDescent="0.2">
      <c r="A382">
        <f>Final_Dataset!A353</f>
        <v>352</v>
      </c>
      <c r="B382" s="53">
        <f>Final_Dataset!B353</f>
        <v>40559</v>
      </c>
      <c r="C382">
        <f>Final_Dataset!F353</f>
        <v>3</v>
      </c>
      <c r="D382" t="str">
        <f>Final_Dataset!T353</f>
        <v>Sun</v>
      </c>
      <c r="E382" t="str">
        <f>Final_Dataset!X353</f>
        <v>Clear</v>
      </c>
      <c r="F382">
        <f>Final_Dataset!J353</f>
        <v>0.22</v>
      </c>
      <c r="G382">
        <f>Final_Dataset!L353</f>
        <v>0.69</v>
      </c>
      <c r="H382">
        <f>Final_Dataset!M353</f>
        <v>0</v>
      </c>
      <c r="I382">
        <f>Final_Dataset!P353</f>
        <v>15</v>
      </c>
      <c r="J382" s="54">
        <f t="shared" si="26"/>
        <v>4.870967741935484</v>
      </c>
      <c r="K382" s="54">
        <f t="shared" si="27"/>
        <v>4.4702120418303126</v>
      </c>
      <c r="L382" s="55">
        <f t="shared" si="28"/>
        <v>2.2658952558136862</v>
      </c>
      <c r="M382" t="str">
        <f t="shared" si="29"/>
        <v/>
      </c>
    </row>
    <row r="383" spans="1:13" x14ac:dyDescent="0.2">
      <c r="A383">
        <f>Final_Dataset!A354</f>
        <v>353</v>
      </c>
      <c r="B383" s="53">
        <f>Final_Dataset!B354</f>
        <v>40559</v>
      </c>
      <c r="C383">
        <f>Final_Dataset!F354</f>
        <v>4</v>
      </c>
      <c r="D383" t="str">
        <f>Final_Dataset!T354</f>
        <v>Sun</v>
      </c>
      <c r="E383" t="str">
        <f>Final_Dataset!X354</f>
        <v>Clear</v>
      </c>
      <c r="F383">
        <f>Final_Dataset!J354</f>
        <v>0.26</v>
      </c>
      <c r="G383">
        <f>Final_Dataset!L354</f>
        <v>0.56000000000000005</v>
      </c>
      <c r="H383">
        <f>Final_Dataset!M354</f>
        <v>0.16420000000000001</v>
      </c>
      <c r="I383">
        <f>Final_Dataset!P354</f>
        <v>1</v>
      </c>
      <c r="J383" s="54">
        <f t="shared" si="26"/>
        <v>2.15625</v>
      </c>
      <c r="K383" s="54">
        <f t="shared" si="27"/>
        <v>1.5263148747143209</v>
      </c>
      <c r="L383" s="55">
        <f t="shared" si="28"/>
        <v>-0.75754355746314428</v>
      </c>
      <c r="M383" t="str">
        <f t="shared" si="29"/>
        <v/>
      </c>
    </row>
    <row r="384" spans="1:13" x14ac:dyDescent="0.2">
      <c r="A384">
        <f>Final_Dataset!A355</f>
        <v>354</v>
      </c>
      <c r="B384" s="53">
        <f>Final_Dataset!B355</f>
        <v>40559</v>
      </c>
      <c r="C384">
        <f>Final_Dataset!F355</f>
        <v>5</v>
      </c>
      <c r="D384" t="str">
        <f>Final_Dataset!T355</f>
        <v>Sun</v>
      </c>
      <c r="E384" t="str">
        <f>Final_Dataset!X355</f>
        <v>Cloudy/Mist</v>
      </c>
      <c r="F384">
        <f>Final_Dataset!J355</f>
        <v>0.26</v>
      </c>
      <c r="G384">
        <f>Final_Dataset!L355</f>
        <v>0.56000000000000005</v>
      </c>
      <c r="H384">
        <f>Final_Dataset!M355</f>
        <v>0.16420000000000001</v>
      </c>
      <c r="I384">
        <f>Final_Dataset!P355</f>
        <v>2</v>
      </c>
      <c r="J384" s="54">
        <f t="shared" si="26"/>
        <v>4.2051282051282053</v>
      </c>
      <c r="K384" s="54">
        <f t="shared" si="27"/>
        <v>2.5358429220352288</v>
      </c>
      <c r="L384" s="55">
        <f t="shared" si="28"/>
        <v>-0.86958391072519714</v>
      </c>
      <c r="M384" t="str">
        <f t="shared" si="29"/>
        <v/>
      </c>
    </row>
    <row r="385" spans="1:13" x14ac:dyDescent="0.2">
      <c r="A385">
        <f>Final_Dataset!A356</f>
        <v>355</v>
      </c>
      <c r="B385" s="53">
        <f>Final_Dataset!B356</f>
        <v>40559</v>
      </c>
      <c r="C385">
        <f>Final_Dataset!F356</f>
        <v>6</v>
      </c>
      <c r="D385" t="str">
        <f>Final_Dataset!T356</f>
        <v>Sun</v>
      </c>
      <c r="E385" t="str">
        <f>Final_Dataset!X356</f>
        <v>Cloudy/Mist</v>
      </c>
      <c r="F385">
        <f>Final_Dataset!J356</f>
        <v>0.26</v>
      </c>
      <c r="G385">
        <f>Final_Dataset!L356</f>
        <v>0.56000000000000005</v>
      </c>
      <c r="H385">
        <f>Final_Dataset!M356</f>
        <v>0.16420000000000001</v>
      </c>
      <c r="I385">
        <f>Final_Dataset!P356</f>
        <v>1</v>
      </c>
      <c r="J385" s="54">
        <f t="shared" si="26"/>
        <v>19.571428571428573</v>
      </c>
      <c r="K385" s="54">
        <f t="shared" si="27"/>
        <v>14.202615453298934</v>
      </c>
      <c r="L385" s="55">
        <f t="shared" si="28"/>
        <v>-1.3076062386181742</v>
      </c>
      <c r="M385" t="str">
        <f t="shared" si="29"/>
        <v/>
      </c>
    </row>
    <row r="386" spans="1:13" x14ac:dyDescent="0.2">
      <c r="A386">
        <f>Final_Dataset!A357</f>
        <v>356</v>
      </c>
      <c r="B386" s="53">
        <f>Final_Dataset!B357</f>
        <v>40559</v>
      </c>
      <c r="C386">
        <f>Final_Dataset!F357</f>
        <v>7</v>
      </c>
      <c r="D386" t="str">
        <f>Final_Dataset!T357</f>
        <v>Sun</v>
      </c>
      <c r="E386" t="str">
        <f>Final_Dataset!X357</f>
        <v>Cloudy/Mist</v>
      </c>
      <c r="F386">
        <f>Final_Dataset!J357</f>
        <v>0.24</v>
      </c>
      <c r="G386">
        <f>Final_Dataset!L357</f>
        <v>0.56000000000000005</v>
      </c>
      <c r="H386">
        <f>Final_Dataset!M357</f>
        <v>0.29849999999999999</v>
      </c>
      <c r="I386">
        <f>Final_Dataset!P357</f>
        <v>3</v>
      </c>
      <c r="J386" s="54">
        <f t="shared" si="26"/>
        <v>54.395348837209305</v>
      </c>
      <c r="K386" s="54">
        <f t="shared" si="27"/>
        <v>39.112864486352777</v>
      </c>
      <c r="L386" s="55">
        <f t="shared" si="28"/>
        <v>-1.3140267150502905</v>
      </c>
      <c r="M386" t="str">
        <f t="shared" si="29"/>
        <v/>
      </c>
    </row>
    <row r="387" spans="1:13" x14ac:dyDescent="0.2">
      <c r="A387">
        <f>Final_Dataset!A358</f>
        <v>357</v>
      </c>
      <c r="B387" s="53">
        <f>Final_Dataset!B358</f>
        <v>40559</v>
      </c>
      <c r="C387">
        <f>Final_Dataset!F358</f>
        <v>8</v>
      </c>
      <c r="D387" t="str">
        <f>Final_Dataset!T358</f>
        <v>Sun</v>
      </c>
      <c r="E387" t="str">
        <f>Final_Dataset!X358</f>
        <v>Clear</v>
      </c>
      <c r="F387">
        <f>Final_Dataset!J358</f>
        <v>0.22</v>
      </c>
      <c r="G387">
        <f>Final_Dataset!L358</f>
        <v>0.55000000000000004</v>
      </c>
      <c r="H387">
        <f>Final_Dataset!M358</f>
        <v>0.28360000000000002</v>
      </c>
      <c r="I387">
        <f>Final_Dataset!P358</f>
        <v>18</v>
      </c>
      <c r="J387" s="54">
        <f t="shared" si="26"/>
        <v>128.28571428571428</v>
      </c>
      <c r="K387" s="54">
        <f t="shared" si="27"/>
        <v>88.551565717048533</v>
      </c>
      <c r="L387" s="55">
        <f t="shared" si="28"/>
        <v>-1.2454405903799999</v>
      </c>
      <c r="M387" t="str">
        <f t="shared" si="29"/>
        <v/>
      </c>
    </row>
    <row r="388" spans="1:13" x14ac:dyDescent="0.2">
      <c r="A388">
        <f>Final_Dataset!A359</f>
        <v>358</v>
      </c>
      <c r="B388" s="53">
        <f>Final_Dataset!B359</f>
        <v>40559</v>
      </c>
      <c r="C388">
        <f>Final_Dataset!F359</f>
        <v>9</v>
      </c>
      <c r="D388" t="str">
        <f>Final_Dataset!T359</f>
        <v>Sun</v>
      </c>
      <c r="E388" t="str">
        <f>Final_Dataset!X359</f>
        <v>Clear</v>
      </c>
      <c r="F388">
        <f>Final_Dataset!J359</f>
        <v>0.22</v>
      </c>
      <c r="G388">
        <f>Final_Dataset!L359</f>
        <v>0.51</v>
      </c>
      <c r="H388">
        <f>Final_Dataset!M359</f>
        <v>0.25369999999999998</v>
      </c>
      <c r="I388">
        <f>Final_Dataset!P359</f>
        <v>32</v>
      </c>
      <c r="J388" s="54">
        <f t="shared" si="26"/>
        <v>87.428571428571431</v>
      </c>
      <c r="K388" s="54">
        <f t="shared" si="27"/>
        <v>45.93852884078624</v>
      </c>
      <c r="L388" s="55">
        <f t="shared" si="28"/>
        <v>-1.206581334388739</v>
      </c>
      <c r="M388" t="str">
        <f t="shared" si="29"/>
        <v/>
      </c>
    </row>
    <row r="389" spans="1:13" x14ac:dyDescent="0.2">
      <c r="A389">
        <f>Final_Dataset!A360</f>
        <v>359</v>
      </c>
      <c r="B389" s="53">
        <f>Final_Dataset!B360</f>
        <v>40559</v>
      </c>
      <c r="C389">
        <f>Final_Dataset!F360</f>
        <v>10</v>
      </c>
      <c r="D389" t="str">
        <f>Final_Dataset!T360</f>
        <v>Sun</v>
      </c>
      <c r="E389" t="str">
        <f>Final_Dataset!X360</f>
        <v>Clear</v>
      </c>
      <c r="F389">
        <f>Final_Dataset!J360</f>
        <v>0.22</v>
      </c>
      <c r="G389">
        <f>Final_Dataset!L360</f>
        <v>0.51</v>
      </c>
      <c r="H389">
        <f>Final_Dataset!M360</f>
        <v>0.28360000000000002</v>
      </c>
      <c r="I389">
        <f>Final_Dataset!P360</f>
        <v>79</v>
      </c>
      <c r="J389" s="54">
        <f t="shared" si="26"/>
        <v>53.642857142857146</v>
      </c>
      <c r="K389" s="54">
        <f t="shared" si="27"/>
        <v>15.395313554536934</v>
      </c>
      <c r="L389" s="55">
        <f t="shared" si="28"/>
        <v>1.6470689451901557</v>
      </c>
      <c r="M389" t="str">
        <f t="shared" si="29"/>
        <v/>
      </c>
    </row>
    <row r="390" spans="1:13" x14ac:dyDescent="0.2">
      <c r="A390">
        <f>Final_Dataset!A361</f>
        <v>360</v>
      </c>
      <c r="B390" s="53">
        <f>Final_Dataset!B361</f>
        <v>40559</v>
      </c>
      <c r="C390">
        <f>Final_Dataset!F361</f>
        <v>11</v>
      </c>
      <c r="D390" t="str">
        <f>Final_Dataset!T361</f>
        <v>Sun</v>
      </c>
      <c r="E390" t="str">
        <f>Final_Dataset!X361</f>
        <v>Clear</v>
      </c>
      <c r="F390">
        <f>Final_Dataset!J361</f>
        <v>0.24</v>
      </c>
      <c r="G390">
        <f>Final_Dataset!L361</f>
        <v>0.44</v>
      </c>
      <c r="H390">
        <f>Final_Dataset!M361</f>
        <v>0.25369999999999998</v>
      </c>
      <c r="I390">
        <f>Final_Dataset!P361</f>
        <v>93</v>
      </c>
      <c r="J390" s="54">
        <f t="shared" si="26"/>
        <v>59.38095238095238</v>
      </c>
      <c r="K390" s="54">
        <f t="shared" si="27"/>
        <v>20.89573696860419</v>
      </c>
      <c r="L390" s="55">
        <f t="shared" si="28"/>
        <v>1.6088950425419397</v>
      </c>
      <c r="M390" t="str">
        <f t="shared" si="29"/>
        <v/>
      </c>
    </row>
    <row r="391" spans="1:13" x14ac:dyDescent="0.2">
      <c r="A391">
        <f>Final_Dataset!A362</f>
        <v>361</v>
      </c>
      <c r="B391" s="53">
        <f>Final_Dataset!B362</f>
        <v>40559</v>
      </c>
      <c r="C391">
        <f>Final_Dataset!F362</f>
        <v>12</v>
      </c>
      <c r="D391" t="str">
        <f>Final_Dataset!T362</f>
        <v>Sun</v>
      </c>
      <c r="E391" t="str">
        <f>Final_Dataset!X362</f>
        <v>Clear</v>
      </c>
      <c r="F391">
        <f>Final_Dataset!J362</f>
        <v>0.24</v>
      </c>
      <c r="G391">
        <f>Final_Dataset!L362</f>
        <v>0.41</v>
      </c>
      <c r="H391">
        <f>Final_Dataset!M362</f>
        <v>0.28360000000000002</v>
      </c>
      <c r="I391">
        <f>Final_Dataset!P362</f>
        <v>104</v>
      </c>
      <c r="J391" s="54">
        <f t="shared" si="26"/>
        <v>76.348837209302332</v>
      </c>
      <c r="K391" s="54">
        <f t="shared" si="27"/>
        <v>29.034366927857057</v>
      </c>
      <c r="L391" s="55">
        <f t="shared" si="28"/>
        <v>0.95235976246369358</v>
      </c>
      <c r="M391" t="str">
        <f t="shared" si="29"/>
        <v/>
      </c>
    </row>
    <row r="392" spans="1:13" x14ac:dyDescent="0.2">
      <c r="A392">
        <f>Final_Dataset!A363</f>
        <v>362</v>
      </c>
      <c r="B392" s="53">
        <f>Final_Dataset!B363</f>
        <v>40559</v>
      </c>
      <c r="C392">
        <f>Final_Dataset!F363</f>
        <v>13</v>
      </c>
      <c r="D392" t="str">
        <f>Final_Dataset!T363</f>
        <v>Sun</v>
      </c>
      <c r="E392" t="str">
        <f>Final_Dataset!X363</f>
        <v>Clear</v>
      </c>
      <c r="F392">
        <f>Final_Dataset!J363</f>
        <v>0.26</v>
      </c>
      <c r="G392">
        <f>Final_Dataset!L363</f>
        <v>0.35</v>
      </c>
      <c r="H392">
        <f>Final_Dataset!M363</f>
        <v>0.29849999999999999</v>
      </c>
      <c r="I392">
        <f>Final_Dataset!P363</f>
        <v>118</v>
      </c>
      <c r="J392" s="54">
        <f t="shared" si="26"/>
        <v>78.511627906976742</v>
      </c>
      <c r="K392" s="54">
        <f t="shared" si="27"/>
        <v>30.072430098825173</v>
      </c>
      <c r="L392" s="55">
        <f t="shared" si="28"/>
        <v>1.3131087831364161</v>
      </c>
      <c r="M392" t="str">
        <f t="shared" si="29"/>
        <v/>
      </c>
    </row>
    <row r="393" spans="1:13" x14ac:dyDescent="0.2">
      <c r="A393">
        <f>Final_Dataset!A364</f>
        <v>363</v>
      </c>
      <c r="B393" s="53">
        <f>Final_Dataset!B364</f>
        <v>40559</v>
      </c>
      <c r="C393">
        <f>Final_Dataset!F364</f>
        <v>14</v>
      </c>
      <c r="D393" t="str">
        <f>Final_Dataset!T364</f>
        <v>Sun</v>
      </c>
      <c r="E393" t="str">
        <f>Final_Dataset!X364</f>
        <v>Clear</v>
      </c>
      <c r="F393">
        <f>Final_Dataset!J364</f>
        <v>0.28000000000000003</v>
      </c>
      <c r="G393">
        <f>Final_Dataset!L364</f>
        <v>0.36</v>
      </c>
      <c r="H393">
        <f>Final_Dataset!M364</f>
        <v>0.25369999999999998</v>
      </c>
      <c r="I393">
        <f>Final_Dataset!P364</f>
        <v>91</v>
      </c>
      <c r="J393" s="54">
        <f t="shared" si="26"/>
        <v>74.418604651162795</v>
      </c>
      <c r="K393" s="54">
        <f t="shared" si="27"/>
        <v>30.305769180565147</v>
      </c>
      <c r="L393" s="55">
        <f t="shared" si="28"/>
        <v>0.54713659468741427</v>
      </c>
      <c r="M393" t="str">
        <f t="shared" si="29"/>
        <v/>
      </c>
    </row>
    <row r="394" spans="1:13" x14ac:dyDescent="0.2">
      <c r="A394">
        <f>Final_Dataset!A365</f>
        <v>364</v>
      </c>
      <c r="B394" s="53">
        <f>Final_Dataset!B365</f>
        <v>40559</v>
      </c>
      <c r="C394">
        <f>Final_Dataset!F365</f>
        <v>15</v>
      </c>
      <c r="D394" t="str">
        <f>Final_Dataset!T365</f>
        <v>Sun</v>
      </c>
      <c r="E394" t="str">
        <f>Final_Dataset!X365</f>
        <v>Clear</v>
      </c>
      <c r="F394">
        <f>Final_Dataset!J365</f>
        <v>0.26</v>
      </c>
      <c r="G394">
        <f>Final_Dataset!L365</f>
        <v>0.38</v>
      </c>
      <c r="H394">
        <f>Final_Dataset!M365</f>
        <v>0.25369999999999998</v>
      </c>
      <c r="I394">
        <f>Final_Dataset!P365</f>
        <v>113</v>
      </c>
      <c r="J394" s="54">
        <f t="shared" si="26"/>
        <v>77.95348837209302</v>
      </c>
      <c r="K394" s="54">
        <f t="shared" si="27"/>
        <v>34.481156681772681</v>
      </c>
      <c r="L394" s="55">
        <f t="shared" si="28"/>
        <v>1.0163960551367801</v>
      </c>
      <c r="M394" t="str">
        <f t="shared" si="29"/>
        <v/>
      </c>
    </row>
    <row r="395" spans="1:13" x14ac:dyDescent="0.2">
      <c r="A395">
        <f>Final_Dataset!A366</f>
        <v>365</v>
      </c>
      <c r="B395" s="53">
        <f>Final_Dataset!B366</f>
        <v>40559</v>
      </c>
      <c r="C395">
        <f>Final_Dataset!F366</f>
        <v>16</v>
      </c>
      <c r="D395" t="str">
        <f>Final_Dataset!T366</f>
        <v>Sun</v>
      </c>
      <c r="E395" t="str">
        <f>Final_Dataset!X366</f>
        <v>Clear</v>
      </c>
      <c r="F395">
        <f>Final_Dataset!J366</f>
        <v>0.24</v>
      </c>
      <c r="G395">
        <f>Final_Dataset!L366</f>
        <v>0.38</v>
      </c>
      <c r="H395">
        <f>Final_Dataset!M366</f>
        <v>0.22389999999999999</v>
      </c>
      <c r="I395">
        <f>Final_Dataset!P366</f>
        <v>99</v>
      </c>
      <c r="J395" s="54">
        <f t="shared" si="26"/>
        <v>89.272727272727266</v>
      </c>
      <c r="K395" s="54">
        <f t="shared" si="27"/>
        <v>25.461657115880747</v>
      </c>
      <c r="L395" s="55">
        <f t="shared" si="28"/>
        <v>0.38203612133342707</v>
      </c>
      <c r="M395" t="str">
        <f t="shared" si="29"/>
        <v/>
      </c>
    </row>
    <row r="396" spans="1:13" x14ac:dyDescent="0.2">
      <c r="A396">
        <f>Final_Dataset!A367</f>
        <v>366</v>
      </c>
      <c r="B396" s="53">
        <f>Final_Dataset!B367</f>
        <v>40559</v>
      </c>
      <c r="C396">
        <f>Final_Dataset!F367</f>
        <v>17</v>
      </c>
      <c r="D396" t="str">
        <f>Final_Dataset!T367</f>
        <v>Sun</v>
      </c>
      <c r="E396" t="str">
        <f>Final_Dataset!X367</f>
        <v>Clear</v>
      </c>
      <c r="F396">
        <f>Final_Dataset!J367</f>
        <v>0.22</v>
      </c>
      <c r="G396">
        <f>Final_Dataset!L367</f>
        <v>0.37</v>
      </c>
      <c r="H396">
        <f>Final_Dataset!M367</f>
        <v>0.25369999999999998</v>
      </c>
      <c r="I396">
        <f>Final_Dataset!P367</f>
        <v>105</v>
      </c>
      <c r="J396" s="54">
        <f t="shared" si="26"/>
        <v>140.20454545454547</v>
      </c>
      <c r="K396" s="54">
        <f t="shared" si="27"/>
        <v>54.067391000084569</v>
      </c>
      <c r="L396" s="55">
        <f t="shared" si="28"/>
        <v>-0.65112343694354335</v>
      </c>
      <c r="M396" t="str">
        <f t="shared" si="29"/>
        <v/>
      </c>
    </row>
    <row r="397" spans="1:13" x14ac:dyDescent="0.2">
      <c r="A397">
        <f>Final_Dataset!A368</f>
        <v>367</v>
      </c>
      <c r="B397" s="53">
        <f>Final_Dataset!B368</f>
        <v>40559</v>
      </c>
      <c r="C397">
        <f>Final_Dataset!F368</f>
        <v>18</v>
      </c>
      <c r="D397" t="str">
        <f>Final_Dataset!T368</f>
        <v>Sun</v>
      </c>
      <c r="E397" t="str">
        <f>Final_Dataset!X368</f>
        <v>Clear</v>
      </c>
      <c r="F397">
        <f>Final_Dataset!J368</f>
        <v>0.2</v>
      </c>
      <c r="G397">
        <f>Final_Dataset!L368</f>
        <v>0.4</v>
      </c>
      <c r="H397">
        <f>Final_Dataset!M368</f>
        <v>0.16420000000000001</v>
      </c>
      <c r="I397">
        <f>Final_Dataset!P368</f>
        <v>67</v>
      </c>
      <c r="J397" s="54">
        <f t="shared" si="26"/>
        <v>122.86046511627907</v>
      </c>
      <c r="K397" s="54">
        <f t="shared" si="27"/>
        <v>48.613432101949947</v>
      </c>
      <c r="L397" s="55">
        <f t="shared" si="28"/>
        <v>-1.1490747042737277</v>
      </c>
      <c r="M397" t="str">
        <f t="shared" si="29"/>
        <v/>
      </c>
    </row>
    <row r="398" spans="1:13" x14ac:dyDescent="0.2">
      <c r="A398">
        <f>Final_Dataset!A369</f>
        <v>368</v>
      </c>
      <c r="B398" s="53">
        <f>Final_Dataset!B369</f>
        <v>40559</v>
      </c>
      <c r="C398">
        <f>Final_Dataset!F369</f>
        <v>19</v>
      </c>
      <c r="D398" t="str">
        <f>Final_Dataset!T369</f>
        <v>Sun</v>
      </c>
      <c r="E398" t="str">
        <f>Final_Dataset!X369</f>
        <v>Clear</v>
      </c>
      <c r="F398">
        <f>Final_Dataset!J369</f>
        <v>0.18</v>
      </c>
      <c r="G398">
        <f>Final_Dataset!L369</f>
        <v>0.47</v>
      </c>
      <c r="H398">
        <f>Final_Dataset!M369</f>
        <v>0.1343</v>
      </c>
      <c r="I398">
        <f>Final_Dataset!P369</f>
        <v>61</v>
      </c>
      <c r="J398" s="54">
        <f t="shared" si="26"/>
        <v>85.139534883720927</v>
      </c>
      <c r="K398" s="54">
        <f t="shared" si="27"/>
        <v>31.690904054294759</v>
      </c>
      <c r="L398" s="55">
        <f t="shared" si="28"/>
        <v>-0.76171808927771911</v>
      </c>
      <c r="M398" t="str">
        <f t="shared" si="29"/>
        <v/>
      </c>
    </row>
    <row r="399" spans="1:13" x14ac:dyDescent="0.2">
      <c r="A399">
        <f>Final_Dataset!A370</f>
        <v>369</v>
      </c>
      <c r="B399" s="53">
        <f>Final_Dataset!B370</f>
        <v>40559</v>
      </c>
      <c r="C399">
        <f>Final_Dataset!F370</f>
        <v>20</v>
      </c>
      <c r="D399" t="str">
        <f>Final_Dataset!T370</f>
        <v>Sun</v>
      </c>
      <c r="E399" t="str">
        <f>Final_Dataset!X370</f>
        <v>Clear</v>
      </c>
      <c r="F399">
        <f>Final_Dataset!J370</f>
        <v>0.18</v>
      </c>
      <c r="G399">
        <f>Final_Dataset!L370</f>
        <v>0.47</v>
      </c>
      <c r="H399">
        <f>Final_Dataset!M370</f>
        <v>0.16420000000000001</v>
      </c>
      <c r="I399">
        <f>Final_Dataset!P370</f>
        <v>57</v>
      </c>
      <c r="J399" s="54">
        <f t="shared" si="26"/>
        <v>61.767441860465119</v>
      </c>
      <c r="K399" s="54">
        <f t="shared" si="27"/>
        <v>24.6323801696856</v>
      </c>
      <c r="L399" s="55">
        <f t="shared" si="28"/>
        <v>-0.1935436944226884</v>
      </c>
      <c r="M399" t="str">
        <f t="shared" si="29"/>
        <v/>
      </c>
    </row>
    <row r="400" spans="1:13" x14ac:dyDescent="0.2">
      <c r="A400">
        <f>Final_Dataset!A371</f>
        <v>370</v>
      </c>
      <c r="B400" s="53">
        <f>Final_Dataset!B371</f>
        <v>40559</v>
      </c>
      <c r="C400">
        <f>Final_Dataset!F371</f>
        <v>21</v>
      </c>
      <c r="D400" t="str">
        <f>Final_Dataset!T371</f>
        <v>Sun</v>
      </c>
      <c r="E400" t="str">
        <f>Final_Dataset!X371</f>
        <v>Clear</v>
      </c>
      <c r="F400">
        <f>Final_Dataset!J371</f>
        <v>0.18</v>
      </c>
      <c r="G400">
        <f>Final_Dataset!L371</f>
        <v>0.51</v>
      </c>
      <c r="H400">
        <f>Final_Dataset!M371</f>
        <v>0.16420000000000001</v>
      </c>
      <c r="I400">
        <f>Final_Dataset!P371</f>
        <v>28</v>
      </c>
      <c r="J400" s="54">
        <f t="shared" si="26"/>
        <v>46.418604651162788</v>
      </c>
      <c r="K400" s="54">
        <f t="shared" si="27"/>
        <v>14.656759464719499</v>
      </c>
      <c r="L400" s="55">
        <f t="shared" si="28"/>
        <v>-1.2566628179645358</v>
      </c>
      <c r="M400" t="str">
        <f t="shared" si="29"/>
        <v/>
      </c>
    </row>
    <row r="401" spans="1:13" x14ac:dyDescent="0.2">
      <c r="A401">
        <f>Final_Dataset!A372</f>
        <v>371</v>
      </c>
      <c r="B401" s="53">
        <f>Final_Dataset!B372</f>
        <v>40559</v>
      </c>
      <c r="C401">
        <f>Final_Dataset!F372</f>
        <v>22</v>
      </c>
      <c r="D401" t="str">
        <f>Final_Dataset!T372</f>
        <v>Sun</v>
      </c>
      <c r="E401" t="str">
        <f>Final_Dataset!X372</f>
        <v>Cloudy/Mist</v>
      </c>
      <c r="F401">
        <f>Final_Dataset!J372</f>
        <v>0.2</v>
      </c>
      <c r="G401">
        <f>Final_Dataset!L372</f>
        <v>0.49</v>
      </c>
      <c r="H401">
        <f>Final_Dataset!M372</f>
        <v>0.1343</v>
      </c>
      <c r="I401">
        <f>Final_Dataset!P372</f>
        <v>21</v>
      </c>
      <c r="J401" s="54">
        <f t="shared" si="26"/>
        <v>35.069767441860463</v>
      </c>
      <c r="K401" s="54">
        <f t="shared" si="27"/>
        <v>11.95506537162667</v>
      </c>
      <c r="L401" s="55">
        <f t="shared" si="28"/>
        <v>-1.1768875371650147</v>
      </c>
      <c r="M401" t="str">
        <f t="shared" si="29"/>
        <v/>
      </c>
    </row>
    <row r="402" spans="1:13" x14ac:dyDescent="0.2">
      <c r="A402">
        <f>Final_Dataset!A373</f>
        <v>372</v>
      </c>
      <c r="B402" s="53">
        <f>Final_Dataset!B373</f>
        <v>40559</v>
      </c>
      <c r="C402">
        <f>Final_Dataset!F373</f>
        <v>23</v>
      </c>
      <c r="D402" t="str">
        <f>Final_Dataset!T373</f>
        <v>Sun</v>
      </c>
      <c r="E402" t="str">
        <f>Final_Dataset!X373</f>
        <v>Cloudy/Mist</v>
      </c>
      <c r="F402">
        <f>Final_Dataset!J373</f>
        <v>0.2</v>
      </c>
      <c r="G402">
        <f>Final_Dataset!L373</f>
        <v>0.4</v>
      </c>
      <c r="H402">
        <f>Final_Dataset!M373</f>
        <v>0.1045</v>
      </c>
      <c r="I402">
        <f>Final_Dataset!P373</f>
        <v>18</v>
      </c>
      <c r="J402" s="54">
        <f t="shared" si="26"/>
        <v>25.186046511627907</v>
      </c>
      <c r="K402" s="54">
        <f t="shared" si="27"/>
        <v>11.751911321656186</v>
      </c>
      <c r="L402" s="55">
        <f t="shared" si="28"/>
        <v>-0.61147895988507039</v>
      </c>
      <c r="M402" t="str">
        <f t="shared" si="29"/>
        <v/>
      </c>
    </row>
    <row r="403" spans="1:13" x14ac:dyDescent="0.2">
      <c r="A403">
        <f>Final_Dataset!A374</f>
        <v>373</v>
      </c>
      <c r="B403" s="53">
        <f>Final_Dataset!B374</f>
        <v>40560</v>
      </c>
      <c r="C403">
        <f>Final_Dataset!F374</f>
        <v>0</v>
      </c>
      <c r="D403" t="str">
        <f>Final_Dataset!T374</f>
        <v>Mon</v>
      </c>
      <c r="E403" t="str">
        <f>Final_Dataset!X374</f>
        <v>Cloudy/Mist</v>
      </c>
      <c r="F403">
        <f>Final_Dataset!J374</f>
        <v>0.2</v>
      </c>
      <c r="G403">
        <f>Final_Dataset!L374</f>
        <v>0.47</v>
      </c>
      <c r="H403">
        <f>Final_Dataset!M374</f>
        <v>0.22389999999999999</v>
      </c>
      <c r="I403">
        <f>Final_Dataset!P374</f>
        <v>17</v>
      </c>
      <c r="J403" s="54">
        <f t="shared" si="26"/>
        <v>16.348837209302324</v>
      </c>
      <c r="K403" s="54">
        <f t="shared" si="27"/>
        <v>10.442321674276208</v>
      </c>
      <c r="L403" s="55">
        <f t="shared" si="28"/>
        <v>6.2358047473461867E-2</v>
      </c>
      <c r="M403" t="str">
        <f t="shared" si="29"/>
        <v/>
      </c>
    </row>
    <row r="404" spans="1:13" x14ac:dyDescent="0.2">
      <c r="A404">
        <f>Final_Dataset!A375</f>
        <v>374</v>
      </c>
      <c r="B404" s="53">
        <f>Final_Dataset!B375</f>
        <v>40560</v>
      </c>
      <c r="C404">
        <f>Final_Dataset!F375</f>
        <v>1</v>
      </c>
      <c r="D404" t="str">
        <f>Final_Dataset!T375</f>
        <v>Mon</v>
      </c>
      <c r="E404" t="str">
        <f>Final_Dataset!X375</f>
        <v>Cloudy/Mist</v>
      </c>
      <c r="F404">
        <f>Final_Dataset!J375</f>
        <v>0.2</v>
      </c>
      <c r="G404">
        <f>Final_Dataset!L375</f>
        <v>0.44</v>
      </c>
      <c r="H404">
        <f>Final_Dataset!M375</f>
        <v>0.19400000000000001</v>
      </c>
      <c r="I404">
        <f>Final_Dataset!P375</f>
        <v>16</v>
      </c>
      <c r="J404" s="54">
        <f t="shared" si="26"/>
        <v>10.697674418604651</v>
      </c>
      <c r="K404" s="54">
        <f t="shared" si="27"/>
        <v>10.060613641515801</v>
      </c>
      <c r="L404" s="55">
        <f t="shared" si="28"/>
        <v>0.52703798896669141</v>
      </c>
      <c r="M404" t="str">
        <f t="shared" si="29"/>
        <v/>
      </c>
    </row>
    <row r="405" spans="1:13" x14ac:dyDescent="0.2">
      <c r="A405">
        <f>Final_Dataset!A376</f>
        <v>375</v>
      </c>
      <c r="B405" s="53">
        <f>Final_Dataset!B376</f>
        <v>40560</v>
      </c>
      <c r="C405">
        <f>Final_Dataset!F376</f>
        <v>2</v>
      </c>
      <c r="D405" t="str">
        <f>Final_Dataset!T376</f>
        <v>Mon</v>
      </c>
      <c r="E405" t="str">
        <f>Final_Dataset!X376</f>
        <v>Cloudy/Mist</v>
      </c>
      <c r="F405">
        <f>Final_Dataset!J376</f>
        <v>0.18</v>
      </c>
      <c r="G405">
        <f>Final_Dataset!L376</f>
        <v>0.43</v>
      </c>
      <c r="H405">
        <f>Final_Dataset!M376</f>
        <v>0.25369999999999998</v>
      </c>
      <c r="I405">
        <f>Final_Dataset!P376</f>
        <v>8</v>
      </c>
      <c r="J405" s="54">
        <f t="shared" si="26"/>
        <v>7.1707317073170733</v>
      </c>
      <c r="K405" s="54">
        <f t="shared" si="27"/>
        <v>7.3685223723090862</v>
      </c>
      <c r="L405" s="55">
        <f t="shared" si="28"/>
        <v>0.11254200649499521</v>
      </c>
      <c r="M405" t="str">
        <f t="shared" si="29"/>
        <v/>
      </c>
    </row>
    <row r="406" spans="1:13" x14ac:dyDescent="0.2">
      <c r="A406">
        <f>Final_Dataset!A377</f>
        <v>376</v>
      </c>
      <c r="B406" s="53">
        <f>Final_Dataset!B377</f>
        <v>40560</v>
      </c>
      <c r="C406">
        <f>Final_Dataset!F377</f>
        <v>3</v>
      </c>
      <c r="D406" t="str">
        <f>Final_Dataset!T377</f>
        <v>Mon</v>
      </c>
      <c r="E406" t="str">
        <f>Final_Dataset!X377</f>
        <v>Cloudy/Mist</v>
      </c>
      <c r="F406">
        <f>Final_Dataset!J377</f>
        <v>0.18</v>
      </c>
      <c r="G406">
        <f>Final_Dataset!L377</f>
        <v>0.43</v>
      </c>
      <c r="H406">
        <f>Final_Dataset!M377</f>
        <v>0.19400000000000001</v>
      </c>
      <c r="I406">
        <f>Final_Dataset!P377</f>
        <v>2</v>
      </c>
      <c r="J406" s="54">
        <f t="shared" si="26"/>
        <v>4.870967741935484</v>
      </c>
      <c r="K406" s="54">
        <f t="shared" si="27"/>
        <v>4.4702120418303126</v>
      </c>
      <c r="L406" s="55">
        <f t="shared" si="28"/>
        <v>-0.64224419671152255</v>
      </c>
      <c r="M406" t="str">
        <f t="shared" si="29"/>
        <v/>
      </c>
    </row>
    <row r="407" spans="1:13" x14ac:dyDescent="0.2">
      <c r="A407">
        <f>Final_Dataset!A378</f>
        <v>377</v>
      </c>
      <c r="B407" s="53">
        <f>Final_Dataset!B378</f>
        <v>40560</v>
      </c>
      <c r="C407">
        <f>Final_Dataset!F378</f>
        <v>4</v>
      </c>
      <c r="D407" t="str">
        <f>Final_Dataset!T378</f>
        <v>Mon</v>
      </c>
      <c r="E407" t="str">
        <f>Final_Dataset!X378</f>
        <v>Cloudy/Mist</v>
      </c>
      <c r="F407">
        <f>Final_Dataset!J378</f>
        <v>0.18</v>
      </c>
      <c r="G407">
        <f>Final_Dataset!L378</f>
        <v>0.43</v>
      </c>
      <c r="H407">
        <f>Final_Dataset!M378</f>
        <v>0.1343</v>
      </c>
      <c r="I407">
        <f>Final_Dataset!P378</f>
        <v>3</v>
      </c>
      <c r="J407" s="54">
        <f t="shared" si="26"/>
        <v>2.15625</v>
      </c>
      <c r="K407" s="54">
        <f t="shared" si="27"/>
        <v>1.5263148747143209</v>
      </c>
      <c r="L407" s="55">
        <f t="shared" si="28"/>
        <v>0.55280205544607819</v>
      </c>
      <c r="M407" t="str">
        <f t="shared" si="29"/>
        <v/>
      </c>
    </row>
    <row r="408" spans="1:13" x14ac:dyDescent="0.2">
      <c r="A408">
        <f>Final_Dataset!A379</f>
        <v>378</v>
      </c>
      <c r="B408" s="53">
        <f>Final_Dataset!B379</f>
        <v>40560</v>
      </c>
      <c r="C408">
        <f>Final_Dataset!F379</f>
        <v>5</v>
      </c>
      <c r="D408" t="str">
        <f>Final_Dataset!T379</f>
        <v>Mon</v>
      </c>
      <c r="E408" t="str">
        <f>Final_Dataset!X379</f>
        <v>Cloudy/Mist</v>
      </c>
      <c r="F408">
        <f>Final_Dataset!J379</f>
        <v>0.18</v>
      </c>
      <c r="G408">
        <f>Final_Dataset!L379</f>
        <v>0.43</v>
      </c>
      <c r="H408">
        <f>Final_Dataset!M379</f>
        <v>0.16420000000000001</v>
      </c>
      <c r="I408">
        <f>Final_Dataset!P379</f>
        <v>1</v>
      </c>
      <c r="J408" s="54">
        <f t="shared" si="26"/>
        <v>4.2051282051282053</v>
      </c>
      <c r="K408" s="54">
        <f t="shared" si="27"/>
        <v>2.5358429220352288</v>
      </c>
      <c r="L408" s="55">
        <f t="shared" si="28"/>
        <v>-1.2639301027982515</v>
      </c>
      <c r="M408" t="str">
        <f t="shared" si="29"/>
        <v/>
      </c>
    </row>
    <row r="409" spans="1:13" x14ac:dyDescent="0.2">
      <c r="A409">
        <f>Final_Dataset!A380</f>
        <v>379</v>
      </c>
      <c r="B409" s="53">
        <f>Final_Dataset!B380</f>
        <v>40560</v>
      </c>
      <c r="C409">
        <f>Final_Dataset!F380</f>
        <v>6</v>
      </c>
      <c r="D409" t="str">
        <f>Final_Dataset!T380</f>
        <v>Mon</v>
      </c>
      <c r="E409" t="str">
        <f>Final_Dataset!X380</f>
        <v>Cloudy/Mist</v>
      </c>
      <c r="F409">
        <f>Final_Dataset!J380</f>
        <v>0.18</v>
      </c>
      <c r="G409">
        <f>Final_Dataset!L380</f>
        <v>0.43</v>
      </c>
      <c r="H409">
        <f>Final_Dataset!M380</f>
        <v>0.19400000000000001</v>
      </c>
      <c r="I409">
        <f>Final_Dataset!P380</f>
        <v>5</v>
      </c>
      <c r="J409" s="54">
        <f t="shared" si="26"/>
        <v>19.571428571428573</v>
      </c>
      <c r="K409" s="54">
        <f t="shared" si="27"/>
        <v>14.202615453298934</v>
      </c>
      <c r="L409" s="55">
        <f t="shared" si="28"/>
        <v>-1.025967971838875</v>
      </c>
      <c r="M409" t="str">
        <f t="shared" si="29"/>
        <v/>
      </c>
    </row>
    <row r="410" spans="1:13" x14ac:dyDescent="0.2">
      <c r="A410">
        <f>Final_Dataset!A381</f>
        <v>380</v>
      </c>
      <c r="B410" s="53">
        <f>Final_Dataset!B381</f>
        <v>40560</v>
      </c>
      <c r="C410">
        <f>Final_Dataset!F381</f>
        <v>7</v>
      </c>
      <c r="D410" t="str">
        <f>Final_Dataset!T381</f>
        <v>Mon</v>
      </c>
      <c r="E410" t="str">
        <f>Final_Dataset!X381</f>
        <v>Cloudy/Mist</v>
      </c>
      <c r="F410">
        <f>Final_Dataset!J381</f>
        <v>0.16</v>
      </c>
      <c r="G410">
        <f>Final_Dataset!L381</f>
        <v>0.5</v>
      </c>
      <c r="H410">
        <f>Final_Dataset!M381</f>
        <v>0.1343</v>
      </c>
      <c r="I410">
        <f>Final_Dataset!P381</f>
        <v>13</v>
      </c>
      <c r="J410" s="54">
        <f t="shared" si="26"/>
        <v>54.395348837209305</v>
      </c>
      <c r="K410" s="54">
        <f t="shared" si="27"/>
        <v>39.112864486352777</v>
      </c>
      <c r="L410" s="55">
        <f t="shared" si="28"/>
        <v>-1.0583563587282883</v>
      </c>
      <c r="M410" t="str">
        <f t="shared" si="29"/>
        <v/>
      </c>
    </row>
    <row r="411" spans="1:13" x14ac:dyDescent="0.2">
      <c r="A411">
        <f>Final_Dataset!A382</f>
        <v>381</v>
      </c>
      <c r="B411" s="53">
        <f>Final_Dataset!B382</f>
        <v>40560</v>
      </c>
      <c r="C411">
        <f>Final_Dataset!F382</f>
        <v>8</v>
      </c>
      <c r="D411" t="str">
        <f>Final_Dataset!T382</f>
        <v>Mon</v>
      </c>
      <c r="E411" t="str">
        <f>Final_Dataset!X382</f>
        <v>Cloudy/Mist</v>
      </c>
      <c r="F411">
        <f>Final_Dataset!J382</f>
        <v>0.16</v>
      </c>
      <c r="G411">
        <f>Final_Dataset!L382</f>
        <v>0.47</v>
      </c>
      <c r="H411">
        <f>Final_Dataset!M382</f>
        <v>0.22389999999999999</v>
      </c>
      <c r="I411">
        <f>Final_Dataset!P382</f>
        <v>33</v>
      </c>
      <c r="J411" s="54">
        <f t="shared" si="26"/>
        <v>128.28571428571428</v>
      </c>
      <c r="K411" s="54">
        <f t="shared" si="27"/>
        <v>88.551565717048533</v>
      </c>
      <c r="L411" s="55">
        <f t="shared" si="28"/>
        <v>-1.0760477639682122</v>
      </c>
      <c r="M411" t="str">
        <f t="shared" si="29"/>
        <v/>
      </c>
    </row>
    <row r="412" spans="1:13" x14ac:dyDescent="0.2">
      <c r="A412">
        <f>Final_Dataset!A383</f>
        <v>382</v>
      </c>
      <c r="B412" s="53">
        <f>Final_Dataset!B383</f>
        <v>40560</v>
      </c>
      <c r="C412">
        <f>Final_Dataset!F383</f>
        <v>9</v>
      </c>
      <c r="D412" t="str">
        <f>Final_Dataset!T383</f>
        <v>Mon</v>
      </c>
      <c r="E412" t="str">
        <f>Final_Dataset!X383</f>
        <v>Cloudy/Mist</v>
      </c>
      <c r="F412">
        <f>Final_Dataset!J383</f>
        <v>0.16</v>
      </c>
      <c r="G412">
        <f>Final_Dataset!L383</f>
        <v>0.47</v>
      </c>
      <c r="H412">
        <f>Final_Dataset!M383</f>
        <v>0.22389999999999999</v>
      </c>
      <c r="I412">
        <f>Final_Dataset!P383</f>
        <v>47</v>
      </c>
      <c r="J412" s="54">
        <f t="shared" si="26"/>
        <v>87.428571428571431</v>
      </c>
      <c r="K412" s="54">
        <f t="shared" si="27"/>
        <v>45.93852884078624</v>
      </c>
      <c r="L412" s="55">
        <f t="shared" si="28"/>
        <v>-0.88005803513405445</v>
      </c>
      <c r="M412" t="str">
        <f t="shared" si="29"/>
        <v/>
      </c>
    </row>
    <row r="413" spans="1:13" x14ac:dyDescent="0.2">
      <c r="A413">
        <f>Final_Dataset!A384</f>
        <v>383</v>
      </c>
      <c r="B413" s="53">
        <f>Final_Dataset!B384</f>
        <v>40560</v>
      </c>
      <c r="C413">
        <f>Final_Dataset!F384</f>
        <v>10</v>
      </c>
      <c r="D413" t="str">
        <f>Final_Dataset!T384</f>
        <v>Mon</v>
      </c>
      <c r="E413" t="str">
        <f>Final_Dataset!X384</f>
        <v>Cloudy/Mist</v>
      </c>
      <c r="F413">
        <f>Final_Dataset!J384</f>
        <v>0.16</v>
      </c>
      <c r="G413">
        <f>Final_Dataset!L384</f>
        <v>0.5</v>
      </c>
      <c r="H413">
        <f>Final_Dataset!M384</f>
        <v>0.25369999999999998</v>
      </c>
      <c r="I413">
        <f>Final_Dataset!P384</f>
        <v>57</v>
      </c>
      <c r="J413" s="54">
        <f t="shared" si="26"/>
        <v>53.642857142857146</v>
      </c>
      <c r="K413" s="54">
        <f t="shared" si="27"/>
        <v>15.395313554536934</v>
      </c>
      <c r="L413" s="55">
        <f t="shared" si="28"/>
        <v>0.2180626490815134</v>
      </c>
      <c r="M413" t="str">
        <f t="shared" si="29"/>
        <v/>
      </c>
    </row>
    <row r="414" spans="1:13" x14ac:dyDescent="0.2">
      <c r="A414">
        <f>Final_Dataset!A385</f>
        <v>384</v>
      </c>
      <c r="B414" s="53">
        <f>Final_Dataset!B385</f>
        <v>40560</v>
      </c>
      <c r="C414">
        <f>Final_Dataset!F385</f>
        <v>11</v>
      </c>
      <c r="D414" t="str">
        <f>Final_Dataset!T385</f>
        <v>Mon</v>
      </c>
      <c r="E414" t="str">
        <f>Final_Dataset!X385</f>
        <v>Cloudy/Mist</v>
      </c>
      <c r="F414">
        <f>Final_Dataset!J385</f>
        <v>0.16</v>
      </c>
      <c r="G414">
        <f>Final_Dataset!L385</f>
        <v>0.55000000000000004</v>
      </c>
      <c r="H414">
        <f>Final_Dataset!M385</f>
        <v>0.19400000000000001</v>
      </c>
      <c r="I414">
        <f>Final_Dataset!P385</f>
        <v>64</v>
      </c>
      <c r="J414" s="54">
        <f t="shared" si="26"/>
        <v>59.38095238095238</v>
      </c>
      <c r="K414" s="54">
        <f t="shared" si="27"/>
        <v>20.89573696860419</v>
      </c>
      <c r="L414" s="55">
        <f t="shared" si="28"/>
        <v>0.22105215173734871</v>
      </c>
      <c r="M414" t="str">
        <f t="shared" si="29"/>
        <v/>
      </c>
    </row>
    <row r="415" spans="1:13" x14ac:dyDescent="0.2">
      <c r="A415">
        <f>Final_Dataset!A386</f>
        <v>385</v>
      </c>
      <c r="B415" s="53">
        <f>Final_Dataset!B386</f>
        <v>40560</v>
      </c>
      <c r="C415">
        <f>Final_Dataset!F386</f>
        <v>12</v>
      </c>
      <c r="D415" t="str">
        <f>Final_Dataset!T386</f>
        <v>Mon</v>
      </c>
      <c r="E415" t="str">
        <f>Final_Dataset!X386</f>
        <v>Cloudy/Mist</v>
      </c>
      <c r="F415">
        <f>Final_Dataset!J386</f>
        <v>0.18</v>
      </c>
      <c r="G415">
        <f>Final_Dataset!L386</f>
        <v>0.47</v>
      </c>
      <c r="H415">
        <f>Final_Dataset!M386</f>
        <v>0.1343</v>
      </c>
      <c r="I415">
        <f>Final_Dataset!P386</f>
        <v>80</v>
      </c>
      <c r="J415" s="54">
        <f t="shared" ref="J415:J478" si="30">INDEX($F$5:$F$28,MATCH(C415,$D$5:$D$28,0))</f>
        <v>76.348837209302332</v>
      </c>
      <c r="K415" s="54">
        <f t="shared" ref="K415:K478" si="31">INDEX($G$5:$G$28,MATCH(C415,$D$5:$D$28,0))</f>
        <v>29.034366927857057</v>
      </c>
      <c r="L415" s="55">
        <f t="shared" ref="L415:L478" si="32">IF(K415=0,0,(I415-J415)/K415)</f>
        <v>0.12575313936652624</v>
      </c>
      <c r="M415" t="str">
        <f t="shared" ref="M415:M478" si="33">IF(ABS(L415)&gt;=$B$4,IF(L415&gt;0,"High","Low"),"")</f>
        <v/>
      </c>
    </row>
    <row r="416" spans="1:13" x14ac:dyDescent="0.2">
      <c r="A416">
        <f>Final_Dataset!A387</f>
        <v>386</v>
      </c>
      <c r="B416" s="53">
        <f>Final_Dataset!B387</f>
        <v>40560</v>
      </c>
      <c r="C416">
        <f>Final_Dataset!F387</f>
        <v>13</v>
      </c>
      <c r="D416" t="str">
        <f>Final_Dataset!T387</f>
        <v>Mon</v>
      </c>
      <c r="E416" t="str">
        <f>Final_Dataset!X387</f>
        <v>Cloudy/Mist</v>
      </c>
      <c r="F416">
        <f>Final_Dataset!J387</f>
        <v>0.18</v>
      </c>
      <c r="G416">
        <f>Final_Dataset!L387</f>
        <v>0.47</v>
      </c>
      <c r="H416">
        <f>Final_Dataset!M387</f>
        <v>0.1343</v>
      </c>
      <c r="I416">
        <f>Final_Dataset!P387</f>
        <v>93</v>
      </c>
      <c r="J416" s="54">
        <f t="shared" si="30"/>
        <v>78.511627906976742</v>
      </c>
      <c r="K416" s="54">
        <f t="shared" si="31"/>
        <v>30.072430098825173</v>
      </c>
      <c r="L416" s="55">
        <f t="shared" si="32"/>
        <v>0.48178255117431529</v>
      </c>
      <c r="M416" t="str">
        <f t="shared" si="33"/>
        <v/>
      </c>
    </row>
    <row r="417" spans="1:13" x14ac:dyDescent="0.2">
      <c r="A417">
        <f>Final_Dataset!A388</f>
        <v>387</v>
      </c>
      <c r="B417" s="53">
        <f>Final_Dataset!B388</f>
        <v>40560</v>
      </c>
      <c r="C417">
        <f>Final_Dataset!F388</f>
        <v>14</v>
      </c>
      <c r="D417" t="str">
        <f>Final_Dataset!T388</f>
        <v>Mon</v>
      </c>
      <c r="E417" t="str">
        <f>Final_Dataset!X388</f>
        <v>Cloudy/Mist</v>
      </c>
      <c r="F417">
        <f>Final_Dataset!J388</f>
        <v>0.18</v>
      </c>
      <c r="G417">
        <f>Final_Dataset!L388</f>
        <v>0.43</v>
      </c>
      <c r="H417">
        <f>Final_Dataset!M388</f>
        <v>0.1045</v>
      </c>
      <c r="I417">
        <f>Final_Dataset!P388</f>
        <v>86</v>
      </c>
      <c r="J417" s="54">
        <f t="shared" si="30"/>
        <v>74.418604651162795</v>
      </c>
      <c r="K417" s="54">
        <f t="shared" si="31"/>
        <v>30.305769180565147</v>
      </c>
      <c r="L417" s="55">
        <f t="shared" si="32"/>
        <v>0.38215150652781527</v>
      </c>
      <c r="M417" t="str">
        <f t="shared" si="33"/>
        <v/>
      </c>
    </row>
    <row r="418" spans="1:13" x14ac:dyDescent="0.2">
      <c r="A418">
        <f>Final_Dataset!A389</f>
        <v>388</v>
      </c>
      <c r="B418" s="53">
        <f>Final_Dataset!B389</f>
        <v>40560</v>
      </c>
      <c r="C418">
        <f>Final_Dataset!F389</f>
        <v>15</v>
      </c>
      <c r="D418" t="str">
        <f>Final_Dataset!T389</f>
        <v>Mon</v>
      </c>
      <c r="E418" t="str">
        <f>Final_Dataset!X389</f>
        <v>Cloudy/Mist</v>
      </c>
      <c r="F418">
        <f>Final_Dataset!J389</f>
        <v>0.2</v>
      </c>
      <c r="G418">
        <f>Final_Dataset!L389</f>
        <v>0.47</v>
      </c>
      <c r="H418">
        <f>Final_Dataset!M389</f>
        <v>0.16420000000000001</v>
      </c>
      <c r="I418">
        <f>Final_Dataset!P389</f>
        <v>93</v>
      </c>
      <c r="J418" s="54">
        <f t="shared" si="30"/>
        <v>77.95348837209302</v>
      </c>
      <c r="K418" s="54">
        <f t="shared" si="31"/>
        <v>34.481156681772681</v>
      </c>
      <c r="L418" s="55">
        <f t="shared" si="32"/>
        <v>0.43636910927239336</v>
      </c>
      <c r="M418" t="str">
        <f t="shared" si="33"/>
        <v/>
      </c>
    </row>
    <row r="419" spans="1:13" x14ac:dyDescent="0.2">
      <c r="A419">
        <f>Final_Dataset!A390</f>
        <v>389</v>
      </c>
      <c r="B419" s="53">
        <f>Final_Dataset!B390</f>
        <v>40560</v>
      </c>
      <c r="C419">
        <f>Final_Dataset!F390</f>
        <v>16</v>
      </c>
      <c r="D419" t="str">
        <f>Final_Dataset!T390</f>
        <v>Mon</v>
      </c>
      <c r="E419" t="str">
        <f>Final_Dataset!X390</f>
        <v>Cloudy/Mist</v>
      </c>
      <c r="F419">
        <f>Final_Dataset!J390</f>
        <v>0.2</v>
      </c>
      <c r="G419">
        <f>Final_Dataset!L390</f>
        <v>0.47</v>
      </c>
      <c r="H419">
        <f>Final_Dataset!M390</f>
        <v>0.16420000000000001</v>
      </c>
      <c r="I419">
        <f>Final_Dataset!P390</f>
        <v>82</v>
      </c>
      <c r="J419" s="54">
        <f t="shared" si="30"/>
        <v>89.272727272727266</v>
      </c>
      <c r="K419" s="54">
        <f t="shared" si="31"/>
        <v>25.461657115880747</v>
      </c>
      <c r="L419" s="55">
        <f t="shared" si="32"/>
        <v>-0.285634483239945</v>
      </c>
      <c r="M419" t="str">
        <f t="shared" si="33"/>
        <v/>
      </c>
    </row>
    <row r="420" spans="1:13" x14ac:dyDescent="0.2">
      <c r="A420">
        <f>Final_Dataset!A391</f>
        <v>390</v>
      </c>
      <c r="B420" s="53">
        <f>Final_Dataset!B391</f>
        <v>40560</v>
      </c>
      <c r="C420">
        <f>Final_Dataset!F391</f>
        <v>17</v>
      </c>
      <c r="D420" t="str">
        <f>Final_Dataset!T391</f>
        <v>Mon</v>
      </c>
      <c r="E420" t="str">
        <f>Final_Dataset!X391</f>
        <v>Clear</v>
      </c>
      <c r="F420">
        <f>Final_Dataset!J391</f>
        <v>0.2</v>
      </c>
      <c r="G420">
        <f>Final_Dataset!L391</f>
        <v>0.51</v>
      </c>
      <c r="H420">
        <f>Final_Dataset!M391</f>
        <v>0.19400000000000001</v>
      </c>
      <c r="I420">
        <f>Final_Dataset!P391</f>
        <v>71</v>
      </c>
      <c r="J420" s="54">
        <f t="shared" si="30"/>
        <v>140.20454545454547</v>
      </c>
      <c r="K420" s="54">
        <f t="shared" si="31"/>
        <v>54.067391000084569</v>
      </c>
      <c r="L420" s="55">
        <f t="shared" si="32"/>
        <v>-1.2799682798535112</v>
      </c>
      <c r="M420" t="str">
        <f t="shared" si="33"/>
        <v/>
      </c>
    </row>
    <row r="421" spans="1:13" x14ac:dyDescent="0.2">
      <c r="A421">
        <f>Final_Dataset!A392</f>
        <v>391</v>
      </c>
      <c r="B421" s="53">
        <f>Final_Dataset!B392</f>
        <v>40560</v>
      </c>
      <c r="C421">
        <f>Final_Dataset!F392</f>
        <v>18</v>
      </c>
      <c r="D421" t="str">
        <f>Final_Dataset!T392</f>
        <v>Mon</v>
      </c>
      <c r="E421" t="str">
        <f>Final_Dataset!X392</f>
        <v>Cloudy/Mist</v>
      </c>
      <c r="F421">
        <f>Final_Dataset!J392</f>
        <v>0.18</v>
      </c>
      <c r="G421">
        <f>Final_Dataset!L392</f>
        <v>0.55000000000000004</v>
      </c>
      <c r="H421">
        <f>Final_Dataset!M392</f>
        <v>0.25369999999999998</v>
      </c>
      <c r="I421">
        <f>Final_Dataset!P392</f>
        <v>92</v>
      </c>
      <c r="J421" s="54">
        <f t="shared" si="30"/>
        <v>122.86046511627907</v>
      </c>
      <c r="K421" s="54">
        <f t="shared" si="31"/>
        <v>48.613432101949947</v>
      </c>
      <c r="L421" s="55">
        <f t="shared" si="32"/>
        <v>-0.63481354395138911</v>
      </c>
      <c r="M421" t="str">
        <f t="shared" si="33"/>
        <v/>
      </c>
    </row>
    <row r="422" spans="1:13" x14ac:dyDescent="0.2">
      <c r="A422">
        <f>Final_Dataset!A393</f>
        <v>392</v>
      </c>
      <c r="B422" s="53">
        <f>Final_Dataset!B393</f>
        <v>40560</v>
      </c>
      <c r="C422">
        <f>Final_Dataset!F393</f>
        <v>19</v>
      </c>
      <c r="D422" t="str">
        <f>Final_Dataset!T393</f>
        <v>Mon</v>
      </c>
      <c r="E422" t="str">
        <f>Final_Dataset!X393</f>
        <v>Light Rain/Snow</v>
      </c>
      <c r="F422">
        <f>Final_Dataset!J393</f>
        <v>0.18</v>
      </c>
      <c r="G422">
        <f>Final_Dataset!L393</f>
        <v>0.59</v>
      </c>
      <c r="H422">
        <f>Final_Dataset!M393</f>
        <v>0.19400000000000001</v>
      </c>
      <c r="I422">
        <f>Final_Dataset!P393</f>
        <v>60</v>
      </c>
      <c r="J422" s="54">
        <f t="shared" si="30"/>
        <v>85.139534883720927</v>
      </c>
      <c r="K422" s="54">
        <f t="shared" si="31"/>
        <v>31.690904054294759</v>
      </c>
      <c r="L422" s="55">
        <f t="shared" si="32"/>
        <v>-0.79327288488363623</v>
      </c>
      <c r="M422" t="str">
        <f t="shared" si="33"/>
        <v/>
      </c>
    </row>
    <row r="423" spans="1:13" x14ac:dyDescent="0.2">
      <c r="A423">
        <f>Final_Dataset!A394</f>
        <v>393</v>
      </c>
      <c r="B423" s="53">
        <f>Final_Dataset!B394</f>
        <v>40560</v>
      </c>
      <c r="C423">
        <f>Final_Dataset!F394</f>
        <v>20</v>
      </c>
      <c r="D423" t="str">
        <f>Final_Dataset!T394</f>
        <v>Mon</v>
      </c>
      <c r="E423" t="str">
        <f>Final_Dataset!X394</f>
        <v>Light Rain/Snow</v>
      </c>
      <c r="F423">
        <f>Final_Dataset!J394</f>
        <v>0.16</v>
      </c>
      <c r="G423">
        <f>Final_Dataset!L394</f>
        <v>0.8</v>
      </c>
      <c r="H423">
        <f>Final_Dataset!M394</f>
        <v>0.19400000000000001</v>
      </c>
      <c r="I423">
        <f>Final_Dataset!P394</f>
        <v>33</v>
      </c>
      <c r="J423" s="54">
        <f t="shared" si="30"/>
        <v>61.767441860465119</v>
      </c>
      <c r="K423" s="54">
        <f t="shared" si="31"/>
        <v>24.6323801696856</v>
      </c>
      <c r="L423" s="55">
        <f t="shared" si="32"/>
        <v>-1.1678709756139778</v>
      </c>
      <c r="M423" t="str">
        <f t="shared" si="33"/>
        <v/>
      </c>
    </row>
    <row r="424" spans="1:13" x14ac:dyDescent="0.2">
      <c r="A424">
        <f>Final_Dataset!A395</f>
        <v>394</v>
      </c>
      <c r="B424" s="53">
        <f>Final_Dataset!B395</f>
        <v>40560</v>
      </c>
      <c r="C424">
        <f>Final_Dataset!F395</f>
        <v>21</v>
      </c>
      <c r="D424" t="str">
        <f>Final_Dataset!T395</f>
        <v>Mon</v>
      </c>
      <c r="E424" t="str">
        <f>Final_Dataset!X395</f>
        <v>Light Rain/Snow</v>
      </c>
      <c r="F424">
        <f>Final_Dataset!J395</f>
        <v>0.16</v>
      </c>
      <c r="G424">
        <f>Final_Dataset!L395</f>
        <v>0.8</v>
      </c>
      <c r="H424">
        <f>Final_Dataset!M395</f>
        <v>0.19400000000000001</v>
      </c>
      <c r="I424">
        <f>Final_Dataset!P395</f>
        <v>27</v>
      </c>
      <c r="J424" s="54">
        <f t="shared" si="30"/>
        <v>46.418604651162788</v>
      </c>
      <c r="K424" s="54">
        <f t="shared" si="31"/>
        <v>14.656759464719499</v>
      </c>
      <c r="L424" s="55">
        <f t="shared" si="32"/>
        <v>-1.3248907234853378</v>
      </c>
      <c r="M424" t="str">
        <f t="shared" si="33"/>
        <v/>
      </c>
    </row>
    <row r="425" spans="1:13" x14ac:dyDescent="0.2">
      <c r="A425">
        <f>Final_Dataset!A396</f>
        <v>395</v>
      </c>
      <c r="B425" s="53">
        <f>Final_Dataset!B396</f>
        <v>40560</v>
      </c>
      <c r="C425">
        <f>Final_Dataset!F396</f>
        <v>22</v>
      </c>
      <c r="D425" t="str">
        <f>Final_Dataset!T396</f>
        <v>Mon</v>
      </c>
      <c r="E425" t="str">
        <f>Final_Dataset!X396</f>
        <v>Light Rain/Snow</v>
      </c>
      <c r="F425">
        <f>Final_Dataset!J396</f>
        <v>0.14000000000000001</v>
      </c>
      <c r="G425">
        <f>Final_Dataset!L396</f>
        <v>0.93</v>
      </c>
      <c r="H425">
        <f>Final_Dataset!M396</f>
        <v>0.25369999999999998</v>
      </c>
      <c r="I425">
        <f>Final_Dataset!P396</f>
        <v>13</v>
      </c>
      <c r="J425" s="54">
        <f t="shared" si="30"/>
        <v>35.069767441860463</v>
      </c>
      <c r="K425" s="54">
        <f t="shared" si="31"/>
        <v>11.95506537162667</v>
      </c>
      <c r="L425" s="55">
        <f t="shared" si="32"/>
        <v>-1.8460599549910728</v>
      </c>
      <c r="M425" t="str">
        <f t="shared" si="33"/>
        <v/>
      </c>
    </row>
    <row r="426" spans="1:13" x14ac:dyDescent="0.2">
      <c r="A426">
        <f>Final_Dataset!A397</f>
        <v>396</v>
      </c>
      <c r="B426" s="53">
        <f>Final_Dataset!B397</f>
        <v>40560</v>
      </c>
      <c r="C426">
        <f>Final_Dataset!F397</f>
        <v>23</v>
      </c>
      <c r="D426" t="str">
        <f>Final_Dataset!T397</f>
        <v>Mon</v>
      </c>
      <c r="E426" t="str">
        <f>Final_Dataset!X397</f>
        <v>Light Rain/Snow</v>
      </c>
      <c r="F426">
        <f>Final_Dataset!J397</f>
        <v>0.16</v>
      </c>
      <c r="G426">
        <f>Final_Dataset!L397</f>
        <v>0.86</v>
      </c>
      <c r="H426">
        <f>Final_Dataset!M397</f>
        <v>0.28360000000000002</v>
      </c>
      <c r="I426">
        <f>Final_Dataset!P397</f>
        <v>4</v>
      </c>
      <c r="J426" s="54">
        <f t="shared" si="30"/>
        <v>25.186046511627907</v>
      </c>
      <c r="K426" s="54">
        <f t="shared" si="31"/>
        <v>11.751911321656186</v>
      </c>
      <c r="L426" s="55">
        <f t="shared" si="32"/>
        <v>-1.8027745386902883</v>
      </c>
      <c r="M426" t="str">
        <f t="shared" si="33"/>
        <v/>
      </c>
    </row>
    <row r="427" spans="1:13" x14ac:dyDescent="0.2">
      <c r="A427">
        <f>Final_Dataset!A398</f>
        <v>397</v>
      </c>
      <c r="B427" s="53">
        <f>Final_Dataset!B398</f>
        <v>40561</v>
      </c>
      <c r="C427">
        <f>Final_Dataset!F398</f>
        <v>12</v>
      </c>
      <c r="D427" t="str">
        <f>Final_Dataset!T398</f>
        <v>Tue</v>
      </c>
      <c r="E427" t="str">
        <f>Final_Dataset!X398</f>
        <v>Cloudy/Mist</v>
      </c>
      <c r="F427">
        <f>Final_Dataset!J398</f>
        <v>0.2</v>
      </c>
      <c r="G427">
        <f>Final_Dataset!L398</f>
        <v>0.86</v>
      </c>
      <c r="H427">
        <f>Final_Dataset!M398</f>
        <v>0.32840000000000003</v>
      </c>
      <c r="I427">
        <f>Final_Dataset!P398</f>
        <v>3</v>
      </c>
      <c r="J427" s="54">
        <f t="shared" si="30"/>
        <v>76.348837209302332</v>
      </c>
      <c r="K427" s="54">
        <f t="shared" si="31"/>
        <v>29.034366927857057</v>
      </c>
      <c r="L427" s="55">
        <f t="shared" si="32"/>
        <v>-2.5262764430702189</v>
      </c>
      <c r="M427" t="str">
        <f t="shared" si="33"/>
        <v/>
      </c>
    </row>
    <row r="428" spans="1:13" x14ac:dyDescent="0.2">
      <c r="A428">
        <f>Final_Dataset!A399</f>
        <v>398</v>
      </c>
      <c r="B428" s="53">
        <f>Final_Dataset!B399</f>
        <v>40561</v>
      </c>
      <c r="C428">
        <f>Final_Dataset!F399</f>
        <v>13</v>
      </c>
      <c r="D428" t="str">
        <f>Final_Dataset!T399</f>
        <v>Tue</v>
      </c>
      <c r="E428" t="str">
        <f>Final_Dataset!X399</f>
        <v>Cloudy/Mist</v>
      </c>
      <c r="F428">
        <f>Final_Dataset!J399</f>
        <v>0.2</v>
      </c>
      <c r="G428">
        <f>Final_Dataset!L399</f>
        <v>0.86</v>
      </c>
      <c r="H428">
        <f>Final_Dataset!M399</f>
        <v>0.22389999999999999</v>
      </c>
      <c r="I428">
        <f>Final_Dataset!P399</f>
        <v>22</v>
      </c>
      <c r="J428" s="54">
        <f t="shared" si="30"/>
        <v>78.511627906976742</v>
      </c>
      <c r="K428" s="54">
        <f t="shared" si="31"/>
        <v>30.072430098825173</v>
      </c>
      <c r="L428" s="55">
        <f t="shared" si="32"/>
        <v>-1.8791839475980512</v>
      </c>
      <c r="M428" t="str">
        <f t="shared" si="33"/>
        <v/>
      </c>
    </row>
    <row r="429" spans="1:13" x14ac:dyDescent="0.2">
      <c r="A429">
        <f>Final_Dataset!A400</f>
        <v>399</v>
      </c>
      <c r="B429" s="53">
        <f>Final_Dataset!B400</f>
        <v>40561</v>
      </c>
      <c r="C429">
        <f>Final_Dataset!F400</f>
        <v>14</v>
      </c>
      <c r="D429" t="str">
        <f>Final_Dataset!T400</f>
        <v>Tue</v>
      </c>
      <c r="E429" t="str">
        <f>Final_Dataset!X400</f>
        <v>Cloudy/Mist</v>
      </c>
      <c r="F429">
        <f>Final_Dataset!J400</f>
        <v>0.22</v>
      </c>
      <c r="G429">
        <f>Final_Dataset!L400</f>
        <v>0.8</v>
      </c>
      <c r="H429">
        <f>Final_Dataset!M400</f>
        <v>0.16420000000000001</v>
      </c>
      <c r="I429">
        <f>Final_Dataset!P400</f>
        <v>28</v>
      </c>
      <c r="J429" s="54">
        <f t="shared" si="30"/>
        <v>74.418604651162795</v>
      </c>
      <c r="K429" s="54">
        <f t="shared" si="31"/>
        <v>30.305769180565147</v>
      </c>
      <c r="L429" s="55">
        <f t="shared" si="32"/>
        <v>-1.5316755161235334</v>
      </c>
      <c r="M429" t="str">
        <f t="shared" si="33"/>
        <v/>
      </c>
    </row>
    <row r="430" spans="1:13" x14ac:dyDescent="0.2">
      <c r="A430">
        <f>Final_Dataset!A401</f>
        <v>400</v>
      </c>
      <c r="B430" s="53">
        <f>Final_Dataset!B401</f>
        <v>40561</v>
      </c>
      <c r="C430">
        <f>Final_Dataset!F401</f>
        <v>15</v>
      </c>
      <c r="D430" t="str">
        <f>Final_Dataset!T401</f>
        <v>Tue</v>
      </c>
      <c r="E430" t="str">
        <f>Final_Dataset!X401</f>
        <v>Cloudy/Mist</v>
      </c>
      <c r="F430">
        <f>Final_Dataset!J401</f>
        <v>0.22</v>
      </c>
      <c r="G430">
        <f>Final_Dataset!L401</f>
        <v>0.87</v>
      </c>
      <c r="H430">
        <f>Final_Dataset!M401</f>
        <v>0.16420000000000001</v>
      </c>
      <c r="I430">
        <f>Final_Dataset!P401</f>
        <v>35</v>
      </c>
      <c r="J430" s="54">
        <f t="shared" si="30"/>
        <v>77.95348837209302</v>
      </c>
      <c r="K430" s="54">
        <f t="shared" si="31"/>
        <v>34.481156681772681</v>
      </c>
      <c r="L430" s="55">
        <f t="shared" si="32"/>
        <v>-1.2457090337343282</v>
      </c>
      <c r="M430" t="str">
        <f t="shared" si="33"/>
        <v/>
      </c>
    </row>
    <row r="431" spans="1:13" x14ac:dyDescent="0.2">
      <c r="A431">
        <f>Final_Dataset!A402</f>
        <v>401</v>
      </c>
      <c r="B431" s="53">
        <f>Final_Dataset!B402</f>
        <v>40561</v>
      </c>
      <c r="C431">
        <f>Final_Dataset!F402</f>
        <v>16</v>
      </c>
      <c r="D431" t="str">
        <f>Final_Dataset!T402</f>
        <v>Tue</v>
      </c>
      <c r="E431" t="str">
        <f>Final_Dataset!X402</f>
        <v>Cloudy/Mist</v>
      </c>
      <c r="F431">
        <f>Final_Dataset!J402</f>
        <v>0.22</v>
      </c>
      <c r="G431">
        <f>Final_Dataset!L402</f>
        <v>0.87</v>
      </c>
      <c r="H431">
        <f>Final_Dataset!M402</f>
        <v>0.19400000000000001</v>
      </c>
      <c r="I431">
        <f>Final_Dataset!P402</f>
        <v>61</v>
      </c>
      <c r="J431" s="54">
        <f t="shared" si="30"/>
        <v>89.272727272727266</v>
      </c>
      <c r="K431" s="54">
        <f t="shared" si="31"/>
        <v>25.461657115880747</v>
      </c>
      <c r="L431" s="55">
        <f t="shared" si="32"/>
        <v>-1.110404053595287</v>
      </c>
      <c r="M431" t="str">
        <f t="shared" si="33"/>
        <v/>
      </c>
    </row>
    <row r="432" spans="1:13" x14ac:dyDescent="0.2">
      <c r="A432">
        <f>Final_Dataset!A403</f>
        <v>402</v>
      </c>
      <c r="B432" s="53">
        <f>Final_Dataset!B403</f>
        <v>40561</v>
      </c>
      <c r="C432">
        <f>Final_Dataset!F403</f>
        <v>17</v>
      </c>
      <c r="D432" t="str">
        <f>Final_Dataset!T403</f>
        <v>Tue</v>
      </c>
      <c r="E432" t="str">
        <f>Final_Dataset!X403</f>
        <v>Cloudy/Mist</v>
      </c>
      <c r="F432">
        <f>Final_Dataset!J403</f>
        <v>0.22</v>
      </c>
      <c r="G432">
        <f>Final_Dataset!L403</f>
        <v>0.82</v>
      </c>
      <c r="H432">
        <f>Final_Dataset!M403</f>
        <v>0.19400000000000001</v>
      </c>
      <c r="I432">
        <f>Final_Dataset!P403</f>
        <v>125</v>
      </c>
      <c r="J432" s="54">
        <f t="shared" si="30"/>
        <v>140.20454545454547</v>
      </c>
      <c r="K432" s="54">
        <f t="shared" si="31"/>
        <v>54.067391000084569</v>
      </c>
      <c r="L432" s="55">
        <f t="shared" si="32"/>
        <v>-0.28121470582003272</v>
      </c>
      <c r="M432" t="str">
        <f t="shared" si="33"/>
        <v/>
      </c>
    </row>
    <row r="433" spans="1:13" x14ac:dyDescent="0.2">
      <c r="A433">
        <f>Final_Dataset!A404</f>
        <v>403</v>
      </c>
      <c r="B433" s="53">
        <f>Final_Dataset!B404</f>
        <v>40561</v>
      </c>
      <c r="C433">
        <f>Final_Dataset!F404</f>
        <v>18</v>
      </c>
      <c r="D433" t="str">
        <f>Final_Dataset!T404</f>
        <v>Tue</v>
      </c>
      <c r="E433" t="str">
        <f>Final_Dataset!X404</f>
        <v>Cloudy/Mist</v>
      </c>
      <c r="F433">
        <f>Final_Dataset!J404</f>
        <v>0.22</v>
      </c>
      <c r="G433">
        <f>Final_Dataset!L404</f>
        <v>0.8</v>
      </c>
      <c r="H433">
        <f>Final_Dataset!M404</f>
        <v>0.16420000000000001</v>
      </c>
      <c r="I433">
        <f>Final_Dataset!P404</f>
        <v>133</v>
      </c>
      <c r="J433" s="54">
        <f t="shared" si="30"/>
        <v>122.86046511627907</v>
      </c>
      <c r="K433" s="54">
        <f t="shared" si="31"/>
        <v>48.613432101949947</v>
      </c>
      <c r="L433" s="55">
        <f t="shared" si="32"/>
        <v>0.20857475897724606</v>
      </c>
      <c r="M433" t="str">
        <f t="shared" si="33"/>
        <v/>
      </c>
    </row>
    <row r="434" spans="1:13" x14ac:dyDescent="0.2">
      <c r="A434">
        <f>Final_Dataset!A405</f>
        <v>404</v>
      </c>
      <c r="B434" s="53">
        <f>Final_Dataset!B405</f>
        <v>40561</v>
      </c>
      <c r="C434">
        <f>Final_Dataset!F405</f>
        <v>19</v>
      </c>
      <c r="D434" t="str">
        <f>Final_Dataset!T405</f>
        <v>Tue</v>
      </c>
      <c r="E434" t="str">
        <f>Final_Dataset!X405</f>
        <v>Cloudy/Mist</v>
      </c>
      <c r="F434">
        <f>Final_Dataset!J405</f>
        <v>0.22</v>
      </c>
      <c r="G434">
        <f>Final_Dataset!L405</f>
        <v>0.8</v>
      </c>
      <c r="H434">
        <f>Final_Dataset!M405</f>
        <v>0.1343</v>
      </c>
      <c r="I434">
        <f>Final_Dataset!P405</f>
        <v>99</v>
      </c>
      <c r="J434" s="54">
        <f t="shared" si="30"/>
        <v>85.139534883720927</v>
      </c>
      <c r="K434" s="54">
        <f t="shared" si="31"/>
        <v>31.690904054294759</v>
      </c>
      <c r="L434" s="55">
        <f t="shared" si="32"/>
        <v>0.43736414374712984</v>
      </c>
      <c r="M434" t="str">
        <f t="shared" si="33"/>
        <v/>
      </c>
    </row>
    <row r="435" spans="1:13" x14ac:dyDescent="0.2">
      <c r="A435">
        <f>Final_Dataset!A406</f>
        <v>405</v>
      </c>
      <c r="B435" s="53">
        <f>Final_Dataset!B406</f>
        <v>40561</v>
      </c>
      <c r="C435">
        <f>Final_Dataset!F406</f>
        <v>20</v>
      </c>
      <c r="D435" t="str">
        <f>Final_Dataset!T406</f>
        <v>Tue</v>
      </c>
      <c r="E435" t="str">
        <f>Final_Dataset!X406</f>
        <v>Cloudy/Mist</v>
      </c>
      <c r="F435">
        <f>Final_Dataset!J406</f>
        <v>0.22</v>
      </c>
      <c r="G435">
        <f>Final_Dataset!L406</f>
        <v>0.87</v>
      </c>
      <c r="H435">
        <f>Final_Dataset!M406</f>
        <v>0</v>
      </c>
      <c r="I435">
        <f>Final_Dataset!P406</f>
        <v>83</v>
      </c>
      <c r="J435" s="54">
        <f t="shared" si="30"/>
        <v>61.767441860465119</v>
      </c>
      <c r="K435" s="54">
        <f t="shared" si="31"/>
        <v>24.6323801696856</v>
      </c>
      <c r="L435" s="55">
        <f t="shared" si="32"/>
        <v>0.86197752686787499</v>
      </c>
      <c r="M435" t="str">
        <f t="shared" si="33"/>
        <v/>
      </c>
    </row>
    <row r="436" spans="1:13" x14ac:dyDescent="0.2">
      <c r="A436">
        <f>Final_Dataset!A407</f>
        <v>406</v>
      </c>
      <c r="B436" s="53">
        <f>Final_Dataset!B407</f>
        <v>40561</v>
      </c>
      <c r="C436">
        <f>Final_Dataset!F407</f>
        <v>21</v>
      </c>
      <c r="D436" t="str">
        <f>Final_Dataset!T407</f>
        <v>Tue</v>
      </c>
      <c r="E436" t="str">
        <f>Final_Dataset!X407</f>
        <v>Cloudy/Mist</v>
      </c>
      <c r="F436">
        <f>Final_Dataset!J407</f>
        <v>0.22</v>
      </c>
      <c r="G436">
        <f>Final_Dataset!L407</f>
        <v>0.93</v>
      </c>
      <c r="H436">
        <f>Final_Dataset!M407</f>
        <v>0.1045</v>
      </c>
      <c r="I436">
        <f>Final_Dataset!P407</f>
        <v>41</v>
      </c>
      <c r="J436" s="54">
        <f t="shared" si="30"/>
        <v>46.418604651162788</v>
      </c>
      <c r="K436" s="54">
        <f t="shared" si="31"/>
        <v>14.656759464719499</v>
      </c>
      <c r="L436" s="55">
        <f t="shared" si="32"/>
        <v>-0.36970004619411206</v>
      </c>
      <c r="M436" t="str">
        <f t="shared" si="33"/>
        <v/>
      </c>
    </row>
    <row r="437" spans="1:13" x14ac:dyDescent="0.2">
      <c r="A437">
        <f>Final_Dataset!A408</f>
        <v>407</v>
      </c>
      <c r="B437" s="53">
        <f>Final_Dataset!B408</f>
        <v>40561</v>
      </c>
      <c r="C437">
        <f>Final_Dataset!F408</f>
        <v>22</v>
      </c>
      <c r="D437" t="str">
        <f>Final_Dataset!T408</f>
        <v>Tue</v>
      </c>
      <c r="E437" t="str">
        <f>Final_Dataset!X408</f>
        <v>Cloudy/Mist</v>
      </c>
      <c r="F437">
        <f>Final_Dataset!J408</f>
        <v>0.22</v>
      </c>
      <c r="G437">
        <f>Final_Dataset!L408</f>
        <v>0.93</v>
      </c>
      <c r="H437">
        <f>Final_Dataset!M408</f>
        <v>8.9599999999999999E-2</v>
      </c>
      <c r="I437">
        <f>Final_Dataset!P408</f>
        <v>33</v>
      </c>
      <c r="J437" s="54">
        <f t="shared" si="30"/>
        <v>35.069767441860463</v>
      </c>
      <c r="K437" s="54">
        <f t="shared" si="31"/>
        <v>11.95506537162667</v>
      </c>
      <c r="L437" s="55">
        <f t="shared" si="32"/>
        <v>-0.17312891042592768</v>
      </c>
      <c r="M437" t="str">
        <f t="shared" si="33"/>
        <v/>
      </c>
    </row>
    <row r="438" spans="1:13" x14ac:dyDescent="0.2">
      <c r="A438">
        <f>Final_Dataset!A409</f>
        <v>408</v>
      </c>
      <c r="B438" s="53">
        <f>Final_Dataset!B409</f>
        <v>40561</v>
      </c>
      <c r="C438">
        <f>Final_Dataset!F409</f>
        <v>23</v>
      </c>
      <c r="D438" t="str">
        <f>Final_Dataset!T409</f>
        <v>Tue</v>
      </c>
      <c r="E438" t="str">
        <f>Final_Dataset!X409</f>
        <v>Cloudy/Mist</v>
      </c>
      <c r="F438">
        <f>Final_Dataset!J409</f>
        <v>0.22</v>
      </c>
      <c r="G438">
        <f>Final_Dataset!L409</f>
        <v>0.93</v>
      </c>
      <c r="H438">
        <f>Final_Dataset!M409</f>
        <v>0</v>
      </c>
      <c r="I438">
        <f>Final_Dataset!P409</f>
        <v>20</v>
      </c>
      <c r="J438" s="54">
        <f t="shared" si="30"/>
        <v>25.186046511627907</v>
      </c>
      <c r="K438" s="54">
        <f t="shared" si="31"/>
        <v>11.751911321656186</v>
      </c>
      <c r="L438" s="55">
        <f t="shared" si="32"/>
        <v>-0.44129387719861068</v>
      </c>
      <c r="M438" t="str">
        <f t="shared" si="33"/>
        <v/>
      </c>
    </row>
    <row r="439" spans="1:13" x14ac:dyDescent="0.2">
      <c r="A439">
        <f>Final_Dataset!A410</f>
        <v>409</v>
      </c>
      <c r="B439" s="53">
        <f>Final_Dataset!B410</f>
        <v>40562</v>
      </c>
      <c r="C439">
        <f>Final_Dataset!F410</f>
        <v>0</v>
      </c>
      <c r="D439" t="str">
        <f>Final_Dataset!T410</f>
        <v>Wed</v>
      </c>
      <c r="E439" t="str">
        <f>Final_Dataset!X410</f>
        <v>Cloudy/Mist</v>
      </c>
      <c r="F439">
        <f>Final_Dataset!J410</f>
        <v>0.22</v>
      </c>
      <c r="G439">
        <f>Final_Dataset!L410</f>
        <v>0.93</v>
      </c>
      <c r="H439">
        <f>Final_Dataset!M410</f>
        <v>0</v>
      </c>
      <c r="I439">
        <f>Final_Dataset!P410</f>
        <v>3</v>
      </c>
      <c r="J439" s="54">
        <f t="shared" si="30"/>
        <v>16.348837209302324</v>
      </c>
      <c r="K439" s="54">
        <f t="shared" si="31"/>
        <v>10.442321674276208</v>
      </c>
      <c r="L439" s="55">
        <f t="shared" si="32"/>
        <v>-1.2783399732059659</v>
      </c>
      <c r="M439" t="str">
        <f t="shared" si="33"/>
        <v/>
      </c>
    </row>
    <row r="440" spans="1:13" x14ac:dyDescent="0.2">
      <c r="A440">
        <f>Final_Dataset!A411</f>
        <v>410</v>
      </c>
      <c r="B440" s="53">
        <f>Final_Dataset!B411</f>
        <v>40562</v>
      </c>
      <c r="C440">
        <f>Final_Dataset!F411</f>
        <v>1</v>
      </c>
      <c r="D440" t="str">
        <f>Final_Dataset!T411</f>
        <v>Wed</v>
      </c>
      <c r="E440" t="str">
        <f>Final_Dataset!X411</f>
        <v>Light Rain/Snow</v>
      </c>
      <c r="F440">
        <f>Final_Dataset!J411</f>
        <v>0.22</v>
      </c>
      <c r="G440">
        <f>Final_Dataset!L411</f>
        <v>0.93</v>
      </c>
      <c r="H440">
        <f>Final_Dataset!M411</f>
        <v>0.1343</v>
      </c>
      <c r="I440">
        <f>Final_Dataset!P411</f>
        <v>7</v>
      </c>
      <c r="J440" s="54">
        <f t="shared" si="30"/>
        <v>10.697674418604651</v>
      </c>
      <c r="K440" s="54">
        <f t="shared" si="31"/>
        <v>10.060613641515801</v>
      </c>
      <c r="L440" s="55">
        <f t="shared" si="32"/>
        <v>-0.36753965020045576</v>
      </c>
      <c r="M440" t="str">
        <f t="shared" si="33"/>
        <v/>
      </c>
    </row>
    <row r="441" spans="1:13" x14ac:dyDescent="0.2">
      <c r="A441">
        <f>Final_Dataset!A412</f>
        <v>411</v>
      </c>
      <c r="B441" s="53">
        <f>Final_Dataset!B412</f>
        <v>40562</v>
      </c>
      <c r="C441">
        <f>Final_Dataset!F412</f>
        <v>2</v>
      </c>
      <c r="D441" t="str">
        <f>Final_Dataset!T412</f>
        <v>Wed</v>
      </c>
      <c r="E441" t="str">
        <f>Final_Dataset!X412</f>
        <v>Light Rain/Snow</v>
      </c>
      <c r="F441">
        <f>Final_Dataset!J412</f>
        <v>0.22</v>
      </c>
      <c r="G441">
        <f>Final_Dataset!L412</f>
        <v>0.93</v>
      </c>
      <c r="H441">
        <f>Final_Dataset!M412</f>
        <v>0.1343</v>
      </c>
      <c r="I441">
        <f>Final_Dataset!P412</f>
        <v>3</v>
      </c>
      <c r="J441" s="54">
        <f t="shared" si="30"/>
        <v>7.1707317073170733</v>
      </c>
      <c r="K441" s="54">
        <f t="shared" si="31"/>
        <v>7.3685223723090862</v>
      </c>
      <c r="L441" s="55">
        <f t="shared" si="32"/>
        <v>-0.5660200914895348</v>
      </c>
      <c r="M441" t="str">
        <f t="shared" si="33"/>
        <v/>
      </c>
    </row>
    <row r="442" spans="1:13" x14ac:dyDescent="0.2">
      <c r="A442">
        <f>Final_Dataset!A413</f>
        <v>412</v>
      </c>
      <c r="B442" s="53">
        <f>Final_Dataset!B413</f>
        <v>40562</v>
      </c>
      <c r="C442">
        <f>Final_Dataset!F413</f>
        <v>4</v>
      </c>
      <c r="D442" t="str">
        <f>Final_Dataset!T413</f>
        <v>Wed</v>
      </c>
      <c r="E442" t="str">
        <f>Final_Dataset!X413</f>
        <v>Light Rain/Snow</v>
      </c>
      <c r="F442">
        <f>Final_Dataset!J413</f>
        <v>0.22</v>
      </c>
      <c r="G442">
        <f>Final_Dataset!L413</f>
        <v>0.93</v>
      </c>
      <c r="H442">
        <f>Final_Dataset!M413</f>
        <v>0.1343</v>
      </c>
      <c r="I442">
        <f>Final_Dataset!P413</f>
        <v>2</v>
      </c>
      <c r="J442" s="54">
        <f t="shared" si="30"/>
        <v>2.15625</v>
      </c>
      <c r="K442" s="54">
        <f t="shared" si="31"/>
        <v>1.5263148747143209</v>
      </c>
      <c r="L442" s="55">
        <f t="shared" si="32"/>
        <v>-0.102370751008533</v>
      </c>
      <c r="M442" t="str">
        <f t="shared" si="33"/>
        <v/>
      </c>
    </row>
    <row r="443" spans="1:13" x14ac:dyDescent="0.2">
      <c r="A443">
        <f>Final_Dataset!A414</f>
        <v>413</v>
      </c>
      <c r="B443" s="53">
        <f>Final_Dataset!B414</f>
        <v>40562</v>
      </c>
      <c r="C443">
        <f>Final_Dataset!F414</f>
        <v>5</v>
      </c>
      <c r="D443" t="str">
        <f>Final_Dataset!T414</f>
        <v>Wed</v>
      </c>
      <c r="E443" t="str">
        <f>Final_Dataset!X414</f>
        <v>Cloudy/Mist</v>
      </c>
      <c r="F443">
        <f>Final_Dataset!J414</f>
        <v>0.22</v>
      </c>
      <c r="G443">
        <f>Final_Dataset!L414</f>
        <v>0.93</v>
      </c>
      <c r="H443">
        <f>Final_Dataset!M414</f>
        <v>8.9599999999999999E-2</v>
      </c>
      <c r="I443">
        <f>Final_Dataset!P414</f>
        <v>7</v>
      </c>
      <c r="J443" s="54">
        <f t="shared" si="30"/>
        <v>4.2051282051282053</v>
      </c>
      <c r="K443" s="54">
        <f t="shared" si="31"/>
        <v>2.5358429220352288</v>
      </c>
      <c r="L443" s="55">
        <f t="shared" si="32"/>
        <v>1.1021470496400751</v>
      </c>
      <c r="M443" t="str">
        <f t="shared" si="33"/>
        <v/>
      </c>
    </row>
    <row r="444" spans="1:13" x14ac:dyDescent="0.2">
      <c r="A444">
        <f>Final_Dataset!A415</f>
        <v>414</v>
      </c>
      <c r="B444" s="53">
        <f>Final_Dataset!B415</f>
        <v>40562</v>
      </c>
      <c r="C444">
        <f>Final_Dataset!F415</f>
        <v>6</v>
      </c>
      <c r="D444" t="str">
        <f>Final_Dataset!T415</f>
        <v>Wed</v>
      </c>
      <c r="E444" t="str">
        <f>Final_Dataset!X415</f>
        <v>Cloudy/Mist</v>
      </c>
      <c r="F444">
        <f>Final_Dataset!J415</f>
        <v>0.22</v>
      </c>
      <c r="G444">
        <f>Final_Dataset!L415</f>
        <v>0.93</v>
      </c>
      <c r="H444">
        <f>Final_Dataset!M415</f>
        <v>8.9599999999999999E-2</v>
      </c>
      <c r="I444">
        <f>Final_Dataset!P415</f>
        <v>32</v>
      </c>
      <c r="J444" s="54">
        <f t="shared" si="30"/>
        <v>19.571428571428573</v>
      </c>
      <c r="K444" s="54">
        <f t="shared" si="31"/>
        <v>14.202615453298934</v>
      </c>
      <c r="L444" s="55">
        <f t="shared" si="32"/>
        <v>0.87509032892139327</v>
      </c>
      <c r="M444" t="str">
        <f t="shared" si="33"/>
        <v/>
      </c>
    </row>
    <row r="445" spans="1:13" x14ac:dyDescent="0.2">
      <c r="A445">
        <f>Final_Dataset!A416</f>
        <v>415</v>
      </c>
      <c r="B445" s="53">
        <f>Final_Dataset!B416</f>
        <v>40562</v>
      </c>
      <c r="C445">
        <f>Final_Dataset!F416</f>
        <v>7</v>
      </c>
      <c r="D445" t="str">
        <f>Final_Dataset!T416</f>
        <v>Wed</v>
      </c>
      <c r="E445" t="str">
        <f>Final_Dataset!X416</f>
        <v>Cloudy/Mist</v>
      </c>
      <c r="F445">
        <f>Final_Dataset!J416</f>
        <v>0.24</v>
      </c>
      <c r="G445">
        <f>Final_Dataset!L416</f>
        <v>0.92</v>
      </c>
      <c r="H445">
        <f>Final_Dataset!M416</f>
        <v>0.1045</v>
      </c>
      <c r="I445">
        <f>Final_Dataset!P416</f>
        <v>90</v>
      </c>
      <c r="J445" s="54">
        <f t="shared" si="30"/>
        <v>54.395348837209305</v>
      </c>
      <c r="K445" s="54">
        <f t="shared" si="31"/>
        <v>39.112864486352777</v>
      </c>
      <c r="L445" s="55">
        <f t="shared" si="32"/>
        <v>0.91030538495112867</v>
      </c>
      <c r="M445" t="str">
        <f t="shared" si="33"/>
        <v/>
      </c>
    </row>
    <row r="446" spans="1:13" x14ac:dyDescent="0.2">
      <c r="A446">
        <f>Final_Dataset!A417</f>
        <v>416</v>
      </c>
      <c r="B446" s="53">
        <f>Final_Dataset!B417</f>
        <v>40562</v>
      </c>
      <c r="C446">
        <f>Final_Dataset!F417</f>
        <v>8</v>
      </c>
      <c r="D446" t="str">
        <f>Final_Dataset!T417</f>
        <v>Wed</v>
      </c>
      <c r="E446" t="str">
        <f>Final_Dataset!X417</f>
        <v>Cloudy/Mist</v>
      </c>
      <c r="F446">
        <f>Final_Dataset!J417</f>
        <v>0.24</v>
      </c>
      <c r="G446">
        <f>Final_Dataset!L417</f>
        <v>0.93</v>
      </c>
      <c r="H446">
        <f>Final_Dataset!M417</f>
        <v>0.1045</v>
      </c>
      <c r="I446">
        <f>Final_Dataset!P417</f>
        <v>197</v>
      </c>
      <c r="J446" s="54">
        <f t="shared" si="30"/>
        <v>128.28571428571428</v>
      </c>
      <c r="K446" s="54">
        <f t="shared" si="31"/>
        <v>88.551565717048533</v>
      </c>
      <c r="L446" s="55">
        <f t="shared" si="32"/>
        <v>0.77598047146733162</v>
      </c>
      <c r="M446" t="str">
        <f t="shared" si="33"/>
        <v/>
      </c>
    </row>
    <row r="447" spans="1:13" x14ac:dyDescent="0.2">
      <c r="A447">
        <f>Final_Dataset!A418</f>
        <v>417</v>
      </c>
      <c r="B447" s="53">
        <f>Final_Dataset!B418</f>
        <v>40562</v>
      </c>
      <c r="C447">
        <f>Final_Dataset!F418</f>
        <v>9</v>
      </c>
      <c r="D447" t="str">
        <f>Final_Dataset!T418</f>
        <v>Wed</v>
      </c>
      <c r="E447" t="str">
        <f>Final_Dataset!X418</f>
        <v>Cloudy/Mist</v>
      </c>
      <c r="F447">
        <f>Final_Dataset!J418</f>
        <v>0.24</v>
      </c>
      <c r="G447">
        <f>Final_Dataset!L418</f>
        <v>0.93</v>
      </c>
      <c r="H447">
        <f>Final_Dataset!M418</f>
        <v>0.1045</v>
      </c>
      <c r="I447">
        <f>Final_Dataset!P418</f>
        <v>109</v>
      </c>
      <c r="J447" s="54">
        <f t="shared" si="30"/>
        <v>87.428571428571431</v>
      </c>
      <c r="K447" s="54">
        <f t="shared" si="31"/>
        <v>45.93852884078624</v>
      </c>
      <c r="L447" s="55">
        <f t="shared" si="32"/>
        <v>0.46957160178530816</v>
      </c>
      <c r="M447" t="str">
        <f t="shared" si="33"/>
        <v/>
      </c>
    </row>
    <row r="448" spans="1:13" x14ac:dyDescent="0.2">
      <c r="A448">
        <f>Final_Dataset!A419</f>
        <v>418</v>
      </c>
      <c r="B448" s="53">
        <f>Final_Dataset!B419</f>
        <v>40562</v>
      </c>
      <c r="C448">
        <f>Final_Dataset!F419</f>
        <v>10</v>
      </c>
      <c r="D448" t="str">
        <f>Final_Dataset!T419</f>
        <v>Wed</v>
      </c>
      <c r="E448" t="str">
        <f>Final_Dataset!X419</f>
        <v>Cloudy/Mist</v>
      </c>
      <c r="F448">
        <f>Final_Dataset!J419</f>
        <v>0.26</v>
      </c>
      <c r="G448">
        <f>Final_Dataset!L419</f>
        <v>0.93</v>
      </c>
      <c r="H448">
        <f>Final_Dataset!M419</f>
        <v>0.1343</v>
      </c>
      <c r="I448">
        <f>Final_Dataset!P419</f>
        <v>47</v>
      </c>
      <c r="J448" s="54">
        <f t="shared" si="30"/>
        <v>53.642857142857146</v>
      </c>
      <c r="K448" s="54">
        <f t="shared" si="31"/>
        <v>15.395313554536934</v>
      </c>
      <c r="L448" s="55">
        <f t="shared" si="32"/>
        <v>-0.43148566733150584</v>
      </c>
      <c r="M448" t="str">
        <f t="shared" si="33"/>
        <v/>
      </c>
    </row>
    <row r="449" spans="1:13" x14ac:dyDescent="0.2">
      <c r="A449">
        <f>Final_Dataset!A420</f>
        <v>419</v>
      </c>
      <c r="B449" s="53">
        <f>Final_Dataset!B420</f>
        <v>40562</v>
      </c>
      <c r="C449">
        <f>Final_Dataset!F420</f>
        <v>11</v>
      </c>
      <c r="D449" t="str">
        <f>Final_Dataset!T420</f>
        <v>Wed</v>
      </c>
      <c r="E449" t="str">
        <f>Final_Dataset!X420</f>
        <v>Cloudy/Mist</v>
      </c>
      <c r="F449">
        <f>Final_Dataset!J420</f>
        <v>0.28000000000000003</v>
      </c>
      <c r="G449">
        <f>Final_Dataset!L420</f>
        <v>0.87</v>
      </c>
      <c r="H449">
        <f>Final_Dataset!M420</f>
        <v>8.9599999999999999E-2</v>
      </c>
      <c r="I449">
        <f>Final_Dataset!P420</f>
        <v>52</v>
      </c>
      <c r="J449" s="54">
        <f t="shared" si="30"/>
        <v>59.38095238095238</v>
      </c>
      <c r="K449" s="54">
        <f t="shared" si="31"/>
        <v>20.89573696860419</v>
      </c>
      <c r="L449" s="55">
        <f t="shared" si="32"/>
        <v>-0.35322766514730963</v>
      </c>
      <c r="M449" t="str">
        <f t="shared" si="33"/>
        <v/>
      </c>
    </row>
    <row r="450" spans="1:13" x14ac:dyDescent="0.2">
      <c r="A450">
        <f>Final_Dataset!A421</f>
        <v>420</v>
      </c>
      <c r="B450" s="53">
        <f>Final_Dataset!B421</f>
        <v>40562</v>
      </c>
      <c r="C450">
        <f>Final_Dataset!F421</f>
        <v>12</v>
      </c>
      <c r="D450" t="str">
        <f>Final_Dataset!T421</f>
        <v>Wed</v>
      </c>
      <c r="E450" t="str">
        <f>Final_Dataset!X421</f>
        <v>Cloudy/Mist</v>
      </c>
      <c r="F450">
        <f>Final_Dataset!J421</f>
        <v>0.3</v>
      </c>
      <c r="G450">
        <f>Final_Dataset!L421</f>
        <v>0.81</v>
      </c>
      <c r="H450">
        <f>Final_Dataset!M421</f>
        <v>8.9599999999999999E-2</v>
      </c>
      <c r="I450">
        <f>Final_Dataset!P421</f>
        <v>70</v>
      </c>
      <c r="J450" s="54">
        <f t="shared" si="30"/>
        <v>76.348837209302332</v>
      </c>
      <c r="K450" s="54">
        <f t="shared" si="31"/>
        <v>29.034366927857057</v>
      </c>
      <c r="L450" s="55">
        <f t="shared" si="32"/>
        <v>-0.21866628692396017</v>
      </c>
      <c r="M450" t="str">
        <f t="shared" si="33"/>
        <v/>
      </c>
    </row>
    <row r="451" spans="1:13" x14ac:dyDescent="0.2">
      <c r="A451">
        <f>Final_Dataset!A422</f>
        <v>421</v>
      </c>
      <c r="B451" s="53">
        <f>Final_Dataset!B422</f>
        <v>40562</v>
      </c>
      <c r="C451">
        <f>Final_Dataset!F422</f>
        <v>13</v>
      </c>
      <c r="D451" t="str">
        <f>Final_Dataset!T422</f>
        <v>Wed</v>
      </c>
      <c r="E451" t="str">
        <f>Final_Dataset!X422</f>
        <v>Clear</v>
      </c>
      <c r="F451">
        <f>Final_Dataset!J422</f>
        <v>0.4</v>
      </c>
      <c r="G451">
        <f>Final_Dataset!L422</f>
        <v>0.62</v>
      </c>
      <c r="H451">
        <f>Final_Dataset!M422</f>
        <v>0.28360000000000002</v>
      </c>
      <c r="I451">
        <f>Final_Dataset!P422</f>
        <v>78</v>
      </c>
      <c r="J451" s="54">
        <f t="shared" si="30"/>
        <v>78.511627906976742</v>
      </c>
      <c r="K451" s="54">
        <f t="shared" si="31"/>
        <v>30.072430098825173</v>
      </c>
      <c r="L451" s="55">
        <f t="shared" si="32"/>
        <v>-1.7013188002945233E-2</v>
      </c>
      <c r="M451" t="str">
        <f t="shared" si="33"/>
        <v/>
      </c>
    </row>
    <row r="452" spans="1:13" x14ac:dyDescent="0.2">
      <c r="A452">
        <f>Final_Dataset!A423</f>
        <v>422</v>
      </c>
      <c r="B452" s="53">
        <f>Final_Dataset!B423</f>
        <v>40562</v>
      </c>
      <c r="C452">
        <f>Final_Dataset!F423</f>
        <v>14</v>
      </c>
      <c r="D452" t="str">
        <f>Final_Dataset!T423</f>
        <v>Wed</v>
      </c>
      <c r="E452" t="str">
        <f>Final_Dataset!X423</f>
        <v>Clear</v>
      </c>
      <c r="F452">
        <f>Final_Dataset!J423</f>
        <v>0.4</v>
      </c>
      <c r="G452">
        <f>Final_Dataset!L423</f>
        <v>0.57999999999999996</v>
      </c>
      <c r="H452">
        <f>Final_Dataset!M423</f>
        <v>0.25369999999999998</v>
      </c>
      <c r="I452">
        <f>Final_Dataset!P423</f>
        <v>75</v>
      </c>
      <c r="J452" s="54">
        <f t="shared" si="30"/>
        <v>74.418604651162795</v>
      </c>
      <c r="K452" s="54">
        <f t="shared" si="31"/>
        <v>30.305769180565147</v>
      </c>
      <c r="L452" s="55">
        <f t="shared" si="32"/>
        <v>1.9184312576697421E-2</v>
      </c>
      <c r="M452" t="str">
        <f t="shared" si="33"/>
        <v/>
      </c>
    </row>
    <row r="453" spans="1:13" x14ac:dyDescent="0.2">
      <c r="A453">
        <f>Final_Dataset!A424</f>
        <v>423</v>
      </c>
      <c r="B453" s="53">
        <f>Final_Dataset!B424</f>
        <v>40562</v>
      </c>
      <c r="C453">
        <f>Final_Dataset!F424</f>
        <v>15</v>
      </c>
      <c r="D453" t="str">
        <f>Final_Dataset!T424</f>
        <v>Wed</v>
      </c>
      <c r="E453" t="str">
        <f>Final_Dataset!X424</f>
        <v>Clear</v>
      </c>
      <c r="F453">
        <f>Final_Dataset!J424</f>
        <v>0.4</v>
      </c>
      <c r="G453">
        <f>Final_Dataset!L424</f>
        <v>0.54</v>
      </c>
      <c r="H453">
        <f>Final_Dataset!M424</f>
        <v>0.28360000000000002</v>
      </c>
      <c r="I453">
        <f>Final_Dataset!P424</f>
        <v>82</v>
      </c>
      <c r="J453" s="54">
        <f t="shared" si="30"/>
        <v>77.95348837209302</v>
      </c>
      <c r="K453" s="54">
        <f t="shared" si="31"/>
        <v>34.481156681772681</v>
      </c>
      <c r="L453" s="55">
        <f t="shared" si="32"/>
        <v>0.11735428904698068</v>
      </c>
      <c r="M453" t="str">
        <f t="shared" si="33"/>
        <v/>
      </c>
    </row>
    <row r="454" spans="1:13" x14ac:dyDescent="0.2">
      <c r="A454">
        <f>Final_Dataset!A425</f>
        <v>424</v>
      </c>
      <c r="B454" s="53">
        <f>Final_Dataset!B425</f>
        <v>40562</v>
      </c>
      <c r="C454">
        <f>Final_Dataset!F425</f>
        <v>16</v>
      </c>
      <c r="D454" t="str">
        <f>Final_Dataset!T425</f>
        <v>Wed</v>
      </c>
      <c r="E454" t="str">
        <f>Final_Dataset!X425</f>
        <v>Clear</v>
      </c>
      <c r="F454">
        <f>Final_Dataset!J425</f>
        <v>0.38</v>
      </c>
      <c r="G454">
        <f>Final_Dataset!L425</f>
        <v>0.57999999999999996</v>
      </c>
      <c r="H454">
        <f>Final_Dataset!M425</f>
        <v>0.3881</v>
      </c>
      <c r="I454">
        <f>Final_Dataset!P425</f>
        <v>104</v>
      </c>
      <c r="J454" s="54">
        <f t="shared" si="30"/>
        <v>89.272727272727266</v>
      </c>
      <c r="K454" s="54">
        <f t="shared" si="31"/>
        <v>25.461657115880747</v>
      </c>
      <c r="L454" s="55">
        <f t="shared" si="32"/>
        <v>0.57840982856088941</v>
      </c>
      <c r="M454" t="str">
        <f t="shared" si="33"/>
        <v/>
      </c>
    </row>
    <row r="455" spans="1:13" x14ac:dyDescent="0.2">
      <c r="A455">
        <f>Final_Dataset!A426</f>
        <v>425</v>
      </c>
      <c r="B455" s="53">
        <f>Final_Dataset!B426</f>
        <v>40562</v>
      </c>
      <c r="C455">
        <f>Final_Dataset!F426</f>
        <v>17</v>
      </c>
      <c r="D455" t="str">
        <f>Final_Dataset!T426</f>
        <v>Wed</v>
      </c>
      <c r="E455" t="str">
        <f>Final_Dataset!X426</f>
        <v>Clear</v>
      </c>
      <c r="F455">
        <f>Final_Dataset!J426</f>
        <v>0.36</v>
      </c>
      <c r="G455">
        <f>Final_Dataset!L426</f>
        <v>0.56999999999999995</v>
      </c>
      <c r="H455">
        <f>Final_Dataset!M426</f>
        <v>0.32840000000000003</v>
      </c>
      <c r="I455">
        <f>Final_Dataset!P426</f>
        <v>197</v>
      </c>
      <c r="J455" s="54">
        <f t="shared" si="30"/>
        <v>140.20454545454547</v>
      </c>
      <c r="K455" s="54">
        <f t="shared" si="31"/>
        <v>54.067391000084569</v>
      </c>
      <c r="L455" s="55">
        <f t="shared" si="32"/>
        <v>1.0504567262246054</v>
      </c>
      <c r="M455" t="str">
        <f t="shared" si="33"/>
        <v/>
      </c>
    </row>
    <row r="456" spans="1:13" x14ac:dyDescent="0.2">
      <c r="A456">
        <f>Final_Dataset!A427</f>
        <v>426</v>
      </c>
      <c r="B456" s="53">
        <f>Final_Dataset!B427</f>
        <v>40562</v>
      </c>
      <c r="C456">
        <f>Final_Dataset!F427</f>
        <v>18</v>
      </c>
      <c r="D456" t="str">
        <f>Final_Dataset!T427</f>
        <v>Wed</v>
      </c>
      <c r="E456" t="str">
        <f>Final_Dataset!X427</f>
        <v>Clear</v>
      </c>
      <c r="F456">
        <f>Final_Dataset!J427</f>
        <v>0.34</v>
      </c>
      <c r="G456">
        <f>Final_Dataset!L427</f>
        <v>0.61</v>
      </c>
      <c r="H456">
        <f>Final_Dataset!M427</f>
        <v>0.28360000000000002</v>
      </c>
      <c r="I456">
        <f>Final_Dataset!P427</f>
        <v>161</v>
      </c>
      <c r="J456" s="54">
        <f t="shared" si="30"/>
        <v>122.86046511627907</v>
      </c>
      <c r="K456" s="54">
        <f t="shared" si="31"/>
        <v>48.613432101949947</v>
      </c>
      <c r="L456" s="55">
        <f t="shared" si="32"/>
        <v>0.78454725853826524</v>
      </c>
      <c r="M456" t="str">
        <f t="shared" si="33"/>
        <v/>
      </c>
    </row>
    <row r="457" spans="1:13" x14ac:dyDescent="0.2">
      <c r="A457">
        <f>Final_Dataset!A428</f>
        <v>427</v>
      </c>
      <c r="B457" s="53">
        <f>Final_Dataset!B428</f>
        <v>40562</v>
      </c>
      <c r="C457">
        <f>Final_Dataset!F428</f>
        <v>19</v>
      </c>
      <c r="D457" t="str">
        <f>Final_Dataset!T428</f>
        <v>Wed</v>
      </c>
      <c r="E457" t="str">
        <f>Final_Dataset!X428</f>
        <v>Clear</v>
      </c>
      <c r="F457">
        <f>Final_Dataset!J428</f>
        <v>0.32</v>
      </c>
      <c r="G457">
        <f>Final_Dataset!L428</f>
        <v>0.56999999999999995</v>
      </c>
      <c r="H457">
        <f>Final_Dataset!M428</f>
        <v>0.41789999999999999</v>
      </c>
      <c r="I457">
        <f>Final_Dataset!P428</f>
        <v>112</v>
      </c>
      <c r="J457" s="54">
        <f t="shared" si="30"/>
        <v>85.139534883720927</v>
      </c>
      <c r="K457" s="54">
        <f t="shared" si="31"/>
        <v>31.690904054294759</v>
      </c>
      <c r="L457" s="55">
        <f t="shared" si="32"/>
        <v>0.84757648662405183</v>
      </c>
      <c r="M457" t="str">
        <f t="shared" si="33"/>
        <v/>
      </c>
    </row>
    <row r="458" spans="1:13" x14ac:dyDescent="0.2">
      <c r="A458">
        <f>Final_Dataset!A429</f>
        <v>428</v>
      </c>
      <c r="B458" s="53">
        <f>Final_Dataset!B429</f>
        <v>40562</v>
      </c>
      <c r="C458">
        <f>Final_Dataset!F429</f>
        <v>20</v>
      </c>
      <c r="D458" t="str">
        <f>Final_Dataset!T429</f>
        <v>Wed</v>
      </c>
      <c r="E458" t="str">
        <f>Final_Dataset!X429</f>
        <v>Clear</v>
      </c>
      <c r="F458">
        <f>Final_Dataset!J429</f>
        <v>0.32</v>
      </c>
      <c r="G458">
        <f>Final_Dataset!L429</f>
        <v>0.49</v>
      </c>
      <c r="H458">
        <f>Final_Dataset!M429</f>
        <v>0.29849999999999999</v>
      </c>
      <c r="I458">
        <f>Final_Dataset!P429</f>
        <v>76</v>
      </c>
      <c r="J458" s="54">
        <f t="shared" si="30"/>
        <v>61.767441860465119</v>
      </c>
      <c r="K458" s="54">
        <f t="shared" si="31"/>
        <v>24.6323801696856</v>
      </c>
      <c r="L458" s="55">
        <f t="shared" si="32"/>
        <v>0.57779873652041558</v>
      </c>
      <c r="M458" t="str">
        <f t="shared" si="33"/>
        <v/>
      </c>
    </row>
    <row r="459" spans="1:13" x14ac:dyDescent="0.2">
      <c r="A459">
        <f>Final_Dataset!A430</f>
        <v>429</v>
      </c>
      <c r="B459" s="53">
        <f>Final_Dataset!B430</f>
        <v>40562</v>
      </c>
      <c r="C459">
        <f>Final_Dataset!F430</f>
        <v>21</v>
      </c>
      <c r="D459" t="str">
        <f>Final_Dataset!T430</f>
        <v>Wed</v>
      </c>
      <c r="E459" t="str">
        <f>Final_Dataset!X430</f>
        <v>Clear</v>
      </c>
      <c r="F459">
        <f>Final_Dataset!J430</f>
        <v>0.32</v>
      </c>
      <c r="G459">
        <f>Final_Dataset!L430</f>
        <v>0.49</v>
      </c>
      <c r="H459">
        <f>Final_Dataset!M430</f>
        <v>0.41789999999999999</v>
      </c>
      <c r="I459">
        <f>Final_Dataset!P430</f>
        <v>59</v>
      </c>
      <c r="J459" s="54">
        <f t="shared" si="30"/>
        <v>46.418604651162788</v>
      </c>
      <c r="K459" s="54">
        <f t="shared" si="31"/>
        <v>14.656759464719499</v>
      </c>
      <c r="L459" s="55">
        <f t="shared" si="32"/>
        <v>0.85840225318032093</v>
      </c>
      <c r="M459" t="str">
        <f t="shared" si="33"/>
        <v/>
      </c>
    </row>
    <row r="460" spans="1:13" x14ac:dyDescent="0.2">
      <c r="A460">
        <f>Final_Dataset!A431</f>
        <v>430</v>
      </c>
      <c r="B460" s="53">
        <f>Final_Dataset!B431</f>
        <v>40562</v>
      </c>
      <c r="C460">
        <f>Final_Dataset!F431</f>
        <v>22</v>
      </c>
      <c r="D460" t="str">
        <f>Final_Dataset!T431</f>
        <v>Wed</v>
      </c>
      <c r="E460" t="str">
        <f>Final_Dataset!X431</f>
        <v>Clear</v>
      </c>
      <c r="F460">
        <f>Final_Dataset!J431</f>
        <v>0.3</v>
      </c>
      <c r="G460">
        <f>Final_Dataset!L431</f>
        <v>0.52</v>
      </c>
      <c r="H460">
        <f>Final_Dataset!M431</f>
        <v>0.16420000000000001</v>
      </c>
      <c r="I460">
        <f>Final_Dataset!P431</f>
        <v>59</v>
      </c>
      <c r="J460" s="54">
        <f t="shared" si="30"/>
        <v>35.069767441860463</v>
      </c>
      <c r="K460" s="54">
        <f t="shared" si="31"/>
        <v>11.95506537162667</v>
      </c>
      <c r="L460" s="55">
        <f t="shared" si="32"/>
        <v>2.0016814475087608</v>
      </c>
      <c r="M460" t="str">
        <f t="shared" si="33"/>
        <v/>
      </c>
    </row>
    <row r="461" spans="1:13" x14ac:dyDescent="0.2">
      <c r="A461">
        <f>Final_Dataset!A432</f>
        <v>431</v>
      </c>
      <c r="B461" s="53">
        <f>Final_Dataset!B432</f>
        <v>40562</v>
      </c>
      <c r="C461">
        <f>Final_Dataset!F432</f>
        <v>23</v>
      </c>
      <c r="D461" t="str">
        <f>Final_Dataset!T432</f>
        <v>Wed</v>
      </c>
      <c r="E461" t="str">
        <f>Final_Dataset!X432</f>
        <v>Clear</v>
      </c>
      <c r="F461">
        <f>Final_Dataset!J432</f>
        <v>0.3</v>
      </c>
      <c r="G461">
        <f>Final_Dataset!L432</f>
        <v>0.52</v>
      </c>
      <c r="H461">
        <f>Final_Dataset!M432</f>
        <v>0.4627</v>
      </c>
      <c r="I461">
        <f>Final_Dataset!P432</f>
        <v>28</v>
      </c>
      <c r="J461" s="54">
        <f t="shared" si="30"/>
        <v>25.186046511627907</v>
      </c>
      <c r="K461" s="54">
        <f t="shared" si="31"/>
        <v>11.751911321656186</v>
      </c>
      <c r="L461" s="55">
        <f t="shared" si="32"/>
        <v>0.23944645354722816</v>
      </c>
      <c r="M461" t="str">
        <f t="shared" si="33"/>
        <v/>
      </c>
    </row>
    <row r="462" spans="1:13" x14ac:dyDescent="0.2">
      <c r="A462">
        <f>Final_Dataset!A433</f>
        <v>432</v>
      </c>
      <c r="B462" s="53">
        <f>Final_Dataset!B433</f>
        <v>40563</v>
      </c>
      <c r="C462">
        <f>Final_Dataset!F433</f>
        <v>0</v>
      </c>
      <c r="D462" t="str">
        <f>Final_Dataset!T433</f>
        <v>Thu</v>
      </c>
      <c r="E462" t="str">
        <f>Final_Dataset!X433</f>
        <v>Clear</v>
      </c>
      <c r="F462">
        <f>Final_Dataset!J433</f>
        <v>0.26</v>
      </c>
      <c r="G462">
        <f>Final_Dataset!L433</f>
        <v>0.56000000000000005</v>
      </c>
      <c r="H462">
        <f>Final_Dataset!M433</f>
        <v>0.3881</v>
      </c>
      <c r="I462">
        <f>Final_Dataset!P433</f>
        <v>13</v>
      </c>
      <c r="J462" s="54">
        <f t="shared" si="30"/>
        <v>16.348837209302324</v>
      </c>
      <c r="K462" s="54">
        <f t="shared" si="31"/>
        <v>10.442321674276208</v>
      </c>
      <c r="L462" s="55">
        <f t="shared" si="32"/>
        <v>-0.32069852986351749</v>
      </c>
      <c r="M462" t="str">
        <f t="shared" si="33"/>
        <v/>
      </c>
    </row>
    <row r="463" spans="1:13" x14ac:dyDescent="0.2">
      <c r="A463">
        <f>Final_Dataset!A434</f>
        <v>433</v>
      </c>
      <c r="B463" s="53">
        <f>Final_Dataset!B434</f>
        <v>40563</v>
      </c>
      <c r="C463">
        <f>Final_Dataset!F434</f>
        <v>1</v>
      </c>
      <c r="D463" t="str">
        <f>Final_Dataset!T434</f>
        <v>Thu</v>
      </c>
      <c r="E463" t="str">
        <f>Final_Dataset!X434</f>
        <v>Clear</v>
      </c>
      <c r="F463">
        <f>Final_Dataset!J434</f>
        <v>0.26</v>
      </c>
      <c r="G463">
        <f>Final_Dataset!L434</f>
        <v>0.56000000000000005</v>
      </c>
      <c r="H463">
        <f>Final_Dataset!M434</f>
        <v>0</v>
      </c>
      <c r="I463">
        <f>Final_Dataset!P434</f>
        <v>5</v>
      </c>
      <c r="J463" s="54">
        <f t="shared" si="30"/>
        <v>10.697674418604651</v>
      </c>
      <c r="K463" s="54">
        <f t="shared" si="31"/>
        <v>10.060613641515801</v>
      </c>
      <c r="L463" s="55">
        <f t="shared" si="32"/>
        <v>-0.56633468112648844</v>
      </c>
      <c r="M463" t="str">
        <f t="shared" si="33"/>
        <v/>
      </c>
    </row>
    <row r="464" spans="1:13" x14ac:dyDescent="0.2">
      <c r="A464">
        <f>Final_Dataset!A435</f>
        <v>434</v>
      </c>
      <c r="B464" s="53">
        <f>Final_Dataset!B435</f>
        <v>40563</v>
      </c>
      <c r="C464">
        <f>Final_Dataset!F435</f>
        <v>2</v>
      </c>
      <c r="D464" t="str">
        <f>Final_Dataset!T435</f>
        <v>Thu</v>
      </c>
      <c r="E464" t="str">
        <f>Final_Dataset!X435</f>
        <v>Clear</v>
      </c>
      <c r="F464">
        <f>Final_Dataset!J435</f>
        <v>0.26</v>
      </c>
      <c r="G464">
        <f>Final_Dataset!L435</f>
        <v>0.56000000000000005</v>
      </c>
      <c r="H464">
        <f>Final_Dataset!M435</f>
        <v>0</v>
      </c>
      <c r="I464">
        <f>Final_Dataset!P435</f>
        <v>2</v>
      </c>
      <c r="J464" s="54">
        <f t="shared" si="30"/>
        <v>7.1707317073170733</v>
      </c>
      <c r="K464" s="54">
        <f t="shared" si="31"/>
        <v>7.3685223723090862</v>
      </c>
      <c r="L464" s="55">
        <f t="shared" si="32"/>
        <v>-0.70173251108644086</v>
      </c>
      <c r="M464" t="str">
        <f t="shared" si="33"/>
        <v/>
      </c>
    </row>
    <row r="465" spans="1:13" x14ac:dyDescent="0.2">
      <c r="A465">
        <f>Final_Dataset!A436</f>
        <v>435</v>
      </c>
      <c r="B465" s="53">
        <f>Final_Dataset!B436</f>
        <v>40563</v>
      </c>
      <c r="C465">
        <f>Final_Dataset!F436</f>
        <v>3</v>
      </c>
      <c r="D465" t="str">
        <f>Final_Dataset!T436</f>
        <v>Thu</v>
      </c>
      <c r="E465" t="str">
        <f>Final_Dataset!X436</f>
        <v>Clear</v>
      </c>
      <c r="F465">
        <f>Final_Dataset!J436</f>
        <v>0.26</v>
      </c>
      <c r="G465">
        <f>Final_Dataset!L436</f>
        <v>0.56000000000000005</v>
      </c>
      <c r="H465">
        <f>Final_Dataset!M436</f>
        <v>0.16420000000000001</v>
      </c>
      <c r="I465">
        <f>Final_Dataset!P436</f>
        <v>1</v>
      </c>
      <c r="J465" s="54">
        <f t="shared" si="30"/>
        <v>4.870967741935484</v>
      </c>
      <c r="K465" s="54">
        <f t="shared" si="31"/>
        <v>4.4702120418303126</v>
      </c>
      <c r="L465" s="55">
        <f t="shared" si="32"/>
        <v>-0.86594723152115394</v>
      </c>
      <c r="M465" t="str">
        <f t="shared" si="33"/>
        <v/>
      </c>
    </row>
    <row r="466" spans="1:13" x14ac:dyDescent="0.2">
      <c r="A466">
        <f>Final_Dataset!A437</f>
        <v>436</v>
      </c>
      <c r="B466" s="53">
        <f>Final_Dataset!B437</f>
        <v>40563</v>
      </c>
      <c r="C466">
        <f>Final_Dataset!F437</f>
        <v>4</v>
      </c>
      <c r="D466" t="str">
        <f>Final_Dataset!T437</f>
        <v>Thu</v>
      </c>
      <c r="E466" t="str">
        <f>Final_Dataset!X437</f>
        <v>Clear</v>
      </c>
      <c r="F466">
        <f>Final_Dataset!J437</f>
        <v>0.26</v>
      </c>
      <c r="G466">
        <f>Final_Dataset!L437</f>
        <v>0.56000000000000005</v>
      </c>
      <c r="H466">
        <f>Final_Dataset!M437</f>
        <v>0.16420000000000001</v>
      </c>
      <c r="I466">
        <f>Final_Dataset!P437</f>
        <v>1</v>
      </c>
      <c r="J466" s="54">
        <f t="shared" si="30"/>
        <v>2.15625</v>
      </c>
      <c r="K466" s="54">
        <f t="shared" si="31"/>
        <v>1.5263148747143209</v>
      </c>
      <c r="L466" s="55">
        <f t="shared" si="32"/>
        <v>-0.75754355746314428</v>
      </c>
      <c r="M466" t="str">
        <f t="shared" si="33"/>
        <v/>
      </c>
    </row>
    <row r="467" spans="1:13" x14ac:dyDescent="0.2">
      <c r="A467">
        <f>Final_Dataset!A438</f>
        <v>437</v>
      </c>
      <c r="B467" s="53">
        <f>Final_Dataset!B438</f>
        <v>40563</v>
      </c>
      <c r="C467">
        <f>Final_Dataset!F438</f>
        <v>5</v>
      </c>
      <c r="D467" t="str">
        <f>Final_Dataset!T438</f>
        <v>Thu</v>
      </c>
      <c r="E467" t="str">
        <f>Final_Dataset!X438</f>
        <v>Clear</v>
      </c>
      <c r="F467">
        <f>Final_Dataset!J438</f>
        <v>0.24</v>
      </c>
      <c r="G467">
        <f>Final_Dataset!L438</f>
        <v>0.6</v>
      </c>
      <c r="H467">
        <f>Final_Dataset!M438</f>
        <v>0.22389999999999999</v>
      </c>
      <c r="I467">
        <f>Final_Dataset!P438</f>
        <v>6</v>
      </c>
      <c r="J467" s="54">
        <f t="shared" si="30"/>
        <v>4.2051282051282053</v>
      </c>
      <c r="K467" s="54">
        <f t="shared" si="31"/>
        <v>2.5358429220352288</v>
      </c>
      <c r="L467" s="55">
        <f t="shared" si="32"/>
        <v>0.70780085756702082</v>
      </c>
      <c r="M467" t="str">
        <f t="shared" si="33"/>
        <v/>
      </c>
    </row>
    <row r="468" spans="1:13" x14ac:dyDescent="0.2">
      <c r="A468">
        <f>Final_Dataset!A439</f>
        <v>438</v>
      </c>
      <c r="B468" s="53">
        <f>Final_Dataset!B439</f>
        <v>40563</v>
      </c>
      <c r="C468">
        <f>Final_Dataset!F439</f>
        <v>6</v>
      </c>
      <c r="D468" t="str">
        <f>Final_Dataset!T439</f>
        <v>Thu</v>
      </c>
      <c r="E468" t="str">
        <f>Final_Dataset!X439</f>
        <v>Clear</v>
      </c>
      <c r="F468">
        <f>Final_Dataset!J439</f>
        <v>0.22</v>
      </c>
      <c r="G468">
        <f>Final_Dataset!L439</f>
        <v>0.6</v>
      </c>
      <c r="H468">
        <f>Final_Dataset!M439</f>
        <v>0.22389999999999999</v>
      </c>
      <c r="I468">
        <f>Final_Dataset!P439</f>
        <v>35</v>
      </c>
      <c r="J468" s="54">
        <f t="shared" si="30"/>
        <v>19.571428571428573</v>
      </c>
      <c r="K468" s="54">
        <f t="shared" si="31"/>
        <v>14.202615453298934</v>
      </c>
      <c r="L468" s="55">
        <f t="shared" si="32"/>
        <v>1.0863190290058675</v>
      </c>
      <c r="M468" t="str">
        <f t="shared" si="33"/>
        <v/>
      </c>
    </row>
    <row r="469" spans="1:13" x14ac:dyDescent="0.2">
      <c r="A469">
        <f>Final_Dataset!A440</f>
        <v>439</v>
      </c>
      <c r="B469" s="53">
        <f>Final_Dataset!B440</f>
        <v>40563</v>
      </c>
      <c r="C469">
        <f>Final_Dataset!F440</f>
        <v>7</v>
      </c>
      <c r="D469" t="str">
        <f>Final_Dataset!T440</f>
        <v>Thu</v>
      </c>
      <c r="E469" t="str">
        <f>Final_Dataset!X440</f>
        <v>Clear</v>
      </c>
      <c r="F469">
        <f>Final_Dataset!J440</f>
        <v>0.22</v>
      </c>
      <c r="G469">
        <f>Final_Dataset!L440</f>
        <v>0.55000000000000004</v>
      </c>
      <c r="H469">
        <f>Final_Dataset!M440</f>
        <v>0.22389999999999999</v>
      </c>
      <c r="I469">
        <f>Final_Dataset!P440</f>
        <v>101</v>
      </c>
      <c r="J469" s="54">
        <f t="shared" si="30"/>
        <v>54.395348837209305</v>
      </c>
      <c r="K469" s="54">
        <f t="shared" si="31"/>
        <v>39.112864486352777</v>
      </c>
      <c r="L469" s="55">
        <f t="shared" si="32"/>
        <v>1.1915427769053311</v>
      </c>
      <c r="M469" t="str">
        <f t="shared" si="33"/>
        <v/>
      </c>
    </row>
    <row r="470" spans="1:13" x14ac:dyDescent="0.2">
      <c r="A470">
        <f>Final_Dataset!A441</f>
        <v>440</v>
      </c>
      <c r="B470" s="53">
        <f>Final_Dataset!B441</f>
        <v>40563</v>
      </c>
      <c r="C470">
        <f>Final_Dataset!F441</f>
        <v>8</v>
      </c>
      <c r="D470" t="str">
        <f>Final_Dataset!T441</f>
        <v>Thu</v>
      </c>
      <c r="E470" t="str">
        <f>Final_Dataset!X441</f>
        <v>Clear</v>
      </c>
      <c r="F470">
        <f>Final_Dataset!J441</f>
        <v>0.22</v>
      </c>
      <c r="G470">
        <f>Final_Dataset!L441</f>
        <v>0.55000000000000004</v>
      </c>
      <c r="H470">
        <f>Final_Dataset!M441</f>
        <v>0.28360000000000002</v>
      </c>
      <c r="I470">
        <f>Final_Dataset!P441</f>
        <v>249</v>
      </c>
      <c r="J470" s="54">
        <f t="shared" si="30"/>
        <v>128.28571428571428</v>
      </c>
      <c r="K470" s="54">
        <f t="shared" si="31"/>
        <v>88.551565717048533</v>
      </c>
      <c r="L470" s="55">
        <f t="shared" si="32"/>
        <v>1.3632089363615285</v>
      </c>
      <c r="M470" t="str">
        <f t="shared" si="33"/>
        <v/>
      </c>
    </row>
    <row r="471" spans="1:13" x14ac:dyDescent="0.2">
      <c r="A471">
        <f>Final_Dataset!A442</f>
        <v>441</v>
      </c>
      <c r="B471" s="53">
        <f>Final_Dataset!B442</f>
        <v>40563</v>
      </c>
      <c r="C471">
        <f>Final_Dataset!F442</f>
        <v>9</v>
      </c>
      <c r="D471" t="str">
        <f>Final_Dataset!T442</f>
        <v>Thu</v>
      </c>
      <c r="E471" t="str">
        <f>Final_Dataset!X442</f>
        <v>Cloudy/Mist</v>
      </c>
      <c r="F471">
        <f>Final_Dataset!J442</f>
        <v>0.24</v>
      </c>
      <c r="G471">
        <f>Final_Dataset!L442</f>
        <v>0.52</v>
      </c>
      <c r="H471">
        <f>Final_Dataset!M442</f>
        <v>0.22389999999999999</v>
      </c>
      <c r="I471">
        <f>Final_Dataset!P442</f>
        <v>143</v>
      </c>
      <c r="J471" s="54">
        <f t="shared" si="30"/>
        <v>87.428571428571431</v>
      </c>
      <c r="K471" s="54">
        <f t="shared" si="31"/>
        <v>45.93852884078624</v>
      </c>
      <c r="L471" s="55">
        <f t="shared" si="32"/>
        <v>1.2096910800959264</v>
      </c>
      <c r="M471" t="str">
        <f t="shared" si="33"/>
        <v/>
      </c>
    </row>
    <row r="472" spans="1:13" x14ac:dyDescent="0.2">
      <c r="A472">
        <f>Final_Dataset!A443</f>
        <v>442</v>
      </c>
      <c r="B472" s="53">
        <f>Final_Dataset!B443</f>
        <v>40563</v>
      </c>
      <c r="C472">
        <f>Final_Dataset!F443</f>
        <v>10</v>
      </c>
      <c r="D472" t="str">
        <f>Final_Dataset!T443</f>
        <v>Thu</v>
      </c>
      <c r="E472" t="str">
        <f>Final_Dataset!X443</f>
        <v>Clear</v>
      </c>
      <c r="F472">
        <f>Final_Dataset!J443</f>
        <v>0.26</v>
      </c>
      <c r="G472">
        <f>Final_Dataset!L443</f>
        <v>0.48</v>
      </c>
      <c r="H472">
        <f>Final_Dataset!M443</f>
        <v>0.29849999999999999</v>
      </c>
      <c r="I472">
        <f>Final_Dataset!P443</f>
        <v>57</v>
      </c>
      <c r="J472" s="54">
        <f t="shared" si="30"/>
        <v>53.642857142857146</v>
      </c>
      <c r="K472" s="54">
        <f t="shared" si="31"/>
        <v>15.395313554536934</v>
      </c>
      <c r="L472" s="55">
        <f t="shared" si="32"/>
        <v>0.2180626490815134</v>
      </c>
      <c r="M472" t="str">
        <f t="shared" si="33"/>
        <v/>
      </c>
    </row>
    <row r="473" spans="1:13" x14ac:dyDescent="0.2">
      <c r="A473">
        <f>Final_Dataset!A444</f>
        <v>443</v>
      </c>
      <c r="B473" s="53">
        <f>Final_Dataset!B444</f>
        <v>40563</v>
      </c>
      <c r="C473">
        <f>Final_Dataset!F444</f>
        <v>11</v>
      </c>
      <c r="D473" t="str">
        <f>Final_Dataset!T444</f>
        <v>Thu</v>
      </c>
      <c r="E473" t="str">
        <f>Final_Dataset!X444</f>
        <v>Cloudy/Mist</v>
      </c>
      <c r="F473">
        <f>Final_Dataset!J444</f>
        <v>0.28000000000000003</v>
      </c>
      <c r="G473">
        <f>Final_Dataset!L444</f>
        <v>0.45</v>
      </c>
      <c r="H473">
        <f>Final_Dataset!M444</f>
        <v>0.16420000000000001</v>
      </c>
      <c r="I473">
        <f>Final_Dataset!P444</f>
        <v>68</v>
      </c>
      <c r="J473" s="54">
        <f t="shared" si="30"/>
        <v>59.38095238095238</v>
      </c>
      <c r="K473" s="54">
        <f t="shared" si="31"/>
        <v>20.89573696860419</v>
      </c>
      <c r="L473" s="55">
        <f t="shared" si="32"/>
        <v>0.41247875736556816</v>
      </c>
      <c r="M473" t="str">
        <f t="shared" si="33"/>
        <v/>
      </c>
    </row>
    <row r="474" spans="1:13" x14ac:dyDescent="0.2">
      <c r="A474">
        <f>Final_Dataset!A445</f>
        <v>444</v>
      </c>
      <c r="B474" s="53">
        <f>Final_Dataset!B445</f>
        <v>40563</v>
      </c>
      <c r="C474">
        <f>Final_Dataset!F445</f>
        <v>12</v>
      </c>
      <c r="D474" t="str">
        <f>Final_Dataset!T445</f>
        <v>Thu</v>
      </c>
      <c r="E474" t="str">
        <f>Final_Dataset!X445</f>
        <v>Cloudy/Mist</v>
      </c>
      <c r="F474">
        <f>Final_Dataset!J445</f>
        <v>0.3</v>
      </c>
      <c r="G474">
        <f>Final_Dataset!L445</f>
        <v>0.42</v>
      </c>
      <c r="H474">
        <f>Final_Dataset!M445</f>
        <v>0</v>
      </c>
      <c r="I474">
        <f>Final_Dataset!P445</f>
        <v>84</v>
      </c>
      <c r="J474" s="54">
        <f t="shared" si="30"/>
        <v>76.348837209302332</v>
      </c>
      <c r="K474" s="54">
        <f t="shared" si="31"/>
        <v>29.034366927857057</v>
      </c>
      <c r="L474" s="55">
        <f t="shared" si="32"/>
        <v>0.26352090988272081</v>
      </c>
      <c r="M474" t="str">
        <f t="shared" si="33"/>
        <v/>
      </c>
    </row>
    <row r="475" spans="1:13" x14ac:dyDescent="0.2">
      <c r="A475">
        <f>Final_Dataset!A446</f>
        <v>445</v>
      </c>
      <c r="B475" s="53">
        <f>Final_Dataset!B446</f>
        <v>40563</v>
      </c>
      <c r="C475">
        <f>Final_Dataset!F446</f>
        <v>13</v>
      </c>
      <c r="D475" t="str">
        <f>Final_Dataset!T446</f>
        <v>Thu</v>
      </c>
      <c r="E475" t="str">
        <f>Final_Dataset!X446</f>
        <v>Cloudy/Mist</v>
      </c>
      <c r="F475">
        <f>Final_Dataset!J446</f>
        <v>0.28000000000000003</v>
      </c>
      <c r="G475">
        <f>Final_Dataset!L446</f>
        <v>0.45</v>
      </c>
      <c r="H475">
        <f>Final_Dataset!M446</f>
        <v>0.1045</v>
      </c>
      <c r="I475">
        <f>Final_Dataset!P446</f>
        <v>98</v>
      </c>
      <c r="J475" s="54">
        <f t="shared" si="30"/>
        <v>78.511627906976742</v>
      </c>
      <c r="K475" s="54">
        <f t="shared" si="31"/>
        <v>30.072430098825173</v>
      </c>
      <c r="L475" s="55">
        <f t="shared" si="32"/>
        <v>0.64804779756673547</v>
      </c>
      <c r="M475" t="str">
        <f t="shared" si="33"/>
        <v/>
      </c>
    </row>
    <row r="476" spans="1:13" x14ac:dyDescent="0.2">
      <c r="A476">
        <f>Final_Dataset!A447</f>
        <v>446</v>
      </c>
      <c r="B476" s="53">
        <f>Final_Dataset!B447</f>
        <v>40563</v>
      </c>
      <c r="C476">
        <f>Final_Dataset!F447</f>
        <v>14</v>
      </c>
      <c r="D476" t="str">
        <f>Final_Dataset!T447</f>
        <v>Thu</v>
      </c>
      <c r="E476" t="str">
        <f>Final_Dataset!X447</f>
        <v>Cloudy/Mist</v>
      </c>
      <c r="F476">
        <f>Final_Dataset!J447</f>
        <v>0.3</v>
      </c>
      <c r="G476">
        <f>Final_Dataset!L447</f>
        <v>0.45</v>
      </c>
      <c r="H476">
        <f>Final_Dataset!M447</f>
        <v>0.1343</v>
      </c>
      <c r="I476">
        <f>Final_Dataset!P447</f>
        <v>81</v>
      </c>
      <c r="J476" s="54">
        <f t="shared" si="30"/>
        <v>74.418604651162795</v>
      </c>
      <c r="K476" s="54">
        <f t="shared" si="31"/>
        <v>30.305769180565147</v>
      </c>
      <c r="L476" s="55">
        <f t="shared" si="32"/>
        <v>0.21716641836821626</v>
      </c>
      <c r="M476" t="str">
        <f t="shared" si="33"/>
        <v/>
      </c>
    </row>
    <row r="477" spans="1:13" x14ac:dyDescent="0.2">
      <c r="A477">
        <f>Final_Dataset!A448</f>
        <v>447</v>
      </c>
      <c r="B477" s="53">
        <f>Final_Dataset!B448</f>
        <v>40563</v>
      </c>
      <c r="C477">
        <f>Final_Dataset!F448</f>
        <v>15</v>
      </c>
      <c r="D477" t="str">
        <f>Final_Dataset!T448</f>
        <v>Thu</v>
      </c>
      <c r="E477" t="str">
        <f>Final_Dataset!X448</f>
        <v>Cloudy/Mist</v>
      </c>
      <c r="F477">
        <f>Final_Dataset!J448</f>
        <v>0.32</v>
      </c>
      <c r="G477">
        <f>Final_Dataset!L448</f>
        <v>0.45</v>
      </c>
      <c r="H477">
        <f>Final_Dataset!M448</f>
        <v>0.19400000000000001</v>
      </c>
      <c r="I477">
        <f>Final_Dataset!P448</f>
        <v>70</v>
      </c>
      <c r="J477" s="54">
        <f t="shared" si="30"/>
        <v>77.95348837209302</v>
      </c>
      <c r="K477" s="54">
        <f t="shared" si="31"/>
        <v>34.481156681772681</v>
      </c>
      <c r="L477" s="55">
        <f t="shared" si="32"/>
        <v>-0.23066187847165137</v>
      </c>
      <c r="M477" t="str">
        <f t="shared" si="33"/>
        <v/>
      </c>
    </row>
    <row r="478" spans="1:13" x14ac:dyDescent="0.2">
      <c r="A478">
        <f>Final_Dataset!A449</f>
        <v>448</v>
      </c>
      <c r="B478" s="53">
        <f>Final_Dataset!B449</f>
        <v>40563</v>
      </c>
      <c r="C478">
        <f>Final_Dataset!F449</f>
        <v>16</v>
      </c>
      <c r="D478" t="str">
        <f>Final_Dataset!T449</f>
        <v>Thu</v>
      </c>
      <c r="E478" t="str">
        <f>Final_Dataset!X449</f>
        <v>Cloudy/Mist</v>
      </c>
      <c r="F478">
        <f>Final_Dataset!J449</f>
        <v>0.3</v>
      </c>
      <c r="G478">
        <f>Final_Dataset!L449</f>
        <v>0.49</v>
      </c>
      <c r="H478">
        <f>Final_Dataset!M449</f>
        <v>0.1343</v>
      </c>
      <c r="I478">
        <f>Final_Dataset!P449</f>
        <v>91</v>
      </c>
      <c r="J478" s="54">
        <f t="shared" si="30"/>
        <v>89.272727272727266</v>
      </c>
      <c r="K478" s="54">
        <f t="shared" si="31"/>
        <v>25.461657115880747</v>
      </c>
      <c r="L478" s="55">
        <f t="shared" si="32"/>
        <v>6.7838189769487259E-2</v>
      </c>
      <c r="M478" t="str">
        <f t="shared" si="33"/>
        <v/>
      </c>
    </row>
    <row r="479" spans="1:13" x14ac:dyDescent="0.2">
      <c r="A479">
        <f>Final_Dataset!A450</f>
        <v>449</v>
      </c>
      <c r="B479" s="53">
        <f>Final_Dataset!B450</f>
        <v>40563</v>
      </c>
      <c r="C479">
        <f>Final_Dataset!F450</f>
        <v>17</v>
      </c>
      <c r="D479" t="str">
        <f>Final_Dataset!T450</f>
        <v>Thu</v>
      </c>
      <c r="E479" t="str">
        <f>Final_Dataset!X450</f>
        <v>Cloudy/Mist</v>
      </c>
      <c r="F479">
        <f>Final_Dataset!J450</f>
        <v>0.3</v>
      </c>
      <c r="G479">
        <f>Final_Dataset!L450</f>
        <v>0.49</v>
      </c>
      <c r="H479">
        <f>Final_Dataset!M450</f>
        <v>0.1045</v>
      </c>
      <c r="I479">
        <f>Final_Dataset!P450</f>
        <v>215</v>
      </c>
      <c r="J479" s="54">
        <f t="shared" ref="J479:J542" si="34">INDEX($F$5:$F$28,MATCH(C479,$D$5:$D$28,0))</f>
        <v>140.20454545454547</v>
      </c>
      <c r="K479" s="54">
        <f t="shared" ref="K479:K542" si="35">INDEX($G$5:$G$28,MATCH(C479,$D$5:$D$28,0))</f>
        <v>54.067391000084569</v>
      </c>
      <c r="L479" s="55">
        <f t="shared" ref="L479:L542" si="36">IF(K479=0,0,(I479-J479)/K479)</f>
        <v>1.383374584235765</v>
      </c>
      <c r="M479" t="str">
        <f t="shared" ref="M479:M542" si="37">IF(ABS(L479)&gt;=$B$4,IF(L479&gt;0,"High","Low"),"")</f>
        <v/>
      </c>
    </row>
    <row r="480" spans="1:13" x14ac:dyDescent="0.2">
      <c r="A480">
        <f>Final_Dataset!A451</f>
        <v>450</v>
      </c>
      <c r="B480" s="53">
        <f>Final_Dataset!B451</f>
        <v>40563</v>
      </c>
      <c r="C480">
        <f>Final_Dataset!F451</f>
        <v>18</v>
      </c>
      <c r="D480" t="str">
        <f>Final_Dataset!T451</f>
        <v>Thu</v>
      </c>
      <c r="E480" t="str">
        <f>Final_Dataset!X451</f>
        <v>Cloudy/Mist</v>
      </c>
      <c r="F480">
        <f>Final_Dataset!J451</f>
        <v>0.26</v>
      </c>
      <c r="G480">
        <f>Final_Dataset!L451</f>
        <v>0.56000000000000005</v>
      </c>
      <c r="H480">
        <f>Final_Dataset!M451</f>
        <v>0.19400000000000001</v>
      </c>
      <c r="I480">
        <f>Final_Dataset!P451</f>
        <v>185</v>
      </c>
      <c r="J480" s="54">
        <f t="shared" si="34"/>
        <v>122.86046511627907</v>
      </c>
      <c r="K480" s="54">
        <f t="shared" si="35"/>
        <v>48.613432101949947</v>
      </c>
      <c r="L480" s="55">
        <f t="shared" si="36"/>
        <v>1.2782379724477102</v>
      </c>
      <c r="M480" t="str">
        <f t="shared" si="37"/>
        <v/>
      </c>
    </row>
    <row r="481" spans="1:13" x14ac:dyDescent="0.2">
      <c r="A481">
        <f>Final_Dataset!A452</f>
        <v>451</v>
      </c>
      <c r="B481" s="53">
        <f>Final_Dataset!B452</f>
        <v>40563</v>
      </c>
      <c r="C481">
        <f>Final_Dataset!F452</f>
        <v>19</v>
      </c>
      <c r="D481" t="str">
        <f>Final_Dataset!T452</f>
        <v>Thu</v>
      </c>
      <c r="E481" t="str">
        <f>Final_Dataset!X452</f>
        <v>Clear</v>
      </c>
      <c r="F481">
        <f>Final_Dataset!J452</f>
        <v>0.26</v>
      </c>
      <c r="G481">
        <f>Final_Dataset!L452</f>
        <v>0.56000000000000005</v>
      </c>
      <c r="H481">
        <f>Final_Dataset!M452</f>
        <v>0.32840000000000003</v>
      </c>
      <c r="I481">
        <f>Final_Dataset!P452</f>
        <v>152</v>
      </c>
      <c r="J481" s="54">
        <f t="shared" si="34"/>
        <v>85.139534883720927</v>
      </c>
      <c r="K481" s="54">
        <f t="shared" si="35"/>
        <v>31.690904054294759</v>
      </c>
      <c r="L481" s="55">
        <f t="shared" si="36"/>
        <v>2.1097683108607352</v>
      </c>
      <c r="M481" t="str">
        <f t="shared" si="37"/>
        <v/>
      </c>
    </row>
    <row r="482" spans="1:13" x14ac:dyDescent="0.2">
      <c r="A482">
        <f>Final_Dataset!A453</f>
        <v>452</v>
      </c>
      <c r="B482" s="53">
        <f>Final_Dataset!B453</f>
        <v>40563</v>
      </c>
      <c r="C482">
        <f>Final_Dataset!F453</f>
        <v>20</v>
      </c>
      <c r="D482" t="str">
        <f>Final_Dataset!T453</f>
        <v>Thu</v>
      </c>
      <c r="E482" t="str">
        <f>Final_Dataset!X453</f>
        <v>Cloudy/Mist</v>
      </c>
      <c r="F482">
        <f>Final_Dataset!J453</f>
        <v>0.26</v>
      </c>
      <c r="G482">
        <f>Final_Dataset!L453</f>
        <v>0.6</v>
      </c>
      <c r="H482">
        <f>Final_Dataset!M453</f>
        <v>0.28360000000000002</v>
      </c>
      <c r="I482">
        <f>Final_Dataset!P453</f>
        <v>126</v>
      </c>
      <c r="J482" s="54">
        <f t="shared" si="34"/>
        <v>61.767441860465119</v>
      </c>
      <c r="K482" s="54">
        <f t="shared" si="35"/>
        <v>24.6323801696856</v>
      </c>
      <c r="L482" s="55">
        <f t="shared" si="36"/>
        <v>2.6076472390022687</v>
      </c>
      <c r="M482" t="str">
        <f t="shared" si="37"/>
        <v/>
      </c>
    </row>
    <row r="483" spans="1:13" x14ac:dyDescent="0.2">
      <c r="A483">
        <f>Final_Dataset!A454</f>
        <v>453</v>
      </c>
      <c r="B483" s="53">
        <f>Final_Dataset!B454</f>
        <v>40563</v>
      </c>
      <c r="C483">
        <f>Final_Dataset!F454</f>
        <v>21</v>
      </c>
      <c r="D483" t="str">
        <f>Final_Dataset!T454</f>
        <v>Thu</v>
      </c>
      <c r="E483" t="str">
        <f>Final_Dataset!X454</f>
        <v>Cloudy/Mist</v>
      </c>
      <c r="F483">
        <f>Final_Dataset!J454</f>
        <v>0.24</v>
      </c>
      <c r="G483">
        <f>Final_Dataset!L454</f>
        <v>0.6</v>
      </c>
      <c r="H483">
        <f>Final_Dataset!M454</f>
        <v>0.25369999999999998</v>
      </c>
      <c r="I483">
        <f>Final_Dataset!P454</f>
        <v>57</v>
      </c>
      <c r="J483" s="54">
        <f t="shared" si="34"/>
        <v>46.418604651162788</v>
      </c>
      <c r="K483" s="54">
        <f t="shared" si="35"/>
        <v>14.656759464719499</v>
      </c>
      <c r="L483" s="55">
        <f t="shared" si="36"/>
        <v>0.72194644213871717</v>
      </c>
      <c r="M483" t="str">
        <f t="shared" si="37"/>
        <v/>
      </c>
    </row>
    <row r="484" spans="1:13" x14ac:dyDescent="0.2">
      <c r="A484">
        <f>Final_Dataset!A455</f>
        <v>454</v>
      </c>
      <c r="B484" s="53">
        <f>Final_Dataset!B455</f>
        <v>40563</v>
      </c>
      <c r="C484">
        <f>Final_Dataset!F455</f>
        <v>22</v>
      </c>
      <c r="D484" t="str">
        <f>Final_Dataset!T455</f>
        <v>Thu</v>
      </c>
      <c r="E484" t="str">
        <f>Final_Dataset!X455</f>
        <v>Cloudy/Mist</v>
      </c>
      <c r="F484">
        <f>Final_Dataset!J455</f>
        <v>0.24</v>
      </c>
      <c r="G484">
        <f>Final_Dataset!L455</f>
        <v>0.65</v>
      </c>
      <c r="H484">
        <f>Final_Dataset!M455</f>
        <v>0.28360000000000002</v>
      </c>
      <c r="I484">
        <f>Final_Dataset!P455</f>
        <v>56</v>
      </c>
      <c r="J484" s="54">
        <f t="shared" si="34"/>
        <v>35.069767441860463</v>
      </c>
      <c r="K484" s="54">
        <f t="shared" si="35"/>
        <v>11.95506537162667</v>
      </c>
      <c r="L484" s="55">
        <f t="shared" si="36"/>
        <v>1.7507417908239893</v>
      </c>
      <c r="M484" t="str">
        <f t="shared" si="37"/>
        <v/>
      </c>
    </row>
    <row r="485" spans="1:13" x14ac:dyDescent="0.2">
      <c r="A485">
        <f>Final_Dataset!A456</f>
        <v>455</v>
      </c>
      <c r="B485" s="53">
        <f>Final_Dataset!B456</f>
        <v>40563</v>
      </c>
      <c r="C485">
        <f>Final_Dataset!F456</f>
        <v>23</v>
      </c>
      <c r="D485" t="str">
        <f>Final_Dataset!T456</f>
        <v>Thu</v>
      </c>
      <c r="E485" t="str">
        <f>Final_Dataset!X456</f>
        <v>Cloudy/Mist</v>
      </c>
      <c r="F485">
        <f>Final_Dataset!J456</f>
        <v>0.24</v>
      </c>
      <c r="G485">
        <f>Final_Dataset!L456</f>
        <v>0.65</v>
      </c>
      <c r="H485">
        <f>Final_Dataset!M456</f>
        <v>0.32840000000000003</v>
      </c>
      <c r="I485">
        <f>Final_Dataset!P456</f>
        <v>31</v>
      </c>
      <c r="J485" s="54">
        <f t="shared" si="34"/>
        <v>25.186046511627907</v>
      </c>
      <c r="K485" s="54">
        <f t="shared" si="35"/>
        <v>11.751911321656186</v>
      </c>
      <c r="L485" s="55">
        <f t="shared" si="36"/>
        <v>0.49472407757691772</v>
      </c>
      <c r="M485" t="str">
        <f t="shared" si="37"/>
        <v/>
      </c>
    </row>
    <row r="486" spans="1:13" x14ac:dyDescent="0.2">
      <c r="A486">
        <f>Final_Dataset!A457</f>
        <v>456</v>
      </c>
      <c r="B486" s="53">
        <f>Final_Dataset!B457</f>
        <v>40564</v>
      </c>
      <c r="C486">
        <f>Final_Dataset!F457</f>
        <v>0</v>
      </c>
      <c r="D486" t="str">
        <f>Final_Dataset!T457</f>
        <v>Fri</v>
      </c>
      <c r="E486" t="str">
        <f>Final_Dataset!X457</f>
        <v>Cloudy/Mist</v>
      </c>
      <c r="F486">
        <f>Final_Dataset!J457</f>
        <v>0.24</v>
      </c>
      <c r="G486">
        <f>Final_Dataset!L457</f>
        <v>0.7</v>
      </c>
      <c r="H486">
        <f>Final_Dataset!M457</f>
        <v>0.25369999999999998</v>
      </c>
      <c r="I486">
        <f>Final_Dataset!P457</f>
        <v>21</v>
      </c>
      <c r="J486" s="54">
        <f t="shared" si="34"/>
        <v>16.348837209302324</v>
      </c>
      <c r="K486" s="54">
        <f t="shared" si="35"/>
        <v>10.442321674276208</v>
      </c>
      <c r="L486" s="55">
        <f t="shared" si="36"/>
        <v>0.4454146248104412</v>
      </c>
      <c r="M486" t="str">
        <f t="shared" si="37"/>
        <v/>
      </c>
    </row>
    <row r="487" spans="1:13" x14ac:dyDescent="0.2">
      <c r="A487">
        <f>Final_Dataset!A458</f>
        <v>457</v>
      </c>
      <c r="B487" s="53">
        <f>Final_Dataset!B458</f>
        <v>40564</v>
      </c>
      <c r="C487">
        <f>Final_Dataset!F458</f>
        <v>1</v>
      </c>
      <c r="D487" t="str">
        <f>Final_Dataset!T458</f>
        <v>Fri</v>
      </c>
      <c r="E487" t="str">
        <f>Final_Dataset!X458</f>
        <v>Cloudy/Mist</v>
      </c>
      <c r="F487">
        <f>Final_Dataset!J458</f>
        <v>0.24</v>
      </c>
      <c r="G487">
        <f>Final_Dataset!L458</f>
        <v>0.7</v>
      </c>
      <c r="H487">
        <f>Final_Dataset!M458</f>
        <v>0.25369999999999998</v>
      </c>
      <c r="I487">
        <f>Final_Dataset!P458</f>
        <v>6</v>
      </c>
      <c r="J487" s="54">
        <f t="shared" si="34"/>
        <v>10.697674418604651</v>
      </c>
      <c r="K487" s="54">
        <f t="shared" si="35"/>
        <v>10.060613641515801</v>
      </c>
      <c r="L487" s="55">
        <f t="shared" si="36"/>
        <v>-0.4669371656634721</v>
      </c>
      <c r="M487" t="str">
        <f t="shared" si="37"/>
        <v/>
      </c>
    </row>
    <row r="488" spans="1:13" x14ac:dyDescent="0.2">
      <c r="A488">
        <f>Final_Dataset!A459</f>
        <v>458</v>
      </c>
      <c r="B488" s="53">
        <f>Final_Dataset!B459</f>
        <v>40564</v>
      </c>
      <c r="C488">
        <f>Final_Dataset!F459</f>
        <v>2</v>
      </c>
      <c r="D488" t="str">
        <f>Final_Dataset!T459</f>
        <v>Fri</v>
      </c>
      <c r="E488" t="str">
        <f>Final_Dataset!X459</f>
        <v>Light Rain/Snow</v>
      </c>
      <c r="F488">
        <f>Final_Dataset!J459</f>
        <v>0.24</v>
      </c>
      <c r="G488">
        <f>Final_Dataset!L459</f>
        <v>0.75</v>
      </c>
      <c r="H488">
        <f>Final_Dataset!M459</f>
        <v>0.16420000000000001</v>
      </c>
      <c r="I488">
        <f>Final_Dataset!P459</f>
        <v>2</v>
      </c>
      <c r="J488" s="54">
        <f t="shared" si="34"/>
        <v>7.1707317073170733</v>
      </c>
      <c r="K488" s="54">
        <f t="shared" si="35"/>
        <v>7.3685223723090862</v>
      </c>
      <c r="L488" s="55">
        <f t="shared" si="36"/>
        <v>-0.70173251108644086</v>
      </c>
      <c r="M488" t="str">
        <f t="shared" si="37"/>
        <v/>
      </c>
    </row>
    <row r="489" spans="1:13" x14ac:dyDescent="0.2">
      <c r="A489">
        <f>Final_Dataset!A460</f>
        <v>459</v>
      </c>
      <c r="B489" s="53">
        <f>Final_Dataset!B460</f>
        <v>40564</v>
      </c>
      <c r="C489">
        <f>Final_Dataset!F460</f>
        <v>3</v>
      </c>
      <c r="D489" t="str">
        <f>Final_Dataset!T460</f>
        <v>Fri</v>
      </c>
      <c r="E489" t="str">
        <f>Final_Dataset!X460</f>
        <v>Light Rain/Snow</v>
      </c>
      <c r="F489">
        <f>Final_Dataset!J460</f>
        <v>0.22</v>
      </c>
      <c r="G489">
        <f>Final_Dataset!L460</f>
        <v>0.8</v>
      </c>
      <c r="H489">
        <f>Final_Dataset!M460</f>
        <v>0.29849999999999999</v>
      </c>
      <c r="I489">
        <f>Final_Dataset!P460</f>
        <v>1</v>
      </c>
      <c r="J489" s="54">
        <f t="shared" si="34"/>
        <v>4.870967741935484</v>
      </c>
      <c r="K489" s="54">
        <f t="shared" si="35"/>
        <v>4.4702120418303126</v>
      </c>
      <c r="L489" s="55">
        <f t="shared" si="36"/>
        <v>-0.86594723152115394</v>
      </c>
      <c r="M489" t="str">
        <f t="shared" si="37"/>
        <v/>
      </c>
    </row>
    <row r="490" spans="1:13" x14ac:dyDescent="0.2">
      <c r="A490">
        <f>Final_Dataset!A461</f>
        <v>460</v>
      </c>
      <c r="B490" s="53">
        <f>Final_Dataset!B461</f>
        <v>40564</v>
      </c>
      <c r="C490">
        <f>Final_Dataset!F461</f>
        <v>4</v>
      </c>
      <c r="D490" t="str">
        <f>Final_Dataset!T461</f>
        <v>Fri</v>
      </c>
      <c r="E490" t="str">
        <f>Final_Dataset!X461</f>
        <v>Cloudy/Mist</v>
      </c>
      <c r="F490">
        <f>Final_Dataset!J461</f>
        <v>0.22</v>
      </c>
      <c r="G490">
        <f>Final_Dataset!L461</f>
        <v>0.87</v>
      </c>
      <c r="H490">
        <f>Final_Dataset!M461</f>
        <v>8.9599999999999999E-2</v>
      </c>
      <c r="I490">
        <f>Final_Dataset!P461</f>
        <v>1</v>
      </c>
      <c r="J490" s="54">
        <f t="shared" si="34"/>
        <v>2.15625</v>
      </c>
      <c r="K490" s="54">
        <f t="shared" si="35"/>
        <v>1.5263148747143209</v>
      </c>
      <c r="L490" s="55">
        <f t="shared" si="36"/>
        <v>-0.75754355746314428</v>
      </c>
      <c r="M490" t="str">
        <f t="shared" si="37"/>
        <v/>
      </c>
    </row>
    <row r="491" spans="1:13" x14ac:dyDescent="0.2">
      <c r="A491">
        <f>Final_Dataset!A462</f>
        <v>461</v>
      </c>
      <c r="B491" s="53">
        <f>Final_Dataset!B462</f>
        <v>40564</v>
      </c>
      <c r="C491">
        <f>Final_Dataset!F462</f>
        <v>5</v>
      </c>
      <c r="D491" t="str">
        <f>Final_Dataset!T462</f>
        <v>Fri</v>
      </c>
      <c r="E491" t="str">
        <f>Final_Dataset!X462</f>
        <v>Clear</v>
      </c>
      <c r="F491">
        <f>Final_Dataset!J462</f>
        <v>0.24</v>
      </c>
      <c r="G491">
        <f>Final_Dataset!L462</f>
        <v>0.6</v>
      </c>
      <c r="H491">
        <f>Final_Dataset!M462</f>
        <v>0.41789999999999999</v>
      </c>
      <c r="I491">
        <f>Final_Dataset!P462</f>
        <v>5</v>
      </c>
      <c r="J491" s="54">
        <f t="shared" si="34"/>
        <v>4.2051282051282053</v>
      </c>
      <c r="K491" s="54">
        <f t="shared" si="35"/>
        <v>2.5358429220352288</v>
      </c>
      <c r="L491" s="55">
        <f t="shared" si="36"/>
        <v>0.31345466549396633</v>
      </c>
      <c r="M491" t="str">
        <f t="shared" si="37"/>
        <v/>
      </c>
    </row>
    <row r="492" spans="1:13" x14ac:dyDescent="0.2">
      <c r="A492">
        <f>Final_Dataset!A463</f>
        <v>462</v>
      </c>
      <c r="B492" s="53">
        <f>Final_Dataset!B463</f>
        <v>40564</v>
      </c>
      <c r="C492">
        <f>Final_Dataset!F463</f>
        <v>6</v>
      </c>
      <c r="D492" t="str">
        <f>Final_Dataset!T463</f>
        <v>Fri</v>
      </c>
      <c r="E492" t="str">
        <f>Final_Dataset!X463</f>
        <v>Clear</v>
      </c>
      <c r="F492">
        <f>Final_Dataset!J463</f>
        <v>0.22</v>
      </c>
      <c r="G492">
        <f>Final_Dataset!L463</f>
        <v>0.55000000000000004</v>
      </c>
      <c r="H492">
        <f>Final_Dataset!M463</f>
        <v>0.25369999999999998</v>
      </c>
      <c r="I492">
        <f>Final_Dataset!P463</f>
        <v>27</v>
      </c>
      <c r="J492" s="54">
        <f t="shared" si="34"/>
        <v>19.571428571428573</v>
      </c>
      <c r="K492" s="54">
        <f t="shared" si="35"/>
        <v>14.202615453298934</v>
      </c>
      <c r="L492" s="55">
        <f t="shared" si="36"/>
        <v>0.52304249544726944</v>
      </c>
      <c r="M492" t="str">
        <f t="shared" si="37"/>
        <v/>
      </c>
    </row>
    <row r="493" spans="1:13" x14ac:dyDescent="0.2">
      <c r="A493">
        <f>Final_Dataset!A464</f>
        <v>463</v>
      </c>
      <c r="B493" s="53">
        <f>Final_Dataset!B464</f>
        <v>40564</v>
      </c>
      <c r="C493">
        <f>Final_Dataset!F464</f>
        <v>7</v>
      </c>
      <c r="D493" t="str">
        <f>Final_Dataset!T464</f>
        <v>Fri</v>
      </c>
      <c r="E493" t="str">
        <f>Final_Dataset!X464</f>
        <v>Clear</v>
      </c>
      <c r="F493">
        <f>Final_Dataset!J464</f>
        <v>0.2</v>
      </c>
      <c r="G493">
        <f>Final_Dataset!L464</f>
        <v>0.51</v>
      </c>
      <c r="H493">
        <f>Final_Dataset!M464</f>
        <v>0.28360000000000002</v>
      </c>
      <c r="I493">
        <f>Final_Dataset!P464</f>
        <v>68</v>
      </c>
      <c r="J493" s="54">
        <f t="shared" si="34"/>
        <v>54.395348837209305</v>
      </c>
      <c r="K493" s="54">
        <f t="shared" si="35"/>
        <v>39.112864486352777</v>
      </c>
      <c r="L493" s="55">
        <f t="shared" si="36"/>
        <v>0.34783060104272384</v>
      </c>
      <c r="M493" t="str">
        <f t="shared" si="37"/>
        <v/>
      </c>
    </row>
    <row r="494" spans="1:13" x14ac:dyDescent="0.2">
      <c r="A494">
        <f>Final_Dataset!A465</f>
        <v>464</v>
      </c>
      <c r="B494" s="53">
        <f>Final_Dataset!B465</f>
        <v>40564</v>
      </c>
      <c r="C494">
        <f>Final_Dataset!F465</f>
        <v>8</v>
      </c>
      <c r="D494" t="str">
        <f>Final_Dataset!T465</f>
        <v>Fri</v>
      </c>
      <c r="E494" t="str">
        <f>Final_Dataset!X465</f>
        <v>Clear</v>
      </c>
      <c r="F494">
        <f>Final_Dataset!J465</f>
        <v>0.2</v>
      </c>
      <c r="G494">
        <f>Final_Dataset!L465</f>
        <v>0.47</v>
      </c>
      <c r="H494">
        <f>Final_Dataset!M465</f>
        <v>0.32840000000000003</v>
      </c>
      <c r="I494">
        <f>Final_Dataset!P465</f>
        <v>217</v>
      </c>
      <c r="J494" s="54">
        <f t="shared" si="34"/>
        <v>128.28571428571428</v>
      </c>
      <c r="K494" s="54">
        <f t="shared" si="35"/>
        <v>88.551565717048533</v>
      </c>
      <c r="L494" s="55">
        <f t="shared" si="36"/>
        <v>1.0018375733497151</v>
      </c>
      <c r="M494" t="str">
        <f t="shared" si="37"/>
        <v/>
      </c>
    </row>
    <row r="495" spans="1:13" x14ac:dyDescent="0.2">
      <c r="A495">
        <f>Final_Dataset!A466</f>
        <v>465</v>
      </c>
      <c r="B495" s="53">
        <f>Final_Dataset!B466</f>
        <v>40564</v>
      </c>
      <c r="C495">
        <f>Final_Dataset!F466</f>
        <v>9</v>
      </c>
      <c r="D495" t="str">
        <f>Final_Dataset!T466</f>
        <v>Fri</v>
      </c>
      <c r="E495" t="str">
        <f>Final_Dataset!X466</f>
        <v>Clear</v>
      </c>
      <c r="F495">
        <f>Final_Dataset!J466</f>
        <v>0.2</v>
      </c>
      <c r="G495">
        <f>Final_Dataset!L466</f>
        <v>0.51</v>
      </c>
      <c r="H495">
        <f>Final_Dataset!M466</f>
        <v>0.35820000000000002</v>
      </c>
      <c r="I495">
        <f>Final_Dataset!P466</f>
        <v>166</v>
      </c>
      <c r="J495" s="54">
        <f t="shared" si="34"/>
        <v>87.428571428571431</v>
      </c>
      <c r="K495" s="54">
        <f t="shared" si="35"/>
        <v>45.93852884078624</v>
      </c>
      <c r="L495" s="55">
        <f t="shared" si="36"/>
        <v>1.7103601389531091</v>
      </c>
      <c r="M495" t="str">
        <f t="shared" si="37"/>
        <v/>
      </c>
    </row>
    <row r="496" spans="1:13" x14ac:dyDescent="0.2">
      <c r="A496">
        <f>Final_Dataset!A467</f>
        <v>466</v>
      </c>
      <c r="B496" s="53">
        <f>Final_Dataset!B467</f>
        <v>40564</v>
      </c>
      <c r="C496">
        <f>Final_Dataset!F467</f>
        <v>10</v>
      </c>
      <c r="D496" t="str">
        <f>Final_Dataset!T467</f>
        <v>Fri</v>
      </c>
      <c r="E496" t="str">
        <f>Final_Dataset!X467</f>
        <v>Clear</v>
      </c>
      <c r="F496">
        <f>Final_Dataset!J467</f>
        <v>0.2</v>
      </c>
      <c r="G496">
        <f>Final_Dataset!L467</f>
        <v>0.47</v>
      </c>
      <c r="H496">
        <f>Final_Dataset!M467</f>
        <v>0.4627</v>
      </c>
      <c r="I496">
        <f>Final_Dataset!P467</f>
        <v>63</v>
      </c>
      <c r="J496" s="54">
        <f t="shared" si="34"/>
        <v>53.642857142857146</v>
      </c>
      <c r="K496" s="54">
        <f t="shared" si="35"/>
        <v>15.395313554536934</v>
      </c>
      <c r="L496" s="55">
        <f t="shared" si="36"/>
        <v>0.60779163892932497</v>
      </c>
      <c r="M496" t="str">
        <f t="shared" si="37"/>
        <v/>
      </c>
    </row>
    <row r="497" spans="1:13" x14ac:dyDescent="0.2">
      <c r="A497">
        <f>Final_Dataset!A468</f>
        <v>467</v>
      </c>
      <c r="B497" s="53">
        <f>Final_Dataset!B468</f>
        <v>40564</v>
      </c>
      <c r="C497">
        <f>Final_Dataset!F468</f>
        <v>11</v>
      </c>
      <c r="D497" t="str">
        <f>Final_Dataset!T468</f>
        <v>Fri</v>
      </c>
      <c r="E497" t="str">
        <f>Final_Dataset!X468</f>
        <v>Clear</v>
      </c>
      <c r="F497">
        <f>Final_Dataset!J468</f>
        <v>0.22</v>
      </c>
      <c r="G497">
        <f>Final_Dataset!L468</f>
        <v>0.41</v>
      </c>
      <c r="H497">
        <f>Final_Dataset!M468</f>
        <v>0.4627</v>
      </c>
      <c r="I497">
        <f>Final_Dataset!P468</f>
        <v>59</v>
      </c>
      <c r="J497" s="54">
        <f t="shared" si="34"/>
        <v>59.38095238095238</v>
      </c>
      <c r="K497" s="54">
        <f t="shared" si="35"/>
        <v>20.89573696860419</v>
      </c>
      <c r="L497" s="55">
        <f t="shared" si="36"/>
        <v>-1.8231105297925598E-2</v>
      </c>
      <c r="M497" t="str">
        <f t="shared" si="37"/>
        <v/>
      </c>
    </row>
    <row r="498" spans="1:13" x14ac:dyDescent="0.2">
      <c r="A498">
        <f>Final_Dataset!A469</f>
        <v>468</v>
      </c>
      <c r="B498" s="53">
        <f>Final_Dataset!B469</f>
        <v>40564</v>
      </c>
      <c r="C498">
        <f>Final_Dataset!F469</f>
        <v>12</v>
      </c>
      <c r="D498" t="str">
        <f>Final_Dataset!T469</f>
        <v>Fri</v>
      </c>
      <c r="E498" t="str">
        <f>Final_Dataset!X469</f>
        <v>Clear</v>
      </c>
      <c r="F498">
        <f>Final_Dataset!J469</f>
        <v>0.22</v>
      </c>
      <c r="G498">
        <f>Final_Dataset!L469</f>
        <v>0.27</v>
      </c>
      <c r="H498">
        <f>Final_Dataset!M469</f>
        <v>0.58209999999999995</v>
      </c>
      <c r="I498">
        <f>Final_Dataset!P469</f>
        <v>78</v>
      </c>
      <c r="J498" s="54">
        <f t="shared" si="34"/>
        <v>76.348837209302332</v>
      </c>
      <c r="K498" s="54">
        <f t="shared" si="35"/>
        <v>29.034366927857057</v>
      </c>
      <c r="L498" s="55">
        <f t="shared" si="36"/>
        <v>5.6869254108428947E-2</v>
      </c>
      <c r="M498" t="str">
        <f t="shared" si="37"/>
        <v/>
      </c>
    </row>
    <row r="499" spans="1:13" x14ac:dyDescent="0.2">
      <c r="A499">
        <f>Final_Dataset!A470</f>
        <v>469</v>
      </c>
      <c r="B499" s="53">
        <f>Final_Dataset!B470</f>
        <v>40564</v>
      </c>
      <c r="C499">
        <f>Final_Dataset!F470</f>
        <v>13</v>
      </c>
      <c r="D499" t="str">
        <f>Final_Dataset!T470</f>
        <v>Fri</v>
      </c>
      <c r="E499" t="str">
        <f>Final_Dataset!X470</f>
        <v>Clear</v>
      </c>
      <c r="F499">
        <f>Final_Dataset!J470</f>
        <v>0.2</v>
      </c>
      <c r="G499">
        <f>Final_Dataset!L470</f>
        <v>0.21</v>
      </c>
      <c r="H499">
        <f>Final_Dataset!M470</f>
        <v>0.58209999999999995</v>
      </c>
      <c r="I499">
        <f>Final_Dataset!P470</f>
        <v>73</v>
      </c>
      <c r="J499" s="54">
        <f t="shared" si="34"/>
        <v>78.511627906976742</v>
      </c>
      <c r="K499" s="54">
        <f t="shared" si="35"/>
        <v>30.072430098825173</v>
      </c>
      <c r="L499" s="55">
        <f t="shared" si="36"/>
        <v>-0.1832784343953654</v>
      </c>
      <c r="M499" t="str">
        <f t="shared" si="37"/>
        <v/>
      </c>
    </row>
    <row r="500" spans="1:13" x14ac:dyDescent="0.2">
      <c r="A500">
        <f>Final_Dataset!A471</f>
        <v>470</v>
      </c>
      <c r="B500" s="53">
        <f>Final_Dataset!B471</f>
        <v>40564</v>
      </c>
      <c r="C500">
        <f>Final_Dataset!F471</f>
        <v>14</v>
      </c>
      <c r="D500" t="str">
        <f>Final_Dataset!T471</f>
        <v>Fri</v>
      </c>
      <c r="E500" t="str">
        <f>Final_Dataset!X471</f>
        <v>Clear</v>
      </c>
      <c r="F500">
        <f>Final_Dataset!J471</f>
        <v>0.2</v>
      </c>
      <c r="G500">
        <f>Final_Dataset!L471</f>
        <v>0.25</v>
      </c>
      <c r="H500">
        <f>Final_Dataset!M471</f>
        <v>0.52239999999999998</v>
      </c>
      <c r="I500">
        <f>Final_Dataset!P471</f>
        <v>62</v>
      </c>
      <c r="J500" s="54">
        <f t="shared" si="34"/>
        <v>74.418604651162795</v>
      </c>
      <c r="K500" s="54">
        <f t="shared" si="35"/>
        <v>30.305769180565147</v>
      </c>
      <c r="L500" s="55">
        <f t="shared" si="36"/>
        <v>-0.40977691663826005</v>
      </c>
      <c r="M500" t="str">
        <f t="shared" si="37"/>
        <v/>
      </c>
    </row>
    <row r="501" spans="1:13" x14ac:dyDescent="0.2">
      <c r="A501">
        <f>Final_Dataset!A472</f>
        <v>471</v>
      </c>
      <c r="B501" s="53">
        <f>Final_Dataset!B472</f>
        <v>40564</v>
      </c>
      <c r="C501">
        <f>Final_Dataset!F472</f>
        <v>15</v>
      </c>
      <c r="D501" t="str">
        <f>Final_Dataset!T472</f>
        <v>Fri</v>
      </c>
      <c r="E501" t="str">
        <f>Final_Dataset!X472</f>
        <v>Clear</v>
      </c>
      <c r="F501">
        <f>Final_Dataset!J472</f>
        <v>0.16</v>
      </c>
      <c r="G501">
        <f>Final_Dataset!L472</f>
        <v>0.26</v>
      </c>
      <c r="H501">
        <f>Final_Dataset!M472</f>
        <v>0.44779999999999998</v>
      </c>
      <c r="I501">
        <f>Final_Dataset!P472</f>
        <v>65</v>
      </c>
      <c r="J501" s="54">
        <f t="shared" si="34"/>
        <v>77.95348837209302</v>
      </c>
      <c r="K501" s="54">
        <f t="shared" si="35"/>
        <v>34.481156681772681</v>
      </c>
      <c r="L501" s="55">
        <f t="shared" si="36"/>
        <v>-0.37566861493774806</v>
      </c>
      <c r="M501" t="str">
        <f t="shared" si="37"/>
        <v/>
      </c>
    </row>
    <row r="502" spans="1:13" x14ac:dyDescent="0.2">
      <c r="A502">
        <f>Final_Dataset!A473</f>
        <v>472</v>
      </c>
      <c r="B502" s="53">
        <f>Final_Dataset!B473</f>
        <v>40564</v>
      </c>
      <c r="C502">
        <f>Final_Dataset!F473</f>
        <v>16</v>
      </c>
      <c r="D502" t="str">
        <f>Final_Dataset!T473</f>
        <v>Fri</v>
      </c>
      <c r="E502" t="str">
        <f>Final_Dataset!X473</f>
        <v>Clear</v>
      </c>
      <c r="F502">
        <f>Final_Dataset!J473</f>
        <v>0.16</v>
      </c>
      <c r="G502">
        <f>Final_Dataset!L473</f>
        <v>0.26</v>
      </c>
      <c r="H502">
        <f>Final_Dataset!M473</f>
        <v>0.35820000000000002</v>
      </c>
      <c r="I502">
        <f>Final_Dataset!P473</f>
        <v>97</v>
      </c>
      <c r="J502" s="54">
        <f t="shared" si="34"/>
        <v>89.272727272727266</v>
      </c>
      <c r="K502" s="54">
        <f t="shared" si="35"/>
        <v>25.461657115880747</v>
      </c>
      <c r="L502" s="55">
        <f t="shared" si="36"/>
        <v>0.30348663844244211</v>
      </c>
      <c r="M502" t="str">
        <f t="shared" si="37"/>
        <v/>
      </c>
    </row>
    <row r="503" spans="1:13" x14ac:dyDescent="0.2">
      <c r="A503">
        <f>Final_Dataset!A474</f>
        <v>473</v>
      </c>
      <c r="B503" s="53">
        <f>Final_Dataset!B474</f>
        <v>40564</v>
      </c>
      <c r="C503">
        <f>Final_Dataset!F474</f>
        <v>17</v>
      </c>
      <c r="D503" t="str">
        <f>Final_Dataset!T474</f>
        <v>Fri</v>
      </c>
      <c r="E503" t="str">
        <f>Final_Dataset!X474</f>
        <v>Clear</v>
      </c>
      <c r="F503">
        <f>Final_Dataset!J474</f>
        <v>0.14000000000000001</v>
      </c>
      <c r="G503">
        <f>Final_Dataset!L474</f>
        <v>0.28000000000000003</v>
      </c>
      <c r="H503">
        <f>Final_Dataset!M474</f>
        <v>0.35820000000000002</v>
      </c>
      <c r="I503">
        <f>Final_Dataset!P474</f>
        <v>161</v>
      </c>
      <c r="J503" s="54">
        <f t="shared" si="34"/>
        <v>140.20454545454547</v>
      </c>
      <c r="K503" s="54">
        <f t="shared" si="35"/>
        <v>54.067391000084569</v>
      </c>
      <c r="L503" s="55">
        <f t="shared" si="36"/>
        <v>0.38462101020228634</v>
      </c>
      <c r="M503" t="str">
        <f t="shared" si="37"/>
        <v/>
      </c>
    </row>
    <row r="504" spans="1:13" x14ac:dyDescent="0.2">
      <c r="A504">
        <f>Final_Dataset!A475</f>
        <v>474</v>
      </c>
      <c r="B504" s="53">
        <f>Final_Dataset!B475</f>
        <v>40564</v>
      </c>
      <c r="C504">
        <f>Final_Dataset!F475</f>
        <v>18</v>
      </c>
      <c r="D504" t="str">
        <f>Final_Dataset!T475</f>
        <v>Fri</v>
      </c>
      <c r="E504" t="str">
        <f>Final_Dataset!X475</f>
        <v>Clear</v>
      </c>
      <c r="F504">
        <f>Final_Dataset!J475</f>
        <v>0.12</v>
      </c>
      <c r="G504">
        <f>Final_Dataset!L475</f>
        <v>0.3</v>
      </c>
      <c r="H504">
        <f>Final_Dataset!M475</f>
        <v>0.25369999999999998</v>
      </c>
      <c r="I504">
        <f>Final_Dataset!P475</f>
        <v>120</v>
      </c>
      <c r="J504" s="54">
        <f t="shared" si="34"/>
        <v>122.86046511627907</v>
      </c>
      <c r="K504" s="54">
        <f t="shared" si="35"/>
        <v>48.613432101949947</v>
      </c>
      <c r="L504" s="55">
        <f t="shared" si="36"/>
        <v>-5.8841044390369968E-2</v>
      </c>
      <c r="M504" t="str">
        <f t="shared" si="37"/>
        <v/>
      </c>
    </row>
    <row r="505" spans="1:13" x14ac:dyDescent="0.2">
      <c r="A505">
        <f>Final_Dataset!A476</f>
        <v>475</v>
      </c>
      <c r="B505" s="53">
        <f>Final_Dataset!B476</f>
        <v>40564</v>
      </c>
      <c r="C505">
        <f>Final_Dataset!F476</f>
        <v>19</v>
      </c>
      <c r="D505" t="str">
        <f>Final_Dataset!T476</f>
        <v>Fri</v>
      </c>
      <c r="E505" t="str">
        <f>Final_Dataset!X476</f>
        <v>Clear</v>
      </c>
      <c r="F505">
        <f>Final_Dataset!J476</f>
        <v>0.12</v>
      </c>
      <c r="G505">
        <f>Final_Dataset!L476</f>
        <v>0.3</v>
      </c>
      <c r="H505">
        <f>Final_Dataset!M476</f>
        <v>0.32840000000000003</v>
      </c>
      <c r="I505">
        <f>Final_Dataset!P476</f>
        <v>96</v>
      </c>
      <c r="J505" s="54">
        <f t="shared" si="34"/>
        <v>85.139534883720927</v>
      </c>
      <c r="K505" s="54">
        <f t="shared" si="35"/>
        <v>31.690904054294759</v>
      </c>
      <c r="L505" s="55">
        <f t="shared" si="36"/>
        <v>0.3426997569293786</v>
      </c>
      <c r="M505" t="str">
        <f t="shared" si="37"/>
        <v/>
      </c>
    </row>
    <row r="506" spans="1:13" x14ac:dyDescent="0.2">
      <c r="A506">
        <f>Final_Dataset!A477</f>
        <v>476</v>
      </c>
      <c r="B506" s="53">
        <f>Final_Dataset!B477</f>
        <v>40564</v>
      </c>
      <c r="C506">
        <f>Final_Dataset!F477</f>
        <v>20</v>
      </c>
      <c r="D506" t="str">
        <f>Final_Dataset!T477</f>
        <v>Fri</v>
      </c>
      <c r="E506" t="str">
        <f>Final_Dataset!X477</f>
        <v>Clear</v>
      </c>
      <c r="F506">
        <f>Final_Dataset!J477</f>
        <v>0.1</v>
      </c>
      <c r="G506">
        <f>Final_Dataset!L477</f>
        <v>0.33</v>
      </c>
      <c r="H506">
        <f>Final_Dataset!M477</f>
        <v>0.41789999999999999</v>
      </c>
      <c r="I506">
        <f>Final_Dataset!P477</f>
        <v>53</v>
      </c>
      <c r="J506" s="54">
        <f t="shared" si="34"/>
        <v>61.767441860465119</v>
      </c>
      <c r="K506" s="54">
        <f t="shared" si="35"/>
        <v>24.6323801696856</v>
      </c>
      <c r="L506" s="55">
        <f t="shared" si="36"/>
        <v>-0.35593157462123665</v>
      </c>
      <c r="M506" t="str">
        <f t="shared" si="37"/>
        <v/>
      </c>
    </row>
    <row r="507" spans="1:13" x14ac:dyDescent="0.2">
      <c r="A507">
        <f>Final_Dataset!A478</f>
        <v>477</v>
      </c>
      <c r="B507" s="53">
        <f>Final_Dataset!B478</f>
        <v>40564</v>
      </c>
      <c r="C507">
        <f>Final_Dataset!F478</f>
        <v>21</v>
      </c>
      <c r="D507" t="str">
        <f>Final_Dataset!T478</f>
        <v>Fri</v>
      </c>
      <c r="E507" t="str">
        <f>Final_Dataset!X478</f>
        <v>Clear</v>
      </c>
      <c r="F507">
        <f>Final_Dataset!J478</f>
        <v>0.08</v>
      </c>
      <c r="G507">
        <f>Final_Dataset!L478</f>
        <v>0.38</v>
      </c>
      <c r="H507">
        <f>Final_Dataset!M478</f>
        <v>0.28360000000000002</v>
      </c>
      <c r="I507">
        <f>Final_Dataset!P478</f>
        <v>41</v>
      </c>
      <c r="J507" s="54">
        <f t="shared" si="34"/>
        <v>46.418604651162788</v>
      </c>
      <c r="K507" s="54">
        <f t="shared" si="35"/>
        <v>14.656759464719499</v>
      </c>
      <c r="L507" s="55">
        <f t="shared" si="36"/>
        <v>-0.36970004619411206</v>
      </c>
      <c r="M507" t="str">
        <f t="shared" si="37"/>
        <v/>
      </c>
    </row>
    <row r="508" spans="1:13" x14ac:dyDescent="0.2">
      <c r="A508">
        <f>Final_Dataset!A479</f>
        <v>478</v>
      </c>
      <c r="B508" s="53">
        <f>Final_Dataset!B479</f>
        <v>40564</v>
      </c>
      <c r="C508">
        <f>Final_Dataset!F479</f>
        <v>22</v>
      </c>
      <c r="D508" t="str">
        <f>Final_Dataset!T479</f>
        <v>Fri</v>
      </c>
      <c r="E508" t="str">
        <f>Final_Dataset!X479</f>
        <v>Clear</v>
      </c>
      <c r="F508">
        <f>Final_Dataset!J479</f>
        <v>0.06</v>
      </c>
      <c r="G508">
        <f>Final_Dataset!L479</f>
        <v>0.41</v>
      </c>
      <c r="H508">
        <f>Final_Dataset!M479</f>
        <v>0.3881</v>
      </c>
      <c r="I508">
        <f>Final_Dataset!P479</f>
        <v>34</v>
      </c>
      <c r="J508" s="54">
        <f t="shared" si="34"/>
        <v>35.069767441860463</v>
      </c>
      <c r="K508" s="54">
        <f t="shared" si="35"/>
        <v>11.95506537162667</v>
      </c>
      <c r="L508" s="55">
        <f t="shared" si="36"/>
        <v>-8.948235819767042E-2</v>
      </c>
      <c r="M508" t="str">
        <f t="shared" si="37"/>
        <v/>
      </c>
    </row>
    <row r="509" spans="1:13" x14ac:dyDescent="0.2">
      <c r="A509">
        <f>Final_Dataset!A480</f>
        <v>479</v>
      </c>
      <c r="B509" s="53">
        <f>Final_Dataset!B480</f>
        <v>40564</v>
      </c>
      <c r="C509">
        <f>Final_Dataset!F480</f>
        <v>23</v>
      </c>
      <c r="D509" t="str">
        <f>Final_Dataset!T480</f>
        <v>Fri</v>
      </c>
      <c r="E509" t="str">
        <f>Final_Dataset!X480</f>
        <v>Clear</v>
      </c>
      <c r="F509">
        <f>Final_Dataset!J480</f>
        <v>0.06</v>
      </c>
      <c r="G509">
        <f>Final_Dataset!L480</f>
        <v>0.38</v>
      </c>
      <c r="H509">
        <f>Final_Dataset!M480</f>
        <v>0.32840000000000003</v>
      </c>
      <c r="I509">
        <f>Final_Dataset!P480</f>
        <v>27</v>
      </c>
      <c r="J509" s="54">
        <f t="shared" si="34"/>
        <v>25.186046511627907</v>
      </c>
      <c r="K509" s="54">
        <f t="shared" si="35"/>
        <v>11.751911321656186</v>
      </c>
      <c r="L509" s="55">
        <f t="shared" si="36"/>
        <v>0.1543539122039983</v>
      </c>
      <c r="M509" t="str">
        <f t="shared" si="37"/>
        <v/>
      </c>
    </row>
    <row r="510" spans="1:13" x14ac:dyDescent="0.2">
      <c r="A510">
        <f>Final_Dataset!A481</f>
        <v>480</v>
      </c>
      <c r="B510" s="53">
        <f>Final_Dataset!B481</f>
        <v>40565</v>
      </c>
      <c r="C510">
        <f>Final_Dataset!F481</f>
        <v>0</v>
      </c>
      <c r="D510" t="str">
        <f>Final_Dataset!T481</f>
        <v>Sat</v>
      </c>
      <c r="E510" t="str">
        <f>Final_Dataset!X481</f>
        <v>Clear</v>
      </c>
      <c r="F510">
        <f>Final_Dataset!J481</f>
        <v>0.04</v>
      </c>
      <c r="G510">
        <f>Final_Dataset!L481</f>
        <v>0.45</v>
      </c>
      <c r="H510">
        <f>Final_Dataset!M481</f>
        <v>0.25369999999999998</v>
      </c>
      <c r="I510">
        <f>Final_Dataset!P481</f>
        <v>13</v>
      </c>
      <c r="J510" s="54">
        <f t="shared" si="34"/>
        <v>16.348837209302324</v>
      </c>
      <c r="K510" s="54">
        <f t="shared" si="35"/>
        <v>10.442321674276208</v>
      </c>
      <c r="L510" s="55">
        <f t="shared" si="36"/>
        <v>-0.32069852986351749</v>
      </c>
      <c r="M510" t="str">
        <f t="shared" si="37"/>
        <v/>
      </c>
    </row>
    <row r="511" spans="1:13" x14ac:dyDescent="0.2">
      <c r="A511">
        <f>Final_Dataset!A482</f>
        <v>481</v>
      </c>
      <c r="B511" s="53">
        <f>Final_Dataset!B482</f>
        <v>40565</v>
      </c>
      <c r="C511">
        <f>Final_Dataset!F482</f>
        <v>1</v>
      </c>
      <c r="D511" t="str">
        <f>Final_Dataset!T482</f>
        <v>Sat</v>
      </c>
      <c r="E511" t="str">
        <f>Final_Dataset!X482</f>
        <v>Cloudy/Mist</v>
      </c>
      <c r="F511">
        <f>Final_Dataset!J482</f>
        <v>0.04</v>
      </c>
      <c r="G511">
        <f>Final_Dataset!L482</f>
        <v>0.41</v>
      </c>
      <c r="H511">
        <f>Final_Dataset!M482</f>
        <v>0.3881</v>
      </c>
      <c r="I511">
        <f>Final_Dataset!P482</f>
        <v>12</v>
      </c>
      <c r="J511" s="54">
        <f t="shared" si="34"/>
        <v>10.697674418604651</v>
      </c>
      <c r="K511" s="54">
        <f t="shared" si="35"/>
        <v>10.060613641515801</v>
      </c>
      <c r="L511" s="55">
        <f t="shared" si="36"/>
        <v>0.12944792711462599</v>
      </c>
      <c r="M511" t="str">
        <f t="shared" si="37"/>
        <v/>
      </c>
    </row>
    <row r="512" spans="1:13" x14ac:dyDescent="0.2">
      <c r="A512">
        <f>Final_Dataset!A483</f>
        <v>482</v>
      </c>
      <c r="B512" s="53">
        <f>Final_Dataset!B483</f>
        <v>40565</v>
      </c>
      <c r="C512">
        <f>Final_Dataset!F483</f>
        <v>2</v>
      </c>
      <c r="D512" t="str">
        <f>Final_Dataset!T483</f>
        <v>Sat</v>
      </c>
      <c r="E512" t="str">
        <f>Final_Dataset!X483</f>
        <v>Cloudy/Mist</v>
      </c>
      <c r="F512">
        <f>Final_Dataset!J483</f>
        <v>0.04</v>
      </c>
      <c r="G512">
        <f>Final_Dataset!L483</f>
        <v>0.41</v>
      </c>
      <c r="H512">
        <f>Final_Dataset!M483</f>
        <v>0.25369999999999998</v>
      </c>
      <c r="I512">
        <f>Final_Dataset!P483</f>
        <v>11</v>
      </c>
      <c r="J512" s="54">
        <f t="shared" si="34"/>
        <v>7.1707317073170733</v>
      </c>
      <c r="K512" s="54">
        <f t="shared" si="35"/>
        <v>7.3685223723090862</v>
      </c>
      <c r="L512" s="55">
        <f t="shared" si="36"/>
        <v>0.51967926528571329</v>
      </c>
      <c r="M512" t="str">
        <f t="shared" si="37"/>
        <v/>
      </c>
    </row>
    <row r="513" spans="1:13" x14ac:dyDescent="0.2">
      <c r="A513">
        <f>Final_Dataset!A484</f>
        <v>483</v>
      </c>
      <c r="B513" s="53">
        <f>Final_Dataset!B484</f>
        <v>40565</v>
      </c>
      <c r="C513">
        <f>Final_Dataset!F484</f>
        <v>3</v>
      </c>
      <c r="D513" t="str">
        <f>Final_Dataset!T484</f>
        <v>Sat</v>
      </c>
      <c r="E513" t="str">
        <f>Final_Dataset!X484</f>
        <v>Cloudy/Mist</v>
      </c>
      <c r="F513">
        <f>Final_Dataset!J484</f>
        <v>0.04</v>
      </c>
      <c r="G513">
        <f>Final_Dataset!L484</f>
        <v>0.41</v>
      </c>
      <c r="H513">
        <f>Final_Dataset!M484</f>
        <v>0.28360000000000002</v>
      </c>
      <c r="I513">
        <f>Final_Dataset!P484</f>
        <v>7</v>
      </c>
      <c r="J513" s="54">
        <f t="shared" si="34"/>
        <v>4.870967741935484</v>
      </c>
      <c r="K513" s="54">
        <f t="shared" si="35"/>
        <v>4.4702120418303126</v>
      </c>
      <c r="L513" s="55">
        <f t="shared" si="36"/>
        <v>0.47627097733663465</v>
      </c>
      <c r="M513" t="str">
        <f t="shared" si="37"/>
        <v/>
      </c>
    </row>
    <row r="514" spans="1:13" x14ac:dyDescent="0.2">
      <c r="A514">
        <f>Final_Dataset!A485</f>
        <v>484</v>
      </c>
      <c r="B514" s="53">
        <f>Final_Dataset!B485</f>
        <v>40565</v>
      </c>
      <c r="C514">
        <f>Final_Dataset!F485</f>
        <v>4</v>
      </c>
      <c r="D514" t="str">
        <f>Final_Dataset!T485</f>
        <v>Sat</v>
      </c>
      <c r="E514" t="str">
        <f>Final_Dataset!X485</f>
        <v>Cloudy/Mist</v>
      </c>
      <c r="F514">
        <f>Final_Dataset!J485</f>
        <v>0.02</v>
      </c>
      <c r="G514">
        <f>Final_Dataset!L485</f>
        <v>0.48</v>
      </c>
      <c r="H514">
        <f>Final_Dataset!M485</f>
        <v>0.29849999999999999</v>
      </c>
      <c r="I514">
        <f>Final_Dataset!P485</f>
        <v>3</v>
      </c>
      <c r="J514" s="54">
        <f t="shared" si="34"/>
        <v>2.15625</v>
      </c>
      <c r="K514" s="54">
        <f t="shared" si="35"/>
        <v>1.5263148747143209</v>
      </c>
      <c r="L514" s="55">
        <f t="shared" si="36"/>
        <v>0.55280205544607819</v>
      </c>
      <c r="M514" t="str">
        <f t="shared" si="37"/>
        <v/>
      </c>
    </row>
    <row r="515" spans="1:13" x14ac:dyDescent="0.2">
      <c r="A515">
        <f>Final_Dataset!A486</f>
        <v>485</v>
      </c>
      <c r="B515" s="53">
        <f>Final_Dataset!B486</f>
        <v>40565</v>
      </c>
      <c r="C515">
        <f>Final_Dataset!F486</f>
        <v>6</v>
      </c>
      <c r="D515" t="str">
        <f>Final_Dataset!T486</f>
        <v>Sat</v>
      </c>
      <c r="E515" t="str">
        <f>Final_Dataset!X486</f>
        <v>Cloudy/Mist</v>
      </c>
      <c r="F515">
        <f>Final_Dataset!J486</f>
        <v>0.02</v>
      </c>
      <c r="G515">
        <f>Final_Dataset!L486</f>
        <v>0.44</v>
      </c>
      <c r="H515">
        <f>Final_Dataset!M486</f>
        <v>0.22389999999999999</v>
      </c>
      <c r="I515">
        <f>Final_Dataset!P486</f>
        <v>2</v>
      </c>
      <c r="J515" s="54">
        <f t="shared" si="34"/>
        <v>19.571428571428573</v>
      </c>
      <c r="K515" s="54">
        <f t="shared" si="35"/>
        <v>14.202615453298934</v>
      </c>
      <c r="L515" s="55">
        <f t="shared" si="36"/>
        <v>-1.2371966719233494</v>
      </c>
      <c r="M515" t="str">
        <f t="shared" si="37"/>
        <v/>
      </c>
    </row>
    <row r="516" spans="1:13" x14ac:dyDescent="0.2">
      <c r="A516">
        <f>Final_Dataset!A487</f>
        <v>486</v>
      </c>
      <c r="B516" s="53">
        <f>Final_Dataset!B487</f>
        <v>40565</v>
      </c>
      <c r="C516">
        <f>Final_Dataset!F487</f>
        <v>7</v>
      </c>
      <c r="D516" t="str">
        <f>Final_Dataset!T487</f>
        <v>Sat</v>
      </c>
      <c r="E516" t="str">
        <f>Final_Dataset!X487</f>
        <v>Clear</v>
      </c>
      <c r="F516">
        <f>Final_Dataset!J487</f>
        <v>0.02</v>
      </c>
      <c r="G516">
        <f>Final_Dataset!L487</f>
        <v>0.44</v>
      </c>
      <c r="H516">
        <f>Final_Dataset!M487</f>
        <v>0.28360000000000002</v>
      </c>
      <c r="I516">
        <f>Final_Dataset!P487</f>
        <v>8</v>
      </c>
      <c r="J516" s="54">
        <f t="shared" si="34"/>
        <v>54.395348837209305</v>
      </c>
      <c r="K516" s="54">
        <f t="shared" si="35"/>
        <v>39.112864486352777</v>
      </c>
      <c r="L516" s="55">
        <f t="shared" si="36"/>
        <v>-1.1861915368892892</v>
      </c>
      <c r="M516" t="str">
        <f t="shared" si="37"/>
        <v/>
      </c>
    </row>
    <row r="517" spans="1:13" x14ac:dyDescent="0.2">
      <c r="A517">
        <f>Final_Dataset!A488</f>
        <v>487</v>
      </c>
      <c r="B517" s="53">
        <f>Final_Dataset!B488</f>
        <v>40565</v>
      </c>
      <c r="C517">
        <f>Final_Dataset!F488</f>
        <v>8</v>
      </c>
      <c r="D517" t="str">
        <f>Final_Dataset!T488</f>
        <v>Sat</v>
      </c>
      <c r="E517" t="str">
        <f>Final_Dataset!X488</f>
        <v>Clear</v>
      </c>
      <c r="F517">
        <f>Final_Dataset!J488</f>
        <v>0.02</v>
      </c>
      <c r="G517">
        <f>Final_Dataset!L488</f>
        <v>0.44</v>
      </c>
      <c r="H517">
        <f>Final_Dataset!M488</f>
        <v>0.32840000000000003</v>
      </c>
      <c r="I517">
        <f>Final_Dataset!P488</f>
        <v>27</v>
      </c>
      <c r="J517" s="54">
        <f t="shared" si="34"/>
        <v>128.28571428571428</v>
      </c>
      <c r="K517" s="54">
        <f t="shared" si="35"/>
        <v>88.551565717048533</v>
      </c>
      <c r="L517" s="55">
        <f t="shared" si="36"/>
        <v>-1.1438048945329273</v>
      </c>
      <c r="M517" t="str">
        <f t="shared" si="37"/>
        <v/>
      </c>
    </row>
    <row r="518" spans="1:13" x14ac:dyDescent="0.2">
      <c r="A518">
        <f>Final_Dataset!A489</f>
        <v>488</v>
      </c>
      <c r="B518" s="53">
        <f>Final_Dataset!B489</f>
        <v>40565</v>
      </c>
      <c r="C518">
        <f>Final_Dataset!F489</f>
        <v>9</v>
      </c>
      <c r="D518" t="str">
        <f>Final_Dataset!T489</f>
        <v>Sat</v>
      </c>
      <c r="E518" t="str">
        <f>Final_Dataset!X489</f>
        <v>Clear</v>
      </c>
      <c r="F518">
        <f>Final_Dataset!J489</f>
        <v>0.04</v>
      </c>
      <c r="G518">
        <f>Final_Dataset!L489</f>
        <v>0.41</v>
      </c>
      <c r="H518">
        <f>Final_Dataset!M489</f>
        <v>0.25369999999999998</v>
      </c>
      <c r="I518">
        <f>Final_Dataset!P489</f>
        <v>40</v>
      </c>
      <c r="J518" s="54">
        <f t="shared" si="34"/>
        <v>87.428571428571431</v>
      </c>
      <c r="K518" s="54">
        <f t="shared" si="35"/>
        <v>45.93852884078624</v>
      </c>
      <c r="L518" s="55">
        <f t="shared" si="36"/>
        <v>-1.0324355747862406</v>
      </c>
      <c r="M518" t="str">
        <f t="shared" si="37"/>
        <v/>
      </c>
    </row>
    <row r="519" spans="1:13" x14ac:dyDescent="0.2">
      <c r="A519">
        <f>Final_Dataset!A490</f>
        <v>489</v>
      </c>
      <c r="B519" s="53">
        <f>Final_Dataset!B490</f>
        <v>40565</v>
      </c>
      <c r="C519">
        <f>Final_Dataset!F490</f>
        <v>10</v>
      </c>
      <c r="D519" t="str">
        <f>Final_Dataset!T490</f>
        <v>Sat</v>
      </c>
      <c r="E519" t="str">
        <f>Final_Dataset!X490</f>
        <v>Cloudy/Mist</v>
      </c>
      <c r="F519">
        <f>Final_Dataset!J490</f>
        <v>0.04</v>
      </c>
      <c r="G519">
        <f>Final_Dataset!L490</f>
        <v>0.41</v>
      </c>
      <c r="H519">
        <f>Final_Dataset!M490</f>
        <v>0.16420000000000001</v>
      </c>
      <c r="I519">
        <f>Final_Dataset!P490</f>
        <v>53</v>
      </c>
      <c r="J519" s="54">
        <f t="shared" si="34"/>
        <v>53.642857142857146</v>
      </c>
      <c r="K519" s="54">
        <f t="shared" si="35"/>
        <v>15.395313554536934</v>
      </c>
      <c r="L519" s="55">
        <f t="shared" si="36"/>
        <v>-4.1756677483694292E-2</v>
      </c>
      <c r="M519" t="str">
        <f t="shared" si="37"/>
        <v/>
      </c>
    </row>
    <row r="520" spans="1:13" x14ac:dyDescent="0.2">
      <c r="A520">
        <f>Final_Dataset!A491</f>
        <v>490</v>
      </c>
      <c r="B520" s="53">
        <f>Final_Dataset!B491</f>
        <v>40565</v>
      </c>
      <c r="C520">
        <f>Final_Dataset!F491</f>
        <v>11</v>
      </c>
      <c r="D520" t="str">
        <f>Final_Dataset!T491</f>
        <v>Sat</v>
      </c>
      <c r="E520" t="str">
        <f>Final_Dataset!X491</f>
        <v>Cloudy/Mist</v>
      </c>
      <c r="F520">
        <f>Final_Dataset!J491</f>
        <v>0.06</v>
      </c>
      <c r="G520">
        <f>Final_Dataset!L491</f>
        <v>0.38</v>
      </c>
      <c r="H520">
        <f>Final_Dataset!M491</f>
        <v>0.1343</v>
      </c>
      <c r="I520">
        <f>Final_Dataset!P491</f>
        <v>63</v>
      </c>
      <c r="J520" s="54">
        <f t="shared" si="34"/>
        <v>59.38095238095238</v>
      </c>
      <c r="K520" s="54">
        <f t="shared" si="35"/>
        <v>20.89573696860419</v>
      </c>
      <c r="L520" s="55">
        <f t="shared" si="36"/>
        <v>0.17319550033029385</v>
      </c>
      <c r="M520" t="str">
        <f t="shared" si="37"/>
        <v/>
      </c>
    </row>
    <row r="521" spans="1:13" x14ac:dyDescent="0.2">
      <c r="A521">
        <f>Final_Dataset!A492</f>
        <v>491</v>
      </c>
      <c r="B521" s="53">
        <f>Final_Dataset!B492</f>
        <v>40565</v>
      </c>
      <c r="C521">
        <f>Final_Dataset!F492</f>
        <v>12</v>
      </c>
      <c r="D521" t="str">
        <f>Final_Dataset!T492</f>
        <v>Sat</v>
      </c>
      <c r="E521" t="str">
        <f>Final_Dataset!X492</f>
        <v>Cloudy/Mist</v>
      </c>
      <c r="F521">
        <f>Final_Dataset!J492</f>
        <v>0.06</v>
      </c>
      <c r="G521">
        <f>Final_Dataset!L492</f>
        <v>0.38</v>
      </c>
      <c r="H521">
        <f>Final_Dataset!M492</f>
        <v>0.1045</v>
      </c>
      <c r="I521">
        <f>Final_Dataset!P492</f>
        <v>70</v>
      </c>
      <c r="J521" s="54">
        <f t="shared" si="34"/>
        <v>76.348837209302332</v>
      </c>
      <c r="K521" s="54">
        <f t="shared" si="35"/>
        <v>29.034366927857057</v>
      </c>
      <c r="L521" s="55">
        <f t="shared" si="36"/>
        <v>-0.21866628692396017</v>
      </c>
      <c r="M521" t="str">
        <f t="shared" si="37"/>
        <v/>
      </c>
    </row>
    <row r="522" spans="1:13" x14ac:dyDescent="0.2">
      <c r="A522">
        <f>Final_Dataset!A493</f>
        <v>492</v>
      </c>
      <c r="B522" s="53">
        <f>Final_Dataset!B493</f>
        <v>40565</v>
      </c>
      <c r="C522">
        <f>Final_Dataset!F493</f>
        <v>13</v>
      </c>
      <c r="D522" t="str">
        <f>Final_Dataset!T493</f>
        <v>Sat</v>
      </c>
      <c r="E522" t="str">
        <f>Final_Dataset!X493</f>
        <v>Clear</v>
      </c>
      <c r="F522">
        <f>Final_Dataset!J493</f>
        <v>0.08</v>
      </c>
      <c r="G522">
        <f>Final_Dataset!L493</f>
        <v>0.35</v>
      </c>
      <c r="H522">
        <f>Final_Dataset!M493</f>
        <v>0</v>
      </c>
      <c r="I522">
        <f>Final_Dataset!P493</f>
        <v>84</v>
      </c>
      <c r="J522" s="54">
        <f t="shared" si="34"/>
        <v>78.511627906976742</v>
      </c>
      <c r="K522" s="54">
        <f t="shared" si="35"/>
        <v>30.072430098825173</v>
      </c>
      <c r="L522" s="55">
        <f t="shared" si="36"/>
        <v>0.18250510766795899</v>
      </c>
      <c r="M522" t="str">
        <f t="shared" si="37"/>
        <v/>
      </c>
    </row>
    <row r="523" spans="1:13" x14ac:dyDescent="0.2">
      <c r="A523">
        <f>Final_Dataset!A494</f>
        <v>493</v>
      </c>
      <c r="B523" s="53">
        <f>Final_Dataset!B494</f>
        <v>40565</v>
      </c>
      <c r="C523">
        <f>Final_Dataset!F494</f>
        <v>14</v>
      </c>
      <c r="D523" t="str">
        <f>Final_Dataset!T494</f>
        <v>Sat</v>
      </c>
      <c r="E523" t="str">
        <f>Final_Dataset!X494</f>
        <v>Clear</v>
      </c>
      <c r="F523">
        <f>Final_Dataset!J494</f>
        <v>0.1</v>
      </c>
      <c r="G523">
        <f>Final_Dataset!L494</f>
        <v>0.33</v>
      </c>
      <c r="H523">
        <f>Final_Dataset!M494</f>
        <v>0.1045</v>
      </c>
      <c r="I523">
        <f>Final_Dataset!P494</f>
        <v>75</v>
      </c>
      <c r="J523" s="54">
        <f t="shared" si="34"/>
        <v>74.418604651162795</v>
      </c>
      <c r="K523" s="54">
        <f t="shared" si="35"/>
        <v>30.305769180565147</v>
      </c>
      <c r="L523" s="55">
        <f t="shared" si="36"/>
        <v>1.9184312576697421E-2</v>
      </c>
      <c r="M523" t="str">
        <f t="shared" si="37"/>
        <v/>
      </c>
    </row>
    <row r="524" spans="1:13" x14ac:dyDescent="0.2">
      <c r="A524">
        <f>Final_Dataset!A495</f>
        <v>494</v>
      </c>
      <c r="B524" s="53">
        <f>Final_Dataset!B495</f>
        <v>40565</v>
      </c>
      <c r="C524">
        <f>Final_Dataset!F495</f>
        <v>15</v>
      </c>
      <c r="D524" t="str">
        <f>Final_Dataset!T495</f>
        <v>Sat</v>
      </c>
      <c r="E524" t="str">
        <f>Final_Dataset!X495</f>
        <v>Clear</v>
      </c>
      <c r="F524">
        <f>Final_Dataset!J495</f>
        <v>0.12</v>
      </c>
      <c r="G524">
        <f>Final_Dataset!L495</f>
        <v>0.28000000000000003</v>
      </c>
      <c r="H524">
        <f>Final_Dataset!M495</f>
        <v>0</v>
      </c>
      <c r="I524">
        <f>Final_Dataset!P495</f>
        <v>103</v>
      </c>
      <c r="J524" s="54">
        <f t="shared" si="34"/>
        <v>77.95348837209302</v>
      </c>
      <c r="K524" s="54">
        <f t="shared" si="35"/>
        <v>34.481156681772681</v>
      </c>
      <c r="L524" s="55">
        <f t="shared" si="36"/>
        <v>0.72638258220458674</v>
      </c>
      <c r="M524" t="str">
        <f t="shared" si="37"/>
        <v/>
      </c>
    </row>
    <row r="525" spans="1:13" x14ac:dyDescent="0.2">
      <c r="A525">
        <f>Final_Dataset!A496</f>
        <v>495</v>
      </c>
      <c r="B525" s="53">
        <f>Final_Dataset!B496</f>
        <v>40565</v>
      </c>
      <c r="C525">
        <f>Final_Dataset!F496</f>
        <v>16</v>
      </c>
      <c r="D525" t="str">
        <f>Final_Dataset!T496</f>
        <v>Sat</v>
      </c>
      <c r="E525" t="str">
        <f>Final_Dataset!X496</f>
        <v>Clear</v>
      </c>
      <c r="F525">
        <f>Final_Dataset!J496</f>
        <v>0.12</v>
      </c>
      <c r="G525">
        <f>Final_Dataset!L496</f>
        <v>0.28000000000000003</v>
      </c>
      <c r="H525">
        <f>Final_Dataset!M496</f>
        <v>0.19400000000000001</v>
      </c>
      <c r="I525">
        <f>Final_Dataset!P496</f>
        <v>83</v>
      </c>
      <c r="J525" s="54">
        <f t="shared" si="34"/>
        <v>89.272727272727266</v>
      </c>
      <c r="K525" s="54">
        <f t="shared" si="35"/>
        <v>25.461657115880747</v>
      </c>
      <c r="L525" s="55">
        <f t="shared" si="36"/>
        <v>-0.24635974179445255</v>
      </c>
      <c r="M525" t="str">
        <f t="shared" si="37"/>
        <v/>
      </c>
    </row>
    <row r="526" spans="1:13" x14ac:dyDescent="0.2">
      <c r="A526">
        <f>Final_Dataset!A497</f>
        <v>496</v>
      </c>
      <c r="B526" s="53">
        <f>Final_Dataset!B497</f>
        <v>40565</v>
      </c>
      <c r="C526">
        <f>Final_Dataset!F497</f>
        <v>17</v>
      </c>
      <c r="D526" t="str">
        <f>Final_Dataset!T497</f>
        <v>Sat</v>
      </c>
      <c r="E526" t="str">
        <f>Final_Dataset!X497</f>
        <v>Clear</v>
      </c>
      <c r="F526">
        <f>Final_Dataset!J497</f>
        <v>0.12</v>
      </c>
      <c r="G526">
        <f>Final_Dataset!L497</f>
        <v>0.28000000000000003</v>
      </c>
      <c r="H526">
        <f>Final_Dataset!M497</f>
        <v>0</v>
      </c>
      <c r="I526">
        <f>Final_Dataset!P497</f>
        <v>67</v>
      </c>
      <c r="J526" s="54">
        <f t="shared" si="34"/>
        <v>140.20454545454547</v>
      </c>
      <c r="K526" s="54">
        <f t="shared" si="35"/>
        <v>54.067391000084569</v>
      </c>
      <c r="L526" s="55">
        <f t="shared" si="36"/>
        <v>-1.3539500260782136</v>
      </c>
      <c r="M526" t="str">
        <f t="shared" si="37"/>
        <v/>
      </c>
    </row>
    <row r="527" spans="1:13" x14ac:dyDescent="0.2">
      <c r="A527">
        <f>Final_Dataset!A498</f>
        <v>497</v>
      </c>
      <c r="B527" s="53">
        <f>Final_Dataset!B498</f>
        <v>40565</v>
      </c>
      <c r="C527">
        <f>Final_Dataset!F498</f>
        <v>18</v>
      </c>
      <c r="D527" t="str">
        <f>Final_Dataset!T498</f>
        <v>Sat</v>
      </c>
      <c r="E527" t="str">
        <f>Final_Dataset!X498</f>
        <v>Clear</v>
      </c>
      <c r="F527">
        <f>Final_Dataset!J498</f>
        <v>0.08</v>
      </c>
      <c r="G527">
        <f>Final_Dataset!L498</f>
        <v>0.35</v>
      </c>
      <c r="H527">
        <f>Final_Dataset!M498</f>
        <v>0.19400000000000001</v>
      </c>
      <c r="I527">
        <f>Final_Dataset!P498</f>
        <v>54</v>
      </c>
      <c r="J527" s="54">
        <f t="shared" si="34"/>
        <v>122.86046511627907</v>
      </c>
      <c r="K527" s="54">
        <f t="shared" si="35"/>
        <v>48.613432101949947</v>
      </c>
      <c r="L527" s="55">
        <f t="shared" si="36"/>
        <v>-1.4164905076413437</v>
      </c>
      <c r="M527" t="str">
        <f t="shared" si="37"/>
        <v/>
      </c>
    </row>
    <row r="528" spans="1:13" x14ac:dyDescent="0.2">
      <c r="A528">
        <f>Final_Dataset!A499</f>
        <v>498</v>
      </c>
      <c r="B528" s="53">
        <f>Final_Dataset!B499</f>
        <v>40565</v>
      </c>
      <c r="C528">
        <f>Final_Dataset!F499</f>
        <v>19</v>
      </c>
      <c r="D528" t="str">
        <f>Final_Dataset!T499</f>
        <v>Sat</v>
      </c>
      <c r="E528" t="str">
        <f>Final_Dataset!X499</f>
        <v>Clear</v>
      </c>
      <c r="F528">
        <f>Final_Dataset!J499</f>
        <v>0.08</v>
      </c>
      <c r="G528">
        <f>Final_Dataset!L499</f>
        <v>0.35</v>
      </c>
      <c r="H528">
        <f>Final_Dataset!M499</f>
        <v>0.1343</v>
      </c>
      <c r="I528">
        <f>Final_Dataset!P499</f>
        <v>59</v>
      </c>
      <c r="J528" s="54">
        <f t="shared" si="34"/>
        <v>85.139534883720927</v>
      </c>
      <c r="K528" s="54">
        <f t="shared" si="35"/>
        <v>31.690904054294759</v>
      </c>
      <c r="L528" s="55">
        <f t="shared" si="36"/>
        <v>-0.82482768048955335</v>
      </c>
      <c r="M528" t="str">
        <f t="shared" si="37"/>
        <v/>
      </c>
    </row>
    <row r="529" spans="1:13" x14ac:dyDescent="0.2">
      <c r="A529">
        <f>Final_Dataset!A500</f>
        <v>499</v>
      </c>
      <c r="B529" s="53">
        <f>Final_Dataset!B500</f>
        <v>40565</v>
      </c>
      <c r="C529">
        <f>Final_Dataset!F500</f>
        <v>20</v>
      </c>
      <c r="D529" t="str">
        <f>Final_Dataset!T500</f>
        <v>Sat</v>
      </c>
      <c r="E529" t="str">
        <f>Final_Dataset!X500</f>
        <v>Clear</v>
      </c>
      <c r="F529">
        <f>Final_Dataset!J500</f>
        <v>0.06</v>
      </c>
      <c r="G529">
        <f>Final_Dataset!L500</f>
        <v>0.45</v>
      </c>
      <c r="H529">
        <f>Final_Dataset!M500</f>
        <v>0.16420000000000001</v>
      </c>
      <c r="I529">
        <f>Final_Dataset!P500</f>
        <v>45</v>
      </c>
      <c r="J529" s="54">
        <f t="shared" si="34"/>
        <v>61.767441860465119</v>
      </c>
      <c r="K529" s="54">
        <f t="shared" si="35"/>
        <v>24.6323801696856</v>
      </c>
      <c r="L529" s="55">
        <f t="shared" si="36"/>
        <v>-0.68070733501833303</v>
      </c>
      <c r="M529" t="str">
        <f t="shared" si="37"/>
        <v/>
      </c>
    </row>
    <row r="530" spans="1:13" x14ac:dyDescent="0.2">
      <c r="A530">
        <f>Final_Dataset!A501</f>
        <v>500</v>
      </c>
      <c r="B530" s="53">
        <f>Final_Dataset!B501</f>
        <v>40565</v>
      </c>
      <c r="C530">
        <f>Final_Dataset!F501</f>
        <v>21</v>
      </c>
      <c r="D530" t="str">
        <f>Final_Dataset!T501</f>
        <v>Sat</v>
      </c>
      <c r="E530" t="str">
        <f>Final_Dataset!X501</f>
        <v>Clear</v>
      </c>
      <c r="F530">
        <f>Final_Dataset!J501</f>
        <v>0.06</v>
      </c>
      <c r="G530">
        <f>Final_Dataset!L501</f>
        <v>0.41</v>
      </c>
      <c r="H530">
        <f>Final_Dataset!M501</f>
        <v>8.9599999999999999E-2</v>
      </c>
      <c r="I530">
        <f>Final_Dataset!P501</f>
        <v>39</v>
      </c>
      <c r="J530" s="54">
        <f t="shared" si="34"/>
        <v>46.418604651162788</v>
      </c>
      <c r="K530" s="54">
        <f t="shared" si="35"/>
        <v>14.656759464719499</v>
      </c>
      <c r="L530" s="55">
        <f t="shared" si="36"/>
        <v>-0.50615585723571566</v>
      </c>
      <c r="M530" t="str">
        <f t="shared" si="37"/>
        <v/>
      </c>
    </row>
    <row r="531" spans="1:13" x14ac:dyDescent="0.2">
      <c r="A531">
        <f>Final_Dataset!A502</f>
        <v>501</v>
      </c>
      <c r="B531" s="53">
        <f>Final_Dataset!B502</f>
        <v>40565</v>
      </c>
      <c r="C531">
        <f>Final_Dataset!F502</f>
        <v>22</v>
      </c>
      <c r="D531" t="str">
        <f>Final_Dataset!T502</f>
        <v>Sat</v>
      </c>
      <c r="E531" t="str">
        <f>Final_Dataset!X502</f>
        <v>Clear</v>
      </c>
      <c r="F531">
        <f>Final_Dataset!J502</f>
        <v>0.06</v>
      </c>
      <c r="G531">
        <f>Final_Dataset!L502</f>
        <v>0.49</v>
      </c>
      <c r="H531">
        <f>Final_Dataset!M502</f>
        <v>0</v>
      </c>
      <c r="I531">
        <f>Final_Dataset!P502</f>
        <v>30</v>
      </c>
      <c r="J531" s="54">
        <f t="shared" si="34"/>
        <v>35.069767441860463</v>
      </c>
      <c r="K531" s="54">
        <f t="shared" si="35"/>
        <v>11.95506537162667</v>
      </c>
      <c r="L531" s="55">
        <f t="shared" si="36"/>
        <v>-0.42406856711069946</v>
      </c>
      <c r="M531" t="str">
        <f t="shared" si="37"/>
        <v/>
      </c>
    </row>
    <row r="532" spans="1:13" x14ac:dyDescent="0.2">
      <c r="A532">
        <f>Final_Dataset!A503</f>
        <v>502</v>
      </c>
      <c r="B532" s="53">
        <f>Final_Dataset!B503</f>
        <v>40565</v>
      </c>
      <c r="C532">
        <f>Final_Dataset!F503</f>
        <v>23</v>
      </c>
      <c r="D532" t="str">
        <f>Final_Dataset!T503</f>
        <v>Sat</v>
      </c>
      <c r="E532" t="str">
        <f>Final_Dataset!X503</f>
        <v>Clear</v>
      </c>
      <c r="F532">
        <f>Final_Dataset!J503</f>
        <v>0.04</v>
      </c>
      <c r="G532">
        <f>Final_Dataset!L503</f>
        <v>0.56999999999999995</v>
      </c>
      <c r="H532">
        <f>Final_Dataset!M503</f>
        <v>0.1045</v>
      </c>
      <c r="I532">
        <f>Final_Dataset!P503</f>
        <v>33</v>
      </c>
      <c r="J532" s="54">
        <f t="shared" si="34"/>
        <v>25.186046511627907</v>
      </c>
      <c r="K532" s="54">
        <f t="shared" si="35"/>
        <v>11.751911321656186</v>
      </c>
      <c r="L532" s="55">
        <f t="shared" si="36"/>
        <v>0.66490916026337743</v>
      </c>
      <c r="M532" t="str">
        <f t="shared" si="37"/>
        <v/>
      </c>
    </row>
    <row r="533" spans="1:13" x14ac:dyDescent="0.2">
      <c r="A533">
        <f>Final_Dataset!A504</f>
        <v>503</v>
      </c>
      <c r="B533" s="53">
        <f>Final_Dataset!B504</f>
        <v>40566</v>
      </c>
      <c r="C533">
        <f>Final_Dataset!F504</f>
        <v>0</v>
      </c>
      <c r="D533" t="str">
        <f>Final_Dataset!T504</f>
        <v>Sun</v>
      </c>
      <c r="E533" t="str">
        <f>Final_Dataset!X504</f>
        <v>Clear</v>
      </c>
      <c r="F533">
        <f>Final_Dataset!J504</f>
        <v>0.04</v>
      </c>
      <c r="G533">
        <f>Final_Dataset!L504</f>
        <v>0.56999999999999995</v>
      </c>
      <c r="H533">
        <f>Final_Dataset!M504</f>
        <v>0.1045</v>
      </c>
      <c r="I533">
        <f>Final_Dataset!P504</f>
        <v>22</v>
      </c>
      <c r="J533" s="54">
        <f t="shared" si="34"/>
        <v>16.348837209302324</v>
      </c>
      <c r="K533" s="54">
        <f t="shared" si="35"/>
        <v>10.442321674276208</v>
      </c>
      <c r="L533" s="55">
        <f t="shared" si="36"/>
        <v>0.5411787691446861</v>
      </c>
      <c r="M533" t="str">
        <f t="shared" si="37"/>
        <v/>
      </c>
    </row>
    <row r="534" spans="1:13" x14ac:dyDescent="0.2">
      <c r="A534">
        <f>Final_Dataset!A505</f>
        <v>504</v>
      </c>
      <c r="B534" s="53">
        <f>Final_Dataset!B505</f>
        <v>40566</v>
      </c>
      <c r="C534">
        <f>Final_Dataset!F505</f>
        <v>1</v>
      </c>
      <c r="D534" t="str">
        <f>Final_Dataset!T505</f>
        <v>Sun</v>
      </c>
      <c r="E534" t="str">
        <f>Final_Dataset!X505</f>
        <v>Clear</v>
      </c>
      <c r="F534">
        <f>Final_Dataset!J505</f>
        <v>0.04</v>
      </c>
      <c r="G534">
        <f>Final_Dataset!L505</f>
        <v>0.56999999999999995</v>
      </c>
      <c r="H534">
        <f>Final_Dataset!M505</f>
        <v>0.1045</v>
      </c>
      <c r="I534">
        <f>Final_Dataset!P505</f>
        <v>13</v>
      </c>
      <c r="J534" s="54">
        <f t="shared" si="34"/>
        <v>10.697674418604651</v>
      </c>
      <c r="K534" s="54">
        <f t="shared" si="35"/>
        <v>10.060613641515801</v>
      </c>
      <c r="L534" s="55">
        <f t="shared" si="36"/>
        <v>0.22884544257764233</v>
      </c>
      <c r="M534" t="str">
        <f t="shared" si="37"/>
        <v/>
      </c>
    </row>
    <row r="535" spans="1:13" x14ac:dyDescent="0.2">
      <c r="A535">
        <f>Final_Dataset!A506</f>
        <v>505</v>
      </c>
      <c r="B535" s="53">
        <f>Final_Dataset!B506</f>
        <v>40566</v>
      </c>
      <c r="C535">
        <f>Final_Dataset!F506</f>
        <v>2</v>
      </c>
      <c r="D535" t="str">
        <f>Final_Dataset!T506</f>
        <v>Sun</v>
      </c>
      <c r="E535" t="str">
        <f>Final_Dataset!X506</f>
        <v>Clear</v>
      </c>
      <c r="F535">
        <f>Final_Dataset!J506</f>
        <v>0.02</v>
      </c>
      <c r="G535">
        <f>Final_Dataset!L506</f>
        <v>0.62</v>
      </c>
      <c r="H535">
        <f>Final_Dataset!M506</f>
        <v>0.1343</v>
      </c>
      <c r="I535">
        <f>Final_Dataset!P506</f>
        <v>18</v>
      </c>
      <c r="J535" s="54">
        <f t="shared" si="34"/>
        <v>7.1707317073170733</v>
      </c>
      <c r="K535" s="54">
        <f t="shared" si="35"/>
        <v>7.3685223723090862</v>
      </c>
      <c r="L535" s="55">
        <f t="shared" si="36"/>
        <v>1.4696662024640552</v>
      </c>
      <c r="M535" t="str">
        <f t="shared" si="37"/>
        <v/>
      </c>
    </row>
    <row r="536" spans="1:13" x14ac:dyDescent="0.2">
      <c r="A536">
        <f>Final_Dataset!A507</f>
        <v>506</v>
      </c>
      <c r="B536" s="53">
        <f>Final_Dataset!B507</f>
        <v>40566</v>
      </c>
      <c r="C536">
        <f>Final_Dataset!F507</f>
        <v>3</v>
      </c>
      <c r="D536" t="str">
        <f>Final_Dataset!T507</f>
        <v>Sun</v>
      </c>
      <c r="E536" t="str">
        <f>Final_Dataset!X507</f>
        <v>Clear</v>
      </c>
      <c r="F536">
        <f>Final_Dataset!J507</f>
        <v>0.02</v>
      </c>
      <c r="G536">
        <f>Final_Dataset!L507</f>
        <v>0.62</v>
      </c>
      <c r="H536">
        <f>Final_Dataset!M507</f>
        <v>0.1343</v>
      </c>
      <c r="I536">
        <f>Final_Dataset!P507</f>
        <v>5</v>
      </c>
      <c r="J536" s="54">
        <f t="shared" si="34"/>
        <v>4.870967741935484</v>
      </c>
      <c r="K536" s="54">
        <f t="shared" si="35"/>
        <v>4.4702120418303126</v>
      </c>
      <c r="L536" s="55">
        <f t="shared" si="36"/>
        <v>2.8864907717371772E-2</v>
      </c>
      <c r="M536" t="str">
        <f t="shared" si="37"/>
        <v/>
      </c>
    </row>
    <row r="537" spans="1:13" x14ac:dyDescent="0.2">
      <c r="A537">
        <f>Final_Dataset!A508</f>
        <v>507</v>
      </c>
      <c r="B537" s="53">
        <f>Final_Dataset!B508</f>
        <v>40566</v>
      </c>
      <c r="C537">
        <f>Final_Dataset!F508</f>
        <v>5</v>
      </c>
      <c r="D537" t="str">
        <f>Final_Dataset!T508</f>
        <v>Sun</v>
      </c>
      <c r="E537" t="str">
        <f>Final_Dataset!X508</f>
        <v>Cloudy/Mist</v>
      </c>
      <c r="F537">
        <f>Final_Dataset!J508</f>
        <v>0.04</v>
      </c>
      <c r="G537">
        <f>Final_Dataset!L508</f>
        <v>0.56999999999999995</v>
      </c>
      <c r="H537">
        <f>Final_Dataset!M508</f>
        <v>0.1045</v>
      </c>
      <c r="I537">
        <f>Final_Dataset!P508</f>
        <v>3</v>
      </c>
      <c r="J537" s="54">
        <f t="shared" si="34"/>
        <v>4.2051282051282053</v>
      </c>
      <c r="K537" s="54">
        <f t="shared" si="35"/>
        <v>2.5358429220352288</v>
      </c>
      <c r="L537" s="55">
        <f t="shared" si="36"/>
        <v>-0.47523771865214265</v>
      </c>
      <c r="M537" t="str">
        <f t="shared" si="37"/>
        <v/>
      </c>
    </row>
    <row r="538" spans="1:13" x14ac:dyDescent="0.2">
      <c r="A538">
        <f>Final_Dataset!A509</f>
        <v>508</v>
      </c>
      <c r="B538" s="53">
        <f>Final_Dataset!B509</f>
        <v>40566</v>
      </c>
      <c r="C538">
        <f>Final_Dataset!F509</f>
        <v>6</v>
      </c>
      <c r="D538" t="str">
        <f>Final_Dataset!T509</f>
        <v>Sun</v>
      </c>
      <c r="E538" t="str">
        <f>Final_Dataset!X509</f>
        <v>Cloudy/Mist</v>
      </c>
      <c r="F538">
        <f>Final_Dataset!J509</f>
        <v>0.04</v>
      </c>
      <c r="G538">
        <f>Final_Dataset!L509</f>
        <v>0.56999999999999995</v>
      </c>
      <c r="H538">
        <f>Final_Dataset!M509</f>
        <v>0.1045</v>
      </c>
      <c r="I538">
        <f>Final_Dataset!P509</f>
        <v>1</v>
      </c>
      <c r="J538" s="54">
        <f t="shared" si="34"/>
        <v>19.571428571428573</v>
      </c>
      <c r="K538" s="54">
        <f t="shared" si="35"/>
        <v>14.202615453298934</v>
      </c>
      <c r="L538" s="55">
        <f t="shared" si="36"/>
        <v>-1.3076062386181742</v>
      </c>
      <c r="M538" t="str">
        <f t="shared" si="37"/>
        <v/>
      </c>
    </row>
    <row r="539" spans="1:13" x14ac:dyDescent="0.2">
      <c r="A539">
        <f>Final_Dataset!A510</f>
        <v>509</v>
      </c>
      <c r="B539" s="53">
        <f>Final_Dataset!B510</f>
        <v>40566</v>
      </c>
      <c r="C539">
        <f>Final_Dataset!F510</f>
        <v>7</v>
      </c>
      <c r="D539" t="str">
        <f>Final_Dataset!T510</f>
        <v>Sun</v>
      </c>
      <c r="E539" t="str">
        <f>Final_Dataset!X510</f>
        <v>Clear</v>
      </c>
      <c r="F539">
        <f>Final_Dataset!J510</f>
        <v>0.08</v>
      </c>
      <c r="G539">
        <f>Final_Dataset!L510</f>
        <v>0.57999999999999996</v>
      </c>
      <c r="H539">
        <f>Final_Dataset!M510</f>
        <v>0.16420000000000001</v>
      </c>
      <c r="I539">
        <f>Final_Dataset!P510</f>
        <v>2</v>
      </c>
      <c r="J539" s="54">
        <f t="shared" si="34"/>
        <v>54.395348837209305</v>
      </c>
      <c r="K539" s="54">
        <f t="shared" si="35"/>
        <v>39.112864486352777</v>
      </c>
      <c r="L539" s="55">
        <f t="shared" si="36"/>
        <v>-1.3395937506824906</v>
      </c>
      <c r="M539" t="str">
        <f t="shared" si="37"/>
        <v/>
      </c>
    </row>
    <row r="540" spans="1:13" x14ac:dyDescent="0.2">
      <c r="A540">
        <f>Final_Dataset!A511</f>
        <v>510</v>
      </c>
      <c r="B540" s="53">
        <f>Final_Dataset!B511</f>
        <v>40566</v>
      </c>
      <c r="C540">
        <f>Final_Dataset!F511</f>
        <v>8</v>
      </c>
      <c r="D540" t="str">
        <f>Final_Dataset!T511</f>
        <v>Sun</v>
      </c>
      <c r="E540" t="str">
        <f>Final_Dataset!X511</f>
        <v>Clear</v>
      </c>
      <c r="F540">
        <f>Final_Dataset!J511</f>
        <v>0.06</v>
      </c>
      <c r="G540">
        <f>Final_Dataset!L511</f>
        <v>0.62</v>
      </c>
      <c r="H540">
        <f>Final_Dataset!M511</f>
        <v>0.16420000000000001</v>
      </c>
      <c r="I540">
        <f>Final_Dataset!P511</f>
        <v>19</v>
      </c>
      <c r="J540" s="54">
        <f t="shared" si="34"/>
        <v>128.28571428571428</v>
      </c>
      <c r="K540" s="54">
        <f t="shared" si="35"/>
        <v>88.551565717048533</v>
      </c>
      <c r="L540" s="55">
        <f t="shared" si="36"/>
        <v>-1.2341477352858807</v>
      </c>
      <c r="M540" t="str">
        <f t="shared" si="37"/>
        <v/>
      </c>
    </row>
    <row r="541" spans="1:13" x14ac:dyDescent="0.2">
      <c r="A541">
        <f>Final_Dataset!A512</f>
        <v>511</v>
      </c>
      <c r="B541" s="53">
        <f>Final_Dataset!B512</f>
        <v>40566</v>
      </c>
      <c r="C541">
        <f>Final_Dataset!F512</f>
        <v>9</v>
      </c>
      <c r="D541" t="str">
        <f>Final_Dataset!T512</f>
        <v>Sun</v>
      </c>
      <c r="E541" t="str">
        <f>Final_Dataset!X512</f>
        <v>Clear</v>
      </c>
      <c r="F541">
        <f>Final_Dataset!J512</f>
        <v>0.1</v>
      </c>
      <c r="G541">
        <f>Final_Dataset!L512</f>
        <v>0.54</v>
      </c>
      <c r="H541">
        <f>Final_Dataset!M512</f>
        <v>0.35820000000000002</v>
      </c>
      <c r="I541">
        <f>Final_Dataset!P512</f>
        <v>28</v>
      </c>
      <c r="J541" s="54">
        <f t="shared" si="34"/>
        <v>87.428571428571431</v>
      </c>
      <c r="K541" s="54">
        <f t="shared" si="35"/>
        <v>45.93852884078624</v>
      </c>
      <c r="L541" s="55">
        <f t="shared" si="36"/>
        <v>-1.293654214189988</v>
      </c>
      <c r="M541" t="str">
        <f t="shared" si="37"/>
        <v/>
      </c>
    </row>
    <row r="542" spans="1:13" x14ac:dyDescent="0.2">
      <c r="A542">
        <f>Final_Dataset!A513</f>
        <v>512</v>
      </c>
      <c r="B542" s="53">
        <f>Final_Dataset!B513</f>
        <v>40566</v>
      </c>
      <c r="C542">
        <f>Final_Dataset!F513</f>
        <v>10</v>
      </c>
      <c r="D542" t="str">
        <f>Final_Dataset!T513</f>
        <v>Sun</v>
      </c>
      <c r="E542" t="str">
        <f>Final_Dataset!X513</f>
        <v>Clear</v>
      </c>
      <c r="F542">
        <f>Final_Dataset!J513</f>
        <v>0.14000000000000001</v>
      </c>
      <c r="G542">
        <f>Final_Dataset!L513</f>
        <v>0.46</v>
      </c>
      <c r="H542">
        <f>Final_Dataset!M513</f>
        <v>0.3881</v>
      </c>
      <c r="I542">
        <f>Final_Dataset!P513</f>
        <v>58</v>
      </c>
      <c r="J542" s="54">
        <f t="shared" si="34"/>
        <v>53.642857142857146</v>
      </c>
      <c r="K542" s="54">
        <f t="shared" si="35"/>
        <v>15.395313554536934</v>
      </c>
      <c r="L542" s="55">
        <f t="shared" si="36"/>
        <v>0.28301748072281535</v>
      </c>
      <c r="M542" t="str">
        <f t="shared" si="37"/>
        <v/>
      </c>
    </row>
    <row r="543" spans="1:13" x14ac:dyDescent="0.2">
      <c r="A543">
        <f>Final_Dataset!A514</f>
        <v>513</v>
      </c>
      <c r="B543" s="53">
        <f>Final_Dataset!B514</f>
        <v>40566</v>
      </c>
      <c r="C543">
        <f>Final_Dataset!F514</f>
        <v>11</v>
      </c>
      <c r="D543" t="str">
        <f>Final_Dataset!T514</f>
        <v>Sun</v>
      </c>
      <c r="E543" t="str">
        <f>Final_Dataset!X514</f>
        <v>Clear</v>
      </c>
      <c r="F543">
        <f>Final_Dataset!J514</f>
        <v>0.14000000000000001</v>
      </c>
      <c r="G543">
        <f>Final_Dataset!L514</f>
        <v>0.43</v>
      </c>
      <c r="H543">
        <f>Final_Dataset!M514</f>
        <v>0.22389999999999999</v>
      </c>
      <c r="I543">
        <f>Final_Dataset!P514</f>
        <v>99</v>
      </c>
      <c r="J543" s="54">
        <f t="shared" ref="J543:J606" si="38">INDEX($F$5:$F$28,MATCH(C543,$D$5:$D$28,0))</f>
        <v>59.38095238095238</v>
      </c>
      <c r="K543" s="54">
        <f t="shared" ref="K543:K606" si="39">INDEX($G$5:$G$28,MATCH(C543,$D$5:$D$28,0))</f>
        <v>20.89573696860419</v>
      </c>
      <c r="L543" s="55">
        <f t="shared" ref="L543:L606" si="40">IF(K543=0,0,(I543-J543)/K543)</f>
        <v>1.8960349509842689</v>
      </c>
      <c r="M543" t="str">
        <f t="shared" ref="M543:M606" si="41">IF(ABS(L543)&gt;=$B$4,IF(L543&gt;0,"High","Low"),"")</f>
        <v/>
      </c>
    </row>
    <row r="544" spans="1:13" x14ac:dyDescent="0.2">
      <c r="A544">
        <f>Final_Dataset!A515</f>
        <v>514</v>
      </c>
      <c r="B544" s="53">
        <f>Final_Dataset!B515</f>
        <v>40566</v>
      </c>
      <c r="C544">
        <f>Final_Dataset!F515</f>
        <v>12</v>
      </c>
      <c r="D544" t="str">
        <f>Final_Dataset!T515</f>
        <v>Sun</v>
      </c>
      <c r="E544" t="str">
        <f>Final_Dataset!X515</f>
        <v>Clear</v>
      </c>
      <c r="F544">
        <f>Final_Dataset!J515</f>
        <v>0.16</v>
      </c>
      <c r="G544">
        <f>Final_Dataset!L515</f>
        <v>0.37</v>
      </c>
      <c r="H544">
        <f>Final_Dataset!M515</f>
        <v>0.4627</v>
      </c>
      <c r="I544">
        <f>Final_Dataset!P515</f>
        <v>116</v>
      </c>
      <c r="J544" s="54">
        <f t="shared" si="38"/>
        <v>76.348837209302332</v>
      </c>
      <c r="K544" s="54">
        <f t="shared" si="39"/>
        <v>29.034366927857057</v>
      </c>
      <c r="L544" s="55">
        <f t="shared" si="40"/>
        <v>1.3656630740122773</v>
      </c>
      <c r="M544" t="str">
        <f t="shared" si="41"/>
        <v/>
      </c>
    </row>
    <row r="545" spans="1:13" x14ac:dyDescent="0.2">
      <c r="A545">
        <f>Final_Dataset!A516</f>
        <v>515</v>
      </c>
      <c r="B545" s="53">
        <f>Final_Dataset!B516</f>
        <v>40566</v>
      </c>
      <c r="C545">
        <f>Final_Dataset!F516</f>
        <v>13</v>
      </c>
      <c r="D545" t="str">
        <f>Final_Dataset!T516</f>
        <v>Sun</v>
      </c>
      <c r="E545" t="str">
        <f>Final_Dataset!X516</f>
        <v>Clear</v>
      </c>
      <c r="F545">
        <f>Final_Dataset!J516</f>
        <v>0.14000000000000001</v>
      </c>
      <c r="G545">
        <f>Final_Dataset!L516</f>
        <v>0.33</v>
      </c>
      <c r="H545">
        <f>Final_Dataset!M516</f>
        <v>0.3881</v>
      </c>
      <c r="I545">
        <f>Final_Dataset!P516</f>
        <v>87</v>
      </c>
      <c r="J545" s="54">
        <f t="shared" si="38"/>
        <v>78.511627906976742</v>
      </c>
      <c r="K545" s="54">
        <f t="shared" si="39"/>
        <v>30.072430098825173</v>
      </c>
      <c r="L545" s="55">
        <f t="shared" si="40"/>
        <v>0.28226425550341111</v>
      </c>
      <c r="M545" t="str">
        <f t="shared" si="41"/>
        <v/>
      </c>
    </row>
    <row r="546" spans="1:13" x14ac:dyDescent="0.2">
      <c r="A546">
        <f>Final_Dataset!A517</f>
        <v>516</v>
      </c>
      <c r="B546" s="53">
        <f>Final_Dataset!B517</f>
        <v>40566</v>
      </c>
      <c r="C546">
        <f>Final_Dataset!F517</f>
        <v>14</v>
      </c>
      <c r="D546" t="str">
        <f>Final_Dataset!T517</f>
        <v>Sun</v>
      </c>
      <c r="E546" t="str">
        <f>Final_Dataset!X517</f>
        <v>Clear</v>
      </c>
      <c r="F546">
        <f>Final_Dataset!J517</f>
        <v>0.16</v>
      </c>
      <c r="G546">
        <f>Final_Dataset!L517</f>
        <v>0.28000000000000003</v>
      </c>
      <c r="H546">
        <f>Final_Dataset!M517</f>
        <v>0.35820000000000002</v>
      </c>
      <c r="I546">
        <f>Final_Dataset!P517</f>
        <v>110</v>
      </c>
      <c r="J546" s="54">
        <f t="shared" si="38"/>
        <v>74.418604651162795</v>
      </c>
      <c r="K546" s="54">
        <f t="shared" si="39"/>
        <v>30.305769180565147</v>
      </c>
      <c r="L546" s="55">
        <f t="shared" si="40"/>
        <v>1.1740799296938906</v>
      </c>
      <c r="M546" t="str">
        <f t="shared" si="41"/>
        <v/>
      </c>
    </row>
    <row r="547" spans="1:13" x14ac:dyDescent="0.2">
      <c r="A547">
        <f>Final_Dataset!A518</f>
        <v>517</v>
      </c>
      <c r="B547" s="53">
        <f>Final_Dataset!B518</f>
        <v>40566</v>
      </c>
      <c r="C547">
        <f>Final_Dataset!F518</f>
        <v>15</v>
      </c>
      <c r="D547" t="str">
        <f>Final_Dataset!T518</f>
        <v>Sun</v>
      </c>
      <c r="E547" t="str">
        <f>Final_Dataset!X518</f>
        <v>Clear</v>
      </c>
      <c r="F547">
        <f>Final_Dataset!J518</f>
        <v>0.16</v>
      </c>
      <c r="G547">
        <f>Final_Dataset!L518</f>
        <v>0.28000000000000003</v>
      </c>
      <c r="H547">
        <f>Final_Dataset!M518</f>
        <v>0.35820000000000002</v>
      </c>
      <c r="I547">
        <f>Final_Dataset!P518</f>
        <v>77</v>
      </c>
      <c r="J547" s="54">
        <f t="shared" si="38"/>
        <v>77.95348837209302</v>
      </c>
      <c r="K547" s="54">
        <f t="shared" si="39"/>
        <v>34.481156681772681</v>
      </c>
      <c r="L547" s="55">
        <f t="shared" si="40"/>
        <v>-2.7652447419116006E-2</v>
      </c>
      <c r="M547" t="str">
        <f t="shared" si="41"/>
        <v/>
      </c>
    </row>
    <row r="548" spans="1:13" x14ac:dyDescent="0.2">
      <c r="A548">
        <f>Final_Dataset!A519</f>
        <v>518</v>
      </c>
      <c r="B548" s="53">
        <f>Final_Dataset!B519</f>
        <v>40566</v>
      </c>
      <c r="C548">
        <f>Final_Dataset!F519</f>
        <v>16</v>
      </c>
      <c r="D548" t="str">
        <f>Final_Dataset!T519</f>
        <v>Sun</v>
      </c>
      <c r="E548" t="str">
        <f>Final_Dataset!X519</f>
        <v>Clear</v>
      </c>
      <c r="F548">
        <f>Final_Dataset!J519</f>
        <v>0.16</v>
      </c>
      <c r="G548">
        <f>Final_Dataset!L519</f>
        <v>0.26</v>
      </c>
      <c r="H548">
        <f>Final_Dataset!M519</f>
        <v>0.32840000000000003</v>
      </c>
      <c r="I548">
        <f>Final_Dataset!P519</f>
        <v>65</v>
      </c>
      <c r="J548" s="54">
        <f t="shared" si="38"/>
        <v>89.272727272727266</v>
      </c>
      <c r="K548" s="54">
        <f t="shared" si="39"/>
        <v>25.461657115880747</v>
      </c>
      <c r="L548" s="55">
        <f t="shared" si="40"/>
        <v>-0.95330508781331713</v>
      </c>
      <c r="M548" t="str">
        <f t="shared" si="41"/>
        <v/>
      </c>
    </row>
    <row r="549" spans="1:13" x14ac:dyDescent="0.2">
      <c r="A549">
        <f>Final_Dataset!A520</f>
        <v>519</v>
      </c>
      <c r="B549" s="53">
        <f>Final_Dataset!B520</f>
        <v>40566</v>
      </c>
      <c r="C549">
        <f>Final_Dataset!F520</f>
        <v>17</v>
      </c>
      <c r="D549" t="str">
        <f>Final_Dataset!T520</f>
        <v>Sun</v>
      </c>
      <c r="E549" t="str">
        <f>Final_Dataset!X520</f>
        <v>Clear</v>
      </c>
      <c r="F549">
        <f>Final_Dataset!J520</f>
        <v>0.14000000000000001</v>
      </c>
      <c r="G549">
        <f>Final_Dataset!L520</f>
        <v>0.26</v>
      </c>
      <c r="H549">
        <f>Final_Dataset!M520</f>
        <v>0.3881</v>
      </c>
      <c r="I549">
        <f>Final_Dataset!P520</f>
        <v>55</v>
      </c>
      <c r="J549" s="54">
        <f t="shared" si="38"/>
        <v>140.20454545454547</v>
      </c>
      <c r="K549" s="54">
        <f t="shared" si="39"/>
        <v>54.067391000084569</v>
      </c>
      <c r="L549" s="55">
        <f t="shared" si="40"/>
        <v>-1.5758952647523199</v>
      </c>
      <c r="M549" t="str">
        <f t="shared" si="41"/>
        <v/>
      </c>
    </row>
    <row r="550" spans="1:13" x14ac:dyDescent="0.2">
      <c r="A550">
        <f>Final_Dataset!A521</f>
        <v>520</v>
      </c>
      <c r="B550" s="53">
        <f>Final_Dataset!B521</f>
        <v>40566</v>
      </c>
      <c r="C550">
        <f>Final_Dataset!F521</f>
        <v>18</v>
      </c>
      <c r="D550" t="str">
        <f>Final_Dataset!T521</f>
        <v>Sun</v>
      </c>
      <c r="E550" t="str">
        <f>Final_Dataset!X521</f>
        <v>Clear</v>
      </c>
      <c r="F550">
        <f>Final_Dataset!J521</f>
        <v>0.12</v>
      </c>
      <c r="G550">
        <f>Final_Dataset!L521</f>
        <v>0.3</v>
      </c>
      <c r="H550">
        <f>Final_Dataset!M521</f>
        <v>0.25369999999999998</v>
      </c>
      <c r="I550">
        <f>Final_Dataset!P521</f>
        <v>49</v>
      </c>
      <c r="J550" s="54">
        <f t="shared" si="38"/>
        <v>122.86046511627907</v>
      </c>
      <c r="K550" s="54">
        <f t="shared" si="39"/>
        <v>48.613432101949947</v>
      </c>
      <c r="L550" s="55">
        <f t="shared" si="40"/>
        <v>-1.5193427397058115</v>
      </c>
      <c r="M550" t="str">
        <f t="shared" si="41"/>
        <v/>
      </c>
    </row>
    <row r="551" spans="1:13" x14ac:dyDescent="0.2">
      <c r="A551">
        <f>Final_Dataset!A522</f>
        <v>521</v>
      </c>
      <c r="B551" s="53">
        <f>Final_Dataset!B522</f>
        <v>40566</v>
      </c>
      <c r="C551">
        <f>Final_Dataset!F522</f>
        <v>19</v>
      </c>
      <c r="D551" t="str">
        <f>Final_Dataset!T522</f>
        <v>Sun</v>
      </c>
      <c r="E551" t="str">
        <f>Final_Dataset!X522</f>
        <v>Clear</v>
      </c>
      <c r="F551">
        <f>Final_Dataset!J522</f>
        <v>0.12</v>
      </c>
      <c r="G551">
        <f>Final_Dataset!L522</f>
        <v>0.3</v>
      </c>
      <c r="H551">
        <f>Final_Dataset!M522</f>
        <v>0.28360000000000002</v>
      </c>
      <c r="I551">
        <f>Final_Dataset!P522</f>
        <v>50</v>
      </c>
      <c r="J551" s="54">
        <f t="shared" si="38"/>
        <v>85.139534883720927</v>
      </c>
      <c r="K551" s="54">
        <f t="shared" si="39"/>
        <v>31.690904054294759</v>
      </c>
      <c r="L551" s="55">
        <f t="shared" si="40"/>
        <v>-1.1088208409428071</v>
      </c>
      <c r="M551" t="str">
        <f t="shared" si="41"/>
        <v/>
      </c>
    </row>
    <row r="552" spans="1:13" x14ac:dyDescent="0.2">
      <c r="A552">
        <f>Final_Dataset!A523</f>
        <v>522</v>
      </c>
      <c r="B552" s="53">
        <f>Final_Dataset!B523</f>
        <v>40566</v>
      </c>
      <c r="C552">
        <f>Final_Dataset!F523</f>
        <v>20</v>
      </c>
      <c r="D552" t="str">
        <f>Final_Dataset!T523</f>
        <v>Sun</v>
      </c>
      <c r="E552" t="str">
        <f>Final_Dataset!X523</f>
        <v>Clear</v>
      </c>
      <c r="F552">
        <f>Final_Dataset!J523</f>
        <v>0.1</v>
      </c>
      <c r="G552">
        <f>Final_Dataset!L523</f>
        <v>0.36</v>
      </c>
      <c r="H552">
        <f>Final_Dataset!M523</f>
        <v>0.25369999999999998</v>
      </c>
      <c r="I552">
        <f>Final_Dataset!P523</f>
        <v>35</v>
      </c>
      <c r="J552" s="54">
        <f t="shared" si="38"/>
        <v>61.767441860465119</v>
      </c>
      <c r="K552" s="54">
        <f t="shared" si="39"/>
        <v>24.6323801696856</v>
      </c>
      <c r="L552" s="55">
        <f t="shared" si="40"/>
        <v>-1.0866770355147035</v>
      </c>
      <c r="M552" t="str">
        <f t="shared" si="41"/>
        <v/>
      </c>
    </row>
    <row r="553" spans="1:13" x14ac:dyDescent="0.2">
      <c r="A553">
        <f>Final_Dataset!A524</f>
        <v>523</v>
      </c>
      <c r="B553" s="53">
        <f>Final_Dataset!B524</f>
        <v>40566</v>
      </c>
      <c r="C553">
        <f>Final_Dataset!F524</f>
        <v>21</v>
      </c>
      <c r="D553" t="str">
        <f>Final_Dataset!T524</f>
        <v>Sun</v>
      </c>
      <c r="E553" t="str">
        <f>Final_Dataset!X524</f>
        <v>Clear</v>
      </c>
      <c r="F553">
        <f>Final_Dataset!J524</f>
        <v>0.1</v>
      </c>
      <c r="G553">
        <f>Final_Dataset!L524</f>
        <v>0.36</v>
      </c>
      <c r="H553">
        <f>Final_Dataset!M524</f>
        <v>0.19400000000000001</v>
      </c>
      <c r="I553">
        <f>Final_Dataset!P524</f>
        <v>25</v>
      </c>
      <c r="J553" s="54">
        <f t="shared" si="38"/>
        <v>46.418604651162788</v>
      </c>
      <c r="K553" s="54">
        <f t="shared" si="39"/>
        <v>14.656759464719499</v>
      </c>
      <c r="L553" s="55">
        <f t="shared" si="40"/>
        <v>-1.4613465345269414</v>
      </c>
      <c r="M553" t="str">
        <f t="shared" si="41"/>
        <v/>
      </c>
    </row>
    <row r="554" spans="1:13" x14ac:dyDescent="0.2">
      <c r="A554">
        <f>Final_Dataset!A525</f>
        <v>524</v>
      </c>
      <c r="B554" s="53">
        <f>Final_Dataset!B525</f>
        <v>40566</v>
      </c>
      <c r="C554">
        <f>Final_Dataset!F525</f>
        <v>22</v>
      </c>
      <c r="D554" t="str">
        <f>Final_Dataset!T525</f>
        <v>Sun</v>
      </c>
      <c r="E554" t="str">
        <f>Final_Dataset!X525</f>
        <v>Clear</v>
      </c>
      <c r="F554">
        <f>Final_Dataset!J525</f>
        <v>0.08</v>
      </c>
      <c r="G554">
        <f>Final_Dataset!L525</f>
        <v>0.38</v>
      </c>
      <c r="H554">
        <f>Final_Dataset!M525</f>
        <v>0.19400000000000001</v>
      </c>
      <c r="I554">
        <f>Final_Dataset!P525</f>
        <v>28</v>
      </c>
      <c r="J554" s="54">
        <f t="shared" si="38"/>
        <v>35.069767441860463</v>
      </c>
      <c r="K554" s="54">
        <f t="shared" si="39"/>
        <v>11.95506537162667</v>
      </c>
      <c r="L554" s="55">
        <f t="shared" si="40"/>
        <v>-0.59136167156721398</v>
      </c>
      <c r="M554" t="str">
        <f t="shared" si="41"/>
        <v/>
      </c>
    </row>
    <row r="555" spans="1:13" x14ac:dyDescent="0.2">
      <c r="A555">
        <f>Final_Dataset!A526</f>
        <v>525</v>
      </c>
      <c r="B555" s="53">
        <f>Final_Dataset!B526</f>
        <v>40566</v>
      </c>
      <c r="C555">
        <f>Final_Dataset!F526</f>
        <v>23</v>
      </c>
      <c r="D555" t="str">
        <f>Final_Dataset!T526</f>
        <v>Sun</v>
      </c>
      <c r="E555" t="str">
        <f>Final_Dataset!X526</f>
        <v>Clear</v>
      </c>
      <c r="F555">
        <f>Final_Dataset!J526</f>
        <v>0.06</v>
      </c>
      <c r="G555">
        <f>Final_Dataset!L526</f>
        <v>0.41</v>
      </c>
      <c r="H555">
        <f>Final_Dataset!M526</f>
        <v>0.22389999999999999</v>
      </c>
      <c r="I555">
        <f>Final_Dataset!P526</f>
        <v>21</v>
      </c>
      <c r="J555" s="54">
        <f t="shared" si="38"/>
        <v>25.186046511627907</v>
      </c>
      <c r="K555" s="54">
        <f t="shared" si="39"/>
        <v>11.751911321656186</v>
      </c>
      <c r="L555" s="55">
        <f t="shared" si="40"/>
        <v>-0.35620133585538083</v>
      </c>
      <c r="M555" t="str">
        <f t="shared" si="41"/>
        <v/>
      </c>
    </row>
    <row r="556" spans="1:13" x14ac:dyDescent="0.2">
      <c r="A556">
        <f>Final_Dataset!A527</f>
        <v>526</v>
      </c>
      <c r="B556" s="53">
        <f>Final_Dataset!B527</f>
        <v>40567</v>
      </c>
      <c r="C556">
        <f>Final_Dataset!F527</f>
        <v>0</v>
      </c>
      <c r="D556" t="str">
        <f>Final_Dataset!T527</f>
        <v>Mon</v>
      </c>
      <c r="E556" t="str">
        <f>Final_Dataset!X527</f>
        <v>Clear</v>
      </c>
      <c r="F556">
        <f>Final_Dataset!J527</f>
        <v>0.06</v>
      </c>
      <c r="G556">
        <f>Final_Dataset!L527</f>
        <v>0.41</v>
      </c>
      <c r="H556">
        <f>Final_Dataset!M527</f>
        <v>0.19400000000000001</v>
      </c>
      <c r="I556">
        <f>Final_Dataset!P527</f>
        <v>7</v>
      </c>
      <c r="J556" s="54">
        <f t="shared" si="38"/>
        <v>16.348837209302324</v>
      </c>
      <c r="K556" s="54">
        <f t="shared" si="39"/>
        <v>10.442321674276208</v>
      </c>
      <c r="L556" s="55">
        <f t="shared" si="40"/>
        <v>-0.89528339586898653</v>
      </c>
      <c r="M556" t="str">
        <f t="shared" si="41"/>
        <v/>
      </c>
    </row>
    <row r="557" spans="1:13" x14ac:dyDescent="0.2">
      <c r="A557">
        <f>Final_Dataset!A528</f>
        <v>527</v>
      </c>
      <c r="B557" s="53">
        <f>Final_Dataset!B528</f>
        <v>40567</v>
      </c>
      <c r="C557">
        <f>Final_Dataset!F528</f>
        <v>1</v>
      </c>
      <c r="D557" t="str">
        <f>Final_Dataset!T528</f>
        <v>Mon</v>
      </c>
      <c r="E557" t="str">
        <f>Final_Dataset!X528</f>
        <v>Clear</v>
      </c>
      <c r="F557">
        <f>Final_Dataset!J528</f>
        <v>0.04</v>
      </c>
      <c r="G557">
        <f>Final_Dataset!L528</f>
        <v>0.45</v>
      </c>
      <c r="H557">
        <f>Final_Dataset!M528</f>
        <v>0.19400000000000001</v>
      </c>
      <c r="I557">
        <f>Final_Dataset!P528</f>
        <v>1</v>
      </c>
      <c r="J557" s="54">
        <f t="shared" si="38"/>
        <v>10.697674418604651</v>
      </c>
      <c r="K557" s="54">
        <f t="shared" si="39"/>
        <v>10.060613641515801</v>
      </c>
      <c r="L557" s="55">
        <f t="shared" si="40"/>
        <v>-0.96392474297855379</v>
      </c>
      <c r="M557" t="str">
        <f t="shared" si="41"/>
        <v/>
      </c>
    </row>
    <row r="558" spans="1:13" x14ac:dyDescent="0.2">
      <c r="A558">
        <f>Final_Dataset!A529</f>
        <v>528</v>
      </c>
      <c r="B558" s="53">
        <f>Final_Dataset!B529</f>
        <v>40567</v>
      </c>
      <c r="C558">
        <f>Final_Dataset!F529</f>
        <v>3</v>
      </c>
      <c r="D558" t="str">
        <f>Final_Dataset!T529</f>
        <v>Mon</v>
      </c>
      <c r="E558" t="str">
        <f>Final_Dataset!X529</f>
        <v>Clear</v>
      </c>
      <c r="F558">
        <f>Final_Dataset!J529</f>
        <v>0.04</v>
      </c>
      <c r="G558">
        <f>Final_Dataset!L529</f>
        <v>0.45</v>
      </c>
      <c r="H558">
        <f>Final_Dataset!M529</f>
        <v>0.25369999999999998</v>
      </c>
      <c r="I558">
        <f>Final_Dataset!P529</f>
        <v>1</v>
      </c>
      <c r="J558" s="54">
        <f t="shared" si="38"/>
        <v>4.870967741935484</v>
      </c>
      <c r="K558" s="54">
        <f t="shared" si="39"/>
        <v>4.4702120418303126</v>
      </c>
      <c r="L558" s="55">
        <f t="shared" si="40"/>
        <v>-0.86594723152115394</v>
      </c>
      <c r="M558" t="str">
        <f t="shared" si="41"/>
        <v/>
      </c>
    </row>
    <row r="559" spans="1:13" x14ac:dyDescent="0.2">
      <c r="A559">
        <f>Final_Dataset!A530</f>
        <v>529</v>
      </c>
      <c r="B559" s="53">
        <f>Final_Dataset!B530</f>
        <v>40567</v>
      </c>
      <c r="C559">
        <f>Final_Dataset!F530</f>
        <v>4</v>
      </c>
      <c r="D559" t="str">
        <f>Final_Dataset!T530</f>
        <v>Mon</v>
      </c>
      <c r="E559" t="str">
        <f>Final_Dataset!X530</f>
        <v>Clear</v>
      </c>
      <c r="F559">
        <f>Final_Dataset!J530</f>
        <v>0.02</v>
      </c>
      <c r="G559">
        <f>Final_Dataset!L530</f>
        <v>0.48</v>
      </c>
      <c r="H559">
        <f>Final_Dataset!M530</f>
        <v>0.1343</v>
      </c>
      <c r="I559">
        <f>Final_Dataset!P530</f>
        <v>1</v>
      </c>
      <c r="J559" s="54">
        <f t="shared" si="38"/>
        <v>2.15625</v>
      </c>
      <c r="K559" s="54">
        <f t="shared" si="39"/>
        <v>1.5263148747143209</v>
      </c>
      <c r="L559" s="55">
        <f t="shared" si="40"/>
        <v>-0.75754355746314428</v>
      </c>
      <c r="M559" t="str">
        <f t="shared" si="41"/>
        <v/>
      </c>
    </row>
    <row r="560" spans="1:13" x14ac:dyDescent="0.2">
      <c r="A560">
        <f>Final_Dataset!A531</f>
        <v>530</v>
      </c>
      <c r="B560" s="53">
        <f>Final_Dataset!B531</f>
        <v>40567</v>
      </c>
      <c r="C560">
        <f>Final_Dataset!F531</f>
        <v>5</v>
      </c>
      <c r="D560" t="str">
        <f>Final_Dataset!T531</f>
        <v>Mon</v>
      </c>
      <c r="E560" t="str">
        <f>Final_Dataset!X531</f>
        <v>Clear</v>
      </c>
      <c r="F560">
        <f>Final_Dataset!J531</f>
        <v>0.02</v>
      </c>
      <c r="G560">
        <f>Final_Dataset!L531</f>
        <v>0.48</v>
      </c>
      <c r="H560">
        <f>Final_Dataset!M531</f>
        <v>0.1343</v>
      </c>
      <c r="I560">
        <f>Final_Dataset!P531</f>
        <v>5</v>
      </c>
      <c r="J560" s="54">
        <f t="shared" si="38"/>
        <v>4.2051282051282053</v>
      </c>
      <c r="K560" s="54">
        <f t="shared" si="39"/>
        <v>2.5358429220352288</v>
      </c>
      <c r="L560" s="55">
        <f t="shared" si="40"/>
        <v>0.31345466549396633</v>
      </c>
      <c r="M560" t="str">
        <f t="shared" si="41"/>
        <v/>
      </c>
    </row>
    <row r="561" spans="1:13" x14ac:dyDescent="0.2">
      <c r="A561">
        <f>Final_Dataset!A532</f>
        <v>531</v>
      </c>
      <c r="B561" s="53">
        <f>Final_Dataset!B532</f>
        <v>40567</v>
      </c>
      <c r="C561">
        <f>Final_Dataset!F532</f>
        <v>6</v>
      </c>
      <c r="D561" t="str">
        <f>Final_Dataset!T532</f>
        <v>Mon</v>
      </c>
      <c r="E561" t="str">
        <f>Final_Dataset!X532</f>
        <v>Clear</v>
      </c>
      <c r="F561">
        <f>Final_Dataset!J532</f>
        <v>0.02</v>
      </c>
      <c r="G561">
        <f>Final_Dataset!L532</f>
        <v>0.48</v>
      </c>
      <c r="H561">
        <f>Final_Dataset!M532</f>
        <v>8.9599999999999999E-2</v>
      </c>
      <c r="I561">
        <f>Final_Dataset!P532</f>
        <v>15</v>
      </c>
      <c r="J561" s="54">
        <f t="shared" si="38"/>
        <v>19.571428571428573</v>
      </c>
      <c r="K561" s="54">
        <f t="shared" si="39"/>
        <v>14.202615453298934</v>
      </c>
      <c r="L561" s="55">
        <f t="shared" si="40"/>
        <v>-0.32187230489062757</v>
      </c>
      <c r="M561" t="str">
        <f t="shared" si="41"/>
        <v/>
      </c>
    </row>
    <row r="562" spans="1:13" x14ac:dyDescent="0.2">
      <c r="A562">
        <f>Final_Dataset!A533</f>
        <v>532</v>
      </c>
      <c r="B562" s="53">
        <f>Final_Dataset!B533</f>
        <v>40567</v>
      </c>
      <c r="C562">
        <f>Final_Dataset!F533</f>
        <v>7</v>
      </c>
      <c r="D562" t="str">
        <f>Final_Dataset!T533</f>
        <v>Mon</v>
      </c>
      <c r="E562" t="str">
        <f>Final_Dataset!X533</f>
        <v>Clear</v>
      </c>
      <c r="F562">
        <f>Final_Dataset!J533</f>
        <v>0.02</v>
      </c>
      <c r="G562">
        <f>Final_Dataset!L533</f>
        <v>0.48</v>
      </c>
      <c r="H562">
        <f>Final_Dataset!M533</f>
        <v>0</v>
      </c>
      <c r="I562">
        <f>Final_Dataset!P533</f>
        <v>84</v>
      </c>
      <c r="J562" s="54">
        <f t="shared" si="38"/>
        <v>54.395348837209305</v>
      </c>
      <c r="K562" s="54">
        <f t="shared" si="39"/>
        <v>39.112864486352777</v>
      </c>
      <c r="L562" s="55">
        <f t="shared" si="40"/>
        <v>0.75690317115792738</v>
      </c>
      <c r="M562" t="str">
        <f t="shared" si="41"/>
        <v/>
      </c>
    </row>
    <row r="563" spans="1:13" x14ac:dyDescent="0.2">
      <c r="A563">
        <f>Final_Dataset!A534</f>
        <v>533</v>
      </c>
      <c r="B563" s="53">
        <f>Final_Dataset!B534</f>
        <v>40567</v>
      </c>
      <c r="C563">
        <f>Final_Dataset!F534</f>
        <v>8</v>
      </c>
      <c r="D563" t="str">
        <f>Final_Dataset!T534</f>
        <v>Mon</v>
      </c>
      <c r="E563" t="str">
        <f>Final_Dataset!X534</f>
        <v>Clear</v>
      </c>
      <c r="F563">
        <f>Final_Dataset!J534</f>
        <v>0.04</v>
      </c>
      <c r="G563">
        <f>Final_Dataset!L534</f>
        <v>0.49</v>
      </c>
      <c r="H563">
        <f>Final_Dataset!M534</f>
        <v>0</v>
      </c>
      <c r="I563">
        <f>Final_Dataset!P534</f>
        <v>177</v>
      </c>
      <c r="J563" s="54">
        <f t="shared" si="38"/>
        <v>128.28571428571428</v>
      </c>
      <c r="K563" s="54">
        <f t="shared" si="39"/>
        <v>88.551565717048533</v>
      </c>
      <c r="L563" s="55">
        <f t="shared" si="40"/>
        <v>0.55012336958494823</v>
      </c>
      <c r="M563" t="str">
        <f t="shared" si="41"/>
        <v/>
      </c>
    </row>
    <row r="564" spans="1:13" x14ac:dyDescent="0.2">
      <c r="A564">
        <f>Final_Dataset!A535</f>
        <v>534</v>
      </c>
      <c r="B564" s="53">
        <f>Final_Dataset!B535</f>
        <v>40567</v>
      </c>
      <c r="C564">
        <f>Final_Dataset!F535</f>
        <v>9</v>
      </c>
      <c r="D564" t="str">
        <f>Final_Dataset!T535</f>
        <v>Mon</v>
      </c>
      <c r="E564" t="str">
        <f>Final_Dataset!X535</f>
        <v>Clear</v>
      </c>
      <c r="F564">
        <f>Final_Dataset!J535</f>
        <v>0.06</v>
      </c>
      <c r="G564">
        <f>Final_Dataset!L535</f>
        <v>0.41</v>
      </c>
      <c r="H564">
        <f>Final_Dataset!M535</f>
        <v>0</v>
      </c>
      <c r="I564">
        <f>Final_Dataset!P535</f>
        <v>102</v>
      </c>
      <c r="J564" s="54">
        <f t="shared" si="38"/>
        <v>87.428571428571431</v>
      </c>
      <c r="K564" s="54">
        <f t="shared" si="39"/>
        <v>45.93852884078624</v>
      </c>
      <c r="L564" s="55">
        <f t="shared" si="40"/>
        <v>0.31719406213312201</v>
      </c>
      <c r="M564" t="str">
        <f t="shared" si="41"/>
        <v/>
      </c>
    </row>
    <row r="565" spans="1:13" x14ac:dyDescent="0.2">
      <c r="A565">
        <f>Final_Dataset!A536</f>
        <v>535</v>
      </c>
      <c r="B565" s="53">
        <f>Final_Dataset!B536</f>
        <v>40567</v>
      </c>
      <c r="C565">
        <f>Final_Dataset!F536</f>
        <v>10</v>
      </c>
      <c r="D565" t="str">
        <f>Final_Dataset!T536</f>
        <v>Mon</v>
      </c>
      <c r="E565" t="str">
        <f>Final_Dataset!X536</f>
        <v>Clear</v>
      </c>
      <c r="F565">
        <f>Final_Dataset!J536</f>
        <v>0.1</v>
      </c>
      <c r="G565">
        <f>Final_Dataset!L536</f>
        <v>0.42</v>
      </c>
      <c r="H565">
        <f>Final_Dataset!M536</f>
        <v>0</v>
      </c>
      <c r="I565">
        <f>Final_Dataset!P536</f>
        <v>40</v>
      </c>
      <c r="J565" s="54">
        <f t="shared" si="38"/>
        <v>53.642857142857146</v>
      </c>
      <c r="K565" s="54">
        <f t="shared" si="39"/>
        <v>15.395313554536934</v>
      </c>
      <c r="L565" s="55">
        <f t="shared" si="40"/>
        <v>-0.8861694888206193</v>
      </c>
      <c r="M565" t="str">
        <f t="shared" si="41"/>
        <v/>
      </c>
    </row>
    <row r="566" spans="1:13" x14ac:dyDescent="0.2">
      <c r="A566">
        <f>Final_Dataset!A537</f>
        <v>536</v>
      </c>
      <c r="B566" s="53">
        <f>Final_Dataset!B537</f>
        <v>40567</v>
      </c>
      <c r="C566">
        <f>Final_Dataset!F537</f>
        <v>11</v>
      </c>
      <c r="D566" t="str">
        <f>Final_Dataset!T537</f>
        <v>Mon</v>
      </c>
      <c r="E566" t="str">
        <f>Final_Dataset!X537</f>
        <v>Clear</v>
      </c>
      <c r="F566">
        <f>Final_Dataset!J537</f>
        <v>0.1</v>
      </c>
      <c r="G566">
        <f>Final_Dataset!L537</f>
        <v>0.46</v>
      </c>
      <c r="H566">
        <f>Final_Dataset!M537</f>
        <v>0.1343</v>
      </c>
      <c r="I566">
        <f>Final_Dataset!P537</f>
        <v>46</v>
      </c>
      <c r="J566" s="54">
        <f t="shared" si="38"/>
        <v>59.38095238095238</v>
      </c>
      <c r="K566" s="54">
        <f t="shared" si="39"/>
        <v>20.89573696860419</v>
      </c>
      <c r="L566" s="55">
        <f t="shared" si="40"/>
        <v>-0.64036757358963881</v>
      </c>
      <c r="M566" t="str">
        <f t="shared" si="41"/>
        <v/>
      </c>
    </row>
    <row r="567" spans="1:13" x14ac:dyDescent="0.2">
      <c r="A567">
        <f>Final_Dataset!A538</f>
        <v>537</v>
      </c>
      <c r="B567" s="53">
        <f>Final_Dataset!B538</f>
        <v>40567</v>
      </c>
      <c r="C567">
        <f>Final_Dataset!F538</f>
        <v>12</v>
      </c>
      <c r="D567" t="str">
        <f>Final_Dataset!T538</f>
        <v>Mon</v>
      </c>
      <c r="E567" t="str">
        <f>Final_Dataset!X538</f>
        <v>Cloudy/Mist</v>
      </c>
      <c r="F567">
        <f>Final_Dataset!J538</f>
        <v>0.12</v>
      </c>
      <c r="G567">
        <f>Final_Dataset!L538</f>
        <v>0.42</v>
      </c>
      <c r="H567">
        <f>Final_Dataset!M538</f>
        <v>0.19400000000000001</v>
      </c>
      <c r="I567">
        <f>Final_Dataset!P538</f>
        <v>63</v>
      </c>
      <c r="J567" s="54">
        <f t="shared" si="38"/>
        <v>76.348837209302332</v>
      </c>
      <c r="K567" s="54">
        <f t="shared" si="39"/>
        <v>29.034366927857057</v>
      </c>
      <c r="L567" s="55">
        <f t="shared" si="40"/>
        <v>-0.45975988532730067</v>
      </c>
      <c r="M567" t="str">
        <f t="shared" si="41"/>
        <v/>
      </c>
    </row>
    <row r="568" spans="1:13" x14ac:dyDescent="0.2">
      <c r="A568">
        <f>Final_Dataset!A539</f>
        <v>538</v>
      </c>
      <c r="B568" s="53">
        <f>Final_Dataset!B539</f>
        <v>40567</v>
      </c>
      <c r="C568">
        <f>Final_Dataset!F539</f>
        <v>13</v>
      </c>
      <c r="D568" t="str">
        <f>Final_Dataset!T539</f>
        <v>Mon</v>
      </c>
      <c r="E568" t="str">
        <f>Final_Dataset!X539</f>
        <v>Cloudy/Mist</v>
      </c>
      <c r="F568">
        <f>Final_Dataset!J539</f>
        <v>0.14000000000000001</v>
      </c>
      <c r="G568">
        <f>Final_Dataset!L539</f>
        <v>0.43</v>
      </c>
      <c r="H568">
        <f>Final_Dataset!M539</f>
        <v>0.22389999999999999</v>
      </c>
      <c r="I568">
        <f>Final_Dataset!P539</f>
        <v>60</v>
      </c>
      <c r="J568" s="54">
        <f t="shared" si="38"/>
        <v>78.511627906976742</v>
      </c>
      <c r="K568" s="54">
        <f t="shared" si="39"/>
        <v>30.072430098825173</v>
      </c>
      <c r="L568" s="55">
        <f t="shared" si="40"/>
        <v>-0.61556807501565791</v>
      </c>
      <c r="M568" t="str">
        <f t="shared" si="41"/>
        <v/>
      </c>
    </row>
    <row r="569" spans="1:13" x14ac:dyDescent="0.2">
      <c r="A569">
        <f>Final_Dataset!A540</f>
        <v>539</v>
      </c>
      <c r="B569" s="53">
        <f>Final_Dataset!B540</f>
        <v>40567</v>
      </c>
      <c r="C569">
        <f>Final_Dataset!F540</f>
        <v>14</v>
      </c>
      <c r="D569" t="str">
        <f>Final_Dataset!T540</f>
        <v>Mon</v>
      </c>
      <c r="E569" t="str">
        <f>Final_Dataset!X540</f>
        <v>Cloudy/Mist</v>
      </c>
      <c r="F569">
        <f>Final_Dataset!J540</f>
        <v>0.14000000000000001</v>
      </c>
      <c r="G569">
        <f>Final_Dataset!L540</f>
        <v>0.46</v>
      </c>
      <c r="H569">
        <f>Final_Dataset!M540</f>
        <v>0.22389999999999999</v>
      </c>
      <c r="I569">
        <f>Final_Dataset!P540</f>
        <v>45</v>
      </c>
      <c r="J569" s="54">
        <f t="shared" si="38"/>
        <v>74.418604651162795</v>
      </c>
      <c r="K569" s="54">
        <f t="shared" si="39"/>
        <v>30.305769180565147</v>
      </c>
      <c r="L569" s="55">
        <f t="shared" si="40"/>
        <v>-0.97072621638089673</v>
      </c>
      <c r="M569" t="str">
        <f t="shared" si="41"/>
        <v/>
      </c>
    </row>
    <row r="570" spans="1:13" x14ac:dyDescent="0.2">
      <c r="A570">
        <f>Final_Dataset!A541</f>
        <v>540</v>
      </c>
      <c r="B570" s="53">
        <f>Final_Dataset!B541</f>
        <v>40567</v>
      </c>
      <c r="C570">
        <f>Final_Dataset!F541</f>
        <v>15</v>
      </c>
      <c r="D570" t="str">
        <f>Final_Dataset!T541</f>
        <v>Mon</v>
      </c>
      <c r="E570" t="str">
        <f>Final_Dataset!X541</f>
        <v>Clear</v>
      </c>
      <c r="F570">
        <f>Final_Dataset!J541</f>
        <v>0.16</v>
      </c>
      <c r="G570">
        <f>Final_Dataset!L541</f>
        <v>0.4</v>
      </c>
      <c r="H570">
        <f>Final_Dataset!M541</f>
        <v>0.16420000000000001</v>
      </c>
      <c r="I570">
        <f>Final_Dataset!P541</f>
        <v>57</v>
      </c>
      <c r="J570" s="54">
        <f t="shared" si="38"/>
        <v>77.95348837209302</v>
      </c>
      <c r="K570" s="54">
        <f t="shared" si="39"/>
        <v>34.481156681772681</v>
      </c>
      <c r="L570" s="55">
        <f t="shared" si="40"/>
        <v>-0.60767939328350273</v>
      </c>
      <c r="M570" t="str">
        <f t="shared" si="41"/>
        <v/>
      </c>
    </row>
    <row r="571" spans="1:13" x14ac:dyDescent="0.2">
      <c r="A571">
        <f>Final_Dataset!A542</f>
        <v>541</v>
      </c>
      <c r="B571" s="53">
        <f>Final_Dataset!B542</f>
        <v>40567</v>
      </c>
      <c r="C571">
        <f>Final_Dataset!F542</f>
        <v>16</v>
      </c>
      <c r="D571" t="str">
        <f>Final_Dataset!T542</f>
        <v>Mon</v>
      </c>
      <c r="E571" t="str">
        <f>Final_Dataset!X542</f>
        <v>Clear</v>
      </c>
      <c r="F571">
        <f>Final_Dataset!J542</f>
        <v>0.16</v>
      </c>
      <c r="G571">
        <f>Final_Dataset!L542</f>
        <v>0.47</v>
      </c>
      <c r="H571">
        <f>Final_Dataset!M542</f>
        <v>0.25369999999999998</v>
      </c>
      <c r="I571">
        <f>Final_Dataset!P542</f>
        <v>70</v>
      </c>
      <c r="J571" s="54">
        <f t="shared" si="38"/>
        <v>89.272727272727266</v>
      </c>
      <c r="K571" s="54">
        <f t="shared" si="39"/>
        <v>25.461657115880747</v>
      </c>
      <c r="L571" s="55">
        <f t="shared" si="40"/>
        <v>-0.75693138058585474</v>
      </c>
      <c r="M571" t="str">
        <f t="shared" si="41"/>
        <v/>
      </c>
    </row>
    <row r="572" spans="1:13" x14ac:dyDescent="0.2">
      <c r="A572">
        <f>Final_Dataset!A543</f>
        <v>542</v>
      </c>
      <c r="B572" s="53">
        <f>Final_Dataset!B543</f>
        <v>40567</v>
      </c>
      <c r="C572">
        <f>Final_Dataset!F543</f>
        <v>17</v>
      </c>
      <c r="D572" t="str">
        <f>Final_Dataset!T543</f>
        <v>Mon</v>
      </c>
      <c r="E572" t="str">
        <f>Final_Dataset!X543</f>
        <v>Clear</v>
      </c>
      <c r="F572">
        <f>Final_Dataset!J543</f>
        <v>0.14000000000000001</v>
      </c>
      <c r="G572">
        <f>Final_Dataset!L543</f>
        <v>0.5</v>
      </c>
      <c r="H572">
        <f>Final_Dataset!M543</f>
        <v>0.25369999999999998</v>
      </c>
      <c r="I572">
        <f>Final_Dataset!P543</f>
        <v>184</v>
      </c>
      <c r="J572" s="54">
        <f t="shared" si="38"/>
        <v>140.20454545454547</v>
      </c>
      <c r="K572" s="54">
        <f t="shared" si="39"/>
        <v>54.067391000084569</v>
      </c>
      <c r="L572" s="55">
        <f t="shared" si="40"/>
        <v>0.8100160509943235</v>
      </c>
      <c r="M572" t="str">
        <f t="shared" si="41"/>
        <v/>
      </c>
    </row>
    <row r="573" spans="1:13" x14ac:dyDescent="0.2">
      <c r="A573">
        <f>Final_Dataset!A544</f>
        <v>543</v>
      </c>
      <c r="B573" s="53">
        <f>Final_Dataset!B544</f>
        <v>40567</v>
      </c>
      <c r="C573">
        <f>Final_Dataset!F544</f>
        <v>18</v>
      </c>
      <c r="D573" t="str">
        <f>Final_Dataset!T544</f>
        <v>Mon</v>
      </c>
      <c r="E573" t="str">
        <f>Final_Dataset!X544</f>
        <v>Clear</v>
      </c>
      <c r="F573">
        <f>Final_Dataset!J544</f>
        <v>0.14000000000000001</v>
      </c>
      <c r="G573">
        <f>Final_Dataset!L544</f>
        <v>0.59</v>
      </c>
      <c r="H573">
        <f>Final_Dataset!M544</f>
        <v>0.19400000000000001</v>
      </c>
      <c r="I573">
        <f>Final_Dataset!P544</f>
        <v>153</v>
      </c>
      <c r="J573" s="54">
        <f t="shared" si="38"/>
        <v>122.86046511627907</v>
      </c>
      <c r="K573" s="54">
        <f t="shared" si="39"/>
        <v>48.613432101949947</v>
      </c>
      <c r="L573" s="55">
        <f t="shared" si="40"/>
        <v>0.61998368723511688</v>
      </c>
      <c r="M573" t="str">
        <f t="shared" si="41"/>
        <v/>
      </c>
    </row>
    <row r="574" spans="1:13" x14ac:dyDescent="0.2">
      <c r="A574">
        <f>Final_Dataset!A545</f>
        <v>544</v>
      </c>
      <c r="B574" s="53">
        <f>Final_Dataset!B545</f>
        <v>40567</v>
      </c>
      <c r="C574">
        <f>Final_Dataset!F545</f>
        <v>19</v>
      </c>
      <c r="D574" t="str">
        <f>Final_Dataset!T545</f>
        <v>Mon</v>
      </c>
      <c r="E574" t="str">
        <f>Final_Dataset!X545</f>
        <v>Clear</v>
      </c>
      <c r="F574">
        <f>Final_Dataset!J545</f>
        <v>0.14000000000000001</v>
      </c>
      <c r="G574">
        <f>Final_Dataset!L545</f>
        <v>0.54</v>
      </c>
      <c r="H574">
        <f>Final_Dataset!M545</f>
        <v>0.16420000000000001</v>
      </c>
      <c r="I574">
        <f>Final_Dataset!P545</f>
        <v>106</v>
      </c>
      <c r="J574" s="54">
        <f t="shared" si="38"/>
        <v>85.139534883720927</v>
      </c>
      <c r="K574" s="54">
        <f t="shared" si="39"/>
        <v>31.690904054294759</v>
      </c>
      <c r="L574" s="55">
        <f t="shared" si="40"/>
        <v>0.65824771298854945</v>
      </c>
      <c r="M574" t="str">
        <f t="shared" si="41"/>
        <v/>
      </c>
    </row>
    <row r="575" spans="1:13" x14ac:dyDescent="0.2">
      <c r="A575">
        <f>Final_Dataset!A546</f>
        <v>545</v>
      </c>
      <c r="B575" s="53">
        <f>Final_Dataset!B546</f>
        <v>40567</v>
      </c>
      <c r="C575">
        <f>Final_Dataset!F546</f>
        <v>20</v>
      </c>
      <c r="D575" t="str">
        <f>Final_Dataset!T546</f>
        <v>Mon</v>
      </c>
      <c r="E575" t="str">
        <f>Final_Dataset!X546</f>
        <v>Clear</v>
      </c>
      <c r="F575">
        <f>Final_Dataset!J546</f>
        <v>0.14000000000000001</v>
      </c>
      <c r="G575">
        <f>Final_Dataset!L546</f>
        <v>0.59</v>
      </c>
      <c r="H575">
        <f>Final_Dataset!M546</f>
        <v>0.19400000000000001</v>
      </c>
      <c r="I575">
        <f>Final_Dataset!P546</f>
        <v>81</v>
      </c>
      <c r="J575" s="54">
        <f t="shared" si="38"/>
        <v>61.767441860465119</v>
      </c>
      <c r="K575" s="54">
        <f t="shared" si="39"/>
        <v>24.6323801696856</v>
      </c>
      <c r="L575" s="55">
        <f t="shared" si="40"/>
        <v>0.78078358676860093</v>
      </c>
      <c r="M575" t="str">
        <f t="shared" si="41"/>
        <v/>
      </c>
    </row>
    <row r="576" spans="1:13" x14ac:dyDescent="0.2">
      <c r="A576">
        <f>Final_Dataset!A547</f>
        <v>546</v>
      </c>
      <c r="B576" s="53">
        <f>Final_Dataset!B547</f>
        <v>40567</v>
      </c>
      <c r="C576">
        <f>Final_Dataset!F547</f>
        <v>21</v>
      </c>
      <c r="D576" t="str">
        <f>Final_Dataset!T547</f>
        <v>Mon</v>
      </c>
      <c r="E576" t="str">
        <f>Final_Dataset!X547</f>
        <v>Clear</v>
      </c>
      <c r="F576">
        <f>Final_Dataset!J547</f>
        <v>0.14000000000000001</v>
      </c>
      <c r="G576">
        <f>Final_Dataset!L547</f>
        <v>0.63</v>
      </c>
      <c r="H576">
        <f>Final_Dataset!M547</f>
        <v>0.16420000000000001</v>
      </c>
      <c r="I576">
        <f>Final_Dataset!P547</f>
        <v>59</v>
      </c>
      <c r="J576" s="54">
        <f t="shared" si="38"/>
        <v>46.418604651162788</v>
      </c>
      <c r="K576" s="54">
        <f t="shared" si="39"/>
        <v>14.656759464719499</v>
      </c>
      <c r="L576" s="55">
        <f t="shared" si="40"/>
        <v>0.85840225318032093</v>
      </c>
      <c r="M576" t="str">
        <f t="shared" si="41"/>
        <v/>
      </c>
    </row>
    <row r="577" spans="1:13" x14ac:dyDescent="0.2">
      <c r="A577">
        <f>Final_Dataset!A548</f>
        <v>547</v>
      </c>
      <c r="B577" s="53">
        <f>Final_Dataset!B548</f>
        <v>40567</v>
      </c>
      <c r="C577">
        <f>Final_Dataset!F548</f>
        <v>22</v>
      </c>
      <c r="D577" t="str">
        <f>Final_Dataset!T548</f>
        <v>Mon</v>
      </c>
      <c r="E577" t="str">
        <f>Final_Dataset!X548</f>
        <v>Cloudy/Mist</v>
      </c>
      <c r="F577">
        <f>Final_Dataset!J548</f>
        <v>0.14000000000000001</v>
      </c>
      <c r="G577">
        <f>Final_Dataset!L548</f>
        <v>0.63</v>
      </c>
      <c r="H577">
        <f>Final_Dataset!M548</f>
        <v>0.22389999999999999</v>
      </c>
      <c r="I577">
        <f>Final_Dataset!P548</f>
        <v>35</v>
      </c>
      <c r="J577" s="54">
        <f t="shared" si="38"/>
        <v>35.069767441860463</v>
      </c>
      <c r="K577" s="54">
        <f t="shared" si="39"/>
        <v>11.95506537162667</v>
      </c>
      <c r="L577" s="55">
        <f t="shared" si="40"/>
        <v>-5.8358059694131586E-3</v>
      </c>
      <c r="M577" t="str">
        <f t="shared" si="41"/>
        <v/>
      </c>
    </row>
    <row r="578" spans="1:13" x14ac:dyDescent="0.2">
      <c r="A578">
        <f>Final_Dataset!A549</f>
        <v>548</v>
      </c>
      <c r="B578" s="53">
        <f>Final_Dataset!B549</f>
        <v>40567</v>
      </c>
      <c r="C578">
        <f>Final_Dataset!F549</f>
        <v>23</v>
      </c>
      <c r="D578" t="str">
        <f>Final_Dataset!T549</f>
        <v>Mon</v>
      </c>
      <c r="E578" t="str">
        <f>Final_Dataset!X549</f>
        <v>Cloudy/Mist</v>
      </c>
      <c r="F578">
        <f>Final_Dataset!J549</f>
        <v>0.16</v>
      </c>
      <c r="G578">
        <f>Final_Dataset!L549</f>
        <v>0.64</v>
      </c>
      <c r="H578">
        <f>Final_Dataset!M549</f>
        <v>0.25369999999999998</v>
      </c>
      <c r="I578">
        <f>Final_Dataset!P549</f>
        <v>24</v>
      </c>
      <c r="J578" s="54">
        <f t="shared" si="38"/>
        <v>25.186046511627907</v>
      </c>
      <c r="K578" s="54">
        <f t="shared" si="39"/>
        <v>11.751911321656186</v>
      </c>
      <c r="L578" s="55">
        <f t="shared" si="40"/>
        <v>-0.10092371182569125</v>
      </c>
      <c r="M578" t="str">
        <f t="shared" si="41"/>
        <v/>
      </c>
    </row>
    <row r="579" spans="1:13" x14ac:dyDescent="0.2">
      <c r="A579">
        <f>Final_Dataset!A550</f>
        <v>549</v>
      </c>
      <c r="B579" s="53">
        <f>Final_Dataset!B550</f>
        <v>40568</v>
      </c>
      <c r="C579">
        <f>Final_Dataset!F550</f>
        <v>0</v>
      </c>
      <c r="D579" t="str">
        <f>Final_Dataset!T550</f>
        <v>Tue</v>
      </c>
      <c r="E579" t="str">
        <f>Final_Dataset!X550</f>
        <v>Cloudy/Mist</v>
      </c>
      <c r="F579">
        <f>Final_Dataset!J550</f>
        <v>0.16</v>
      </c>
      <c r="G579">
        <f>Final_Dataset!L550</f>
        <v>0.69</v>
      </c>
      <c r="H579">
        <f>Final_Dataset!M550</f>
        <v>0.28360000000000002</v>
      </c>
      <c r="I579">
        <f>Final_Dataset!P550</f>
        <v>9</v>
      </c>
      <c r="J579" s="54">
        <f t="shared" si="38"/>
        <v>16.348837209302324</v>
      </c>
      <c r="K579" s="54">
        <f t="shared" si="39"/>
        <v>10.442321674276208</v>
      </c>
      <c r="L579" s="55">
        <f t="shared" si="40"/>
        <v>-0.70375510720049683</v>
      </c>
      <c r="M579" t="str">
        <f t="shared" si="41"/>
        <v/>
      </c>
    </row>
    <row r="580" spans="1:13" x14ac:dyDescent="0.2">
      <c r="A580">
        <f>Final_Dataset!A551</f>
        <v>550</v>
      </c>
      <c r="B580" s="53">
        <f>Final_Dataset!B551</f>
        <v>40568</v>
      </c>
      <c r="C580">
        <f>Final_Dataset!F551</f>
        <v>1</v>
      </c>
      <c r="D580" t="str">
        <f>Final_Dataset!T551</f>
        <v>Tue</v>
      </c>
      <c r="E580" t="str">
        <f>Final_Dataset!X551</f>
        <v>Cloudy/Mist</v>
      </c>
      <c r="F580">
        <f>Final_Dataset!J551</f>
        <v>0.16</v>
      </c>
      <c r="G580">
        <f>Final_Dataset!L551</f>
        <v>0.69</v>
      </c>
      <c r="H580">
        <f>Final_Dataset!M551</f>
        <v>0.16420000000000001</v>
      </c>
      <c r="I580">
        <f>Final_Dataset!P551</f>
        <v>5</v>
      </c>
      <c r="J580" s="54">
        <f t="shared" si="38"/>
        <v>10.697674418604651</v>
      </c>
      <c r="K580" s="54">
        <f t="shared" si="39"/>
        <v>10.060613641515801</v>
      </c>
      <c r="L580" s="55">
        <f t="shared" si="40"/>
        <v>-0.56633468112648844</v>
      </c>
      <c r="M580" t="str">
        <f t="shared" si="41"/>
        <v/>
      </c>
    </row>
    <row r="581" spans="1:13" x14ac:dyDescent="0.2">
      <c r="A581">
        <f>Final_Dataset!A552</f>
        <v>551</v>
      </c>
      <c r="B581" s="53">
        <f>Final_Dataset!B552</f>
        <v>40568</v>
      </c>
      <c r="C581">
        <f>Final_Dataset!F552</f>
        <v>2</v>
      </c>
      <c r="D581" t="str">
        <f>Final_Dataset!T552</f>
        <v>Tue</v>
      </c>
      <c r="E581" t="str">
        <f>Final_Dataset!X552</f>
        <v>Clear</v>
      </c>
      <c r="F581">
        <f>Final_Dataset!J552</f>
        <v>0.16</v>
      </c>
      <c r="G581">
        <f>Final_Dataset!L552</f>
        <v>0.69</v>
      </c>
      <c r="H581">
        <f>Final_Dataset!M552</f>
        <v>0.22389999999999999</v>
      </c>
      <c r="I581">
        <f>Final_Dataset!P552</f>
        <v>2</v>
      </c>
      <c r="J581" s="54">
        <f t="shared" si="38"/>
        <v>7.1707317073170733</v>
      </c>
      <c r="K581" s="54">
        <f t="shared" si="39"/>
        <v>7.3685223723090862</v>
      </c>
      <c r="L581" s="55">
        <f t="shared" si="40"/>
        <v>-0.70173251108644086</v>
      </c>
      <c r="M581" t="str">
        <f t="shared" si="41"/>
        <v/>
      </c>
    </row>
    <row r="582" spans="1:13" x14ac:dyDescent="0.2">
      <c r="A582">
        <f>Final_Dataset!A553</f>
        <v>552</v>
      </c>
      <c r="B582" s="53">
        <f>Final_Dataset!B553</f>
        <v>40568</v>
      </c>
      <c r="C582">
        <f>Final_Dataset!F553</f>
        <v>4</v>
      </c>
      <c r="D582" t="str">
        <f>Final_Dataset!T553</f>
        <v>Tue</v>
      </c>
      <c r="E582" t="str">
        <f>Final_Dataset!X553</f>
        <v>Clear</v>
      </c>
      <c r="F582">
        <f>Final_Dataset!J553</f>
        <v>0.14000000000000001</v>
      </c>
      <c r="G582">
        <f>Final_Dataset!L553</f>
        <v>0.74</v>
      </c>
      <c r="H582">
        <f>Final_Dataset!M553</f>
        <v>0.1045</v>
      </c>
      <c r="I582">
        <f>Final_Dataset!P553</f>
        <v>1</v>
      </c>
      <c r="J582" s="54">
        <f t="shared" si="38"/>
        <v>2.15625</v>
      </c>
      <c r="K582" s="54">
        <f t="shared" si="39"/>
        <v>1.5263148747143209</v>
      </c>
      <c r="L582" s="55">
        <f t="shared" si="40"/>
        <v>-0.75754355746314428</v>
      </c>
      <c r="M582" t="str">
        <f t="shared" si="41"/>
        <v/>
      </c>
    </row>
    <row r="583" spans="1:13" x14ac:dyDescent="0.2">
      <c r="A583">
        <f>Final_Dataset!A554</f>
        <v>553</v>
      </c>
      <c r="B583" s="53">
        <f>Final_Dataset!B554</f>
        <v>40568</v>
      </c>
      <c r="C583">
        <f>Final_Dataset!F554</f>
        <v>5</v>
      </c>
      <c r="D583" t="str">
        <f>Final_Dataset!T554</f>
        <v>Tue</v>
      </c>
      <c r="E583" t="str">
        <f>Final_Dataset!X554</f>
        <v>Clear</v>
      </c>
      <c r="F583">
        <f>Final_Dataset!J554</f>
        <v>0.14000000000000001</v>
      </c>
      <c r="G583">
        <f>Final_Dataset!L554</f>
        <v>0.74</v>
      </c>
      <c r="H583">
        <f>Final_Dataset!M554</f>
        <v>0.22389999999999999</v>
      </c>
      <c r="I583">
        <f>Final_Dataset!P554</f>
        <v>9</v>
      </c>
      <c r="J583" s="54">
        <f t="shared" si="38"/>
        <v>4.2051282051282053</v>
      </c>
      <c r="K583" s="54">
        <f t="shared" si="39"/>
        <v>2.5358429220352288</v>
      </c>
      <c r="L583" s="55">
        <f t="shared" si="40"/>
        <v>1.8908394337861842</v>
      </c>
      <c r="M583" t="str">
        <f t="shared" si="41"/>
        <v/>
      </c>
    </row>
    <row r="584" spans="1:13" x14ac:dyDescent="0.2">
      <c r="A584">
        <f>Final_Dataset!A555</f>
        <v>554</v>
      </c>
      <c r="B584" s="53">
        <f>Final_Dataset!B555</f>
        <v>40568</v>
      </c>
      <c r="C584">
        <f>Final_Dataset!F555</f>
        <v>6</v>
      </c>
      <c r="D584" t="str">
        <f>Final_Dataset!T555</f>
        <v>Tue</v>
      </c>
      <c r="E584" t="str">
        <f>Final_Dataset!X555</f>
        <v>Clear</v>
      </c>
      <c r="F584">
        <f>Final_Dataset!J555</f>
        <v>0.16</v>
      </c>
      <c r="G584">
        <f>Final_Dataset!L555</f>
        <v>0.74</v>
      </c>
      <c r="H584">
        <f>Final_Dataset!M555</f>
        <v>0.1045</v>
      </c>
      <c r="I584">
        <f>Final_Dataset!P555</f>
        <v>36</v>
      </c>
      <c r="J584" s="54">
        <f t="shared" si="38"/>
        <v>19.571428571428573</v>
      </c>
      <c r="K584" s="54">
        <f t="shared" si="39"/>
        <v>14.202615453298934</v>
      </c>
      <c r="L584" s="55">
        <f t="shared" si="40"/>
        <v>1.1567285957006923</v>
      </c>
      <c r="M584" t="str">
        <f t="shared" si="41"/>
        <v/>
      </c>
    </row>
    <row r="585" spans="1:13" x14ac:dyDescent="0.2">
      <c r="A585">
        <f>Final_Dataset!A556</f>
        <v>555</v>
      </c>
      <c r="B585" s="53">
        <f>Final_Dataset!B556</f>
        <v>40568</v>
      </c>
      <c r="C585">
        <f>Final_Dataset!F556</f>
        <v>7</v>
      </c>
      <c r="D585" t="str">
        <f>Final_Dataset!T556</f>
        <v>Tue</v>
      </c>
      <c r="E585" t="str">
        <f>Final_Dataset!X556</f>
        <v>Clear</v>
      </c>
      <c r="F585">
        <f>Final_Dataset!J556</f>
        <v>0.16</v>
      </c>
      <c r="G585">
        <f>Final_Dataset!L556</f>
        <v>0.74</v>
      </c>
      <c r="H585">
        <f>Final_Dataset!M556</f>
        <v>0.22389999999999999</v>
      </c>
      <c r="I585">
        <f>Final_Dataset!P556</f>
        <v>108</v>
      </c>
      <c r="J585" s="54">
        <f t="shared" si="38"/>
        <v>54.395348837209305</v>
      </c>
      <c r="K585" s="54">
        <f t="shared" si="39"/>
        <v>39.112864486352777</v>
      </c>
      <c r="L585" s="55">
        <f t="shared" si="40"/>
        <v>1.3705120263307327</v>
      </c>
      <c r="M585" t="str">
        <f t="shared" si="41"/>
        <v/>
      </c>
    </row>
    <row r="586" spans="1:13" x14ac:dyDescent="0.2">
      <c r="A586">
        <f>Final_Dataset!A557</f>
        <v>556</v>
      </c>
      <c r="B586" s="53">
        <f>Final_Dataset!B557</f>
        <v>40568</v>
      </c>
      <c r="C586">
        <f>Final_Dataset!F557</f>
        <v>8</v>
      </c>
      <c r="D586" t="str">
        <f>Final_Dataset!T557</f>
        <v>Tue</v>
      </c>
      <c r="E586" t="str">
        <f>Final_Dataset!X557</f>
        <v>Cloudy/Mist</v>
      </c>
      <c r="F586">
        <f>Final_Dataset!J557</f>
        <v>0.16</v>
      </c>
      <c r="G586">
        <f>Final_Dataset!L557</f>
        <v>0.74</v>
      </c>
      <c r="H586">
        <f>Final_Dataset!M557</f>
        <v>0.1343</v>
      </c>
      <c r="I586">
        <f>Final_Dataset!P557</f>
        <v>238</v>
      </c>
      <c r="J586" s="54">
        <f t="shared" si="38"/>
        <v>128.28571428571428</v>
      </c>
      <c r="K586" s="54">
        <f t="shared" si="39"/>
        <v>88.551565717048533</v>
      </c>
      <c r="L586" s="55">
        <f t="shared" si="40"/>
        <v>1.2389875303262177</v>
      </c>
      <c r="M586" t="str">
        <f t="shared" si="41"/>
        <v/>
      </c>
    </row>
    <row r="587" spans="1:13" x14ac:dyDescent="0.2">
      <c r="A587">
        <f>Final_Dataset!A558</f>
        <v>557</v>
      </c>
      <c r="B587" s="53">
        <f>Final_Dataset!B558</f>
        <v>40568</v>
      </c>
      <c r="C587">
        <f>Final_Dataset!F558</f>
        <v>9</v>
      </c>
      <c r="D587" t="str">
        <f>Final_Dataset!T558</f>
        <v>Tue</v>
      </c>
      <c r="E587" t="str">
        <f>Final_Dataset!X558</f>
        <v>Cloudy/Mist</v>
      </c>
      <c r="F587">
        <f>Final_Dataset!J558</f>
        <v>0.2</v>
      </c>
      <c r="G587">
        <f>Final_Dataset!L558</f>
        <v>0.64</v>
      </c>
      <c r="H587">
        <f>Final_Dataset!M558</f>
        <v>8.9599999999999999E-2</v>
      </c>
      <c r="I587">
        <f>Final_Dataset!P558</f>
        <v>144</v>
      </c>
      <c r="J587" s="54">
        <f t="shared" si="38"/>
        <v>87.428571428571431</v>
      </c>
      <c r="K587" s="54">
        <f t="shared" si="39"/>
        <v>45.93852884078624</v>
      </c>
      <c r="L587" s="55">
        <f t="shared" si="40"/>
        <v>1.2314593000462386</v>
      </c>
      <c r="M587" t="str">
        <f t="shared" si="41"/>
        <v/>
      </c>
    </row>
    <row r="588" spans="1:13" x14ac:dyDescent="0.2">
      <c r="A588">
        <f>Final_Dataset!A559</f>
        <v>558</v>
      </c>
      <c r="B588" s="53">
        <f>Final_Dataset!B559</f>
        <v>40568</v>
      </c>
      <c r="C588">
        <f>Final_Dataset!F559</f>
        <v>10</v>
      </c>
      <c r="D588" t="str">
        <f>Final_Dataset!T559</f>
        <v>Tue</v>
      </c>
      <c r="E588" t="str">
        <f>Final_Dataset!X559</f>
        <v>Cloudy/Mist</v>
      </c>
      <c r="F588">
        <f>Final_Dataset!J559</f>
        <v>0.22</v>
      </c>
      <c r="G588">
        <f>Final_Dataset!L559</f>
        <v>0.6</v>
      </c>
      <c r="H588">
        <f>Final_Dataset!M559</f>
        <v>0.1045</v>
      </c>
      <c r="I588">
        <f>Final_Dataset!P559</f>
        <v>55</v>
      </c>
      <c r="J588" s="54">
        <f t="shared" si="38"/>
        <v>53.642857142857146</v>
      </c>
      <c r="K588" s="54">
        <f t="shared" si="39"/>
        <v>15.395313554536934</v>
      </c>
      <c r="L588" s="55">
        <f t="shared" si="40"/>
        <v>8.8152985798909553E-2</v>
      </c>
      <c r="M588" t="str">
        <f t="shared" si="41"/>
        <v/>
      </c>
    </row>
    <row r="589" spans="1:13" x14ac:dyDescent="0.2">
      <c r="A589">
        <f>Final_Dataset!A560</f>
        <v>559</v>
      </c>
      <c r="B589" s="53">
        <f>Final_Dataset!B560</f>
        <v>40568</v>
      </c>
      <c r="C589">
        <f>Final_Dataset!F560</f>
        <v>11</v>
      </c>
      <c r="D589" t="str">
        <f>Final_Dataset!T560</f>
        <v>Tue</v>
      </c>
      <c r="E589" t="str">
        <f>Final_Dataset!X560</f>
        <v>Cloudy/Mist</v>
      </c>
      <c r="F589">
        <f>Final_Dataset!J560</f>
        <v>0.24</v>
      </c>
      <c r="G589">
        <f>Final_Dataset!L560</f>
        <v>0.6</v>
      </c>
      <c r="H589">
        <f>Final_Dataset!M560</f>
        <v>0.1343</v>
      </c>
      <c r="I589">
        <f>Final_Dataset!P560</f>
        <v>61</v>
      </c>
      <c r="J589" s="54">
        <f t="shared" si="38"/>
        <v>59.38095238095238</v>
      </c>
      <c r="K589" s="54">
        <f t="shared" si="39"/>
        <v>20.89573696860419</v>
      </c>
      <c r="L589" s="55">
        <f t="shared" si="40"/>
        <v>7.7482197516184126E-2</v>
      </c>
      <c r="M589" t="str">
        <f t="shared" si="41"/>
        <v/>
      </c>
    </row>
    <row r="590" spans="1:13" x14ac:dyDescent="0.2">
      <c r="A590">
        <f>Final_Dataset!A561</f>
        <v>560</v>
      </c>
      <c r="B590" s="53">
        <f>Final_Dataset!B561</f>
        <v>40568</v>
      </c>
      <c r="C590">
        <f>Final_Dataset!F561</f>
        <v>12</v>
      </c>
      <c r="D590" t="str">
        <f>Final_Dataset!T561</f>
        <v>Tue</v>
      </c>
      <c r="E590" t="str">
        <f>Final_Dataset!X561</f>
        <v>Cloudy/Mist</v>
      </c>
      <c r="F590">
        <f>Final_Dataset!J561</f>
        <v>0.26</v>
      </c>
      <c r="G590">
        <f>Final_Dataset!L561</f>
        <v>0.56000000000000005</v>
      </c>
      <c r="H590">
        <f>Final_Dataset!M561</f>
        <v>8.9599999999999999E-2</v>
      </c>
      <c r="I590">
        <f>Final_Dataset!P561</f>
        <v>106</v>
      </c>
      <c r="J590" s="54">
        <f t="shared" si="38"/>
        <v>76.348837209302332</v>
      </c>
      <c r="K590" s="54">
        <f t="shared" si="39"/>
        <v>29.034366927857057</v>
      </c>
      <c r="L590" s="55">
        <f t="shared" si="40"/>
        <v>1.021243647721791</v>
      </c>
      <c r="M590" t="str">
        <f t="shared" si="41"/>
        <v/>
      </c>
    </row>
    <row r="591" spans="1:13" x14ac:dyDescent="0.2">
      <c r="A591">
        <f>Final_Dataset!A562</f>
        <v>561</v>
      </c>
      <c r="B591" s="53">
        <f>Final_Dataset!B562</f>
        <v>40568</v>
      </c>
      <c r="C591">
        <f>Final_Dataset!F562</f>
        <v>13</v>
      </c>
      <c r="D591" t="str">
        <f>Final_Dataset!T562</f>
        <v>Tue</v>
      </c>
      <c r="E591" t="str">
        <f>Final_Dataset!X562</f>
        <v>Cloudy/Mist</v>
      </c>
      <c r="F591">
        <f>Final_Dataset!J562</f>
        <v>0.26</v>
      </c>
      <c r="G591">
        <f>Final_Dataset!L562</f>
        <v>0.56000000000000005</v>
      </c>
      <c r="H591">
        <f>Final_Dataset!M562</f>
        <v>0.1343</v>
      </c>
      <c r="I591">
        <f>Final_Dataset!P562</f>
        <v>93</v>
      </c>
      <c r="J591" s="54">
        <f t="shared" si="38"/>
        <v>78.511627906976742</v>
      </c>
      <c r="K591" s="54">
        <f t="shared" si="39"/>
        <v>30.072430098825173</v>
      </c>
      <c r="L591" s="55">
        <f t="shared" si="40"/>
        <v>0.48178255117431529</v>
      </c>
      <c r="M591" t="str">
        <f t="shared" si="41"/>
        <v/>
      </c>
    </row>
    <row r="592" spans="1:13" x14ac:dyDescent="0.2">
      <c r="A592">
        <f>Final_Dataset!A563</f>
        <v>562</v>
      </c>
      <c r="B592" s="53">
        <f>Final_Dataset!B563</f>
        <v>40568</v>
      </c>
      <c r="C592">
        <f>Final_Dataset!F563</f>
        <v>14</v>
      </c>
      <c r="D592" t="str">
        <f>Final_Dataset!T563</f>
        <v>Tue</v>
      </c>
      <c r="E592" t="str">
        <f>Final_Dataset!X563</f>
        <v>Cloudy/Mist</v>
      </c>
      <c r="F592">
        <f>Final_Dataset!J563</f>
        <v>0.3</v>
      </c>
      <c r="G592">
        <f>Final_Dataset!L563</f>
        <v>0.45</v>
      </c>
      <c r="H592">
        <f>Final_Dataset!M563</f>
        <v>0</v>
      </c>
      <c r="I592">
        <f>Final_Dataset!P563</f>
        <v>68</v>
      </c>
      <c r="J592" s="54">
        <f t="shared" si="38"/>
        <v>74.418604651162795</v>
      </c>
      <c r="K592" s="54">
        <f t="shared" si="39"/>
        <v>30.305769180565147</v>
      </c>
      <c r="L592" s="55">
        <f t="shared" si="40"/>
        <v>-0.21179481084674123</v>
      </c>
      <c r="M592" t="str">
        <f t="shared" si="41"/>
        <v/>
      </c>
    </row>
    <row r="593" spans="1:13" x14ac:dyDescent="0.2">
      <c r="A593">
        <f>Final_Dataset!A564</f>
        <v>563</v>
      </c>
      <c r="B593" s="53">
        <f>Final_Dataset!B564</f>
        <v>40568</v>
      </c>
      <c r="C593">
        <f>Final_Dataset!F564</f>
        <v>15</v>
      </c>
      <c r="D593" t="str">
        <f>Final_Dataset!T564</f>
        <v>Tue</v>
      </c>
      <c r="E593" t="str">
        <f>Final_Dataset!X564</f>
        <v>Cloudy/Mist</v>
      </c>
      <c r="F593">
        <f>Final_Dataset!J564</f>
        <v>0.32</v>
      </c>
      <c r="G593">
        <f>Final_Dataset!L564</f>
        <v>0.42</v>
      </c>
      <c r="H593">
        <f>Final_Dataset!M564</f>
        <v>0</v>
      </c>
      <c r="I593">
        <f>Final_Dataset!P564</f>
        <v>84</v>
      </c>
      <c r="J593" s="54">
        <f t="shared" si="38"/>
        <v>77.95348837209302</v>
      </c>
      <c r="K593" s="54">
        <f t="shared" si="39"/>
        <v>34.481156681772681</v>
      </c>
      <c r="L593" s="55">
        <f t="shared" si="40"/>
        <v>0.17535698363341934</v>
      </c>
      <c r="M593" t="str">
        <f t="shared" si="41"/>
        <v/>
      </c>
    </row>
    <row r="594" spans="1:13" x14ac:dyDescent="0.2">
      <c r="A594">
        <f>Final_Dataset!A565</f>
        <v>564</v>
      </c>
      <c r="B594" s="53">
        <f>Final_Dataset!B565</f>
        <v>40568</v>
      </c>
      <c r="C594">
        <f>Final_Dataset!F565</f>
        <v>16</v>
      </c>
      <c r="D594" t="str">
        <f>Final_Dataset!T565</f>
        <v>Tue</v>
      </c>
      <c r="E594" t="str">
        <f>Final_Dataset!X565</f>
        <v>Cloudy/Mist</v>
      </c>
      <c r="F594">
        <f>Final_Dataset!J565</f>
        <v>0.32</v>
      </c>
      <c r="G594">
        <f>Final_Dataset!L565</f>
        <v>0.42</v>
      </c>
      <c r="H594">
        <f>Final_Dataset!M565</f>
        <v>0</v>
      </c>
      <c r="I594">
        <f>Final_Dataset!P565</f>
        <v>116</v>
      </c>
      <c r="J594" s="54">
        <f t="shared" si="38"/>
        <v>89.272727272727266</v>
      </c>
      <c r="K594" s="54">
        <f t="shared" si="39"/>
        <v>25.461657115880747</v>
      </c>
      <c r="L594" s="55">
        <f t="shared" si="40"/>
        <v>1.0497067259067991</v>
      </c>
      <c r="M594" t="str">
        <f t="shared" si="41"/>
        <v/>
      </c>
    </row>
    <row r="595" spans="1:13" x14ac:dyDescent="0.2">
      <c r="A595">
        <f>Final_Dataset!A566</f>
        <v>565</v>
      </c>
      <c r="B595" s="53">
        <f>Final_Dataset!B566</f>
        <v>40568</v>
      </c>
      <c r="C595">
        <f>Final_Dataset!F566</f>
        <v>17</v>
      </c>
      <c r="D595" t="str">
        <f>Final_Dataset!T566</f>
        <v>Tue</v>
      </c>
      <c r="E595" t="str">
        <f>Final_Dataset!X566</f>
        <v>Clear</v>
      </c>
      <c r="F595">
        <f>Final_Dataset!J566</f>
        <v>0.3</v>
      </c>
      <c r="G595">
        <f>Final_Dataset!L566</f>
        <v>0.45</v>
      </c>
      <c r="H595">
        <f>Final_Dataset!M566</f>
        <v>0</v>
      </c>
      <c r="I595">
        <f>Final_Dataset!P566</f>
        <v>222</v>
      </c>
      <c r="J595" s="54">
        <f t="shared" si="38"/>
        <v>140.20454545454547</v>
      </c>
      <c r="K595" s="54">
        <f t="shared" si="39"/>
        <v>54.067391000084569</v>
      </c>
      <c r="L595" s="55">
        <f t="shared" si="40"/>
        <v>1.5128426401289936</v>
      </c>
      <c r="M595" t="str">
        <f t="shared" si="41"/>
        <v/>
      </c>
    </row>
    <row r="596" spans="1:13" x14ac:dyDescent="0.2">
      <c r="A596">
        <f>Final_Dataset!A567</f>
        <v>566</v>
      </c>
      <c r="B596" s="53">
        <f>Final_Dataset!B567</f>
        <v>40568</v>
      </c>
      <c r="C596">
        <f>Final_Dataset!F567</f>
        <v>18</v>
      </c>
      <c r="D596" t="str">
        <f>Final_Dataset!T567</f>
        <v>Tue</v>
      </c>
      <c r="E596" t="str">
        <f>Final_Dataset!X567</f>
        <v>Cloudy/Mist</v>
      </c>
      <c r="F596">
        <f>Final_Dataset!J567</f>
        <v>0.3</v>
      </c>
      <c r="G596">
        <f>Final_Dataset!L567</f>
        <v>0.49</v>
      </c>
      <c r="H596">
        <f>Final_Dataset!M567</f>
        <v>8.9599999999999999E-2</v>
      </c>
      <c r="I596">
        <f>Final_Dataset!P567</f>
        <v>225</v>
      </c>
      <c r="J596" s="54">
        <f t="shared" si="38"/>
        <v>122.86046511627907</v>
      </c>
      <c r="K596" s="54">
        <f t="shared" si="39"/>
        <v>48.613432101949947</v>
      </c>
      <c r="L596" s="55">
        <f t="shared" si="40"/>
        <v>2.1010558289634518</v>
      </c>
      <c r="M596" t="str">
        <f t="shared" si="41"/>
        <v/>
      </c>
    </row>
    <row r="597" spans="1:13" x14ac:dyDescent="0.2">
      <c r="A597">
        <f>Final_Dataset!A568</f>
        <v>567</v>
      </c>
      <c r="B597" s="53">
        <f>Final_Dataset!B568</f>
        <v>40568</v>
      </c>
      <c r="C597">
        <f>Final_Dataset!F568</f>
        <v>19</v>
      </c>
      <c r="D597" t="str">
        <f>Final_Dataset!T568</f>
        <v>Tue</v>
      </c>
      <c r="E597" t="str">
        <f>Final_Dataset!X568</f>
        <v>Cloudy/Mist</v>
      </c>
      <c r="F597">
        <f>Final_Dataset!J568</f>
        <v>0.26</v>
      </c>
      <c r="G597">
        <f>Final_Dataset!L568</f>
        <v>0.65</v>
      </c>
      <c r="H597">
        <f>Final_Dataset!M568</f>
        <v>0.16420000000000001</v>
      </c>
      <c r="I597">
        <f>Final_Dataset!P568</f>
        <v>146</v>
      </c>
      <c r="J597" s="54">
        <f t="shared" si="38"/>
        <v>85.139534883720927</v>
      </c>
      <c r="K597" s="54">
        <f t="shared" si="39"/>
        <v>31.690904054294759</v>
      </c>
      <c r="L597" s="55">
        <f t="shared" si="40"/>
        <v>1.9204395372252325</v>
      </c>
      <c r="M597" t="str">
        <f t="shared" si="41"/>
        <v/>
      </c>
    </row>
    <row r="598" spans="1:13" x14ac:dyDescent="0.2">
      <c r="A598">
        <f>Final_Dataset!A569</f>
        <v>568</v>
      </c>
      <c r="B598" s="53">
        <f>Final_Dataset!B569</f>
        <v>40568</v>
      </c>
      <c r="C598">
        <f>Final_Dataset!F569</f>
        <v>20</v>
      </c>
      <c r="D598" t="str">
        <f>Final_Dataset!T569</f>
        <v>Tue</v>
      </c>
      <c r="E598" t="str">
        <f>Final_Dataset!X569</f>
        <v>Clear</v>
      </c>
      <c r="F598">
        <f>Final_Dataset!J569</f>
        <v>0.24</v>
      </c>
      <c r="G598">
        <f>Final_Dataset!L569</f>
        <v>0.65</v>
      </c>
      <c r="H598">
        <f>Final_Dataset!M569</f>
        <v>0.19400000000000001</v>
      </c>
      <c r="I598">
        <f>Final_Dataset!P569</f>
        <v>119</v>
      </c>
      <c r="J598" s="54">
        <f t="shared" si="38"/>
        <v>61.767441860465119</v>
      </c>
      <c r="K598" s="54">
        <f t="shared" si="39"/>
        <v>24.6323801696856</v>
      </c>
      <c r="L598" s="55">
        <f t="shared" si="40"/>
        <v>2.3234684486548089</v>
      </c>
      <c r="M598" t="str">
        <f t="shared" si="41"/>
        <v/>
      </c>
    </row>
    <row r="599" spans="1:13" x14ac:dyDescent="0.2">
      <c r="A599">
        <f>Final_Dataset!A570</f>
        <v>569</v>
      </c>
      <c r="B599" s="53">
        <f>Final_Dataset!B570</f>
        <v>40568</v>
      </c>
      <c r="C599">
        <f>Final_Dataset!F570</f>
        <v>21</v>
      </c>
      <c r="D599" t="str">
        <f>Final_Dataset!T570</f>
        <v>Tue</v>
      </c>
      <c r="E599" t="str">
        <f>Final_Dataset!X570</f>
        <v>Clear</v>
      </c>
      <c r="F599">
        <f>Final_Dataset!J570</f>
        <v>0.24</v>
      </c>
      <c r="G599">
        <f>Final_Dataset!L570</f>
        <v>0.65</v>
      </c>
      <c r="H599">
        <f>Final_Dataset!M570</f>
        <v>0.19400000000000001</v>
      </c>
      <c r="I599">
        <f>Final_Dataset!P570</f>
        <v>45</v>
      </c>
      <c r="J599" s="54">
        <f t="shared" si="38"/>
        <v>46.418604651162788</v>
      </c>
      <c r="K599" s="54">
        <f t="shared" si="39"/>
        <v>14.656759464719499</v>
      </c>
      <c r="L599" s="55">
        <f t="shared" si="40"/>
        <v>-9.6788424110904728E-2</v>
      </c>
      <c r="M599" t="str">
        <f t="shared" si="41"/>
        <v/>
      </c>
    </row>
    <row r="600" spans="1:13" x14ac:dyDescent="0.2">
      <c r="A600">
        <f>Final_Dataset!A571</f>
        <v>570</v>
      </c>
      <c r="B600" s="53">
        <f>Final_Dataset!B571</f>
        <v>40568</v>
      </c>
      <c r="C600">
        <f>Final_Dataset!F571</f>
        <v>22</v>
      </c>
      <c r="D600" t="str">
        <f>Final_Dataset!T571</f>
        <v>Tue</v>
      </c>
      <c r="E600" t="str">
        <f>Final_Dataset!X571</f>
        <v>Clear</v>
      </c>
      <c r="F600">
        <f>Final_Dataset!J571</f>
        <v>0.22</v>
      </c>
      <c r="G600">
        <f>Final_Dataset!L571</f>
        <v>0.64</v>
      </c>
      <c r="H600">
        <f>Final_Dataset!M571</f>
        <v>0.16420000000000001</v>
      </c>
      <c r="I600">
        <f>Final_Dataset!P571</f>
        <v>53</v>
      </c>
      <c r="J600" s="54">
        <f t="shared" si="38"/>
        <v>35.069767441860463</v>
      </c>
      <c r="K600" s="54">
        <f t="shared" si="39"/>
        <v>11.95506537162667</v>
      </c>
      <c r="L600" s="55">
        <f t="shared" si="40"/>
        <v>1.4998021341392174</v>
      </c>
      <c r="M600" t="str">
        <f t="shared" si="41"/>
        <v/>
      </c>
    </row>
    <row r="601" spans="1:13" x14ac:dyDescent="0.2">
      <c r="A601">
        <f>Final_Dataset!A572</f>
        <v>571</v>
      </c>
      <c r="B601" s="53">
        <f>Final_Dataset!B572</f>
        <v>40568</v>
      </c>
      <c r="C601">
        <f>Final_Dataset!F572</f>
        <v>23</v>
      </c>
      <c r="D601" t="str">
        <f>Final_Dataset!T572</f>
        <v>Tue</v>
      </c>
      <c r="E601" t="str">
        <f>Final_Dataset!X572</f>
        <v>Cloudy/Mist</v>
      </c>
      <c r="F601">
        <f>Final_Dataset!J572</f>
        <v>0.22</v>
      </c>
      <c r="G601">
        <f>Final_Dataset!L572</f>
        <v>0.64</v>
      </c>
      <c r="H601">
        <f>Final_Dataset!M572</f>
        <v>0.16420000000000001</v>
      </c>
      <c r="I601">
        <f>Final_Dataset!P572</f>
        <v>40</v>
      </c>
      <c r="J601" s="54">
        <f t="shared" si="38"/>
        <v>25.186046511627907</v>
      </c>
      <c r="K601" s="54">
        <f t="shared" si="39"/>
        <v>11.751911321656186</v>
      </c>
      <c r="L601" s="55">
        <f t="shared" si="40"/>
        <v>1.2605569496659865</v>
      </c>
      <c r="M601" t="str">
        <f t="shared" si="41"/>
        <v/>
      </c>
    </row>
    <row r="602" spans="1:13" x14ac:dyDescent="0.2">
      <c r="A602">
        <f>Final_Dataset!A573</f>
        <v>572</v>
      </c>
      <c r="B602" s="53">
        <f>Final_Dataset!B573</f>
        <v>40569</v>
      </c>
      <c r="C602">
        <f>Final_Dataset!F573</f>
        <v>0</v>
      </c>
      <c r="D602" t="str">
        <f>Final_Dataset!T573</f>
        <v>Wed</v>
      </c>
      <c r="E602" t="str">
        <f>Final_Dataset!X573</f>
        <v>Cloudy/Mist</v>
      </c>
      <c r="F602">
        <f>Final_Dataset!J573</f>
        <v>0.22</v>
      </c>
      <c r="G602">
        <f>Final_Dataset!L573</f>
        <v>0.69</v>
      </c>
      <c r="H602">
        <f>Final_Dataset!M573</f>
        <v>0.1343</v>
      </c>
      <c r="I602">
        <f>Final_Dataset!P573</f>
        <v>17</v>
      </c>
      <c r="J602" s="54">
        <f t="shared" si="38"/>
        <v>16.348837209302324</v>
      </c>
      <c r="K602" s="54">
        <f t="shared" si="39"/>
        <v>10.442321674276208</v>
      </c>
      <c r="L602" s="55">
        <f t="shared" si="40"/>
        <v>6.2358047473461867E-2</v>
      </c>
      <c r="M602" t="str">
        <f t="shared" si="41"/>
        <v/>
      </c>
    </row>
    <row r="603" spans="1:13" x14ac:dyDescent="0.2">
      <c r="A603">
        <f>Final_Dataset!A574</f>
        <v>573</v>
      </c>
      <c r="B603" s="53">
        <f>Final_Dataset!B574</f>
        <v>40569</v>
      </c>
      <c r="C603">
        <f>Final_Dataset!F574</f>
        <v>1</v>
      </c>
      <c r="D603" t="str">
        <f>Final_Dataset!T574</f>
        <v>Wed</v>
      </c>
      <c r="E603" t="str">
        <f>Final_Dataset!X574</f>
        <v>Cloudy/Mist</v>
      </c>
      <c r="F603">
        <f>Final_Dataset!J574</f>
        <v>0.24</v>
      </c>
      <c r="G603">
        <f>Final_Dataset!L574</f>
        <v>0.65</v>
      </c>
      <c r="H603">
        <f>Final_Dataset!M574</f>
        <v>0.1343</v>
      </c>
      <c r="I603">
        <f>Final_Dataset!P574</f>
        <v>5</v>
      </c>
      <c r="J603" s="54">
        <f t="shared" si="38"/>
        <v>10.697674418604651</v>
      </c>
      <c r="K603" s="54">
        <f t="shared" si="39"/>
        <v>10.060613641515801</v>
      </c>
      <c r="L603" s="55">
        <f t="shared" si="40"/>
        <v>-0.56633468112648844</v>
      </c>
      <c r="M603" t="str">
        <f t="shared" si="41"/>
        <v/>
      </c>
    </row>
    <row r="604" spans="1:13" x14ac:dyDescent="0.2">
      <c r="A604">
        <f>Final_Dataset!A575</f>
        <v>574</v>
      </c>
      <c r="B604" s="53">
        <f>Final_Dataset!B575</f>
        <v>40569</v>
      </c>
      <c r="C604">
        <f>Final_Dataset!F575</f>
        <v>2</v>
      </c>
      <c r="D604" t="str">
        <f>Final_Dataset!T575</f>
        <v>Wed</v>
      </c>
      <c r="E604" t="str">
        <f>Final_Dataset!X575</f>
        <v>Light Rain/Snow</v>
      </c>
      <c r="F604">
        <f>Final_Dataset!J575</f>
        <v>0.22</v>
      </c>
      <c r="G604">
        <f>Final_Dataset!L575</f>
        <v>0.69</v>
      </c>
      <c r="H604">
        <f>Final_Dataset!M575</f>
        <v>0.19400000000000001</v>
      </c>
      <c r="I604">
        <f>Final_Dataset!P575</f>
        <v>10</v>
      </c>
      <c r="J604" s="54">
        <f t="shared" si="38"/>
        <v>7.1707317073170733</v>
      </c>
      <c r="K604" s="54">
        <f t="shared" si="39"/>
        <v>7.3685223723090862</v>
      </c>
      <c r="L604" s="55">
        <f t="shared" si="40"/>
        <v>0.38396684568880723</v>
      </c>
      <c r="M604" t="str">
        <f t="shared" si="41"/>
        <v/>
      </c>
    </row>
    <row r="605" spans="1:13" x14ac:dyDescent="0.2">
      <c r="A605">
        <f>Final_Dataset!A576</f>
        <v>575</v>
      </c>
      <c r="B605" s="53">
        <f>Final_Dataset!B576</f>
        <v>40569</v>
      </c>
      <c r="C605">
        <f>Final_Dataset!F576</f>
        <v>5</v>
      </c>
      <c r="D605" t="str">
        <f>Final_Dataset!T576</f>
        <v>Wed</v>
      </c>
      <c r="E605" t="str">
        <f>Final_Dataset!X576</f>
        <v>Light Rain/Snow</v>
      </c>
      <c r="F605">
        <f>Final_Dataset!J576</f>
        <v>0.2</v>
      </c>
      <c r="G605">
        <f>Final_Dataset!L576</f>
        <v>0.86</v>
      </c>
      <c r="H605">
        <f>Final_Dataset!M576</f>
        <v>0.28360000000000002</v>
      </c>
      <c r="I605">
        <f>Final_Dataset!P576</f>
        <v>1</v>
      </c>
      <c r="J605" s="54">
        <f t="shared" si="38"/>
        <v>4.2051282051282053</v>
      </c>
      <c r="K605" s="54">
        <f t="shared" si="39"/>
        <v>2.5358429220352288</v>
      </c>
      <c r="L605" s="55">
        <f t="shared" si="40"/>
        <v>-1.2639301027982515</v>
      </c>
      <c r="M605" t="str">
        <f t="shared" si="41"/>
        <v/>
      </c>
    </row>
    <row r="606" spans="1:13" x14ac:dyDescent="0.2">
      <c r="A606">
        <f>Final_Dataset!A577</f>
        <v>576</v>
      </c>
      <c r="B606" s="53">
        <f>Final_Dataset!B577</f>
        <v>40569</v>
      </c>
      <c r="C606">
        <f>Final_Dataset!F577</f>
        <v>6</v>
      </c>
      <c r="D606" t="str">
        <f>Final_Dataset!T577</f>
        <v>Wed</v>
      </c>
      <c r="E606" t="str">
        <f>Final_Dataset!X577</f>
        <v>Light Rain/Snow</v>
      </c>
      <c r="F606">
        <f>Final_Dataset!J577</f>
        <v>0.2</v>
      </c>
      <c r="G606">
        <f>Final_Dataset!L577</f>
        <v>0.86</v>
      </c>
      <c r="H606">
        <f>Final_Dataset!M577</f>
        <v>0.28360000000000002</v>
      </c>
      <c r="I606">
        <f>Final_Dataset!P577</f>
        <v>8</v>
      </c>
      <c r="J606" s="54">
        <f t="shared" si="38"/>
        <v>19.571428571428573</v>
      </c>
      <c r="K606" s="54">
        <f t="shared" si="39"/>
        <v>14.202615453298934</v>
      </c>
      <c r="L606" s="55">
        <f t="shared" si="40"/>
        <v>-0.81473927175440086</v>
      </c>
      <c r="M606" t="str">
        <f t="shared" si="41"/>
        <v/>
      </c>
    </row>
    <row r="607" spans="1:13" x14ac:dyDescent="0.2">
      <c r="A607">
        <f>Final_Dataset!A578</f>
        <v>577</v>
      </c>
      <c r="B607" s="53">
        <f>Final_Dataset!B578</f>
        <v>40569</v>
      </c>
      <c r="C607">
        <f>Final_Dataset!F578</f>
        <v>7</v>
      </c>
      <c r="D607" t="str">
        <f>Final_Dataset!T578</f>
        <v>Wed</v>
      </c>
      <c r="E607" t="str">
        <f>Final_Dataset!X578</f>
        <v>Light Rain/Snow</v>
      </c>
      <c r="F607">
        <f>Final_Dataset!J578</f>
        <v>0.22</v>
      </c>
      <c r="G607">
        <f>Final_Dataset!L578</f>
        <v>0.87</v>
      </c>
      <c r="H607">
        <f>Final_Dataset!M578</f>
        <v>0.29849999999999999</v>
      </c>
      <c r="I607">
        <f>Final_Dataset!P578</f>
        <v>30</v>
      </c>
      <c r="J607" s="54">
        <f t="shared" ref="J607:J670" si="42">INDEX($F$5:$F$28,MATCH(C607,$D$5:$D$28,0))</f>
        <v>54.395348837209305</v>
      </c>
      <c r="K607" s="54">
        <f t="shared" ref="K607:K670" si="43">INDEX($G$5:$G$28,MATCH(C607,$D$5:$D$28,0))</f>
        <v>39.112864486352777</v>
      </c>
      <c r="L607" s="55">
        <f t="shared" ref="L607:L670" si="44">IF(K607=0,0,(I607-J607)/K607)</f>
        <v>-0.62371675298088447</v>
      </c>
      <c r="M607" t="str">
        <f t="shared" ref="M607:M670" si="45">IF(ABS(L607)&gt;=$B$4,IF(L607&gt;0,"High","Low"),"")</f>
        <v/>
      </c>
    </row>
    <row r="608" spans="1:13" x14ac:dyDescent="0.2">
      <c r="A608">
        <f>Final_Dataset!A579</f>
        <v>578</v>
      </c>
      <c r="B608" s="53">
        <f>Final_Dataset!B579</f>
        <v>40569</v>
      </c>
      <c r="C608">
        <f>Final_Dataset!F579</f>
        <v>8</v>
      </c>
      <c r="D608" t="str">
        <f>Final_Dataset!T579</f>
        <v>Wed</v>
      </c>
      <c r="E608" t="str">
        <f>Final_Dataset!X579</f>
        <v>Light Rain/Snow</v>
      </c>
      <c r="F608">
        <f>Final_Dataset!J579</f>
        <v>0.22</v>
      </c>
      <c r="G608">
        <f>Final_Dataset!L579</f>
        <v>0.87</v>
      </c>
      <c r="H608">
        <f>Final_Dataset!M579</f>
        <v>0.29849999999999999</v>
      </c>
      <c r="I608">
        <f>Final_Dataset!P579</f>
        <v>72</v>
      </c>
      <c r="J608" s="54">
        <f t="shared" si="42"/>
        <v>128.28571428571428</v>
      </c>
      <c r="K608" s="54">
        <f t="shared" si="43"/>
        <v>88.551565717048533</v>
      </c>
      <c r="L608" s="55">
        <f t="shared" si="44"/>
        <v>-0.63562641529756458</v>
      </c>
      <c r="M608" t="str">
        <f t="shared" si="45"/>
        <v/>
      </c>
    </row>
    <row r="609" spans="1:13" x14ac:dyDescent="0.2">
      <c r="A609">
        <f>Final_Dataset!A580</f>
        <v>579</v>
      </c>
      <c r="B609" s="53">
        <f>Final_Dataset!B580</f>
        <v>40569</v>
      </c>
      <c r="C609">
        <f>Final_Dataset!F580</f>
        <v>9</v>
      </c>
      <c r="D609" t="str">
        <f>Final_Dataset!T580</f>
        <v>Wed</v>
      </c>
      <c r="E609" t="str">
        <f>Final_Dataset!X580</f>
        <v>Light Rain/Snow</v>
      </c>
      <c r="F609">
        <f>Final_Dataset!J580</f>
        <v>0.22</v>
      </c>
      <c r="G609">
        <f>Final_Dataset!L580</f>
        <v>0.87</v>
      </c>
      <c r="H609">
        <f>Final_Dataset!M580</f>
        <v>0.29849999999999999</v>
      </c>
      <c r="I609">
        <f>Final_Dataset!P580</f>
        <v>58</v>
      </c>
      <c r="J609" s="54">
        <f t="shared" si="42"/>
        <v>87.428571428571431</v>
      </c>
      <c r="K609" s="54">
        <f t="shared" si="43"/>
        <v>45.93852884078624</v>
      </c>
      <c r="L609" s="55">
        <f t="shared" si="44"/>
        <v>-0.64060761568061919</v>
      </c>
      <c r="M609" t="str">
        <f t="shared" si="45"/>
        <v/>
      </c>
    </row>
    <row r="610" spans="1:13" x14ac:dyDescent="0.2">
      <c r="A610">
        <f>Final_Dataset!A581</f>
        <v>580</v>
      </c>
      <c r="B610" s="53">
        <f>Final_Dataset!B581</f>
        <v>40569</v>
      </c>
      <c r="C610">
        <f>Final_Dataset!F581</f>
        <v>10</v>
      </c>
      <c r="D610" t="str">
        <f>Final_Dataset!T581</f>
        <v>Wed</v>
      </c>
      <c r="E610" t="str">
        <f>Final_Dataset!X581</f>
        <v>Light Rain/Snow</v>
      </c>
      <c r="F610">
        <f>Final_Dataset!J581</f>
        <v>0.22</v>
      </c>
      <c r="G610">
        <f>Final_Dataset!L581</f>
        <v>0.93</v>
      </c>
      <c r="H610">
        <f>Final_Dataset!M581</f>
        <v>0.28360000000000002</v>
      </c>
      <c r="I610">
        <f>Final_Dataset!P581</f>
        <v>28</v>
      </c>
      <c r="J610" s="54">
        <f t="shared" si="42"/>
        <v>53.642857142857146</v>
      </c>
      <c r="K610" s="54">
        <f t="shared" si="43"/>
        <v>15.395313554536934</v>
      </c>
      <c r="L610" s="55">
        <f t="shared" si="44"/>
        <v>-1.6656274685162424</v>
      </c>
      <c r="M610" t="str">
        <f t="shared" si="45"/>
        <v/>
      </c>
    </row>
    <row r="611" spans="1:13" x14ac:dyDescent="0.2">
      <c r="A611">
        <f>Final_Dataset!A582</f>
        <v>581</v>
      </c>
      <c r="B611" s="53">
        <f>Final_Dataset!B582</f>
        <v>40569</v>
      </c>
      <c r="C611">
        <f>Final_Dataset!F582</f>
        <v>11</v>
      </c>
      <c r="D611" t="str">
        <f>Final_Dataset!T582</f>
        <v>Wed</v>
      </c>
      <c r="E611" t="str">
        <f>Final_Dataset!X582</f>
        <v>Light Rain/Snow</v>
      </c>
      <c r="F611">
        <f>Final_Dataset!J582</f>
        <v>0.22</v>
      </c>
      <c r="G611">
        <f>Final_Dataset!L582</f>
        <v>0.93</v>
      </c>
      <c r="H611">
        <f>Final_Dataset!M582</f>
        <v>0.32840000000000003</v>
      </c>
      <c r="I611">
        <f>Final_Dataset!P582</f>
        <v>41</v>
      </c>
      <c r="J611" s="54">
        <f t="shared" si="42"/>
        <v>59.38095238095238</v>
      </c>
      <c r="K611" s="54">
        <f t="shared" si="43"/>
        <v>20.89573696860419</v>
      </c>
      <c r="L611" s="55">
        <f t="shared" si="44"/>
        <v>-0.87965083062491312</v>
      </c>
      <c r="M611" t="str">
        <f t="shared" si="45"/>
        <v/>
      </c>
    </row>
    <row r="612" spans="1:13" x14ac:dyDescent="0.2">
      <c r="A612">
        <f>Final_Dataset!A583</f>
        <v>582</v>
      </c>
      <c r="B612" s="53">
        <f>Final_Dataset!B583</f>
        <v>40569</v>
      </c>
      <c r="C612">
        <f>Final_Dataset!F583</f>
        <v>12</v>
      </c>
      <c r="D612" t="str">
        <f>Final_Dataset!T583</f>
        <v>Wed</v>
      </c>
      <c r="E612" t="str">
        <f>Final_Dataset!X583</f>
        <v>Light Rain/Snow</v>
      </c>
      <c r="F612">
        <f>Final_Dataset!J583</f>
        <v>0.22</v>
      </c>
      <c r="G612">
        <f>Final_Dataset!L583</f>
        <v>0.93</v>
      </c>
      <c r="H612">
        <f>Final_Dataset!M583</f>
        <v>0.32840000000000003</v>
      </c>
      <c r="I612">
        <f>Final_Dataset!P583</f>
        <v>48</v>
      </c>
      <c r="J612" s="54">
        <f t="shared" si="42"/>
        <v>76.348837209302332</v>
      </c>
      <c r="K612" s="54">
        <f t="shared" si="43"/>
        <v>29.034366927857057</v>
      </c>
      <c r="L612" s="55">
        <f t="shared" si="44"/>
        <v>-0.97638902476303024</v>
      </c>
      <c r="M612" t="str">
        <f t="shared" si="45"/>
        <v/>
      </c>
    </row>
    <row r="613" spans="1:13" x14ac:dyDescent="0.2">
      <c r="A613">
        <f>Final_Dataset!A584</f>
        <v>583</v>
      </c>
      <c r="B613" s="53">
        <f>Final_Dataset!B584</f>
        <v>40569</v>
      </c>
      <c r="C613">
        <f>Final_Dataset!F584</f>
        <v>13</v>
      </c>
      <c r="D613" t="str">
        <f>Final_Dataset!T584</f>
        <v>Wed</v>
      </c>
      <c r="E613" t="str">
        <f>Final_Dataset!X584</f>
        <v>Light Rain/Snow</v>
      </c>
      <c r="F613">
        <f>Final_Dataset!J584</f>
        <v>0.22</v>
      </c>
      <c r="G613">
        <f>Final_Dataset!L584</f>
        <v>0.93</v>
      </c>
      <c r="H613">
        <f>Final_Dataset!M584</f>
        <v>0.32840000000000003</v>
      </c>
      <c r="I613">
        <f>Final_Dataset!P584</f>
        <v>47</v>
      </c>
      <c r="J613" s="54">
        <f t="shared" si="42"/>
        <v>78.511627906976742</v>
      </c>
      <c r="K613" s="54">
        <f t="shared" si="43"/>
        <v>30.072430098825173</v>
      </c>
      <c r="L613" s="55">
        <f t="shared" si="44"/>
        <v>-1.0478577156359503</v>
      </c>
      <c r="M613" t="str">
        <f t="shared" si="45"/>
        <v/>
      </c>
    </row>
    <row r="614" spans="1:13" x14ac:dyDescent="0.2">
      <c r="A614">
        <f>Final_Dataset!A585</f>
        <v>584</v>
      </c>
      <c r="B614" s="53">
        <f>Final_Dataset!B585</f>
        <v>40569</v>
      </c>
      <c r="C614">
        <f>Final_Dataset!F585</f>
        <v>14</v>
      </c>
      <c r="D614" t="str">
        <f>Final_Dataset!T585</f>
        <v>Wed</v>
      </c>
      <c r="E614" t="str">
        <f>Final_Dataset!X585</f>
        <v>Light Rain/Snow</v>
      </c>
      <c r="F614">
        <f>Final_Dataset!J585</f>
        <v>0.22</v>
      </c>
      <c r="G614">
        <f>Final_Dataset!L585</f>
        <v>0.93</v>
      </c>
      <c r="H614">
        <f>Final_Dataset!M585</f>
        <v>0.35820000000000002</v>
      </c>
      <c r="I614">
        <f>Final_Dataset!P585</f>
        <v>36</v>
      </c>
      <c r="J614" s="54">
        <f t="shared" si="42"/>
        <v>74.418604651162795</v>
      </c>
      <c r="K614" s="54">
        <f t="shared" si="43"/>
        <v>30.305769180565147</v>
      </c>
      <c r="L614" s="55">
        <f t="shared" si="44"/>
        <v>-1.2676993750681751</v>
      </c>
      <c r="M614" t="str">
        <f t="shared" si="45"/>
        <v/>
      </c>
    </row>
    <row r="615" spans="1:13" x14ac:dyDescent="0.2">
      <c r="A615">
        <f>Final_Dataset!A586</f>
        <v>585</v>
      </c>
      <c r="B615" s="53">
        <f>Final_Dataset!B586</f>
        <v>40569</v>
      </c>
      <c r="C615">
        <f>Final_Dataset!F586</f>
        <v>15</v>
      </c>
      <c r="D615" t="str">
        <f>Final_Dataset!T586</f>
        <v>Wed</v>
      </c>
      <c r="E615" t="str">
        <f>Final_Dataset!X586</f>
        <v>Light Rain/Snow</v>
      </c>
      <c r="F615">
        <f>Final_Dataset!J586</f>
        <v>0.22</v>
      </c>
      <c r="G615">
        <f>Final_Dataset!L586</f>
        <v>0.93</v>
      </c>
      <c r="H615">
        <f>Final_Dataset!M586</f>
        <v>0.4627</v>
      </c>
      <c r="I615">
        <f>Final_Dataset!P586</f>
        <v>43</v>
      </c>
      <c r="J615" s="54">
        <f t="shared" si="42"/>
        <v>77.95348837209302</v>
      </c>
      <c r="K615" s="54">
        <f t="shared" si="43"/>
        <v>34.481156681772681</v>
      </c>
      <c r="L615" s="55">
        <f t="shared" si="44"/>
        <v>-1.0136982553885734</v>
      </c>
      <c r="M615" t="str">
        <f t="shared" si="45"/>
        <v/>
      </c>
    </row>
    <row r="616" spans="1:13" x14ac:dyDescent="0.2">
      <c r="A616">
        <f>Final_Dataset!A587</f>
        <v>586</v>
      </c>
      <c r="B616" s="53">
        <f>Final_Dataset!B587</f>
        <v>40569</v>
      </c>
      <c r="C616">
        <f>Final_Dataset!F587</f>
        <v>16</v>
      </c>
      <c r="D616" t="str">
        <f>Final_Dataset!T587</f>
        <v>Wed</v>
      </c>
      <c r="E616" t="str">
        <f>Final_Dataset!X587</f>
        <v>Heavy Rain</v>
      </c>
      <c r="F616">
        <f>Final_Dataset!J587</f>
        <v>0.22</v>
      </c>
      <c r="G616">
        <f>Final_Dataset!L587</f>
        <v>0.93</v>
      </c>
      <c r="H616">
        <f>Final_Dataset!M587</f>
        <v>0.32840000000000003</v>
      </c>
      <c r="I616">
        <f>Final_Dataset!P587</f>
        <v>36</v>
      </c>
      <c r="J616" s="54">
        <f t="shared" si="42"/>
        <v>89.272727272727266</v>
      </c>
      <c r="K616" s="54">
        <f t="shared" si="43"/>
        <v>25.461657115880747</v>
      </c>
      <c r="L616" s="55">
        <f t="shared" si="44"/>
        <v>-2.0922725897325991</v>
      </c>
      <c r="M616" t="str">
        <f t="shared" si="45"/>
        <v/>
      </c>
    </row>
    <row r="617" spans="1:13" x14ac:dyDescent="0.2">
      <c r="A617">
        <f>Final_Dataset!A588</f>
        <v>587</v>
      </c>
      <c r="B617" s="53">
        <f>Final_Dataset!B588</f>
        <v>40569</v>
      </c>
      <c r="C617">
        <f>Final_Dataset!F588</f>
        <v>17</v>
      </c>
      <c r="D617" t="str">
        <f>Final_Dataset!T588</f>
        <v>Wed</v>
      </c>
      <c r="E617" t="str">
        <f>Final_Dataset!X588</f>
        <v>Light Rain/Snow</v>
      </c>
      <c r="F617">
        <f>Final_Dataset!J588</f>
        <v>0.2</v>
      </c>
      <c r="G617">
        <f>Final_Dataset!L588</f>
        <v>0.93</v>
      </c>
      <c r="H617">
        <f>Final_Dataset!M588</f>
        <v>0.35820000000000002</v>
      </c>
      <c r="I617">
        <f>Final_Dataset!P588</f>
        <v>26</v>
      </c>
      <c r="J617" s="54">
        <f t="shared" si="42"/>
        <v>140.20454545454547</v>
      </c>
      <c r="K617" s="54">
        <f t="shared" si="43"/>
        <v>54.067391000084569</v>
      </c>
      <c r="L617" s="55">
        <f t="shared" si="44"/>
        <v>-2.1122629248814104</v>
      </c>
      <c r="M617" t="str">
        <f t="shared" si="45"/>
        <v/>
      </c>
    </row>
    <row r="618" spans="1:13" x14ac:dyDescent="0.2">
      <c r="A618">
        <f>Final_Dataset!A589</f>
        <v>588</v>
      </c>
      <c r="B618" s="53">
        <f>Final_Dataset!B589</f>
        <v>40570</v>
      </c>
      <c r="C618">
        <f>Final_Dataset!F589</f>
        <v>16</v>
      </c>
      <c r="D618" t="str">
        <f>Final_Dataset!T589</f>
        <v>Thu</v>
      </c>
      <c r="E618" t="str">
        <f>Final_Dataset!X589</f>
        <v>Clear</v>
      </c>
      <c r="F618">
        <f>Final_Dataset!J589</f>
        <v>0.22</v>
      </c>
      <c r="G618">
        <f>Final_Dataset!L589</f>
        <v>0.55000000000000004</v>
      </c>
      <c r="H618">
        <f>Final_Dataset!M589</f>
        <v>0.19400000000000001</v>
      </c>
      <c r="I618">
        <f>Final_Dataset!P589</f>
        <v>24</v>
      </c>
      <c r="J618" s="54">
        <f t="shared" si="42"/>
        <v>89.272727272727266</v>
      </c>
      <c r="K618" s="54">
        <f t="shared" si="43"/>
        <v>25.461657115880747</v>
      </c>
      <c r="L618" s="55">
        <f t="shared" si="44"/>
        <v>-2.5635694870785084</v>
      </c>
      <c r="M618" t="str">
        <f t="shared" si="45"/>
        <v/>
      </c>
    </row>
    <row r="619" spans="1:13" x14ac:dyDescent="0.2">
      <c r="A619">
        <f>Final_Dataset!A590</f>
        <v>589</v>
      </c>
      <c r="B619" s="53">
        <f>Final_Dataset!B590</f>
        <v>40570</v>
      </c>
      <c r="C619">
        <f>Final_Dataset!F590</f>
        <v>17</v>
      </c>
      <c r="D619" t="str">
        <f>Final_Dataset!T590</f>
        <v>Thu</v>
      </c>
      <c r="E619" t="str">
        <f>Final_Dataset!X590</f>
        <v>Clear</v>
      </c>
      <c r="F619">
        <f>Final_Dataset!J590</f>
        <v>0.22</v>
      </c>
      <c r="G619">
        <f>Final_Dataset!L590</f>
        <v>0.55000000000000004</v>
      </c>
      <c r="H619">
        <f>Final_Dataset!M590</f>
        <v>0.1045</v>
      </c>
      <c r="I619">
        <f>Final_Dataset!P590</f>
        <v>84</v>
      </c>
      <c r="J619" s="54">
        <f t="shared" si="42"/>
        <v>140.20454545454547</v>
      </c>
      <c r="K619" s="54">
        <f t="shared" si="43"/>
        <v>54.067391000084569</v>
      </c>
      <c r="L619" s="55">
        <f t="shared" si="44"/>
        <v>-1.0395276046232296</v>
      </c>
      <c r="M619" t="str">
        <f t="shared" si="45"/>
        <v/>
      </c>
    </row>
    <row r="620" spans="1:13" x14ac:dyDescent="0.2">
      <c r="A620">
        <f>Final_Dataset!A591</f>
        <v>590</v>
      </c>
      <c r="B620" s="53">
        <f>Final_Dataset!B591</f>
        <v>40570</v>
      </c>
      <c r="C620">
        <f>Final_Dataset!F591</f>
        <v>18</v>
      </c>
      <c r="D620" t="str">
        <f>Final_Dataset!T591</f>
        <v>Thu</v>
      </c>
      <c r="E620" t="str">
        <f>Final_Dataset!X591</f>
        <v>Clear</v>
      </c>
      <c r="F620">
        <f>Final_Dataset!J591</f>
        <v>0.2</v>
      </c>
      <c r="G620">
        <f>Final_Dataset!L591</f>
        <v>0.69</v>
      </c>
      <c r="H620">
        <f>Final_Dataset!M591</f>
        <v>8.9599999999999999E-2</v>
      </c>
      <c r="I620">
        <f>Final_Dataset!P591</f>
        <v>104</v>
      </c>
      <c r="J620" s="54">
        <f t="shared" si="42"/>
        <v>122.86046511627907</v>
      </c>
      <c r="K620" s="54">
        <f t="shared" si="43"/>
        <v>48.613432101949947</v>
      </c>
      <c r="L620" s="55">
        <f t="shared" si="44"/>
        <v>-0.38796818699666663</v>
      </c>
      <c r="M620" t="str">
        <f t="shared" si="45"/>
        <v/>
      </c>
    </row>
    <row r="621" spans="1:13" x14ac:dyDescent="0.2">
      <c r="A621">
        <f>Final_Dataset!A592</f>
        <v>591</v>
      </c>
      <c r="B621" s="53">
        <f>Final_Dataset!B592</f>
        <v>40570</v>
      </c>
      <c r="C621">
        <f>Final_Dataset!F592</f>
        <v>19</v>
      </c>
      <c r="D621" t="str">
        <f>Final_Dataset!T592</f>
        <v>Thu</v>
      </c>
      <c r="E621" t="str">
        <f>Final_Dataset!X592</f>
        <v>Clear</v>
      </c>
      <c r="F621">
        <f>Final_Dataset!J592</f>
        <v>0.2</v>
      </c>
      <c r="G621">
        <f>Final_Dataset!L592</f>
        <v>0.69</v>
      </c>
      <c r="H621">
        <f>Final_Dataset!M592</f>
        <v>8.9599999999999999E-2</v>
      </c>
      <c r="I621">
        <f>Final_Dataset!P592</f>
        <v>79</v>
      </c>
      <c r="J621" s="54">
        <f t="shared" si="42"/>
        <v>85.139534883720927</v>
      </c>
      <c r="K621" s="54">
        <f t="shared" si="43"/>
        <v>31.690904054294759</v>
      </c>
      <c r="L621" s="55">
        <f t="shared" si="44"/>
        <v>-0.19373176837121173</v>
      </c>
      <c r="M621" t="str">
        <f t="shared" si="45"/>
        <v/>
      </c>
    </row>
    <row r="622" spans="1:13" x14ac:dyDescent="0.2">
      <c r="A622">
        <f>Final_Dataset!A593</f>
        <v>592</v>
      </c>
      <c r="B622" s="53">
        <f>Final_Dataset!B593</f>
        <v>40570</v>
      </c>
      <c r="C622">
        <f>Final_Dataset!F593</f>
        <v>20</v>
      </c>
      <c r="D622" t="str">
        <f>Final_Dataset!T593</f>
        <v>Thu</v>
      </c>
      <c r="E622" t="str">
        <f>Final_Dataset!X593</f>
        <v>Clear</v>
      </c>
      <c r="F622">
        <f>Final_Dataset!J593</f>
        <v>0.18</v>
      </c>
      <c r="G622">
        <f>Final_Dataset!L593</f>
        <v>0.74</v>
      </c>
      <c r="H622">
        <f>Final_Dataset!M593</f>
        <v>8.9599999999999999E-2</v>
      </c>
      <c r="I622">
        <f>Final_Dataset!P593</f>
        <v>59</v>
      </c>
      <c r="J622" s="54">
        <f t="shared" si="42"/>
        <v>61.767441860465119</v>
      </c>
      <c r="K622" s="54">
        <f t="shared" si="43"/>
        <v>24.6323801696856</v>
      </c>
      <c r="L622" s="55">
        <f t="shared" si="44"/>
        <v>-0.11234975432341431</v>
      </c>
      <c r="M622" t="str">
        <f t="shared" si="45"/>
        <v/>
      </c>
    </row>
    <row r="623" spans="1:13" x14ac:dyDescent="0.2">
      <c r="A623">
        <f>Final_Dataset!A594</f>
        <v>593</v>
      </c>
      <c r="B623" s="53">
        <f>Final_Dataset!B594</f>
        <v>40570</v>
      </c>
      <c r="C623">
        <f>Final_Dataset!F594</f>
        <v>21</v>
      </c>
      <c r="D623" t="str">
        <f>Final_Dataset!T594</f>
        <v>Thu</v>
      </c>
      <c r="E623" t="str">
        <f>Final_Dataset!X594</f>
        <v>Clear</v>
      </c>
      <c r="F623">
        <f>Final_Dataset!J594</f>
        <v>0.18</v>
      </c>
      <c r="G623">
        <f>Final_Dataset!L594</f>
        <v>0.74</v>
      </c>
      <c r="H623">
        <f>Final_Dataset!M594</f>
        <v>8.9599999999999999E-2</v>
      </c>
      <c r="I623">
        <f>Final_Dataset!P594</f>
        <v>38</v>
      </c>
      <c r="J623" s="54">
        <f t="shared" si="42"/>
        <v>46.418604651162788</v>
      </c>
      <c r="K623" s="54">
        <f t="shared" si="43"/>
        <v>14.656759464719499</v>
      </c>
      <c r="L623" s="55">
        <f t="shared" si="44"/>
        <v>-0.57438376275651748</v>
      </c>
      <c r="M623" t="str">
        <f t="shared" si="45"/>
        <v/>
      </c>
    </row>
    <row r="624" spans="1:13" x14ac:dyDescent="0.2">
      <c r="A624">
        <f>Final_Dataset!A595</f>
        <v>594</v>
      </c>
      <c r="B624" s="53">
        <f>Final_Dataset!B595</f>
        <v>40570</v>
      </c>
      <c r="C624">
        <f>Final_Dataset!F595</f>
        <v>22</v>
      </c>
      <c r="D624" t="str">
        <f>Final_Dataset!T595</f>
        <v>Thu</v>
      </c>
      <c r="E624" t="str">
        <f>Final_Dataset!X595</f>
        <v>Clear</v>
      </c>
      <c r="F624">
        <f>Final_Dataset!J595</f>
        <v>0.18</v>
      </c>
      <c r="G624">
        <f>Final_Dataset!L595</f>
        <v>0.74</v>
      </c>
      <c r="H624">
        <f>Final_Dataset!M595</f>
        <v>8.9599999999999999E-2</v>
      </c>
      <c r="I624">
        <f>Final_Dataset!P595</f>
        <v>27</v>
      </c>
      <c r="J624" s="54">
        <f t="shared" si="42"/>
        <v>35.069767441860463</v>
      </c>
      <c r="K624" s="54">
        <f t="shared" si="43"/>
        <v>11.95506537162667</v>
      </c>
      <c r="L624" s="55">
        <f t="shared" si="44"/>
        <v>-0.67500822379547121</v>
      </c>
      <c r="M624" t="str">
        <f t="shared" si="45"/>
        <v/>
      </c>
    </row>
    <row r="625" spans="1:13" x14ac:dyDescent="0.2">
      <c r="A625">
        <f>Final_Dataset!A596</f>
        <v>595</v>
      </c>
      <c r="B625" s="53">
        <f>Final_Dataset!B596</f>
        <v>40570</v>
      </c>
      <c r="C625">
        <f>Final_Dataset!F596</f>
        <v>23</v>
      </c>
      <c r="D625" t="str">
        <f>Final_Dataset!T596</f>
        <v>Thu</v>
      </c>
      <c r="E625" t="str">
        <f>Final_Dataset!X596</f>
        <v>Clear</v>
      </c>
      <c r="F625">
        <f>Final_Dataset!J596</f>
        <v>0.18</v>
      </c>
      <c r="G625">
        <f>Final_Dataset!L596</f>
        <v>0.8</v>
      </c>
      <c r="H625">
        <f>Final_Dataset!M596</f>
        <v>0.16420000000000001</v>
      </c>
      <c r="I625">
        <f>Final_Dataset!P596</f>
        <v>16</v>
      </c>
      <c r="J625" s="54">
        <f t="shared" si="42"/>
        <v>25.186046511627907</v>
      </c>
      <c r="K625" s="54">
        <f t="shared" si="43"/>
        <v>11.751911321656186</v>
      </c>
      <c r="L625" s="55">
        <f t="shared" si="44"/>
        <v>-0.7816640425715301</v>
      </c>
      <c r="M625" t="str">
        <f t="shared" si="45"/>
        <v/>
      </c>
    </row>
    <row r="626" spans="1:13" x14ac:dyDescent="0.2">
      <c r="A626">
        <f>Final_Dataset!A597</f>
        <v>596</v>
      </c>
      <c r="B626" s="53">
        <f>Final_Dataset!B597</f>
        <v>40571</v>
      </c>
      <c r="C626">
        <f>Final_Dataset!F597</f>
        <v>0</v>
      </c>
      <c r="D626" t="str">
        <f>Final_Dataset!T597</f>
        <v>Fri</v>
      </c>
      <c r="E626" t="str">
        <f>Final_Dataset!X597</f>
        <v>Cloudy/Mist</v>
      </c>
      <c r="F626">
        <f>Final_Dataset!J597</f>
        <v>0.2</v>
      </c>
      <c r="G626">
        <f>Final_Dataset!L597</f>
        <v>0.75</v>
      </c>
      <c r="H626">
        <f>Final_Dataset!M597</f>
        <v>0.1343</v>
      </c>
      <c r="I626">
        <f>Final_Dataset!P597</f>
        <v>9</v>
      </c>
      <c r="J626" s="54">
        <f t="shared" si="42"/>
        <v>16.348837209302324</v>
      </c>
      <c r="K626" s="54">
        <f t="shared" si="43"/>
        <v>10.442321674276208</v>
      </c>
      <c r="L626" s="55">
        <f t="shared" si="44"/>
        <v>-0.70375510720049683</v>
      </c>
      <c r="M626" t="str">
        <f t="shared" si="45"/>
        <v/>
      </c>
    </row>
    <row r="627" spans="1:13" x14ac:dyDescent="0.2">
      <c r="A627">
        <f>Final_Dataset!A598</f>
        <v>597</v>
      </c>
      <c r="B627" s="53">
        <f>Final_Dataset!B598</f>
        <v>40571</v>
      </c>
      <c r="C627">
        <f>Final_Dataset!F598</f>
        <v>1</v>
      </c>
      <c r="D627" t="str">
        <f>Final_Dataset!T598</f>
        <v>Fri</v>
      </c>
      <c r="E627" t="str">
        <f>Final_Dataset!X598</f>
        <v>Cloudy/Mist</v>
      </c>
      <c r="F627">
        <f>Final_Dataset!J598</f>
        <v>0.2</v>
      </c>
      <c r="G627">
        <f>Final_Dataset!L598</f>
        <v>0.75</v>
      </c>
      <c r="H627">
        <f>Final_Dataset!M598</f>
        <v>0.1343</v>
      </c>
      <c r="I627">
        <f>Final_Dataset!P598</f>
        <v>3</v>
      </c>
      <c r="J627" s="54">
        <f t="shared" si="42"/>
        <v>10.697674418604651</v>
      </c>
      <c r="K627" s="54">
        <f t="shared" si="43"/>
        <v>10.060613641515801</v>
      </c>
      <c r="L627" s="55">
        <f t="shared" si="44"/>
        <v>-0.76512971205252112</v>
      </c>
      <c r="M627" t="str">
        <f t="shared" si="45"/>
        <v/>
      </c>
    </row>
    <row r="628" spans="1:13" x14ac:dyDescent="0.2">
      <c r="A628">
        <f>Final_Dataset!A599</f>
        <v>598</v>
      </c>
      <c r="B628" s="53">
        <f>Final_Dataset!B599</f>
        <v>40571</v>
      </c>
      <c r="C628">
        <f>Final_Dataset!F599</f>
        <v>2</v>
      </c>
      <c r="D628" t="str">
        <f>Final_Dataset!T599</f>
        <v>Fri</v>
      </c>
      <c r="E628" t="str">
        <f>Final_Dataset!X599</f>
        <v>Cloudy/Mist</v>
      </c>
      <c r="F628">
        <f>Final_Dataset!J599</f>
        <v>0.2</v>
      </c>
      <c r="G628">
        <f>Final_Dataset!L599</f>
        <v>0.75</v>
      </c>
      <c r="H628">
        <f>Final_Dataset!M599</f>
        <v>0.16420000000000001</v>
      </c>
      <c r="I628">
        <f>Final_Dataset!P599</f>
        <v>2</v>
      </c>
      <c r="J628" s="54">
        <f t="shared" si="42"/>
        <v>7.1707317073170733</v>
      </c>
      <c r="K628" s="54">
        <f t="shared" si="43"/>
        <v>7.3685223723090862</v>
      </c>
      <c r="L628" s="55">
        <f t="shared" si="44"/>
        <v>-0.70173251108644086</v>
      </c>
      <c r="M628" t="str">
        <f t="shared" si="45"/>
        <v/>
      </c>
    </row>
    <row r="629" spans="1:13" x14ac:dyDescent="0.2">
      <c r="A629">
        <f>Final_Dataset!A600</f>
        <v>599</v>
      </c>
      <c r="B629" s="53">
        <f>Final_Dataset!B600</f>
        <v>40571</v>
      </c>
      <c r="C629">
        <f>Final_Dataset!F600</f>
        <v>3</v>
      </c>
      <c r="D629" t="str">
        <f>Final_Dataset!T600</f>
        <v>Fri</v>
      </c>
      <c r="E629" t="str">
        <f>Final_Dataset!X600</f>
        <v>Cloudy/Mist</v>
      </c>
      <c r="F629">
        <f>Final_Dataset!J600</f>
        <v>0.2</v>
      </c>
      <c r="G629">
        <f>Final_Dataset!L600</f>
        <v>0.75</v>
      </c>
      <c r="H629">
        <f>Final_Dataset!M600</f>
        <v>0.1045</v>
      </c>
      <c r="I629">
        <f>Final_Dataset!P600</f>
        <v>1</v>
      </c>
      <c r="J629" s="54">
        <f t="shared" si="42"/>
        <v>4.870967741935484</v>
      </c>
      <c r="K629" s="54">
        <f t="shared" si="43"/>
        <v>4.4702120418303126</v>
      </c>
      <c r="L629" s="55">
        <f t="shared" si="44"/>
        <v>-0.86594723152115394</v>
      </c>
      <c r="M629" t="str">
        <f t="shared" si="45"/>
        <v/>
      </c>
    </row>
    <row r="630" spans="1:13" x14ac:dyDescent="0.2">
      <c r="A630">
        <f>Final_Dataset!A601</f>
        <v>600</v>
      </c>
      <c r="B630" s="53">
        <f>Final_Dataset!B601</f>
        <v>40571</v>
      </c>
      <c r="C630">
        <f>Final_Dataset!F601</f>
        <v>5</v>
      </c>
      <c r="D630" t="str">
        <f>Final_Dataset!T601</f>
        <v>Fri</v>
      </c>
      <c r="E630" t="str">
        <f>Final_Dataset!X601</f>
        <v>Cloudy/Mist</v>
      </c>
      <c r="F630">
        <f>Final_Dataset!J601</f>
        <v>0.18</v>
      </c>
      <c r="G630">
        <f>Final_Dataset!L601</f>
        <v>0.8</v>
      </c>
      <c r="H630">
        <f>Final_Dataset!M601</f>
        <v>0.1045</v>
      </c>
      <c r="I630">
        <f>Final_Dataset!P601</f>
        <v>4</v>
      </c>
      <c r="J630" s="54">
        <f t="shared" si="42"/>
        <v>4.2051282051282053</v>
      </c>
      <c r="K630" s="54">
        <f t="shared" si="43"/>
        <v>2.5358429220352288</v>
      </c>
      <c r="L630" s="55">
        <f t="shared" si="44"/>
        <v>-8.0891526579088158E-2</v>
      </c>
      <c r="M630" t="str">
        <f t="shared" si="45"/>
        <v/>
      </c>
    </row>
    <row r="631" spans="1:13" x14ac:dyDescent="0.2">
      <c r="A631">
        <f>Final_Dataset!A602</f>
        <v>601</v>
      </c>
      <c r="B631" s="53">
        <f>Final_Dataset!B602</f>
        <v>40571</v>
      </c>
      <c r="C631">
        <f>Final_Dataset!F602</f>
        <v>6</v>
      </c>
      <c r="D631" t="str">
        <f>Final_Dataset!T602</f>
        <v>Fri</v>
      </c>
      <c r="E631" t="str">
        <f>Final_Dataset!X602</f>
        <v>Cloudy/Mist</v>
      </c>
      <c r="F631">
        <f>Final_Dataset!J602</f>
        <v>0.18</v>
      </c>
      <c r="G631">
        <f>Final_Dataset!L602</f>
        <v>0.8</v>
      </c>
      <c r="H631">
        <f>Final_Dataset!M602</f>
        <v>0.1343</v>
      </c>
      <c r="I631">
        <f>Final_Dataset!P602</f>
        <v>16</v>
      </c>
      <c r="J631" s="54">
        <f t="shared" si="42"/>
        <v>19.571428571428573</v>
      </c>
      <c r="K631" s="54">
        <f t="shared" si="43"/>
        <v>14.202615453298934</v>
      </c>
      <c r="L631" s="55">
        <f t="shared" si="44"/>
        <v>-0.25146273819580278</v>
      </c>
      <c r="M631" t="str">
        <f t="shared" si="45"/>
        <v/>
      </c>
    </row>
    <row r="632" spans="1:13" x14ac:dyDescent="0.2">
      <c r="A632">
        <f>Final_Dataset!A603</f>
        <v>602</v>
      </c>
      <c r="B632" s="53">
        <f>Final_Dataset!B603</f>
        <v>40571</v>
      </c>
      <c r="C632">
        <f>Final_Dataset!F603</f>
        <v>7</v>
      </c>
      <c r="D632" t="str">
        <f>Final_Dataset!T603</f>
        <v>Fri</v>
      </c>
      <c r="E632" t="str">
        <f>Final_Dataset!X603</f>
        <v>Cloudy/Mist</v>
      </c>
      <c r="F632">
        <f>Final_Dataset!J603</f>
        <v>0.16</v>
      </c>
      <c r="G632">
        <f>Final_Dataset!L603</f>
        <v>0.86</v>
      </c>
      <c r="H632">
        <f>Final_Dataset!M603</f>
        <v>8.9599999999999999E-2</v>
      </c>
      <c r="I632">
        <f>Final_Dataset!P603</f>
        <v>60</v>
      </c>
      <c r="J632" s="54">
        <f t="shared" si="42"/>
        <v>54.395348837209305</v>
      </c>
      <c r="K632" s="54">
        <f t="shared" si="43"/>
        <v>39.112864486352777</v>
      </c>
      <c r="L632" s="55">
        <f t="shared" si="44"/>
        <v>0.1432943159851221</v>
      </c>
      <c r="M632" t="str">
        <f t="shared" si="45"/>
        <v/>
      </c>
    </row>
    <row r="633" spans="1:13" x14ac:dyDescent="0.2">
      <c r="A633">
        <f>Final_Dataset!A604</f>
        <v>603</v>
      </c>
      <c r="B633" s="53">
        <f>Final_Dataset!B604</f>
        <v>40571</v>
      </c>
      <c r="C633">
        <f>Final_Dataset!F604</f>
        <v>8</v>
      </c>
      <c r="D633" t="str">
        <f>Final_Dataset!T604</f>
        <v>Fri</v>
      </c>
      <c r="E633" t="str">
        <f>Final_Dataset!X604</f>
        <v>Cloudy/Mist</v>
      </c>
      <c r="F633">
        <f>Final_Dataset!J604</f>
        <v>0.16</v>
      </c>
      <c r="G633">
        <f>Final_Dataset!L604</f>
        <v>0.86</v>
      </c>
      <c r="H633">
        <f>Final_Dataset!M604</f>
        <v>8.9599999999999999E-2</v>
      </c>
      <c r="I633">
        <f>Final_Dataset!P604</f>
        <v>157</v>
      </c>
      <c r="J633" s="54">
        <f t="shared" si="42"/>
        <v>128.28571428571428</v>
      </c>
      <c r="K633" s="54">
        <f t="shared" si="43"/>
        <v>88.551565717048533</v>
      </c>
      <c r="L633" s="55">
        <f t="shared" si="44"/>
        <v>0.32426626770256484</v>
      </c>
      <c r="M633" t="str">
        <f t="shared" si="45"/>
        <v/>
      </c>
    </row>
    <row r="634" spans="1:13" x14ac:dyDescent="0.2">
      <c r="A634">
        <f>Final_Dataset!A605</f>
        <v>604</v>
      </c>
      <c r="B634" s="53">
        <f>Final_Dataset!B605</f>
        <v>40571</v>
      </c>
      <c r="C634">
        <f>Final_Dataset!F605</f>
        <v>9</v>
      </c>
      <c r="D634" t="str">
        <f>Final_Dataset!T605</f>
        <v>Fri</v>
      </c>
      <c r="E634" t="str">
        <f>Final_Dataset!X605</f>
        <v>Light Rain/Snow</v>
      </c>
      <c r="F634">
        <f>Final_Dataset!J605</f>
        <v>0.18</v>
      </c>
      <c r="G634">
        <f>Final_Dataset!L605</f>
        <v>0.86</v>
      </c>
      <c r="H634">
        <f>Final_Dataset!M605</f>
        <v>8.9599999999999999E-2</v>
      </c>
      <c r="I634">
        <f>Final_Dataset!P605</f>
        <v>101</v>
      </c>
      <c r="J634" s="54">
        <f t="shared" si="42"/>
        <v>87.428571428571431</v>
      </c>
      <c r="K634" s="54">
        <f t="shared" si="43"/>
        <v>45.93852884078624</v>
      </c>
      <c r="L634" s="55">
        <f t="shared" si="44"/>
        <v>0.29542584218280976</v>
      </c>
      <c r="M634" t="str">
        <f t="shared" si="45"/>
        <v/>
      </c>
    </row>
    <row r="635" spans="1:13" x14ac:dyDescent="0.2">
      <c r="A635">
        <f>Final_Dataset!A606</f>
        <v>605</v>
      </c>
      <c r="B635" s="53">
        <f>Final_Dataset!B606</f>
        <v>40571</v>
      </c>
      <c r="C635">
        <f>Final_Dataset!F606</f>
        <v>10</v>
      </c>
      <c r="D635" t="str">
        <f>Final_Dataset!T606</f>
        <v>Fri</v>
      </c>
      <c r="E635" t="str">
        <f>Final_Dataset!X606</f>
        <v>Light Rain/Snow</v>
      </c>
      <c r="F635">
        <f>Final_Dataset!J606</f>
        <v>0.18</v>
      </c>
      <c r="G635">
        <f>Final_Dataset!L606</f>
        <v>0.86</v>
      </c>
      <c r="H635">
        <f>Final_Dataset!M606</f>
        <v>0.1045</v>
      </c>
      <c r="I635">
        <f>Final_Dataset!P606</f>
        <v>49</v>
      </c>
      <c r="J635" s="54">
        <f t="shared" si="42"/>
        <v>53.642857142857146</v>
      </c>
      <c r="K635" s="54">
        <f t="shared" si="43"/>
        <v>15.395313554536934</v>
      </c>
      <c r="L635" s="55">
        <f t="shared" si="44"/>
        <v>-0.301576004048902</v>
      </c>
      <c r="M635" t="str">
        <f t="shared" si="45"/>
        <v/>
      </c>
    </row>
    <row r="636" spans="1:13" x14ac:dyDescent="0.2">
      <c r="A636">
        <f>Final_Dataset!A607</f>
        <v>606</v>
      </c>
      <c r="B636" s="53">
        <f>Final_Dataset!B607</f>
        <v>40571</v>
      </c>
      <c r="C636">
        <f>Final_Dataset!F607</f>
        <v>11</v>
      </c>
      <c r="D636" t="str">
        <f>Final_Dataset!T607</f>
        <v>Fri</v>
      </c>
      <c r="E636" t="str">
        <f>Final_Dataset!X607</f>
        <v>Light Rain/Snow</v>
      </c>
      <c r="F636">
        <f>Final_Dataset!J607</f>
        <v>0.18</v>
      </c>
      <c r="G636">
        <f>Final_Dataset!L607</f>
        <v>0.93</v>
      </c>
      <c r="H636">
        <f>Final_Dataset!M607</f>
        <v>0.1045</v>
      </c>
      <c r="I636">
        <f>Final_Dataset!P607</f>
        <v>30</v>
      </c>
      <c r="J636" s="54">
        <f t="shared" si="42"/>
        <v>59.38095238095238</v>
      </c>
      <c r="K636" s="54">
        <f t="shared" si="43"/>
        <v>20.89573696860419</v>
      </c>
      <c r="L636" s="55">
        <f t="shared" si="44"/>
        <v>-1.4060739961025166</v>
      </c>
      <c r="M636" t="str">
        <f t="shared" si="45"/>
        <v/>
      </c>
    </row>
    <row r="637" spans="1:13" x14ac:dyDescent="0.2">
      <c r="A637">
        <f>Final_Dataset!A608</f>
        <v>607</v>
      </c>
      <c r="B637" s="53">
        <f>Final_Dataset!B608</f>
        <v>40571</v>
      </c>
      <c r="C637">
        <f>Final_Dataset!F608</f>
        <v>12</v>
      </c>
      <c r="D637" t="str">
        <f>Final_Dataset!T608</f>
        <v>Fri</v>
      </c>
      <c r="E637" t="str">
        <f>Final_Dataset!X608</f>
        <v>Light Rain/Snow</v>
      </c>
      <c r="F637">
        <f>Final_Dataset!J608</f>
        <v>0.18</v>
      </c>
      <c r="G637">
        <f>Final_Dataset!L608</f>
        <v>0.93</v>
      </c>
      <c r="H637">
        <f>Final_Dataset!M608</f>
        <v>0.1045</v>
      </c>
      <c r="I637">
        <f>Final_Dataset!P608</f>
        <v>29</v>
      </c>
      <c r="J637" s="54">
        <f t="shared" si="42"/>
        <v>76.348837209302332</v>
      </c>
      <c r="K637" s="54">
        <f t="shared" si="43"/>
        <v>29.034366927857057</v>
      </c>
      <c r="L637" s="55">
        <f t="shared" si="44"/>
        <v>-1.6307859347149545</v>
      </c>
      <c r="M637" t="str">
        <f t="shared" si="45"/>
        <v/>
      </c>
    </row>
    <row r="638" spans="1:13" x14ac:dyDescent="0.2">
      <c r="A638">
        <f>Final_Dataset!A609</f>
        <v>608</v>
      </c>
      <c r="B638" s="53">
        <f>Final_Dataset!B609</f>
        <v>40571</v>
      </c>
      <c r="C638">
        <f>Final_Dataset!F609</f>
        <v>13</v>
      </c>
      <c r="D638" t="str">
        <f>Final_Dataset!T609</f>
        <v>Fri</v>
      </c>
      <c r="E638" t="str">
        <f>Final_Dataset!X609</f>
        <v>Light Rain/Snow</v>
      </c>
      <c r="F638">
        <f>Final_Dataset!J609</f>
        <v>0.18</v>
      </c>
      <c r="G638">
        <f>Final_Dataset!L609</f>
        <v>0.93</v>
      </c>
      <c r="H638">
        <f>Final_Dataset!M609</f>
        <v>0.1045</v>
      </c>
      <c r="I638">
        <f>Final_Dataset!P609</f>
        <v>31</v>
      </c>
      <c r="J638" s="54">
        <f t="shared" si="42"/>
        <v>78.511627906976742</v>
      </c>
      <c r="K638" s="54">
        <f t="shared" si="43"/>
        <v>30.072430098825173</v>
      </c>
      <c r="L638" s="55">
        <f t="shared" si="44"/>
        <v>-1.5799065040916949</v>
      </c>
      <c r="M638" t="str">
        <f t="shared" si="45"/>
        <v/>
      </c>
    </row>
    <row r="639" spans="1:13" x14ac:dyDescent="0.2">
      <c r="A639">
        <f>Final_Dataset!A610</f>
        <v>609</v>
      </c>
      <c r="B639" s="53">
        <f>Final_Dataset!B610</f>
        <v>40571</v>
      </c>
      <c r="C639">
        <f>Final_Dataset!F610</f>
        <v>14</v>
      </c>
      <c r="D639" t="str">
        <f>Final_Dataset!T610</f>
        <v>Fri</v>
      </c>
      <c r="E639" t="str">
        <f>Final_Dataset!X610</f>
        <v>Light Rain/Snow</v>
      </c>
      <c r="F639">
        <f>Final_Dataset!J610</f>
        <v>0.22</v>
      </c>
      <c r="G639">
        <f>Final_Dataset!L610</f>
        <v>0.8</v>
      </c>
      <c r="H639">
        <f>Final_Dataset!M610</f>
        <v>0</v>
      </c>
      <c r="I639">
        <f>Final_Dataset!P610</f>
        <v>38</v>
      </c>
      <c r="J639" s="54">
        <f t="shared" si="42"/>
        <v>74.418604651162795</v>
      </c>
      <c r="K639" s="54">
        <f t="shared" si="43"/>
        <v>30.305769180565147</v>
      </c>
      <c r="L639" s="55">
        <f t="shared" si="44"/>
        <v>-1.2017053398043354</v>
      </c>
      <c r="M639" t="str">
        <f t="shared" si="45"/>
        <v/>
      </c>
    </row>
    <row r="640" spans="1:13" x14ac:dyDescent="0.2">
      <c r="A640">
        <f>Final_Dataset!A611</f>
        <v>610</v>
      </c>
      <c r="B640" s="53">
        <f>Final_Dataset!B611</f>
        <v>40571</v>
      </c>
      <c r="C640">
        <f>Final_Dataset!F611</f>
        <v>15</v>
      </c>
      <c r="D640" t="str">
        <f>Final_Dataset!T611</f>
        <v>Fri</v>
      </c>
      <c r="E640" t="str">
        <f>Final_Dataset!X611</f>
        <v>Cloudy/Mist</v>
      </c>
      <c r="F640">
        <f>Final_Dataset!J611</f>
        <v>0.2</v>
      </c>
      <c r="G640">
        <f>Final_Dataset!L611</f>
        <v>0.86</v>
      </c>
      <c r="H640">
        <f>Final_Dataset!M611</f>
        <v>0</v>
      </c>
      <c r="I640">
        <f>Final_Dataset!P611</f>
        <v>41</v>
      </c>
      <c r="J640" s="54">
        <f t="shared" si="42"/>
        <v>77.95348837209302</v>
      </c>
      <c r="K640" s="54">
        <f t="shared" si="43"/>
        <v>34.481156681772681</v>
      </c>
      <c r="L640" s="55">
        <f t="shared" si="44"/>
        <v>-1.0717009499750121</v>
      </c>
      <c r="M640" t="str">
        <f t="shared" si="45"/>
        <v/>
      </c>
    </row>
    <row r="641" spans="1:13" x14ac:dyDescent="0.2">
      <c r="A641">
        <f>Final_Dataset!A612</f>
        <v>611</v>
      </c>
      <c r="B641" s="53">
        <f>Final_Dataset!B612</f>
        <v>40571</v>
      </c>
      <c r="C641">
        <f>Final_Dataset!F612</f>
        <v>16</v>
      </c>
      <c r="D641" t="str">
        <f>Final_Dataset!T612</f>
        <v>Fri</v>
      </c>
      <c r="E641" t="str">
        <f>Final_Dataset!X612</f>
        <v>Clear</v>
      </c>
      <c r="F641">
        <f>Final_Dataset!J612</f>
        <v>0.22</v>
      </c>
      <c r="G641">
        <f>Final_Dataset!L612</f>
        <v>0.8</v>
      </c>
      <c r="H641">
        <f>Final_Dataset!M612</f>
        <v>0</v>
      </c>
      <c r="I641">
        <f>Final_Dataset!P612</f>
        <v>80</v>
      </c>
      <c r="J641" s="54">
        <f t="shared" si="42"/>
        <v>89.272727272727266</v>
      </c>
      <c r="K641" s="54">
        <f t="shared" si="43"/>
        <v>25.461657115880747</v>
      </c>
      <c r="L641" s="55">
        <f t="shared" si="44"/>
        <v>-0.36418396613092996</v>
      </c>
      <c r="M641" t="str">
        <f t="shared" si="45"/>
        <v/>
      </c>
    </row>
    <row r="642" spans="1:13" x14ac:dyDescent="0.2">
      <c r="A642">
        <f>Final_Dataset!A613</f>
        <v>612</v>
      </c>
      <c r="B642" s="53">
        <f>Final_Dataset!B613</f>
        <v>40571</v>
      </c>
      <c r="C642">
        <f>Final_Dataset!F613</f>
        <v>17</v>
      </c>
      <c r="D642" t="str">
        <f>Final_Dataset!T613</f>
        <v>Fri</v>
      </c>
      <c r="E642" t="str">
        <f>Final_Dataset!X613</f>
        <v>Clear</v>
      </c>
      <c r="F642">
        <f>Final_Dataset!J613</f>
        <v>0.24</v>
      </c>
      <c r="G642">
        <f>Final_Dataset!L613</f>
        <v>0.75</v>
      </c>
      <c r="H642">
        <f>Final_Dataset!M613</f>
        <v>0.1343</v>
      </c>
      <c r="I642">
        <f>Final_Dataset!P613</f>
        <v>149</v>
      </c>
      <c r="J642" s="54">
        <f t="shared" si="42"/>
        <v>140.20454545454547</v>
      </c>
      <c r="K642" s="54">
        <f t="shared" si="43"/>
        <v>54.067391000084569</v>
      </c>
      <c r="L642" s="55">
        <f t="shared" si="44"/>
        <v>0.16267577152818</v>
      </c>
      <c r="M642" t="str">
        <f t="shared" si="45"/>
        <v/>
      </c>
    </row>
    <row r="643" spans="1:13" x14ac:dyDescent="0.2">
      <c r="A643">
        <f>Final_Dataset!A614</f>
        <v>613</v>
      </c>
      <c r="B643" s="53">
        <f>Final_Dataset!B614</f>
        <v>40571</v>
      </c>
      <c r="C643">
        <f>Final_Dataset!F614</f>
        <v>18</v>
      </c>
      <c r="D643" t="str">
        <f>Final_Dataset!T614</f>
        <v>Fri</v>
      </c>
      <c r="E643" t="str">
        <f>Final_Dataset!X614</f>
        <v>Clear</v>
      </c>
      <c r="F643">
        <f>Final_Dataset!J614</f>
        <v>0.24</v>
      </c>
      <c r="G643">
        <f>Final_Dataset!L614</f>
        <v>0.75</v>
      </c>
      <c r="H643">
        <f>Final_Dataset!M614</f>
        <v>0.19400000000000001</v>
      </c>
      <c r="I643">
        <f>Final_Dataset!P614</f>
        <v>109</v>
      </c>
      <c r="J643" s="54">
        <f t="shared" si="42"/>
        <v>122.86046511627907</v>
      </c>
      <c r="K643" s="54">
        <f t="shared" si="43"/>
        <v>48.613432101949947</v>
      </c>
      <c r="L643" s="55">
        <f t="shared" si="44"/>
        <v>-0.28511595493219893</v>
      </c>
      <c r="M643" t="str">
        <f t="shared" si="45"/>
        <v/>
      </c>
    </row>
    <row r="644" spans="1:13" x14ac:dyDescent="0.2">
      <c r="A644">
        <f>Final_Dataset!A615</f>
        <v>614</v>
      </c>
      <c r="B644" s="53">
        <f>Final_Dataset!B615</f>
        <v>40571</v>
      </c>
      <c r="C644">
        <f>Final_Dataset!F615</f>
        <v>19</v>
      </c>
      <c r="D644" t="str">
        <f>Final_Dataset!T615</f>
        <v>Fri</v>
      </c>
      <c r="E644" t="str">
        <f>Final_Dataset!X615</f>
        <v>Cloudy/Mist</v>
      </c>
      <c r="F644">
        <f>Final_Dataset!J615</f>
        <v>0.24</v>
      </c>
      <c r="G644">
        <f>Final_Dataset!L615</f>
        <v>0.75</v>
      </c>
      <c r="H644">
        <f>Final_Dataset!M615</f>
        <v>0.1343</v>
      </c>
      <c r="I644">
        <f>Final_Dataset!P615</f>
        <v>89</v>
      </c>
      <c r="J644" s="54">
        <f t="shared" si="42"/>
        <v>85.139534883720927</v>
      </c>
      <c r="K644" s="54">
        <f t="shared" si="43"/>
        <v>31.690904054294759</v>
      </c>
      <c r="L644" s="55">
        <f t="shared" si="44"/>
        <v>0.12181618768795906</v>
      </c>
      <c r="M644" t="str">
        <f t="shared" si="45"/>
        <v/>
      </c>
    </row>
    <row r="645" spans="1:13" x14ac:dyDescent="0.2">
      <c r="A645">
        <f>Final_Dataset!A616</f>
        <v>615</v>
      </c>
      <c r="B645" s="53">
        <f>Final_Dataset!B616</f>
        <v>40571</v>
      </c>
      <c r="C645">
        <f>Final_Dataset!F616</f>
        <v>20</v>
      </c>
      <c r="D645" t="str">
        <f>Final_Dataset!T616</f>
        <v>Fri</v>
      </c>
      <c r="E645" t="str">
        <f>Final_Dataset!X616</f>
        <v>Cloudy/Mist</v>
      </c>
      <c r="F645">
        <f>Final_Dataset!J616</f>
        <v>0.24</v>
      </c>
      <c r="G645">
        <f>Final_Dataset!L616</f>
        <v>0.7</v>
      </c>
      <c r="H645">
        <f>Final_Dataset!M616</f>
        <v>0.19400000000000001</v>
      </c>
      <c r="I645">
        <f>Final_Dataset!P616</f>
        <v>62</v>
      </c>
      <c r="J645" s="54">
        <f t="shared" si="42"/>
        <v>61.767441860465119</v>
      </c>
      <c r="K645" s="54">
        <f t="shared" si="43"/>
        <v>24.6323801696856</v>
      </c>
      <c r="L645" s="55">
        <f t="shared" si="44"/>
        <v>9.4411558254968615E-3</v>
      </c>
      <c r="M645" t="str">
        <f t="shared" si="45"/>
        <v/>
      </c>
    </row>
    <row r="646" spans="1:13" x14ac:dyDescent="0.2">
      <c r="A646">
        <f>Final_Dataset!A617</f>
        <v>616</v>
      </c>
      <c r="B646" s="53">
        <f>Final_Dataset!B617</f>
        <v>40571</v>
      </c>
      <c r="C646">
        <f>Final_Dataset!F617</f>
        <v>21</v>
      </c>
      <c r="D646" t="str">
        <f>Final_Dataset!T617</f>
        <v>Fri</v>
      </c>
      <c r="E646" t="str">
        <f>Final_Dataset!X617</f>
        <v>Cloudy/Mist</v>
      </c>
      <c r="F646">
        <f>Final_Dataset!J617</f>
        <v>0.22</v>
      </c>
      <c r="G646">
        <f>Final_Dataset!L617</f>
        <v>0.75</v>
      </c>
      <c r="H646">
        <f>Final_Dataset!M617</f>
        <v>0.1343</v>
      </c>
      <c r="I646">
        <f>Final_Dataset!P617</f>
        <v>58</v>
      </c>
      <c r="J646" s="54">
        <f t="shared" si="42"/>
        <v>46.418604651162788</v>
      </c>
      <c r="K646" s="54">
        <f t="shared" si="43"/>
        <v>14.656759464719499</v>
      </c>
      <c r="L646" s="55">
        <f t="shared" si="44"/>
        <v>0.79017434765951911</v>
      </c>
      <c r="M646" t="str">
        <f t="shared" si="45"/>
        <v/>
      </c>
    </row>
    <row r="647" spans="1:13" x14ac:dyDescent="0.2">
      <c r="A647">
        <f>Final_Dataset!A618</f>
        <v>617</v>
      </c>
      <c r="B647" s="53">
        <f>Final_Dataset!B618</f>
        <v>40571</v>
      </c>
      <c r="C647">
        <f>Final_Dataset!F618</f>
        <v>22</v>
      </c>
      <c r="D647" t="str">
        <f>Final_Dataset!T618</f>
        <v>Fri</v>
      </c>
      <c r="E647" t="str">
        <f>Final_Dataset!X618</f>
        <v>Clear</v>
      </c>
      <c r="F647">
        <f>Final_Dataset!J618</f>
        <v>0.24</v>
      </c>
      <c r="G647">
        <f>Final_Dataset!L618</f>
        <v>0.65</v>
      </c>
      <c r="H647">
        <f>Final_Dataset!M618</f>
        <v>0.35820000000000002</v>
      </c>
      <c r="I647">
        <f>Final_Dataset!P618</f>
        <v>26</v>
      </c>
      <c r="J647" s="54">
        <f t="shared" si="42"/>
        <v>35.069767441860463</v>
      </c>
      <c r="K647" s="54">
        <f t="shared" si="43"/>
        <v>11.95506537162667</v>
      </c>
      <c r="L647" s="55">
        <f t="shared" si="44"/>
        <v>-0.75865477602372844</v>
      </c>
      <c r="M647" t="str">
        <f t="shared" si="45"/>
        <v/>
      </c>
    </row>
    <row r="648" spans="1:13" x14ac:dyDescent="0.2">
      <c r="A648">
        <f>Final_Dataset!A619</f>
        <v>618</v>
      </c>
      <c r="B648" s="53">
        <f>Final_Dataset!B619</f>
        <v>40571</v>
      </c>
      <c r="C648">
        <f>Final_Dataset!F619</f>
        <v>23</v>
      </c>
      <c r="D648" t="str">
        <f>Final_Dataset!T619</f>
        <v>Fri</v>
      </c>
      <c r="E648" t="str">
        <f>Final_Dataset!X619</f>
        <v>Clear</v>
      </c>
      <c r="F648">
        <f>Final_Dataset!J619</f>
        <v>0.24</v>
      </c>
      <c r="G648">
        <f>Final_Dataset!L619</f>
        <v>0.6</v>
      </c>
      <c r="H648">
        <f>Final_Dataset!M619</f>
        <v>0.22389999999999999</v>
      </c>
      <c r="I648">
        <f>Final_Dataset!P619</f>
        <v>23</v>
      </c>
      <c r="J648" s="54">
        <f t="shared" si="42"/>
        <v>25.186046511627907</v>
      </c>
      <c r="K648" s="54">
        <f t="shared" si="43"/>
        <v>11.751911321656186</v>
      </c>
      <c r="L648" s="55">
        <f t="shared" si="44"/>
        <v>-0.18601625316892109</v>
      </c>
      <c r="M648" t="str">
        <f t="shared" si="45"/>
        <v/>
      </c>
    </row>
    <row r="649" spans="1:13" x14ac:dyDescent="0.2">
      <c r="A649">
        <f>Final_Dataset!A620</f>
        <v>619</v>
      </c>
      <c r="B649" s="53">
        <f>Final_Dataset!B620</f>
        <v>40572</v>
      </c>
      <c r="C649">
        <f>Final_Dataset!F620</f>
        <v>0</v>
      </c>
      <c r="D649" t="str">
        <f>Final_Dataset!T620</f>
        <v>Sat</v>
      </c>
      <c r="E649" t="str">
        <f>Final_Dataset!X620</f>
        <v>Clear</v>
      </c>
      <c r="F649">
        <f>Final_Dataset!J620</f>
        <v>0.22</v>
      </c>
      <c r="G649">
        <f>Final_Dataset!L620</f>
        <v>0.64</v>
      </c>
      <c r="H649">
        <f>Final_Dataset!M620</f>
        <v>0.35820000000000002</v>
      </c>
      <c r="I649">
        <f>Final_Dataset!P620</f>
        <v>28</v>
      </c>
      <c r="J649" s="54">
        <f t="shared" si="42"/>
        <v>16.348837209302324</v>
      </c>
      <c r="K649" s="54">
        <f t="shared" si="43"/>
        <v>10.442321674276208</v>
      </c>
      <c r="L649" s="55">
        <f t="shared" si="44"/>
        <v>1.1157636351501552</v>
      </c>
      <c r="M649" t="str">
        <f t="shared" si="45"/>
        <v/>
      </c>
    </row>
    <row r="650" spans="1:13" x14ac:dyDescent="0.2">
      <c r="A650">
        <f>Final_Dataset!A621</f>
        <v>620</v>
      </c>
      <c r="B650" s="53">
        <f>Final_Dataset!B621</f>
        <v>40572</v>
      </c>
      <c r="C650">
        <f>Final_Dataset!F621</f>
        <v>1</v>
      </c>
      <c r="D650" t="str">
        <f>Final_Dataset!T621</f>
        <v>Sat</v>
      </c>
      <c r="E650" t="str">
        <f>Final_Dataset!X621</f>
        <v>Clear</v>
      </c>
      <c r="F650">
        <f>Final_Dataset!J621</f>
        <v>0.22</v>
      </c>
      <c r="G650">
        <f>Final_Dataset!L621</f>
        <v>0.64</v>
      </c>
      <c r="H650">
        <f>Final_Dataset!M621</f>
        <v>0.19400000000000001</v>
      </c>
      <c r="I650">
        <f>Final_Dataset!P621</f>
        <v>20</v>
      </c>
      <c r="J650" s="54">
        <f t="shared" si="42"/>
        <v>10.697674418604651</v>
      </c>
      <c r="K650" s="54">
        <f t="shared" si="43"/>
        <v>10.060613641515801</v>
      </c>
      <c r="L650" s="55">
        <f t="shared" si="44"/>
        <v>0.92462805081875676</v>
      </c>
      <c r="M650" t="str">
        <f t="shared" si="45"/>
        <v/>
      </c>
    </row>
    <row r="651" spans="1:13" x14ac:dyDescent="0.2">
      <c r="A651">
        <f>Final_Dataset!A622</f>
        <v>621</v>
      </c>
      <c r="B651" s="53">
        <f>Final_Dataset!B622</f>
        <v>40572</v>
      </c>
      <c r="C651">
        <f>Final_Dataset!F622</f>
        <v>2</v>
      </c>
      <c r="D651" t="str">
        <f>Final_Dataset!T622</f>
        <v>Sat</v>
      </c>
      <c r="E651" t="str">
        <f>Final_Dataset!X622</f>
        <v>Clear</v>
      </c>
      <c r="F651">
        <f>Final_Dataset!J622</f>
        <v>0.22</v>
      </c>
      <c r="G651">
        <f>Final_Dataset!L622</f>
        <v>0.64</v>
      </c>
      <c r="H651">
        <f>Final_Dataset!M622</f>
        <v>0.16420000000000001</v>
      </c>
      <c r="I651">
        <f>Final_Dataset!P622</f>
        <v>15</v>
      </c>
      <c r="J651" s="54">
        <f t="shared" si="42"/>
        <v>7.1707317073170733</v>
      </c>
      <c r="K651" s="54">
        <f t="shared" si="43"/>
        <v>7.3685223723090862</v>
      </c>
      <c r="L651" s="55">
        <f t="shared" si="44"/>
        <v>1.0625289436733374</v>
      </c>
      <c r="M651" t="str">
        <f t="shared" si="45"/>
        <v/>
      </c>
    </row>
    <row r="652" spans="1:13" x14ac:dyDescent="0.2">
      <c r="A652">
        <f>Final_Dataset!A623</f>
        <v>622</v>
      </c>
      <c r="B652" s="53">
        <f>Final_Dataset!B623</f>
        <v>40572</v>
      </c>
      <c r="C652">
        <f>Final_Dataset!F623</f>
        <v>3</v>
      </c>
      <c r="D652" t="str">
        <f>Final_Dataset!T623</f>
        <v>Sat</v>
      </c>
      <c r="E652" t="str">
        <f>Final_Dataset!X623</f>
        <v>Clear</v>
      </c>
      <c r="F652">
        <f>Final_Dataset!J623</f>
        <v>0.2</v>
      </c>
      <c r="G652">
        <f>Final_Dataset!L623</f>
        <v>0.64</v>
      </c>
      <c r="H652">
        <f>Final_Dataset!M623</f>
        <v>0.1343</v>
      </c>
      <c r="I652">
        <f>Final_Dataset!P623</f>
        <v>8</v>
      </c>
      <c r="J652" s="54">
        <f t="shared" si="42"/>
        <v>4.870967741935484</v>
      </c>
      <c r="K652" s="54">
        <f t="shared" si="43"/>
        <v>4.4702120418303126</v>
      </c>
      <c r="L652" s="55">
        <f t="shared" si="44"/>
        <v>0.69997401214626609</v>
      </c>
      <c r="M652" t="str">
        <f t="shared" si="45"/>
        <v/>
      </c>
    </row>
    <row r="653" spans="1:13" x14ac:dyDescent="0.2">
      <c r="A653">
        <f>Final_Dataset!A624</f>
        <v>623</v>
      </c>
      <c r="B653" s="53">
        <f>Final_Dataset!B624</f>
        <v>40572</v>
      </c>
      <c r="C653">
        <f>Final_Dataset!F624</f>
        <v>4</v>
      </c>
      <c r="D653" t="str">
        <f>Final_Dataset!T624</f>
        <v>Sat</v>
      </c>
      <c r="E653" t="str">
        <f>Final_Dataset!X624</f>
        <v>Clear</v>
      </c>
      <c r="F653">
        <f>Final_Dataset!J624</f>
        <v>0.16</v>
      </c>
      <c r="G653">
        <f>Final_Dataset!L624</f>
        <v>0.69</v>
      </c>
      <c r="H653">
        <f>Final_Dataset!M624</f>
        <v>0.1045</v>
      </c>
      <c r="I653">
        <f>Final_Dataset!P624</f>
        <v>3</v>
      </c>
      <c r="J653" s="54">
        <f t="shared" si="42"/>
        <v>2.15625</v>
      </c>
      <c r="K653" s="54">
        <f t="shared" si="43"/>
        <v>1.5263148747143209</v>
      </c>
      <c r="L653" s="55">
        <f t="shared" si="44"/>
        <v>0.55280205544607819</v>
      </c>
      <c r="M653" t="str">
        <f t="shared" si="45"/>
        <v/>
      </c>
    </row>
    <row r="654" spans="1:13" x14ac:dyDescent="0.2">
      <c r="A654">
        <f>Final_Dataset!A625</f>
        <v>624</v>
      </c>
      <c r="B654" s="53">
        <f>Final_Dataset!B625</f>
        <v>40572</v>
      </c>
      <c r="C654">
        <f>Final_Dataset!F625</f>
        <v>6</v>
      </c>
      <c r="D654" t="str">
        <f>Final_Dataset!T625</f>
        <v>Sat</v>
      </c>
      <c r="E654" t="str">
        <f>Final_Dataset!X625</f>
        <v>Clear</v>
      </c>
      <c r="F654">
        <f>Final_Dataset!J625</f>
        <v>0.16</v>
      </c>
      <c r="G654">
        <f>Final_Dataset!L625</f>
        <v>0.64</v>
      </c>
      <c r="H654">
        <f>Final_Dataset!M625</f>
        <v>0.1343</v>
      </c>
      <c r="I654">
        <f>Final_Dataset!P625</f>
        <v>2</v>
      </c>
      <c r="J654" s="54">
        <f t="shared" si="42"/>
        <v>19.571428571428573</v>
      </c>
      <c r="K654" s="54">
        <f t="shared" si="43"/>
        <v>14.202615453298934</v>
      </c>
      <c r="L654" s="55">
        <f t="shared" si="44"/>
        <v>-1.2371966719233494</v>
      </c>
      <c r="M654" t="str">
        <f t="shared" si="45"/>
        <v/>
      </c>
    </row>
    <row r="655" spans="1:13" x14ac:dyDescent="0.2">
      <c r="A655">
        <f>Final_Dataset!A626</f>
        <v>625</v>
      </c>
      <c r="B655" s="53">
        <f>Final_Dataset!B626</f>
        <v>40572</v>
      </c>
      <c r="C655">
        <f>Final_Dataset!F626</f>
        <v>7</v>
      </c>
      <c r="D655" t="str">
        <f>Final_Dataset!T626</f>
        <v>Sat</v>
      </c>
      <c r="E655" t="str">
        <f>Final_Dataset!X626</f>
        <v>Clear</v>
      </c>
      <c r="F655">
        <f>Final_Dataset!J626</f>
        <v>0.16</v>
      </c>
      <c r="G655">
        <f>Final_Dataset!L626</f>
        <v>0.59</v>
      </c>
      <c r="H655">
        <f>Final_Dataset!M626</f>
        <v>0.1045</v>
      </c>
      <c r="I655">
        <f>Final_Dataset!P626</f>
        <v>5</v>
      </c>
      <c r="J655" s="54">
        <f t="shared" si="42"/>
        <v>54.395348837209305</v>
      </c>
      <c r="K655" s="54">
        <f t="shared" si="43"/>
        <v>39.112864486352777</v>
      </c>
      <c r="L655" s="55">
        <f t="shared" si="44"/>
        <v>-1.2628926437858901</v>
      </c>
      <c r="M655" t="str">
        <f t="shared" si="45"/>
        <v/>
      </c>
    </row>
    <row r="656" spans="1:13" x14ac:dyDescent="0.2">
      <c r="A656">
        <f>Final_Dataset!A627</f>
        <v>626</v>
      </c>
      <c r="B656" s="53">
        <f>Final_Dataset!B627</f>
        <v>40572</v>
      </c>
      <c r="C656">
        <f>Final_Dataset!F627</f>
        <v>8</v>
      </c>
      <c r="D656" t="str">
        <f>Final_Dataset!T627</f>
        <v>Sat</v>
      </c>
      <c r="E656" t="str">
        <f>Final_Dataset!X627</f>
        <v>Clear</v>
      </c>
      <c r="F656">
        <f>Final_Dataset!J627</f>
        <v>0.18</v>
      </c>
      <c r="G656">
        <f>Final_Dataset!L627</f>
        <v>0.55000000000000004</v>
      </c>
      <c r="H656">
        <f>Final_Dataset!M627</f>
        <v>0.16420000000000001</v>
      </c>
      <c r="I656">
        <f>Final_Dataset!P627</f>
        <v>34</v>
      </c>
      <c r="J656" s="54">
        <f t="shared" si="42"/>
        <v>128.28571428571428</v>
      </c>
      <c r="K656" s="54">
        <f t="shared" si="43"/>
        <v>88.551565717048533</v>
      </c>
      <c r="L656" s="55">
        <f t="shared" si="44"/>
        <v>-1.0647549088740931</v>
      </c>
      <c r="M656" t="str">
        <f t="shared" si="45"/>
        <v/>
      </c>
    </row>
    <row r="657" spans="1:13" x14ac:dyDescent="0.2">
      <c r="A657">
        <f>Final_Dataset!A628</f>
        <v>627</v>
      </c>
      <c r="B657" s="53">
        <f>Final_Dataset!B628</f>
        <v>40572</v>
      </c>
      <c r="C657">
        <f>Final_Dataset!F628</f>
        <v>9</v>
      </c>
      <c r="D657" t="str">
        <f>Final_Dataset!T628</f>
        <v>Sat</v>
      </c>
      <c r="E657" t="str">
        <f>Final_Dataset!X628</f>
        <v>Clear</v>
      </c>
      <c r="F657">
        <f>Final_Dataset!J628</f>
        <v>0.18</v>
      </c>
      <c r="G657">
        <f>Final_Dataset!L628</f>
        <v>0.59</v>
      </c>
      <c r="H657">
        <f>Final_Dataset!M628</f>
        <v>8.9599999999999999E-2</v>
      </c>
      <c r="I657">
        <f>Final_Dataset!P628</f>
        <v>34</v>
      </c>
      <c r="J657" s="54">
        <f t="shared" si="42"/>
        <v>87.428571428571431</v>
      </c>
      <c r="K657" s="54">
        <f t="shared" si="43"/>
        <v>45.93852884078624</v>
      </c>
      <c r="L657" s="55">
        <f t="shared" si="44"/>
        <v>-1.1630448944881144</v>
      </c>
      <c r="M657" t="str">
        <f t="shared" si="45"/>
        <v/>
      </c>
    </row>
    <row r="658" spans="1:13" x14ac:dyDescent="0.2">
      <c r="A658">
        <f>Final_Dataset!A629</f>
        <v>628</v>
      </c>
      <c r="B658" s="53">
        <f>Final_Dataset!B629</f>
        <v>40572</v>
      </c>
      <c r="C658">
        <f>Final_Dataset!F629</f>
        <v>10</v>
      </c>
      <c r="D658" t="str">
        <f>Final_Dataset!T629</f>
        <v>Sat</v>
      </c>
      <c r="E658" t="str">
        <f>Final_Dataset!X629</f>
        <v>Cloudy/Mist</v>
      </c>
      <c r="F658">
        <f>Final_Dataset!J629</f>
        <v>0.18</v>
      </c>
      <c r="G658">
        <f>Final_Dataset!L629</f>
        <v>0.64</v>
      </c>
      <c r="H658">
        <f>Final_Dataset!M629</f>
        <v>0.1045</v>
      </c>
      <c r="I658">
        <f>Final_Dataset!P629</f>
        <v>55</v>
      </c>
      <c r="J658" s="54">
        <f t="shared" si="42"/>
        <v>53.642857142857146</v>
      </c>
      <c r="K658" s="54">
        <f t="shared" si="43"/>
        <v>15.395313554536934</v>
      </c>
      <c r="L658" s="55">
        <f t="shared" si="44"/>
        <v>8.8152985798909553E-2</v>
      </c>
      <c r="M658" t="str">
        <f t="shared" si="45"/>
        <v/>
      </c>
    </row>
    <row r="659" spans="1:13" x14ac:dyDescent="0.2">
      <c r="A659">
        <f>Final_Dataset!A630</f>
        <v>629</v>
      </c>
      <c r="B659" s="53">
        <f>Final_Dataset!B630</f>
        <v>40572</v>
      </c>
      <c r="C659">
        <f>Final_Dataset!F630</f>
        <v>11</v>
      </c>
      <c r="D659" t="str">
        <f>Final_Dataset!T630</f>
        <v>Sat</v>
      </c>
      <c r="E659" t="str">
        <f>Final_Dataset!X630</f>
        <v>Cloudy/Mist</v>
      </c>
      <c r="F659">
        <f>Final_Dataset!J630</f>
        <v>0.18</v>
      </c>
      <c r="G659">
        <f>Final_Dataset!L630</f>
        <v>0.64</v>
      </c>
      <c r="H659">
        <f>Final_Dataset!M630</f>
        <v>0.1343</v>
      </c>
      <c r="I659">
        <f>Final_Dataset!P630</f>
        <v>64</v>
      </c>
      <c r="J659" s="54">
        <f t="shared" si="42"/>
        <v>59.38095238095238</v>
      </c>
      <c r="K659" s="54">
        <f t="shared" si="43"/>
        <v>20.89573696860419</v>
      </c>
      <c r="L659" s="55">
        <f t="shared" si="44"/>
        <v>0.22105215173734871</v>
      </c>
      <c r="M659" t="str">
        <f t="shared" si="45"/>
        <v/>
      </c>
    </row>
    <row r="660" spans="1:13" x14ac:dyDescent="0.2">
      <c r="A660">
        <f>Final_Dataset!A631</f>
        <v>630</v>
      </c>
      <c r="B660" s="53">
        <f>Final_Dataset!B631</f>
        <v>40572</v>
      </c>
      <c r="C660">
        <f>Final_Dataset!F631</f>
        <v>12</v>
      </c>
      <c r="D660" t="str">
        <f>Final_Dataset!T631</f>
        <v>Sat</v>
      </c>
      <c r="E660" t="str">
        <f>Final_Dataset!X631</f>
        <v>Cloudy/Mist</v>
      </c>
      <c r="F660">
        <f>Final_Dataset!J631</f>
        <v>0.2</v>
      </c>
      <c r="G660">
        <f>Final_Dataset!L631</f>
        <v>0.59</v>
      </c>
      <c r="H660">
        <f>Final_Dataset!M631</f>
        <v>0.19400000000000001</v>
      </c>
      <c r="I660">
        <f>Final_Dataset!P631</f>
        <v>78</v>
      </c>
      <c r="J660" s="54">
        <f t="shared" si="42"/>
        <v>76.348837209302332</v>
      </c>
      <c r="K660" s="54">
        <f t="shared" si="43"/>
        <v>29.034366927857057</v>
      </c>
      <c r="L660" s="55">
        <f t="shared" si="44"/>
        <v>5.6869254108428947E-2</v>
      </c>
      <c r="M660" t="str">
        <f t="shared" si="45"/>
        <v/>
      </c>
    </row>
    <row r="661" spans="1:13" x14ac:dyDescent="0.2">
      <c r="A661">
        <f>Final_Dataset!A632</f>
        <v>631</v>
      </c>
      <c r="B661" s="53">
        <f>Final_Dataset!B632</f>
        <v>40572</v>
      </c>
      <c r="C661">
        <f>Final_Dataset!F632</f>
        <v>13</v>
      </c>
      <c r="D661" t="str">
        <f>Final_Dataset!T632</f>
        <v>Sat</v>
      </c>
      <c r="E661" t="str">
        <f>Final_Dataset!X632</f>
        <v>Cloudy/Mist</v>
      </c>
      <c r="F661">
        <f>Final_Dataset!J632</f>
        <v>0.22</v>
      </c>
      <c r="G661">
        <f>Final_Dataset!L632</f>
        <v>0.55000000000000004</v>
      </c>
      <c r="H661">
        <f>Final_Dataset!M632</f>
        <v>0.16420000000000001</v>
      </c>
      <c r="I661">
        <f>Final_Dataset!P632</f>
        <v>65</v>
      </c>
      <c r="J661" s="54">
        <f t="shared" si="42"/>
        <v>78.511627906976742</v>
      </c>
      <c r="K661" s="54">
        <f t="shared" si="43"/>
        <v>30.072430098825173</v>
      </c>
      <c r="L661" s="55">
        <f t="shared" si="44"/>
        <v>-0.44930282862323767</v>
      </c>
      <c r="M661" t="str">
        <f t="shared" si="45"/>
        <v/>
      </c>
    </row>
    <row r="662" spans="1:13" x14ac:dyDescent="0.2">
      <c r="A662">
        <f>Final_Dataset!A633</f>
        <v>632</v>
      </c>
      <c r="B662" s="53">
        <f>Final_Dataset!B633</f>
        <v>40572</v>
      </c>
      <c r="C662">
        <f>Final_Dataset!F633</f>
        <v>14</v>
      </c>
      <c r="D662" t="str">
        <f>Final_Dataset!T633</f>
        <v>Sat</v>
      </c>
      <c r="E662" t="str">
        <f>Final_Dataset!X633</f>
        <v>Cloudy/Mist</v>
      </c>
      <c r="F662">
        <f>Final_Dataset!J633</f>
        <v>0.22</v>
      </c>
      <c r="G662">
        <f>Final_Dataset!L633</f>
        <v>0.6</v>
      </c>
      <c r="H662">
        <f>Final_Dataset!M633</f>
        <v>0.1343</v>
      </c>
      <c r="I662">
        <f>Final_Dataset!P633</f>
        <v>99</v>
      </c>
      <c r="J662" s="54">
        <f t="shared" si="42"/>
        <v>74.418604651162795</v>
      </c>
      <c r="K662" s="54">
        <f t="shared" si="43"/>
        <v>30.305769180565147</v>
      </c>
      <c r="L662" s="55">
        <f t="shared" si="44"/>
        <v>0.81111273574277276</v>
      </c>
      <c r="M662" t="str">
        <f t="shared" si="45"/>
        <v/>
      </c>
    </row>
    <row r="663" spans="1:13" x14ac:dyDescent="0.2">
      <c r="A663">
        <f>Final_Dataset!A634</f>
        <v>633</v>
      </c>
      <c r="B663" s="53">
        <f>Final_Dataset!B634</f>
        <v>40572</v>
      </c>
      <c r="C663">
        <f>Final_Dataset!F634</f>
        <v>15</v>
      </c>
      <c r="D663" t="str">
        <f>Final_Dataset!T634</f>
        <v>Sat</v>
      </c>
      <c r="E663" t="str">
        <f>Final_Dataset!X634</f>
        <v>Clear</v>
      </c>
      <c r="F663">
        <f>Final_Dataset!J634</f>
        <v>0.22</v>
      </c>
      <c r="G663">
        <f>Final_Dataset!L634</f>
        <v>0.69</v>
      </c>
      <c r="H663">
        <f>Final_Dataset!M634</f>
        <v>0.25369999999999998</v>
      </c>
      <c r="I663">
        <f>Final_Dataset!P634</f>
        <v>120</v>
      </c>
      <c r="J663" s="54">
        <f t="shared" si="42"/>
        <v>77.95348837209302</v>
      </c>
      <c r="K663" s="54">
        <f t="shared" si="43"/>
        <v>34.481156681772681</v>
      </c>
      <c r="L663" s="55">
        <f t="shared" si="44"/>
        <v>1.2194054861893155</v>
      </c>
      <c r="M663" t="str">
        <f t="shared" si="45"/>
        <v/>
      </c>
    </row>
    <row r="664" spans="1:13" x14ac:dyDescent="0.2">
      <c r="A664">
        <f>Final_Dataset!A635</f>
        <v>634</v>
      </c>
      <c r="B664" s="53">
        <f>Final_Dataset!B635</f>
        <v>40572</v>
      </c>
      <c r="C664">
        <f>Final_Dataset!F635</f>
        <v>16</v>
      </c>
      <c r="D664" t="str">
        <f>Final_Dataset!T635</f>
        <v>Sat</v>
      </c>
      <c r="E664" t="str">
        <f>Final_Dataset!X635</f>
        <v>Clear</v>
      </c>
      <c r="F664">
        <f>Final_Dataset!J635</f>
        <v>0.24</v>
      </c>
      <c r="G664">
        <f>Final_Dataset!L635</f>
        <v>0.6</v>
      </c>
      <c r="H664">
        <f>Final_Dataset!M635</f>
        <v>0.16420000000000001</v>
      </c>
      <c r="I664">
        <f>Final_Dataset!P635</f>
        <v>107</v>
      </c>
      <c r="J664" s="54">
        <f t="shared" si="42"/>
        <v>89.272727272727266</v>
      </c>
      <c r="K664" s="54">
        <f t="shared" si="43"/>
        <v>25.461657115880747</v>
      </c>
      <c r="L664" s="55">
        <f t="shared" si="44"/>
        <v>0.69623405289736684</v>
      </c>
      <c r="M664" t="str">
        <f t="shared" si="45"/>
        <v/>
      </c>
    </row>
    <row r="665" spans="1:13" x14ac:dyDescent="0.2">
      <c r="A665">
        <f>Final_Dataset!A636</f>
        <v>635</v>
      </c>
      <c r="B665" s="53">
        <f>Final_Dataset!B636</f>
        <v>40572</v>
      </c>
      <c r="C665">
        <f>Final_Dataset!F636</f>
        <v>17</v>
      </c>
      <c r="D665" t="str">
        <f>Final_Dataset!T636</f>
        <v>Sat</v>
      </c>
      <c r="E665" t="str">
        <f>Final_Dataset!X636</f>
        <v>Clear</v>
      </c>
      <c r="F665">
        <f>Final_Dataset!J636</f>
        <v>0.24</v>
      </c>
      <c r="G665">
        <f>Final_Dataset!L636</f>
        <v>0.6</v>
      </c>
      <c r="H665">
        <f>Final_Dataset!M636</f>
        <v>0</v>
      </c>
      <c r="I665">
        <f>Final_Dataset!P636</f>
        <v>91</v>
      </c>
      <c r="J665" s="54">
        <f t="shared" si="42"/>
        <v>140.20454545454547</v>
      </c>
      <c r="K665" s="54">
        <f t="shared" si="43"/>
        <v>54.067391000084569</v>
      </c>
      <c r="L665" s="55">
        <f t="shared" si="44"/>
        <v>-0.91005954873000072</v>
      </c>
      <c r="M665" t="str">
        <f t="shared" si="45"/>
        <v/>
      </c>
    </row>
    <row r="666" spans="1:13" x14ac:dyDescent="0.2">
      <c r="A666">
        <f>Final_Dataset!A637</f>
        <v>636</v>
      </c>
      <c r="B666" s="53">
        <f>Final_Dataset!B637</f>
        <v>40572</v>
      </c>
      <c r="C666">
        <f>Final_Dataset!F637</f>
        <v>18</v>
      </c>
      <c r="D666" t="str">
        <f>Final_Dataset!T637</f>
        <v>Sat</v>
      </c>
      <c r="E666" t="str">
        <f>Final_Dataset!X637</f>
        <v>Clear</v>
      </c>
      <c r="F666">
        <f>Final_Dataset!J637</f>
        <v>0.22</v>
      </c>
      <c r="G666">
        <f>Final_Dataset!L637</f>
        <v>0.69</v>
      </c>
      <c r="H666">
        <f>Final_Dataset!M637</f>
        <v>0.1343</v>
      </c>
      <c r="I666">
        <f>Final_Dataset!P637</f>
        <v>68</v>
      </c>
      <c r="J666" s="54">
        <f t="shared" si="42"/>
        <v>122.86046511627907</v>
      </c>
      <c r="K666" s="54">
        <f t="shared" si="43"/>
        <v>48.613432101949947</v>
      </c>
      <c r="L666" s="55">
        <f t="shared" si="44"/>
        <v>-1.1285042578608342</v>
      </c>
      <c r="M666" t="str">
        <f t="shared" si="45"/>
        <v/>
      </c>
    </row>
    <row r="667" spans="1:13" x14ac:dyDescent="0.2">
      <c r="A667">
        <f>Final_Dataset!A638</f>
        <v>637</v>
      </c>
      <c r="B667" s="53">
        <f>Final_Dataset!B638</f>
        <v>40572</v>
      </c>
      <c r="C667">
        <f>Final_Dataset!F638</f>
        <v>19</v>
      </c>
      <c r="D667" t="str">
        <f>Final_Dataset!T638</f>
        <v>Sat</v>
      </c>
      <c r="E667" t="str">
        <f>Final_Dataset!X638</f>
        <v>Cloudy/Mist</v>
      </c>
      <c r="F667">
        <f>Final_Dataset!J638</f>
        <v>0.22</v>
      </c>
      <c r="G667">
        <f>Final_Dataset!L638</f>
        <v>0.69</v>
      </c>
      <c r="H667">
        <f>Final_Dataset!M638</f>
        <v>0.25369999999999998</v>
      </c>
      <c r="I667">
        <f>Final_Dataset!P638</f>
        <v>58</v>
      </c>
      <c r="J667" s="54">
        <f t="shared" si="42"/>
        <v>85.139534883720927</v>
      </c>
      <c r="K667" s="54">
        <f t="shared" si="43"/>
        <v>31.690904054294759</v>
      </c>
      <c r="L667" s="55">
        <f t="shared" si="44"/>
        <v>-0.85638247609547036</v>
      </c>
      <c r="M667" t="str">
        <f t="shared" si="45"/>
        <v/>
      </c>
    </row>
    <row r="668" spans="1:13" x14ac:dyDescent="0.2">
      <c r="A668">
        <f>Final_Dataset!A639</f>
        <v>638</v>
      </c>
      <c r="B668" s="53">
        <f>Final_Dataset!B639</f>
        <v>40572</v>
      </c>
      <c r="C668">
        <f>Final_Dataset!F639</f>
        <v>20</v>
      </c>
      <c r="D668" t="str">
        <f>Final_Dataset!T639</f>
        <v>Sat</v>
      </c>
      <c r="E668" t="str">
        <f>Final_Dataset!X639</f>
        <v>Clear</v>
      </c>
      <c r="F668">
        <f>Final_Dataset!J639</f>
        <v>0.18</v>
      </c>
      <c r="G668">
        <f>Final_Dataset!L639</f>
        <v>0.74</v>
      </c>
      <c r="H668">
        <f>Final_Dataset!M639</f>
        <v>8.9599999999999999E-2</v>
      </c>
      <c r="I668">
        <f>Final_Dataset!P639</f>
        <v>43</v>
      </c>
      <c r="J668" s="54">
        <f t="shared" si="42"/>
        <v>61.767441860465119</v>
      </c>
      <c r="K668" s="54">
        <f t="shared" si="43"/>
        <v>24.6323801696856</v>
      </c>
      <c r="L668" s="55">
        <f t="shared" si="44"/>
        <v>-0.76190127511760719</v>
      </c>
      <c r="M668" t="str">
        <f t="shared" si="45"/>
        <v/>
      </c>
    </row>
    <row r="669" spans="1:13" x14ac:dyDescent="0.2">
      <c r="A669">
        <f>Final_Dataset!A640</f>
        <v>639</v>
      </c>
      <c r="B669" s="53">
        <f>Final_Dataset!B640</f>
        <v>40572</v>
      </c>
      <c r="C669">
        <f>Final_Dataset!F640</f>
        <v>21</v>
      </c>
      <c r="D669" t="str">
        <f>Final_Dataset!T640</f>
        <v>Sat</v>
      </c>
      <c r="E669" t="str">
        <f>Final_Dataset!X640</f>
        <v>Clear</v>
      </c>
      <c r="F669">
        <f>Final_Dataset!J640</f>
        <v>0.18</v>
      </c>
      <c r="G669">
        <f>Final_Dataset!L640</f>
        <v>0.74</v>
      </c>
      <c r="H669">
        <f>Final_Dataset!M640</f>
        <v>8.9599999999999999E-2</v>
      </c>
      <c r="I669">
        <f>Final_Dataset!P640</f>
        <v>36</v>
      </c>
      <c r="J669" s="54">
        <f t="shared" si="42"/>
        <v>46.418604651162788</v>
      </c>
      <c r="K669" s="54">
        <f t="shared" si="43"/>
        <v>14.656759464719499</v>
      </c>
      <c r="L669" s="55">
        <f t="shared" si="44"/>
        <v>-0.71083957379812124</v>
      </c>
      <c r="M669" t="str">
        <f t="shared" si="45"/>
        <v/>
      </c>
    </row>
    <row r="670" spans="1:13" x14ac:dyDescent="0.2">
      <c r="A670">
        <f>Final_Dataset!A641</f>
        <v>640</v>
      </c>
      <c r="B670" s="53">
        <f>Final_Dataset!B641</f>
        <v>40572</v>
      </c>
      <c r="C670">
        <f>Final_Dataset!F641</f>
        <v>22</v>
      </c>
      <c r="D670" t="str">
        <f>Final_Dataset!T641</f>
        <v>Sat</v>
      </c>
      <c r="E670" t="str">
        <f>Final_Dataset!X641</f>
        <v>Clear</v>
      </c>
      <c r="F670">
        <f>Final_Dataset!J641</f>
        <v>0.16</v>
      </c>
      <c r="G670">
        <f>Final_Dataset!L641</f>
        <v>0.8</v>
      </c>
      <c r="H670">
        <f>Final_Dataset!M641</f>
        <v>8.9599999999999999E-2</v>
      </c>
      <c r="I670">
        <f>Final_Dataset!P641</f>
        <v>32</v>
      </c>
      <c r="J670" s="54">
        <f t="shared" si="42"/>
        <v>35.069767441860463</v>
      </c>
      <c r="K670" s="54">
        <f t="shared" si="43"/>
        <v>11.95506537162667</v>
      </c>
      <c r="L670" s="55">
        <f t="shared" si="44"/>
        <v>-0.25677546265418494</v>
      </c>
      <c r="M670" t="str">
        <f t="shared" si="45"/>
        <v/>
      </c>
    </row>
    <row r="671" spans="1:13" x14ac:dyDescent="0.2">
      <c r="A671">
        <f>Final_Dataset!A642</f>
        <v>641</v>
      </c>
      <c r="B671" s="53">
        <f>Final_Dataset!B642</f>
        <v>40572</v>
      </c>
      <c r="C671">
        <f>Final_Dataset!F642</f>
        <v>23</v>
      </c>
      <c r="D671" t="str">
        <f>Final_Dataset!T642</f>
        <v>Sat</v>
      </c>
      <c r="E671" t="str">
        <f>Final_Dataset!X642</f>
        <v>Clear</v>
      </c>
      <c r="F671">
        <f>Final_Dataset!J642</f>
        <v>0.16</v>
      </c>
      <c r="G671">
        <f>Final_Dataset!L642</f>
        <v>0.8</v>
      </c>
      <c r="H671">
        <f>Final_Dataset!M642</f>
        <v>8.9599999999999999E-2</v>
      </c>
      <c r="I671">
        <f>Final_Dataset!P642</f>
        <v>33</v>
      </c>
      <c r="J671" s="54">
        <f t="shared" ref="J671:J734" si="46">INDEX($F$5:$F$28,MATCH(C671,$D$5:$D$28,0))</f>
        <v>25.186046511627907</v>
      </c>
      <c r="K671" s="54">
        <f t="shared" ref="K671:K734" si="47">INDEX($G$5:$G$28,MATCH(C671,$D$5:$D$28,0))</f>
        <v>11.751911321656186</v>
      </c>
      <c r="L671" s="55">
        <f t="shared" ref="L671:L734" si="48">IF(K671=0,0,(I671-J671)/K671)</f>
        <v>0.66490916026337743</v>
      </c>
      <c r="M671" t="str">
        <f t="shared" ref="M671:M734" si="49">IF(ABS(L671)&gt;=$B$4,IF(L671&gt;0,"High","Low"),"")</f>
        <v/>
      </c>
    </row>
    <row r="672" spans="1:13" x14ac:dyDescent="0.2">
      <c r="A672">
        <f>Final_Dataset!A643</f>
        <v>642</v>
      </c>
      <c r="B672" s="53">
        <f>Final_Dataset!B643</f>
        <v>40573</v>
      </c>
      <c r="C672">
        <f>Final_Dataset!F643</f>
        <v>0</v>
      </c>
      <c r="D672" t="str">
        <f>Final_Dataset!T643</f>
        <v>Sun</v>
      </c>
      <c r="E672" t="str">
        <f>Final_Dataset!X643</f>
        <v>Clear</v>
      </c>
      <c r="F672">
        <f>Final_Dataset!J643</f>
        <v>0.16</v>
      </c>
      <c r="G672">
        <f>Final_Dataset!L643</f>
        <v>0.8</v>
      </c>
      <c r="H672">
        <f>Final_Dataset!M643</f>
        <v>0.1045</v>
      </c>
      <c r="I672">
        <f>Final_Dataset!P643</f>
        <v>33</v>
      </c>
      <c r="J672" s="54">
        <f t="shared" si="46"/>
        <v>16.348837209302324</v>
      </c>
      <c r="K672" s="54">
        <f t="shared" si="47"/>
        <v>10.442321674276208</v>
      </c>
      <c r="L672" s="55">
        <f t="shared" si="48"/>
        <v>1.5945843568213793</v>
      </c>
      <c r="M672" t="str">
        <f t="shared" si="49"/>
        <v/>
      </c>
    </row>
    <row r="673" spans="1:13" x14ac:dyDescent="0.2">
      <c r="A673">
        <f>Final_Dataset!A644</f>
        <v>643</v>
      </c>
      <c r="B673" s="53">
        <f>Final_Dataset!B644</f>
        <v>40573</v>
      </c>
      <c r="C673">
        <f>Final_Dataset!F644</f>
        <v>1</v>
      </c>
      <c r="D673" t="str">
        <f>Final_Dataset!T644</f>
        <v>Sun</v>
      </c>
      <c r="E673" t="str">
        <f>Final_Dataset!X644</f>
        <v>Clear</v>
      </c>
      <c r="F673">
        <f>Final_Dataset!J644</f>
        <v>0.14000000000000001</v>
      </c>
      <c r="G673">
        <f>Final_Dataset!L644</f>
        <v>0.8</v>
      </c>
      <c r="H673">
        <f>Final_Dataset!M644</f>
        <v>0</v>
      </c>
      <c r="I673">
        <f>Final_Dataset!P644</f>
        <v>29</v>
      </c>
      <c r="J673" s="54">
        <f t="shared" si="46"/>
        <v>10.697674418604651</v>
      </c>
      <c r="K673" s="54">
        <f t="shared" si="47"/>
        <v>10.060613641515801</v>
      </c>
      <c r="L673" s="55">
        <f t="shared" si="48"/>
        <v>1.8192056899859042</v>
      </c>
      <c r="M673" t="str">
        <f t="shared" si="49"/>
        <v/>
      </c>
    </row>
    <row r="674" spans="1:13" x14ac:dyDescent="0.2">
      <c r="A674">
        <f>Final_Dataset!A645</f>
        <v>644</v>
      </c>
      <c r="B674" s="53">
        <f>Final_Dataset!B645</f>
        <v>40573</v>
      </c>
      <c r="C674">
        <f>Final_Dataset!F645</f>
        <v>2</v>
      </c>
      <c r="D674" t="str">
        <f>Final_Dataset!T645</f>
        <v>Sun</v>
      </c>
      <c r="E674" t="str">
        <f>Final_Dataset!X645</f>
        <v>Clear</v>
      </c>
      <c r="F674">
        <f>Final_Dataset!J645</f>
        <v>0.16</v>
      </c>
      <c r="G674">
        <f>Final_Dataset!L645</f>
        <v>0.8</v>
      </c>
      <c r="H674">
        <f>Final_Dataset!M645</f>
        <v>0</v>
      </c>
      <c r="I674">
        <f>Final_Dataset!P645</f>
        <v>11</v>
      </c>
      <c r="J674" s="54">
        <f t="shared" si="46"/>
        <v>7.1707317073170733</v>
      </c>
      <c r="K674" s="54">
        <f t="shared" si="47"/>
        <v>7.3685223723090862</v>
      </c>
      <c r="L674" s="55">
        <f t="shared" si="48"/>
        <v>0.51967926528571329</v>
      </c>
      <c r="M674" t="str">
        <f t="shared" si="49"/>
        <v/>
      </c>
    </row>
    <row r="675" spans="1:13" x14ac:dyDescent="0.2">
      <c r="A675">
        <f>Final_Dataset!A646</f>
        <v>645</v>
      </c>
      <c r="B675" s="53">
        <f>Final_Dataset!B646</f>
        <v>40573</v>
      </c>
      <c r="C675">
        <f>Final_Dataset!F646</f>
        <v>3</v>
      </c>
      <c r="D675" t="str">
        <f>Final_Dataset!T646</f>
        <v>Sun</v>
      </c>
      <c r="E675" t="str">
        <f>Final_Dataset!X646</f>
        <v>Clear</v>
      </c>
      <c r="F675">
        <f>Final_Dataset!J646</f>
        <v>0.14000000000000001</v>
      </c>
      <c r="G675">
        <f>Final_Dataset!L646</f>
        <v>0.93</v>
      </c>
      <c r="H675">
        <f>Final_Dataset!M646</f>
        <v>0</v>
      </c>
      <c r="I675">
        <f>Final_Dataset!P646</f>
        <v>8</v>
      </c>
      <c r="J675" s="54">
        <f t="shared" si="46"/>
        <v>4.870967741935484</v>
      </c>
      <c r="K675" s="54">
        <f t="shared" si="47"/>
        <v>4.4702120418303126</v>
      </c>
      <c r="L675" s="55">
        <f t="shared" si="48"/>
        <v>0.69997401214626609</v>
      </c>
      <c r="M675" t="str">
        <f t="shared" si="49"/>
        <v/>
      </c>
    </row>
    <row r="676" spans="1:13" x14ac:dyDescent="0.2">
      <c r="A676">
        <f>Final_Dataset!A647</f>
        <v>646</v>
      </c>
      <c r="B676" s="53">
        <f>Final_Dataset!B647</f>
        <v>40573</v>
      </c>
      <c r="C676">
        <f>Final_Dataset!F647</f>
        <v>4</v>
      </c>
      <c r="D676" t="str">
        <f>Final_Dataset!T647</f>
        <v>Sun</v>
      </c>
      <c r="E676" t="str">
        <f>Final_Dataset!X647</f>
        <v>Clear</v>
      </c>
      <c r="F676">
        <f>Final_Dataset!J647</f>
        <v>0.14000000000000001</v>
      </c>
      <c r="G676">
        <f>Final_Dataset!L647</f>
        <v>0.93</v>
      </c>
      <c r="H676">
        <f>Final_Dataset!M647</f>
        <v>0</v>
      </c>
      <c r="I676">
        <f>Final_Dataset!P647</f>
        <v>1</v>
      </c>
      <c r="J676" s="54">
        <f t="shared" si="46"/>
        <v>2.15625</v>
      </c>
      <c r="K676" s="54">
        <f t="shared" si="47"/>
        <v>1.5263148747143209</v>
      </c>
      <c r="L676" s="55">
        <f t="shared" si="48"/>
        <v>-0.75754355746314428</v>
      </c>
      <c r="M676" t="str">
        <f t="shared" si="49"/>
        <v/>
      </c>
    </row>
    <row r="677" spans="1:13" x14ac:dyDescent="0.2">
      <c r="A677">
        <f>Final_Dataset!A648</f>
        <v>647</v>
      </c>
      <c r="B677" s="53">
        <f>Final_Dataset!B648</f>
        <v>40573</v>
      </c>
      <c r="C677">
        <f>Final_Dataset!F648</f>
        <v>5</v>
      </c>
      <c r="D677" t="str">
        <f>Final_Dataset!T648</f>
        <v>Sun</v>
      </c>
      <c r="E677" t="str">
        <f>Final_Dataset!X648</f>
        <v>Clear</v>
      </c>
      <c r="F677">
        <f>Final_Dataset!J648</f>
        <v>0.14000000000000001</v>
      </c>
      <c r="G677">
        <f>Final_Dataset!L648</f>
        <v>0.86</v>
      </c>
      <c r="H677">
        <f>Final_Dataset!M648</f>
        <v>0</v>
      </c>
      <c r="I677">
        <f>Final_Dataset!P648</f>
        <v>3</v>
      </c>
      <c r="J677" s="54">
        <f t="shared" si="46"/>
        <v>4.2051282051282053</v>
      </c>
      <c r="K677" s="54">
        <f t="shared" si="47"/>
        <v>2.5358429220352288</v>
      </c>
      <c r="L677" s="55">
        <f t="shared" si="48"/>
        <v>-0.47523771865214265</v>
      </c>
      <c r="M677" t="str">
        <f t="shared" si="49"/>
        <v/>
      </c>
    </row>
    <row r="678" spans="1:13" x14ac:dyDescent="0.2">
      <c r="A678">
        <f>Final_Dataset!A649</f>
        <v>648</v>
      </c>
      <c r="B678" s="53">
        <f>Final_Dataset!B649</f>
        <v>40573</v>
      </c>
      <c r="C678">
        <f>Final_Dataset!F649</f>
        <v>7</v>
      </c>
      <c r="D678" t="str">
        <f>Final_Dataset!T649</f>
        <v>Sun</v>
      </c>
      <c r="E678" t="str">
        <f>Final_Dataset!X649</f>
        <v>Clear</v>
      </c>
      <c r="F678">
        <f>Final_Dataset!J649</f>
        <v>0.14000000000000001</v>
      </c>
      <c r="G678">
        <f>Final_Dataset!L649</f>
        <v>0.86</v>
      </c>
      <c r="H678">
        <f>Final_Dataset!M649</f>
        <v>0</v>
      </c>
      <c r="I678">
        <f>Final_Dataset!P649</f>
        <v>3</v>
      </c>
      <c r="J678" s="54">
        <f t="shared" si="46"/>
        <v>54.395348837209305</v>
      </c>
      <c r="K678" s="54">
        <f t="shared" si="47"/>
        <v>39.112864486352777</v>
      </c>
      <c r="L678" s="55">
        <f t="shared" si="48"/>
        <v>-1.3140267150502905</v>
      </c>
      <c r="M678" t="str">
        <f t="shared" si="49"/>
        <v/>
      </c>
    </row>
    <row r="679" spans="1:13" x14ac:dyDescent="0.2">
      <c r="A679">
        <f>Final_Dataset!A650</f>
        <v>649</v>
      </c>
      <c r="B679" s="53">
        <f>Final_Dataset!B650</f>
        <v>40573</v>
      </c>
      <c r="C679">
        <f>Final_Dataset!F650</f>
        <v>8</v>
      </c>
      <c r="D679" t="str">
        <f>Final_Dataset!T650</f>
        <v>Sun</v>
      </c>
      <c r="E679" t="str">
        <f>Final_Dataset!X650</f>
        <v>Cloudy/Mist</v>
      </c>
      <c r="F679">
        <f>Final_Dataset!J650</f>
        <v>0.14000000000000001</v>
      </c>
      <c r="G679">
        <f>Final_Dataset!L650</f>
        <v>0.86</v>
      </c>
      <c r="H679">
        <f>Final_Dataset!M650</f>
        <v>0</v>
      </c>
      <c r="I679">
        <f>Final_Dataset!P650</f>
        <v>12</v>
      </c>
      <c r="J679" s="54">
        <f t="shared" si="46"/>
        <v>128.28571428571428</v>
      </c>
      <c r="K679" s="54">
        <f t="shared" si="47"/>
        <v>88.551565717048533</v>
      </c>
      <c r="L679" s="55">
        <f t="shared" si="48"/>
        <v>-1.3131977209447148</v>
      </c>
      <c r="M679" t="str">
        <f t="shared" si="49"/>
        <v/>
      </c>
    </row>
    <row r="680" spans="1:13" x14ac:dyDescent="0.2">
      <c r="A680">
        <f>Final_Dataset!A651</f>
        <v>650</v>
      </c>
      <c r="B680" s="53">
        <f>Final_Dataset!B651</f>
        <v>40573</v>
      </c>
      <c r="C680">
        <f>Final_Dataset!F651</f>
        <v>9</v>
      </c>
      <c r="D680" t="str">
        <f>Final_Dataset!T651</f>
        <v>Sun</v>
      </c>
      <c r="E680" t="str">
        <f>Final_Dataset!X651</f>
        <v>Cloudy/Mist</v>
      </c>
      <c r="F680">
        <f>Final_Dataset!J651</f>
        <v>0.16</v>
      </c>
      <c r="G680">
        <f>Final_Dataset!L651</f>
        <v>0.8</v>
      </c>
      <c r="H680">
        <f>Final_Dataset!M651</f>
        <v>0</v>
      </c>
      <c r="I680">
        <f>Final_Dataset!P651</f>
        <v>38</v>
      </c>
      <c r="J680" s="54">
        <f t="shared" si="46"/>
        <v>87.428571428571431</v>
      </c>
      <c r="K680" s="54">
        <f t="shared" si="47"/>
        <v>45.93852884078624</v>
      </c>
      <c r="L680" s="55">
        <f t="shared" si="48"/>
        <v>-1.0759720146868652</v>
      </c>
      <c r="M680" t="str">
        <f t="shared" si="49"/>
        <v/>
      </c>
    </row>
    <row r="681" spans="1:13" x14ac:dyDescent="0.2">
      <c r="A681">
        <f>Final_Dataset!A652</f>
        <v>651</v>
      </c>
      <c r="B681" s="53">
        <f>Final_Dataset!B652</f>
        <v>40573</v>
      </c>
      <c r="C681">
        <f>Final_Dataset!F652</f>
        <v>10</v>
      </c>
      <c r="D681" t="str">
        <f>Final_Dataset!T652</f>
        <v>Sun</v>
      </c>
      <c r="E681" t="str">
        <f>Final_Dataset!X652</f>
        <v>Cloudy/Mist</v>
      </c>
      <c r="F681">
        <f>Final_Dataset!J652</f>
        <v>0.18</v>
      </c>
      <c r="G681">
        <f>Final_Dataset!L652</f>
        <v>0.8</v>
      </c>
      <c r="H681">
        <f>Final_Dataset!M652</f>
        <v>0</v>
      </c>
      <c r="I681">
        <f>Final_Dataset!P652</f>
        <v>64</v>
      </c>
      <c r="J681" s="54">
        <f t="shared" si="46"/>
        <v>53.642857142857146</v>
      </c>
      <c r="K681" s="54">
        <f t="shared" si="47"/>
        <v>15.395313554536934</v>
      </c>
      <c r="L681" s="55">
        <f t="shared" si="48"/>
        <v>0.67274647057062686</v>
      </c>
      <c r="M681" t="str">
        <f t="shared" si="49"/>
        <v/>
      </c>
    </row>
    <row r="682" spans="1:13" x14ac:dyDescent="0.2">
      <c r="A682">
        <f>Final_Dataset!A653</f>
        <v>652</v>
      </c>
      <c r="B682" s="53">
        <f>Final_Dataset!B653</f>
        <v>40573</v>
      </c>
      <c r="C682">
        <f>Final_Dataset!F653</f>
        <v>11</v>
      </c>
      <c r="D682" t="str">
        <f>Final_Dataset!T653</f>
        <v>Sun</v>
      </c>
      <c r="E682" t="str">
        <f>Final_Dataset!X653</f>
        <v>Clear</v>
      </c>
      <c r="F682">
        <f>Final_Dataset!J653</f>
        <v>0.22</v>
      </c>
      <c r="G682">
        <f>Final_Dataset!L653</f>
        <v>0.75</v>
      </c>
      <c r="H682">
        <f>Final_Dataset!M653</f>
        <v>0</v>
      </c>
      <c r="I682">
        <f>Final_Dataset!P653</f>
        <v>59</v>
      </c>
      <c r="J682" s="54">
        <f t="shared" si="46"/>
        <v>59.38095238095238</v>
      </c>
      <c r="K682" s="54">
        <f t="shared" si="47"/>
        <v>20.89573696860419</v>
      </c>
      <c r="L682" s="55">
        <f t="shared" si="48"/>
        <v>-1.8231105297925598E-2</v>
      </c>
      <c r="M682" t="str">
        <f t="shared" si="49"/>
        <v/>
      </c>
    </row>
    <row r="683" spans="1:13" x14ac:dyDescent="0.2">
      <c r="A683">
        <f>Final_Dataset!A654</f>
        <v>653</v>
      </c>
      <c r="B683" s="53">
        <f>Final_Dataset!B654</f>
        <v>40573</v>
      </c>
      <c r="C683">
        <f>Final_Dataset!F654</f>
        <v>12</v>
      </c>
      <c r="D683" t="str">
        <f>Final_Dataset!T654</f>
        <v>Sun</v>
      </c>
      <c r="E683" t="str">
        <f>Final_Dataset!X654</f>
        <v>Clear</v>
      </c>
      <c r="F683">
        <f>Final_Dataset!J654</f>
        <v>0.3</v>
      </c>
      <c r="G683">
        <f>Final_Dataset!L654</f>
        <v>0.52</v>
      </c>
      <c r="H683">
        <f>Final_Dataset!M654</f>
        <v>0.1045</v>
      </c>
      <c r="I683">
        <f>Final_Dataset!P654</f>
        <v>97</v>
      </c>
      <c r="J683" s="54">
        <f t="shared" si="46"/>
        <v>76.348837209302332</v>
      </c>
      <c r="K683" s="54">
        <f t="shared" si="47"/>
        <v>29.034366927857057</v>
      </c>
      <c r="L683" s="55">
        <f t="shared" si="48"/>
        <v>0.71126616406035315</v>
      </c>
      <c r="M683" t="str">
        <f t="shared" si="49"/>
        <v/>
      </c>
    </row>
    <row r="684" spans="1:13" x14ac:dyDescent="0.2">
      <c r="A684">
        <f>Final_Dataset!A655</f>
        <v>654</v>
      </c>
      <c r="B684" s="53">
        <f>Final_Dataset!B655</f>
        <v>40573</v>
      </c>
      <c r="C684">
        <f>Final_Dataset!F655</f>
        <v>13</v>
      </c>
      <c r="D684" t="str">
        <f>Final_Dataset!T655</f>
        <v>Sun</v>
      </c>
      <c r="E684" t="str">
        <f>Final_Dataset!X655</f>
        <v>Clear</v>
      </c>
      <c r="F684">
        <f>Final_Dataset!J655</f>
        <v>0.28000000000000003</v>
      </c>
      <c r="G684">
        <f>Final_Dataset!L655</f>
        <v>0.61</v>
      </c>
      <c r="H684">
        <f>Final_Dataset!M655</f>
        <v>0.1045</v>
      </c>
      <c r="I684">
        <f>Final_Dataset!P655</f>
        <v>84</v>
      </c>
      <c r="J684" s="54">
        <f t="shared" si="46"/>
        <v>78.511627906976742</v>
      </c>
      <c r="K684" s="54">
        <f t="shared" si="47"/>
        <v>30.072430098825173</v>
      </c>
      <c r="L684" s="55">
        <f t="shared" si="48"/>
        <v>0.18250510766795899</v>
      </c>
      <c r="M684" t="str">
        <f t="shared" si="49"/>
        <v/>
      </c>
    </row>
    <row r="685" spans="1:13" x14ac:dyDescent="0.2">
      <c r="A685">
        <f>Final_Dataset!A656</f>
        <v>655</v>
      </c>
      <c r="B685" s="53">
        <f>Final_Dataset!B656</f>
        <v>40573</v>
      </c>
      <c r="C685">
        <f>Final_Dataset!F656</f>
        <v>14</v>
      </c>
      <c r="D685" t="str">
        <f>Final_Dataset!T656</f>
        <v>Sun</v>
      </c>
      <c r="E685" t="str">
        <f>Final_Dataset!X656</f>
        <v>Clear</v>
      </c>
      <c r="F685">
        <f>Final_Dataset!J656</f>
        <v>0.28000000000000003</v>
      </c>
      <c r="G685">
        <f>Final_Dataset!L656</f>
        <v>0.61</v>
      </c>
      <c r="H685">
        <f>Final_Dataset!M656</f>
        <v>8.9599999999999999E-2</v>
      </c>
      <c r="I685">
        <f>Final_Dataset!P656</f>
        <v>122</v>
      </c>
      <c r="J685" s="54">
        <f t="shared" si="46"/>
        <v>74.418604651162795</v>
      </c>
      <c r="K685" s="54">
        <f t="shared" si="47"/>
        <v>30.305769180565147</v>
      </c>
      <c r="L685" s="55">
        <f t="shared" si="48"/>
        <v>1.5700441412769284</v>
      </c>
      <c r="M685" t="str">
        <f t="shared" si="49"/>
        <v/>
      </c>
    </row>
    <row r="686" spans="1:13" x14ac:dyDescent="0.2">
      <c r="A686">
        <f>Final_Dataset!A657</f>
        <v>656</v>
      </c>
      <c r="B686" s="53">
        <f>Final_Dataset!B657</f>
        <v>40573</v>
      </c>
      <c r="C686">
        <f>Final_Dataset!F657</f>
        <v>15</v>
      </c>
      <c r="D686" t="str">
        <f>Final_Dataset!T657</f>
        <v>Sun</v>
      </c>
      <c r="E686" t="str">
        <f>Final_Dataset!X657</f>
        <v>Clear</v>
      </c>
      <c r="F686">
        <f>Final_Dataset!J657</f>
        <v>0.3</v>
      </c>
      <c r="G686">
        <f>Final_Dataset!L657</f>
        <v>0.56000000000000005</v>
      </c>
      <c r="H686">
        <f>Final_Dataset!M657</f>
        <v>0</v>
      </c>
      <c r="I686">
        <f>Final_Dataset!P657</f>
        <v>109</v>
      </c>
      <c r="J686" s="54">
        <f t="shared" si="46"/>
        <v>77.95348837209302</v>
      </c>
      <c r="K686" s="54">
        <f t="shared" si="47"/>
        <v>34.481156681772681</v>
      </c>
      <c r="L686" s="55">
        <f t="shared" si="48"/>
        <v>0.90039066596390283</v>
      </c>
      <c r="M686" t="str">
        <f t="shared" si="49"/>
        <v/>
      </c>
    </row>
    <row r="687" spans="1:13" x14ac:dyDescent="0.2">
      <c r="A687">
        <f>Final_Dataset!A658</f>
        <v>657</v>
      </c>
      <c r="B687" s="53">
        <f>Final_Dataset!B658</f>
        <v>40573</v>
      </c>
      <c r="C687">
        <f>Final_Dataset!F658</f>
        <v>16</v>
      </c>
      <c r="D687" t="str">
        <f>Final_Dataset!T658</f>
        <v>Sun</v>
      </c>
      <c r="E687" t="str">
        <f>Final_Dataset!X658</f>
        <v>Clear</v>
      </c>
      <c r="F687">
        <f>Final_Dataset!J658</f>
        <v>0.3</v>
      </c>
      <c r="G687">
        <f>Final_Dataset!L658</f>
        <v>0.56000000000000005</v>
      </c>
      <c r="H687">
        <f>Final_Dataset!M658</f>
        <v>0</v>
      </c>
      <c r="I687">
        <f>Final_Dataset!P658</f>
        <v>123</v>
      </c>
      <c r="J687" s="54">
        <f t="shared" si="46"/>
        <v>89.272727272727266</v>
      </c>
      <c r="K687" s="54">
        <f t="shared" si="47"/>
        <v>25.461657115880747</v>
      </c>
      <c r="L687" s="55">
        <f t="shared" si="48"/>
        <v>1.3246299160252464</v>
      </c>
      <c r="M687" t="str">
        <f t="shared" si="49"/>
        <v/>
      </c>
    </row>
    <row r="688" spans="1:13" x14ac:dyDescent="0.2">
      <c r="A688">
        <f>Final_Dataset!A659</f>
        <v>658</v>
      </c>
      <c r="B688" s="53">
        <f>Final_Dataset!B659</f>
        <v>40573</v>
      </c>
      <c r="C688">
        <f>Final_Dataset!F659</f>
        <v>17</v>
      </c>
      <c r="D688" t="str">
        <f>Final_Dataset!T659</f>
        <v>Sun</v>
      </c>
      <c r="E688" t="str">
        <f>Final_Dataset!X659</f>
        <v>Clear</v>
      </c>
      <c r="F688">
        <f>Final_Dataset!J659</f>
        <v>0.3</v>
      </c>
      <c r="G688">
        <f>Final_Dataset!L659</f>
        <v>0.56000000000000005</v>
      </c>
      <c r="H688">
        <f>Final_Dataset!M659</f>
        <v>0.19400000000000001</v>
      </c>
      <c r="I688">
        <f>Final_Dataset!P659</f>
        <v>77</v>
      </c>
      <c r="J688" s="54">
        <f t="shared" si="46"/>
        <v>140.20454545454547</v>
      </c>
      <c r="K688" s="54">
        <f t="shared" si="47"/>
        <v>54.067391000084569</v>
      </c>
      <c r="L688" s="55">
        <f t="shared" si="48"/>
        <v>-1.1689956605164582</v>
      </c>
      <c r="M688" t="str">
        <f t="shared" si="49"/>
        <v/>
      </c>
    </row>
    <row r="689" spans="1:13" x14ac:dyDescent="0.2">
      <c r="A689">
        <f>Final_Dataset!A660</f>
        <v>659</v>
      </c>
      <c r="B689" s="53">
        <f>Final_Dataset!B660</f>
        <v>40573</v>
      </c>
      <c r="C689">
        <f>Final_Dataset!F660</f>
        <v>18</v>
      </c>
      <c r="D689" t="str">
        <f>Final_Dataset!T660</f>
        <v>Sun</v>
      </c>
      <c r="E689" t="str">
        <f>Final_Dataset!X660</f>
        <v>Clear</v>
      </c>
      <c r="F689">
        <f>Final_Dataset!J660</f>
        <v>0.26</v>
      </c>
      <c r="G689">
        <f>Final_Dataset!L660</f>
        <v>0.65</v>
      </c>
      <c r="H689">
        <f>Final_Dataset!M660</f>
        <v>0.16420000000000001</v>
      </c>
      <c r="I689">
        <f>Final_Dataset!P660</f>
        <v>65</v>
      </c>
      <c r="J689" s="54">
        <f t="shared" si="46"/>
        <v>122.86046511627907</v>
      </c>
      <c r="K689" s="54">
        <f t="shared" si="47"/>
        <v>48.613432101949947</v>
      </c>
      <c r="L689" s="55">
        <f t="shared" si="48"/>
        <v>-1.1902155970995147</v>
      </c>
      <c r="M689" t="str">
        <f t="shared" si="49"/>
        <v/>
      </c>
    </row>
    <row r="690" spans="1:13" x14ac:dyDescent="0.2">
      <c r="A690">
        <f>Final_Dataset!A661</f>
        <v>660</v>
      </c>
      <c r="B690" s="53">
        <f>Final_Dataset!B661</f>
        <v>40573</v>
      </c>
      <c r="C690">
        <f>Final_Dataset!F661</f>
        <v>19</v>
      </c>
      <c r="D690" t="str">
        <f>Final_Dataset!T661</f>
        <v>Sun</v>
      </c>
      <c r="E690" t="str">
        <f>Final_Dataset!X661</f>
        <v>Clear</v>
      </c>
      <c r="F690">
        <f>Final_Dataset!J661</f>
        <v>0.26</v>
      </c>
      <c r="G690">
        <f>Final_Dataset!L661</f>
        <v>0.65</v>
      </c>
      <c r="H690">
        <f>Final_Dataset!M661</f>
        <v>0.19400000000000001</v>
      </c>
      <c r="I690">
        <f>Final_Dataset!P661</f>
        <v>55</v>
      </c>
      <c r="J690" s="54">
        <f t="shared" si="46"/>
        <v>85.139534883720927</v>
      </c>
      <c r="K690" s="54">
        <f t="shared" si="47"/>
        <v>31.690904054294759</v>
      </c>
      <c r="L690" s="55">
        <f t="shared" si="48"/>
        <v>-0.9510468629132216</v>
      </c>
      <c r="M690" t="str">
        <f t="shared" si="49"/>
        <v/>
      </c>
    </row>
    <row r="691" spans="1:13" x14ac:dyDescent="0.2">
      <c r="A691">
        <f>Final_Dataset!A662</f>
        <v>661</v>
      </c>
      <c r="B691" s="53">
        <f>Final_Dataset!B662</f>
        <v>40573</v>
      </c>
      <c r="C691">
        <f>Final_Dataset!F662</f>
        <v>20</v>
      </c>
      <c r="D691" t="str">
        <f>Final_Dataset!T662</f>
        <v>Sun</v>
      </c>
      <c r="E691" t="str">
        <f>Final_Dataset!X662</f>
        <v>Cloudy/Mist</v>
      </c>
      <c r="F691">
        <f>Final_Dataset!J662</f>
        <v>0.26</v>
      </c>
      <c r="G691">
        <f>Final_Dataset!L662</f>
        <v>0.65</v>
      </c>
      <c r="H691">
        <f>Final_Dataset!M662</f>
        <v>0.1045</v>
      </c>
      <c r="I691">
        <f>Final_Dataset!P662</f>
        <v>33</v>
      </c>
      <c r="J691" s="54">
        <f t="shared" si="46"/>
        <v>61.767441860465119</v>
      </c>
      <c r="K691" s="54">
        <f t="shared" si="47"/>
        <v>24.6323801696856</v>
      </c>
      <c r="L691" s="55">
        <f t="shared" si="48"/>
        <v>-1.1678709756139778</v>
      </c>
      <c r="M691" t="str">
        <f t="shared" si="49"/>
        <v/>
      </c>
    </row>
    <row r="692" spans="1:13" x14ac:dyDescent="0.2">
      <c r="A692">
        <f>Final_Dataset!A663</f>
        <v>662</v>
      </c>
      <c r="B692" s="53">
        <f>Final_Dataset!B663</f>
        <v>40573</v>
      </c>
      <c r="C692">
        <f>Final_Dataset!F663</f>
        <v>21</v>
      </c>
      <c r="D692" t="str">
        <f>Final_Dataset!T663</f>
        <v>Sun</v>
      </c>
      <c r="E692" t="str">
        <f>Final_Dataset!X663</f>
        <v>Cloudy/Mist</v>
      </c>
      <c r="F692">
        <f>Final_Dataset!J663</f>
        <v>0.24</v>
      </c>
      <c r="G692">
        <f>Final_Dataset!L663</f>
        <v>0.7</v>
      </c>
      <c r="H692">
        <f>Final_Dataset!M663</f>
        <v>0.16420000000000001</v>
      </c>
      <c r="I692">
        <f>Final_Dataset!P663</f>
        <v>28</v>
      </c>
      <c r="J692" s="54">
        <f t="shared" si="46"/>
        <v>46.418604651162788</v>
      </c>
      <c r="K692" s="54">
        <f t="shared" si="47"/>
        <v>14.656759464719499</v>
      </c>
      <c r="L692" s="55">
        <f t="shared" si="48"/>
        <v>-1.2566628179645358</v>
      </c>
      <c r="M692" t="str">
        <f t="shared" si="49"/>
        <v/>
      </c>
    </row>
    <row r="693" spans="1:13" x14ac:dyDescent="0.2">
      <c r="A693">
        <f>Final_Dataset!A664</f>
        <v>663</v>
      </c>
      <c r="B693" s="53">
        <f>Final_Dataset!B664</f>
        <v>40573</v>
      </c>
      <c r="C693">
        <f>Final_Dataset!F664</f>
        <v>22</v>
      </c>
      <c r="D693" t="str">
        <f>Final_Dataset!T664</f>
        <v>Sun</v>
      </c>
      <c r="E693" t="str">
        <f>Final_Dataset!X664</f>
        <v>Cloudy/Mist</v>
      </c>
      <c r="F693">
        <f>Final_Dataset!J664</f>
        <v>0.24</v>
      </c>
      <c r="G693">
        <f>Final_Dataset!L664</f>
        <v>0.7</v>
      </c>
      <c r="H693">
        <f>Final_Dataset!M664</f>
        <v>0.19400000000000001</v>
      </c>
      <c r="I693">
        <f>Final_Dataset!P664</f>
        <v>21</v>
      </c>
      <c r="J693" s="54">
        <f t="shared" si="46"/>
        <v>35.069767441860463</v>
      </c>
      <c r="K693" s="54">
        <f t="shared" si="47"/>
        <v>11.95506537162667</v>
      </c>
      <c r="L693" s="55">
        <f t="shared" si="48"/>
        <v>-1.1768875371650147</v>
      </c>
      <c r="M693" t="str">
        <f t="shared" si="49"/>
        <v/>
      </c>
    </row>
    <row r="694" spans="1:13" x14ac:dyDescent="0.2">
      <c r="A694">
        <f>Final_Dataset!A665</f>
        <v>664</v>
      </c>
      <c r="B694" s="53">
        <f>Final_Dataset!B665</f>
        <v>40573</v>
      </c>
      <c r="C694">
        <f>Final_Dataset!F665</f>
        <v>23</v>
      </c>
      <c r="D694" t="str">
        <f>Final_Dataset!T665</f>
        <v>Sun</v>
      </c>
      <c r="E694" t="str">
        <f>Final_Dataset!X665</f>
        <v>Cloudy/Mist</v>
      </c>
      <c r="F694">
        <f>Final_Dataset!J665</f>
        <v>0.24</v>
      </c>
      <c r="G694">
        <f>Final_Dataset!L665</f>
        <v>0.65</v>
      </c>
      <c r="H694">
        <f>Final_Dataset!M665</f>
        <v>0.28360000000000002</v>
      </c>
      <c r="I694">
        <f>Final_Dataset!P665</f>
        <v>21</v>
      </c>
      <c r="J694" s="54">
        <f t="shared" si="46"/>
        <v>25.186046511627907</v>
      </c>
      <c r="K694" s="54">
        <f t="shared" si="47"/>
        <v>11.751911321656186</v>
      </c>
      <c r="L694" s="55">
        <f t="shared" si="48"/>
        <v>-0.35620133585538083</v>
      </c>
      <c r="M694" t="str">
        <f t="shared" si="49"/>
        <v/>
      </c>
    </row>
    <row r="695" spans="1:13" x14ac:dyDescent="0.2">
      <c r="A695">
        <f>Final_Dataset!A666</f>
        <v>665</v>
      </c>
      <c r="B695" s="53">
        <f>Final_Dataset!B666</f>
        <v>40574</v>
      </c>
      <c r="C695">
        <f>Final_Dataset!F666</f>
        <v>0</v>
      </c>
      <c r="D695" t="str">
        <f>Final_Dataset!T666</f>
        <v>Mon</v>
      </c>
      <c r="E695" t="str">
        <f>Final_Dataset!X666</f>
        <v>Cloudy/Mist</v>
      </c>
      <c r="F695">
        <f>Final_Dataset!J666</f>
        <v>0.24</v>
      </c>
      <c r="G695">
        <f>Final_Dataset!L666</f>
        <v>0.65</v>
      </c>
      <c r="H695">
        <f>Final_Dataset!M666</f>
        <v>0.22389999999999999</v>
      </c>
      <c r="I695">
        <f>Final_Dataset!P666</f>
        <v>7</v>
      </c>
      <c r="J695" s="54">
        <f t="shared" si="46"/>
        <v>16.348837209302324</v>
      </c>
      <c r="K695" s="54">
        <f t="shared" si="47"/>
        <v>10.442321674276208</v>
      </c>
      <c r="L695" s="55">
        <f t="shared" si="48"/>
        <v>-0.89528339586898653</v>
      </c>
      <c r="M695" t="str">
        <f t="shared" si="49"/>
        <v/>
      </c>
    </row>
    <row r="696" spans="1:13" x14ac:dyDescent="0.2">
      <c r="A696">
        <f>Final_Dataset!A667</f>
        <v>666</v>
      </c>
      <c r="B696" s="53">
        <f>Final_Dataset!B667</f>
        <v>40574</v>
      </c>
      <c r="C696">
        <f>Final_Dataset!F667</f>
        <v>1</v>
      </c>
      <c r="D696" t="str">
        <f>Final_Dataset!T667</f>
        <v>Mon</v>
      </c>
      <c r="E696" t="str">
        <f>Final_Dataset!X667</f>
        <v>Clear</v>
      </c>
      <c r="F696">
        <f>Final_Dataset!J667</f>
        <v>0.22</v>
      </c>
      <c r="G696">
        <f>Final_Dataset!L667</f>
        <v>0.64</v>
      </c>
      <c r="H696">
        <f>Final_Dataset!M667</f>
        <v>0.25369999999999998</v>
      </c>
      <c r="I696">
        <f>Final_Dataset!P667</f>
        <v>7</v>
      </c>
      <c r="J696" s="54">
        <f t="shared" si="46"/>
        <v>10.697674418604651</v>
      </c>
      <c r="K696" s="54">
        <f t="shared" si="47"/>
        <v>10.060613641515801</v>
      </c>
      <c r="L696" s="55">
        <f t="shared" si="48"/>
        <v>-0.36753965020045576</v>
      </c>
      <c r="M696" t="str">
        <f t="shared" si="49"/>
        <v/>
      </c>
    </row>
    <row r="697" spans="1:13" x14ac:dyDescent="0.2">
      <c r="A697">
        <f>Final_Dataset!A668</f>
        <v>667</v>
      </c>
      <c r="B697" s="53">
        <f>Final_Dataset!B668</f>
        <v>40574</v>
      </c>
      <c r="C697">
        <f>Final_Dataset!F668</f>
        <v>2</v>
      </c>
      <c r="D697" t="str">
        <f>Final_Dataset!T668</f>
        <v>Mon</v>
      </c>
      <c r="E697" t="str">
        <f>Final_Dataset!X668</f>
        <v>Clear</v>
      </c>
      <c r="F697">
        <f>Final_Dataset!J668</f>
        <v>0.22</v>
      </c>
      <c r="G697">
        <f>Final_Dataset!L668</f>
        <v>0.64</v>
      </c>
      <c r="H697">
        <f>Final_Dataset!M668</f>
        <v>0.19400000000000001</v>
      </c>
      <c r="I697">
        <f>Final_Dataset!P668</f>
        <v>1</v>
      </c>
      <c r="J697" s="54">
        <f t="shared" si="46"/>
        <v>7.1707317073170733</v>
      </c>
      <c r="K697" s="54">
        <f t="shared" si="47"/>
        <v>7.3685223723090862</v>
      </c>
      <c r="L697" s="55">
        <f t="shared" si="48"/>
        <v>-0.83744493068334691</v>
      </c>
      <c r="M697" t="str">
        <f t="shared" si="49"/>
        <v/>
      </c>
    </row>
    <row r="698" spans="1:13" x14ac:dyDescent="0.2">
      <c r="A698">
        <f>Final_Dataset!A669</f>
        <v>668</v>
      </c>
      <c r="B698" s="53">
        <f>Final_Dataset!B669</f>
        <v>40574</v>
      </c>
      <c r="C698">
        <f>Final_Dataset!F669</f>
        <v>3</v>
      </c>
      <c r="D698" t="str">
        <f>Final_Dataset!T669</f>
        <v>Mon</v>
      </c>
      <c r="E698" t="str">
        <f>Final_Dataset!X669</f>
        <v>Clear</v>
      </c>
      <c r="F698">
        <f>Final_Dataset!J669</f>
        <v>0.22</v>
      </c>
      <c r="G698">
        <f>Final_Dataset!L669</f>
        <v>0.64</v>
      </c>
      <c r="H698">
        <f>Final_Dataset!M669</f>
        <v>0.19400000000000001</v>
      </c>
      <c r="I698">
        <f>Final_Dataset!P669</f>
        <v>2</v>
      </c>
      <c r="J698" s="54">
        <f t="shared" si="46"/>
        <v>4.870967741935484</v>
      </c>
      <c r="K698" s="54">
        <f t="shared" si="47"/>
        <v>4.4702120418303126</v>
      </c>
      <c r="L698" s="55">
        <f t="shared" si="48"/>
        <v>-0.64224419671152255</v>
      </c>
      <c r="M698" t="str">
        <f t="shared" si="49"/>
        <v/>
      </c>
    </row>
    <row r="699" spans="1:13" x14ac:dyDescent="0.2">
      <c r="A699">
        <f>Final_Dataset!A670</f>
        <v>669</v>
      </c>
      <c r="B699" s="53">
        <f>Final_Dataset!B670</f>
        <v>40574</v>
      </c>
      <c r="C699">
        <f>Final_Dataset!F670</f>
        <v>4</v>
      </c>
      <c r="D699" t="str">
        <f>Final_Dataset!T670</f>
        <v>Mon</v>
      </c>
      <c r="E699" t="str">
        <f>Final_Dataset!X670</f>
        <v>Clear</v>
      </c>
      <c r="F699">
        <f>Final_Dataset!J670</f>
        <v>0.2</v>
      </c>
      <c r="G699">
        <f>Final_Dataset!L670</f>
        <v>0.59</v>
      </c>
      <c r="H699">
        <f>Final_Dataset!M670</f>
        <v>0.22389999999999999</v>
      </c>
      <c r="I699">
        <f>Final_Dataset!P670</f>
        <v>2</v>
      </c>
      <c r="J699" s="54">
        <f t="shared" si="46"/>
        <v>2.15625</v>
      </c>
      <c r="K699" s="54">
        <f t="shared" si="47"/>
        <v>1.5263148747143209</v>
      </c>
      <c r="L699" s="55">
        <f t="shared" si="48"/>
        <v>-0.102370751008533</v>
      </c>
      <c r="M699" t="str">
        <f t="shared" si="49"/>
        <v/>
      </c>
    </row>
    <row r="700" spans="1:13" x14ac:dyDescent="0.2">
      <c r="A700">
        <f>Final_Dataset!A671</f>
        <v>670</v>
      </c>
      <c r="B700" s="53">
        <f>Final_Dataset!B671</f>
        <v>40574</v>
      </c>
      <c r="C700">
        <f>Final_Dataset!F671</f>
        <v>5</v>
      </c>
      <c r="D700" t="str">
        <f>Final_Dataset!T671</f>
        <v>Mon</v>
      </c>
      <c r="E700" t="str">
        <f>Final_Dataset!X671</f>
        <v>Clear</v>
      </c>
      <c r="F700">
        <f>Final_Dataset!J671</f>
        <v>0.18</v>
      </c>
      <c r="G700">
        <f>Final_Dataset!L671</f>
        <v>0.64</v>
      </c>
      <c r="H700">
        <f>Final_Dataset!M671</f>
        <v>0.28360000000000002</v>
      </c>
      <c r="I700">
        <f>Final_Dataset!P671</f>
        <v>8</v>
      </c>
      <c r="J700" s="54">
        <f t="shared" si="46"/>
        <v>4.2051282051282053</v>
      </c>
      <c r="K700" s="54">
        <f t="shared" si="47"/>
        <v>2.5358429220352288</v>
      </c>
      <c r="L700" s="55">
        <f t="shared" si="48"/>
        <v>1.4964932417131298</v>
      </c>
      <c r="M700" t="str">
        <f t="shared" si="49"/>
        <v/>
      </c>
    </row>
    <row r="701" spans="1:13" x14ac:dyDescent="0.2">
      <c r="A701">
        <f>Final_Dataset!A672</f>
        <v>671</v>
      </c>
      <c r="B701" s="53">
        <f>Final_Dataset!B672</f>
        <v>40574</v>
      </c>
      <c r="C701">
        <f>Final_Dataset!F672</f>
        <v>6</v>
      </c>
      <c r="D701" t="str">
        <f>Final_Dataset!T672</f>
        <v>Mon</v>
      </c>
      <c r="E701" t="str">
        <f>Final_Dataset!X672</f>
        <v>Clear</v>
      </c>
      <c r="F701">
        <f>Final_Dataset!J672</f>
        <v>0.16</v>
      </c>
      <c r="G701">
        <f>Final_Dataset!L672</f>
        <v>0.69</v>
      </c>
      <c r="H701">
        <f>Final_Dataset!M672</f>
        <v>0.32840000000000003</v>
      </c>
      <c r="I701">
        <f>Final_Dataset!P672</f>
        <v>37</v>
      </c>
      <c r="J701" s="54">
        <f t="shared" si="46"/>
        <v>19.571428571428573</v>
      </c>
      <c r="K701" s="54">
        <f t="shared" si="47"/>
        <v>14.202615453298934</v>
      </c>
      <c r="L701" s="55">
        <f t="shared" si="48"/>
        <v>1.2271381623955171</v>
      </c>
      <c r="M701" t="str">
        <f t="shared" si="49"/>
        <v/>
      </c>
    </row>
    <row r="702" spans="1:13" x14ac:dyDescent="0.2">
      <c r="A702">
        <f>Final_Dataset!A673</f>
        <v>672</v>
      </c>
      <c r="B702" s="53">
        <f>Final_Dataset!B673</f>
        <v>40574</v>
      </c>
      <c r="C702">
        <f>Final_Dataset!F673</f>
        <v>7</v>
      </c>
      <c r="D702" t="str">
        <f>Final_Dataset!T673</f>
        <v>Mon</v>
      </c>
      <c r="E702" t="str">
        <f>Final_Dataset!X673</f>
        <v>Cloudy/Mist</v>
      </c>
      <c r="F702">
        <f>Final_Dataset!J673</f>
        <v>0.16</v>
      </c>
      <c r="G702">
        <f>Final_Dataset!L673</f>
        <v>0.64</v>
      </c>
      <c r="H702">
        <f>Final_Dataset!M673</f>
        <v>0.28360000000000002</v>
      </c>
      <c r="I702">
        <f>Final_Dataset!P673</f>
        <v>72</v>
      </c>
      <c r="J702" s="54">
        <f t="shared" si="46"/>
        <v>54.395348837209305</v>
      </c>
      <c r="K702" s="54">
        <f t="shared" si="47"/>
        <v>39.112864486352777</v>
      </c>
      <c r="L702" s="55">
        <f t="shared" si="48"/>
        <v>0.45009874357152474</v>
      </c>
      <c r="M702" t="str">
        <f t="shared" si="49"/>
        <v/>
      </c>
    </row>
    <row r="703" spans="1:13" x14ac:dyDescent="0.2">
      <c r="A703">
        <f>Final_Dataset!A674</f>
        <v>673</v>
      </c>
      <c r="B703" s="53">
        <f>Final_Dataset!B674</f>
        <v>40574</v>
      </c>
      <c r="C703">
        <f>Final_Dataset!F674</f>
        <v>8</v>
      </c>
      <c r="D703" t="str">
        <f>Final_Dataset!T674</f>
        <v>Mon</v>
      </c>
      <c r="E703" t="str">
        <f>Final_Dataset!X674</f>
        <v>Cloudy/Mist</v>
      </c>
      <c r="F703">
        <f>Final_Dataset!J674</f>
        <v>0.16</v>
      </c>
      <c r="G703">
        <f>Final_Dataset!L674</f>
        <v>0.59</v>
      </c>
      <c r="H703">
        <f>Final_Dataset!M674</f>
        <v>0.28360000000000002</v>
      </c>
      <c r="I703">
        <f>Final_Dataset!P674</f>
        <v>185</v>
      </c>
      <c r="J703" s="54">
        <f t="shared" si="46"/>
        <v>128.28571428571428</v>
      </c>
      <c r="K703" s="54">
        <f t="shared" si="47"/>
        <v>88.551565717048533</v>
      </c>
      <c r="L703" s="55">
        <f t="shared" si="48"/>
        <v>0.64046621033790163</v>
      </c>
      <c r="M703" t="str">
        <f t="shared" si="49"/>
        <v/>
      </c>
    </row>
    <row r="704" spans="1:13" x14ac:dyDescent="0.2">
      <c r="A704">
        <f>Final_Dataset!A675</f>
        <v>674</v>
      </c>
      <c r="B704" s="53">
        <f>Final_Dataset!B675</f>
        <v>40574</v>
      </c>
      <c r="C704">
        <f>Final_Dataset!F675</f>
        <v>9</v>
      </c>
      <c r="D704" t="str">
        <f>Final_Dataset!T675</f>
        <v>Mon</v>
      </c>
      <c r="E704" t="str">
        <f>Final_Dataset!X675</f>
        <v>Cloudy/Mist</v>
      </c>
      <c r="F704">
        <f>Final_Dataset!J675</f>
        <v>0.16</v>
      </c>
      <c r="G704">
        <f>Final_Dataset!L675</f>
        <v>0.59</v>
      </c>
      <c r="H704">
        <f>Final_Dataset!M675</f>
        <v>0.29849999999999999</v>
      </c>
      <c r="I704">
        <f>Final_Dataset!P675</f>
        <v>112</v>
      </c>
      <c r="J704" s="54">
        <f t="shared" si="46"/>
        <v>87.428571428571431</v>
      </c>
      <c r="K704" s="54">
        <f t="shared" si="47"/>
        <v>45.93852884078624</v>
      </c>
      <c r="L704" s="55">
        <f t="shared" si="48"/>
        <v>0.53487626163624502</v>
      </c>
      <c r="M704" t="str">
        <f t="shared" si="49"/>
        <v/>
      </c>
    </row>
    <row r="705" spans="1:13" x14ac:dyDescent="0.2">
      <c r="A705">
        <f>Final_Dataset!A676</f>
        <v>675</v>
      </c>
      <c r="B705" s="53">
        <f>Final_Dataset!B676</f>
        <v>40574</v>
      </c>
      <c r="C705">
        <f>Final_Dataset!F676</f>
        <v>10</v>
      </c>
      <c r="D705" t="str">
        <f>Final_Dataset!T676</f>
        <v>Mon</v>
      </c>
      <c r="E705" t="str">
        <f>Final_Dataset!X676</f>
        <v>Cloudy/Mist</v>
      </c>
      <c r="F705">
        <f>Final_Dataset!J676</f>
        <v>0.16</v>
      </c>
      <c r="G705">
        <f>Final_Dataset!L676</f>
        <v>0.59</v>
      </c>
      <c r="H705">
        <f>Final_Dataset!M676</f>
        <v>0.19400000000000001</v>
      </c>
      <c r="I705">
        <f>Final_Dataset!P676</f>
        <v>69</v>
      </c>
      <c r="J705" s="54">
        <f t="shared" si="46"/>
        <v>53.642857142857146</v>
      </c>
      <c r="K705" s="54">
        <f t="shared" si="47"/>
        <v>15.395313554536934</v>
      </c>
      <c r="L705" s="55">
        <f t="shared" si="48"/>
        <v>0.99752062877713654</v>
      </c>
      <c r="M705" t="str">
        <f t="shared" si="49"/>
        <v/>
      </c>
    </row>
    <row r="706" spans="1:13" x14ac:dyDescent="0.2">
      <c r="A706">
        <f>Final_Dataset!A677</f>
        <v>676</v>
      </c>
      <c r="B706" s="53">
        <f>Final_Dataset!B677</f>
        <v>40574</v>
      </c>
      <c r="C706">
        <f>Final_Dataset!F677</f>
        <v>11</v>
      </c>
      <c r="D706" t="str">
        <f>Final_Dataset!T677</f>
        <v>Mon</v>
      </c>
      <c r="E706" t="str">
        <f>Final_Dataset!X677</f>
        <v>Cloudy/Mist</v>
      </c>
      <c r="F706">
        <f>Final_Dataset!J677</f>
        <v>0.16</v>
      </c>
      <c r="G706">
        <f>Final_Dataset!L677</f>
        <v>0.59</v>
      </c>
      <c r="H706">
        <f>Final_Dataset!M677</f>
        <v>0.19400000000000001</v>
      </c>
      <c r="I706">
        <f>Final_Dataset!P677</f>
        <v>48</v>
      </c>
      <c r="J706" s="54">
        <f t="shared" si="46"/>
        <v>59.38095238095238</v>
      </c>
      <c r="K706" s="54">
        <f t="shared" si="47"/>
        <v>20.89573696860419</v>
      </c>
      <c r="L706" s="55">
        <f t="shared" si="48"/>
        <v>-0.54465427077552908</v>
      </c>
      <c r="M706" t="str">
        <f t="shared" si="49"/>
        <v/>
      </c>
    </row>
    <row r="707" spans="1:13" x14ac:dyDescent="0.2">
      <c r="A707">
        <f>Final_Dataset!A678</f>
        <v>677</v>
      </c>
      <c r="B707" s="53">
        <f>Final_Dataset!B678</f>
        <v>40574</v>
      </c>
      <c r="C707">
        <f>Final_Dataset!F678</f>
        <v>12</v>
      </c>
      <c r="D707" t="str">
        <f>Final_Dataset!T678</f>
        <v>Mon</v>
      </c>
      <c r="E707" t="str">
        <f>Final_Dataset!X678</f>
        <v>Cloudy/Mist</v>
      </c>
      <c r="F707">
        <f>Final_Dataset!J678</f>
        <v>0.18</v>
      </c>
      <c r="G707">
        <f>Final_Dataset!L678</f>
        <v>0.55000000000000004</v>
      </c>
      <c r="H707">
        <f>Final_Dataset!M678</f>
        <v>0.1045</v>
      </c>
      <c r="I707">
        <f>Final_Dataset!P678</f>
        <v>68</v>
      </c>
      <c r="J707" s="54">
        <f t="shared" si="46"/>
        <v>76.348837209302332</v>
      </c>
      <c r="K707" s="54">
        <f t="shared" si="47"/>
        <v>29.034366927857057</v>
      </c>
      <c r="L707" s="55">
        <f t="shared" si="48"/>
        <v>-0.28755017218205747</v>
      </c>
      <c r="M707" t="str">
        <f t="shared" si="49"/>
        <v/>
      </c>
    </row>
    <row r="708" spans="1:13" x14ac:dyDescent="0.2">
      <c r="A708">
        <f>Final_Dataset!A679</f>
        <v>678</v>
      </c>
      <c r="B708" s="53">
        <f>Final_Dataset!B679</f>
        <v>40574</v>
      </c>
      <c r="C708">
        <f>Final_Dataset!F679</f>
        <v>13</v>
      </c>
      <c r="D708" t="str">
        <f>Final_Dataset!T679</f>
        <v>Mon</v>
      </c>
      <c r="E708" t="str">
        <f>Final_Dataset!X679</f>
        <v>Cloudy/Mist</v>
      </c>
      <c r="F708">
        <f>Final_Dataset!J679</f>
        <v>0.16</v>
      </c>
      <c r="G708">
        <f>Final_Dataset!L679</f>
        <v>0.59</v>
      </c>
      <c r="H708">
        <f>Final_Dataset!M679</f>
        <v>0</v>
      </c>
      <c r="I708">
        <f>Final_Dataset!P679</f>
        <v>54</v>
      </c>
      <c r="J708" s="54">
        <f t="shared" si="46"/>
        <v>78.511627906976742</v>
      </c>
      <c r="K708" s="54">
        <f t="shared" si="47"/>
        <v>30.072430098825173</v>
      </c>
      <c r="L708" s="55">
        <f t="shared" si="48"/>
        <v>-0.81508637068656209</v>
      </c>
      <c r="M708" t="str">
        <f t="shared" si="49"/>
        <v/>
      </c>
    </row>
    <row r="709" spans="1:13" x14ac:dyDescent="0.2">
      <c r="A709">
        <f>Final_Dataset!A680</f>
        <v>679</v>
      </c>
      <c r="B709" s="53">
        <f>Final_Dataset!B680</f>
        <v>40574</v>
      </c>
      <c r="C709">
        <f>Final_Dataset!F680</f>
        <v>14</v>
      </c>
      <c r="D709" t="str">
        <f>Final_Dataset!T680</f>
        <v>Mon</v>
      </c>
      <c r="E709" t="str">
        <f>Final_Dataset!X680</f>
        <v>Cloudy/Mist</v>
      </c>
      <c r="F709">
        <f>Final_Dataset!J680</f>
        <v>0.18</v>
      </c>
      <c r="G709">
        <f>Final_Dataset!L680</f>
        <v>0.55000000000000004</v>
      </c>
      <c r="H709">
        <f>Final_Dataset!M680</f>
        <v>0.1343</v>
      </c>
      <c r="I709">
        <f>Final_Dataset!P680</f>
        <v>86</v>
      </c>
      <c r="J709" s="54">
        <f t="shared" si="46"/>
        <v>74.418604651162795</v>
      </c>
      <c r="K709" s="54">
        <f t="shared" si="47"/>
        <v>30.305769180565147</v>
      </c>
      <c r="L709" s="55">
        <f t="shared" si="48"/>
        <v>0.38215150652781527</v>
      </c>
      <c r="M709" t="str">
        <f t="shared" si="49"/>
        <v/>
      </c>
    </row>
    <row r="710" spans="1:13" x14ac:dyDescent="0.2">
      <c r="A710">
        <f>Final_Dataset!A681</f>
        <v>680</v>
      </c>
      <c r="B710" s="53">
        <f>Final_Dataset!B681</f>
        <v>40574</v>
      </c>
      <c r="C710">
        <f>Final_Dataset!F681</f>
        <v>15</v>
      </c>
      <c r="D710" t="str">
        <f>Final_Dataset!T681</f>
        <v>Mon</v>
      </c>
      <c r="E710" t="str">
        <f>Final_Dataset!X681</f>
        <v>Cloudy/Mist</v>
      </c>
      <c r="F710">
        <f>Final_Dataset!J681</f>
        <v>0.16</v>
      </c>
      <c r="G710">
        <f>Final_Dataset!L681</f>
        <v>0.59</v>
      </c>
      <c r="H710">
        <f>Final_Dataset!M681</f>
        <v>0.1343</v>
      </c>
      <c r="I710">
        <f>Final_Dataset!P681</f>
        <v>44</v>
      </c>
      <c r="J710" s="54">
        <f t="shared" si="46"/>
        <v>77.95348837209302</v>
      </c>
      <c r="K710" s="54">
        <f t="shared" si="47"/>
        <v>34.481156681772681</v>
      </c>
      <c r="L710" s="55">
        <f t="shared" si="48"/>
        <v>-0.98469690809535415</v>
      </c>
      <c r="M710" t="str">
        <f t="shared" si="49"/>
        <v/>
      </c>
    </row>
    <row r="711" spans="1:13" x14ac:dyDescent="0.2">
      <c r="A711">
        <f>Final_Dataset!A682</f>
        <v>681</v>
      </c>
      <c r="B711" s="53">
        <f>Final_Dataset!B682</f>
        <v>40574</v>
      </c>
      <c r="C711">
        <f>Final_Dataset!F682</f>
        <v>16</v>
      </c>
      <c r="D711" t="str">
        <f>Final_Dataset!T682</f>
        <v>Mon</v>
      </c>
      <c r="E711" t="str">
        <f>Final_Dataset!X682</f>
        <v>Cloudy/Mist</v>
      </c>
      <c r="F711">
        <f>Final_Dataset!J682</f>
        <v>0.16</v>
      </c>
      <c r="G711">
        <f>Final_Dataset!L682</f>
        <v>0.56000000000000005</v>
      </c>
      <c r="H711">
        <f>Final_Dataset!M682</f>
        <v>0.19400000000000001</v>
      </c>
      <c r="I711">
        <f>Final_Dataset!P682</f>
        <v>86</v>
      </c>
      <c r="J711" s="54">
        <f t="shared" si="46"/>
        <v>89.272727272727266</v>
      </c>
      <c r="K711" s="54">
        <f t="shared" si="47"/>
        <v>25.461657115880747</v>
      </c>
      <c r="L711" s="55">
        <f t="shared" si="48"/>
        <v>-0.12853551745797512</v>
      </c>
      <c r="M711" t="str">
        <f t="shared" si="49"/>
        <v/>
      </c>
    </row>
    <row r="712" spans="1:13" x14ac:dyDescent="0.2">
      <c r="A712">
        <f>Final_Dataset!A683</f>
        <v>682</v>
      </c>
      <c r="B712" s="53">
        <f>Final_Dataset!B683</f>
        <v>40574</v>
      </c>
      <c r="C712">
        <f>Final_Dataset!F683</f>
        <v>17</v>
      </c>
      <c r="D712" t="str">
        <f>Final_Dataset!T683</f>
        <v>Mon</v>
      </c>
      <c r="E712" t="str">
        <f>Final_Dataset!X683</f>
        <v>Cloudy/Mist</v>
      </c>
      <c r="F712">
        <f>Final_Dataset!J683</f>
        <v>0.16</v>
      </c>
      <c r="G712">
        <f>Final_Dataset!L683</f>
        <v>0.59</v>
      </c>
      <c r="H712">
        <f>Final_Dataset!M683</f>
        <v>0.19400000000000001</v>
      </c>
      <c r="I712">
        <f>Final_Dataset!P683</f>
        <v>161</v>
      </c>
      <c r="J712" s="54">
        <f t="shared" si="46"/>
        <v>140.20454545454547</v>
      </c>
      <c r="K712" s="54">
        <f t="shared" si="47"/>
        <v>54.067391000084569</v>
      </c>
      <c r="L712" s="55">
        <f t="shared" si="48"/>
        <v>0.38462101020228634</v>
      </c>
      <c r="M712" t="str">
        <f t="shared" si="49"/>
        <v/>
      </c>
    </row>
    <row r="713" spans="1:13" x14ac:dyDescent="0.2">
      <c r="A713">
        <f>Final_Dataset!A684</f>
        <v>683</v>
      </c>
      <c r="B713" s="53">
        <f>Final_Dataset!B684</f>
        <v>40574</v>
      </c>
      <c r="C713">
        <f>Final_Dataset!F684</f>
        <v>18</v>
      </c>
      <c r="D713" t="str">
        <f>Final_Dataset!T684</f>
        <v>Mon</v>
      </c>
      <c r="E713" t="str">
        <f>Final_Dataset!X684</f>
        <v>Cloudy/Mist</v>
      </c>
      <c r="F713">
        <f>Final_Dataset!J684</f>
        <v>0.16</v>
      </c>
      <c r="G713">
        <f>Final_Dataset!L684</f>
        <v>0.55000000000000004</v>
      </c>
      <c r="H713">
        <f>Final_Dataset!M684</f>
        <v>0.22389999999999999</v>
      </c>
      <c r="I713">
        <f>Final_Dataset!P684</f>
        <v>156</v>
      </c>
      <c r="J713" s="54">
        <f t="shared" si="46"/>
        <v>122.86046511627907</v>
      </c>
      <c r="K713" s="54">
        <f t="shared" si="47"/>
        <v>48.613432101949947</v>
      </c>
      <c r="L713" s="55">
        <f t="shared" si="48"/>
        <v>0.68169502647379754</v>
      </c>
      <c r="M713" t="str">
        <f t="shared" si="49"/>
        <v/>
      </c>
    </row>
    <row r="714" spans="1:13" x14ac:dyDescent="0.2">
      <c r="A714">
        <f>Final_Dataset!A685</f>
        <v>684</v>
      </c>
      <c r="B714" s="53">
        <f>Final_Dataset!B685</f>
        <v>40574</v>
      </c>
      <c r="C714">
        <f>Final_Dataset!F685</f>
        <v>19</v>
      </c>
      <c r="D714" t="str">
        <f>Final_Dataset!T685</f>
        <v>Mon</v>
      </c>
      <c r="E714" t="str">
        <f>Final_Dataset!X685</f>
        <v>Clear</v>
      </c>
      <c r="F714">
        <f>Final_Dataset!J685</f>
        <v>0.3</v>
      </c>
      <c r="G714">
        <f>Final_Dataset!L685</f>
        <v>0.61</v>
      </c>
      <c r="H714">
        <f>Final_Dataset!M685</f>
        <v>0.1045</v>
      </c>
      <c r="I714">
        <f>Final_Dataset!P685</f>
        <v>111</v>
      </c>
      <c r="J714" s="54">
        <f t="shared" si="46"/>
        <v>85.139534883720927</v>
      </c>
      <c r="K714" s="54">
        <f t="shared" si="47"/>
        <v>31.690904054294759</v>
      </c>
      <c r="L714" s="55">
        <f t="shared" si="48"/>
        <v>0.81602169101813482</v>
      </c>
      <c r="M714" t="str">
        <f t="shared" si="49"/>
        <v/>
      </c>
    </row>
    <row r="715" spans="1:13" x14ac:dyDescent="0.2">
      <c r="A715">
        <f>Final_Dataset!A686</f>
        <v>685</v>
      </c>
      <c r="B715" s="53">
        <f>Final_Dataset!B686</f>
        <v>40574</v>
      </c>
      <c r="C715">
        <f>Final_Dataset!F686</f>
        <v>20</v>
      </c>
      <c r="D715" t="str">
        <f>Final_Dataset!T686</f>
        <v>Mon</v>
      </c>
      <c r="E715" t="str">
        <f>Final_Dataset!X686</f>
        <v>Light Rain/Snow</v>
      </c>
      <c r="F715">
        <f>Final_Dataset!J686</f>
        <v>0.16</v>
      </c>
      <c r="G715">
        <f>Final_Dataset!L686</f>
        <v>0.59</v>
      </c>
      <c r="H715">
        <f>Final_Dataset!M686</f>
        <v>0.16420000000000001</v>
      </c>
      <c r="I715">
        <f>Final_Dataset!P686</f>
        <v>78</v>
      </c>
      <c r="J715" s="54">
        <f t="shared" si="46"/>
        <v>61.767441860465119</v>
      </c>
      <c r="K715" s="54">
        <f t="shared" si="47"/>
        <v>24.6323801696856</v>
      </c>
      <c r="L715" s="55">
        <f t="shared" si="48"/>
        <v>0.65899267661968974</v>
      </c>
      <c r="M715" t="str">
        <f t="shared" si="49"/>
        <v/>
      </c>
    </row>
    <row r="716" spans="1:13" x14ac:dyDescent="0.2">
      <c r="A716">
        <f>Final_Dataset!A687</f>
        <v>686</v>
      </c>
      <c r="B716" s="53">
        <f>Final_Dataset!B687</f>
        <v>40574</v>
      </c>
      <c r="C716">
        <f>Final_Dataset!F687</f>
        <v>21</v>
      </c>
      <c r="D716" t="str">
        <f>Final_Dataset!T687</f>
        <v>Mon</v>
      </c>
      <c r="E716" t="str">
        <f>Final_Dataset!X687</f>
        <v>Light Rain/Snow</v>
      </c>
      <c r="F716">
        <f>Final_Dataset!J687</f>
        <v>0.16</v>
      </c>
      <c r="G716">
        <f>Final_Dataset!L687</f>
        <v>0.59</v>
      </c>
      <c r="H716">
        <f>Final_Dataset!M687</f>
        <v>8.9599999999999999E-2</v>
      </c>
      <c r="I716">
        <f>Final_Dataset!P687</f>
        <v>56</v>
      </c>
      <c r="J716" s="54">
        <f t="shared" si="46"/>
        <v>46.418604651162788</v>
      </c>
      <c r="K716" s="54">
        <f t="shared" si="47"/>
        <v>14.656759464719499</v>
      </c>
      <c r="L716" s="55">
        <f t="shared" si="48"/>
        <v>0.65371853661791535</v>
      </c>
      <c r="M716" t="str">
        <f t="shared" si="49"/>
        <v/>
      </c>
    </row>
    <row r="717" spans="1:13" x14ac:dyDescent="0.2">
      <c r="A717">
        <f>Final_Dataset!A688</f>
        <v>687</v>
      </c>
      <c r="B717" s="53">
        <f>Final_Dataset!B688</f>
        <v>40574</v>
      </c>
      <c r="C717">
        <f>Final_Dataset!F688</f>
        <v>22</v>
      </c>
      <c r="D717" t="str">
        <f>Final_Dataset!T688</f>
        <v>Mon</v>
      </c>
      <c r="E717" t="str">
        <f>Final_Dataset!X688</f>
        <v>Cloudy/Mist</v>
      </c>
      <c r="F717">
        <f>Final_Dataset!J688</f>
        <v>0.16</v>
      </c>
      <c r="G717">
        <f>Final_Dataset!L688</f>
        <v>0.59</v>
      </c>
      <c r="H717">
        <f>Final_Dataset!M688</f>
        <v>0.1045</v>
      </c>
      <c r="I717">
        <f>Final_Dataset!P688</f>
        <v>34</v>
      </c>
      <c r="J717" s="54">
        <f t="shared" si="46"/>
        <v>35.069767441860463</v>
      </c>
      <c r="K717" s="54">
        <f t="shared" si="47"/>
        <v>11.95506537162667</v>
      </c>
      <c r="L717" s="55">
        <f t="shared" si="48"/>
        <v>-8.948235819767042E-2</v>
      </c>
      <c r="M717" t="str">
        <f t="shared" si="49"/>
        <v/>
      </c>
    </row>
    <row r="718" spans="1:13" x14ac:dyDescent="0.2">
      <c r="A718">
        <f>Final_Dataset!A689</f>
        <v>688</v>
      </c>
      <c r="B718" s="53">
        <f>Final_Dataset!B689</f>
        <v>40574</v>
      </c>
      <c r="C718">
        <f>Final_Dataset!F689</f>
        <v>23</v>
      </c>
      <c r="D718" t="str">
        <f>Final_Dataset!T689</f>
        <v>Mon</v>
      </c>
      <c r="E718" t="str">
        <f>Final_Dataset!X689</f>
        <v>Cloudy/Mist</v>
      </c>
      <c r="F718">
        <f>Final_Dataset!J689</f>
        <v>0.16</v>
      </c>
      <c r="G718">
        <f>Final_Dataset!L689</f>
        <v>0.64</v>
      </c>
      <c r="H718">
        <f>Final_Dataset!M689</f>
        <v>8.9599999999999999E-2</v>
      </c>
      <c r="I718">
        <f>Final_Dataset!P689</f>
        <v>17</v>
      </c>
      <c r="J718" s="54">
        <f t="shared" si="46"/>
        <v>25.186046511627907</v>
      </c>
      <c r="K718" s="54">
        <f t="shared" si="47"/>
        <v>11.751911321656186</v>
      </c>
      <c r="L718" s="55">
        <f t="shared" si="48"/>
        <v>-0.69657150122830025</v>
      </c>
      <c r="M718" t="str">
        <f t="shared" si="49"/>
        <v/>
      </c>
    </row>
    <row r="719" spans="1:13" x14ac:dyDescent="0.2">
      <c r="A719">
        <f>Final_Dataset!A690</f>
        <v>689</v>
      </c>
      <c r="B719" s="53">
        <f>Final_Dataset!B690</f>
        <v>40575</v>
      </c>
      <c r="C719">
        <f>Final_Dataset!F690</f>
        <v>0</v>
      </c>
      <c r="D719" t="str">
        <f>Final_Dataset!T690</f>
        <v>Tue</v>
      </c>
      <c r="E719" t="str">
        <f>Final_Dataset!X690</f>
        <v>Cloudy/Mist</v>
      </c>
      <c r="F719">
        <f>Final_Dataset!J690</f>
        <v>0.16</v>
      </c>
      <c r="G719">
        <f>Final_Dataset!L690</f>
        <v>0.64</v>
      </c>
      <c r="H719">
        <f>Final_Dataset!M690</f>
        <v>0.1045</v>
      </c>
      <c r="I719">
        <f>Final_Dataset!P690</f>
        <v>8</v>
      </c>
      <c r="J719" s="54">
        <f t="shared" si="46"/>
        <v>16.348837209302324</v>
      </c>
      <c r="K719" s="54">
        <f t="shared" si="47"/>
        <v>10.442321674276208</v>
      </c>
      <c r="L719" s="55">
        <f t="shared" si="48"/>
        <v>-0.79951925153474168</v>
      </c>
      <c r="M719" t="str">
        <f t="shared" si="49"/>
        <v/>
      </c>
    </row>
    <row r="720" spans="1:13" x14ac:dyDescent="0.2">
      <c r="A720">
        <f>Final_Dataset!A691</f>
        <v>690</v>
      </c>
      <c r="B720" s="53">
        <f>Final_Dataset!B691</f>
        <v>40575</v>
      </c>
      <c r="C720">
        <f>Final_Dataset!F691</f>
        <v>1</v>
      </c>
      <c r="D720" t="str">
        <f>Final_Dataset!T691</f>
        <v>Tue</v>
      </c>
      <c r="E720" t="str">
        <f>Final_Dataset!X691</f>
        <v>Cloudy/Mist</v>
      </c>
      <c r="F720">
        <f>Final_Dataset!J691</f>
        <v>0.16</v>
      </c>
      <c r="G720">
        <f>Final_Dataset!L691</f>
        <v>0.69</v>
      </c>
      <c r="H720">
        <f>Final_Dataset!M691</f>
        <v>0.1045</v>
      </c>
      <c r="I720">
        <f>Final_Dataset!P691</f>
        <v>3</v>
      </c>
      <c r="J720" s="54">
        <f t="shared" si="46"/>
        <v>10.697674418604651</v>
      </c>
      <c r="K720" s="54">
        <f t="shared" si="47"/>
        <v>10.060613641515801</v>
      </c>
      <c r="L720" s="55">
        <f t="shared" si="48"/>
        <v>-0.76512971205252112</v>
      </c>
      <c r="M720" t="str">
        <f t="shared" si="49"/>
        <v/>
      </c>
    </row>
    <row r="721" spans="1:13" x14ac:dyDescent="0.2">
      <c r="A721">
        <f>Final_Dataset!A692</f>
        <v>691</v>
      </c>
      <c r="B721" s="53">
        <f>Final_Dataset!B692</f>
        <v>40575</v>
      </c>
      <c r="C721">
        <f>Final_Dataset!F692</f>
        <v>2</v>
      </c>
      <c r="D721" t="str">
        <f>Final_Dataset!T692</f>
        <v>Tue</v>
      </c>
      <c r="E721" t="str">
        <f>Final_Dataset!X692</f>
        <v>Cloudy/Mist</v>
      </c>
      <c r="F721">
        <f>Final_Dataset!J692</f>
        <v>0.16</v>
      </c>
      <c r="G721">
        <f>Final_Dataset!L692</f>
        <v>0.69</v>
      </c>
      <c r="H721">
        <f>Final_Dataset!M692</f>
        <v>0</v>
      </c>
      <c r="I721">
        <f>Final_Dataset!P692</f>
        <v>2</v>
      </c>
      <c r="J721" s="54">
        <f t="shared" si="46"/>
        <v>7.1707317073170733</v>
      </c>
      <c r="K721" s="54">
        <f t="shared" si="47"/>
        <v>7.3685223723090862</v>
      </c>
      <c r="L721" s="55">
        <f t="shared" si="48"/>
        <v>-0.70173251108644086</v>
      </c>
      <c r="M721" t="str">
        <f t="shared" si="49"/>
        <v/>
      </c>
    </row>
    <row r="722" spans="1:13" x14ac:dyDescent="0.2">
      <c r="A722">
        <f>Final_Dataset!A693</f>
        <v>692</v>
      </c>
      <c r="B722" s="53">
        <f>Final_Dataset!B693</f>
        <v>40575</v>
      </c>
      <c r="C722">
        <f>Final_Dataset!F693</f>
        <v>3</v>
      </c>
      <c r="D722" t="str">
        <f>Final_Dataset!T693</f>
        <v>Tue</v>
      </c>
      <c r="E722" t="str">
        <f>Final_Dataset!X693</f>
        <v>Cloudy/Mist</v>
      </c>
      <c r="F722">
        <f>Final_Dataset!J693</f>
        <v>0.16</v>
      </c>
      <c r="G722">
        <f>Final_Dataset!L693</f>
        <v>0.69</v>
      </c>
      <c r="H722">
        <f>Final_Dataset!M693</f>
        <v>0</v>
      </c>
      <c r="I722">
        <f>Final_Dataset!P693</f>
        <v>2</v>
      </c>
      <c r="J722" s="54">
        <f t="shared" si="46"/>
        <v>4.870967741935484</v>
      </c>
      <c r="K722" s="54">
        <f t="shared" si="47"/>
        <v>4.4702120418303126</v>
      </c>
      <c r="L722" s="55">
        <f t="shared" si="48"/>
        <v>-0.64224419671152255</v>
      </c>
      <c r="M722" t="str">
        <f t="shared" si="49"/>
        <v/>
      </c>
    </row>
    <row r="723" spans="1:13" x14ac:dyDescent="0.2">
      <c r="A723">
        <f>Final_Dataset!A694</f>
        <v>693</v>
      </c>
      <c r="B723" s="53">
        <f>Final_Dataset!B694</f>
        <v>40575</v>
      </c>
      <c r="C723">
        <f>Final_Dataset!F694</f>
        <v>5</v>
      </c>
      <c r="D723" t="str">
        <f>Final_Dataset!T694</f>
        <v>Tue</v>
      </c>
      <c r="E723" t="str">
        <f>Final_Dataset!X694</f>
        <v>Light Rain/Snow</v>
      </c>
      <c r="F723">
        <f>Final_Dataset!J694</f>
        <v>0.14000000000000001</v>
      </c>
      <c r="G723">
        <f>Final_Dataset!L694</f>
        <v>0.93</v>
      </c>
      <c r="H723">
        <f>Final_Dataset!M694</f>
        <v>0</v>
      </c>
      <c r="I723">
        <f>Final_Dataset!P694</f>
        <v>3</v>
      </c>
      <c r="J723" s="54">
        <f t="shared" si="46"/>
        <v>4.2051282051282053</v>
      </c>
      <c r="K723" s="54">
        <f t="shared" si="47"/>
        <v>2.5358429220352288</v>
      </c>
      <c r="L723" s="55">
        <f t="shared" si="48"/>
        <v>-0.47523771865214265</v>
      </c>
      <c r="M723" t="str">
        <f t="shared" si="49"/>
        <v/>
      </c>
    </row>
    <row r="724" spans="1:13" x14ac:dyDescent="0.2">
      <c r="A724">
        <f>Final_Dataset!A695</f>
        <v>694</v>
      </c>
      <c r="B724" s="53">
        <f>Final_Dataset!B695</f>
        <v>40575</v>
      </c>
      <c r="C724">
        <f>Final_Dataset!F695</f>
        <v>6</v>
      </c>
      <c r="D724" t="str">
        <f>Final_Dataset!T695</f>
        <v>Tue</v>
      </c>
      <c r="E724" t="str">
        <f>Final_Dataset!X695</f>
        <v>Light Rain/Snow</v>
      </c>
      <c r="F724">
        <f>Final_Dataset!J695</f>
        <v>0.14000000000000001</v>
      </c>
      <c r="G724">
        <f>Final_Dataset!L695</f>
        <v>0.93</v>
      </c>
      <c r="H724">
        <f>Final_Dataset!M695</f>
        <v>0</v>
      </c>
      <c r="I724">
        <f>Final_Dataset!P695</f>
        <v>22</v>
      </c>
      <c r="J724" s="54">
        <f t="shared" si="46"/>
        <v>19.571428571428573</v>
      </c>
      <c r="K724" s="54">
        <f t="shared" si="47"/>
        <v>14.202615453298934</v>
      </c>
      <c r="L724" s="55">
        <f t="shared" si="48"/>
        <v>0.17099466197314572</v>
      </c>
      <c r="M724" t="str">
        <f t="shared" si="49"/>
        <v/>
      </c>
    </row>
    <row r="725" spans="1:13" x14ac:dyDescent="0.2">
      <c r="A725">
        <f>Final_Dataset!A696</f>
        <v>695</v>
      </c>
      <c r="B725" s="53">
        <f>Final_Dataset!B696</f>
        <v>40575</v>
      </c>
      <c r="C725">
        <f>Final_Dataset!F696</f>
        <v>7</v>
      </c>
      <c r="D725" t="str">
        <f>Final_Dataset!T696</f>
        <v>Tue</v>
      </c>
      <c r="E725" t="str">
        <f>Final_Dataset!X696</f>
        <v>Light Rain/Snow</v>
      </c>
      <c r="F725">
        <f>Final_Dataset!J696</f>
        <v>0.16</v>
      </c>
      <c r="G725">
        <f>Final_Dataset!L696</f>
        <v>0.93</v>
      </c>
      <c r="H725">
        <f>Final_Dataset!M696</f>
        <v>0</v>
      </c>
      <c r="I725">
        <f>Final_Dataset!P696</f>
        <v>52</v>
      </c>
      <c r="J725" s="54">
        <f t="shared" si="46"/>
        <v>54.395348837209305</v>
      </c>
      <c r="K725" s="54">
        <f t="shared" si="47"/>
        <v>39.112864486352777</v>
      </c>
      <c r="L725" s="55">
        <f t="shared" si="48"/>
        <v>-6.1241969072479661E-2</v>
      </c>
      <c r="M725" t="str">
        <f t="shared" si="49"/>
        <v/>
      </c>
    </row>
    <row r="726" spans="1:13" x14ac:dyDescent="0.2">
      <c r="A726">
        <f>Final_Dataset!A697</f>
        <v>696</v>
      </c>
      <c r="B726" s="53">
        <f>Final_Dataset!B697</f>
        <v>40575</v>
      </c>
      <c r="C726">
        <f>Final_Dataset!F697</f>
        <v>8</v>
      </c>
      <c r="D726" t="str">
        <f>Final_Dataset!T697</f>
        <v>Tue</v>
      </c>
      <c r="E726" t="str">
        <f>Final_Dataset!X697</f>
        <v>Light Rain/Snow</v>
      </c>
      <c r="F726">
        <f>Final_Dataset!J697</f>
        <v>0.16</v>
      </c>
      <c r="G726">
        <f>Final_Dataset!L697</f>
        <v>0.93</v>
      </c>
      <c r="H726">
        <f>Final_Dataset!M697</f>
        <v>0</v>
      </c>
      <c r="I726">
        <f>Final_Dataset!P697</f>
        <v>135</v>
      </c>
      <c r="J726" s="54">
        <f t="shared" si="46"/>
        <v>128.28571428571428</v>
      </c>
      <c r="K726" s="54">
        <f t="shared" si="47"/>
        <v>88.551565717048533</v>
      </c>
      <c r="L726" s="55">
        <f t="shared" si="48"/>
        <v>7.5823455631943093E-2</v>
      </c>
      <c r="M726" t="str">
        <f t="shared" si="49"/>
        <v/>
      </c>
    </row>
    <row r="727" spans="1:13" x14ac:dyDescent="0.2">
      <c r="A727">
        <f>Final_Dataset!A698</f>
        <v>697</v>
      </c>
      <c r="B727" s="53">
        <f>Final_Dataset!B698</f>
        <v>40575</v>
      </c>
      <c r="C727">
        <f>Final_Dataset!F698</f>
        <v>9</v>
      </c>
      <c r="D727" t="str">
        <f>Final_Dataset!T698</f>
        <v>Tue</v>
      </c>
      <c r="E727" t="str">
        <f>Final_Dataset!X698</f>
        <v>Cloudy/Mist</v>
      </c>
      <c r="F727">
        <f>Final_Dataset!J698</f>
        <v>0.16</v>
      </c>
      <c r="G727">
        <f>Final_Dataset!L698</f>
        <v>0.93</v>
      </c>
      <c r="H727">
        <f>Final_Dataset!M698</f>
        <v>0</v>
      </c>
      <c r="I727">
        <f>Final_Dataset!P698</f>
        <v>116</v>
      </c>
      <c r="J727" s="54">
        <f t="shared" si="46"/>
        <v>87.428571428571431</v>
      </c>
      <c r="K727" s="54">
        <f t="shared" si="47"/>
        <v>45.93852884078624</v>
      </c>
      <c r="L727" s="55">
        <f t="shared" si="48"/>
        <v>0.62194914143749425</v>
      </c>
      <c r="M727" t="str">
        <f t="shared" si="49"/>
        <v/>
      </c>
    </row>
    <row r="728" spans="1:13" x14ac:dyDescent="0.2">
      <c r="A728">
        <f>Final_Dataset!A699</f>
        <v>698</v>
      </c>
      <c r="B728" s="53">
        <f>Final_Dataset!B699</f>
        <v>40575</v>
      </c>
      <c r="C728">
        <f>Final_Dataset!F699</f>
        <v>10</v>
      </c>
      <c r="D728" t="str">
        <f>Final_Dataset!T699</f>
        <v>Tue</v>
      </c>
      <c r="E728" t="str">
        <f>Final_Dataset!X699</f>
        <v>Cloudy/Mist</v>
      </c>
      <c r="F728">
        <f>Final_Dataset!J699</f>
        <v>0.16</v>
      </c>
      <c r="G728">
        <f>Final_Dataset!L699</f>
        <v>0.93</v>
      </c>
      <c r="H728">
        <f>Final_Dataset!M699</f>
        <v>0</v>
      </c>
      <c r="I728">
        <f>Final_Dataset!P699</f>
        <v>47</v>
      </c>
      <c r="J728" s="54">
        <f t="shared" si="46"/>
        <v>53.642857142857146</v>
      </c>
      <c r="K728" s="54">
        <f t="shared" si="47"/>
        <v>15.395313554536934</v>
      </c>
      <c r="L728" s="55">
        <f t="shared" si="48"/>
        <v>-0.43148566733150584</v>
      </c>
      <c r="M728" t="str">
        <f t="shared" si="49"/>
        <v/>
      </c>
    </row>
    <row r="729" spans="1:13" x14ac:dyDescent="0.2">
      <c r="A729">
        <f>Final_Dataset!A700</f>
        <v>699</v>
      </c>
      <c r="B729" s="53">
        <f>Final_Dataset!B700</f>
        <v>40575</v>
      </c>
      <c r="C729">
        <f>Final_Dataset!F700</f>
        <v>11</v>
      </c>
      <c r="D729" t="str">
        <f>Final_Dataset!T700</f>
        <v>Tue</v>
      </c>
      <c r="E729" t="str">
        <f>Final_Dataset!X700</f>
        <v>Cloudy/Mist</v>
      </c>
      <c r="F729">
        <f>Final_Dataset!J700</f>
        <v>0.18</v>
      </c>
      <c r="G729">
        <f>Final_Dataset!L700</f>
        <v>0.86</v>
      </c>
      <c r="H729">
        <f>Final_Dataset!M700</f>
        <v>0</v>
      </c>
      <c r="I729">
        <f>Final_Dataset!P700</f>
        <v>51</v>
      </c>
      <c r="J729" s="54">
        <f t="shared" si="46"/>
        <v>59.38095238095238</v>
      </c>
      <c r="K729" s="54">
        <f t="shared" si="47"/>
        <v>20.89573696860419</v>
      </c>
      <c r="L729" s="55">
        <f t="shared" si="48"/>
        <v>-0.4010843165543645</v>
      </c>
      <c r="M729" t="str">
        <f t="shared" si="49"/>
        <v/>
      </c>
    </row>
    <row r="730" spans="1:13" x14ac:dyDescent="0.2">
      <c r="A730">
        <f>Final_Dataset!A701</f>
        <v>700</v>
      </c>
      <c r="B730" s="53">
        <f>Final_Dataset!B701</f>
        <v>40575</v>
      </c>
      <c r="C730">
        <f>Final_Dataset!F701</f>
        <v>12</v>
      </c>
      <c r="D730" t="str">
        <f>Final_Dataset!T701</f>
        <v>Tue</v>
      </c>
      <c r="E730" t="str">
        <f>Final_Dataset!X701</f>
        <v>Cloudy/Mist</v>
      </c>
      <c r="F730">
        <f>Final_Dataset!J701</f>
        <v>0.2</v>
      </c>
      <c r="G730">
        <f>Final_Dataset!L701</f>
        <v>0.86</v>
      </c>
      <c r="H730">
        <f>Final_Dataset!M701</f>
        <v>0</v>
      </c>
      <c r="I730">
        <f>Final_Dataset!P701</f>
        <v>55</v>
      </c>
      <c r="J730" s="54">
        <f t="shared" si="46"/>
        <v>76.348837209302332</v>
      </c>
      <c r="K730" s="54">
        <f t="shared" si="47"/>
        <v>29.034366927857057</v>
      </c>
      <c r="L730" s="55">
        <f t="shared" si="48"/>
        <v>-0.73529542635968981</v>
      </c>
      <c r="M730" t="str">
        <f t="shared" si="49"/>
        <v/>
      </c>
    </row>
    <row r="731" spans="1:13" x14ac:dyDescent="0.2">
      <c r="A731">
        <f>Final_Dataset!A702</f>
        <v>701</v>
      </c>
      <c r="B731" s="53">
        <f>Final_Dataset!B702</f>
        <v>40575</v>
      </c>
      <c r="C731">
        <f>Final_Dataset!F702</f>
        <v>13</v>
      </c>
      <c r="D731" t="str">
        <f>Final_Dataset!T702</f>
        <v>Tue</v>
      </c>
      <c r="E731" t="str">
        <f>Final_Dataset!X702</f>
        <v>Cloudy/Mist</v>
      </c>
      <c r="F731">
        <f>Final_Dataset!J702</f>
        <v>0.2</v>
      </c>
      <c r="G731">
        <f>Final_Dataset!L702</f>
        <v>0.86</v>
      </c>
      <c r="H731">
        <f>Final_Dataset!M702</f>
        <v>0</v>
      </c>
      <c r="I731">
        <f>Final_Dataset!P702</f>
        <v>52</v>
      </c>
      <c r="J731" s="54">
        <f t="shared" si="46"/>
        <v>78.511627906976742</v>
      </c>
      <c r="K731" s="54">
        <f t="shared" si="47"/>
        <v>30.072430098825173</v>
      </c>
      <c r="L731" s="55">
        <f t="shared" si="48"/>
        <v>-0.88159246924353019</v>
      </c>
      <c r="M731" t="str">
        <f t="shared" si="49"/>
        <v/>
      </c>
    </row>
    <row r="732" spans="1:13" x14ac:dyDescent="0.2">
      <c r="A732">
        <f>Final_Dataset!A703</f>
        <v>702</v>
      </c>
      <c r="B732" s="53">
        <f>Final_Dataset!B703</f>
        <v>40575</v>
      </c>
      <c r="C732">
        <f>Final_Dataset!F703</f>
        <v>14</v>
      </c>
      <c r="D732" t="str">
        <f>Final_Dataset!T703</f>
        <v>Tue</v>
      </c>
      <c r="E732" t="str">
        <f>Final_Dataset!X703</f>
        <v>Cloudy/Mist</v>
      </c>
      <c r="F732">
        <f>Final_Dataset!J703</f>
        <v>0.22</v>
      </c>
      <c r="G732">
        <f>Final_Dataset!L703</f>
        <v>0.8</v>
      </c>
      <c r="H732">
        <f>Final_Dataset!M703</f>
        <v>8.9599999999999999E-2</v>
      </c>
      <c r="I732">
        <f>Final_Dataset!P703</f>
        <v>54</v>
      </c>
      <c r="J732" s="54">
        <f t="shared" si="46"/>
        <v>74.418604651162795</v>
      </c>
      <c r="K732" s="54">
        <f t="shared" si="47"/>
        <v>30.305769180565147</v>
      </c>
      <c r="L732" s="55">
        <f t="shared" si="48"/>
        <v>-0.67375305769361848</v>
      </c>
      <c r="M732" t="str">
        <f t="shared" si="49"/>
        <v/>
      </c>
    </row>
    <row r="733" spans="1:13" x14ac:dyDescent="0.2">
      <c r="A733">
        <f>Final_Dataset!A704</f>
        <v>703</v>
      </c>
      <c r="B733" s="53">
        <f>Final_Dataset!B704</f>
        <v>40575</v>
      </c>
      <c r="C733">
        <f>Final_Dataset!F704</f>
        <v>15</v>
      </c>
      <c r="D733" t="str">
        <f>Final_Dataset!T704</f>
        <v>Tue</v>
      </c>
      <c r="E733" t="str">
        <f>Final_Dataset!X704</f>
        <v>Cloudy/Mist</v>
      </c>
      <c r="F733">
        <f>Final_Dataset!J704</f>
        <v>0.24</v>
      </c>
      <c r="G733">
        <f>Final_Dataset!L704</f>
        <v>0.75</v>
      </c>
      <c r="H733">
        <f>Final_Dataset!M704</f>
        <v>0</v>
      </c>
      <c r="I733">
        <f>Final_Dataset!P704</f>
        <v>52</v>
      </c>
      <c r="J733" s="54">
        <f t="shared" si="46"/>
        <v>77.95348837209302</v>
      </c>
      <c r="K733" s="54">
        <f t="shared" si="47"/>
        <v>34.481156681772681</v>
      </c>
      <c r="L733" s="55">
        <f t="shared" si="48"/>
        <v>-0.75268612974959948</v>
      </c>
      <c r="M733" t="str">
        <f t="shared" si="49"/>
        <v/>
      </c>
    </row>
    <row r="734" spans="1:13" x14ac:dyDescent="0.2">
      <c r="A734">
        <f>Final_Dataset!A705</f>
        <v>704</v>
      </c>
      <c r="B734" s="53">
        <f>Final_Dataset!B705</f>
        <v>40575</v>
      </c>
      <c r="C734">
        <f>Final_Dataset!F705</f>
        <v>16</v>
      </c>
      <c r="D734" t="str">
        <f>Final_Dataset!T705</f>
        <v>Tue</v>
      </c>
      <c r="E734" t="str">
        <f>Final_Dataset!X705</f>
        <v>Cloudy/Mist</v>
      </c>
      <c r="F734">
        <f>Final_Dataset!J705</f>
        <v>0.24</v>
      </c>
      <c r="G734">
        <f>Final_Dataset!L705</f>
        <v>0.75</v>
      </c>
      <c r="H734">
        <f>Final_Dataset!M705</f>
        <v>0.1343</v>
      </c>
      <c r="I734">
        <f>Final_Dataset!P705</f>
        <v>64</v>
      </c>
      <c r="J734" s="54">
        <f t="shared" si="46"/>
        <v>89.272727272727266</v>
      </c>
      <c r="K734" s="54">
        <f t="shared" si="47"/>
        <v>25.461657115880747</v>
      </c>
      <c r="L734" s="55">
        <f t="shared" si="48"/>
        <v>-0.99257982925880961</v>
      </c>
      <c r="M734" t="str">
        <f t="shared" si="49"/>
        <v/>
      </c>
    </row>
    <row r="735" spans="1:13" x14ac:dyDescent="0.2">
      <c r="A735">
        <f>Final_Dataset!A706</f>
        <v>705</v>
      </c>
      <c r="B735" s="53">
        <f>Final_Dataset!B706</f>
        <v>40575</v>
      </c>
      <c r="C735">
        <f>Final_Dataset!F706</f>
        <v>17</v>
      </c>
      <c r="D735" t="str">
        <f>Final_Dataset!T706</f>
        <v>Tue</v>
      </c>
      <c r="E735" t="str">
        <f>Final_Dataset!X706</f>
        <v>Cloudy/Mist</v>
      </c>
      <c r="F735">
        <f>Final_Dataset!J706</f>
        <v>0.24</v>
      </c>
      <c r="G735">
        <f>Final_Dataset!L706</f>
        <v>0.75</v>
      </c>
      <c r="H735">
        <f>Final_Dataset!M706</f>
        <v>0</v>
      </c>
      <c r="I735">
        <f>Final_Dataset!P706</f>
        <v>176</v>
      </c>
      <c r="J735" s="54">
        <f t="shared" ref="J735:J798" si="50">INDEX($F$5:$F$28,MATCH(C735,$D$5:$D$28,0))</f>
        <v>140.20454545454547</v>
      </c>
      <c r="K735" s="54">
        <f t="shared" ref="K735:K798" si="51">INDEX($G$5:$G$28,MATCH(C735,$D$5:$D$28,0))</f>
        <v>54.067391000084569</v>
      </c>
      <c r="L735" s="55">
        <f t="shared" ref="L735:L798" si="52">IF(K735=0,0,(I735-J735)/K735)</f>
        <v>0.66205255854491929</v>
      </c>
      <c r="M735" t="str">
        <f t="shared" ref="M735:M798" si="53">IF(ABS(L735)&gt;=$B$4,IF(L735&gt;0,"High","Low"),"")</f>
        <v/>
      </c>
    </row>
    <row r="736" spans="1:13" x14ac:dyDescent="0.2">
      <c r="A736">
        <f>Final_Dataset!A707</f>
        <v>706</v>
      </c>
      <c r="B736" s="53">
        <f>Final_Dataset!B707</f>
        <v>40575</v>
      </c>
      <c r="C736">
        <f>Final_Dataset!F707</f>
        <v>18</v>
      </c>
      <c r="D736" t="str">
        <f>Final_Dataset!T707</f>
        <v>Tue</v>
      </c>
      <c r="E736" t="str">
        <f>Final_Dataset!X707</f>
        <v>Cloudy/Mist</v>
      </c>
      <c r="F736">
        <f>Final_Dataset!J707</f>
        <v>0.24</v>
      </c>
      <c r="G736">
        <f>Final_Dataset!L707</f>
        <v>0.81</v>
      </c>
      <c r="H736">
        <f>Final_Dataset!M707</f>
        <v>0.1045</v>
      </c>
      <c r="I736">
        <f>Final_Dataset!P707</f>
        <v>168</v>
      </c>
      <c r="J736" s="54">
        <f t="shared" si="50"/>
        <v>122.86046511627907</v>
      </c>
      <c r="K736" s="54">
        <f t="shared" si="51"/>
        <v>48.613432101949947</v>
      </c>
      <c r="L736" s="55">
        <f t="shared" si="52"/>
        <v>0.92854038342851997</v>
      </c>
      <c r="M736" t="str">
        <f t="shared" si="53"/>
        <v/>
      </c>
    </row>
    <row r="737" spans="1:13" x14ac:dyDescent="0.2">
      <c r="A737">
        <f>Final_Dataset!A708</f>
        <v>707</v>
      </c>
      <c r="B737" s="53">
        <f>Final_Dataset!B708</f>
        <v>40575</v>
      </c>
      <c r="C737">
        <f>Final_Dataset!F708</f>
        <v>19</v>
      </c>
      <c r="D737" t="str">
        <f>Final_Dataset!T708</f>
        <v>Tue</v>
      </c>
      <c r="E737" t="str">
        <f>Final_Dataset!X708</f>
        <v>Cloudy/Mist</v>
      </c>
      <c r="F737">
        <f>Final_Dataset!J708</f>
        <v>0.24</v>
      </c>
      <c r="G737">
        <f>Final_Dataset!L708</f>
        <v>0.81</v>
      </c>
      <c r="H737">
        <f>Final_Dataset!M708</f>
        <v>0.1343</v>
      </c>
      <c r="I737">
        <f>Final_Dataset!P708</f>
        <v>108</v>
      </c>
      <c r="J737" s="54">
        <f t="shared" si="50"/>
        <v>85.139534883720927</v>
      </c>
      <c r="K737" s="54">
        <f t="shared" si="51"/>
        <v>31.690904054294759</v>
      </c>
      <c r="L737" s="55">
        <f t="shared" si="52"/>
        <v>0.72135730420038358</v>
      </c>
      <c r="M737" t="str">
        <f t="shared" si="53"/>
        <v/>
      </c>
    </row>
    <row r="738" spans="1:13" x14ac:dyDescent="0.2">
      <c r="A738">
        <f>Final_Dataset!A709</f>
        <v>708</v>
      </c>
      <c r="B738" s="53">
        <f>Final_Dataset!B709</f>
        <v>40575</v>
      </c>
      <c r="C738">
        <f>Final_Dataset!F709</f>
        <v>20</v>
      </c>
      <c r="D738" t="str">
        <f>Final_Dataset!T709</f>
        <v>Tue</v>
      </c>
      <c r="E738" t="str">
        <f>Final_Dataset!X709</f>
        <v>Cloudy/Mist</v>
      </c>
      <c r="F738">
        <f>Final_Dataset!J709</f>
        <v>0.22</v>
      </c>
      <c r="G738">
        <f>Final_Dataset!L709</f>
        <v>0.87</v>
      </c>
      <c r="H738">
        <f>Final_Dataset!M709</f>
        <v>0.1343</v>
      </c>
      <c r="I738">
        <f>Final_Dataset!P709</f>
        <v>74</v>
      </c>
      <c r="J738" s="54">
        <f t="shared" si="50"/>
        <v>61.767441860465119</v>
      </c>
      <c r="K738" s="54">
        <f t="shared" si="51"/>
        <v>24.6323801696856</v>
      </c>
      <c r="L738" s="55">
        <f t="shared" si="52"/>
        <v>0.49660479642114153</v>
      </c>
      <c r="M738" t="str">
        <f t="shared" si="53"/>
        <v/>
      </c>
    </row>
    <row r="739" spans="1:13" x14ac:dyDescent="0.2">
      <c r="A739">
        <f>Final_Dataset!A710</f>
        <v>709</v>
      </c>
      <c r="B739" s="53">
        <f>Final_Dataset!B710</f>
        <v>40575</v>
      </c>
      <c r="C739">
        <f>Final_Dataset!F710</f>
        <v>21</v>
      </c>
      <c r="D739" t="str">
        <f>Final_Dataset!T710</f>
        <v>Tue</v>
      </c>
      <c r="E739" t="str">
        <f>Final_Dataset!X710</f>
        <v>Cloudy/Mist</v>
      </c>
      <c r="F739">
        <f>Final_Dataset!J710</f>
        <v>0.22</v>
      </c>
      <c r="G739">
        <f>Final_Dataset!L710</f>
        <v>0.87</v>
      </c>
      <c r="H739">
        <f>Final_Dataset!M710</f>
        <v>0.1343</v>
      </c>
      <c r="I739">
        <f>Final_Dataset!P710</f>
        <v>64</v>
      </c>
      <c r="J739" s="54">
        <f t="shared" si="50"/>
        <v>46.418604651162788</v>
      </c>
      <c r="K739" s="54">
        <f t="shared" si="51"/>
        <v>14.656759464719499</v>
      </c>
      <c r="L739" s="55">
        <f t="shared" si="52"/>
        <v>1.19954178078433</v>
      </c>
      <c r="M739" t="str">
        <f t="shared" si="53"/>
        <v/>
      </c>
    </row>
    <row r="740" spans="1:13" x14ac:dyDescent="0.2">
      <c r="A740">
        <f>Final_Dataset!A711</f>
        <v>710</v>
      </c>
      <c r="B740" s="53">
        <f>Final_Dataset!B711</f>
        <v>40575</v>
      </c>
      <c r="C740">
        <f>Final_Dataset!F711</f>
        <v>22</v>
      </c>
      <c r="D740" t="str">
        <f>Final_Dataset!T711</f>
        <v>Tue</v>
      </c>
      <c r="E740" t="str">
        <f>Final_Dataset!X711</f>
        <v>Cloudy/Mist</v>
      </c>
      <c r="F740">
        <f>Final_Dataset!J711</f>
        <v>0.22</v>
      </c>
      <c r="G740">
        <f>Final_Dataset!L711</f>
        <v>0.87</v>
      </c>
      <c r="H740">
        <f>Final_Dataset!M711</f>
        <v>8.9599999999999999E-2</v>
      </c>
      <c r="I740">
        <f>Final_Dataset!P711</f>
        <v>36</v>
      </c>
      <c r="J740" s="54">
        <f t="shared" si="50"/>
        <v>35.069767441860463</v>
      </c>
      <c r="K740" s="54">
        <f t="shared" si="51"/>
        <v>11.95506537162667</v>
      </c>
      <c r="L740" s="55">
        <f t="shared" si="52"/>
        <v>7.7810746258844099E-2</v>
      </c>
      <c r="M740" t="str">
        <f t="shared" si="53"/>
        <v/>
      </c>
    </row>
    <row r="741" spans="1:13" x14ac:dyDescent="0.2">
      <c r="A741">
        <f>Final_Dataset!A712</f>
        <v>711</v>
      </c>
      <c r="B741" s="53">
        <f>Final_Dataset!B712</f>
        <v>40575</v>
      </c>
      <c r="C741">
        <f>Final_Dataset!F712</f>
        <v>23</v>
      </c>
      <c r="D741" t="str">
        <f>Final_Dataset!T712</f>
        <v>Tue</v>
      </c>
      <c r="E741" t="str">
        <f>Final_Dataset!X712</f>
        <v>Light Rain/Snow</v>
      </c>
      <c r="F741">
        <f>Final_Dataset!J712</f>
        <v>0.2</v>
      </c>
      <c r="G741">
        <f>Final_Dataset!L712</f>
        <v>0.93</v>
      </c>
      <c r="H741">
        <f>Final_Dataset!M712</f>
        <v>0.19400000000000001</v>
      </c>
      <c r="I741">
        <f>Final_Dataset!P712</f>
        <v>16</v>
      </c>
      <c r="J741" s="54">
        <f t="shared" si="50"/>
        <v>25.186046511627907</v>
      </c>
      <c r="K741" s="54">
        <f t="shared" si="51"/>
        <v>11.751911321656186</v>
      </c>
      <c r="L741" s="55">
        <f t="shared" si="52"/>
        <v>-0.7816640425715301</v>
      </c>
      <c r="M741" t="str">
        <f t="shared" si="53"/>
        <v/>
      </c>
    </row>
    <row r="742" spans="1:13" x14ac:dyDescent="0.2">
      <c r="A742">
        <f>Final_Dataset!A713</f>
        <v>712</v>
      </c>
      <c r="B742" s="53">
        <f>Final_Dataset!B713</f>
        <v>40576</v>
      </c>
      <c r="C742">
        <f>Final_Dataset!F713</f>
        <v>0</v>
      </c>
      <c r="D742" t="str">
        <f>Final_Dataset!T713</f>
        <v>Wed</v>
      </c>
      <c r="E742" t="str">
        <f>Final_Dataset!X713</f>
        <v>Light Rain/Snow</v>
      </c>
      <c r="F742">
        <f>Final_Dataset!J713</f>
        <v>0.22</v>
      </c>
      <c r="G742">
        <f>Final_Dataset!L713</f>
        <v>0.93</v>
      </c>
      <c r="H742">
        <f>Final_Dataset!M713</f>
        <v>0.1045</v>
      </c>
      <c r="I742">
        <f>Final_Dataset!P713</f>
        <v>2</v>
      </c>
      <c r="J742" s="54">
        <f t="shared" si="50"/>
        <v>16.348837209302324</v>
      </c>
      <c r="K742" s="54">
        <f t="shared" si="51"/>
        <v>10.442321674276208</v>
      </c>
      <c r="L742" s="55">
        <f t="shared" si="52"/>
        <v>-1.3741041175402107</v>
      </c>
      <c r="M742" t="str">
        <f t="shared" si="53"/>
        <v/>
      </c>
    </row>
    <row r="743" spans="1:13" x14ac:dyDescent="0.2">
      <c r="A743">
        <f>Final_Dataset!A714</f>
        <v>713</v>
      </c>
      <c r="B743" s="53">
        <f>Final_Dataset!B714</f>
        <v>40576</v>
      </c>
      <c r="C743">
        <f>Final_Dataset!F714</f>
        <v>1</v>
      </c>
      <c r="D743" t="str">
        <f>Final_Dataset!T714</f>
        <v>Wed</v>
      </c>
      <c r="E743" t="str">
        <f>Final_Dataset!X714</f>
        <v>Light Rain/Snow</v>
      </c>
      <c r="F743">
        <f>Final_Dataset!J714</f>
        <v>0.22</v>
      </c>
      <c r="G743">
        <f>Final_Dataset!L714</f>
        <v>0.93</v>
      </c>
      <c r="H743">
        <f>Final_Dataset!M714</f>
        <v>0.19400000000000001</v>
      </c>
      <c r="I743">
        <f>Final_Dataset!P714</f>
        <v>3</v>
      </c>
      <c r="J743" s="54">
        <f t="shared" si="50"/>
        <v>10.697674418604651</v>
      </c>
      <c r="K743" s="54">
        <f t="shared" si="51"/>
        <v>10.060613641515801</v>
      </c>
      <c r="L743" s="55">
        <f t="shared" si="52"/>
        <v>-0.76512971205252112</v>
      </c>
      <c r="M743" t="str">
        <f t="shared" si="53"/>
        <v/>
      </c>
    </row>
    <row r="744" spans="1:13" x14ac:dyDescent="0.2">
      <c r="A744">
        <f>Final_Dataset!A715</f>
        <v>714</v>
      </c>
      <c r="B744" s="53">
        <f>Final_Dataset!B715</f>
        <v>40576</v>
      </c>
      <c r="C744">
        <f>Final_Dataset!F715</f>
        <v>2</v>
      </c>
      <c r="D744" t="str">
        <f>Final_Dataset!T715</f>
        <v>Wed</v>
      </c>
      <c r="E744" t="str">
        <f>Final_Dataset!X715</f>
        <v>Light Rain/Snow</v>
      </c>
      <c r="F744">
        <f>Final_Dataset!J715</f>
        <v>0.22</v>
      </c>
      <c r="G744">
        <f>Final_Dataset!L715</f>
        <v>0.93</v>
      </c>
      <c r="H744">
        <f>Final_Dataset!M715</f>
        <v>0.1343</v>
      </c>
      <c r="I744">
        <f>Final_Dataset!P715</f>
        <v>4</v>
      </c>
      <c r="J744" s="54">
        <f t="shared" si="50"/>
        <v>7.1707317073170733</v>
      </c>
      <c r="K744" s="54">
        <f t="shared" si="51"/>
        <v>7.3685223723090862</v>
      </c>
      <c r="L744" s="55">
        <f t="shared" si="52"/>
        <v>-0.43030767189262881</v>
      </c>
      <c r="M744" t="str">
        <f t="shared" si="53"/>
        <v/>
      </c>
    </row>
    <row r="745" spans="1:13" x14ac:dyDescent="0.2">
      <c r="A745">
        <f>Final_Dataset!A716</f>
        <v>715</v>
      </c>
      <c r="B745" s="53">
        <f>Final_Dataset!B716</f>
        <v>40576</v>
      </c>
      <c r="C745">
        <f>Final_Dataset!F716</f>
        <v>3</v>
      </c>
      <c r="D745" t="str">
        <f>Final_Dataset!T716</f>
        <v>Wed</v>
      </c>
      <c r="E745" t="str">
        <f>Final_Dataset!X716</f>
        <v>Light Rain/Snow</v>
      </c>
      <c r="F745">
        <f>Final_Dataset!J716</f>
        <v>0.22</v>
      </c>
      <c r="G745">
        <f>Final_Dataset!L716</f>
        <v>0.93</v>
      </c>
      <c r="H745">
        <f>Final_Dataset!M716</f>
        <v>0.1343</v>
      </c>
      <c r="I745">
        <f>Final_Dataset!P716</f>
        <v>1</v>
      </c>
      <c r="J745" s="54">
        <f t="shared" si="50"/>
        <v>4.870967741935484</v>
      </c>
      <c r="K745" s="54">
        <f t="shared" si="51"/>
        <v>4.4702120418303126</v>
      </c>
      <c r="L745" s="55">
        <f t="shared" si="52"/>
        <v>-0.86594723152115394</v>
      </c>
      <c r="M745" t="str">
        <f t="shared" si="53"/>
        <v/>
      </c>
    </row>
    <row r="746" spans="1:13" x14ac:dyDescent="0.2">
      <c r="A746">
        <f>Final_Dataset!A717</f>
        <v>716</v>
      </c>
      <c r="B746" s="53">
        <f>Final_Dataset!B717</f>
        <v>40576</v>
      </c>
      <c r="C746">
        <f>Final_Dataset!F717</f>
        <v>4</v>
      </c>
      <c r="D746" t="str">
        <f>Final_Dataset!T717</f>
        <v>Wed</v>
      </c>
      <c r="E746" t="str">
        <f>Final_Dataset!X717</f>
        <v>Light Rain/Snow</v>
      </c>
      <c r="F746">
        <f>Final_Dataset!J717</f>
        <v>0.22</v>
      </c>
      <c r="G746">
        <f>Final_Dataset!L717</f>
        <v>0.93</v>
      </c>
      <c r="H746">
        <f>Final_Dataset!M717</f>
        <v>0.28360000000000002</v>
      </c>
      <c r="I746">
        <f>Final_Dataset!P717</f>
        <v>1</v>
      </c>
      <c r="J746" s="54">
        <f t="shared" si="50"/>
        <v>2.15625</v>
      </c>
      <c r="K746" s="54">
        <f t="shared" si="51"/>
        <v>1.5263148747143209</v>
      </c>
      <c r="L746" s="55">
        <f t="shared" si="52"/>
        <v>-0.75754355746314428</v>
      </c>
      <c r="M746" t="str">
        <f t="shared" si="53"/>
        <v/>
      </c>
    </row>
    <row r="747" spans="1:13" x14ac:dyDescent="0.2">
      <c r="A747">
        <f>Final_Dataset!A718</f>
        <v>717</v>
      </c>
      <c r="B747" s="53">
        <f>Final_Dataset!B718</f>
        <v>40576</v>
      </c>
      <c r="C747">
        <f>Final_Dataset!F718</f>
        <v>5</v>
      </c>
      <c r="D747" t="str">
        <f>Final_Dataset!T718</f>
        <v>Wed</v>
      </c>
      <c r="E747" t="str">
        <f>Final_Dataset!X718</f>
        <v>Light Rain/Snow</v>
      </c>
      <c r="F747">
        <f>Final_Dataset!J718</f>
        <v>0.22</v>
      </c>
      <c r="G747">
        <f>Final_Dataset!L718</f>
        <v>0.93</v>
      </c>
      <c r="H747">
        <f>Final_Dataset!M718</f>
        <v>0.1045</v>
      </c>
      <c r="I747">
        <f>Final_Dataset!P718</f>
        <v>3</v>
      </c>
      <c r="J747" s="54">
        <f t="shared" si="50"/>
        <v>4.2051282051282053</v>
      </c>
      <c r="K747" s="54">
        <f t="shared" si="51"/>
        <v>2.5358429220352288</v>
      </c>
      <c r="L747" s="55">
        <f t="shared" si="52"/>
        <v>-0.47523771865214265</v>
      </c>
      <c r="M747" t="str">
        <f t="shared" si="53"/>
        <v/>
      </c>
    </row>
    <row r="748" spans="1:13" x14ac:dyDescent="0.2">
      <c r="A748">
        <f>Final_Dataset!A719</f>
        <v>718</v>
      </c>
      <c r="B748" s="53">
        <f>Final_Dataset!B719</f>
        <v>40576</v>
      </c>
      <c r="C748">
        <f>Final_Dataset!F719</f>
        <v>6</v>
      </c>
      <c r="D748" t="str">
        <f>Final_Dataset!T719</f>
        <v>Wed</v>
      </c>
      <c r="E748" t="str">
        <f>Final_Dataset!X719</f>
        <v>Light Rain/Snow</v>
      </c>
      <c r="F748">
        <f>Final_Dataset!J719</f>
        <v>0.22</v>
      </c>
      <c r="G748">
        <f>Final_Dataset!L719</f>
        <v>0.93</v>
      </c>
      <c r="H748">
        <f>Final_Dataset!M719</f>
        <v>0.1045</v>
      </c>
      <c r="I748">
        <f>Final_Dataset!P719</f>
        <v>18</v>
      </c>
      <c r="J748" s="54">
        <f t="shared" si="50"/>
        <v>19.571428571428573</v>
      </c>
      <c r="K748" s="54">
        <f t="shared" si="51"/>
        <v>14.202615453298934</v>
      </c>
      <c r="L748" s="55">
        <f t="shared" si="52"/>
        <v>-0.11064360480615329</v>
      </c>
      <c r="M748" t="str">
        <f t="shared" si="53"/>
        <v/>
      </c>
    </row>
    <row r="749" spans="1:13" x14ac:dyDescent="0.2">
      <c r="A749">
        <f>Final_Dataset!A720</f>
        <v>719</v>
      </c>
      <c r="B749" s="53">
        <f>Final_Dataset!B720</f>
        <v>40576</v>
      </c>
      <c r="C749">
        <f>Final_Dataset!F720</f>
        <v>7</v>
      </c>
      <c r="D749" t="str">
        <f>Final_Dataset!T720</f>
        <v>Wed</v>
      </c>
      <c r="E749" t="str">
        <f>Final_Dataset!X720</f>
        <v>Light Rain/Snow</v>
      </c>
      <c r="F749">
        <f>Final_Dataset!J720</f>
        <v>0.22</v>
      </c>
      <c r="G749">
        <f>Final_Dataset!L720</f>
        <v>0.93</v>
      </c>
      <c r="H749">
        <f>Final_Dataset!M720</f>
        <v>0.22389999999999999</v>
      </c>
      <c r="I749">
        <f>Final_Dataset!P720</f>
        <v>49</v>
      </c>
      <c r="J749" s="54">
        <f t="shared" si="50"/>
        <v>54.395348837209305</v>
      </c>
      <c r="K749" s="54">
        <f t="shared" si="51"/>
        <v>39.112864486352777</v>
      </c>
      <c r="L749" s="55">
        <f t="shared" si="52"/>
        <v>-0.13794307596908031</v>
      </c>
      <c r="M749" t="str">
        <f t="shared" si="53"/>
        <v/>
      </c>
    </row>
    <row r="750" spans="1:13" x14ac:dyDescent="0.2">
      <c r="A750">
        <f>Final_Dataset!A721</f>
        <v>720</v>
      </c>
      <c r="B750" s="53">
        <f>Final_Dataset!B721</f>
        <v>40576</v>
      </c>
      <c r="C750">
        <f>Final_Dataset!F721</f>
        <v>8</v>
      </c>
      <c r="D750" t="str">
        <f>Final_Dataset!T721</f>
        <v>Wed</v>
      </c>
      <c r="E750" t="str">
        <f>Final_Dataset!X721</f>
        <v>Light Rain/Snow</v>
      </c>
      <c r="F750">
        <f>Final_Dataset!J721</f>
        <v>0.22</v>
      </c>
      <c r="G750">
        <f>Final_Dataset!L721</f>
        <v>0.93</v>
      </c>
      <c r="H750">
        <f>Final_Dataset!M721</f>
        <v>0.22389999999999999</v>
      </c>
      <c r="I750">
        <f>Final_Dataset!P721</f>
        <v>155</v>
      </c>
      <c r="J750" s="54">
        <f t="shared" si="50"/>
        <v>128.28571428571428</v>
      </c>
      <c r="K750" s="54">
        <f t="shared" si="51"/>
        <v>88.551565717048533</v>
      </c>
      <c r="L750" s="55">
        <f t="shared" si="52"/>
        <v>0.30168055751432649</v>
      </c>
      <c r="M750" t="str">
        <f t="shared" si="53"/>
        <v/>
      </c>
    </row>
    <row r="751" spans="1:13" x14ac:dyDescent="0.2">
      <c r="A751">
        <f>Final_Dataset!A722</f>
        <v>721</v>
      </c>
      <c r="B751" s="53">
        <f>Final_Dataset!B722</f>
        <v>40576</v>
      </c>
      <c r="C751">
        <f>Final_Dataset!F722</f>
        <v>9</v>
      </c>
      <c r="D751" t="str">
        <f>Final_Dataset!T722</f>
        <v>Wed</v>
      </c>
      <c r="E751" t="str">
        <f>Final_Dataset!X722</f>
        <v>Cloudy/Mist</v>
      </c>
      <c r="F751">
        <f>Final_Dataset!J722</f>
        <v>0.24</v>
      </c>
      <c r="G751">
        <f>Final_Dataset!L722</f>
        <v>0.93</v>
      </c>
      <c r="H751">
        <f>Final_Dataset!M722</f>
        <v>8.9599999999999999E-2</v>
      </c>
      <c r="I751">
        <f>Final_Dataset!P722</f>
        <v>123</v>
      </c>
      <c r="J751" s="54">
        <f t="shared" si="50"/>
        <v>87.428571428571431</v>
      </c>
      <c r="K751" s="54">
        <f t="shared" si="51"/>
        <v>45.93852884078624</v>
      </c>
      <c r="L751" s="55">
        <f t="shared" si="52"/>
        <v>0.77432668108968028</v>
      </c>
      <c r="M751" t="str">
        <f t="shared" si="53"/>
        <v/>
      </c>
    </row>
    <row r="752" spans="1:13" x14ac:dyDescent="0.2">
      <c r="A752">
        <f>Final_Dataset!A723</f>
        <v>722</v>
      </c>
      <c r="B752" s="53">
        <f>Final_Dataset!B723</f>
        <v>40576</v>
      </c>
      <c r="C752">
        <f>Final_Dataset!F723</f>
        <v>10</v>
      </c>
      <c r="D752" t="str">
        <f>Final_Dataset!T723</f>
        <v>Wed</v>
      </c>
      <c r="E752" t="str">
        <f>Final_Dataset!X723</f>
        <v>Cloudy/Mist</v>
      </c>
      <c r="F752">
        <f>Final_Dataset!J723</f>
        <v>0.22</v>
      </c>
      <c r="G752">
        <f>Final_Dataset!L723</f>
        <v>1</v>
      </c>
      <c r="H752">
        <f>Final_Dataset!M723</f>
        <v>0</v>
      </c>
      <c r="I752">
        <f>Final_Dataset!P723</f>
        <v>61</v>
      </c>
      <c r="J752" s="54">
        <f t="shared" si="50"/>
        <v>53.642857142857146</v>
      </c>
      <c r="K752" s="54">
        <f t="shared" si="51"/>
        <v>15.395313554536934</v>
      </c>
      <c r="L752" s="55">
        <f t="shared" si="52"/>
        <v>0.47788197564672108</v>
      </c>
      <c r="M752" t="str">
        <f t="shared" si="53"/>
        <v/>
      </c>
    </row>
    <row r="753" spans="1:13" x14ac:dyDescent="0.2">
      <c r="A753">
        <f>Final_Dataset!A724</f>
        <v>723</v>
      </c>
      <c r="B753" s="53">
        <f>Final_Dataset!B724</f>
        <v>40576</v>
      </c>
      <c r="C753">
        <f>Final_Dataset!F724</f>
        <v>11</v>
      </c>
      <c r="D753" t="str">
        <f>Final_Dataset!T724</f>
        <v>Wed</v>
      </c>
      <c r="E753" t="str">
        <f>Final_Dataset!X724</f>
        <v>Cloudy/Mist</v>
      </c>
      <c r="F753">
        <f>Final_Dataset!J724</f>
        <v>0.24</v>
      </c>
      <c r="G753">
        <f>Final_Dataset!L724</f>
        <v>0.93</v>
      </c>
      <c r="H753">
        <f>Final_Dataset!M724</f>
        <v>0.19400000000000001</v>
      </c>
      <c r="I753">
        <f>Final_Dataset!P724</f>
        <v>52</v>
      </c>
      <c r="J753" s="54">
        <f t="shared" si="50"/>
        <v>59.38095238095238</v>
      </c>
      <c r="K753" s="54">
        <f t="shared" si="51"/>
        <v>20.89573696860419</v>
      </c>
      <c r="L753" s="55">
        <f t="shared" si="52"/>
        <v>-0.35322766514730963</v>
      </c>
      <c r="M753" t="str">
        <f t="shared" si="53"/>
        <v/>
      </c>
    </row>
    <row r="754" spans="1:13" x14ac:dyDescent="0.2">
      <c r="A754">
        <f>Final_Dataset!A725</f>
        <v>724</v>
      </c>
      <c r="B754" s="53">
        <f>Final_Dataset!B725</f>
        <v>40576</v>
      </c>
      <c r="C754">
        <f>Final_Dataset!F725</f>
        <v>12</v>
      </c>
      <c r="D754" t="str">
        <f>Final_Dataset!T725</f>
        <v>Wed</v>
      </c>
      <c r="E754" t="str">
        <f>Final_Dataset!X725</f>
        <v>Cloudy/Mist</v>
      </c>
      <c r="F754">
        <f>Final_Dataset!J725</f>
        <v>0.24</v>
      </c>
      <c r="G754">
        <f>Final_Dataset!L725</f>
        <v>0.93</v>
      </c>
      <c r="H754">
        <f>Final_Dataset!M725</f>
        <v>0.22389999999999999</v>
      </c>
      <c r="I754">
        <f>Final_Dataset!P725</f>
        <v>64</v>
      </c>
      <c r="J754" s="54">
        <f t="shared" si="50"/>
        <v>76.348837209302332</v>
      </c>
      <c r="K754" s="54">
        <f t="shared" si="51"/>
        <v>29.034366927857057</v>
      </c>
      <c r="L754" s="55">
        <f t="shared" si="52"/>
        <v>-0.42531794269825202</v>
      </c>
      <c r="M754" t="str">
        <f t="shared" si="53"/>
        <v/>
      </c>
    </row>
    <row r="755" spans="1:13" x14ac:dyDescent="0.2">
      <c r="A755">
        <f>Final_Dataset!A726</f>
        <v>725</v>
      </c>
      <c r="B755" s="53">
        <f>Final_Dataset!B726</f>
        <v>40576</v>
      </c>
      <c r="C755">
        <f>Final_Dataset!F726</f>
        <v>13</v>
      </c>
      <c r="D755" t="str">
        <f>Final_Dataset!T726</f>
        <v>Wed</v>
      </c>
      <c r="E755" t="str">
        <f>Final_Dataset!X726</f>
        <v>Clear</v>
      </c>
      <c r="F755">
        <f>Final_Dataset!J726</f>
        <v>0.34</v>
      </c>
      <c r="G755">
        <f>Final_Dataset!L726</f>
        <v>0.93</v>
      </c>
      <c r="H755">
        <f>Final_Dataset!M726</f>
        <v>0.16420000000000001</v>
      </c>
      <c r="I755">
        <f>Final_Dataset!P726</f>
        <v>75</v>
      </c>
      <c r="J755" s="54">
        <f t="shared" si="50"/>
        <v>78.511627906976742</v>
      </c>
      <c r="K755" s="54">
        <f t="shared" si="51"/>
        <v>30.072430098825173</v>
      </c>
      <c r="L755" s="55">
        <f t="shared" si="52"/>
        <v>-0.11677233583839734</v>
      </c>
      <c r="M755" t="str">
        <f t="shared" si="53"/>
        <v/>
      </c>
    </row>
    <row r="756" spans="1:13" x14ac:dyDescent="0.2">
      <c r="A756">
        <f>Final_Dataset!A727</f>
        <v>726</v>
      </c>
      <c r="B756" s="53">
        <f>Final_Dataset!B727</f>
        <v>40576</v>
      </c>
      <c r="C756">
        <f>Final_Dataset!F727</f>
        <v>14</v>
      </c>
      <c r="D756" t="str">
        <f>Final_Dataset!T727</f>
        <v>Wed</v>
      </c>
      <c r="E756" t="str">
        <f>Final_Dataset!X727</f>
        <v>Clear</v>
      </c>
      <c r="F756">
        <f>Final_Dataset!J727</f>
        <v>0.38</v>
      </c>
      <c r="G756">
        <f>Final_Dataset!L727</f>
        <v>0.82</v>
      </c>
      <c r="H756">
        <f>Final_Dataset!M727</f>
        <v>0.3881</v>
      </c>
      <c r="I756">
        <f>Final_Dataset!P727</f>
        <v>63</v>
      </c>
      <c r="J756" s="54">
        <f t="shared" si="50"/>
        <v>74.418604651162795</v>
      </c>
      <c r="K756" s="54">
        <f t="shared" si="51"/>
        <v>30.305769180565147</v>
      </c>
      <c r="L756" s="55">
        <f t="shared" si="52"/>
        <v>-0.37677989900634024</v>
      </c>
      <c r="M756" t="str">
        <f t="shared" si="53"/>
        <v/>
      </c>
    </row>
    <row r="757" spans="1:13" x14ac:dyDescent="0.2">
      <c r="A757">
        <f>Final_Dataset!A728</f>
        <v>727</v>
      </c>
      <c r="B757" s="53">
        <f>Final_Dataset!B728</f>
        <v>40576</v>
      </c>
      <c r="C757">
        <f>Final_Dataset!F728</f>
        <v>15</v>
      </c>
      <c r="D757" t="str">
        <f>Final_Dataset!T728</f>
        <v>Wed</v>
      </c>
      <c r="E757" t="str">
        <f>Final_Dataset!X728</f>
        <v>Clear</v>
      </c>
      <c r="F757">
        <f>Final_Dataset!J728</f>
        <v>0.38</v>
      </c>
      <c r="G757">
        <f>Final_Dataset!L728</f>
        <v>0.76</v>
      </c>
      <c r="H757">
        <f>Final_Dataset!M728</f>
        <v>0.32840000000000003</v>
      </c>
      <c r="I757">
        <f>Final_Dataset!P728</f>
        <v>76</v>
      </c>
      <c r="J757" s="54">
        <f t="shared" si="50"/>
        <v>77.95348837209302</v>
      </c>
      <c r="K757" s="54">
        <f t="shared" si="51"/>
        <v>34.481156681772681</v>
      </c>
      <c r="L757" s="55">
        <f t="shared" si="52"/>
        <v>-5.6653794712335344E-2</v>
      </c>
      <c r="M757" t="str">
        <f t="shared" si="53"/>
        <v/>
      </c>
    </row>
    <row r="758" spans="1:13" x14ac:dyDescent="0.2">
      <c r="A758">
        <f>Final_Dataset!A729</f>
        <v>728</v>
      </c>
      <c r="B758" s="53">
        <f>Final_Dataset!B729</f>
        <v>40576</v>
      </c>
      <c r="C758">
        <f>Final_Dataset!F729</f>
        <v>16</v>
      </c>
      <c r="D758" t="str">
        <f>Final_Dataset!T729</f>
        <v>Wed</v>
      </c>
      <c r="E758" t="str">
        <f>Final_Dataset!X729</f>
        <v>Clear</v>
      </c>
      <c r="F758">
        <f>Final_Dataset!J729</f>
        <v>0.36</v>
      </c>
      <c r="G758">
        <f>Final_Dataset!L729</f>
        <v>0.71</v>
      </c>
      <c r="H758">
        <f>Final_Dataset!M729</f>
        <v>0.29849999999999999</v>
      </c>
      <c r="I758">
        <f>Final_Dataset!P729</f>
        <v>103</v>
      </c>
      <c r="J758" s="54">
        <f t="shared" si="50"/>
        <v>89.272727272727266</v>
      </c>
      <c r="K758" s="54">
        <f t="shared" si="51"/>
        <v>25.461657115880747</v>
      </c>
      <c r="L758" s="55">
        <f t="shared" si="52"/>
        <v>0.53913508711539693</v>
      </c>
      <c r="M758" t="str">
        <f t="shared" si="53"/>
        <v/>
      </c>
    </row>
    <row r="759" spans="1:13" x14ac:dyDescent="0.2">
      <c r="A759">
        <f>Final_Dataset!A730</f>
        <v>729</v>
      </c>
      <c r="B759" s="53">
        <f>Final_Dataset!B730</f>
        <v>40576</v>
      </c>
      <c r="C759">
        <f>Final_Dataset!F730</f>
        <v>17</v>
      </c>
      <c r="D759" t="str">
        <f>Final_Dataset!T730</f>
        <v>Wed</v>
      </c>
      <c r="E759" t="str">
        <f>Final_Dataset!X730</f>
        <v>Clear</v>
      </c>
      <c r="F759">
        <f>Final_Dataset!J730</f>
        <v>0.36</v>
      </c>
      <c r="G759">
        <f>Final_Dataset!L730</f>
        <v>0.53</v>
      </c>
      <c r="H759">
        <f>Final_Dataset!M730</f>
        <v>0.52239999999999998</v>
      </c>
      <c r="I759">
        <f>Final_Dataset!P730</f>
        <v>190</v>
      </c>
      <c r="J759" s="54">
        <f t="shared" si="50"/>
        <v>140.20454545454547</v>
      </c>
      <c r="K759" s="54">
        <f t="shared" si="51"/>
        <v>54.067391000084569</v>
      </c>
      <c r="L759" s="55">
        <f t="shared" si="52"/>
        <v>0.92098867033137677</v>
      </c>
      <c r="M759" t="str">
        <f t="shared" si="53"/>
        <v/>
      </c>
    </row>
    <row r="760" spans="1:13" x14ac:dyDescent="0.2">
      <c r="A760">
        <f>Final_Dataset!A731</f>
        <v>730</v>
      </c>
      <c r="B760" s="53">
        <f>Final_Dataset!B731</f>
        <v>40576</v>
      </c>
      <c r="C760">
        <f>Final_Dataset!F731</f>
        <v>18</v>
      </c>
      <c r="D760" t="str">
        <f>Final_Dataset!T731</f>
        <v>Wed</v>
      </c>
      <c r="E760" t="str">
        <f>Final_Dataset!X731</f>
        <v>Clear</v>
      </c>
      <c r="F760">
        <f>Final_Dataset!J731</f>
        <v>0.34</v>
      </c>
      <c r="G760">
        <f>Final_Dataset!L731</f>
        <v>0.42</v>
      </c>
      <c r="H760">
        <f>Final_Dataset!M731</f>
        <v>0.55220000000000002</v>
      </c>
      <c r="I760">
        <f>Final_Dataset!P731</f>
        <v>182</v>
      </c>
      <c r="J760" s="54">
        <f t="shared" si="50"/>
        <v>122.86046511627907</v>
      </c>
      <c r="K760" s="54">
        <f t="shared" si="51"/>
        <v>48.613432101949947</v>
      </c>
      <c r="L760" s="55">
        <f t="shared" si="52"/>
        <v>1.2165266332090297</v>
      </c>
      <c r="M760" t="str">
        <f t="shared" si="53"/>
        <v/>
      </c>
    </row>
    <row r="761" spans="1:13" x14ac:dyDescent="0.2">
      <c r="A761">
        <f>Final_Dataset!A732</f>
        <v>731</v>
      </c>
      <c r="B761" s="53">
        <f>Final_Dataset!B732</f>
        <v>40576</v>
      </c>
      <c r="C761">
        <f>Final_Dataset!F732</f>
        <v>19</v>
      </c>
      <c r="D761" t="str">
        <f>Final_Dataset!T732</f>
        <v>Wed</v>
      </c>
      <c r="E761" t="str">
        <f>Final_Dataset!X732</f>
        <v>Clear</v>
      </c>
      <c r="F761">
        <f>Final_Dataset!J732</f>
        <v>0.28000000000000003</v>
      </c>
      <c r="G761">
        <f>Final_Dataset!L732</f>
        <v>0.45</v>
      </c>
      <c r="H761">
        <f>Final_Dataset!M732</f>
        <v>0.49249999999999999</v>
      </c>
      <c r="I761">
        <f>Final_Dataset!P732</f>
        <v>91</v>
      </c>
      <c r="J761" s="54">
        <f t="shared" si="50"/>
        <v>85.139534883720927</v>
      </c>
      <c r="K761" s="54">
        <f t="shared" si="51"/>
        <v>31.690904054294759</v>
      </c>
      <c r="L761" s="55">
        <f t="shared" si="52"/>
        <v>0.18492577889979323</v>
      </c>
      <c r="M761" t="str">
        <f t="shared" si="53"/>
        <v/>
      </c>
    </row>
    <row r="762" spans="1:13" x14ac:dyDescent="0.2">
      <c r="A762">
        <f>Final_Dataset!A733</f>
        <v>732</v>
      </c>
      <c r="B762" s="53">
        <f>Final_Dataset!B733</f>
        <v>40576</v>
      </c>
      <c r="C762">
        <f>Final_Dataset!F733</f>
        <v>20</v>
      </c>
      <c r="D762" t="str">
        <f>Final_Dataset!T733</f>
        <v>Wed</v>
      </c>
      <c r="E762" t="str">
        <f>Final_Dataset!X733</f>
        <v>Clear</v>
      </c>
      <c r="F762">
        <f>Final_Dataset!J733</f>
        <v>0.24</v>
      </c>
      <c r="G762">
        <f>Final_Dataset!L733</f>
        <v>0.48</v>
      </c>
      <c r="H762">
        <f>Final_Dataset!M733</f>
        <v>0.55220000000000002</v>
      </c>
      <c r="I762">
        <f>Final_Dataset!P733</f>
        <v>75</v>
      </c>
      <c r="J762" s="54">
        <f t="shared" si="50"/>
        <v>61.767441860465119</v>
      </c>
      <c r="K762" s="54">
        <f t="shared" si="51"/>
        <v>24.6323801696856</v>
      </c>
      <c r="L762" s="55">
        <f t="shared" si="52"/>
        <v>0.53720176647077855</v>
      </c>
      <c r="M762" t="str">
        <f t="shared" si="53"/>
        <v/>
      </c>
    </row>
    <row r="763" spans="1:13" x14ac:dyDescent="0.2">
      <c r="A763">
        <f>Final_Dataset!A734</f>
        <v>733</v>
      </c>
      <c r="B763" s="53">
        <f>Final_Dataset!B734</f>
        <v>40576</v>
      </c>
      <c r="C763">
        <f>Final_Dataset!F734</f>
        <v>21</v>
      </c>
      <c r="D763" t="str">
        <f>Final_Dataset!T734</f>
        <v>Wed</v>
      </c>
      <c r="E763" t="str">
        <f>Final_Dataset!X734</f>
        <v>Clear</v>
      </c>
      <c r="F763">
        <f>Final_Dataset!J734</f>
        <v>0.22</v>
      </c>
      <c r="G763">
        <f>Final_Dataset!L734</f>
        <v>0.47</v>
      </c>
      <c r="H763">
        <f>Final_Dataset!M734</f>
        <v>0.32840000000000003</v>
      </c>
      <c r="I763">
        <f>Final_Dataset!P734</f>
        <v>63</v>
      </c>
      <c r="J763" s="54">
        <f t="shared" si="50"/>
        <v>46.418604651162788</v>
      </c>
      <c r="K763" s="54">
        <f t="shared" si="51"/>
        <v>14.656759464719499</v>
      </c>
      <c r="L763" s="55">
        <f t="shared" si="52"/>
        <v>1.1313138752635281</v>
      </c>
      <c r="M763" t="str">
        <f t="shared" si="53"/>
        <v/>
      </c>
    </row>
    <row r="764" spans="1:13" x14ac:dyDescent="0.2">
      <c r="A764">
        <f>Final_Dataset!A735</f>
        <v>734</v>
      </c>
      <c r="B764" s="53">
        <f>Final_Dataset!B735</f>
        <v>40576</v>
      </c>
      <c r="C764">
        <f>Final_Dataset!F735</f>
        <v>22</v>
      </c>
      <c r="D764" t="str">
        <f>Final_Dataset!T735</f>
        <v>Wed</v>
      </c>
      <c r="E764" t="str">
        <f>Final_Dataset!X735</f>
        <v>Clear</v>
      </c>
      <c r="F764">
        <f>Final_Dataset!J735</f>
        <v>0.22</v>
      </c>
      <c r="G764">
        <f>Final_Dataset!L735</f>
        <v>0.44</v>
      </c>
      <c r="H764">
        <f>Final_Dataset!M735</f>
        <v>0.25369999999999998</v>
      </c>
      <c r="I764">
        <f>Final_Dataset!P735</f>
        <v>40</v>
      </c>
      <c r="J764" s="54">
        <f t="shared" si="50"/>
        <v>35.069767441860463</v>
      </c>
      <c r="K764" s="54">
        <f t="shared" si="51"/>
        <v>11.95506537162667</v>
      </c>
      <c r="L764" s="55">
        <f t="shared" si="52"/>
        <v>0.41239695517187314</v>
      </c>
      <c r="M764" t="str">
        <f t="shared" si="53"/>
        <v/>
      </c>
    </row>
    <row r="765" spans="1:13" x14ac:dyDescent="0.2">
      <c r="A765">
        <f>Final_Dataset!A736</f>
        <v>735</v>
      </c>
      <c r="B765" s="53">
        <f>Final_Dataset!B736</f>
        <v>40576</v>
      </c>
      <c r="C765">
        <f>Final_Dataset!F736</f>
        <v>23</v>
      </c>
      <c r="D765" t="str">
        <f>Final_Dataset!T736</f>
        <v>Wed</v>
      </c>
      <c r="E765" t="str">
        <f>Final_Dataset!X736</f>
        <v>Clear</v>
      </c>
      <c r="F765">
        <f>Final_Dataset!J736</f>
        <v>0.2</v>
      </c>
      <c r="G765">
        <f>Final_Dataset!L736</f>
        <v>0.44</v>
      </c>
      <c r="H765">
        <f>Final_Dataset!M736</f>
        <v>0.44779999999999998</v>
      </c>
      <c r="I765">
        <f>Final_Dataset!P736</f>
        <v>32</v>
      </c>
      <c r="J765" s="54">
        <f t="shared" si="50"/>
        <v>25.186046511627907</v>
      </c>
      <c r="K765" s="54">
        <f t="shared" si="51"/>
        <v>11.751911321656186</v>
      </c>
      <c r="L765" s="55">
        <f t="shared" si="52"/>
        <v>0.57981661892014758</v>
      </c>
      <c r="M765" t="str">
        <f t="shared" si="53"/>
        <v/>
      </c>
    </row>
    <row r="766" spans="1:13" x14ac:dyDescent="0.2">
      <c r="A766">
        <f>Final_Dataset!A737</f>
        <v>736</v>
      </c>
      <c r="B766" s="53">
        <f>Final_Dataset!B737</f>
        <v>40577</v>
      </c>
      <c r="C766">
        <f>Final_Dataset!F737</f>
        <v>0</v>
      </c>
      <c r="D766" t="str">
        <f>Final_Dataset!T737</f>
        <v>Thu</v>
      </c>
      <c r="E766" t="str">
        <f>Final_Dataset!X737</f>
        <v>Clear</v>
      </c>
      <c r="F766">
        <f>Final_Dataset!J737</f>
        <v>0.2</v>
      </c>
      <c r="G766">
        <f>Final_Dataset!L737</f>
        <v>0.4</v>
      </c>
      <c r="H766">
        <f>Final_Dataset!M737</f>
        <v>0.44779999999999998</v>
      </c>
      <c r="I766">
        <f>Final_Dataset!P737</f>
        <v>12</v>
      </c>
      <c r="J766" s="54">
        <f t="shared" si="50"/>
        <v>16.348837209302324</v>
      </c>
      <c r="K766" s="54">
        <f t="shared" si="51"/>
        <v>10.442321674276208</v>
      </c>
      <c r="L766" s="55">
        <f t="shared" si="52"/>
        <v>-0.41646267419776234</v>
      </c>
      <c r="M766" t="str">
        <f t="shared" si="53"/>
        <v/>
      </c>
    </row>
    <row r="767" spans="1:13" x14ac:dyDescent="0.2">
      <c r="A767">
        <f>Final_Dataset!A738</f>
        <v>737</v>
      </c>
      <c r="B767" s="53">
        <f>Final_Dataset!B738</f>
        <v>40577</v>
      </c>
      <c r="C767">
        <f>Final_Dataset!F738</f>
        <v>1</v>
      </c>
      <c r="D767" t="str">
        <f>Final_Dataset!T738</f>
        <v>Thu</v>
      </c>
      <c r="E767" t="str">
        <f>Final_Dataset!X738</f>
        <v>Clear</v>
      </c>
      <c r="F767">
        <f>Final_Dataset!J738</f>
        <v>0.2</v>
      </c>
      <c r="G767">
        <f>Final_Dataset!L738</f>
        <v>0.44</v>
      </c>
      <c r="H767">
        <f>Final_Dataset!M738</f>
        <v>0.52239999999999998</v>
      </c>
      <c r="I767">
        <f>Final_Dataset!P738</f>
        <v>5</v>
      </c>
      <c r="J767" s="54">
        <f t="shared" si="50"/>
        <v>10.697674418604651</v>
      </c>
      <c r="K767" s="54">
        <f t="shared" si="51"/>
        <v>10.060613641515801</v>
      </c>
      <c r="L767" s="55">
        <f t="shared" si="52"/>
        <v>-0.56633468112648844</v>
      </c>
      <c r="M767" t="str">
        <f t="shared" si="53"/>
        <v/>
      </c>
    </row>
    <row r="768" spans="1:13" x14ac:dyDescent="0.2">
      <c r="A768">
        <f>Final_Dataset!A739</f>
        <v>738</v>
      </c>
      <c r="B768" s="53">
        <f>Final_Dataset!B739</f>
        <v>40577</v>
      </c>
      <c r="C768">
        <f>Final_Dataset!F739</f>
        <v>2</v>
      </c>
      <c r="D768" t="str">
        <f>Final_Dataset!T739</f>
        <v>Thu</v>
      </c>
      <c r="E768" t="str">
        <f>Final_Dataset!X739</f>
        <v>Clear</v>
      </c>
      <c r="F768">
        <f>Final_Dataset!J739</f>
        <v>0.18</v>
      </c>
      <c r="G768">
        <f>Final_Dataset!L739</f>
        <v>0.43</v>
      </c>
      <c r="H768">
        <f>Final_Dataset!M739</f>
        <v>0.25369999999999998</v>
      </c>
      <c r="I768">
        <f>Final_Dataset!P739</f>
        <v>2</v>
      </c>
      <c r="J768" s="54">
        <f t="shared" si="50"/>
        <v>7.1707317073170733</v>
      </c>
      <c r="K768" s="54">
        <f t="shared" si="51"/>
        <v>7.3685223723090862</v>
      </c>
      <c r="L768" s="55">
        <f t="shared" si="52"/>
        <v>-0.70173251108644086</v>
      </c>
      <c r="M768" t="str">
        <f t="shared" si="53"/>
        <v/>
      </c>
    </row>
    <row r="769" spans="1:13" x14ac:dyDescent="0.2">
      <c r="A769">
        <f>Final_Dataset!A740</f>
        <v>739</v>
      </c>
      <c r="B769" s="53">
        <f>Final_Dataset!B740</f>
        <v>40577</v>
      </c>
      <c r="C769">
        <f>Final_Dataset!F740</f>
        <v>3</v>
      </c>
      <c r="D769" t="str">
        <f>Final_Dataset!T740</f>
        <v>Thu</v>
      </c>
      <c r="E769" t="str">
        <f>Final_Dataset!X740</f>
        <v>Clear</v>
      </c>
      <c r="F769">
        <f>Final_Dataset!J740</f>
        <v>0.18</v>
      </c>
      <c r="G769">
        <f>Final_Dataset!L740</f>
        <v>0.43</v>
      </c>
      <c r="H769">
        <f>Final_Dataset!M740</f>
        <v>0.25369999999999998</v>
      </c>
      <c r="I769">
        <f>Final_Dataset!P740</f>
        <v>1</v>
      </c>
      <c r="J769" s="54">
        <f t="shared" si="50"/>
        <v>4.870967741935484</v>
      </c>
      <c r="K769" s="54">
        <f t="shared" si="51"/>
        <v>4.4702120418303126</v>
      </c>
      <c r="L769" s="55">
        <f t="shared" si="52"/>
        <v>-0.86594723152115394</v>
      </c>
      <c r="M769" t="str">
        <f t="shared" si="53"/>
        <v/>
      </c>
    </row>
    <row r="770" spans="1:13" x14ac:dyDescent="0.2">
      <c r="A770">
        <f>Final_Dataset!A741</f>
        <v>740</v>
      </c>
      <c r="B770" s="53">
        <f>Final_Dataset!B741</f>
        <v>40577</v>
      </c>
      <c r="C770">
        <f>Final_Dataset!F741</f>
        <v>5</v>
      </c>
      <c r="D770" t="str">
        <f>Final_Dataset!T741</f>
        <v>Thu</v>
      </c>
      <c r="E770" t="str">
        <f>Final_Dataset!X741</f>
        <v>Clear</v>
      </c>
      <c r="F770">
        <f>Final_Dataset!J741</f>
        <v>0.16</v>
      </c>
      <c r="G770">
        <f>Final_Dataset!L741</f>
        <v>0.5</v>
      </c>
      <c r="H770">
        <f>Final_Dataset!M741</f>
        <v>0.29849999999999999</v>
      </c>
      <c r="I770">
        <f>Final_Dataset!P741</f>
        <v>2</v>
      </c>
      <c r="J770" s="54">
        <f t="shared" si="50"/>
        <v>4.2051282051282053</v>
      </c>
      <c r="K770" s="54">
        <f t="shared" si="51"/>
        <v>2.5358429220352288</v>
      </c>
      <c r="L770" s="55">
        <f t="shared" si="52"/>
        <v>-0.86958391072519714</v>
      </c>
      <c r="M770" t="str">
        <f t="shared" si="53"/>
        <v/>
      </c>
    </row>
    <row r="771" spans="1:13" x14ac:dyDescent="0.2">
      <c r="A771">
        <f>Final_Dataset!A742</f>
        <v>741</v>
      </c>
      <c r="B771" s="53">
        <f>Final_Dataset!B742</f>
        <v>40577</v>
      </c>
      <c r="C771">
        <f>Final_Dataset!F742</f>
        <v>6</v>
      </c>
      <c r="D771" t="str">
        <f>Final_Dataset!T742</f>
        <v>Thu</v>
      </c>
      <c r="E771" t="str">
        <f>Final_Dataset!X742</f>
        <v>Clear</v>
      </c>
      <c r="F771">
        <f>Final_Dataset!J742</f>
        <v>0.16</v>
      </c>
      <c r="G771">
        <f>Final_Dataset!L742</f>
        <v>0.43</v>
      </c>
      <c r="H771">
        <f>Final_Dataset!M742</f>
        <v>0.35820000000000002</v>
      </c>
      <c r="I771">
        <f>Final_Dataset!P742</f>
        <v>39</v>
      </c>
      <c r="J771" s="54">
        <f t="shared" si="50"/>
        <v>19.571428571428573</v>
      </c>
      <c r="K771" s="54">
        <f t="shared" si="51"/>
        <v>14.202615453298934</v>
      </c>
      <c r="L771" s="55">
        <f t="shared" si="52"/>
        <v>1.3679572957851664</v>
      </c>
      <c r="M771" t="str">
        <f t="shared" si="53"/>
        <v/>
      </c>
    </row>
    <row r="772" spans="1:13" x14ac:dyDescent="0.2">
      <c r="A772">
        <f>Final_Dataset!A743</f>
        <v>742</v>
      </c>
      <c r="B772" s="53">
        <f>Final_Dataset!B743</f>
        <v>40577</v>
      </c>
      <c r="C772">
        <f>Final_Dataset!F743</f>
        <v>7</v>
      </c>
      <c r="D772" t="str">
        <f>Final_Dataset!T743</f>
        <v>Thu</v>
      </c>
      <c r="E772" t="str">
        <f>Final_Dataset!X743</f>
        <v>Clear</v>
      </c>
      <c r="F772">
        <f>Final_Dataset!J743</f>
        <v>0.14000000000000001</v>
      </c>
      <c r="G772">
        <f>Final_Dataset!L743</f>
        <v>0.5</v>
      </c>
      <c r="H772">
        <f>Final_Dataset!M743</f>
        <v>0.32840000000000003</v>
      </c>
      <c r="I772">
        <f>Final_Dataset!P743</f>
        <v>87</v>
      </c>
      <c r="J772" s="54">
        <f t="shared" si="50"/>
        <v>54.395348837209305</v>
      </c>
      <c r="K772" s="54">
        <f t="shared" si="51"/>
        <v>39.112864486352777</v>
      </c>
      <c r="L772" s="55">
        <f t="shared" si="52"/>
        <v>0.83360427805452808</v>
      </c>
      <c r="M772" t="str">
        <f t="shared" si="53"/>
        <v/>
      </c>
    </row>
    <row r="773" spans="1:13" x14ac:dyDescent="0.2">
      <c r="A773">
        <f>Final_Dataset!A744</f>
        <v>743</v>
      </c>
      <c r="B773" s="53">
        <f>Final_Dataset!B744</f>
        <v>40577</v>
      </c>
      <c r="C773">
        <f>Final_Dataset!F744</f>
        <v>8</v>
      </c>
      <c r="D773" t="str">
        <f>Final_Dataset!T744</f>
        <v>Thu</v>
      </c>
      <c r="E773" t="str">
        <f>Final_Dataset!X744</f>
        <v>Clear</v>
      </c>
      <c r="F773">
        <f>Final_Dataset!J744</f>
        <v>0.14000000000000001</v>
      </c>
      <c r="G773">
        <f>Final_Dataset!L744</f>
        <v>0.5</v>
      </c>
      <c r="H773">
        <f>Final_Dataset!M744</f>
        <v>0.35820000000000002</v>
      </c>
      <c r="I773">
        <f>Final_Dataset!P744</f>
        <v>188</v>
      </c>
      <c r="J773" s="54">
        <f t="shared" si="50"/>
        <v>128.28571428571428</v>
      </c>
      <c r="K773" s="54">
        <f t="shared" si="51"/>
        <v>88.551565717048533</v>
      </c>
      <c r="L773" s="55">
        <f t="shared" si="52"/>
        <v>0.67434477562025907</v>
      </c>
      <c r="M773" t="str">
        <f t="shared" si="53"/>
        <v/>
      </c>
    </row>
    <row r="774" spans="1:13" x14ac:dyDescent="0.2">
      <c r="A774">
        <f>Final_Dataset!A745</f>
        <v>744</v>
      </c>
      <c r="B774" s="53">
        <f>Final_Dataset!B745</f>
        <v>40577</v>
      </c>
      <c r="C774">
        <f>Final_Dataset!F745</f>
        <v>9</v>
      </c>
      <c r="D774" t="str">
        <f>Final_Dataset!T745</f>
        <v>Thu</v>
      </c>
      <c r="E774" t="str">
        <f>Final_Dataset!X745</f>
        <v>Clear</v>
      </c>
      <c r="F774">
        <f>Final_Dataset!J745</f>
        <v>0.16</v>
      </c>
      <c r="G774">
        <f>Final_Dataset!L745</f>
        <v>0.47</v>
      </c>
      <c r="H774">
        <f>Final_Dataset!M745</f>
        <v>0.29849999999999999</v>
      </c>
      <c r="I774">
        <f>Final_Dataset!P745</f>
        <v>133</v>
      </c>
      <c r="J774" s="54">
        <f t="shared" si="50"/>
        <v>87.428571428571431</v>
      </c>
      <c r="K774" s="54">
        <f t="shared" si="51"/>
        <v>45.93852884078624</v>
      </c>
      <c r="L774" s="55">
        <f t="shared" si="52"/>
        <v>0.99200888059280334</v>
      </c>
      <c r="M774" t="str">
        <f t="shared" si="53"/>
        <v/>
      </c>
    </row>
    <row r="775" spans="1:13" x14ac:dyDescent="0.2">
      <c r="A775">
        <f>Final_Dataset!A746</f>
        <v>745</v>
      </c>
      <c r="B775" s="53">
        <f>Final_Dataset!B746</f>
        <v>40577</v>
      </c>
      <c r="C775">
        <f>Final_Dataset!F746</f>
        <v>10</v>
      </c>
      <c r="D775" t="str">
        <f>Final_Dataset!T746</f>
        <v>Thu</v>
      </c>
      <c r="E775" t="str">
        <f>Final_Dataset!X746</f>
        <v>Clear</v>
      </c>
      <c r="F775">
        <f>Final_Dataset!J746</f>
        <v>0.18</v>
      </c>
      <c r="G775">
        <f>Final_Dataset!L746</f>
        <v>0.43</v>
      </c>
      <c r="H775">
        <f>Final_Dataset!M746</f>
        <v>0.32840000000000003</v>
      </c>
      <c r="I775">
        <f>Final_Dataset!P746</f>
        <v>52</v>
      </c>
      <c r="J775" s="54">
        <f t="shared" si="50"/>
        <v>53.642857142857146</v>
      </c>
      <c r="K775" s="54">
        <f t="shared" si="51"/>
        <v>15.395313554536934</v>
      </c>
      <c r="L775" s="55">
        <f t="shared" si="52"/>
        <v>-0.10671150912499622</v>
      </c>
      <c r="M775" t="str">
        <f t="shared" si="53"/>
        <v/>
      </c>
    </row>
    <row r="776" spans="1:13" x14ac:dyDescent="0.2">
      <c r="A776">
        <f>Final_Dataset!A747</f>
        <v>746</v>
      </c>
      <c r="B776" s="53">
        <f>Final_Dataset!B747</f>
        <v>40577</v>
      </c>
      <c r="C776">
        <f>Final_Dataset!F747</f>
        <v>11</v>
      </c>
      <c r="D776" t="str">
        <f>Final_Dataset!T747</f>
        <v>Thu</v>
      </c>
      <c r="E776" t="str">
        <f>Final_Dataset!X747</f>
        <v>Clear</v>
      </c>
      <c r="F776">
        <f>Final_Dataset!J747</f>
        <v>0.18</v>
      </c>
      <c r="G776">
        <f>Final_Dataset!L747</f>
        <v>0.43</v>
      </c>
      <c r="H776">
        <f>Final_Dataset!M747</f>
        <v>0.44779999999999998</v>
      </c>
      <c r="I776">
        <f>Final_Dataset!P747</f>
        <v>64</v>
      </c>
      <c r="J776" s="54">
        <f t="shared" si="50"/>
        <v>59.38095238095238</v>
      </c>
      <c r="K776" s="54">
        <f t="shared" si="51"/>
        <v>20.89573696860419</v>
      </c>
      <c r="L776" s="55">
        <f t="shared" si="52"/>
        <v>0.22105215173734871</v>
      </c>
      <c r="M776" t="str">
        <f t="shared" si="53"/>
        <v/>
      </c>
    </row>
    <row r="777" spans="1:13" x14ac:dyDescent="0.2">
      <c r="A777">
        <f>Final_Dataset!A748</f>
        <v>747</v>
      </c>
      <c r="B777" s="53">
        <f>Final_Dataset!B748</f>
        <v>40577</v>
      </c>
      <c r="C777">
        <f>Final_Dataset!F748</f>
        <v>12</v>
      </c>
      <c r="D777" t="str">
        <f>Final_Dataset!T748</f>
        <v>Thu</v>
      </c>
      <c r="E777" t="str">
        <f>Final_Dataset!X748</f>
        <v>Clear</v>
      </c>
      <c r="F777">
        <f>Final_Dataset!J748</f>
        <v>0.2</v>
      </c>
      <c r="G777">
        <f>Final_Dataset!L748</f>
        <v>0.4</v>
      </c>
      <c r="H777">
        <f>Final_Dataset!M748</f>
        <v>0.35820000000000002</v>
      </c>
      <c r="I777">
        <f>Final_Dataset!P748</f>
        <v>69</v>
      </c>
      <c r="J777" s="54">
        <f t="shared" si="50"/>
        <v>76.348837209302332</v>
      </c>
      <c r="K777" s="54">
        <f t="shared" si="51"/>
        <v>29.034366927857057</v>
      </c>
      <c r="L777" s="55">
        <f t="shared" si="52"/>
        <v>-0.25310822955300882</v>
      </c>
      <c r="M777" t="str">
        <f t="shared" si="53"/>
        <v/>
      </c>
    </row>
    <row r="778" spans="1:13" x14ac:dyDescent="0.2">
      <c r="A778">
        <f>Final_Dataset!A749</f>
        <v>748</v>
      </c>
      <c r="B778" s="53">
        <f>Final_Dataset!B749</f>
        <v>40577</v>
      </c>
      <c r="C778">
        <f>Final_Dataset!F749</f>
        <v>13</v>
      </c>
      <c r="D778" t="str">
        <f>Final_Dataset!T749</f>
        <v>Thu</v>
      </c>
      <c r="E778" t="str">
        <f>Final_Dataset!X749</f>
        <v>Clear</v>
      </c>
      <c r="F778">
        <f>Final_Dataset!J749</f>
        <v>0.2</v>
      </c>
      <c r="G778">
        <f>Final_Dataset!L749</f>
        <v>0.4</v>
      </c>
      <c r="H778">
        <f>Final_Dataset!M749</f>
        <v>0.41789999999999999</v>
      </c>
      <c r="I778">
        <f>Final_Dataset!P749</f>
        <v>51</v>
      </c>
      <c r="J778" s="54">
        <f t="shared" si="50"/>
        <v>78.511627906976742</v>
      </c>
      <c r="K778" s="54">
        <f t="shared" si="51"/>
        <v>30.072430098825173</v>
      </c>
      <c r="L778" s="55">
        <f t="shared" si="52"/>
        <v>-0.91484551852201423</v>
      </c>
      <c r="M778" t="str">
        <f t="shared" si="53"/>
        <v/>
      </c>
    </row>
    <row r="779" spans="1:13" x14ac:dyDescent="0.2">
      <c r="A779">
        <f>Final_Dataset!A750</f>
        <v>749</v>
      </c>
      <c r="B779" s="53">
        <f>Final_Dataset!B750</f>
        <v>40577</v>
      </c>
      <c r="C779">
        <f>Final_Dataset!F750</f>
        <v>14</v>
      </c>
      <c r="D779" t="str">
        <f>Final_Dataset!T750</f>
        <v>Thu</v>
      </c>
      <c r="E779" t="str">
        <f>Final_Dataset!X750</f>
        <v>Clear</v>
      </c>
      <c r="F779">
        <f>Final_Dataset!J750</f>
        <v>0.22</v>
      </c>
      <c r="G779">
        <f>Final_Dataset!L750</f>
        <v>0.37</v>
      </c>
      <c r="H779">
        <f>Final_Dataset!M750</f>
        <v>0.3881</v>
      </c>
      <c r="I779">
        <f>Final_Dataset!P750</f>
        <v>47</v>
      </c>
      <c r="J779" s="54">
        <f t="shared" si="50"/>
        <v>74.418604651162795</v>
      </c>
      <c r="K779" s="54">
        <f t="shared" si="51"/>
        <v>30.305769180565147</v>
      </c>
      <c r="L779" s="55">
        <f t="shared" si="52"/>
        <v>-0.90473218111705711</v>
      </c>
      <c r="M779" t="str">
        <f t="shared" si="53"/>
        <v/>
      </c>
    </row>
    <row r="780" spans="1:13" x14ac:dyDescent="0.2">
      <c r="A780">
        <f>Final_Dataset!A751</f>
        <v>750</v>
      </c>
      <c r="B780" s="53">
        <f>Final_Dataset!B751</f>
        <v>40577</v>
      </c>
      <c r="C780">
        <f>Final_Dataset!F751</f>
        <v>15</v>
      </c>
      <c r="D780" t="str">
        <f>Final_Dataset!T751</f>
        <v>Thu</v>
      </c>
      <c r="E780" t="str">
        <f>Final_Dataset!X751</f>
        <v>Clear</v>
      </c>
      <c r="F780">
        <f>Final_Dataset!J751</f>
        <v>0.22</v>
      </c>
      <c r="G780">
        <f>Final_Dataset!L751</f>
        <v>0.37</v>
      </c>
      <c r="H780">
        <f>Final_Dataset!M751</f>
        <v>0.32840000000000003</v>
      </c>
      <c r="I780">
        <f>Final_Dataset!P751</f>
        <v>60</v>
      </c>
      <c r="J780" s="54">
        <f t="shared" si="50"/>
        <v>77.95348837209302</v>
      </c>
      <c r="K780" s="54">
        <f t="shared" si="51"/>
        <v>34.481156681772681</v>
      </c>
      <c r="L780" s="55">
        <f t="shared" si="52"/>
        <v>-0.52067535140384469</v>
      </c>
      <c r="M780" t="str">
        <f t="shared" si="53"/>
        <v/>
      </c>
    </row>
    <row r="781" spans="1:13" x14ac:dyDescent="0.2">
      <c r="A781">
        <f>Final_Dataset!A752</f>
        <v>751</v>
      </c>
      <c r="B781" s="53">
        <f>Final_Dataset!B752</f>
        <v>40577</v>
      </c>
      <c r="C781">
        <f>Final_Dataset!F752</f>
        <v>16</v>
      </c>
      <c r="D781" t="str">
        <f>Final_Dataset!T752</f>
        <v>Thu</v>
      </c>
      <c r="E781" t="str">
        <f>Final_Dataset!X752</f>
        <v>Clear</v>
      </c>
      <c r="F781">
        <f>Final_Dataset!J752</f>
        <v>0.22</v>
      </c>
      <c r="G781">
        <f>Final_Dataset!L752</f>
        <v>0.37</v>
      </c>
      <c r="H781">
        <f>Final_Dataset!M752</f>
        <v>0.25369999999999998</v>
      </c>
      <c r="I781">
        <f>Final_Dataset!P752</f>
        <v>78</v>
      </c>
      <c r="J781" s="54">
        <f t="shared" si="50"/>
        <v>89.272727272727266</v>
      </c>
      <c r="K781" s="54">
        <f t="shared" si="51"/>
        <v>25.461657115880747</v>
      </c>
      <c r="L781" s="55">
        <f t="shared" si="52"/>
        <v>-0.44273344902191492</v>
      </c>
      <c r="M781" t="str">
        <f t="shared" si="53"/>
        <v/>
      </c>
    </row>
    <row r="782" spans="1:13" x14ac:dyDescent="0.2">
      <c r="A782">
        <f>Final_Dataset!A753</f>
        <v>752</v>
      </c>
      <c r="B782" s="53">
        <f>Final_Dataset!B753</f>
        <v>40577</v>
      </c>
      <c r="C782">
        <f>Final_Dataset!F753</f>
        <v>17</v>
      </c>
      <c r="D782" t="str">
        <f>Final_Dataset!T753</f>
        <v>Thu</v>
      </c>
      <c r="E782" t="str">
        <f>Final_Dataset!X753</f>
        <v>Clear</v>
      </c>
      <c r="F782">
        <f>Final_Dataset!J753</f>
        <v>0.2</v>
      </c>
      <c r="G782">
        <f>Final_Dataset!L753</f>
        <v>0.4</v>
      </c>
      <c r="H782">
        <f>Final_Dataset!M753</f>
        <v>0.19400000000000001</v>
      </c>
      <c r="I782">
        <f>Final_Dataset!P753</f>
        <v>175</v>
      </c>
      <c r="J782" s="54">
        <f t="shared" si="50"/>
        <v>140.20454545454547</v>
      </c>
      <c r="K782" s="54">
        <f t="shared" si="51"/>
        <v>54.067391000084569</v>
      </c>
      <c r="L782" s="55">
        <f t="shared" si="52"/>
        <v>0.64355712198874382</v>
      </c>
      <c r="M782" t="str">
        <f t="shared" si="53"/>
        <v/>
      </c>
    </row>
    <row r="783" spans="1:13" x14ac:dyDescent="0.2">
      <c r="A783">
        <f>Final_Dataset!A754</f>
        <v>753</v>
      </c>
      <c r="B783" s="53">
        <f>Final_Dataset!B754</f>
        <v>40577</v>
      </c>
      <c r="C783">
        <f>Final_Dataset!F754</f>
        <v>18</v>
      </c>
      <c r="D783" t="str">
        <f>Final_Dataset!T754</f>
        <v>Thu</v>
      </c>
      <c r="E783" t="str">
        <f>Final_Dataset!X754</f>
        <v>Clear</v>
      </c>
      <c r="F783">
        <f>Final_Dataset!J754</f>
        <v>0.2</v>
      </c>
      <c r="G783">
        <f>Final_Dataset!L754</f>
        <v>0.4</v>
      </c>
      <c r="H783">
        <f>Final_Dataset!M754</f>
        <v>0.16420000000000001</v>
      </c>
      <c r="I783">
        <f>Final_Dataset!P754</f>
        <v>147</v>
      </c>
      <c r="J783" s="54">
        <f t="shared" si="50"/>
        <v>122.86046511627907</v>
      </c>
      <c r="K783" s="54">
        <f t="shared" si="51"/>
        <v>48.613432101949947</v>
      </c>
      <c r="L783" s="55">
        <f t="shared" si="52"/>
        <v>0.49656100875775566</v>
      </c>
      <c r="M783" t="str">
        <f t="shared" si="53"/>
        <v/>
      </c>
    </row>
    <row r="784" spans="1:13" x14ac:dyDescent="0.2">
      <c r="A784">
        <f>Final_Dataset!A755</f>
        <v>754</v>
      </c>
      <c r="B784" s="53">
        <f>Final_Dataset!B755</f>
        <v>40577</v>
      </c>
      <c r="C784">
        <f>Final_Dataset!F755</f>
        <v>19</v>
      </c>
      <c r="D784" t="str">
        <f>Final_Dataset!T755</f>
        <v>Thu</v>
      </c>
      <c r="E784" t="str">
        <f>Final_Dataset!X755</f>
        <v>Clear</v>
      </c>
      <c r="F784">
        <f>Final_Dataset!J755</f>
        <v>0.2</v>
      </c>
      <c r="G784">
        <f>Final_Dataset!L755</f>
        <v>0.4</v>
      </c>
      <c r="H784">
        <f>Final_Dataset!M755</f>
        <v>0</v>
      </c>
      <c r="I784">
        <f>Final_Dataset!P755</f>
        <v>96</v>
      </c>
      <c r="J784" s="54">
        <f t="shared" si="50"/>
        <v>85.139534883720927</v>
      </c>
      <c r="K784" s="54">
        <f t="shared" si="51"/>
        <v>31.690904054294759</v>
      </c>
      <c r="L784" s="55">
        <f t="shared" si="52"/>
        <v>0.3426997569293786</v>
      </c>
      <c r="M784" t="str">
        <f t="shared" si="53"/>
        <v/>
      </c>
    </row>
    <row r="785" spans="1:13" x14ac:dyDescent="0.2">
      <c r="A785">
        <f>Final_Dataset!A756</f>
        <v>755</v>
      </c>
      <c r="B785" s="53">
        <f>Final_Dataset!B756</f>
        <v>40577</v>
      </c>
      <c r="C785">
        <f>Final_Dataset!F756</f>
        <v>20</v>
      </c>
      <c r="D785" t="str">
        <f>Final_Dataset!T756</f>
        <v>Thu</v>
      </c>
      <c r="E785" t="str">
        <f>Final_Dataset!X756</f>
        <v>Clear</v>
      </c>
      <c r="F785">
        <f>Final_Dataset!J756</f>
        <v>0.2</v>
      </c>
      <c r="G785">
        <f>Final_Dataset!L756</f>
        <v>0.47</v>
      </c>
      <c r="H785">
        <f>Final_Dataset!M756</f>
        <v>8.9599999999999999E-2</v>
      </c>
      <c r="I785">
        <f>Final_Dataset!P756</f>
        <v>109</v>
      </c>
      <c r="J785" s="54">
        <f t="shared" si="50"/>
        <v>61.767441860465119</v>
      </c>
      <c r="K785" s="54">
        <f t="shared" si="51"/>
        <v>24.6323801696856</v>
      </c>
      <c r="L785" s="55">
        <f t="shared" si="52"/>
        <v>1.9174987481584385</v>
      </c>
      <c r="M785" t="str">
        <f t="shared" si="53"/>
        <v/>
      </c>
    </row>
    <row r="786" spans="1:13" x14ac:dyDescent="0.2">
      <c r="A786">
        <f>Final_Dataset!A757</f>
        <v>756</v>
      </c>
      <c r="B786" s="53">
        <f>Final_Dataset!B757</f>
        <v>40577</v>
      </c>
      <c r="C786">
        <f>Final_Dataset!F757</f>
        <v>21</v>
      </c>
      <c r="D786" t="str">
        <f>Final_Dataset!T757</f>
        <v>Thu</v>
      </c>
      <c r="E786" t="str">
        <f>Final_Dataset!X757</f>
        <v>Clear</v>
      </c>
      <c r="F786">
        <f>Final_Dataset!J757</f>
        <v>0.18</v>
      </c>
      <c r="G786">
        <f>Final_Dataset!L757</f>
        <v>0.55000000000000004</v>
      </c>
      <c r="H786">
        <f>Final_Dataset!M757</f>
        <v>0.1045</v>
      </c>
      <c r="I786">
        <f>Final_Dataset!P757</f>
        <v>54</v>
      </c>
      <c r="J786" s="54">
        <f t="shared" si="50"/>
        <v>46.418604651162788</v>
      </c>
      <c r="K786" s="54">
        <f t="shared" si="51"/>
        <v>14.656759464719499</v>
      </c>
      <c r="L786" s="55">
        <f t="shared" si="52"/>
        <v>0.5172627255763117</v>
      </c>
      <c r="M786" t="str">
        <f t="shared" si="53"/>
        <v/>
      </c>
    </row>
    <row r="787" spans="1:13" x14ac:dyDescent="0.2">
      <c r="A787">
        <f>Final_Dataset!A758</f>
        <v>757</v>
      </c>
      <c r="B787" s="53">
        <f>Final_Dataset!B758</f>
        <v>40577</v>
      </c>
      <c r="C787">
        <f>Final_Dataset!F758</f>
        <v>22</v>
      </c>
      <c r="D787" t="str">
        <f>Final_Dataset!T758</f>
        <v>Thu</v>
      </c>
      <c r="E787" t="str">
        <f>Final_Dataset!X758</f>
        <v>Clear</v>
      </c>
      <c r="F787">
        <f>Final_Dataset!J758</f>
        <v>0.18</v>
      </c>
      <c r="G787">
        <f>Final_Dataset!L758</f>
        <v>0.51</v>
      </c>
      <c r="H787">
        <f>Final_Dataset!M758</f>
        <v>8.9599999999999999E-2</v>
      </c>
      <c r="I787">
        <f>Final_Dataset!P758</f>
        <v>41</v>
      </c>
      <c r="J787" s="54">
        <f t="shared" si="50"/>
        <v>35.069767441860463</v>
      </c>
      <c r="K787" s="54">
        <f t="shared" si="51"/>
        <v>11.95506537162667</v>
      </c>
      <c r="L787" s="55">
        <f t="shared" si="52"/>
        <v>0.49604350740013037</v>
      </c>
      <c r="M787" t="str">
        <f t="shared" si="53"/>
        <v/>
      </c>
    </row>
    <row r="788" spans="1:13" x14ac:dyDescent="0.2">
      <c r="A788">
        <f>Final_Dataset!A759</f>
        <v>758</v>
      </c>
      <c r="B788" s="53">
        <f>Final_Dataset!B759</f>
        <v>40577</v>
      </c>
      <c r="C788">
        <f>Final_Dataset!F759</f>
        <v>23</v>
      </c>
      <c r="D788" t="str">
        <f>Final_Dataset!T759</f>
        <v>Thu</v>
      </c>
      <c r="E788" t="str">
        <f>Final_Dataset!X759</f>
        <v>Clear</v>
      </c>
      <c r="F788">
        <f>Final_Dataset!J759</f>
        <v>0.2</v>
      </c>
      <c r="G788">
        <f>Final_Dataset!L759</f>
        <v>0.47</v>
      </c>
      <c r="H788">
        <f>Final_Dataset!M759</f>
        <v>0.1045</v>
      </c>
      <c r="I788">
        <f>Final_Dataset!P759</f>
        <v>38</v>
      </c>
      <c r="J788" s="54">
        <f t="shared" si="50"/>
        <v>25.186046511627907</v>
      </c>
      <c r="K788" s="54">
        <f t="shared" si="51"/>
        <v>11.751911321656186</v>
      </c>
      <c r="L788" s="55">
        <f t="shared" si="52"/>
        <v>1.0903718669795268</v>
      </c>
      <c r="M788" t="str">
        <f t="shared" si="53"/>
        <v/>
      </c>
    </row>
    <row r="789" spans="1:13" x14ac:dyDescent="0.2">
      <c r="A789">
        <f>Final_Dataset!A760</f>
        <v>759</v>
      </c>
      <c r="B789" s="53">
        <f>Final_Dataset!B760</f>
        <v>40578</v>
      </c>
      <c r="C789">
        <f>Final_Dataset!F760</f>
        <v>0</v>
      </c>
      <c r="D789" t="str">
        <f>Final_Dataset!T760</f>
        <v>Fri</v>
      </c>
      <c r="E789" t="str">
        <f>Final_Dataset!X760</f>
        <v>Cloudy/Mist</v>
      </c>
      <c r="F789">
        <f>Final_Dataset!J760</f>
        <v>0.2</v>
      </c>
      <c r="G789">
        <f>Final_Dataset!L760</f>
        <v>0.44</v>
      </c>
      <c r="H789">
        <f>Final_Dataset!M760</f>
        <v>0</v>
      </c>
      <c r="I789">
        <f>Final_Dataset!P760</f>
        <v>13</v>
      </c>
      <c r="J789" s="54">
        <f t="shared" si="50"/>
        <v>16.348837209302324</v>
      </c>
      <c r="K789" s="54">
        <f t="shared" si="51"/>
        <v>10.442321674276208</v>
      </c>
      <c r="L789" s="55">
        <f t="shared" si="52"/>
        <v>-0.32069852986351749</v>
      </c>
      <c r="M789" t="str">
        <f t="shared" si="53"/>
        <v/>
      </c>
    </row>
    <row r="790" spans="1:13" x14ac:dyDescent="0.2">
      <c r="A790">
        <f>Final_Dataset!A761</f>
        <v>760</v>
      </c>
      <c r="B790" s="53">
        <f>Final_Dataset!B761</f>
        <v>40578</v>
      </c>
      <c r="C790">
        <f>Final_Dataset!F761</f>
        <v>1</v>
      </c>
      <c r="D790" t="str">
        <f>Final_Dataset!T761</f>
        <v>Fri</v>
      </c>
      <c r="E790" t="str">
        <f>Final_Dataset!X761</f>
        <v>Cloudy/Mist</v>
      </c>
      <c r="F790">
        <f>Final_Dataset!J761</f>
        <v>0.16</v>
      </c>
      <c r="G790">
        <f>Final_Dataset!L761</f>
        <v>0.59</v>
      </c>
      <c r="H790">
        <f>Final_Dataset!M761</f>
        <v>0</v>
      </c>
      <c r="I790">
        <f>Final_Dataset!P761</f>
        <v>7</v>
      </c>
      <c r="J790" s="54">
        <f t="shared" si="50"/>
        <v>10.697674418604651</v>
      </c>
      <c r="K790" s="54">
        <f t="shared" si="51"/>
        <v>10.060613641515801</v>
      </c>
      <c r="L790" s="55">
        <f t="shared" si="52"/>
        <v>-0.36753965020045576</v>
      </c>
      <c r="M790" t="str">
        <f t="shared" si="53"/>
        <v/>
      </c>
    </row>
    <row r="791" spans="1:13" x14ac:dyDescent="0.2">
      <c r="A791">
        <f>Final_Dataset!A762</f>
        <v>761</v>
      </c>
      <c r="B791" s="53">
        <f>Final_Dataset!B762</f>
        <v>40578</v>
      </c>
      <c r="C791">
        <f>Final_Dataset!F762</f>
        <v>2</v>
      </c>
      <c r="D791" t="str">
        <f>Final_Dataset!T762</f>
        <v>Fri</v>
      </c>
      <c r="E791" t="str">
        <f>Final_Dataset!X762</f>
        <v>Cloudy/Mist</v>
      </c>
      <c r="F791">
        <f>Final_Dataset!J762</f>
        <v>0.14000000000000001</v>
      </c>
      <c r="G791">
        <f>Final_Dataset!L762</f>
        <v>0.63</v>
      </c>
      <c r="H791">
        <f>Final_Dataset!M762</f>
        <v>0.1045</v>
      </c>
      <c r="I791">
        <f>Final_Dataset!P762</f>
        <v>1</v>
      </c>
      <c r="J791" s="54">
        <f t="shared" si="50"/>
        <v>7.1707317073170733</v>
      </c>
      <c r="K791" s="54">
        <f t="shared" si="51"/>
        <v>7.3685223723090862</v>
      </c>
      <c r="L791" s="55">
        <f t="shared" si="52"/>
        <v>-0.83744493068334691</v>
      </c>
      <c r="M791" t="str">
        <f t="shared" si="53"/>
        <v/>
      </c>
    </row>
    <row r="792" spans="1:13" x14ac:dyDescent="0.2">
      <c r="A792">
        <f>Final_Dataset!A763</f>
        <v>762</v>
      </c>
      <c r="B792" s="53">
        <f>Final_Dataset!B763</f>
        <v>40578</v>
      </c>
      <c r="C792">
        <f>Final_Dataset!F763</f>
        <v>3</v>
      </c>
      <c r="D792" t="str">
        <f>Final_Dataset!T763</f>
        <v>Fri</v>
      </c>
      <c r="E792" t="str">
        <f>Final_Dataset!X763</f>
        <v>Cloudy/Mist</v>
      </c>
      <c r="F792">
        <f>Final_Dataset!J763</f>
        <v>0.14000000000000001</v>
      </c>
      <c r="G792">
        <f>Final_Dataset!L763</f>
        <v>0.63</v>
      </c>
      <c r="H792">
        <f>Final_Dataset!M763</f>
        <v>0.1045</v>
      </c>
      <c r="I792">
        <f>Final_Dataset!P763</f>
        <v>1</v>
      </c>
      <c r="J792" s="54">
        <f t="shared" si="50"/>
        <v>4.870967741935484</v>
      </c>
      <c r="K792" s="54">
        <f t="shared" si="51"/>
        <v>4.4702120418303126</v>
      </c>
      <c r="L792" s="55">
        <f t="shared" si="52"/>
        <v>-0.86594723152115394</v>
      </c>
      <c r="M792" t="str">
        <f t="shared" si="53"/>
        <v/>
      </c>
    </row>
    <row r="793" spans="1:13" x14ac:dyDescent="0.2">
      <c r="A793">
        <f>Final_Dataset!A764</f>
        <v>763</v>
      </c>
      <c r="B793" s="53">
        <f>Final_Dataset!B764</f>
        <v>40578</v>
      </c>
      <c r="C793">
        <f>Final_Dataset!F764</f>
        <v>5</v>
      </c>
      <c r="D793" t="str">
        <f>Final_Dataset!T764</f>
        <v>Fri</v>
      </c>
      <c r="E793" t="str">
        <f>Final_Dataset!X764</f>
        <v>Cloudy/Mist</v>
      </c>
      <c r="F793">
        <f>Final_Dataset!J764</f>
        <v>0.14000000000000001</v>
      </c>
      <c r="G793">
        <f>Final_Dataset!L764</f>
        <v>0.63</v>
      </c>
      <c r="H793">
        <f>Final_Dataset!M764</f>
        <v>0.1343</v>
      </c>
      <c r="I793">
        <f>Final_Dataset!P764</f>
        <v>7</v>
      </c>
      <c r="J793" s="54">
        <f t="shared" si="50"/>
        <v>4.2051282051282053</v>
      </c>
      <c r="K793" s="54">
        <f t="shared" si="51"/>
        <v>2.5358429220352288</v>
      </c>
      <c r="L793" s="55">
        <f t="shared" si="52"/>
        <v>1.1021470496400751</v>
      </c>
      <c r="M793" t="str">
        <f t="shared" si="53"/>
        <v/>
      </c>
    </row>
    <row r="794" spans="1:13" x14ac:dyDescent="0.2">
      <c r="A794">
        <f>Final_Dataset!A765</f>
        <v>764</v>
      </c>
      <c r="B794" s="53">
        <f>Final_Dataset!B765</f>
        <v>40578</v>
      </c>
      <c r="C794">
        <f>Final_Dataset!F765</f>
        <v>6</v>
      </c>
      <c r="D794" t="str">
        <f>Final_Dataset!T765</f>
        <v>Fri</v>
      </c>
      <c r="E794" t="str">
        <f>Final_Dataset!X765</f>
        <v>Cloudy/Mist</v>
      </c>
      <c r="F794">
        <f>Final_Dataset!J765</f>
        <v>0.16</v>
      </c>
      <c r="G794">
        <f>Final_Dataset!L765</f>
        <v>0.55000000000000004</v>
      </c>
      <c r="H794">
        <f>Final_Dataset!M765</f>
        <v>0</v>
      </c>
      <c r="I794">
        <f>Final_Dataset!P765</f>
        <v>28</v>
      </c>
      <c r="J794" s="54">
        <f t="shared" si="50"/>
        <v>19.571428571428573</v>
      </c>
      <c r="K794" s="54">
        <f t="shared" si="51"/>
        <v>14.202615453298934</v>
      </c>
      <c r="L794" s="55">
        <f t="shared" si="52"/>
        <v>0.59345206214209423</v>
      </c>
      <c r="M794" t="str">
        <f t="shared" si="53"/>
        <v/>
      </c>
    </row>
    <row r="795" spans="1:13" x14ac:dyDescent="0.2">
      <c r="A795">
        <f>Final_Dataset!A766</f>
        <v>765</v>
      </c>
      <c r="B795" s="53">
        <f>Final_Dataset!B766</f>
        <v>40578</v>
      </c>
      <c r="C795">
        <f>Final_Dataset!F766</f>
        <v>7</v>
      </c>
      <c r="D795" t="str">
        <f>Final_Dataset!T766</f>
        <v>Fri</v>
      </c>
      <c r="E795" t="str">
        <f>Final_Dataset!X766</f>
        <v>Clear</v>
      </c>
      <c r="F795">
        <f>Final_Dataset!J766</f>
        <v>0.14000000000000001</v>
      </c>
      <c r="G795">
        <f>Final_Dataset!L766</f>
        <v>0.59</v>
      </c>
      <c r="H795">
        <f>Final_Dataset!M766</f>
        <v>0</v>
      </c>
      <c r="I795">
        <f>Final_Dataset!P766</f>
        <v>87</v>
      </c>
      <c r="J795" s="54">
        <f t="shared" si="50"/>
        <v>54.395348837209305</v>
      </c>
      <c r="K795" s="54">
        <f t="shared" si="51"/>
        <v>39.112864486352777</v>
      </c>
      <c r="L795" s="55">
        <f t="shared" si="52"/>
        <v>0.83360427805452808</v>
      </c>
      <c r="M795" t="str">
        <f t="shared" si="53"/>
        <v/>
      </c>
    </row>
    <row r="796" spans="1:13" x14ac:dyDescent="0.2">
      <c r="A796">
        <f>Final_Dataset!A767</f>
        <v>766</v>
      </c>
      <c r="B796" s="53">
        <f>Final_Dataset!B767</f>
        <v>40578</v>
      </c>
      <c r="C796">
        <f>Final_Dataset!F767</f>
        <v>8</v>
      </c>
      <c r="D796" t="str">
        <f>Final_Dataset!T767</f>
        <v>Fri</v>
      </c>
      <c r="E796" t="str">
        <f>Final_Dataset!X767</f>
        <v>Clear</v>
      </c>
      <c r="F796">
        <f>Final_Dataset!J767</f>
        <v>0.14000000000000001</v>
      </c>
      <c r="G796">
        <f>Final_Dataset!L767</f>
        <v>0.74</v>
      </c>
      <c r="H796">
        <f>Final_Dataset!M767</f>
        <v>0.1343</v>
      </c>
      <c r="I796">
        <f>Final_Dataset!P767</f>
        <v>220</v>
      </c>
      <c r="J796" s="54">
        <f t="shared" si="50"/>
        <v>128.28571428571428</v>
      </c>
      <c r="K796" s="54">
        <f t="shared" si="51"/>
        <v>88.551565717048533</v>
      </c>
      <c r="L796" s="55">
        <f t="shared" si="52"/>
        <v>1.0357161386320726</v>
      </c>
      <c r="M796" t="str">
        <f t="shared" si="53"/>
        <v/>
      </c>
    </row>
    <row r="797" spans="1:13" x14ac:dyDescent="0.2">
      <c r="A797">
        <f>Final_Dataset!A768</f>
        <v>767</v>
      </c>
      <c r="B797" s="53">
        <f>Final_Dataset!B768</f>
        <v>40578</v>
      </c>
      <c r="C797">
        <f>Final_Dataset!F768</f>
        <v>9</v>
      </c>
      <c r="D797" t="str">
        <f>Final_Dataset!T768</f>
        <v>Fri</v>
      </c>
      <c r="E797" t="str">
        <f>Final_Dataset!X768</f>
        <v>Cloudy/Mist</v>
      </c>
      <c r="F797">
        <f>Final_Dataset!J768</f>
        <v>0.16</v>
      </c>
      <c r="G797">
        <f>Final_Dataset!L768</f>
        <v>0.8</v>
      </c>
      <c r="H797">
        <f>Final_Dataset!M768</f>
        <v>0.1343</v>
      </c>
      <c r="I797">
        <f>Final_Dataset!P768</f>
        <v>127</v>
      </c>
      <c r="J797" s="54">
        <f t="shared" si="50"/>
        <v>87.428571428571431</v>
      </c>
      <c r="K797" s="54">
        <f t="shared" si="51"/>
        <v>45.93852884078624</v>
      </c>
      <c r="L797" s="55">
        <f t="shared" si="52"/>
        <v>0.86139956089092951</v>
      </c>
      <c r="M797" t="str">
        <f t="shared" si="53"/>
        <v/>
      </c>
    </row>
    <row r="798" spans="1:13" x14ac:dyDescent="0.2">
      <c r="A798">
        <f>Final_Dataset!A769</f>
        <v>768</v>
      </c>
      <c r="B798" s="53">
        <f>Final_Dataset!B769</f>
        <v>40578</v>
      </c>
      <c r="C798">
        <f>Final_Dataset!F769</f>
        <v>10</v>
      </c>
      <c r="D798" t="str">
        <f>Final_Dataset!T769</f>
        <v>Fri</v>
      </c>
      <c r="E798" t="str">
        <f>Final_Dataset!X769</f>
        <v>Cloudy/Mist</v>
      </c>
      <c r="F798">
        <f>Final_Dataset!J769</f>
        <v>0.2</v>
      </c>
      <c r="G798">
        <f>Final_Dataset!L769</f>
        <v>0.51</v>
      </c>
      <c r="H798">
        <f>Final_Dataset!M769</f>
        <v>0.1343</v>
      </c>
      <c r="I798">
        <f>Final_Dataset!P769</f>
        <v>51</v>
      </c>
      <c r="J798" s="54">
        <f t="shared" si="50"/>
        <v>53.642857142857146</v>
      </c>
      <c r="K798" s="54">
        <f t="shared" si="51"/>
        <v>15.395313554536934</v>
      </c>
      <c r="L798" s="55">
        <f t="shared" si="52"/>
        <v>-0.17166634076629814</v>
      </c>
      <c r="M798" t="str">
        <f t="shared" si="53"/>
        <v/>
      </c>
    </row>
    <row r="799" spans="1:13" x14ac:dyDescent="0.2">
      <c r="A799">
        <f>Final_Dataset!A770</f>
        <v>769</v>
      </c>
      <c r="B799" s="53">
        <f>Final_Dataset!B770</f>
        <v>40578</v>
      </c>
      <c r="C799">
        <f>Final_Dataset!F770</f>
        <v>11</v>
      </c>
      <c r="D799" t="str">
        <f>Final_Dataset!T770</f>
        <v>Fri</v>
      </c>
      <c r="E799" t="str">
        <f>Final_Dataset!X770</f>
        <v>Clear</v>
      </c>
      <c r="F799">
        <f>Final_Dataset!J770</f>
        <v>0.22</v>
      </c>
      <c r="G799">
        <f>Final_Dataset!L770</f>
        <v>0.51</v>
      </c>
      <c r="H799">
        <f>Final_Dataset!M770</f>
        <v>0.16420000000000001</v>
      </c>
      <c r="I799">
        <f>Final_Dataset!P770</f>
        <v>64</v>
      </c>
      <c r="J799" s="54">
        <f t="shared" ref="J799:J862" si="54">INDEX($F$5:$F$28,MATCH(C799,$D$5:$D$28,0))</f>
        <v>59.38095238095238</v>
      </c>
      <c r="K799" s="54">
        <f t="shared" ref="K799:K862" si="55">INDEX($G$5:$G$28,MATCH(C799,$D$5:$D$28,0))</f>
        <v>20.89573696860419</v>
      </c>
      <c r="L799" s="55">
        <f t="shared" ref="L799:L862" si="56">IF(K799=0,0,(I799-J799)/K799)</f>
        <v>0.22105215173734871</v>
      </c>
      <c r="M799" t="str">
        <f t="shared" ref="M799:M862" si="57">IF(ABS(L799)&gt;=$B$4,IF(L799&gt;0,"High","Low"),"")</f>
        <v/>
      </c>
    </row>
    <row r="800" spans="1:13" x14ac:dyDescent="0.2">
      <c r="A800">
        <f>Final_Dataset!A771</f>
        <v>770</v>
      </c>
      <c r="B800" s="53">
        <f>Final_Dataset!B771</f>
        <v>40578</v>
      </c>
      <c r="C800">
        <f>Final_Dataset!F771</f>
        <v>12</v>
      </c>
      <c r="D800" t="str">
        <f>Final_Dataset!T771</f>
        <v>Fri</v>
      </c>
      <c r="E800" t="str">
        <f>Final_Dataset!X771</f>
        <v>Cloudy/Mist</v>
      </c>
      <c r="F800">
        <f>Final_Dataset!J771</f>
        <v>0.24</v>
      </c>
      <c r="G800">
        <f>Final_Dataset!L771</f>
        <v>0.48</v>
      </c>
      <c r="H800">
        <f>Final_Dataset!M771</f>
        <v>0.16420000000000001</v>
      </c>
      <c r="I800">
        <f>Final_Dataset!P771</f>
        <v>86</v>
      </c>
      <c r="J800" s="54">
        <f t="shared" si="54"/>
        <v>76.348837209302332</v>
      </c>
      <c r="K800" s="54">
        <f t="shared" si="55"/>
        <v>29.034366927857057</v>
      </c>
      <c r="L800" s="55">
        <f t="shared" si="56"/>
        <v>0.33240479514081805</v>
      </c>
      <c r="M800" t="str">
        <f t="shared" si="57"/>
        <v/>
      </c>
    </row>
    <row r="801" spans="1:13" x14ac:dyDescent="0.2">
      <c r="A801">
        <f>Final_Dataset!A772</f>
        <v>771</v>
      </c>
      <c r="B801" s="53">
        <f>Final_Dataset!B772</f>
        <v>40578</v>
      </c>
      <c r="C801">
        <f>Final_Dataset!F772</f>
        <v>13</v>
      </c>
      <c r="D801" t="str">
        <f>Final_Dataset!T772</f>
        <v>Fri</v>
      </c>
      <c r="E801" t="str">
        <f>Final_Dataset!X772</f>
        <v>Cloudy/Mist</v>
      </c>
      <c r="F801">
        <f>Final_Dataset!J772</f>
        <v>0.26</v>
      </c>
      <c r="G801">
        <f>Final_Dataset!L772</f>
        <v>0.5</v>
      </c>
      <c r="H801">
        <f>Final_Dataset!M772</f>
        <v>0.22389999999999999</v>
      </c>
      <c r="I801">
        <f>Final_Dataset!P772</f>
        <v>82</v>
      </c>
      <c r="J801" s="54">
        <f t="shared" si="54"/>
        <v>78.511627906976742</v>
      </c>
      <c r="K801" s="54">
        <f t="shared" si="55"/>
        <v>30.072430098825173</v>
      </c>
      <c r="L801" s="55">
        <f t="shared" si="56"/>
        <v>0.11599900911099091</v>
      </c>
      <c r="M801" t="str">
        <f t="shared" si="57"/>
        <v/>
      </c>
    </row>
    <row r="802" spans="1:13" x14ac:dyDescent="0.2">
      <c r="A802">
        <f>Final_Dataset!A773</f>
        <v>772</v>
      </c>
      <c r="B802" s="53">
        <f>Final_Dataset!B773</f>
        <v>40578</v>
      </c>
      <c r="C802">
        <f>Final_Dataset!F773</f>
        <v>14</v>
      </c>
      <c r="D802" t="str">
        <f>Final_Dataset!T773</f>
        <v>Fri</v>
      </c>
      <c r="E802" t="str">
        <f>Final_Dataset!X773</f>
        <v>Cloudy/Mist</v>
      </c>
      <c r="F802">
        <f>Final_Dataset!J773</f>
        <v>0.28000000000000003</v>
      </c>
      <c r="G802">
        <f>Final_Dataset!L773</f>
        <v>0.45</v>
      </c>
      <c r="H802">
        <f>Final_Dataset!M773</f>
        <v>0.16420000000000001</v>
      </c>
      <c r="I802">
        <f>Final_Dataset!P773</f>
        <v>91</v>
      </c>
      <c r="J802" s="54">
        <f t="shared" si="54"/>
        <v>74.418604651162795</v>
      </c>
      <c r="K802" s="54">
        <f t="shared" si="55"/>
        <v>30.305769180565147</v>
      </c>
      <c r="L802" s="55">
        <f t="shared" si="56"/>
        <v>0.54713659468741427</v>
      </c>
      <c r="M802" t="str">
        <f t="shared" si="57"/>
        <v/>
      </c>
    </row>
    <row r="803" spans="1:13" x14ac:dyDescent="0.2">
      <c r="A803">
        <f>Final_Dataset!A774</f>
        <v>773</v>
      </c>
      <c r="B803" s="53">
        <f>Final_Dataset!B774</f>
        <v>40578</v>
      </c>
      <c r="C803">
        <f>Final_Dataset!F774</f>
        <v>15</v>
      </c>
      <c r="D803" t="str">
        <f>Final_Dataset!T774</f>
        <v>Fri</v>
      </c>
      <c r="E803" t="str">
        <f>Final_Dataset!X774</f>
        <v>Cloudy/Mist</v>
      </c>
      <c r="F803">
        <f>Final_Dataset!J774</f>
        <v>0.28000000000000003</v>
      </c>
      <c r="G803">
        <f>Final_Dataset!L774</f>
        <v>0.48</v>
      </c>
      <c r="H803">
        <f>Final_Dataset!M774</f>
        <v>0.25369999999999998</v>
      </c>
      <c r="I803">
        <f>Final_Dataset!P774</f>
        <v>90</v>
      </c>
      <c r="J803" s="54">
        <f t="shared" si="54"/>
        <v>77.95348837209302</v>
      </c>
      <c r="K803" s="54">
        <f t="shared" si="55"/>
        <v>34.481156681772681</v>
      </c>
      <c r="L803" s="55">
        <f t="shared" si="56"/>
        <v>0.34936506739273537</v>
      </c>
      <c r="M803" t="str">
        <f t="shared" si="57"/>
        <v/>
      </c>
    </row>
    <row r="804" spans="1:13" x14ac:dyDescent="0.2">
      <c r="A804">
        <f>Final_Dataset!A775</f>
        <v>774</v>
      </c>
      <c r="B804" s="53">
        <f>Final_Dataset!B775</f>
        <v>40578</v>
      </c>
      <c r="C804">
        <f>Final_Dataset!F775</f>
        <v>16</v>
      </c>
      <c r="D804" t="str">
        <f>Final_Dataset!T775</f>
        <v>Fri</v>
      </c>
      <c r="E804" t="str">
        <f>Final_Dataset!X775</f>
        <v>Cloudy/Mist</v>
      </c>
      <c r="F804">
        <f>Final_Dataset!J775</f>
        <v>0.3</v>
      </c>
      <c r="G804">
        <f>Final_Dataset!L775</f>
        <v>0.42</v>
      </c>
      <c r="H804">
        <f>Final_Dataset!M775</f>
        <v>0.22389999999999999</v>
      </c>
      <c r="I804">
        <f>Final_Dataset!P775</f>
        <v>99</v>
      </c>
      <c r="J804" s="54">
        <f t="shared" si="54"/>
        <v>89.272727272727266</v>
      </c>
      <c r="K804" s="54">
        <f t="shared" si="55"/>
        <v>25.461657115880747</v>
      </c>
      <c r="L804" s="55">
        <f t="shared" si="56"/>
        <v>0.38203612133342707</v>
      </c>
      <c r="M804" t="str">
        <f t="shared" si="57"/>
        <v/>
      </c>
    </row>
    <row r="805" spans="1:13" x14ac:dyDescent="0.2">
      <c r="A805">
        <f>Final_Dataset!A776</f>
        <v>775</v>
      </c>
      <c r="B805" s="53">
        <f>Final_Dataset!B776</f>
        <v>40578</v>
      </c>
      <c r="C805">
        <f>Final_Dataset!F776</f>
        <v>17</v>
      </c>
      <c r="D805" t="str">
        <f>Final_Dataset!T776</f>
        <v>Fri</v>
      </c>
      <c r="E805" t="str">
        <f>Final_Dataset!X776</f>
        <v>Cloudy/Mist</v>
      </c>
      <c r="F805">
        <f>Final_Dataset!J776</f>
        <v>0.26</v>
      </c>
      <c r="G805">
        <f>Final_Dataset!L776</f>
        <v>0.56000000000000005</v>
      </c>
      <c r="H805">
        <f>Final_Dataset!M776</f>
        <v>0.1343</v>
      </c>
      <c r="I805">
        <f>Final_Dataset!P776</f>
        <v>205</v>
      </c>
      <c r="J805" s="54">
        <f t="shared" si="54"/>
        <v>140.20454545454547</v>
      </c>
      <c r="K805" s="54">
        <f t="shared" si="55"/>
        <v>54.067391000084569</v>
      </c>
      <c r="L805" s="55">
        <f t="shared" si="56"/>
        <v>1.1984202186740096</v>
      </c>
      <c r="M805" t="str">
        <f t="shared" si="57"/>
        <v/>
      </c>
    </row>
    <row r="806" spans="1:13" x14ac:dyDescent="0.2">
      <c r="A806">
        <f>Final_Dataset!A777</f>
        <v>776</v>
      </c>
      <c r="B806" s="53">
        <f>Final_Dataset!B777</f>
        <v>40578</v>
      </c>
      <c r="C806">
        <f>Final_Dataset!F777</f>
        <v>18</v>
      </c>
      <c r="D806" t="str">
        <f>Final_Dataset!T777</f>
        <v>Fri</v>
      </c>
      <c r="E806" t="str">
        <f>Final_Dataset!X777</f>
        <v>Cloudy/Mist</v>
      </c>
      <c r="F806">
        <f>Final_Dataset!J777</f>
        <v>0.24</v>
      </c>
      <c r="G806">
        <f>Final_Dataset!L777</f>
        <v>0.6</v>
      </c>
      <c r="H806">
        <f>Final_Dataset!M777</f>
        <v>0.1045</v>
      </c>
      <c r="I806">
        <f>Final_Dataset!P777</f>
        <v>155</v>
      </c>
      <c r="J806" s="54">
        <f t="shared" si="54"/>
        <v>122.86046511627907</v>
      </c>
      <c r="K806" s="54">
        <f t="shared" si="55"/>
        <v>48.613432101949947</v>
      </c>
      <c r="L806" s="55">
        <f t="shared" si="56"/>
        <v>0.66112458006090402</v>
      </c>
      <c r="M806" t="str">
        <f t="shared" si="57"/>
        <v/>
      </c>
    </row>
    <row r="807" spans="1:13" x14ac:dyDescent="0.2">
      <c r="A807">
        <f>Final_Dataset!A778</f>
        <v>777</v>
      </c>
      <c r="B807" s="53">
        <f>Final_Dataset!B778</f>
        <v>40578</v>
      </c>
      <c r="C807">
        <f>Final_Dataset!F778</f>
        <v>19</v>
      </c>
      <c r="D807" t="str">
        <f>Final_Dataset!T778</f>
        <v>Fri</v>
      </c>
      <c r="E807" t="str">
        <f>Final_Dataset!X778</f>
        <v>Cloudy/Mist</v>
      </c>
      <c r="F807">
        <f>Final_Dataset!J778</f>
        <v>0.24</v>
      </c>
      <c r="G807">
        <f>Final_Dataset!L778</f>
        <v>0.65</v>
      </c>
      <c r="H807">
        <f>Final_Dataset!M778</f>
        <v>0.1343</v>
      </c>
      <c r="I807">
        <f>Final_Dataset!P778</f>
        <v>103</v>
      </c>
      <c r="J807" s="54">
        <f t="shared" si="54"/>
        <v>85.139534883720927</v>
      </c>
      <c r="K807" s="54">
        <f t="shared" si="55"/>
        <v>31.690904054294759</v>
      </c>
      <c r="L807" s="55">
        <f t="shared" si="56"/>
        <v>0.5635833261707982</v>
      </c>
      <c r="M807" t="str">
        <f t="shared" si="57"/>
        <v/>
      </c>
    </row>
    <row r="808" spans="1:13" x14ac:dyDescent="0.2">
      <c r="A808">
        <f>Final_Dataset!A779</f>
        <v>778</v>
      </c>
      <c r="B808" s="53">
        <f>Final_Dataset!B779</f>
        <v>40578</v>
      </c>
      <c r="C808">
        <f>Final_Dataset!F779</f>
        <v>20</v>
      </c>
      <c r="D808" t="str">
        <f>Final_Dataset!T779</f>
        <v>Fri</v>
      </c>
      <c r="E808" t="str">
        <f>Final_Dataset!X779</f>
        <v>Cloudy/Mist</v>
      </c>
      <c r="F808">
        <f>Final_Dataset!J779</f>
        <v>0.24</v>
      </c>
      <c r="G808">
        <f>Final_Dataset!L779</f>
        <v>0.65</v>
      </c>
      <c r="H808">
        <f>Final_Dataset!M779</f>
        <v>0.16420000000000001</v>
      </c>
      <c r="I808">
        <f>Final_Dataset!P779</f>
        <v>71</v>
      </c>
      <c r="J808" s="54">
        <f t="shared" si="54"/>
        <v>61.767441860465119</v>
      </c>
      <c r="K808" s="54">
        <f t="shared" si="55"/>
        <v>24.6323801696856</v>
      </c>
      <c r="L808" s="55">
        <f t="shared" si="56"/>
        <v>0.37481388627223033</v>
      </c>
      <c r="M808" t="str">
        <f t="shared" si="57"/>
        <v/>
      </c>
    </row>
    <row r="809" spans="1:13" x14ac:dyDescent="0.2">
      <c r="A809">
        <f>Final_Dataset!A780</f>
        <v>779</v>
      </c>
      <c r="B809" s="53">
        <f>Final_Dataset!B780</f>
        <v>40578</v>
      </c>
      <c r="C809">
        <f>Final_Dataset!F780</f>
        <v>21</v>
      </c>
      <c r="D809" t="str">
        <f>Final_Dataset!T780</f>
        <v>Fri</v>
      </c>
      <c r="E809" t="str">
        <f>Final_Dataset!X780</f>
        <v>Cloudy/Mist</v>
      </c>
      <c r="F809">
        <f>Final_Dataset!J780</f>
        <v>0.24</v>
      </c>
      <c r="G809">
        <f>Final_Dataset!L780</f>
        <v>0.7</v>
      </c>
      <c r="H809">
        <f>Final_Dataset!M780</f>
        <v>0.16420000000000001</v>
      </c>
      <c r="I809">
        <f>Final_Dataset!P780</f>
        <v>43</v>
      </c>
      <c r="J809" s="54">
        <f t="shared" si="54"/>
        <v>46.418604651162788</v>
      </c>
      <c r="K809" s="54">
        <f t="shared" si="55"/>
        <v>14.656759464719499</v>
      </c>
      <c r="L809" s="55">
        <f t="shared" si="56"/>
        <v>-0.23324423515250839</v>
      </c>
      <c r="M809" t="str">
        <f t="shared" si="57"/>
        <v/>
      </c>
    </row>
    <row r="810" spans="1:13" x14ac:dyDescent="0.2">
      <c r="A810">
        <f>Final_Dataset!A781</f>
        <v>780</v>
      </c>
      <c r="B810" s="53">
        <f>Final_Dataset!B781</f>
        <v>40578</v>
      </c>
      <c r="C810">
        <f>Final_Dataset!F781</f>
        <v>22</v>
      </c>
      <c r="D810" t="str">
        <f>Final_Dataset!T781</f>
        <v>Fri</v>
      </c>
      <c r="E810" t="str">
        <f>Final_Dataset!X781</f>
        <v>Cloudy/Mist</v>
      </c>
      <c r="F810">
        <f>Final_Dataset!J781</f>
        <v>0.24</v>
      </c>
      <c r="G810">
        <f>Final_Dataset!L781</f>
        <v>0.65</v>
      </c>
      <c r="H810">
        <f>Final_Dataset!M781</f>
        <v>0.16420000000000001</v>
      </c>
      <c r="I810">
        <f>Final_Dataset!P781</f>
        <v>46</v>
      </c>
      <c r="J810" s="54">
        <f t="shared" si="54"/>
        <v>35.069767441860463</v>
      </c>
      <c r="K810" s="54">
        <f t="shared" si="55"/>
        <v>11.95506537162667</v>
      </c>
      <c r="L810" s="55">
        <f t="shared" si="56"/>
        <v>0.91427626854141664</v>
      </c>
      <c r="M810" t="str">
        <f t="shared" si="57"/>
        <v/>
      </c>
    </row>
    <row r="811" spans="1:13" x14ac:dyDescent="0.2">
      <c r="A811">
        <f>Final_Dataset!A782</f>
        <v>781</v>
      </c>
      <c r="B811" s="53">
        <f>Final_Dataset!B782</f>
        <v>40578</v>
      </c>
      <c r="C811">
        <f>Final_Dataset!F782</f>
        <v>23</v>
      </c>
      <c r="D811" t="str">
        <f>Final_Dataset!T782</f>
        <v>Fri</v>
      </c>
      <c r="E811" t="str">
        <f>Final_Dataset!X782</f>
        <v>Cloudy/Mist</v>
      </c>
      <c r="F811">
        <f>Final_Dataset!J782</f>
        <v>0.24</v>
      </c>
      <c r="G811">
        <f>Final_Dataset!L782</f>
        <v>0.7</v>
      </c>
      <c r="H811">
        <f>Final_Dataset!M782</f>
        <v>0.1343</v>
      </c>
      <c r="I811">
        <f>Final_Dataset!P782</f>
        <v>31</v>
      </c>
      <c r="J811" s="54">
        <f t="shared" si="54"/>
        <v>25.186046511627907</v>
      </c>
      <c r="K811" s="54">
        <f t="shared" si="55"/>
        <v>11.751911321656186</v>
      </c>
      <c r="L811" s="55">
        <f t="shared" si="56"/>
        <v>0.49472407757691772</v>
      </c>
      <c r="M811" t="str">
        <f t="shared" si="57"/>
        <v/>
      </c>
    </row>
    <row r="812" spans="1:13" x14ac:dyDescent="0.2">
      <c r="A812">
        <f>Final_Dataset!A783</f>
        <v>782</v>
      </c>
      <c r="B812" s="53">
        <f>Final_Dataset!B783</f>
        <v>40579</v>
      </c>
      <c r="C812">
        <f>Final_Dataset!F783</f>
        <v>0</v>
      </c>
      <c r="D812" t="str">
        <f>Final_Dataset!T783</f>
        <v>Sat</v>
      </c>
      <c r="E812" t="str">
        <f>Final_Dataset!X783</f>
        <v>Cloudy/Mist</v>
      </c>
      <c r="F812">
        <f>Final_Dataset!J783</f>
        <v>0.24</v>
      </c>
      <c r="G812">
        <f>Final_Dataset!L783</f>
        <v>0.7</v>
      </c>
      <c r="H812">
        <f>Final_Dataset!M783</f>
        <v>0.16420000000000001</v>
      </c>
      <c r="I812">
        <f>Final_Dataset!P783</f>
        <v>39</v>
      </c>
      <c r="J812" s="54">
        <f t="shared" si="54"/>
        <v>16.348837209302324</v>
      </c>
      <c r="K812" s="54">
        <f t="shared" si="55"/>
        <v>10.442321674276208</v>
      </c>
      <c r="L812" s="55">
        <f t="shared" si="56"/>
        <v>2.1691692228268482</v>
      </c>
      <c r="M812" t="str">
        <f t="shared" si="57"/>
        <v/>
      </c>
    </row>
    <row r="813" spans="1:13" x14ac:dyDescent="0.2">
      <c r="A813">
        <f>Final_Dataset!A784</f>
        <v>783</v>
      </c>
      <c r="B813" s="53">
        <f>Final_Dataset!B784</f>
        <v>40579</v>
      </c>
      <c r="C813">
        <f>Final_Dataset!F784</f>
        <v>1</v>
      </c>
      <c r="D813" t="str">
        <f>Final_Dataset!T784</f>
        <v>Sat</v>
      </c>
      <c r="E813" t="str">
        <f>Final_Dataset!X784</f>
        <v>Cloudy/Mist</v>
      </c>
      <c r="F813">
        <f>Final_Dataset!J784</f>
        <v>0.24</v>
      </c>
      <c r="G813">
        <f>Final_Dataset!L784</f>
        <v>0.65</v>
      </c>
      <c r="H813">
        <f>Final_Dataset!M784</f>
        <v>0.16420000000000001</v>
      </c>
      <c r="I813">
        <f>Final_Dataset!P784</f>
        <v>18</v>
      </c>
      <c r="J813" s="54">
        <f t="shared" si="54"/>
        <v>10.697674418604651</v>
      </c>
      <c r="K813" s="54">
        <f t="shared" si="55"/>
        <v>10.060613641515801</v>
      </c>
      <c r="L813" s="55">
        <f t="shared" si="56"/>
        <v>0.72583301989272409</v>
      </c>
      <c r="M813" t="str">
        <f t="shared" si="57"/>
        <v/>
      </c>
    </row>
    <row r="814" spans="1:13" x14ac:dyDescent="0.2">
      <c r="A814">
        <f>Final_Dataset!A785</f>
        <v>784</v>
      </c>
      <c r="B814" s="53">
        <f>Final_Dataset!B785</f>
        <v>40579</v>
      </c>
      <c r="C814">
        <f>Final_Dataset!F785</f>
        <v>2</v>
      </c>
      <c r="D814" t="str">
        <f>Final_Dataset!T785</f>
        <v>Sat</v>
      </c>
      <c r="E814" t="str">
        <f>Final_Dataset!X785</f>
        <v>Cloudy/Mist</v>
      </c>
      <c r="F814">
        <f>Final_Dataset!J785</f>
        <v>0.24</v>
      </c>
      <c r="G814">
        <f>Final_Dataset!L785</f>
        <v>0.75</v>
      </c>
      <c r="H814">
        <f>Final_Dataset!M785</f>
        <v>0.16420000000000001</v>
      </c>
      <c r="I814">
        <f>Final_Dataset!P785</f>
        <v>17</v>
      </c>
      <c r="J814" s="54">
        <f t="shared" si="54"/>
        <v>7.1707317073170733</v>
      </c>
      <c r="K814" s="54">
        <f t="shared" si="55"/>
        <v>7.3685223723090862</v>
      </c>
      <c r="L814" s="55">
        <f t="shared" si="56"/>
        <v>1.3339537828671493</v>
      </c>
      <c r="M814" t="str">
        <f t="shared" si="57"/>
        <v/>
      </c>
    </row>
    <row r="815" spans="1:13" x14ac:dyDescent="0.2">
      <c r="A815">
        <f>Final_Dataset!A786</f>
        <v>785</v>
      </c>
      <c r="B815" s="53">
        <f>Final_Dataset!B786</f>
        <v>40579</v>
      </c>
      <c r="C815">
        <f>Final_Dataset!F786</f>
        <v>3</v>
      </c>
      <c r="D815" t="str">
        <f>Final_Dataset!T786</f>
        <v>Sat</v>
      </c>
      <c r="E815" t="str">
        <f>Final_Dataset!X786</f>
        <v>Cloudy/Mist</v>
      </c>
      <c r="F815">
        <f>Final_Dataset!J786</f>
        <v>0.24</v>
      </c>
      <c r="G815">
        <f>Final_Dataset!L786</f>
        <v>0.75</v>
      </c>
      <c r="H815">
        <f>Final_Dataset!M786</f>
        <v>0.16420000000000001</v>
      </c>
      <c r="I815">
        <f>Final_Dataset!P786</f>
        <v>11</v>
      </c>
      <c r="J815" s="54">
        <f t="shared" si="54"/>
        <v>4.870967741935484</v>
      </c>
      <c r="K815" s="54">
        <f t="shared" si="55"/>
        <v>4.4702120418303126</v>
      </c>
      <c r="L815" s="55">
        <f t="shared" si="56"/>
        <v>1.3710831165751602</v>
      </c>
      <c r="M815" t="str">
        <f t="shared" si="57"/>
        <v/>
      </c>
    </row>
    <row r="816" spans="1:13" x14ac:dyDescent="0.2">
      <c r="A816">
        <f>Final_Dataset!A787</f>
        <v>786</v>
      </c>
      <c r="B816" s="53">
        <f>Final_Dataset!B787</f>
        <v>40579</v>
      </c>
      <c r="C816">
        <f>Final_Dataset!F787</f>
        <v>4</v>
      </c>
      <c r="D816" t="str">
        <f>Final_Dataset!T787</f>
        <v>Sat</v>
      </c>
      <c r="E816" t="str">
        <f>Final_Dataset!X787</f>
        <v>Light Rain/Snow</v>
      </c>
      <c r="F816">
        <f>Final_Dataset!J787</f>
        <v>0.22</v>
      </c>
      <c r="G816">
        <f>Final_Dataset!L787</f>
        <v>0.93</v>
      </c>
      <c r="H816">
        <f>Final_Dataset!M787</f>
        <v>0.1343</v>
      </c>
      <c r="I816">
        <f>Final_Dataset!P787</f>
        <v>8</v>
      </c>
      <c r="J816" s="54">
        <f t="shared" si="54"/>
        <v>2.15625</v>
      </c>
      <c r="K816" s="54">
        <f t="shared" si="55"/>
        <v>1.5263148747143209</v>
      </c>
      <c r="L816" s="55">
        <f t="shared" si="56"/>
        <v>3.8286660877191343</v>
      </c>
      <c r="M816" t="str">
        <f t="shared" si="57"/>
        <v>High</v>
      </c>
    </row>
    <row r="817" spans="1:13" x14ac:dyDescent="0.2">
      <c r="A817">
        <f>Final_Dataset!A788</f>
        <v>787</v>
      </c>
      <c r="B817" s="53">
        <f>Final_Dataset!B788</f>
        <v>40579</v>
      </c>
      <c r="C817">
        <f>Final_Dataset!F788</f>
        <v>5</v>
      </c>
      <c r="D817" t="str">
        <f>Final_Dataset!T788</f>
        <v>Sat</v>
      </c>
      <c r="E817" t="str">
        <f>Final_Dataset!X788</f>
        <v>Light Rain/Snow</v>
      </c>
      <c r="F817">
        <f>Final_Dataset!J788</f>
        <v>0.2</v>
      </c>
      <c r="G817">
        <f>Final_Dataset!L788</f>
        <v>1</v>
      </c>
      <c r="H817">
        <f>Final_Dataset!M788</f>
        <v>8.9599999999999999E-2</v>
      </c>
      <c r="I817">
        <f>Final_Dataset!P788</f>
        <v>9</v>
      </c>
      <c r="J817" s="54">
        <f t="shared" si="54"/>
        <v>4.2051282051282053</v>
      </c>
      <c r="K817" s="54">
        <f t="shared" si="55"/>
        <v>2.5358429220352288</v>
      </c>
      <c r="L817" s="55">
        <f t="shared" si="56"/>
        <v>1.8908394337861842</v>
      </c>
      <c r="M817" t="str">
        <f t="shared" si="57"/>
        <v/>
      </c>
    </row>
    <row r="818" spans="1:13" x14ac:dyDescent="0.2">
      <c r="A818">
        <f>Final_Dataset!A789</f>
        <v>788</v>
      </c>
      <c r="B818" s="53">
        <f>Final_Dataset!B789</f>
        <v>40579</v>
      </c>
      <c r="C818">
        <f>Final_Dataset!F789</f>
        <v>6</v>
      </c>
      <c r="D818" t="str">
        <f>Final_Dataset!T789</f>
        <v>Sat</v>
      </c>
      <c r="E818" t="str">
        <f>Final_Dataset!X789</f>
        <v>Light Rain/Snow</v>
      </c>
      <c r="F818">
        <f>Final_Dataset!J789</f>
        <v>0.2</v>
      </c>
      <c r="G818">
        <f>Final_Dataset!L789</f>
        <v>1</v>
      </c>
      <c r="H818">
        <f>Final_Dataset!M789</f>
        <v>0</v>
      </c>
      <c r="I818">
        <f>Final_Dataset!P789</f>
        <v>4</v>
      </c>
      <c r="J818" s="54">
        <f t="shared" si="54"/>
        <v>19.571428571428573</v>
      </c>
      <c r="K818" s="54">
        <f t="shared" si="55"/>
        <v>14.202615453298934</v>
      </c>
      <c r="L818" s="55">
        <f t="shared" si="56"/>
        <v>-1.0963775385336998</v>
      </c>
      <c r="M818" t="str">
        <f t="shared" si="57"/>
        <v/>
      </c>
    </row>
    <row r="819" spans="1:13" x14ac:dyDescent="0.2">
      <c r="A819">
        <f>Final_Dataset!A790</f>
        <v>789</v>
      </c>
      <c r="B819" s="53">
        <f>Final_Dataset!B790</f>
        <v>40579</v>
      </c>
      <c r="C819">
        <f>Final_Dataset!F790</f>
        <v>7</v>
      </c>
      <c r="D819" t="str">
        <f>Final_Dataset!T790</f>
        <v>Sat</v>
      </c>
      <c r="E819" t="str">
        <f>Final_Dataset!X790</f>
        <v>Light Rain/Snow</v>
      </c>
      <c r="F819">
        <f>Final_Dataset!J790</f>
        <v>0.22</v>
      </c>
      <c r="G819">
        <f>Final_Dataset!L790</f>
        <v>0.93</v>
      </c>
      <c r="H819">
        <f>Final_Dataset!M790</f>
        <v>8.9599999999999999E-2</v>
      </c>
      <c r="I819">
        <f>Final_Dataset!P790</f>
        <v>4</v>
      </c>
      <c r="J819" s="54">
        <f t="shared" si="54"/>
        <v>54.395348837209305</v>
      </c>
      <c r="K819" s="54">
        <f t="shared" si="55"/>
        <v>39.112864486352777</v>
      </c>
      <c r="L819" s="55">
        <f t="shared" si="56"/>
        <v>-1.2884596794180903</v>
      </c>
      <c r="M819" t="str">
        <f t="shared" si="57"/>
        <v/>
      </c>
    </row>
    <row r="820" spans="1:13" x14ac:dyDescent="0.2">
      <c r="A820">
        <f>Final_Dataset!A791</f>
        <v>790</v>
      </c>
      <c r="B820" s="53">
        <f>Final_Dataset!B791</f>
        <v>40579</v>
      </c>
      <c r="C820">
        <f>Final_Dataset!F791</f>
        <v>8</v>
      </c>
      <c r="D820" t="str">
        <f>Final_Dataset!T791</f>
        <v>Sat</v>
      </c>
      <c r="E820" t="str">
        <f>Final_Dataset!X791</f>
        <v>Light Rain/Snow</v>
      </c>
      <c r="F820">
        <f>Final_Dataset!J791</f>
        <v>0.2</v>
      </c>
      <c r="G820">
        <f>Final_Dataset!L791</f>
        <v>1</v>
      </c>
      <c r="H820">
        <f>Final_Dataset!M791</f>
        <v>8.9599999999999999E-2</v>
      </c>
      <c r="I820">
        <f>Final_Dataset!P791</f>
        <v>10</v>
      </c>
      <c r="J820" s="54">
        <f t="shared" si="54"/>
        <v>128.28571428571428</v>
      </c>
      <c r="K820" s="54">
        <f t="shared" si="55"/>
        <v>88.551565717048533</v>
      </c>
      <c r="L820" s="55">
        <f t="shared" si="56"/>
        <v>-1.3357834311329533</v>
      </c>
      <c r="M820" t="str">
        <f t="shared" si="57"/>
        <v/>
      </c>
    </row>
    <row r="821" spans="1:13" x14ac:dyDescent="0.2">
      <c r="A821">
        <f>Final_Dataset!A792</f>
        <v>791</v>
      </c>
      <c r="B821" s="53">
        <f>Final_Dataset!B792</f>
        <v>40579</v>
      </c>
      <c r="C821">
        <f>Final_Dataset!F792</f>
        <v>9</v>
      </c>
      <c r="D821" t="str">
        <f>Final_Dataset!T792</f>
        <v>Sat</v>
      </c>
      <c r="E821" t="str">
        <f>Final_Dataset!X792</f>
        <v>Light Rain/Snow</v>
      </c>
      <c r="F821">
        <f>Final_Dataset!J792</f>
        <v>0.2</v>
      </c>
      <c r="G821">
        <f>Final_Dataset!L792</f>
        <v>1</v>
      </c>
      <c r="H821">
        <f>Final_Dataset!M792</f>
        <v>8.9599999999999999E-2</v>
      </c>
      <c r="I821">
        <f>Final_Dataset!P792</f>
        <v>20</v>
      </c>
      <c r="J821" s="54">
        <f t="shared" si="54"/>
        <v>87.428571428571431</v>
      </c>
      <c r="K821" s="54">
        <f t="shared" si="55"/>
        <v>45.93852884078624</v>
      </c>
      <c r="L821" s="55">
        <f t="shared" si="56"/>
        <v>-1.4677999737924865</v>
      </c>
      <c r="M821" t="str">
        <f t="shared" si="57"/>
        <v/>
      </c>
    </row>
    <row r="822" spans="1:13" x14ac:dyDescent="0.2">
      <c r="A822">
        <f>Final_Dataset!A793</f>
        <v>792</v>
      </c>
      <c r="B822" s="53">
        <f>Final_Dataset!B793</f>
        <v>40579</v>
      </c>
      <c r="C822">
        <f>Final_Dataset!F793</f>
        <v>10</v>
      </c>
      <c r="D822" t="str">
        <f>Final_Dataset!T793</f>
        <v>Sat</v>
      </c>
      <c r="E822" t="str">
        <f>Final_Dataset!X793</f>
        <v>Light Rain/Snow</v>
      </c>
      <c r="F822">
        <f>Final_Dataset!J793</f>
        <v>0.2</v>
      </c>
      <c r="G822">
        <f>Final_Dataset!L793</f>
        <v>1</v>
      </c>
      <c r="H822">
        <f>Final_Dataset!M793</f>
        <v>0.1343</v>
      </c>
      <c r="I822">
        <f>Final_Dataset!P793</f>
        <v>34</v>
      </c>
      <c r="J822" s="54">
        <f t="shared" si="54"/>
        <v>53.642857142857146</v>
      </c>
      <c r="K822" s="54">
        <f t="shared" si="55"/>
        <v>15.395313554536934</v>
      </c>
      <c r="L822" s="55">
        <f t="shared" si="56"/>
        <v>-1.2758984786684309</v>
      </c>
      <c r="M822" t="str">
        <f t="shared" si="57"/>
        <v/>
      </c>
    </row>
    <row r="823" spans="1:13" x14ac:dyDescent="0.2">
      <c r="A823">
        <f>Final_Dataset!A794</f>
        <v>793</v>
      </c>
      <c r="B823" s="53">
        <f>Final_Dataset!B794</f>
        <v>40579</v>
      </c>
      <c r="C823">
        <f>Final_Dataset!F794</f>
        <v>11</v>
      </c>
      <c r="D823" t="str">
        <f>Final_Dataset!T794</f>
        <v>Sat</v>
      </c>
      <c r="E823" t="str">
        <f>Final_Dataset!X794</f>
        <v>Light Rain/Snow</v>
      </c>
      <c r="F823">
        <f>Final_Dataset!J794</f>
        <v>0.22</v>
      </c>
      <c r="G823">
        <f>Final_Dataset!L794</f>
        <v>1</v>
      </c>
      <c r="H823">
        <f>Final_Dataset!M794</f>
        <v>0.1343</v>
      </c>
      <c r="I823">
        <f>Final_Dataset!P794</f>
        <v>47</v>
      </c>
      <c r="J823" s="54">
        <f t="shared" si="54"/>
        <v>59.38095238095238</v>
      </c>
      <c r="K823" s="54">
        <f t="shared" si="55"/>
        <v>20.89573696860419</v>
      </c>
      <c r="L823" s="55">
        <f t="shared" si="56"/>
        <v>-0.59251092218258394</v>
      </c>
      <c r="M823" t="str">
        <f t="shared" si="57"/>
        <v/>
      </c>
    </row>
    <row r="824" spans="1:13" x14ac:dyDescent="0.2">
      <c r="A824">
        <f>Final_Dataset!A795</f>
        <v>794</v>
      </c>
      <c r="B824" s="53">
        <f>Final_Dataset!B795</f>
        <v>40579</v>
      </c>
      <c r="C824">
        <f>Final_Dataset!F795</f>
        <v>12</v>
      </c>
      <c r="D824" t="str">
        <f>Final_Dataset!T795</f>
        <v>Sat</v>
      </c>
      <c r="E824" t="str">
        <f>Final_Dataset!X795</f>
        <v>Light Rain/Snow</v>
      </c>
      <c r="F824">
        <f>Final_Dataset!J795</f>
        <v>0.22</v>
      </c>
      <c r="G824">
        <f>Final_Dataset!L795</f>
        <v>1</v>
      </c>
      <c r="H824">
        <f>Final_Dataset!M795</f>
        <v>0.16420000000000001</v>
      </c>
      <c r="I824">
        <f>Final_Dataset!P795</f>
        <v>52</v>
      </c>
      <c r="J824" s="54">
        <f t="shared" si="54"/>
        <v>76.348837209302332</v>
      </c>
      <c r="K824" s="54">
        <f t="shared" si="55"/>
        <v>29.034366927857057</v>
      </c>
      <c r="L824" s="55">
        <f t="shared" si="56"/>
        <v>-0.83862125424683576</v>
      </c>
      <c r="M824" t="str">
        <f t="shared" si="57"/>
        <v/>
      </c>
    </row>
    <row r="825" spans="1:13" x14ac:dyDescent="0.2">
      <c r="A825">
        <f>Final_Dataset!A796</f>
        <v>795</v>
      </c>
      <c r="B825" s="53">
        <f>Final_Dataset!B796</f>
        <v>40579</v>
      </c>
      <c r="C825">
        <f>Final_Dataset!F796</f>
        <v>13</v>
      </c>
      <c r="D825" t="str">
        <f>Final_Dataset!T796</f>
        <v>Sat</v>
      </c>
      <c r="E825" t="str">
        <f>Final_Dataset!X796</f>
        <v>Light Rain/Snow</v>
      </c>
      <c r="F825">
        <f>Final_Dataset!J796</f>
        <v>0.22</v>
      </c>
      <c r="G825">
        <f>Final_Dataset!L796</f>
        <v>1</v>
      </c>
      <c r="H825">
        <f>Final_Dataset!M796</f>
        <v>0.16420000000000001</v>
      </c>
      <c r="I825">
        <f>Final_Dataset!P796</f>
        <v>72</v>
      </c>
      <c r="J825" s="54">
        <f t="shared" si="54"/>
        <v>78.511627906976742</v>
      </c>
      <c r="K825" s="54">
        <f t="shared" si="55"/>
        <v>30.072430098825173</v>
      </c>
      <c r="L825" s="55">
        <f t="shared" si="56"/>
        <v>-0.21653148367384945</v>
      </c>
      <c r="M825" t="str">
        <f t="shared" si="57"/>
        <v/>
      </c>
    </row>
    <row r="826" spans="1:13" x14ac:dyDescent="0.2">
      <c r="A826">
        <f>Final_Dataset!A797</f>
        <v>796</v>
      </c>
      <c r="B826" s="53">
        <f>Final_Dataset!B797</f>
        <v>40579</v>
      </c>
      <c r="C826">
        <f>Final_Dataset!F797</f>
        <v>14</v>
      </c>
      <c r="D826" t="str">
        <f>Final_Dataset!T797</f>
        <v>Sat</v>
      </c>
      <c r="E826" t="str">
        <f>Final_Dataset!X797</f>
        <v>Light Rain/Snow</v>
      </c>
      <c r="F826">
        <f>Final_Dataset!J797</f>
        <v>0.22</v>
      </c>
      <c r="G826">
        <f>Final_Dataset!L797</f>
        <v>1</v>
      </c>
      <c r="H826">
        <f>Final_Dataset!M797</f>
        <v>0</v>
      </c>
      <c r="I826">
        <f>Final_Dataset!P797</f>
        <v>55</v>
      </c>
      <c r="J826" s="54">
        <f t="shared" si="54"/>
        <v>74.418604651162795</v>
      </c>
      <c r="K826" s="54">
        <f t="shared" si="55"/>
        <v>30.305769180565147</v>
      </c>
      <c r="L826" s="55">
        <f t="shared" si="56"/>
        <v>-0.64075604006169873</v>
      </c>
      <c r="M826" t="str">
        <f t="shared" si="57"/>
        <v/>
      </c>
    </row>
    <row r="827" spans="1:13" x14ac:dyDescent="0.2">
      <c r="A827">
        <f>Final_Dataset!A798</f>
        <v>797</v>
      </c>
      <c r="B827" s="53">
        <f>Final_Dataset!B798</f>
        <v>40579</v>
      </c>
      <c r="C827">
        <f>Final_Dataset!F798</f>
        <v>15</v>
      </c>
      <c r="D827" t="str">
        <f>Final_Dataset!T798</f>
        <v>Sat</v>
      </c>
      <c r="E827" t="str">
        <f>Final_Dataset!X798</f>
        <v>Light Rain/Snow</v>
      </c>
      <c r="F827">
        <f>Final_Dataset!J798</f>
        <v>0.22</v>
      </c>
      <c r="G827">
        <f>Final_Dataset!L798</f>
        <v>1</v>
      </c>
      <c r="H827">
        <f>Final_Dataset!M798</f>
        <v>0</v>
      </c>
      <c r="I827">
        <f>Final_Dataset!P798</f>
        <v>60</v>
      </c>
      <c r="J827" s="54">
        <f t="shared" si="54"/>
        <v>77.95348837209302</v>
      </c>
      <c r="K827" s="54">
        <f t="shared" si="55"/>
        <v>34.481156681772681</v>
      </c>
      <c r="L827" s="55">
        <f t="shared" si="56"/>
        <v>-0.52067535140384469</v>
      </c>
      <c r="M827" t="str">
        <f t="shared" si="57"/>
        <v/>
      </c>
    </row>
    <row r="828" spans="1:13" x14ac:dyDescent="0.2">
      <c r="A828">
        <f>Final_Dataset!A799</f>
        <v>798</v>
      </c>
      <c r="B828" s="53">
        <f>Final_Dataset!B799</f>
        <v>40579</v>
      </c>
      <c r="C828">
        <f>Final_Dataset!F799</f>
        <v>16</v>
      </c>
      <c r="D828" t="str">
        <f>Final_Dataset!T799</f>
        <v>Sat</v>
      </c>
      <c r="E828" t="str">
        <f>Final_Dataset!X799</f>
        <v>Light Rain/Snow</v>
      </c>
      <c r="F828">
        <f>Final_Dataset!J799</f>
        <v>0.22</v>
      </c>
      <c r="G828">
        <f>Final_Dataset!L799</f>
        <v>1</v>
      </c>
      <c r="H828">
        <f>Final_Dataset!M799</f>
        <v>0.1343</v>
      </c>
      <c r="I828">
        <f>Final_Dataset!P799</f>
        <v>71</v>
      </c>
      <c r="J828" s="54">
        <f t="shared" si="54"/>
        <v>89.272727272727266</v>
      </c>
      <c r="K828" s="54">
        <f t="shared" si="55"/>
        <v>25.461657115880747</v>
      </c>
      <c r="L828" s="55">
        <f t="shared" si="56"/>
        <v>-0.71765663914036226</v>
      </c>
      <c r="M828" t="str">
        <f t="shared" si="57"/>
        <v/>
      </c>
    </row>
    <row r="829" spans="1:13" x14ac:dyDescent="0.2">
      <c r="A829">
        <f>Final_Dataset!A800</f>
        <v>799</v>
      </c>
      <c r="B829" s="53">
        <f>Final_Dataset!B800</f>
        <v>40579</v>
      </c>
      <c r="C829">
        <f>Final_Dataset!F800</f>
        <v>17</v>
      </c>
      <c r="D829" t="str">
        <f>Final_Dataset!T800</f>
        <v>Sat</v>
      </c>
      <c r="E829" t="str">
        <f>Final_Dataset!X800</f>
        <v>Cloudy/Mist</v>
      </c>
      <c r="F829">
        <f>Final_Dataset!J800</f>
        <v>0.24</v>
      </c>
      <c r="G829">
        <f>Final_Dataset!L800</f>
        <v>1</v>
      </c>
      <c r="H829">
        <f>Final_Dataset!M800</f>
        <v>0.28360000000000002</v>
      </c>
      <c r="I829">
        <f>Final_Dataset!P800</f>
        <v>78</v>
      </c>
      <c r="J829" s="54">
        <f t="shared" si="54"/>
        <v>140.20454545454547</v>
      </c>
      <c r="K829" s="54">
        <f t="shared" si="55"/>
        <v>54.067391000084569</v>
      </c>
      <c r="L829" s="55">
        <f t="shared" si="56"/>
        <v>-1.1505002239602826</v>
      </c>
      <c r="M829" t="str">
        <f t="shared" si="57"/>
        <v/>
      </c>
    </row>
    <row r="830" spans="1:13" x14ac:dyDescent="0.2">
      <c r="A830">
        <f>Final_Dataset!A801</f>
        <v>800</v>
      </c>
      <c r="B830" s="53">
        <f>Final_Dataset!B801</f>
        <v>40579</v>
      </c>
      <c r="C830">
        <f>Final_Dataset!F801</f>
        <v>18</v>
      </c>
      <c r="D830" t="str">
        <f>Final_Dataset!T801</f>
        <v>Sat</v>
      </c>
      <c r="E830" t="str">
        <f>Final_Dataset!X801</f>
        <v>Cloudy/Mist</v>
      </c>
      <c r="F830">
        <f>Final_Dataset!J801</f>
        <v>0.28000000000000003</v>
      </c>
      <c r="G830">
        <f>Final_Dataset!L801</f>
        <v>0.93</v>
      </c>
      <c r="H830">
        <f>Final_Dataset!M801</f>
        <v>0.44779999999999998</v>
      </c>
      <c r="I830">
        <f>Final_Dataset!P801</f>
        <v>83</v>
      </c>
      <c r="J830" s="54">
        <f t="shared" si="54"/>
        <v>122.86046511627907</v>
      </c>
      <c r="K830" s="54">
        <f t="shared" si="55"/>
        <v>48.613432101949947</v>
      </c>
      <c r="L830" s="55">
        <f t="shared" si="56"/>
        <v>-0.81994756166743099</v>
      </c>
      <c r="M830" t="str">
        <f t="shared" si="57"/>
        <v/>
      </c>
    </row>
    <row r="831" spans="1:13" x14ac:dyDescent="0.2">
      <c r="A831">
        <f>Final_Dataset!A802</f>
        <v>801</v>
      </c>
      <c r="B831" s="53">
        <f>Final_Dataset!B802</f>
        <v>40579</v>
      </c>
      <c r="C831">
        <f>Final_Dataset!F802</f>
        <v>19</v>
      </c>
      <c r="D831" t="str">
        <f>Final_Dataset!T802</f>
        <v>Sat</v>
      </c>
      <c r="E831" t="str">
        <f>Final_Dataset!X802</f>
        <v>Cloudy/Mist</v>
      </c>
      <c r="F831">
        <f>Final_Dataset!J802</f>
        <v>0.28000000000000003</v>
      </c>
      <c r="G831">
        <f>Final_Dataset!L802</f>
        <v>0.93</v>
      </c>
      <c r="H831">
        <f>Final_Dataset!M802</f>
        <v>0.44779999999999998</v>
      </c>
      <c r="I831">
        <f>Final_Dataset!P802</f>
        <v>84</v>
      </c>
      <c r="J831" s="54">
        <f t="shared" si="54"/>
        <v>85.139534883720927</v>
      </c>
      <c r="K831" s="54">
        <f t="shared" si="55"/>
        <v>31.690904054294759</v>
      </c>
      <c r="L831" s="55">
        <f t="shared" si="56"/>
        <v>-3.5957790341626335E-2</v>
      </c>
      <c r="M831" t="str">
        <f t="shared" si="57"/>
        <v/>
      </c>
    </row>
    <row r="832" spans="1:13" x14ac:dyDescent="0.2">
      <c r="A832">
        <f>Final_Dataset!A803</f>
        <v>802</v>
      </c>
      <c r="B832" s="53">
        <f>Final_Dataset!B803</f>
        <v>40579</v>
      </c>
      <c r="C832">
        <f>Final_Dataset!F803</f>
        <v>20</v>
      </c>
      <c r="D832" t="str">
        <f>Final_Dataset!T803</f>
        <v>Sat</v>
      </c>
      <c r="E832" t="str">
        <f>Final_Dataset!X803</f>
        <v>Clear</v>
      </c>
      <c r="F832">
        <f>Final_Dataset!J803</f>
        <v>0.3</v>
      </c>
      <c r="G832">
        <f>Final_Dataset!L803</f>
        <v>0.87</v>
      </c>
      <c r="H832">
        <f>Final_Dataset!M803</f>
        <v>0.25369999999999998</v>
      </c>
      <c r="I832">
        <f>Final_Dataset!P803</f>
        <v>69</v>
      </c>
      <c r="J832" s="54">
        <f t="shared" si="54"/>
        <v>61.767441860465119</v>
      </c>
      <c r="K832" s="54">
        <f t="shared" si="55"/>
        <v>24.6323801696856</v>
      </c>
      <c r="L832" s="55">
        <f t="shared" si="56"/>
        <v>0.29361994617295623</v>
      </c>
      <c r="M832" t="str">
        <f t="shared" si="57"/>
        <v/>
      </c>
    </row>
    <row r="833" spans="1:13" x14ac:dyDescent="0.2">
      <c r="A833">
        <f>Final_Dataset!A804</f>
        <v>803</v>
      </c>
      <c r="B833" s="53">
        <f>Final_Dataset!B804</f>
        <v>40579</v>
      </c>
      <c r="C833">
        <f>Final_Dataset!F804</f>
        <v>21</v>
      </c>
      <c r="D833" t="str">
        <f>Final_Dataset!T804</f>
        <v>Sat</v>
      </c>
      <c r="E833" t="str">
        <f>Final_Dataset!X804</f>
        <v>Clear</v>
      </c>
      <c r="F833">
        <f>Final_Dataset!J804</f>
        <v>0.26</v>
      </c>
      <c r="G833">
        <f>Final_Dataset!L804</f>
        <v>1</v>
      </c>
      <c r="H833">
        <f>Final_Dataset!M804</f>
        <v>0.19400000000000001</v>
      </c>
      <c r="I833">
        <f>Final_Dataset!P804</f>
        <v>56</v>
      </c>
      <c r="J833" s="54">
        <f t="shared" si="54"/>
        <v>46.418604651162788</v>
      </c>
      <c r="K833" s="54">
        <f t="shared" si="55"/>
        <v>14.656759464719499</v>
      </c>
      <c r="L833" s="55">
        <f t="shared" si="56"/>
        <v>0.65371853661791535</v>
      </c>
      <c r="M833" t="str">
        <f t="shared" si="57"/>
        <v/>
      </c>
    </row>
    <row r="834" spans="1:13" x14ac:dyDescent="0.2">
      <c r="A834">
        <f>Final_Dataset!A805</f>
        <v>804</v>
      </c>
      <c r="B834" s="53">
        <f>Final_Dataset!B805</f>
        <v>40579</v>
      </c>
      <c r="C834">
        <f>Final_Dataset!F805</f>
        <v>22</v>
      </c>
      <c r="D834" t="str">
        <f>Final_Dataset!T805</f>
        <v>Sat</v>
      </c>
      <c r="E834" t="str">
        <f>Final_Dataset!X805</f>
        <v>Clear</v>
      </c>
      <c r="F834">
        <f>Final_Dataset!J805</f>
        <v>0.26</v>
      </c>
      <c r="G834">
        <f>Final_Dataset!L805</f>
        <v>0.93</v>
      </c>
      <c r="H834">
        <f>Final_Dataset!M805</f>
        <v>0.1343</v>
      </c>
      <c r="I834">
        <f>Final_Dataset!P805</f>
        <v>45</v>
      </c>
      <c r="J834" s="54">
        <f t="shared" si="54"/>
        <v>35.069767441860463</v>
      </c>
      <c r="K834" s="54">
        <f t="shared" si="55"/>
        <v>11.95506537162667</v>
      </c>
      <c r="L834" s="55">
        <f t="shared" si="56"/>
        <v>0.83062971631315941</v>
      </c>
      <c r="M834" t="str">
        <f t="shared" si="57"/>
        <v/>
      </c>
    </row>
    <row r="835" spans="1:13" x14ac:dyDescent="0.2">
      <c r="A835">
        <f>Final_Dataset!A806</f>
        <v>805</v>
      </c>
      <c r="B835" s="53">
        <f>Final_Dataset!B806</f>
        <v>40579</v>
      </c>
      <c r="C835">
        <f>Final_Dataset!F806</f>
        <v>23</v>
      </c>
      <c r="D835" t="str">
        <f>Final_Dataset!T806</f>
        <v>Sat</v>
      </c>
      <c r="E835" t="str">
        <f>Final_Dataset!X806</f>
        <v>Clear</v>
      </c>
      <c r="F835">
        <f>Final_Dataset!J806</f>
        <v>0.26</v>
      </c>
      <c r="G835">
        <f>Final_Dataset!L806</f>
        <v>0.93</v>
      </c>
      <c r="H835">
        <f>Final_Dataset!M806</f>
        <v>0.22389999999999999</v>
      </c>
      <c r="I835">
        <f>Final_Dataset!P806</f>
        <v>59</v>
      </c>
      <c r="J835" s="54">
        <f t="shared" si="54"/>
        <v>25.186046511627907</v>
      </c>
      <c r="K835" s="54">
        <f t="shared" si="55"/>
        <v>11.751911321656186</v>
      </c>
      <c r="L835" s="55">
        <f t="shared" si="56"/>
        <v>2.8773152351873534</v>
      </c>
      <c r="M835" t="str">
        <f t="shared" si="57"/>
        <v/>
      </c>
    </row>
    <row r="836" spans="1:13" x14ac:dyDescent="0.2">
      <c r="A836">
        <f>Final_Dataset!A807</f>
        <v>806</v>
      </c>
      <c r="B836" s="53">
        <f>Final_Dataset!B807</f>
        <v>40580</v>
      </c>
      <c r="C836">
        <f>Final_Dataset!F807</f>
        <v>0</v>
      </c>
      <c r="D836" t="str">
        <f>Final_Dataset!T807</f>
        <v>Sun</v>
      </c>
      <c r="E836" t="str">
        <f>Final_Dataset!X807</f>
        <v>Clear</v>
      </c>
      <c r="F836">
        <f>Final_Dataset!J807</f>
        <v>0.26</v>
      </c>
      <c r="G836">
        <f>Final_Dataset!L807</f>
        <v>0.7</v>
      </c>
      <c r="H836">
        <f>Final_Dataset!M807</f>
        <v>0.19400000000000001</v>
      </c>
      <c r="I836">
        <f>Final_Dataset!P807</f>
        <v>39</v>
      </c>
      <c r="J836" s="54">
        <f t="shared" si="54"/>
        <v>16.348837209302324</v>
      </c>
      <c r="K836" s="54">
        <f t="shared" si="55"/>
        <v>10.442321674276208</v>
      </c>
      <c r="L836" s="55">
        <f t="shared" si="56"/>
        <v>2.1691692228268482</v>
      </c>
      <c r="M836" t="str">
        <f t="shared" si="57"/>
        <v/>
      </c>
    </row>
    <row r="837" spans="1:13" x14ac:dyDescent="0.2">
      <c r="A837">
        <f>Final_Dataset!A808</f>
        <v>807</v>
      </c>
      <c r="B837" s="53">
        <f>Final_Dataset!B808</f>
        <v>40580</v>
      </c>
      <c r="C837">
        <f>Final_Dataset!F808</f>
        <v>1</v>
      </c>
      <c r="D837" t="str">
        <f>Final_Dataset!T808</f>
        <v>Sun</v>
      </c>
      <c r="E837" t="str">
        <f>Final_Dataset!X808</f>
        <v>Clear</v>
      </c>
      <c r="F837">
        <f>Final_Dataset!J808</f>
        <v>0.26</v>
      </c>
      <c r="G837">
        <f>Final_Dataset!L808</f>
        <v>0.65</v>
      </c>
      <c r="H837">
        <f>Final_Dataset!M808</f>
        <v>0.41789999999999999</v>
      </c>
      <c r="I837">
        <f>Final_Dataset!P808</f>
        <v>44</v>
      </c>
      <c r="J837" s="54">
        <f t="shared" si="54"/>
        <v>10.697674418604651</v>
      </c>
      <c r="K837" s="54">
        <f t="shared" si="55"/>
        <v>10.060613641515801</v>
      </c>
      <c r="L837" s="55">
        <f t="shared" si="56"/>
        <v>3.3101684219311491</v>
      </c>
      <c r="M837" t="str">
        <f t="shared" si="57"/>
        <v>High</v>
      </c>
    </row>
    <row r="838" spans="1:13" x14ac:dyDescent="0.2">
      <c r="A838">
        <f>Final_Dataset!A809</f>
        <v>808</v>
      </c>
      <c r="B838" s="53">
        <f>Final_Dataset!B809</f>
        <v>40580</v>
      </c>
      <c r="C838">
        <f>Final_Dataset!F809</f>
        <v>2</v>
      </c>
      <c r="D838" t="str">
        <f>Final_Dataset!T809</f>
        <v>Sun</v>
      </c>
      <c r="E838" t="str">
        <f>Final_Dataset!X809</f>
        <v>Clear</v>
      </c>
      <c r="F838">
        <f>Final_Dataset!J809</f>
        <v>0.26</v>
      </c>
      <c r="G838">
        <f>Final_Dataset!L809</f>
        <v>0.6</v>
      </c>
      <c r="H838">
        <f>Final_Dataset!M809</f>
        <v>0.32840000000000003</v>
      </c>
      <c r="I838">
        <f>Final_Dataset!P809</f>
        <v>20</v>
      </c>
      <c r="J838" s="54">
        <f t="shared" si="54"/>
        <v>7.1707317073170733</v>
      </c>
      <c r="K838" s="54">
        <f t="shared" si="55"/>
        <v>7.3685223723090862</v>
      </c>
      <c r="L838" s="55">
        <f t="shared" si="56"/>
        <v>1.7410910416578671</v>
      </c>
      <c r="M838" t="str">
        <f t="shared" si="57"/>
        <v/>
      </c>
    </row>
    <row r="839" spans="1:13" x14ac:dyDescent="0.2">
      <c r="A839">
        <f>Final_Dataset!A810</f>
        <v>809</v>
      </c>
      <c r="B839" s="53">
        <f>Final_Dataset!B810</f>
        <v>40580</v>
      </c>
      <c r="C839">
        <f>Final_Dataset!F810</f>
        <v>3</v>
      </c>
      <c r="D839" t="str">
        <f>Final_Dataset!T810</f>
        <v>Sun</v>
      </c>
      <c r="E839" t="str">
        <f>Final_Dataset!X810</f>
        <v>Clear</v>
      </c>
      <c r="F839">
        <f>Final_Dataset!J810</f>
        <v>0.26</v>
      </c>
      <c r="G839">
        <f>Final_Dataset!L810</f>
        <v>0.6</v>
      </c>
      <c r="H839">
        <f>Final_Dataset!M810</f>
        <v>8.9599999999999999E-2</v>
      </c>
      <c r="I839">
        <f>Final_Dataset!P810</f>
        <v>13</v>
      </c>
      <c r="J839" s="54">
        <f t="shared" si="54"/>
        <v>4.870967741935484</v>
      </c>
      <c r="K839" s="54">
        <f t="shared" si="55"/>
        <v>4.4702120418303126</v>
      </c>
      <c r="L839" s="55">
        <f t="shared" si="56"/>
        <v>1.8184891861944232</v>
      </c>
      <c r="M839" t="str">
        <f t="shared" si="57"/>
        <v/>
      </c>
    </row>
    <row r="840" spans="1:13" x14ac:dyDescent="0.2">
      <c r="A840">
        <f>Final_Dataset!A811</f>
        <v>810</v>
      </c>
      <c r="B840" s="53">
        <f>Final_Dataset!B811</f>
        <v>40580</v>
      </c>
      <c r="C840">
        <f>Final_Dataset!F811</f>
        <v>4</v>
      </c>
      <c r="D840" t="str">
        <f>Final_Dataset!T811</f>
        <v>Sun</v>
      </c>
      <c r="E840" t="str">
        <f>Final_Dataset!X811</f>
        <v>Clear</v>
      </c>
      <c r="F840">
        <f>Final_Dataset!J811</f>
        <v>0.26</v>
      </c>
      <c r="G840">
        <f>Final_Dataset!L811</f>
        <v>0.6</v>
      </c>
      <c r="H840">
        <f>Final_Dataset!M811</f>
        <v>0.35820000000000002</v>
      </c>
      <c r="I840">
        <f>Final_Dataset!P811</f>
        <v>2</v>
      </c>
      <c r="J840" s="54">
        <f t="shared" si="54"/>
        <v>2.15625</v>
      </c>
      <c r="K840" s="54">
        <f t="shared" si="55"/>
        <v>1.5263148747143209</v>
      </c>
      <c r="L840" s="55">
        <f t="shared" si="56"/>
        <v>-0.102370751008533</v>
      </c>
      <c r="M840" t="str">
        <f t="shared" si="57"/>
        <v/>
      </c>
    </row>
    <row r="841" spans="1:13" x14ac:dyDescent="0.2">
      <c r="A841">
        <f>Final_Dataset!A812</f>
        <v>811</v>
      </c>
      <c r="B841" s="53">
        <f>Final_Dataset!B812</f>
        <v>40580</v>
      </c>
      <c r="C841">
        <f>Final_Dataset!F812</f>
        <v>5</v>
      </c>
      <c r="D841" t="str">
        <f>Final_Dataset!T812</f>
        <v>Sun</v>
      </c>
      <c r="E841" t="str">
        <f>Final_Dataset!X812</f>
        <v>Clear</v>
      </c>
      <c r="F841">
        <f>Final_Dataset!J812</f>
        <v>0.26</v>
      </c>
      <c r="G841">
        <f>Final_Dataset!L812</f>
        <v>0.6</v>
      </c>
      <c r="H841">
        <f>Final_Dataset!M812</f>
        <v>0.22389999999999999</v>
      </c>
      <c r="I841">
        <f>Final_Dataset!P812</f>
        <v>1</v>
      </c>
      <c r="J841" s="54">
        <f t="shared" si="54"/>
        <v>4.2051282051282053</v>
      </c>
      <c r="K841" s="54">
        <f t="shared" si="55"/>
        <v>2.5358429220352288</v>
      </c>
      <c r="L841" s="55">
        <f t="shared" si="56"/>
        <v>-1.2639301027982515</v>
      </c>
      <c r="M841" t="str">
        <f t="shared" si="57"/>
        <v/>
      </c>
    </row>
    <row r="842" spans="1:13" x14ac:dyDescent="0.2">
      <c r="A842">
        <f>Final_Dataset!A813</f>
        <v>812</v>
      </c>
      <c r="B842" s="53">
        <f>Final_Dataset!B813</f>
        <v>40580</v>
      </c>
      <c r="C842">
        <f>Final_Dataset!F813</f>
        <v>6</v>
      </c>
      <c r="D842" t="str">
        <f>Final_Dataset!T813</f>
        <v>Sun</v>
      </c>
      <c r="E842" t="str">
        <f>Final_Dataset!X813</f>
        <v>Clear</v>
      </c>
      <c r="F842">
        <f>Final_Dataset!J813</f>
        <v>0.26</v>
      </c>
      <c r="G842">
        <f>Final_Dataset!L813</f>
        <v>0.6</v>
      </c>
      <c r="H842">
        <f>Final_Dataset!M813</f>
        <v>0.22389999999999999</v>
      </c>
      <c r="I842">
        <f>Final_Dataset!P813</f>
        <v>1</v>
      </c>
      <c r="J842" s="54">
        <f t="shared" si="54"/>
        <v>19.571428571428573</v>
      </c>
      <c r="K842" s="54">
        <f t="shared" si="55"/>
        <v>14.202615453298934</v>
      </c>
      <c r="L842" s="55">
        <f t="shared" si="56"/>
        <v>-1.3076062386181742</v>
      </c>
      <c r="M842" t="str">
        <f t="shared" si="57"/>
        <v/>
      </c>
    </row>
    <row r="843" spans="1:13" x14ac:dyDescent="0.2">
      <c r="A843">
        <f>Final_Dataset!A814</f>
        <v>813</v>
      </c>
      <c r="B843" s="53">
        <f>Final_Dataset!B814</f>
        <v>40580</v>
      </c>
      <c r="C843">
        <f>Final_Dataset!F814</f>
        <v>7</v>
      </c>
      <c r="D843" t="str">
        <f>Final_Dataset!T814</f>
        <v>Sun</v>
      </c>
      <c r="E843" t="str">
        <f>Final_Dataset!X814</f>
        <v>Clear</v>
      </c>
      <c r="F843">
        <f>Final_Dataset!J814</f>
        <v>0.24</v>
      </c>
      <c r="G843">
        <f>Final_Dataset!L814</f>
        <v>0.65</v>
      </c>
      <c r="H843">
        <f>Final_Dataset!M814</f>
        <v>0.16420000000000001</v>
      </c>
      <c r="I843">
        <f>Final_Dataset!P814</f>
        <v>8</v>
      </c>
      <c r="J843" s="54">
        <f t="shared" si="54"/>
        <v>54.395348837209305</v>
      </c>
      <c r="K843" s="54">
        <f t="shared" si="55"/>
        <v>39.112864486352777</v>
      </c>
      <c r="L843" s="55">
        <f t="shared" si="56"/>
        <v>-1.1861915368892892</v>
      </c>
      <c r="M843" t="str">
        <f t="shared" si="57"/>
        <v/>
      </c>
    </row>
    <row r="844" spans="1:13" x14ac:dyDescent="0.2">
      <c r="A844">
        <f>Final_Dataset!A815</f>
        <v>814</v>
      </c>
      <c r="B844" s="53">
        <f>Final_Dataset!B815</f>
        <v>40580</v>
      </c>
      <c r="C844">
        <f>Final_Dataset!F815</f>
        <v>8</v>
      </c>
      <c r="D844" t="str">
        <f>Final_Dataset!T815</f>
        <v>Sun</v>
      </c>
      <c r="E844" t="str">
        <f>Final_Dataset!X815</f>
        <v>Clear</v>
      </c>
      <c r="F844">
        <f>Final_Dataset!J815</f>
        <v>0.24</v>
      </c>
      <c r="G844">
        <f>Final_Dataset!L815</f>
        <v>0.65</v>
      </c>
      <c r="H844">
        <f>Final_Dataset!M815</f>
        <v>0.1045</v>
      </c>
      <c r="I844">
        <f>Final_Dataset!P815</f>
        <v>23</v>
      </c>
      <c r="J844" s="54">
        <f t="shared" si="54"/>
        <v>128.28571428571428</v>
      </c>
      <c r="K844" s="54">
        <f t="shared" si="55"/>
        <v>88.551565717048533</v>
      </c>
      <c r="L844" s="55">
        <f t="shared" si="56"/>
        <v>-1.1889763149094039</v>
      </c>
      <c r="M844" t="str">
        <f t="shared" si="57"/>
        <v/>
      </c>
    </row>
    <row r="845" spans="1:13" x14ac:dyDescent="0.2">
      <c r="A845">
        <f>Final_Dataset!A816</f>
        <v>815</v>
      </c>
      <c r="B845" s="53">
        <f>Final_Dataset!B816</f>
        <v>40580</v>
      </c>
      <c r="C845">
        <f>Final_Dataset!F816</f>
        <v>9</v>
      </c>
      <c r="D845" t="str">
        <f>Final_Dataset!T816</f>
        <v>Sun</v>
      </c>
      <c r="E845" t="str">
        <f>Final_Dataset!X816</f>
        <v>Clear</v>
      </c>
      <c r="F845">
        <f>Final_Dataset!J816</f>
        <v>0.28000000000000003</v>
      </c>
      <c r="G845">
        <f>Final_Dataset!L816</f>
        <v>0.56000000000000005</v>
      </c>
      <c r="H845">
        <f>Final_Dataset!M816</f>
        <v>0.1045</v>
      </c>
      <c r="I845">
        <f>Final_Dataset!P816</f>
        <v>45</v>
      </c>
      <c r="J845" s="54">
        <f t="shared" si="54"/>
        <v>87.428571428571431</v>
      </c>
      <c r="K845" s="54">
        <f t="shared" si="55"/>
        <v>45.93852884078624</v>
      </c>
      <c r="L845" s="55">
        <f t="shared" si="56"/>
        <v>-0.92359447503467906</v>
      </c>
      <c r="M845" t="str">
        <f t="shared" si="57"/>
        <v/>
      </c>
    </row>
    <row r="846" spans="1:13" x14ac:dyDescent="0.2">
      <c r="A846">
        <f>Final_Dataset!A817</f>
        <v>816</v>
      </c>
      <c r="B846" s="53">
        <f>Final_Dataset!B817</f>
        <v>40580</v>
      </c>
      <c r="C846">
        <f>Final_Dataset!F817</f>
        <v>10</v>
      </c>
      <c r="D846" t="str">
        <f>Final_Dataset!T817</f>
        <v>Sun</v>
      </c>
      <c r="E846" t="str">
        <f>Final_Dataset!X817</f>
        <v>Clear</v>
      </c>
      <c r="F846">
        <f>Final_Dataset!J817</f>
        <v>0.3</v>
      </c>
      <c r="G846">
        <f>Final_Dataset!L817</f>
        <v>0.52</v>
      </c>
      <c r="H846">
        <f>Final_Dataset!M817</f>
        <v>0.25369999999999998</v>
      </c>
      <c r="I846">
        <f>Final_Dataset!P817</f>
        <v>89</v>
      </c>
      <c r="J846" s="54">
        <f t="shared" si="54"/>
        <v>53.642857142857146</v>
      </c>
      <c r="K846" s="54">
        <f t="shared" si="55"/>
        <v>15.395313554536934</v>
      </c>
      <c r="L846" s="55">
        <f t="shared" si="56"/>
        <v>2.296617261603175</v>
      </c>
      <c r="M846" t="str">
        <f t="shared" si="57"/>
        <v/>
      </c>
    </row>
    <row r="847" spans="1:13" x14ac:dyDescent="0.2">
      <c r="A847">
        <f>Final_Dataset!A818</f>
        <v>817</v>
      </c>
      <c r="B847" s="53">
        <f>Final_Dataset!B818</f>
        <v>40580</v>
      </c>
      <c r="C847">
        <f>Final_Dataset!F818</f>
        <v>11</v>
      </c>
      <c r="D847" t="str">
        <f>Final_Dataset!T818</f>
        <v>Sun</v>
      </c>
      <c r="E847" t="str">
        <f>Final_Dataset!X818</f>
        <v>Clear</v>
      </c>
      <c r="F847">
        <f>Final_Dataset!J818</f>
        <v>0.32</v>
      </c>
      <c r="G847">
        <f>Final_Dataset!L818</f>
        <v>0.49</v>
      </c>
      <c r="H847">
        <f>Final_Dataset!M818</f>
        <v>0.25369999999999998</v>
      </c>
      <c r="I847">
        <f>Final_Dataset!P818</f>
        <v>117</v>
      </c>
      <c r="J847" s="54">
        <f t="shared" si="54"/>
        <v>59.38095238095238</v>
      </c>
      <c r="K847" s="54">
        <f t="shared" si="55"/>
        <v>20.89573696860419</v>
      </c>
      <c r="L847" s="55">
        <f t="shared" si="56"/>
        <v>2.7574546763112564</v>
      </c>
      <c r="M847" t="str">
        <f t="shared" si="57"/>
        <v/>
      </c>
    </row>
    <row r="848" spans="1:13" x14ac:dyDescent="0.2">
      <c r="A848">
        <f>Final_Dataset!A819</f>
        <v>818</v>
      </c>
      <c r="B848" s="53">
        <f>Final_Dataset!B819</f>
        <v>40580</v>
      </c>
      <c r="C848">
        <f>Final_Dataset!F819</f>
        <v>12</v>
      </c>
      <c r="D848" t="str">
        <f>Final_Dataset!T819</f>
        <v>Sun</v>
      </c>
      <c r="E848" t="str">
        <f>Final_Dataset!X819</f>
        <v>Clear</v>
      </c>
      <c r="F848">
        <f>Final_Dataset!J819</f>
        <v>0.34</v>
      </c>
      <c r="G848">
        <f>Final_Dataset!L819</f>
        <v>0.46</v>
      </c>
      <c r="H848">
        <f>Final_Dataset!M819</f>
        <v>0</v>
      </c>
      <c r="I848">
        <f>Final_Dataset!P819</f>
        <v>174</v>
      </c>
      <c r="J848" s="54">
        <f t="shared" si="54"/>
        <v>76.348837209302332</v>
      </c>
      <c r="K848" s="54">
        <f t="shared" si="55"/>
        <v>29.034366927857057</v>
      </c>
      <c r="L848" s="55">
        <f t="shared" si="56"/>
        <v>3.3632957464970983</v>
      </c>
      <c r="M848" t="str">
        <f t="shared" si="57"/>
        <v>High</v>
      </c>
    </row>
    <row r="849" spans="1:13" x14ac:dyDescent="0.2">
      <c r="A849">
        <f>Final_Dataset!A820</f>
        <v>819</v>
      </c>
      <c r="B849" s="53">
        <f>Final_Dataset!B820</f>
        <v>40580</v>
      </c>
      <c r="C849">
        <f>Final_Dataset!F820</f>
        <v>13</v>
      </c>
      <c r="D849" t="str">
        <f>Final_Dataset!T820</f>
        <v>Sun</v>
      </c>
      <c r="E849" t="str">
        <f>Final_Dataset!X820</f>
        <v>Clear</v>
      </c>
      <c r="F849">
        <f>Final_Dataset!J820</f>
        <v>0.34</v>
      </c>
      <c r="G849">
        <f>Final_Dataset!L820</f>
        <v>0.46</v>
      </c>
      <c r="H849">
        <f>Final_Dataset!M820</f>
        <v>0</v>
      </c>
      <c r="I849">
        <f>Final_Dataset!P820</f>
        <v>182</v>
      </c>
      <c r="J849" s="54">
        <f t="shared" si="54"/>
        <v>78.511627906976742</v>
      </c>
      <c r="K849" s="54">
        <f t="shared" si="55"/>
        <v>30.072430098825173</v>
      </c>
      <c r="L849" s="55">
        <f t="shared" si="56"/>
        <v>3.4413039369593945</v>
      </c>
      <c r="M849" t="str">
        <f t="shared" si="57"/>
        <v>High</v>
      </c>
    </row>
    <row r="850" spans="1:13" x14ac:dyDescent="0.2">
      <c r="A850">
        <f>Final_Dataset!A821</f>
        <v>820</v>
      </c>
      <c r="B850" s="53">
        <f>Final_Dataset!B821</f>
        <v>40580</v>
      </c>
      <c r="C850">
        <f>Final_Dataset!F821</f>
        <v>14</v>
      </c>
      <c r="D850" t="str">
        <f>Final_Dataset!T821</f>
        <v>Sun</v>
      </c>
      <c r="E850" t="str">
        <f>Final_Dataset!X821</f>
        <v>Clear</v>
      </c>
      <c r="F850">
        <f>Final_Dataset!J821</f>
        <v>0.34</v>
      </c>
      <c r="G850">
        <f>Final_Dataset!L821</f>
        <v>0.46</v>
      </c>
      <c r="H850">
        <f>Final_Dataset!M821</f>
        <v>8.9599999999999999E-2</v>
      </c>
      <c r="I850">
        <f>Final_Dataset!P821</f>
        <v>161</v>
      </c>
      <c r="J850" s="54">
        <f t="shared" si="54"/>
        <v>74.418604651162795</v>
      </c>
      <c r="K850" s="54">
        <f t="shared" si="55"/>
        <v>30.305769180565147</v>
      </c>
      <c r="L850" s="55">
        <f t="shared" si="56"/>
        <v>2.8569278289218007</v>
      </c>
      <c r="M850" t="str">
        <f t="shared" si="57"/>
        <v/>
      </c>
    </row>
    <row r="851" spans="1:13" x14ac:dyDescent="0.2">
      <c r="A851">
        <f>Final_Dataset!A822</f>
        <v>821</v>
      </c>
      <c r="B851" s="53">
        <f>Final_Dataset!B822</f>
        <v>40580</v>
      </c>
      <c r="C851">
        <f>Final_Dataset!F822</f>
        <v>15</v>
      </c>
      <c r="D851" t="str">
        <f>Final_Dataset!T822</f>
        <v>Sun</v>
      </c>
      <c r="E851" t="str">
        <f>Final_Dataset!X822</f>
        <v>Clear</v>
      </c>
      <c r="F851">
        <f>Final_Dataset!J822</f>
        <v>0.34</v>
      </c>
      <c r="G851">
        <f>Final_Dataset!L822</f>
        <v>0.46</v>
      </c>
      <c r="H851">
        <f>Final_Dataset!M822</f>
        <v>8.9599999999999999E-2</v>
      </c>
      <c r="I851">
        <f>Final_Dataset!P822</f>
        <v>182</v>
      </c>
      <c r="J851" s="54">
        <f t="shared" si="54"/>
        <v>77.95348837209302</v>
      </c>
      <c r="K851" s="54">
        <f t="shared" si="55"/>
        <v>34.481156681772681</v>
      </c>
      <c r="L851" s="55">
        <f t="shared" si="56"/>
        <v>3.0174890183689143</v>
      </c>
      <c r="M851" t="str">
        <f t="shared" si="57"/>
        <v>High</v>
      </c>
    </row>
    <row r="852" spans="1:13" x14ac:dyDescent="0.2">
      <c r="A852">
        <f>Final_Dataset!A823</f>
        <v>822</v>
      </c>
      <c r="B852" s="53">
        <f>Final_Dataset!B823</f>
        <v>40580</v>
      </c>
      <c r="C852">
        <f>Final_Dataset!F823</f>
        <v>16</v>
      </c>
      <c r="D852" t="str">
        <f>Final_Dataset!T823</f>
        <v>Sun</v>
      </c>
      <c r="E852" t="str">
        <f>Final_Dataset!X823</f>
        <v>Clear</v>
      </c>
      <c r="F852">
        <f>Final_Dataset!J823</f>
        <v>0.34</v>
      </c>
      <c r="G852">
        <f>Final_Dataset!L823</f>
        <v>0.49</v>
      </c>
      <c r="H852">
        <f>Final_Dataset!M823</f>
        <v>0.1045</v>
      </c>
      <c r="I852">
        <f>Final_Dataset!P823</f>
        <v>157</v>
      </c>
      <c r="J852" s="54">
        <f t="shared" si="54"/>
        <v>89.272727272727266</v>
      </c>
      <c r="K852" s="54">
        <f t="shared" si="55"/>
        <v>25.461657115880747</v>
      </c>
      <c r="L852" s="55">
        <f t="shared" si="56"/>
        <v>2.6599711251719906</v>
      </c>
      <c r="M852" t="str">
        <f t="shared" si="57"/>
        <v/>
      </c>
    </row>
    <row r="853" spans="1:13" x14ac:dyDescent="0.2">
      <c r="A853">
        <f>Final_Dataset!A824</f>
        <v>823</v>
      </c>
      <c r="B853" s="53">
        <f>Final_Dataset!B824</f>
        <v>40580</v>
      </c>
      <c r="C853">
        <f>Final_Dataset!F824</f>
        <v>17</v>
      </c>
      <c r="D853" t="str">
        <f>Final_Dataset!T824</f>
        <v>Sun</v>
      </c>
      <c r="E853" t="str">
        <f>Final_Dataset!X824</f>
        <v>Clear</v>
      </c>
      <c r="F853">
        <f>Final_Dataset!J824</f>
        <v>0.34</v>
      </c>
      <c r="G853">
        <f>Final_Dataset!L824</f>
        <v>0.46</v>
      </c>
      <c r="H853">
        <f>Final_Dataset!M824</f>
        <v>0</v>
      </c>
      <c r="I853">
        <f>Final_Dataset!P824</f>
        <v>121</v>
      </c>
      <c r="J853" s="54">
        <f t="shared" si="54"/>
        <v>140.20454545454547</v>
      </c>
      <c r="K853" s="54">
        <f t="shared" si="55"/>
        <v>54.067391000084569</v>
      </c>
      <c r="L853" s="55">
        <f t="shared" si="56"/>
        <v>-0.35519645204473488</v>
      </c>
      <c r="M853" t="str">
        <f t="shared" si="57"/>
        <v/>
      </c>
    </row>
    <row r="854" spans="1:13" x14ac:dyDescent="0.2">
      <c r="A854">
        <f>Final_Dataset!A825</f>
        <v>824</v>
      </c>
      <c r="B854" s="53">
        <f>Final_Dataset!B825</f>
        <v>40580</v>
      </c>
      <c r="C854">
        <f>Final_Dataset!F825</f>
        <v>18</v>
      </c>
      <c r="D854" t="str">
        <f>Final_Dataset!T825</f>
        <v>Sun</v>
      </c>
      <c r="E854" t="str">
        <f>Final_Dataset!X825</f>
        <v>Clear</v>
      </c>
      <c r="F854">
        <f>Final_Dataset!J825</f>
        <v>0.3</v>
      </c>
      <c r="G854">
        <f>Final_Dataset!L825</f>
        <v>0.56000000000000005</v>
      </c>
      <c r="H854">
        <f>Final_Dataset!M825</f>
        <v>0.16420000000000001</v>
      </c>
      <c r="I854">
        <f>Final_Dataset!P825</f>
        <v>78</v>
      </c>
      <c r="J854" s="54">
        <f t="shared" si="54"/>
        <v>122.86046511627907</v>
      </c>
      <c r="K854" s="54">
        <f t="shared" si="55"/>
        <v>48.613432101949947</v>
      </c>
      <c r="L854" s="55">
        <f t="shared" si="56"/>
        <v>-0.92279979373189869</v>
      </c>
      <c r="M854" t="str">
        <f t="shared" si="57"/>
        <v/>
      </c>
    </row>
    <row r="855" spans="1:13" x14ac:dyDescent="0.2">
      <c r="A855">
        <f>Final_Dataset!A826</f>
        <v>825</v>
      </c>
      <c r="B855" s="53">
        <f>Final_Dataset!B826</f>
        <v>40580</v>
      </c>
      <c r="C855">
        <f>Final_Dataset!F826</f>
        <v>19</v>
      </c>
      <c r="D855" t="str">
        <f>Final_Dataset!T826</f>
        <v>Sun</v>
      </c>
      <c r="E855" t="str">
        <f>Final_Dataset!X826</f>
        <v>Clear</v>
      </c>
      <c r="F855">
        <f>Final_Dataset!J826</f>
        <v>0.28000000000000003</v>
      </c>
      <c r="G855">
        <f>Final_Dataset!L826</f>
        <v>0.61</v>
      </c>
      <c r="H855">
        <f>Final_Dataset!M826</f>
        <v>0.1343</v>
      </c>
      <c r="I855">
        <f>Final_Dataset!P826</f>
        <v>21</v>
      </c>
      <c r="J855" s="54">
        <f t="shared" si="54"/>
        <v>85.139534883720927</v>
      </c>
      <c r="K855" s="54">
        <f t="shared" si="55"/>
        <v>31.690904054294759</v>
      </c>
      <c r="L855" s="55">
        <f t="shared" si="56"/>
        <v>-2.0239099135144025</v>
      </c>
      <c r="M855" t="str">
        <f t="shared" si="57"/>
        <v/>
      </c>
    </row>
    <row r="856" spans="1:13" x14ac:dyDescent="0.2">
      <c r="A856">
        <f>Final_Dataset!A827</f>
        <v>826</v>
      </c>
      <c r="B856" s="53">
        <f>Final_Dataset!B827</f>
        <v>40580</v>
      </c>
      <c r="C856">
        <f>Final_Dataset!F827</f>
        <v>20</v>
      </c>
      <c r="D856" t="str">
        <f>Final_Dataset!T827</f>
        <v>Sun</v>
      </c>
      <c r="E856" t="str">
        <f>Final_Dataset!X827</f>
        <v>Clear</v>
      </c>
      <c r="F856">
        <f>Final_Dataset!J827</f>
        <v>0.28000000000000003</v>
      </c>
      <c r="G856">
        <f>Final_Dataset!L827</f>
        <v>0.61</v>
      </c>
      <c r="H856">
        <f>Final_Dataset!M827</f>
        <v>0.1045</v>
      </c>
      <c r="I856">
        <f>Final_Dataset!P827</f>
        <v>26</v>
      </c>
      <c r="J856" s="54">
        <f t="shared" si="54"/>
        <v>61.767441860465119</v>
      </c>
      <c r="K856" s="54">
        <f t="shared" si="55"/>
        <v>24.6323801696856</v>
      </c>
      <c r="L856" s="55">
        <f t="shared" si="56"/>
        <v>-1.4520497659614371</v>
      </c>
      <c r="M856" t="str">
        <f t="shared" si="57"/>
        <v/>
      </c>
    </row>
    <row r="857" spans="1:13" x14ac:dyDescent="0.2">
      <c r="A857">
        <f>Final_Dataset!A828</f>
        <v>827</v>
      </c>
      <c r="B857" s="53">
        <f>Final_Dataset!B828</f>
        <v>40580</v>
      </c>
      <c r="C857">
        <f>Final_Dataset!F828</f>
        <v>21</v>
      </c>
      <c r="D857" t="str">
        <f>Final_Dataset!T828</f>
        <v>Sun</v>
      </c>
      <c r="E857" t="str">
        <f>Final_Dataset!X828</f>
        <v>Clear</v>
      </c>
      <c r="F857">
        <f>Final_Dataset!J828</f>
        <v>0.26</v>
      </c>
      <c r="G857">
        <f>Final_Dataset!L828</f>
        <v>0.6</v>
      </c>
      <c r="H857">
        <f>Final_Dataset!M828</f>
        <v>0</v>
      </c>
      <c r="I857">
        <f>Final_Dataset!P828</f>
        <v>27</v>
      </c>
      <c r="J857" s="54">
        <f t="shared" si="54"/>
        <v>46.418604651162788</v>
      </c>
      <c r="K857" s="54">
        <f t="shared" si="55"/>
        <v>14.656759464719499</v>
      </c>
      <c r="L857" s="55">
        <f t="shared" si="56"/>
        <v>-1.3248907234853378</v>
      </c>
      <c r="M857" t="str">
        <f t="shared" si="57"/>
        <v/>
      </c>
    </row>
    <row r="858" spans="1:13" x14ac:dyDescent="0.2">
      <c r="A858">
        <f>Final_Dataset!A829</f>
        <v>828</v>
      </c>
      <c r="B858" s="53">
        <f>Final_Dataset!B829</f>
        <v>40580</v>
      </c>
      <c r="C858">
        <f>Final_Dataset!F829</f>
        <v>22</v>
      </c>
      <c r="D858" t="str">
        <f>Final_Dataset!T829</f>
        <v>Sun</v>
      </c>
      <c r="E858" t="str">
        <f>Final_Dataset!X829</f>
        <v>Clear</v>
      </c>
      <c r="F858">
        <f>Final_Dataset!J829</f>
        <v>0.26</v>
      </c>
      <c r="G858">
        <f>Final_Dataset!L829</f>
        <v>0.6</v>
      </c>
      <c r="H858">
        <f>Final_Dataset!M829</f>
        <v>0</v>
      </c>
      <c r="I858">
        <f>Final_Dataset!P829</f>
        <v>62</v>
      </c>
      <c r="J858" s="54">
        <f t="shared" si="54"/>
        <v>35.069767441860463</v>
      </c>
      <c r="K858" s="54">
        <f t="shared" si="55"/>
        <v>11.95506537162667</v>
      </c>
      <c r="L858" s="55">
        <f t="shared" si="56"/>
        <v>2.2526211041935329</v>
      </c>
      <c r="M858" t="str">
        <f t="shared" si="57"/>
        <v/>
      </c>
    </row>
    <row r="859" spans="1:13" x14ac:dyDescent="0.2">
      <c r="A859">
        <f>Final_Dataset!A830</f>
        <v>829</v>
      </c>
      <c r="B859" s="53">
        <f>Final_Dataset!B830</f>
        <v>40580</v>
      </c>
      <c r="C859">
        <f>Final_Dataset!F830</f>
        <v>23</v>
      </c>
      <c r="D859" t="str">
        <f>Final_Dataset!T830</f>
        <v>Sun</v>
      </c>
      <c r="E859" t="str">
        <f>Final_Dataset!X830</f>
        <v>Clear</v>
      </c>
      <c r="F859">
        <f>Final_Dataset!J830</f>
        <v>0.24</v>
      </c>
      <c r="G859">
        <f>Final_Dataset!L830</f>
        <v>0.65</v>
      </c>
      <c r="H859">
        <f>Final_Dataset!M830</f>
        <v>0</v>
      </c>
      <c r="I859">
        <f>Final_Dataset!P830</f>
        <v>30</v>
      </c>
      <c r="J859" s="54">
        <f t="shared" si="54"/>
        <v>25.186046511627907</v>
      </c>
      <c r="K859" s="54">
        <f t="shared" si="55"/>
        <v>11.751911321656186</v>
      </c>
      <c r="L859" s="55">
        <f t="shared" si="56"/>
        <v>0.40963153623368787</v>
      </c>
      <c r="M859" t="str">
        <f t="shared" si="57"/>
        <v/>
      </c>
    </row>
    <row r="860" spans="1:13" x14ac:dyDescent="0.2">
      <c r="A860">
        <f>Final_Dataset!A831</f>
        <v>830</v>
      </c>
      <c r="B860" s="53">
        <f>Final_Dataset!B831</f>
        <v>40581</v>
      </c>
      <c r="C860">
        <f>Final_Dataset!F831</f>
        <v>0</v>
      </c>
      <c r="D860" t="str">
        <f>Final_Dataset!T831</f>
        <v>Mon</v>
      </c>
      <c r="E860" t="str">
        <f>Final_Dataset!X831</f>
        <v>Clear</v>
      </c>
      <c r="F860">
        <f>Final_Dataset!J831</f>
        <v>0.24</v>
      </c>
      <c r="G860">
        <f>Final_Dataset!L831</f>
        <v>0.65</v>
      </c>
      <c r="H860">
        <f>Final_Dataset!M831</f>
        <v>0</v>
      </c>
      <c r="I860">
        <f>Final_Dataset!P831</f>
        <v>15</v>
      </c>
      <c r="J860" s="54">
        <f t="shared" si="54"/>
        <v>16.348837209302324</v>
      </c>
      <c r="K860" s="54">
        <f t="shared" si="55"/>
        <v>10.442321674276208</v>
      </c>
      <c r="L860" s="55">
        <f t="shared" si="56"/>
        <v>-0.12917024119502782</v>
      </c>
      <c r="M860" t="str">
        <f t="shared" si="57"/>
        <v/>
      </c>
    </row>
    <row r="861" spans="1:13" x14ac:dyDescent="0.2">
      <c r="A861">
        <f>Final_Dataset!A832</f>
        <v>831</v>
      </c>
      <c r="B861" s="53">
        <f>Final_Dataset!B832</f>
        <v>40581</v>
      </c>
      <c r="C861">
        <f>Final_Dataset!F832</f>
        <v>1</v>
      </c>
      <c r="D861" t="str">
        <f>Final_Dataset!T832</f>
        <v>Mon</v>
      </c>
      <c r="E861" t="str">
        <f>Final_Dataset!X832</f>
        <v>Clear</v>
      </c>
      <c r="F861">
        <f>Final_Dataset!J832</f>
        <v>0.22</v>
      </c>
      <c r="G861">
        <f>Final_Dataset!L832</f>
        <v>0.75</v>
      </c>
      <c r="H861">
        <f>Final_Dataset!M832</f>
        <v>0</v>
      </c>
      <c r="I861">
        <f>Final_Dataset!P832</f>
        <v>5</v>
      </c>
      <c r="J861" s="54">
        <f t="shared" si="54"/>
        <v>10.697674418604651</v>
      </c>
      <c r="K861" s="54">
        <f t="shared" si="55"/>
        <v>10.060613641515801</v>
      </c>
      <c r="L861" s="55">
        <f t="shared" si="56"/>
        <v>-0.56633468112648844</v>
      </c>
      <c r="M861" t="str">
        <f t="shared" si="57"/>
        <v/>
      </c>
    </row>
    <row r="862" spans="1:13" x14ac:dyDescent="0.2">
      <c r="A862">
        <f>Final_Dataset!A833</f>
        <v>832</v>
      </c>
      <c r="B862" s="53">
        <f>Final_Dataset!B833</f>
        <v>40581</v>
      </c>
      <c r="C862">
        <f>Final_Dataset!F833</f>
        <v>2</v>
      </c>
      <c r="D862" t="str">
        <f>Final_Dataset!T833</f>
        <v>Mon</v>
      </c>
      <c r="E862" t="str">
        <f>Final_Dataset!X833</f>
        <v>Clear</v>
      </c>
      <c r="F862">
        <f>Final_Dataset!J833</f>
        <v>0.2</v>
      </c>
      <c r="G862">
        <f>Final_Dataset!L833</f>
        <v>0.8</v>
      </c>
      <c r="H862">
        <f>Final_Dataset!M833</f>
        <v>0</v>
      </c>
      <c r="I862">
        <f>Final_Dataset!P833</f>
        <v>3</v>
      </c>
      <c r="J862" s="54">
        <f t="shared" si="54"/>
        <v>7.1707317073170733</v>
      </c>
      <c r="K862" s="54">
        <f t="shared" si="55"/>
        <v>7.3685223723090862</v>
      </c>
      <c r="L862" s="55">
        <f t="shared" si="56"/>
        <v>-0.5660200914895348</v>
      </c>
      <c r="M862" t="str">
        <f t="shared" si="57"/>
        <v/>
      </c>
    </row>
    <row r="863" spans="1:13" x14ac:dyDescent="0.2">
      <c r="A863">
        <f>Final_Dataset!A834</f>
        <v>833</v>
      </c>
      <c r="B863" s="53">
        <f>Final_Dataset!B834</f>
        <v>40581</v>
      </c>
      <c r="C863">
        <f>Final_Dataset!F834</f>
        <v>3</v>
      </c>
      <c r="D863" t="str">
        <f>Final_Dataset!T834</f>
        <v>Mon</v>
      </c>
      <c r="E863" t="str">
        <f>Final_Dataset!X834</f>
        <v>Clear</v>
      </c>
      <c r="F863">
        <f>Final_Dataset!J834</f>
        <v>0.2</v>
      </c>
      <c r="G863">
        <f>Final_Dataset!L834</f>
        <v>0.86</v>
      </c>
      <c r="H863">
        <f>Final_Dataset!M834</f>
        <v>0</v>
      </c>
      <c r="I863">
        <f>Final_Dataset!P834</f>
        <v>1</v>
      </c>
      <c r="J863" s="54">
        <f t="shared" ref="J863:J926" si="58">INDEX($F$5:$F$28,MATCH(C863,$D$5:$D$28,0))</f>
        <v>4.870967741935484</v>
      </c>
      <c r="K863" s="54">
        <f t="shared" ref="K863:K926" si="59">INDEX($G$5:$G$28,MATCH(C863,$D$5:$D$28,0))</f>
        <v>4.4702120418303126</v>
      </c>
      <c r="L863" s="55">
        <f t="shared" ref="L863:L926" si="60">IF(K863=0,0,(I863-J863)/K863)</f>
        <v>-0.86594723152115394</v>
      </c>
      <c r="M863" t="str">
        <f t="shared" ref="M863:M926" si="61">IF(ABS(L863)&gt;=$B$4,IF(L863&gt;0,"High","Low"),"")</f>
        <v/>
      </c>
    </row>
    <row r="864" spans="1:13" x14ac:dyDescent="0.2">
      <c r="A864">
        <f>Final_Dataset!A835</f>
        <v>834</v>
      </c>
      <c r="B864" s="53">
        <f>Final_Dataset!B835</f>
        <v>40581</v>
      </c>
      <c r="C864">
        <f>Final_Dataset!F835</f>
        <v>4</v>
      </c>
      <c r="D864" t="str">
        <f>Final_Dataset!T835</f>
        <v>Mon</v>
      </c>
      <c r="E864" t="str">
        <f>Final_Dataset!X835</f>
        <v>Clear</v>
      </c>
      <c r="F864">
        <f>Final_Dataset!J835</f>
        <v>0.2</v>
      </c>
      <c r="G864">
        <f>Final_Dataset!L835</f>
        <v>0.86</v>
      </c>
      <c r="H864">
        <f>Final_Dataset!M835</f>
        <v>0</v>
      </c>
      <c r="I864">
        <f>Final_Dataset!P835</f>
        <v>2</v>
      </c>
      <c r="J864" s="54">
        <f t="shared" si="58"/>
        <v>2.15625</v>
      </c>
      <c r="K864" s="54">
        <f t="shared" si="59"/>
        <v>1.5263148747143209</v>
      </c>
      <c r="L864" s="55">
        <f t="shared" si="60"/>
        <v>-0.102370751008533</v>
      </c>
      <c r="M864" t="str">
        <f t="shared" si="61"/>
        <v/>
      </c>
    </row>
    <row r="865" spans="1:13" x14ac:dyDescent="0.2">
      <c r="A865">
        <f>Final_Dataset!A836</f>
        <v>835</v>
      </c>
      <c r="B865" s="53">
        <f>Final_Dataset!B836</f>
        <v>40581</v>
      </c>
      <c r="C865">
        <f>Final_Dataset!F836</f>
        <v>5</v>
      </c>
      <c r="D865" t="str">
        <f>Final_Dataset!T836</f>
        <v>Mon</v>
      </c>
      <c r="E865" t="str">
        <f>Final_Dataset!X836</f>
        <v>Clear</v>
      </c>
      <c r="F865">
        <f>Final_Dataset!J836</f>
        <v>0.2</v>
      </c>
      <c r="G865">
        <f>Final_Dataset!L836</f>
        <v>0.86</v>
      </c>
      <c r="H865">
        <f>Final_Dataset!M836</f>
        <v>0</v>
      </c>
      <c r="I865">
        <f>Final_Dataset!P836</f>
        <v>10</v>
      </c>
      <c r="J865" s="54">
        <f t="shared" si="58"/>
        <v>4.2051282051282053</v>
      </c>
      <c r="K865" s="54">
        <f t="shared" si="59"/>
        <v>2.5358429220352288</v>
      </c>
      <c r="L865" s="55">
        <f t="shared" si="60"/>
        <v>2.2851856258592385</v>
      </c>
      <c r="M865" t="str">
        <f t="shared" si="61"/>
        <v/>
      </c>
    </row>
    <row r="866" spans="1:13" x14ac:dyDescent="0.2">
      <c r="A866">
        <f>Final_Dataset!A837</f>
        <v>836</v>
      </c>
      <c r="B866" s="53">
        <f>Final_Dataset!B837</f>
        <v>40581</v>
      </c>
      <c r="C866">
        <f>Final_Dataset!F837</f>
        <v>6</v>
      </c>
      <c r="D866" t="str">
        <f>Final_Dataset!T837</f>
        <v>Mon</v>
      </c>
      <c r="E866" t="str">
        <f>Final_Dataset!X837</f>
        <v>Clear</v>
      </c>
      <c r="F866">
        <f>Final_Dataset!J837</f>
        <v>0.18</v>
      </c>
      <c r="G866">
        <f>Final_Dataset!L837</f>
        <v>0.93</v>
      </c>
      <c r="H866">
        <f>Final_Dataset!M837</f>
        <v>0</v>
      </c>
      <c r="I866">
        <f>Final_Dataset!P837</f>
        <v>30</v>
      </c>
      <c r="J866" s="54">
        <f t="shared" si="58"/>
        <v>19.571428571428573</v>
      </c>
      <c r="K866" s="54">
        <f t="shared" si="59"/>
        <v>14.202615453298934</v>
      </c>
      <c r="L866" s="55">
        <f t="shared" si="60"/>
        <v>0.7342711955317438</v>
      </c>
      <c r="M866" t="str">
        <f t="shared" si="61"/>
        <v/>
      </c>
    </row>
    <row r="867" spans="1:13" x14ac:dyDescent="0.2">
      <c r="A867">
        <f>Final_Dataset!A838</f>
        <v>837</v>
      </c>
      <c r="B867" s="53">
        <f>Final_Dataset!B838</f>
        <v>40581</v>
      </c>
      <c r="C867">
        <f>Final_Dataset!F838</f>
        <v>7</v>
      </c>
      <c r="D867" t="str">
        <f>Final_Dataset!T838</f>
        <v>Mon</v>
      </c>
      <c r="E867" t="str">
        <f>Final_Dataset!X838</f>
        <v>Clear</v>
      </c>
      <c r="F867">
        <f>Final_Dataset!J838</f>
        <v>0.18</v>
      </c>
      <c r="G867">
        <f>Final_Dataset!L838</f>
        <v>0.86</v>
      </c>
      <c r="H867">
        <f>Final_Dataset!M838</f>
        <v>0</v>
      </c>
      <c r="I867">
        <f>Final_Dataset!P838</f>
        <v>95</v>
      </c>
      <c r="J867" s="54">
        <f t="shared" si="58"/>
        <v>54.395348837209305</v>
      </c>
      <c r="K867" s="54">
        <f t="shared" si="59"/>
        <v>39.112864486352777</v>
      </c>
      <c r="L867" s="55">
        <f t="shared" si="60"/>
        <v>1.0381405631121299</v>
      </c>
      <c r="M867" t="str">
        <f t="shared" si="61"/>
        <v/>
      </c>
    </row>
    <row r="868" spans="1:13" x14ac:dyDescent="0.2">
      <c r="A868">
        <f>Final_Dataset!A839</f>
        <v>838</v>
      </c>
      <c r="B868" s="53">
        <f>Final_Dataset!B839</f>
        <v>40581</v>
      </c>
      <c r="C868">
        <f>Final_Dataset!F839</f>
        <v>8</v>
      </c>
      <c r="D868" t="str">
        <f>Final_Dataset!T839</f>
        <v>Mon</v>
      </c>
      <c r="E868" t="str">
        <f>Final_Dataset!X839</f>
        <v>Cloudy/Mist</v>
      </c>
      <c r="F868">
        <f>Final_Dataset!J839</f>
        <v>0.16</v>
      </c>
      <c r="G868">
        <f>Final_Dataset!L839</f>
        <v>1</v>
      </c>
      <c r="H868">
        <f>Final_Dataset!M839</f>
        <v>0</v>
      </c>
      <c r="I868">
        <f>Final_Dataset!P839</f>
        <v>230</v>
      </c>
      <c r="J868" s="54">
        <f t="shared" si="58"/>
        <v>128.28571428571428</v>
      </c>
      <c r="K868" s="54">
        <f t="shared" si="59"/>
        <v>88.551565717048533</v>
      </c>
      <c r="L868" s="55">
        <f t="shared" si="60"/>
        <v>1.1486446895732643</v>
      </c>
      <c r="M868" t="str">
        <f t="shared" si="61"/>
        <v/>
      </c>
    </row>
    <row r="869" spans="1:13" x14ac:dyDescent="0.2">
      <c r="A869">
        <f>Final_Dataset!A840</f>
        <v>839</v>
      </c>
      <c r="B869" s="53">
        <f>Final_Dataset!B840</f>
        <v>40581</v>
      </c>
      <c r="C869">
        <f>Final_Dataset!F840</f>
        <v>9</v>
      </c>
      <c r="D869" t="str">
        <f>Final_Dataset!T840</f>
        <v>Mon</v>
      </c>
      <c r="E869" t="str">
        <f>Final_Dataset!X840</f>
        <v>Clear</v>
      </c>
      <c r="F869">
        <f>Final_Dataset!J840</f>
        <v>0.22</v>
      </c>
      <c r="G869">
        <f>Final_Dataset!L840</f>
        <v>0.8</v>
      </c>
      <c r="H869">
        <f>Final_Dataset!M840</f>
        <v>0</v>
      </c>
      <c r="I869">
        <f>Final_Dataset!P840</f>
        <v>118</v>
      </c>
      <c r="J869" s="54">
        <f t="shared" si="58"/>
        <v>87.428571428571431</v>
      </c>
      <c r="K869" s="54">
        <f t="shared" si="59"/>
        <v>45.93852884078624</v>
      </c>
      <c r="L869" s="55">
        <f t="shared" si="60"/>
        <v>0.66548558133811886</v>
      </c>
      <c r="M869" t="str">
        <f t="shared" si="61"/>
        <v/>
      </c>
    </row>
    <row r="870" spans="1:13" x14ac:dyDescent="0.2">
      <c r="A870">
        <f>Final_Dataset!A841</f>
        <v>840</v>
      </c>
      <c r="B870" s="53">
        <f>Final_Dataset!B841</f>
        <v>40581</v>
      </c>
      <c r="C870">
        <f>Final_Dataset!F841</f>
        <v>10</v>
      </c>
      <c r="D870" t="str">
        <f>Final_Dataset!T841</f>
        <v>Mon</v>
      </c>
      <c r="E870" t="str">
        <f>Final_Dataset!X841</f>
        <v>Clear</v>
      </c>
      <c r="F870">
        <f>Final_Dataset!J841</f>
        <v>0.24</v>
      </c>
      <c r="G870">
        <f>Final_Dataset!L841</f>
        <v>0.75</v>
      </c>
      <c r="H870">
        <f>Final_Dataset!M841</f>
        <v>0.1045</v>
      </c>
      <c r="I870">
        <f>Final_Dataset!P841</f>
        <v>55</v>
      </c>
      <c r="J870" s="54">
        <f t="shared" si="58"/>
        <v>53.642857142857146</v>
      </c>
      <c r="K870" s="54">
        <f t="shared" si="59"/>
        <v>15.395313554536934</v>
      </c>
      <c r="L870" s="55">
        <f t="shared" si="60"/>
        <v>8.8152985798909553E-2</v>
      </c>
      <c r="M870" t="str">
        <f t="shared" si="61"/>
        <v/>
      </c>
    </row>
    <row r="871" spans="1:13" x14ac:dyDescent="0.2">
      <c r="A871">
        <f>Final_Dataset!A842</f>
        <v>841</v>
      </c>
      <c r="B871" s="53">
        <f>Final_Dataset!B842</f>
        <v>40581</v>
      </c>
      <c r="C871">
        <f>Final_Dataset!F842</f>
        <v>11</v>
      </c>
      <c r="D871" t="str">
        <f>Final_Dataset!T842</f>
        <v>Mon</v>
      </c>
      <c r="E871" t="str">
        <f>Final_Dataset!X842</f>
        <v>Clear</v>
      </c>
      <c r="F871">
        <f>Final_Dataset!J842</f>
        <v>0.3</v>
      </c>
      <c r="G871">
        <f>Final_Dataset!L842</f>
        <v>0.65</v>
      </c>
      <c r="H871">
        <f>Final_Dataset!M842</f>
        <v>8.9599999999999999E-2</v>
      </c>
      <c r="I871">
        <f>Final_Dataset!P842</f>
        <v>47</v>
      </c>
      <c r="J871" s="54">
        <f t="shared" si="58"/>
        <v>59.38095238095238</v>
      </c>
      <c r="K871" s="54">
        <f t="shared" si="59"/>
        <v>20.89573696860419</v>
      </c>
      <c r="L871" s="55">
        <f t="shared" si="60"/>
        <v>-0.59251092218258394</v>
      </c>
      <c r="M871" t="str">
        <f t="shared" si="61"/>
        <v/>
      </c>
    </row>
    <row r="872" spans="1:13" x14ac:dyDescent="0.2">
      <c r="A872">
        <f>Final_Dataset!A843</f>
        <v>842</v>
      </c>
      <c r="B872" s="53">
        <f>Final_Dataset!B843</f>
        <v>40581</v>
      </c>
      <c r="C872">
        <f>Final_Dataset!F843</f>
        <v>12</v>
      </c>
      <c r="D872" t="str">
        <f>Final_Dataset!T843</f>
        <v>Mon</v>
      </c>
      <c r="E872" t="str">
        <f>Final_Dataset!X843</f>
        <v>Cloudy/Mist</v>
      </c>
      <c r="F872">
        <f>Final_Dataset!J843</f>
        <v>0.32</v>
      </c>
      <c r="G872">
        <f>Final_Dataset!L843</f>
        <v>0.62</v>
      </c>
      <c r="H872">
        <f>Final_Dataset!M843</f>
        <v>0</v>
      </c>
      <c r="I872">
        <f>Final_Dataset!P843</f>
        <v>66</v>
      </c>
      <c r="J872" s="54">
        <f t="shared" si="58"/>
        <v>76.348837209302332</v>
      </c>
      <c r="K872" s="54">
        <f t="shared" si="59"/>
        <v>29.034366927857057</v>
      </c>
      <c r="L872" s="55">
        <f t="shared" si="60"/>
        <v>-0.35643405744015472</v>
      </c>
      <c r="M872" t="str">
        <f t="shared" si="61"/>
        <v/>
      </c>
    </row>
    <row r="873" spans="1:13" x14ac:dyDescent="0.2">
      <c r="A873">
        <f>Final_Dataset!A844</f>
        <v>843</v>
      </c>
      <c r="B873" s="53">
        <f>Final_Dataset!B844</f>
        <v>40581</v>
      </c>
      <c r="C873">
        <f>Final_Dataset!F844</f>
        <v>13</v>
      </c>
      <c r="D873" t="str">
        <f>Final_Dataset!T844</f>
        <v>Mon</v>
      </c>
      <c r="E873" t="str">
        <f>Final_Dataset!X844</f>
        <v>Cloudy/Mist</v>
      </c>
      <c r="F873">
        <f>Final_Dataset!J844</f>
        <v>0.36</v>
      </c>
      <c r="G873">
        <f>Final_Dataset!L844</f>
        <v>0.56999999999999995</v>
      </c>
      <c r="H873">
        <f>Final_Dataset!M844</f>
        <v>8.9599999999999999E-2</v>
      </c>
      <c r="I873">
        <f>Final_Dataset!P844</f>
        <v>64</v>
      </c>
      <c r="J873" s="54">
        <f t="shared" si="58"/>
        <v>78.511627906976742</v>
      </c>
      <c r="K873" s="54">
        <f t="shared" si="59"/>
        <v>30.072430098825173</v>
      </c>
      <c r="L873" s="55">
        <f t="shared" si="60"/>
        <v>-0.48255587790172172</v>
      </c>
      <c r="M873" t="str">
        <f t="shared" si="61"/>
        <v/>
      </c>
    </row>
    <row r="874" spans="1:13" x14ac:dyDescent="0.2">
      <c r="A874">
        <f>Final_Dataset!A845</f>
        <v>844</v>
      </c>
      <c r="B874" s="53">
        <f>Final_Dataset!B845</f>
        <v>40581</v>
      </c>
      <c r="C874">
        <f>Final_Dataset!F845</f>
        <v>14</v>
      </c>
      <c r="D874" t="str">
        <f>Final_Dataset!T845</f>
        <v>Mon</v>
      </c>
      <c r="E874" t="str">
        <f>Final_Dataset!X845</f>
        <v>Cloudy/Mist</v>
      </c>
      <c r="F874">
        <f>Final_Dataset!J845</f>
        <v>0.36</v>
      </c>
      <c r="G874">
        <f>Final_Dataset!L845</f>
        <v>0.56999999999999995</v>
      </c>
      <c r="H874">
        <f>Final_Dataset!M845</f>
        <v>8.9599999999999999E-2</v>
      </c>
      <c r="I874">
        <f>Final_Dataset!P845</f>
        <v>60</v>
      </c>
      <c r="J874" s="54">
        <f t="shared" si="58"/>
        <v>74.418604651162795</v>
      </c>
      <c r="K874" s="54">
        <f t="shared" si="59"/>
        <v>30.305769180565147</v>
      </c>
      <c r="L874" s="55">
        <f t="shared" si="60"/>
        <v>-0.47577095190209967</v>
      </c>
      <c r="M874" t="str">
        <f t="shared" si="61"/>
        <v/>
      </c>
    </row>
    <row r="875" spans="1:13" x14ac:dyDescent="0.2">
      <c r="A875">
        <f>Final_Dataset!A846</f>
        <v>845</v>
      </c>
      <c r="B875" s="53">
        <f>Final_Dataset!B846</f>
        <v>40581</v>
      </c>
      <c r="C875">
        <f>Final_Dataset!F846</f>
        <v>15</v>
      </c>
      <c r="D875" t="str">
        <f>Final_Dataset!T846</f>
        <v>Mon</v>
      </c>
      <c r="E875" t="str">
        <f>Final_Dataset!X846</f>
        <v>Cloudy/Mist</v>
      </c>
      <c r="F875">
        <f>Final_Dataset!J846</f>
        <v>0.38</v>
      </c>
      <c r="G875">
        <f>Final_Dataset!L846</f>
        <v>0.54</v>
      </c>
      <c r="H875">
        <f>Final_Dataset!M846</f>
        <v>8.9599999999999999E-2</v>
      </c>
      <c r="I875">
        <f>Final_Dataset!P846</f>
        <v>50</v>
      </c>
      <c r="J875" s="54">
        <f t="shared" si="58"/>
        <v>77.95348837209302</v>
      </c>
      <c r="K875" s="54">
        <f t="shared" si="59"/>
        <v>34.481156681772681</v>
      </c>
      <c r="L875" s="55">
        <f t="shared" si="60"/>
        <v>-0.81068882433603806</v>
      </c>
      <c r="M875" t="str">
        <f t="shared" si="61"/>
        <v/>
      </c>
    </row>
    <row r="876" spans="1:13" x14ac:dyDescent="0.2">
      <c r="A876">
        <f>Final_Dataset!A847</f>
        <v>846</v>
      </c>
      <c r="B876" s="53">
        <f>Final_Dataset!B847</f>
        <v>40581</v>
      </c>
      <c r="C876">
        <f>Final_Dataset!F847</f>
        <v>16</v>
      </c>
      <c r="D876" t="str">
        <f>Final_Dataset!T847</f>
        <v>Mon</v>
      </c>
      <c r="E876" t="str">
        <f>Final_Dataset!X847</f>
        <v>Cloudy/Mist</v>
      </c>
      <c r="F876">
        <f>Final_Dataset!J847</f>
        <v>0.36</v>
      </c>
      <c r="G876">
        <f>Final_Dataset!L847</f>
        <v>0.56999999999999995</v>
      </c>
      <c r="H876">
        <f>Final_Dataset!M847</f>
        <v>0.1343</v>
      </c>
      <c r="I876">
        <f>Final_Dataset!P847</f>
        <v>114</v>
      </c>
      <c r="J876" s="54">
        <f t="shared" si="58"/>
        <v>89.272727272727266</v>
      </c>
      <c r="K876" s="54">
        <f t="shared" si="59"/>
        <v>25.461657115880747</v>
      </c>
      <c r="L876" s="55">
        <f t="shared" si="60"/>
        <v>0.97115724301581419</v>
      </c>
      <c r="M876" t="str">
        <f t="shared" si="61"/>
        <v/>
      </c>
    </row>
    <row r="877" spans="1:13" x14ac:dyDescent="0.2">
      <c r="A877">
        <f>Final_Dataset!A848</f>
        <v>847</v>
      </c>
      <c r="B877" s="53">
        <f>Final_Dataset!B848</f>
        <v>40581</v>
      </c>
      <c r="C877">
        <f>Final_Dataset!F848</f>
        <v>17</v>
      </c>
      <c r="D877" t="str">
        <f>Final_Dataset!T848</f>
        <v>Mon</v>
      </c>
      <c r="E877" t="str">
        <f>Final_Dataset!X848</f>
        <v>Cloudy/Mist</v>
      </c>
      <c r="F877">
        <f>Final_Dataset!J848</f>
        <v>0.32</v>
      </c>
      <c r="G877">
        <f>Final_Dataset!L848</f>
        <v>0.7</v>
      </c>
      <c r="H877">
        <f>Final_Dataset!M848</f>
        <v>0.16420000000000001</v>
      </c>
      <c r="I877">
        <f>Final_Dataset!P848</f>
        <v>216</v>
      </c>
      <c r="J877" s="54">
        <f t="shared" si="58"/>
        <v>140.20454545454547</v>
      </c>
      <c r="K877" s="54">
        <f t="shared" si="59"/>
        <v>54.067391000084569</v>
      </c>
      <c r="L877" s="55">
        <f t="shared" si="60"/>
        <v>1.4018700207919406</v>
      </c>
      <c r="M877" t="str">
        <f t="shared" si="61"/>
        <v/>
      </c>
    </row>
    <row r="878" spans="1:13" x14ac:dyDescent="0.2">
      <c r="A878">
        <f>Final_Dataset!A849</f>
        <v>848</v>
      </c>
      <c r="B878" s="53">
        <f>Final_Dataset!B849</f>
        <v>40581</v>
      </c>
      <c r="C878">
        <f>Final_Dataset!F849</f>
        <v>18</v>
      </c>
      <c r="D878" t="str">
        <f>Final_Dataset!T849</f>
        <v>Mon</v>
      </c>
      <c r="E878" t="str">
        <f>Final_Dataset!X849</f>
        <v>Cloudy/Mist</v>
      </c>
      <c r="F878">
        <f>Final_Dataset!J849</f>
        <v>0.34</v>
      </c>
      <c r="G878">
        <f>Final_Dataset!L849</f>
        <v>0.66</v>
      </c>
      <c r="H878">
        <f>Final_Dataset!M849</f>
        <v>0.1343</v>
      </c>
      <c r="I878">
        <f>Final_Dataset!P849</f>
        <v>175</v>
      </c>
      <c r="J878" s="54">
        <f t="shared" si="58"/>
        <v>122.86046511627907</v>
      </c>
      <c r="K878" s="54">
        <f t="shared" si="59"/>
        <v>48.613432101949947</v>
      </c>
      <c r="L878" s="55">
        <f t="shared" si="60"/>
        <v>1.0725335083187748</v>
      </c>
      <c r="M878" t="str">
        <f t="shared" si="61"/>
        <v/>
      </c>
    </row>
    <row r="879" spans="1:13" x14ac:dyDescent="0.2">
      <c r="A879">
        <f>Final_Dataset!A850</f>
        <v>849</v>
      </c>
      <c r="B879" s="53">
        <f>Final_Dataset!B850</f>
        <v>40581</v>
      </c>
      <c r="C879">
        <f>Final_Dataset!F850</f>
        <v>19</v>
      </c>
      <c r="D879" t="str">
        <f>Final_Dataset!T850</f>
        <v>Mon</v>
      </c>
      <c r="E879" t="str">
        <f>Final_Dataset!X850</f>
        <v>Cloudy/Mist</v>
      </c>
      <c r="F879">
        <f>Final_Dataset!J850</f>
        <v>0.32</v>
      </c>
      <c r="G879">
        <f>Final_Dataset!L850</f>
        <v>0.7</v>
      </c>
      <c r="H879">
        <f>Final_Dataset!M850</f>
        <v>0</v>
      </c>
      <c r="I879">
        <f>Final_Dataset!P850</f>
        <v>128</v>
      </c>
      <c r="J879" s="54">
        <f t="shared" si="58"/>
        <v>85.139534883720927</v>
      </c>
      <c r="K879" s="54">
        <f t="shared" si="59"/>
        <v>31.690904054294759</v>
      </c>
      <c r="L879" s="55">
        <f t="shared" si="60"/>
        <v>1.3524532163187251</v>
      </c>
      <c r="M879" t="str">
        <f t="shared" si="61"/>
        <v/>
      </c>
    </row>
    <row r="880" spans="1:13" x14ac:dyDescent="0.2">
      <c r="A880">
        <f>Final_Dataset!A851</f>
        <v>850</v>
      </c>
      <c r="B880" s="53">
        <f>Final_Dataset!B851</f>
        <v>40581</v>
      </c>
      <c r="C880">
        <f>Final_Dataset!F851</f>
        <v>20</v>
      </c>
      <c r="D880" t="str">
        <f>Final_Dataset!T851</f>
        <v>Mon</v>
      </c>
      <c r="E880" t="str">
        <f>Final_Dataset!X851</f>
        <v>Cloudy/Mist</v>
      </c>
      <c r="F880">
        <f>Final_Dataset!J851</f>
        <v>0.32</v>
      </c>
      <c r="G880">
        <f>Final_Dataset!L851</f>
        <v>0.7</v>
      </c>
      <c r="H880">
        <f>Final_Dataset!M851</f>
        <v>0.1045</v>
      </c>
      <c r="I880">
        <f>Final_Dataset!P851</f>
        <v>88</v>
      </c>
      <c r="J880" s="54">
        <f t="shared" si="58"/>
        <v>61.767441860465119</v>
      </c>
      <c r="K880" s="54">
        <f t="shared" si="59"/>
        <v>24.6323801696856</v>
      </c>
      <c r="L880" s="55">
        <f t="shared" si="60"/>
        <v>1.0649623771160603</v>
      </c>
      <c r="M880" t="str">
        <f t="shared" si="61"/>
        <v/>
      </c>
    </row>
    <row r="881" spans="1:13" x14ac:dyDescent="0.2">
      <c r="A881">
        <f>Final_Dataset!A852</f>
        <v>851</v>
      </c>
      <c r="B881" s="53">
        <f>Final_Dataset!B852</f>
        <v>40581</v>
      </c>
      <c r="C881">
        <f>Final_Dataset!F852</f>
        <v>21</v>
      </c>
      <c r="D881" t="str">
        <f>Final_Dataset!T852</f>
        <v>Mon</v>
      </c>
      <c r="E881" t="str">
        <f>Final_Dataset!X852</f>
        <v>Clear</v>
      </c>
      <c r="F881">
        <f>Final_Dataset!J852</f>
        <v>0.32</v>
      </c>
      <c r="G881">
        <f>Final_Dataset!L852</f>
        <v>0.7</v>
      </c>
      <c r="H881">
        <f>Final_Dataset!M852</f>
        <v>0</v>
      </c>
      <c r="I881">
        <f>Final_Dataset!P852</f>
        <v>78</v>
      </c>
      <c r="J881" s="54">
        <f t="shared" si="58"/>
        <v>46.418604651162788</v>
      </c>
      <c r="K881" s="54">
        <f t="shared" si="59"/>
        <v>14.656759464719499</v>
      </c>
      <c r="L881" s="55">
        <f t="shared" si="60"/>
        <v>2.1547324580755558</v>
      </c>
      <c r="M881" t="str">
        <f t="shared" si="61"/>
        <v/>
      </c>
    </row>
    <row r="882" spans="1:13" x14ac:dyDescent="0.2">
      <c r="A882">
        <f>Final_Dataset!A853</f>
        <v>852</v>
      </c>
      <c r="B882" s="53">
        <f>Final_Dataset!B853</f>
        <v>40581</v>
      </c>
      <c r="C882">
        <f>Final_Dataset!F853</f>
        <v>22</v>
      </c>
      <c r="D882" t="str">
        <f>Final_Dataset!T853</f>
        <v>Mon</v>
      </c>
      <c r="E882" t="str">
        <f>Final_Dataset!X853</f>
        <v>Clear</v>
      </c>
      <c r="F882">
        <f>Final_Dataset!J853</f>
        <v>0.28000000000000003</v>
      </c>
      <c r="G882">
        <f>Final_Dataset!L853</f>
        <v>0.81</v>
      </c>
      <c r="H882">
        <f>Final_Dataset!M853</f>
        <v>8.9599999999999999E-2</v>
      </c>
      <c r="I882">
        <f>Final_Dataset!P853</f>
        <v>37</v>
      </c>
      <c r="J882" s="54">
        <f t="shared" si="58"/>
        <v>35.069767441860463</v>
      </c>
      <c r="K882" s="54">
        <f t="shared" si="59"/>
        <v>11.95506537162667</v>
      </c>
      <c r="L882" s="55">
        <f t="shared" si="60"/>
        <v>0.16145729848710136</v>
      </c>
      <c r="M882" t="str">
        <f t="shared" si="61"/>
        <v/>
      </c>
    </row>
    <row r="883" spans="1:13" x14ac:dyDescent="0.2">
      <c r="A883">
        <f>Final_Dataset!A854</f>
        <v>853</v>
      </c>
      <c r="B883" s="53">
        <f>Final_Dataset!B854</f>
        <v>40581</v>
      </c>
      <c r="C883">
        <f>Final_Dataset!F854</f>
        <v>23</v>
      </c>
      <c r="D883" t="str">
        <f>Final_Dataset!T854</f>
        <v>Mon</v>
      </c>
      <c r="E883" t="str">
        <f>Final_Dataset!X854</f>
        <v>Cloudy/Mist</v>
      </c>
      <c r="F883">
        <f>Final_Dataset!J854</f>
        <v>0.3</v>
      </c>
      <c r="G883">
        <f>Final_Dataset!L854</f>
        <v>0.81</v>
      </c>
      <c r="H883">
        <f>Final_Dataset!M854</f>
        <v>0</v>
      </c>
      <c r="I883">
        <f>Final_Dataset!P854</f>
        <v>25</v>
      </c>
      <c r="J883" s="54">
        <f t="shared" si="58"/>
        <v>25.186046511627907</v>
      </c>
      <c r="K883" s="54">
        <f t="shared" si="59"/>
        <v>11.751911321656186</v>
      </c>
      <c r="L883" s="55">
        <f t="shared" si="60"/>
        <v>-1.5831170482461396E-2</v>
      </c>
      <c r="M883" t="str">
        <f t="shared" si="61"/>
        <v/>
      </c>
    </row>
    <row r="884" spans="1:13" x14ac:dyDescent="0.2">
      <c r="A884">
        <f>Final_Dataset!A855</f>
        <v>854</v>
      </c>
      <c r="B884" s="53">
        <f>Final_Dataset!B855</f>
        <v>40582</v>
      </c>
      <c r="C884">
        <f>Final_Dataset!F855</f>
        <v>0</v>
      </c>
      <c r="D884" t="str">
        <f>Final_Dataset!T855</f>
        <v>Tue</v>
      </c>
      <c r="E884" t="str">
        <f>Final_Dataset!X855</f>
        <v>Cloudy/Mist</v>
      </c>
      <c r="F884">
        <f>Final_Dataset!J855</f>
        <v>0.28000000000000003</v>
      </c>
      <c r="G884">
        <f>Final_Dataset!L855</f>
        <v>0.87</v>
      </c>
      <c r="H884">
        <f>Final_Dataset!M855</f>
        <v>0</v>
      </c>
      <c r="I884">
        <f>Final_Dataset!P855</f>
        <v>10</v>
      </c>
      <c r="J884" s="54">
        <f t="shared" si="58"/>
        <v>16.348837209302324</v>
      </c>
      <c r="K884" s="54">
        <f t="shared" si="59"/>
        <v>10.442321674276208</v>
      </c>
      <c r="L884" s="55">
        <f t="shared" si="60"/>
        <v>-0.60799096286625198</v>
      </c>
      <c r="M884" t="str">
        <f t="shared" si="61"/>
        <v/>
      </c>
    </row>
    <row r="885" spans="1:13" x14ac:dyDescent="0.2">
      <c r="A885">
        <f>Final_Dataset!A856</f>
        <v>855</v>
      </c>
      <c r="B885" s="53">
        <f>Final_Dataset!B856</f>
        <v>40582</v>
      </c>
      <c r="C885">
        <f>Final_Dataset!F856</f>
        <v>1</v>
      </c>
      <c r="D885" t="str">
        <f>Final_Dataset!T856</f>
        <v>Tue</v>
      </c>
      <c r="E885" t="str">
        <f>Final_Dataset!X856</f>
        <v>Cloudy/Mist</v>
      </c>
      <c r="F885">
        <f>Final_Dataset!J856</f>
        <v>0.28000000000000003</v>
      </c>
      <c r="G885">
        <f>Final_Dataset!L856</f>
        <v>0.87</v>
      </c>
      <c r="H885">
        <f>Final_Dataset!M856</f>
        <v>0</v>
      </c>
      <c r="I885">
        <f>Final_Dataset!P856</f>
        <v>4</v>
      </c>
      <c r="J885" s="54">
        <f t="shared" si="58"/>
        <v>10.697674418604651</v>
      </c>
      <c r="K885" s="54">
        <f t="shared" si="59"/>
        <v>10.060613641515801</v>
      </c>
      <c r="L885" s="55">
        <f t="shared" si="60"/>
        <v>-0.66573219658950478</v>
      </c>
      <c r="M885" t="str">
        <f t="shared" si="61"/>
        <v/>
      </c>
    </row>
    <row r="886" spans="1:13" x14ac:dyDescent="0.2">
      <c r="A886">
        <f>Final_Dataset!A857</f>
        <v>856</v>
      </c>
      <c r="B886" s="53">
        <f>Final_Dataset!B857</f>
        <v>40582</v>
      </c>
      <c r="C886">
        <f>Final_Dataset!F857</f>
        <v>2</v>
      </c>
      <c r="D886" t="str">
        <f>Final_Dataset!T857</f>
        <v>Tue</v>
      </c>
      <c r="E886" t="str">
        <f>Final_Dataset!X857</f>
        <v>Cloudy/Mist</v>
      </c>
      <c r="F886">
        <f>Final_Dataset!J857</f>
        <v>0.26</v>
      </c>
      <c r="G886">
        <f>Final_Dataset!L857</f>
        <v>0.93</v>
      </c>
      <c r="H886">
        <f>Final_Dataset!M857</f>
        <v>0.1045</v>
      </c>
      <c r="I886">
        <f>Final_Dataset!P857</f>
        <v>2</v>
      </c>
      <c r="J886" s="54">
        <f t="shared" si="58"/>
        <v>7.1707317073170733</v>
      </c>
      <c r="K886" s="54">
        <f t="shared" si="59"/>
        <v>7.3685223723090862</v>
      </c>
      <c r="L886" s="55">
        <f t="shared" si="60"/>
        <v>-0.70173251108644086</v>
      </c>
      <c r="M886" t="str">
        <f t="shared" si="61"/>
        <v/>
      </c>
    </row>
    <row r="887" spans="1:13" x14ac:dyDescent="0.2">
      <c r="A887">
        <f>Final_Dataset!A858</f>
        <v>857</v>
      </c>
      <c r="B887" s="53">
        <f>Final_Dataset!B858</f>
        <v>40582</v>
      </c>
      <c r="C887">
        <f>Final_Dataset!F858</f>
        <v>3</v>
      </c>
      <c r="D887" t="str">
        <f>Final_Dataset!T858</f>
        <v>Tue</v>
      </c>
      <c r="E887" t="str">
        <f>Final_Dataset!X858</f>
        <v>Light Rain/Snow</v>
      </c>
      <c r="F887">
        <f>Final_Dataset!J858</f>
        <v>0.28000000000000003</v>
      </c>
      <c r="G887">
        <f>Final_Dataset!L858</f>
        <v>0.93</v>
      </c>
      <c r="H887">
        <f>Final_Dataset!M858</f>
        <v>0.16420000000000001</v>
      </c>
      <c r="I887">
        <f>Final_Dataset!P858</f>
        <v>1</v>
      </c>
      <c r="J887" s="54">
        <f t="shared" si="58"/>
        <v>4.870967741935484</v>
      </c>
      <c r="K887" s="54">
        <f t="shared" si="59"/>
        <v>4.4702120418303126</v>
      </c>
      <c r="L887" s="55">
        <f t="shared" si="60"/>
        <v>-0.86594723152115394</v>
      </c>
      <c r="M887" t="str">
        <f t="shared" si="61"/>
        <v/>
      </c>
    </row>
    <row r="888" spans="1:13" x14ac:dyDescent="0.2">
      <c r="A888">
        <f>Final_Dataset!A859</f>
        <v>858</v>
      </c>
      <c r="B888" s="53">
        <f>Final_Dataset!B859</f>
        <v>40582</v>
      </c>
      <c r="C888">
        <f>Final_Dataset!F859</f>
        <v>4</v>
      </c>
      <c r="D888" t="str">
        <f>Final_Dataset!T859</f>
        <v>Tue</v>
      </c>
      <c r="E888" t="str">
        <f>Final_Dataset!X859</f>
        <v>Clear</v>
      </c>
      <c r="F888">
        <f>Final_Dataset!J859</f>
        <v>0.26</v>
      </c>
      <c r="G888">
        <f>Final_Dataset!L859</f>
        <v>0.93</v>
      </c>
      <c r="H888">
        <f>Final_Dataset!M859</f>
        <v>0.16420000000000001</v>
      </c>
      <c r="I888">
        <f>Final_Dataset!P859</f>
        <v>3</v>
      </c>
      <c r="J888" s="54">
        <f t="shared" si="58"/>
        <v>2.15625</v>
      </c>
      <c r="K888" s="54">
        <f t="shared" si="59"/>
        <v>1.5263148747143209</v>
      </c>
      <c r="L888" s="55">
        <f t="shared" si="60"/>
        <v>0.55280205544607819</v>
      </c>
      <c r="M888" t="str">
        <f t="shared" si="61"/>
        <v/>
      </c>
    </row>
    <row r="889" spans="1:13" x14ac:dyDescent="0.2">
      <c r="A889">
        <f>Final_Dataset!A860</f>
        <v>859</v>
      </c>
      <c r="B889" s="53">
        <f>Final_Dataset!B860</f>
        <v>40582</v>
      </c>
      <c r="C889">
        <f>Final_Dataset!F860</f>
        <v>5</v>
      </c>
      <c r="D889" t="str">
        <f>Final_Dataset!T860</f>
        <v>Tue</v>
      </c>
      <c r="E889" t="str">
        <f>Final_Dataset!X860</f>
        <v>Clear</v>
      </c>
      <c r="F889">
        <f>Final_Dataset!J860</f>
        <v>0.26</v>
      </c>
      <c r="G889">
        <f>Final_Dataset!L860</f>
        <v>0.81</v>
      </c>
      <c r="H889">
        <f>Final_Dataset!M860</f>
        <v>0.32840000000000003</v>
      </c>
      <c r="I889">
        <f>Final_Dataset!P860</f>
        <v>2</v>
      </c>
      <c r="J889" s="54">
        <f t="shared" si="58"/>
        <v>4.2051282051282053</v>
      </c>
      <c r="K889" s="54">
        <f t="shared" si="59"/>
        <v>2.5358429220352288</v>
      </c>
      <c r="L889" s="55">
        <f t="shared" si="60"/>
        <v>-0.86958391072519714</v>
      </c>
      <c r="M889" t="str">
        <f t="shared" si="61"/>
        <v/>
      </c>
    </row>
    <row r="890" spans="1:13" x14ac:dyDescent="0.2">
      <c r="A890">
        <f>Final_Dataset!A861</f>
        <v>860</v>
      </c>
      <c r="B890" s="53">
        <f>Final_Dataset!B861</f>
        <v>40582</v>
      </c>
      <c r="C890">
        <f>Final_Dataset!F861</f>
        <v>6</v>
      </c>
      <c r="D890" t="str">
        <f>Final_Dataset!T861</f>
        <v>Tue</v>
      </c>
      <c r="E890" t="str">
        <f>Final_Dataset!X861</f>
        <v>Clear</v>
      </c>
      <c r="F890">
        <f>Final_Dataset!J861</f>
        <v>0.26</v>
      </c>
      <c r="G890">
        <f>Final_Dataset!L861</f>
        <v>0.7</v>
      </c>
      <c r="H890">
        <f>Final_Dataset!M861</f>
        <v>0.32840000000000003</v>
      </c>
      <c r="I890">
        <f>Final_Dataset!P861</f>
        <v>39</v>
      </c>
      <c r="J890" s="54">
        <f t="shared" si="58"/>
        <v>19.571428571428573</v>
      </c>
      <c r="K890" s="54">
        <f t="shared" si="59"/>
        <v>14.202615453298934</v>
      </c>
      <c r="L890" s="55">
        <f t="shared" si="60"/>
        <v>1.3679572957851664</v>
      </c>
      <c r="M890" t="str">
        <f t="shared" si="61"/>
        <v/>
      </c>
    </row>
    <row r="891" spans="1:13" x14ac:dyDescent="0.2">
      <c r="A891">
        <f>Final_Dataset!A862</f>
        <v>861</v>
      </c>
      <c r="B891" s="53">
        <f>Final_Dataset!B862</f>
        <v>40582</v>
      </c>
      <c r="C891">
        <f>Final_Dataset!F862</f>
        <v>7</v>
      </c>
      <c r="D891" t="str">
        <f>Final_Dataset!T862</f>
        <v>Tue</v>
      </c>
      <c r="E891" t="str">
        <f>Final_Dataset!X862</f>
        <v>Clear</v>
      </c>
      <c r="F891">
        <f>Final_Dataset!J862</f>
        <v>0.24</v>
      </c>
      <c r="G891">
        <f>Final_Dataset!L862</f>
        <v>0.65</v>
      </c>
      <c r="H891">
        <f>Final_Dataset!M862</f>
        <v>0.41789999999999999</v>
      </c>
      <c r="I891">
        <f>Final_Dataset!P862</f>
        <v>100</v>
      </c>
      <c r="J891" s="54">
        <f t="shared" si="58"/>
        <v>54.395348837209305</v>
      </c>
      <c r="K891" s="54">
        <f t="shared" si="59"/>
        <v>39.112864486352777</v>
      </c>
      <c r="L891" s="55">
        <f t="shared" si="60"/>
        <v>1.1659757412731309</v>
      </c>
      <c r="M891" t="str">
        <f t="shared" si="61"/>
        <v/>
      </c>
    </row>
    <row r="892" spans="1:13" x14ac:dyDescent="0.2">
      <c r="A892">
        <f>Final_Dataset!A863</f>
        <v>862</v>
      </c>
      <c r="B892" s="53">
        <f>Final_Dataset!B863</f>
        <v>40582</v>
      </c>
      <c r="C892">
        <f>Final_Dataset!F863</f>
        <v>8</v>
      </c>
      <c r="D892" t="str">
        <f>Final_Dataset!T863</f>
        <v>Tue</v>
      </c>
      <c r="E892" t="str">
        <f>Final_Dataset!X863</f>
        <v>Clear</v>
      </c>
      <c r="F892">
        <f>Final_Dataset!J863</f>
        <v>0.24</v>
      </c>
      <c r="G892">
        <f>Final_Dataset!L863</f>
        <v>0.56000000000000005</v>
      </c>
      <c r="H892">
        <f>Final_Dataset!M863</f>
        <v>0.49249999999999999</v>
      </c>
      <c r="I892">
        <f>Final_Dataset!P863</f>
        <v>243</v>
      </c>
      <c r="J892" s="54">
        <f t="shared" si="58"/>
        <v>128.28571428571428</v>
      </c>
      <c r="K892" s="54">
        <f t="shared" si="59"/>
        <v>88.551565717048533</v>
      </c>
      <c r="L892" s="55">
        <f t="shared" si="60"/>
        <v>1.2954518057968134</v>
      </c>
      <c r="M892" t="str">
        <f t="shared" si="61"/>
        <v/>
      </c>
    </row>
    <row r="893" spans="1:13" x14ac:dyDescent="0.2">
      <c r="A893">
        <f>Final_Dataset!A864</f>
        <v>863</v>
      </c>
      <c r="B893" s="53">
        <f>Final_Dataset!B864</f>
        <v>40582</v>
      </c>
      <c r="C893">
        <f>Final_Dataset!F864</f>
        <v>9</v>
      </c>
      <c r="D893" t="str">
        <f>Final_Dataset!T864</f>
        <v>Tue</v>
      </c>
      <c r="E893" t="str">
        <f>Final_Dataset!X864</f>
        <v>Clear</v>
      </c>
      <c r="F893">
        <f>Final_Dataset!J864</f>
        <v>0.24</v>
      </c>
      <c r="G893">
        <f>Final_Dataset!L864</f>
        <v>0.52</v>
      </c>
      <c r="H893">
        <f>Final_Dataset!M864</f>
        <v>0.49249999999999999</v>
      </c>
      <c r="I893">
        <f>Final_Dataset!P864</f>
        <v>135</v>
      </c>
      <c r="J893" s="54">
        <f t="shared" si="58"/>
        <v>87.428571428571431</v>
      </c>
      <c r="K893" s="54">
        <f t="shared" si="59"/>
        <v>45.93852884078624</v>
      </c>
      <c r="L893" s="55">
        <f t="shared" si="60"/>
        <v>1.035545320493428</v>
      </c>
      <c r="M893" t="str">
        <f t="shared" si="61"/>
        <v/>
      </c>
    </row>
    <row r="894" spans="1:13" x14ac:dyDescent="0.2">
      <c r="A894">
        <f>Final_Dataset!A865</f>
        <v>864</v>
      </c>
      <c r="B894" s="53">
        <f>Final_Dataset!B865</f>
        <v>40582</v>
      </c>
      <c r="C894">
        <f>Final_Dataset!F865</f>
        <v>10</v>
      </c>
      <c r="D894" t="str">
        <f>Final_Dataset!T865</f>
        <v>Tue</v>
      </c>
      <c r="E894" t="str">
        <f>Final_Dataset!X865</f>
        <v>Clear</v>
      </c>
      <c r="F894">
        <f>Final_Dataset!J865</f>
        <v>0.22</v>
      </c>
      <c r="G894">
        <f>Final_Dataset!L865</f>
        <v>0.47</v>
      </c>
      <c r="H894">
        <f>Final_Dataset!M865</f>
        <v>0.55220000000000002</v>
      </c>
      <c r="I894">
        <f>Final_Dataset!P865</f>
        <v>48</v>
      </c>
      <c r="J894" s="54">
        <f t="shared" si="58"/>
        <v>53.642857142857146</v>
      </c>
      <c r="K894" s="54">
        <f t="shared" si="59"/>
        <v>15.395313554536934</v>
      </c>
      <c r="L894" s="55">
        <f t="shared" si="60"/>
        <v>-0.36653083569020389</v>
      </c>
      <c r="M894" t="str">
        <f t="shared" si="61"/>
        <v/>
      </c>
    </row>
    <row r="895" spans="1:13" x14ac:dyDescent="0.2">
      <c r="A895">
        <f>Final_Dataset!A866</f>
        <v>865</v>
      </c>
      <c r="B895" s="53">
        <f>Final_Dataset!B866</f>
        <v>40582</v>
      </c>
      <c r="C895">
        <f>Final_Dataset!F866</f>
        <v>11</v>
      </c>
      <c r="D895" t="str">
        <f>Final_Dataset!T866</f>
        <v>Tue</v>
      </c>
      <c r="E895" t="str">
        <f>Final_Dataset!X866</f>
        <v>Clear</v>
      </c>
      <c r="F895">
        <f>Final_Dataset!J866</f>
        <v>0.22</v>
      </c>
      <c r="G895">
        <f>Final_Dataset!L866</f>
        <v>0.47</v>
      </c>
      <c r="H895">
        <f>Final_Dataset!M866</f>
        <v>0.4627</v>
      </c>
      <c r="I895">
        <f>Final_Dataset!P866</f>
        <v>50</v>
      </c>
      <c r="J895" s="54">
        <f t="shared" si="58"/>
        <v>59.38095238095238</v>
      </c>
      <c r="K895" s="54">
        <f t="shared" si="59"/>
        <v>20.89573696860419</v>
      </c>
      <c r="L895" s="55">
        <f t="shared" si="60"/>
        <v>-0.44894096796141936</v>
      </c>
      <c r="M895" t="str">
        <f t="shared" si="61"/>
        <v/>
      </c>
    </row>
    <row r="896" spans="1:13" x14ac:dyDescent="0.2">
      <c r="A896">
        <f>Final_Dataset!A867</f>
        <v>866</v>
      </c>
      <c r="B896" s="53">
        <f>Final_Dataset!B867</f>
        <v>40582</v>
      </c>
      <c r="C896">
        <f>Final_Dataset!F867</f>
        <v>12</v>
      </c>
      <c r="D896" t="str">
        <f>Final_Dataset!T867</f>
        <v>Tue</v>
      </c>
      <c r="E896" t="str">
        <f>Final_Dataset!X867</f>
        <v>Clear</v>
      </c>
      <c r="F896">
        <f>Final_Dataset!J867</f>
        <v>0.24</v>
      </c>
      <c r="G896">
        <f>Final_Dataset!L867</f>
        <v>0.38</v>
      </c>
      <c r="H896">
        <f>Final_Dataset!M867</f>
        <v>0.49249999999999999</v>
      </c>
      <c r="I896">
        <f>Final_Dataset!P867</f>
        <v>65</v>
      </c>
      <c r="J896" s="54">
        <f t="shared" si="58"/>
        <v>76.348837209302332</v>
      </c>
      <c r="K896" s="54">
        <f t="shared" si="59"/>
        <v>29.034366927857057</v>
      </c>
      <c r="L896" s="55">
        <f t="shared" si="60"/>
        <v>-0.39087600006920337</v>
      </c>
      <c r="M896" t="str">
        <f t="shared" si="61"/>
        <v/>
      </c>
    </row>
    <row r="897" spans="1:13" x14ac:dyDescent="0.2">
      <c r="A897">
        <f>Final_Dataset!A868</f>
        <v>867</v>
      </c>
      <c r="B897" s="53">
        <f>Final_Dataset!B868</f>
        <v>40582</v>
      </c>
      <c r="C897">
        <f>Final_Dataset!F868</f>
        <v>13</v>
      </c>
      <c r="D897" t="str">
        <f>Final_Dataset!T868</f>
        <v>Tue</v>
      </c>
      <c r="E897" t="str">
        <f>Final_Dataset!X868</f>
        <v>Cloudy/Mist</v>
      </c>
      <c r="F897">
        <f>Final_Dataset!J868</f>
        <v>0.24</v>
      </c>
      <c r="G897">
        <f>Final_Dataset!L868</f>
        <v>0.32</v>
      </c>
      <c r="H897">
        <f>Final_Dataset!M868</f>
        <v>0.44779999999999998</v>
      </c>
      <c r="I897">
        <f>Final_Dataset!P868</f>
        <v>50</v>
      </c>
      <c r="J897" s="54">
        <f t="shared" si="58"/>
        <v>78.511627906976742</v>
      </c>
      <c r="K897" s="54">
        <f t="shared" si="59"/>
        <v>30.072430098825173</v>
      </c>
      <c r="L897" s="55">
        <f t="shared" si="60"/>
        <v>-0.94809856780049817</v>
      </c>
      <c r="M897" t="str">
        <f t="shared" si="61"/>
        <v/>
      </c>
    </row>
    <row r="898" spans="1:13" x14ac:dyDescent="0.2">
      <c r="A898">
        <f>Final_Dataset!A869</f>
        <v>868</v>
      </c>
      <c r="B898" s="53">
        <f>Final_Dataset!B869</f>
        <v>40582</v>
      </c>
      <c r="C898">
        <f>Final_Dataset!F869</f>
        <v>14</v>
      </c>
      <c r="D898" t="str">
        <f>Final_Dataset!T869</f>
        <v>Tue</v>
      </c>
      <c r="E898" t="str">
        <f>Final_Dataset!X869</f>
        <v>Clear</v>
      </c>
      <c r="F898">
        <f>Final_Dataset!J869</f>
        <v>0.22</v>
      </c>
      <c r="G898">
        <f>Final_Dataset!L869</f>
        <v>0.37</v>
      </c>
      <c r="H898">
        <f>Final_Dataset!M869</f>
        <v>0.41789999999999999</v>
      </c>
      <c r="I898">
        <f>Final_Dataset!P869</f>
        <v>64</v>
      </c>
      <c r="J898" s="54">
        <f t="shared" si="58"/>
        <v>74.418604651162795</v>
      </c>
      <c r="K898" s="54">
        <f t="shared" si="59"/>
        <v>30.305769180565147</v>
      </c>
      <c r="L898" s="55">
        <f t="shared" si="60"/>
        <v>-0.34378288137442042</v>
      </c>
      <c r="M898" t="str">
        <f t="shared" si="61"/>
        <v/>
      </c>
    </row>
    <row r="899" spans="1:13" x14ac:dyDescent="0.2">
      <c r="A899">
        <f>Final_Dataset!A870</f>
        <v>869</v>
      </c>
      <c r="B899" s="53">
        <f>Final_Dataset!B870</f>
        <v>40582</v>
      </c>
      <c r="C899">
        <f>Final_Dataset!F870</f>
        <v>15</v>
      </c>
      <c r="D899" t="str">
        <f>Final_Dataset!T870</f>
        <v>Tue</v>
      </c>
      <c r="E899" t="str">
        <f>Final_Dataset!X870</f>
        <v>Clear</v>
      </c>
      <c r="F899">
        <f>Final_Dataset!J870</f>
        <v>0.22</v>
      </c>
      <c r="G899">
        <f>Final_Dataset!L870</f>
        <v>0.35</v>
      </c>
      <c r="H899">
        <f>Final_Dataset!M870</f>
        <v>0.3881</v>
      </c>
      <c r="I899">
        <f>Final_Dataset!P870</f>
        <v>51</v>
      </c>
      <c r="J899" s="54">
        <f t="shared" si="58"/>
        <v>77.95348837209302</v>
      </c>
      <c r="K899" s="54">
        <f t="shared" si="59"/>
        <v>34.481156681772681</v>
      </c>
      <c r="L899" s="55">
        <f t="shared" si="60"/>
        <v>-0.78168747704281871</v>
      </c>
      <c r="M899" t="str">
        <f t="shared" si="61"/>
        <v/>
      </c>
    </row>
    <row r="900" spans="1:13" x14ac:dyDescent="0.2">
      <c r="A900">
        <f>Final_Dataset!A871</f>
        <v>870</v>
      </c>
      <c r="B900" s="53">
        <f>Final_Dataset!B871</f>
        <v>40582</v>
      </c>
      <c r="C900">
        <f>Final_Dataset!F871</f>
        <v>16</v>
      </c>
      <c r="D900" t="str">
        <f>Final_Dataset!T871</f>
        <v>Tue</v>
      </c>
      <c r="E900" t="str">
        <f>Final_Dataset!X871</f>
        <v>Clear</v>
      </c>
      <c r="F900">
        <f>Final_Dataset!J871</f>
        <v>0.22</v>
      </c>
      <c r="G900">
        <f>Final_Dataset!L871</f>
        <v>0.35</v>
      </c>
      <c r="H900">
        <f>Final_Dataset!M871</f>
        <v>0.52239999999999998</v>
      </c>
      <c r="I900">
        <f>Final_Dataset!P871</f>
        <v>83</v>
      </c>
      <c r="J900" s="54">
        <f t="shared" si="58"/>
        <v>89.272727272727266</v>
      </c>
      <c r="K900" s="54">
        <f t="shared" si="59"/>
        <v>25.461657115880747</v>
      </c>
      <c r="L900" s="55">
        <f t="shared" si="60"/>
        <v>-0.24635974179445255</v>
      </c>
      <c r="M900" t="str">
        <f t="shared" si="61"/>
        <v/>
      </c>
    </row>
    <row r="901" spans="1:13" x14ac:dyDescent="0.2">
      <c r="A901">
        <f>Final_Dataset!A872</f>
        <v>871</v>
      </c>
      <c r="B901" s="53">
        <f>Final_Dataset!B872</f>
        <v>40582</v>
      </c>
      <c r="C901">
        <f>Final_Dataset!F872</f>
        <v>17</v>
      </c>
      <c r="D901" t="str">
        <f>Final_Dataset!T872</f>
        <v>Tue</v>
      </c>
      <c r="E901" t="str">
        <f>Final_Dataset!X872</f>
        <v>Clear</v>
      </c>
      <c r="F901">
        <f>Final_Dataset!J872</f>
        <v>0.22</v>
      </c>
      <c r="G901">
        <f>Final_Dataset!L872</f>
        <v>0.32</v>
      </c>
      <c r="H901">
        <f>Final_Dataset!M872</f>
        <v>0.58209999999999995</v>
      </c>
      <c r="I901">
        <f>Final_Dataset!P872</f>
        <v>176</v>
      </c>
      <c r="J901" s="54">
        <f t="shared" si="58"/>
        <v>140.20454545454547</v>
      </c>
      <c r="K901" s="54">
        <f t="shared" si="59"/>
        <v>54.067391000084569</v>
      </c>
      <c r="L901" s="55">
        <f t="shared" si="60"/>
        <v>0.66205255854491929</v>
      </c>
      <c r="M901" t="str">
        <f t="shared" si="61"/>
        <v/>
      </c>
    </row>
    <row r="902" spans="1:13" x14ac:dyDescent="0.2">
      <c r="A902">
        <f>Final_Dataset!A873</f>
        <v>872</v>
      </c>
      <c r="B902" s="53">
        <f>Final_Dataset!B873</f>
        <v>40582</v>
      </c>
      <c r="C902">
        <f>Final_Dataset!F873</f>
        <v>18</v>
      </c>
      <c r="D902" t="str">
        <f>Final_Dataset!T873</f>
        <v>Tue</v>
      </c>
      <c r="E902" t="str">
        <f>Final_Dataset!X873</f>
        <v>Clear</v>
      </c>
      <c r="F902">
        <f>Final_Dataset!J873</f>
        <v>0.2</v>
      </c>
      <c r="G902">
        <f>Final_Dataset!L873</f>
        <v>0.32</v>
      </c>
      <c r="H902">
        <f>Final_Dataset!M873</f>
        <v>0.3881</v>
      </c>
      <c r="I902">
        <f>Final_Dataset!P873</f>
        <v>152</v>
      </c>
      <c r="J902" s="54">
        <f t="shared" si="58"/>
        <v>122.86046511627907</v>
      </c>
      <c r="K902" s="54">
        <f t="shared" si="59"/>
        <v>48.613432101949947</v>
      </c>
      <c r="L902" s="55">
        <f t="shared" si="60"/>
        <v>0.59941324082222336</v>
      </c>
      <c r="M902" t="str">
        <f t="shared" si="61"/>
        <v/>
      </c>
    </row>
    <row r="903" spans="1:13" x14ac:dyDescent="0.2">
      <c r="A903">
        <f>Final_Dataset!A874</f>
        <v>873</v>
      </c>
      <c r="B903" s="53">
        <f>Final_Dataset!B874</f>
        <v>40582</v>
      </c>
      <c r="C903">
        <f>Final_Dataset!F874</f>
        <v>19</v>
      </c>
      <c r="D903" t="str">
        <f>Final_Dataset!T874</f>
        <v>Tue</v>
      </c>
      <c r="E903" t="str">
        <f>Final_Dataset!X874</f>
        <v>Clear</v>
      </c>
      <c r="F903">
        <f>Final_Dataset!J874</f>
        <v>0.16</v>
      </c>
      <c r="G903">
        <f>Final_Dataset!L874</f>
        <v>0.4</v>
      </c>
      <c r="H903">
        <f>Final_Dataset!M874</f>
        <v>0.4627</v>
      </c>
      <c r="I903">
        <f>Final_Dataset!P874</f>
        <v>101</v>
      </c>
      <c r="J903" s="54">
        <f t="shared" si="58"/>
        <v>85.139534883720927</v>
      </c>
      <c r="K903" s="54">
        <f t="shared" si="59"/>
        <v>31.690904054294759</v>
      </c>
      <c r="L903" s="55">
        <f t="shared" si="60"/>
        <v>0.50047373495896397</v>
      </c>
      <c r="M903" t="str">
        <f t="shared" si="61"/>
        <v/>
      </c>
    </row>
    <row r="904" spans="1:13" x14ac:dyDescent="0.2">
      <c r="A904">
        <f>Final_Dataset!A875</f>
        <v>874</v>
      </c>
      <c r="B904" s="53">
        <f>Final_Dataset!B875</f>
        <v>40582</v>
      </c>
      <c r="C904">
        <f>Final_Dataset!F875</f>
        <v>20</v>
      </c>
      <c r="D904" t="str">
        <f>Final_Dataset!T875</f>
        <v>Tue</v>
      </c>
      <c r="E904" t="str">
        <f>Final_Dataset!X875</f>
        <v>Clear</v>
      </c>
      <c r="F904">
        <f>Final_Dataset!J875</f>
        <v>0.16</v>
      </c>
      <c r="G904">
        <f>Final_Dataset!L875</f>
        <v>0.4</v>
      </c>
      <c r="H904">
        <f>Final_Dataset!M875</f>
        <v>0.32840000000000003</v>
      </c>
      <c r="I904">
        <f>Final_Dataset!P875</f>
        <v>56</v>
      </c>
      <c r="J904" s="54">
        <f t="shared" si="58"/>
        <v>61.767441860465119</v>
      </c>
      <c r="K904" s="54">
        <f t="shared" si="59"/>
        <v>24.6323801696856</v>
      </c>
      <c r="L904" s="55">
        <f t="shared" si="60"/>
        <v>-0.23414066447232545</v>
      </c>
      <c r="M904" t="str">
        <f t="shared" si="61"/>
        <v/>
      </c>
    </row>
    <row r="905" spans="1:13" x14ac:dyDescent="0.2">
      <c r="A905">
        <f>Final_Dataset!A876</f>
        <v>875</v>
      </c>
      <c r="B905" s="53">
        <f>Final_Dataset!B876</f>
        <v>40582</v>
      </c>
      <c r="C905">
        <f>Final_Dataset!F876</f>
        <v>21</v>
      </c>
      <c r="D905" t="str">
        <f>Final_Dataset!T876</f>
        <v>Tue</v>
      </c>
      <c r="E905" t="str">
        <f>Final_Dataset!X876</f>
        <v>Clear</v>
      </c>
      <c r="F905">
        <f>Final_Dataset!J876</f>
        <v>0.14000000000000001</v>
      </c>
      <c r="G905">
        <f>Final_Dataset!L876</f>
        <v>0.33</v>
      </c>
      <c r="H905">
        <f>Final_Dataset!M876</f>
        <v>0.4627</v>
      </c>
      <c r="I905">
        <f>Final_Dataset!P876</f>
        <v>54</v>
      </c>
      <c r="J905" s="54">
        <f t="shared" si="58"/>
        <v>46.418604651162788</v>
      </c>
      <c r="K905" s="54">
        <f t="shared" si="59"/>
        <v>14.656759464719499</v>
      </c>
      <c r="L905" s="55">
        <f t="shared" si="60"/>
        <v>0.5172627255763117</v>
      </c>
      <c r="M905" t="str">
        <f t="shared" si="61"/>
        <v/>
      </c>
    </row>
    <row r="906" spans="1:13" x14ac:dyDescent="0.2">
      <c r="A906">
        <f>Final_Dataset!A877</f>
        <v>876</v>
      </c>
      <c r="B906" s="53">
        <f>Final_Dataset!B877</f>
        <v>40582</v>
      </c>
      <c r="C906">
        <f>Final_Dataset!F877</f>
        <v>22</v>
      </c>
      <c r="D906" t="str">
        <f>Final_Dataset!T877</f>
        <v>Tue</v>
      </c>
      <c r="E906" t="str">
        <f>Final_Dataset!X877</f>
        <v>Clear</v>
      </c>
      <c r="F906">
        <f>Final_Dataset!J877</f>
        <v>0.12</v>
      </c>
      <c r="G906">
        <f>Final_Dataset!L877</f>
        <v>0.33</v>
      </c>
      <c r="H906">
        <f>Final_Dataset!M877</f>
        <v>0.35820000000000002</v>
      </c>
      <c r="I906">
        <f>Final_Dataset!P877</f>
        <v>29</v>
      </c>
      <c r="J906" s="54">
        <f t="shared" si="58"/>
        <v>35.069767441860463</v>
      </c>
      <c r="K906" s="54">
        <f t="shared" si="59"/>
        <v>11.95506537162667</v>
      </c>
      <c r="L906" s="55">
        <f t="shared" si="60"/>
        <v>-0.50771511933895674</v>
      </c>
      <c r="M906" t="str">
        <f t="shared" si="61"/>
        <v/>
      </c>
    </row>
    <row r="907" spans="1:13" x14ac:dyDescent="0.2">
      <c r="A907">
        <f>Final_Dataset!A878</f>
        <v>877</v>
      </c>
      <c r="B907" s="53">
        <f>Final_Dataset!B878</f>
        <v>40582</v>
      </c>
      <c r="C907">
        <f>Final_Dataset!F878</f>
        <v>23</v>
      </c>
      <c r="D907" t="str">
        <f>Final_Dataset!T878</f>
        <v>Tue</v>
      </c>
      <c r="E907" t="str">
        <f>Final_Dataset!X878</f>
        <v>Clear</v>
      </c>
      <c r="F907">
        <f>Final_Dataset!J878</f>
        <v>0.12</v>
      </c>
      <c r="G907">
        <f>Final_Dataset!L878</f>
        <v>0.33</v>
      </c>
      <c r="H907">
        <f>Final_Dataset!M878</f>
        <v>0.32840000000000003</v>
      </c>
      <c r="I907">
        <f>Final_Dataset!P878</f>
        <v>12</v>
      </c>
      <c r="J907" s="54">
        <f t="shared" si="58"/>
        <v>25.186046511627907</v>
      </c>
      <c r="K907" s="54">
        <f t="shared" si="59"/>
        <v>11.751911321656186</v>
      </c>
      <c r="L907" s="55">
        <f t="shared" si="60"/>
        <v>-1.1220342079444494</v>
      </c>
      <c r="M907" t="str">
        <f t="shared" si="61"/>
        <v/>
      </c>
    </row>
    <row r="908" spans="1:13" x14ac:dyDescent="0.2">
      <c r="A908">
        <f>Final_Dataset!A879</f>
        <v>878</v>
      </c>
      <c r="B908" s="53">
        <f>Final_Dataset!B879</f>
        <v>40583</v>
      </c>
      <c r="C908">
        <f>Final_Dataset!F879</f>
        <v>0</v>
      </c>
      <c r="D908" t="str">
        <f>Final_Dataset!T879</f>
        <v>Wed</v>
      </c>
      <c r="E908" t="str">
        <f>Final_Dataset!X879</f>
        <v>Clear</v>
      </c>
      <c r="F908">
        <f>Final_Dataset!J879</f>
        <v>0.1</v>
      </c>
      <c r="G908">
        <f>Final_Dataset!L879</f>
        <v>0.36</v>
      </c>
      <c r="H908">
        <f>Final_Dataset!M879</f>
        <v>0.35820000000000002</v>
      </c>
      <c r="I908">
        <f>Final_Dataset!P879</f>
        <v>17</v>
      </c>
      <c r="J908" s="54">
        <f t="shared" si="58"/>
        <v>16.348837209302324</v>
      </c>
      <c r="K908" s="54">
        <f t="shared" si="59"/>
        <v>10.442321674276208</v>
      </c>
      <c r="L908" s="55">
        <f t="shared" si="60"/>
        <v>6.2358047473461867E-2</v>
      </c>
      <c r="M908" t="str">
        <f t="shared" si="61"/>
        <v/>
      </c>
    </row>
    <row r="909" spans="1:13" x14ac:dyDescent="0.2">
      <c r="A909">
        <f>Final_Dataset!A880</f>
        <v>879</v>
      </c>
      <c r="B909" s="53">
        <f>Final_Dataset!B880</f>
        <v>40583</v>
      </c>
      <c r="C909">
        <f>Final_Dataset!F880</f>
        <v>1</v>
      </c>
      <c r="D909" t="str">
        <f>Final_Dataset!T880</f>
        <v>Wed</v>
      </c>
      <c r="E909" t="str">
        <f>Final_Dataset!X880</f>
        <v>Clear</v>
      </c>
      <c r="F909">
        <f>Final_Dataset!J880</f>
        <v>0.1</v>
      </c>
      <c r="G909">
        <f>Final_Dataset!L880</f>
        <v>0.36</v>
      </c>
      <c r="H909">
        <f>Final_Dataset!M880</f>
        <v>0.22389999999999999</v>
      </c>
      <c r="I909">
        <f>Final_Dataset!P880</f>
        <v>7</v>
      </c>
      <c r="J909" s="54">
        <f t="shared" si="58"/>
        <v>10.697674418604651</v>
      </c>
      <c r="K909" s="54">
        <f t="shared" si="59"/>
        <v>10.060613641515801</v>
      </c>
      <c r="L909" s="55">
        <f t="shared" si="60"/>
        <v>-0.36753965020045576</v>
      </c>
      <c r="M909" t="str">
        <f t="shared" si="61"/>
        <v/>
      </c>
    </row>
    <row r="910" spans="1:13" x14ac:dyDescent="0.2">
      <c r="A910">
        <f>Final_Dataset!A881</f>
        <v>880</v>
      </c>
      <c r="B910" s="53">
        <f>Final_Dataset!B881</f>
        <v>40583</v>
      </c>
      <c r="C910">
        <f>Final_Dataset!F881</f>
        <v>2</v>
      </c>
      <c r="D910" t="str">
        <f>Final_Dataset!T881</f>
        <v>Wed</v>
      </c>
      <c r="E910" t="str">
        <f>Final_Dataset!X881</f>
        <v>Clear</v>
      </c>
      <c r="F910">
        <f>Final_Dataset!J881</f>
        <v>0.08</v>
      </c>
      <c r="G910">
        <f>Final_Dataset!L881</f>
        <v>0.38</v>
      </c>
      <c r="H910">
        <f>Final_Dataset!M881</f>
        <v>0.28360000000000002</v>
      </c>
      <c r="I910">
        <f>Final_Dataset!P881</f>
        <v>3</v>
      </c>
      <c r="J910" s="54">
        <f t="shared" si="58"/>
        <v>7.1707317073170733</v>
      </c>
      <c r="K910" s="54">
        <f t="shared" si="59"/>
        <v>7.3685223723090862</v>
      </c>
      <c r="L910" s="55">
        <f t="shared" si="60"/>
        <v>-0.5660200914895348</v>
      </c>
      <c r="M910" t="str">
        <f t="shared" si="61"/>
        <v/>
      </c>
    </row>
    <row r="911" spans="1:13" x14ac:dyDescent="0.2">
      <c r="A911">
        <f>Final_Dataset!A882</f>
        <v>881</v>
      </c>
      <c r="B911" s="53">
        <f>Final_Dataset!B882</f>
        <v>40583</v>
      </c>
      <c r="C911">
        <f>Final_Dataset!F882</f>
        <v>3</v>
      </c>
      <c r="D911" t="str">
        <f>Final_Dataset!T882</f>
        <v>Wed</v>
      </c>
      <c r="E911" t="str">
        <f>Final_Dataset!X882</f>
        <v>Clear</v>
      </c>
      <c r="F911">
        <f>Final_Dataset!J882</f>
        <v>0.06</v>
      </c>
      <c r="G911">
        <f>Final_Dataset!L882</f>
        <v>0.45</v>
      </c>
      <c r="H911">
        <f>Final_Dataset!M882</f>
        <v>0.1343</v>
      </c>
      <c r="I911">
        <f>Final_Dataset!P882</f>
        <v>2</v>
      </c>
      <c r="J911" s="54">
        <f t="shared" si="58"/>
        <v>4.870967741935484</v>
      </c>
      <c r="K911" s="54">
        <f t="shared" si="59"/>
        <v>4.4702120418303126</v>
      </c>
      <c r="L911" s="55">
        <f t="shared" si="60"/>
        <v>-0.64224419671152255</v>
      </c>
      <c r="M911" t="str">
        <f t="shared" si="61"/>
        <v/>
      </c>
    </row>
    <row r="912" spans="1:13" x14ac:dyDescent="0.2">
      <c r="A912">
        <f>Final_Dataset!A883</f>
        <v>882</v>
      </c>
      <c r="B912" s="53">
        <f>Final_Dataset!B883</f>
        <v>40583</v>
      </c>
      <c r="C912">
        <f>Final_Dataset!F883</f>
        <v>5</v>
      </c>
      <c r="D912" t="str">
        <f>Final_Dataset!T883</f>
        <v>Wed</v>
      </c>
      <c r="E912" t="str">
        <f>Final_Dataset!X883</f>
        <v>Clear</v>
      </c>
      <c r="F912">
        <f>Final_Dataset!J883</f>
        <v>0.06</v>
      </c>
      <c r="G912">
        <f>Final_Dataset!L883</f>
        <v>0.45</v>
      </c>
      <c r="H912">
        <f>Final_Dataset!M883</f>
        <v>0.1045</v>
      </c>
      <c r="I912">
        <f>Final_Dataset!P883</f>
        <v>7</v>
      </c>
      <c r="J912" s="54">
        <f t="shared" si="58"/>
        <v>4.2051282051282053</v>
      </c>
      <c r="K912" s="54">
        <f t="shared" si="59"/>
        <v>2.5358429220352288</v>
      </c>
      <c r="L912" s="55">
        <f t="shared" si="60"/>
        <v>1.1021470496400751</v>
      </c>
      <c r="M912" t="str">
        <f t="shared" si="61"/>
        <v/>
      </c>
    </row>
    <row r="913" spans="1:13" x14ac:dyDescent="0.2">
      <c r="A913">
        <f>Final_Dataset!A884</f>
        <v>883</v>
      </c>
      <c r="B913" s="53">
        <f>Final_Dataset!B884</f>
        <v>40583</v>
      </c>
      <c r="C913">
        <f>Final_Dataset!F884</f>
        <v>6</v>
      </c>
      <c r="D913" t="str">
        <f>Final_Dataset!T884</f>
        <v>Wed</v>
      </c>
      <c r="E913" t="str">
        <f>Final_Dataset!X884</f>
        <v>Clear</v>
      </c>
      <c r="F913">
        <f>Final_Dataset!J884</f>
        <v>0.06</v>
      </c>
      <c r="G913">
        <f>Final_Dataset!L884</f>
        <v>0.45</v>
      </c>
      <c r="H913">
        <f>Final_Dataset!M884</f>
        <v>0</v>
      </c>
      <c r="I913">
        <f>Final_Dataset!P884</f>
        <v>43</v>
      </c>
      <c r="J913" s="54">
        <f t="shared" si="58"/>
        <v>19.571428571428573</v>
      </c>
      <c r="K913" s="54">
        <f t="shared" si="59"/>
        <v>14.202615453298934</v>
      </c>
      <c r="L913" s="55">
        <f t="shared" si="60"/>
        <v>1.6495955625644656</v>
      </c>
      <c r="M913" t="str">
        <f t="shared" si="61"/>
        <v/>
      </c>
    </row>
    <row r="914" spans="1:13" x14ac:dyDescent="0.2">
      <c r="A914">
        <f>Final_Dataset!A885</f>
        <v>884</v>
      </c>
      <c r="B914" s="53">
        <f>Final_Dataset!B885</f>
        <v>40583</v>
      </c>
      <c r="C914">
        <f>Final_Dataset!F885</f>
        <v>7</v>
      </c>
      <c r="D914" t="str">
        <f>Final_Dataset!T885</f>
        <v>Wed</v>
      </c>
      <c r="E914" t="str">
        <f>Final_Dataset!X885</f>
        <v>Clear</v>
      </c>
      <c r="F914">
        <f>Final_Dataset!J885</f>
        <v>0.06</v>
      </c>
      <c r="G914">
        <f>Final_Dataset!L885</f>
        <v>0.49</v>
      </c>
      <c r="H914">
        <f>Final_Dataset!M885</f>
        <v>0.1045</v>
      </c>
      <c r="I914">
        <f>Final_Dataset!P885</f>
        <v>99</v>
      </c>
      <c r="J914" s="54">
        <f t="shared" si="58"/>
        <v>54.395348837209305</v>
      </c>
      <c r="K914" s="54">
        <f t="shared" si="59"/>
        <v>39.112864486352777</v>
      </c>
      <c r="L914" s="55">
        <f t="shared" si="60"/>
        <v>1.1404087056409307</v>
      </c>
      <c r="M914" t="str">
        <f t="shared" si="61"/>
        <v/>
      </c>
    </row>
    <row r="915" spans="1:13" x14ac:dyDescent="0.2">
      <c r="A915">
        <f>Final_Dataset!A886</f>
        <v>885</v>
      </c>
      <c r="B915" s="53">
        <f>Final_Dataset!B886</f>
        <v>40583</v>
      </c>
      <c r="C915">
        <f>Final_Dataset!F886</f>
        <v>8</v>
      </c>
      <c r="D915" t="str">
        <f>Final_Dataset!T886</f>
        <v>Wed</v>
      </c>
      <c r="E915" t="str">
        <f>Final_Dataset!X886</f>
        <v>Clear</v>
      </c>
      <c r="F915">
        <f>Final_Dataset!J886</f>
        <v>0.1</v>
      </c>
      <c r="G915">
        <f>Final_Dataset!L886</f>
        <v>0.42</v>
      </c>
      <c r="H915">
        <f>Final_Dataset!M886</f>
        <v>0</v>
      </c>
      <c r="I915">
        <f>Final_Dataset!P886</f>
        <v>199</v>
      </c>
      <c r="J915" s="54">
        <f t="shared" si="58"/>
        <v>128.28571428571428</v>
      </c>
      <c r="K915" s="54">
        <f t="shared" si="59"/>
        <v>88.551565717048533</v>
      </c>
      <c r="L915" s="55">
        <f t="shared" si="60"/>
        <v>0.79856618165557003</v>
      </c>
      <c r="M915" t="str">
        <f t="shared" si="61"/>
        <v/>
      </c>
    </row>
    <row r="916" spans="1:13" x14ac:dyDescent="0.2">
      <c r="A916">
        <f>Final_Dataset!A887</f>
        <v>886</v>
      </c>
      <c r="B916" s="53">
        <f>Final_Dataset!B887</f>
        <v>40583</v>
      </c>
      <c r="C916">
        <f>Final_Dataset!F887</f>
        <v>9</v>
      </c>
      <c r="D916" t="str">
        <f>Final_Dataset!T887</f>
        <v>Wed</v>
      </c>
      <c r="E916" t="str">
        <f>Final_Dataset!X887</f>
        <v>Clear</v>
      </c>
      <c r="F916">
        <f>Final_Dataset!J887</f>
        <v>0.12</v>
      </c>
      <c r="G916">
        <f>Final_Dataset!L887</f>
        <v>0.39</v>
      </c>
      <c r="H916">
        <f>Final_Dataset!M887</f>
        <v>0.16420000000000001</v>
      </c>
      <c r="I916">
        <f>Final_Dataset!P887</f>
        <v>123</v>
      </c>
      <c r="J916" s="54">
        <f t="shared" si="58"/>
        <v>87.428571428571431</v>
      </c>
      <c r="K916" s="54">
        <f t="shared" si="59"/>
        <v>45.93852884078624</v>
      </c>
      <c r="L916" s="55">
        <f t="shared" si="60"/>
        <v>0.77432668108968028</v>
      </c>
      <c r="M916" t="str">
        <f t="shared" si="61"/>
        <v/>
      </c>
    </row>
    <row r="917" spans="1:13" x14ac:dyDescent="0.2">
      <c r="A917">
        <f>Final_Dataset!A888</f>
        <v>887</v>
      </c>
      <c r="B917" s="53">
        <f>Final_Dataset!B888</f>
        <v>40583</v>
      </c>
      <c r="C917">
        <f>Final_Dataset!F888</f>
        <v>10</v>
      </c>
      <c r="D917" t="str">
        <f>Final_Dataset!T888</f>
        <v>Wed</v>
      </c>
      <c r="E917" t="str">
        <f>Final_Dataset!X888</f>
        <v>Clear</v>
      </c>
      <c r="F917">
        <f>Final_Dataset!J888</f>
        <v>0.14000000000000001</v>
      </c>
      <c r="G917">
        <f>Final_Dataset!L888</f>
        <v>0.36</v>
      </c>
      <c r="H917">
        <f>Final_Dataset!M888</f>
        <v>0</v>
      </c>
      <c r="I917">
        <f>Final_Dataset!P888</f>
        <v>59</v>
      </c>
      <c r="J917" s="54">
        <f t="shared" si="58"/>
        <v>53.642857142857146</v>
      </c>
      <c r="K917" s="54">
        <f t="shared" si="59"/>
        <v>15.395313554536934</v>
      </c>
      <c r="L917" s="55">
        <f t="shared" si="60"/>
        <v>0.34797231236411724</v>
      </c>
      <c r="M917" t="str">
        <f t="shared" si="61"/>
        <v/>
      </c>
    </row>
    <row r="918" spans="1:13" x14ac:dyDescent="0.2">
      <c r="A918">
        <f>Final_Dataset!A889</f>
        <v>888</v>
      </c>
      <c r="B918" s="53">
        <f>Final_Dataset!B889</f>
        <v>40583</v>
      </c>
      <c r="C918">
        <f>Final_Dataset!F889</f>
        <v>11</v>
      </c>
      <c r="D918" t="str">
        <f>Final_Dataset!T889</f>
        <v>Wed</v>
      </c>
      <c r="E918" t="str">
        <f>Final_Dataset!X889</f>
        <v>Cloudy/Mist</v>
      </c>
      <c r="F918">
        <f>Final_Dataset!J889</f>
        <v>0.14000000000000001</v>
      </c>
      <c r="G918">
        <f>Final_Dataset!L889</f>
        <v>0.43</v>
      </c>
      <c r="H918">
        <f>Final_Dataset!M889</f>
        <v>0.16420000000000001</v>
      </c>
      <c r="I918">
        <f>Final_Dataset!P889</f>
        <v>41</v>
      </c>
      <c r="J918" s="54">
        <f t="shared" si="58"/>
        <v>59.38095238095238</v>
      </c>
      <c r="K918" s="54">
        <f t="shared" si="59"/>
        <v>20.89573696860419</v>
      </c>
      <c r="L918" s="55">
        <f t="shared" si="60"/>
        <v>-0.87965083062491312</v>
      </c>
      <c r="M918" t="str">
        <f t="shared" si="61"/>
        <v/>
      </c>
    </row>
    <row r="919" spans="1:13" x14ac:dyDescent="0.2">
      <c r="A919">
        <f>Final_Dataset!A890</f>
        <v>889</v>
      </c>
      <c r="B919" s="53">
        <f>Final_Dataset!B890</f>
        <v>40583</v>
      </c>
      <c r="C919">
        <f>Final_Dataset!F890</f>
        <v>12</v>
      </c>
      <c r="D919" t="str">
        <f>Final_Dataset!T890</f>
        <v>Wed</v>
      </c>
      <c r="E919" t="str">
        <f>Final_Dataset!X890</f>
        <v>Cloudy/Mist</v>
      </c>
      <c r="F919">
        <f>Final_Dataset!J890</f>
        <v>0.18</v>
      </c>
      <c r="G919">
        <f>Final_Dataset!L890</f>
        <v>0.4</v>
      </c>
      <c r="H919">
        <f>Final_Dataset!M890</f>
        <v>0.22389999999999999</v>
      </c>
      <c r="I919">
        <f>Final_Dataset!P890</f>
        <v>61</v>
      </c>
      <c r="J919" s="54">
        <f t="shared" si="58"/>
        <v>76.348837209302332</v>
      </c>
      <c r="K919" s="54">
        <f t="shared" si="59"/>
        <v>29.034366927857057</v>
      </c>
      <c r="L919" s="55">
        <f t="shared" si="60"/>
        <v>-0.52864377058539791</v>
      </c>
      <c r="M919" t="str">
        <f t="shared" si="61"/>
        <v/>
      </c>
    </row>
    <row r="920" spans="1:13" x14ac:dyDescent="0.2">
      <c r="A920">
        <f>Final_Dataset!A891</f>
        <v>890</v>
      </c>
      <c r="B920" s="53">
        <f>Final_Dataset!B891</f>
        <v>40583</v>
      </c>
      <c r="C920">
        <f>Final_Dataset!F891</f>
        <v>13</v>
      </c>
      <c r="D920" t="str">
        <f>Final_Dataset!T891</f>
        <v>Wed</v>
      </c>
      <c r="E920" t="str">
        <f>Final_Dataset!X891</f>
        <v>Clear</v>
      </c>
      <c r="F920">
        <f>Final_Dataset!J891</f>
        <v>0.18</v>
      </c>
      <c r="G920">
        <f>Final_Dataset!L891</f>
        <v>0.4</v>
      </c>
      <c r="H920">
        <f>Final_Dataset!M891</f>
        <v>0.25369999999999998</v>
      </c>
      <c r="I920">
        <f>Final_Dataset!P891</f>
        <v>69</v>
      </c>
      <c r="J920" s="54">
        <f t="shared" si="58"/>
        <v>78.511627906976742</v>
      </c>
      <c r="K920" s="54">
        <f t="shared" si="59"/>
        <v>30.072430098825173</v>
      </c>
      <c r="L920" s="55">
        <f t="shared" si="60"/>
        <v>-0.31629063150930153</v>
      </c>
      <c r="M920" t="str">
        <f t="shared" si="61"/>
        <v/>
      </c>
    </row>
    <row r="921" spans="1:13" x14ac:dyDescent="0.2">
      <c r="A921">
        <f>Final_Dataset!A892</f>
        <v>891</v>
      </c>
      <c r="B921" s="53">
        <f>Final_Dataset!B892</f>
        <v>40583</v>
      </c>
      <c r="C921">
        <f>Final_Dataset!F892</f>
        <v>14</v>
      </c>
      <c r="D921" t="str">
        <f>Final_Dataset!T892</f>
        <v>Wed</v>
      </c>
      <c r="E921" t="str">
        <f>Final_Dataset!X892</f>
        <v>Clear</v>
      </c>
      <c r="F921">
        <f>Final_Dataset!J892</f>
        <v>0.2</v>
      </c>
      <c r="G921">
        <f>Final_Dataset!L892</f>
        <v>0.34</v>
      </c>
      <c r="H921">
        <f>Final_Dataset!M892</f>
        <v>0.29849999999999999</v>
      </c>
      <c r="I921">
        <f>Final_Dataset!P892</f>
        <v>58</v>
      </c>
      <c r="J921" s="54">
        <f t="shared" si="58"/>
        <v>74.418604651162795</v>
      </c>
      <c r="K921" s="54">
        <f t="shared" si="59"/>
        <v>30.305769180565147</v>
      </c>
      <c r="L921" s="55">
        <f t="shared" si="60"/>
        <v>-0.54176498716593924</v>
      </c>
      <c r="M921" t="str">
        <f t="shared" si="61"/>
        <v/>
      </c>
    </row>
    <row r="922" spans="1:13" x14ac:dyDescent="0.2">
      <c r="A922">
        <f>Final_Dataset!A893</f>
        <v>892</v>
      </c>
      <c r="B922" s="53">
        <f>Final_Dataset!B893</f>
        <v>40583</v>
      </c>
      <c r="C922">
        <f>Final_Dataset!F893</f>
        <v>15</v>
      </c>
      <c r="D922" t="str">
        <f>Final_Dataset!T893</f>
        <v>Wed</v>
      </c>
      <c r="E922" t="str">
        <f>Final_Dataset!X893</f>
        <v>Cloudy/Mist</v>
      </c>
      <c r="F922">
        <f>Final_Dataset!J893</f>
        <v>0.2</v>
      </c>
      <c r="G922">
        <f>Final_Dataset!L893</f>
        <v>0.34</v>
      </c>
      <c r="H922">
        <f>Final_Dataset!M893</f>
        <v>0.28360000000000002</v>
      </c>
      <c r="I922">
        <f>Final_Dataset!P893</f>
        <v>64</v>
      </c>
      <c r="J922" s="54">
        <f t="shared" si="58"/>
        <v>77.95348837209302</v>
      </c>
      <c r="K922" s="54">
        <f t="shared" si="59"/>
        <v>34.481156681772681</v>
      </c>
      <c r="L922" s="55">
        <f t="shared" si="60"/>
        <v>-0.40466996223096741</v>
      </c>
      <c r="M922" t="str">
        <f t="shared" si="61"/>
        <v/>
      </c>
    </row>
    <row r="923" spans="1:13" x14ac:dyDescent="0.2">
      <c r="A923">
        <f>Final_Dataset!A894</f>
        <v>893</v>
      </c>
      <c r="B923" s="53">
        <f>Final_Dataset!B894</f>
        <v>40583</v>
      </c>
      <c r="C923">
        <f>Final_Dataset!F894</f>
        <v>16</v>
      </c>
      <c r="D923" t="str">
        <f>Final_Dataset!T894</f>
        <v>Wed</v>
      </c>
      <c r="E923" t="str">
        <f>Final_Dataset!X894</f>
        <v>Cloudy/Mist</v>
      </c>
      <c r="F923">
        <f>Final_Dataset!J894</f>
        <v>0.2</v>
      </c>
      <c r="G923">
        <f>Final_Dataset!L894</f>
        <v>0.37</v>
      </c>
      <c r="H923">
        <f>Final_Dataset!M894</f>
        <v>0.25369999999999998</v>
      </c>
      <c r="I923">
        <f>Final_Dataset!P894</f>
        <v>79</v>
      </c>
      <c r="J923" s="54">
        <f t="shared" si="58"/>
        <v>89.272727272727266</v>
      </c>
      <c r="K923" s="54">
        <f t="shared" si="59"/>
        <v>25.461657115880747</v>
      </c>
      <c r="L923" s="55">
        <f t="shared" si="60"/>
        <v>-0.40345870757642244</v>
      </c>
      <c r="M923" t="str">
        <f t="shared" si="61"/>
        <v/>
      </c>
    </row>
    <row r="924" spans="1:13" x14ac:dyDescent="0.2">
      <c r="A924">
        <f>Final_Dataset!A895</f>
        <v>894</v>
      </c>
      <c r="B924" s="53">
        <f>Final_Dataset!B895</f>
        <v>40583</v>
      </c>
      <c r="C924">
        <f>Final_Dataset!F895</f>
        <v>17</v>
      </c>
      <c r="D924" t="str">
        <f>Final_Dataset!T895</f>
        <v>Wed</v>
      </c>
      <c r="E924" t="str">
        <f>Final_Dataset!X895</f>
        <v>Cloudy/Mist</v>
      </c>
      <c r="F924">
        <f>Final_Dataset!J895</f>
        <v>0.2</v>
      </c>
      <c r="G924">
        <f>Final_Dataset!L895</f>
        <v>0.34</v>
      </c>
      <c r="H924">
        <f>Final_Dataset!M895</f>
        <v>0.25369999999999998</v>
      </c>
      <c r="I924">
        <f>Final_Dataset!P895</f>
        <v>166</v>
      </c>
      <c r="J924" s="54">
        <f t="shared" si="58"/>
        <v>140.20454545454547</v>
      </c>
      <c r="K924" s="54">
        <f t="shared" si="59"/>
        <v>54.067391000084569</v>
      </c>
      <c r="L924" s="55">
        <f t="shared" si="60"/>
        <v>0.47709819298316403</v>
      </c>
      <c r="M924" t="str">
        <f t="shared" si="61"/>
        <v/>
      </c>
    </row>
    <row r="925" spans="1:13" x14ac:dyDescent="0.2">
      <c r="A925">
        <f>Final_Dataset!A896</f>
        <v>895</v>
      </c>
      <c r="B925" s="53">
        <f>Final_Dataset!B896</f>
        <v>40583</v>
      </c>
      <c r="C925">
        <f>Final_Dataset!F896</f>
        <v>18</v>
      </c>
      <c r="D925" t="str">
        <f>Final_Dataset!T896</f>
        <v>Wed</v>
      </c>
      <c r="E925" t="str">
        <f>Final_Dataset!X896</f>
        <v>Cloudy/Mist</v>
      </c>
      <c r="F925">
        <f>Final_Dataset!J896</f>
        <v>0.18</v>
      </c>
      <c r="G925">
        <f>Final_Dataset!L896</f>
        <v>0.47</v>
      </c>
      <c r="H925">
        <f>Final_Dataset!M896</f>
        <v>0.29849999999999999</v>
      </c>
      <c r="I925">
        <f>Final_Dataset!P896</f>
        <v>170</v>
      </c>
      <c r="J925" s="54">
        <f t="shared" si="58"/>
        <v>122.86046511627907</v>
      </c>
      <c r="K925" s="54">
        <f t="shared" si="59"/>
        <v>48.613432101949947</v>
      </c>
      <c r="L925" s="55">
        <f t="shared" si="60"/>
        <v>0.96968127625430711</v>
      </c>
      <c r="M925" t="str">
        <f t="shared" si="61"/>
        <v/>
      </c>
    </row>
    <row r="926" spans="1:13" x14ac:dyDescent="0.2">
      <c r="A926">
        <f>Final_Dataset!A897</f>
        <v>896</v>
      </c>
      <c r="B926" s="53">
        <f>Final_Dataset!B897</f>
        <v>40583</v>
      </c>
      <c r="C926">
        <f>Final_Dataset!F897</f>
        <v>19</v>
      </c>
      <c r="D926" t="str">
        <f>Final_Dataset!T897</f>
        <v>Wed</v>
      </c>
      <c r="E926" t="str">
        <f>Final_Dataset!X897</f>
        <v>Light Rain/Snow</v>
      </c>
      <c r="F926">
        <f>Final_Dataset!J897</f>
        <v>0.14000000000000001</v>
      </c>
      <c r="G926">
        <f>Final_Dataset!L897</f>
        <v>0.86</v>
      </c>
      <c r="H926">
        <f>Final_Dataset!M897</f>
        <v>0.25369999999999998</v>
      </c>
      <c r="I926">
        <f>Final_Dataset!P897</f>
        <v>88</v>
      </c>
      <c r="J926" s="54">
        <f t="shared" si="58"/>
        <v>85.139534883720927</v>
      </c>
      <c r="K926" s="54">
        <f t="shared" si="59"/>
        <v>31.690904054294759</v>
      </c>
      <c r="L926" s="55">
        <f t="shared" si="60"/>
        <v>9.026139208204198E-2</v>
      </c>
      <c r="M926" t="str">
        <f t="shared" si="61"/>
        <v/>
      </c>
    </row>
    <row r="927" spans="1:13" x14ac:dyDescent="0.2">
      <c r="A927">
        <f>Final_Dataset!A898</f>
        <v>897</v>
      </c>
      <c r="B927" s="53">
        <f>Final_Dataset!B898</f>
        <v>40583</v>
      </c>
      <c r="C927">
        <f>Final_Dataset!F898</f>
        <v>20</v>
      </c>
      <c r="D927" t="str">
        <f>Final_Dataset!T898</f>
        <v>Wed</v>
      </c>
      <c r="E927" t="str">
        <f>Final_Dataset!X898</f>
        <v>Light Rain/Snow</v>
      </c>
      <c r="F927">
        <f>Final_Dataset!J898</f>
        <v>0.14000000000000001</v>
      </c>
      <c r="G927">
        <f>Final_Dataset!L898</f>
        <v>0.86</v>
      </c>
      <c r="H927">
        <f>Final_Dataset!M898</f>
        <v>0.16420000000000001</v>
      </c>
      <c r="I927">
        <f>Final_Dataset!P898</f>
        <v>84</v>
      </c>
      <c r="J927" s="54">
        <f t="shared" ref="J927:J990" si="62">INDEX($F$5:$F$28,MATCH(C927,$D$5:$D$28,0))</f>
        <v>61.767441860465119</v>
      </c>
      <c r="K927" s="54">
        <f t="shared" ref="K927:K990" si="63">INDEX($G$5:$G$28,MATCH(C927,$D$5:$D$28,0))</f>
        <v>24.6323801696856</v>
      </c>
      <c r="L927" s="55">
        <f t="shared" ref="L927:L990" si="64">IF(K927=0,0,(I927-J927)/K927)</f>
        <v>0.90257449691751201</v>
      </c>
      <c r="M927" t="str">
        <f t="shared" ref="M927:M990" si="65">IF(ABS(L927)&gt;=$B$4,IF(L927&gt;0,"High","Low"),"")</f>
        <v/>
      </c>
    </row>
    <row r="928" spans="1:13" x14ac:dyDescent="0.2">
      <c r="A928">
        <f>Final_Dataset!A899</f>
        <v>898</v>
      </c>
      <c r="B928" s="53">
        <f>Final_Dataset!B899</f>
        <v>40583</v>
      </c>
      <c r="C928">
        <f>Final_Dataset!F899</f>
        <v>21</v>
      </c>
      <c r="D928" t="str">
        <f>Final_Dataset!T899</f>
        <v>Wed</v>
      </c>
      <c r="E928" t="str">
        <f>Final_Dataset!X899</f>
        <v>Cloudy/Mist</v>
      </c>
      <c r="F928">
        <f>Final_Dataset!J899</f>
        <v>0.14000000000000001</v>
      </c>
      <c r="G928">
        <f>Final_Dataset!L899</f>
        <v>0.86</v>
      </c>
      <c r="H928">
        <f>Final_Dataset!M899</f>
        <v>0.16420000000000001</v>
      </c>
      <c r="I928">
        <f>Final_Dataset!P899</f>
        <v>83</v>
      </c>
      <c r="J928" s="54">
        <f t="shared" si="62"/>
        <v>46.418604651162788</v>
      </c>
      <c r="K928" s="54">
        <f t="shared" si="63"/>
        <v>14.656759464719499</v>
      </c>
      <c r="L928" s="55">
        <f t="shared" si="64"/>
        <v>2.4958719856795648</v>
      </c>
      <c r="M928" t="str">
        <f t="shared" si="65"/>
        <v/>
      </c>
    </row>
    <row r="929" spans="1:13" x14ac:dyDescent="0.2">
      <c r="A929">
        <f>Final_Dataset!A900</f>
        <v>899</v>
      </c>
      <c r="B929" s="53">
        <f>Final_Dataset!B900</f>
        <v>40583</v>
      </c>
      <c r="C929">
        <f>Final_Dataset!F900</f>
        <v>22</v>
      </c>
      <c r="D929" t="str">
        <f>Final_Dataset!T900</f>
        <v>Wed</v>
      </c>
      <c r="E929" t="str">
        <f>Final_Dataset!X900</f>
        <v>Light Rain/Snow</v>
      </c>
      <c r="F929">
        <f>Final_Dataset!J900</f>
        <v>0.16</v>
      </c>
      <c r="G929">
        <f>Final_Dataset!L900</f>
        <v>0.8</v>
      </c>
      <c r="H929">
        <f>Final_Dataset!M900</f>
        <v>0.16420000000000001</v>
      </c>
      <c r="I929">
        <f>Final_Dataset!P900</f>
        <v>46</v>
      </c>
      <c r="J929" s="54">
        <f t="shared" si="62"/>
        <v>35.069767441860463</v>
      </c>
      <c r="K929" s="54">
        <f t="shared" si="63"/>
        <v>11.95506537162667</v>
      </c>
      <c r="L929" s="55">
        <f t="shared" si="64"/>
        <v>0.91427626854141664</v>
      </c>
      <c r="M929" t="str">
        <f t="shared" si="65"/>
        <v/>
      </c>
    </row>
    <row r="930" spans="1:13" x14ac:dyDescent="0.2">
      <c r="A930">
        <f>Final_Dataset!A901</f>
        <v>900</v>
      </c>
      <c r="B930" s="53">
        <f>Final_Dataset!B901</f>
        <v>40583</v>
      </c>
      <c r="C930">
        <f>Final_Dataset!F901</f>
        <v>23</v>
      </c>
      <c r="D930" t="str">
        <f>Final_Dataset!T901</f>
        <v>Wed</v>
      </c>
      <c r="E930" t="str">
        <f>Final_Dataset!X901</f>
        <v>Light Rain/Snow</v>
      </c>
      <c r="F930">
        <f>Final_Dataset!J901</f>
        <v>0.16</v>
      </c>
      <c r="G930">
        <f>Final_Dataset!L901</f>
        <v>0.8</v>
      </c>
      <c r="H930">
        <f>Final_Dataset!M901</f>
        <v>0.19400000000000001</v>
      </c>
      <c r="I930">
        <f>Final_Dataset!P901</f>
        <v>37</v>
      </c>
      <c r="J930" s="54">
        <f t="shared" si="62"/>
        <v>25.186046511627907</v>
      </c>
      <c r="K930" s="54">
        <f t="shared" si="63"/>
        <v>11.751911321656186</v>
      </c>
      <c r="L930" s="55">
        <f t="shared" si="64"/>
        <v>1.0052793256362968</v>
      </c>
      <c r="M930" t="str">
        <f t="shared" si="65"/>
        <v/>
      </c>
    </row>
    <row r="931" spans="1:13" x14ac:dyDescent="0.2">
      <c r="A931">
        <f>Final_Dataset!A902</f>
        <v>901</v>
      </c>
      <c r="B931" s="53">
        <f>Final_Dataset!B902</f>
        <v>40584</v>
      </c>
      <c r="C931">
        <f>Final_Dataset!F902</f>
        <v>0</v>
      </c>
      <c r="D931" t="str">
        <f>Final_Dataset!T902</f>
        <v>Thu</v>
      </c>
      <c r="E931" t="str">
        <f>Final_Dataset!X902</f>
        <v>Light Rain/Snow</v>
      </c>
      <c r="F931">
        <f>Final_Dataset!J902</f>
        <v>0.14000000000000001</v>
      </c>
      <c r="G931">
        <f>Final_Dataset!L902</f>
        <v>0.86</v>
      </c>
      <c r="H931">
        <f>Final_Dataset!M902</f>
        <v>0.19400000000000001</v>
      </c>
      <c r="I931">
        <f>Final_Dataset!P902</f>
        <v>16</v>
      </c>
      <c r="J931" s="54">
        <f t="shared" si="62"/>
        <v>16.348837209302324</v>
      </c>
      <c r="K931" s="54">
        <f t="shared" si="63"/>
        <v>10.442321674276208</v>
      </c>
      <c r="L931" s="55">
        <f t="shared" si="64"/>
        <v>-3.3406096860782976E-2</v>
      </c>
      <c r="M931" t="str">
        <f t="shared" si="65"/>
        <v/>
      </c>
    </row>
    <row r="932" spans="1:13" x14ac:dyDescent="0.2">
      <c r="A932">
        <f>Final_Dataset!A903</f>
        <v>902</v>
      </c>
      <c r="B932" s="53">
        <f>Final_Dataset!B903</f>
        <v>40584</v>
      </c>
      <c r="C932">
        <f>Final_Dataset!F903</f>
        <v>1</v>
      </c>
      <c r="D932" t="str">
        <f>Final_Dataset!T903</f>
        <v>Thu</v>
      </c>
      <c r="E932" t="str">
        <f>Final_Dataset!X903</f>
        <v>Light Rain/Snow</v>
      </c>
      <c r="F932">
        <f>Final_Dataset!J903</f>
        <v>0.14000000000000001</v>
      </c>
      <c r="G932">
        <f>Final_Dataset!L903</f>
        <v>0.8</v>
      </c>
      <c r="H932">
        <f>Final_Dataset!M903</f>
        <v>0.1343</v>
      </c>
      <c r="I932">
        <f>Final_Dataset!P903</f>
        <v>7</v>
      </c>
      <c r="J932" s="54">
        <f t="shared" si="62"/>
        <v>10.697674418604651</v>
      </c>
      <c r="K932" s="54">
        <f t="shared" si="63"/>
        <v>10.060613641515801</v>
      </c>
      <c r="L932" s="55">
        <f t="shared" si="64"/>
        <v>-0.36753965020045576</v>
      </c>
      <c r="M932" t="str">
        <f t="shared" si="65"/>
        <v/>
      </c>
    </row>
    <row r="933" spans="1:13" x14ac:dyDescent="0.2">
      <c r="A933">
        <f>Final_Dataset!A904</f>
        <v>903</v>
      </c>
      <c r="B933" s="53">
        <f>Final_Dataset!B904</f>
        <v>40584</v>
      </c>
      <c r="C933">
        <f>Final_Dataset!F904</f>
        <v>2</v>
      </c>
      <c r="D933" t="str">
        <f>Final_Dataset!T904</f>
        <v>Thu</v>
      </c>
      <c r="E933" t="str">
        <f>Final_Dataset!X904</f>
        <v>Light Rain/Snow</v>
      </c>
      <c r="F933">
        <f>Final_Dataset!J904</f>
        <v>0.14000000000000001</v>
      </c>
      <c r="G933">
        <f>Final_Dataset!L904</f>
        <v>0.8</v>
      </c>
      <c r="H933">
        <f>Final_Dataset!M904</f>
        <v>0.1343</v>
      </c>
      <c r="I933">
        <f>Final_Dataset!P904</f>
        <v>3</v>
      </c>
      <c r="J933" s="54">
        <f t="shared" si="62"/>
        <v>7.1707317073170733</v>
      </c>
      <c r="K933" s="54">
        <f t="shared" si="63"/>
        <v>7.3685223723090862</v>
      </c>
      <c r="L933" s="55">
        <f t="shared" si="64"/>
        <v>-0.5660200914895348</v>
      </c>
      <c r="M933" t="str">
        <f t="shared" si="65"/>
        <v/>
      </c>
    </row>
    <row r="934" spans="1:13" x14ac:dyDescent="0.2">
      <c r="A934">
        <f>Final_Dataset!A905</f>
        <v>904</v>
      </c>
      <c r="B934" s="53">
        <f>Final_Dataset!B905</f>
        <v>40584</v>
      </c>
      <c r="C934">
        <f>Final_Dataset!F905</f>
        <v>4</v>
      </c>
      <c r="D934" t="str">
        <f>Final_Dataset!T905</f>
        <v>Thu</v>
      </c>
      <c r="E934" t="str">
        <f>Final_Dataset!X905</f>
        <v>Cloudy/Mist</v>
      </c>
      <c r="F934">
        <f>Final_Dataset!J905</f>
        <v>0.14000000000000001</v>
      </c>
      <c r="G934">
        <f>Final_Dataset!L905</f>
        <v>0.59</v>
      </c>
      <c r="H934">
        <f>Final_Dataset!M905</f>
        <v>0.22389999999999999</v>
      </c>
      <c r="I934">
        <f>Final_Dataset!P905</f>
        <v>1</v>
      </c>
      <c r="J934" s="54">
        <f t="shared" si="62"/>
        <v>2.15625</v>
      </c>
      <c r="K934" s="54">
        <f t="shared" si="63"/>
        <v>1.5263148747143209</v>
      </c>
      <c r="L934" s="55">
        <f t="shared" si="64"/>
        <v>-0.75754355746314428</v>
      </c>
      <c r="M934" t="str">
        <f t="shared" si="65"/>
        <v/>
      </c>
    </row>
    <row r="935" spans="1:13" x14ac:dyDescent="0.2">
      <c r="A935">
        <f>Final_Dataset!A906</f>
        <v>905</v>
      </c>
      <c r="B935" s="53">
        <f>Final_Dataset!B906</f>
        <v>40584</v>
      </c>
      <c r="C935">
        <f>Final_Dataset!F906</f>
        <v>5</v>
      </c>
      <c r="D935" t="str">
        <f>Final_Dataset!T906</f>
        <v>Thu</v>
      </c>
      <c r="E935" t="str">
        <f>Final_Dataset!X906</f>
        <v>Cloudy/Mist</v>
      </c>
      <c r="F935">
        <f>Final_Dataset!J906</f>
        <v>0.12</v>
      </c>
      <c r="G935">
        <f>Final_Dataset!L906</f>
        <v>0.5</v>
      </c>
      <c r="H935">
        <f>Final_Dataset!M906</f>
        <v>0.22389999999999999</v>
      </c>
      <c r="I935">
        <f>Final_Dataset!P906</f>
        <v>6</v>
      </c>
      <c r="J935" s="54">
        <f t="shared" si="62"/>
        <v>4.2051282051282053</v>
      </c>
      <c r="K935" s="54">
        <f t="shared" si="63"/>
        <v>2.5358429220352288</v>
      </c>
      <c r="L935" s="55">
        <f t="shared" si="64"/>
        <v>0.70780085756702082</v>
      </c>
      <c r="M935" t="str">
        <f t="shared" si="65"/>
        <v/>
      </c>
    </row>
    <row r="936" spans="1:13" x14ac:dyDescent="0.2">
      <c r="A936">
        <f>Final_Dataset!A907</f>
        <v>906</v>
      </c>
      <c r="B936" s="53">
        <f>Final_Dataset!B907</f>
        <v>40584</v>
      </c>
      <c r="C936">
        <f>Final_Dataset!F907</f>
        <v>6</v>
      </c>
      <c r="D936" t="str">
        <f>Final_Dataset!T907</f>
        <v>Thu</v>
      </c>
      <c r="E936" t="str">
        <f>Final_Dataset!X907</f>
        <v>Cloudy/Mist</v>
      </c>
      <c r="F936">
        <f>Final_Dataset!J907</f>
        <v>0.12</v>
      </c>
      <c r="G936">
        <f>Final_Dataset!L907</f>
        <v>0.54</v>
      </c>
      <c r="H936">
        <f>Final_Dataset!M907</f>
        <v>0.28360000000000002</v>
      </c>
      <c r="I936">
        <f>Final_Dataset!P907</f>
        <v>26</v>
      </c>
      <c r="J936" s="54">
        <f t="shared" si="62"/>
        <v>19.571428571428573</v>
      </c>
      <c r="K936" s="54">
        <f t="shared" si="63"/>
        <v>14.202615453298934</v>
      </c>
      <c r="L936" s="55">
        <f t="shared" si="64"/>
        <v>0.45263292875244471</v>
      </c>
      <c r="M936" t="str">
        <f t="shared" si="65"/>
        <v/>
      </c>
    </row>
    <row r="937" spans="1:13" x14ac:dyDescent="0.2">
      <c r="A937">
        <f>Final_Dataset!A908</f>
        <v>907</v>
      </c>
      <c r="B937" s="53">
        <f>Final_Dataset!B908</f>
        <v>40584</v>
      </c>
      <c r="C937">
        <f>Final_Dataset!F908</f>
        <v>7</v>
      </c>
      <c r="D937" t="str">
        <f>Final_Dataset!T908</f>
        <v>Thu</v>
      </c>
      <c r="E937" t="str">
        <f>Final_Dataset!X908</f>
        <v>Clear</v>
      </c>
      <c r="F937">
        <f>Final_Dataset!J908</f>
        <v>0.1</v>
      </c>
      <c r="G937">
        <f>Final_Dataset!L908</f>
        <v>0.5</v>
      </c>
      <c r="H937">
        <f>Final_Dataset!M908</f>
        <v>0.41789999999999999</v>
      </c>
      <c r="I937">
        <f>Final_Dataset!P908</f>
        <v>99</v>
      </c>
      <c r="J937" s="54">
        <f t="shared" si="62"/>
        <v>54.395348837209305</v>
      </c>
      <c r="K937" s="54">
        <f t="shared" si="63"/>
        <v>39.112864486352777</v>
      </c>
      <c r="L937" s="55">
        <f t="shared" si="64"/>
        <v>1.1404087056409307</v>
      </c>
      <c r="M937" t="str">
        <f t="shared" si="65"/>
        <v/>
      </c>
    </row>
    <row r="938" spans="1:13" x14ac:dyDescent="0.2">
      <c r="A938">
        <f>Final_Dataset!A909</f>
        <v>908</v>
      </c>
      <c r="B938" s="53">
        <f>Final_Dataset!B909</f>
        <v>40584</v>
      </c>
      <c r="C938">
        <f>Final_Dataset!F909</f>
        <v>8</v>
      </c>
      <c r="D938" t="str">
        <f>Final_Dataset!T909</f>
        <v>Thu</v>
      </c>
      <c r="E938" t="str">
        <f>Final_Dataset!X909</f>
        <v>Clear</v>
      </c>
      <c r="F938">
        <f>Final_Dataset!J909</f>
        <v>0.1</v>
      </c>
      <c r="G938">
        <f>Final_Dataset!L909</f>
        <v>0.49</v>
      </c>
      <c r="H938">
        <f>Final_Dataset!M909</f>
        <v>0.32840000000000003</v>
      </c>
      <c r="I938">
        <f>Final_Dataset!P909</f>
        <v>178</v>
      </c>
      <c r="J938" s="54">
        <f t="shared" si="62"/>
        <v>128.28571428571428</v>
      </c>
      <c r="K938" s="54">
        <f t="shared" si="63"/>
        <v>88.551565717048533</v>
      </c>
      <c r="L938" s="55">
        <f t="shared" si="64"/>
        <v>0.56141622467906738</v>
      </c>
      <c r="M938" t="str">
        <f t="shared" si="65"/>
        <v/>
      </c>
    </row>
    <row r="939" spans="1:13" x14ac:dyDescent="0.2">
      <c r="A939">
        <f>Final_Dataset!A910</f>
        <v>909</v>
      </c>
      <c r="B939" s="53">
        <f>Final_Dataset!B910</f>
        <v>40584</v>
      </c>
      <c r="C939">
        <f>Final_Dataset!F910</f>
        <v>9</v>
      </c>
      <c r="D939" t="str">
        <f>Final_Dataset!T910</f>
        <v>Thu</v>
      </c>
      <c r="E939" t="str">
        <f>Final_Dataset!X910</f>
        <v>Clear</v>
      </c>
      <c r="F939">
        <f>Final_Dataset!J910</f>
        <v>0.12</v>
      </c>
      <c r="G939">
        <f>Final_Dataset!L910</f>
        <v>0.42</v>
      </c>
      <c r="H939">
        <f>Final_Dataset!M910</f>
        <v>0.35820000000000002</v>
      </c>
      <c r="I939">
        <f>Final_Dataset!P910</f>
        <v>122</v>
      </c>
      <c r="J939" s="54">
        <f t="shared" si="62"/>
        <v>87.428571428571431</v>
      </c>
      <c r="K939" s="54">
        <f t="shared" si="63"/>
        <v>45.93852884078624</v>
      </c>
      <c r="L939" s="55">
        <f t="shared" si="64"/>
        <v>0.75255846113936808</v>
      </c>
      <c r="M939" t="str">
        <f t="shared" si="65"/>
        <v/>
      </c>
    </row>
    <row r="940" spans="1:13" x14ac:dyDescent="0.2">
      <c r="A940">
        <f>Final_Dataset!A911</f>
        <v>910</v>
      </c>
      <c r="B940" s="53">
        <f>Final_Dataset!B911</f>
        <v>40584</v>
      </c>
      <c r="C940">
        <f>Final_Dataset!F911</f>
        <v>10</v>
      </c>
      <c r="D940" t="str">
        <f>Final_Dataset!T911</f>
        <v>Thu</v>
      </c>
      <c r="E940" t="str">
        <f>Final_Dataset!X911</f>
        <v>Clear</v>
      </c>
      <c r="F940">
        <f>Final_Dataset!J911</f>
        <v>0.12</v>
      </c>
      <c r="G940">
        <f>Final_Dataset!L911</f>
        <v>0.42</v>
      </c>
      <c r="H940">
        <f>Final_Dataset!M911</f>
        <v>0.29849999999999999</v>
      </c>
      <c r="I940">
        <f>Final_Dataset!P911</f>
        <v>35</v>
      </c>
      <c r="J940" s="54">
        <f t="shared" si="62"/>
        <v>53.642857142857146</v>
      </c>
      <c r="K940" s="54">
        <f t="shared" si="63"/>
        <v>15.395313554536934</v>
      </c>
      <c r="L940" s="55">
        <f t="shared" si="64"/>
        <v>-1.2109436470271289</v>
      </c>
      <c r="M940" t="str">
        <f t="shared" si="65"/>
        <v/>
      </c>
    </row>
    <row r="941" spans="1:13" x14ac:dyDescent="0.2">
      <c r="A941">
        <f>Final_Dataset!A912</f>
        <v>911</v>
      </c>
      <c r="B941" s="53">
        <f>Final_Dataset!B912</f>
        <v>40584</v>
      </c>
      <c r="C941">
        <f>Final_Dataset!F912</f>
        <v>11</v>
      </c>
      <c r="D941" t="str">
        <f>Final_Dataset!T912</f>
        <v>Thu</v>
      </c>
      <c r="E941" t="str">
        <f>Final_Dataset!X912</f>
        <v>Clear</v>
      </c>
      <c r="F941">
        <f>Final_Dataset!J912</f>
        <v>0.14000000000000001</v>
      </c>
      <c r="G941">
        <f>Final_Dataset!L912</f>
        <v>0.39</v>
      </c>
      <c r="H941">
        <f>Final_Dataset!M912</f>
        <v>0.35820000000000002</v>
      </c>
      <c r="I941">
        <f>Final_Dataset!P912</f>
        <v>45</v>
      </c>
      <c r="J941" s="54">
        <f t="shared" si="62"/>
        <v>59.38095238095238</v>
      </c>
      <c r="K941" s="54">
        <f t="shared" si="63"/>
        <v>20.89573696860419</v>
      </c>
      <c r="L941" s="55">
        <f t="shared" si="64"/>
        <v>-0.68822422499669367</v>
      </c>
      <c r="M941" t="str">
        <f t="shared" si="65"/>
        <v/>
      </c>
    </row>
    <row r="942" spans="1:13" x14ac:dyDescent="0.2">
      <c r="A942">
        <f>Final_Dataset!A913</f>
        <v>912</v>
      </c>
      <c r="B942" s="53">
        <f>Final_Dataset!B913</f>
        <v>40584</v>
      </c>
      <c r="C942">
        <f>Final_Dataset!F913</f>
        <v>12</v>
      </c>
      <c r="D942" t="str">
        <f>Final_Dataset!T913</f>
        <v>Thu</v>
      </c>
      <c r="E942" t="str">
        <f>Final_Dataset!X913</f>
        <v>Clear</v>
      </c>
      <c r="F942">
        <f>Final_Dataset!J913</f>
        <v>0.16</v>
      </c>
      <c r="G942">
        <f>Final_Dataset!L913</f>
        <v>0.34</v>
      </c>
      <c r="H942">
        <f>Final_Dataset!M913</f>
        <v>0.3881</v>
      </c>
      <c r="I942">
        <f>Final_Dataset!P913</f>
        <v>69</v>
      </c>
      <c r="J942" s="54">
        <f t="shared" si="62"/>
        <v>76.348837209302332</v>
      </c>
      <c r="K942" s="54">
        <f t="shared" si="63"/>
        <v>29.034366927857057</v>
      </c>
      <c r="L942" s="55">
        <f t="shared" si="64"/>
        <v>-0.25310822955300882</v>
      </c>
      <c r="M942" t="str">
        <f t="shared" si="65"/>
        <v/>
      </c>
    </row>
    <row r="943" spans="1:13" x14ac:dyDescent="0.2">
      <c r="A943">
        <f>Final_Dataset!A914</f>
        <v>913</v>
      </c>
      <c r="B943" s="53">
        <f>Final_Dataset!B914</f>
        <v>40584</v>
      </c>
      <c r="C943">
        <f>Final_Dataset!F914</f>
        <v>13</v>
      </c>
      <c r="D943" t="str">
        <f>Final_Dataset!T914</f>
        <v>Thu</v>
      </c>
      <c r="E943" t="str">
        <f>Final_Dataset!X914</f>
        <v>Clear</v>
      </c>
      <c r="F943">
        <f>Final_Dataset!J914</f>
        <v>0.18</v>
      </c>
      <c r="G943">
        <f>Final_Dataset!L914</f>
        <v>0.28999999999999998</v>
      </c>
      <c r="H943">
        <f>Final_Dataset!M914</f>
        <v>0.29849999999999999</v>
      </c>
      <c r="I943">
        <f>Final_Dataset!P914</f>
        <v>62</v>
      </c>
      <c r="J943" s="54">
        <f t="shared" si="62"/>
        <v>78.511627906976742</v>
      </c>
      <c r="K943" s="54">
        <f t="shared" si="63"/>
        <v>30.072430098825173</v>
      </c>
      <c r="L943" s="55">
        <f t="shared" si="64"/>
        <v>-0.54906197645868982</v>
      </c>
      <c r="M943" t="str">
        <f t="shared" si="65"/>
        <v/>
      </c>
    </row>
    <row r="944" spans="1:13" x14ac:dyDescent="0.2">
      <c r="A944">
        <f>Final_Dataset!A915</f>
        <v>914</v>
      </c>
      <c r="B944" s="53">
        <f>Final_Dataset!B915</f>
        <v>40584</v>
      </c>
      <c r="C944">
        <f>Final_Dataset!F915</f>
        <v>14</v>
      </c>
      <c r="D944" t="str">
        <f>Final_Dataset!T915</f>
        <v>Thu</v>
      </c>
      <c r="E944" t="str">
        <f>Final_Dataset!X915</f>
        <v>Clear</v>
      </c>
      <c r="F944">
        <f>Final_Dataset!J915</f>
        <v>0.2</v>
      </c>
      <c r="G944">
        <f>Final_Dataset!L915</f>
        <v>0.27</v>
      </c>
      <c r="H944">
        <f>Final_Dataset!M915</f>
        <v>0.28360000000000002</v>
      </c>
      <c r="I944">
        <f>Final_Dataset!P915</f>
        <v>48</v>
      </c>
      <c r="J944" s="54">
        <f t="shared" si="62"/>
        <v>74.418604651162795</v>
      </c>
      <c r="K944" s="54">
        <f t="shared" si="63"/>
        <v>30.305769180565147</v>
      </c>
      <c r="L944" s="55">
        <f t="shared" si="64"/>
        <v>-0.87173516348513735</v>
      </c>
      <c r="M944" t="str">
        <f t="shared" si="65"/>
        <v/>
      </c>
    </row>
    <row r="945" spans="1:13" x14ac:dyDescent="0.2">
      <c r="A945">
        <f>Final_Dataset!A916</f>
        <v>915</v>
      </c>
      <c r="B945" s="53">
        <f>Final_Dataset!B916</f>
        <v>40584</v>
      </c>
      <c r="C945">
        <f>Final_Dataset!F916</f>
        <v>15</v>
      </c>
      <c r="D945" t="str">
        <f>Final_Dataset!T916</f>
        <v>Thu</v>
      </c>
      <c r="E945" t="str">
        <f>Final_Dataset!X916</f>
        <v>Clear</v>
      </c>
      <c r="F945">
        <f>Final_Dataset!J916</f>
        <v>0.2</v>
      </c>
      <c r="G945">
        <f>Final_Dataset!L916</f>
        <v>0.25</v>
      </c>
      <c r="H945">
        <f>Final_Dataset!M916</f>
        <v>0.25369999999999998</v>
      </c>
      <c r="I945">
        <f>Final_Dataset!P916</f>
        <v>50</v>
      </c>
      <c r="J945" s="54">
        <f t="shared" si="62"/>
        <v>77.95348837209302</v>
      </c>
      <c r="K945" s="54">
        <f t="shared" si="63"/>
        <v>34.481156681772681</v>
      </c>
      <c r="L945" s="55">
        <f t="shared" si="64"/>
        <v>-0.81068882433603806</v>
      </c>
      <c r="M945" t="str">
        <f t="shared" si="65"/>
        <v/>
      </c>
    </row>
    <row r="946" spans="1:13" x14ac:dyDescent="0.2">
      <c r="A946">
        <f>Final_Dataset!A917</f>
        <v>916</v>
      </c>
      <c r="B946" s="53">
        <f>Final_Dataset!B917</f>
        <v>40584</v>
      </c>
      <c r="C946">
        <f>Final_Dataset!F917</f>
        <v>16</v>
      </c>
      <c r="D946" t="str">
        <f>Final_Dataset!T917</f>
        <v>Thu</v>
      </c>
      <c r="E946" t="str">
        <f>Final_Dataset!X917</f>
        <v>Clear</v>
      </c>
      <c r="F946">
        <f>Final_Dataset!J917</f>
        <v>0.2</v>
      </c>
      <c r="G946">
        <f>Final_Dataset!L917</f>
        <v>0.27</v>
      </c>
      <c r="H946">
        <f>Final_Dataset!M917</f>
        <v>0.29849999999999999</v>
      </c>
      <c r="I946">
        <f>Final_Dataset!P917</f>
        <v>80</v>
      </c>
      <c r="J946" s="54">
        <f t="shared" si="62"/>
        <v>89.272727272727266</v>
      </c>
      <c r="K946" s="54">
        <f t="shared" si="63"/>
        <v>25.461657115880747</v>
      </c>
      <c r="L946" s="55">
        <f t="shared" si="64"/>
        <v>-0.36418396613092996</v>
      </c>
      <c r="M946" t="str">
        <f t="shared" si="65"/>
        <v/>
      </c>
    </row>
    <row r="947" spans="1:13" x14ac:dyDescent="0.2">
      <c r="A947">
        <f>Final_Dataset!A918</f>
        <v>917</v>
      </c>
      <c r="B947" s="53">
        <f>Final_Dataset!B918</f>
        <v>40584</v>
      </c>
      <c r="C947">
        <f>Final_Dataset!F918</f>
        <v>17</v>
      </c>
      <c r="D947" t="str">
        <f>Final_Dataset!T918</f>
        <v>Thu</v>
      </c>
      <c r="E947" t="str">
        <f>Final_Dataset!X918</f>
        <v>Clear</v>
      </c>
      <c r="F947">
        <f>Final_Dataset!J918</f>
        <v>0.18</v>
      </c>
      <c r="G947">
        <f>Final_Dataset!L918</f>
        <v>0.26</v>
      </c>
      <c r="H947">
        <f>Final_Dataset!M918</f>
        <v>0.19400000000000001</v>
      </c>
      <c r="I947">
        <f>Final_Dataset!P918</f>
        <v>165</v>
      </c>
      <c r="J947" s="54">
        <f t="shared" si="62"/>
        <v>140.20454545454547</v>
      </c>
      <c r="K947" s="54">
        <f t="shared" si="63"/>
        <v>54.067391000084569</v>
      </c>
      <c r="L947" s="55">
        <f t="shared" si="64"/>
        <v>0.4586027564269885</v>
      </c>
      <c r="M947" t="str">
        <f t="shared" si="65"/>
        <v/>
      </c>
    </row>
    <row r="948" spans="1:13" x14ac:dyDescent="0.2">
      <c r="A948">
        <f>Final_Dataset!A919</f>
        <v>918</v>
      </c>
      <c r="B948" s="53">
        <f>Final_Dataset!B919</f>
        <v>40584</v>
      </c>
      <c r="C948">
        <f>Final_Dataset!F919</f>
        <v>18</v>
      </c>
      <c r="D948" t="str">
        <f>Final_Dataset!T919</f>
        <v>Thu</v>
      </c>
      <c r="E948" t="str">
        <f>Final_Dataset!X919</f>
        <v>Clear</v>
      </c>
      <c r="F948">
        <f>Final_Dataset!J919</f>
        <v>0.16</v>
      </c>
      <c r="G948">
        <f>Final_Dataset!L919</f>
        <v>0.28000000000000003</v>
      </c>
      <c r="H948">
        <f>Final_Dataset!M919</f>
        <v>0.1343</v>
      </c>
      <c r="I948">
        <f>Final_Dataset!P919</f>
        <v>160</v>
      </c>
      <c r="J948" s="54">
        <f t="shared" si="62"/>
        <v>122.86046511627907</v>
      </c>
      <c r="K948" s="54">
        <f t="shared" si="63"/>
        <v>48.613432101949947</v>
      </c>
      <c r="L948" s="55">
        <f t="shared" si="64"/>
        <v>0.76397681212537172</v>
      </c>
      <c r="M948" t="str">
        <f t="shared" si="65"/>
        <v/>
      </c>
    </row>
    <row r="949" spans="1:13" x14ac:dyDescent="0.2">
      <c r="A949">
        <f>Final_Dataset!A920</f>
        <v>919</v>
      </c>
      <c r="B949" s="53">
        <f>Final_Dataset!B920</f>
        <v>40584</v>
      </c>
      <c r="C949">
        <f>Final_Dataset!F920</f>
        <v>19</v>
      </c>
      <c r="D949" t="str">
        <f>Final_Dataset!T920</f>
        <v>Thu</v>
      </c>
      <c r="E949" t="str">
        <f>Final_Dataset!X920</f>
        <v>Clear</v>
      </c>
      <c r="F949">
        <f>Final_Dataset!J920</f>
        <v>0.14000000000000001</v>
      </c>
      <c r="G949">
        <f>Final_Dataset!L920</f>
        <v>0.28000000000000003</v>
      </c>
      <c r="H949">
        <f>Final_Dataset!M920</f>
        <v>0.1045</v>
      </c>
      <c r="I949">
        <f>Final_Dataset!P920</f>
        <v>112</v>
      </c>
      <c r="J949" s="54">
        <f t="shared" si="62"/>
        <v>85.139534883720927</v>
      </c>
      <c r="K949" s="54">
        <f t="shared" si="63"/>
        <v>31.690904054294759</v>
      </c>
      <c r="L949" s="55">
        <f t="shared" si="64"/>
        <v>0.84757648662405183</v>
      </c>
      <c r="M949" t="str">
        <f t="shared" si="65"/>
        <v/>
      </c>
    </row>
    <row r="950" spans="1:13" x14ac:dyDescent="0.2">
      <c r="A950">
        <f>Final_Dataset!A921</f>
        <v>920</v>
      </c>
      <c r="B950" s="53">
        <f>Final_Dataset!B921</f>
        <v>40584</v>
      </c>
      <c r="C950">
        <f>Final_Dataset!F921</f>
        <v>20</v>
      </c>
      <c r="D950" t="str">
        <f>Final_Dataset!T921</f>
        <v>Thu</v>
      </c>
      <c r="E950" t="str">
        <f>Final_Dataset!X921</f>
        <v>Clear</v>
      </c>
      <c r="F950">
        <f>Final_Dataset!J921</f>
        <v>0.14000000000000001</v>
      </c>
      <c r="G950">
        <f>Final_Dataset!L921</f>
        <v>0.31</v>
      </c>
      <c r="H950">
        <f>Final_Dataset!M921</f>
        <v>8.9599999999999999E-2</v>
      </c>
      <c r="I950">
        <f>Final_Dataset!P921</f>
        <v>97</v>
      </c>
      <c r="J950" s="54">
        <f t="shared" si="62"/>
        <v>61.767441860465119</v>
      </c>
      <c r="K950" s="54">
        <f t="shared" si="63"/>
        <v>24.6323801696856</v>
      </c>
      <c r="L950" s="55">
        <f t="shared" si="64"/>
        <v>1.4303351075627937</v>
      </c>
      <c r="M950" t="str">
        <f t="shared" si="65"/>
        <v/>
      </c>
    </row>
    <row r="951" spans="1:13" x14ac:dyDescent="0.2">
      <c r="A951">
        <f>Final_Dataset!A922</f>
        <v>921</v>
      </c>
      <c r="B951" s="53">
        <f>Final_Dataset!B922</f>
        <v>40584</v>
      </c>
      <c r="C951">
        <f>Final_Dataset!F922</f>
        <v>21</v>
      </c>
      <c r="D951" t="str">
        <f>Final_Dataset!T922</f>
        <v>Thu</v>
      </c>
      <c r="E951" t="str">
        <f>Final_Dataset!X922</f>
        <v>Clear</v>
      </c>
      <c r="F951">
        <f>Final_Dataset!J922</f>
        <v>0.14000000000000001</v>
      </c>
      <c r="G951">
        <f>Final_Dataset!L922</f>
        <v>0.39</v>
      </c>
      <c r="H951">
        <f>Final_Dataset!M922</f>
        <v>0</v>
      </c>
      <c r="I951">
        <f>Final_Dataset!P922</f>
        <v>72</v>
      </c>
      <c r="J951" s="54">
        <f t="shared" si="62"/>
        <v>46.418604651162788</v>
      </c>
      <c r="K951" s="54">
        <f t="shared" si="63"/>
        <v>14.656759464719499</v>
      </c>
      <c r="L951" s="55">
        <f t="shared" si="64"/>
        <v>1.7453650249507446</v>
      </c>
      <c r="M951" t="str">
        <f t="shared" si="65"/>
        <v/>
      </c>
    </row>
    <row r="952" spans="1:13" x14ac:dyDescent="0.2">
      <c r="A952">
        <f>Final_Dataset!A923</f>
        <v>922</v>
      </c>
      <c r="B952" s="53">
        <f>Final_Dataset!B923</f>
        <v>40584</v>
      </c>
      <c r="C952">
        <f>Final_Dataset!F923</f>
        <v>22</v>
      </c>
      <c r="D952" t="str">
        <f>Final_Dataset!T923</f>
        <v>Thu</v>
      </c>
      <c r="E952" t="str">
        <f>Final_Dataset!X923</f>
        <v>Clear</v>
      </c>
      <c r="F952">
        <f>Final_Dataset!J923</f>
        <v>0.12</v>
      </c>
      <c r="G952">
        <f>Final_Dataset!L923</f>
        <v>0.39</v>
      </c>
      <c r="H952">
        <f>Final_Dataset!M923</f>
        <v>0</v>
      </c>
      <c r="I952">
        <f>Final_Dataset!P923</f>
        <v>51</v>
      </c>
      <c r="J952" s="54">
        <f t="shared" si="62"/>
        <v>35.069767441860463</v>
      </c>
      <c r="K952" s="54">
        <f t="shared" si="63"/>
        <v>11.95506537162667</v>
      </c>
      <c r="L952" s="55">
        <f t="shared" si="64"/>
        <v>1.3325090296827029</v>
      </c>
      <c r="M952" t="str">
        <f t="shared" si="65"/>
        <v/>
      </c>
    </row>
    <row r="953" spans="1:13" x14ac:dyDescent="0.2">
      <c r="A953">
        <f>Final_Dataset!A924</f>
        <v>923</v>
      </c>
      <c r="B953" s="53">
        <f>Final_Dataset!B924</f>
        <v>40584</v>
      </c>
      <c r="C953">
        <f>Final_Dataset!F924</f>
        <v>23</v>
      </c>
      <c r="D953" t="str">
        <f>Final_Dataset!T924</f>
        <v>Thu</v>
      </c>
      <c r="E953" t="str">
        <f>Final_Dataset!X924</f>
        <v>Clear</v>
      </c>
      <c r="F953">
        <f>Final_Dataset!J924</f>
        <v>0.12</v>
      </c>
      <c r="G953">
        <f>Final_Dataset!L924</f>
        <v>0.42</v>
      </c>
      <c r="H953">
        <f>Final_Dataset!M924</f>
        <v>0.1045</v>
      </c>
      <c r="I953">
        <f>Final_Dataset!P924</f>
        <v>34</v>
      </c>
      <c r="J953" s="54">
        <f t="shared" si="62"/>
        <v>25.186046511627907</v>
      </c>
      <c r="K953" s="54">
        <f t="shared" si="63"/>
        <v>11.751911321656186</v>
      </c>
      <c r="L953" s="55">
        <f t="shared" si="64"/>
        <v>0.75000170160660729</v>
      </c>
      <c r="M953" t="str">
        <f t="shared" si="65"/>
        <v/>
      </c>
    </row>
    <row r="954" spans="1:13" x14ac:dyDescent="0.2">
      <c r="A954">
        <f>Final_Dataset!A925</f>
        <v>924</v>
      </c>
      <c r="B954" s="53">
        <f>Final_Dataset!B925</f>
        <v>40585</v>
      </c>
      <c r="C954">
        <f>Final_Dataset!F925</f>
        <v>0</v>
      </c>
      <c r="D954" t="str">
        <f>Final_Dataset!T925</f>
        <v>Fri</v>
      </c>
      <c r="E954" t="str">
        <f>Final_Dataset!X925</f>
        <v>Clear</v>
      </c>
      <c r="F954">
        <f>Final_Dataset!J925</f>
        <v>0.1</v>
      </c>
      <c r="G954">
        <f>Final_Dataset!L925</f>
        <v>0.49</v>
      </c>
      <c r="H954">
        <f>Final_Dataset!M925</f>
        <v>0.1045</v>
      </c>
      <c r="I954">
        <f>Final_Dataset!P925</f>
        <v>14</v>
      </c>
      <c r="J954" s="54">
        <f t="shared" si="62"/>
        <v>16.348837209302324</v>
      </c>
      <c r="K954" s="54">
        <f t="shared" si="63"/>
        <v>10.442321674276208</v>
      </c>
      <c r="L954" s="55">
        <f t="shared" si="64"/>
        <v>-0.22493438552927264</v>
      </c>
      <c r="M954" t="str">
        <f t="shared" si="65"/>
        <v/>
      </c>
    </row>
    <row r="955" spans="1:13" x14ac:dyDescent="0.2">
      <c r="A955">
        <f>Final_Dataset!A926</f>
        <v>925</v>
      </c>
      <c r="B955" s="53">
        <f>Final_Dataset!B926</f>
        <v>40585</v>
      </c>
      <c r="C955">
        <f>Final_Dataset!F926</f>
        <v>1</v>
      </c>
      <c r="D955" t="str">
        <f>Final_Dataset!T926</f>
        <v>Fri</v>
      </c>
      <c r="E955" t="str">
        <f>Final_Dataset!X926</f>
        <v>Clear</v>
      </c>
      <c r="F955">
        <f>Final_Dataset!J926</f>
        <v>0.1</v>
      </c>
      <c r="G955">
        <f>Final_Dataset!L926</f>
        <v>0.54</v>
      </c>
      <c r="H955">
        <f>Final_Dataset!M926</f>
        <v>8.9599999999999999E-2</v>
      </c>
      <c r="I955">
        <f>Final_Dataset!P926</f>
        <v>7</v>
      </c>
      <c r="J955" s="54">
        <f t="shared" si="62"/>
        <v>10.697674418604651</v>
      </c>
      <c r="K955" s="54">
        <f t="shared" si="63"/>
        <v>10.060613641515801</v>
      </c>
      <c r="L955" s="55">
        <f t="shared" si="64"/>
        <v>-0.36753965020045576</v>
      </c>
      <c r="M955" t="str">
        <f t="shared" si="65"/>
        <v/>
      </c>
    </row>
    <row r="956" spans="1:13" x14ac:dyDescent="0.2">
      <c r="A956">
        <f>Final_Dataset!A927</f>
        <v>926</v>
      </c>
      <c r="B956" s="53">
        <f>Final_Dataset!B927</f>
        <v>40585</v>
      </c>
      <c r="C956">
        <f>Final_Dataset!F927</f>
        <v>2</v>
      </c>
      <c r="D956" t="str">
        <f>Final_Dataset!T927</f>
        <v>Fri</v>
      </c>
      <c r="E956" t="str">
        <f>Final_Dataset!X927</f>
        <v>Clear</v>
      </c>
      <c r="F956">
        <f>Final_Dataset!J927</f>
        <v>0.1</v>
      </c>
      <c r="G956">
        <f>Final_Dataset!L927</f>
        <v>0.54</v>
      </c>
      <c r="H956">
        <f>Final_Dataset!M927</f>
        <v>8.9599999999999999E-2</v>
      </c>
      <c r="I956">
        <f>Final_Dataset!P927</f>
        <v>3</v>
      </c>
      <c r="J956" s="54">
        <f t="shared" si="62"/>
        <v>7.1707317073170733</v>
      </c>
      <c r="K956" s="54">
        <f t="shared" si="63"/>
        <v>7.3685223723090862</v>
      </c>
      <c r="L956" s="55">
        <f t="shared" si="64"/>
        <v>-0.5660200914895348</v>
      </c>
      <c r="M956" t="str">
        <f t="shared" si="65"/>
        <v/>
      </c>
    </row>
    <row r="957" spans="1:13" x14ac:dyDescent="0.2">
      <c r="A957">
        <f>Final_Dataset!A928</f>
        <v>927</v>
      </c>
      <c r="B957" s="53">
        <f>Final_Dataset!B928</f>
        <v>40585</v>
      </c>
      <c r="C957">
        <f>Final_Dataset!F928</f>
        <v>5</v>
      </c>
      <c r="D957" t="str">
        <f>Final_Dataset!T928</f>
        <v>Fri</v>
      </c>
      <c r="E957" t="str">
        <f>Final_Dataset!X928</f>
        <v>Clear</v>
      </c>
      <c r="F957">
        <f>Final_Dataset!J928</f>
        <v>0.08</v>
      </c>
      <c r="G957">
        <f>Final_Dataset!L928</f>
        <v>0.63</v>
      </c>
      <c r="H957">
        <f>Final_Dataset!M928</f>
        <v>8.9599999999999999E-2</v>
      </c>
      <c r="I957">
        <f>Final_Dataset!P928</f>
        <v>4</v>
      </c>
      <c r="J957" s="54">
        <f t="shared" si="62"/>
        <v>4.2051282051282053</v>
      </c>
      <c r="K957" s="54">
        <f t="shared" si="63"/>
        <v>2.5358429220352288</v>
      </c>
      <c r="L957" s="55">
        <f t="shared" si="64"/>
        <v>-8.0891526579088158E-2</v>
      </c>
      <c r="M957" t="str">
        <f t="shared" si="65"/>
        <v/>
      </c>
    </row>
    <row r="958" spans="1:13" x14ac:dyDescent="0.2">
      <c r="A958">
        <f>Final_Dataset!A929</f>
        <v>928</v>
      </c>
      <c r="B958" s="53">
        <f>Final_Dataset!B929</f>
        <v>40585</v>
      </c>
      <c r="C958">
        <f>Final_Dataset!F929</f>
        <v>6</v>
      </c>
      <c r="D958" t="str">
        <f>Final_Dataset!T929</f>
        <v>Fri</v>
      </c>
      <c r="E958" t="str">
        <f>Final_Dataset!X929</f>
        <v>Clear</v>
      </c>
      <c r="F958">
        <f>Final_Dataset!J929</f>
        <v>0.1</v>
      </c>
      <c r="G958">
        <f>Final_Dataset!L929</f>
        <v>0.68</v>
      </c>
      <c r="H958">
        <f>Final_Dataset!M929</f>
        <v>0</v>
      </c>
      <c r="I958">
        <f>Final_Dataset!P929</f>
        <v>24</v>
      </c>
      <c r="J958" s="54">
        <f t="shared" si="62"/>
        <v>19.571428571428573</v>
      </c>
      <c r="K958" s="54">
        <f t="shared" si="63"/>
        <v>14.202615453298934</v>
      </c>
      <c r="L958" s="55">
        <f t="shared" si="64"/>
        <v>0.31181379536279524</v>
      </c>
      <c r="M958" t="str">
        <f t="shared" si="65"/>
        <v/>
      </c>
    </row>
    <row r="959" spans="1:13" x14ac:dyDescent="0.2">
      <c r="A959">
        <f>Final_Dataset!A930</f>
        <v>929</v>
      </c>
      <c r="B959" s="53">
        <f>Final_Dataset!B930</f>
        <v>40585</v>
      </c>
      <c r="C959">
        <f>Final_Dataset!F930</f>
        <v>7</v>
      </c>
      <c r="D959" t="str">
        <f>Final_Dataset!T930</f>
        <v>Fri</v>
      </c>
      <c r="E959" t="str">
        <f>Final_Dataset!X930</f>
        <v>Clear</v>
      </c>
      <c r="F959">
        <f>Final_Dataset!J930</f>
        <v>0.08</v>
      </c>
      <c r="G959">
        <f>Final_Dataset!L930</f>
        <v>0.73</v>
      </c>
      <c r="H959">
        <f>Final_Dataset!M930</f>
        <v>0</v>
      </c>
      <c r="I959">
        <f>Final_Dataset!P930</f>
        <v>74</v>
      </c>
      <c r="J959" s="54">
        <f t="shared" si="62"/>
        <v>54.395348837209305</v>
      </c>
      <c r="K959" s="54">
        <f t="shared" si="63"/>
        <v>39.112864486352777</v>
      </c>
      <c r="L959" s="55">
        <f t="shared" si="64"/>
        <v>0.50123281483592519</v>
      </c>
      <c r="M959" t="str">
        <f t="shared" si="65"/>
        <v/>
      </c>
    </row>
    <row r="960" spans="1:13" x14ac:dyDescent="0.2">
      <c r="A960">
        <f>Final_Dataset!A931</f>
        <v>930</v>
      </c>
      <c r="B960" s="53">
        <f>Final_Dataset!B931</f>
        <v>40585</v>
      </c>
      <c r="C960">
        <f>Final_Dataset!F931</f>
        <v>8</v>
      </c>
      <c r="D960" t="str">
        <f>Final_Dataset!T931</f>
        <v>Fri</v>
      </c>
      <c r="E960" t="str">
        <f>Final_Dataset!X931</f>
        <v>Clear</v>
      </c>
      <c r="F960">
        <f>Final_Dataset!J931</f>
        <v>0.1</v>
      </c>
      <c r="G960">
        <f>Final_Dataset!L931</f>
        <v>0.74</v>
      </c>
      <c r="H960">
        <f>Final_Dataset!M931</f>
        <v>0.16420000000000001</v>
      </c>
      <c r="I960">
        <f>Final_Dataset!P931</f>
        <v>216</v>
      </c>
      <c r="J960" s="54">
        <f t="shared" si="62"/>
        <v>128.28571428571428</v>
      </c>
      <c r="K960" s="54">
        <f t="shared" si="63"/>
        <v>88.551565717048533</v>
      </c>
      <c r="L960" s="55">
        <f t="shared" si="64"/>
        <v>0.99054471825559587</v>
      </c>
      <c r="M960" t="str">
        <f t="shared" si="65"/>
        <v/>
      </c>
    </row>
    <row r="961" spans="1:13" x14ac:dyDescent="0.2">
      <c r="A961">
        <f>Final_Dataset!A932</f>
        <v>931</v>
      </c>
      <c r="B961" s="53">
        <f>Final_Dataset!B932</f>
        <v>40585</v>
      </c>
      <c r="C961">
        <f>Final_Dataset!F932</f>
        <v>9</v>
      </c>
      <c r="D961" t="str">
        <f>Final_Dataset!T932</f>
        <v>Fri</v>
      </c>
      <c r="E961" t="str">
        <f>Final_Dataset!X932</f>
        <v>Clear</v>
      </c>
      <c r="F961">
        <f>Final_Dataset!J932</f>
        <v>0.12</v>
      </c>
      <c r="G961">
        <f>Final_Dataset!L932</f>
        <v>0.74</v>
      </c>
      <c r="H961">
        <f>Final_Dataset!M932</f>
        <v>0.22389999999999999</v>
      </c>
      <c r="I961">
        <f>Final_Dataset!P932</f>
        <v>140</v>
      </c>
      <c r="J961" s="54">
        <f t="shared" si="62"/>
        <v>87.428571428571431</v>
      </c>
      <c r="K961" s="54">
        <f t="shared" si="63"/>
        <v>45.93852884078624</v>
      </c>
      <c r="L961" s="55">
        <f t="shared" si="64"/>
        <v>1.1443864202449894</v>
      </c>
      <c r="M961" t="str">
        <f t="shared" si="65"/>
        <v/>
      </c>
    </row>
    <row r="962" spans="1:13" x14ac:dyDescent="0.2">
      <c r="A962">
        <f>Final_Dataset!A933</f>
        <v>932</v>
      </c>
      <c r="B962" s="53">
        <f>Final_Dataset!B933</f>
        <v>40585</v>
      </c>
      <c r="C962">
        <f>Final_Dataset!F933</f>
        <v>10</v>
      </c>
      <c r="D962" t="str">
        <f>Final_Dataset!T933</f>
        <v>Fri</v>
      </c>
      <c r="E962" t="str">
        <f>Final_Dataset!X933</f>
        <v>Clear</v>
      </c>
      <c r="F962">
        <f>Final_Dataset!J933</f>
        <v>0.14000000000000001</v>
      </c>
      <c r="G962">
        <f>Final_Dataset!L933</f>
        <v>0.69</v>
      </c>
      <c r="H962">
        <f>Final_Dataset!M933</f>
        <v>0.19400000000000001</v>
      </c>
      <c r="I962">
        <f>Final_Dataset!P933</f>
        <v>44</v>
      </c>
      <c r="J962" s="54">
        <f t="shared" si="62"/>
        <v>53.642857142857146</v>
      </c>
      <c r="K962" s="54">
        <f t="shared" si="63"/>
        <v>15.395313554536934</v>
      </c>
      <c r="L962" s="55">
        <f t="shared" si="64"/>
        <v>-0.62635016225541162</v>
      </c>
      <c r="M962" t="str">
        <f t="shared" si="65"/>
        <v/>
      </c>
    </row>
    <row r="963" spans="1:13" x14ac:dyDescent="0.2">
      <c r="A963">
        <f>Final_Dataset!A934</f>
        <v>933</v>
      </c>
      <c r="B963" s="53">
        <f>Final_Dataset!B934</f>
        <v>40585</v>
      </c>
      <c r="C963">
        <f>Final_Dataset!F934</f>
        <v>11</v>
      </c>
      <c r="D963" t="str">
        <f>Final_Dataset!T934</f>
        <v>Fri</v>
      </c>
      <c r="E963" t="str">
        <f>Final_Dataset!X934</f>
        <v>Clear</v>
      </c>
      <c r="F963">
        <f>Final_Dataset!J934</f>
        <v>0.22</v>
      </c>
      <c r="G963">
        <f>Final_Dataset!L934</f>
        <v>0.47</v>
      </c>
      <c r="H963">
        <f>Final_Dataset!M934</f>
        <v>0.1343</v>
      </c>
      <c r="I963">
        <f>Final_Dataset!P934</f>
        <v>64</v>
      </c>
      <c r="J963" s="54">
        <f t="shared" si="62"/>
        <v>59.38095238095238</v>
      </c>
      <c r="K963" s="54">
        <f t="shared" si="63"/>
        <v>20.89573696860419</v>
      </c>
      <c r="L963" s="55">
        <f t="shared" si="64"/>
        <v>0.22105215173734871</v>
      </c>
      <c r="M963" t="str">
        <f t="shared" si="65"/>
        <v/>
      </c>
    </row>
    <row r="964" spans="1:13" x14ac:dyDescent="0.2">
      <c r="A964">
        <f>Final_Dataset!A935</f>
        <v>934</v>
      </c>
      <c r="B964" s="53">
        <f>Final_Dataset!B935</f>
        <v>40585</v>
      </c>
      <c r="C964">
        <f>Final_Dataset!F935</f>
        <v>12</v>
      </c>
      <c r="D964" t="str">
        <f>Final_Dataset!T935</f>
        <v>Fri</v>
      </c>
      <c r="E964" t="str">
        <f>Final_Dataset!X935</f>
        <v>Clear</v>
      </c>
      <c r="F964">
        <f>Final_Dataset!J935</f>
        <v>0.22</v>
      </c>
      <c r="G964">
        <f>Final_Dataset!L935</f>
        <v>0.47</v>
      </c>
      <c r="H964">
        <f>Final_Dataset!M935</f>
        <v>0.1343</v>
      </c>
      <c r="I964">
        <f>Final_Dataset!P935</f>
        <v>71</v>
      </c>
      <c r="J964" s="54">
        <f t="shared" si="62"/>
        <v>76.348837209302332</v>
      </c>
      <c r="K964" s="54">
        <f t="shared" si="63"/>
        <v>29.034366927857057</v>
      </c>
      <c r="L964" s="55">
        <f t="shared" si="64"/>
        <v>-0.18422434429491155</v>
      </c>
      <c r="M964" t="str">
        <f t="shared" si="65"/>
        <v/>
      </c>
    </row>
    <row r="965" spans="1:13" x14ac:dyDescent="0.2">
      <c r="A965">
        <f>Final_Dataset!A936</f>
        <v>935</v>
      </c>
      <c r="B965" s="53">
        <f>Final_Dataset!B936</f>
        <v>40585</v>
      </c>
      <c r="C965">
        <f>Final_Dataset!F936</f>
        <v>13</v>
      </c>
      <c r="D965" t="str">
        <f>Final_Dataset!T936</f>
        <v>Fri</v>
      </c>
      <c r="E965" t="str">
        <f>Final_Dataset!X936</f>
        <v>Clear</v>
      </c>
      <c r="F965">
        <f>Final_Dataset!J936</f>
        <v>0.24</v>
      </c>
      <c r="G965">
        <f>Final_Dataset!L936</f>
        <v>0.35</v>
      </c>
      <c r="H965">
        <f>Final_Dataset!M936</f>
        <v>0.19400000000000001</v>
      </c>
      <c r="I965">
        <f>Final_Dataset!P936</f>
        <v>110</v>
      </c>
      <c r="J965" s="54">
        <f t="shared" si="62"/>
        <v>78.511627906976742</v>
      </c>
      <c r="K965" s="54">
        <f t="shared" si="63"/>
        <v>30.072430098825173</v>
      </c>
      <c r="L965" s="55">
        <f t="shared" si="64"/>
        <v>1.0470843889085439</v>
      </c>
      <c r="M965" t="str">
        <f t="shared" si="65"/>
        <v/>
      </c>
    </row>
    <row r="966" spans="1:13" x14ac:dyDescent="0.2">
      <c r="A966">
        <f>Final_Dataset!A937</f>
        <v>936</v>
      </c>
      <c r="B966" s="53">
        <f>Final_Dataset!B937</f>
        <v>40585</v>
      </c>
      <c r="C966">
        <f>Final_Dataset!F937</f>
        <v>14</v>
      </c>
      <c r="D966" t="str">
        <f>Final_Dataset!T937</f>
        <v>Fri</v>
      </c>
      <c r="E966" t="str">
        <f>Final_Dataset!X937</f>
        <v>Clear</v>
      </c>
      <c r="F966">
        <f>Final_Dataset!J937</f>
        <v>0.3</v>
      </c>
      <c r="G966">
        <f>Final_Dataset!L937</f>
        <v>0.26</v>
      </c>
      <c r="H966">
        <f>Final_Dataset!M937</f>
        <v>0.25369999999999998</v>
      </c>
      <c r="I966">
        <f>Final_Dataset!P937</f>
        <v>84</v>
      </c>
      <c r="J966" s="54">
        <f t="shared" si="62"/>
        <v>74.418604651162795</v>
      </c>
      <c r="K966" s="54">
        <f t="shared" si="63"/>
        <v>30.305769180565147</v>
      </c>
      <c r="L966" s="55">
        <f t="shared" si="64"/>
        <v>0.3161574712639757</v>
      </c>
      <c r="M966" t="str">
        <f t="shared" si="65"/>
        <v/>
      </c>
    </row>
    <row r="967" spans="1:13" x14ac:dyDescent="0.2">
      <c r="A967">
        <f>Final_Dataset!A938</f>
        <v>937</v>
      </c>
      <c r="B967" s="53">
        <f>Final_Dataset!B938</f>
        <v>40585</v>
      </c>
      <c r="C967">
        <f>Final_Dataset!F938</f>
        <v>15</v>
      </c>
      <c r="D967" t="str">
        <f>Final_Dataset!T938</f>
        <v>Fri</v>
      </c>
      <c r="E967" t="str">
        <f>Final_Dataset!X938</f>
        <v>Clear</v>
      </c>
      <c r="F967">
        <f>Final_Dataset!J938</f>
        <v>0.32</v>
      </c>
      <c r="G967">
        <f>Final_Dataset!L938</f>
        <v>0.21</v>
      </c>
      <c r="H967">
        <f>Final_Dataset!M938</f>
        <v>0.16420000000000001</v>
      </c>
      <c r="I967">
        <f>Final_Dataset!P938</f>
        <v>74</v>
      </c>
      <c r="J967" s="54">
        <f t="shared" si="62"/>
        <v>77.95348837209302</v>
      </c>
      <c r="K967" s="54">
        <f t="shared" si="63"/>
        <v>34.481156681772681</v>
      </c>
      <c r="L967" s="55">
        <f t="shared" si="64"/>
        <v>-0.11465648929877402</v>
      </c>
      <c r="M967" t="str">
        <f t="shared" si="65"/>
        <v/>
      </c>
    </row>
    <row r="968" spans="1:13" x14ac:dyDescent="0.2">
      <c r="A968">
        <f>Final_Dataset!A939</f>
        <v>938</v>
      </c>
      <c r="B968" s="53">
        <f>Final_Dataset!B939</f>
        <v>40585</v>
      </c>
      <c r="C968">
        <f>Final_Dataset!F939</f>
        <v>16</v>
      </c>
      <c r="D968" t="str">
        <f>Final_Dataset!T939</f>
        <v>Fri</v>
      </c>
      <c r="E968" t="str">
        <f>Final_Dataset!X939</f>
        <v>Clear</v>
      </c>
      <c r="F968">
        <f>Final_Dataset!J939</f>
        <v>0.3</v>
      </c>
      <c r="G968">
        <f>Final_Dataset!L939</f>
        <v>0.28000000000000003</v>
      </c>
      <c r="H968">
        <f>Final_Dataset!M939</f>
        <v>0.19400000000000001</v>
      </c>
      <c r="I968">
        <f>Final_Dataset!P939</f>
        <v>125</v>
      </c>
      <c r="J968" s="54">
        <f t="shared" si="62"/>
        <v>89.272727272727266</v>
      </c>
      <c r="K968" s="54">
        <f t="shared" si="63"/>
        <v>25.461657115880747</v>
      </c>
      <c r="L968" s="55">
        <f t="shared" si="64"/>
        <v>1.4031793989162313</v>
      </c>
      <c r="M968" t="str">
        <f t="shared" si="65"/>
        <v/>
      </c>
    </row>
    <row r="969" spans="1:13" x14ac:dyDescent="0.2">
      <c r="A969">
        <f>Final_Dataset!A940</f>
        <v>939</v>
      </c>
      <c r="B969" s="53">
        <f>Final_Dataset!B940</f>
        <v>40585</v>
      </c>
      <c r="C969">
        <f>Final_Dataset!F940</f>
        <v>17</v>
      </c>
      <c r="D969" t="str">
        <f>Final_Dataset!T940</f>
        <v>Fri</v>
      </c>
      <c r="E969" t="str">
        <f>Final_Dataset!X940</f>
        <v>Clear</v>
      </c>
      <c r="F969">
        <f>Final_Dataset!J940</f>
        <v>0.3</v>
      </c>
      <c r="G969">
        <f>Final_Dataset!L940</f>
        <v>0.24</v>
      </c>
      <c r="H969">
        <f>Final_Dataset!M940</f>
        <v>0</v>
      </c>
      <c r="I969">
        <f>Final_Dataset!P940</f>
        <v>211</v>
      </c>
      <c r="J969" s="54">
        <f t="shared" si="62"/>
        <v>140.20454545454547</v>
      </c>
      <c r="K969" s="54">
        <f t="shared" si="63"/>
        <v>54.067391000084569</v>
      </c>
      <c r="L969" s="55">
        <f t="shared" si="64"/>
        <v>1.3093928380110629</v>
      </c>
      <c r="M969" t="str">
        <f t="shared" si="65"/>
        <v/>
      </c>
    </row>
    <row r="970" spans="1:13" x14ac:dyDescent="0.2">
      <c r="A970">
        <f>Final_Dataset!A941</f>
        <v>940</v>
      </c>
      <c r="B970" s="53">
        <f>Final_Dataset!B941</f>
        <v>40585</v>
      </c>
      <c r="C970">
        <f>Final_Dataset!F941</f>
        <v>18</v>
      </c>
      <c r="D970" t="str">
        <f>Final_Dataset!T941</f>
        <v>Fri</v>
      </c>
      <c r="E970" t="str">
        <f>Final_Dataset!X941</f>
        <v>Clear</v>
      </c>
      <c r="F970">
        <f>Final_Dataset!J941</f>
        <v>0.28000000000000003</v>
      </c>
      <c r="G970">
        <f>Final_Dataset!L941</f>
        <v>0.28000000000000003</v>
      </c>
      <c r="H970">
        <f>Final_Dataset!M941</f>
        <v>0</v>
      </c>
      <c r="I970">
        <f>Final_Dataset!P941</f>
        <v>174</v>
      </c>
      <c r="J970" s="54">
        <f t="shared" si="62"/>
        <v>122.86046511627907</v>
      </c>
      <c r="K970" s="54">
        <f t="shared" si="63"/>
        <v>48.613432101949947</v>
      </c>
      <c r="L970" s="55">
        <f t="shared" si="64"/>
        <v>1.0519630619058813</v>
      </c>
      <c r="M970" t="str">
        <f t="shared" si="65"/>
        <v/>
      </c>
    </row>
    <row r="971" spans="1:13" x14ac:dyDescent="0.2">
      <c r="A971">
        <f>Final_Dataset!A942</f>
        <v>941</v>
      </c>
      <c r="B971" s="53">
        <f>Final_Dataset!B942</f>
        <v>40585</v>
      </c>
      <c r="C971">
        <f>Final_Dataset!F942</f>
        <v>19</v>
      </c>
      <c r="D971" t="str">
        <f>Final_Dataset!T942</f>
        <v>Fri</v>
      </c>
      <c r="E971" t="str">
        <f>Final_Dataset!X942</f>
        <v>Clear</v>
      </c>
      <c r="F971">
        <f>Final_Dataset!J942</f>
        <v>0.26</v>
      </c>
      <c r="G971">
        <f>Final_Dataset!L942</f>
        <v>0.33</v>
      </c>
      <c r="H971">
        <f>Final_Dataset!M942</f>
        <v>0</v>
      </c>
      <c r="I971">
        <f>Final_Dataset!P942</f>
        <v>101</v>
      </c>
      <c r="J971" s="54">
        <f t="shared" si="62"/>
        <v>85.139534883720927</v>
      </c>
      <c r="K971" s="54">
        <f t="shared" si="63"/>
        <v>31.690904054294759</v>
      </c>
      <c r="L971" s="55">
        <f t="shared" si="64"/>
        <v>0.50047373495896397</v>
      </c>
      <c r="M971" t="str">
        <f t="shared" si="65"/>
        <v/>
      </c>
    </row>
    <row r="972" spans="1:13" x14ac:dyDescent="0.2">
      <c r="A972">
        <f>Final_Dataset!A943</f>
        <v>942</v>
      </c>
      <c r="B972" s="53">
        <f>Final_Dataset!B943</f>
        <v>40585</v>
      </c>
      <c r="C972">
        <f>Final_Dataset!F943</f>
        <v>20</v>
      </c>
      <c r="D972" t="str">
        <f>Final_Dataset!T943</f>
        <v>Fri</v>
      </c>
      <c r="E972" t="str">
        <f>Final_Dataset!X943</f>
        <v>Clear</v>
      </c>
      <c r="F972">
        <f>Final_Dataset!J943</f>
        <v>0.22</v>
      </c>
      <c r="G972">
        <f>Final_Dataset!L943</f>
        <v>0.55000000000000004</v>
      </c>
      <c r="H972">
        <f>Final_Dataset!M943</f>
        <v>0.1343</v>
      </c>
      <c r="I972">
        <f>Final_Dataset!P943</f>
        <v>63</v>
      </c>
      <c r="J972" s="54">
        <f t="shared" si="62"/>
        <v>61.767441860465119</v>
      </c>
      <c r="K972" s="54">
        <f t="shared" si="63"/>
        <v>24.6323801696856</v>
      </c>
      <c r="L972" s="55">
        <f t="shared" si="64"/>
        <v>5.0038125875133913E-2</v>
      </c>
      <c r="M972" t="str">
        <f t="shared" si="65"/>
        <v/>
      </c>
    </row>
    <row r="973" spans="1:13" x14ac:dyDescent="0.2">
      <c r="A973">
        <f>Final_Dataset!A944</f>
        <v>943</v>
      </c>
      <c r="B973" s="53">
        <f>Final_Dataset!B944</f>
        <v>40585</v>
      </c>
      <c r="C973">
        <f>Final_Dataset!F944</f>
        <v>21</v>
      </c>
      <c r="D973" t="str">
        <f>Final_Dataset!T944</f>
        <v>Fri</v>
      </c>
      <c r="E973" t="str">
        <f>Final_Dataset!X944</f>
        <v>Clear</v>
      </c>
      <c r="F973">
        <f>Final_Dataset!J944</f>
        <v>0.2</v>
      </c>
      <c r="G973">
        <f>Final_Dataset!L944</f>
        <v>0.59</v>
      </c>
      <c r="H973">
        <f>Final_Dataset!M944</f>
        <v>0.1343</v>
      </c>
      <c r="I973">
        <f>Final_Dataset!P944</f>
        <v>47</v>
      </c>
      <c r="J973" s="54">
        <f t="shared" si="62"/>
        <v>46.418604651162788</v>
      </c>
      <c r="K973" s="54">
        <f t="shared" si="63"/>
        <v>14.656759464719499</v>
      </c>
      <c r="L973" s="55">
        <f t="shared" si="64"/>
        <v>3.9667386930698927E-2</v>
      </c>
      <c r="M973" t="str">
        <f t="shared" si="65"/>
        <v/>
      </c>
    </row>
    <row r="974" spans="1:13" x14ac:dyDescent="0.2">
      <c r="A974">
        <f>Final_Dataset!A945</f>
        <v>944</v>
      </c>
      <c r="B974" s="53">
        <f>Final_Dataset!B945</f>
        <v>40585</v>
      </c>
      <c r="C974">
        <f>Final_Dataset!F945</f>
        <v>22</v>
      </c>
      <c r="D974" t="str">
        <f>Final_Dataset!T945</f>
        <v>Fri</v>
      </c>
      <c r="E974" t="str">
        <f>Final_Dataset!X945</f>
        <v>Clear</v>
      </c>
      <c r="F974">
        <f>Final_Dataset!J945</f>
        <v>0.2</v>
      </c>
      <c r="G974">
        <f>Final_Dataset!L945</f>
        <v>0.64</v>
      </c>
      <c r="H974">
        <f>Final_Dataset!M945</f>
        <v>8.9599999999999999E-2</v>
      </c>
      <c r="I974">
        <f>Final_Dataset!P945</f>
        <v>43</v>
      </c>
      <c r="J974" s="54">
        <f t="shared" si="62"/>
        <v>35.069767441860463</v>
      </c>
      <c r="K974" s="54">
        <f t="shared" si="63"/>
        <v>11.95506537162667</v>
      </c>
      <c r="L974" s="55">
        <f t="shared" si="64"/>
        <v>0.66333661185664483</v>
      </c>
      <c r="M974" t="str">
        <f t="shared" si="65"/>
        <v/>
      </c>
    </row>
    <row r="975" spans="1:13" x14ac:dyDescent="0.2">
      <c r="A975">
        <f>Final_Dataset!A946</f>
        <v>945</v>
      </c>
      <c r="B975" s="53">
        <f>Final_Dataset!B946</f>
        <v>40585</v>
      </c>
      <c r="C975">
        <f>Final_Dataset!F946</f>
        <v>23</v>
      </c>
      <c r="D975" t="str">
        <f>Final_Dataset!T946</f>
        <v>Fri</v>
      </c>
      <c r="E975" t="str">
        <f>Final_Dataset!X946</f>
        <v>Clear</v>
      </c>
      <c r="F975">
        <f>Final_Dataset!J946</f>
        <v>0.18</v>
      </c>
      <c r="G975">
        <f>Final_Dataset!L946</f>
        <v>0.69</v>
      </c>
      <c r="H975">
        <f>Final_Dataset!M946</f>
        <v>0</v>
      </c>
      <c r="I975">
        <f>Final_Dataset!P946</f>
        <v>53</v>
      </c>
      <c r="J975" s="54">
        <f t="shared" si="62"/>
        <v>25.186046511627907</v>
      </c>
      <c r="K975" s="54">
        <f t="shared" si="63"/>
        <v>11.751911321656186</v>
      </c>
      <c r="L975" s="55">
        <f t="shared" si="64"/>
        <v>2.3667599871279745</v>
      </c>
      <c r="M975" t="str">
        <f t="shared" si="65"/>
        <v/>
      </c>
    </row>
    <row r="976" spans="1:13" x14ac:dyDescent="0.2">
      <c r="A976">
        <f>Final_Dataset!A947</f>
        <v>946</v>
      </c>
      <c r="B976" s="53">
        <f>Final_Dataset!B947</f>
        <v>40586</v>
      </c>
      <c r="C976">
        <f>Final_Dataset!F947</f>
        <v>0</v>
      </c>
      <c r="D976" t="str">
        <f>Final_Dataset!T947</f>
        <v>Sat</v>
      </c>
      <c r="E976" t="str">
        <f>Final_Dataset!X947</f>
        <v>Clear</v>
      </c>
      <c r="F976">
        <f>Final_Dataset!J947</f>
        <v>0.16</v>
      </c>
      <c r="G976">
        <f>Final_Dataset!L947</f>
        <v>0.69</v>
      </c>
      <c r="H976">
        <f>Final_Dataset!M947</f>
        <v>8.9599999999999999E-2</v>
      </c>
      <c r="I976">
        <f>Final_Dataset!P947</f>
        <v>30</v>
      </c>
      <c r="J976" s="54">
        <f t="shared" si="62"/>
        <v>16.348837209302324</v>
      </c>
      <c r="K976" s="54">
        <f t="shared" si="63"/>
        <v>10.442321674276208</v>
      </c>
      <c r="L976" s="55">
        <f t="shared" si="64"/>
        <v>1.3072919238186447</v>
      </c>
      <c r="M976" t="str">
        <f t="shared" si="65"/>
        <v/>
      </c>
    </row>
    <row r="977" spans="1:13" x14ac:dyDescent="0.2">
      <c r="A977">
        <f>Final_Dataset!A948</f>
        <v>947</v>
      </c>
      <c r="B977" s="53">
        <f>Final_Dataset!B948</f>
        <v>40586</v>
      </c>
      <c r="C977">
        <f>Final_Dataset!F948</f>
        <v>1</v>
      </c>
      <c r="D977" t="str">
        <f>Final_Dataset!T948</f>
        <v>Sat</v>
      </c>
      <c r="E977" t="str">
        <f>Final_Dataset!X948</f>
        <v>Clear</v>
      </c>
      <c r="F977">
        <f>Final_Dataset!J948</f>
        <v>0.14000000000000001</v>
      </c>
      <c r="G977">
        <f>Final_Dataset!L948</f>
        <v>0.86</v>
      </c>
      <c r="H977">
        <f>Final_Dataset!M948</f>
        <v>0</v>
      </c>
      <c r="I977">
        <f>Final_Dataset!P948</f>
        <v>24</v>
      </c>
      <c r="J977" s="54">
        <f t="shared" si="62"/>
        <v>10.697674418604651</v>
      </c>
      <c r="K977" s="54">
        <f t="shared" si="63"/>
        <v>10.060613641515801</v>
      </c>
      <c r="L977" s="55">
        <f t="shared" si="64"/>
        <v>1.3222181126708221</v>
      </c>
      <c r="M977" t="str">
        <f t="shared" si="65"/>
        <v/>
      </c>
    </row>
    <row r="978" spans="1:13" x14ac:dyDescent="0.2">
      <c r="A978">
        <f>Final_Dataset!A949</f>
        <v>948</v>
      </c>
      <c r="B978" s="53">
        <f>Final_Dataset!B949</f>
        <v>40586</v>
      </c>
      <c r="C978">
        <f>Final_Dataset!F949</f>
        <v>2</v>
      </c>
      <c r="D978" t="str">
        <f>Final_Dataset!T949</f>
        <v>Sat</v>
      </c>
      <c r="E978" t="str">
        <f>Final_Dataset!X949</f>
        <v>Clear</v>
      </c>
      <c r="F978">
        <f>Final_Dataset!J949</f>
        <v>0.14000000000000001</v>
      </c>
      <c r="G978">
        <f>Final_Dataset!L949</f>
        <v>0.8</v>
      </c>
      <c r="H978">
        <f>Final_Dataset!M949</f>
        <v>0</v>
      </c>
      <c r="I978">
        <f>Final_Dataset!P949</f>
        <v>15</v>
      </c>
      <c r="J978" s="54">
        <f t="shared" si="62"/>
        <v>7.1707317073170733</v>
      </c>
      <c r="K978" s="54">
        <f t="shared" si="63"/>
        <v>7.3685223723090862</v>
      </c>
      <c r="L978" s="55">
        <f t="shared" si="64"/>
        <v>1.0625289436733374</v>
      </c>
      <c r="M978" t="str">
        <f t="shared" si="65"/>
        <v/>
      </c>
    </row>
    <row r="979" spans="1:13" x14ac:dyDescent="0.2">
      <c r="A979">
        <f>Final_Dataset!A950</f>
        <v>949</v>
      </c>
      <c r="B979" s="53">
        <f>Final_Dataset!B950</f>
        <v>40586</v>
      </c>
      <c r="C979">
        <f>Final_Dataset!F950</f>
        <v>3</v>
      </c>
      <c r="D979" t="str">
        <f>Final_Dataset!T950</f>
        <v>Sat</v>
      </c>
      <c r="E979" t="str">
        <f>Final_Dataset!X950</f>
        <v>Clear</v>
      </c>
      <c r="F979">
        <f>Final_Dataset!J950</f>
        <v>0.12</v>
      </c>
      <c r="G979">
        <f>Final_Dataset!L950</f>
        <v>0.8</v>
      </c>
      <c r="H979">
        <f>Final_Dataset!M950</f>
        <v>0</v>
      </c>
      <c r="I979">
        <f>Final_Dataset!P950</f>
        <v>10</v>
      </c>
      <c r="J979" s="54">
        <f t="shared" si="62"/>
        <v>4.870967741935484</v>
      </c>
      <c r="K979" s="54">
        <f t="shared" si="63"/>
        <v>4.4702120418303126</v>
      </c>
      <c r="L979" s="55">
        <f t="shared" si="64"/>
        <v>1.1473800817655289</v>
      </c>
      <c r="M979" t="str">
        <f t="shared" si="65"/>
        <v/>
      </c>
    </row>
    <row r="980" spans="1:13" x14ac:dyDescent="0.2">
      <c r="A980">
        <f>Final_Dataset!A951</f>
        <v>950</v>
      </c>
      <c r="B980" s="53">
        <f>Final_Dataset!B951</f>
        <v>40586</v>
      </c>
      <c r="C980">
        <f>Final_Dataset!F951</f>
        <v>4</v>
      </c>
      <c r="D980" t="str">
        <f>Final_Dataset!T951</f>
        <v>Sat</v>
      </c>
      <c r="E980" t="str">
        <f>Final_Dataset!X951</f>
        <v>Clear</v>
      </c>
      <c r="F980">
        <f>Final_Dataset!J951</f>
        <v>0.12</v>
      </c>
      <c r="G980">
        <f>Final_Dataset!L951</f>
        <v>0.74</v>
      </c>
      <c r="H980">
        <f>Final_Dataset!M951</f>
        <v>8.9599999999999999E-2</v>
      </c>
      <c r="I980">
        <f>Final_Dataset!P951</f>
        <v>4</v>
      </c>
      <c r="J980" s="54">
        <f t="shared" si="62"/>
        <v>2.15625</v>
      </c>
      <c r="K980" s="54">
        <f t="shared" si="63"/>
        <v>1.5263148747143209</v>
      </c>
      <c r="L980" s="55">
        <f t="shared" si="64"/>
        <v>1.2079748619006896</v>
      </c>
      <c r="M980" t="str">
        <f t="shared" si="65"/>
        <v/>
      </c>
    </row>
    <row r="981" spans="1:13" x14ac:dyDescent="0.2">
      <c r="A981">
        <f>Final_Dataset!A952</f>
        <v>951</v>
      </c>
      <c r="B981" s="53">
        <f>Final_Dataset!B952</f>
        <v>40586</v>
      </c>
      <c r="C981">
        <f>Final_Dataset!F952</f>
        <v>5</v>
      </c>
      <c r="D981" t="str">
        <f>Final_Dataset!T952</f>
        <v>Sat</v>
      </c>
      <c r="E981" t="str">
        <f>Final_Dataset!X952</f>
        <v>Clear</v>
      </c>
      <c r="F981">
        <f>Final_Dataset!J952</f>
        <v>0.12</v>
      </c>
      <c r="G981">
        <f>Final_Dataset!L952</f>
        <v>0.74</v>
      </c>
      <c r="H981">
        <f>Final_Dataset!M952</f>
        <v>8.9599999999999999E-2</v>
      </c>
      <c r="I981">
        <f>Final_Dataset!P952</f>
        <v>1</v>
      </c>
      <c r="J981" s="54">
        <f t="shared" si="62"/>
        <v>4.2051282051282053</v>
      </c>
      <c r="K981" s="54">
        <f t="shared" si="63"/>
        <v>2.5358429220352288</v>
      </c>
      <c r="L981" s="55">
        <f t="shared" si="64"/>
        <v>-1.2639301027982515</v>
      </c>
      <c r="M981" t="str">
        <f t="shared" si="65"/>
        <v/>
      </c>
    </row>
    <row r="982" spans="1:13" x14ac:dyDescent="0.2">
      <c r="A982">
        <f>Final_Dataset!A953</f>
        <v>952</v>
      </c>
      <c r="B982" s="53">
        <f>Final_Dataset!B953</f>
        <v>40586</v>
      </c>
      <c r="C982">
        <f>Final_Dataset!F953</f>
        <v>6</v>
      </c>
      <c r="D982" t="str">
        <f>Final_Dataset!T953</f>
        <v>Sat</v>
      </c>
      <c r="E982" t="str">
        <f>Final_Dataset!X953</f>
        <v>Clear</v>
      </c>
      <c r="F982">
        <f>Final_Dataset!J953</f>
        <v>0.12</v>
      </c>
      <c r="G982">
        <f>Final_Dataset!L953</f>
        <v>0.93</v>
      </c>
      <c r="H982">
        <f>Final_Dataset!M953</f>
        <v>0.19400000000000001</v>
      </c>
      <c r="I982">
        <f>Final_Dataset!P953</f>
        <v>2</v>
      </c>
      <c r="J982" s="54">
        <f t="shared" si="62"/>
        <v>19.571428571428573</v>
      </c>
      <c r="K982" s="54">
        <f t="shared" si="63"/>
        <v>14.202615453298934</v>
      </c>
      <c r="L982" s="55">
        <f t="shared" si="64"/>
        <v>-1.2371966719233494</v>
      </c>
      <c r="M982" t="str">
        <f t="shared" si="65"/>
        <v/>
      </c>
    </row>
    <row r="983" spans="1:13" x14ac:dyDescent="0.2">
      <c r="A983">
        <f>Final_Dataset!A954</f>
        <v>953</v>
      </c>
      <c r="B983" s="53">
        <f>Final_Dataset!B954</f>
        <v>40586</v>
      </c>
      <c r="C983">
        <f>Final_Dataset!F954</f>
        <v>7</v>
      </c>
      <c r="D983" t="str">
        <f>Final_Dataset!T954</f>
        <v>Sat</v>
      </c>
      <c r="E983" t="str">
        <f>Final_Dataset!X954</f>
        <v>Clear</v>
      </c>
      <c r="F983">
        <f>Final_Dataset!J954</f>
        <v>0.12</v>
      </c>
      <c r="G983">
        <f>Final_Dataset!L954</f>
        <v>0.8</v>
      </c>
      <c r="H983">
        <f>Final_Dataset!M954</f>
        <v>0.1045</v>
      </c>
      <c r="I983">
        <f>Final_Dataset!P954</f>
        <v>11</v>
      </c>
      <c r="J983" s="54">
        <f t="shared" si="62"/>
        <v>54.395348837209305</v>
      </c>
      <c r="K983" s="54">
        <f t="shared" si="63"/>
        <v>39.112864486352777</v>
      </c>
      <c r="L983" s="55">
        <f t="shared" si="64"/>
        <v>-1.1094904299926887</v>
      </c>
      <c r="M983" t="str">
        <f t="shared" si="65"/>
        <v/>
      </c>
    </row>
    <row r="984" spans="1:13" x14ac:dyDescent="0.2">
      <c r="A984">
        <f>Final_Dataset!A955</f>
        <v>954</v>
      </c>
      <c r="B984" s="53">
        <f>Final_Dataset!B955</f>
        <v>40586</v>
      </c>
      <c r="C984">
        <f>Final_Dataset!F955</f>
        <v>8</v>
      </c>
      <c r="D984" t="str">
        <f>Final_Dataset!T955</f>
        <v>Sat</v>
      </c>
      <c r="E984" t="str">
        <f>Final_Dataset!X955</f>
        <v>Clear</v>
      </c>
      <c r="F984">
        <f>Final_Dataset!J955</f>
        <v>0.14000000000000001</v>
      </c>
      <c r="G984">
        <f>Final_Dataset!L955</f>
        <v>0.86</v>
      </c>
      <c r="H984">
        <f>Final_Dataset!M955</f>
        <v>0.1343</v>
      </c>
      <c r="I984">
        <f>Final_Dataset!P955</f>
        <v>30</v>
      </c>
      <c r="J984" s="54">
        <f t="shared" si="62"/>
        <v>128.28571428571428</v>
      </c>
      <c r="K984" s="54">
        <f t="shared" si="63"/>
        <v>88.551565717048533</v>
      </c>
      <c r="L984" s="55">
        <f t="shared" si="64"/>
        <v>-1.1099263292505699</v>
      </c>
      <c r="M984" t="str">
        <f t="shared" si="65"/>
        <v/>
      </c>
    </row>
    <row r="985" spans="1:13" x14ac:dyDescent="0.2">
      <c r="A985">
        <f>Final_Dataset!A956</f>
        <v>955</v>
      </c>
      <c r="B985" s="53">
        <f>Final_Dataset!B956</f>
        <v>40586</v>
      </c>
      <c r="C985">
        <f>Final_Dataset!F956</f>
        <v>9</v>
      </c>
      <c r="D985" t="str">
        <f>Final_Dataset!T956</f>
        <v>Sat</v>
      </c>
      <c r="E985" t="str">
        <f>Final_Dataset!X956</f>
        <v>Clear</v>
      </c>
      <c r="F985">
        <f>Final_Dataset!J956</f>
        <v>0.16</v>
      </c>
      <c r="G985">
        <f>Final_Dataset!L956</f>
        <v>0.64</v>
      </c>
      <c r="H985">
        <f>Final_Dataset!M956</f>
        <v>0.1343</v>
      </c>
      <c r="I985">
        <f>Final_Dataset!P956</f>
        <v>43</v>
      </c>
      <c r="J985" s="54">
        <f t="shared" si="62"/>
        <v>87.428571428571431</v>
      </c>
      <c r="K985" s="54">
        <f t="shared" si="63"/>
        <v>45.93852884078624</v>
      </c>
      <c r="L985" s="55">
        <f t="shared" si="64"/>
        <v>-0.96713091493530368</v>
      </c>
      <c r="M985" t="str">
        <f t="shared" si="65"/>
        <v/>
      </c>
    </row>
    <row r="986" spans="1:13" x14ac:dyDescent="0.2">
      <c r="A986">
        <f>Final_Dataset!A957</f>
        <v>956</v>
      </c>
      <c r="B986" s="53">
        <f>Final_Dataset!B957</f>
        <v>40586</v>
      </c>
      <c r="C986">
        <f>Final_Dataset!F957</f>
        <v>10</v>
      </c>
      <c r="D986" t="str">
        <f>Final_Dataset!T957</f>
        <v>Sat</v>
      </c>
      <c r="E986" t="str">
        <f>Final_Dataset!X957</f>
        <v>Clear</v>
      </c>
      <c r="F986">
        <f>Final_Dataset!J957</f>
        <v>0.22</v>
      </c>
      <c r="G986">
        <f>Final_Dataset!L957</f>
        <v>0.41</v>
      </c>
      <c r="H986">
        <f>Final_Dataset!M957</f>
        <v>0.25369999999999998</v>
      </c>
      <c r="I986">
        <f>Final_Dataset!P957</f>
        <v>84</v>
      </c>
      <c r="J986" s="54">
        <f t="shared" si="62"/>
        <v>53.642857142857146</v>
      </c>
      <c r="K986" s="54">
        <f t="shared" si="63"/>
        <v>15.395313554536934</v>
      </c>
      <c r="L986" s="55">
        <f t="shared" si="64"/>
        <v>1.9718431033966652</v>
      </c>
      <c r="M986" t="str">
        <f t="shared" si="65"/>
        <v/>
      </c>
    </row>
    <row r="987" spans="1:13" x14ac:dyDescent="0.2">
      <c r="A987">
        <f>Final_Dataset!A958</f>
        <v>957</v>
      </c>
      <c r="B987" s="53">
        <f>Final_Dataset!B958</f>
        <v>40586</v>
      </c>
      <c r="C987">
        <f>Final_Dataset!F958</f>
        <v>11</v>
      </c>
      <c r="D987" t="str">
        <f>Final_Dataset!T958</f>
        <v>Sat</v>
      </c>
      <c r="E987" t="str">
        <f>Final_Dataset!X958</f>
        <v>Clear</v>
      </c>
      <c r="F987">
        <f>Final_Dataset!J958</f>
        <v>0.3</v>
      </c>
      <c r="G987">
        <f>Final_Dataset!L958</f>
        <v>0.28000000000000003</v>
      </c>
      <c r="H987">
        <f>Final_Dataset!M958</f>
        <v>0.32840000000000003</v>
      </c>
      <c r="I987">
        <f>Final_Dataset!P958</f>
        <v>114</v>
      </c>
      <c r="J987" s="54">
        <f t="shared" si="62"/>
        <v>59.38095238095238</v>
      </c>
      <c r="K987" s="54">
        <f t="shared" si="63"/>
        <v>20.89573696860419</v>
      </c>
      <c r="L987" s="55">
        <f t="shared" si="64"/>
        <v>2.6138847220900918</v>
      </c>
      <c r="M987" t="str">
        <f t="shared" si="65"/>
        <v/>
      </c>
    </row>
    <row r="988" spans="1:13" x14ac:dyDescent="0.2">
      <c r="A988">
        <f>Final_Dataset!A959</f>
        <v>958</v>
      </c>
      <c r="B988" s="53">
        <f>Final_Dataset!B959</f>
        <v>40586</v>
      </c>
      <c r="C988">
        <f>Final_Dataset!F959</f>
        <v>12</v>
      </c>
      <c r="D988" t="str">
        <f>Final_Dataset!T959</f>
        <v>Sat</v>
      </c>
      <c r="E988" t="str">
        <f>Final_Dataset!X959</f>
        <v>Clear</v>
      </c>
      <c r="F988">
        <f>Final_Dataset!J959</f>
        <v>0.3</v>
      </c>
      <c r="G988">
        <f>Final_Dataset!L959</f>
        <v>0.39</v>
      </c>
      <c r="H988">
        <f>Final_Dataset!M959</f>
        <v>0.4627</v>
      </c>
      <c r="I988">
        <f>Final_Dataset!P959</f>
        <v>120</v>
      </c>
      <c r="J988" s="54">
        <f t="shared" si="62"/>
        <v>76.348837209302332</v>
      </c>
      <c r="K988" s="54">
        <f t="shared" si="63"/>
        <v>29.034366927857057</v>
      </c>
      <c r="L988" s="55">
        <f t="shared" si="64"/>
        <v>1.5034308445284719</v>
      </c>
      <c r="M988" t="str">
        <f t="shared" si="65"/>
        <v/>
      </c>
    </row>
    <row r="989" spans="1:13" x14ac:dyDescent="0.2">
      <c r="A989">
        <f>Final_Dataset!A960</f>
        <v>959</v>
      </c>
      <c r="B989" s="53">
        <f>Final_Dataset!B960</f>
        <v>40586</v>
      </c>
      <c r="C989">
        <f>Final_Dataset!F960</f>
        <v>13</v>
      </c>
      <c r="D989" t="str">
        <f>Final_Dataset!T960</f>
        <v>Sat</v>
      </c>
      <c r="E989" t="str">
        <f>Final_Dataset!X960</f>
        <v>Clear</v>
      </c>
      <c r="F989">
        <f>Final_Dataset!J960</f>
        <v>0.3</v>
      </c>
      <c r="G989">
        <f>Final_Dataset!L960</f>
        <v>0.39</v>
      </c>
      <c r="H989">
        <f>Final_Dataset!M960</f>
        <v>0.41789999999999999</v>
      </c>
      <c r="I989">
        <f>Final_Dataset!P960</f>
        <v>135</v>
      </c>
      <c r="J989" s="54">
        <f t="shared" si="62"/>
        <v>78.511627906976742</v>
      </c>
      <c r="K989" s="54">
        <f t="shared" si="63"/>
        <v>30.072430098825173</v>
      </c>
      <c r="L989" s="55">
        <f t="shared" si="64"/>
        <v>1.8784106208706448</v>
      </c>
      <c r="M989" t="str">
        <f t="shared" si="65"/>
        <v/>
      </c>
    </row>
    <row r="990" spans="1:13" x14ac:dyDescent="0.2">
      <c r="A990">
        <f>Final_Dataset!A961</f>
        <v>960</v>
      </c>
      <c r="B990" s="53">
        <f>Final_Dataset!B961</f>
        <v>40586</v>
      </c>
      <c r="C990">
        <f>Final_Dataset!F961</f>
        <v>14</v>
      </c>
      <c r="D990" t="str">
        <f>Final_Dataset!T961</f>
        <v>Sat</v>
      </c>
      <c r="E990" t="str">
        <f>Final_Dataset!X961</f>
        <v>Clear</v>
      </c>
      <c r="F990">
        <f>Final_Dataset!J961</f>
        <v>0.34</v>
      </c>
      <c r="G990">
        <f>Final_Dataset!L961</f>
        <v>0.31</v>
      </c>
      <c r="H990">
        <f>Final_Dataset!M961</f>
        <v>0.28360000000000002</v>
      </c>
      <c r="I990">
        <f>Final_Dataset!P961</f>
        <v>120</v>
      </c>
      <c r="J990" s="54">
        <f t="shared" si="62"/>
        <v>74.418604651162795</v>
      </c>
      <c r="K990" s="54">
        <f t="shared" si="63"/>
        <v>30.305769180565147</v>
      </c>
      <c r="L990" s="55">
        <f t="shared" si="64"/>
        <v>1.5040501060130886</v>
      </c>
      <c r="M990" t="str">
        <f t="shared" si="65"/>
        <v/>
      </c>
    </row>
    <row r="991" spans="1:13" x14ac:dyDescent="0.2">
      <c r="A991">
        <f>Final_Dataset!A962</f>
        <v>961</v>
      </c>
      <c r="B991" s="53">
        <f>Final_Dataset!B962</f>
        <v>40586</v>
      </c>
      <c r="C991">
        <f>Final_Dataset!F962</f>
        <v>15</v>
      </c>
      <c r="D991" t="str">
        <f>Final_Dataset!T962</f>
        <v>Sat</v>
      </c>
      <c r="E991" t="str">
        <f>Final_Dataset!X962</f>
        <v>Clear</v>
      </c>
      <c r="F991">
        <f>Final_Dataset!J962</f>
        <v>0.34</v>
      </c>
      <c r="G991">
        <f>Final_Dataset!L962</f>
        <v>0.28999999999999998</v>
      </c>
      <c r="H991">
        <f>Final_Dataset!M962</f>
        <v>0.41789999999999999</v>
      </c>
      <c r="I991">
        <f>Final_Dataset!P962</f>
        <v>174</v>
      </c>
      <c r="J991" s="54">
        <f t="shared" ref="J991:J1030" si="66">INDEX($F$5:$F$28,MATCH(C991,$D$5:$D$28,0))</f>
        <v>77.95348837209302</v>
      </c>
      <c r="K991" s="54">
        <f t="shared" ref="K991:K1030" si="67">INDEX($G$5:$G$28,MATCH(C991,$D$5:$D$28,0))</f>
        <v>34.481156681772681</v>
      </c>
      <c r="L991" s="55">
        <f t="shared" ref="L991:L1030" si="68">IF(K991=0,0,(I991-J991)/K991)</f>
        <v>2.7854782400231595</v>
      </c>
      <c r="M991" t="str">
        <f t="shared" ref="M991:M1030" si="69">IF(ABS(L991)&gt;=$B$4,IF(L991&gt;0,"High","Low"),"")</f>
        <v/>
      </c>
    </row>
    <row r="992" spans="1:13" x14ac:dyDescent="0.2">
      <c r="A992">
        <f>Final_Dataset!A963</f>
        <v>962</v>
      </c>
      <c r="B992" s="53">
        <f>Final_Dataset!B963</f>
        <v>40586</v>
      </c>
      <c r="C992">
        <f>Final_Dataset!F963</f>
        <v>16</v>
      </c>
      <c r="D992" t="str">
        <f>Final_Dataset!T963</f>
        <v>Sat</v>
      </c>
      <c r="E992" t="str">
        <f>Final_Dataset!X963</f>
        <v>Clear</v>
      </c>
      <c r="F992">
        <f>Final_Dataset!J963</f>
        <v>0.34</v>
      </c>
      <c r="G992">
        <f>Final_Dataset!L963</f>
        <v>0.28999999999999998</v>
      </c>
      <c r="H992">
        <f>Final_Dataset!M963</f>
        <v>0.41789999999999999</v>
      </c>
      <c r="I992">
        <f>Final_Dataset!P963</f>
        <v>145</v>
      </c>
      <c r="J992" s="54">
        <f t="shared" si="66"/>
        <v>89.272727272727266</v>
      </c>
      <c r="K992" s="54">
        <f t="shared" si="67"/>
        <v>25.461657115880747</v>
      </c>
      <c r="L992" s="55">
        <f t="shared" si="68"/>
        <v>2.1886742278260809</v>
      </c>
      <c r="M992" t="str">
        <f t="shared" si="69"/>
        <v/>
      </c>
    </row>
    <row r="993" spans="1:13" x14ac:dyDescent="0.2">
      <c r="A993">
        <f>Final_Dataset!A964</f>
        <v>963</v>
      </c>
      <c r="B993" s="53">
        <f>Final_Dataset!B964</f>
        <v>40586</v>
      </c>
      <c r="C993">
        <f>Final_Dataset!F964</f>
        <v>17</v>
      </c>
      <c r="D993" t="str">
        <f>Final_Dataset!T964</f>
        <v>Sat</v>
      </c>
      <c r="E993" t="str">
        <f>Final_Dataset!X964</f>
        <v>Clear</v>
      </c>
      <c r="F993">
        <f>Final_Dataset!J964</f>
        <v>0.32</v>
      </c>
      <c r="G993">
        <f>Final_Dataset!L964</f>
        <v>0.31</v>
      </c>
      <c r="H993">
        <f>Final_Dataset!M964</f>
        <v>0.52239999999999998</v>
      </c>
      <c r="I993">
        <f>Final_Dataset!P964</f>
        <v>137</v>
      </c>
      <c r="J993" s="54">
        <f t="shared" si="66"/>
        <v>140.20454545454547</v>
      </c>
      <c r="K993" s="54">
        <f t="shared" si="67"/>
        <v>54.067391000084569</v>
      </c>
      <c r="L993" s="55">
        <f t="shared" si="68"/>
        <v>-5.9269467145926368E-2</v>
      </c>
      <c r="M993" t="str">
        <f t="shared" si="69"/>
        <v/>
      </c>
    </row>
    <row r="994" spans="1:13" x14ac:dyDescent="0.2">
      <c r="A994">
        <f>Final_Dataset!A965</f>
        <v>964</v>
      </c>
      <c r="B994" s="53">
        <f>Final_Dataset!B965</f>
        <v>40586</v>
      </c>
      <c r="C994">
        <f>Final_Dataset!F965</f>
        <v>18</v>
      </c>
      <c r="D994" t="str">
        <f>Final_Dataset!T965</f>
        <v>Sat</v>
      </c>
      <c r="E994" t="str">
        <f>Final_Dataset!X965</f>
        <v>Clear</v>
      </c>
      <c r="F994">
        <f>Final_Dataset!J965</f>
        <v>0.28000000000000003</v>
      </c>
      <c r="G994">
        <f>Final_Dataset!L965</f>
        <v>0.38</v>
      </c>
      <c r="H994">
        <f>Final_Dataset!M965</f>
        <v>0.32840000000000003</v>
      </c>
      <c r="I994">
        <f>Final_Dataset!P965</f>
        <v>64</v>
      </c>
      <c r="J994" s="54">
        <f t="shared" si="66"/>
        <v>122.86046511627907</v>
      </c>
      <c r="K994" s="54">
        <f t="shared" si="67"/>
        <v>48.613432101949947</v>
      </c>
      <c r="L994" s="55">
        <f t="shared" si="68"/>
        <v>-1.2107860435124083</v>
      </c>
      <c r="M994" t="str">
        <f t="shared" si="69"/>
        <v/>
      </c>
    </row>
    <row r="995" spans="1:13" x14ac:dyDescent="0.2">
      <c r="A995">
        <f>Final_Dataset!A966</f>
        <v>965</v>
      </c>
      <c r="B995" s="53">
        <f>Final_Dataset!B966</f>
        <v>40586</v>
      </c>
      <c r="C995">
        <f>Final_Dataset!F966</f>
        <v>19</v>
      </c>
      <c r="D995" t="str">
        <f>Final_Dataset!T966</f>
        <v>Sat</v>
      </c>
      <c r="E995" t="str">
        <f>Final_Dataset!X966</f>
        <v>Clear</v>
      </c>
      <c r="F995">
        <f>Final_Dataset!J966</f>
        <v>0.28000000000000003</v>
      </c>
      <c r="G995">
        <f>Final_Dataset!L966</f>
        <v>0.38</v>
      </c>
      <c r="H995">
        <f>Final_Dataset!M966</f>
        <v>0.16420000000000001</v>
      </c>
      <c r="I995">
        <f>Final_Dataset!P966</f>
        <v>41</v>
      </c>
      <c r="J995" s="54">
        <f t="shared" si="66"/>
        <v>85.139534883720927</v>
      </c>
      <c r="K995" s="54">
        <f t="shared" si="67"/>
        <v>31.690904054294759</v>
      </c>
      <c r="L995" s="55">
        <f t="shared" si="68"/>
        <v>-1.3928140013960608</v>
      </c>
      <c r="M995" t="str">
        <f t="shared" si="69"/>
        <v/>
      </c>
    </row>
    <row r="996" spans="1:13" x14ac:dyDescent="0.2">
      <c r="A996">
        <f>Final_Dataset!A967</f>
        <v>966</v>
      </c>
      <c r="B996" s="53">
        <f>Final_Dataset!B967</f>
        <v>40586</v>
      </c>
      <c r="C996">
        <f>Final_Dataset!F967</f>
        <v>20</v>
      </c>
      <c r="D996" t="str">
        <f>Final_Dataset!T967</f>
        <v>Sat</v>
      </c>
      <c r="E996" t="str">
        <f>Final_Dataset!X967</f>
        <v>Clear</v>
      </c>
      <c r="F996">
        <f>Final_Dataset!J967</f>
        <v>0.26</v>
      </c>
      <c r="G996">
        <f>Final_Dataset!L967</f>
        <v>0.41</v>
      </c>
      <c r="H996">
        <f>Final_Dataset!M967</f>
        <v>0.22389999999999999</v>
      </c>
      <c r="I996">
        <f>Final_Dataset!P967</f>
        <v>40</v>
      </c>
      <c r="J996" s="54">
        <f t="shared" si="66"/>
        <v>61.767441860465119</v>
      </c>
      <c r="K996" s="54">
        <f t="shared" si="67"/>
        <v>24.6323801696856</v>
      </c>
      <c r="L996" s="55">
        <f t="shared" si="68"/>
        <v>-0.88369218526651827</v>
      </c>
      <c r="M996" t="str">
        <f t="shared" si="69"/>
        <v/>
      </c>
    </row>
    <row r="997" spans="1:13" x14ac:dyDescent="0.2">
      <c r="A997">
        <f>Final_Dataset!A968</f>
        <v>967</v>
      </c>
      <c r="B997" s="53">
        <f>Final_Dataset!B968</f>
        <v>40586</v>
      </c>
      <c r="C997">
        <f>Final_Dataset!F968</f>
        <v>21</v>
      </c>
      <c r="D997" t="str">
        <f>Final_Dataset!T968</f>
        <v>Sat</v>
      </c>
      <c r="E997" t="str">
        <f>Final_Dataset!X968</f>
        <v>Clear</v>
      </c>
      <c r="F997">
        <f>Final_Dataset!J968</f>
        <v>0.26</v>
      </c>
      <c r="G997">
        <f>Final_Dataset!L968</f>
        <v>0.41</v>
      </c>
      <c r="H997">
        <f>Final_Dataset!M968</f>
        <v>0</v>
      </c>
      <c r="I997">
        <f>Final_Dataset!P968</f>
        <v>51</v>
      </c>
      <c r="J997" s="54">
        <f t="shared" si="66"/>
        <v>46.418604651162788</v>
      </c>
      <c r="K997" s="54">
        <f t="shared" si="67"/>
        <v>14.656759464719499</v>
      </c>
      <c r="L997" s="55">
        <f t="shared" si="68"/>
        <v>0.31257900901390623</v>
      </c>
      <c r="M997" t="str">
        <f t="shared" si="69"/>
        <v/>
      </c>
    </row>
    <row r="998" spans="1:13" x14ac:dyDescent="0.2">
      <c r="A998">
        <f>Final_Dataset!A969</f>
        <v>968</v>
      </c>
      <c r="B998" s="53">
        <f>Final_Dataset!B969</f>
        <v>40586</v>
      </c>
      <c r="C998">
        <f>Final_Dataset!F969</f>
        <v>22</v>
      </c>
      <c r="D998" t="str">
        <f>Final_Dataset!T969</f>
        <v>Sat</v>
      </c>
      <c r="E998" t="str">
        <f>Final_Dataset!X969</f>
        <v>Clear</v>
      </c>
      <c r="F998">
        <f>Final_Dataset!J969</f>
        <v>0.24</v>
      </c>
      <c r="G998">
        <f>Final_Dataset!L969</f>
        <v>0.44</v>
      </c>
      <c r="H998">
        <f>Final_Dataset!M969</f>
        <v>8.9599999999999999E-2</v>
      </c>
      <c r="I998">
        <f>Final_Dataset!P969</f>
        <v>45</v>
      </c>
      <c r="J998" s="54">
        <f t="shared" si="66"/>
        <v>35.069767441860463</v>
      </c>
      <c r="K998" s="54">
        <f t="shared" si="67"/>
        <v>11.95506537162667</v>
      </c>
      <c r="L998" s="55">
        <f t="shared" si="68"/>
        <v>0.83062971631315941</v>
      </c>
      <c r="M998" t="str">
        <f t="shared" si="69"/>
        <v/>
      </c>
    </row>
    <row r="999" spans="1:13" x14ac:dyDescent="0.2">
      <c r="A999">
        <f>Final_Dataset!A970</f>
        <v>969</v>
      </c>
      <c r="B999" s="53">
        <f>Final_Dataset!B970</f>
        <v>40586</v>
      </c>
      <c r="C999">
        <f>Final_Dataset!F970</f>
        <v>23</v>
      </c>
      <c r="D999" t="str">
        <f>Final_Dataset!T970</f>
        <v>Sat</v>
      </c>
      <c r="E999" t="str">
        <f>Final_Dataset!X970</f>
        <v>Clear</v>
      </c>
      <c r="F999">
        <f>Final_Dataset!J970</f>
        <v>0.22</v>
      </c>
      <c r="G999">
        <f>Final_Dataset!L970</f>
        <v>0.51</v>
      </c>
      <c r="H999">
        <f>Final_Dataset!M970</f>
        <v>0.1343</v>
      </c>
      <c r="I999">
        <f>Final_Dataset!P970</f>
        <v>32</v>
      </c>
      <c r="J999" s="54">
        <f t="shared" si="66"/>
        <v>25.186046511627907</v>
      </c>
      <c r="K999" s="54">
        <f t="shared" si="67"/>
        <v>11.751911321656186</v>
      </c>
      <c r="L999" s="55">
        <f t="shared" si="68"/>
        <v>0.57981661892014758</v>
      </c>
      <c r="M999" t="str">
        <f t="shared" si="69"/>
        <v/>
      </c>
    </row>
    <row r="1000" spans="1:13" x14ac:dyDescent="0.2">
      <c r="A1000">
        <f>Final_Dataset!A971</f>
        <v>970</v>
      </c>
      <c r="B1000" s="53">
        <f>Final_Dataset!B971</f>
        <v>40587</v>
      </c>
      <c r="C1000">
        <f>Final_Dataset!F971</f>
        <v>0</v>
      </c>
      <c r="D1000" t="str">
        <f>Final_Dataset!T971</f>
        <v>Sun</v>
      </c>
      <c r="E1000" t="str">
        <f>Final_Dataset!X971</f>
        <v>Clear</v>
      </c>
      <c r="F1000">
        <f>Final_Dataset!J971</f>
        <v>0.2</v>
      </c>
      <c r="G1000">
        <f>Final_Dataset!L971</f>
        <v>0.64</v>
      </c>
      <c r="H1000">
        <f>Final_Dataset!M971</f>
        <v>0.1045</v>
      </c>
      <c r="I1000">
        <f>Final_Dataset!P971</f>
        <v>39</v>
      </c>
      <c r="J1000" s="54">
        <f t="shared" si="66"/>
        <v>16.348837209302324</v>
      </c>
      <c r="K1000" s="54">
        <f t="shared" si="67"/>
        <v>10.442321674276208</v>
      </c>
      <c r="L1000" s="55">
        <f t="shared" si="68"/>
        <v>2.1691692228268482</v>
      </c>
      <c r="M1000" t="str">
        <f t="shared" si="69"/>
        <v/>
      </c>
    </row>
    <row r="1001" spans="1:13" x14ac:dyDescent="0.2">
      <c r="A1001">
        <f>Final_Dataset!A972</f>
        <v>971</v>
      </c>
      <c r="B1001" s="53">
        <f>Final_Dataset!B972</f>
        <v>40587</v>
      </c>
      <c r="C1001">
        <f>Final_Dataset!F972</f>
        <v>1</v>
      </c>
      <c r="D1001" t="str">
        <f>Final_Dataset!T972</f>
        <v>Sun</v>
      </c>
      <c r="E1001" t="str">
        <f>Final_Dataset!X972</f>
        <v>Clear</v>
      </c>
      <c r="F1001">
        <f>Final_Dataset!J972</f>
        <v>0.2</v>
      </c>
      <c r="G1001">
        <f>Final_Dataset!L972</f>
        <v>0.59</v>
      </c>
      <c r="H1001">
        <f>Final_Dataset!M972</f>
        <v>8.9599999999999999E-2</v>
      </c>
      <c r="I1001">
        <f>Final_Dataset!P972</f>
        <v>24</v>
      </c>
      <c r="J1001" s="54">
        <f t="shared" si="66"/>
        <v>10.697674418604651</v>
      </c>
      <c r="K1001" s="54">
        <f t="shared" si="67"/>
        <v>10.060613641515801</v>
      </c>
      <c r="L1001" s="55">
        <f t="shared" si="68"/>
        <v>1.3222181126708221</v>
      </c>
      <c r="M1001" t="str">
        <f t="shared" si="69"/>
        <v/>
      </c>
    </row>
    <row r="1002" spans="1:13" x14ac:dyDescent="0.2">
      <c r="A1002">
        <f>Final_Dataset!A973</f>
        <v>972</v>
      </c>
      <c r="B1002" s="53">
        <f>Final_Dataset!B973</f>
        <v>40587</v>
      </c>
      <c r="C1002">
        <f>Final_Dataset!F973</f>
        <v>2</v>
      </c>
      <c r="D1002" t="str">
        <f>Final_Dataset!T973</f>
        <v>Sun</v>
      </c>
      <c r="E1002" t="str">
        <f>Final_Dataset!X973</f>
        <v>Cloudy/Mist</v>
      </c>
      <c r="F1002">
        <f>Final_Dataset!J973</f>
        <v>0.2</v>
      </c>
      <c r="G1002">
        <f>Final_Dataset!L973</f>
        <v>0.75</v>
      </c>
      <c r="H1002">
        <f>Final_Dataset!M973</f>
        <v>8.9599999999999999E-2</v>
      </c>
      <c r="I1002">
        <f>Final_Dataset!P973</f>
        <v>20</v>
      </c>
      <c r="J1002" s="54">
        <f t="shared" si="66"/>
        <v>7.1707317073170733</v>
      </c>
      <c r="K1002" s="54">
        <f t="shared" si="67"/>
        <v>7.3685223723090862</v>
      </c>
      <c r="L1002" s="55">
        <f t="shared" si="68"/>
        <v>1.7410910416578671</v>
      </c>
      <c r="M1002" t="str">
        <f t="shared" si="69"/>
        <v/>
      </c>
    </row>
    <row r="1003" spans="1:13" x14ac:dyDescent="0.2">
      <c r="A1003">
        <f>Final_Dataset!A974</f>
        <v>973</v>
      </c>
      <c r="B1003" s="53">
        <f>Final_Dataset!B974</f>
        <v>40587</v>
      </c>
      <c r="C1003">
        <f>Final_Dataset!F974</f>
        <v>3</v>
      </c>
      <c r="D1003" t="str">
        <f>Final_Dataset!T974</f>
        <v>Sun</v>
      </c>
      <c r="E1003" t="str">
        <f>Final_Dataset!X974</f>
        <v>Cloudy/Mist</v>
      </c>
      <c r="F1003">
        <f>Final_Dataset!J974</f>
        <v>0.2</v>
      </c>
      <c r="G1003">
        <f>Final_Dataset!L974</f>
        <v>0.69</v>
      </c>
      <c r="H1003">
        <f>Final_Dataset!M974</f>
        <v>0.1045</v>
      </c>
      <c r="I1003">
        <f>Final_Dataset!P974</f>
        <v>12</v>
      </c>
      <c r="J1003" s="54">
        <f t="shared" si="66"/>
        <v>4.870967741935484</v>
      </c>
      <c r="K1003" s="54">
        <f t="shared" si="67"/>
        <v>4.4702120418303126</v>
      </c>
      <c r="L1003" s="55">
        <f t="shared" si="68"/>
        <v>1.5947861513847919</v>
      </c>
      <c r="M1003" t="str">
        <f t="shared" si="69"/>
        <v/>
      </c>
    </row>
    <row r="1004" spans="1:13" x14ac:dyDescent="0.2">
      <c r="A1004">
        <f>Final_Dataset!A975</f>
        <v>974</v>
      </c>
      <c r="B1004" s="53">
        <f>Final_Dataset!B975</f>
        <v>40587</v>
      </c>
      <c r="C1004">
        <f>Final_Dataset!F975</f>
        <v>4</v>
      </c>
      <c r="D1004" t="str">
        <f>Final_Dataset!T975</f>
        <v>Sun</v>
      </c>
      <c r="E1004" t="str">
        <f>Final_Dataset!X975</f>
        <v>Cloudy/Mist</v>
      </c>
      <c r="F1004">
        <f>Final_Dataset!J975</f>
        <v>0.2</v>
      </c>
      <c r="G1004">
        <f>Final_Dataset!L975</f>
        <v>0.69</v>
      </c>
      <c r="H1004">
        <f>Final_Dataset!M975</f>
        <v>0.16420000000000001</v>
      </c>
      <c r="I1004">
        <f>Final_Dataset!P975</f>
        <v>2</v>
      </c>
      <c r="J1004" s="54">
        <f t="shared" si="66"/>
        <v>2.15625</v>
      </c>
      <c r="K1004" s="54">
        <f t="shared" si="67"/>
        <v>1.5263148747143209</v>
      </c>
      <c r="L1004" s="55">
        <f t="shared" si="68"/>
        <v>-0.102370751008533</v>
      </c>
      <c r="M1004" t="str">
        <f t="shared" si="69"/>
        <v/>
      </c>
    </row>
    <row r="1005" spans="1:13" x14ac:dyDescent="0.2">
      <c r="A1005">
        <f>Final_Dataset!A976</f>
        <v>975</v>
      </c>
      <c r="B1005" s="53">
        <f>Final_Dataset!B976</f>
        <v>40587</v>
      </c>
      <c r="C1005">
        <f>Final_Dataset!F976</f>
        <v>6</v>
      </c>
      <c r="D1005" t="str">
        <f>Final_Dataset!T976</f>
        <v>Sun</v>
      </c>
      <c r="E1005" t="str">
        <f>Final_Dataset!X976</f>
        <v>Cloudy/Mist</v>
      </c>
      <c r="F1005">
        <f>Final_Dataset!J976</f>
        <v>0.2</v>
      </c>
      <c r="G1005">
        <f>Final_Dataset!L976</f>
        <v>0.69</v>
      </c>
      <c r="H1005">
        <f>Final_Dataset!M976</f>
        <v>0.1343</v>
      </c>
      <c r="I1005">
        <f>Final_Dataset!P976</f>
        <v>5</v>
      </c>
      <c r="J1005" s="54">
        <f t="shared" si="66"/>
        <v>19.571428571428573</v>
      </c>
      <c r="K1005" s="54">
        <f t="shared" si="67"/>
        <v>14.202615453298934</v>
      </c>
      <c r="L1005" s="55">
        <f t="shared" si="68"/>
        <v>-1.025967971838875</v>
      </c>
      <c r="M1005" t="str">
        <f t="shared" si="69"/>
        <v/>
      </c>
    </row>
    <row r="1006" spans="1:13" x14ac:dyDescent="0.2">
      <c r="A1006">
        <f>Final_Dataset!A977</f>
        <v>976</v>
      </c>
      <c r="B1006" s="53">
        <f>Final_Dataset!B977</f>
        <v>40587</v>
      </c>
      <c r="C1006">
        <f>Final_Dataset!F977</f>
        <v>7</v>
      </c>
      <c r="D1006" t="str">
        <f>Final_Dataset!T977</f>
        <v>Sun</v>
      </c>
      <c r="E1006" t="str">
        <f>Final_Dataset!X977</f>
        <v>Cloudy/Mist</v>
      </c>
      <c r="F1006">
        <f>Final_Dataset!J977</f>
        <v>0.22</v>
      </c>
      <c r="G1006">
        <f>Final_Dataset!L977</f>
        <v>0.55000000000000004</v>
      </c>
      <c r="H1006">
        <f>Final_Dataset!M977</f>
        <v>0</v>
      </c>
      <c r="I1006">
        <f>Final_Dataset!P977</f>
        <v>3</v>
      </c>
      <c r="J1006" s="54">
        <f t="shared" si="66"/>
        <v>54.395348837209305</v>
      </c>
      <c r="K1006" s="54">
        <f t="shared" si="67"/>
        <v>39.112864486352777</v>
      </c>
      <c r="L1006" s="55">
        <f t="shared" si="68"/>
        <v>-1.3140267150502905</v>
      </c>
      <c r="M1006" t="str">
        <f t="shared" si="69"/>
        <v/>
      </c>
    </row>
    <row r="1007" spans="1:13" x14ac:dyDescent="0.2">
      <c r="A1007">
        <f>Final_Dataset!A978</f>
        <v>977</v>
      </c>
      <c r="B1007" s="53">
        <f>Final_Dataset!B978</f>
        <v>40587</v>
      </c>
      <c r="C1007">
        <f>Final_Dataset!F978</f>
        <v>8</v>
      </c>
      <c r="D1007" t="str">
        <f>Final_Dataset!T978</f>
        <v>Sun</v>
      </c>
      <c r="E1007" t="str">
        <f>Final_Dataset!X978</f>
        <v>Cloudy/Mist</v>
      </c>
      <c r="F1007">
        <f>Final_Dataset!J978</f>
        <v>0.22</v>
      </c>
      <c r="G1007">
        <f>Final_Dataset!L978</f>
        <v>0.64</v>
      </c>
      <c r="H1007">
        <f>Final_Dataset!M978</f>
        <v>0.19400000000000001</v>
      </c>
      <c r="I1007">
        <f>Final_Dataset!P978</f>
        <v>12</v>
      </c>
      <c r="J1007" s="54">
        <f t="shared" si="66"/>
        <v>128.28571428571428</v>
      </c>
      <c r="K1007" s="54">
        <f t="shared" si="67"/>
        <v>88.551565717048533</v>
      </c>
      <c r="L1007" s="55">
        <f t="shared" si="68"/>
        <v>-1.3131977209447148</v>
      </c>
      <c r="M1007" t="str">
        <f t="shared" si="69"/>
        <v/>
      </c>
    </row>
    <row r="1008" spans="1:13" x14ac:dyDescent="0.2">
      <c r="A1008">
        <f>Final_Dataset!A979</f>
        <v>978</v>
      </c>
      <c r="B1008" s="53">
        <f>Final_Dataset!B979</f>
        <v>40587</v>
      </c>
      <c r="C1008">
        <f>Final_Dataset!F979</f>
        <v>9</v>
      </c>
      <c r="D1008" t="str">
        <f>Final_Dataset!T979</f>
        <v>Sun</v>
      </c>
      <c r="E1008" t="str">
        <f>Final_Dataset!X979</f>
        <v>Cloudy/Mist</v>
      </c>
      <c r="F1008">
        <f>Final_Dataset!J979</f>
        <v>0.24</v>
      </c>
      <c r="G1008">
        <f>Final_Dataset!L979</f>
        <v>0.6</v>
      </c>
      <c r="H1008">
        <f>Final_Dataset!M979</f>
        <v>0.22389999999999999</v>
      </c>
      <c r="I1008">
        <f>Final_Dataset!P979</f>
        <v>47</v>
      </c>
      <c r="J1008" s="54">
        <f t="shared" si="66"/>
        <v>87.428571428571431</v>
      </c>
      <c r="K1008" s="54">
        <f t="shared" si="67"/>
        <v>45.93852884078624</v>
      </c>
      <c r="L1008" s="55">
        <f t="shared" si="68"/>
        <v>-0.88005803513405445</v>
      </c>
      <c r="M1008" t="str">
        <f t="shared" si="69"/>
        <v/>
      </c>
    </row>
    <row r="1009" spans="1:13" x14ac:dyDescent="0.2">
      <c r="A1009">
        <f>Final_Dataset!A980</f>
        <v>979</v>
      </c>
      <c r="B1009" s="53">
        <f>Final_Dataset!B980</f>
        <v>40587</v>
      </c>
      <c r="C1009">
        <f>Final_Dataset!F980</f>
        <v>10</v>
      </c>
      <c r="D1009" t="str">
        <f>Final_Dataset!T980</f>
        <v>Sun</v>
      </c>
      <c r="E1009" t="str">
        <f>Final_Dataset!X980</f>
        <v>Clear</v>
      </c>
      <c r="F1009">
        <f>Final_Dataset!J980</f>
        <v>0.3</v>
      </c>
      <c r="G1009">
        <f>Final_Dataset!L980</f>
        <v>0.45</v>
      </c>
      <c r="H1009">
        <f>Final_Dataset!M980</f>
        <v>0.32840000000000003</v>
      </c>
      <c r="I1009">
        <f>Final_Dataset!P980</f>
        <v>105</v>
      </c>
      <c r="J1009" s="54">
        <f t="shared" si="66"/>
        <v>53.642857142857146</v>
      </c>
      <c r="K1009" s="54">
        <f t="shared" si="67"/>
        <v>15.395313554536934</v>
      </c>
      <c r="L1009" s="55">
        <f t="shared" si="68"/>
        <v>3.3358945678640057</v>
      </c>
      <c r="M1009" t="str">
        <f t="shared" si="69"/>
        <v>High</v>
      </c>
    </row>
    <row r="1010" spans="1:13" x14ac:dyDescent="0.2">
      <c r="A1010">
        <f>Final_Dataset!A981</f>
        <v>980</v>
      </c>
      <c r="B1010" s="53">
        <f>Final_Dataset!B981</f>
        <v>40587</v>
      </c>
      <c r="C1010">
        <f>Final_Dataset!F981</f>
        <v>11</v>
      </c>
      <c r="D1010" t="str">
        <f>Final_Dataset!T981</f>
        <v>Sun</v>
      </c>
      <c r="E1010" t="str">
        <f>Final_Dataset!X981</f>
        <v>Clear</v>
      </c>
      <c r="F1010">
        <f>Final_Dataset!J981</f>
        <v>0.32</v>
      </c>
      <c r="G1010">
        <f>Final_Dataset!L981</f>
        <v>0.39</v>
      </c>
      <c r="H1010">
        <f>Final_Dataset!M981</f>
        <v>0.44779999999999998</v>
      </c>
      <c r="I1010">
        <f>Final_Dataset!P981</f>
        <v>112</v>
      </c>
      <c r="J1010" s="54">
        <f t="shared" si="66"/>
        <v>59.38095238095238</v>
      </c>
      <c r="K1010" s="54">
        <f t="shared" si="67"/>
        <v>20.89573696860419</v>
      </c>
      <c r="L1010" s="55">
        <f t="shared" si="68"/>
        <v>2.5181714192759821</v>
      </c>
      <c r="M1010" t="str">
        <f t="shared" si="69"/>
        <v/>
      </c>
    </row>
    <row r="1011" spans="1:13" x14ac:dyDescent="0.2">
      <c r="A1011">
        <f>Final_Dataset!A982</f>
        <v>981</v>
      </c>
      <c r="B1011" s="53">
        <f>Final_Dataset!B982</f>
        <v>40587</v>
      </c>
      <c r="C1011">
        <f>Final_Dataset!F982</f>
        <v>12</v>
      </c>
      <c r="D1011" t="str">
        <f>Final_Dataset!T982</f>
        <v>Sun</v>
      </c>
      <c r="E1011" t="str">
        <f>Final_Dataset!X982</f>
        <v>Clear</v>
      </c>
      <c r="F1011">
        <f>Final_Dataset!J982</f>
        <v>0.36</v>
      </c>
      <c r="G1011">
        <f>Final_Dataset!L982</f>
        <v>0.32</v>
      </c>
      <c r="H1011">
        <f>Final_Dataset!M982</f>
        <v>0.4627</v>
      </c>
      <c r="I1011">
        <f>Final_Dataset!P982</f>
        <v>152</v>
      </c>
      <c r="J1011" s="54">
        <f t="shared" si="66"/>
        <v>76.348837209302332</v>
      </c>
      <c r="K1011" s="54">
        <f t="shared" si="67"/>
        <v>29.034366927857057</v>
      </c>
      <c r="L1011" s="55">
        <f t="shared" si="68"/>
        <v>2.6055730086580282</v>
      </c>
      <c r="M1011" t="str">
        <f t="shared" si="69"/>
        <v/>
      </c>
    </row>
    <row r="1012" spans="1:13" x14ac:dyDescent="0.2">
      <c r="A1012">
        <f>Final_Dataset!A983</f>
        <v>982</v>
      </c>
      <c r="B1012" s="53">
        <f>Final_Dataset!B983</f>
        <v>40587</v>
      </c>
      <c r="C1012">
        <f>Final_Dataset!F983</f>
        <v>13</v>
      </c>
      <c r="D1012" t="str">
        <f>Final_Dataset!T983</f>
        <v>Sun</v>
      </c>
      <c r="E1012" t="str">
        <f>Final_Dataset!X983</f>
        <v>Clear</v>
      </c>
      <c r="F1012">
        <f>Final_Dataset!J983</f>
        <v>0.38</v>
      </c>
      <c r="G1012">
        <f>Final_Dataset!L983</f>
        <v>0.28999999999999998</v>
      </c>
      <c r="H1012">
        <f>Final_Dataset!M983</f>
        <v>0.35820000000000002</v>
      </c>
      <c r="I1012">
        <f>Final_Dataset!P983</f>
        <v>154</v>
      </c>
      <c r="J1012" s="54">
        <f t="shared" si="66"/>
        <v>78.511627906976742</v>
      </c>
      <c r="K1012" s="54">
        <f t="shared" si="67"/>
        <v>30.072430098825173</v>
      </c>
      <c r="L1012" s="55">
        <f t="shared" si="68"/>
        <v>2.5102185571618416</v>
      </c>
      <c r="M1012" t="str">
        <f t="shared" si="69"/>
        <v/>
      </c>
    </row>
    <row r="1013" spans="1:13" x14ac:dyDescent="0.2">
      <c r="A1013">
        <f>Final_Dataset!A984</f>
        <v>983</v>
      </c>
      <c r="B1013" s="53">
        <f>Final_Dataset!B984</f>
        <v>40587</v>
      </c>
      <c r="C1013">
        <f>Final_Dataset!F984</f>
        <v>14</v>
      </c>
      <c r="D1013" t="str">
        <f>Final_Dataset!T984</f>
        <v>Sun</v>
      </c>
      <c r="E1013" t="str">
        <f>Final_Dataset!X984</f>
        <v>Cloudy/Mist</v>
      </c>
      <c r="F1013">
        <f>Final_Dataset!J984</f>
        <v>0.4</v>
      </c>
      <c r="G1013">
        <f>Final_Dataset!L984</f>
        <v>0.3</v>
      </c>
      <c r="H1013">
        <f>Final_Dataset!M984</f>
        <v>0.41789999999999999</v>
      </c>
      <c r="I1013">
        <f>Final_Dataset!P984</f>
        <v>161</v>
      </c>
      <c r="J1013" s="54">
        <f t="shared" si="66"/>
        <v>74.418604651162795</v>
      </c>
      <c r="K1013" s="54">
        <f t="shared" si="67"/>
        <v>30.305769180565147</v>
      </c>
      <c r="L1013" s="55">
        <f t="shared" si="68"/>
        <v>2.8569278289218007</v>
      </c>
      <c r="M1013" t="str">
        <f t="shared" si="69"/>
        <v/>
      </c>
    </row>
    <row r="1014" spans="1:13" x14ac:dyDescent="0.2">
      <c r="A1014">
        <f>Final_Dataset!A985</f>
        <v>984</v>
      </c>
      <c r="B1014" s="53">
        <f>Final_Dataset!B985</f>
        <v>40587</v>
      </c>
      <c r="C1014">
        <f>Final_Dataset!F985</f>
        <v>15</v>
      </c>
      <c r="D1014" t="str">
        <f>Final_Dataset!T985</f>
        <v>Sun</v>
      </c>
      <c r="E1014" t="str">
        <f>Final_Dataset!X985</f>
        <v>Cloudy/Mist</v>
      </c>
      <c r="F1014">
        <f>Final_Dataset!J985</f>
        <v>0.4</v>
      </c>
      <c r="G1014">
        <f>Final_Dataset!L985</f>
        <v>0.3</v>
      </c>
      <c r="H1014">
        <f>Final_Dataset!M985</f>
        <v>0.29849999999999999</v>
      </c>
      <c r="I1014">
        <f>Final_Dataset!P985</f>
        <v>162</v>
      </c>
      <c r="J1014" s="54">
        <f t="shared" si="66"/>
        <v>77.95348837209302</v>
      </c>
      <c r="K1014" s="54">
        <f t="shared" si="67"/>
        <v>34.481156681772681</v>
      </c>
      <c r="L1014" s="55">
        <f t="shared" si="68"/>
        <v>2.4374620725045277</v>
      </c>
      <c r="M1014" t="str">
        <f t="shared" si="69"/>
        <v/>
      </c>
    </row>
    <row r="1015" spans="1:13" x14ac:dyDescent="0.2">
      <c r="A1015">
        <f>Final_Dataset!A986</f>
        <v>985</v>
      </c>
      <c r="B1015" s="53">
        <f>Final_Dataset!B986</f>
        <v>40587</v>
      </c>
      <c r="C1015">
        <f>Final_Dataset!F986</f>
        <v>16</v>
      </c>
      <c r="D1015" t="str">
        <f>Final_Dataset!T986</f>
        <v>Sun</v>
      </c>
      <c r="E1015" t="str">
        <f>Final_Dataset!X986</f>
        <v>Cloudy/Mist</v>
      </c>
      <c r="F1015">
        <f>Final_Dataset!J986</f>
        <v>0.42</v>
      </c>
      <c r="G1015">
        <f>Final_Dataset!L986</f>
        <v>0.28000000000000003</v>
      </c>
      <c r="H1015">
        <f>Final_Dataset!M986</f>
        <v>0.32840000000000003</v>
      </c>
      <c r="I1015">
        <f>Final_Dataset!P986</f>
        <v>134</v>
      </c>
      <c r="J1015" s="54">
        <f t="shared" si="66"/>
        <v>89.272727272727266</v>
      </c>
      <c r="K1015" s="54">
        <f t="shared" si="67"/>
        <v>25.461657115880747</v>
      </c>
      <c r="L1015" s="55">
        <f t="shared" si="68"/>
        <v>1.7566520719256637</v>
      </c>
      <c r="M1015" t="str">
        <f t="shared" si="69"/>
        <v/>
      </c>
    </row>
    <row r="1016" spans="1:13" x14ac:dyDescent="0.2">
      <c r="A1016">
        <f>Final_Dataset!A987</f>
        <v>986</v>
      </c>
      <c r="B1016" s="53">
        <f>Final_Dataset!B987</f>
        <v>40587</v>
      </c>
      <c r="C1016">
        <f>Final_Dataset!F987</f>
        <v>17</v>
      </c>
      <c r="D1016" t="str">
        <f>Final_Dataset!T987</f>
        <v>Sun</v>
      </c>
      <c r="E1016" t="str">
        <f>Final_Dataset!X987</f>
        <v>Clear</v>
      </c>
      <c r="F1016">
        <f>Final_Dataset!J987</f>
        <v>0.42</v>
      </c>
      <c r="G1016">
        <f>Final_Dataset!L987</f>
        <v>0.28000000000000003</v>
      </c>
      <c r="H1016">
        <f>Final_Dataset!M987</f>
        <v>0.32840000000000003</v>
      </c>
      <c r="I1016">
        <f>Final_Dataset!P987</f>
        <v>125</v>
      </c>
      <c r="J1016" s="54">
        <f t="shared" si="66"/>
        <v>140.20454545454547</v>
      </c>
      <c r="K1016" s="54">
        <f t="shared" si="67"/>
        <v>54.067391000084569</v>
      </c>
      <c r="L1016" s="55">
        <f t="shared" si="68"/>
        <v>-0.28121470582003272</v>
      </c>
      <c r="M1016" t="str">
        <f t="shared" si="69"/>
        <v/>
      </c>
    </row>
    <row r="1017" spans="1:13" x14ac:dyDescent="0.2">
      <c r="A1017">
        <f>Final_Dataset!A988</f>
        <v>987</v>
      </c>
      <c r="B1017" s="53">
        <f>Final_Dataset!B988</f>
        <v>40587</v>
      </c>
      <c r="C1017">
        <f>Final_Dataset!F988</f>
        <v>18</v>
      </c>
      <c r="D1017" t="str">
        <f>Final_Dataset!T988</f>
        <v>Sun</v>
      </c>
      <c r="E1017" t="str">
        <f>Final_Dataset!X988</f>
        <v>Clear</v>
      </c>
      <c r="F1017">
        <f>Final_Dataset!J988</f>
        <v>0.4</v>
      </c>
      <c r="G1017">
        <f>Final_Dataset!L988</f>
        <v>0.32</v>
      </c>
      <c r="H1017">
        <f>Final_Dataset!M988</f>
        <v>0.29849999999999999</v>
      </c>
      <c r="I1017">
        <f>Final_Dataset!P988</f>
        <v>95</v>
      </c>
      <c r="J1017" s="54">
        <f t="shared" si="66"/>
        <v>122.86046511627907</v>
      </c>
      <c r="K1017" s="54">
        <f t="shared" si="67"/>
        <v>48.613432101949947</v>
      </c>
      <c r="L1017" s="55">
        <f t="shared" si="68"/>
        <v>-0.57310220471270845</v>
      </c>
      <c r="M1017" t="str">
        <f t="shared" si="69"/>
        <v/>
      </c>
    </row>
    <row r="1018" spans="1:13" x14ac:dyDescent="0.2">
      <c r="A1018">
        <f>Final_Dataset!A989</f>
        <v>988</v>
      </c>
      <c r="B1018" s="53">
        <f>Final_Dataset!B989</f>
        <v>40587</v>
      </c>
      <c r="C1018">
        <f>Final_Dataset!F989</f>
        <v>19</v>
      </c>
      <c r="D1018" t="str">
        <f>Final_Dataset!T989</f>
        <v>Sun</v>
      </c>
      <c r="E1018" t="str">
        <f>Final_Dataset!X989</f>
        <v>Clear</v>
      </c>
      <c r="F1018">
        <f>Final_Dataset!J989</f>
        <v>0.4</v>
      </c>
      <c r="G1018">
        <f>Final_Dataset!L989</f>
        <v>0.35</v>
      </c>
      <c r="H1018">
        <f>Final_Dataset!M989</f>
        <v>0.28360000000000002</v>
      </c>
      <c r="I1018">
        <f>Final_Dataset!P989</f>
        <v>61</v>
      </c>
      <c r="J1018" s="54">
        <f t="shared" si="66"/>
        <v>85.139534883720927</v>
      </c>
      <c r="K1018" s="54">
        <f t="shared" si="67"/>
        <v>31.690904054294759</v>
      </c>
      <c r="L1018" s="55">
        <f t="shared" si="68"/>
        <v>-0.76171808927771911</v>
      </c>
      <c r="M1018" t="str">
        <f t="shared" si="69"/>
        <v/>
      </c>
    </row>
    <row r="1019" spans="1:13" x14ac:dyDescent="0.2">
      <c r="A1019">
        <f>Final_Dataset!A990</f>
        <v>989</v>
      </c>
      <c r="B1019" s="53">
        <f>Final_Dataset!B990</f>
        <v>40587</v>
      </c>
      <c r="C1019">
        <f>Final_Dataset!F990</f>
        <v>20</v>
      </c>
      <c r="D1019" t="str">
        <f>Final_Dataset!T990</f>
        <v>Sun</v>
      </c>
      <c r="E1019" t="str">
        <f>Final_Dataset!X990</f>
        <v>Clear</v>
      </c>
      <c r="F1019">
        <f>Final_Dataset!J990</f>
        <v>0.4</v>
      </c>
      <c r="G1019">
        <f>Final_Dataset!L990</f>
        <v>0.35</v>
      </c>
      <c r="H1019">
        <f>Final_Dataset!M990</f>
        <v>0.32840000000000003</v>
      </c>
      <c r="I1019">
        <f>Final_Dataset!P990</f>
        <v>47</v>
      </c>
      <c r="J1019" s="54">
        <f t="shared" si="66"/>
        <v>61.767441860465119</v>
      </c>
      <c r="K1019" s="54">
        <f t="shared" si="67"/>
        <v>24.6323801696856</v>
      </c>
      <c r="L1019" s="55">
        <f t="shared" si="68"/>
        <v>-0.59951339491905897</v>
      </c>
      <c r="M1019" t="str">
        <f t="shared" si="69"/>
        <v/>
      </c>
    </row>
    <row r="1020" spans="1:13" x14ac:dyDescent="0.2">
      <c r="A1020">
        <f>Final_Dataset!A991</f>
        <v>990</v>
      </c>
      <c r="B1020" s="53">
        <f>Final_Dataset!B991</f>
        <v>40587</v>
      </c>
      <c r="C1020">
        <f>Final_Dataset!F991</f>
        <v>21</v>
      </c>
      <c r="D1020" t="str">
        <f>Final_Dataset!T991</f>
        <v>Sun</v>
      </c>
      <c r="E1020" t="str">
        <f>Final_Dataset!X991</f>
        <v>Clear</v>
      </c>
      <c r="F1020">
        <f>Final_Dataset!J991</f>
        <v>0.4</v>
      </c>
      <c r="G1020">
        <f>Final_Dataset!L991</f>
        <v>0.35</v>
      </c>
      <c r="H1020">
        <f>Final_Dataset!M991</f>
        <v>0.35820000000000002</v>
      </c>
      <c r="I1020">
        <f>Final_Dataset!P991</f>
        <v>51</v>
      </c>
      <c r="J1020" s="54">
        <f t="shared" si="66"/>
        <v>46.418604651162788</v>
      </c>
      <c r="K1020" s="54">
        <f t="shared" si="67"/>
        <v>14.656759464719499</v>
      </c>
      <c r="L1020" s="55">
        <f t="shared" si="68"/>
        <v>0.31257900901390623</v>
      </c>
      <c r="M1020" t="str">
        <f t="shared" si="69"/>
        <v/>
      </c>
    </row>
    <row r="1021" spans="1:13" x14ac:dyDescent="0.2">
      <c r="A1021">
        <f>Final_Dataset!A992</f>
        <v>991</v>
      </c>
      <c r="B1021" s="53">
        <f>Final_Dataset!B992</f>
        <v>40587</v>
      </c>
      <c r="C1021">
        <f>Final_Dataset!F992</f>
        <v>22</v>
      </c>
      <c r="D1021" t="str">
        <f>Final_Dataset!T992</f>
        <v>Sun</v>
      </c>
      <c r="E1021" t="str">
        <f>Final_Dataset!X992</f>
        <v>Clear</v>
      </c>
      <c r="F1021">
        <f>Final_Dataset!J992</f>
        <v>0.4</v>
      </c>
      <c r="G1021">
        <f>Final_Dataset!L992</f>
        <v>0.35</v>
      </c>
      <c r="H1021">
        <f>Final_Dataset!M992</f>
        <v>0.29849999999999999</v>
      </c>
      <c r="I1021">
        <f>Final_Dataset!P992</f>
        <v>36</v>
      </c>
      <c r="J1021" s="54">
        <f t="shared" si="66"/>
        <v>35.069767441860463</v>
      </c>
      <c r="K1021" s="54">
        <f t="shared" si="67"/>
        <v>11.95506537162667</v>
      </c>
      <c r="L1021" s="55">
        <f t="shared" si="68"/>
        <v>7.7810746258844099E-2</v>
      </c>
      <c r="M1021" t="str">
        <f t="shared" si="69"/>
        <v/>
      </c>
    </row>
    <row r="1022" spans="1:13" x14ac:dyDescent="0.2">
      <c r="A1022">
        <f>Final_Dataset!A993</f>
        <v>992</v>
      </c>
      <c r="B1022" s="53">
        <f>Final_Dataset!B993</f>
        <v>40587</v>
      </c>
      <c r="C1022">
        <f>Final_Dataset!F993</f>
        <v>23</v>
      </c>
      <c r="D1022" t="str">
        <f>Final_Dataset!T993</f>
        <v>Sun</v>
      </c>
      <c r="E1022" t="str">
        <f>Final_Dataset!X993</f>
        <v>Clear</v>
      </c>
      <c r="F1022">
        <f>Final_Dataset!J993</f>
        <v>0.4</v>
      </c>
      <c r="G1022">
        <f>Final_Dataset!L993</f>
        <v>0.35</v>
      </c>
      <c r="H1022">
        <f>Final_Dataset!M993</f>
        <v>0.35820000000000002</v>
      </c>
      <c r="I1022">
        <f>Final_Dataset!P993</f>
        <v>30</v>
      </c>
      <c r="J1022" s="54">
        <f t="shared" si="66"/>
        <v>25.186046511627907</v>
      </c>
      <c r="K1022" s="54">
        <f t="shared" si="67"/>
        <v>11.751911321656186</v>
      </c>
      <c r="L1022" s="55">
        <f t="shared" si="68"/>
        <v>0.40963153623368787</v>
      </c>
      <c r="M1022" t="str">
        <f t="shared" si="69"/>
        <v/>
      </c>
    </row>
    <row r="1023" spans="1:13" x14ac:dyDescent="0.2">
      <c r="A1023">
        <f>Final_Dataset!A994</f>
        <v>993</v>
      </c>
      <c r="B1023" s="53">
        <f>Final_Dataset!B994</f>
        <v>40588</v>
      </c>
      <c r="C1023">
        <f>Final_Dataset!F994</f>
        <v>0</v>
      </c>
      <c r="D1023" t="str">
        <f>Final_Dataset!T994</f>
        <v>Mon</v>
      </c>
      <c r="E1023" t="str">
        <f>Final_Dataset!X994</f>
        <v>Clear</v>
      </c>
      <c r="F1023">
        <f>Final_Dataset!J994</f>
        <v>0.38</v>
      </c>
      <c r="G1023">
        <f>Final_Dataset!L994</f>
        <v>0.37</v>
      </c>
      <c r="H1023">
        <f>Final_Dataset!M994</f>
        <v>0.35820000000000002</v>
      </c>
      <c r="I1023">
        <f>Final_Dataset!P994</f>
        <v>11</v>
      </c>
      <c r="J1023" s="54">
        <f t="shared" si="66"/>
        <v>16.348837209302324</v>
      </c>
      <c r="K1023" s="54">
        <f t="shared" si="67"/>
        <v>10.442321674276208</v>
      </c>
      <c r="L1023" s="55">
        <f t="shared" si="68"/>
        <v>-0.51222681853200713</v>
      </c>
      <c r="M1023" t="str">
        <f t="shared" si="69"/>
        <v/>
      </c>
    </row>
    <row r="1024" spans="1:13" x14ac:dyDescent="0.2">
      <c r="A1024">
        <f>Final_Dataset!A995</f>
        <v>994</v>
      </c>
      <c r="B1024" s="53">
        <f>Final_Dataset!B995</f>
        <v>40588</v>
      </c>
      <c r="C1024">
        <f>Final_Dataset!F995</f>
        <v>1</v>
      </c>
      <c r="D1024" t="str">
        <f>Final_Dataset!T995</f>
        <v>Mon</v>
      </c>
      <c r="E1024" t="str">
        <f>Final_Dataset!X995</f>
        <v>Clear</v>
      </c>
      <c r="F1024">
        <f>Final_Dataset!J995</f>
        <v>0.38</v>
      </c>
      <c r="G1024">
        <f>Final_Dataset!L995</f>
        <v>0.37</v>
      </c>
      <c r="H1024">
        <f>Final_Dataset!M995</f>
        <v>0.35820000000000002</v>
      </c>
      <c r="I1024">
        <f>Final_Dataset!P995</f>
        <v>7</v>
      </c>
      <c r="J1024" s="54">
        <f t="shared" si="66"/>
        <v>10.697674418604651</v>
      </c>
      <c r="K1024" s="54">
        <f t="shared" si="67"/>
        <v>10.060613641515801</v>
      </c>
      <c r="L1024" s="55">
        <f t="shared" si="68"/>
        <v>-0.36753965020045576</v>
      </c>
      <c r="M1024" t="str">
        <f t="shared" si="69"/>
        <v/>
      </c>
    </row>
    <row r="1025" spans="1:13" x14ac:dyDescent="0.2">
      <c r="A1025">
        <f>Final_Dataset!A996</f>
        <v>995</v>
      </c>
      <c r="B1025" s="53">
        <f>Final_Dataset!B996</f>
        <v>40588</v>
      </c>
      <c r="C1025">
        <f>Final_Dataset!F996</f>
        <v>2</v>
      </c>
      <c r="D1025" t="str">
        <f>Final_Dataset!T996</f>
        <v>Mon</v>
      </c>
      <c r="E1025" t="str">
        <f>Final_Dataset!X996</f>
        <v>Clear</v>
      </c>
      <c r="F1025">
        <f>Final_Dataset!J996</f>
        <v>0.36</v>
      </c>
      <c r="G1025">
        <f>Final_Dataset!L996</f>
        <v>0.4</v>
      </c>
      <c r="H1025">
        <f>Final_Dataset!M996</f>
        <v>0.29849999999999999</v>
      </c>
      <c r="I1025">
        <f>Final_Dataset!P996</f>
        <v>2</v>
      </c>
      <c r="J1025" s="54">
        <f t="shared" si="66"/>
        <v>7.1707317073170733</v>
      </c>
      <c r="K1025" s="54">
        <f t="shared" si="67"/>
        <v>7.3685223723090862</v>
      </c>
      <c r="L1025" s="55">
        <f t="shared" si="68"/>
        <v>-0.70173251108644086</v>
      </c>
      <c r="M1025" t="str">
        <f t="shared" si="69"/>
        <v/>
      </c>
    </row>
    <row r="1026" spans="1:13" x14ac:dyDescent="0.2">
      <c r="A1026">
        <f>Final_Dataset!A997</f>
        <v>996</v>
      </c>
      <c r="B1026" s="53">
        <f>Final_Dataset!B997</f>
        <v>40588</v>
      </c>
      <c r="C1026">
        <f>Final_Dataset!F997</f>
        <v>3</v>
      </c>
      <c r="D1026" t="str">
        <f>Final_Dataset!T997</f>
        <v>Mon</v>
      </c>
      <c r="E1026" t="str">
        <f>Final_Dataset!X997</f>
        <v>Clear</v>
      </c>
      <c r="F1026">
        <f>Final_Dataset!J997</f>
        <v>0.34</v>
      </c>
      <c r="G1026">
        <f>Final_Dataset!L997</f>
        <v>0.46</v>
      </c>
      <c r="H1026">
        <f>Final_Dataset!M997</f>
        <v>0.22389999999999999</v>
      </c>
      <c r="I1026">
        <f>Final_Dataset!P997</f>
        <v>2</v>
      </c>
      <c r="J1026" s="54">
        <f t="shared" si="66"/>
        <v>4.870967741935484</v>
      </c>
      <c r="K1026" s="54">
        <f t="shared" si="67"/>
        <v>4.4702120418303126</v>
      </c>
      <c r="L1026" s="55">
        <f t="shared" si="68"/>
        <v>-0.64224419671152255</v>
      </c>
      <c r="M1026" t="str">
        <f t="shared" si="69"/>
        <v/>
      </c>
    </row>
    <row r="1027" spans="1:13" x14ac:dyDescent="0.2">
      <c r="A1027">
        <f>Final_Dataset!A998</f>
        <v>997</v>
      </c>
      <c r="B1027" s="53">
        <f>Final_Dataset!B998</f>
        <v>40588</v>
      </c>
      <c r="C1027">
        <f>Final_Dataset!F998</f>
        <v>4</v>
      </c>
      <c r="D1027" t="str">
        <f>Final_Dataset!T998</f>
        <v>Mon</v>
      </c>
      <c r="E1027" t="str">
        <f>Final_Dataset!X998</f>
        <v>Clear</v>
      </c>
      <c r="F1027">
        <f>Final_Dataset!J998</f>
        <v>0.32</v>
      </c>
      <c r="G1027">
        <f>Final_Dataset!L998</f>
        <v>0.53</v>
      </c>
      <c r="H1027">
        <f>Final_Dataset!M998</f>
        <v>0.28360000000000002</v>
      </c>
      <c r="I1027">
        <f>Final_Dataset!P998</f>
        <v>2</v>
      </c>
      <c r="J1027" s="54">
        <f t="shared" si="66"/>
        <v>2.15625</v>
      </c>
      <c r="K1027" s="54">
        <f t="shared" si="67"/>
        <v>1.5263148747143209</v>
      </c>
      <c r="L1027" s="55">
        <f t="shared" si="68"/>
        <v>-0.102370751008533</v>
      </c>
      <c r="M1027" t="str">
        <f t="shared" si="69"/>
        <v/>
      </c>
    </row>
    <row r="1028" spans="1:13" x14ac:dyDescent="0.2">
      <c r="A1028">
        <f>Final_Dataset!A999</f>
        <v>998</v>
      </c>
      <c r="B1028" s="53">
        <f>Final_Dataset!B999</f>
        <v>40588</v>
      </c>
      <c r="C1028">
        <f>Final_Dataset!F999</f>
        <v>5</v>
      </c>
      <c r="D1028" t="str">
        <f>Final_Dataset!T999</f>
        <v>Mon</v>
      </c>
      <c r="E1028" t="str">
        <f>Final_Dataset!X999</f>
        <v>Clear</v>
      </c>
      <c r="F1028">
        <f>Final_Dataset!J999</f>
        <v>0.32</v>
      </c>
      <c r="G1028">
        <f>Final_Dataset!L999</f>
        <v>0.53</v>
      </c>
      <c r="H1028">
        <f>Final_Dataset!M999</f>
        <v>0.28360000000000002</v>
      </c>
      <c r="I1028">
        <f>Final_Dataset!P999</f>
        <v>3</v>
      </c>
      <c r="J1028" s="54">
        <f t="shared" si="66"/>
        <v>4.2051282051282053</v>
      </c>
      <c r="K1028" s="54">
        <f t="shared" si="67"/>
        <v>2.5358429220352288</v>
      </c>
      <c r="L1028" s="55">
        <f t="shared" si="68"/>
        <v>-0.47523771865214265</v>
      </c>
      <c r="M1028" t="str">
        <f t="shared" si="69"/>
        <v/>
      </c>
    </row>
    <row r="1029" spans="1:13" x14ac:dyDescent="0.2">
      <c r="A1029">
        <f>Final_Dataset!A1000</f>
        <v>999</v>
      </c>
      <c r="B1029" s="53">
        <f>Final_Dataset!B1000</f>
        <v>40588</v>
      </c>
      <c r="C1029">
        <f>Final_Dataset!F1000</f>
        <v>6</v>
      </c>
      <c r="D1029" t="str">
        <f>Final_Dataset!T1000</f>
        <v>Mon</v>
      </c>
      <c r="E1029" t="str">
        <f>Final_Dataset!X1000</f>
        <v>Clear</v>
      </c>
      <c r="F1029">
        <f>Final_Dataset!J1000</f>
        <v>0.34</v>
      </c>
      <c r="G1029">
        <f>Final_Dataset!L1000</f>
        <v>0.46</v>
      </c>
      <c r="H1029">
        <f>Final_Dataset!M1000</f>
        <v>0.29849999999999999</v>
      </c>
      <c r="I1029">
        <f>Final_Dataset!P1000</f>
        <v>26</v>
      </c>
      <c r="J1029" s="54">
        <f t="shared" si="66"/>
        <v>19.571428571428573</v>
      </c>
      <c r="K1029" s="54">
        <f t="shared" si="67"/>
        <v>14.202615453298934</v>
      </c>
      <c r="L1029" s="55">
        <f t="shared" si="68"/>
        <v>0.45263292875244471</v>
      </c>
      <c r="M1029" t="str">
        <f t="shared" si="69"/>
        <v/>
      </c>
    </row>
    <row r="1030" spans="1:13" x14ac:dyDescent="0.2">
      <c r="A1030">
        <f>Final_Dataset!A1001</f>
        <v>1000</v>
      </c>
      <c r="B1030" s="53">
        <f>Final_Dataset!B1001</f>
        <v>40588</v>
      </c>
      <c r="C1030">
        <f>Final_Dataset!F1001</f>
        <v>7</v>
      </c>
      <c r="D1030" t="str">
        <f>Final_Dataset!T1001</f>
        <v>Mon</v>
      </c>
      <c r="E1030" t="str">
        <f>Final_Dataset!X1001</f>
        <v>Clear</v>
      </c>
      <c r="F1030">
        <f>Final_Dataset!J1001</f>
        <v>0.34</v>
      </c>
      <c r="G1030">
        <f>Final_Dataset!L1001</f>
        <v>0.46</v>
      </c>
      <c r="H1030">
        <f>Final_Dataset!M1001</f>
        <v>0.29849999999999999</v>
      </c>
      <c r="I1030">
        <f>Final_Dataset!P1001</f>
        <v>98</v>
      </c>
      <c r="J1030" s="54">
        <f t="shared" si="66"/>
        <v>54.395348837209305</v>
      </c>
      <c r="K1030" s="54">
        <f t="shared" si="67"/>
        <v>39.112864486352777</v>
      </c>
      <c r="L1030" s="55">
        <f t="shared" si="68"/>
        <v>1.1148416700087305</v>
      </c>
      <c r="M1030" t="str">
        <f t="shared" si="69"/>
        <v/>
      </c>
    </row>
  </sheetData>
  <autoFilter ref="A30:M1030" xr:uid="{00000000-0009-0000-0000-000005000000}"/>
  <conditionalFormatting sqref="A31:M1030">
    <cfRule type="expression" dxfId="7" priority="1">
      <formula>$M31&lt;&gt;""</formula>
    </cfRule>
  </conditionalFormatting>
  <pageMargins left="0.75" right="0.75" top="1" bottom="1" header="0.5" footer="0.5"/>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A9D8F"/>
  </sheetPr>
  <dimension ref="A1:F1062"/>
  <sheetViews>
    <sheetView showGridLines="0" workbookViewId="0">
      <pane ySplit="2" topLeftCell="A3" activePane="bottomLeft" state="frozen"/>
      <selection pane="bottomLeft" activeCell="G25" sqref="G25"/>
    </sheetView>
  </sheetViews>
  <sheetFormatPr baseColWidth="10" defaultColWidth="8.83203125" defaultRowHeight="15" x14ac:dyDescent="0.2"/>
  <cols>
    <col min="1" max="1" width="36" customWidth="1"/>
    <col min="2" max="2" width="11" customWidth="1"/>
    <col min="3" max="3" width="13" customWidth="1"/>
    <col min="4" max="4" width="20" customWidth="1"/>
    <col min="5" max="6" width="11" customWidth="1"/>
  </cols>
  <sheetData>
    <row r="1" spans="1:6" ht="20" x14ac:dyDescent="0.2">
      <c r="A1" s="24" t="s">
        <v>243</v>
      </c>
    </row>
    <row r="2" spans="1:6" x14ac:dyDescent="0.2">
      <c r="A2" s="25" t="s">
        <v>244</v>
      </c>
    </row>
    <row r="4" spans="1:6" x14ac:dyDescent="0.2">
      <c r="A4" s="35" t="s">
        <v>245</v>
      </c>
      <c r="B4" s="51">
        <v>24</v>
      </c>
      <c r="D4" s="35" t="s">
        <v>246</v>
      </c>
      <c r="E4" s="46">
        <f>_xlfn.FORECAST.ETS.STAT($C$15:$C$1014,$B$15:$B$1014,1,$B$4,$B$6,$B$7)</f>
        <v>0.9</v>
      </c>
    </row>
    <row r="5" spans="1:6" x14ac:dyDescent="0.2">
      <c r="A5" s="35" t="s">
        <v>247</v>
      </c>
      <c r="B5" s="51">
        <v>0.95</v>
      </c>
      <c r="D5" s="35" t="s">
        <v>248</v>
      </c>
      <c r="E5" s="46">
        <f>_xlfn.FORECAST.ETS.STAT($C$15:$C$1014,$B$15:$B$1014,2,$B$4,$B$6,$B$7)</f>
        <v>1E-3</v>
      </c>
    </row>
    <row r="6" spans="1:6" x14ac:dyDescent="0.2">
      <c r="A6" s="35" t="s">
        <v>249</v>
      </c>
      <c r="B6" s="51">
        <v>1</v>
      </c>
      <c r="D6" s="35" t="s">
        <v>250</v>
      </c>
      <c r="E6" s="46">
        <f>_xlfn.FORECAST.ETS.STAT($C$15:$C$1014,$B$15:$B$1014,3,$B$4,$B$6,$B$7)</f>
        <v>9.9000000000000005E-2</v>
      </c>
    </row>
    <row r="7" spans="1:6" x14ac:dyDescent="0.2">
      <c r="A7" s="35" t="s">
        <v>251</v>
      </c>
      <c r="B7" s="51">
        <v>1</v>
      </c>
      <c r="D7" s="35" t="s">
        <v>252</v>
      </c>
      <c r="E7" s="46">
        <f>_xlfn.FORECAST.ETS.STAT($C$15:$C$1014,$B$15:$B$1014,4,$B$4,$B$6,$B$7)</f>
        <v>0.98020974461253652</v>
      </c>
    </row>
    <row r="8" spans="1:6" x14ac:dyDescent="0.2">
      <c r="D8" s="35" t="s">
        <v>253</v>
      </c>
      <c r="E8" s="46">
        <f>_xlfn.FORECAST.ETS.STAT($C$15:$C$1014,$B$15:$B$1014,5,$B$4,$B$6,$B$7)</f>
        <v>0.49510301973819609</v>
      </c>
    </row>
    <row r="9" spans="1:6" x14ac:dyDescent="0.2">
      <c r="D9" s="35" t="s">
        <v>254</v>
      </c>
      <c r="E9" s="46">
        <f>_xlfn.FORECAST.ETS.STAT($C$15:$C$1014,$B$15:$B$1014,6,$B$4,$B$6,$B$7)</f>
        <v>20.741238196001309</v>
      </c>
    </row>
    <row r="10" spans="1:6" x14ac:dyDescent="0.2">
      <c r="D10" s="35" t="s">
        <v>255</v>
      </c>
      <c r="E10" s="46">
        <f>_xlfn.FORECAST.ETS.STAT($C$15:$C$1014,$B$15:$B$1014,7,$B$4,$B$6,$B$7)</f>
        <v>29.805178951549397</v>
      </c>
    </row>
    <row r="14" spans="1:6" x14ac:dyDescent="0.2">
      <c r="A14" s="29" t="s">
        <v>256</v>
      </c>
      <c r="B14" s="29" t="s">
        <v>257</v>
      </c>
      <c r="C14" s="29" t="s">
        <v>258</v>
      </c>
      <c r="D14" s="29" t="s">
        <v>18</v>
      </c>
      <c r="E14" s="29" t="s">
        <v>259</v>
      </c>
      <c r="F14" s="29" t="s">
        <v>260</v>
      </c>
    </row>
    <row r="15" spans="1:6" x14ac:dyDescent="0.2">
      <c r="A15" s="56">
        <f>Final_Dataset!R2</f>
        <v>40544</v>
      </c>
      <c r="B15">
        <f t="shared" ref="B15:B78" si="0">ROUND((A15-$A$15)*24,0)</f>
        <v>0</v>
      </c>
      <c r="C15">
        <f>Final_Dataset!P2</f>
        <v>16</v>
      </c>
    </row>
    <row r="16" spans="1:6" x14ac:dyDescent="0.2">
      <c r="A16" s="56">
        <f>Final_Dataset!R3</f>
        <v>40544.041666666664</v>
      </c>
      <c r="B16">
        <f t="shared" si="0"/>
        <v>1</v>
      </c>
      <c r="C16">
        <f>Final_Dataset!P3</f>
        <v>40</v>
      </c>
    </row>
    <row r="17" spans="1:3" x14ac:dyDescent="0.2">
      <c r="A17" s="56">
        <f>Final_Dataset!R4</f>
        <v>40544.083333333336</v>
      </c>
      <c r="B17">
        <f t="shared" si="0"/>
        <v>2</v>
      </c>
      <c r="C17">
        <f>Final_Dataset!P4</f>
        <v>32</v>
      </c>
    </row>
    <row r="18" spans="1:3" x14ac:dyDescent="0.2">
      <c r="A18" s="56">
        <f>Final_Dataset!R5</f>
        <v>40544.125</v>
      </c>
      <c r="B18">
        <f t="shared" si="0"/>
        <v>3</v>
      </c>
      <c r="C18">
        <f>Final_Dataset!P5</f>
        <v>13</v>
      </c>
    </row>
    <row r="19" spans="1:3" x14ac:dyDescent="0.2">
      <c r="A19" s="56">
        <f>Final_Dataset!R6</f>
        <v>40544.166666666664</v>
      </c>
      <c r="B19">
        <f t="shared" si="0"/>
        <v>4</v>
      </c>
      <c r="C19">
        <f>Final_Dataset!P6</f>
        <v>1</v>
      </c>
    </row>
    <row r="20" spans="1:3" x14ac:dyDescent="0.2">
      <c r="A20" s="56">
        <f>Final_Dataset!R7</f>
        <v>40544.208333333336</v>
      </c>
      <c r="B20">
        <f t="shared" si="0"/>
        <v>5</v>
      </c>
      <c r="C20">
        <f>Final_Dataset!P7</f>
        <v>1</v>
      </c>
    </row>
    <row r="21" spans="1:3" x14ac:dyDescent="0.2">
      <c r="A21" s="56">
        <f>Final_Dataset!R8</f>
        <v>40544.25</v>
      </c>
      <c r="B21">
        <f t="shared" si="0"/>
        <v>6</v>
      </c>
      <c r="C21">
        <f>Final_Dataset!P8</f>
        <v>2</v>
      </c>
    </row>
    <row r="22" spans="1:3" x14ac:dyDescent="0.2">
      <c r="A22" s="56">
        <f>Final_Dataset!R9</f>
        <v>40544.291666666664</v>
      </c>
      <c r="B22">
        <f t="shared" si="0"/>
        <v>7</v>
      </c>
      <c r="C22">
        <f>Final_Dataset!P9</f>
        <v>3</v>
      </c>
    </row>
    <row r="23" spans="1:3" x14ac:dyDescent="0.2">
      <c r="A23" s="56">
        <f>Final_Dataset!R10</f>
        <v>40544.333333333336</v>
      </c>
      <c r="B23">
        <f t="shared" si="0"/>
        <v>8</v>
      </c>
      <c r="C23">
        <f>Final_Dataset!P10</f>
        <v>8</v>
      </c>
    </row>
    <row r="24" spans="1:3" x14ac:dyDescent="0.2">
      <c r="A24" s="56">
        <f>Final_Dataset!R11</f>
        <v>40544.375</v>
      </c>
      <c r="B24">
        <f t="shared" si="0"/>
        <v>9</v>
      </c>
      <c r="C24">
        <f>Final_Dataset!P11</f>
        <v>14</v>
      </c>
    </row>
    <row r="25" spans="1:3" x14ac:dyDescent="0.2">
      <c r="A25" s="56">
        <f>Final_Dataset!R12</f>
        <v>40544.416666666664</v>
      </c>
      <c r="B25">
        <f t="shared" si="0"/>
        <v>10</v>
      </c>
      <c r="C25">
        <f>Final_Dataset!P12</f>
        <v>36</v>
      </c>
    </row>
    <row r="26" spans="1:3" x14ac:dyDescent="0.2">
      <c r="A26" s="56">
        <f>Final_Dataset!R13</f>
        <v>40544.458333333336</v>
      </c>
      <c r="B26">
        <f t="shared" si="0"/>
        <v>11</v>
      </c>
      <c r="C26">
        <f>Final_Dataset!P13</f>
        <v>56</v>
      </c>
    </row>
    <row r="27" spans="1:3" x14ac:dyDescent="0.2">
      <c r="A27" s="56">
        <f>Final_Dataset!R14</f>
        <v>40544.5</v>
      </c>
      <c r="B27">
        <f t="shared" si="0"/>
        <v>12</v>
      </c>
      <c r="C27">
        <f>Final_Dataset!P14</f>
        <v>84</v>
      </c>
    </row>
    <row r="28" spans="1:3" x14ac:dyDescent="0.2">
      <c r="A28" s="56">
        <f>Final_Dataset!R15</f>
        <v>40544.541666666664</v>
      </c>
      <c r="B28">
        <f t="shared" si="0"/>
        <v>13</v>
      </c>
      <c r="C28">
        <f>Final_Dataset!P15</f>
        <v>94</v>
      </c>
    </row>
    <row r="29" spans="1:3" x14ac:dyDescent="0.2">
      <c r="A29" s="56">
        <f>Final_Dataset!R16</f>
        <v>40544.583333333336</v>
      </c>
      <c r="B29">
        <f t="shared" si="0"/>
        <v>14</v>
      </c>
      <c r="C29">
        <f>Final_Dataset!P16</f>
        <v>106</v>
      </c>
    </row>
    <row r="30" spans="1:3" x14ac:dyDescent="0.2">
      <c r="A30" s="56">
        <f>Final_Dataset!R17</f>
        <v>40544.625</v>
      </c>
      <c r="B30">
        <f t="shared" si="0"/>
        <v>15</v>
      </c>
      <c r="C30">
        <f>Final_Dataset!P17</f>
        <v>110</v>
      </c>
    </row>
    <row r="31" spans="1:3" x14ac:dyDescent="0.2">
      <c r="A31" s="56">
        <f>Final_Dataset!R18</f>
        <v>40544.666666666664</v>
      </c>
      <c r="B31">
        <f t="shared" si="0"/>
        <v>16</v>
      </c>
      <c r="C31">
        <f>Final_Dataset!P18</f>
        <v>93</v>
      </c>
    </row>
    <row r="32" spans="1:3" x14ac:dyDescent="0.2">
      <c r="A32" s="56">
        <f>Final_Dataset!R19</f>
        <v>40544.708333333336</v>
      </c>
      <c r="B32">
        <f t="shared" si="0"/>
        <v>17</v>
      </c>
      <c r="C32">
        <f>Final_Dataset!P19</f>
        <v>67</v>
      </c>
    </row>
    <row r="33" spans="1:3" x14ac:dyDescent="0.2">
      <c r="A33" s="56">
        <f>Final_Dataset!R20</f>
        <v>40544.75</v>
      </c>
      <c r="B33">
        <f t="shared" si="0"/>
        <v>18</v>
      </c>
      <c r="C33">
        <f>Final_Dataset!P20</f>
        <v>35</v>
      </c>
    </row>
    <row r="34" spans="1:3" x14ac:dyDescent="0.2">
      <c r="A34" s="56">
        <f>Final_Dataset!R21</f>
        <v>40544.791666666664</v>
      </c>
      <c r="B34">
        <f t="shared" si="0"/>
        <v>19</v>
      </c>
      <c r="C34">
        <f>Final_Dataset!P21</f>
        <v>37</v>
      </c>
    </row>
    <row r="35" spans="1:3" x14ac:dyDescent="0.2">
      <c r="A35" s="56">
        <f>Final_Dataset!R22</f>
        <v>40544.833333333336</v>
      </c>
      <c r="B35">
        <f t="shared" si="0"/>
        <v>20</v>
      </c>
      <c r="C35">
        <f>Final_Dataset!P22</f>
        <v>36</v>
      </c>
    </row>
    <row r="36" spans="1:3" x14ac:dyDescent="0.2">
      <c r="A36" s="56">
        <f>Final_Dataset!R23</f>
        <v>40544.875</v>
      </c>
      <c r="B36">
        <f t="shared" si="0"/>
        <v>21</v>
      </c>
      <c r="C36">
        <f>Final_Dataset!P23</f>
        <v>34</v>
      </c>
    </row>
    <row r="37" spans="1:3" x14ac:dyDescent="0.2">
      <c r="A37" s="56">
        <f>Final_Dataset!R24</f>
        <v>40544.916666666664</v>
      </c>
      <c r="B37">
        <f t="shared" si="0"/>
        <v>22</v>
      </c>
      <c r="C37">
        <f>Final_Dataset!P24</f>
        <v>28</v>
      </c>
    </row>
    <row r="38" spans="1:3" x14ac:dyDescent="0.2">
      <c r="A38" s="56">
        <f>Final_Dataset!R25</f>
        <v>40544.958333333336</v>
      </c>
      <c r="B38">
        <f t="shared" si="0"/>
        <v>23</v>
      </c>
      <c r="C38">
        <f>Final_Dataset!P25</f>
        <v>39</v>
      </c>
    </row>
    <row r="39" spans="1:3" x14ac:dyDescent="0.2">
      <c r="A39" s="56">
        <f>Final_Dataset!R26</f>
        <v>40545</v>
      </c>
      <c r="B39">
        <f t="shared" si="0"/>
        <v>24</v>
      </c>
      <c r="C39">
        <f>Final_Dataset!P26</f>
        <v>17</v>
      </c>
    </row>
    <row r="40" spans="1:3" x14ac:dyDescent="0.2">
      <c r="A40" s="56">
        <f>Final_Dataset!R27</f>
        <v>40545.041666666664</v>
      </c>
      <c r="B40">
        <f t="shared" si="0"/>
        <v>25</v>
      </c>
      <c r="C40">
        <f>Final_Dataset!P27</f>
        <v>17</v>
      </c>
    </row>
    <row r="41" spans="1:3" x14ac:dyDescent="0.2">
      <c r="A41" s="56">
        <f>Final_Dataset!R28</f>
        <v>40545.083333333336</v>
      </c>
      <c r="B41">
        <f t="shared" si="0"/>
        <v>26</v>
      </c>
      <c r="C41">
        <f>Final_Dataset!P28</f>
        <v>9</v>
      </c>
    </row>
    <row r="42" spans="1:3" x14ac:dyDescent="0.2">
      <c r="A42" s="56">
        <f>Final_Dataset!R29</f>
        <v>40545.125</v>
      </c>
      <c r="B42">
        <f t="shared" si="0"/>
        <v>27</v>
      </c>
      <c r="C42">
        <f>Final_Dataset!P29</f>
        <v>6</v>
      </c>
    </row>
    <row r="43" spans="1:3" x14ac:dyDescent="0.2">
      <c r="A43" s="56">
        <f>Final_Dataset!R30</f>
        <v>40545.166666666664</v>
      </c>
      <c r="B43">
        <f t="shared" si="0"/>
        <v>28</v>
      </c>
      <c r="C43">
        <f>Final_Dataset!P30</f>
        <v>3</v>
      </c>
    </row>
    <row r="44" spans="1:3" x14ac:dyDescent="0.2">
      <c r="A44" s="56">
        <f>Final_Dataset!R31</f>
        <v>40545.25</v>
      </c>
      <c r="B44">
        <f t="shared" si="0"/>
        <v>30</v>
      </c>
      <c r="C44">
        <f>Final_Dataset!P31</f>
        <v>2</v>
      </c>
    </row>
    <row r="45" spans="1:3" x14ac:dyDescent="0.2">
      <c r="A45" s="56">
        <f>Final_Dataset!R32</f>
        <v>40545.291666666664</v>
      </c>
      <c r="B45">
        <f t="shared" si="0"/>
        <v>31</v>
      </c>
      <c r="C45">
        <f>Final_Dataset!P32</f>
        <v>1</v>
      </c>
    </row>
    <row r="46" spans="1:3" x14ac:dyDescent="0.2">
      <c r="A46" s="56">
        <f>Final_Dataset!R33</f>
        <v>40545.333333333336</v>
      </c>
      <c r="B46">
        <f t="shared" si="0"/>
        <v>32</v>
      </c>
      <c r="C46">
        <f>Final_Dataset!P33</f>
        <v>8</v>
      </c>
    </row>
    <row r="47" spans="1:3" x14ac:dyDescent="0.2">
      <c r="A47" s="56">
        <f>Final_Dataset!R34</f>
        <v>40545.375</v>
      </c>
      <c r="B47">
        <f t="shared" si="0"/>
        <v>33</v>
      </c>
      <c r="C47">
        <f>Final_Dataset!P34</f>
        <v>20</v>
      </c>
    </row>
    <row r="48" spans="1:3" x14ac:dyDescent="0.2">
      <c r="A48" s="56">
        <f>Final_Dataset!R35</f>
        <v>40545.416666666664</v>
      </c>
      <c r="B48">
        <f t="shared" si="0"/>
        <v>34</v>
      </c>
      <c r="C48">
        <f>Final_Dataset!P35</f>
        <v>53</v>
      </c>
    </row>
    <row r="49" spans="1:3" x14ac:dyDescent="0.2">
      <c r="A49" s="56">
        <f>Final_Dataset!R36</f>
        <v>40545.458333333336</v>
      </c>
      <c r="B49">
        <f t="shared" si="0"/>
        <v>35</v>
      </c>
      <c r="C49">
        <f>Final_Dataset!P36</f>
        <v>70</v>
      </c>
    </row>
    <row r="50" spans="1:3" x14ac:dyDescent="0.2">
      <c r="A50" s="56">
        <f>Final_Dataset!R37</f>
        <v>40545.5</v>
      </c>
      <c r="B50">
        <f t="shared" si="0"/>
        <v>36</v>
      </c>
      <c r="C50">
        <f>Final_Dataset!P37</f>
        <v>93</v>
      </c>
    </row>
    <row r="51" spans="1:3" x14ac:dyDescent="0.2">
      <c r="A51" s="56">
        <f>Final_Dataset!R38</f>
        <v>40545.541666666664</v>
      </c>
      <c r="B51">
        <f t="shared" si="0"/>
        <v>37</v>
      </c>
      <c r="C51">
        <f>Final_Dataset!P38</f>
        <v>75</v>
      </c>
    </row>
    <row r="52" spans="1:3" x14ac:dyDescent="0.2">
      <c r="A52" s="56">
        <f>Final_Dataset!R39</f>
        <v>40545.583333333336</v>
      </c>
      <c r="B52">
        <f t="shared" si="0"/>
        <v>38</v>
      </c>
      <c r="C52">
        <f>Final_Dataset!P39</f>
        <v>59</v>
      </c>
    </row>
    <row r="53" spans="1:3" x14ac:dyDescent="0.2">
      <c r="A53" s="56">
        <f>Final_Dataset!R40</f>
        <v>40545.625</v>
      </c>
      <c r="B53">
        <f t="shared" si="0"/>
        <v>39</v>
      </c>
      <c r="C53">
        <f>Final_Dataset!P40</f>
        <v>74</v>
      </c>
    </row>
    <row r="54" spans="1:3" x14ac:dyDescent="0.2">
      <c r="A54" s="56">
        <f>Final_Dataset!R41</f>
        <v>40545.666666666664</v>
      </c>
      <c r="B54">
        <f t="shared" si="0"/>
        <v>40</v>
      </c>
      <c r="C54">
        <f>Final_Dataset!P41</f>
        <v>76</v>
      </c>
    </row>
    <row r="55" spans="1:3" x14ac:dyDescent="0.2">
      <c r="A55" s="56">
        <f>Final_Dataset!R42</f>
        <v>40545.708333333336</v>
      </c>
      <c r="B55">
        <f t="shared" si="0"/>
        <v>41</v>
      </c>
      <c r="C55">
        <f>Final_Dataset!P42</f>
        <v>65</v>
      </c>
    </row>
    <row r="56" spans="1:3" x14ac:dyDescent="0.2">
      <c r="A56" s="56">
        <f>Final_Dataset!R43</f>
        <v>40545.75</v>
      </c>
      <c r="B56">
        <f t="shared" si="0"/>
        <v>42</v>
      </c>
      <c r="C56">
        <f>Final_Dataset!P43</f>
        <v>53</v>
      </c>
    </row>
    <row r="57" spans="1:3" x14ac:dyDescent="0.2">
      <c r="A57" s="56">
        <f>Final_Dataset!R44</f>
        <v>40545.791666666664</v>
      </c>
      <c r="B57">
        <f t="shared" si="0"/>
        <v>43</v>
      </c>
      <c r="C57">
        <f>Final_Dataset!P44</f>
        <v>30</v>
      </c>
    </row>
    <row r="58" spans="1:3" x14ac:dyDescent="0.2">
      <c r="A58" s="56">
        <f>Final_Dataset!R45</f>
        <v>40545.833333333336</v>
      </c>
      <c r="B58">
        <f t="shared" si="0"/>
        <v>44</v>
      </c>
      <c r="C58">
        <f>Final_Dataset!P45</f>
        <v>22</v>
      </c>
    </row>
    <row r="59" spans="1:3" x14ac:dyDescent="0.2">
      <c r="A59" s="56">
        <f>Final_Dataset!R46</f>
        <v>40545.875</v>
      </c>
      <c r="B59">
        <f t="shared" si="0"/>
        <v>45</v>
      </c>
      <c r="C59">
        <f>Final_Dataset!P46</f>
        <v>31</v>
      </c>
    </row>
    <row r="60" spans="1:3" x14ac:dyDescent="0.2">
      <c r="A60" s="56">
        <f>Final_Dataset!R47</f>
        <v>40545.916666666664</v>
      </c>
      <c r="B60">
        <f t="shared" si="0"/>
        <v>46</v>
      </c>
      <c r="C60">
        <f>Final_Dataset!P47</f>
        <v>9</v>
      </c>
    </row>
    <row r="61" spans="1:3" x14ac:dyDescent="0.2">
      <c r="A61" s="56">
        <f>Final_Dataset!R48</f>
        <v>40545.958333333336</v>
      </c>
      <c r="B61">
        <f t="shared" si="0"/>
        <v>47</v>
      </c>
      <c r="C61">
        <f>Final_Dataset!P48</f>
        <v>8</v>
      </c>
    </row>
    <row r="62" spans="1:3" x14ac:dyDescent="0.2">
      <c r="A62" s="56">
        <f>Final_Dataset!R49</f>
        <v>40546</v>
      </c>
      <c r="B62">
        <f t="shared" si="0"/>
        <v>48</v>
      </c>
      <c r="C62">
        <f>Final_Dataset!P49</f>
        <v>5</v>
      </c>
    </row>
    <row r="63" spans="1:3" x14ac:dyDescent="0.2">
      <c r="A63" s="56">
        <f>Final_Dataset!R50</f>
        <v>40546.041666666664</v>
      </c>
      <c r="B63">
        <f t="shared" si="0"/>
        <v>49</v>
      </c>
      <c r="C63">
        <f>Final_Dataset!P50</f>
        <v>2</v>
      </c>
    </row>
    <row r="64" spans="1:3" x14ac:dyDescent="0.2">
      <c r="A64" s="56">
        <f>Final_Dataset!R51</f>
        <v>40546.166666666664</v>
      </c>
      <c r="B64">
        <f t="shared" si="0"/>
        <v>52</v>
      </c>
      <c r="C64">
        <f>Final_Dataset!P51</f>
        <v>1</v>
      </c>
    </row>
    <row r="65" spans="1:3" x14ac:dyDescent="0.2">
      <c r="A65" s="56">
        <f>Final_Dataset!R52</f>
        <v>40546.208333333336</v>
      </c>
      <c r="B65">
        <f t="shared" si="0"/>
        <v>53</v>
      </c>
      <c r="C65">
        <f>Final_Dataset!P52</f>
        <v>3</v>
      </c>
    </row>
    <row r="66" spans="1:3" x14ac:dyDescent="0.2">
      <c r="A66" s="56">
        <f>Final_Dataset!R53</f>
        <v>40546.25</v>
      </c>
      <c r="B66">
        <f t="shared" si="0"/>
        <v>54</v>
      </c>
      <c r="C66">
        <f>Final_Dataset!P53</f>
        <v>30</v>
      </c>
    </row>
    <row r="67" spans="1:3" x14ac:dyDescent="0.2">
      <c r="A67" s="56">
        <f>Final_Dataset!R54</f>
        <v>40546.291666666664</v>
      </c>
      <c r="B67">
        <f t="shared" si="0"/>
        <v>55</v>
      </c>
      <c r="C67">
        <f>Final_Dataset!P54</f>
        <v>64</v>
      </c>
    </row>
    <row r="68" spans="1:3" x14ac:dyDescent="0.2">
      <c r="A68" s="56">
        <f>Final_Dataset!R55</f>
        <v>40546.333333333336</v>
      </c>
      <c r="B68">
        <f t="shared" si="0"/>
        <v>56</v>
      </c>
      <c r="C68">
        <f>Final_Dataset!P55</f>
        <v>154</v>
      </c>
    </row>
    <row r="69" spans="1:3" x14ac:dyDescent="0.2">
      <c r="A69" s="56">
        <f>Final_Dataset!R56</f>
        <v>40546.375</v>
      </c>
      <c r="B69">
        <f t="shared" si="0"/>
        <v>57</v>
      </c>
      <c r="C69">
        <f>Final_Dataset!P56</f>
        <v>88</v>
      </c>
    </row>
    <row r="70" spans="1:3" x14ac:dyDescent="0.2">
      <c r="A70" s="56">
        <f>Final_Dataset!R57</f>
        <v>40546.416666666664</v>
      </c>
      <c r="B70">
        <f t="shared" si="0"/>
        <v>58</v>
      </c>
      <c r="C70">
        <f>Final_Dataset!P57</f>
        <v>44</v>
      </c>
    </row>
    <row r="71" spans="1:3" x14ac:dyDescent="0.2">
      <c r="A71" s="56">
        <f>Final_Dataset!R58</f>
        <v>40546.458333333336</v>
      </c>
      <c r="B71">
        <f t="shared" si="0"/>
        <v>59</v>
      </c>
      <c r="C71">
        <f>Final_Dataset!P58</f>
        <v>51</v>
      </c>
    </row>
    <row r="72" spans="1:3" x14ac:dyDescent="0.2">
      <c r="A72" s="56">
        <f>Final_Dataset!R59</f>
        <v>40546.5</v>
      </c>
      <c r="B72">
        <f t="shared" si="0"/>
        <v>60</v>
      </c>
      <c r="C72">
        <f>Final_Dataset!P59</f>
        <v>61</v>
      </c>
    </row>
    <row r="73" spans="1:3" x14ac:dyDescent="0.2">
      <c r="A73" s="56">
        <f>Final_Dataset!R60</f>
        <v>40546.541666666664</v>
      </c>
      <c r="B73">
        <f t="shared" si="0"/>
        <v>61</v>
      </c>
      <c r="C73">
        <f>Final_Dataset!P60</f>
        <v>61</v>
      </c>
    </row>
    <row r="74" spans="1:3" x14ac:dyDescent="0.2">
      <c r="A74" s="56">
        <f>Final_Dataset!R61</f>
        <v>40546.583333333336</v>
      </c>
      <c r="B74">
        <f t="shared" si="0"/>
        <v>62</v>
      </c>
      <c r="C74">
        <f>Final_Dataset!P61</f>
        <v>77</v>
      </c>
    </row>
    <row r="75" spans="1:3" x14ac:dyDescent="0.2">
      <c r="A75" s="56">
        <f>Final_Dataset!R62</f>
        <v>40546.625</v>
      </c>
      <c r="B75">
        <f t="shared" si="0"/>
        <v>63</v>
      </c>
      <c r="C75">
        <f>Final_Dataset!P62</f>
        <v>72</v>
      </c>
    </row>
    <row r="76" spans="1:3" x14ac:dyDescent="0.2">
      <c r="A76" s="56">
        <f>Final_Dataset!R63</f>
        <v>40546.666666666664</v>
      </c>
      <c r="B76">
        <f t="shared" si="0"/>
        <v>64</v>
      </c>
      <c r="C76">
        <f>Final_Dataset!P63</f>
        <v>76</v>
      </c>
    </row>
    <row r="77" spans="1:3" x14ac:dyDescent="0.2">
      <c r="A77" s="56">
        <f>Final_Dataset!R64</f>
        <v>40546.708333333336</v>
      </c>
      <c r="B77">
        <f t="shared" si="0"/>
        <v>65</v>
      </c>
      <c r="C77">
        <f>Final_Dataset!P64</f>
        <v>157</v>
      </c>
    </row>
    <row r="78" spans="1:3" x14ac:dyDescent="0.2">
      <c r="A78" s="56">
        <f>Final_Dataset!R65</f>
        <v>40546.75</v>
      </c>
      <c r="B78">
        <f t="shared" si="0"/>
        <v>66</v>
      </c>
      <c r="C78">
        <f>Final_Dataset!P65</f>
        <v>157</v>
      </c>
    </row>
    <row r="79" spans="1:3" x14ac:dyDescent="0.2">
      <c r="A79" s="56">
        <f>Final_Dataset!R66</f>
        <v>40546.791666666664</v>
      </c>
      <c r="B79">
        <f t="shared" ref="B79:B142" si="1">ROUND((A79-$A$15)*24,0)</f>
        <v>67</v>
      </c>
      <c r="C79">
        <f>Final_Dataset!P66</f>
        <v>110</v>
      </c>
    </row>
    <row r="80" spans="1:3" x14ac:dyDescent="0.2">
      <c r="A80" s="56">
        <f>Final_Dataset!R67</f>
        <v>40546.833333333336</v>
      </c>
      <c r="B80">
        <f t="shared" si="1"/>
        <v>68</v>
      </c>
      <c r="C80">
        <f>Final_Dataset!P67</f>
        <v>52</v>
      </c>
    </row>
    <row r="81" spans="1:3" x14ac:dyDescent="0.2">
      <c r="A81" s="56">
        <f>Final_Dataset!R68</f>
        <v>40546.875</v>
      </c>
      <c r="B81">
        <f t="shared" si="1"/>
        <v>69</v>
      </c>
      <c r="C81">
        <f>Final_Dataset!P68</f>
        <v>52</v>
      </c>
    </row>
    <row r="82" spans="1:3" x14ac:dyDescent="0.2">
      <c r="A82" s="56">
        <f>Final_Dataset!R69</f>
        <v>40546.916666666664</v>
      </c>
      <c r="B82">
        <f t="shared" si="1"/>
        <v>70</v>
      </c>
      <c r="C82">
        <f>Final_Dataset!P69</f>
        <v>20</v>
      </c>
    </row>
    <row r="83" spans="1:3" x14ac:dyDescent="0.2">
      <c r="A83" s="56">
        <f>Final_Dataset!R70</f>
        <v>40546.958333333336</v>
      </c>
      <c r="B83">
        <f t="shared" si="1"/>
        <v>71</v>
      </c>
      <c r="C83">
        <f>Final_Dataset!P70</f>
        <v>12</v>
      </c>
    </row>
    <row r="84" spans="1:3" x14ac:dyDescent="0.2">
      <c r="A84" s="56">
        <f>Final_Dataset!R71</f>
        <v>40547</v>
      </c>
      <c r="B84">
        <f t="shared" si="1"/>
        <v>72</v>
      </c>
      <c r="C84">
        <f>Final_Dataset!P71</f>
        <v>5</v>
      </c>
    </row>
    <row r="85" spans="1:3" x14ac:dyDescent="0.2">
      <c r="A85" s="56">
        <f>Final_Dataset!R72</f>
        <v>40547.041666666664</v>
      </c>
      <c r="B85">
        <f t="shared" si="1"/>
        <v>73</v>
      </c>
      <c r="C85">
        <f>Final_Dataset!P72</f>
        <v>2</v>
      </c>
    </row>
    <row r="86" spans="1:3" x14ac:dyDescent="0.2">
      <c r="A86" s="56">
        <f>Final_Dataset!R73</f>
        <v>40547.083333333336</v>
      </c>
      <c r="B86">
        <f t="shared" si="1"/>
        <v>74</v>
      </c>
      <c r="C86">
        <f>Final_Dataset!P73</f>
        <v>1</v>
      </c>
    </row>
    <row r="87" spans="1:3" x14ac:dyDescent="0.2">
      <c r="A87" s="56">
        <f>Final_Dataset!R74</f>
        <v>40547.166666666664</v>
      </c>
      <c r="B87">
        <f t="shared" si="1"/>
        <v>76</v>
      </c>
      <c r="C87">
        <f>Final_Dataset!P74</f>
        <v>2</v>
      </c>
    </row>
    <row r="88" spans="1:3" x14ac:dyDescent="0.2">
      <c r="A88" s="56">
        <f>Final_Dataset!R75</f>
        <v>40547.208333333336</v>
      </c>
      <c r="B88">
        <f t="shared" si="1"/>
        <v>77</v>
      </c>
      <c r="C88">
        <f>Final_Dataset!P75</f>
        <v>4</v>
      </c>
    </row>
    <row r="89" spans="1:3" x14ac:dyDescent="0.2">
      <c r="A89" s="56">
        <f>Final_Dataset!R76</f>
        <v>40547.25</v>
      </c>
      <c r="B89">
        <f t="shared" si="1"/>
        <v>78</v>
      </c>
      <c r="C89">
        <f>Final_Dataset!P76</f>
        <v>36</v>
      </c>
    </row>
    <row r="90" spans="1:3" x14ac:dyDescent="0.2">
      <c r="A90" s="56">
        <f>Final_Dataset!R77</f>
        <v>40547.291666666664</v>
      </c>
      <c r="B90">
        <f t="shared" si="1"/>
        <v>79</v>
      </c>
      <c r="C90">
        <f>Final_Dataset!P77</f>
        <v>94</v>
      </c>
    </row>
    <row r="91" spans="1:3" x14ac:dyDescent="0.2">
      <c r="A91" s="56">
        <f>Final_Dataset!R78</f>
        <v>40547.333333333336</v>
      </c>
      <c r="B91">
        <f t="shared" si="1"/>
        <v>80</v>
      </c>
      <c r="C91">
        <f>Final_Dataset!P78</f>
        <v>179</v>
      </c>
    </row>
    <row r="92" spans="1:3" x14ac:dyDescent="0.2">
      <c r="A92" s="56">
        <f>Final_Dataset!R79</f>
        <v>40547.375</v>
      </c>
      <c r="B92">
        <f t="shared" si="1"/>
        <v>81</v>
      </c>
      <c r="C92">
        <f>Final_Dataset!P79</f>
        <v>100</v>
      </c>
    </row>
    <row r="93" spans="1:3" x14ac:dyDescent="0.2">
      <c r="A93" s="56">
        <f>Final_Dataset!R80</f>
        <v>40547.416666666664</v>
      </c>
      <c r="B93">
        <f t="shared" si="1"/>
        <v>82</v>
      </c>
      <c r="C93">
        <f>Final_Dataset!P80</f>
        <v>42</v>
      </c>
    </row>
    <row r="94" spans="1:3" x14ac:dyDescent="0.2">
      <c r="A94" s="56">
        <f>Final_Dataset!R81</f>
        <v>40547.458333333336</v>
      </c>
      <c r="B94">
        <f t="shared" si="1"/>
        <v>83</v>
      </c>
      <c r="C94">
        <f>Final_Dataset!P81</f>
        <v>57</v>
      </c>
    </row>
    <row r="95" spans="1:3" x14ac:dyDescent="0.2">
      <c r="A95" s="56">
        <f>Final_Dataset!R82</f>
        <v>40547.5</v>
      </c>
      <c r="B95">
        <f t="shared" si="1"/>
        <v>84</v>
      </c>
      <c r="C95">
        <f>Final_Dataset!P82</f>
        <v>78</v>
      </c>
    </row>
    <row r="96" spans="1:3" x14ac:dyDescent="0.2">
      <c r="A96" s="56">
        <f>Final_Dataset!R83</f>
        <v>40547.541666666664</v>
      </c>
      <c r="B96">
        <f t="shared" si="1"/>
        <v>85</v>
      </c>
      <c r="C96">
        <f>Final_Dataset!P83</f>
        <v>97</v>
      </c>
    </row>
    <row r="97" spans="1:3" x14ac:dyDescent="0.2">
      <c r="A97" s="56">
        <f>Final_Dataset!R84</f>
        <v>40547.583333333336</v>
      </c>
      <c r="B97">
        <f t="shared" si="1"/>
        <v>86</v>
      </c>
      <c r="C97">
        <f>Final_Dataset!P84</f>
        <v>63</v>
      </c>
    </row>
    <row r="98" spans="1:3" x14ac:dyDescent="0.2">
      <c r="A98" s="56">
        <f>Final_Dataset!R85</f>
        <v>40547.625</v>
      </c>
      <c r="B98">
        <f t="shared" si="1"/>
        <v>87</v>
      </c>
      <c r="C98">
        <f>Final_Dataset!P85</f>
        <v>65</v>
      </c>
    </row>
    <row r="99" spans="1:3" x14ac:dyDescent="0.2">
      <c r="A99" s="56">
        <f>Final_Dataset!R86</f>
        <v>40547.666666666664</v>
      </c>
      <c r="B99">
        <f t="shared" si="1"/>
        <v>88</v>
      </c>
      <c r="C99">
        <f>Final_Dataset!P86</f>
        <v>83</v>
      </c>
    </row>
    <row r="100" spans="1:3" x14ac:dyDescent="0.2">
      <c r="A100" s="56">
        <f>Final_Dataset!R87</f>
        <v>40547.708333333336</v>
      </c>
      <c r="B100">
        <f t="shared" si="1"/>
        <v>89</v>
      </c>
      <c r="C100">
        <f>Final_Dataset!P87</f>
        <v>212</v>
      </c>
    </row>
    <row r="101" spans="1:3" x14ac:dyDescent="0.2">
      <c r="A101" s="56">
        <f>Final_Dataset!R88</f>
        <v>40547.75</v>
      </c>
      <c r="B101">
        <f t="shared" si="1"/>
        <v>90</v>
      </c>
      <c r="C101">
        <f>Final_Dataset!P88</f>
        <v>182</v>
      </c>
    </row>
    <row r="102" spans="1:3" x14ac:dyDescent="0.2">
      <c r="A102" s="56">
        <f>Final_Dataset!R89</f>
        <v>40547.791666666664</v>
      </c>
      <c r="B102">
        <f t="shared" si="1"/>
        <v>91</v>
      </c>
      <c r="C102">
        <f>Final_Dataset!P89</f>
        <v>112</v>
      </c>
    </row>
    <row r="103" spans="1:3" x14ac:dyDescent="0.2">
      <c r="A103" s="56">
        <f>Final_Dataset!R90</f>
        <v>40547.833333333336</v>
      </c>
      <c r="B103">
        <f t="shared" si="1"/>
        <v>92</v>
      </c>
      <c r="C103">
        <f>Final_Dataset!P90</f>
        <v>54</v>
      </c>
    </row>
    <row r="104" spans="1:3" x14ac:dyDescent="0.2">
      <c r="A104" s="56">
        <f>Final_Dataset!R91</f>
        <v>40547.875</v>
      </c>
      <c r="B104">
        <f t="shared" si="1"/>
        <v>93</v>
      </c>
      <c r="C104">
        <f>Final_Dataset!P91</f>
        <v>48</v>
      </c>
    </row>
    <row r="105" spans="1:3" x14ac:dyDescent="0.2">
      <c r="A105" s="56">
        <f>Final_Dataset!R92</f>
        <v>40547.916666666664</v>
      </c>
      <c r="B105">
        <f t="shared" si="1"/>
        <v>94</v>
      </c>
      <c r="C105">
        <f>Final_Dataset!P92</f>
        <v>35</v>
      </c>
    </row>
    <row r="106" spans="1:3" x14ac:dyDescent="0.2">
      <c r="A106" s="56">
        <f>Final_Dataset!R93</f>
        <v>40547.958333333336</v>
      </c>
      <c r="B106">
        <f t="shared" si="1"/>
        <v>95</v>
      </c>
      <c r="C106">
        <f>Final_Dataset!P93</f>
        <v>11</v>
      </c>
    </row>
    <row r="107" spans="1:3" x14ac:dyDescent="0.2">
      <c r="A107" s="56">
        <f>Final_Dataset!R94</f>
        <v>40548</v>
      </c>
      <c r="B107">
        <f t="shared" si="1"/>
        <v>96</v>
      </c>
      <c r="C107">
        <f>Final_Dataset!P94</f>
        <v>6</v>
      </c>
    </row>
    <row r="108" spans="1:3" x14ac:dyDescent="0.2">
      <c r="A108" s="56">
        <f>Final_Dataset!R95</f>
        <v>40548.041666666664</v>
      </c>
      <c r="B108">
        <f t="shared" si="1"/>
        <v>97</v>
      </c>
      <c r="C108">
        <f>Final_Dataset!P95</f>
        <v>6</v>
      </c>
    </row>
    <row r="109" spans="1:3" x14ac:dyDescent="0.2">
      <c r="A109" s="56">
        <f>Final_Dataset!R96</f>
        <v>40548.083333333336</v>
      </c>
      <c r="B109">
        <f t="shared" si="1"/>
        <v>98</v>
      </c>
      <c r="C109">
        <f>Final_Dataset!P96</f>
        <v>2</v>
      </c>
    </row>
    <row r="110" spans="1:3" x14ac:dyDescent="0.2">
      <c r="A110" s="56">
        <f>Final_Dataset!R97</f>
        <v>40548.166666666664</v>
      </c>
      <c r="B110">
        <f t="shared" si="1"/>
        <v>100</v>
      </c>
      <c r="C110">
        <f>Final_Dataset!P97</f>
        <v>2</v>
      </c>
    </row>
    <row r="111" spans="1:3" x14ac:dyDescent="0.2">
      <c r="A111" s="56">
        <f>Final_Dataset!R98</f>
        <v>40548.208333333336</v>
      </c>
      <c r="B111">
        <f t="shared" si="1"/>
        <v>101</v>
      </c>
      <c r="C111">
        <f>Final_Dataset!P98</f>
        <v>3</v>
      </c>
    </row>
    <row r="112" spans="1:3" x14ac:dyDescent="0.2">
      <c r="A112" s="56">
        <f>Final_Dataset!R99</f>
        <v>40548.25</v>
      </c>
      <c r="B112">
        <f t="shared" si="1"/>
        <v>102</v>
      </c>
      <c r="C112">
        <f>Final_Dataset!P99</f>
        <v>33</v>
      </c>
    </row>
    <row r="113" spans="1:3" x14ac:dyDescent="0.2">
      <c r="A113" s="56">
        <f>Final_Dataset!R100</f>
        <v>40548.291666666664</v>
      </c>
      <c r="B113">
        <f t="shared" si="1"/>
        <v>103</v>
      </c>
      <c r="C113">
        <f>Final_Dataset!P100</f>
        <v>88</v>
      </c>
    </row>
    <row r="114" spans="1:3" x14ac:dyDescent="0.2">
      <c r="A114" s="56">
        <f>Final_Dataset!R101</f>
        <v>40548.333333333336</v>
      </c>
      <c r="B114">
        <f t="shared" si="1"/>
        <v>104</v>
      </c>
      <c r="C114">
        <f>Final_Dataset!P101</f>
        <v>195</v>
      </c>
    </row>
    <row r="115" spans="1:3" x14ac:dyDescent="0.2">
      <c r="A115" s="56">
        <f>Final_Dataset!R102</f>
        <v>40548.375</v>
      </c>
      <c r="B115">
        <f t="shared" si="1"/>
        <v>105</v>
      </c>
      <c r="C115">
        <f>Final_Dataset!P102</f>
        <v>115</v>
      </c>
    </row>
    <row r="116" spans="1:3" x14ac:dyDescent="0.2">
      <c r="A116" s="56">
        <f>Final_Dataset!R103</f>
        <v>40548.416666666664</v>
      </c>
      <c r="B116">
        <f t="shared" si="1"/>
        <v>106</v>
      </c>
      <c r="C116">
        <f>Final_Dataset!P103</f>
        <v>57</v>
      </c>
    </row>
    <row r="117" spans="1:3" x14ac:dyDescent="0.2">
      <c r="A117" s="56">
        <f>Final_Dataset!R104</f>
        <v>40548.458333333336</v>
      </c>
      <c r="B117">
        <f t="shared" si="1"/>
        <v>107</v>
      </c>
      <c r="C117">
        <f>Final_Dataset!P104</f>
        <v>46</v>
      </c>
    </row>
    <row r="118" spans="1:3" x14ac:dyDescent="0.2">
      <c r="A118" s="56">
        <f>Final_Dataset!R105</f>
        <v>40548.5</v>
      </c>
      <c r="B118">
        <f t="shared" si="1"/>
        <v>108</v>
      </c>
      <c r="C118">
        <f>Final_Dataset!P105</f>
        <v>79</v>
      </c>
    </row>
    <row r="119" spans="1:3" x14ac:dyDescent="0.2">
      <c r="A119" s="56">
        <f>Final_Dataset!R106</f>
        <v>40548.541666666664</v>
      </c>
      <c r="B119">
        <f t="shared" si="1"/>
        <v>109</v>
      </c>
      <c r="C119">
        <f>Final_Dataset!P106</f>
        <v>71</v>
      </c>
    </row>
    <row r="120" spans="1:3" x14ac:dyDescent="0.2">
      <c r="A120" s="56">
        <f>Final_Dataset!R107</f>
        <v>40548.583333333336</v>
      </c>
      <c r="B120">
        <f t="shared" si="1"/>
        <v>110</v>
      </c>
      <c r="C120">
        <f>Final_Dataset!P107</f>
        <v>62</v>
      </c>
    </row>
    <row r="121" spans="1:3" x14ac:dyDescent="0.2">
      <c r="A121" s="56">
        <f>Final_Dataset!R108</f>
        <v>40548.625</v>
      </c>
      <c r="B121">
        <f t="shared" si="1"/>
        <v>111</v>
      </c>
      <c r="C121">
        <f>Final_Dataset!P108</f>
        <v>62</v>
      </c>
    </row>
    <row r="122" spans="1:3" x14ac:dyDescent="0.2">
      <c r="A122" s="56">
        <f>Final_Dataset!R109</f>
        <v>40548.666666666664</v>
      </c>
      <c r="B122">
        <f t="shared" si="1"/>
        <v>112</v>
      </c>
      <c r="C122">
        <f>Final_Dataset!P109</f>
        <v>89</v>
      </c>
    </row>
    <row r="123" spans="1:3" x14ac:dyDescent="0.2">
      <c r="A123" s="56">
        <f>Final_Dataset!R110</f>
        <v>40548.708333333336</v>
      </c>
      <c r="B123">
        <f t="shared" si="1"/>
        <v>113</v>
      </c>
      <c r="C123">
        <f>Final_Dataset!P110</f>
        <v>190</v>
      </c>
    </row>
    <row r="124" spans="1:3" x14ac:dyDescent="0.2">
      <c r="A124" s="56">
        <f>Final_Dataset!R111</f>
        <v>40548.75</v>
      </c>
      <c r="B124">
        <f t="shared" si="1"/>
        <v>114</v>
      </c>
      <c r="C124">
        <f>Final_Dataset!P111</f>
        <v>169</v>
      </c>
    </row>
    <row r="125" spans="1:3" x14ac:dyDescent="0.2">
      <c r="A125" s="56">
        <f>Final_Dataset!R112</f>
        <v>40548.791666666664</v>
      </c>
      <c r="B125">
        <f t="shared" si="1"/>
        <v>115</v>
      </c>
      <c r="C125">
        <f>Final_Dataset!P112</f>
        <v>132</v>
      </c>
    </row>
    <row r="126" spans="1:3" x14ac:dyDescent="0.2">
      <c r="A126" s="56">
        <f>Final_Dataset!R113</f>
        <v>40548.833333333336</v>
      </c>
      <c r="B126">
        <f t="shared" si="1"/>
        <v>116</v>
      </c>
      <c r="C126">
        <f>Final_Dataset!P113</f>
        <v>89</v>
      </c>
    </row>
    <row r="127" spans="1:3" x14ac:dyDescent="0.2">
      <c r="A127" s="56">
        <f>Final_Dataset!R114</f>
        <v>40548.875</v>
      </c>
      <c r="B127">
        <f t="shared" si="1"/>
        <v>117</v>
      </c>
      <c r="C127">
        <f>Final_Dataset!P114</f>
        <v>43</v>
      </c>
    </row>
    <row r="128" spans="1:3" x14ac:dyDescent="0.2">
      <c r="A128" s="56">
        <f>Final_Dataset!R115</f>
        <v>40548.916666666664</v>
      </c>
      <c r="B128">
        <f t="shared" si="1"/>
        <v>118</v>
      </c>
      <c r="C128">
        <f>Final_Dataset!P115</f>
        <v>42</v>
      </c>
    </row>
    <row r="129" spans="1:3" x14ac:dyDescent="0.2">
      <c r="A129" s="56">
        <f>Final_Dataset!R116</f>
        <v>40548.958333333336</v>
      </c>
      <c r="B129">
        <f t="shared" si="1"/>
        <v>119</v>
      </c>
      <c r="C129">
        <f>Final_Dataset!P116</f>
        <v>19</v>
      </c>
    </row>
    <row r="130" spans="1:3" x14ac:dyDescent="0.2">
      <c r="A130" s="56">
        <f>Final_Dataset!R117</f>
        <v>40549</v>
      </c>
      <c r="B130">
        <f t="shared" si="1"/>
        <v>120</v>
      </c>
      <c r="C130">
        <f>Final_Dataset!P117</f>
        <v>11</v>
      </c>
    </row>
    <row r="131" spans="1:3" x14ac:dyDescent="0.2">
      <c r="A131" s="56">
        <f>Final_Dataset!R118</f>
        <v>40549.041666666664</v>
      </c>
      <c r="B131">
        <f t="shared" si="1"/>
        <v>121</v>
      </c>
      <c r="C131">
        <f>Final_Dataset!P118</f>
        <v>4</v>
      </c>
    </row>
    <row r="132" spans="1:3" x14ac:dyDescent="0.2">
      <c r="A132" s="56">
        <f>Final_Dataset!R119</f>
        <v>40549.083333333336</v>
      </c>
      <c r="B132">
        <f t="shared" si="1"/>
        <v>122</v>
      </c>
      <c r="C132">
        <f>Final_Dataset!P119</f>
        <v>2</v>
      </c>
    </row>
    <row r="133" spans="1:3" x14ac:dyDescent="0.2">
      <c r="A133" s="56">
        <f>Final_Dataset!R120</f>
        <v>40549.166666666664</v>
      </c>
      <c r="B133">
        <f t="shared" si="1"/>
        <v>124</v>
      </c>
      <c r="C133">
        <f>Final_Dataset!P120</f>
        <v>1</v>
      </c>
    </row>
    <row r="134" spans="1:3" x14ac:dyDescent="0.2">
      <c r="A134" s="56">
        <f>Final_Dataset!R121</f>
        <v>40549.208333333336</v>
      </c>
      <c r="B134">
        <f t="shared" si="1"/>
        <v>125</v>
      </c>
      <c r="C134">
        <f>Final_Dataset!P121</f>
        <v>4</v>
      </c>
    </row>
    <row r="135" spans="1:3" x14ac:dyDescent="0.2">
      <c r="A135" s="56">
        <f>Final_Dataset!R122</f>
        <v>40549.25</v>
      </c>
      <c r="B135">
        <f t="shared" si="1"/>
        <v>126</v>
      </c>
      <c r="C135">
        <f>Final_Dataset!P122</f>
        <v>36</v>
      </c>
    </row>
    <row r="136" spans="1:3" x14ac:dyDescent="0.2">
      <c r="A136" s="56">
        <f>Final_Dataset!R123</f>
        <v>40549.291666666664</v>
      </c>
      <c r="B136">
        <f t="shared" si="1"/>
        <v>127</v>
      </c>
      <c r="C136">
        <f>Final_Dataset!P123</f>
        <v>95</v>
      </c>
    </row>
    <row r="137" spans="1:3" x14ac:dyDescent="0.2">
      <c r="A137" s="56">
        <f>Final_Dataset!R124</f>
        <v>40549.333333333336</v>
      </c>
      <c r="B137">
        <f t="shared" si="1"/>
        <v>128</v>
      </c>
      <c r="C137">
        <f>Final_Dataset!P124</f>
        <v>219</v>
      </c>
    </row>
    <row r="138" spans="1:3" x14ac:dyDescent="0.2">
      <c r="A138" s="56">
        <f>Final_Dataset!R125</f>
        <v>40549.375</v>
      </c>
      <c r="B138">
        <f t="shared" si="1"/>
        <v>129</v>
      </c>
      <c r="C138">
        <f>Final_Dataset!P125</f>
        <v>122</v>
      </c>
    </row>
    <row r="139" spans="1:3" x14ac:dyDescent="0.2">
      <c r="A139" s="56">
        <f>Final_Dataset!R126</f>
        <v>40549.416666666664</v>
      </c>
      <c r="B139">
        <f t="shared" si="1"/>
        <v>130</v>
      </c>
      <c r="C139">
        <f>Final_Dataset!P126</f>
        <v>45</v>
      </c>
    </row>
    <row r="140" spans="1:3" x14ac:dyDescent="0.2">
      <c r="A140" s="56">
        <f>Final_Dataset!R127</f>
        <v>40549.458333333336</v>
      </c>
      <c r="B140">
        <f t="shared" si="1"/>
        <v>131</v>
      </c>
      <c r="C140">
        <f>Final_Dataset!P127</f>
        <v>59</v>
      </c>
    </row>
    <row r="141" spans="1:3" x14ac:dyDescent="0.2">
      <c r="A141" s="56">
        <f>Final_Dataset!R128</f>
        <v>40549.5</v>
      </c>
      <c r="B141">
        <f t="shared" si="1"/>
        <v>132</v>
      </c>
      <c r="C141">
        <f>Final_Dataset!P128</f>
        <v>84</v>
      </c>
    </row>
    <row r="142" spans="1:3" x14ac:dyDescent="0.2">
      <c r="A142" s="56">
        <f>Final_Dataset!R129</f>
        <v>40549.541666666664</v>
      </c>
      <c r="B142">
        <f t="shared" si="1"/>
        <v>133</v>
      </c>
      <c r="C142">
        <f>Final_Dataset!P129</f>
        <v>67</v>
      </c>
    </row>
    <row r="143" spans="1:3" x14ac:dyDescent="0.2">
      <c r="A143" s="56">
        <f>Final_Dataset!R130</f>
        <v>40549.583333333336</v>
      </c>
      <c r="B143">
        <f t="shared" ref="B143:B206" si="2">ROUND((A143-$A$15)*24,0)</f>
        <v>134</v>
      </c>
      <c r="C143">
        <f>Final_Dataset!P130</f>
        <v>70</v>
      </c>
    </row>
    <row r="144" spans="1:3" x14ac:dyDescent="0.2">
      <c r="A144" s="56">
        <f>Final_Dataset!R131</f>
        <v>40549.625</v>
      </c>
      <c r="B144">
        <f t="shared" si="2"/>
        <v>135</v>
      </c>
      <c r="C144">
        <f>Final_Dataset!P131</f>
        <v>62</v>
      </c>
    </row>
    <row r="145" spans="1:3" x14ac:dyDescent="0.2">
      <c r="A145" s="56">
        <f>Final_Dataset!R132</f>
        <v>40549.666666666664</v>
      </c>
      <c r="B145">
        <f t="shared" si="2"/>
        <v>136</v>
      </c>
      <c r="C145">
        <f>Final_Dataset!P132</f>
        <v>86</v>
      </c>
    </row>
    <row r="146" spans="1:3" x14ac:dyDescent="0.2">
      <c r="A146" s="56">
        <f>Final_Dataset!R133</f>
        <v>40549.708333333336</v>
      </c>
      <c r="B146">
        <f t="shared" si="2"/>
        <v>137</v>
      </c>
      <c r="C146">
        <f>Final_Dataset!P133</f>
        <v>172</v>
      </c>
    </row>
    <row r="147" spans="1:3" x14ac:dyDescent="0.2">
      <c r="A147" s="56">
        <f>Final_Dataset!R134</f>
        <v>40549.75</v>
      </c>
      <c r="B147">
        <f t="shared" si="2"/>
        <v>138</v>
      </c>
      <c r="C147">
        <f>Final_Dataset!P134</f>
        <v>163</v>
      </c>
    </row>
    <row r="148" spans="1:3" x14ac:dyDescent="0.2">
      <c r="A148" s="56">
        <f>Final_Dataset!R135</f>
        <v>40549.791666666664</v>
      </c>
      <c r="B148">
        <f t="shared" si="2"/>
        <v>139</v>
      </c>
      <c r="C148">
        <f>Final_Dataset!P135</f>
        <v>112</v>
      </c>
    </row>
    <row r="149" spans="1:3" x14ac:dyDescent="0.2">
      <c r="A149" s="56">
        <f>Final_Dataset!R136</f>
        <v>40549.833333333336</v>
      </c>
      <c r="B149">
        <f t="shared" si="2"/>
        <v>140</v>
      </c>
      <c r="C149">
        <f>Final_Dataset!P136</f>
        <v>69</v>
      </c>
    </row>
    <row r="150" spans="1:3" x14ac:dyDescent="0.2">
      <c r="A150" s="56">
        <f>Final_Dataset!R137</f>
        <v>40549.875</v>
      </c>
      <c r="B150">
        <f t="shared" si="2"/>
        <v>141</v>
      </c>
      <c r="C150">
        <f>Final_Dataset!P137</f>
        <v>48</v>
      </c>
    </row>
    <row r="151" spans="1:3" x14ac:dyDescent="0.2">
      <c r="A151" s="56">
        <f>Final_Dataset!R138</f>
        <v>40549.916666666664</v>
      </c>
      <c r="B151">
        <f t="shared" si="2"/>
        <v>142</v>
      </c>
      <c r="C151">
        <f>Final_Dataset!P138</f>
        <v>52</v>
      </c>
    </row>
    <row r="152" spans="1:3" x14ac:dyDescent="0.2">
      <c r="A152" s="56">
        <f>Final_Dataset!R139</f>
        <v>40549.958333333336</v>
      </c>
      <c r="B152">
        <f t="shared" si="2"/>
        <v>143</v>
      </c>
      <c r="C152">
        <f>Final_Dataset!P139</f>
        <v>23</v>
      </c>
    </row>
    <row r="153" spans="1:3" x14ac:dyDescent="0.2">
      <c r="A153" s="56">
        <f>Final_Dataset!R140</f>
        <v>40550</v>
      </c>
      <c r="B153">
        <f t="shared" si="2"/>
        <v>144</v>
      </c>
      <c r="C153">
        <f>Final_Dataset!P140</f>
        <v>17</v>
      </c>
    </row>
    <row r="154" spans="1:3" x14ac:dyDescent="0.2">
      <c r="A154" s="56">
        <f>Final_Dataset!R141</f>
        <v>40550.041666666664</v>
      </c>
      <c r="B154">
        <f t="shared" si="2"/>
        <v>145</v>
      </c>
      <c r="C154">
        <f>Final_Dataset!P141</f>
        <v>7</v>
      </c>
    </row>
    <row r="155" spans="1:3" x14ac:dyDescent="0.2">
      <c r="A155" s="56">
        <f>Final_Dataset!R142</f>
        <v>40550.083333333336</v>
      </c>
      <c r="B155">
        <f t="shared" si="2"/>
        <v>146</v>
      </c>
      <c r="C155">
        <f>Final_Dataset!P142</f>
        <v>1</v>
      </c>
    </row>
    <row r="156" spans="1:3" x14ac:dyDescent="0.2">
      <c r="A156" s="56">
        <f>Final_Dataset!R143</f>
        <v>40550.166666666664</v>
      </c>
      <c r="B156">
        <f t="shared" si="2"/>
        <v>148</v>
      </c>
      <c r="C156">
        <f>Final_Dataset!P143</f>
        <v>1</v>
      </c>
    </row>
    <row r="157" spans="1:3" x14ac:dyDescent="0.2">
      <c r="A157" s="56">
        <f>Final_Dataset!R144</f>
        <v>40550.208333333336</v>
      </c>
      <c r="B157">
        <f t="shared" si="2"/>
        <v>149</v>
      </c>
      <c r="C157">
        <f>Final_Dataset!P144</f>
        <v>5</v>
      </c>
    </row>
    <row r="158" spans="1:3" x14ac:dyDescent="0.2">
      <c r="A158" s="56">
        <f>Final_Dataset!R145</f>
        <v>40550.25</v>
      </c>
      <c r="B158">
        <f t="shared" si="2"/>
        <v>150</v>
      </c>
      <c r="C158">
        <f>Final_Dataset!P145</f>
        <v>34</v>
      </c>
    </row>
    <row r="159" spans="1:3" x14ac:dyDescent="0.2">
      <c r="A159" s="56">
        <f>Final_Dataset!R146</f>
        <v>40550.291666666664</v>
      </c>
      <c r="B159">
        <f t="shared" si="2"/>
        <v>151</v>
      </c>
      <c r="C159">
        <f>Final_Dataset!P146</f>
        <v>84</v>
      </c>
    </row>
    <row r="160" spans="1:3" x14ac:dyDescent="0.2">
      <c r="A160" s="56">
        <f>Final_Dataset!R147</f>
        <v>40550.333333333336</v>
      </c>
      <c r="B160">
        <f t="shared" si="2"/>
        <v>152</v>
      </c>
      <c r="C160">
        <f>Final_Dataset!P147</f>
        <v>210</v>
      </c>
    </row>
    <row r="161" spans="1:3" x14ac:dyDescent="0.2">
      <c r="A161" s="56">
        <f>Final_Dataset!R148</f>
        <v>40550.375</v>
      </c>
      <c r="B161">
        <f t="shared" si="2"/>
        <v>153</v>
      </c>
      <c r="C161">
        <f>Final_Dataset!P148</f>
        <v>134</v>
      </c>
    </row>
    <row r="162" spans="1:3" x14ac:dyDescent="0.2">
      <c r="A162" s="56">
        <f>Final_Dataset!R149</f>
        <v>40550.416666666664</v>
      </c>
      <c r="B162">
        <f t="shared" si="2"/>
        <v>154</v>
      </c>
      <c r="C162">
        <f>Final_Dataset!P149</f>
        <v>63</v>
      </c>
    </row>
    <row r="163" spans="1:3" x14ac:dyDescent="0.2">
      <c r="A163" s="56">
        <f>Final_Dataset!R150</f>
        <v>40550.458333333336</v>
      </c>
      <c r="B163">
        <f t="shared" si="2"/>
        <v>155</v>
      </c>
      <c r="C163">
        <f>Final_Dataset!P150</f>
        <v>67</v>
      </c>
    </row>
    <row r="164" spans="1:3" x14ac:dyDescent="0.2">
      <c r="A164" s="56">
        <f>Final_Dataset!R151</f>
        <v>40550.5</v>
      </c>
      <c r="B164">
        <f t="shared" si="2"/>
        <v>156</v>
      </c>
      <c r="C164">
        <f>Final_Dataset!P151</f>
        <v>59</v>
      </c>
    </row>
    <row r="165" spans="1:3" x14ac:dyDescent="0.2">
      <c r="A165" s="56">
        <f>Final_Dataset!R152</f>
        <v>40550.541666666664</v>
      </c>
      <c r="B165">
        <f t="shared" si="2"/>
        <v>157</v>
      </c>
      <c r="C165">
        <f>Final_Dataset!P152</f>
        <v>73</v>
      </c>
    </row>
    <row r="166" spans="1:3" x14ac:dyDescent="0.2">
      <c r="A166" s="56">
        <f>Final_Dataset!R153</f>
        <v>40550.583333333336</v>
      </c>
      <c r="B166">
        <f t="shared" si="2"/>
        <v>158</v>
      </c>
      <c r="C166">
        <f>Final_Dataset!P153</f>
        <v>50</v>
      </c>
    </row>
    <row r="167" spans="1:3" x14ac:dyDescent="0.2">
      <c r="A167" s="56">
        <f>Final_Dataset!R154</f>
        <v>40550.625</v>
      </c>
      <c r="B167">
        <f t="shared" si="2"/>
        <v>159</v>
      </c>
      <c r="C167">
        <f>Final_Dataset!P154</f>
        <v>72</v>
      </c>
    </row>
    <row r="168" spans="1:3" x14ac:dyDescent="0.2">
      <c r="A168" s="56">
        <f>Final_Dataset!R155</f>
        <v>40550.666666666664</v>
      </c>
      <c r="B168">
        <f t="shared" si="2"/>
        <v>160</v>
      </c>
      <c r="C168">
        <f>Final_Dataset!P155</f>
        <v>87</v>
      </c>
    </row>
    <row r="169" spans="1:3" x14ac:dyDescent="0.2">
      <c r="A169" s="56">
        <f>Final_Dataset!R156</f>
        <v>40550.708333333336</v>
      </c>
      <c r="B169">
        <f t="shared" si="2"/>
        <v>161</v>
      </c>
      <c r="C169">
        <f>Final_Dataset!P156</f>
        <v>187</v>
      </c>
    </row>
    <row r="170" spans="1:3" x14ac:dyDescent="0.2">
      <c r="A170" s="56">
        <f>Final_Dataset!R157</f>
        <v>40550.75</v>
      </c>
      <c r="B170">
        <f t="shared" si="2"/>
        <v>162</v>
      </c>
      <c r="C170">
        <f>Final_Dataset!P157</f>
        <v>123</v>
      </c>
    </row>
    <row r="171" spans="1:3" x14ac:dyDescent="0.2">
      <c r="A171" s="56">
        <f>Final_Dataset!R158</f>
        <v>40550.791666666664</v>
      </c>
      <c r="B171">
        <f t="shared" si="2"/>
        <v>163</v>
      </c>
      <c r="C171">
        <f>Final_Dataset!P158</f>
        <v>95</v>
      </c>
    </row>
    <row r="172" spans="1:3" x14ac:dyDescent="0.2">
      <c r="A172" s="56">
        <f>Final_Dataset!R159</f>
        <v>40550.833333333336</v>
      </c>
      <c r="B172">
        <f t="shared" si="2"/>
        <v>164</v>
      </c>
      <c r="C172">
        <f>Final_Dataset!P159</f>
        <v>51</v>
      </c>
    </row>
    <row r="173" spans="1:3" x14ac:dyDescent="0.2">
      <c r="A173" s="56">
        <f>Final_Dataset!R160</f>
        <v>40550.875</v>
      </c>
      <c r="B173">
        <f t="shared" si="2"/>
        <v>165</v>
      </c>
      <c r="C173">
        <f>Final_Dataset!P160</f>
        <v>39</v>
      </c>
    </row>
    <row r="174" spans="1:3" x14ac:dyDescent="0.2">
      <c r="A174" s="56">
        <f>Final_Dataset!R161</f>
        <v>40550.916666666664</v>
      </c>
      <c r="B174">
        <f t="shared" si="2"/>
        <v>166</v>
      </c>
      <c r="C174">
        <f>Final_Dataset!P161</f>
        <v>36</v>
      </c>
    </row>
    <row r="175" spans="1:3" x14ac:dyDescent="0.2">
      <c r="A175" s="56">
        <f>Final_Dataset!R162</f>
        <v>40550.958333333336</v>
      </c>
      <c r="B175">
        <f t="shared" si="2"/>
        <v>167</v>
      </c>
      <c r="C175">
        <f>Final_Dataset!P162</f>
        <v>15</v>
      </c>
    </row>
    <row r="176" spans="1:3" x14ac:dyDescent="0.2">
      <c r="A176" s="56">
        <f>Final_Dataset!R163</f>
        <v>40551</v>
      </c>
      <c r="B176">
        <f t="shared" si="2"/>
        <v>168</v>
      </c>
      <c r="C176">
        <f>Final_Dataset!P163</f>
        <v>25</v>
      </c>
    </row>
    <row r="177" spans="1:3" x14ac:dyDescent="0.2">
      <c r="A177" s="56">
        <f>Final_Dataset!R164</f>
        <v>40551.041666666664</v>
      </c>
      <c r="B177">
        <f t="shared" si="2"/>
        <v>169</v>
      </c>
      <c r="C177">
        <f>Final_Dataset!P164</f>
        <v>16</v>
      </c>
    </row>
    <row r="178" spans="1:3" x14ac:dyDescent="0.2">
      <c r="A178" s="56">
        <f>Final_Dataset!R165</f>
        <v>40551.083333333336</v>
      </c>
      <c r="B178">
        <f t="shared" si="2"/>
        <v>170</v>
      </c>
      <c r="C178">
        <f>Final_Dataset!P165</f>
        <v>16</v>
      </c>
    </row>
    <row r="179" spans="1:3" x14ac:dyDescent="0.2">
      <c r="A179" s="56">
        <f>Final_Dataset!R166</f>
        <v>40551.125</v>
      </c>
      <c r="B179">
        <f t="shared" si="2"/>
        <v>171</v>
      </c>
      <c r="C179">
        <f>Final_Dataset!P166</f>
        <v>7</v>
      </c>
    </row>
    <row r="180" spans="1:3" x14ac:dyDescent="0.2">
      <c r="A180" s="56">
        <f>Final_Dataset!R167</f>
        <v>40551.166666666664</v>
      </c>
      <c r="B180">
        <f t="shared" si="2"/>
        <v>172</v>
      </c>
      <c r="C180">
        <f>Final_Dataset!P167</f>
        <v>1</v>
      </c>
    </row>
    <row r="181" spans="1:3" x14ac:dyDescent="0.2">
      <c r="A181" s="56">
        <f>Final_Dataset!R168</f>
        <v>40551.208333333336</v>
      </c>
      <c r="B181">
        <f t="shared" si="2"/>
        <v>173</v>
      </c>
      <c r="C181">
        <f>Final_Dataset!P168</f>
        <v>5</v>
      </c>
    </row>
    <row r="182" spans="1:3" x14ac:dyDescent="0.2">
      <c r="A182" s="56">
        <f>Final_Dataset!R169</f>
        <v>40551.25</v>
      </c>
      <c r="B182">
        <f t="shared" si="2"/>
        <v>174</v>
      </c>
      <c r="C182">
        <f>Final_Dataset!P169</f>
        <v>2</v>
      </c>
    </row>
    <row r="183" spans="1:3" x14ac:dyDescent="0.2">
      <c r="A183" s="56">
        <f>Final_Dataset!R170</f>
        <v>40551.291666666664</v>
      </c>
      <c r="B183">
        <f t="shared" si="2"/>
        <v>175</v>
      </c>
      <c r="C183">
        <f>Final_Dataset!P170</f>
        <v>9</v>
      </c>
    </row>
    <row r="184" spans="1:3" x14ac:dyDescent="0.2">
      <c r="A184" s="56">
        <f>Final_Dataset!R171</f>
        <v>40551.333333333336</v>
      </c>
      <c r="B184">
        <f t="shared" si="2"/>
        <v>176</v>
      </c>
      <c r="C184">
        <f>Final_Dataset!P171</f>
        <v>15</v>
      </c>
    </row>
    <row r="185" spans="1:3" x14ac:dyDescent="0.2">
      <c r="A185" s="56">
        <f>Final_Dataset!R172</f>
        <v>40551.375</v>
      </c>
      <c r="B185">
        <f t="shared" si="2"/>
        <v>177</v>
      </c>
      <c r="C185">
        <f>Final_Dataset!P172</f>
        <v>20</v>
      </c>
    </row>
    <row r="186" spans="1:3" x14ac:dyDescent="0.2">
      <c r="A186" s="56">
        <f>Final_Dataset!R173</f>
        <v>40551.416666666664</v>
      </c>
      <c r="B186">
        <f t="shared" si="2"/>
        <v>178</v>
      </c>
      <c r="C186">
        <f>Final_Dataset!P173</f>
        <v>61</v>
      </c>
    </row>
    <row r="187" spans="1:3" x14ac:dyDescent="0.2">
      <c r="A187" s="56">
        <f>Final_Dataset!R174</f>
        <v>40551.458333333336</v>
      </c>
      <c r="B187">
        <f t="shared" si="2"/>
        <v>179</v>
      </c>
      <c r="C187">
        <f>Final_Dataset!P174</f>
        <v>62</v>
      </c>
    </row>
    <row r="188" spans="1:3" x14ac:dyDescent="0.2">
      <c r="A188" s="56">
        <f>Final_Dataset!R175</f>
        <v>40551.5</v>
      </c>
      <c r="B188">
        <f t="shared" si="2"/>
        <v>180</v>
      </c>
      <c r="C188">
        <f>Final_Dataset!P175</f>
        <v>98</v>
      </c>
    </row>
    <row r="189" spans="1:3" x14ac:dyDescent="0.2">
      <c r="A189" s="56">
        <f>Final_Dataset!R176</f>
        <v>40551.541666666664</v>
      </c>
      <c r="B189">
        <f t="shared" si="2"/>
        <v>181</v>
      </c>
      <c r="C189">
        <f>Final_Dataset!P176</f>
        <v>102</v>
      </c>
    </row>
    <row r="190" spans="1:3" x14ac:dyDescent="0.2">
      <c r="A190" s="56">
        <f>Final_Dataset!R177</f>
        <v>40551.583333333336</v>
      </c>
      <c r="B190">
        <f t="shared" si="2"/>
        <v>182</v>
      </c>
      <c r="C190">
        <f>Final_Dataset!P177</f>
        <v>95</v>
      </c>
    </row>
    <row r="191" spans="1:3" x14ac:dyDescent="0.2">
      <c r="A191" s="56">
        <f>Final_Dataset!R178</f>
        <v>40551.625</v>
      </c>
      <c r="B191">
        <f t="shared" si="2"/>
        <v>183</v>
      </c>
      <c r="C191">
        <f>Final_Dataset!P178</f>
        <v>74</v>
      </c>
    </row>
    <row r="192" spans="1:3" x14ac:dyDescent="0.2">
      <c r="A192" s="56">
        <f>Final_Dataset!R179</f>
        <v>40551.666666666664</v>
      </c>
      <c r="B192">
        <f t="shared" si="2"/>
        <v>184</v>
      </c>
      <c r="C192">
        <f>Final_Dataset!P179</f>
        <v>76</v>
      </c>
    </row>
    <row r="193" spans="1:3" x14ac:dyDescent="0.2">
      <c r="A193" s="56">
        <f>Final_Dataset!R180</f>
        <v>40551.708333333336</v>
      </c>
      <c r="B193">
        <f t="shared" si="2"/>
        <v>185</v>
      </c>
      <c r="C193">
        <f>Final_Dataset!P180</f>
        <v>69</v>
      </c>
    </row>
    <row r="194" spans="1:3" x14ac:dyDescent="0.2">
      <c r="A194" s="56">
        <f>Final_Dataset!R181</f>
        <v>40551.75</v>
      </c>
      <c r="B194">
        <f t="shared" si="2"/>
        <v>186</v>
      </c>
      <c r="C194">
        <f>Final_Dataset!P181</f>
        <v>55</v>
      </c>
    </row>
    <row r="195" spans="1:3" x14ac:dyDescent="0.2">
      <c r="A195" s="56">
        <f>Final_Dataset!R182</f>
        <v>40551.791666666664</v>
      </c>
      <c r="B195">
        <f t="shared" si="2"/>
        <v>187</v>
      </c>
      <c r="C195">
        <f>Final_Dataset!P182</f>
        <v>30</v>
      </c>
    </row>
    <row r="196" spans="1:3" x14ac:dyDescent="0.2">
      <c r="A196" s="56">
        <f>Final_Dataset!R183</f>
        <v>40551.833333333336</v>
      </c>
      <c r="B196">
        <f t="shared" si="2"/>
        <v>188</v>
      </c>
      <c r="C196">
        <f>Final_Dataset!P183</f>
        <v>28</v>
      </c>
    </row>
    <row r="197" spans="1:3" x14ac:dyDescent="0.2">
      <c r="A197" s="56">
        <f>Final_Dataset!R184</f>
        <v>40551.875</v>
      </c>
      <c r="B197">
        <f t="shared" si="2"/>
        <v>189</v>
      </c>
      <c r="C197">
        <f>Final_Dataset!P184</f>
        <v>37</v>
      </c>
    </row>
    <row r="198" spans="1:3" x14ac:dyDescent="0.2">
      <c r="A198" s="56">
        <f>Final_Dataset!R185</f>
        <v>40551.916666666664</v>
      </c>
      <c r="B198">
        <f t="shared" si="2"/>
        <v>190</v>
      </c>
      <c r="C198">
        <f>Final_Dataset!P185</f>
        <v>34</v>
      </c>
    </row>
    <row r="199" spans="1:3" x14ac:dyDescent="0.2">
      <c r="A199" s="56">
        <f>Final_Dataset!R186</f>
        <v>40551.958333333336</v>
      </c>
      <c r="B199">
        <f t="shared" si="2"/>
        <v>191</v>
      </c>
      <c r="C199">
        <f>Final_Dataset!P186</f>
        <v>22</v>
      </c>
    </row>
    <row r="200" spans="1:3" x14ac:dyDescent="0.2">
      <c r="A200" s="56">
        <f>Final_Dataset!R187</f>
        <v>40552</v>
      </c>
      <c r="B200">
        <f t="shared" si="2"/>
        <v>192</v>
      </c>
      <c r="C200">
        <f>Final_Dataset!P187</f>
        <v>25</v>
      </c>
    </row>
    <row r="201" spans="1:3" x14ac:dyDescent="0.2">
      <c r="A201" s="56">
        <f>Final_Dataset!R188</f>
        <v>40552.041666666664</v>
      </c>
      <c r="B201">
        <f t="shared" si="2"/>
        <v>193</v>
      </c>
      <c r="C201">
        <f>Final_Dataset!P188</f>
        <v>12</v>
      </c>
    </row>
    <row r="202" spans="1:3" x14ac:dyDescent="0.2">
      <c r="A202" s="56">
        <f>Final_Dataset!R189</f>
        <v>40552.083333333336</v>
      </c>
      <c r="B202">
        <f t="shared" si="2"/>
        <v>194</v>
      </c>
      <c r="C202">
        <f>Final_Dataset!P189</f>
        <v>11</v>
      </c>
    </row>
    <row r="203" spans="1:3" x14ac:dyDescent="0.2">
      <c r="A203" s="56">
        <f>Final_Dataset!R190</f>
        <v>40552.125</v>
      </c>
      <c r="B203">
        <f t="shared" si="2"/>
        <v>195</v>
      </c>
      <c r="C203">
        <f>Final_Dataset!P190</f>
        <v>4</v>
      </c>
    </row>
    <row r="204" spans="1:3" x14ac:dyDescent="0.2">
      <c r="A204" s="56">
        <f>Final_Dataset!R191</f>
        <v>40552.166666666664</v>
      </c>
      <c r="B204">
        <f t="shared" si="2"/>
        <v>196</v>
      </c>
      <c r="C204">
        <f>Final_Dataset!P191</f>
        <v>1</v>
      </c>
    </row>
    <row r="205" spans="1:3" x14ac:dyDescent="0.2">
      <c r="A205" s="56">
        <f>Final_Dataset!R192</f>
        <v>40552.208333333336</v>
      </c>
      <c r="B205">
        <f t="shared" si="2"/>
        <v>197</v>
      </c>
      <c r="C205">
        <f>Final_Dataset!P192</f>
        <v>1</v>
      </c>
    </row>
    <row r="206" spans="1:3" x14ac:dyDescent="0.2">
      <c r="A206" s="56">
        <f>Final_Dataset!R193</f>
        <v>40552.25</v>
      </c>
      <c r="B206">
        <f t="shared" si="2"/>
        <v>198</v>
      </c>
      <c r="C206">
        <f>Final_Dataset!P193</f>
        <v>1</v>
      </c>
    </row>
    <row r="207" spans="1:3" x14ac:dyDescent="0.2">
      <c r="A207" s="56">
        <f>Final_Dataset!R194</f>
        <v>40552.291666666664</v>
      </c>
      <c r="B207">
        <f t="shared" ref="B207:B270" si="3">ROUND((A207-$A$15)*24,0)</f>
        <v>199</v>
      </c>
      <c r="C207">
        <f>Final_Dataset!P194</f>
        <v>6</v>
      </c>
    </row>
    <row r="208" spans="1:3" x14ac:dyDescent="0.2">
      <c r="A208" s="56">
        <f>Final_Dataset!R195</f>
        <v>40552.333333333336</v>
      </c>
      <c r="B208">
        <f t="shared" si="3"/>
        <v>200</v>
      </c>
      <c r="C208">
        <f>Final_Dataset!P195</f>
        <v>10</v>
      </c>
    </row>
    <row r="209" spans="1:3" x14ac:dyDescent="0.2">
      <c r="A209" s="56">
        <f>Final_Dataset!R196</f>
        <v>40552.375</v>
      </c>
      <c r="B209">
        <f t="shared" si="3"/>
        <v>201</v>
      </c>
      <c r="C209">
        <f>Final_Dataset!P196</f>
        <v>19</v>
      </c>
    </row>
    <row r="210" spans="1:3" x14ac:dyDescent="0.2">
      <c r="A210" s="56">
        <f>Final_Dataset!R197</f>
        <v>40552.416666666664</v>
      </c>
      <c r="B210">
        <f t="shared" si="3"/>
        <v>202</v>
      </c>
      <c r="C210">
        <f>Final_Dataset!P197</f>
        <v>49</v>
      </c>
    </row>
    <row r="211" spans="1:3" x14ac:dyDescent="0.2">
      <c r="A211" s="56">
        <f>Final_Dataset!R198</f>
        <v>40552.458333333336</v>
      </c>
      <c r="B211">
        <f t="shared" si="3"/>
        <v>203</v>
      </c>
      <c r="C211">
        <f>Final_Dataset!P198</f>
        <v>49</v>
      </c>
    </row>
    <row r="212" spans="1:3" x14ac:dyDescent="0.2">
      <c r="A212" s="56">
        <f>Final_Dataset!R199</f>
        <v>40552.5</v>
      </c>
      <c r="B212">
        <f t="shared" si="3"/>
        <v>204</v>
      </c>
      <c r="C212">
        <f>Final_Dataset!P199</f>
        <v>83</v>
      </c>
    </row>
    <row r="213" spans="1:3" x14ac:dyDescent="0.2">
      <c r="A213" s="56">
        <f>Final_Dataset!R200</f>
        <v>40552.541666666664</v>
      </c>
      <c r="B213">
        <f t="shared" si="3"/>
        <v>205</v>
      </c>
      <c r="C213">
        <f>Final_Dataset!P200</f>
        <v>75</v>
      </c>
    </row>
    <row r="214" spans="1:3" x14ac:dyDescent="0.2">
      <c r="A214" s="56">
        <f>Final_Dataset!R201</f>
        <v>40552.583333333336</v>
      </c>
      <c r="B214">
        <f t="shared" si="3"/>
        <v>206</v>
      </c>
      <c r="C214">
        <f>Final_Dataset!P201</f>
        <v>72</v>
      </c>
    </row>
    <row r="215" spans="1:3" x14ac:dyDescent="0.2">
      <c r="A215" s="56">
        <f>Final_Dataset!R202</f>
        <v>40552.625</v>
      </c>
      <c r="B215">
        <f t="shared" si="3"/>
        <v>207</v>
      </c>
      <c r="C215">
        <f>Final_Dataset!P202</f>
        <v>82</v>
      </c>
    </row>
    <row r="216" spans="1:3" x14ac:dyDescent="0.2">
      <c r="A216" s="56">
        <f>Final_Dataset!R203</f>
        <v>40552.666666666664</v>
      </c>
      <c r="B216">
        <f t="shared" si="3"/>
        <v>208</v>
      </c>
      <c r="C216">
        <f>Final_Dataset!P203</f>
        <v>92</v>
      </c>
    </row>
    <row r="217" spans="1:3" x14ac:dyDescent="0.2">
      <c r="A217" s="56">
        <f>Final_Dataset!R204</f>
        <v>40552.708333333336</v>
      </c>
      <c r="B217">
        <f t="shared" si="3"/>
        <v>209</v>
      </c>
      <c r="C217">
        <f>Final_Dataset!P204</f>
        <v>62</v>
      </c>
    </row>
    <row r="218" spans="1:3" x14ac:dyDescent="0.2">
      <c r="A218" s="56">
        <f>Final_Dataset!R205</f>
        <v>40552.75</v>
      </c>
      <c r="B218">
        <f t="shared" si="3"/>
        <v>210</v>
      </c>
      <c r="C218">
        <f>Final_Dataset!P205</f>
        <v>48</v>
      </c>
    </row>
    <row r="219" spans="1:3" x14ac:dyDescent="0.2">
      <c r="A219" s="56">
        <f>Final_Dataset!R206</f>
        <v>40552.791666666664</v>
      </c>
      <c r="B219">
        <f t="shared" si="3"/>
        <v>211</v>
      </c>
      <c r="C219">
        <f>Final_Dataset!P206</f>
        <v>41</v>
      </c>
    </row>
    <row r="220" spans="1:3" x14ac:dyDescent="0.2">
      <c r="A220" s="56">
        <f>Final_Dataset!R207</f>
        <v>40552.833333333336</v>
      </c>
      <c r="B220">
        <f t="shared" si="3"/>
        <v>212</v>
      </c>
      <c r="C220">
        <f>Final_Dataset!P207</f>
        <v>38</v>
      </c>
    </row>
    <row r="221" spans="1:3" x14ac:dyDescent="0.2">
      <c r="A221" s="56">
        <f>Final_Dataset!R208</f>
        <v>40552.875</v>
      </c>
      <c r="B221">
        <f t="shared" si="3"/>
        <v>213</v>
      </c>
      <c r="C221">
        <f>Final_Dataset!P208</f>
        <v>20</v>
      </c>
    </row>
    <row r="222" spans="1:3" x14ac:dyDescent="0.2">
      <c r="A222" s="56">
        <f>Final_Dataset!R209</f>
        <v>40552.916666666664</v>
      </c>
      <c r="B222">
        <f t="shared" si="3"/>
        <v>214</v>
      </c>
      <c r="C222">
        <f>Final_Dataset!P209</f>
        <v>15</v>
      </c>
    </row>
    <row r="223" spans="1:3" x14ac:dyDescent="0.2">
      <c r="A223" s="56">
        <f>Final_Dataset!R210</f>
        <v>40552.958333333336</v>
      </c>
      <c r="B223">
        <f t="shared" si="3"/>
        <v>215</v>
      </c>
      <c r="C223">
        <f>Final_Dataset!P210</f>
        <v>6</v>
      </c>
    </row>
    <row r="224" spans="1:3" x14ac:dyDescent="0.2">
      <c r="A224" s="56">
        <f>Final_Dataset!R211</f>
        <v>40553</v>
      </c>
      <c r="B224">
        <f t="shared" si="3"/>
        <v>216</v>
      </c>
      <c r="C224">
        <f>Final_Dataset!P211</f>
        <v>5</v>
      </c>
    </row>
    <row r="225" spans="1:3" x14ac:dyDescent="0.2">
      <c r="A225" s="56">
        <f>Final_Dataset!R212</f>
        <v>40553.041666666664</v>
      </c>
      <c r="B225">
        <f t="shared" si="3"/>
        <v>217</v>
      </c>
      <c r="C225">
        <f>Final_Dataset!P212</f>
        <v>1</v>
      </c>
    </row>
    <row r="226" spans="1:3" x14ac:dyDescent="0.2">
      <c r="A226" s="56">
        <f>Final_Dataset!R213</f>
        <v>40553.083333333336</v>
      </c>
      <c r="B226">
        <f t="shared" si="3"/>
        <v>218</v>
      </c>
      <c r="C226">
        <f>Final_Dataset!P213</f>
        <v>3</v>
      </c>
    </row>
    <row r="227" spans="1:3" x14ac:dyDescent="0.2">
      <c r="A227" s="56">
        <f>Final_Dataset!R214</f>
        <v>40553.125</v>
      </c>
      <c r="B227">
        <f t="shared" si="3"/>
        <v>219</v>
      </c>
      <c r="C227">
        <f>Final_Dataset!P214</f>
        <v>1</v>
      </c>
    </row>
    <row r="228" spans="1:3" x14ac:dyDescent="0.2">
      <c r="A228" s="56">
        <f>Final_Dataset!R215</f>
        <v>40553.166666666664</v>
      </c>
      <c r="B228">
        <f t="shared" si="3"/>
        <v>220</v>
      </c>
      <c r="C228">
        <f>Final_Dataset!P215</f>
        <v>3</v>
      </c>
    </row>
    <row r="229" spans="1:3" x14ac:dyDescent="0.2">
      <c r="A229" s="56">
        <f>Final_Dataset!R216</f>
        <v>40553.208333333336</v>
      </c>
      <c r="B229">
        <f t="shared" si="3"/>
        <v>221</v>
      </c>
      <c r="C229">
        <f>Final_Dataset!P216</f>
        <v>3</v>
      </c>
    </row>
    <row r="230" spans="1:3" x14ac:dyDescent="0.2">
      <c r="A230" s="56">
        <f>Final_Dataset!R217</f>
        <v>40553.25</v>
      </c>
      <c r="B230">
        <f t="shared" si="3"/>
        <v>222</v>
      </c>
      <c r="C230">
        <f>Final_Dataset!P217</f>
        <v>31</v>
      </c>
    </row>
    <row r="231" spans="1:3" x14ac:dyDescent="0.2">
      <c r="A231" s="56">
        <f>Final_Dataset!R218</f>
        <v>40553.291666666664</v>
      </c>
      <c r="B231">
        <f t="shared" si="3"/>
        <v>223</v>
      </c>
      <c r="C231">
        <f>Final_Dataset!P218</f>
        <v>77</v>
      </c>
    </row>
    <row r="232" spans="1:3" x14ac:dyDescent="0.2">
      <c r="A232" s="56">
        <f>Final_Dataset!R219</f>
        <v>40553.333333333336</v>
      </c>
      <c r="B232">
        <f t="shared" si="3"/>
        <v>224</v>
      </c>
      <c r="C232">
        <f>Final_Dataset!P219</f>
        <v>188</v>
      </c>
    </row>
    <row r="233" spans="1:3" x14ac:dyDescent="0.2">
      <c r="A233" s="56">
        <f>Final_Dataset!R220</f>
        <v>40553.375</v>
      </c>
      <c r="B233">
        <f t="shared" si="3"/>
        <v>225</v>
      </c>
      <c r="C233">
        <f>Final_Dataset!P220</f>
        <v>94</v>
      </c>
    </row>
    <row r="234" spans="1:3" x14ac:dyDescent="0.2">
      <c r="A234" s="56">
        <f>Final_Dataset!R221</f>
        <v>40553.416666666664</v>
      </c>
      <c r="B234">
        <f t="shared" si="3"/>
        <v>226</v>
      </c>
      <c r="C234">
        <f>Final_Dataset!P221</f>
        <v>31</v>
      </c>
    </row>
    <row r="235" spans="1:3" x14ac:dyDescent="0.2">
      <c r="A235" s="56">
        <f>Final_Dataset!R222</f>
        <v>40553.458333333336</v>
      </c>
      <c r="B235">
        <f t="shared" si="3"/>
        <v>227</v>
      </c>
      <c r="C235">
        <f>Final_Dataset!P222</f>
        <v>30</v>
      </c>
    </row>
    <row r="236" spans="1:3" x14ac:dyDescent="0.2">
      <c r="A236" s="56">
        <f>Final_Dataset!R223</f>
        <v>40553.5</v>
      </c>
      <c r="B236">
        <f t="shared" si="3"/>
        <v>228</v>
      </c>
      <c r="C236">
        <f>Final_Dataset!P223</f>
        <v>52</v>
      </c>
    </row>
    <row r="237" spans="1:3" x14ac:dyDescent="0.2">
      <c r="A237" s="56">
        <f>Final_Dataset!R224</f>
        <v>40553.541666666664</v>
      </c>
      <c r="B237">
        <f t="shared" si="3"/>
        <v>229</v>
      </c>
      <c r="C237">
        <f>Final_Dataset!P224</f>
        <v>54</v>
      </c>
    </row>
    <row r="238" spans="1:3" x14ac:dyDescent="0.2">
      <c r="A238" s="56">
        <f>Final_Dataset!R225</f>
        <v>40553.583333333336</v>
      </c>
      <c r="B238">
        <f t="shared" si="3"/>
        <v>230</v>
      </c>
      <c r="C238">
        <f>Final_Dataset!P225</f>
        <v>47</v>
      </c>
    </row>
    <row r="239" spans="1:3" x14ac:dyDescent="0.2">
      <c r="A239" s="56">
        <f>Final_Dataset!R226</f>
        <v>40553.625</v>
      </c>
      <c r="B239">
        <f t="shared" si="3"/>
        <v>231</v>
      </c>
      <c r="C239">
        <f>Final_Dataset!P226</f>
        <v>45</v>
      </c>
    </row>
    <row r="240" spans="1:3" x14ac:dyDescent="0.2">
      <c r="A240" s="56">
        <f>Final_Dataset!R227</f>
        <v>40553.666666666664</v>
      </c>
      <c r="B240">
        <f t="shared" si="3"/>
        <v>232</v>
      </c>
      <c r="C240">
        <f>Final_Dataset!P227</f>
        <v>74</v>
      </c>
    </row>
    <row r="241" spans="1:3" x14ac:dyDescent="0.2">
      <c r="A241" s="56">
        <f>Final_Dataset!R228</f>
        <v>40553.708333333336</v>
      </c>
      <c r="B241">
        <f t="shared" si="3"/>
        <v>233</v>
      </c>
      <c r="C241">
        <f>Final_Dataset!P228</f>
        <v>178</v>
      </c>
    </row>
    <row r="242" spans="1:3" x14ac:dyDescent="0.2">
      <c r="A242" s="56">
        <f>Final_Dataset!R229</f>
        <v>40553.75</v>
      </c>
      <c r="B242">
        <f t="shared" si="3"/>
        <v>234</v>
      </c>
      <c r="C242">
        <f>Final_Dataset!P229</f>
        <v>155</v>
      </c>
    </row>
    <row r="243" spans="1:3" x14ac:dyDescent="0.2">
      <c r="A243" s="56">
        <f>Final_Dataset!R230</f>
        <v>40553.791666666664</v>
      </c>
      <c r="B243">
        <f t="shared" si="3"/>
        <v>235</v>
      </c>
      <c r="C243">
        <f>Final_Dataset!P230</f>
        <v>95</v>
      </c>
    </row>
    <row r="244" spans="1:3" x14ac:dyDescent="0.2">
      <c r="A244" s="56">
        <f>Final_Dataset!R231</f>
        <v>40553.833333333336</v>
      </c>
      <c r="B244">
        <f t="shared" si="3"/>
        <v>236</v>
      </c>
      <c r="C244">
        <f>Final_Dataset!P231</f>
        <v>74</v>
      </c>
    </row>
    <row r="245" spans="1:3" x14ac:dyDescent="0.2">
      <c r="A245" s="56">
        <f>Final_Dataset!R232</f>
        <v>40553.875</v>
      </c>
      <c r="B245">
        <f t="shared" si="3"/>
        <v>237</v>
      </c>
      <c r="C245">
        <f>Final_Dataset!P232</f>
        <v>38</v>
      </c>
    </row>
    <row r="246" spans="1:3" x14ac:dyDescent="0.2">
      <c r="A246" s="56">
        <f>Final_Dataset!R233</f>
        <v>40553.916666666664</v>
      </c>
      <c r="B246">
        <f t="shared" si="3"/>
        <v>238</v>
      </c>
      <c r="C246">
        <f>Final_Dataset!P233</f>
        <v>24</v>
      </c>
    </row>
    <row r="247" spans="1:3" x14ac:dyDescent="0.2">
      <c r="A247" s="56">
        <f>Final_Dataset!R234</f>
        <v>40553.958333333336</v>
      </c>
      <c r="B247">
        <f t="shared" si="3"/>
        <v>239</v>
      </c>
      <c r="C247">
        <f>Final_Dataset!P234</f>
        <v>18</v>
      </c>
    </row>
    <row r="248" spans="1:3" x14ac:dyDescent="0.2">
      <c r="A248" s="56">
        <f>Final_Dataset!R235</f>
        <v>40554</v>
      </c>
      <c r="B248">
        <f t="shared" si="3"/>
        <v>240</v>
      </c>
      <c r="C248">
        <f>Final_Dataset!P235</f>
        <v>12</v>
      </c>
    </row>
    <row r="249" spans="1:3" x14ac:dyDescent="0.2">
      <c r="A249" s="56">
        <f>Final_Dataset!R236</f>
        <v>40554.041666666664</v>
      </c>
      <c r="B249">
        <f t="shared" si="3"/>
        <v>241</v>
      </c>
      <c r="C249">
        <f>Final_Dataset!P236</f>
        <v>3</v>
      </c>
    </row>
    <row r="250" spans="1:3" x14ac:dyDescent="0.2">
      <c r="A250" s="56">
        <f>Final_Dataset!R237</f>
        <v>40554.083333333336</v>
      </c>
      <c r="B250">
        <f t="shared" si="3"/>
        <v>242</v>
      </c>
      <c r="C250">
        <f>Final_Dataset!P237</f>
        <v>3</v>
      </c>
    </row>
    <row r="251" spans="1:3" x14ac:dyDescent="0.2">
      <c r="A251" s="56">
        <f>Final_Dataset!R238</f>
        <v>40554.208333333336</v>
      </c>
      <c r="B251">
        <f t="shared" si="3"/>
        <v>245</v>
      </c>
      <c r="C251">
        <f>Final_Dataset!P238</f>
        <v>6</v>
      </c>
    </row>
    <row r="252" spans="1:3" x14ac:dyDescent="0.2">
      <c r="A252" s="56">
        <f>Final_Dataset!R239</f>
        <v>40554.25</v>
      </c>
      <c r="B252">
        <f t="shared" si="3"/>
        <v>246</v>
      </c>
      <c r="C252">
        <f>Final_Dataset!P239</f>
        <v>27</v>
      </c>
    </row>
    <row r="253" spans="1:3" x14ac:dyDescent="0.2">
      <c r="A253" s="56">
        <f>Final_Dataset!R240</f>
        <v>40554.291666666664</v>
      </c>
      <c r="B253">
        <f t="shared" si="3"/>
        <v>247</v>
      </c>
      <c r="C253">
        <f>Final_Dataset!P240</f>
        <v>99</v>
      </c>
    </row>
    <row r="254" spans="1:3" x14ac:dyDescent="0.2">
      <c r="A254" s="56">
        <f>Final_Dataset!R241</f>
        <v>40554.333333333336</v>
      </c>
      <c r="B254">
        <f t="shared" si="3"/>
        <v>248</v>
      </c>
      <c r="C254">
        <f>Final_Dataset!P241</f>
        <v>217</v>
      </c>
    </row>
    <row r="255" spans="1:3" x14ac:dyDescent="0.2">
      <c r="A255" s="56">
        <f>Final_Dataset!R242</f>
        <v>40554.375</v>
      </c>
      <c r="B255">
        <f t="shared" si="3"/>
        <v>249</v>
      </c>
      <c r="C255">
        <f>Final_Dataset!P242</f>
        <v>130</v>
      </c>
    </row>
    <row r="256" spans="1:3" x14ac:dyDescent="0.2">
      <c r="A256" s="56">
        <f>Final_Dataset!R243</f>
        <v>40554.416666666664</v>
      </c>
      <c r="B256">
        <f t="shared" si="3"/>
        <v>250</v>
      </c>
      <c r="C256">
        <f>Final_Dataset!P243</f>
        <v>54</v>
      </c>
    </row>
    <row r="257" spans="1:3" x14ac:dyDescent="0.2">
      <c r="A257" s="56">
        <f>Final_Dataset!R244</f>
        <v>40554.458333333336</v>
      </c>
      <c r="B257">
        <f t="shared" si="3"/>
        <v>251</v>
      </c>
      <c r="C257">
        <f>Final_Dataset!P244</f>
        <v>35</v>
      </c>
    </row>
    <row r="258" spans="1:3" x14ac:dyDescent="0.2">
      <c r="A258" s="56">
        <f>Final_Dataset!R245</f>
        <v>40554.5</v>
      </c>
      <c r="B258">
        <f t="shared" si="3"/>
        <v>252</v>
      </c>
      <c r="C258">
        <f>Final_Dataset!P245</f>
        <v>57</v>
      </c>
    </row>
    <row r="259" spans="1:3" x14ac:dyDescent="0.2">
      <c r="A259" s="56">
        <f>Final_Dataset!R246</f>
        <v>40554.541666666664</v>
      </c>
      <c r="B259">
        <f t="shared" si="3"/>
        <v>253</v>
      </c>
      <c r="C259">
        <f>Final_Dataset!P246</f>
        <v>52</v>
      </c>
    </row>
    <row r="260" spans="1:3" x14ac:dyDescent="0.2">
      <c r="A260" s="56">
        <f>Final_Dataset!R247</f>
        <v>40554.583333333336</v>
      </c>
      <c r="B260">
        <f t="shared" si="3"/>
        <v>254</v>
      </c>
      <c r="C260">
        <f>Final_Dataset!P247</f>
        <v>63</v>
      </c>
    </row>
    <row r="261" spans="1:3" x14ac:dyDescent="0.2">
      <c r="A261" s="56">
        <f>Final_Dataset!R248</f>
        <v>40554.625</v>
      </c>
      <c r="B261">
        <f t="shared" si="3"/>
        <v>255</v>
      </c>
      <c r="C261">
        <f>Final_Dataset!P248</f>
        <v>47</v>
      </c>
    </row>
    <row r="262" spans="1:3" x14ac:dyDescent="0.2">
      <c r="A262" s="56">
        <f>Final_Dataset!R249</f>
        <v>40554.666666666664</v>
      </c>
      <c r="B262">
        <f t="shared" si="3"/>
        <v>256</v>
      </c>
      <c r="C262">
        <f>Final_Dataset!P249</f>
        <v>76</v>
      </c>
    </row>
    <row r="263" spans="1:3" x14ac:dyDescent="0.2">
      <c r="A263" s="56">
        <f>Final_Dataset!R250</f>
        <v>40554.708333333336</v>
      </c>
      <c r="B263">
        <f t="shared" si="3"/>
        <v>257</v>
      </c>
      <c r="C263">
        <f>Final_Dataset!P250</f>
        <v>136</v>
      </c>
    </row>
    <row r="264" spans="1:3" x14ac:dyDescent="0.2">
      <c r="A264" s="56">
        <f>Final_Dataset!R251</f>
        <v>40554.75</v>
      </c>
      <c r="B264">
        <f t="shared" si="3"/>
        <v>258</v>
      </c>
      <c r="C264">
        <f>Final_Dataset!P251</f>
        <v>95</v>
      </c>
    </row>
    <row r="265" spans="1:3" x14ac:dyDescent="0.2">
      <c r="A265" s="56">
        <f>Final_Dataset!R252</f>
        <v>40554.791666666664</v>
      </c>
      <c r="B265">
        <f t="shared" si="3"/>
        <v>259</v>
      </c>
      <c r="C265">
        <f>Final_Dataset!P252</f>
        <v>51</v>
      </c>
    </row>
    <row r="266" spans="1:3" x14ac:dyDescent="0.2">
      <c r="A266" s="56">
        <f>Final_Dataset!R253</f>
        <v>40554.833333333336</v>
      </c>
      <c r="B266">
        <f t="shared" si="3"/>
        <v>260</v>
      </c>
      <c r="C266">
        <f>Final_Dataset!P253</f>
        <v>32</v>
      </c>
    </row>
    <row r="267" spans="1:3" x14ac:dyDescent="0.2">
      <c r="A267" s="56">
        <f>Final_Dataset!R254</f>
        <v>40554.875</v>
      </c>
      <c r="B267">
        <f t="shared" si="3"/>
        <v>261</v>
      </c>
      <c r="C267">
        <f>Final_Dataset!P254</f>
        <v>20</v>
      </c>
    </row>
    <row r="268" spans="1:3" x14ac:dyDescent="0.2">
      <c r="A268" s="56">
        <f>Final_Dataset!R255</f>
        <v>40554.916666666664</v>
      </c>
      <c r="B268">
        <f t="shared" si="3"/>
        <v>262</v>
      </c>
      <c r="C268">
        <f>Final_Dataset!P255</f>
        <v>29</v>
      </c>
    </row>
    <row r="269" spans="1:3" x14ac:dyDescent="0.2">
      <c r="A269" s="56">
        <f>Final_Dataset!R256</f>
        <v>40554.958333333336</v>
      </c>
      <c r="B269">
        <f t="shared" si="3"/>
        <v>263</v>
      </c>
      <c r="C269">
        <f>Final_Dataset!P256</f>
        <v>19</v>
      </c>
    </row>
    <row r="270" spans="1:3" x14ac:dyDescent="0.2">
      <c r="A270" s="56">
        <f>Final_Dataset!R257</f>
        <v>40555</v>
      </c>
      <c r="B270">
        <f t="shared" si="3"/>
        <v>264</v>
      </c>
      <c r="C270">
        <f>Final_Dataset!P257</f>
        <v>7</v>
      </c>
    </row>
    <row r="271" spans="1:3" x14ac:dyDescent="0.2">
      <c r="A271" s="56">
        <f>Final_Dataset!R258</f>
        <v>40555.041666666664</v>
      </c>
      <c r="B271">
        <f t="shared" ref="B271:B334" si="4">ROUND((A271-$A$15)*24,0)</f>
        <v>265</v>
      </c>
      <c r="C271">
        <f>Final_Dataset!P258</f>
        <v>6</v>
      </c>
    </row>
    <row r="272" spans="1:3" x14ac:dyDescent="0.2">
      <c r="A272" s="56">
        <f>Final_Dataset!R259</f>
        <v>40555.083333333336</v>
      </c>
      <c r="B272">
        <f t="shared" si="4"/>
        <v>266</v>
      </c>
      <c r="C272">
        <f>Final_Dataset!P259</f>
        <v>1</v>
      </c>
    </row>
    <row r="273" spans="1:3" x14ac:dyDescent="0.2">
      <c r="A273" s="56">
        <f>Final_Dataset!R260</f>
        <v>40555.208333333336</v>
      </c>
      <c r="B273">
        <f t="shared" si="4"/>
        <v>269</v>
      </c>
      <c r="C273">
        <f>Final_Dataset!P260</f>
        <v>5</v>
      </c>
    </row>
    <row r="274" spans="1:3" x14ac:dyDescent="0.2">
      <c r="A274" s="56">
        <f>Final_Dataset!R261</f>
        <v>40555.25</v>
      </c>
      <c r="B274">
        <f t="shared" si="4"/>
        <v>270</v>
      </c>
      <c r="C274">
        <f>Final_Dataset!P261</f>
        <v>16</v>
      </c>
    </row>
    <row r="275" spans="1:3" x14ac:dyDescent="0.2">
      <c r="A275" s="56">
        <f>Final_Dataset!R262</f>
        <v>40555.291666666664</v>
      </c>
      <c r="B275">
        <f t="shared" si="4"/>
        <v>271</v>
      </c>
      <c r="C275">
        <f>Final_Dataset!P262</f>
        <v>54</v>
      </c>
    </row>
    <row r="276" spans="1:3" x14ac:dyDescent="0.2">
      <c r="A276" s="56">
        <f>Final_Dataset!R263</f>
        <v>40555.333333333336</v>
      </c>
      <c r="B276">
        <f t="shared" si="4"/>
        <v>272</v>
      </c>
      <c r="C276">
        <f>Final_Dataset!P263</f>
        <v>128</v>
      </c>
    </row>
    <row r="277" spans="1:3" x14ac:dyDescent="0.2">
      <c r="A277" s="56">
        <f>Final_Dataset!R264</f>
        <v>40555.375</v>
      </c>
      <c r="B277">
        <f t="shared" si="4"/>
        <v>273</v>
      </c>
      <c r="C277">
        <f>Final_Dataset!P264</f>
        <v>81</v>
      </c>
    </row>
    <row r="278" spans="1:3" x14ac:dyDescent="0.2">
      <c r="A278" s="56">
        <f>Final_Dataset!R265</f>
        <v>40555.416666666664</v>
      </c>
      <c r="B278">
        <f t="shared" si="4"/>
        <v>274</v>
      </c>
      <c r="C278">
        <f>Final_Dataset!P265</f>
        <v>39</v>
      </c>
    </row>
    <row r="279" spans="1:3" x14ac:dyDescent="0.2">
      <c r="A279" s="56">
        <f>Final_Dataset!R266</f>
        <v>40555.458333333336</v>
      </c>
      <c r="B279">
        <f t="shared" si="4"/>
        <v>275</v>
      </c>
      <c r="C279">
        <f>Final_Dataset!P266</f>
        <v>35</v>
      </c>
    </row>
    <row r="280" spans="1:3" x14ac:dyDescent="0.2">
      <c r="A280" s="56">
        <f>Final_Dataset!R267</f>
        <v>40555.5</v>
      </c>
      <c r="B280">
        <f t="shared" si="4"/>
        <v>276</v>
      </c>
      <c r="C280">
        <f>Final_Dataset!P267</f>
        <v>55</v>
      </c>
    </row>
    <row r="281" spans="1:3" x14ac:dyDescent="0.2">
      <c r="A281" s="56">
        <f>Final_Dataset!R268</f>
        <v>40555.541666666664</v>
      </c>
      <c r="B281">
        <f t="shared" si="4"/>
        <v>277</v>
      </c>
      <c r="C281">
        <f>Final_Dataset!P268</f>
        <v>49</v>
      </c>
    </row>
    <row r="282" spans="1:3" x14ac:dyDescent="0.2">
      <c r="A282" s="56">
        <f>Final_Dataset!R269</f>
        <v>40555.583333333336</v>
      </c>
      <c r="B282">
        <f t="shared" si="4"/>
        <v>278</v>
      </c>
      <c r="C282">
        <f>Final_Dataset!P269</f>
        <v>44</v>
      </c>
    </row>
    <row r="283" spans="1:3" x14ac:dyDescent="0.2">
      <c r="A283" s="56">
        <f>Final_Dataset!R270</f>
        <v>40555.625</v>
      </c>
      <c r="B283">
        <f t="shared" si="4"/>
        <v>279</v>
      </c>
      <c r="C283">
        <f>Final_Dataset!P270</f>
        <v>49</v>
      </c>
    </row>
    <row r="284" spans="1:3" x14ac:dyDescent="0.2">
      <c r="A284" s="56">
        <f>Final_Dataset!R271</f>
        <v>40555.666666666664</v>
      </c>
      <c r="B284">
        <f t="shared" si="4"/>
        <v>280</v>
      </c>
      <c r="C284">
        <f>Final_Dataset!P271</f>
        <v>68</v>
      </c>
    </row>
    <row r="285" spans="1:3" x14ac:dyDescent="0.2">
      <c r="A285" s="56">
        <f>Final_Dataset!R272</f>
        <v>40555.708333333336</v>
      </c>
      <c r="B285">
        <f t="shared" si="4"/>
        <v>281</v>
      </c>
      <c r="C285">
        <f>Final_Dataset!P272</f>
        <v>139</v>
      </c>
    </row>
    <row r="286" spans="1:3" x14ac:dyDescent="0.2">
      <c r="A286" s="56">
        <f>Final_Dataset!R273</f>
        <v>40555.75</v>
      </c>
      <c r="B286">
        <f t="shared" si="4"/>
        <v>282</v>
      </c>
      <c r="C286">
        <f>Final_Dataset!P273</f>
        <v>137</v>
      </c>
    </row>
    <row r="287" spans="1:3" x14ac:dyDescent="0.2">
      <c r="A287" s="56">
        <f>Final_Dataset!R274</f>
        <v>40555.791666666664</v>
      </c>
      <c r="B287">
        <f t="shared" si="4"/>
        <v>283</v>
      </c>
      <c r="C287">
        <f>Final_Dataset!P274</f>
        <v>83</v>
      </c>
    </row>
    <row r="288" spans="1:3" x14ac:dyDescent="0.2">
      <c r="A288" s="56">
        <f>Final_Dataset!R275</f>
        <v>40555.833333333336</v>
      </c>
      <c r="B288">
        <f t="shared" si="4"/>
        <v>284</v>
      </c>
      <c r="C288">
        <f>Final_Dataset!P275</f>
        <v>56</v>
      </c>
    </row>
    <row r="289" spans="1:3" x14ac:dyDescent="0.2">
      <c r="A289" s="56">
        <f>Final_Dataset!R276</f>
        <v>40555.875</v>
      </c>
      <c r="B289">
        <f t="shared" si="4"/>
        <v>285</v>
      </c>
      <c r="C289">
        <f>Final_Dataset!P276</f>
        <v>57</v>
      </c>
    </row>
    <row r="290" spans="1:3" x14ac:dyDescent="0.2">
      <c r="A290" s="56">
        <f>Final_Dataset!R277</f>
        <v>40555.916666666664</v>
      </c>
      <c r="B290">
        <f t="shared" si="4"/>
        <v>286</v>
      </c>
      <c r="C290">
        <f>Final_Dataset!P277</f>
        <v>33</v>
      </c>
    </row>
    <row r="291" spans="1:3" x14ac:dyDescent="0.2">
      <c r="A291" s="56">
        <f>Final_Dataset!R278</f>
        <v>40555.958333333336</v>
      </c>
      <c r="B291">
        <f t="shared" si="4"/>
        <v>287</v>
      </c>
      <c r="C291">
        <f>Final_Dataset!P278</f>
        <v>20</v>
      </c>
    </row>
    <row r="292" spans="1:3" x14ac:dyDescent="0.2">
      <c r="A292" s="56">
        <f>Final_Dataset!R279</f>
        <v>40556</v>
      </c>
      <c r="B292">
        <f t="shared" si="4"/>
        <v>288</v>
      </c>
      <c r="C292">
        <f>Final_Dataset!P279</f>
        <v>7</v>
      </c>
    </row>
    <row r="293" spans="1:3" x14ac:dyDescent="0.2">
      <c r="A293" s="56">
        <f>Final_Dataset!R280</f>
        <v>40556.041666666664</v>
      </c>
      <c r="B293">
        <f t="shared" si="4"/>
        <v>289</v>
      </c>
      <c r="C293">
        <f>Final_Dataset!P280</f>
        <v>2</v>
      </c>
    </row>
    <row r="294" spans="1:3" x14ac:dyDescent="0.2">
      <c r="A294" s="56">
        <f>Final_Dataset!R281</f>
        <v>40556.083333333336</v>
      </c>
      <c r="B294">
        <f t="shared" si="4"/>
        <v>290</v>
      </c>
      <c r="C294">
        <f>Final_Dataset!P281</f>
        <v>2</v>
      </c>
    </row>
    <row r="295" spans="1:3" x14ac:dyDescent="0.2">
      <c r="A295" s="56">
        <f>Final_Dataset!R282</f>
        <v>40556.125</v>
      </c>
      <c r="B295">
        <f t="shared" si="4"/>
        <v>291</v>
      </c>
      <c r="C295">
        <f>Final_Dataset!P282</f>
        <v>3</v>
      </c>
    </row>
    <row r="296" spans="1:3" x14ac:dyDescent="0.2">
      <c r="A296" s="56">
        <f>Final_Dataset!R283</f>
        <v>40556.166666666664</v>
      </c>
      <c r="B296">
        <f t="shared" si="4"/>
        <v>292</v>
      </c>
      <c r="C296">
        <f>Final_Dataset!P283</f>
        <v>4</v>
      </c>
    </row>
    <row r="297" spans="1:3" x14ac:dyDescent="0.2">
      <c r="A297" s="56">
        <f>Final_Dataset!R284</f>
        <v>40556.208333333336</v>
      </c>
      <c r="B297">
        <f t="shared" si="4"/>
        <v>293</v>
      </c>
      <c r="C297">
        <f>Final_Dataset!P284</f>
        <v>3</v>
      </c>
    </row>
    <row r="298" spans="1:3" x14ac:dyDescent="0.2">
      <c r="A298" s="56">
        <f>Final_Dataset!R285</f>
        <v>40556.25</v>
      </c>
      <c r="B298">
        <f t="shared" si="4"/>
        <v>294</v>
      </c>
      <c r="C298">
        <f>Final_Dataset!P285</f>
        <v>28</v>
      </c>
    </row>
    <row r="299" spans="1:3" x14ac:dyDescent="0.2">
      <c r="A299" s="56">
        <f>Final_Dataset!R286</f>
        <v>40556.291666666664</v>
      </c>
      <c r="B299">
        <f t="shared" si="4"/>
        <v>295</v>
      </c>
      <c r="C299">
        <f>Final_Dataset!P286</f>
        <v>72</v>
      </c>
    </row>
    <row r="300" spans="1:3" x14ac:dyDescent="0.2">
      <c r="A300" s="56">
        <f>Final_Dataset!R287</f>
        <v>40556.333333333336</v>
      </c>
      <c r="B300">
        <f t="shared" si="4"/>
        <v>296</v>
      </c>
      <c r="C300">
        <f>Final_Dataset!P287</f>
        <v>202</v>
      </c>
    </row>
    <row r="301" spans="1:3" x14ac:dyDescent="0.2">
      <c r="A301" s="56">
        <f>Final_Dataset!R288</f>
        <v>40556.375</v>
      </c>
      <c r="B301">
        <f t="shared" si="4"/>
        <v>297</v>
      </c>
      <c r="C301">
        <f>Final_Dataset!P288</f>
        <v>139</v>
      </c>
    </row>
    <row r="302" spans="1:3" x14ac:dyDescent="0.2">
      <c r="A302" s="56">
        <f>Final_Dataset!R289</f>
        <v>40556.416666666664</v>
      </c>
      <c r="B302">
        <f t="shared" si="4"/>
        <v>298</v>
      </c>
      <c r="C302">
        <f>Final_Dataset!P289</f>
        <v>38</v>
      </c>
    </row>
    <row r="303" spans="1:3" x14ac:dyDescent="0.2">
      <c r="A303" s="56">
        <f>Final_Dataset!R290</f>
        <v>40556.458333333336</v>
      </c>
      <c r="B303">
        <f t="shared" si="4"/>
        <v>299</v>
      </c>
      <c r="C303">
        <f>Final_Dataset!P290</f>
        <v>37</v>
      </c>
    </row>
    <row r="304" spans="1:3" x14ac:dyDescent="0.2">
      <c r="A304" s="56">
        <f>Final_Dataset!R291</f>
        <v>40556.5</v>
      </c>
      <c r="B304">
        <f t="shared" si="4"/>
        <v>300</v>
      </c>
      <c r="C304">
        <f>Final_Dataset!P291</f>
        <v>52</v>
      </c>
    </row>
    <row r="305" spans="1:3" x14ac:dyDescent="0.2">
      <c r="A305" s="56">
        <f>Final_Dataset!R292</f>
        <v>40556.541666666664</v>
      </c>
      <c r="B305">
        <f t="shared" si="4"/>
        <v>301</v>
      </c>
      <c r="C305">
        <f>Final_Dataset!P292</f>
        <v>83</v>
      </c>
    </row>
    <row r="306" spans="1:3" x14ac:dyDescent="0.2">
      <c r="A306" s="56">
        <f>Final_Dataset!R293</f>
        <v>40556.583333333336</v>
      </c>
      <c r="B306">
        <f t="shared" si="4"/>
        <v>302</v>
      </c>
      <c r="C306">
        <f>Final_Dataset!P293</f>
        <v>42</v>
      </c>
    </row>
    <row r="307" spans="1:3" x14ac:dyDescent="0.2">
      <c r="A307" s="56">
        <f>Final_Dataset!R294</f>
        <v>40556.625</v>
      </c>
      <c r="B307">
        <f t="shared" si="4"/>
        <v>303</v>
      </c>
      <c r="C307">
        <f>Final_Dataset!P294</f>
        <v>60</v>
      </c>
    </row>
    <row r="308" spans="1:3" x14ac:dyDescent="0.2">
      <c r="A308" s="56">
        <f>Final_Dataset!R295</f>
        <v>40556.666666666664</v>
      </c>
      <c r="B308">
        <f t="shared" si="4"/>
        <v>304</v>
      </c>
      <c r="C308">
        <f>Final_Dataset!P295</f>
        <v>78</v>
      </c>
    </row>
    <row r="309" spans="1:3" x14ac:dyDescent="0.2">
      <c r="A309" s="56">
        <f>Final_Dataset!R296</f>
        <v>40556.708333333336</v>
      </c>
      <c r="B309">
        <f t="shared" si="4"/>
        <v>305</v>
      </c>
      <c r="C309">
        <f>Final_Dataset!P296</f>
        <v>162</v>
      </c>
    </row>
    <row r="310" spans="1:3" x14ac:dyDescent="0.2">
      <c r="A310" s="56">
        <f>Final_Dataset!R297</f>
        <v>40556.75</v>
      </c>
      <c r="B310">
        <f t="shared" si="4"/>
        <v>306</v>
      </c>
      <c r="C310">
        <f>Final_Dataset!P297</f>
        <v>144</v>
      </c>
    </row>
    <row r="311" spans="1:3" x14ac:dyDescent="0.2">
      <c r="A311" s="56">
        <f>Final_Dataset!R298</f>
        <v>40556.791666666664</v>
      </c>
      <c r="B311">
        <f t="shared" si="4"/>
        <v>307</v>
      </c>
      <c r="C311">
        <f>Final_Dataset!P298</f>
        <v>99</v>
      </c>
    </row>
    <row r="312" spans="1:3" x14ac:dyDescent="0.2">
      <c r="A312" s="56">
        <f>Final_Dataset!R299</f>
        <v>40556.833333333336</v>
      </c>
      <c r="B312">
        <f t="shared" si="4"/>
        <v>308</v>
      </c>
      <c r="C312">
        <f>Final_Dataset!P299</f>
        <v>64</v>
      </c>
    </row>
    <row r="313" spans="1:3" x14ac:dyDescent="0.2">
      <c r="A313" s="56">
        <f>Final_Dataset!R300</f>
        <v>40556.875</v>
      </c>
      <c r="B313">
        <f t="shared" si="4"/>
        <v>309</v>
      </c>
      <c r="C313">
        <f>Final_Dataset!P300</f>
        <v>40</v>
      </c>
    </row>
    <row r="314" spans="1:3" x14ac:dyDescent="0.2">
      <c r="A314" s="56">
        <f>Final_Dataset!R301</f>
        <v>40556.916666666664</v>
      </c>
      <c r="B314">
        <f t="shared" si="4"/>
        <v>310</v>
      </c>
      <c r="C314">
        <f>Final_Dataset!P301</f>
        <v>30</v>
      </c>
    </row>
    <row r="315" spans="1:3" x14ac:dyDescent="0.2">
      <c r="A315" s="56">
        <f>Final_Dataset!R302</f>
        <v>40556.958333333336</v>
      </c>
      <c r="B315">
        <f t="shared" si="4"/>
        <v>311</v>
      </c>
      <c r="C315">
        <f>Final_Dataset!P302</f>
        <v>15</v>
      </c>
    </row>
    <row r="316" spans="1:3" x14ac:dyDescent="0.2">
      <c r="A316" s="56">
        <f>Final_Dataset!R303</f>
        <v>40557</v>
      </c>
      <c r="B316">
        <f t="shared" si="4"/>
        <v>312</v>
      </c>
      <c r="C316">
        <f>Final_Dataset!P303</f>
        <v>14</v>
      </c>
    </row>
    <row r="317" spans="1:3" x14ac:dyDescent="0.2">
      <c r="A317" s="56">
        <f>Final_Dataset!R304</f>
        <v>40557.041666666664</v>
      </c>
      <c r="B317">
        <f t="shared" si="4"/>
        <v>313</v>
      </c>
      <c r="C317">
        <f>Final_Dataset!P304</f>
        <v>5</v>
      </c>
    </row>
    <row r="318" spans="1:3" x14ac:dyDescent="0.2">
      <c r="A318" s="56">
        <f>Final_Dataset!R305</f>
        <v>40557.083333333336</v>
      </c>
      <c r="B318">
        <f t="shared" si="4"/>
        <v>314</v>
      </c>
      <c r="C318">
        <f>Final_Dataset!P305</f>
        <v>1</v>
      </c>
    </row>
    <row r="319" spans="1:3" x14ac:dyDescent="0.2">
      <c r="A319" s="56">
        <f>Final_Dataset!R306</f>
        <v>40557.125</v>
      </c>
      <c r="B319">
        <f t="shared" si="4"/>
        <v>315</v>
      </c>
      <c r="C319">
        <f>Final_Dataset!P306</f>
        <v>1</v>
      </c>
    </row>
    <row r="320" spans="1:3" x14ac:dyDescent="0.2">
      <c r="A320" s="56">
        <f>Final_Dataset!R307</f>
        <v>40557.208333333336</v>
      </c>
      <c r="B320">
        <f t="shared" si="4"/>
        <v>317</v>
      </c>
      <c r="C320">
        <f>Final_Dataset!P307</f>
        <v>8</v>
      </c>
    </row>
    <row r="321" spans="1:3" x14ac:dyDescent="0.2">
      <c r="A321" s="56">
        <f>Final_Dataset!R308</f>
        <v>40557.25</v>
      </c>
      <c r="B321">
        <f t="shared" si="4"/>
        <v>318</v>
      </c>
      <c r="C321">
        <f>Final_Dataset!P308</f>
        <v>17</v>
      </c>
    </row>
    <row r="322" spans="1:3" x14ac:dyDescent="0.2">
      <c r="A322" s="56">
        <f>Final_Dataset!R309</f>
        <v>40557.291666666664</v>
      </c>
      <c r="B322">
        <f t="shared" si="4"/>
        <v>319</v>
      </c>
      <c r="C322">
        <f>Final_Dataset!P309</f>
        <v>70</v>
      </c>
    </row>
    <row r="323" spans="1:3" x14ac:dyDescent="0.2">
      <c r="A323" s="56">
        <f>Final_Dataset!R310</f>
        <v>40557.333333333336</v>
      </c>
      <c r="B323">
        <f t="shared" si="4"/>
        <v>320</v>
      </c>
      <c r="C323">
        <f>Final_Dataset!P310</f>
        <v>158</v>
      </c>
    </row>
    <row r="324" spans="1:3" x14ac:dyDescent="0.2">
      <c r="A324" s="56">
        <f>Final_Dataset!R311</f>
        <v>40557.375</v>
      </c>
      <c r="B324">
        <f t="shared" si="4"/>
        <v>321</v>
      </c>
      <c r="C324">
        <f>Final_Dataset!P311</f>
        <v>117</v>
      </c>
    </row>
    <row r="325" spans="1:3" x14ac:dyDescent="0.2">
      <c r="A325" s="56">
        <f>Final_Dataset!R312</f>
        <v>40557.416666666664</v>
      </c>
      <c r="B325">
        <f t="shared" si="4"/>
        <v>322</v>
      </c>
      <c r="C325">
        <f>Final_Dataset!P312</f>
        <v>44</v>
      </c>
    </row>
    <row r="326" spans="1:3" x14ac:dyDescent="0.2">
      <c r="A326" s="56">
        <f>Final_Dataset!R313</f>
        <v>40557.458333333336</v>
      </c>
      <c r="B326">
        <f t="shared" si="4"/>
        <v>323</v>
      </c>
      <c r="C326">
        <f>Final_Dataset!P313</f>
        <v>53</v>
      </c>
    </row>
    <row r="327" spans="1:3" x14ac:dyDescent="0.2">
      <c r="A327" s="56">
        <f>Final_Dataset!R314</f>
        <v>40557.5</v>
      </c>
      <c r="B327">
        <f t="shared" si="4"/>
        <v>324</v>
      </c>
      <c r="C327">
        <f>Final_Dataset!P314</f>
        <v>61</v>
      </c>
    </row>
    <row r="328" spans="1:3" x14ac:dyDescent="0.2">
      <c r="A328" s="56">
        <f>Final_Dataset!R315</f>
        <v>40557.541666666664</v>
      </c>
      <c r="B328">
        <f t="shared" si="4"/>
        <v>325</v>
      </c>
      <c r="C328">
        <f>Final_Dataset!P315</f>
        <v>77</v>
      </c>
    </row>
    <row r="329" spans="1:3" x14ac:dyDescent="0.2">
      <c r="A329" s="56">
        <f>Final_Dataset!R316</f>
        <v>40557.583333333336</v>
      </c>
      <c r="B329">
        <f t="shared" si="4"/>
        <v>326</v>
      </c>
      <c r="C329">
        <f>Final_Dataset!P316</f>
        <v>64</v>
      </c>
    </row>
    <row r="330" spans="1:3" x14ac:dyDescent="0.2">
      <c r="A330" s="56">
        <f>Final_Dataset!R317</f>
        <v>40557.625</v>
      </c>
      <c r="B330">
        <f t="shared" si="4"/>
        <v>327</v>
      </c>
      <c r="C330">
        <f>Final_Dataset!P317</f>
        <v>68</v>
      </c>
    </row>
    <row r="331" spans="1:3" x14ac:dyDescent="0.2">
      <c r="A331" s="56">
        <f>Final_Dataset!R318</f>
        <v>40557.666666666664</v>
      </c>
      <c r="B331">
        <f t="shared" si="4"/>
        <v>328</v>
      </c>
      <c r="C331">
        <f>Final_Dataset!P318</f>
        <v>90</v>
      </c>
    </row>
    <row r="332" spans="1:3" x14ac:dyDescent="0.2">
      <c r="A332" s="56">
        <f>Final_Dataset!R319</f>
        <v>40557.708333333336</v>
      </c>
      <c r="B332">
        <f t="shared" si="4"/>
        <v>329</v>
      </c>
      <c r="C332">
        <f>Final_Dataset!P319</f>
        <v>159</v>
      </c>
    </row>
    <row r="333" spans="1:3" x14ac:dyDescent="0.2">
      <c r="A333" s="56">
        <f>Final_Dataset!R320</f>
        <v>40557.75</v>
      </c>
      <c r="B333">
        <f t="shared" si="4"/>
        <v>330</v>
      </c>
      <c r="C333">
        <f>Final_Dataset!P320</f>
        <v>139</v>
      </c>
    </row>
    <row r="334" spans="1:3" x14ac:dyDescent="0.2">
      <c r="A334" s="56">
        <f>Final_Dataset!R321</f>
        <v>40557.791666666664</v>
      </c>
      <c r="B334">
        <f t="shared" si="4"/>
        <v>331</v>
      </c>
      <c r="C334">
        <f>Final_Dataset!P321</f>
        <v>92</v>
      </c>
    </row>
    <row r="335" spans="1:3" x14ac:dyDescent="0.2">
      <c r="A335" s="56">
        <f>Final_Dataset!R322</f>
        <v>40557.833333333336</v>
      </c>
      <c r="B335">
        <f t="shared" ref="B335:B398" si="5">ROUND((A335-$A$15)*24,0)</f>
        <v>332</v>
      </c>
      <c r="C335">
        <f>Final_Dataset!P322</f>
        <v>68</v>
      </c>
    </row>
    <row r="336" spans="1:3" x14ac:dyDescent="0.2">
      <c r="A336" s="56">
        <f>Final_Dataset!R323</f>
        <v>40557.875</v>
      </c>
      <c r="B336">
        <f t="shared" si="5"/>
        <v>333</v>
      </c>
      <c r="C336">
        <f>Final_Dataset!P323</f>
        <v>52</v>
      </c>
    </row>
    <row r="337" spans="1:3" x14ac:dyDescent="0.2">
      <c r="A337" s="56">
        <f>Final_Dataset!R324</f>
        <v>40557.916666666664</v>
      </c>
      <c r="B337">
        <f t="shared" si="5"/>
        <v>334</v>
      </c>
      <c r="C337">
        <f>Final_Dataset!P324</f>
        <v>36</v>
      </c>
    </row>
    <row r="338" spans="1:3" x14ac:dyDescent="0.2">
      <c r="A338" s="56">
        <f>Final_Dataset!R325</f>
        <v>40557.958333333336</v>
      </c>
      <c r="B338">
        <f t="shared" si="5"/>
        <v>335</v>
      </c>
      <c r="C338">
        <f>Final_Dataset!P325</f>
        <v>27</v>
      </c>
    </row>
    <row r="339" spans="1:3" x14ac:dyDescent="0.2">
      <c r="A339" s="56">
        <f>Final_Dataset!R326</f>
        <v>40558</v>
      </c>
      <c r="B339">
        <f t="shared" si="5"/>
        <v>336</v>
      </c>
      <c r="C339">
        <f>Final_Dataset!P326</f>
        <v>28</v>
      </c>
    </row>
    <row r="340" spans="1:3" x14ac:dyDescent="0.2">
      <c r="A340" s="56">
        <f>Final_Dataset!R327</f>
        <v>40558.041666666664</v>
      </c>
      <c r="B340">
        <f t="shared" si="5"/>
        <v>337</v>
      </c>
      <c r="C340">
        <f>Final_Dataset!P327</f>
        <v>20</v>
      </c>
    </row>
    <row r="341" spans="1:3" x14ac:dyDescent="0.2">
      <c r="A341" s="56">
        <f>Final_Dataset!R328</f>
        <v>40558.083333333336</v>
      </c>
      <c r="B341">
        <f t="shared" si="5"/>
        <v>338</v>
      </c>
      <c r="C341">
        <f>Final_Dataset!P328</f>
        <v>12</v>
      </c>
    </row>
    <row r="342" spans="1:3" x14ac:dyDescent="0.2">
      <c r="A342" s="56">
        <f>Final_Dataset!R329</f>
        <v>40558.125</v>
      </c>
      <c r="B342">
        <f t="shared" si="5"/>
        <v>339</v>
      </c>
      <c r="C342">
        <f>Final_Dataset!P329</f>
        <v>8</v>
      </c>
    </row>
    <row r="343" spans="1:3" x14ac:dyDescent="0.2">
      <c r="A343" s="56">
        <f>Final_Dataset!R330</f>
        <v>40558.166666666664</v>
      </c>
      <c r="B343">
        <f t="shared" si="5"/>
        <v>340</v>
      </c>
      <c r="C343">
        <f>Final_Dataset!P330</f>
        <v>5</v>
      </c>
    </row>
    <row r="344" spans="1:3" x14ac:dyDescent="0.2">
      <c r="A344" s="56">
        <f>Final_Dataset!R331</f>
        <v>40558.208333333336</v>
      </c>
      <c r="B344">
        <f t="shared" si="5"/>
        <v>341</v>
      </c>
      <c r="C344">
        <f>Final_Dataset!P331</f>
        <v>1</v>
      </c>
    </row>
    <row r="345" spans="1:3" x14ac:dyDescent="0.2">
      <c r="A345" s="56">
        <f>Final_Dataset!R332</f>
        <v>40558.25</v>
      </c>
      <c r="B345">
        <f t="shared" si="5"/>
        <v>342</v>
      </c>
      <c r="C345">
        <f>Final_Dataset!P332</f>
        <v>3</v>
      </c>
    </row>
    <row r="346" spans="1:3" x14ac:dyDescent="0.2">
      <c r="A346" s="56">
        <f>Final_Dataset!R333</f>
        <v>40558.291666666664</v>
      </c>
      <c r="B346">
        <f t="shared" si="5"/>
        <v>343</v>
      </c>
      <c r="C346">
        <f>Final_Dataset!P333</f>
        <v>10</v>
      </c>
    </row>
    <row r="347" spans="1:3" x14ac:dyDescent="0.2">
      <c r="A347" s="56">
        <f>Final_Dataset!R334</f>
        <v>40558.333333333336</v>
      </c>
      <c r="B347">
        <f t="shared" si="5"/>
        <v>344</v>
      </c>
      <c r="C347">
        <f>Final_Dataset!P334</f>
        <v>23</v>
      </c>
    </row>
    <row r="348" spans="1:3" x14ac:dyDescent="0.2">
      <c r="A348" s="56">
        <f>Final_Dataset!R335</f>
        <v>40558.375</v>
      </c>
      <c r="B348">
        <f t="shared" si="5"/>
        <v>345</v>
      </c>
      <c r="C348">
        <f>Final_Dataset!P335</f>
        <v>33</v>
      </c>
    </row>
    <row r="349" spans="1:3" x14ac:dyDescent="0.2">
      <c r="A349" s="56">
        <f>Final_Dataset!R336</f>
        <v>40558.416666666664</v>
      </c>
      <c r="B349">
        <f t="shared" si="5"/>
        <v>346</v>
      </c>
      <c r="C349">
        <f>Final_Dataset!P336</f>
        <v>59</v>
      </c>
    </row>
    <row r="350" spans="1:3" x14ac:dyDescent="0.2">
      <c r="A350" s="56">
        <f>Final_Dataset!R337</f>
        <v>40558.458333333336</v>
      </c>
      <c r="B350">
        <f t="shared" si="5"/>
        <v>347</v>
      </c>
      <c r="C350">
        <f>Final_Dataset!P337</f>
        <v>72</v>
      </c>
    </row>
    <row r="351" spans="1:3" x14ac:dyDescent="0.2">
      <c r="A351" s="56">
        <f>Final_Dataset!R338</f>
        <v>40558.5</v>
      </c>
      <c r="B351">
        <f t="shared" si="5"/>
        <v>348</v>
      </c>
      <c r="C351">
        <f>Final_Dataset!P338</f>
        <v>89</v>
      </c>
    </row>
    <row r="352" spans="1:3" x14ac:dyDescent="0.2">
      <c r="A352" s="56">
        <f>Final_Dataset!R339</f>
        <v>40558.541666666664</v>
      </c>
      <c r="B352">
        <f t="shared" si="5"/>
        <v>349</v>
      </c>
      <c r="C352">
        <f>Final_Dataset!P339</f>
        <v>101</v>
      </c>
    </row>
    <row r="353" spans="1:3" x14ac:dyDescent="0.2">
      <c r="A353" s="56">
        <f>Final_Dataset!R340</f>
        <v>40558.583333333336</v>
      </c>
      <c r="B353">
        <f t="shared" si="5"/>
        <v>350</v>
      </c>
      <c r="C353">
        <f>Final_Dataset!P340</f>
        <v>118</v>
      </c>
    </row>
    <row r="354" spans="1:3" x14ac:dyDescent="0.2">
      <c r="A354" s="56">
        <f>Final_Dataset!R341</f>
        <v>40558.625</v>
      </c>
      <c r="B354">
        <f t="shared" si="5"/>
        <v>351</v>
      </c>
      <c r="C354">
        <f>Final_Dataset!P341</f>
        <v>129</v>
      </c>
    </row>
    <row r="355" spans="1:3" x14ac:dyDescent="0.2">
      <c r="A355" s="56">
        <f>Final_Dataset!R342</f>
        <v>40558.666666666664</v>
      </c>
      <c r="B355">
        <f t="shared" si="5"/>
        <v>352</v>
      </c>
      <c r="C355">
        <f>Final_Dataset!P342</f>
        <v>128</v>
      </c>
    </row>
    <row r="356" spans="1:3" x14ac:dyDescent="0.2">
      <c r="A356" s="56">
        <f>Final_Dataset!R343</f>
        <v>40558.708333333336</v>
      </c>
      <c r="B356">
        <f t="shared" si="5"/>
        <v>353</v>
      </c>
      <c r="C356">
        <f>Final_Dataset!P343</f>
        <v>83</v>
      </c>
    </row>
    <row r="357" spans="1:3" x14ac:dyDescent="0.2">
      <c r="A357" s="56">
        <f>Final_Dataset!R344</f>
        <v>40558.75</v>
      </c>
      <c r="B357">
        <f t="shared" si="5"/>
        <v>354</v>
      </c>
      <c r="C357">
        <f>Final_Dataset!P344</f>
        <v>84</v>
      </c>
    </row>
    <row r="358" spans="1:3" x14ac:dyDescent="0.2">
      <c r="A358" s="56">
        <f>Final_Dataset!R345</f>
        <v>40558.791666666664</v>
      </c>
      <c r="B358">
        <f t="shared" si="5"/>
        <v>355</v>
      </c>
      <c r="C358">
        <f>Final_Dataset!P345</f>
        <v>74</v>
      </c>
    </row>
    <row r="359" spans="1:3" x14ac:dyDescent="0.2">
      <c r="A359" s="56">
        <f>Final_Dataset!R346</f>
        <v>40558.833333333336</v>
      </c>
      <c r="B359">
        <f t="shared" si="5"/>
        <v>356</v>
      </c>
      <c r="C359">
        <f>Final_Dataset!P346</f>
        <v>41</v>
      </c>
    </row>
    <row r="360" spans="1:3" x14ac:dyDescent="0.2">
      <c r="A360" s="56">
        <f>Final_Dataset!R347</f>
        <v>40558.875</v>
      </c>
      <c r="B360">
        <f t="shared" si="5"/>
        <v>357</v>
      </c>
      <c r="C360">
        <f>Final_Dataset!P347</f>
        <v>57</v>
      </c>
    </row>
    <row r="361" spans="1:3" x14ac:dyDescent="0.2">
      <c r="A361" s="56">
        <f>Final_Dataset!R348</f>
        <v>40558.916666666664</v>
      </c>
      <c r="B361">
        <f t="shared" si="5"/>
        <v>358</v>
      </c>
      <c r="C361">
        <f>Final_Dataset!P348</f>
        <v>26</v>
      </c>
    </row>
    <row r="362" spans="1:3" x14ac:dyDescent="0.2">
      <c r="A362" s="56">
        <f>Final_Dataset!R349</f>
        <v>40558.958333333336</v>
      </c>
      <c r="B362">
        <f t="shared" si="5"/>
        <v>359</v>
      </c>
      <c r="C362">
        <f>Final_Dataset!P349</f>
        <v>44</v>
      </c>
    </row>
    <row r="363" spans="1:3" x14ac:dyDescent="0.2">
      <c r="A363" s="56">
        <f>Final_Dataset!R350</f>
        <v>40559</v>
      </c>
      <c r="B363">
        <f t="shared" si="5"/>
        <v>360</v>
      </c>
      <c r="C363">
        <f>Final_Dataset!P350</f>
        <v>39</v>
      </c>
    </row>
    <row r="364" spans="1:3" x14ac:dyDescent="0.2">
      <c r="A364" s="56">
        <f>Final_Dataset!R351</f>
        <v>40559.041666666664</v>
      </c>
      <c r="B364">
        <f t="shared" si="5"/>
        <v>361</v>
      </c>
      <c r="C364">
        <f>Final_Dataset!P351</f>
        <v>23</v>
      </c>
    </row>
    <row r="365" spans="1:3" x14ac:dyDescent="0.2">
      <c r="A365" s="56">
        <f>Final_Dataset!R352</f>
        <v>40559.083333333336</v>
      </c>
      <c r="B365">
        <f t="shared" si="5"/>
        <v>362</v>
      </c>
      <c r="C365">
        <f>Final_Dataset!P352</f>
        <v>16</v>
      </c>
    </row>
    <row r="366" spans="1:3" x14ac:dyDescent="0.2">
      <c r="A366" s="56">
        <f>Final_Dataset!R353</f>
        <v>40559.125</v>
      </c>
      <c r="B366">
        <f t="shared" si="5"/>
        <v>363</v>
      </c>
      <c r="C366">
        <f>Final_Dataset!P353</f>
        <v>15</v>
      </c>
    </row>
    <row r="367" spans="1:3" x14ac:dyDescent="0.2">
      <c r="A367" s="56">
        <f>Final_Dataset!R354</f>
        <v>40559.166666666664</v>
      </c>
      <c r="B367">
        <f t="shared" si="5"/>
        <v>364</v>
      </c>
      <c r="C367">
        <f>Final_Dataset!P354</f>
        <v>1</v>
      </c>
    </row>
    <row r="368" spans="1:3" x14ac:dyDescent="0.2">
      <c r="A368" s="56">
        <f>Final_Dataset!R355</f>
        <v>40559.208333333336</v>
      </c>
      <c r="B368">
        <f t="shared" si="5"/>
        <v>365</v>
      </c>
      <c r="C368">
        <f>Final_Dataset!P355</f>
        <v>2</v>
      </c>
    </row>
    <row r="369" spans="1:3" x14ac:dyDescent="0.2">
      <c r="A369" s="56">
        <f>Final_Dataset!R356</f>
        <v>40559.25</v>
      </c>
      <c r="B369">
        <f t="shared" si="5"/>
        <v>366</v>
      </c>
      <c r="C369">
        <f>Final_Dataset!P356</f>
        <v>1</v>
      </c>
    </row>
    <row r="370" spans="1:3" x14ac:dyDescent="0.2">
      <c r="A370" s="56">
        <f>Final_Dataset!R357</f>
        <v>40559.291666666664</v>
      </c>
      <c r="B370">
        <f t="shared" si="5"/>
        <v>367</v>
      </c>
      <c r="C370">
        <f>Final_Dataset!P357</f>
        <v>3</v>
      </c>
    </row>
    <row r="371" spans="1:3" x14ac:dyDescent="0.2">
      <c r="A371" s="56">
        <f>Final_Dataset!R358</f>
        <v>40559.333333333336</v>
      </c>
      <c r="B371">
        <f t="shared" si="5"/>
        <v>368</v>
      </c>
      <c r="C371">
        <f>Final_Dataset!P358</f>
        <v>18</v>
      </c>
    </row>
    <row r="372" spans="1:3" x14ac:dyDescent="0.2">
      <c r="A372" s="56">
        <f>Final_Dataset!R359</f>
        <v>40559.375</v>
      </c>
      <c r="B372">
        <f t="shared" si="5"/>
        <v>369</v>
      </c>
      <c r="C372">
        <f>Final_Dataset!P359</f>
        <v>32</v>
      </c>
    </row>
    <row r="373" spans="1:3" x14ac:dyDescent="0.2">
      <c r="A373" s="56">
        <f>Final_Dataset!R360</f>
        <v>40559.416666666664</v>
      </c>
      <c r="B373">
        <f t="shared" si="5"/>
        <v>370</v>
      </c>
      <c r="C373">
        <f>Final_Dataset!P360</f>
        <v>79</v>
      </c>
    </row>
    <row r="374" spans="1:3" x14ac:dyDescent="0.2">
      <c r="A374" s="56">
        <f>Final_Dataset!R361</f>
        <v>40559.458333333336</v>
      </c>
      <c r="B374">
        <f t="shared" si="5"/>
        <v>371</v>
      </c>
      <c r="C374">
        <f>Final_Dataset!P361</f>
        <v>93</v>
      </c>
    </row>
    <row r="375" spans="1:3" x14ac:dyDescent="0.2">
      <c r="A375" s="56">
        <f>Final_Dataset!R362</f>
        <v>40559.5</v>
      </c>
      <c r="B375">
        <f t="shared" si="5"/>
        <v>372</v>
      </c>
      <c r="C375">
        <f>Final_Dataset!P362</f>
        <v>104</v>
      </c>
    </row>
    <row r="376" spans="1:3" x14ac:dyDescent="0.2">
      <c r="A376" s="56">
        <f>Final_Dataset!R363</f>
        <v>40559.541666666664</v>
      </c>
      <c r="B376">
        <f t="shared" si="5"/>
        <v>373</v>
      </c>
      <c r="C376">
        <f>Final_Dataset!P363</f>
        <v>118</v>
      </c>
    </row>
    <row r="377" spans="1:3" x14ac:dyDescent="0.2">
      <c r="A377" s="56">
        <f>Final_Dataset!R364</f>
        <v>40559.583333333336</v>
      </c>
      <c r="B377">
        <f t="shared" si="5"/>
        <v>374</v>
      </c>
      <c r="C377">
        <f>Final_Dataset!P364</f>
        <v>91</v>
      </c>
    </row>
    <row r="378" spans="1:3" x14ac:dyDescent="0.2">
      <c r="A378" s="56">
        <f>Final_Dataset!R365</f>
        <v>40559.625</v>
      </c>
      <c r="B378">
        <f t="shared" si="5"/>
        <v>375</v>
      </c>
      <c r="C378">
        <f>Final_Dataset!P365</f>
        <v>113</v>
      </c>
    </row>
    <row r="379" spans="1:3" x14ac:dyDescent="0.2">
      <c r="A379" s="56">
        <f>Final_Dataset!R366</f>
        <v>40559.666666666664</v>
      </c>
      <c r="B379">
        <f t="shared" si="5"/>
        <v>376</v>
      </c>
      <c r="C379">
        <f>Final_Dataset!P366</f>
        <v>99</v>
      </c>
    </row>
    <row r="380" spans="1:3" x14ac:dyDescent="0.2">
      <c r="A380" s="56">
        <f>Final_Dataset!R367</f>
        <v>40559.708333333336</v>
      </c>
      <c r="B380">
        <f t="shared" si="5"/>
        <v>377</v>
      </c>
      <c r="C380">
        <f>Final_Dataset!P367</f>
        <v>105</v>
      </c>
    </row>
    <row r="381" spans="1:3" x14ac:dyDescent="0.2">
      <c r="A381" s="56">
        <f>Final_Dataset!R368</f>
        <v>40559.75</v>
      </c>
      <c r="B381">
        <f t="shared" si="5"/>
        <v>378</v>
      </c>
      <c r="C381">
        <f>Final_Dataset!P368</f>
        <v>67</v>
      </c>
    </row>
    <row r="382" spans="1:3" x14ac:dyDescent="0.2">
      <c r="A382" s="56">
        <f>Final_Dataset!R369</f>
        <v>40559.791666666664</v>
      </c>
      <c r="B382">
        <f t="shared" si="5"/>
        <v>379</v>
      </c>
      <c r="C382">
        <f>Final_Dataset!P369</f>
        <v>61</v>
      </c>
    </row>
    <row r="383" spans="1:3" x14ac:dyDescent="0.2">
      <c r="A383" s="56">
        <f>Final_Dataset!R370</f>
        <v>40559.833333333336</v>
      </c>
      <c r="B383">
        <f t="shared" si="5"/>
        <v>380</v>
      </c>
      <c r="C383">
        <f>Final_Dataset!P370</f>
        <v>57</v>
      </c>
    </row>
    <row r="384" spans="1:3" x14ac:dyDescent="0.2">
      <c r="A384" s="56">
        <f>Final_Dataset!R371</f>
        <v>40559.875</v>
      </c>
      <c r="B384">
        <f t="shared" si="5"/>
        <v>381</v>
      </c>
      <c r="C384">
        <f>Final_Dataset!P371</f>
        <v>28</v>
      </c>
    </row>
    <row r="385" spans="1:3" x14ac:dyDescent="0.2">
      <c r="A385" s="56">
        <f>Final_Dataset!R372</f>
        <v>40559.916666666664</v>
      </c>
      <c r="B385">
        <f t="shared" si="5"/>
        <v>382</v>
      </c>
      <c r="C385">
        <f>Final_Dataset!P372</f>
        <v>21</v>
      </c>
    </row>
    <row r="386" spans="1:3" x14ac:dyDescent="0.2">
      <c r="A386" s="56">
        <f>Final_Dataset!R373</f>
        <v>40559.958333333336</v>
      </c>
      <c r="B386">
        <f t="shared" si="5"/>
        <v>383</v>
      </c>
      <c r="C386">
        <f>Final_Dataset!P373</f>
        <v>18</v>
      </c>
    </row>
    <row r="387" spans="1:3" x14ac:dyDescent="0.2">
      <c r="A387" s="56">
        <f>Final_Dataset!R374</f>
        <v>40560</v>
      </c>
      <c r="B387">
        <f t="shared" si="5"/>
        <v>384</v>
      </c>
      <c r="C387">
        <f>Final_Dataset!P374</f>
        <v>17</v>
      </c>
    </row>
    <row r="388" spans="1:3" x14ac:dyDescent="0.2">
      <c r="A388" s="56">
        <f>Final_Dataset!R375</f>
        <v>40560.041666666664</v>
      </c>
      <c r="B388">
        <f t="shared" si="5"/>
        <v>385</v>
      </c>
      <c r="C388">
        <f>Final_Dataset!P375</f>
        <v>16</v>
      </c>
    </row>
    <row r="389" spans="1:3" x14ac:dyDescent="0.2">
      <c r="A389" s="56">
        <f>Final_Dataset!R376</f>
        <v>40560.083333333336</v>
      </c>
      <c r="B389">
        <f t="shared" si="5"/>
        <v>386</v>
      </c>
      <c r="C389">
        <f>Final_Dataset!P376</f>
        <v>8</v>
      </c>
    </row>
    <row r="390" spans="1:3" x14ac:dyDescent="0.2">
      <c r="A390" s="56">
        <f>Final_Dataset!R377</f>
        <v>40560.125</v>
      </c>
      <c r="B390">
        <f t="shared" si="5"/>
        <v>387</v>
      </c>
      <c r="C390">
        <f>Final_Dataset!P377</f>
        <v>2</v>
      </c>
    </row>
    <row r="391" spans="1:3" x14ac:dyDescent="0.2">
      <c r="A391" s="56">
        <f>Final_Dataset!R378</f>
        <v>40560.166666666664</v>
      </c>
      <c r="B391">
        <f t="shared" si="5"/>
        <v>388</v>
      </c>
      <c r="C391">
        <f>Final_Dataset!P378</f>
        <v>3</v>
      </c>
    </row>
    <row r="392" spans="1:3" x14ac:dyDescent="0.2">
      <c r="A392" s="56">
        <f>Final_Dataset!R379</f>
        <v>40560.208333333336</v>
      </c>
      <c r="B392">
        <f t="shared" si="5"/>
        <v>389</v>
      </c>
      <c r="C392">
        <f>Final_Dataset!P379</f>
        <v>1</v>
      </c>
    </row>
    <row r="393" spans="1:3" x14ac:dyDescent="0.2">
      <c r="A393" s="56">
        <f>Final_Dataset!R380</f>
        <v>40560.25</v>
      </c>
      <c r="B393">
        <f t="shared" si="5"/>
        <v>390</v>
      </c>
      <c r="C393">
        <f>Final_Dataset!P380</f>
        <v>5</v>
      </c>
    </row>
    <row r="394" spans="1:3" x14ac:dyDescent="0.2">
      <c r="A394" s="56">
        <f>Final_Dataset!R381</f>
        <v>40560.291666666664</v>
      </c>
      <c r="B394">
        <f t="shared" si="5"/>
        <v>391</v>
      </c>
      <c r="C394">
        <f>Final_Dataset!P381</f>
        <v>13</v>
      </c>
    </row>
    <row r="395" spans="1:3" x14ac:dyDescent="0.2">
      <c r="A395" s="56">
        <f>Final_Dataset!R382</f>
        <v>40560.333333333336</v>
      </c>
      <c r="B395">
        <f t="shared" si="5"/>
        <v>392</v>
      </c>
      <c r="C395">
        <f>Final_Dataset!P382</f>
        <v>33</v>
      </c>
    </row>
    <row r="396" spans="1:3" x14ac:dyDescent="0.2">
      <c r="A396" s="56">
        <f>Final_Dataset!R383</f>
        <v>40560.375</v>
      </c>
      <c r="B396">
        <f t="shared" si="5"/>
        <v>393</v>
      </c>
      <c r="C396">
        <f>Final_Dataset!P383</f>
        <v>47</v>
      </c>
    </row>
    <row r="397" spans="1:3" x14ac:dyDescent="0.2">
      <c r="A397" s="56">
        <f>Final_Dataset!R384</f>
        <v>40560.416666666664</v>
      </c>
      <c r="B397">
        <f t="shared" si="5"/>
        <v>394</v>
      </c>
      <c r="C397">
        <f>Final_Dataset!P384</f>
        <v>57</v>
      </c>
    </row>
    <row r="398" spans="1:3" x14ac:dyDescent="0.2">
      <c r="A398" s="56">
        <f>Final_Dataset!R385</f>
        <v>40560.458333333336</v>
      </c>
      <c r="B398">
        <f t="shared" si="5"/>
        <v>395</v>
      </c>
      <c r="C398">
        <f>Final_Dataset!P385</f>
        <v>64</v>
      </c>
    </row>
    <row r="399" spans="1:3" x14ac:dyDescent="0.2">
      <c r="A399" s="56">
        <f>Final_Dataset!R386</f>
        <v>40560.5</v>
      </c>
      <c r="B399">
        <f t="shared" ref="B399:B462" si="6">ROUND((A399-$A$15)*24,0)</f>
        <v>396</v>
      </c>
      <c r="C399">
        <f>Final_Dataset!P386</f>
        <v>80</v>
      </c>
    </row>
    <row r="400" spans="1:3" x14ac:dyDescent="0.2">
      <c r="A400" s="56">
        <f>Final_Dataset!R387</f>
        <v>40560.541666666664</v>
      </c>
      <c r="B400">
        <f t="shared" si="6"/>
        <v>397</v>
      </c>
      <c r="C400">
        <f>Final_Dataset!P387</f>
        <v>93</v>
      </c>
    </row>
    <row r="401" spans="1:3" x14ac:dyDescent="0.2">
      <c r="A401" s="56">
        <f>Final_Dataset!R388</f>
        <v>40560.583333333336</v>
      </c>
      <c r="B401">
        <f t="shared" si="6"/>
        <v>398</v>
      </c>
      <c r="C401">
        <f>Final_Dataset!P388</f>
        <v>86</v>
      </c>
    </row>
    <row r="402" spans="1:3" x14ac:dyDescent="0.2">
      <c r="A402" s="56">
        <f>Final_Dataset!R389</f>
        <v>40560.625</v>
      </c>
      <c r="B402">
        <f t="shared" si="6"/>
        <v>399</v>
      </c>
      <c r="C402">
        <f>Final_Dataset!P389</f>
        <v>93</v>
      </c>
    </row>
    <row r="403" spans="1:3" x14ac:dyDescent="0.2">
      <c r="A403" s="56">
        <f>Final_Dataset!R390</f>
        <v>40560.666666666664</v>
      </c>
      <c r="B403">
        <f t="shared" si="6"/>
        <v>400</v>
      </c>
      <c r="C403">
        <f>Final_Dataset!P390</f>
        <v>82</v>
      </c>
    </row>
    <row r="404" spans="1:3" x14ac:dyDescent="0.2">
      <c r="A404" s="56">
        <f>Final_Dataset!R391</f>
        <v>40560.708333333336</v>
      </c>
      <c r="B404">
        <f t="shared" si="6"/>
        <v>401</v>
      </c>
      <c r="C404">
        <f>Final_Dataset!P391</f>
        <v>71</v>
      </c>
    </row>
    <row r="405" spans="1:3" x14ac:dyDescent="0.2">
      <c r="A405" s="56">
        <f>Final_Dataset!R392</f>
        <v>40560.75</v>
      </c>
      <c r="B405">
        <f t="shared" si="6"/>
        <v>402</v>
      </c>
      <c r="C405">
        <f>Final_Dataset!P392</f>
        <v>92</v>
      </c>
    </row>
    <row r="406" spans="1:3" x14ac:dyDescent="0.2">
      <c r="A406" s="56">
        <f>Final_Dataset!R393</f>
        <v>40560.791666666664</v>
      </c>
      <c r="B406">
        <f t="shared" si="6"/>
        <v>403</v>
      </c>
      <c r="C406">
        <f>Final_Dataset!P393</f>
        <v>60</v>
      </c>
    </row>
    <row r="407" spans="1:3" x14ac:dyDescent="0.2">
      <c r="A407" s="56">
        <f>Final_Dataset!R394</f>
        <v>40560.833333333336</v>
      </c>
      <c r="B407">
        <f t="shared" si="6"/>
        <v>404</v>
      </c>
      <c r="C407">
        <f>Final_Dataset!P394</f>
        <v>33</v>
      </c>
    </row>
    <row r="408" spans="1:3" x14ac:dyDescent="0.2">
      <c r="A408" s="56">
        <f>Final_Dataset!R395</f>
        <v>40560.875</v>
      </c>
      <c r="B408">
        <f t="shared" si="6"/>
        <v>405</v>
      </c>
      <c r="C408">
        <f>Final_Dataset!P395</f>
        <v>27</v>
      </c>
    </row>
    <row r="409" spans="1:3" x14ac:dyDescent="0.2">
      <c r="A409" s="56">
        <f>Final_Dataset!R396</f>
        <v>40560.916666666664</v>
      </c>
      <c r="B409">
        <f t="shared" si="6"/>
        <v>406</v>
      </c>
      <c r="C409">
        <f>Final_Dataset!P396</f>
        <v>13</v>
      </c>
    </row>
    <row r="410" spans="1:3" x14ac:dyDescent="0.2">
      <c r="A410" s="56">
        <f>Final_Dataset!R397</f>
        <v>40560.958333333336</v>
      </c>
      <c r="B410">
        <f t="shared" si="6"/>
        <v>407</v>
      </c>
      <c r="C410">
        <f>Final_Dataset!P397</f>
        <v>4</v>
      </c>
    </row>
    <row r="411" spans="1:3" x14ac:dyDescent="0.2">
      <c r="A411" s="56">
        <f>Final_Dataset!R398</f>
        <v>40561.5</v>
      </c>
      <c r="B411">
        <f t="shared" si="6"/>
        <v>420</v>
      </c>
      <c r="C411">
        <f>Final_Dataset!P398</f>
        <v>3</v>
      </c>
    </row>
    <row r="412" spans="1:3" x14ac:dyDescent="0.2">
      <c r="A412" s="56">
        <f>Final_Dataset!R399</f>
        <v>40561.541666666664</v>
      </c>
      <c r="B412">
        <f t="shared" si="6"/>
        <v>421</v>
      </c>
      <c r="C412">
        <f>Final_Dataset!P399</f>
        <v>22</v>
      </c>
    </row>
    <row r="413" spans="1:3" x14ac:dyDescent="0.2">
      <c r="A413" s="56">
        <f>Final_Dataset!R400</f>
        <v>40561.583333333336</v>
      </c>
      <c r="B413">
        <f t="shared" si="6"/>
        <v>422</v>
      </c>
      <c r="C413">
        <f>Final_Dataset!P400</f>
        <v>28</v>
      </c>
    </row>
    <row r="414" spans="1:3" x14ac:dyDescent="0.2">
      <c r="A414" s="56">
        <f>Final_Dataset!R401</f>
        <v>40561.625</v>
      </c>
      <c r="B414">
        <f t="shared" si="6"/>
        <v>423</v>
      </c>
      <c r="C414">
        <f>Final_Dataset!P401</f>
        <v>35</v>
      </c>
    </row>
    <row r="415" spans="1:3" x14ac:dyDescent="0.2">
      <c r="A415" s="56">
        <f>Final_Dataset!R402</f>
        <v>40561.666666666664</v>
      </c>
      <c r="B415">
        <f t="shared" si="6"/>
        <v>424</v>
      </c>
      <c r="C415">
        <f>Final_Dataset!P402</f>
        <v>61</v>
      </c>
    </row>
    <row r="416" spans="1:3" x14ac:dyDescent="0.2">
      <c r="A416" s="56">
        <f>Final_Dataset!R403</f>
        <v>40561.708333333336</v>
      </c>
      <c r="B416">
        <f t="shared" si="6"/>
        <v>425</v>
      </c>
      <c r="C416">
        <f>Final_Dataset!P403</f>
        <v>125</v>
      </c>
    </row>
    <row r="417" spans="1:3" x14ac:dyDescent="0.2">
      <c r="A417" s="56">
        <f>Final_Dataset!R404</f>
        <v>40561.75</v>
      </c>
      <c r="B417">
        <f t="shared" si="6"/>
        <v>426</v>
      </c>
      <c r="C417">
        <f>Final_Dataset!P404</f>
        <v>133</v>
      </c>
    </row>
    <row r="418" spans="1:3" x14ac:dyDescent="0.2">
      <c r="A418" s="56">
        <f>Final_Dataset!R405</f>
        <v>40561.791666666664</v>
      </c>
      <c r="B418">
        <f t="shared" si="6"/>
        <v>427</v>
      </c>
      <c r="C418">
        <f>Final_Dataset!P405</f>
        <v>99</v>
      </c>
    </row>
    <row r="419" spans="1:3" x14ac:dyDescent="0.2">
      <c r="A419" s="56">
        <f>Final_Dataset!R406</f>
        <v>40561.833333333336</v>
      </c>
      <c r="B419">
        <f t="shared" si="6"/>
        <v>428</v>
      </c>
      <c r="C419">
        <f>Final_Dataset!P406</f>
        <v>83</v>
      </c>
    </row>
    <row r="420" spans="1:3" x14ac:dyDescent="0.2">
      <c r="A420" s="56">
        <f>Final_Dataset!R407</f>
        <v>40561.875</v>
      </c>
      <c r="B420">
        <f t="shared" si="6"/>
        <v>429</v>
      </c>
      <c r="C420">
        <f>Final_Dataset!P407</f>
        <v>41</v>
      </c>
    </row>
    <row r="421" spans="1:3" x14ac:dyDescent="0.2">
      <c r="A421" s="56">
        <f>Final_Dataset!R408</f>
        <v>40561.916666666664</v>
      </c>
      <c r="B421">
        <f t="shared" si="6"/>
        <v>430</v>
      </c>
      <c r="C421">
        <f>Final_Dataset!P408</f>
        <v>33</v>
      </c>
    </row>
    <row r="422" spans="1:3" x14ac:dyDescent="0.2">
      <c r="A422" s="56">
        <f>Final_Dataset!R409</f>
        <v>40561.958333333336</v>
      </c>
      <c r="B422">
        <f t="shared" si="6"/>
        <v>431</v>
      </c>
      <c r="C422">
        <f>Final_Dataset!P409</f>
        <v>20</v>
      </c>
    </row>
    <row r="423" spans="1:3" x14ac:dyDescent="0.2">
      <c r="A423" s="56">
        <f>Final_Dataset!R410</f>
        <v>40562</v>
      </c>
      <c r="B423">
        <f t="shared" si="6"/>
        <v>432</v>
      </c>
      <c r="C423">
        <f>Final_Dataset!P410</f>
        <v>3</v>
      </c>
    </row>
    <row r="424" spans="1:3" x14ac:dyDescent="0.2">
      <c r="A424" s="56">
        <f>Final_Dataset!R411</f>
        <v>40562.041666666664</v>
      </c>
      <c r="B424">
        <f t="shared" si="6"/>
        <v>433</v>
      </c>
      <c r="C424">
        <f>Final_Dataset!P411</f>
        <v>7</v>
      </c>
    </row>
    <row r="425" spans="1:3" x14ac:dyDescent="0.2">
      <c r="A425" s="56">
        <f>Final_Dataset!R412</f>
        <v>40562.083333333336</v>
      </c>
      <c r="B425">
        <f t="shared" si="6"/>
        <v>434</v>
      </c>
      <c r="C425">
        <f>Final_Dataset!P412</f>
        <v>3</v>
      </c>
    </row>
    <row r="426" spans="1:3" x14ac:dyDescent="0.2">
      <c r="A426" s="56">
        <f>Final_Dataset!R413</f>
        <v>40562.166666666664</v>
      </c>
      <c r="B426">
        <f t="shared" si="6"/>
        <v>436</v>
      </c>
      <c r="C426">
        <f>Final_Dataset!P413</f>
        <v>2</v>
      </c>
    </row>
    <row r="427" spans="1:3" x14ac:dyDescent="0.2">
      <c r="A427" s="56">
        <f>Final_Dataset!R414</f>
        <v>40562.208333333336</v>
      </c>
      <c r="B427">
        <f t="shared" si="6"/>
        <v>437</v>
      </c>
      <c r="C427">
        <f>Final_Dataset!P414</f>
        <v>7</v>
      </c>
    </row>
    <row r="428" spans="1:3" x14ac:dyDescent="0.2">
      <c r="A428" s="56">
        <f>Final_Dataset!R415</f>
        <v>40562.25</v>
      </c>
      <c r="B428">
        <f t="shared" si="6"/>
        <v>438</v>
      </c>
      <c r="C428">
        <f>Final_Dataset!P415</f>
        <v>32</v>
      </c>
    </row>
    <row r="429" spans="1:3" x14ac:dyDescent="0.2">
      <c r="A429" s="56">
        <f>Final_Dataset!R416</f>
        <v>40562.291666666664</v>
      </c>
      <c r="B429">
        <f t="shared" si="6"/>
        <v>439</v>
      </c>
      <c r="C429">
        <f>Final_Dataset!P416</f>
        <v>90</v>
      </c>
    </row>
    <row r="430" spans="1:3" x14ac:dyDescent="0.2">
      <c r="A430" s="56">
        <f>Final_Dataset!R417</f>
        <v>40562.333333333336</v>
      </c>
      <c r="B430">
        <f t="shared" si="6"/>
        <v>440</v>
      </c>
      <c r="C430">
        <f>Final_Dataset!P417</f>
        <v>197</v>
      </c>
    </row>
    <row r="431" spans="1:3" x14ac:dyDescent="0.2">
      <c r="A431" s="56">
        <f>Final_Dataset!R418</f>
        <v>40562.375</v>
      </c>
      <c r="B431">
        <f t="shared" si="6"/>
        <v>441</v>
      </c>
      <c r="C431">
        <f>Final_Dataset!P418</f>
        <v>109</v>
      </c>
    </row>
    <row r="432" spans="1:3" x14ac:dyDescent="0.2">
      <c r="A432" s="56">
        <f>Final_Dataset!R419</f>
        <v>40562.416666666664</v>
      </c>
      <c r="B432">
        <f t="shared" si="6"/>
        <v>442</v>
      </c>
      <c r="C432">
        <f>Final_Dataset!P419</f>
        <v>47</v>
      </c>
    </row>
    <row r="433" spans="1:3" x14ac:dyDescent="0.2">
      <c r="A433" s="56">
        <f>Final_Dataset!R420</f>
        <v>40562.458333333336</v>
      </c>
      <c r="B433">
        <f t="shared" si="6"/>
        <v>443</v>
      </c>
      <c r="C433">
        <f>Final_Dataset!P420</f>
        <v>52</v>
      </c>
    </row>
    <row r="434" spans="1:3" x14ac:dyDescent="0.2">
      <c r="A434" s="56">
        <f>Final_Dataset!R421</f>
        <v>40562.5</v>
      </c>
      <c r="B434">
        <f t="shared" si="6"/>
        <v>444</v>
      </c>
      <c r="C434">
        <f>Final_Dataset!P421</f>
        <v>70</v>
      </c>
    </row>
    <row r="435" spans="1:3" x14ac:dyDescent="0.2">
      <c r="A435" s="56">
        <f>Final_Dataset!R422</f>
        <v>40562.541666666664</v>
      </c>
      <c r="B435">
        <f t="shared" si="6"/>
        <v>445</v>
      </c>
      <c r="C435">
        <f>Final_Dataset!P422</f>
        <v>78</v>
      </c>
    </row>
    <row r="436" spans="1:3" x14ac:dyDescent="0.2">
      <c r="A436" s="56">
        <f>Final_Dataset!R423</f>
        <v>40562.583333333336</v>
      </c>
      <c r="B436">
        <f t="shared" si="6"/>
        <v>446</v>
      </c>
      <c r="C436">
        <f>Final_Dataset!P423</f>
        <v>75</v>
      </c>
    </row>
    <row r="437" spans="1:3" x14ac:dyDescent="0.2">
      <c r="A437" s="56">
        <f>Final_Dataset!R424</f>
        <v>40562.625</v>
      </c>
      <c r="B437">
        <f t="shared" si="6"/>
        <v>447</v>
      </c>
      <c r="C437">
        <f>Final_Dataset!P424</f>
        <v>82</v>
      </c>
    </row>
    <row r="438" spans="1:3" x14ac:dyDescent="0.2">
      <c r="A438" s="56">
        <f>Final_Dataset!R425</f>
        <v>40562.666666666664</v>
      </c>
      <c r="B438">
        <f t="shared" si="6"/>
        <v>448</v>
      </c>
      <c r="C438">
        <f>Final_Dataset!P425</f>
        <v>104</v>
      </c>
    </row>
    <row r="439" spans="1:3" x14ac:dyDescent="0.2">
      <c r="A439" s="56">
        <f>Final_Dataset!R426</f>
        <v>40562.708333333336</v>
      </c>
      <c r="B439">
        <f t="shared" si="6"/>
        <v>449</v>
      </c>
      <c r="C439">
        <f>Final_Dataset!P426</f>
        <v>197</v>
      </c>
    </row>
    <row r="440" spans="1:3" x14ac:dyDescent="0.2">
      <c r="A440" s="56">
        <f>Final_Dataset!R427</f>
        <v>40562.75</v>
      </c>
      <c r="B440">
        <f t="shared" si="6"/>
        <v>450</v>
      </c>
      <c r="C440">
        <f>Final_Dataset!P427</f>
        <v>161</v>
      </c>
    </row>
    <row r="441" spans="1:3" x14ac:dyDescent="0.2">
      <c r="A441" s="56">
        <f>Final_Dataset!R428</f>
        <v>40562.791666666664</v>
      </c>
      <c r="B441">
        <f t="shared" si="6"/>
        <v>451</v>
      </c>
      <c r="C441">
        <f>Final_Dataset!P428</f>
        <v>112</v>
      </c>
    </row>
    <row r="442" spans="1:3" x14ac:dyDescent="0.2">
      <c r="A442" s="56">
        <f>Final_Dataset!R429</f>
        <v>40562.833333333336</v>
      </c>
      <c r="B442">
        <f t="shared" si="6"/>
        <v>452</v>
      </c>
      <c r="C442">
        <f>Final_Dataset!P429</f>
        <v>76</v>
      </c>
    </row>
    <row r="443" spans="1:3" x14ac:dyDescent="0.2">
      <c r="A443" s="56">
        <f>Final_Dataset!R430</f>
        <v>40562.875</v>
      </c>
      <c r="B443">
        <f t="shared" si="6"/>
        <v>453</v>
      </c>
      <c r="C443">
        <f>Final_Dataset!P430</f>
        <v>59</v>
      </c>
    </row>
    <row r="444" spans="1:3" x14ac:dyDescent="0.2">
      <c r="A444" s="56">
        <f>Final_Dataset!R431</f>
        <v>40562.916666666664</v>
      </c>
      <c r="B444">
        <f t="shared" si="6"/>
        <v>454</v>
      </c>
      <c r="C444">
        <f>Final_Dataset!P431</f>
        <v>59</v>
      </c>
    </row>
    <row r="445" spans="1:3" x14ac:dyDescent="0.2">
      <c r="A445" s="56">
        <f>Final_Dataset!R432</f>
        <v>40562.958333333336</v>
      </c>
      <c r="B445">
        <f t="shared" si="6"/>
        <v>455</v>
      </c>
      <c r="C445">
        <f>Final_Dataset!P432</f>
        <v>28</v>
      </c>
    </row>
    <row r="446" spans="1:3" x14ac:dyDescent="0.2">
      <c r="A446" s="56">
        <f>Final_Dataset!R433</f>
        <v>40563</v>
      </c>
      <c r="B446">
        <f t="shared" si="6"/>
        <v>456</v>
      </c>
      <c r="C446">
        <f>Final_Dataset!P433</f>
        <v>13</v>
      </c>
    </row>
    <row r="447" spans="1:3" x14ac:dyDescent="0.2">
      <c r="A447" s="56">
        <f>Final_Dataset!R434</f>
        <v>40563.041666666664</v>
      </c>
      <c r="B447">
        <f t="shared" si="6"/>
        <v>457</v>
      </c>
      <c r="C447">
        <f>Final_Dataset!P434</f>
        <v>5</v>
      </c>
    </row>
    <row r="448" spans="1:3" x14ac:dyDescent="0.2">
      <c r="A448" s="56">
        <f>Final_Dataset!R435</f>
        <v>40563.083333333336</v>
      </c>
      <c r="B448">
        <f t="shared" si="6"/>
        <v>458</v>
      </c>
      <c r="C448">
        <f>Final_Dataset!P435</f>
        <v>2</v>
      </c>
    </row>
    <row r="449" spans="1:3" x14ac:dyDescent="0.2">
      <c r="A449" s="56">
        <f>Final_Dataset!R436</f>
        <v>40563.125</v>
      </c>
      <c r="B449">
        <f t="shared" si="6"/>
        <v>459</v>
      </c>
      <c r="C449">
        <f>Final_Dataset!P436</f>
        <v>1</v>
      </c>
    </row>
    <row r="450" spans="1:3" x14ac:dyDescent="0.2">
      <c r="A450" s="56">
        <f>Final_Dataset!R437</f>
        <v>40563.166666666664</v>
      </c>
      <c r="B450">
        <f t="shared" si="6"/>
        <v>460</v>
      </c>
      <c r="C450">
        <f>Final_Dataset!P437</f>
        <v>1</v>
      </c>
    </row>
    <row r="451" spans="1:3" x14ac:dyDescent="0.2">
      <c r="A451" s="56">
        <f>Final_Dataset!R438</f>
        <v>40563.208333333336</v>
      </c>
      <c r="B451">
        <f t="shared" si="6"/>
        <v>461</v>
      </c>
      <c r="C451">
        <f>Final_Dataset!P438</f>
        <v>6</v>
      </c>
    </row>
    <row r="452" spans="1:3" x14ac:dyDescent="0.2">
      <c r="A452" s="56">
        <f>Final_Dataset!R439</f>
        <v>40563.25</v>
      </c>
      <c r="B452">
        <f t="shared" si="6"/>
        <v>462</v>
      </c>
      <c r="C452">
        <f>Final_Dataset!P439</f>
        <v>35</v>
      </c>
    </row>
    <row r="453" spans="1:3" x14ac:dyDescent="0.2">
      <c r="A453" s="56">
        <f>Final_Dataset!R440</f>
        <v>40563.291666666664</v>
      </c>
      <c r="B453">
        <f t="shared" si="6"/>
        <v>463</v>
      </c>
      <c r="C453">
        <f>Final_Dataset!P440</f>
        <v>101</v>
      </c>
    </row>
    <row r="454" spans="1:3" x14ac:dyDescent="0.2">
      <c r="A454" s="56">
        <f>Final_Dataset!R441</f>
        <v>40563.333333333336</v>
      </c>
      <c r="B454">
        <f t="shared" si="6"/>
        <v>464</v>
      </c>
      <c r="C454">
        <f>Final_Dataset!P441</f>
        <v>249</v>
      </c>
    </row>
    <row r="455" spans="1:3" x14ac:dyDescent="0.2">
      <c r="A455" s="56">
        <f>Final_Dataset!R442</f>
        <v>40563.375</v>
      </c>
      <c r="B455">
        <f t="shared" si="6"/>
        <v>465</v>
      </c>
      <c r="C455">
        <f>Final_Dataset!P442</f>
        <v>143</v>
      </c>
    </row>
    <row r="456" spans="1:3" x14ac:dyDescent="0.2">
      <c r="A456" s="56">
        <f>Final_Dataset!R443</f>
        <v>40563.416666666664</v>
      </c>
      <c r="B456">
        <f t="shared" si="6"/>
        <v>466</v>
      </c>
      <c r="C456">
        <f>Final_Dataset!P443</f>
        <v>57</v>
      </c>
    </row>
    <row r="457" spans="1:3" x14ac:dyDescent="0.2">
      <c r="A457" s="56">
        <f>Final_Dataset!R444</f>
        <v>40563.458333333336</v>
      </c>
      <c r="B457">
        <f t="shared" si="6"/>
        <v>467</v>
      </c>
      <c r="C457">
        <f>Final_Dataset!P444</f>
        <v>68</v>
      </c>
    </row>
    <row r="458" spans="1:3" x14ac:dyDescent="0.2">
      <c r="A458" s="56">
        <f>Final_Dataset!R445</f>
        <v>40563.5</v>
      </c>
      <c r="B458">
        <f t="shared" si="6"/>
        <v>468</v>
      </c>
      <c r="C458">
        <f>Final_Dataset!P445</f>
        <v>84</v>
      </c>
    </row>
    <row r="459" spans="1:3" x14ac:dyDescent="0.2">
      <c r="A459" s="56">
        <f>Final_Dataset!R446</f>
        <v>40563.541666666664</v>
      </c>
      <c r="B459">
        <f t="shared" si="6"/>
        <v>469</v>
      </c>
      <c r="C459">
        <f>Final_Dataset!P446</f>
        <v>98</v>
      </c>
    </row>
    <row r="460" spans="1:3" x14ac:dyDescent="0.2">
      <c r="A460" s="56">
        <f>Final_Dataset!R447</f>
        <v>40563.583333333336</v>
      </c>
      <c r="B460">
        <f t="shared" si="6"/>
        <v>470</v>
      </c>
      <c r="C460">
        <f>Final_Dataset!P447</f>
        <v>81</v>
      </c>
    </row>
    <row r="461" spans="1:3" x14ac:dyDescent="0.2">
      <c r="A461" s="56">
        <f>Final_Dataset!R448</f>
        <v>40563.625</v>
      </c>
      <c r="B461">
        <f t="shared" si="6"/>
        <v>471</v>
      </c>
      <c r="C461">
        <f>Final_Dataset!P448</f>
        <v>70</v>
      </c>
    </row>
    <row r="462" spans="1:3" x14ac:dyDescent="0.2">
      <c r="A462" s="56">
        <f>Final_Dataset!R449</f>
        <v>40563.666666666664</v>
      </c>
      <c r="B462">
        <f t="shared" si="6"/>
        <v>472</v>
      </c>
      <c r="C462">
        <f>Final_Dataset!P449</f>
        <v>91</v>
      </c>
    </row>
    <row r="463" spans="1:3" x14ac:dyDescent="0.2">
      <c r="A463" s="56">
        <f>Final_Dataset!R450</f>
        <v>40563.708333333336</v>
      </c>
      <c r="B463">
        <f t="shared" ref="B463:B526" si="7">ROUND((A463-$A$15)*24,0)</f>
        <v>473</v>
      </c>
      <c r="C463">
        <f>Final_Dataset!P450</f>
        <v>215</v>
      </c>
    </row>
    <row r="464" spans="1:3" x14ac:dyDescent="0.2">
      <c r="A464" s="56">
        <f>Final_Dataset!R451</f>
        <v>40563.75</v>
      </c>
      <c r="B464">
        <f t="shared" si="7"/>
        <v>474</v>
      </c>
      <c r="C464">
        <f>Final_Dataset!P451</f>
        <v>185</v>
      </c>
    </row>
    <row r="465" spans="1:3" x14ac:dyDescent="0.2">
      <c r="A465" s="56">
        <f>Final_Dataset!R452</f>
        <v>40563.791666666664</v>
      </c>
      <c r="B465">
        <f t="shared" si="7"/>
        <v>475</v>
      </c>
      <c r="C465">
        <f>Final_Dataset!P452</f>
        <v>152</v>
      </c>
    </row>
    <row r="466" spans="1:3" x14ac:dyDescent="0.2">
      <c r="A466" s="56">
        <f>Final_Dataset!R453</f>
        <v>40563.833333333336</v>
      </c>
      <c r="B466">
        <f t="shared" si="7"/>
        <v>476</v>
      </c>
      <c r="C466">
        <f>Final_Dataset!P453</f>
        <v>126</v>
      </c>
    </row>
    <row r="467" spans="1:3" x14ac:dyDescent="0.2">
      <c r="A467" s="56">
        <f>Final_Dataset!R454</f>
        <v>40563.875</v>
      </c>
      <c r="B467">
        <f t="shared" si="7"/>
        <v>477</v>
      </c>
      <c r="C467">
        <f>Final_Dataset!P454</f>
        <v>57</v>
      </c>
    </row>
    <row r="468" spans="1:3" x14ac:dyDescent="0.2">
      <c r="A468" s="56">
        <f>Final_Dataset!R455</f>
        <v>40563.916666666664</v>
      </c>
      <c r="B468">
        <f t="shared" si="7"/>
        <v>478</v>
      </c>
      <c r="C468">
        <f>Final_Dataset!P455</f>
        <v>56</v>
      </c>
    </row>
    <row r="469" spans="1:3" x14ac:dyDescent="0.2">
      <c r="A469" s="56">
        <f>Final_Dataset!R456</f>
        <v>40563.958333333336</v>
      </c>
      <c r="B469">
        <f t="shared" si="7"/>
        <v>479</v>
      </c>
      <c r="C469">
        <f>Final_Dataset!P456</f>
        <v>31</v>
      </c>
    </row>
    <row r="470" spans="1:3" x14ac:dyDescent="0.2">
      <c r="A470" s="56">
        <f>Final_Dataset!R457</f>
        <v>40564</v>
      </c>
      <c r="B470">
        <f t="shared" si="7"/>
        <v>480</v>
      </c>
      <c r="C470">
        <f>Final_Dataset!P457</f>
        <v>21</v>
      </c>
    </row>
    <row r="471" spans="1:3" x14ac:dyDescent="0.2">
      <c r="A471" s="56">
        <f>Final_Dataset!R458</f>
        <v>40564.041666666664</v>
      </c>
      <c r="B471">
        <f t="shared" si="7"/>
        <v>481</v>
      </c>
      <c r="C471">
        <f>Final_Dataset!P458</f>
        <v>6</v>
      </c>
    </row>
    <row r="472" spans="1:3" x14ac:dyDescent="0.2">
      <c r="A472" s="56">
        <f>Final_Dataset!R459</f>
        <v>40564.083333333336</v>
      </c>
      <c r="B472">
        <f t="shared" si="7"/>
        <v>482</v>
      </c>
      <c r="C472">
        <f>Final_Dataset!P459</f>
        <v>2</v>
      </c>
    </row>
    <row r="473" spans="1:3" x14ac:dyDescent="0.2">
      <c r="A473" s="56">
        <f>Final_Dataset!R460</f>
        <v>40564.125</v>
      </c>
      <c r="B473">
        <f t="shared" si="7"/>
        <v>483</v>
      </c>
      <c r="C473">
        <f>Final_Dataset!P460</f>
        <v>1</v>
      </c>
    </row>
    <row r="474" spans="1:3" x14ac:dyDescent="0.2">
      <c r="A474" s="56">
        <f>Final_Dataset!R461</f>
        <v>40564.166666666664</v>
      </c>
      <c r="B474">
        <f t="shared" si="7"/>
        <v>484</v>
      </c>
      <c r="C474">
        <f>Final_Dataset!P461</f>
        <v>1</v>
      </c>
    </row>
    <row r="475" spans="1:3" x14ac:dyDescent="0.2">
      <c r="A475" s="56">
        <f>Final_Dataset!R462</f>
        <v>40564.208333333336</v>
      </c>
      <c r="B475">
        <f t="shared" si="7"/>
        <v>485</v>
      </c>
      <c r="C475">
        <f>Final_Dataset!P462</f>
        <v>5</v>
      </c>
    </row>
    <row r="476" spans="1:3" x14ac:dyDescent="0.2">
      <c r="A476" s="56">
        <f>Final_Dataset!R463</f>
        <v>40564.25</v>
      </c>
      <c r="B476">
        <f t="shared" si="7"/>
        <v>486</v>
      </c>
      <c r="C476">
        <f>Final_Dataset!P463</f>
        <v>27</v>
      </c>
    </row>
    <row r="477" spans="1:3" x14ac:dyDescent="0.2">
      <c r="A477" s="56">
        <f>Final_Dataset!R464</f>
        <v>40564.291666666664</v>
      </c>
      <c r="B477">
        <f t="shared" si="7"/>
        <v>487</v>
      </c>
      <c r="C477">
        <f>Final_Dataset!P464</f>
        <v>68</v>
      </c>
    </row>
    <row r="478" spans="1:3" x14ac:dyDescent="0.2">
      <c r="A478" s="56">
        <f>Final_Dataset!R465</f>
        <v>40564.333333333336</v>
      </c>
      <c r="B478">
        <f t="shared" si="7"/>
        <v>488</v>
      </c>
      <c r="C478">
        <f>Final_Dataset!P465</f>
        <v>217</v>
      </c>
    </row>
    <row r="479" spans="1:3" x14ac:dyDescent="0.2">
      <c r="A479" s="56">
        <f>Final_Dataset!R466</f>
        <v>40564.375</v>
      </c>
      <c r="B479">
        <f t="shared" si="7"/>
        <v>489</v>
      </c>
      <c r="C479">
        <f>Final_Dataset!P466</f>
        <v>166</v>
      </c>
    </row>
    <row r="480" spans="1:3" x14ac:dyDescent="0.2">
      <c r="A480" s="56">
        <f>Final_Dataset!R467</f>
        <v>40564.416666666664</v>
      </c>
      <c r="B480">
        <f t="shared" si="7"/>
        <v>490</v>
      </c>
      <c r="C480">
        <f>Final_Dataset!P467</f>
        <v>63</v>
      </c>
    </row>
    <row r="481" spans="1:3" x14ac:dyDescent="0.2">
      <c r="A481" s="56">
        <f>Final_Dataset!R468</f>
        <v>40564.458333333336</v>
      </c>
      <c r="B481">
        <f t="shared" si="7"/>
        <v>491</v>
      </c>
      <c r="C481">
        <f>Final_Dataset!P468</f>
        <v>59</v>
      </c>
    </row>
    <row r="482" spans="1:3" x14ac:dyDescent="0.2">
      <c r="A482" s="56">
        <f>Final_Dataset!R469</f>
        <v>40564.5</v>
      </c>
      <c r="B482">
        <f t="shared" si="7"/>
        <v>492</v>
      </c>
      <c r="C482">
        <f>Final_Dataset!P469</f>
        <v>78</v>
      </c>
    </row>
    <row r="483" spans="1:3" x14ac:dyDescent="0.2">
      <c r="A483" s="56">
        <f>Final_Dataset!R470</f>
        <v>40564.541666666664</v>
      </c>
      <c r="B483">
        <f t="shared" si="7"/>
        <v>493</v>
      </c>
      <c r="C483">
        <f>Final_Dataset!P470</f>
        <v>73</v>
      </c>
    </row>
    <row r="484" spans="1:3" x14ac:dyDescent="0.2">
      <c r="A484" s="56">
        <f>Final_Dataset!R471</f>
        <v>40564.583333333336</v>
      </c>
      <c r="B484">
        <f t="shared" si="7"/>
        <v>494</v>
      </c>
      <c r="C484">
        <f>Final_Dataset!P471</f>
        <v>62</v>
      </c>
    </row>
    <row r="485" spans="1:3" x14ac:dyDescent="0.2">
      <c r="A485" s="56">
        <f>Final_Dataset!R472</f>
        <v>40564.625</v>
      </c>
      <c r="B485">
        <f t="shared" si="7"/>
        <v>495</v>
      </c>
      <c r="C485">
        <f>Final_Dataset!P472</f>
        <v>65</v>
      </c>
    </row>
    <row r="486" spans="1:3" x14ac:dyDescent="0.2">
      <c r="A486" s="56">
        <f>Final_Dataset!R473</f>
        <v>40564.666666666664</v>
      </c>
      <c r="B486">
        <f t="shared" si="7"/>
        <v>496</v>
      </c>
      <c r="C486">
        <f>Final_Dataset!P473</f>
        <v>97</v>
      </c>
    </row>
    <row r="487" spans="1:3" x14ac:dyDescent="0.2">
      <c r="A487" s="56">
        <f>Final_Dataset!R474</f>
        <v>40564.708333333336</v>
      </c>
      <c r="B487">
        <f t="shared" si="7"/>
        <v>497</v>
      </c>
      <c r="C487">
        <f>Final_Dataset!P474</f>
        <v>161</v>
      </c>
    </row>
    <row r="488" spans="1:3" x14ac:dyDescent="0.2">
      <c r="A488" s="56">
        <f>Final_Dataset!R475</f>
        <v>40564.75</v>
      </c>
      <c r="B488">
        <f t="shared" si="7"/>
        <v>498</v>
      </c>
      <c r="C488">
        <f>Final_Dataset!P475</f>
        <v>120</v>
      </c>
    </row>
    <row r="489" spans="1:3" x14ac:dyDescent="0.2">
      <c r="A489" s="56">
        <f>Final_Dataset!R476</f>
        <v>40564.791666666664</v>
      </c>
      <c r="B489">
        <f t="shared" si="7"/>
        <v>499</v>
      </c>
      <c r="C489">
        <f>Final_Dataset!P476</f>
        <v>96</v>
      </c>
    </row>
    <row r="490" spans="1:3" x14ac:dyDescent="0.2">
      <c r="A490" s="56">
        <f>Final_Dataset!R477</f>
        <v>40564.833333333336</v>
      </c>
      <c r="B490">
        <f t="shared" si="7"/>
        <v>500</v>
      </c>
      <c r="C490">
        <f>Final_Dataset!P477</f>
        <v>53</v>
      </c>
    </row>
    <row r="491" spans="1:3" x14ac:dyDescent="0.2">
      <c r="A491" s="56">
        <f>Final_Dataset!R478</f>
        <v>40564.875</v>
      </c>
      <c r="B491">
        <f t="shared" si="7"/>
        <v>501</v>
      </c>
      <c r="C491">
        <f>Final_Dataset!P478</f>
        <v>41</v>
      </c>
    </row>
    <row r="492" spans="1:3" x14ac:dyDescent="0.2">
      <c r="A492" s="56">
        <f>Final_Dataset!R479</f>
        <v>40564.916666666664</v>
      </c>
      <c r="B492">
        <f t="shared" si="7"/>
        <v>502</v>
      </c>
      <c r="C492">
        <f>Final_Dataset!P479</f>
        <v>34</v>
      </c>
    </row>
    <row r="493" spans="1:3" x14ac:dyDescent="0.2">
      <c r="A493" s="56">
        <f>Final_Dataset!R480</f>
        <v>40564.958333333336</v>
      </c>
      <c r="B493">
        <f t="shared" si="7"/>
        <v>503</v>
      </c>
      <c r="C493">
        <f>Final_Dataset!P480</f>
        <v>27</v>
      </c>
    </row>
    <row r="494" spans="1:3" x14ac:dyDescent="0.2">
      <c r="A494" s="56">
        <f>Final_Dataset!R481</f>
        <v>40565</v>
      </c>
      <c r="B494">
        <f t="shared" si="7"/>
        <v>504</v>
      </c>
      <c r="C494">
        <f>Final_Dataset!P481</f>
        <v>13</v>
      </c>
    </row>
    <row r="495" spans="1:3" x14ac:dyDescent="0.2">
      <c r="A495" s="56">
        <f>Final_Dataset!R482</f>
        <v>40565.041666666664</v>
      </c>
      <c r="B495">
        <f t="shared" si="7"/>
        <v>505</v>
      </c>
      <c r="C495">
        <f>Final_Dataset!P482</f>
        <v>12</v>
      </c>
    </row>
    <row r="496" spans="1:3" x14ac:dyDescent="0.2">
      <c r="A496" s="56">
        <f>Final_Dataset!R483</f>
        <v>40565.083333333336</v>
      </c>
      <c r="B496">
        <f t="shared" si="7"/>
        <v>506</v>
      </c>
      <c r="C496">
        <f>Final_Dataset!P483</f>
        <v>11</v>
      </c>
    </row>
    <row r="497" spans="1:3" x14ac:dyDescent="0.2">
      <c r="A497" s="56">
        <f>Final_Dataset!R484</f>
        <v>40565.125</v>
      </c>
      <c r="B497">
        <f t="shared" si="7"/>
        <v>507</v>
      </c>
      <c r="C497">
        <f>Final_Dataset!P484</f>
        <v>7</v>
      </c>
    </row>
    <row r="498" spans="1:3" x14ac:dyDescent="0.2">
      <c r="A498" s="56">
        <f>Final_Dataset!R485</f>
        <v>40565.166666666664</v>
      </c>
      <c r="B498">
        <f t="shared" si="7"/>
        <v>508</v>
      </c>
      <c r="C498">
        <f>Final_Dataset!P485</f>
        <v>3</v>
      </c>
    </row>
    <row r="499" spans="1:3" x14ac:dyDescent="0.2">
      <c r="A499" s="56">
        <f>Final_Dataset!R486</f>
        <v>40565.25</v>
      </c>
      <c r="B499">
        <f t="shared" si="7"/>
        <v>510</v>
      </c>
      <c r="C499">
        <f>Final_Dataset!P486</f>
        <v>2</v>
      </c>
    </row>
    <row r="500" spans="1:3" x14ac:dyDescent="0.2">
      <c r="A500" s="56">
        <f>Final_Dataset!R487</f>
        <v>40565.291666666664</v>
      </c>
      <c r="B500">
        <f t="shared" si="7"/>
        <v>511</v>
      </c>
      <c r="C500">
        <f>Final_Dataset!P487</f>
        <v>8</v>
      </c>
    </row>
    <row r="501" spans="1:3" x14ac:dyDescent="0.2">
      <c r="A501" s="56">
        <f>Final_Dataset!R488</f>
        <v>40565.333333333336</v>
      </c>
      <c r="B501">
        <f t="shared" si="7"/>
        <v>512</v>
      </c>
      <c r="C501">
        <f>Final_Dataset!P488</f>
        <v>27</v>
      </c>
    </row>
    <row r="502" spans="1:3" x14ac:dyDescent="0.2">
      <c r="A502" s="56">
        <f>Final_Dataset!R489</f>
        <v>40565.375</v>
      </c>
      <c r="B502">
        <f t="shared" si="7"/>
        <v>513</v>
      </c>
      <c r="C502">
        <f>Final_Dataset!P489</f>
        <v>40</v>
      </c>
    </row>
    <row r="503" spans="1:3" x14ac:dyDescent="0.2">
      <c r="A503" s="56">
        <f>Final_Dataset!R490</f>
        <v>40565.416666666664</v>
      </c>
      <c r="B503">
        <f t="shared" si="7"/>
        <v>514</v>
      </c>
      <c r="C503">
        <f>Final_Dataset!P490</f>
        <v>53</v>
      </c>
    </row>
    <row r="504" spans="1:3" x14ac:dyDescent="0.2">
      <c r="A504" s="56">
        <f>Final_Dataset!R491</f>
        <v>40565.458333333336</v>
      </c>
      <c r="B504">
        <f t="shared" si="7"/>
        <v>515</v>
      </c>
      <c r="C504">
        <f>Final_Dataset!P491</f>
        <v>63</v>
      </c>
    </row>
    <row r="505" spans="1:3" x14ac:dyDescent="0.2">
      <c r="A505" s="56">
        <f>Final_Dataset!R492</f>
        <v>40565.5</v>
      </c>
      <c r="B505">
        <f t="shared" si="7"/>
        <v>516</v>
      </c>
      <c r="C505">
        <f>Final_Dataset!P492</f>
        <v>70</v>
      </c>
    </row>
    <row r="506" spans="1:3" x14ac:dyDescent="0.2">
      <c r="A506" s="56">
        <f>Final_Dataset!R493</f>
        <v>40565.541666666664</v>
      </c>
      <c r="B506">
        <f t="shared" si="7"/>
        <v>517</v>
      </c>
      <c r="C506">
        <f>Final_Dataset!P493</f>
        <v>84</v>
      </c>
    </row>
    <row r="507" spans="1:3" x14ac:dyDescent="0.2">
      <c r="A507" s="56">
        <f>Final_Dataset!R494</f>
        <v>40565.583333333336</v>
      </c>
      <c r="B507">
        <f t="shared" si="7"/>
        <v>518</v>
      </c>
      <c r="C507">
        <f>Final_Dataset!P494</f>
        <v>75</v>
      </c>
    </row>
    <row r="508" spans="1:3" x14ac:dyDescent="0.2">
      <c r="A508" s="56">
        <f>Final_Dataset!R495</f>
        <v>40565.625</v>
      </c>
      <c r="B508">
        <f t="shared" si="7"/>
        <v>519</v>
      </c>
      <c r="C508">
        <f>Final_Dataset!P495</f>
        <v>103</v>
      </c>
    </row>
    <row r="509" spans="1:3" x14ac:dyDescent="0.2">
      <c r="A509" s="56">
        <f>Final_Dataset!R496</f>
        <v>40565.666666666664</v>
      </c>
      <c r="B509">
        <f t="shared" si="7"/>
        <v>520</v>
      </c>
      <c r="C509">
        <f>Final_Dataset!P496</f>
        <v>83</v>
      </c>
    </row>
    <row r="510" spans="1:3" x14ac:dyDescent="0.2">
      <c r="A510" s="56">
        <f>Final_Dataset!R497</f>
        <v>40565.708333333336</v>
      </c>
      <c r="B510">
        <f t="shared" si="7"/>
        <v>521</v>
      </c>
      <c r="C510">
        <f>Final_Dataset!P497</f>
        <v>67</v>
      </c>
    </row>
    <row r="511" spans="1:3" x14ac:dyDescent="0.2">
      <c r="A511" s="56">
        <f>Final_Dataset!R498</f>
        <v>40565.75</v>
      </c>
      <c r="B511">
        <f t="shared" si="7"/>
        <v>522</v>
      </c>
      <c r="C511">
        <f>Final_Dataset!P498</f>
        <v>54</v>
      </c>
    </row>
    <row r="512" spans="1:3" x14ac:dyDescent="0.2">
      <c r="A512" s="56">
        <f>Final_Dataset!R499</f>
        <v>40565.791666666664</v>
      </c>
      <c r="B512">
        <f t="shared" si="7"/>
        <v>523</v>
      </c>
      <c r="C512">
        <f>Final_Dataset!P499</f>
        <v>59</v>
      </c>
    </row>
    <row r="513" spans="1:3" x14ac:dyDescent="0.2">
      <c r="A513" s="56">
        <f>Final_Dataset!R500</f>
        <v>40565.833333333336</v>
      </c>
      <c r="B513">
        <f t="shared" si="7"/>
        <v>524</v>
      </c>
      <c r="C513">
        <f>Final_Dataset!P500</f>
        <v>45</v>
      </c>
    </row>
    <row r="514" spans="1:3" x14ac:dyDescent="0.2">
      <c r="A514" s="56">
        <f>Final_Dataset!R501</f>
        <v>40565.875</v>
      </c>
      <c r="B514">
        <f t="shared" si="7"/>
        <v>525</v>
      </c>
      <c r="C514">
        <f>Final_Dataset!P501</f>
        <v>39</v>
      </c>
    </row>
    <row r="515" spans="1:3" x14ac:dyDescent="0.2">
      <c r="A515" s="56">
        <f>Final_Dataset!R502</f>
        <v>40565.916666666664</v>
      </c>
      <c r="B515">
        <f t="shared" si="7"/>
        <v>526</v>
      </c>
      <c r="C515">
        <f>Final_Dataset!P502</f>
        <v>30</v>
      </c>
    </row>
    <row r="516" spans="1:3" x14ac:dyDescent="0.2">
      <c r="A516" s="56">
        <f>Final_Dataset!R503</f>
        <v>40565.958333333336</v>
      </c>
      <c r="B516">
        <f t="shared" si="7"/>
        <v>527</v>
      </c>
      <c r="C516">
        <f>Final_Dataset!P503</f>
        <v>33</v>
      </c>
    </row>
    <row r="517" spans="1:3" x14ac:dyDescent="0.2">
      <c r="A517" s="56">
        <f>Final_Dataset!R504</f>
        <v>40566</v>
      </c>
      <c r="B517">
        <f t="shared" si="7"/>
        <v>528</v>
      </c>
      <c r="C517">
        <f>Final_Dataset!P504</f>
        <v>22</v>
      </c>
    </row>
    <row r="518" spans="1:3" x14ac:dyDescent="0.2">
      <c r="A518" s="56">
        <f>Final_Dataset!R505</f>
        <v>40566.041666666664</v>
      </c>
      <c r="B518">
        <f t="shared" si="7"/>
        <v>529</v>
      </c>
      <c r="C518">
        <f>Final_Dataset!P505</f>
        <v>13</v>
      </c>
    </row>
    <row r="519" spans="1:3" x14ac:dyDescent="0.2">
      <c r="A519" s="56">
        <f>Final_Dataset!R506</f>
        <v>40566.083333333336</v>
      </c>
      <c r="B519">
        <f t="shared" si="7"/>
        <v>530</v>
      </c>
      <c r="C519">
        <f>Final_Dataset!P506</f>
        <v>18</v>
      </c>
    </row>
    <row r="520" spans="1:3" x14ac:dyDescent="0.2">
      <c r="A520" s="56">
        <f>Final_Dataset!R507</f>
        <v>40566.125</v>
      </c>
      <c r="B520">
        <f t="shared" si="7"/>
        <v>531</v>
      </c>
      <c r="C520">
        <f>Final_Dataset!P507</f>
        <v>5</v>
      </c>
    </row>
    <row r="521" spans="1:3" x14ac:dyDescent="0.2">
      <c r="A521" s="56">
        <f>Final_Dataset!R508</f>
        <v>40566.208333333336</v>
      </c>
      <c r="B521">
        <f t="shared" si="7"/>
        <v>533</v>
      </c>
      <c r="C521">
        <f>Final_Dataset!P508</f>
        <v>3</v>
      </c>
    </row>
    <row r="522" spans="1:3" x14ac:dyDescent="0.2">
      <c r="A522" s="56">
        <f>Final_Dataset!R509</f>
        <v>40566.25</v>
      </c>
      <c r="B522">
        <f t="shared" si="7"/>
        <v>534</v>
      </c>
      <c r="C522">
        <f>Final_Dataset!P509</f>
        <v>1</v>
      </c>
    </row>
    <row r="523" spans="1:3" x14ac:dyDescent="0.2">
      <c r="A523" s="56">
        <f>Final_Dataset!R510</f>
        <v>40566.291666666664</v>
      </c>
      <c r="B523">
        <f t="shared" si="7"/>
        <v>535</v>
      </c>
      <c r="C523">
        <f>Final_Dataset!P510</f>
        <v>2</v>
      </c>
    </row>
    <row r="524" spans="1:3" x14ac:dyDescent="0.2">
      <c r="A524" s="56">
        <f>Final_Dataset!R511</f>
        <v>40566.333333333336</v>
      </c>
      <c r="B524">
        <f t="shared" si="7"/>
        <v>536</v>
      </c>
      <c r="C524">
        <f>Final_Dataset!P511</f>
        <v>19</v>
      </c>
    </row>
    <row r="525" spans="1:3" x14ac:dyDescent="0.2">
      <c r="A525" s="56">
        <f>Final_Dataset!R512</f>
        <v>40566.375</v>
      </c>
      <c r="B525">
        <f t="shared" si="7"/>
        <v>537</v>
      </c>
      <c r="C525">
        <f>Final_Dataset!P512</f>
        <v>28</v>
      </c>
    </row>
    <row r="526" spans="1:3" x14ac:dyDescent="0.2">
      <c r="A526" s="56">
        <f>Final_Dataset!R513</f>
        <v>40566.416666666664</v>
      </c>
      <c r="B526">
        <f t="shared" si="7"/>
        <v>538</v>
      </c>
      <c r="C526">
        <f>Final_Dataset!P513</f>
        <v>58</v>
      </c>
    </row>
    <row r="527" spans="1:3" x14ac:dyDescent="0.2">
      <c r="A527" s="56">
        <f>Final_Dataset!R514</f>
        <v>40566.458333333336</v>
      </c>
      <c r="B527">
        <f t="shared" ref="B527:B590" si="8">ROUND((A527-$A$15)*24,0)</f>
        <v>539</v>
      </c>
      <c r="C527">
        <f>Final_Dataset!P514</f>
        <v>99</v>
      </c>
    </row>
    <row r="528" spans="1:3" x14ac:dyDescent="0.2">
      <c r="A528" s="56">
        <f>Final_Dataset!R515</f>
        <v>40566.5</v>
      </c>
      <c r="B528">
        <f t="shared" si="8"/>
        <v>540</v>
      </c>
      <c r="C528">
        <f>Final_Dataset!P515</f>
        <v>116</v>
      </c>
    </row>
    <row r="529" spans="1:3" x14ac:dyDescent="0.2">
      <c r="A529" s="56">
        <f>Final_Dataset!R516</f>
        <v>40566.541666666664</v>
      </c>
      <c r="B529">
        <f t="shared" si="8"/>
        <v>541</v>
      </c>
      <c r="C529">
        <f>Final_Dataset!P516</f>
        <v>87</v>
      </c>
    </row>
    <row r="530" spans="1:3" x14ac:dyDescent="0.2">
      <c r="A530" s="56">
        <f>Final_Dataset!R517</f>
        <v>40566.583333333336</v>
      </c>
      <c r="B530">
        <f t="shared" si="8"/>
        <v>542</v>
      </c>
      <c r="C530">
        <f>Final_Dataset!P517</f>
        <v>110</v>
      </c>
    </row>
    <row r="531" spans="1:3" x14ac:dyDescent="0.2">
      <c r="A531" s="56">
        <f>Final_Dataset!R518</f>
        <v>40566.625</v>
      </c>
      <c r="B531">
        <f t="shared" si="8"/>
        <v>543</v>
      </c>
      <c r="C531">
        <f>Final_Dataset!P518</f>
        <v>77</v>
      </c>
    </row>
    <row r="532" spans="1:3" x14ac:dyDescent="0.2">
      <c r="A532" s="56">
        <f>Final_Dataset!R519</f>
        <v>40566.666666666664</v>
      </c>
      <c r="B532">
        <f t="shared" si="8"/>
        <v>544</v>
      </c>
      <c r="C532">
        <f>Final_Dataset!P519</f>
        <v>65</v>
      </c>
    </row>
    <row r="533" spans="1:3" x14ac:dyDescent="0.2">
      <c r="A533" s="56">
        <f>Final_Dataset!R520</f>
        <v>40566.708333333336</v>
      </c>
      <c r="B533">
        <f t="shared" si="8"/>
        <v>545</v>
      </c>
      <c r="C533">
        <f>Final_Dataset!P520</f>
        <v>55</v>
      </c>
    </row>
    <row r="534" spans="1:3" x14ac:dyDescent="0.2">
      <c r="A534" s="56">
        <f>Final_Dataset!R521</f>
        <v>40566.75</v>
      </c>
      <c r="B534">
        <f t="shared" si="8"/>
        <v>546</v>
      </c>
      <c r="C534">
        <f>Final_Dataset!P521</f>
        <v>49</v>
      </c>
    </row>
    <row r="535" spans="1:3" x14ac:dyDescent="0.2">
      <c r="A535" s="56">
        <f>Final_Dataset!R522</f>
        <v>40566.791666666664</v>
      </c>
      <c r="B535">
        <f t="shared" si="8"/>
        <v>547</v>
      </c>
      <c r="C535">
        <f>Final_Dataset!P522</f>
        <v>50</v>
      </c>
    </row>
    <row r="536" spans="1:3" x14ac:dyDescent="0.2">
      <c r="A536" s="56">
        <f>Final_Dataset!R523</f>
        <v>40566.833333333336</v>
      </c>
      <c r="B536">
        <f t="shared" si="8"/>
        <v>548</v>
      </c>
      <c r="C536">
        <f>Final_Dataset!P523</f>
        <v>35</v>
      </c>
    </row>
    <row r="537" spans="1:3" x14ac:dyDescent="0.2">
      <c r="A537" s="56">
        <f>Final_Dataset!R524</f>
        <v>40566.875</v>
      </c>
      <c r="B537">
        <f t="shared" si="8"/>
        <v>549</v>
      </c>
      <c r="C537">
        <f>Final_Dataset!P524</f>
        <v>25</v>
      </c>
    </row>
    <row r="538" spans="1:3" x14ac:dyDescent="0.2">
      <c r="A538" s="56">
        <f>Final_Dataset!R525</f>
        <v>40566.916666666664</v>
      </c>
      <c r="B538">
        <f t="shared" si="8"/>
        <v>550</v>
      </c>
      <c r="C538">
        <f>Final_Dataset!P525</f>
        <v>28</v>
      </c>
    </row>
    <row r="539" spans="1:3" x14ac:dyDescent="0.2">
      <c r="A539" s="56">
        <f>Final_Dataset!R526</f>
        <v>40566.958333333336</v>
      </c>
      <c r="B539">
        <f t="shared" si="8"/>
        <v>551</v>
      </c>
      <c r="C539">
        <f>Final_Dataset!P526</f>
        <v>21</v>
      </c>
    </row>
    <row r="540" spans="1:3" x14ac:dyDescent="0.2">
      <c r="A540" s="56">
        <f>Final_Dataset!R527</f>
        <v>40567</v>
      </c>
      <c r="B540">
        <f t="shared" si="8"/>
        <v>552</v>
      </c>
      <c r="C540">
        <f>Final_Dataset!P527</f>
        <v>7</v>
      </c>
    </row>
    <row r="541" spans="1:3" x14ac:dyDescent="0.2">
      <c r="A541" s="56">
        <f>Final_Dataset!R528</f>
        <v>40567.041666666664</v>
      </c>
      <c r="B541">
        <f t="shared" si="8"/>
        <v>553</v>
      </c>
      <c r="C541">
        <f>Final_Dataset!P528</f>
        <v>1</v>
      </c>
    </row>
    <row r="542" spans="1:3" x14ac:dyDescent="0.2">
      <c r="A542" s="56">
        <f>Final_Dataset!R529</f>
        <v>40567.125</v>
      </c>
      <c r="B542">
        <f t="shared" si="8"/>
        <v>555</v>
      </c>
      <c r="C542">
        <f>Final_Dataset!P529</f>
        <v>1</v>
      </c>
    </row>
    <row r="543" spans="1:3" x14ac:dyDescent="0.2">
      <c r="A543" s="56">
        <f>Final_Dataset!R530</f>
        <v>40567.166666666664</v>
      </c>
      <c r="B543">
        <f t="shared" si="8"/>
        <v>556</v>
      </c>
      <c r="C543">
        <f>Final_Dataset!P530</f>
        <v>1</v>
      </c>
    </row>
    <row r="544" spans="1:3" x14ac:dyDescent="0.2">
      <c r="A544" s="56">
        <f>Final_Dataset!R531</f>
        <v>40567.208333333336</v>
      </c>
      <c r="B544">
        <f t="shared" si="8"/>
        <v>557</v>
      </c>
      <c r="C544">
        <f>Final_Dataset!P531</f>
        <v>5</v>
      </c>
    </row>
    <row r="545" spans="1:3" x14ac:dyDescent="0.2">
      <c r="A545" s="56">
        <f>Final_Dataset!R532</f>
        <v>40567.25</v>
      </c>
      <c r="B545">
        <f t="shared" si="8"/>
        <v>558</v>
      </c>
      <c r="C545">
        <f>Final_Dataset!P532</f>
        <v>15</v>
      </c>
    </row>
    <row r="546" spans="1:3" x14ac:dyDescent="0.2">
      <c r="A546" s="56">
        <f>Final_Dataset!R533</f>
        <v>40567.291666666664</v>
      </c>
      <c r="B546">
        <f t="shared" si="8"/>
        <v>559</v>
      </c>
      <c r="C546">
        <f>Final_Dataset!P533</f>
        <v>84</v>
      </c>
    </row>
    <row r="547" spans="1:3" x14ac:dyDescent="0.2">
      <c r="A547" s="56">
        <f>Final_Dataset!R534</f>
        <v>40567.333333333336</v>
      </c>
      <c r="B547">
        <f t="shared" si="8"/>
        <v>560</v>
      </c>
      <c r="C547">
        <f>Final_Dataset!P534</f>
        <v>177</v>
      </c>
    </row>
    <row r="548" spans="1:3" x14ac:dyDescent="0.2">
      <c r="A548" s="56">
        <f>Final_Dataset!R535</f>
        <v>40567.375</v>
      </c>
      <c r="B548">
        <f t="shared" si="8"/>
        <v>561</v>
      </c>
      <c r="C548">
        <f>Final_Dataset!P535</f>
        <v>102</v>
      </c>
    </row>
    <row r="549" spans="1:3" x14ac:dyDescent="0.2">
      <c r="A549" s="56">
        <f>Final_Dataset!R536</f>
        <v>40567.416666666664</v>
      </c>
      <c r="B549">
        <f t="shared" si="8"/>
        <v>562</v>
      </c>
      <c r="C549">
        <f>Final_Dataset!P536</f>
        <v>40</v>
      </c>
    </row>
    <row r="550" spans="1:3" x14ac:dyDescent="0.2">
      <c r="A550" s="56">
        <f>Final_Dataset!R537</f>
        <v>40567.458333333336</v>
      </c>
      <c r="B550">
        <f t="shared" si="8"/>
        <v>563</v>
      </c>
      <c r="C550">
        <f>Final_Dataset!P537</f>
        <v>46</v>
      </c>
    </row>
    <row r="551" spans="1:3" x14ac:dyDescent="0.2">
      <c r="A551" s="56">
        <f>Final_Dataset!R538</f>
        <v>40567.5</v>
      </c>
      <c r="B551">
        <f t="shared" si="8"/>
        <v>564</v>
      </c>
      <c r="C551">
        <f>Final_Dataset!P538</f>
        <v>63</v>
      </c>
    </row>
    <row r="552" spans="1:3" x14ac:dyDescent="0.2">
      <c r="A552" s="56">
        <f>Final_Dataset!R539</f>
        <v>40567.541666666664</v>
      </c>
      <c r="B552">
        <f t="shared" si="8"/>
        <v>565</v>
      </c>
      <c r="C552">
        <f>Final_Dataset!P539</f>
        <v>60</v>
      </c>
    </row>
    <row r="553" spans="1:3" x14ac:dyDescent="0.2">
      <c r="A553" s="56">
        <f>Final_Dataset!R540</f>
        <v>40567.583333333336</v>
      </c>
      <c r="B553">
        <f t="shared" si="8"/>
        <v>566</v>
      </c>
      <c r="C553">
        <f>Final_Dataset!P540</f>
        <v>45</v>
      </c>
    </row>
    <row r="554" spans="1:3" x14ac:dyDescent="0.2">
      <c r="A554" s="56">
        <f>Final_Dataset!R541</f>
        <v>40567.625</v>
      </c>
      <c r="B554">
        <f t="shared" si="8"/>
        <v>567</v>
      </c>
      <c r="C554">
        <f>Final_Dataset!P541</f>
        <v>57</v>
      </c>
    </row>
    <row r="555" spans="1:3" x14ac:dyDescent="0.2">
      <c r="A555" s="56">
        <f>Final_Dataset!R542</f>
        <v>40567.666666666664</v>
      </c>
      <c r="B555">
        <f t="shared" si="8"/>
        <v>568</v>
      </c>
      <c r="C555">
        <f>Final_Dataset!P542</f>
        <v>70</v>
      </c>
    </row>
    <row r="556" spans="1:3" x14ac:dyDescent="0.2">
      <c r="A556" s="56">
        <f>Final_Dataset!R543</f>
        <v>40567.708333333336</v>
      </c>
      <c r="B556">
        <f t="shared" si="8"/>
        <v>569</v>
      </c>
      <c r="C556">
        <f>Final_Dataset!P543</f>
        <v>184</v>
      </c>
    </row>
    <row r="557" spans="1:3" x14ac:dyDescent="0.2">
      <c r="A557" s="56">
        <f>Final_Dataset!R544</f>
        <v>40567.75</v>
      </c>
      <c r="B557">
        <f t="shared" si="8"/>
        <v>570</v>
      </c>
      <c r="C557">
        <f>Final_Dataset!P544</f>
        <v>153</v>
      </c>
    </row>
    <row r="558" spans="1:3" x14ac:dyDescent="0.2">
      <c r="A558" s="56">
        <f>Final_Dataset!R545</f>
        <v>40567.791666666664</v>
      </c>
      <c r="B558">
        <f t="shared" si="8"/>
        <v>571</v>
      </c>
      <c r="C558">
        <f>Final_Dataset!P545</f>
        <v>106</v>
      </c>
    </row>
    <row r="559" spans="1:3" x14ac:dyDescent="0.2">
      <c r="A559" s="56">
        <f>Final_Dataset!R546</f>
        <v>40567.833333333336</v>
      </c>
      <c r="B559">
        <f t="shared" si="8"/>
        <v>572</v>
      </c>
      <c r="C559">
        <f>Final_Dataset!P546</f>
        <v>81</v>
      </c>
    </row>
    <row r="560" spans="1:3" x14ac:dyDescent="0.2">
      <c r="A560" s="56">
        <f>Final_Dataset!R547</f>
        <v>40567.875</v>
      </c>
      <c r="B560">
        <f t="shared" si="8"/>
        <v>573</v>
      </c>
      <c r="C560">
        <f>Final_Dataset!P547</f>
        <v>59</v>
      </c>
    </row>
    <row r="561" spans="1:3" x14ac:dyDescent="0.2">
      <c r="A561" s="56">
        <f>Final_Dataset!R548</f>
        <v>40567.916666666664</v>
      </c>
      <c r="B561">
        <f t="shared" si="8"/>
        <v>574</v>
      </c>
      <c r="C561">
        <f>Final_Dataset!P548</f>
        <v>35</v>
      </c>
    </row>
    <row r="562" spans="1:3" x14ac:dyDescent="0.2">
      <c r="A562" s="56">
        <f>Final_Dataset!R549</f>
        <v>40567.958333333336</v>
      </c>
      <c r="B562">
        <f t="shared" si="8"/>
        <v>575</v>
      </c>
      <c r="C562">
        <f>Final_Dataset!P549</f>
        <v>24</v>
      </c>
    </row>
    <row r="563" spans="1:3" x14ac:dyDescent="0.2">
      <c r="A563" s="56">
        <f>Final_Dataset!R550</f>
        <v>40568</v>
      </c>
      <c r="B563">
        <f t="shared" si="8"/>
        <v>576</v>
      </c>
      <c r="C563">
        <f>Final_Dataset!P550</f>
        <v>9</v>
      </c>
    </row>
    <row r="564" spans="1:3" x14ac:dyDescent="0.2">
      <c r="A564" s="56">
        <f>Final_Dataset!R551</f>
        <v>40568.041666666664</v>
      </c>
      <c r="B564">
        <f t="shared" si="8"/>
        <v>577</v>
      </c>
      <c r="C564">
        <f>Final_Dataset!P551</f>
        <v>5</v>
      </c>
    </row>
    <row r="565" spans="1:3" x14ac:dyDescent="0.2">
      <c r="A565" s="56">
        <f>Final_Dataset!R552</f>
        <v>40568.083333333336</v>
      </c>
      <c r="B565">
        <f t="shared" si="8"/>
        <v>578</v>
      </c>
      <c r="C565">
        <f>Final_Dataset!P552</f>
        <v>2</v>
      </c>
    </row>
    <row r="566" spans="1:3" x14ac:dyDescent="0.2">
      <c r="A566" s="56">
        <f>Final_Dataset!R553</f>
        <v>40568.166666666664</v>
      </c>
      <c r="B566">
        <f t="shared" si="8"/>
        <v>580</v>
      </c>
      <c r="C566">
        <f>Final_Dataset!P553</f>
        <v>1</v>
      </c>
    </row>
    <row r="567" spans="1:3" x14ac:dyDescent="0.2">
      <c r="A567" s="56">
        <f>Final_Dataset!R554</f>
        <v>40568.208333333336</v>
      </c>
      <c r="B567">
        <f t="shared" si="8"/>
        <v>581</v>
      </c>
      <c r="C567">
        <f>Final_Dataset!P554</f>
        <v>9</v>
      </c>
    </row>
    <row r="568" spans="1:3" x14ac:dyDescent="0.2">
      <c r="A568" s="56">
        <f>Final_Dataset!R555</f>
        <v>40568.25</v>
      </c>
      <c r="B568">
        <f t="shared" si="8"/>
        <v>582</v>
      </c>
      <c r="C568">
        <f>Final_Dataset!P555</f>
        <v>36</v>
      </c>
    </row>
    <row r="569" spans="1:3" x14ac:dyDescent="0.2">
      <c r="A569" s="56">
        <f>Final_Dataset!R556</f>
        <v>40568.291666666664</v>
      </c>
      <c r="B569">
        <f t="shared" si="8"/>
        <v>583</v>
      </c>
      <c r="C569">
        <f>Final_Dataset!P556</f>
        <v>108</v>
      </c>
    </row>
    <row r="570" spans="1:3" x14ac:dyDescent="0.2">
      <c r="A570" s="56">
        <f>Final_Dataset!R557</f>
        <v>40568.333333333336</v>
      </c>
      <c r="B570">
        <f t="shared" si="8"/>
        <v>584</v>
      </c>
      <c r="C570">
        <f>Final_Dataset!P557</f>
        <v>238</v>
      </c>
    </row>
    <row r="571" spans="1:3" x14ac:dyDescent="0.2">
      <c r="A571" s="56">
        <f>Final_Dataset!R558</f>
        <v>40568.375</v>
      </c>
      <c r="B571">
        <f t="shared" si="8"/>
        <v>585</v>
      </c>
      <c r="C571">
        <f>Final_Dataset!P558</f>
        <v>144</v>
      </c>
    </row>
    <row r="572" spans="1:3" x14ac:dyDescent="0.2">
      <c r="A572" s="56">
        <f>Final_Dataset!R559</f>
        <v>40568.416666666664</v>
      </c>
      <c r="B572">
        <f t="shared" si="8"/>
        <v>586</v>
      </c>
      <c r="C572">
        <f>Final_Dataset!P559</f>
        <v>55</v>
      </c>
    </row>
    <row r="573" spans="1:3" x14ac:dyDescent="0.2">
      <c r="A573" s="56">
        <f>Final_Dataset!R560</f>
        <v>40568.458333333336</v>
      </c>
      <c r="B573">
        <f t="shared" si="8"/>
        <v>587</v>
      </c>
      <c r="C573">
        <f>Final_Dataset!P560</f>
        <v>61</v>
      </c>
    </row>
    <row r="574" spans="1:3" x14ac:dyDescent="0.2">
      <c r="A574" s="56">
        <f>Final_Dataset!R561</f>
        <v>40568.5</v>
      </c>
      <c r="B574">
        <f t="shared" si="8"/>
        <v>588</v>
      </c>
      <c r="C574">
        <f>Final_Dataset!P561</f>
        <v>106</v>
      </c>
    </row>
    <row r="575" spans="1:3" x14ac:dyDescent="0.2">
      <c r="A575" s="56">
        <f>Final_Dataset!R562</f>
        <v>40568.541666666664</v>
      </c>
      <c r="B575">
        <f t="shared" si="8"/>
        <v>589</v>
      </c>
      <c r="C575">
        <f>Final_Dataset!P562</f>
        <v>93</v>
      </c>
    </row>
    <row r="576" spans="1:3" x14ac:dyDescent="0.2">
      <c r="A576" s="56">
        <f>Final_Dataset!R563</f>
        <v>40568.583333333336</v>
      </c>
      <c r="B576">
        <f t="shared" si="8"/>
        <v>590</v>
      </c>
      <c r="C576">
        <f>Final_Dataset!P563</f>
        <v>68</v>
      </c>
    </row>
    <row r="577" spans="1:3" x14ac:dyDescent="0.2">
      <c r="A577" s="56">
        <f>Final_Dataset!R564</f>
        <v>40568.625</v>
      </c>
      <c r="B577">
        <f t="shared" si="8"/>
        <v>591</v>
      </c>
      <c r="C577">
        <f>Final_Dataset!P564</f>
        <v>84</v>
      </c>
    </row>
    <row r="578" spans="1:3" x14ac:dyDescent="0.2">
      <c r="A578" s="56">
        <f>Final_Dataset!R565</f>
        <v>40568.666666666664</v>
      </c>
      <c r="B578">
        <f t="shared" si="8"/>
        <v>592</v>
      </c>
      <c r="C578">
        <f>Final_Dataset!P565</f>
        <v>116</v>
      </c>
    </row>
    <row r="579" spans="1:3" x14ac:dyDescent="0.2">
      <c r="A579" s="56">
        <f>Final_Dataset!R566</f>
        <v>40568.708333333336</v>
      </c>
      <c r="B579">
        <f t="shared" si="8"/>
        <v>593</v>
      </c>
      <c r="C579">
        <f>Final_Dataset!P566</f>
        <v>222</v>
      </c>
    </row>
    <row r="580" spans="1:3" x14ac:dyDescent="0.2">
      <c r="A580" s="56">
        <f>Final_Dataset!R567</f>
        <v>40568.75</v>
      </c>
      <c r="B580">
        <f t="shared" si="8"/>
        <v>594</v>
      </c>
      <c r="C580">
        <f>Final_Dataset!P567</f>
        <v>225</v>
      </c>
    </row>
    <row r="581" spans="1:3" x14ac:dyDescent="0.2">
      <c r="A581" s="56">
        <f>Final_Dataset!R568</f>
        <v>40568.791666666664</v>
      </c>
      <c r="B581">
        <f t="shared" si="8"/>
        <v>595</v>
      </c>
      <c r="C581">
        <f>Final_Dataset!P568</f>
        <v>146</v>
      </c>
    </row>
    <row r="582" spans="1:3" x14ac:dyDescent="0.2">
      <c r="A582" s="56">
        <f>Final_Dataset!R569</f>
        <v>40568.833333333336</v>
      </c>
      <c r="B582">
        <f t="shared" si="8"/>
        <v>596</v>
      </c>
      <c r="C582">
        <f>Final_Dataset!P569</f>
        <v>119</v>
      </c>
    </row>
    <row r="583" spans="1:3" x14ac:dyDescent="0.2">
      <c r="A583" s="56">
        <f>Final_Dataset!R570</f>
        <v>40568.875</v>
      </c>
      <c r="B583">
        <f t="shared" si="8"/>
        <v>597</v>
      </c>
      <c r="C583">
        <f>Final_Dataset!P570</f>
        <v>45</v>
      </c>
    </row>
    <row r="584" spans="1:3" x14ac:dyDescent="0.2">
      <c r="A584" s="56">
        <f>Final_Dataset!R571</f>
        <v>40568.916666666664</v>
      </c>
      <c r="B584">
        <f t="shared" si="8"/>
        <v>598</v>
      </c>
      <c r="C584">
        <f>Final_Dataset!P571</f>
        <v>53</v>
      </c>
    </row>
    <row r="585" spans="1:3" x14ac:dyDescent="0.2">
      <c r="A585" s="56">
        <f>Final_Dataset!R572</f>
        <v>40568.958333333336</v>
      </c>
      <c r="B585">
        <f t="shared" si="8"/>
        <v>599</v>
      </c>
      <c r="C585">
        <f>Final_Dataset!P572</f>
        <v>40</v>
      </c>
    </row>
    <row r="586" spans="1:3" x14ac:dyDescent="0.2">
      <c r="A586" s="56">
        <f>Final_Dataset!R573</f>
        <v>40569</v>
      </c>
      <c r="B586">
        <f t="shared" si="8"/>
        <v>600</v>
      </c>
      <c r="C586">
        <f>Final_Dataset!P573</f>
        <v>17</v>
      </c>
    </row>
    <row r="587" spans="1:3" x14ac:dyDescent="0.2">
      <c r="A587" s="56">
        <f>Final_Dataset!R574</f>
        <v>40569.041666666664</v>
      </c>
      <c r="B587">
        <f t="shared" si="8"/>
        <v>601</v>
      </c>
      <c r="C587">
        <f>Final_Dataset!P574</f>
        <v>5</v>
      </c>
    </row>
    <row r="588" spans="1:3" x14ac:dyDescent="0.2">
      <c r="A588" s="56">
        <f>Final_Dataset!R575</f>
        <v>40569.083333333336</v>
      </c>
      <c r="B588">
        <f t="shared" si="8"/>
        <v>602</v>
      </c>
      <c r="C588">
        <f>Final_Dataset!P575</f>
        <v>10</v>
      </c>
    </row>
    <row r="589" spans="1:3" x14ac:dyDescent="0.2">
      <c r="A589" s="56">
        <f>Final_Dataset!R576</f>
        <v>40569.208333333336</v>
      </c>
      <c r="B589">
        <f t="shared" si="8"/>
        <v>605</v>
      </c>
      <c r="C589">
        <f>Final_Dataset!P576</f>
        <v>1</v>
      </c>
    </row>
    <row r="590" spans="1:3" x14ac:dyDescent="0.2">
      <c r="A590" s="56">
        <f>Final_Dataset!R577</f>
        <v>40569.25</v>
      </c>
      <c r="B590">
        <f t="shared" si="8"/>
        <v>606</v>
      </c>
      <c r="C590">
        <f>Final_Dataset!P577</f>
        <v>8</v>
      </c>
    </row>
    <row r="591" spans="1:3" x14ac:dyDescent="0.2">
      <c r="A591" s="56">
        <f>Final_Dataset!R578</f>
        <v>40569.291666666664</v>
      </c>
      <c r="B591">
        <f t="shared" ref="B591:B654" si="9">ROUND((A591-$A$15)*24,0)</f>
        <v>607</v>
      </c>
      <c r="C591">
        <f>Final_Dataset!P578</f>
        <v>30</v>
      </c>
    </row>
    <row r="592" spans="1:3" x14ac:dyDescent="0.2">
      <c r="A592" s="56">
        <f>Final_Dataset!R579</f>
        <v>40569.333333333336</v>
      </c>
      <c r="B592">
        <f t="shared" si="9"/>
        <v>608</v>
      </c>
      <c r="C592">
        <f>Final_Dataset!P579</f>
        <v>72</v>
      </c>
    </row>
    <row r="593" spans="1:3" x14ac:dyDescent="0.2">
      <c r="A593" s="56">
        <f>Final_Dataset!R580</f>
        <v>40569.375</v>
      </c>
      <c r="B593">
        <f t="shared" si="9"/>
        <v>609</v>
      </c>
      <c r="C593">
        <f>Final_Dataset!P580</f>
        <v>58</v>
      </c>
    </row>
    <row r="594" spans="1:3" x14ac:dyDescent="0.2">
      <c r="A594" s="56">
        <f>Final_Dataset!R581</f>
        <v>40569.416666666664</v>
      </c>
      <c r="B594">
        <f t="shared" si="9"/>
        <v>610</v>
      </c>
      <c r="C594">
        <f>Final_Dataset!P581</f>
        <v>28</v>
      </c>
    </row>
    <row r="595" spans="1:3" x14ac:dyDescent="0.2">
      <c r="A595" s="56">
        <f>Final_Dataset!R582</f>
        <v>40569.458333333336</v>
      </c>
      <c r="B595">
        <f t="shared" si="9"/>
        <v>611</v>
      </c>
      <c r="C595">
        <f>Final_Dataset!P582</f>
        <v>41</v>
      </c>
    </row>
    <row r="596" spans="1:3" x14ac:dyDescent="0.2">
      <c r="A596" s="56">
        <f>Final_Dataset!R583</f>
        <v>40569.5</v>
      </c>
      <c r="B596">
        <f t="shared" si="9"/>
        <v>612</v>
      </c>
      <c r="C596">
        <f>Final_Dataset!P583</f>
        <v>48</v>
      </c>
    </row>
    <row r="597" spans="1:3" x14ac:dyDescent="0.2">
      <c r="A597" s="56">
        <f>Final_Dataset!R584</f>
        <v>40569.541666666664</v>
      </c>
      <c r="B597">
        <f t="shared" si="9"/>
        <v>613</v>
      </c>
      <c r="C597">
        <f>Final_Dataset!P584</f>
        <v>47</v>
      </c>
    </row>
    <row r="598" spans="1:3" x14ac:dyDescent="0.2">
      <c r="A598" s="56">
        <f>Final_Dataset!R585</f>
        <v>40569.583333333336</v>
      </c>
      <c r="B598">
        <f t="shared" si="9"/>
        <v>614</v>
      </c>
      <c r="C598">
        <f>Final_Dataset!P585</f>
        <v>36</v>
      </c>
    </row>
    <row r="599" spans="1:3" x14ac:dyDescent="0.2">
      <c r="A599" s="56">
        <f>Final_Dataset!R586</f>
        <v>40569.625</v>
      </c>
      <c r="B599">
        <f t="shared" si="9"/>
        <v>615</v>
      </c>
      <c r="C599">
        <f>Final_Dataset!P586</f>
        <v>43</v>
      </c>
    </row>
    <row r="600" spans="1:3" x14ac:dyDescent="0.2">
      <c r="A600" s="56">
        <f>Final_Dataset!R587</f>
        <v>40569.666666666664</v>
      </c>
      <c r="B600">
        <f t="shared" si="9"/>
        <v>616</v>
      </c>
      <c r="C600">
        <f>Final_Dataset!P587</f>
        <v>36</v>
      </c>
    </row>
    <row r="601" spans="1:3" x14ac:dyDescent="0.2">
      <c r="A601" s="56">
        <f>Final_Dataset!R588</f>
        <v>40569.708333333336</v>
      </c>
      <c r="B601">
        <f t="shared" si="9"/>
        <v>617</v>
      </c>
      <c r="C601">
        <f>Final_Dataset!P588</f>
        <v>26</v>
      </c>
    </row>
    <row r="602" spans="1:3" x14ac:dyDescent="0.2">
      <c r="A602" s="56">
        <f>Final_Dataset!R589</f>
        <v>40570.666666666664</v>
      </c>
      <c r="B602">
        <f t="shared" si="9"/>
        <v>640</v>
      </c>
      <c r="C602">
        <f>Final_Dataset!P589</f>
        <v>24</v>
      </c>
    </row>
    <row r="603" spans="1:3" x14ac:dyDescent="0.2">
      <c r="A603" s="56">
        <f>Final_Dataset!R590</f>
        <v>40570.708333333336</v>
      </c>
      <c r="B603">
        <f t="shared" si="9"/>
        <v>641</v>
      </c>
      <c r="C603">
        <f>Final_Dataset!P590</f>
        <v>84</v>
      </c>
    </row>
    <row r="604" spans="1:3" x14ac:dyDescent="0.2">
      <c r="A604" s="56">
        <f>Final_Dataset!R591</f>
        <v>40570.75</v>
      </c>
      <c r="B604">
        <f t="shared" si="9"/>
        <v>642</v>
      </c>
      <c r="C604">
        <f>Final_Dataset!P591</f>
        <v>104</v>
      </c>
    </row>
    <row r="605" spans="1:3" x14ac:dyDescent="0.2">
      <c r="A605" s="56">
        <f>Final_Dataset!R592</f>
        <v>40570.791666666664</v>
      </c>
      <c r="B605">
        <f t="shared" si="9"/>
        <v>643</v>
      </c>
      <c r="C605">
        <f>Final_Dataset!P592</f>
        <v>79</v>
      </c>
    </row>
    <row r="606" spans="1:3" x14ac:dyDescent="0.2">
      <c r="A606" s="56">
        <f>Final_Dataset!R593</f>
        <v>40570.833333333336</v>
      </c>
      <c r="B606">
        <f t="shared" si="9"/>
        <v>644</v>
      </c>
      <c r="C606">
        <f>Final_Dataset!P593</f>
        <v>59</v>
      </c>
    </row>
    <row r="607" spans="1:3" x14ac:dyDescent="0.2">
      <c r="A607" s="56">
        <f>Final_Dataset!R594</f>
        <v>40570.875</v>
      </c>
      <c r="B607">
        <f t="shared" si="9"/>
        <v>645</v>
      </c>
      <c r="C607">
        <f>Final_Dataset!P594</f>
        <v>38</v>
      </c>
    </row>
    <row r="608" spans="1:3" x14ac:dyDescent="0.2">
      <c r="A608" s="56">
        <f>Final_Dataset!R595</f>
        <v>40570.916666666664</v>
      </c>
      <c r="B608">
        <f t="shared" si="9"/>
        <v>646</v>
      </c>
      <c r="C608">
        <f>Final_Dataset!P595</f>
        <v>27</v>
      </c>
    </row>
    <row r="609" spans="1:3" x14ac:dyDescent="0.2">
      <c r="A609" s="56">
        <f>Final_Dataset!R596</f>
        <v>40570.958333333336</v>
      </c>
      <c r="B609">
        <f t="shared" si="9"/>
        <v>647</v>
      </c>
      <c r="C609">
        <f>Final_Dataset!P596</f>
        <v>16</v>
      </c>
    </row>
    <row r="610" spans="1:3" x14ac:dyDescent="0.2">
      <c r="A610" s="56">
        <f>Final_Dataset!R597</f>
        <v>40571</v>
      </c>
      <c r="B610">
        <f t="shared" si="9"/>
        <v>648</v>
      </c>
      <c r="C610">
        <f>Final_Dataset!P597</f>
        <v>9</v>
      </c>
    </row>
    <row r="611" spans="1:3" x14ac:dyDescent="0.2">
      <c r="A611" s="56">
        <f>Final_Dataset!R598</f>
        <v>40571.041666666664</v>
      </c>
      <c r="B611">
        <f t="shared" si="9"/>
        <v>649</v>
      </c>
      <c r="C611">
        <f>Final_Dataset!P598</f>
        <v>3</v>
      </c>
    </row>
    <row r="612" spans="1:3" x14ac:dyDescent="0.2">
      <c r="A612" s="56">
        <f>Final_Dataset!R599</f>
        <v>40571.083333333336</v>
      </c>
      <c r="B612">
        <f t="shared" si="9"/>
        <v>650</v>
      </c>
      <c r="C612">
        <f>Final_Dataset!P599</f>
        <v>2</v>
      </c>
    </row>
    <row r="613" spans="1:3" x14ac:dyDescent="0.2">
      <c r="A613" s="56">
        <f>Final_Dataset!R600</f>
        <v>40571.125</v>
      </c>
      <c r="B613">
        <f t="shared" si="9"/>
        <v>651</v>
      </c>
      <c r="C613">
        <f>Final_Dataset!P600</f>
        <v>1</v>
      </c>
    </row>
    <row r="614" spans="1:3" x14ac:dyDescent="0.2">
      <c r="A614" s="56">
        <f>Final_Dataset!R601</f>
        <v>40571.208333333336</v>
      </c>
      <c r="B614">
        <f t="shared" si="9"/>
        <v>653</v>
      </c>
      <c r="C614">
        <f>Final_Dataset!P601</f>
        <v>4</v>
      </c>
    </row>
    <row r="615" spans="1:3" x14ac:dyDescent="0.2">
      <c r="A615" s="56">
        <f>Final_Dataset!R602</f>
        <v>40571.25</v>
      </c>
      <c r="B615">
        <f t="shared" si="9"/>
        <v>654</v>
      </c>
      <c r="C615">
        <f>Final_Dataset!P602</f>
        <v>16</v>
      </c>
    </row>
    <row r="616" spans="1:3" x14ac:dyDescent="0.2">
      <c r="A616" s="56">
        <f>Final_Dataset!R603</f>
        <v>40571.291666666664</v>
      </c>
      <c r="B616">
        <f t="shared" si="9"/>
        <v>655</v>
      </c>
      <c r="C616">
        <f>Final_Dataset!P603</f>
        <v>60</v>
      </c>
    </row>
    <row r="617" spans="1:3" x14ac:dyDescent="0.2">
      <c r="A617" s="56">
        <f>Final_Dataset!R604</f>
        <v>40571.333333333336</v>
      </c>
      <c r="B617">
        <f t="shared" si="9"/>
        <v>656</v>
      </c>
      <c r="C617">
        <f>Final_Dataset!P604</f>
        <v>157</v>
      </c>
    </row>
    <row r="618" spans="1:3" x14ac:dyDescent="0.2">
      <c r="A618" s="56">
        <f>Final_Dataset!R605</f>
        <v>40571.375</v>
      </c>
      <c r="B618">
        <f t="shared" si="9"/>
        <v>657</v>
      </c>
      <c r="C618">
        <f>Final_Dataset!P605</f>
        <v>101</v>
      </c>
    </row>
    <row r="619" spans="1:3" x14ac:dyDescent="0.2">
      <c r="A619" s="56">
        <f>Final_Dataset!R606</f>
        <v>40571.416666666664</v>
      </c>
      <c r="B619">
        <f t="shared" si="9"/>
        <v>658</v>
      </c>
      <c r="C619">
        <f>Final_Dataset!P606</f>
        <v>49</v>
      </c>
    </row>
    <row r="620" spans="1:3" x14ac:dyDescent="0.2">
      <c r="A620" s="56">
        <f>Final_Dataset!R607</f>
        <v>40571.458333333336</v>
      </c>
      <c r="B620">
        <f t="shared" si="9"/>
        <v>659</v>
      </c>
      <c r="C620">
        <f>Final_Dataset!P607</f>
        <v>30</v>
      </c>
    </row>
    <row r="621" spans="1:3" x14ac:dyDescent="0.2">
      <c r="A621" s="56">
        <f>Final_Dataset!R608</f>
        <v>40571.5</v>
      </c>
      <c r="B621">
        <f t="shared" si="9"/>
        <v>660</v>
      </c>
      <c r="C621">
        <f>Final_Dataset!P608</f>
        <v>29</v>
      </c>
    </row>
    <row r="622" spans="1:3" x14ac:dyDescent="0.2">
      <c r="A622" s="56">
        <f>Final_Dataset!R609</f>
        <v>40571.541666666664</v>
      </c>
      <c r="B622">
        <f t="shared" si="9"/>
        <v>661</v>
      </c>
      <c r="C622">
        <f>Final_Dataset!P609</f>
        <v>31</v>
      </c>
    </row>
    <row r="623" spans="1:3" x14ac:dyDescent="0.2">
      <c r="A623" s="56">
        <f>Final_Dataset!R610</f>
        <v>40571.583333333336</v>
      </c>
      <c r="B623">
        <f t="shared" si="9"/>
        <v>662</v>
      </c>
      <c r="C623">
        <f>Final_Dataset!P610</f>
        <v>38</v>
      </c>
    </row>
    <row r="624" spans="1:3" x14ac:dyDescent="0.2">
      <c r="A624" s="56">
        <f>Final_Dataset!R611</f>
        <v>40571.625</v>
      </c>
      <c r="B624">
        <f t="shared" si="9"/>
        <v>663</v>
      </c>
      <c r="C624">
        <f>Final_Dataset!P611</f>
        <v>41</v>
      </c>
    </row>
    <row r="625" spans="1:3" x14ac:dyDescent="0.2">
      <c r="A625" s="56">
        <f>Final_Dataset!R612</f>
        <v>40571.666666666664</v>
      </c>
      <c r="B625">
        <f t="shared" si="9"/>
        <v>664</v>
      </c>
      <c r="C625">
        <f>Final_Dataset!P612</f>
        <v>80</v>
      </c>
    </row>
    <row r="626" spans="1:3" x14ac:dyDescent="0.2">
      <c r="A626" s="56">
        <f>Final_Dataset!R613</f>
        <v>40571.708333333336</v>
      </c>
      <c r="B626">
        <f t="shared" si="9"/>
        <v>665</v>
      </c>
      <c r="C626">
        <f>Final_Dataset!P613</f>
        <v>149</v>
      </c>
    </row>
    <row r="627" spans="1:3" x14ac:dyDescent="0.2">
      <c r="A627" s="56">
        <f>Final_Dataset!R614</f>
        <v>40571.75</v>
      </c>
      <c r="B627">
        <f t="shared" si="9"/>
        <v>666</v>
      </c>
      <c r="C627">
        <f>Final_Dataset!P614</f>
        <v>109</v>
      </c>
    </row>
    <row r="628" spans="1:3" x14ac:dyDescent="0.2">
      <c r="A628" s="56">
        <f>Final_Dataset!R615</f>
        <v>40571.791666666664</v>
      </c>
      <c r="B628">
        <f t="shared" si="9"/>
        <v>667</v>
      </c>
      <c r="C628">
        <f>Final_Dataset!P615</f>
        <v>89</v>
      </c>
    </row>
    <row r="629" spans="1:3" x14ac:dyDescent="0.2">
      <c r="A629" s="56">
        <f>Final_Dataset!R616</f>
        <v>40571.833333333336</v>
      </c>
      <c r="B629">
        <f t="shared" si="9"/>
        <v>668</v>
      </c>
      <c r="C629">
        <f>Final_Dataset!P616</f>
        <v>62</v>
      </c>
    </row>
    <row r="630" spans="1:3" x14ac:dyDescent="0.2">
      <c r="A630" s="56">
        <f>Final_Dataset!R617</f>
        <v>40571.875</v>
      </c>
      <c r="B630">
        <f t="shared" si="9"/>
        <v>669</v>
      </c>
      <c r="C630">
        <f>Final_Dataset!P617</f>
        <v>58</v>
      </c>
    </row>
    <row r="631" spans="1:3" x14ac:dyDescent="0.2">
      <c r="A631" s="56">
        <f>Final_Dataset!R618</f>
        <v>40571.916666666664</v>
      </c>
      <c r="B631">
        <f t="shared" si="9"/>
        <v>670</v>
      </c>
      <c r="C631">
        <f>Final_Dataset!P618</f>
        <v>26</v>
      </c>
    </row>
    <row r="632" spans="1:3" x14ac:dyDescent="0.2">
      <c r="A632" s="56">
        <f>Final_Dataset!R619</f>
        <v>40571.958333333336</v>
      </c>
      <c r="B632">
        <f t="shared" si="9"/>
        <v>671</v>
      </c>
      <c r="C632">
        <f>Final_Dataset!P619</f>
        <v>23</v>
      </c>
    </row>
    <row r="633" spans="1:3" x14ac:dyDescent="0.2">
      <c r="A633" s="56">
        <f>Final_Dataset!R620</f>
        <v>40572</v>
      </c>
      <c r="B633">
        <f t="shared" si="9"/>
        <v>672</v>
      </c>
      <c r="C633">
        <f>Final_Dataset!P620</f>
        <v>28</v>
      </c>
    </row>
    <row r="634" spans="1:3" x14ac:dyDescent="0.2">
      <c r="A634" s="56">
        <f>Final_Dataset!R621</f>
        <v>40572.041666666664</v>
      </c>
      <c r="B634">
        <f t="shared" si="9"/>
        <v>673</v>
      </c>
      <c r="C634">
        <f>Final_Dataset!P621</f>
        <v>20</v>
      </c>
    </row>
    <row r="635" spans="1:3" x14ac:dyDescent="0.2">
      <c r="A635" s="56">
        <f>Final_Dataset!R622</f>
        <v>40572.083333333336</v>
      </c>
      <c r="B635">
        <f t="shared" si="9"/>
        <v>674</v>
      </c>
      <c r="C635">
        <f>Final_Dataset!P622</f>
        <v>15</v>
      </c>
    </row>
    <row r="636" spans="1:3" x14ac:dyDescent="0.2">
      <c r="A636" s="56">
        <f>Final_Dataset!R623</f>
        <v>40572.125</v>
      </c>
      <c r="B636">
        <f t="shared" si="9"/>
        <v>675</v>
      </c>
      <c r="C636">
        <f>Final_Dataset!P623</f>
        <v>8</v>
      </c>
    </row>
    <row r="637" spans="1:3" x14ac:dyDescent="0.2">
      <c r="A637" s="56">
        <f>Final_Dataset!R624</f>
        <v>40572.166666666664</v>
      </c>
      <c r="B637">
        <f t="shared" si="9"/>
        <v>676</v>
      </c>
      <c r="C637">
        <f>Final_Dataset!P624</f>
        <v>3</v>
      </c>
    </row>
    <row r="638" spans="1:3" x14ac:dyDescent="0.2">
      <c r="A638" s="56">
        <f>Final_Dataset!R625</f>
        <v>40572.25</v>
      </c>
      <c r="B638">
        <f t="shared" si="9"/>
        <v>678</v>
      </c>
      <c r="C638">
        <f>Final_Dataset!P625</f>
        <v>2</v>
      </c>
    </row>
    <row r="639" spans="1:3" x14ac:dyDescent="0.2">
      <c r="A639" s="56">
        <f>Final_Dataset!R626</f>
        <v>40572.291666666664</v>
      </c>
      <c r="B639">
        <f t="shared" si="9"/>
        <v>679</v>
      </c>
      <c r="C639">
        <f>Final_Dataset!P626</f>
        <v>5</v>
      </c>
    </row>
    <row r="640" spans="1:3" x14ac:dyDescent="0.2">
      <c r="A640" s="56">
        <f>Final_Dataset!R627</f>
        <v>40572.333333333336</v>
      </c>
      <c r="B640">
        <f t="shared" si="9"/>
        <v>680</v>
      </c>
      <c r="C640">
        <f>Final_Dataset!P627</f>
        <v>34</v>
      </c>
    </row>
    <row r="641" spans="1:3" x14ac:dyDescent="0.2">
      <c r="A641" s="56">
        <f>Final_Dataset!R628</f>
        <v>40572.375</v>
      </c>
      <c r="B641">
        <f t="shared" si="9"/>
        <v>681</v>
      </c>
      <c r="C641">
        <f>Final_Dataset!P628</f>
        <v>34</v>
      </c>
    </row>
    <row r="642" spans="1:3" x14ac:dyDescent="0.2">
      <c r="A642" s="56">
        <f>Final_Dataset!R629</f>
        <v>40572.416666666664</v>
      </c>
      <c r="B642">
        <f t="shared" si="9"/>
        <v>682</v>
      </c>
      <c r="C642">
        <f>Final_Dataset!P629</f>
        <v>55</v>
      </c>
    </row>
    <row r="643" spans="1:3" x14ac:dyDescent="0.2">
      <c r="A643" s="56">
        <f>Final_Dataset!R630</f>
        <v>40572.458333333336</v>
      </c>
      <c r="B643">
        <f t="shared" si="9"/>
        <v>683</v>
      </c>
      <c r="C643">
        <f>Final_Dataset!P630</f>
        <v>64</v>
      </c>
    </row>
    <row r="644" spans="1:3" x14ac:dyDescent="0.2">
      <c r="A644" s="56">
        <f>Final_Dataset!R631</f>
        <v>40572.5</v>
      </c>
      <c r="B644">
        <f t="shared" si="9"/>
        <v>684</v>
      </c>
      <c r="C644">
        <f>Final_Dataset!P631</f>
        <v>78</v>
      </c>
    </row>
    <row r="645" spans="1:3" x14ac:dyDescent="0.2">
      <c r="A645" s="56">
        <f>Final_Dataset!R632</f>
        <v>40572.541666666664</v>
      </c>
      <c r="B645">
        <f t="shared" si="9"/>
        <v>685</v>
      </c>
      <c r="C645">
        <f>Final_Dataset!P632</f>
        <v>65</v>
      </c>
    </row>
    <row r="646" spans="1:3" x14ac:dyDescent="0.2">
      <c r="A646" s="56">
        <f>Final_Dataset!R633</f>
        <v>40572.583333333336</v>
      </c>
      <c r="B646">
        <f t="shared" si="9"/>
        <v>686</v>
      </c>
      <c r="C646">
        <f>Final_Dataset!P633</f>
        <v>99</v>
      </c>
    </row>
    <row r="647" spans="1:3" x14ac:dyDescent="0.2">
      <c r="A647" s="56">
        <f>Final_Dataset!R634</f>
        <v>40572.625</v>
      </c>
      <c r="B647">
        <f t="shared" si="9"/>
        <v>687</v>
      </c>
      <c r="C647">
        <f>Final_Dataset!P634</f>
        <v>120</v>
      </c>
    </row>
    <row r="648" spans="1:3" x14ac:dyDescent="0.2">
      <c r="A648" s="56">
        <f>Final_Dataset!R635</f>
        <v>40572.666666666664</v>
      </c>
      <c r="B648">
        <f t="shared" si="9"/>
        <v>688</v>
      </c>
      <c r="C648">
        <f>Final_Dataset!P635</f>
        <v>107</v>
      </c>
    </row>
    <row r="649" spans="1:3" x14ac:dyDescent="0.2">
      <c r="A649" s="56">
        <f>Final_Dataset!R636</f>
        <v>40572.708333333336</v>
      </c>
      <c r="B649">
        <f t="shared" si="9"/>
        <v>689</v>
      </c>
      <c r="C649">
        <f>Final_Dataset!P636</f>
        <v>91</v>
      </c>
    </row>
    <row r="650" spans="1:3" x14ac:dyDescent="0.2">
      <c r="A650" s="56">
        <f>Final_Dataset!R637</f>
        <v>40572.75</v>
      </c>
      <c r="B650">
        <f t="shared" si="9"/>
        <v>690</v>
      </c>
      <c r="C650">
        <f>Final_Dataset!P637</f>
        <v>68</v>
      </c>
    </row>
    <row r="651" spans="1:3" x14ac:dyDescent="0.2">
      <c r="A651" s="56">
        <f>Final_Dataset!R638</f>
        <v>40572.791666666664</v>
      </c>
      <c r="B651">
        <f t="shared" si="9"/>
        <v>691</v>
      </c>
      <c r="C651">
        <f>Final_Dataset!P638</f>
        <v>58</v>
      </c>
    </row>
    <row r="652" spans="1:3" x14ac:dyDescent="0.2">
      <c r="A652" s="56">
        <f>Final_Dataset!R639</f>
        <v>40572.833333333336</v>
      </c>
      <c r="B652">
        <f t="shared" si="9"/>
        <v>692</v>
      </c>
      <c r="C652">
        <f>Final_Dataset!P639</f>
        <v>43</v>
      </c>
    </row>
    <row r="653" spans="1:3" x14ac:dyDescent="0.2">
      <c r="A653" s="56">
        <f>Final_Dataset!R640</f>
        <v>40572.875</v>
      </c>
      <c r="B653">
        <f t="shared" si="9"/>
        <v>693</v>
      </c>
      <c r="C653">
        <f>Final_Dataset!P640</f>
        <v>36</v>
      </c>
    </row>
    <row r="654" spans="1:3" x14ac:dyDescent="0.2">
      <c r="A654" s="56">
        <f>Final_Dataset!R641</f>
        <v>40572.916666666664</v>
      </c>
      <c r="B654">
        <f t="shared" si="9"/>
        <v>694</v>
      </c>
      <c r="C654">
        <f>Final_Dataset!P641</f>
        <v>32</v>
      </c>
    </row>
    <row r="655" spans="1:3" x14ac:dyDescent="0.2">
      <c r="A655" s="56">
        <f>Final_Dataset!R642</f>
        <v>40572.958333333336</v>
      </c>
      <c r="B655">
        <f t="shared" ref="B655:B718" si="10">ROUND((A655-$A$15)*24,0)</f>
        <v>695</v>
      </c>
      <c r="C655">
        <f>Final_Dataset!P642</f>
        <v>33</v>
      </c>
    </row>
    <row r="656" spans="1:3" x14ac:dyDescent="0.2">
      <c r="A656" s="56">
        <f>Final_Dataset!R643</f>
        <v>40573</v>
      </c>
      <c r="B656">
        <f t="shared" si="10"/>
        <v>696</v>
      </c>
      <c r="C656">
        <f>Final_Dataset!P643</f>
        <v>33</v>
      </c>
    </row>
    <row r="657" spans="1:3" x14ac:dyDescent="0.2">
      <c r="A657" s="56">
        <f>Final_Dataset!R644</f>
        <v>40573.041666666664</v>
      </c>
      <c r="B657">
        <f t="shared" si="10"/>
        <v>697</v>
      </c>
      <c r="C657">
        <f>Final_Dataset!P644</f>
        <v>29</v>
      </c>
    </row>
    <row r="658" spans="1:3" x14ac:dyDescent="0.2">
      <c r="A658" s="56">
        <f>Final_Dataset!R645</f>
        <v>40573.083333333336</v>
      </c>
      <c r="B658">
        <f t="shared" si="10"/>
        <v>698</v>
      </c>
      <c r="C658">
        <f>Final_Dataset!P645</f>
        <v>11</v>
      </c>
    </row>
    <row r="659" spans="1:3" x14ac:dyDescent="0.2">
      <c r="A659" s="56">
        <f>Final_Dataset!R646</f>
        <v>40573.125</v>
      </c>
      <c r="B659">
        <f t="shared" si="10"/>
        <v>699</v>
      </c>
      <c r="C659">
        <f>Final_Dataset!P646</f>
        <v>8</v>
      </c>
    </row>
    <row r="660" spans="1:3" x14ac:dyDescent="0.2">
      <c r="A660" s="56">
        <f>Final_Dataset!R647</f>
        <v>40573.166666666664</v>
      </c>
      <c r="B660">
        <f t="shared" si="10"/>
        <v>700</v>
      </c>
      <c r="C660">
        <f>Final_Dataset!P647</f>
        <v>1</v>
      </c>
    </row>
    <row r="661" spans="1:3" x14ac:dyDescent="0.2">
      <c r="A661" s="56">
        <f>Final_Dataset!R648</f>
        <v>40573.208333333336</v>
      </c>
      <c r="B661">
        <f t="shared" si="10"/>
        <v>701</v>
      </c>
      <c r="C661">
        <f>Final_Dataset!P648</f>
        <v>3</v>
      </c>
    </row>
    <row r="662" spans="1:3" x14ac:dyDescent="0.2">
      <c r="A662" s="56">
        <f>Final_Dataset!R649</f>
        <v>40573.291666666664</v>
      </c>
      <c r="B662">
        <f t="shared" si="10"/>
        <v>703</v>
      </c>
      <c r="C662">
        <f>Final_Dataset!P649</f>
        <v>3</v>
      </c>
    </row>
    <row r="663" spans="1:3" x14ac:dyDescent="0.2">
      <c r="A663" s="56">
        <f>Final_Dataset!R650</f>
        <v>40573.333333333336</v>
      </c>
      <c r="B663">
        <f t="shared" si="10"/>
        <v>704</v>
      </c>
      <c r="C663">
        <f>Final_Dataset!P650</f>
        <v>12</v>
      </c>
    </row>
    <row r="664" spans="1:3" x14ac:dyDescent="0.2">
      <c r="A664" s="56">
        <f>Final_Dataset!R651</f>
        <v>40573.375</v>
      </c>
      <c r="B664">
        <f t="shared" si="10"/>
        <v>705</v>
      </c>
      <c r="C664">
        <f>Final_Dataset!P651</f>
        <v>38</v>
      </c>
    </row>
    <row r="665" spans="1:3" x14ac:dyDescent="0.2">
      <c r="A665" s="56">
        <f>Final_Dataset!R652</f>
        <v>40573.416666666664</v>
      </c>
      <c r="B665">
        <f t="shared" si="10"/>
        <v>706</v>
      </c>
      <c r="C665">
        <f>Final_Dataset!P652</f>
        <v>64</v>
      </c>
    </row>
    <row r="666" spans="1:3" x14ac:dyDescent="0.2">
      <c r="A666" s="56">
        <f>Final_Dataset!R653</f>
        <v>40573.458333333336</v>
      </c>
      <c r="B666">
        <f t="shared" si="10"/>
        <v>707</v>
      </c>
      <c r="C666">
        <f>Final_Dataset!P653</f>
        <v>59</v>
      </c>
    </row>
    <row r="667" spans="1:3" x14ac:dyDescent="0.2">
      <c r="A667" s="56">
        <f>Final_Dataset!R654</f>
        <v>40573.5</v>
      </c>
      <c r="B667">
        <f t="shared" si="10"/>
        <v>708</v>
      </c>
      <c r="C667">
        <f>Final_Dataset!P654</f>
        <v>97</v>
      </c>
    </row>
    <row r="668" spans="1:3" x14ac:dyDescent="0.2">
      <c r="A668" s="56">
        <f>Final_Dataset!R655</f>
        <v>40573.541666666664</v>
      </c>
      <c r="B668">
        <f t="shared" si="10"/>
        <v>709</v>
      </c>
      <c r="C668">
        <f>Final_Dataset!P655</f>
        <v>84</v>
      </c>
    </row>
    <row r="669" spans="1:3" x14ac:dyDescent="0.2">
      <c r="A669" s="56">
        <f>Final_Dataset!R656</f>
        <v>40573.583333333336</v>
      </c>
      <c r="B669">
        <f t="shared" si="10"/>
        <v>710</v>
      </c>
      <c r="C669">
        <f>Final_Dataset!P656</f>
        <v>122</v>
      </c>
    </row>
    <row r="670" spans="1:3" x14ac:dyDescent="0.2">
      <c r="A670" s="56">
        <f>Final_Dataset!R657</f>
        <v>40573.625</v>
      </c>
      <c r="B670">
        <f t="shared" si="10"/>
        <v>711</v>
      </c>
      <c r="C670">
        <f>Final_Dataset!P657</f>
        <v>109</v>
      </c>
    </row>
    <row r="671" spans="1:3" x14ac:dyDescent="0.2">
      <c r="A671" s="56">
        <f>Final_Dataset!R658</f>
        <v>40573.666666666664</v>
      </c>
      <c r="B671">
        <f t="shared" si="10"/>
        <v>712</v>
      </c>
      <c r="C671">
        <f>Final_Dataset!P658</f>
        <v>123</v>
      </c>
    </row>
    <row r="672" spans="1:3" x14ac:dyDescent="0.2">
      <c r="A672" s="56">
        <f>Final_Dataset!R659</f>
        <v>40573.708333333336</v>
      </c>
      <c r="B672">
        <f t="shared" si="10"/>
        <v>713</v>
      </c>
      <c r="C672">
        <f>Final_Dataset!P659</f>
        <v>77</v>
      </c>
    </row>
    <row r="673" spans="1:3" x14ac:dyDescent="0.2">
      <c r="A673" s="56">
        <f>Final_Dataset!R660</f>
        <v>40573.75</v>
      </c>
      <c r="B673">
        <f t="shared" si="10"/>
        <v>714</v>
      </c>
      <c r="C673">
        <f>Final_Dataset!P660</f>
        <v>65</v>
      </c>
    </row>
    <row r="674" spans="1:3" x14ac:dyDescent="0.2">
      <c r="A674" s="56">
        <f>Final_Dataset!R661</f>
        <v>40573.791666666664</v>
      </c>
      <c r="B674">
        <f t="shared" si="10"/>
        <v>715</v>
      </c>
      <c r="C674">
        <f>Final_Dataset!P661</f>
        <v>55</v>
      </c>
    </row>
    <row r="675" spans="1:3" x14ac:dyDescent="0.2">
      <c r="A675" s="56">
        <f>Final_Dataset!R662</f>
        <v>40573.833333333336</v>
      </c>
      <c r="B675">
        <f t="shared" si="10"/>
        <v>716</v>
      </c>
      <c r="C675">
        <f>Final_Dataset!P662</f>
        <v>33</v>
      </c>
    </row>
    <row r="676" spans="1:3" x14ac:dyDescent="0.2">
      <c r="A676" s="56">
        <f>Final_Dataset!R663</f>
        <v>40573.875</v>
      </c>
      <c r="B676">
        <f t="shared" si="10"/>
        <v>717</v>
      </c>
      <c r="C676">
        <f>Final_Dataset!P663</f>
        <v>28</v>
      </c>
    </row>
    <row r="677" spans="1:3" x14ac:dyDescent="0.2">
      <c r="A677" s="56">
        <f>Final_Dataset!R664</f>
        <v>40573.916666666664</v>
      </c>
      <c r="B677">
        <f t="shared" si="10"/>
        <v>718</v>
      </c>
      <c r="C677">
        <f>Final_Dataset!P664</f>
        <v>21</v>
      </c>
    </row>
    <row r="678" spans="1:3" x14ac:dyDescent="0.2">
      <c r="A678" s="56">
        <f>Final_Dataset!R665</f>
        <v>40573.958333333336</v>
      </c>
      <c r="B678">
        <f t="shared" si="10"/>
        <v>719</v>
      </c>
      <c r="C678">
        <f>Final_Dataset!P665</f>
        <v>21</v>
      </c>
    </row>
    <row r="679" spans="1:3" x14ac:dyDescent="0.2">
      <c r="A679" s="56">
        <f>Final_Dataset!R666</f>
        <v>40574</v>
      </c>
      <c r="B679">
        <f t="shared" si="10"/>
        <v>720</v>
      </c>
      <c r="C679">
        <f>Final_Dataset!P666</f>
        <v>7</v>
      </c>
    </row>
    <row r="680" spans="1:3" x14ac:dyDescent="0.2">
      <c r="A680" s="56">
        <f>Final_Dataset!R667</f>
        <v>40574.041666666664</v>
      </c>
      <c r="B680">
        <f t="shared" si="10"/>
        <v>721</v>
      </c>
      <c r="C680">
        <f>Final_Dataset!P667</f>
        <v>7</v>
      </c>
    </row>
    <row r="681" spans="1:3" x14ac:dyDescent="0.2">
      <c r="A681" s="56">
        <f>Final_Dataset!R668</f>
        <v>40574.083333333336</v>
      </c>
      <c r="B681">
        <f t="shared" si="10"/>
        <v>722</v>
      </c>
      <c r="C681">
        <f>Final_Dataset!P668</f>
        <v>1</v>
      </c>
    </row>
    <row r="682" spans="1:3" x14ac:dyDescent="0.2">
      <c r="A682" s="56">
        <f>Final_Dataset!R669</f>
        <v>40574.125</v>
      </c>
      <c r="B682">
        <f t="shared" si="10"/>
        <v>723</v>
      </c>
      <c r="C682">
        <f>Final_Dataset!P669</f>
        <v>2</v>
      </c>
    </row>
    <row r="683" spans="1:3" x14ac:dyDescent="0.2">
      <c r="A683" s="56">
        <f>Final_Dataset!R670</f>
        <v>40574.166666666664</v>
      </c>
      <c r="B683">
        <f t="shared" si="10"/>
        <v>724</v>
      </c>
      <c r="C683">
        <f>Final_Dataset!P670</f>
        <v>2</v>
      </c>
    </row>
    <row r="684" spans="1:3" x14ac:dyDescent="0.2">
      <c r="A684" s="56">
        <f>Final_Dataset!R671</f>
        <v>40574.208333333336</v>
      </c>
      <c r="B684">
        <f t="shared" si="10"/>
        <v>725</v>
      </c>
      <c r="C684">
        <f>Final_Dataset!P671</f>
        <v>8</v>
      </c>
    </row>
    <row r="685" spans="1:3" x14ac:dyDescent="0.2">
      <c r="A685" s="56">
        <f>Final_Dataset!R672</f>
        <v>40574.25</v>
      </c>
      <c r="B685">
        <f t="shared" si="10"/>
        <v>726</v>
      </c>
      <c r="C685">
        <f>Final_Dataset!P672</f>
        <v>37</v>
      </c>
    </row>
    <row r="686" spans="1:3" x14ac:dyDescent="0.2">
      <c r="A686" s="56">
        <f>Final_Dataset!R673</f>
        <v>40574.291666666664</v>
      </c>
      <c r="B686">
        <f t="shared" si="10"/>
        <v>727</v>
      </c>
      <c r="C686">
        <f>Final_Dataset!P673</f>
        <v>72</v>
      </c>
    </row>
    <row r="687" spans="1:3" x14ac:dyDescent="0.2">
      <c r="A687" s="56">
        <f>Final_Dataset!R674</f>
        <v>40574.333333333336</v>
      </c>
      <c r="B687">
        <f t="shared" si="10"/>
        <v>728</v>
      </c>
      <c r="C687">
        <f>Final_Dataset!P674</f>
        <v>185</v>
      </c>
    </row>
    <row r="688" spans="1:3" x14ac:dyDescent="0.2">
      <c r="A688" s="56">
        <f>Final_Dataset!R675</f>
        <v>40574.375</v>
      </c>
      <c r="B688">
        <f t="shared" si="10"/>
        <v>729</v>
      </c>
      <c r="C688">
        <f>Final_Dataset!P675</f>
        <v>112</v>
      </c>
    </row>
    <row r="689" spans="1:3" x14ac:dyDescent="0.2">
      <c r="A689" s="56">
        <f>Final_Dataset!R676</f>
        <v>40574.416666666664</v>
      </c>
      <c r="B689">
        <f t="shared" si="10"/>
        <v>730</v>
      </c>
      <c r="C689">
        <f>Final_Dataset!P676</f>
        <v>69</v>
      </c>
    </row>
    <row r="690" spans="1:3" x14ac:dyDescent="0.2">
      <c r="A690" s="56">
        <f>Final_Dataset!R677</f>
        <v>40574.458333333336</v>
      </c>
      <c r="B690">
        <f t="shared" si="10"/>
        <v>731</v>
      </c>
      <c r="C690">
        <f>Final_Dataset!P677</f>
        <v>48</v>
      </c>
    </row>
    <row r="691" spans="1:3" x14ac:dyDescent="0.2">
      <c r="A691" s="56">
        <f>Final_Dataset!R678</f>
        <v>40574.5</v>
      </c>
      <c r="B691">
        <f t="shared" si="10"/>
        <v>732</v>
      </c>
      <c r="C691">
        <f>Final_Dataset!P678</f>
        <v>68</v>
      </c>
    </row>
    <row r="692" spans="1:3" x14ac:dyDescent="0.2">
      <c r="A692" s="56">
        <f>Final_Dataset!R679</f>
        <v>40574.541666666664</v>
      </c>
      <c r="B692">
        <f t="shared" si="10"/>
        <v>733</v>
      </c>
      <c r="C692">
        <f>Final_Dataset!P679</f>
        <v>54</v>
      </c>
    </row>
    <row r="693" spans="1:3" x14ac:dyDescent="0.2">
      <c r="A693" s="56">
        <f>Final_Dataset!R680</f>
        <v>40574.583333333336</v>
      </c>
      <c r="B693">
        <f t="shared" si="10"/>
        <v>734</v>
      </c>
      <c r="C693">
        <f>Final_Dataset!P680</f>
        <v>86</v>
      </c>
    </row>
    <row r="694" spans="1:3" x14ac:dyDescent="0.2">
      <c r="A694" s="56">
        <f>Final_Dataset!R681</f>
        <v>40574.625</v>
      </c>
      <c r="B694">
        <f t="shared" si="10"/>
        <v>735</v>
      </c>
      <c r="C694">
        <f>Final_Dataset!P681</f>
        <v>44</v>
      </c>
    </row>
    <row r="695" spans="1:3" x14ac:dyDescent="0.2">
      <c r="A695" s="56">
        <f>Final_Dataset!R682</f>
        <v>40574.666666666664</v>
      </c>
      <c r="B695">
        <f t="shared" si="10"/>
        <v>736</v>
      </c>
      <c r="C695">
        <f>Final_Dataset!P682</f>
        <v>86</v>
      </c>
    </row>
    <row r="696" spans="1:3" x14ac:dyDescent="0.2">
      <c r="A696" s="56">
        <f>Final_Dataset!R683</f>
        <v>40574.708333333336</v>
      </c>
      <c r="B696">
        <f t="shared" si="10"/>
        <v>737</v>
      </c>
      <c r="C696">
        <f>Final_Dataset!P683</f>
        <v>161</v>
      </c>
    </row>
    <row r="697" spans="1:3" x14ac:dyDescent="0.2">
      <c r="A697" s="56">
        <f>Final_Dataset!R684</f>
        <v>40574.75</v>
      </c>
      <c r="B697">
        <f t="shared" si="10"/>
        <v>738</v>
      </c>
      <c r="C697">
        <f>Final_Dataset!P684</f>
        <v>156</v>
      </c>
    </row>
    <row r="698" spans="1:3" x14ac:dyDescent="0.2">
      <c r="A698" s="56">
        <f>Final_Dataset!R685</f>
        <v>40574.791666666664</v>
      </c>
      <c r="B698">
        <f t="shared" si="10"/>
        <v>739</v>
      </c>
      <c r="C698">
        <f>Final_Dataset!P685</f>
        <v>111</v>
      </c>
    </row>
    <row r="699" spans="1:3" x14ac:dyDescent="0.2">
      <c r="A699" s="56">
        <f>Final_Dataset!R686</f>
        <v>40574.833333333336</v>
      </c>
      <c r="B699">
        <f t="shared" si="10"/>
        <v>740</v>
      </c>
      <c r="C699">
        <f>Final_Dataset!P686</f>
        <v>78</v>
      </c>
    </row>
    <row r="700" spans="1:3" x14ac:dyDescent="0.2">
      <c r="A700" s="56">
        <f>Final_Dataset!R687</f>
        <v>40574.875</v>
      </c>
      <c r="B700">
        <f t="shared" si="10"/>
        <v>741</v>
      </c>
      <c r="C700">
        <f>Final_Dataset!P687</f>
        <v>56</v>
      </c>
    </row>
    <row r="701" spans="1:3" x14ac:dyDescent="0.2">
      <c r="A701" s="56">
        <f>Final_Dataset!R688</f>
        <v>40574.916666666664</v>
      </c>
      <c r="B701">
        <f t="shared" si="10"/>
        <v>742</v>
      </c>
      <c r="C701">
        <f>Final_Dataset!P688</f>
        <v>34</v>
      </c>
    </row>
    <row r="702" spans="1:3" x14ac:dyDescent="0.2">
      <c r="A702" s="56">
        <f>Final_Dataset!R689</f>
        <v>40574.958333333336</v>
      </c>
      <c r="B702">
        <f t="shared" si="10"/>
        <v>743</v>
      </c>
      <c r="C702">
        <f>Final_Dataset!P689</f>
        <v>17</v>
      </c>
    </row>
    <row r="703" spans="1:3" x14ac:dyDescent="0.2">
      <c r="A703" s="56">
        <f>Final_Dataset!R690</f>
        <v>40575</v>
      </c>
      <c r="B703">
        <f t="shared" si="10"/>
        <v>744</v>
      </c>
      <c r="C703">
        <f>Final_Dataset!P690</f>
        <v>8</v>
      </c>
    </row>
    <row r="704" spans="1:3" x14ac:dyDescent="0.2">
      <c r="A704" s="56">
        <f>Final_Dataset!R691</f>
        <v>40575.041666666664</v>
      </c>
      <c r="B704">
        <f t="shared" si="10"/>
        <v>745</v>
      </c>
      <c r="C704">
        <f>Final_Dataset!P691</f>
        <v>3</v>
      </c>
    </row>
    <row r="705" spans="1:3" x14ac:dyDescent="0.2">
      <c r="A705" s="56">
        <f>Final_Dataset!R692</f>
        <v>40575.083333333336</v>
      </c>
      <c r="B705">
        <f t="shared" si="10"/>
        <v>746</v>
      </c>
      <c r="C705">
        <f>Final_Dataset!P692</f>
        <v>2</v>
      </c>
    </row>
    <row r="706" spans="1:3" x14ac:dyDescent="0.2">
      <c r="A706" s="56">
        <f>Final_Dataset!R693</f>
        <v>40575.125</v>
      </c>
      <c r="B706">
        <f t="shared" si="10"/>
        <v>747</v>
      </c>
      <c r="C706">
        <f>Final_Dataset!P693</f>
        <v>2</v>
      </c>
    </row>
    <row r="707" spans="1:3" x14ac:dyDescent="0.2">
      <c r="A707" s="56">
        <f>Final_Dataset!R694</f>
        <v>40575.208333333336</v>
      </c>
      <c r="B707">
        <f t="shared" si="10"/>
        <v>749</v>
      </c>
      <c r="C707">
        <f>Final_Dataset!P694</f>
        <v>3</v>
      </c>
    </row>
    <row r="708" spans="1:3" x14ac:dyDescent="0.2">
      <c r="A708" s="56">
        <f>Final_Dataset!R695</f>
        <v>40575.25</v>
      </c>
      <c r="B708">
        <f t="shared" si="10"/>
        <v>750</v>
      </c>
      <c r="C708">
        <f>Final_Dataset!P695</f>
        <v>22</v>
      </c>
    </row>
    <row r="709" spans="1:3" x14ac:dyDescent="0.2">
      <c r="A709" s="56">
        <f>Final_Dataset!R696</f>
        <v>40575.291666666664</v>
      </c>
      <c r="B709">
        <f t="shared" si="10"/>
        <v>751</v>
      </c>
      <c r="C709">
        <f>Final_Dataset!P696</f>
        <v>52</v>
      </c>
    </row>
    <row r="710" spans="1:3" x14ac:dyDescent="0.2">
      <c r="A710" s="56">
        <f>Final_Dataset!R697</f>
        <v>40575.333333333336</v>
      </c>
      <c r="B710">
        <f t="shared" si="10"/>
        <v>752</v>
      </c>
      <c r="C710">
        <f>Final_Dataset!P697</f>
        <v>135</v>
      </c>
    </row>
    <row r="711" spans="1:3" x14ac:dyDescent="0.2">
      <c r="A711" s="56">
        <f>Final_Dataset!R698</f>
        <v>40575.375</v>
      </c>
      <c r="B711">
        <f t="shared" si="10"/>
        <v>753</v>
      </c>
      <c r="C711">
        <f>Final_Dataset!P698</f>
        <v>116</v>
      </c>
    </row>
    <row r="712" spans="1:3" x14ac:dyDescent="0.2">
      <c r="A712" s="56">
        <f>Final_Dataset!R699</f>
        <v>40575.416666666664</v>
      </c>
      <c r="B712">
        <f t="shared" si="10"/>
        <v>754</v>
      </c>
      <c r="C712">
        <f>Final_Dataset!P699</f>
        <v>47</v>
      </c>
    </row>
    <row r="713" spans="1:3" x14ac:dyDescent="0.2">
      <c r="A713" s="56">
        <f>Final_Dataset!R700</f>
        <v>40575.458333333336</v>
      </c>
      <c r="B713">
        <f t="shared" si="10"/>
        <v>755</v>
      </c>
      <c r="C713">
        <f>Final_Dataset!P700</f>
        <v>51</v>
      </c>
    </row>
    <row r="714" spans="1:3" x14ac:dyDescent="0.2">
      <c r="A714" s="56">
        <f>Final_Dataset!R701</f>
        <v>40575.5</v>
      </c>
      <c r="B714">
        <f t="shared" si="10"/>
        <v>756</v>
      </c>
      <c r="C714">
        <f>Final_Dataset!P701</f>
        <v>55</v>
      </c>
    </row>
    <row r="715" spans="1:3" x14ac:dyDescent="0.2">
      <c r="A715" s="56">
        <f>Final_Dataset!R702</f>
        <v>40575.541666666664</v>
      </c>
      <c r="B715">
        <f t="shared" si="10"/>
        <v>757</v>
      </c>
      <c r="C715">
        <f>Final_Dataset!P702</f>
        <v>52</v>
      </c>
    </row>
    <row r="716" spans="1:3" x14ac:dyDescent="0.2">
      <c r="A716" s="56">
        <f>Final_Dataset!R703</f>
        <v>40575.583333333336</v>
      </c>
      <c r="B716">
        <f t="shared" si="10"/>
        <v>758</v>
      </c>
      <c r="C716">
        <f>Final_Dataset!P703</f>
        <v>54</v>
      </c>
    </row>
    <row r="717" spans="1:3" x14ac:dyDescent="0.2">
      <c r="A717" s="56">
        <f>Final_Dataset!R704</f>
        <v>40575.625</v>
      </c>
      <c r="B717">
        <f t="shared" si="10"/>
        <v>759</v>
      </c>
      <c r="C717">
        <f>Final_Dataset!P704</f>
        <v>52</v>
      </c>
    </row>
    <row r="718" spans="1:3" x14ac:dyDescent="0.2">
      <c r="A718" s="56">
        <f>Final_Dataset!R705</f>
        <v>40575.666666666664</v>
      </c>
      <c r="B718">
        <f t="shared" si="10"/>
        <v>760</v>
      </c>
      <c r="C718">
        <f>Final_Dataset!P705</f>
        <v>64</v>
      </c>
    </row>
    <row r="719" spans="1:3" x14ac:dyDescent="0.2">
      <c r="A719" s="56">
        <f>Final_Dataset!R706</f>
        <v>40575.708333333336</v>
      </c>
      <c r="B719">
        <f t="shared" ref="B719:B782" si="11">ROUND((A719-$A$15)*24,0)</f>
        <v>761</v>
      </c>
      <c r="C719">
        <f>Final_Dataset!P706</f>
        <v>176</v>
      </c>
    </row>
    <row r="720" spans="1:3" x14ac:dyDescent="0.2">
      <c r="A720" s="56">
        <f>Final_Dataset!R707</f>
        <v>40575.75</v>
      </c>
      <c r="B720">
        <f t="shared" si="11"/>
        <v>762</v>
      </c>
      <c r="C720">
        <f>Final_Dataset!P707</f>
        <v>168</v>
      </c>
    </row>
    <row r="721" spans="1:3" x14ac:dyDescent="0.2">
      <c r="A721" s="56">
        <f>Final_Dataset!R708</f>
        <v>40575.791666666664</v>
      </c>
      <c r="B721">
        <f t="shared" si="11"/>
        <v>763</v>
      </c>
      <c r="C721">
        <f>Final_Dataset!P708</f>
        <v>108</v>
      </c>
    </row>
    <row r="722" spans="1:3" x14ac:dyDescent="0.2">
      <c r="A722" s="56">
        <f>Final_Dataset!R709</f>
        <v>40575.833333333336</v>
      </c>
      <c r="B722">
        <f t="shared" si="11"/>
        <v>764</v>
      </c>
      <c r="C722">
        <f>Final_Dataset!P709</f>
        <v>74</v>
      </c>
    </row>
    <row r="723" spans="1:3" x14ac:dyDescent="0.2">
      <c r="A723" s="56">
        <f>Final_Dataset!R710</f>
        <v>40575.875</v>
      </c>
      <c r="B723">
        <f t="shared" si="11"/>
        <v>765</v>
      </c>
      <c r="C723">
        <f>Final_Dataset!P710</f>
        <v>64</v>
      </c>
    </row>
    <row r="724" spans="1:3" x14ac:dyDescent="0.2">
      <c r="A724" s="56">
        <f>Final_Dataset!R711</f>
        <v>40575.916666666664</v>
      </c>
      <c r="B724">
        <f t="shared" si="11"/>
        <v>766</v>
      </c>
      <c r="C724">
        <f>Final_Dataset!P711</f>
        <v>36</v>
      </c>
    </row>
    <row r="725" spans="1:3" x14ac:dyDescent="0.2">
      <c r="A725" s="56">
        <f>Final_Dataset!R712</f>
        <v>40575.958333333336</v>
      </c>
      <c r="B725">
        <f t="shared" si="11"/>
        <v>767</v>
      </c>
      <c r="C725">
        <f>Final_Dataset!P712</f>
        <v>16</v>
      </c>
    </row>
    <row r="726" spans="1:3" x14ac:dyDescent="0.2">
      <c r="A726" s="56">
        <f>Final_Dataset!R713</f>
        <v>40576</v>
      </c>
      <c r="B726">
        <f t="shared" si="11"/>
        <v>768</v>
      </c>
      <c r="C726">
        <f>Final_Dataset!P713</f>
        <v>2</v>
      </c>
    </row>
    <row r="727" spans="1:3" x14ac:dyDescent="0.2">
      <c r="A727" s="56">
        <f>Final_Dataset!R714</f>
        <v>40576.041666666664</v>
      </c>
      <c r="B727">
        <f t="shared" si="11"/>
        <v>769</v>
      </c>
      <c r="C727">
        <f>Final_Dataset!P714</f>
        <v>3</v>
      </c>
    </row>
    <row r="728" spans="1:3" x14ac:dyDescent="0.2">
      <c r="A728" s="56">
        <f>Final_Dataset!R715</f>
        <v>40576.083333333336</v>
      </c>
      <c r="B728">
        <f t="shared" si="11"/>
        <v>770</v>
      </c>
      <c r="C728">
        <f>Final_Dataset!P715</f>
        <v>4</v>
      </c>
    </row>
    <row r="729" spans="1:3" x14ac:dyDescent="0.2">
      <c r="A729" s="56">
        <f>Final_Dataset!R716</f>
        <v>40576.125</v>
      </c>
      <c r="B729">
        <f t="shared" si="11"/>
        <v>771</v>
      </c>
      <c r="C729">
        <f>Final_Dataset!P716</f>
        <v>1</v>
      </c>
    </row>
    <row r="730" spans="1:3" x14ac:dyDescent="0.2">
      <c r="A730" s="56">
        <f>Final_Dataset!R717</f>
        <v>40576.166666666664</v>
      </c>
      <c r="B730">
        <f t="shared" si="11"/>
        <v>772</v>
      </c>
      <c r="C730">
        <f>Final_Dataset!P717</f>
        <v>1</v>
      </c>
    </row>
    <row r="731" spans="1:3" x14ac:dyDescent="0.2">
      <c r="A731" s="56">
        <f>Final_Dataset!R718</f>
        <v>40576.208333333336</v>
      </c>
      <c r="B731">
        <f t="shared" si="11"/>
        <v>773</v>
      </c>
      <c r="C731">
        <f>Final_Dataset!P718</f>
        <v>3</v>
      </c>
    </row>
    <row r="732" spans="1:3" x14ac:dyDescent="0.2">
      <c r="A732" s="56">
        <f>Final_Dataset!R719</f>
        <v>40576.25</v>
      </c>
      <c r="B732">
        <f t="shared" si="11"/>
        <v>774</v>
      </c>
      <c r="C732">
        <f>Final_Dataset!P719</f>
        <v>18</v>
      </c>
    </row>
    <row r="733" spans="1:3" x14ac:dyDescent="0.2">
      <c r="A733" s="56">
        <f>Final_Dataset!R720</f>
        <v>40576.291666666664</v>
      </c>
      <c r="B733">
        <f t="shared" si="11"/>
        <v>775</v>
      </c>
      <c r="C733">
        <f>Final_Dataset!P720</f>
        <v>49</v>
      </c>
    </row>
    <row r="734" spans="1:3" x14ac:dyDescent="0.2">
      <c r="A734" s="56">
        <f>Final_Dataset!R721</f>
        <v>40576.333333333336</v>
      </c>
      <c r="B734">
        <f t="shared" si="11"/>
        <v>776</v>
      </c>
      <c r="C734">
        <f>Final_Dataset!P721</f>
        <v>155</v>
      </c>
    </row>
    <row r="735" spans="1:3" x14ac:dyDescent="0.2">
      <c r="A735" s="56">
        <f>Final_Dataset!R722</f>
        <v>40576.375</v>
      </c>
      <c r="B735">
        <f t="shared" si="11"/>
        <v>777</v>
      </c>
      <c r="C735">
        <f>Final_Dataset!P722</f>
        <v>123</v>
      </c>
    </row>
    <row r="736" spans="1:3" x14ac:dyDescent="0.2">
      <c r="A736" s="56">
        <f>Final_Dataset!R723</f>
        <v>40576.416666666664</v>
      </c>
      <c r="B736">
        <f t="shared" si="11"/>
        <v>778</v>
      </c>
      <c r="C736">
        <f>Final_Dataset!P723</f>
        <v>61</v>
      </c>
    </row>
    <row r="737" spans="1:3" x14ac:dyDescent="0.2">
      <c r="A737" s="56">
        <f>Final_Dataset!R724</f>
        <v>40576.458333333336</v>
      </c>
      <c r="B737">
        <f t="shared" si="11"/>
        <v>779</v>
      </c>
      <c r="C737">
        <f>Final_Dataset!P724</f>
        <v>52</v>
      </c>
    </row>
    <row r="738" spans="1:3" x14ac:dyDescent="0.2">
      <c r="A738" s="56">
        <f>Final_Dataset!R725</f>
        <v>40576.5</v>
      </c>
      <c r="B738">
        <f t="shared" si="11"/>
        <v>780</v>
      </c>
      <c r="C738">
        <f>Final_Dataset!P725</f>
        <v>64</v>
      </c>
    </row>
    <row r="739" spans="1:3" x14ac:dyDescent="0.2">
      <c r="A739" s="56">
        <f>Final_Dataset!R726</f>
        <v>40576.541666666664</v>
      </c>
      <c r="B739">
        <f t="shared" si="11"/>
        <v>781</v>
      </c>
      <c r="C739">
        <f>Final_Dataset!P726</f>
        <v>75</v>
      </c>
    </row>
    <row r="740" spans="1:3" x14ac:dyDescent="0.2">
      <c r="A740" s="56">
        <f>Final_Dataset!R727</f>
        <v>40576.583333333336</v>
      </c>
      <c r="B740">
        <f t="shared" si="11"/>
        <v>782</v>
      </c>
      <c r="C740">
        <f>Final_Dataset!P727</f>
        <v>63</v>
      </c>
    </row>
    <row r="741" spans="1:3" x14ac:dyDescent="0.2">
      <c r="A741" s="56">
        <f>Final_Dataset!R728</f>
        <v>40576.625</v>
      </c>
      <c r="B741">
        <f t="shared" si="11"/>
        <v>783</v>
      </c>
      <c r="C741">
        <f>Final_Dataset!P728</f>
        <v>76</v>
      </c>
    </row>
    <row r="742" spans="1:3" x14ac:dyDescent="0.2">
      <c r="A742" s="56">
        <f>Final_Dataset!R729</f>
        <v>40576.666666666664</v>
      </c>
      <c r="B742">
        <f t="shared" si="11"/>
        <v>784</v>
      </c>
      <c r="C742">
        <f>Final_Dataset!P729</f>
        <v>103</v>
      </c>
    </row>
    <row r="743" spans="1:3" x14ac:dyDescent="0.2">
      <c r="A743" s="56">
        <f>Final_Dataset!R730</f>
        <v>40576.708333333336</v>
      </c>
      <c r="B743">
        <f t="shared" si="11"/>
        <v>785</v>
      </c>
      <c r="C743">
        <f>Final_Dataset!P730</f>
        <v>190</v>
      </c>
    </row>
    <row r="744" spans="1:3" x14ac:dyDescent="0.2">
      <c r="A744" s="56">
        <f>Final_Dataset!R731</f>
        <v>40576.75</v>
      </c>
      <c r="B744">
        <f t="shared" si="11"/>
        <v>786</v>
      </c>
      <c r="C744">
        <f>Final_Dataset!P731</f>
        <v>182</v>
      </c>
    </row>
    <row r="745" spans="1:3" x14ac:dyDescent="0.2">
      <c r="A745" s="56">
        <f>Final_Dataset!R732</f>
        <v>40576.791666666664</v>
      </c>
      <c r="B745">
        <f t="shared" si="11"/>
        <v>787</v>
      </c>
      <c r="C745">
        <f>Final_Dataset!P732</f>
        <v>91</v>
      </c>
    </row>
    <row r="746" spans="1:3" x14ac:dyDescent="0.2">
      <c r="A746" s="56">
        <f>Final_Dataset!R733</f>
        <v>40576.833333333336</v>
      </c>
      <c r="B746">
        <f t="shared" si="11"/>
        <v>788</v>
      </c>
      <c r="C746">
        <f>Final_Dataset!P733</f>
        <v>75</v>
      </c>
    </row>
    <row r="747" spans="1:3" x14ac:dyDescent="0.2">
      <c r="A747" s="56">
        <f>Final_Dataset!R734</f>
        <v>40576.875</v>
      </c>
      <c r="B747">
        <f t="shared" si="11"/>
        <v>789</v>
      </c>
      <c r="C747">
        <f>Final_Dataset!P734</f>
        <v>63</v>
      </c>
    </row>
    <row r="748" spans="1:3" x14ac:dyDescent="0.2">
      <c r="A748" s="56">
        <f>Final_Dataset!R735</f>
        <v>40576.916666666664</v>
      </c>
      <c r="B748">
        <f t="shared" si="11"/>
        <v>790</v>
      </c>
      <c r="C748">
        <f>Final_Dataset!P735</f>
        <v>40</v>
      </c>
    </row>
    <row r="749" spans="1:3" x14ac:dyDescent="0.2">
      <c r="A749" s="56">
        <f>Final_Dataset!R736</f>
        <v>40576.958333333336</v>
      </c>
      <c r="B749">
        <f t="shared" si="11"/>
        <v>791</v>
      </c>
      <c r="C749">
        <f>Final_Dataset!P736</f>
        <v>32</v>
      </c>
    </row>
    <row r="750" spans="1:3" x14ac:dyDescent="0.2">
      <c r="A750" s="56">
        <f>Final_Dataset!R737</f>
        <v>40577</v>
      </c>
      <c r="B750">
        <f t="shared" si="11"/>
        <v>792</v>
      </c>
      <c r="C750">
        <f>Final_Dataset!P737</f>
        <v>12</v>
      </c>
    </row>
    <row r="751" spans="1:3" x14ac:dyDescent="0.2">
      <c r="A751" s="56">
        <f>Final_Dataset!R738</f>
        <v>40577.041666666664</v>
      </c>
      <c r="B751">
        <f t="shared" si="11"/>
        <v>793</v>
      </c>
      <c r="C751">
        <f>Final_Dataset!P738</f>
        <v>5</v>
      </c>
    </row>
    <row r="752" spans="1:3" x14ac:dyDescent="0.2">
      <c r="A752" s="56">
        <f>Final_Dataset!R739</f>
        <v>40577.083333333336</v>
      </c>
      <c r="B752">
        <f t="shared" si="11"/>
        <v>794</v>
      </c>
      <c r="C752">
        <f>Final_Dataset!P739</f>
        <v>2</v>
      </c>
    </row>
    <row r="753" spans="1:3" x14ac:dyDescent="0.2">
      <c r="A753" s="56">
        <f>Final_Dataset!R740</f>
        <v>40577.125</v>
      </c>
      <c r="B753">
        <f t="shared" si="11"/>
        <v>795</v>
      </c>
      <c r="C753">
        <f>Final_Dataset!P740</f>
        <v>1</v>
      </c>
    </row>
    <row r="754" spans="1:3" x14ac:dyDescent="0.2">
      <c r="A754" s="56">
        <f>Final_Dataset!R741</f>
        <v>40577.208333333336</v>
      </c>
      <c r="B754">
        <f t="shared" si="11"/>
        <v>797</v>
      </c>
      <c r="C754">
        <f>Final_Dataset!P741</f>
        <v>2</v>
      </c>
    </row>
    <row r="755" spans="1:3" x14ac:dyDescent="0.2">
      <c r="A755" s="56">
        <f>Final_Dataset!R742</f>
        <v>40577.25</v>
      </c>
      <c r="B755">
        <f t="shared" si="11"/>
        <v>798</v>
      </c>
      <c r="C755">
        <f>Final_Dataset!P742</f>
        <v>39</v>
      </c>
    </row>
    <row r="756" spans="1:3" x14ac:dyDescent="0.2">
      <c r="A756" s="56">
        <f>Final_Dataset!R743</f>
        <v>40577.291666666664</v>
      </c>
      <c r="B756">
        <f t="shared" si="11"/>
        <v>799</v>
      </c>
      <c r="C756">
        <f>Final_Dataset!P743</f>
        <v>87</v>
      </c>
    </row>
    <row r="757" spans="1:3" x14ac:dyDescent="0.2">
      <c r="A757" s="56">
        <f>Final_Dataset!R744</f>
        <v>40577.333333333336</v>
      </c>
      <c r="B757">
        <f t="shared" si="11"/>
        <v>800</v>
      </c>
      <c r="C757">
        <f>Final_Dataset!P744</f>
        <v>188</v>
      </c>
    </row>
    <row r="758" spans="1:3" x14ac:dyDescent="0.2">
      <c r="A758" s="56">
        <f>Final_Dataset!R745</f>
        <v>40577.375</v>
      </c>
      <c r="B758">
        <f t="shared" si="11"/>
        <v>801</v>
      </c>
      <c r="C758">
        <f>Final_Dataset!P745</f>
        <v>133</v>
      </c>
    </row>
    <row r="759" spans="1:3" x14ac:dyDescent="0.2">
      <c r="A759" s="56">
        <f>Final_Dataset!R746</f>
        <v>40577.416666666664</v>
      </c>
      <c r="B759">
        <f t="shared" si="11"/>
        <v>802</v>
      </c>
      <c r="C759">
        <f>Final_Dataset!P746</f>
        <v>52</v>
      </c>
    </row>
    <row r="760" spans="1:3" x14ac:dyDescent="0.2">
      <c r="A760" s="56">
        <f>Final_Dataset!R747</f>
        <v>40577.458333333336</v>
      </c>
      <c r="B760">
        <f t="shared" si="11"/>
        <v>803</v>
      </c>
      <c r="C760">
        <f>Final_Dataset!P747</f>
        <v>64</v>
      </c>
    </row>
    <row r="761" spans="1:3" x14ac:dyDescent="0.2">
      <c r="A761" s="56">
        <f>Final_Dataset!R748</f>
        <v>40577.5</v>
      </c>
      <c r="B761">
        <f t="shared" si="11"/>
        <v>804</v>
      </c>
      <c r="C761">
        <f>Final_Dataset!P748</f>
        <v>69</v>
      </c>
    </row>
    <row r="762" spans="1:3" x14ac:dyDescent="0.2">
      <c r="A762" s="56">
        <f>Final_Dataset!R749</f>
        <v>40577.541666666664</v>
      </c>
      <c r="B762">
        <f t="shared" si="11"/>
        <v>805</v>
      </c>
      <c r="C762">
        <f>Final_Dataset!P749</f>
        <v>51</v>
      </c>
    </row>
    <row r="763" spans="1:3" x14ac:dyDescent="0.2">
      <c r="A763" s="56">
        <f>Final_Dataset!R750</f>
        <v>40577.583333333336</v>
      </c>
      <c r="B763">
        <f t="shared" si="11"/>
        <v>806</v>
      </c>
      <c r="C763">
        <f>Final_Dataset!P750</f>
        <v>47</v>
      </c>
    </row>
    <row r="764" spans="1:3" x14ac:dyDescent="0.2">
      <c r="A764" s="56">
        <f>Final_Dataset!R751</f>
        <v>40577.625</v>
      </c>
      <c r="B764">
        <f t="shared" si="11"/>
        <v>807</v>
      </c>
      <c r="C764">
        <f>Final_Dataset!P751</f>
        <v>60</v>
      </c>
    </row>
    <row r="765" spans="1:3" x14ac:dyDescent="0.2">
      <c r="A765" s="56">
        <f>Final_Dataset!R752</f>
        <v>40577.666666666664</v>
      </c>
      <c r="B765">
        <f t="shared" si="11"/>
        <v>808</v>
      </c>
      <c r="C765">
        <f>Final_Dataset!P752</f>
        <v>78</v>
      </c>
    </row>
    <row r="766" spans="1:3" x14ac:dyDescent="0.2">
      <c r="A766" s="56">
        <f>Final_Dataset!R753</f>
        <v>40577.708333333336</v>
      </c>
      <c r="B766">
        <f t="shared" si="11"/>
        <v>809</v>
      </c>
      <c r="C766">
        <f>Final_Dataset!P753</f>
        <v>175</v>
      </c>
    </row>
    <row r="767" spans="1:3" x14ac:dyDescent="0.2">
      <c r="A767" s="56">
        <f>Final_Dataset!R754</f>
        <v>40577.75</v>
      </c>
      <c r="B767">
        <f t="shared" si="11"/>
        <v>810</v>
      </c>
      <c r="C767">
        <f>Final_Dataset!P754</f>
        <v>147</v>
      </c>
    </row>
    <row r="768" spans="1:3" x14ac:dyDescent="0.2">
      <c r="A768" s="56">
        <f>Final_Dataset!R755</f>
        <v>40577.791666666664</v>
      </c>
      <c r="B768">
        <f t="shared" si="11"/>
        <v>811</v>
      </c>
      <c r="C768">
        <f>Final_Dataset!P755</f>
        <v>96</v>
      </c>
    </row>
    <row r="769" spans="1:3" x14ac:dyDescent="0.2">
      <c r="A769" s="56">
        <f>Final_Dataset!R756</f>
        <v>40577.833333333336</v>
      </c>
      <c r="B769">
        <f t="shared" si="11"/>
        <v>812</v>
      </c>
      <c r="C769">
        <f>Final_Dataset!P756</f>
        <v>109</v>
      </c>
    </row>
    <row r="770" spans="1:3" x14ac:dyDescent="0.2">
      <c r="A770" s="56">
        <f>Final_Dataset!R757</f>
        <v>40577.875</v>
      </c>
      <c r="B770">
        <f t="shared" si="11"/>
        <v>813</v>
      </c>
      <c r="C770">
        <f>Final_Dataset!P757</f>
        <v>54</v>
      </c>
    </row>
    <row r="771" spans="1:3" x14ac:dyDescent="0.2">
      <c r="A771" s="56">
        <f>Final_Dataset!R758</f>
        <v>40577.916666666664</v>
      </c>
      <c r="B771">
        <f t="shared" si="11"/>
        <v>814</v>
      </c>
      <c r="C771">
        <f>Final_Dataset!P758</f>
        <v>41</v>
      </c>
    </row>
    <row r="772" spans="1:3" x14ac:dyDescent="0.2">
      <c r="A772" s="56">
        <f>Final_Dataset!R759</f>
        <v>40577.958333333336</v>
      </c>
      <c r="B772">
        <f t="shared" si="11"/>
        <v>815</v>
      </c>
      <c r="C772">
        <f>Final_Dataset!P759</f>
        <v>38</v>
      </c>
    </row>
    <row r="773" spans="1:3" x14ac:dyDescent="0.2">
      <c r="A773" s="56">
        <f>Final_Dataset!R760</f>
        <v>40578</v>
      </c>
      <c r="B773">
        <f t="shared" si="11"/>
        <v>816</v>
      </c>
      <c r="C773">
        <f>Final_Dataset!P760</f>
        <v>13</v>
      </c>
    </row>
    <row r="774" spans="1:3" x14ac:dyDescent="0.2">
      <c r="A774" s="56">
        <f>Final_Dataset!R761</f>
        <v>40578.041666666664</v>
      </c>
      <c r="B774">
        <f t="shared" si="11"/>
        <v>817</v>
      </c>
      <c r="C774">
        <f>Final_Dataset!P761</f>
        <v>7</v>
      </c>
    </row>
    <row r="775" spans="1:3" x14ac:dyDescent="0.2">
      <c r="A775" s="56">
        <f>Final_Dataset!R762</f>
        <v>40578.083333333336</v>
      </c>
      <c r="B775">
        <f t="shared" si="11"/>
        <v>818</v>
      </c>
      <c r="C775">
        <f>Final_Dataset!P762</f>
        <v>1</v>
      </c>
    </row>
    <row r="776" spans="1:3" x14ac:dyDescent="0.2">
      <c r="A776" s="56">
        <f>Final_Dataset!R763</f>
        <v>40578.125</v>
      </c>
      <c r="B776">
        <f t="shared" si="11"/>
        <v>819</v>
      </c>
      <c r="C776">
        <f>Final_Dataset!P763</f>
        <v>1</v>
      </c>
    </row>
    <row r="777" spans="1:3" x14ac:dyDescent="0.2">
      <c r="A777" s="56">
        <f>Final_Dataset!R764</f>
        <v>40578.208333333336</v>
      </c>
      <c r="B777">
        <f t="shared" si="11"/>
        <v>821</v>
      </c>
      <c r="C777">
        <f>Final_Dataset!P764</f>
        <v>7</v>
      </c>
    </row>
    <row r="778" spans="1:3" x14ac:dyDescent="0.2">
      <c r="A778" s="56">
        <f>Final_Dataset!R765</f>
        <v>40578.25</v>
      </c>
      <c r="B778">
        <f t="shared" si="11"/>
        <v>822</v>
      </c>
      <c r="C778">
        <f>Final_Dataset!P765</f>
        <v>28</v>
      </c>
    </row>
    <row r="779" spans="1:3" x14ac:dyDescent="0.2">
      <c r="A779" s="56">
        <f>Final_Dataset!R766</f>
        <v>40578.291666666664</v>
      </c>
      <c r="B779">
        <f t="shared" si="11"/>
        <v>823</v>
      </c>
      <c r="C779">
        <f>Final_Dataset!P766</f>
        <v>87</v>
      </c>
    </row>
    <row r="780" spans="1:3" x14ac:dyDescent="0.2">
      <c r="A780" s="56">
        <f>Final_Dataset!R767</f>
        <v>40578.333333333336</v>
      </c>
      <c r="B780">
        <f t="shared" si="11"/>
        <v>824</v>
      </c>
      <c r="C780">
        <f>Final_Dataset!P767</f>
        <v>220</v>
      </c>
    </row>
    <row r="781" spans="1:3" x14ac:dyDescent="0.2">
      <c r="A781" s="56">
        <f>Final_Dataset!R768</f>
        <v>40578.375</v>
      </c>
      <c r="B781">
        <f t="shared" si="11"/>
        <v>825</v>
      </c>
      <c r="C781">
        <f>Final_Dataset!P768</f>
        <v>127</v>
      </c>
    </row>
    <row r="782" spans="1:3" x14ac:dyDescent="0.2">
      <c r="A782" s="56">
        <f>Final_Dataset!R769</f>
        <v>40578.416666666664</v>
      </c>
      <c r="B782">
        <f t="shared" si="11"/>
        <v>826</v>
      </c>
      <c r="C782">
        <f>Final_Dataset!P769</f>
        <v>51</v>
      </c>
    </row>
    <row r="783" spans="1:3" x14ac:dyDescent="0.2">
      <c r="A783" s="56">
        <f>Final_Dataset!R770</f>
        <v>40578.458333333336</v>
      </c>
      <c r="B783">
        <f t="shared" ref="B783:B846" si="12">ROUND((A783-$A$15)*24,0)</f>
        <v>827</v>
      </c>
      <c r="C783">
        <f>Final_Dataset!P770</f>
        <v>64</v>
      </c>
    </row>
    <row r="784" spans="1:3" x14ac:dyDescent="0.2">
      <c r="A784" s="56">
        <f>Final_Dataset!R771</f>
        <v>40578.5</v>
      </c>
      <c r="B784">
        <f t="shared" si="12"/>
        <v>828</v>
      </c>
      <c r="C784">
        <f>Final_Dataset!P771</f>
        <v>86</v>
      </c>
    </row>
    <row r="785" spans="1:3" x14ac:dyDescent="0.2">
      <c r="A785" s="56">
        <f>Final_Dataset!R772</f>
        <v>40578.541666666664</v>
      </c>
      <c r="B785">
        <f t="shared" si="12"/>
        <v>829</v>
      </c>
      <c r="C785">
        <f>Final_Dataset!P772</f>
        <v>82</v>
      </c>
    </row>
    <row r="786" spans="1:3" x14ac:dyDescent="0.2">
      <c r="A786" s="56">
        <f>Final_Dataset!R773</f>
        <v>40578.583333333336</v>
      </c>
      <c r="B786">
        <f t="shared" si="12"/>
        <v>830</v>
      </c>
      <c r="C786">
        <f>Final_Dataset!P773</f>
        <v>91</v>
      </c>
    </row>
    <row r="787" spans="1:3" x14ac:dyDescent="0.2">
      <c r="A787" s="56">
        <f>Final_Dataset!R774</f>
        <v>40578.625</v>
      </c>
      <c r="B787">
        <f t="shared" si="12"/>
        <v>831</v>
      </c>
      <c r="C787">
        <f>Final_Dataset!P774</f>
        <v>90</v>
      </c>
    </row>
    <row r="788" spans="1:3" x14ac:dyDescent="0.2">
      <c r="A788" s="56">
        <f>Final_Dataset!R775</f>
        <v>40578.666666666664</v>
      </c>
      <c r="B788">
        <f t="shared" si="12"/>
        <v>832</v>
      </c>
      <c r="C788">
        <f>Final_Dataset!P775</f>
        <v>99</v>
      </c>
    </row>
    <row r="789" spans="1:3" x14ac:dyDescent="0.2">
      <c r="A789" s="56">
        <f>Final_Dataset!R776</f>
        <v>40578.708333333336</v>
      </c>
      <c r="B789">
        <f t="shared" si="12"/>
        <v>833</v>
      </c>
      <c r="C789">
        <f>Final_Dataset!P776</f>
        <v>205</v>
      </c>
    </row>
    <row r="790" spans="1:3" x14ac:dyDescent="0.2">
      <c r="A790" s="56">
        <f>Final_Dataset!R777</f>
        <v>40578.75</v>
      </c>
      <c r="B790">
        <f t="shared" si="12"/>
        <v>834</v>
      </c>
      <c r="C790">
        <f>Final_Dataset!P777</f>
        <v>155</v>
      </c>
    </row>
    <row r="791" spans="1:3" x14ac:dyDescent="0.2">
      <c r="A791" s="56">
        <f>Final_Dataset!R778</f>
        <v>40578.791666666664</v>
      </c>
      <c r="B791">
        <f t="shared" si="12"/>
        <v>835</v>
      </c>
      <c r="C791">
        <f>Final_Dataset!P778</f>
        <v>103</v>
      </c>
    </row>
    <row r="792" spans="1:3" x14ac:dyDescent="0.2">
      <c r="A792" s="56">
        <f>Final_Dataset!R779</f>
        <v>40578.833333333336</v>
      </c>
      <c r="B792">
        <f t="shared" si="12"/>
        <v>836</v>
      </c>
      <c r="C792">
        <f>Final_Dataset!P779</f>
        <v>71</v>
      </c>
    </row>
    <row r="793" spans="1:3" x14ac:dyDescent="0.2">
      <c r="A793" s="56">
        <f>Final_Dataset!R780</f>
        <v>40578.875</v>
      </c>
      <c r="B793">
        <f t="shared" si="12"/>
        <v>837</v>
      </c>
      <c r="C793">
        <f>Final_Dataset!P780</f>
        <v>43</v>
      </c>
    </row>
    <row r="794" spans="1:3" x14ac:dyDescent="0.2">
      <c r="A794" s="56">
        <f>Final_Dataset!R781</f>
        <v>40578.916666666664</v>
      </c>
      <c r="B794">
        <f t="shared" si="12"/>
        <v>838</v>
      </c>
      <c r="C794">
        <f>Final_Dataset!P781</f>
        <v>46</v>
      </c>
    </row>
    <row r="795" spans="1:3" x14ac:dyDescent="0.2">
      <c r="A795" s="56">
        <f>Final_Dataset!R782</f>
        <v>40578.958333333336</v>
      </c>
      <c r="B795">
        <f t="shared" si="12"/>
        <v>839</v>
      </c>
      <c r="C795">
        <f>Final_Dataset!P782</f>
        <v>31</v>
      </c>
    </row>
    <row r="796" spans="1:3" x14ac:dyDescent="0.2">
      <c r="A796" s="56">
        <f>Final_Dataset!R783</f>
        <v>40579</v>
      </c>
      <c r="B796">
        <f t="shared" si="12"/>
        <v>840</v>
      </c>
      <c r="C796">
        <f>Final_Dataset!P783</f>
        <v>39</v>
      </c>
    </row>
    <row r="797" spans="1:3" x14ac:dyDescent="0.2">
      <c r="A797" s="56">
        <f>Final_Dataset!R784</f>
        <v>40579.041666666664</v>
      </c>
      <c r="B797">
        <f t="shared" si="12"/>
        <v>841</v>
      </c>
      <c r="C797">
        <f>Final_Dataset!P784</f>
        <v>18</v>
      </c>
    </row>
    <row r="798" spans="1:3" x14ac:dyDescent="0.2">
      <c r="A798" s="56">
        <f>Final_Dataset!R785</f>
        <v>40579.083333333336</v>
      </c>
      <c r="B798">
        <f t="shared" si="12"/>
        <v>842</v>
      </c>
      <c r="C798">
        <f>Final_Dataset!P785</f>
        <v>17</v>
      </c>
    </row>
    <row r="799" spans="1:3" x14ac:dyDescent="0.2">
      <c r="A799" s="56">
        <f>Final_Dataset!R786</f>
        <v>40579.125</v>
      </c>
      <c r="B799">
        <f t="shared" si="12"/>
        <v>843</v>
      </c>
      <c r="C799">
        <f>Final_Dataset!P786</f>
        <v>11</v>
      </c>
    </row>
    <row r="800" spans="1:3" x14ac:dyDescent="0.2">
      <c r="A800" s="56">
        <f>Final_Dataset!R787</f>
        <v>40579.166666666664</v>
      </c>
      <c r="B800">
        <f t="shared" si="12"/>
        <v>844</v>
      </c>
      <c r="C800">
        <f>Final_Dataset!P787</f>
        <v>8</v>
      </c>
    </row>
    <row r="801" spans="1:3" x14ac:dyDescent="0.2">
      <c r="A801" s="56">
        <f>Final_Dataset!R788</f>
        <v>40579.208333333336</v>
      </c>
      <c r="B801">
        <f t="shared" si="12"/>
        <v>845</v>
      </c>
      <c r="C801">
        <f>Final_Dataset!P788</f>
        <v>9</v>
      </c>
    </row>
    <row r="802" spans="1:3" x14ac:dyDescent="0.2">
      <c r="A802" s="56">
        <f>Final_Dataset!R789</f>
        <v>40579.25</v>
      </c>
      <c r="B802">
        <f t="shared" si="12"/>
        <v>846</v>
      </c>
      <c r="C802">
        <f>Final_Dataset!P789</f>
        <v>4</v>
      </c>
    </row>
    <row r="803" spans="1:3" x14ac:dyDescent="0.2">
      <c r="A803" s="56">
        <f>Final_Dataset!R790</f>
        <v>40579.291666666664</v>
      </c>
      <c r="B803">
        <f t="shared" si="12"/>
        <v>847</v>
      </c>
      <c r="C803">
        <f>Final_Dataset!P790</f>
        <v>4</v>
      </c>
    </row>
    <row r="804" spans="1:3" x14ac:dyDescent="0.2">
      <c r="A804" s="56">
        <f>Final_Dataset!R791</f>
        <v>40579.333333333336</v>
      </c>
      <c r="B804">
        <f t="shared" si="12"/>
        <v>848</v>
      </c>
      <c r="C804">
        <f>Final_Dataset!P791</f>
        <v>10</v>
      </c>
    </row>
    <row r="805" spans="1:3" x14ac:dyDescent="0.2">
      <c r="A805" s="56">
        <f>Final_Dataset!R792</f>
        <v>40579.375</v>
      </c>
      <c r="B805">
        <f t="shared" si="12"/>
        <v>849</v>
      </c>
      <c r="C805">
        <f>Final_Dataset!P792</f>
        <v>20</v>
      </c>
    </row>
    <row r="806" spans="1:3" x14ac:dyDescent="0.2">
      <c r="A806" s="56">
        <f>Final_Dataset!R793</f>
        <v>40579.416666666664</v>
      </c>
      <c r="B806">
        <f t="shared" si="12"/>
        <v>850</v>
      </c>
      <c r="C806">
        <f>Final_Dataset!P793</f>
        <v>34</v>
      </c>
    </row>
    <row r="807" spans="1:3" x14ac:dyDescent="0.2">
      <c r="A807" s="56">
        <f>Final_Dataset!R794</f>
        <v>40579.458333333336</v>
      </c>
      <c r="B807">
        <f t="shared" si="12"/>
        <v>851</v>
      </c>
      <c r="C807">
        <f>Final_Dataset!P794</f>
        <v>47</v>
      </c>
    </row>
    <row r="808" spans="1:3" x14ac:dyDescent="0.2">
      <c r="A808" s="56">
        <f>Final_Dataset!R795</f>
        <v>40579.5</v>
      </c>
      <c r="B808">
        <f t="shared" si="12"/>
        <v>852</v>
      </c>
      <c r="C808">
        <f>Final_Dataset!P795</f>
        <v>52</v>
      </c>
    </row>
    <row r="809" spans="1:3" x14ac:dyDescent="0.2">
      <c r="A809" s="56">
        <f>Final_Dataset!R796</f>
        <v>40579.541666666664</v>
      </c>
      <c r="B809">
        <f t="shared" si="12"/>
        <v>853</v>
      </c>
      <c r="C809">
        <f>Final_Dataset!P796</f>
        <v>72</v>
      </c>
    </row>
    <row r="810" spans="1:3" x14ac:dyDescent="0.2">
      <c r="A810" s="56">
        <f>Final_Dataset!R797</f>
        <v>40579.583333333336</v>
      </c>
      <c r="B810">
        <f t="shared" si="12"/>
        <v>854</v>
      </c>
      <c r="C810">
        <f>Final_Dataset!P797</f>
        <v>55</v>
      </c>
    </row>
    <row r="811" spans="1:3" x14ac:dyDescent="0.2">
      <c r="A811" s="56">
        <f>Final_Dataset!R798</f>
        <v>40579.625</v>
      </c>
      <c r="B811">
        <f t="shared" si="12"/>
        <v>855</v>
      </c>
      <c r="C811">
        <f>Final_Dataset!P798</f>
        <v>60</v>
      </c>
    </row>
    <row r="812" spans="1:3" x14ac:dyDescent="0.2">
      <c r="A812" s="56">
        <f>Final_Dataset!R799</f>
        <v>40579.666666666664</v>
      </c>
      <c r="B812">
        <f t="shared" si="12"/>
        <v>856</v>
      </c>
      <c r="C812">
        <f>Final_Dataset!P799</f>
        <v>71</v>
      </c>
    </row>
    <row r="813" spans="1:3" x14ac:dyDescent="0.2">
      <c r="A813" s="56">
        <f>Final_Dataset!R800</f>
        <v>40579.708333333336</v>
      </c>
      <c r="B813">
        <f t="shared" si="12"/>
        <v>857</v>
      </c>
      <c r="C813">
        <f>Final_Dataset!P800</f>
        <v>78</v>
      </c>
    </row>
    <row r="814" spans="1:3" x14ac:dyDescent="0.2">
      <c r="A814" s="56">
        <f>Final_Dataset!R801</f>
        <v>40579.75</v>
      </c>
      <c r="B814">
        <f t="shared" si="12"/>
        <v>858</v>
      </c>
      <c r="C814">
        <f>Final_Dataset!P801</f>
        <v>83</v>
      </c>
    </row>
    <row r="815" spans="1:3" x14ac:dyDescent="0.2">
      <c r="A815" s="56">
        <f>Final_Dataset!R802</f>
        <v>40579.791666666664</v>
      </c>
      <c r="B815">
        <f t="shared" si="12"/>
        <v>859</v>
      </c>
      <c r="C815">
        <f>Final_Dataset!P802</f>
        <v>84</v>
      </c>
    </row>
    <row r="816" spans="1:3" x14ac:dyDescent="0.2">
      <c r="A816" s="56">
        <f>Final_Dataset!R803</f>
        <v>40579.833333333336</v>
      </c>
      <c r="B816">
        <f t="shared" si="12"/>
        <v>860</v>
      </c>
      <c r="C816">
        <f>Final_Dataset!P803</f>
        <v>69</v>
      </c>
    </row>
    <row r="817" spans="1:3" x14ac:dyDescent="0.2">
      <c r="A817" s="56">
        <f>Final_Dataset!R804</f>
        <v>40579.875</v>
      </c>
      <c r="B817">
        <f t="shared" si="12"/>
        <v>861</v>
      </c>
      <c r="C817">
        <f>Final_Dataset!P804</f>
        <v>56</v>
      </c>
    </row>
    <row r="818" spans="1:3" x14ac:dyDescent="0.2">
      <c r="A818" s="56">
        <f>Final_Dataset!R805</f>
        <v>40579.916666666664</v>
      </c>
      <c r="B818">
        <f t="shared" si="12"/>
        <v>862</v>
      </c>
      <c r="C818">
        <f>Final_Dataset!P805</f>
        <v>45</v>
      </c>
    </row>
    <row r="819" spans="1:3" x14ac:dyDescent="0.2">
      <c r="A819" s="56">
        <f>Final_Dataset!R806</f>
        <v>40579.958333333336</v>
      </c>
      <c r="B819">
        <f t="shared" si="12"/>
        <v>863</v>
      </c>
      <c r="C819">
        <f>Final_Dataset!P806</f>
        <v>59</v>
      </c>
    </row>
    <row r="820" spans="1:3" x14ac:dyDescent="0.2">
      <c r="A820" s="56">
        <f>Final_Dataset!R807</f>
        <v>40580</v>
      </c>
      <c r="B820">
        <f t="shared" si="12"/>
        <v>864</v>
      </c>
      <c r="C820">
        <f>Final_Dataset!P807</f>
        <v>39</v>
      </c>
    </row>
    <row r="821" spans="1:3" x14ac:dyDescent="0.2">
      <c r="A821" s="56">
        <f>Final_Dataset!R808</f>
        <v>40580.041666666664</v>
      </c>
      <c r="B821">
        <f t="shared" si="12"/>
        <v>865</v>
      </c>
      <c r="C821">
        <f>Final_Dataset!P808</f>
        <v>44</v>
      </c>
    </row>
    <row r="822" spans="1:3" x14ac:dyDescent="0.2">
      <c r="A822" s="56">
        <f>Final_Dataset!R809</f>
        <v>40580.083333333336</v>
      </c>
      <c r="B822">
        <f t="shared" si="12"/>
        <v>866</v>
      </c>
      <c r="C822">
        <f>Final_Dataset!P809</f>
        <v>20</v>
      </c>
    </row>
    <row r="823" spans="1:3" x14ac:dyDescent="0.2">
      <c r="A823" s="56">
        <f>Final_Dataset!R810</f>
        <v>40580.125</v>
      </c>
      <c r="B823">
        <f t="shared" si="12"/>
        <v>867</v>
      </c>
      <c r="C823">
        <f>Final_Dataset!P810</f>
        <v>13</v>
      </c>
    </row>
    <row r="824" spans="1:3" x14ac:dyDescent="0.2">
      <c r="A824" s="56">
        <f>Final_Dataset!R811</f>
        <v>40580.166666666664</v>
      </c>
      <c r="B824">
        <f t="shared" si="12"/>
        <v>868</v>
      </c>
      <c r="C824">
        <f>Final_Dataset!P811</f>
        <v>2</v>
      </c>
    </row>
    <row r="825" spans="1:3" x14ac:dyDescent="0.2">
      <c r="A825" s="56">
        <f>Final_Dataset!R812</f>
        <v>40580.208333333336</v>
      </c>
      <c r="B825">
        <f t="shared" si="12"/>
        <v>869</v>
      </c>
      <c r="C825">
        <f>Final_Dataset!P812</f>
        <v>1</v>
      </c>
    </row>
    <row r="826" spans="1:3" x14ac:dyDescent="0.2">
      <c r="A826" s="56">
        <f>Final_Dataset!R813</f>
        <v>40580.25</v>
      </c>
      <c r="B826">
        <f t="shared" si="12"/>
        <v>870</v>
      </c>
      <c r="C826">
        <f>Final_Dataset!P813</f>
        <v>1</v>
      </c>
    </row>
    <row r="827" spans="1:3" x14ac:dyDescent="0.2">
      <c r="A827" s="56">
        <f>Final_Dataset!R814</f>
        <v>40580.291666666664</v>
      </c>
      <c r="B827">
        <f t="shared" si="12"/>
        <v>871</v>
      </c>
      <c r="C827">
        <f>Final_Dataset!P814</f>
        <v>8</v>
      </c>
    </row>
    <row r="828" spans="1:3" x14ac:dyDescent="0.2">
      <c r="A828" s="56">
        <f>Final_Dataset!R815</f>
        <v>40580.333333333336</v>
      </c>
      <c r="B828">
        <f t="shared" si="12"/>
        <v>872</v>
      </c>
      <c r="C828">
        <f>Final_Dataset!P815</f>
        <v>23</v>
      </c>
    </row>
    <row r="829" spans="1:3" x14ac:dyDescent="0.2">
      <c r="A829" s="56">
        <f>Final_Dataset!R816</f>
        <v>40580.375</v>
      </c>
      <c r="B829">
        <f t="shared" si="12"/>
        <v>873</v>
      </c>
      <c r="C829">
        <f>Final_Dataset!P816</f>
        <v>45</v>
      </c>
    </row>
    <row r="830" spans="1:3" x14ac:dyDescent="0.2">
      <c r="A830" s="56">
        <f>Final_Dataset!R817</f>
        <v>40580.416666666664</v>
      </c>
      <c r="B830">
        <f t="shared" si="12"/>
        <v>874</v>
      </c>
      <c r="C830">
        <f>Final_Dataset!P817</f>
        <v>89</v>
      </c>
    </row>
    <row r="831" spans="1:3" x14ac:dyDescent="0.2">
      <c r="A831" s="56">
        <f>Final_Dataset!R818</f>
        <v>40580.458333333336</v>
      </c>
      <c r="B831">
        <f t="shared" si="12"/>
        <v>875</v>
      </c>
      <c r="C831">
        <f>Final_Dataset!P818</f>
        <v>117</v>
      </c>
    </row>
    <row r="832" spans="1:3" x14ac:dyDescent="0.2">
      <c r="A832" s="56">
        <f>Final_Dataset!R819</f>
        <v>40580.5</v>
      </c>
      <c r="B832">
        <f t="shared" si="12"/>
        <v>876</v>
      </c>
      <c r="C832">
        <f>Final_Dataset!P819</f>
        <v>174</v>
      </c>
    </row>
    <row r="833" spans="1:3" x14ac:dyDescent="0.2">
      <c r="A833" s="56">
        <f>Final_Dataset!R820</f>
        <v>40580.541666666664</v>
      </c>
      <c r="B833">
        <f t="shared" si="12"/>
        <v>877</v>
      </c>
      <c r="C833">
        <f>Final_Dataset!P820</f>
        <v>182</v>
      </c>
    </row>
    <row r="834" spans="1:3" x14ac:dyDescent="0.2">
      <c r="A834" s="56">
        <f>Final_Dataset!R821</f>
        <v>40580.583333333336</v>
      </c>
      <c r="B834">
        <f t="shared" si="12"/>
        <v>878</v>
      </c>
      <c r="C834">
        <f>Final_Dataset!P821</f>
        <v>161</v>
      </c>
    </row>
    <row r="835" spans="1:3" x14ac:dyDescent="0.2">
      <c r="A835" s="56">
        <f>Final_Dataset!R822</f>
        <v>40580.625</v>
      </c>
      <c r="B835">
        <f t="shared" si="12"/>
        <v>879</v>
      </c>
      <c r="C835">
        <f>Final_Dataset!P822</f>
        <v>182</v>
      </c>
    </row>
    <row r="836" spans="1:3" x14ac:dyDescent="0.2">
      <c r="A836" s="56">
        <f>Final_Dataset!R823</f>
        <v>40580.666666666664</v>
      </c>
      <c r="B836">
        <f t="shared" si="12"/>
        <v>880</v>
      </c>
      <c r="C836">
        <f>Final_Dataset!P823</f>
        <v>157</v>
      </c>
    </row>
    <row r="837" spans="1:3" x14ac:dyDescent="0.2">
      <c r="A837" s="56">
        <f>Final_Dataset!R824</f>
        <v>40580.708333333336</v>
      </c>
      <c r="B837">
        <f t="shared" si="12"/>
        <v>881</v>
      </c>
      <c r="C837">
        <f>Final_Dataset!P824</f>
        <v>121</v>
      </c>
    </row>
    <row r="838" spans="1:3" x14ac:dyDescent="0.2">
      <c r="A838" s="56">
        <f>Final_Dataset!R825</f>
        <v>40580.75</v>
      </c>
      <c r="B838">
        <f t="shared" si="12"/>
        <v>882</v>
      </c>
      <c r="C838">
        <f>Final_Dataset!P825</f>
        <v>78</v>
      </c>
    </row>
    <row r="839" spans="1:3" x14ac:dyDescent="0.2">
      <c r="A839" s="56">
        <f>Final_Dataset!R826</f>
        <v>40580.791666666664</v>
      </c>
      <c r="B839">
        <f t="shared" si="12"/>
        <v>883</v>
      </c>
      <c r="C839">
        <f>Final_Dataset!P826</f>
        <v>21</v>
      </c>
    </row>
    <row r="840" spans="1:3" x14ac:dyDescent="0.2">
      <c r="A840" s="56">
        <f>Final_Dataset!R827</f>
        <v>40580.833333333336</v>
      </c>
      <c r="B840">
        <f t="shared" si="12"/>
        <v>884</v>
      </c>
      <c r="C840">
        <f>Final_Dataset!P827</f>
        <v>26</v>
      </c>
    </row>
    <row r="841" spans="1:3" x14ac:dyDescent="0.2">
      <c r="A841" s="56">
        <f>Final_Dataset!R828</f>
        <v>40580.875</v>
      </c>
      <c r="B841">
        <f t="shared" si="12"/>
        <v>885</v>
      </c>
      <c r="C841">
        <f>Final_Dataset!P828</f>
        <v>27</v>
      </c>
    </row>
    <row r="842" spans="1:3" x14ac:dyDescent="0.2">
      <c r="A842" s="56">
        <f>Final_Dataset!R829</f>
        <v>40580.916666666664</v>
      </c>
      <c r="B842">
        <f t="shared" si="12"/>
        <v>886</v>
      </c>
      <c r="C842">
        <f>Final_Dataset!P829</f>
        <v>62</v>
      </c>
    </row>
    <row r="843" spans="1:3" x14ac:dyDescent="0.2">
      <c r="A843" s="56">
        <f>Final_Dataset!R830</f>
        <v>40580.958333333336</v>
      </c>
      <c r="B843">
        <f t="shared" si="12"/>
        <v>887</v>
      </c>
      <c r="C843">
        <f>Final_Dataset!P830</f>
        <v>30</v>
      </c>
    </row>
    <row r="844" spans="1:3" x14ac:dyDescent="0.2">
      <c r="A844" s="56">
        <f>Final_Dataset!R831</f>
        <v>40581</v>
      </c>
      <c r="B844">
        <f t="shared" si="12"/>
        <v>888</v>
      </c>
      <c r="C844">
        <f>Final_Dataset!P831</f>
        <v>15</v>
      </c>
    </row>
    <row r="845" spans="1:3" x14ac:dyDescent="0.2">
      <c r="A845" s="56">
        <f>Final_Dataset!R832</f>
        <v>40581.041666666664</v>
      </c>
      <c r="B845">
        <f t="shared" si="12"/>
        <v>889</v>
      </c>
      <c r="C845">
        <f>Final_Dataset!P832</f>
        <v>5</v>
      </c>
    </row>
    <row r="846" spans="1:3" x14ac:dyDescent="0.2">
      <c r="A846" s="56">
        <f>Final_Dataset!R833</f>
        <v>40581.083333333336</v>
      </c>
      <c r="B846">
        <f t="shared" si="12"/>
        <v>890</v>
      </c>
      <c r="C846">
        <f>Final_Dataset!P833</f>
        <v>3</v>
      </c>
    </row>
    <row r="847" spans="1:3" x14ac:dyDescent="0.2">
      <c r="A847" s="56">
        <f>Final_Dataset!R834</f>
        <v>40581.125</v>
      </c>
      <c r="B847">
        <f t="shared" ref="B847:B910" si="13">ROUND((A847-$A$15)*24,0)</f>
        <v>891</v>
      </c>
      <c r="C847">
        <f>Final_Dataset!P834</f>
        <v>1</v>
      </c>
    </row>
    <row r="848" spans="1:3" x14ac:dyDescent="0.2">
      <c r="A848" s="56">
        <f>Final_Dataset!R835</f>
        <v>40581.166666666664</v>
      </c>
      <c r="B848">
        <f t="shared" si="13"/>
        <v>892</v>
      </c>
      <c r="C848">
        <f>Final_Dataset!P835</f>
        <v>2</v>
      </c>
    </row>
    <row r="849" spans="1:3" x14ac:dyDescent="0.2">
      <c r="A849" s="56">
        <f>Final_Dataset!R836</f>
        <v>40581.208333333336</v>
      </c>
      <c r="B849">
        <f t="shared" si="13"/>
        <v>893</v>
      </c>
      <c r="C849">
        <f>Final_Dataset!P836</f>
        <v>10</v>
      </c>
    </row>
    <row r="850" spans="1:3" x14ac:dyDescent="0.2">
      <c r="A850" s="56">
        <f>Final_Dataset!R837</f>
        <v>40581.25</v>
      </c>
      <c r="B850">
        <f t="shared" si="13"/>
        <v>894</v>
      </c>
      <c r="C850">
        <f>Final_Dataset!P837</f>
        <v>30</v>
      </c>
    </row>
    <row r="851" spans="1:3" x14ac:dyDescent="0.2">
      <c r="A851" s="56">
        <f>Final_Dataset!R838</f>
        <v>40581.291666666664</v>
      </c>
      <c r="B851">
        <f t="shared" si="13"/>
        <v>895</v>
      </c>
      <c r="C851">
        <f>Final_Dataset!P838</f>
        <v>95</v>
      </c>
    </row>
    <row r="852" spans="1:3" x14ac:dyDescent="0.2">
      <c r="A852" s="56">
        <f>Final_Dataset!R839</f>
        <v>40581.333333333336</v>
      </c>
      <c r="B852">
        <f t="shared" si="13"/>
        <v>896</v>
      </c>
      <c r="C852">
        <f>Final_Dataset!P839</f>
        <v>230</v>
      </c>
    </row>
    <row r="853" spans="1:3" x14ac:dyDescent="0.2">
      <c r="A853" s="56">
        <f>Final_Dataset!R840</f>
        <v>40581.375</v>
      </c>
      <c r="B853">
        <f t="shared" si="13"/>
        <v>897</v>
      </c>
      <c r="C853">
        <f>Final_Dataset!P840</f>
        <v>118</v>
      </c>
    </row>
    <row r="854" spans="1:3" x14ac:dyDescent="0.2">
      <c r="A854" s="56">
        <f>Final_Dataset!R841</f>
        <v>40581.416666666664</v>
      </c>
      <c r="B854">
        <f t="shared" si="13"/>
        <v>898</v>
      </c>
      <c r="C854">
        <f>Final_Dataset!P841</f>
        <v>55</v>
      </c>
    </row>
    <row r="855" spans="1:3" x14ac:dyDescent="0.2">
      <c r="A855" s="56">
        <f>Final_Dataset!R842</f>
        <v>40581.458333333336</v>
      </c>
      <c r="B855">
        <f t="shared" si="13"/>
        <v>899</v>
      </c>
      <c r="C855">
        <f>Final_Dataset!P842</f>
        <v>47</v>
      </c>
    </row>
    <row r="856" spans="1:3" x14ac:dyDescent="0.2">
      <c r="A856" s="56">
        <f>Final_Dataset!R843</f>
        <v>40581.5</v>
      </c>
      <c r="B856">
        <f t="shared" si="13"/>
        <v>900</v>
      </c>
      <c r="C856">
        <f>Final_Dataset!P843</f>
        <v>66</v>
      </c>
    </row>
    <row r="857" spans="1:3" x14ac:dyDescent="0.2">
      <c r="A857" s="56">
        <f>Final_Dataset!R844</f>
        <v>40581.541666666664</v>
      </c>
      <c r="B857">
        <f t="shared" si="13"/>
        <v>901</v>
      </c>
      <c r="C857">
        <f>Final_Dataset!P844</f>
        <v>64</v>
      </c>
    </row>
    <row r="858" spans="1:3" x14ac:dyDescent="0.2">
      <c r="A858" s="56">
        <f>Final_Dataset!R845</f>
        <v>40581.583333333336</v>
      </c>
      <c r="B858">
        <f t="shared" si="13"/>
        <v>902</v>
      </c>
      <c r="C858">
        <f>Final_Dataset!P845</f>
        <v>60</v>
      </c>
    </row>
    <row r="859" spans="1:3" x14ac:dyDescent="0.2">
      <c r="A859" s="56">
        <f>Final_Dataset!R846</f>
        <v>40581.625</v>
      </c>
      <c r="B859">
        <f t="shared" si="13"/>
        <v>903</v>
      </c>
      <c r="C859">
        <f>Final_Dataset!P846</f>
        <v>50</v>
      </c>
    </row>
    <row r="860" spans="1:3" x14ac:dyDescent="0.2">
      <c r="A860" s="56">
        <f>Final_Dataset!R847</f>
        <v>40581.666666666664</v>
      </c>
      <c r="B860">
        <f t="shared" si="13"/>
        <v>904</v>
      </c>
      <c r="C860">
        <f>Final_Dataset!P847</f>
        <v>114</v>
      </c>
    </row>
    <row r="861" spans="1:3" x14ac:dyDescent="0.2">
      <c r="A861" s="56">
        <f>Final_Dataset!R848</f>
        <v>40581.708333333336</v>
      </c>
      <c r="B861">
        <f t="shared" si="13"/>
        <v>905</v>
      </c>
      <c r="C861">
        <f>Final_Dataset!P848</f>
        <v>216</v>
      </c>
    </row>
    <row r="862" spans="1:3" x14ac:dyDescent="0.2">
      <c r="A862" s="56">
        <f>Final_Dataset!R849</f>
        <v>40581.75</v>
      </c>
      <c r="B862">
        <f t="shared" si="13"/>
        <v>906</v>
      </c>
      <c r="C862">
        <f>Final_Dataset!P849</f>
        <v>175</v>
      </c>
    </row>
    <row r="863" spans="1:3" x14ac:dyDescent="0.2">
      <c r="A863" s="56">
        <f>Final_Dataset!R850</f>
        <v>40581.791666666664</v>
      </c>
      <c r="B863">
        <f t="shared" si="13"/>
        <v>907</v>
      </c>
      <c r="C863">
        <f>Final_Dataset!P850</f>
        <v>128</v>
      </c>
    </row>
    <row r="864" spans="1:3" x14ac:dyDescent="0.2">
      <c r="A864" s="56">
        <f>Final_Dataset!R851</f>
        <v>40581.833333333336</v>
      </c>
      <c r="B864">
        <f t="shared" si="13"/>
        <v>908</v>
      </c>
      <c r="C864">
        <f>Final_Dataset!P851</f>
        <v>88</v>
      </c>
    </row>
    <row r="865" spans="1:3" x14ac:dyDescent="0.2">
      <c r="A865" s="56">
        <f>Final_Dataset!R852</f>
        <v>40581.875</v>
      </c>
      <c r="B865">
        <f t="shared" si="13"/>
        <v>909</v>
      </c>
      <c r="C865">
        <f>Final_Dataset!P852</f>
        <v>78</v>
      </c>
    </row>
    <row r="866" spans="1:3" x14ac:dyDescent="0.2">
      <c r="A866" s="56">
        <f>Final_Dataset!R853</f>
        <v>40581.916666666664</v>
      </c>
      <c r="B866">
        <f t="shared" si="13"/>
        <v>910</v>
      </c>
      <c r="C866">
        <f>Final_Dataset!P853</f>
        <v>37</v>
      </c>
    </row>
    <row r="867" spans="1:3" x14ac:dyDescent="0.2">
      <c r="A867" s="56">
        <f>Final_Dataset!R854</f>
        <v>40581.958333333336</v>
      </c>
      <c r="B867">
        <f t="shared" si="13"/>
        <v>911</v>
      </c>
      <c r="C867">
        <f>Final_Dataset!P854</f>
        <v>25</v>
      </c>
    </row>
    <row r="868" spans="1:3" x14ac:dyDescent="0.2">
      <c r="A868" s="56">
        <f>Final_Dataset!R855</f>
        <v>40582</v>
      </c>
      <c r="B868">
        <f t="shared" si="13"/>
        <v>912</v>
      </c>
      <c r="C868">
        <f>Final_Dataset!P855</f>
        <v>10</v>
      </c>
    </row>
    <row r="869" spans="1:3" x14ac:dyDescent="0.2">
      <c r="A869" s="56">
        <f>Final_Dataset!R856</f>
        <v>40582.041666666664</v>
      </c>
      <c r="B869">
        <f t="shared" si="13"/>
        <v>913</v>
      </c>
      <c r="C869">
        <f>Final_Dataset!P856</f>
        <v>4</v>
      </c>
    </row>
    <row r="870" spans="1:3" x14ac:dyDescent="0.2">
      <c r="A870" s="56">
        <f>Final_Dataset!R857</f>
        <v>40582.083333333336</v>
      </c>
      <c r="B870">
        <f t="shared" si="13"/>
        <v>914</v>
      </c>
      <c r="C870">
        <f>Final_Dataset!P857</f>
        <v>2</v>
      </c>
    </row>
    <row r="871" spans="1:3" x14ac:dyDescent="0.2">
      <c r="A871" s="56">
        <f>Final_Dataset!R858</f>
        <v>40582.125</v>
      </c>
      <c r="B871">
        <f t="shared" si="13"/>
        <v>915</v>
      </c>
      <c r="C871">
        <f>Final_Dataset!P858</f>
        <v>1</v>
      </c>
    </row>
    <row r="872" spans="1:3" x14ac:dyDescent="0.2">
      <c r="A872" s="56">
        <f>Final_Dataset!R859</f>
        <v>40582.166666666664</v>
      </c>
      <c r="B872">
        <f t="shared" si="13"/>
        <v>916</v>
      </c>
      <c r="C872">
        <f>Final_Dataset!P859</f>
        <v>3</v>
      </c>
    </row>
    <row r="873" spans="1:3" x14ac:dyDescent="0.2">
      <c r="A873" s="56">
        <f>Final_Dataset!R860</f>
        <v>40582.208333333336</v>
      </c>
      <c r="B873">
        <f t="shared" si="13"/>
        <v>917</v>
      </c>
      <c r="C873">
        <f>Final_Dataset!P860</f>
        <v>2</v>
      </c>
    </row>
    <row r="874" spans="1:3" x14ac:dyDescent="0.2">
      <c r="A874" s="56">
        <f>Final_Dataset!R861</f>
        <v>40582.25</v>
      </c>
      <c r="B874">
        <f t="shared" si="13"/>
        <v>918</v>
      </c>
      <c r="C874">
        <f>Final_Dataset!P861</f>
        <v>39</v>
      </c>
    </row>
    <row r="875" spans="1:3" x14ac:dyDescent="0.2">
      <c r="A875" s="56">
        <f>Final_Dataset!R862</f>
        <v>40582.291666666664</v>
      </c>
      <c r="B875">
        <f t="shared" si="13"/>
        <v>919</v>
      </c>
      <c r="C875">
        <f>Final_Dataset!P862</f>
        <v>100</v>
      </c>
    </row>
    <row r="876" spans="1:3" x14ac:dyDescent="0.2">
      <c r="A876" s="56">
        <f>Final_Dataset!R863</f>
        <v>40582.333333333336</v>
      </c>
      <c r="B876">
        <f t="shared" si="13"/>
        <v>920</v>
      </c>
      <c r="C876">
        <f>Final_Dataset!P863</f>
        <v>243</v>
      </c>
    </row>
    <row r="877" spans="1:3" x14ac:dyDescent="0.2">
      <c r="A877" s="56">
        <f>Final_Dataset!R864</f>
        <v>40582.375</v>
      </c>
      <c r="B877">
        <f t="shared" si="13"/>
        <v>921</v>
      </c>
      <c r="C877">
        <f>Final_Dataset!P864</f>
        <v>135</v>
      </c>
    </row>
    <row r="878" spans="1:3" x14ac:dyDescent="0.2">
      <c r="A878" s="56">
        <f>Final_Dataset!R865</f>
        <v>40582.416666666664</v>
      </c>
      <c r="B878">
        <f t="shared" si="13"/>
        <v>922</v>
      </c>
      <c r="C878">
        <f>Final_Dataset!P865</f>
        <v>48</v>
      </c>
    </row>
    <row r="879" spans="1:3" x14ac:dyDescent="0.2">
      <c r="A879" s="56">
        <f>Final_Dataset!R866</f>
        <v>40582.458333333336</v>
      </c>
      <c r="B879">
        <f t="shared" si="13"/>
        <v>923</v>
      </c>
      <c r="C879">
        <f>Final_Dataset!P866</f>
        <v>50</v>
      </c>
    </row>
    <row r="880" spans="1:3" x14ac:dyDescent="0.2">
      <c r="A880" s="56">
        <f>Final_Dataset!R867</f>
        <v>40582.5</v>
      </c>
      <c r="B880">
        <f t="shared" si="13"/>
        <v>924</v>
      </c>
      <c r="C880">
        <f>Final_Dataset!P867</f>
        <v>65</v>
      </c>
    </row>
    <row r="881" spans="1:3" x14ac:dyDescent="0.2">
      <c r="A881" s="56">
        <f>Final_Dataset!R868</f>
        <v>40582.541666666664</v>
      </c>
      <c r="B881">
        <f t="shared" si="13"/>
        <v>925</v>
      </c>
      <c r="C881">
        <f>Final_Dataset!P868</f>
        <v>50</v>
      </c>
    </row>
    <row r="882" spans="1:3" x14ac:dyDescent="0.2">
      <c r="A882" s="56">
        <f>Final_Dataset!R869</f>
        <v>40582.583333333336</v>
      </c>
      <c r="B882">
        <f t="shared" si="13"/>
        <v>926</v>
      </c>
      <c r="C882">
        <f>Final_Dataset!P869</f>
        <v>64</v>
      </c>
    </row>
    <row r="883" spans="1:3" x14ac:dyDescent="0.2">
      <c r="A883" s="56">
        <f>Final_Dataset!R870</f>
        <v>40582.625</v>
      </c>
      <c r="B883">
        <f t="shared" si="13"/>
        <v>927</v>
      </c>
      <c r="C883">
        <f>Final_Dataset!P870</f>
        <v>51</v>
      </c>
    </row>
    <row r="884" spans="1:3" x14ac:dyDescent="0.2">
      <c r="A884" s="56">
        <f>Final_Dataset!R871</f>
        <v>40582.666666666664</v>
      </c>
      <c r="B884">
        <f t="shared" si="13"/>
        <v>928</v>
      </c>
      <c r="C884">
        <f>Final_Dataset!P871</f>
        <v>83</v>
      </c>
    </row>
    <row r="885" spans="1:3" x14ac:dyDescent="0.2">
      <c r="A885" s="56">
        <f>Final_Dataset!R872</f>
        <v>40582.708333333336</v>
      </c>
      <c r="B885">
        <f t="shared" si="13"/>
        <v>929</v>
      </c>
      <c r="C885">
        <f>Final_Dataset!P872</f>
        <v>176</v>
      </c>
    </row>
    <row r="886" spans="1:3" x14ac:dyDescent="0.2">
      <c r="A886" s="56">
        <f>Final_Dataset!R873</f>
        <v>40582.75</v>
      </c>
      <c r="B886">
        <f t="shared" si="13"/>
        <v>930</v>
      </c>
      <c r="C886">
        <f>Final_Dataset!P873</f>
        <v>152</v>
      </c>
    </row>
    <row r="887" spans="1:3" x14ac:dyDescent="0.2">
      <c r="A887" s="56">
        <f>Final_Dataset!R874</f>
        <v>40582.791666666664</v>
      </c>
      <c r="B887">
        <f t="shared" si="13"/>
        <v>931</v>
      </c>
      <c r="C887">
        <f>Final_Dataset!P874</f>
        <v>101</v>
      </c>
    </row>
    <row r="888" spans="1:3" x14ac:dyDescent="0.2">
      <c r="A888" s="56">
        <f>Final_Dataset!R875</f>
        <v>40582.833333333336</v>
      </c>
      <c r="B888">
        <f t="shared" si="13"/>
        <v>932</v>
      </c>
      <c r="C888">
        <f>Final_Dataset!P875</f>
        <v>56</v>
      </c>
    </row>
    <row r="889" spans="1:3" x14ac:dyDescent="0.2">
      <c r="A889" s="56">
        <f>Final_Dataset!R876</f>
        <v>40582.875</v>
      </c>
      <c r="B889">
        <f t="shared" si="13"/>
        <v>933</v>
      </c>
      <c r="C889">
        <f>Final_Dataset!P876</f>
        <v>54</v>
      </c>
    </row>
    <row r="890" spans="1:3" x14ac:dyDescent="0.2">
      <c r="A890" s="56">
        <f>Final_Dataset!R877</f>
        <v>40582.916666666664</v>
      </c>
      <c r="B890">
        <f t="shared" si="13"/>
        <v>934</v>
      </c>
      <c r="C890">
        <f>Final_Dataset!P877</f>
        <v>29</v>
      </c>
    </row>
    <row r="891" spans="1:3" x14ac:dyDescent="0.2">
      <c r="A891" s="56">
        <f>Final_Dataset!R878</f>
        <v>40582.958333333336</v>
      </c>
      <c r="B891">
        <f t="shared" si="13"/>
        <v>935</v>
      </c>
      <c r="C891">
        <f>Final_Dataset!P878</f>
        <v>12</v>
      </c>
    </row>
    <row r="892" spans="1:3" x14ac:dyDescent="0.2">
      <c r="A892" s="56">
        <f>Final_Dataset!R879</f>
        <v>40583</v>
      </c>
      <c r="B892">
        <f t="shared" si="13"/>
        <v>936</v>
      </c>
      <c r="C892">
        <f>Final_Dataset!P879</f>
        <v>17</v>
      </c>
    </row>
    <row r="893" spans="1:3" x14ac:dyDescent="0.2">
      <c r="A893" s="56">
        <f>Final_Dataset!R880</f>
        <v>40583.041666666664</v>
      </c>
      <c r="B893">
        <f t="shared" si="13"/>
        <v>937</v>
      </c>
      <c r="C893">
        <f>Final_Dataset!P880</f>
        <v>7</v>
      </c>
    </row>
    <row r="894" spans="1:3" x14ac:dyDescent="0.2">
      <c r="A894" s="56">
        <f>Final_Dataset!R881</f>
        <v>40583.083333333336</v>
      </c>
      <c r="B894">
        <f t="shared" si="13"/>
        <v>938</v>
      </c>
      <c r="C894">
        <f>Final_Dataset!P881</f>
        <v>3</v>
      </c>
    </row>
    <row r="895" spans="1:3" x14ac:dyDescent="0.2">
      <c r="A895" s="56">
        <f>Final_Dataset!R882</f>
        <v>40583.125</v>
      </c>
      <c r="B895">
        <f t="shared" si="13"/>
        <v>939</v>
      </c>
      <c r="C895">
        <f>Final_Dataset!P882</f>
        <v>2</v>
      </c>
    </row>
    <row r="896" spans="1:3" x14ac:dyDescent="0.2">
      <c r="A896" s="56">
        <f>Final_Dataset!R883</f>
        <v>40583.208333333336</v>
      </c>
      <c r="B896">
        <f t="shared" si="13"/>
        <v>941</v>
      </c>
      <c r="C896">
        <f>Final_Dataset!P883</f>
        <v>7</v>
      </c>
    </row>
    <row r="897" spans="1:3" x14ac:dyDescent="0.2">
      <c r="A897" s="56">
        <f>Final_Dataset!R884</f>
        <v>40583.25</v>
      </c>
      <c r="B897">
        <f t="shared" si="13"/>
        <v>942</v>
      </c>
      <c r="C897">
        <f>Final_Dataset!P884</f>
        <v>43</v>
      </c>
    </row>
    <row r="898" spans="1:3" x14ac:dyDescent="0.2">
      <c r="A898" s="56">
        <f>Final_Dataset!R885</f>
        <v>40583.291666666664</v>
      </c>
      <c r="B898">
        <f t="shared" si="13"/>
        <v>943</v>
      </c>
      <c r="C898">
        <f>Final_Dataset!P885</f>
        <v>99</v>
      </c>
    </row>
    <row r="899" spans="1:3" x14ac:dyDescent="0.2">
      <c r="A899" s="56">
        <f>Final_Dataset!R886</f>
        <v>40583.333333333336</v>
      </c>
      <c r="B899">
        <f t="shared" si="13"/>
        <v>944</v>
      </c>
      <c r="C899">
        <f>Final_Dataset!P886</f>
        <v>199</v>
      </c>
    </row>
    <row r="900" spans="1:3" x14ac:dyDescent="0.2">
      <c r="A900" s="56">
        <f>Final_Dataset!R887</f>
        <v>40583.375</v>
      </c>
      <c r="B900">
        <f t="shared" si="13"/>
        <v>945</v>
      </c>
      <c r="C900">
        <f>Final_Dataset!P887</f>
        <v>123</v>
      </c>
    </row>
    <row r="901" spans="1:3" x14ac:dyDescent="0.2">
      <c r="A901" s="56">
        <f>Final_Dataset!R888</f>
        <v>40583.416666666664</v>
      </c>
      <c r="B901">
        <f t="shared" si="13"/>
        <v>946</v>
      </c>
      <c r="C901">
        <f>Final_Dataset!P888</f>
        <v>59</v>
      </c>
    </row>
    <row r="902" spans="1:3" x14ac:dyDescent="0.2">
      <c r="A902" s="56">
        <f>Final_Dataset!R889</f>
        <v>40583.458333333336</v>
      </c>
      <c r="B902">
        <f t="shared" si="13"/>
        <v>947</v>
      </c>
      <c r="C902">
        <f>Final_Dataset!P889</f>
        <v>41</v>
      </c>
    </row>
    <row r="903" spans="1:3" x14ac:dyDescent="0.2">
      <c r="A903" s="56">
        <f>Final_Dataset!R890</f>
        <v>40583.5</v>
      </c>
      <c r="B903">
        <f t="shared" si="13"/>
        <v>948</v>
      </c>
      <c r="C903">
        <f>Final_Dataset!P890</f>
        <v>61</v>
      </c>
    </row>
    <row r="904" spans="1:3" x14ac:dyDescent="0.2">
      <c r="A904" s="56">
        <f>Final_Dataset!R891</f>
        <v>40583.541666666664</v>
      </c>
      <c r="B904">
        <f t="shared" si="13"/>
        <v>949</v>
      </c>
      <c r="C904">
        <f>Final_Dataset!P891</f>
        <v>69</v>
      </c>
    </row>
    <row r="905" spans="1:3" x14ac:dyDescent="0.2">
      <c r="A905" s="56">
        <f>Final_Dataset!R892</f>
        <v>40583.583333333336</v>
      </c>
      <c r="B905">
        <f t="shared" si="13"/>
        <v>950</v>
      </c>
      <c r="C905">
        <f>Final_Dataset!P892</f>
        <v>58</v>
      </c>
    </row>
    <row r="906" spans="1:3" x14ac:dyDescent="0.2">
      <c r="A906" s="56">
        <f>Final_Dataset!R893</f>
        <v>40583.625</v>
      </c>
      <c r="B906">
        <f t="shared" si="13"/>
        <v>951</v>
      </c>
      <c r="C906">
        <f>Final_Dataset!P893</f>
        <v>64</v>
      </c>
    </row>
    <row r="907" spans="1:3" x14ac:dyDescent="0.2">
      <c r="A907" s="56">
        <f>Final_Dataset!R894</f>
        <v>40583.666666666664</v>
      </c>
      <c r="B907">
        <f t="shared" si="13"/>
        <v>952</v>
      </c>
      <c r="C907">
        <f>Final_Dataset!P894</f>
        <v>79</v>
      </c>
    </row>
    <row r="908" spans="1:3" x14ac:dyDescent="0.2">
      <c r="A908" s="56">
        <f>Final_Dataset!R895</f>
        <v>40583.708333333336</v>
      </c>
      <c r="B908">
        <f t="shared" si="13"/>
        <v>953</v>
      </c>
      <c r="C908">
        <f>Final_Dataset!P895</f>
        <v>166</v>
      </c>
    </row>
    <row r="909" spans="1:3" x14ac:dyDescent="0.2">
      <c r="A909" s="56">
        <f>Final_Dataset!R896</f>
        <v>40583.75</v>
      </c>
      <c r="B909">
        <f t="shared" si="13"/>
        <v>954</v>
      </c>
      <c r="C909">
        <f>Final_Dataset!P896</f>
        <v>170</v>
      </c>
    </row>
    <row r="910" spans="1:3" x14ac:dyDescent="0.2">
      <c r="A910" s="56">
        <f>Final_Dataset!R897</f>
        <v>40583.791666666664</v>
      </c>
      <c r="B910">
        <f t="shared" si="13"/>
        <v>955</v>
      </c>
      <c r="C910">
        <f>Final_Dataset!P897</f>
        <v>88</v>
      </c>
    </row>
    <row r="911" spans="1:3" x14ac:dyDescent="0.2">
      <c r="A911" s="56">
        <f>Final_Dataset!R898</f>
        <v>40583.833333333336</v>
      </c>
      <c r="B911">
        <f t="shared" ref="B911:B974" si="14">ROUND((A911-$A$15)*24,0)</f>
        <v>956</v>
      </c>
      <c r="C911">
        <f>Final_Dataset!P898</f>
        <v>84</v>
      </c>
    </row>
    <row r="912" spans="1:3" x14ac:dyDescent="0.2">
      <c r="A912" s="56">
        <f>Final_Dataset!R899</f>
        <v>40583.875</v>
      </c>
      <c r="B912">
        <f t="shared" si="14"/>
        <v>957</v>
      </c>
      <c r="C912">
        <f>Final_Dataset!P899</f>
        <v>83</v>
      </c>
    </row>
    <row r="913" spans="1:3" x14ac:dyDescent="0.2">
      <c r="A913" s="56">
        <f>Final_Dataset!R900</f>
        <v>40583.916666666664</v>
      </c>
      <c r="B913">
        <f t="shared" si="14"/>
        <v>958</v>
      </c>
      <c r="C913">
        <f>Final_Dataset!P900</f>
        <v>46</v>
      </c>
    </row>
    <row r="914" spans="1:3" x14ac:dyDescent="0.2">
      <c r="A914" s="56">
        <f>Final_Dataset!R901</f>
        <v>40583.958333333336</v>
      </c>
      <c r="B914">
        <f t="shared" si="14"/>
        <v>959</v>
      </c>
      <c r="C914">
        <f>Final_Dataset!P901</f>
        <v>37</v>
      </c>
    </row>
    <row r="915" spans="1:3" x14ac:dyDescent="0.2">
      <c r="A915" s="56">
        <f>Final_Dataset!R902</f>
        <v>40584</v>
      </c>
      <c r="B915">
        <f t="shared" si="14"/>
        <v>960</v>
      </c>
      <c r="C915">
        <f>Final_Dataset!P902</f>
        <v>16</v>
      </c>
    </row>
    <row r="916" spans="1:3" x14ac:dyDescent="0.2">
      <c r="A916" s="56">
        <f>Final_Dataset!R903</f>
        <v>40584.041666666664</v>
      </c>
      <c r="B916">
        <f t="shared" si="14"/>
        <v>961</v>
      </c>
      <c r="C916">
        <f>Final_Dataset!P903</f>
        <v>7</v>
      </c>
    </row>
    <row r="917" spans="1:3" x14ac:dyDescent="0.2">
      <c r="A917" s="56">
        <f>Final_Dataset!R904</f>
        <v>40584.083333333336</v>
      </c>
      <c r="B917">
        <f t="shared" si="14"/>
        <v>962</v>
      </c>
      <c r="C917">
        <f>Final_Dataset!P904</f>
        <v>3</v>
      </c>
    </row>
    <row r="918" spans="1:3" x14ac:dyDescent="0.2">
      <c r="A918" s="56">
        <f>Final_Dataset!R905</f>
        <v>40584.166666666664</v>
      </c>
      <c r="B918">
        <f t="shared" si="14"/>
        <v>964</v>
      </c>
      <c r="C918">
        <f>Final_Dataset!P905</f>
        <v>1</v>
      </c>
    </row>
    <row r="919" spans="1:3" x14ac:dyDescent="0.2">
      <c r="A919" s="56">
        <f>Final_Dataset!R906</f>
        <v>40584.208333333336</v>
      </c>
      <c r="B919">
        <f t="shared" si="14"/>
        <v>965</v>
      </c>
      <c r="C919">
        <f>Final_Dataset!P906</f>
        <v>6</v>
      </c>
    </row>
    <row r="920" spans="1:3" x14ac:dyDescent="0.2">
      <c r="A920" s="56">
        <f>Final_Dataset!R907</f>
        <v>40584.25</v>
      </c>
      <c r="B920">
        <f t="shared" si="14"/>
        <v>966</v>
      </c>
      <c r="C920">
        <f>Final_Dataset!P907</f>
        <v>26</v>
      </c>
    </row>
    <row r="921" spans="1:3" x14ac:dyDescent="0.2">
      <c r="A921" s="56">
        <f>Final_Dataset!R908</f>
        <v>40584.291666666664</v>
      </c>
      <c r="B921">
        <f t="shared" si="14"/>
        <v>967</v>
      </c>
      <c r="C921">
        <f>Final_Dataset!P908</f>
        <v>99</v>
      </c>
    </row>
    <row r="922" spans="1:3" x14ac:dyDescent="0.2">
      <c r="A922" s="56">
        <f>Final_Dataset!R909</f>
        <v>40584.333333333336</v>
      </c>
      <c r="B922">
        <f t="shared" si="14"/>
        <v>968</v>
      </c>
      <c r="C922">
        <f>Final_Dataset!P909</f>
        <v>178</v>
      </c>
    </row>
    <row r="923" spans="1:3" x14ac:dyDescent="0.2">
      <c r="A923" s="56">
        <f>Final_Dataset!R910</f>
        <v>40584.375</v>
      </c>
      <c r="B923">
        <f t="shared" si="14"/>
        <v>969</v>
      </c>
      <c r="C923">
        <f>Final_Dataset!P910</f>
        <v>122</v>
      </c>
    </row>
    <row r="924" spans="1:3" x14ac:dyDescent="0.2">
      <c r="A924" s="56">
        <f>Final_Dataset!R911</f>
        <v>40584.416666666664</v>
      </c>
      <c r="B924">
        <f t="shared" si="14"/>
        <v>970</v>
      </c>
      <c r="C924">
        <f>Final_Dataset!P911</f>
        <v>35</v>
      </c>
    </row>
    <row r="925" spans="1:3" x14ac:dyDescent="0.2">
      <c r="A925" s="56">
        <f>Final_Dataset!R912</f>
        <v>40584.458333333336</v>
      </c>
      <c r="B925">
        <f t="shared" si="14"/>
        <v>971</v>
      </c>
      <c r="C925">
        <f>Final_Dataset!P912</f>
        <v>45</v>
      </c>
    </row>
    <row r="926" spans="1:3" x14ac:dyDescent="0.2">
      <c r="A926" s="56">
        <f>Final_Dataset!R913</f>
        <v>40584.5</v>
      </c>
      <c r="B926">
        <f t="shared" si="14"/>
        <v>972</v>
      </c>
      <c r="C926">
        <f>Final_Dataset!P913</f>
        <v>69</v>
      </c>
    </row>
    <row r="927" spans="1:3" x14ac:dyDescent="0.2">
      <c r="A927" s="56">
        <f>Final_Dataset!R914</f>
        <v>40584.541666666664</v>
      </c>
      <c r="B927">
        <f t="shared" si="14"/>
        <v>973</v>
      </c>
      <c r="C927">
        <f>Final_Dataset!P914</f>
        <v>62</v>
      </c>
    </row>
    <row r="928" spans="1:3" x14ac:dyDescent="0.2">
      <c r="A928" s="56">
        <f>Final_Dataset!R915</f>
        <v>40584.583333333336</v>
      </c>
      <c r="B928">
        <f t="shared" si="14"/>
        <v>974</v>
      </c>
      <c r="C928">
        <f>Final_Dataset!P915</f>
        <v>48</v>
      </c>
    </row>
    <row r="929" spans="1:3" x14ac:dyDescent="0.2">
      <c r="A929" s="56">
        <f>Final_Dataset!R916</f>
        <v>40584.625</v>
      </c>
      <c r="B929">
        <f t="shared" si="14"/>
        <v>975</v>
      </c>
      <c r="C929">
        <f>Final_Dataset!P916</f>
        <v>50</v>
      </c>
    </row>
    <row r="930" spans="1:3" x14ac:dyDescent="0.2">
      <c r="A930" s="56">
        <f>Final_Dataset!R917</f>
        <v>40584.666666666664</v>
      </c>
      <c r="B930">
        <f t="shared" si="14"/>
        <v>976</v>
      </c>
      <c r="C930">
        <f>Final_Dataset!P917</f>
        <v>80</v>
      </c>
    </row>
    <row r="931" spans="1:3" x14ac:dyDescent="0.2">
      <c r="A931" s="56">
        <f>Final_Dataset!R918</f>
        <v>40584.708333333336</v>
      </c>
      <c r="B931">
        <f t="shared" si="14"/>
        <v>977</v>
      </c>
      <c r="C931">
        <f>Final_Dataset!P918</f>
        <v>165</v>
      </c>
    </row>
    <row r="932" spans="1:3" x14ac:dyDescent="0.2">
      <c r="A932" s="56">
        <f>Final_Dataset!R919</f>
        <v>40584.75</v>
      </c>
      <c r="B932">
        <f t="shared" si="14"/>
        <v>978</v>
      </c>
      <c r="C932">
        <f>Final_Dataset!P919</f>
        <v>160</v>
      </c>
    </row>
    <row r="933" spans="1:3" x14ac:dyDescent="0.2">
      <c r="A933" s="56">
        <f>Final_Dataset!R920</f>
        <v>40584.791666666664</v>
      </c>
      <c r="B933">
        <f t="shared" si="14"/>
        <v>979</v>
      </c>
      <c r="C933">
        <f>Final_Dataset!P920</f>
        <v>112</v>
      </c>
    </row>
    <row r="934" spans="1:3" x14ac:dyDescent="0.2">
      <c r="A934" s="56">
        <f>Final_Dataset!R921</f>
        <v>40584.833333333336</v>
      </c>
      <c r="B934">
        <f t="shared" si="14"/>
        <v>980</v>
      </c>
      <c r="C934">
        <f>Final_Dataset!P921</f>
        <v>97</v>
      </c>
    </row>
    <row r="935" spans="1:3" x14ac:dyDescent="0.2">
      <c r="A935" s="56">
        <f>Final_Dataset!R922</f>
        <v>40584.875</v>
      </c>
      <c r="B935">
        <f t="shared" si="14"/>
        <v>981</v>
      </c>
      <c r="C935">
        <f>Final_Dataset!P922</f>
        <v>72</v>
      </c>
    </row>
    <row r="936" spans="1:3" x14ac:dyDescent="0.2">
      <c r="A936" s="56">
        <f>Final_Dataset!R923</f>
        <v>40584.916666666664</v>
      </c>
      <c r="B936">
        <f t="shared" si="14"/>
        <v>982</v>
      </c>
      <c r="C936">
        <f>Final_Dataset!P923</f>
        <v>51</v>
      </c>
    </row>
    <row r="937" spans="1:3" x14ac:dyDescent="0.2">
      <c r="A937" s="56">
        <f>Final_Dataset!R924</f>
        <v>40584.958333333336</v>
      </c>
      <c r="B937">
        <f t="shared" si="14"/>
        <v>983</v>
      </c>
      <c r="C937">
        <f>Final_Dataset!P924</f>
        <v>34</v>
      </c>
    </row>
    <row r="938" spans="1:3" x14ac:dyDescent="0.2">
      <c r="A938" s="56">
        <f>Final_Dataset!R925</f>
        <v>40585</v>
      </c>
      <c r="B938">
        <f t="shared" si="14"/>
        <v>984</v>
      </c>
      <c r="C938">
        <f>Final_Dataset!P925</f>
        <v>14</v>
      </c>
    </row>
    <row r="939" spans="1:3" x14ac:dyDescent="0.2">
      <c r="A939" s="56">
        <f>Final_Dataset!R926</f>
        <v>40585.041666666664</v>
      </c>
      <c r="B939">
        <f t="shared" si="14"/>
        <v>985</v>
      </c>
      <c r="C939">
        <f>Final_Dataset!P926</f>
        <v>7</v>
      </c>
    </row>
    <row r="940" spans="1:3" x14ac:dyDescent="0.2">
      <c r="A940" s="56">
        <f>Final_Dataset!R927</f>
        <v>40585.083333333336</v>
      </c>
      <c r="B940">
        <f t="shared" si="14"/>
        <v>986</v>
      </c>
      <c r="C940">
        <f>Final_Dataset!P927</f>
        <v>3</v>
      </c>
    </row>
    <row r="941" spans="1:3" x14ac:dyDescent="0.2">
      <c r="A941" s="56">
        <f>Final_Dataset!R928</f>
        <v>40585.208333333336</v>
      </c>
      <c r="B941">
        <f t="shared" si="14"/>
        <v>989</v>
      </c>
      <c r="C941">
        <f>Final_Dataset!P928</f>
        <v>4</v>
      </c>
    </row>
    <row r="942" spans="1:3" x14ac:dyDescent="0.2">
      <c r="A942" s="56">
        <f>Final_Dataset!R929</f>
        <v>40585.25</v>
      </c>
      <c r="B942">
        <f t="shared" si="14"/>
        <v>990</v>
      </c>
      <c r="C942">
        <f>Final_Dataset!P929</f>
        <v>24</v>
      </c>
    </row>
    <row r="943" spans="1:3" x14ac:dyDescent="0.2">
      <c r="A943" s="56">
        <f>Final_Dataset!R930</f>
        <v>40585.291666666664</v>
      </c>
      <c r="B943">
        <f t="shared" si="14"/>
        <v>991</v>
      </c>
      <c r="C943">
        <f>Final_Dataset!P930</f>
        <v>74</v>
      </c>
    </row>
    <row r="944" spans="1:3" x14ac:dyDescent="0.2">
      <c r="A944" s="56">
        <f>Final_Dataset!R931</f>
        <v>40585.333333333336</v>
      </c>
      <c r="B944">
        <f t="shared" si="14"/>
        <v>992</v>
      </c>
      <c r="C944">
        <f>Final_Dataset!P931</f>
        <v>216</v>
      </c>
    </row>
    <row r="945" spans="1:3" x14ac:dyDescent="0.2">
      <c r="A945" s="56">
        <f>Final_Dataset!R932</f>
        <v>40585.375</v>
      </c>
      <c r="B945">
        <f t="shared" si="14"/>
        <v>993</v>
      </c>
      <c r="C945">
        <f>Final_Dataset!P932</f>
        <v>140</v>
      </c>
    </row>
    <row r="946" spans="1:3" x14ac:dyDescent="0.2">
      <c r="A946" s="56">
        <f>Final_Dataset!R933</f>
        <v>40585.416666666664</v>
      </c>
      <c r="B946">
        <f t="shared" si="14"/>
        <v>994</v>
      </c>
      <c r="C946">
        <f>Final_Dataset!P933</f>
        <v>44</v>
      </c>
    </row>
    <row r="947" spans="1:3" x14ac:dyDescent="0.2">
      <c r="A947" s="56">
        <f>Final_Dataset!R934</f>
        <v>40585.458333333336</v>
      </c>
      <c r="B947">
        <f t="shared" si="14"/>
        <v>995</v>
      </c>
      <c r="C947">
        <f>Final_Dataset!P934</f>
        <v>64</v>
      </c>
    </row>
    <row r="948" spans="1:3" x14ac:dyDescent="0.2">
      <c r="A948" s="56">
        <f>Final_Dataset!R935</f>
        <v>40585.5</v>
      </c>
      <c r="B948">
        <f t="shared" si="14"/>
        <v>996</v>
      </c>
      <c r="C948">
        <f>Final_Dataset!P935</f>
        <v>71</v>
      </c>
    </row>
    <row r="949" spans="1:3" x14ac:dyDescent="0.2">
      <c r="A949" s="56">
        <f>Final_Dataset!R936</f>
        <v>40585.541666666664</v>
      </c>
      <c r="B949">
        <f t="shared" si="14"/>
        <v>997</v>
      </c>
      <c r="C949">
        <f>Final_Dataset!P936</f>
        <v>110</v>
      </c>
    </row>
    <row r="950" spans="1:3" x14ac:dyDescent="0.2">
      <c r="A950" s="56">
        <f>Final_Dataset!R937</f>
        <v>40585.583333333336</v>
      </c>
      <c r="B950">
        <f t="shared" si="14"/>
        <v>998</v>
      </c>
      <c r="C950">
        <f>Final_Dataset!P937</f>
        <v>84</v>
      </c>
    </row>
    <row r="951" spans="1:3" x14ac:dyDescent="0.2">
      <c r="A951" s="56">
        <f>Final_Dataset!R938</f>
        <v>40585.625</v>
      </c>
      <c r="B951">
        <f t="shared" si="14"/>
        <v>999</v>
      </c>
      <c r="C951">
        <f>Final_Dataset!P938</f>
        <v>74</v>
      </c>
    </row>
    <row r="952" spans="1:3" x14ac:dyDescent="0.2">
      <c r="A952" s="56">
        <f>Final_Dataset!R939</f>
        <v>40585.666666666664</v>
      </c>
      <c r="B952">
        <f t="shared" si="14"/>
        <v>1000</v>
      </c>
      <c r="C952">
        <f>Final_Dataset!P939</f>
        <v>125</v>
      </c>
    </row>
    <row r="953" spans="1:3" x14ac:dyDescent="0.2">
      <c r="A953" s="56">
        <f>Final_Dataset!R940</f>
        <v>40585.708333333336</v>
      </c>
      <c r="B953">
        <f t="shared" si="14"/>
        <v>1001</v>
      </c>
      <c r="C953">
        <f>Final_Dataset!P940</f>
        <v>211</v>
      </c>
    </row>
    <row r="954" spans="1:3" x14ac:dyDescent="0.2">
      <c r="A954" s="56">
        <f>Final_Dataset!R941</f>
        <v>40585.75</v>
      </c>
      <c r="B954">
        <f t="shared" si="14"/>
        <v>1002</v>
      </c>
      <c r="C954">
        <f>Final_Dataset!P941</f>
        <v>174</v>
      </c>
    </row>
    <row r="955" spans="1:3" x14ac:dyDescent="0.2">
      <c r="A955" s="56">
        <f>Final_Dataset!R942</f>
        <v>40585.791666666664</v>
      </c>
      <c r="B955">
        <f t="shared" si="14"/>
        <v>1003</v>
      </c>
      <c r="C955">
        <f>Final_Dataset!P942</f>
        <v>101</v>
      </c>
    </row>
    <row r="956" spans="1:3" x14ac:dyDescent="0.2">
      <c r="A956" s="56">
        <f>Final_Dataset!R943</f>
        <v>40585.833333333336</v>
      </c>
      <c r="B956">
        <f t="shared" si="14"/>
        <v>1004</v>
      </c>
      <c r="C956">
        <f>Final_Dataset!P943</f>
        <v>63</v>
      </c>
    </row>
    <row r="957" spans="1:3" x14ac:dyDescent="0.2">
      <c r="A957" s="56">
        <f>Final_Dataset!R944</f>
        <v>40585.875</v>
      </c>
      <c r="B957">
        <f t="shared" si="14"/>
        <v>1005</v>
      </c>
      <c r="C957">
        <f>Final_Dataset!P944</f>
        <v>47</v>
      </c>
    </row>
    <row r="958" spans="1:3" x14ac:dyDescent="0.2">
      <c r="A958" s="56">
        <f>Final_Dataset!R945</f>
        <v>40585.916666666664</v>
      </c>
      <c r="B958">
        <f t="shared" si="14"/>
        <v>1006</v>
      </c>
      <c r="C958">
        <f>Final_Dataset!P945</f>
        <v>43</v>
      </c>
    </row>
    <row r="959" spans="1:3" x14ac:dyDescent="0.2">
      <c r="A959" s="56">
        <f>Final_Dataset!R946</f>
        <v>40585.958333333336</v>
      </c>
      <c r="B959">
        <f t="shared" si="14"/>
        <v>1007</v>
      </c>
      <c r="C959">
        <f>Final_Dataset!P946</f>
        <v>53</v>
      </c>
    </row>
    <row r="960" spans="1:3" x14ac:dyDescent="0.2">
      <c r="A960" s="56">
        <f>Final_Dataset!R947</f>
        <v>40586</v>
      </c>
      <c r="B960">
        <f t="shared" si="14"/>
        <v>1008</v>
      </c>
      <c r="C960">
        <f>Final_Dataset!P947</f>
        <v>30</v>
      </c>
    </row>
    <row r="961" spans="1:3" x14ac:dyDescent="0.2">
      <c r="A961" s="56">
        <f>Final_Dataset!R948</f>
        <v>40586.041666666664</v>
      </c>
      <c r="B961">
        <f t="shared" si="14"/>
        <v>1009</v>
      </c>
      <c r="C961">
        <f>Final_Dataset!P948</f>
        <v>24</v>
      </c>
    </row>
    <row r="962" spans="1:3" x14ac:dyDescent="0.2">
      <c r="A962" s="56">
        <f>Final_Dataset!R949</f>
        <v>40586.083333333336</v>
      </c>
      <c r="B962">
        <f t="shared" si="14"/>
        <v>1010</v>
      </c>
      <c r="C962">
        <f>Final_Dataset!P949</f>
        <v>15</v>
      </c>
    </row>
    <row r="963" spans="1:3" x14ac:dyDescent="0.2">
      <c r="A963" s="56">
        <f>Final_Dataset!R950</f>
        <v>40586.125</v>
      </c>
      <c r="B963">
        <f t="shared" si="14"/>
        <v>1011</v>
      </c>
      <c r="C963">
        <f>Final_Dataset!P950</f>
        <v>10</v>
      </c>
    </row>
    <row r="964" spans="1:3" x14ac:dyDescent="0.2">
      <c r="A964" s="56">
        <f>Final_Dataset!R951</f>
        <v>40586.166666666664</v>
      </c>
      <c r="B964">
        <f t="shared" si="14"/>
        <v>1012</v>
      </c>
      <c r="C964">
        <f>Final_Dataset!P951</f>
        <v>4</v>
      </c>
    </row>
    <row r="965" spans="1:3" x14ac:dyDescent="0.2">
      <c r="A965" s="56">
        <f>Final_Dataset!R952</f>
        <v>40586.208333333336</v>
      </c>
      <c r="B965">
        <f t="shared" si="14"/>
        <v>1013</v>
      </c>
      <c r="C965">
        <f>Final_Dataset!P952</f>
        <v>1</v>
      </c>
    </row>
    <row r="966" spans="1:3" x14ac:dyDescent="0.2">
      <c r="A966" s="56">
        <f>Final_Dataset!R953</f>
        <v>40586.25</v>
      </c>
      <c r="B966">
        <f t="shared" si="14"/>
        <v>1014</v>
      </c>
      <c r="C966">
        <f>Final_Dataset!P953</f>
        <v>2</v>
      </c>
    </row>
    <row r="967" spans="1:3" x14ac:dyDescent="0.2">
      <c r="A967" s="56">
        <f>Final_Dataset!R954</f>
        <v>40586.291666666664</v>
      </c>
      <c r="B967">
        <f t="shared" si="14"/>
        <v>1015</v>
      </c>
      <c r="C967">
        <f>Final_Dataset!P954</f>
        <v>11</v>
      </c>
    </row>
    <row r="968" spans="1:3" x14ac:dyDescent="0.2">
      <c r="A968" s="56">
        <f>Final_Dataset!R955</f>
        <v>40586.333333333336</v>
      </c>
      <c r="B968">
        <f t="shared" si="14"/>
        <v>1016</v>
      </c>
      <c r="C968">
        <f>Final_Dataset!P955</f>
        <v>30</v>
      </c>
    </row>
    <row r="969" spans="1:3" x14ac:dyDescent="0.2">
      <c r="A969" s="56">
        <f>Final_Dataset!R956</f>
        <v>40586.375</v>
      </c>
      <c r="B969">
        <f t="shared" si="14"/>
        <v>1017</v>
      </c>
      <c r="C969">
        <f>Final_Dataset!P956</f>
        <v>43</v>
      </c>
    </row>
    <row r="970" spans="1:3" x14ac:dyDescent="0.2">
      <c r="A970" s="56">
        <f>Final_Dataset!R957</f>
        <v>40586.416666666664</v>
      </c>
      <c r="B970">
        <f t="shared" si="14"/>
        <v>1018</v>
      </c>
      <c r="C970">
        <f>Final_Dataset!P957</f>
        <v>84</v>
      </c>
    </row>
    <row r="971" spans="1:3" x14ac:dyDescent="0.2">
      <c r="A971" s="56">
        <f>Final_Dataset!R958</f>
        <v>40586.458333333336</v>
      </c>
      <c r="B971">
        <f t="shared" si="14"/>
        <v>1019</v>
      </c>
      <c r="C971">
        <f>Final_Dataset!P958</f>
        <v>114</v>
      </c>
    </row>
    <row r="972" spans="1:3" x14ac:dyDescent="0.2">
      <c r="A972" s="56">
        <f>Final_Dataset!R959</f>
        <v>40586.5</v>
      </c>
      <c r="B972">
        <f t="shared" si="14"/>
        <v>1020</v>
      </c>
      <c r="C972">
        <f>Final_Dataset!P959</f>
        <v>120</v>
      </c>
    </row>
    <row r="973" spans="1:3" x14ac:dyDescent="0.2">
      <c r="A973" s="56">
        <f>Final_Dataset!R960</f>
        <v>40586.541666666664</v>
      </c>
      <c r="B973">
        <f t="shared" si="14"/>
        <v>1021</v>
      </c>
      <c r="C973">
        <f>Final_Dataset!P960</f>
        <v>135</v>
      </c>
    </row>
    <row r="974" spans="1:3" x14ac:dyDescent="0.2">
      <c r="A974" s="56">
        <f>Final_Dataset!R961</f>
        <v>40586.583333333336</v>
      </c>
      <c r="B974">
        <f t="shared" si="14"/>
        <v>1022</v>
      </c>
      <c r="C974">
        <f>Final_Dataset!P961</f>
        <v>120</v>
      </c>
    </row>
    <row r="975" spans="1:3" x14ac:dyDescent="0.2">
      <c r="A975" s="56">
        <f>Final_Dataset!R962</f>
        <v>40586.625</v>
      </c>
      <c r="B975">
        <f t="shared" ref="B975:B1014" si="15">ROUND((A975-$A$15)*24,0)</f>
        <v>1023</v>
      </c>
      <c r="C975">
        <f>Final_Dataset!P962</f>
        <v>174</v>
      </c>
    </row>
    <row r="976" spans="1:3" x14ac:dyDescent="0.2">
      <c r="A976" s="56">
        <f>Final_Dataset!R963</f>
        <v>40586.666666666664</v>
      </c>
      <c r="B976">
        <f t="shared" si="15"/>
        <v>1024</v>
      </c>
      <c r="C976">
        <f>Final_Dataset!P963</f>
        <v>145</v>
      </c>
    </row>
    <row r="977" spans="1:3" x14ac:dyDescent="0.2">
      <c r="A977" s="56">
        <f>Final_Dataset!R964</f>
        <v>40586.708333333336</v>
      </c>
      <c r="B977">
        <f t="shared" si="15"/>
        <v>1025</v>
      </c>
      <c r="C977">
        <f>Final_Dataset!P964</f>
        <v>137</v>
      </c>
    </row>
    <row r="978" spans="1:3" x14ac:dyDescent="0.2">
      <c r="A978" s="56">
        <f>Final_Dataset!R965</f>
        <v>40586.75</v>
      </c>
      <c r="B978">
        <f t="shared" si="15"/>
        <v>1026</v>
      </c>
      <c r="C978">
        <f>Final_Dataset!P965</f>
        <v>64</v>
      </c>
    </row>
    <row r="979" spans="1:3" x14ac:dyDescent="0.2">
      <c r="A979" s="56">
        <f>Final_Dataset!R966</f>
        <v>40586.791666666664</v>
      </c>
      <c r="B979">
        <f t="shared" si="15"/>
        <v>1027</v>
      </c>
      <c r="C979">
        <f>Final_Dataset!P966</f>
        <v>41</v>
      </c>
    </row>
    <row r="980" spans="1:3" x14ac:dyDescent="0.2">
      <c r="A980" s="56">
        <f>Final_Dataset!R967</f>
        <v>40586.833333333336</v>
      </c>
      <c r="B980">
        <f t="shared" si="15"/>
        <v>1028</v>
      </c>
      <c r="C980">
        <f>Final_Dataset!P967</f>
        <v>40</v>
      </c>
    </row>
    <row r="981" spans="1:3" x14ac:dyDescent="0.2">
      <c r="A981" s="56">
        <f>Final_Dataset!R968</f>
        <v>40586.875</v>
      </c>
      <c r="B981">
        <f t="shared" si="15"/>
        <v>1029</v>
      </c>
      <c r="C981">
        <f>Final_Dataset!P968</f>
        <v>51</v>
      </c>
    </row>
    <row r="982" spans="1:3" x14ac:dyDescent="0.2">
      <c r="A982" s="56">
        <f>Final_Dataset!R969</f>
        <v>40586.916666666664</v>
      </c>
      <c r="B982">
        <f t="shared" si="15"/>
        <v>1030</v>
      </c>
      <c r="C982">
        <f>Final_Dataset!P969</f>
        <v>45</v>
      </c>
    </row>
    <row r="983" spans="1:3" x14ac:dyDescent="0.2">
      <c r="A983" s="56">
        <f>Final_Dataset!R970</f>
        <v>40586.958333333336</v>
      </c>
      <c r="B983">
        <f t="shared" si="15"/>
        <v>1031</v>
      </c>
      <c r="C983">
        <f>Final_Dataset!P970</f>
        <v>32</v>
      </c>
    </row>
    <row r="984" spans="1:3" x14ac:dyDescent="0.2">
      <c r="A984" s="56">
        <f>Final_Dataset!R971</f>
        <v>40587</v>
      </c>
      <c r="B984">
        <f t="shared" si="15"/>
        <v>1032</v>
      </c>
      <c r="C984">
        <f>Final_Dataset!P971</f>
        <v>39</v>
      </c>
    </row>
    <row r="985" spans="1:3" x14ac:dyDescent="0.2">
      <c r="A985" s="56">
        <f>Final_Dataset!R972</f>
        <v>40587.041666666664</v>
      </c>
      <c r="B985">
        <f t="shared" si="15"/>
        <v>1033</v>
      </c>
      <c r="C985">
        <f>Final_Dataset!P972</f>
        <v>24</v>
      </c>
    </row>
    <row r="986" spans="1:3" x14ac:dyDescent="0.2">
      <c r="A986" s="56">
        <f>Final_Dataset!R973</f>
        <v>40587.083333333336</v>
      </c>
      <c r="B986">
        <f t="shared" si="15"/>
        <v>1034</v>
      </c>
      <c r="C986">
        <f>Final_Dataset!P973</f>
        <v>20</v>
      </c>
    </row>
    <row r="987" spans="1:3" x14ac:dyDescent="0.2">
      <c r="A987" s="56">
        <f>Final_Dataset!R974</f>
        <v>40587.125</v>
      </c>
      <c r="B987">
        <f t="shared" si="15"/>
        <v>1035</v>
      </c>
      <c r="C987">
        <f>Final_Dataset!P974</f>
        <v>12</v>
      </c>
    </row>
    <row r="988" spans="1:3" x14ac:dyDescent="0.2">
      <c r="A988" s="56">
        <f>Final_Dataset!R975</f>
        <v>40587.166666666664</v>
      </c>
      <c r="B988">
        <f t="shared" si="15"/>
        <v>1036</v>
      </c>
      <c r="C988">
        <f>Final_Dataset!P975</f>
        <v>2</v>
      </c>
    </row>
    <row r="989" spans="1:3" x14ac:dyDescent="0.2">
      <c r="A989" s="56">
        <f>Final_Dataset!R976</f>
        <v>40587.25</v>
      </c>
      <c r="B989">
        <f t="shared" si="15"/>
        <v>1038</v>
      </c>
      <c r="C989">
        <f>Final_Dataset!P976</f>
        <v>5</v>
      </c>
    </row>
    <row r="990" spans="1:3" x14ac:dyDescent="0.2">
      <c r="A990" s="56">
        <f>Final_Dataset!R977</f>
        <v>40587.291666666664</v>
      </c>
      <c r="B990">
        <f t="shared" si="15"/>
        <v>1039</v>
      </c>
      <c r="C990">
        <f>Final_Dataset!P977</f>
        <v>3</v>
      </c>
    </row>
    <row r="991" spans="1:3" x14ac:dyDescent="0.2">
      <c r="A991" s="56">
        <f>Final_Dataset!R978</f>
        <v>40587.333333333336</v>
      </c>
      <c r="B991">
        <f t="shared" si="15"/>
        <v>1040</v>
      </c>
      <c r="C991">
        <f>Final_Dataset!P978</f>
        <v>12</v>
      </c>
    </row>
    <row r="992" spans="1:3" x14ac:dyDescent="0.2">
      <c r="A992" s="56">
        <f>Final_Dataset!R979</f>
        <v>40587.375</v>
      </c>
      <c r="B992">
        <f t="shared" si="15"/>
        <v>1041</v>
      </c>
      <c r="C992">
        <f>Final_Dataset!P979</f>
        <v>47</v>
      </c>
    </row>
    <row r="993" spans="1:3" x14ac:dyDescent="0.2">
      <c r="A993" s="56">
        <f>Final_Dataset!R980</f>
        <v>40587.416666666664</v>
      </c>
      <c r="B993">
        <f t="shared" si="15"/>
        <v>1042</v>
      </c>
      <c r="C993">
        <f>Final_Dataset!P980</f>
        <v>105</v>
      </c>
    </row>
    <row r="994" spans="1:3" x14ac:dyDescent="0.2">
      <c r="A994" s="56">
        <f>Final_Dataset!R981</f>
        <v>40587.458333333336</v>
      </c>
      <c r="B994">
        <f t="shared" si="15"/>
        <v>1043</v>
      </c>
      <c r="C994">
        <f>Final_Dataset!P981</f>
        <v>112</v>
      </c>
    </row>
    <row r="995" spans="1:3" x14ac:dyDescent="0.2">
      <c r="A995" s="56">
        <f>Final_Dataset!R982</f>
        <v>40587.5</v>
      </c>
      <c r="B995">
        <f t="shared" si="15"/>
        <v>1044</v>
      </c>
      <c r="C995">
        <f>Final_Dataset!P982</f>
        <v>152</v>
      </c>
    </row>
    <row r="996" spans="1:3" x14ac:dyDescent="0.2">
      <c r="A996" s="56">
        <f>Final_Dataset!R983</f>
        <v>40587.541666666664</v>
      </c>
      <c r="B996">
        <f t="shared" si="15"/>
        <v>1045</v>
      </c>
      <c r="C996">
        <f>Final_Dataset!P983</f>
        <v>154</v>
      </c>
    </row>
    <row r="997" spans="1:3" x14ac:dyDescent="0.2">
      <c r="A997" s="56">
        <f>Final_Dataset!R984</f>
        <v>40587.583333333336</v>
      </c>
      <c r="B997">
        <f t="shared" si="15"/>
        <v>1046</v>
      </c>
      <c r="C997">
        <f>Final_Dataset!P984</f>
        <v>161</v>
      </c>
    </row>
    <row r="998" spans="1:3" x14ac:dyDescent="0.2">
      <c r="A998" s="56">
        <f>Final_Dataset!R985</f>
        <v>40587.625</v>
      </c>
      <c r="B998">
        <f t="shared" si="15"/>
        <v>1047</v>
      </c>
      <c r="C998">
        <f>Final_Dataset!P985</f>
        <v>162</v>
      </c>
    </row>
    <row r="999" spans="1:3" x14ac:dyDescent="0.2">
      <c r="A999" s="56">
        <f>Final_Dataset!R986</f>
        <v>40587.666666666664</v>
      </c>
      <c r="B999">
        <f t="shared" si="15"/>
        <v>1048</v>
      </c>
      <c r="C999">
        <f>Final_Dataset!P986</f>
        <v>134</v>
      </c>
    </row>
    <row r="1000" spans="1:3" x14ac:dyDescent="0.2">
      <c r="A1000" s="56">
        <f>Final_Dataset!R987</f>
        <v>40587.708333333336</v>
      </c>
      <c r="B1000">
        <f t="shared" si="15"/>
        <v>1049</v>
      </c>
      <c r="C1000">
        <f>Final_Dataset!P987</f>
        <v>125</v>
      </c>
    </row>
    <row r="1001" spans="1:3" x14ac:dyDescent="0.2">
      <c r="A1001" s="56">
        <f>Final_Dataset!R988</f>
        <v>40587.75</v>
      </c>
      <c r="B1001">
        <f t="shared" si="15"/>
        <v>1050</v>
      </c>
      <c r="C1001">
        <f>Final_Dataset!P988</f>
        <v>95</v>
      </c>
    </row>
    <row r="1002" spans="1:3" x14ac:dyDescent="0.2">
      <c r="A1002" s="56">
        <f>Final_Dataset!R989</f>
        <v>40587.791666666664</v>
      </c>
      <c r="B1002">
        <f t="shared" si="15"/>
        <v>1051</v>
      </c>
      <c r="C1002">
        <f>Final_Dataset!P989</f>
        <v>61</v>
      </c>
    </row>
    <row r="1003" spans="1:3" x14ac:dyDescent="0.2">
      <c r="A1003" s="56">
        <f>Final_Dataset!R990</f>
        <v>40587.833333333336</v>
      </c>
      <c r="B1003">
        <f t="shared" si="15"/>
        <v>1052</v>
      </c>
      <c r="C1003">
        <f>Final_Dataset!P990</f>
        <v>47</v>
      </c>
    </row>
    <row r="1004" spans="1:3" x14ac:dyDescent="0.2">
      <c r="A1004" s="56">
        <f>Final_Dataset!R991</f>
        <v>40587.875</v>
      </c>
      <c r="B1004">
        <f t="shared" si="15"/>
        <v>1053</v>
      </c>
      <c r="C1004">
        <f>Final_Dataset!P991</f>
        <v>51</v>
      </c>
    </row>
    <row r="1005" spans="1:3" x14ac:dyDescent="0.2">
      <c r="A1005" s="56">
        <f>Final_Dataset!R992</f>
        <v>40587.916666666664</v>
      </c>
      <c r="B1005">
        <f t="shared" si="15"/>
        <v>1054</v>
      </c>
      <c r="C1005">
        <f>Final_Dataset!P992</f>
        <v>36</v>
      </c>
    </row>
    <row r="1006" spans="1:3" x14ac:dyDescent="0.2">
      <c r="A1006" s="56">
        <f>Final_Dataset!R993</f>
        <v>40587.958333333336</v>
      </c>
      <c r="B1006">
        <f t="shared" si="15"/>
        <v>1055</v>
      </c>
      <c r="C1006">
        <f>Final_Dataset!P993</f>
        <v>30</v>
      </c>
    </row>
    <row r="1007" spans="1:3" x14ac:dyDescent="0.2">
      <c r="A1007" s="56">
        <f>Final_Dataset!R994</f>
        <v>40588</v>
      </c>
      <c r="B1007">
        <f t="shared" si="15"/>
        <v>1056</v>
      </c>
      <c r="C1007">
        <f>Final_Dataset!P994</f>
        <v>11</v>
      </c>
    </row>
    <row r="1008" spans="1:3" x14ac:dyDescent="0.2">
      <c r="A1008" s="56">
        <f>Final_Dataset!R995</f>
        <v>40588.041666666664</v>
      </c>
      <c r="B1008">
        <f t="shared" si="15"/>
        <v>1057</v>
      </c>
      <c r="C1008">
        <f>Final_Dataset!P995</f>
        <v>7</v>
      </c>
    </row>
    <row r="1009" spans="1:6" x14ac:dyDescent="0.2">
      <c r="A1009" s="56">
        <f>Final_Dataset!R996</f>
        <v>40588.083333333336</v>
      </c>
      <c r="B1009">
        <f t="shared" si="15"/>
        <v>1058</v>
      </c>
      <c r="C1009">
        <f>Final_Dataset!P996</f>
        <v>2</v>
      </c>
    </row>
    <row r="1010" spans="1:6" x14ac:dyDescent="0.2">
      <c r="A1010" s="56">
        <f>Final_Dataset!R997</f>
        <v>40588.125</v>
      </c>
      <c r="B1010">
        <f t="shared" si="15"/>
        <v>1059</v>
      </c>
      <c r="C1010">
        <f>Final_Dataset!P997</f>
        <v>2</v>
      </c>
    </row>
    <row r="1011" spans="1:6" x14ac:dyDescent="0.2">
      <c r="A1011" s="56">
        <f>Final_Dataset!R998</f>
        <v>40588.166666666664</v>
      </c>
      <c r="B1011">
        <f t="shared" si="15"/>
        <v>1060</v>
      </c>
      <c r="C1011">
        <f>Final_Dataset!P998</f>
        <v>2</v>
      </c>
    </row>
    <row r="1012" spans="1:6" x14ac:dyDescent="0.2">
      <c r="A1012" s="56">
        <f>Final_Dataset!R999</f>
        <v>40588.208333333336</v>
      </c>
      <c r="B1012">
        <f t="shared" si="15"/>
        <v>1061</v>
      </c>
      <c r="C1012">
        <f>Final_Dataset!P999</f>
        <v>3</v>
      </c>
    </row>
    <row r="1013" spans="1:6" x14ac:dyDescent="0.2">
      <c r="A1013" s="56">
        <f>Final_Dataset!R1000</f>
        <v>40588.25</v>
      </c>
      <c r="B1013">
        <f t="shared" si="15"/>
        <v>1062</v>
      </c>
      <c r="C1013">
        <f>Final_Dataset!P1000</f>
        <v>26</v>
      </c>
    </row>
    <row r="1014" spans="1:6" x14ac:dyDescent="0.2">
      <c r="A1014" s="56">
        <f>Final_Dataset!R1001</f>
        <v>40588.291666666664</v>
      </c>
      <c r="B1014">
        <f t="shared" si="15"/>
        <v>1063</v>
      </c>
      <c r="C1014">
        <f>Final_Dataset!P1001</f>
        <v>98</v>
      </c>
      <c r="D1014">
        <f>C1014</f>
        <v>98</v>
      </c>
    </row>
    <row r="1015" spans="1:6" x14ac:dyDescent="0.2">
      <c r="A1015" s="57">
        <f t="shared" ref="A1015:A1062" si="16">$A$15+B1015/24</f>
        <v>40588.333333333336</v>
      </c>
      <c r="B1015" s="58">
        <f>B1014+1</f>
        <v>1064</v>
      </c>
      <c r="C1015" s="58"/>
      <c r="D1015" s="59">
        <f t="shared" ref="D1015:D1062" si="17">MAX(0,_xlfn.FORECAST.ETS(B1015,$C$15:$C$1014,$B$15:$B$1014,$B$4,$B$6,$B$7))</f>
        <v>167.20089311102609</v>
      </c>
      <c r="E1015" s="59">
        <f t="shared" ref="E1015:E1062" si="18">MAX(0,D1015-_xlfn.FORECAST.ETS.CONFINT(B1015,$C$15:$C$1014,$B$15:$B$1014,$B$5,$B$4,$B$6,$B$7))</f>
        <v>114.78249894067935</v>
      </c>
      <c r="F1015" s="59">
        <f t="shared" ref="F1015:F1062" si="19">D1015+_xlfn.FORECAST.ETS.CONFINT(B1015,$C$15:$C$1014,$B$15:$B$1014,$B$5,$B$4,$B$6,$B$7)</f>
        <v>219.61928728137283</v>
      </c>
    </row>
    <row r="1016" spans="1:6" x14ac:dyDescent="0.2">
      <c r="A1016" s="57">
        <f t="shared" si="16"/>
        <v>40588.375</v>
      </c>
      <c r="B1016" s="58">
        <f>B1014+2</f>
        <v>1065</v>
      </c>
      <c r="C1016" s="58"/>
      <c r="D1016" s="59">
        <f t="shared" si="17"/>
        <v>129.76592301214188</v>
      </c>
      <c r="E1016" s="59">
        <f t="shared" si="18"/>
        <v>59.209109365524768</v>
      </c>
      <c r="F1016" s="59">
        <f t="shared" si="19"/>
        <v>200.322736658759</v>
      </c>
    </row>
    <row r="1017" spans="1:6" x14ac:dyDescent="0.2">
      <c r="A1017" s="57">
        <f t="shared" si="16"/>
        <v>40588.416666666664</v>
      </c>
      <c r="B1017" s="58">
        <f>B1014+3</f>
        <v>1066</v>
      </c>
      <c r="C1017" s="58"/>
      <c r="D1017" s="59">
        <f t="shared" si="17"/>
        <v>91.433803928289763</v>
      </c>
      <c r="E1017" s="59">
        <f t="shared" si="18"/>
        <v>6.4997475193407865</v>
      </c>
      <c r="F1017" s="59">
        <f t="shared" si="19"/>
        <v>176.36786033723874</v>
      </c>
    </row>
    <row r="1018" spans="1:6" x14ac:dyDescent="0.2">
      <c r="A1018" s="57">
        <f t="shared" si="16"/>
        <v>40588.458333333336</v>
      </c>
      <c r="B1018" s="58">
        <f>B1014+4</f>
        <v>1067</v>
      </c>
      <c r="C1018" s="58"/>
      <c r="D1018" s="59">
        <f t="shared" si="17"/>
        <v>92.871566369865207</v>
      </c>
      <c r="E1018" s="59">
        <f t="shared" si="18"/>
        <v>0</v>
      </c>
      <c r="F1018" s="59">
        <f t="shared" si="19"/>
        <v>190.10470630229338</v>
      </c>
    </row>
    <row r="1019" spans="1:6" x14ac:dyDescent="0.2">
      <c r="A1019" s="57">
        <f t="shared" si="16"/>
        <v>40588.5</v>
      </c>
      <c r="B1019" s="58">
        <f>B1014+5</f>
        <v>1068</v>
      </c>
      <c r="C1019" s="58"/>
      <c r="D1019" s="59">
        <f t="shared" si="17"/>
        <v>110.35799174770366</v>
      </c>
      <c r="E1019" s="59">
        <f t="shared" si="18"/>
        <v>2.1926639551923301</v>
      </c>
      <c r="F1019" s="59">
        <f t="shared" si="19"/>
        <v>218.523319540215</v>
      </c>
    </row>
    <row r="1020" spans="1:6" x14ac:dyDescent="0.2">
      <c r="A1020" s="57">
        <f t="shared" si="16"/>
        <v>40588.541666666664</v>
      </c>
      <c r="B1020" s="58">
        <f>B1014+6</f>
        <v>1069</v>
      </c>
      <c r="C1020" s="58"/>
      <c r="D1020" s="59">
        <f t="shared" si="17"/>
        <v>113.2337210396345</v>
      </c>
      <c r="E1020" s="59">
        <f t="shared" si="18"/>
        <v>0</v>
      </c>
      <c r="F1020" s="59">
        <f t="shared" si="19"/>
        <v>231.3445306189505</v>
      </c>
    </row>
    <row r="1021" spans="1:6" x14ac:dyDescent="0.2">
      <c r="A1021" s="57">
        <f t="shared" si="16"/>
        <v>40588.583333333336</v>
      </c>
      <c r="B1021" s="58">
        <f>B1014+7</f>
        <v>1070</v>
      </c>
      <c r="C1021" s="58"/>
      <c r="D1021" s="59">
        <f t="shared" si="17"/>
        <v>108.1067032698913</v>
      </c>
      <c r="E1021" s="59">
        <f t="shared" si="18"/>
        <v>0</v>
      </c>
      <c r="F1021" s="59">
        <f t="shared" si="19"/>
        <v>235.40778184173726</v>
      </c>
    </row>
    <row r="1022" spans="1:6" x14ac:dyDescent="0.2">
      <c r="A1022" s="57">
        <f t="shared" si="16"/>
        <v>40588.625</v>
      </c>
      <c r="B1022" s="58">
        <f>B1014+8</f>
        <v>1071</v>
      </c>
      <c r="C1022" s="58"/>
      <c r="D1022" s="59">
        <f t="shared" si="17"/>
        <v>119.50266870668136</v>
      </c>
      <c r="E1022" s="59">
        <f t="shared" si="18"/>
        <v>0</v>
      </c>
      <c r="F1022" s="59">
        <f t="shared" si="19"/>
        <v>255.39213640031494</v>
      </c>
    </row>
    <row r="1023" spans="1:6" x14ac:dyDescent="0.2">
      <c r="A1023" s="57">
        <f t="shared" si="16"/>
        <v>40588.666666666664</v>
      </c>
      <c r="B1023" s="58">
        <f>B1014+9</f>
        <v>1072</v>
      </c>
      <c r="C1023" s="58"/>
      <c r="D1023" s="59">
        <f t="shared" si="17"/>
        <v>133.49788969523826</v>
      </c>
      <c r="E1023" s="59">
        <f t="shared" si="18"/>
        <v>0</v>
      </c>
      <c r="F1023" s="59">
        <f t="shared" si="19"/>
        <v>277.48162943125465</v>
      </c>
    </row>
    <row r="1024" spans="1:6" x14ac:dyDescent="0.2">
      <c r="A1024" s="57">
        <f t="shared" si="16"/>
        <v>40588.708333333336</v>
      </c>
      <c r="B1024" s="58">
        <f>B1014+10</f>
        <v>1073</v>
      </c>
      <c r="C1024" s="58"/>
      <c r="D1024" s="59">
        <f t="shared" si="17"/>
        <v>188.33398959181352</v>
      </c>
      <c r="E1024" s="59">
        <f t="shared" si="18"/>
        <v>36.670942886754744</v>
      </c>
      <c r="F1024" s="59">
        <f t="shared" si="19"/>
        <v>339.9970362968723</v>
      </c>
    </row>
    <row r="1025" spans="1:6" x14ac:dyDescent="0.2">
      <c r="A1025" s="57">
        <f t="shared" si="16"/>
        <v>40588.75</v>
      </c>
      <c r="B1025" s="58">
        <f>B1014+11</f>
        <v>1074</v>
      </c>
      <c r="C1025" s="58"/>
      <c r="D1025" s="59">
        <f t="shared" si="17"/>
        <v>164.7862589992055</v>
      </c>
      <c r="E1025" s="59">
        <f t="shared" si="18"/>
        <v>5.7987116632239406</v>
      </c>
      <c r="F1025" s="59">
        <f t="shared" si="19"/>
        <v>323.77380633518703</v>
      </c>
    </row>
    <row r="1026" spans="1:6" x14ac:dyDescent="0.2">
      <c r="A1026" s="57">
        <f t="shared" si="16"/>
        <v>40588.791666666664</v>
      </c>
      <c r="B1026" s="58">
        <f>B1014+12</f>
        <v>1075</v>
      </c>
      <c r="C1026" s="58"/>
      <c r="D1026" s="59">
        <f t="shared" si="17"/>
        <v>120.7362170386132</v>
      </c>
      <c r="E1026" s="59">
        <f t="shared" si="18"/>
        <v>0</v>
      </c>
      <c r="F1026" s="59">
        <f t="shared" si="19"/>
        <v>286.7404465627294</v>
      </c>
    </row>
    <row r="1027" spans="1:6" x14ac:dyDescent="0.2">
      <c r="A1027" s="57">
        <f t="shared" si="16"/>
        <v>40588.833333333336</v>
      </c>
      <c r="B1027" s="58">
        <f>B1014+13</f>
        <v>1076</v>
      </c>
      <c r="C1027" s="58"/>
      <c r="D1027" s="59">
        <f t="shared" si="17"/>
        <v>101.20383669059119</v>
      </c>
      <c r="E1027" s="59">
        <f t="shared" si="18"/>
        <v>0</v>
      </c>
      <c r="F1027" s="59">
        <f t="shared" si="19"/>
        <v>273.95445830217994</v>
      </c>
    </row>
    <row r="1028" spans="1:6" x14ac:dyDescent="0.2">
      <c r="A1028" s="57">
        <f t="shared" si="16"/>
        <v>40588.875</v>
      </c>
      <c r="B1028" s="58">
        <f>B1014+14</f>
        <v>1077</v>
      </c>
      <c r="C1028" s="58"/>
      <c r="D1028" s="59">
        <f t="shared" si="17"/>
        <v>85.477138669646479</v>
      </c>
      <c r="E1028" s="59">
        <f t="shared" si="18"/>
        <v>0</v>
      </c>
      <c r="F1028" s="59">
        <f t="shared" si="19"/>
        <v>264.73439750501882</v>
      </c>
    </row>
    <row r="1029" spans="1:6" x14ac:dyDescent="0.2">
      <c r="A1029" s="57">
        <f t="shared" si="16"/>
        <v>40588.916666666664</v>
      </c>
      <c r="B1029" s="58">
        <f>B1014+15</f>
        <v>1078</v>
      </c>
      <c r="C1029" s="58"/>
      <c r="D1029" s="59">
        <f t="shared" si="17"/>
        <v>61.879144276521544</v>
      </c>
      <c r="E1029" s="59">
        <f t="shared" si="18"/>
        <v>0</v>
      </c>
      <c r="F1029" s="59">
        <f t="shared" si="19"/>
        <v>247.42852435960253</v>
      </c>
    </row>
    <row r="1030" spans="1:6" x14ac:dyDescent="0.2">
      <c r="A1030" s="57">
        <f t="shared" si="16"/>
        <v>40588.958333333336</v>
      </c>
      <c r="B1030" s="58">
        <f>B1014+16</f>
        <v>1079</v>
      </c>
      <c r="C1030" s="58"/>
      <c r="D1030" s="59">
        <f t="shared" si="17"/>
        <v>49.850610633729431</v>
      </c>
      <c r="E1030" s="59">
        <f t="shared" si="18"/>
        <v>0</v>
      </c>
      <c r="F1030" s="59">
        <f t="shared" si="19"/>
        <v>241.49874022204114</v>
      </c>
    </row>
    <row r="1031" spans="1:6" x14ac:dyDescent="0.2">
      <c r="A1031" s="57">
        <f t="shared" si="16"/>
        <v>40589</v>
      </c>
      <c r="B1031" s="58">
        <f>B1014+17</f>
        <v>1080</v>
      </c>
      <c r="C1031" s="58"/>
      <c r="D1031" s="59">
        <f t="shared" si="17"/>
        <v>38.481638152132035</v>
      </c>
      <c r="E1031" s="59">
        <f t="shared" si="18"/>
        <v>0</v>
      </c>
      <c r="F1031" s="59">
        <f t="shared" si="19"/>
        <v>236.05306755677992</v>
      </c>
    </row>
    <row r="1032" spans="1:6" x14ac:dyDescent="0.2">
      <c r="A1032" s="57">
        <f t="shared" si="16"/>
        <v>40589.041666666664</v>
      </c>
      <c r="B1032" s="58">
        <f>B1014+18</f>
        <v>1081</v>
      </c>
      <c r="C1032" s="58"/>
      <c r="D1032" s="59">
        <f t="shared" si="17"/>
        <v>35.208781806916626</v>
      </c>
      <c r="E1032" s="59">
        <f t="shared" si="18"/>
        <v>0</v>
      </c>
      <c r="F1032" s="59">
        <f t="shared" si="19"/>
        <v>238.5434083993494</v>
      </c>
    </row>
    <row r="1033" spans="1:6" x14ac:dyDescent="0.2">
      <c r="A1033" s="57">
        <f t="shared" si="16"/>
        <v>40589.083333333336</v>
      </c>
      <c r="B1033" s="58">
        <f>B1014+19</f>
        <v>1082</v>
      </c>
      <c r="C1033" s="58"/>
      <c r="D1033" s="59">
        <f t="shared" si="17"/>
        <v>35.327587592413984</v>
      </c>
      <c r="E1033" s="59">
        <f t="shared" si="18"/>
        <v>0</v>
      </c>
      <c r="F1033" s="59">
        <f t="shared" si="19"/>
        <v>244.27856996277606</v>
      </c>
    </row>
    <row r="1034" spans="1:6" x14ac:dyDescent="0.2">
      <c r="A1034" s="57">
        <f t="shared" si="16"/>
        <v>40589.125</v>
      </c>
      <c r="B1034" s="58">
        <f>B1014+20</f>
        <v>1083</v>
      </c>
      <c r="C1034" s="58"/>
      <c r="D1034" s="59">
        <f t="shared" si="17"/>
        <v>37.465631000697691</v>
      </c>
      <c r="E1034" s="59">
        <f t="shared" si="18"/>
        <v>0</v>
      </c>
      <c r="F1034" s="59">
        <f t="shared" si="19"/>
        <v>251.89767897519647</v>
      </c>
    </row>
    <row r="1035" spans="1:6" x14ac:dyDescent="0.2">
      <c r="A1035" s="57">
        <f t="shared" si="16"/>
        <v>40589.166666666664</v>
      </c>
      <c r="B1035" s="58">
        <f>B1014+21</f>
        <v>1084</v>
      </c>
      <c r="C1035" s="58"/>
      <c r="D1035" s="59">
        <f t="shared" si="17"/>
        <v>39.17420506189621</v>
      </c>
      <c r="E1035" s="59">
        <f t="shared" si="18"/>
        <v>0</v>
      </c>
      <c r="F1035" s="59">
        <f t="shared" si="19"/>
        <v>258.96216278900937</v>
      </c>
    </row>
    <row r="1036" spans="1:6" x14ac:dyDescent="0.2">
      <c r="A1036" s="57">
        <f t="shared" si="16"/>
        <v>40589.208333333336</v>
      </c>
      <c r="B1036" s="58">
        <f>B1014+22</f>
        <v>1085</v>
      </c>
      <c r="C1036" s="58"/>
      <c r="D1036" s="59">
        <f t="shared" si="17"/>
        <v>43.541934070432198</v>
      </c>
      <c r="E1036" s="59">
        <f t="shared" si="18"/>
        <v>0</v>
      </c>
      <c r="F1036" s="59">
        <f t="shared" si="19"/>
        <v>268.56959463434612</v>
      </c>
    </row>
    <row r="1037" spans="1:6" x14ac:dyDescent="0.2">
      <c r="A1037" s="57">
        <f t="shared" si="16"/>
        <v>40589.25</v>
      </c>
      <c r="B1037" s="58">
        <f>B1014+23</f>
        <v>1086</v>
      </c>
      <c r="C1037" s="58"/>
      <c r="D1037" s="59">
        <f t="shared" si="17"/>
        <v>60.784815392636801</v>
      </c>
      <c r="E1037" s="59">
        <f t="shared" si="18"/>
        <v>0</v>
      </c>
      <c r="F1037" s="59">
        <f t="shared" si="19"/>
        <v>290.94392050245472</v>
      </c>
    </row>
    <row r="1038" spans="1:6" x14ac:dyDescent="0.2">
      <c r="A1038" s="57">
        <f t="shared" si="16"/>
        <v>40589.291666666664</v>
      </c>
      <c r="B1038" s="58">
        <f>B1014+24</f>
        <v>1087</v>
      </c>
      <c r="C1038" s="58"/>
      <c r="D1038" s="59">
        <f t="shared" si="17"/>
        <v>98.331066246798343</v>
      </c>
      <c r="E1038" s="59">
        <f t="shared" si="18"/>
        <v>0</v>
      </c>
      <c r="F1038" s="59">
        <f t="shared" si="19"/>
        <v>333.52045545363274</v>
      </c>
    </row>
    <row r="1039" spans="1:6" x14ac:dyDescent="0.2">
      <c r="A1039" s="57">
        <f t="shared" si="16"/>
        <v>40589.333333333336</v>
      </c>
      <c r="B1039" s="58">
        <f>B1014+25</f>
        <v>1088</v>
      </c>
      <c r="C1039" s="58"/>
      <c r="D1039" s="59">
        <f t="shared" si="17"/>
        <v>167.53195935782443</v>
      </c>
      <c r="E1039" s="59">
        <f t="shared" si="18"/>
        <v>0</v>
      </c>
      <c r="F1039" s="59">
        <f t="shared" si="19"/>
        <v>408.75713221513428</v>
      </c>
    </row>
    <row r="1040" spans="1:6" x14ac:dyDescent="0.2">
      <c r="A1040" s="57">
        <f t="shared" si="16"/>
        <v>40589.375</v>
      </c>
      <c r="B1040" s="58">
        <f>B1014+26</f>
        <v>1089</v>
      </c>
      <c r="C1040" s="58"/>
      <c r="D1040" s="59">
        <f t="shared" si="17"/>
        <v>130.09698925894023</v>
      </c>
      <c r="E1040" s="59">
        <f t="shared" si="18"/>
        <v>0</v>
      </c>
      <c r="F1040" s="59">
        <f t="shared" si="19"/>
        <v>376.14693257450733</v>
      </c>
    </row>
    <row r="1041" spans="1:6" x14ac:dyDescent="0.2">
      <c r="A1041" s="57">
        <f t="shared" si="16"/>
        <v>40589.416666666664</v>
      </c>
      <c r="B1041" s="58">
        <f>B1014+27</f>
        <v>1090</v>
      </c>
      <c r="C1041" s="58"/>
      <c r="D1041" s="59">
        <f t="shared" si="17"/>
        <v>91.764870175088106</v>
      </c>
      <c r="E1041" s="59">
        <f t="shared" si="18"/>
        <v>0</v>
      </c>
      <c r="F1041" s="59">
        <f t="shared" si="19"/>
        <v>342.55691781959439</v>
      </c>
    </row>
    <row r="1042" spans="1:6" x14ac:dyDescent="0.2">
      <c r="A1042" s="57">
        <f t="shared" si="16"/>
        <v>40589.458333333336</v>
      </c>
      <c r="B1042" s="58">
        <f>B1014+28</f>
        <v>1091</v>
      </c>
      <c r="C1042" s="58"/>
      <c r="D1042" s="59">
        <f t="shared" si="17"/>
        <v>93.20263261666355</v>
      </c>
      <c r="E1042" s="59">
        <f t="shared" si="18"/>
        <v>0</v>
      </c>
      <c r="F1042" s="59">
        <f t="shared" si="19"/>
        <v>348.65873292316758</v>
      </c>
    </row>
    <row r="1043" spans="1:6" x14ac:dyDescent="0.2">
      <c r="A1043" s="57">
        <f t="shared" si="16"/>
        <v>40589.5</v>
      </c>
      <c r="B1043" s="58">
        <f>B1014+29</f>
        <v>1092</v>
      </c>
      <c r="C1043" s="58"/>
      <c r="D1043" s="59">
        <f t="shared" si="17"/>
        <v>110.68905799450201</v>
      </c>
      <c r="E1043" s="59">
        <f t="shared" si="18"/>
        <v>0</v>
      </c>
      <c r="F1043" s="59">
        <f t="shared" si="19"/>
        <v>370.73536957614499</v>
      </c>
    </row>
    <row r="1044" spans="1:6" x14ac:dyDescent="0.2">
      <c r="A1044" s="57">
        <f t="shared" si="16"/>
        <v>40589.541666666664</v>
      </c>
      <c r="B1044" s="58">
        <f>B1014+30</f>
        <v>1093</v>
      </c>
      <c r="C1044" s="58"/>
      <c r="D1044" s="59">
        <f t="shared" si="17"/>
        <v>113.56478728643285</v>
      </c>
      <c r="E1044" s="59">
        <f t="shared" si="18"/>
        <v>0</v>
      </c>
      <c r="F1044" s="59">
        <f t="shared" si="19"/>
        <v>378.13132259906683</v>
      </c>
    </row>
    <row r="1045" spans="1:6" x14ac:dyDescent="0.2">
      <c r="A1045" s="57">
        <f t="shared" si="16"/>
        <v>40589.583333333336</v>
      </c>
      <c r="B1045" s="58">
        <f>B1014+31</f>
        <v>1094</v>
      </c>
      <c r="C1045" s="58"/>
      <c r="D1045" s="59">
        <f t="shared" si="17"/>
        <v>108.43776951668964</v>
      </c>
      <c r="E1045" s="59">
        <f t="shared" si="18"/>
        <v>0</v>
      </c>
      <c r="F1045" s="59">
        <f t="shared" si="19"/>
        <v>377.45807915803545</v>
      </c>
    </row>
    <row r="1046" spans="1:6" x14ac:dyDescent="0.2">
      <c r="A1046" s="57">
        <f t="shared" si="16"/>
        <v>40589.625</v>
      </c>
      <c r="B1046" s="58">
        <f>B1014+32</f>
        <v>1095</v>
      </c>
      <c r="C1046" s="58"/>
      <c r="D1046" s="59">
        <f t="shared" si="17"/>
        <v>119.83373495347971</v>
      </c>
      <c r="E1046" s="59">
        <f t="shared" si="18"/>
        <v>0</v>
      </c>
      <c r="F1046" s="59">
        <f t="shared" si="19"/>
        <v>393.24462690765222</v>
      </c>
    </row>
    <row r="1047" spans="1:6" x14ac:dyDescent="0.2">
      <c r="A1047" s="57">
        <f t="shared" si="16"/>
        <v>40589.666666666664</v>
      </c>
      <c r="B1047" s="58">
        <f>B1014+33</f>
        <v>1096</v>
      </c>
      <c r="C1047" s="58"/>
      <c r="D1047" s="59">
        <f t="shared" si="17"/>
        <v>133.8289559420366</v>
      </c>
      <c r="E1047" s="59">
        <f t="shared" si="18"/>
        <v>0</v>
      </c>
      <c r="F1047" s="59">
        <f t="shared" si="19"/>
        <v>411.57024495333775</v>
      </c>
    </row>
    <row r="1048" spans="1:6" x14ac:dyDescent="0.2">
      <c r="A1048" s="57">
        <f t="shared" si="16"/>
        <v>40589.708333333336</v>
      </c>
      <c r="B1048" s="58">
        <f>B1014+34</f>
        <v>1097</v>
      </c>
      <c r="C1048" s="58"/>
      <c r="D1048" s="59">
        <f t="shared" si="17"/>
        <v>188.66505583861186</v>
      </c>
      <c r="E1048" s="59">
        <f t="shared" si="18"/>
        <v>0</v>
      </c>
      <c r="F1048" s="59">
        <f t="shared" si="19"/>
        <v>470.67933888532275</v>
      </c>
    </row>
    <row r="1049" spans="1:6" x14ac:dyDescent="0.2">
      <c r="A1049" s="57">
        <f t="shared" si="16"/>
        <v>40589.75</v>
      </c>
      <c r="B1049" s="58">
        <f>B1014+35</f>
        <v>1098</v>
      </c>
      <c r="C1049" s="58"/>
      <c r="D1049" s="59">
        <f t="shared" si="17"/>
        <v>165.11732524600384</v>
      </c>
      <c r="E1049" s="59">
        <f t="shared" si="18"/>
        <v>0</v>
      </c>
      <c r="F1049" s="59">
        <f t="shared" si="19"/>
        <v>451.34977972422371</v>
      </c>
    </row>
    <row r="1050" spans="1:6" x14ac:dyDescent="0.2">
      <c r="A1050" s="57">
        <f t="shared" si="16"/>
        <v>40589.791666666664</v>
      </c>
      <c r="B1050" s="58">
        <f>B1014+36</f>
        <v>1099</v>
      </c>
      <c r="C1050" s="58"/>
      <c r="D1050" s="59">
        <f t="shared" si="17"/>
        <v>121.06728328541155</v>
      </c>
      <c r="E1050" s="59">
        <f t="shared" si="18"/>
        <v>0</v>
      </c>
      <c r="F1050" s="59">
        <f t="shared" si="19"/>
        <v>411.46548503580561</v>
      </c>
    </row>
    <row r="1051" spans="1:6" x14ac:dyDescent="0.2">
      <c r="A1051" s="57">
        <f t="shared" si="16"/>
        <v>40589.833333333336</v>
      </c>
      <c r="B1051" s="58">
        <f>B1014+37</f>
        <v>1100</v>
      </c>
      <c r="C1051" s="58"/>
      <c r="D1051" s="59">
        <f t="shared" si="17"/>
        <v>101.53490293738953</v>
      </c>
      <c r="E1051" s="59">
        <f t="shared" si="18"/>
        <v>0</v>
      </c>
      <c r="F1051" s="59">
        <f t="shared" si="19"/>
        <v>396.04866167785241</v>
      </c>
    </row>
    <row r="1052" spans="1:6" x14ac:dyDescent="0.2">
      <c r="A1052" s="57">
        <f t="shared" si="16"/>
        <v>40589.875</v>
      </c>
      <c r="B1052" s="58">
        <f>B1014+38</f>
        <v>1101</v>
      </c>
      <c r="C1052" s="58"/>
      <c r="D1052" s="59">
        <f t="shared" si="17"/>
        <v>85.808204916444822</v>
      </c>
      <c r="E1052" s="59">
        <f t="shared" si="18"/>
        <v>0</v>
      </c>
      <c r="F1052" s="59">
        <f t="shared" si="19"/>
        <v>384.38941499960038</v>
      </c>
    </row>
    <row r="1053" spans="1:6" x14ac:dyDescent="0.2">
      <c r="A1053" s="57">
        <f t="shared" si="16"/>
        <v>40589.916666666664</v>
      </c>
      <c r="B1053" s="58">
        <f>B1014+39</f>
        <v>1102</v>
      </c>
      <c r="C1053" s="58"/>
      <c r="D1053" s="59">
        <f t="shared" si="17"/>
        <v>62.210210523319887</v>
      </c>
      <c r="E1053" s="59">
        <f t="shared" si="18"/>
        <v>0</v>
      </c>
      <c r="F1053" s="59">
        <f t="shared" si="19"/>
        <v>364.81271523386613</v>
      </c>
    </row>
    <row r="1054" spans="1:6" x14ac:dyDescent="0.2">
      <c r="A1054" s="57">
        <f t="shared" si="16"/>
        <v>40589.958333333336</v>
      </c>
      <c r="B1054" s="58">
        <f>B1014+40</f>
        <v>1103</v>
      </c>
      <c r="C1054" s="58"/>
      <c r="D1054" s="59">
        <f t="shared" si="17"/>
        <v>50.181676880527775</v>
      </c>
      <c r="E1054" s="59">
        <f t="shared" si="18"/>
        <v>0</v>
      </c>
      <c r="F1054" s="59">
        <f t="shared" si="19"/>
        <v>356.76114473500729</v>
      </c>
    </row>
    <row r="1055" spans="1:6" x14ac:dyDescent="0.2">
      <c r="A1055" s="57">
        <f t="shared" si="16"/>
        <v>40590</v>
      </c>
      <c r="B1055" s="58">
        <f>B1014+41</f>
        <v>1104</v>
      </c>
      <c r="C1055" s="58"/>
      <c r="D1055" s="59">
        <f t="shared" si="17"/>
        <v>38.812704398930379</v>
      </c>
      <c r="E1055" s="59">
        <f t="shared" si="18"/>
        <v>0</v>
      </c>
      <c r="F1055" s="59">
        <f t="shared" si="19"/>
        <v>349.32651611850042</v>
      </c>
    </row>
    <row r="1056" spans="1:6" x14ac:dyDescent="0.2">
      <c r="A1056" s="57">
        <f t="shared" si="16"/>
        <v>40590.041666666664</v>
      </c>
      <c r="B1056" s="58">
        <f>B1014+42</f>
        <v>1105</v>
      </c>
      <c r="C1056" s="58"/>
      <c r="D1056" s="59">
        <f t="shared" si="17"/>
        <v>35.539848053714969</v>
      </c>
      <c r="E1056" s="59">
        <f t="shared" si="18"/>
        <v>0</v>
      </c>
      <c r="F1056" s="59">
        <f t="shared" si="19"/>
        <v>349.94699305604229</v>
      </c>
    </row>
    <row r="1057" spans="1:6" x14ac:dyDescent="0.2">
      <c r="A1057" s="57">
        <f t="shared" si="16"/>
        <v>40590.083333333336</v>
      </c>
      <c r="B1057" s="58">
        <f>B1014+43</f>
        <v>1106</v>
      </c>
      <c r="C1057" s="58"/>
      <c r="D1057" s="59">
        <f t="shared" si="17"/>
        <v>35.658653839212327</v>
      </c>
      <c r="E1057" s="59">
        <f t="shared" si="18"/>
        <v>0</v>
      </c>
      <c r="F1057" s="59">
        <f t="shared" si="19"/>
        <v>353.91963524441945</v>
      </c>
    </row>
    <row r="1058" spans="1:6" x14ac:dyDescent="0.2">
      <c r="A1058" s="57">
        <f t="shared" si="16"/>
        <v>40590.125</v>
      </c>
      <c r="B1058" s="58">
        <f>B1014+44</f>
        <v>1107</v>
      </c>
      <c r="C1058" s="58"/>
      <c r="D1058" s="59">
        <f t="shared" si="17"/>
        <v>37.796697247496034</v>
      </c>
      <c r="E1058" s="59">
        <f t="shared" si="18"/>
        <v>0</v>
      </c>
      <c r="F1058" s="59">
        <f t="shared" si="19"/>
        <v>359.87344451973559</v>
      </c>
    </row>
    <row r="1059" spans="1:6" x14ac:dyDescent="0.2">
      <c r="A1059" s="57">
        <f t="shared" si="16"/>
        <v>40590.166666666664</v>
      </c>
      <c r="B1059" s="58">
        <f>B1014+45</f>
        <v>1108</v>
      </c>
      <c r="C1059" s="58"/>
      <c r="D1059" s="59">
        <f t="shared" si="17"/>
        <v>39.505271308694553</v>
      </c>
      <c r="E1059" s="59">
        <f t="shared" si="18"/>
        <v>0</v>
      </c>
      <c r="F1059" s="59">
        <f t="shared" si="19"/>
        <v>365.36105976314565</v>
      </c>
    </row>
    <row r="1060" spans="1:6" x14ac:dyDescent="0.2">
      <c r="A1060" s="57">
        <f t="shared" si="16"/>
        <v>40590.208333333336</v>
      </c>
      <c r="B1060" s="58">
        <f>B1014+46</f>
        <v>1109</v>
      </c>
      <c r="C1060" s="58"/>
      <c r="D1060" s="59">
        <f t="shared" si="17"/>
        <v>43.873000317230527</v>
      </c>
      <c r="E1060" s="59">
        <f t="shared" si="18"/>
        <v>0</v>
      </c>
      <c r="F1060" s="59">
        <f t="shared" si="19"/>
        <v>373.47237681512303</v>
      </c>
    </row>
    <row r="1061" spans="1:6" x14ac:dyDescent="0.2">
      <c r="A1061" s="57">
        <f t="shared" si="16"/>
        <v>40590.25</v>
      </c>
      <c r="B1061" s="58">
        <f>B1014+47</f>
        <v>1110</v>
      </c>
      <c r="C1061" s="58"/>
      <c r="D1061" s="59">
        <f t="shared" si="17"/>
        <v>61.115881639435145</v>
      </c>
      <c r="E1061" s="59">
        <f t="shared" si="18"/>
        <v>0</v>
      </c>
      <c r="F1061" s="59">
        <f t="shared" si="19"/>
        <v>394.42459587358854</v>
      </c>
    </row>
    <row r="1062" spans="1:6" x14ac:dyDescent="0.2">
      <c r="A1062" s="57">
        <f t="shared" si="16"/>
        <v>40590.291666666664</v>
      </c>
      <c r="B1062" s="58">
        <f>B1014+48</f>
        <v>1111</v>
      </c>
      <c r="C1062" s="58"/>
      <c r="D1062" s="59">
        <f t="shared" si="17"/>
        <v>98.662132493596687</v>
      </c>
      <c r="E1062" s="59">
        <f t="shared" si="18"/>
        <v>0</v>
      </c>
      <c r="F1062" s="59">
        <f t="shared" si="19"/>
        <v>435.64707333594851</v>
      </c>
    </row>
  </sheetData>
  <pageMargins left="0.75" right="0.75" top="1" bottom="1" header="0.5" footer="0.5"/>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1EE26-336A-9B4A-9DF9-DBF2065C4691}">
  <dimension ref="A9:E17"/>
  <sheetViews>
    <sheetView workbookViewId="0">
      <selection activeCell="H35" sqref="H35"/>
    </sheetView>
  </sheetViews>
  <sheetFormatPr baseColWidth="10" defaultRowHeight="15" x14ac:dyDescent="0.2"/>
  <cols>
    <col min="1" max="1" width="12.1640625" bestFit="1" customWidth="1"/>
    <col min="2" max="2" width="9.1640625" bestFit="1" customWidth="1"/>
    <col min="3" max="3" width="14.6640625" bestFit="1" customWidth="1"/>
    <col min="4" max="4" width="11.33203125" bestFit="1" customWidth="1"/>
    <col min="5" max="5" width="16.33203125" bestFit="1" customWidth="1"/>
    <col min="13" max="13" width="16" bestFit="1" customWidth="1"/>
  </cols>
  <sheetData>
    <row r="9" spans="1:5" x14ac:dyDescent="0.2">
      <c r="A9" s="130" t="s">
        <v>392</v>
      </c>
      <c r="B9" t="s">
        <v>396</v>
      </c>
      <c r="C9" t="s">
        <v>395</v>
      </c>
      <c r="D9" t="s">
        <v>394</v>
      </c>
      <c r="E9" t="s">
        <v>397</v>
      </c>
    </row>
    <row r="10" spans="1:5" x14ac:dyDescent="0.2">
      <c r="A10" s="131" t="s">
        <v>74</v>
      </c>
      <c r="B10" s="132">
        <v>8121</v>
      </c>
      <c r="C10" s="132">
        <v>6644</v>
      </c>
      <c r="D10" s="132">
        <v>1477</v>
      </c>
      <c r="E10" s="63">
        <v>0.18187415342938063</v>
      </c>
    </row>
    <row r="11" spans="1:5" x14ac:dyDescent="0.2">
      <c r="A11" s="131" t="s">
        <v>66</v>
      </c>
      <c r="B11" s="132">
        <v>8450</v>
      </c>
      <c r="C11" s="132">
        <v>7916</v>
      </c>
      <c r="D11" s="132">
        <v>534</v>
      </c>
      <c r="E11" s="63">
        <v>6.3195266272189354E-2</v>
      </c>
    </row>
    <row r="12" spans="1:5" x14ac:dyDescent="0.2">
      <c r="A12" s="131" t="s">
        <v>68</v>
      </c>
      <c r="B12" s="132">
        <v>8383</v>
      </c>
      <c r="C12" s="132">
        <v>7926</v>
      </c>
      <c r="D12" s="132">
        <v>457</v>
      </c>
      <c r="E12" s="63">
        <v>5.4515090063223193E-2</v>
      </c>
    </row>
    <row r="13" spans="1:5" x14ac:dyDescent="0.2">
      <c r="A13" s="131" t="s">
        <v>69</v>
      </c>
      <c r="B13" s="132">
        <v>8049</v>
      </c>
      <c r="C13" s="132">
        <v>7705</v>
      </c>
      <c r="D13" s="132">
        <v>344</v>
      </c>
      <c r="E13" s="63">
        <v>4.2738228351347995E-2</v>
      </c>
    </row>
    <row r="14" spans="1:5" x14ac:dyDescent="0.2">
      <c r="A14" s="131" t="s">
        <v>70</v>
      </c>
      <c r="B14" s="132">
        <v>8458</v>
      </c>
      <c r="C14" s="132">
        <v>8126</v>
      </c>
      <c r="D14" s="132">
        <v>332</v>
      </c>
      <c r="E14" s="63">
        <v>3.9252778434618114E-2</v>
      </c>
    </row>
    <row r="15" spans="1:5" x14ac:dyDescent="0.2">
      <c r="A15" s="131" t="s">
        <v>71</v>
      </c>
      <c r="B15" s="132">
        <v>9095</v>
      </c>
      <c r="C15" s="132">
        <v>8543</v>
      </c>
      <c r="D15" s="132">
        <v>552</v>
      </c>
      <c r="E15" s="63">
        <v>6.069268829026938E-2</v>
      </c>
    </row>
    <row r="16" spans="1:5" x14ac:dyDescent="0.2">
      <c r="A16" s="131" t="s">
        <v>72</v>
      </c>
      <c r="B16" s="132">
        <v>7748</v>
      </c>
      <c r="C16" s="132">
        <v>6523</v>
      </c>
      <c r="D16" s="132">
        <v>1225</v>
      </c>
      <c r="E16" s="63">
        <v>0.15810531750129064</v>
      </c>
    </row>
    <row r="17" spans="1:5" x14ac:dyDescent="0.2">
      <c r="A17" s="131" t="s">
        <v>393</v>
      </c>
      <c r="B17" s="132">
        <v>58304</v>
      </c>
      <c r="C17" s="132">
        <v>53383</v>
      </c>
      <c r="D17" s="132">
        <v>4921</v>
      </c>
      <c r="E17" s="63">
        <v>8.4402442371020861E-2</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A5F"/>
  </sheetPr>
  <dimension ref="A1:AE1001"/>
  <sheetViews>
    <sheetView workbookViewId="0">
      <pane xSplit="2" ySplit="1" topLeftCell="C2" activePane="bottomRight" state="frozen"/>
      <selection pane="topRight"/>
      <selection pane="bottomLeft"/>
      <selection pane="bottomRight" activeCell="A2" sqref="A2"/>
    </sheetView>
  </sheetViews>
  <sheetFormatPr baseColWidth="10" defaultColWidth="8.83203125" defaultRowHeight="15" x14ac:dyDescent="0.2"/>
  <cols>
    <col min="1" max="1" width="10" customWidth="1"/>
    <col min="2" max="2" width="11.6640625" bestFit="1" customWidth="1"/>
    <col min="3" max="16" width="10" customWidth="1"/>
    <col min="17" max="17" width="15" customWidth="1"/>
    <col min="18" max="18" width="16" customWidth="1"/>
    <col min="19" max="31" width="15" customWidth="1"/>
  </cols>
  <sheetData>
    <row r="1" spans="1:31" x14ac:dyDescent="0.2">
      <c r="A1" s="29" t="s">
        <v>261</v>
      </c>
      <c r="B1" s="29" t="s">
        <v>262</v>
      </c>
      <c r="C1" s="29" t="s">
        <v>263</v>
      </c>
      <c r="D1" s="29" t="s">
        <v>264</v>
      </c>
      <c r="E1" s="29" t="s">
        <v>265</v>
      </c>
      <c r="F1" s="29" t="s">
        <v>266</v>
      </c>
      <c r="G1" s="29" t="s">
        <v>267</v>
      </c>
      <c r="H1" s="29" t="s">
        <v>268</v>
      </c>
      <c r="I1" s="29" t="s">
        <v>269</v>
      </c>
      <c r="J1" s="29" t="s">
        <v>201</v>
      </c>
      <c r="K1" s="29" t="s">
        <v>202</v>
      </c>
      <c r="L1" s="29" t="s">
        <v>203</v>
      </c>
      <c r="M1" s="29" t="s">
        <v>204</v>
      </c>
      <c r="N1" s="29" t="s">
        <v>205</v>
      </c>
      <c r="O1" s="29" t="s">
        <v>206</v>
      </c>
      <c r="P1" s="29" t="s">
        <v>207</v>
      </c>
      <c r="Q1" s="60" t="s">
        <v>270</v>
      </c>
      <c r="R1" s="60" t="s">
        <v>271</v>
      </c>
      <c r="S1" s="60" t="s">
        <v>133</v>
      </c>
      <c r="T1" s="60" t="s">
        <v>272</v>
      </c>
      <c r="U1" s="60" t="s">
        <v>273</v>
      </c>
      <c r="V1" s="60" t="s">
        <v>274</v>
      </c>
      <c r="W1" s="60" t="s">
        <v>275</v>
      </c>
      <c r="X1" s="60" t="s">
        <v>110</v>
      </c>
      <c r="Y1" s="60" t="s">
        <v>276</v>
      </c>
      <c r="Z1" s="60" t="s">
        <v>277</v>
      </c>
      <c r="AA1" s="60" t="s">
        <v>278</v>
      </c>
      <c r="AB1" s="60" t="s">
        <v>279</v>
      </c>
      <c r="AC1" s="60" t="s">
        <v>280</v>
      </c>
      <c r="AD1" s="60" t="s">
        <v>281</v>
      </c>
      <c r="AE1" s="60" t="s">
        <v>282</v>
      </c>
    </row>
    <row r="2" spans="1:31" x14ac:dyDescent="0.2">
      <c r="A2">
        <f>Dataset_A!A2</f>
        <v>1</v>
      </c>
      <c r="B2" s="61">
        <f>Dataset_A!B2</f>
        <v>40544</v>
      </c>
      <c r="C2">
        <f>Dataset_A!C2</f>
        <v>1</v>
      </c>
      <c r="D2">
        <f>Dataset_A!D2</f>
        <v>0</v>
      </c>
      <c r="E2">
        <f>Dataset_A!E2</f>
        <v>1</v>
      </c>
      <c r="F2">
        <f>Dataset_A!F2</f>
        <v>0</v>
      </c>
      <c r="G2" t="b">
        <f>Dataset_A!G2</f>
        <v>0</v>
      </c>
      <c r="H2">
        <f>Dataset_A!H2</f>
        <v>6</v>
      </c>
      <c r="I2">
        <f>Dataset_A!I2</f>
        <v>1</v>
      </c>
      <c r="J2" s="55">
        <f>Dataset_A!J2</f>
        <v>0.24</v>
      </c>
      <c r="K2">
        <f>Dataset_A!K2</f>
        <v>0.28789999999999999</v>
      </c>
      <c r="L2">
        <f>Dataset_A!L2</f>
        <v>0.81</v>
      </c>
      <c r="M2">
        <f>Dataset_A!M2</f>
        <v>0</v>
      </c>
      <c r="N2">
        <f>Dataset_A!N2</f>
        <v>3</v>
      </c>
      <c r="O2">
        <f>Dataset_A!O2</f>
        <v>13</v>
      </c>
      <c r="P2">
        <f>Dataset_A!P2</f>
        <v>16</v>
      </c>
      <c r="Q2" t="str">
        <f t="shared" ref="Q2:Q65" si="0">"REC-"&amp;TEXT(A2,"0000")</f>
        <v>REC-0001</v>
      </c>
      <c r="R2" s="62">
        <f t="shared" ref="R2:R65" si="1">B2+F2/24</f>
        <v>40544</v>
      </c>
      <c r="S2" t="str">
        <f t="shared" ref="S2:S65" si="2">TEXT(B2,"mmm")</f>
        <v>Jan</v>
      </c>
      <c r="T2" t="str">
        <f>INDEX(Lookups!$B$39:$B$45,MATCH(H2,Lookups!$A$39:$A$45,0))</f>
        <v>Sat</v>
      </c>
      <c r="U2" t="str">
        <f t="shared" ref="U2:U65" si="3">IF(OR(H2=0,H2=6),"Weekend","Weekday")</f>
        <v>Weekend</v>
      </c>
      <c r="V2" t="str">
        <f t="shared" ref="V2:V65" si="4">IF(OR(U2="Weekend",G2=TRUE),"Non-Working Day","Working Day")</f>
        <v>Non-Working Day</v>
      </c>
      <c r="W2" t="str">
        <f t="shared" ref="W2:W65" si="5">VLOOKUP(C2,tbl_season,2,FALSE)</f>
        <v>Spring</v>
      </c>
      <c r="X2" t="str">
        <f t="shared" ref="X2:X65" si="6">VLOOKUP(I2,tbl_weather,2,FALSE)</f>
        <v>Clear</v>
      </c>
      <c r="Y2" t="str">
        <f t="shared" ref="Y2:Y65" si="7">INDEX(band_name,MATCH(F2,band_start,1))</f>
        <v>Night</v>
      </c>
      <c r="Z2" t="str">
        <f t="shared" ref="Z2:Z65" si="8">INDEX(temp_band,MATCH(J2,temp_from,1))</f>
        <v>Mild</v>
      </c>
      <c r="AA2" t="str">
        <f t="shared" ref="AA2:AA65" si="9">INDEX(hum_band,MATCH(L2,hum_from,1))</f>
        <v>High</v>
      </c>
      <c r="AB2" t="str">
        <f t="shared" ref="AB2:AB65" si="10">IF(AND(U2="Weekday",OR(AND(F2&gt;=7,F2&lt;=9),AND(F2&gt;=16,F2&lt;=19))),"Peak","Off-Peak")</f>
        <v>Off-Peak</v>
      </c>
      <c r="AC2" s="63">
        <f t="shared" ref="AC2:AC65" si="11">IF(P2=0,0,N2/P2)</f>
        <v>0.1875</v>
      </c>
      <c r="AD2" t="str">
        <f>IF(P2&gt;=Stats!$C$30,"High",IF(P2&lt;=Stats!$C$29,"Low","Normal"))</f>
        <v>Low</v>
      </c>
      <c r="AE2">
        <f t="shared" ref="AE2:AE65" si="12">SUBTOTAL(103,A2)</f>
        <v>1</v>
      </c>
    </row>
    <row r="3" spans="1:31" x14ac:dyDescent="0.2">
      <c r="A3">
        <f>Dataset_A!A3</f>
        <v>2</v>
      </c>
      <c r="B3" s="61">
        <f>Dataset_A!B3</f>
        <v>40544</v>
      </c>
      <c r="C3">
        <f>Dataset_A!C3</f>
        <v>1</v>
      </c>
      <c r="D3">
        <f>Dataset_A!D3</f>
        <v>0</v>
      </c>
      <c r="E3">
        <f>Dataset_A!E3</f>
        <v>1</v>
      </c>
      <c r="F3">
        <f>Dataset_A!F3</f>
        <v>1</v>
      </c>
      <c r="G3" t="b">
        <f>Dataset_A!G3</f>
        <v>0</v>
      </c>
      <c r="H3">
        <f>Dataset_A!H3</f>
        <v>6</v>
      </c>
      <c r="I3">
        <f>Dataset_A!I3</f>
        <v>1</v>
      </c>
      <c r="J3" s="55">
        <f>Dataset_A!J3</f>
        <v>0.22</v>
      </c>
      <c r="K3">
        <f>Dataset_A!K3</f>
        <v>0.2727</v>
      </c>
      <c r="L3">
        <f>Dataset_A!L3</f>
        <v>0.8</v>
      </c>
      <c r="M3">
        <f>Dataset_A!M3</f>
        <v>0</v>
      </c>
      <c r="N3">
        <f>Dataset_A!N3</f>
        <v>8</v>
      </c>
      <c r="O3">
        <f>Dataset_A!O3</f>
        <v>32</v>
      </c>
      <c r="P3">
        <f>Dataset_A!P3</f>
        <v>40</v>
      </c>
      <c r="Q3" t="str">
        <f t="shared" si="0"/>
        <v>REC-0002</v>
      </c>
      <c r="R3" s="62">
        <f t="shared" si="1"/>
        <v>40544.041666666664</v>
      </c>
      <c r="S3" t="str">
        <f t="shared" si="2"/>
        <v>Jan</v>
      </c>
      <c r="T3" t="str">
        <f>INDEX(Lookups!$B$39:$B$45,MATCH(H3,Lookups!$A$39:$A$45,0))</f>
        <v>Sat</v>
      </c>
      <c r="U3" t="str">
        <f t="shared" si="3"/>
        <v>Weekend</v>
      </c>
      <c r="V3" t="str">
        <f t="shared" si="4"/>
        <v>Non-Working Day</v>
      </c>
      <c r="W3" t="str">
        <f t="shared" si="5"/>
        <v>Spring</v>
      </c>
      <c r="X3" t="str">
        <f t="shared" si="6"/>
        <v>Clear</v>
      </c>
      <c r="Y3" t="str">
        <f t="shared" si="7"/>
        <v>Night</v>
      </c>
      <c r="Z3" t="str">
        <f t="shared" si="8"/>
        <v>Mild</v>
      </c>
      <c r="AA3" t="str">
        <f t="shared" si="9"/>
        <v>High</v>
      </c>
      <c r="AB3" t="str">
        <f t="shared" si="10"/>
        <v>Off-Peak</v>
      </c>
      <c r="AC3" s="63">
        <f t="shared" si="11"/>
        <v>0.2</v>
      </c>
      <c r="AD3" t="str">
        <f>IF(P3&gt;=Stats!$C$30,"High",IF(P3&lt;=Stats!$C$29,"Low","Normal"))</f>
        <v>Normal</v>
      </c>
      <c r="AE3">
        <f t="shared" si="12"/>
        <v>1</v>
      </c>
    </row>
    <row r="4" spans="1:31" x14ac:dyDescent="0.2">
      <c r="A4">
        <f>Dataset_A!A4</f>
        <v>3</v>
      </c>
      <c r="B4" s="61">
        <f>Dataset_A!B4</f>
        <v>40544</v>
      </c>
      <c r="C4">
        <f>Dataset_A!C4</f>
        <v>1</v>
      </c>
      <c r="D4">
        <f>Dataset_A!D4</f>
        <v>0</v>
      </c>
      <c r="E4">
        <f>Dataset_A!E4</f>
        <v>1</v>
      </c>
      <c r="F4">
        <f>Dataset_A!F4</f>
        <v>2</v>
      </c>
      <c r="G4" t="b">
        <f>Dataset_A!G4</f>
        <v>0</v>
      </c>
      <c r="H4">
        <f>Dataset_A!H4</f>
        <v>6</v>
      </c>
      <c r="I4">
        <f>Dataset_A!I4</f>
        <v>1</v>
      </c>
      <c r="J4" s="55">
        <f>Dataset_A!J4</f>
        <v>0.22</v>
      </c>
      <c r="K4">
        <f>Dataset_A!K4</f>
        <v>0.2727</v>
      </c>
      <c r="L4">
        <f>Dataset_A!L4</f>
        <v>0.8</v>
      </c>
      <c r="M4">
        <f>Dataset_A!M4</f>
        <v>0</v>
      </c>
      <c r="N4">
        <f>Dataset_A!N4</f>
        <v>5</v>
      </c>
      <c r="O4">
        <f>Dataset_A!O4</f>
        <v>27</v>
      </c>
      <c r="P4">
        <f>Dataset_A!P4</f>
        <v>32</v>
      </c>
      <c r="Q4" t="str">
        <f t="shared" si="0"/>
        <v>REC-0003</v>
      </c>
      <c r="R4" s="62">
        <f t="shared" si="1"/>
        <v>40544.083333333336</v>
      </c>
      <c r="S4" t="str">
        <f t="shared" si="2"/>
        <v>Jan</v>
      </c>
      <c r="T4" t="str">
        <f>INDEX(Lookups!$B$39:$B$45,MATCH(H4,Lookups!$A$39:$A$45,0))</f>
        <v>Sat</v>
      </c>
      <c r="U4" t="str">
        <f t="shared" si="3"/>
        <v>Weekend</v>
      </c>
      <c r="V4" t="str">
        <f t="shared" si="4"/>
        <v>Non-Working Day</v>
      </c>
      <c r="W4" t="str">
        <f t="shared" si="5"/>
        <v>Spring</v>
      </c>
      <c r="X4" t="str">
        <f t="shared" si="6"/>
        <v>Clear</v>
      </c>
      <c r="Y4" t="str">
        <f t="shared" si="7"/>
        <v>Night</v>
      </c>
      <c r="Z4" t="str">
        <f t="shared" si="8"/>
        <v>Mild</v>
      </c>
      <c r="AA4" t="str">
        <f t="shared" si="9"/>
        <v>High</v>
      </c>
      <c r="AB4" t="str">
        <f t="shared" si="10"/>
        <v>Off-Peak</v>
      </c>
      <c r="AC4" s="63">
        <f t="shared" si="11"/>
        <v>0.15625</v>
      </c>
      <c r="AD4" t="str">
        <f>IF(P4&gt;=Stats!$C$30,"High",IF(P4&lt;=Stats!$C$29,"Low","Normal"))</f>
        <v>Normal</v>
      </c>
      <c r="AE4">
        <f t="shared" si="12"/>
        <v>1</v>
      </c>
    </row>
    <row r="5" spans="1:31" x14ac:dyDescent="0.2">
      <c r="A5">
        <f>Dataset_A!A5</f>
        <v>4</v>
      </c>
      <c r="B5" s="61">
        <f>Dataset_A!B5</f>
        <v>40544</v>
      </c>
      <c r="C5">
        <f>Dataset_A!C5</f>
        <v>1</v>
      </c>
      <c r="D5">
        <f>Dataset_A!D5</f>
        <v>0</v>
      </c>
      <c r="E5">
        <f>Dataset_A!E5</f>
        <v>1</v>
      </c>
      <c r="F5">
        <f>Dataset_A!F5</f>
        <v>3</v>
      </c>
      <c r="G5" t="b">
        <f>Dataset_A!G5</f>
        <v>0</v>
      </c>
      <c r="H5">
        <f>Dataset_A!H5</f>
        <v>6</v>
      </c>
      <c r="I5">
        <f>Dataset_A!I5</f>
        <v>1</v>
      </c>
      <c r="J5" s="55">
        <f>Dataset_A!J5</f>
        <v>0.24</v>
      </c>
      <c r="K5">
        <f>Dataset_A!K5</f>
        <v>0.28789999999999999</v>
      </c>
      <c r="L5">
        <f>Dataset_A!L5</f>
        <v>0.75</v>
      </c>
      <c r="M5">
        <f>Dataset_A!M5</f>
        <v>0</v>
      </c>
      <c r="N5">
        <f>Dataset_A!N5</f>
        <v>3</v>
      </c>
      <c r="O5">
        <f>Dataset_A!O5</f>
        <v>10</v>
      </c>
      <c r="P5">
        <f>Dataset_A!P5</f>
        <v>13</v>
      </c>
      <c r="Q5" t="str">
        <f t="shared" si="0"/>
        <v>REC-0004</v>
      </c>
      <c r="R5" s="62">
        <f t="shared" si="1"/>
        <v>40544.125</v>
      </c>
      <c r="S5" t="str">
        <f t="shared" si="2"/>
        <v>Jan</v>
      </c>
      <c r="T5" t="str">
        <f>INDEX(Lookups!$B$39:$B$45,MATCH(H5,Lookups!$A$39:$A$45,0))</f>
        <v>Sat</v>
      </c>
      <c r="U5" t="str">
        <f t="shared" si="3"/>
        <v>Weekend</v>
      </c>
      <c r="V5" t="str">
        <f t="shared" si="4"/>
        <v>Non-Working Day</v>
      </c>
      <c r="W5" t="str">
        <f t="shared" si="5"/>
        <v>Spring</v>
      </c>
      <c r="X5" t="str">
        <f t="shared" si="6"/>
        <v>Clear</v>
      </c>
      <c r="Y5" t="str">
        <f t="shared" si="7"/>
        <v>Night</v>
      </c>
      <c r="Z5" t="str">
        <f t="shared" si="8"/>
        <v>Mild</v>
      </c>
      <c r="AA5" t="str">
        <f t="shared" si="9"/>
        <v>High</v>
      </c>
      <c r="AB5" t="str">
        <f t="shared" si="10"/>
        <v>Off-Peak</v>
      </c>
      <c r="AC5" s="63">
        <f t="shared" si="11"/>
        <v>0.23076923076923078</v>
      </c>
      <c r="AD5" t="str">
        <f>IF(P5&gt;=Stats!$C$30,"High",IF(P5&lt;=Stats!$C$29,"Low","Normal"))</f>
        <v>Low</v>
      </c>
      <c r="AE5">
        <f t="shared" si="12"/>
        <v>1</v>
      </c>
    </row>
    <row r="6" spans="1:31" x14ac:dyDescent="0.2">
      <c r="A6">
        <f>Dataset_A!A6</f>
        <v>5</v>
      </c>
      <c r="B6" s="61">
        <f>Dataset_A!B6</f>
        <v>40544</v>
      </c>
      <c r="C6">
        <f>Dataset_A!C6</f>
        <v>1</v>
      </c>
      <c r="D6">
        <f>Dataset_A!D6</f>
        <v>0</v>
      </c>
      <c r="E6">
        <f>Dataset_A!E6</f>
        <v>1</v>
      </c>
      <c r="F6">
        <f>Dataset_A!F6</f>
        <v>4</v>
      </c>
      <c r="G6" t="b">
        <f>Dataset_A!G6</f>
        <v>0</v>
      </c>
      <c r="H6">
        <f>Dataset_A!H6</f>
        <v>6</v>
      </c>
      <c r="I6">
        <f>Dataset_A!I6</f>
        <v>1</v>
      </c>
      <c r="J6" s="55">
        <f>Dataset_A!J6</f>
        <v>0.24</v>
      </c>
      <c r="K6">
        <f>Dataset_A!K6</f>
        <v>0.28789999999999999</v>
      </c>
      <c r="L6">
        <f>Dataset_A!L6</f>
        <v>0.75</v>
      </c>
      <c r="M6">
        <f>Dataset_A!M6</f>
        <v>0</v>
      </c>
      <c r="N6">
        <f>Dataset_A!N6</f>
        <v>0</v>
      </c>
      <c r="O6">
        <f>Dataset_A!O6</f>
        <v>1</v>
      </c>
      <c r="P6">
        <f>Dataset_A!P6</f>
        <v>1</v>
      </c>
      <c r="Q6" t="str">
        <f t="shared" si="0"/>
        <v>REC-0005</v>
      </c>
      <c r="R6" s="62">
        <f t="shared" si="1"/>
        <v>40544.166666666664</v>
      </c>
      <c r="S6" t="str">
        <f t="shared" si="2"/>
        <v>Jan</v>
      </c>
      <c r="T6" t="str">
        <f>INDEX(Lookups!$B$39:$B$45,MATCH(H6,Lookups!$A$39:$A$45,0))</f>
        <v>Sat</v>
      </c>
      <c r="U6" t="str">
        <f t="shared" si="3"/>
        <v>Weekend</v>
      </c>
      <c r="V6" t="str">
        <f t="shared" si="4"/>
        <v>Non-Working Day</v>
      </c>
      <c r="W6" t="str">
        <f t="shared" si="5"/>
        <v>Spring</v>
      </c>
      <c r="X6" t="str">
        <f t="shared" si="6"/>
        <v>Clear</v>
      </c>
      <c r="Y6" t="str">
        <f t="shared" si="7"/>
        <v>Night</v>
      </c>
      <c r="Z6" t="str">
        <f t="shared" si="8"/>
        <v>Mild</v>
      </c>
      <c r="AA6" t="str">
        <f t="shared" si="9"/>
        <v>High</v>
      </c>
      <c r="AB6" t="str">
        <f t="shared" si="10"/>
        <v>Off-Peak</v>
      </c>
      <c r="AC6" s="63">
        <f t="shared" si="11"/>
        <v>0</v>
      </c>
      <c r="AD6" t="str">
        <f>IF(P6&gt;=Stats!$C$30,"High",IF(P6&lt;=Stats!$C$29,"Low","Normal"))</f>
        <v>Low</v>
      </c>
      <c r="AE6">
        <f t="shared" si="12"/>
        <v>1</v>
      </c>
    </row>
    <row r="7" spans="1:31" x14ac:dyDescent="0.2">
      <c r="A7">
        <f>Dataset_A!A7</f>
        <v>6</v>
      </c>
      <c r="B7" s="61">
        <f>Dataset_A!B7</f>
        <v>40544</v>
      </c>
      <c r="C7">
        <f>Dataset_A!C7</f>
        <v>1</v>
      </c>
      <c r="D7">
        <f>Dataset_A!D7</f>
        <v>0</v>
      </c>
      <c r="E7">
        <f>Dataset_A!E7</f>
        <v>1</v>
      </c>
      <c r="F7">
        <f>Dataset_A!F7</f>
        <v>5</v>
      </c>
      <c r="G7" t="b">
        <f>Dataset_A!G7</f>
        <v>0</v>
      </c>
      <c r="H7">
        <f>Dataset_A!H7</f>
        <v>6</v>
      </c>
      <c r="I7">
        <f>Dataset_A!I7</f>
        <v>2</v>
      </c>
      <c r="J7" s="55">
        <f>Dataset_A!J7</f>
        <v>0.24</v>
      </c>
      <c r="K7">
        <f>Dataset_A!K7</f>
        <v>0.2576</v>
      </c>
      <c r="L7">
        <f>Dataset_A!L7</f>
        <v>0.75</v>
      </c>
      <c r="M7">
        <f>Dataset_A!M7</f>
        <v>8.9599999999999999E-2</v>
      </c>
      <c r="N7">
        <f>Dataset_A!N7</f>
        <v>0</v>
      </c>
      <c r="O7">
        <f>Dataset_A!O7</f>
        <v>1</v>
      </c>
      <c r="P7">
        <f>Dataset_A!P7</f>
        <v>1</v>
      </c>
      <c r="Q7" t="str">
        <f t="shared" si="0"/>
        <v>REC-0006</v>
      </c>
      <c r="R7" s="62">
        <f t="shared" si="1"/>
        <v>40544.208333333336</v>
      </c>
      <c r="S7" t="str">
        <f t="shared" si="2"/>
        <v>Jan</v>
      </c>
      <c r="T7" t="str">
        <f>INDEX(Lookups!$B$39:$B$45,MATCH(H7,Lookups!$A$39:$A$45,0))</f>
        <v>Sat</v>
      </c>
      <c r="U7" t="str">
        <f t="shared" si="3"/>
        <v>Weekend</v>
      </c>
      <c r="V7" t="str">
        <f t="shared" si="4"/>
        <v>Non-Working Day</v>
      </c>
      <c r="W7" t="str">
        <f t="shared" si="5"/>
        <v>Spring</v>
      </c>
      <c r="X7" t="str">
        <f t="shared" si="6"/>
        <v>Cloudy/Mist</v>
      </c>
      <c r="Y7" t="str">
        <f t="shared" si="7"/>
        <v>Night</v>
      </c>
      <c r="Z7" t="str">
        <f t="shared" si="8"/>
        <v>Mild</v>
      </c>
      <c r="AA7" t="str">
        <f t="shared" si="9"/>
        <v>High</v>
      </c>
      <c r="AB7" t="str">
        <f t="shared" si="10"/>
        <v>Off-Peak</v>
      </c>
      <c r="AC7" s="63">
        <f t="shared" si="11"/>
        <v>0</v>
      </c>
      <c r="AD7" t="str">
        <f>IF(P7&gt;=Stats!$C$30,"High",IF(P7&lt;=Stats!$C$29,"Low","Normal"))</f>
        <v>Low</v>
      </c>
      <c r="AE7">
        <f t="shared" si="12"/>
        <v>1</v>
      </c>
    </row>
    <row r="8" spans="1:31" x14ac:dyDescent="0.2">
      <c r="A8">
        <f>Dataset_A!A8</f>
        <v>7</v>
      </c>
      <c r="B8" s="61">
        <f>Dataset_A!B8</f>
        <v>40544</v>
      </c>
      <c r="C8">
        <f>Dataset_A!C8</f>
        <v>1</v>
      </c>
      <c r="D8">
        <f>Dataset_A!D8</f>
        <v>0</v>
      </c>
      <c r="E8">
        <f>Dataset_A!E8</f>
        <v>1</v>
      </c>
      <c r="F8">
        <f>Dataset_A!F8</f>
        <v>6</v>
      </c>
      <c r="G8" t="b">
        <f>Dataset_A!G8</f>
        <v>0</v>
      </c>
      <c r="H8">
        <f>Dataset_A!H8</f>
        <v>6</v>
      </c>
      <c r="I8">
        <f>Dataset_A!I8</f>
        <v>1</v>
      </c>
      <c r="J8" s="55">
        <f>Dataset_A!J8</f>
        <v>0.22</v>
      </c>
      <c r="K8">
        <f>Dataset_A!K8</f>
        <v>0.2727</v>
      </c>
      <c r="L8">
        <f>Dataset_A!L8</f>
        <v>0.8</v>
      </c>
      <c r="M8">
        <f>Dataset_A!M8</f>
        <v>0</v>
      </c>
      <c r="N8">
        <f>Dataset_A!N8</f>
        <v>2</v>
      </c>
      <c r="O8">
        <f>Dataset_A!O8</f>
        <v>0</v>
      </c>
      <c r="P8">
        <f>Dataset_A!P8</f>
        <v>2</v>
      </c>
      <c r="Q8" t="str">
        <f t="shared" si="0"/>
        <v>REC-0007</v>
      </c>
      <c r="R8" s="62">
        <f t="shared" si="1"/>
        <v>40544.25</v>
      </c>
      <c r="S8" t="str">
        <f t="shared" si="2"/>
        <v>Jan</v>
      </c>
      <c r="T8" t="str">
        <f>INDEX(Lookups!$B$39:$B$45,MATCH(H8,Lookups!$A$39:$A$45,0))</f>
        <v>Sat</v>
      </c>
      <c r="U8" t="str">
        <f t="shared" si="3"/>
        <v>Weekend</v>
      </c>
      <c r="V8" t="str">
        <f t="shared" si="4"/>
        <v>Non-Working Day</v>
      </c>
      <c r="W8" t="str">
        <f t="shared" si="5"/>
        <v>Spring</v>
      </c>
      <c r="X8" t="str">
        <f t="shared" si="6"/>
        <v>Clear</v>
      </c>
      <c r="Y8" t="str">
        <f t="shared" si="7"/>
        <v>Morning</v>
      </c>
      <c r="Z8" t="str">
        <f t="shared" si="8"/>
        <v>Mild</v>
      </c>
      <c r="AA8" t="str">
        <f t="shared" si="9"/>
        <v>High</v>
      </c>
      <c r="AB8" t="str">
        <f t="shared" si="10"/>
        <v>Off-Peak</v>
      </c>
      <c r="AC8" s="63">
        <f t="shared" si="11"/>
        <v>1</v>
      </c>
      <c r="AD8" t="str">
        <f>IF(P8&gt;=Stats!$C$30,"High",IF(P8&lt;=Stats!$C$29,"Low","Normal"))</f>
        <v>Low</v>
      </c>
      <c r="AE8">
        <f t="shared" si="12"/>
        <v>1</v>
      </c>
    </row>
    <row r="9" spans="1:31" x14ac:dyDescent="0.2">
      <c r="A9">
        <f>Dataset_A!A9</f>
        <v>8</v>
      </c>
      <c r="B9" s="61">
        <f>Dataset_A!B9</f>
        <v>40544</v>
      </c>
      <c r="C9">
        <f>Dataset_A!C9</f>
        <v>1</v>
      </c>
      <c r="D9">
        <f>Dataset_A!D9</f>
        <v>0</v>
      </c>
      <c r="E9">
        <f>Dataset_A!E9</f>
        <v>1</v>
      </c>
      <c r="F9">
        <f>Dataset_A!F9</f>
        <v>7</v>
      </c>
      <c r="G9" t="b">
        <f>Dataset_A!G9</f>
        <v>0</v>
      </c>
      <c r="H9">
        <f>Dataset_A!H9</f>
        <v>6</v>
      </c>
      <c r="I9">
        <f>Dataset_A!I9</f>
        <v>1</v>
      </c>
      <c r="J9" s="55">
        <f>Dataset_A!J9</f>
        <v>0.2</v>
      </c>
      <c r="K9">
        <f>Dataset_A!K9</f>
        <v>0.2576</v>
      </c>
      <c r="L9">
        <f>Dataset_A!L9</f>
        <v>0.86</v>
      </c>
      <c r="M9">
        <f>Dataset_A!M9</f>
        <v>0</v>
      </c>
      <c r="N9">
        <f>Dataset_A!N9</f>
        <v>1</v>
      </c>
      <c r="O9">
        <f>Dataset_A!O9</f>
        <v>2</v>
      </c>
      <c r="P9">
        <f>Dataset_A!P9</f>
        <v>3</v>
      </c>
      <c r="Q9" t="str">
        <f t="shared" si="0"/>
        <v>REC-0008</v>
      </c>
      <c r="R9" s="62">
        <f t="shared" si="1"/>
        <v>40544.291666666664</v>
      </c>
      <c r="S9" t="str">
        <f t="shared" si="2"/>
        <v>Jan</v>
      </c>
      <c r="T9" t="str">
        <f>INDEX(Lookups!$B$39:$B$45,MATCH(H9,Lookups!$A$39:$A$45,0))</f>
        <v>Sat</v>
      </c>
      <c r="U9" t="str">
        <f t="shared" si="3"/>
        <v>Weekend</v>
      </c>
      <c r="V9" t="str">
        <f t="shared" si="4"/>
        <v>Non-Working Day</v>
      </c>
      <c r="W9" t="str">
        <f t="shared" si="5"/>
        <v>Spring</v>
      </c>
      <c r="X9" t="str">
        <f t="shared" si="6"/>
        <v>Clear</v>
      </c>
      <c r="Y9" t="str">
        <f t="shared" si="7"/>
        <v>Morning</v>
      </c>
      <c r="Z9" t="str">
        <f t="shared" si="8"/>
        <v>Mild</v>
      </c>
      <c r="AA9" t="str">
        <f t="shared" si="9"/>
        <v>High</v>
      </c>
      <c r="AB9" t="str">
        <f t="shared" si="10"/>
        <v>Off-Peak</v>
      </c>
      <c r="AC9" s="63">
        <f t="shared" si="11"/>
        <v>0.33333333333333331</v>
      </c>
      <c r="AD9" t="str">
        <f>IF(P9&gt;=Stats!$C$30,"High",IF(P9&lt;=Stats!$C$29,"Low","Normal"))</f>
        <v>Low</v>
      </c>
      <c r="AE9">
        <f t="shared" si="12"/>
        <v>1</v>
      </c>
    </row>
    <row r="10" spans="1:31" x14ac:dyDescent="0.2">
      <c r="A10">
        <f>Dataset_A!A10</f>
        <v>9</v>
      </c>
      <c r="B10" s="61">
        <f>Dataset_A!B10</f>
        <v>40544</v>
      </c>
      <c r="C10">
        <f>Dataset_A!C10</f>
        <v>1</v>
      </c>
      <c r="D10">
        <f>Dataset_A!D10</f>
        <v>0</v>
      </c>
      <c r="E10">
        <f>Dataset_A!E10</f>
        <v>1</v>
      </c>
      <c r="F10">
        <f>Dataset_A!F10</f>
        <v>8</v>
      </c>
      <c r="G10" t="b">
        <f>Dataset_A!G10</f>
        <v>0</v>
      </c>
      <c r="H10">
        <f>Dataset_A!H10</f>
        <v>6</v>
      </c>
      <c r="I10">
        <f>Dataset_A!I10</f>
        <v>1</v>
      </c>
      <c r="J10" s="55">
        <f>Dataset_A!J10</f>
        <v>0.24</v>
      </c>
      <c r="K10">
        <f>Dataset_A!K10</f>
        <v>0.30309999999999998</v>
      </c>
      <c r="L10">
        <f>Dataset_A!L10</f>
        <v>0.75</v>
      </c>
      <c r="M10">
        <f>Dataset_A!M10</f>
        <v>0</v>
      </c>
      <c r="N10">
        <f>Dataset_A!N10</f>
        <v>1</v>
      </c>
      <c r="O10">
        <f>Dataset_A!O10</f>
        <v>7</v>
      </c>
      <c r="P10">
        <f>Dataset_A!P10</f>
        <v>8</v>
      </c>
      <c r="Q10" t="str">
        <f t="shared" si="0"/>
        <v>REC-0009</v>
      </c>
      <c r="R10" s="62">
        <f t="shared" si="1"/>
        <v>40544.333333333336</v>
      </c>
      <c r="S10" t="str">
        <f t="shared" si="2"/>
        <v>Jan</v>
      </c>
      <c r="T10" t="str">
        <f>INDEX(Lookups!$B$39:$B$45,MATCH(H10,Lookups!$A$39:$A$45,0))</f>
        <v>Sat</v>
      </c>
      <c r="U10" t="str">
        <f t="shared" si="3"/>
        <v>Weekend</v>
      </c>
      <c r="V10" t="str">
        <f t="shared" si="4"/>
        <v>Non-Working Day</v>
      </c>
      <c r="W10" t="str">
        <f t="shared" si="5"/>
        <v>Spring</v>
      </c>
      <c r="X10" t="str">
        <f t="shared" si="6"/>
        <v>Clear</v>
      </c>
      <c r="Y10" t="str">
        <f t="shared" si="7"/>
        <v>Morning</v>
      </c>
      <c r="Z10" t="str">
        <f t="shared" si="8"/>
        <v>Mild</v>
      </c>
      <c r="AA10" t="str">
        <f t="shared" si="9"/>
        <v>High</v>
      </c>
      <c r="AB10" t="str">
        <f t="shared" si="10"/>
        <v>Off-Peak</v>
      </c>
      <c r="AC10" s="63">
        <f t="shared" si="11"/>
        <v>0.125</v>
      </c>
      <c r="AD10" t="str">
        <f>IF(P10&gt;=Stats!$C$30,"High",IF(P10&lt;=Stats!$C$29,"Low","Normal"))</f>
        <v>Low</v>
      </c>
      <c r="AE10">
        <f t="shared" si="12"/>
        <v>1</v>
      </c>
    </row>
    <row r="11" spans="1:31" x14ac:dyDescent="0.2">
      <c r="A11">
        <f>Dataset_A!A11</f>
        <v>10</v>
      </c>
      <c r="B11" s="61">
        <f>Dataset_A!B11</f>
        <v>40544</v>
      </c>
      <c r="C11">
        <f>Dataset_A!C11</f>
        <v>1</v>
      </c>
      <c r="D11">
        <f>Dataset_A!D11</f>
        <v>0</v>
      </c>
      <c r="E11">
        <f>Dataset_A!E11</f>
        <v>1</v>
      </c>
      <c r="F11">
        <f>Dataset_A!F11</f>
        <v>9</v>
      </c>
      <c r="G11" t="b">
        <f>Dataset_A!G11</f>
        <v>0</v>
      </c>
      <c r="H11">
        <f>Dataset_A!H11</f>
        <v>6</v>
      </c>
      <c r="I11">
        <f>Dataset_A!I11</f>
        <v>1</v>
      </c>
      <c r="J11" s="55">
        <f>Dataset_A!J11</f>
        <v>0.32</v>
      </c>
      <c r="K11">
        <f>Dataset_A!K11</f>
        <v>0.34849999999999998</v>
      </c>
      <c r="L11">
        <f>Dataset_A!L11</f>
        <v>0.76</v>
      </c>
      <c r="M11">
        <f>Dataset_A!M11</f>
        <v>0</v>
      </c>
      <c r="N11">
        <f>Dataset_A!N11</f>
        <v>8</v>
      </c>
      <c r="O11">
        <f>Dataset_A!O11</f>
        <v>6</v>
      </c>
      <c r="P11">
        <f>Dataset_A!P11</f>
        <v>14</v>
      </c>
      <c r="Q11" t="str">
        <f t="shared" si="0"/>
        <v>REC-0010</v>
      </c>
      <c r="R11" s="62">
        <f t="shared" si="1"/>
        <v>40544.375</v>
      </c>
      <c r="S11" t="str">
        <f t="shared" si="2"/>
        <v>Jan</v>
      </c>
      <c r="T11" t="str">
        <f>INDEX(Lookups!$B$39:$B$45,MATCH(H11,Lookups!$A$39:$A$45,0))</f>
        <v>Sat</v>
      </c>
      <c r="U11" t="str">
        <f t="shared" si="3"/>
        <v>Weekend</v>
      </c>
      <c r="V11" t="str">
        <f t="shared" si="4"/>
        <v>Non-Working Day</v>
      </c>
      <c r="W11" t="str">
        <f t="shared" si="5"/>
        <v>Spring</v>
      </c>
      <c r="X11" t="str">
        <f t="shared" si="6"/>
        <v>Clear</v>
      </c>
      <c r="Y11" t="str">
        <f t="shared" si="7"/>
        <v>Morning</v>
      </c>
      <c r="Z11" t="str">
        <f t="shared" si="8"/>
        <v>Warm</v>
      </c>
      <c r="AA11" t="str">
        <f t="shared" si="9"/>
        <v>High</v>
      </c>
      <c r="AB11" t="str">
        <f t="shared" si="10"/>
        <v>Off-Peak</v>
      </c>
      <c r="AC11" s="63">
        <f t="shared" si="11"/>
        <v>0.5714285714285714</v>
      </c>
      <c r="AD11" t="str">
        <f>IF(P11&gt;=Stats!$C$30,"High",IF(P11&lt;=Stats!$C$29,"Low","Normal"))</f>
        <v>Low</v>
      </c>
      <c r="AE11">
        <f t="shared" si="12"/>
        <v>1</v>
      </c>
    </row>
    <row r="12" spans="1:31" x14ac:dyDescent="0.2">
      <c r="A12">
        <f>Dataset_A!A12</f>
        <v>11</v>
      </c>
      <c r="B12" s="61">
        <f>Dataset_A!B12</f>
        <v>40544</v>
      </c>
      <c r="C12">
        <f>Dataset_A!C12</f>
        <v>1</v>
      </c>
      <c r="D12">
        <f>Dataset_A!D12</f>
        <v>0</v>
      </c>
      <c r="E12">
        <f>Dataset_A!E12</f>
        <v>1</v>
      </c>
      <c r="F12">
        <f>Dataset_A!F12</f>
        <v>10</v>
      </c>
      <c r="G12" t="b">
        <f>Dataset_A!G12</f>
        <v>0</v>
      </c>
      <c r="H12">
        <f>Dataset_A!H12</f>
        <v>6</v>
      </c>
      <c r="I12">
        <f>Dataset_A!I12</f>
        <v>1</v>
      </c>
      <c r="J12" s="55">
        <f>Dataset_A!J12</f>
        <v>0.38</v>
      </c>
      <c r="K12">
        <f>Dataset_A!K12</f>
        <v>0.39389999999999997</v>
      </c>
      <c r="L12">
        <f>Dataset_A!L12</f>
        <v>0.76</v>
      </c>
      <c r="M12">
        <f>Dataset_A!M12</f>
        <v>0.25369999999999998</v>
      </c>
      <c r="N12">
        <f>Dataset_A!N12</f>
        <v>12</v>
      </c>
      <c r="O12">
        <f>Dataset_A!O12</f>
        <v>24</v>
      </c>
      <c r="P12">
        <f>Dataset_A!P12</f>
        <v>36</v>
      </c>
      <c r="Q12" t="str">
        <f t="shared" si="0"/>
        <v>REC-0011</v>
      </c>
      <c r="R12" s="62">
        <f t="shared" si="1"/>
        <v>40544.416666666664</v>
      </c>
      <c r="S12" t="str">
        <f t="shared" si="2"/>
        <v>Jan</v>
      </c>
      <c r="T12" t="str">
        <f>INDEX(Lookups!$B$39:$B$45,MATCH(H12,Lookups!$A$39:$A$45,0))</f>
        <v>Sat</v>
      </c>
      <c r="U12" t="str">
        <f t="shared" si="3"/>
        <v>Weekend</v>
      </c>
      <c r="V12" t="str">
        <f t="shared" si="4"/>
        <v>Non-Working Day</v>
      </c>
      <c r="W12" t="str">
        <f t="shared" si="5"/>
        <v>Spring</v>
      </c>
      <c r="X12" t="str">
        <f t="shared" si="6"/>
        <v>Clear</v>
      </c>
      <c r="Y12" t="str">
        <f t="shared" si="7"/>
        <v>Morning</v>
      </c>
      <c r="Z12" t="str">
        <f t="shared" si="8"/>
        <v>Warm</v>
      </c>
      <c r="AA12" t="str">
        <f t="shared" si="9"/>
        <v>High</v>
      </c>
      <c r="AB12" t="str">
        <f t="shared" si="10"/>
        <v>Off-Peak</v>
      </c>
      <c r="AC12" s="63">
        <f t="shared" si="11"/>
        <v>0.33333333333333331</v>
      </c>
      <c r="AD12" t="str">
        <f>IF(P12&gt;=Stats!$C$30,"High",IF(P12&lt;=Stats!$C$29,"Low","Normal"))</f>
        <v>Normal</v>
      </c>
      <c r="AE12">
        <f t="shared" si="12"/>
        <v>1</v>
      </c>
    </row>
    <row r="13" spans="1:31" x14ac:dyDescent="0.2">
      <c r="A13">
        <f>Dataset_A!A13</f>
        <v>12</v>
      </c>
      <c r="B13" s="61">
        <f>Dataset_A!B13</f>
        <v>40544</v>
      </c>
      <c r="C13">
        <f>Dataset_A!C13</f>
        <v>1</v>
      </c>
      <c r="D13">
        <f>Dataset_A!D13</f>
        <v>0</v>
      </c>
      <c r="E13">
        <f>Dataset_A!E13</f>
        <v>1</v>
      </c>
      <c r="F13">
        <f>Dataset_A!F13</f>
        <v>11</v>
      </c>
      <c r="G13" t="b">
        <f>Dataset_A!G13</f>
        <v>0</v>
      </c>
      <c r="H13">
        <f>Dataset_A!H13</f>
        <v>6</v>
      </c>
      <c r="I13">
        <f>Dataset_A!I13</f>
        <v>1</v>
      </c>
      <c r="J13" s="55">
        <f>Dataset_A!J13</f>
        <v>0.36</v>
      </c>
      <c r="K13">
        <f>Dataset_A!K13</f>
        <v>0.33329999999999999</v>
      </c>
      <c r="L13">
        <f>Dataset_A!L13</f>
        <v>0.81</v>
      </c>
      <c r="M13">
        <f>Dataset_A!M13</f>
        <v>0.28360000000000002</v>
      </c>
      <c r="N13">
        <f>Dataset_A!N13</f>
        <v>26</v>
      </c>
      <c r="O13">
        <f>Dataset_A!O13</f>
        <v>30</v>
      </c>
      <c r="P13">
        <f>Dataset_A!P13</f>
        <v>56</v>
      </c>
      <c r="Q13" t="str">
        <f t="shared" si="0"/>
        <v>REC-0012</v>
      </c>
      <c r="R13" s="62">
        <f t="shared" si="1"/>
        <v>40544.458333333336</v>
      </c>
      <c r="S13" t="str">
        <f t="shared" si="2"/>
        <v>Jan</v>
      </c>
      <c r="T13" t="str">
        <f>INDEX(Lookups!$B$39:$B$45,MATCH(H13,Lookups!$A$39:$A$45,0))</f>
        <v>Sat</v>
      </c>
      <c r="U13" t="str">
        <f t="shared" si="3"/>
        <v>Weekend</v>
      </c>
      <c r="V13" t="str">
        <f t="shared" si="4"/>
        <v>Non-Working Day</v>
      </c>
      <c r="W13" t="str">
        <f t="shared" si="5"/>
        <v>Spring</v>
      </c>
      <c r="X13" t="str">
        <f t="shared" si="6"/>
        <v>Clear</v>
      </c>
      <c r="Y13" t="str">
        <f t="shared" si="7"/>
        <v>Morning</v>
      </c>
      <c r="Z13" t="str">
        <f t="shared" si="8"/>
        <v>Warm</v>
      </c>
      <c r="AA13" t="str">
        <f t="shared" si="9"/>
        <v>High</v>
      </c>
      <c r="AB13" t="str">
        <f t="shared" si="10"/>
        <v>Off-Peak</v>
      </c>
      <c r="AC13" s="63">
        <f t="shared" si="11"/>
        <v>0.4642857142857143</v>
      </c>
      <c r="AD13" t="str">
        <f>IF(P13&gt;=Stats!$C$30,"High",IF(P13&lt;=Stats!$C$29,"Low","Normal"))</f>
        <v>Normal</v>
      </c>
      <c r="AE13">
        <f t="shared" si="12"/>
        <v>1</v>
      </c>
    </row>
    <row r="14" spans="1:31" x14ac:dyDescent="0.2">
      <c r="A14">
        <f>Dataset_A!A14</f>
        <v>13</v>
      </c>
      <c r="B14" s="61">
        <f>Dataset_A!B14</f>
        <v>40544</v>
      </c>
      <c r="C14">
        <f>Dataset_A!C14</f>
        <v>1</v>
      </c>
      <c r="D14">
        <f>Dataset_A!D14</f>
        <v>0</v>
      </c>
      <c r="E14">
        <f>Dataset_A!E14</f>
        <v>1</v>
      </c>
      <c r="F14">
        <f>Dataset_A!F14</f>
        <v>12</v>
      </c>
      <c r="G14" t="b">
        <f>Dataset_A!G14</f>
        <v>0</v>
      </c>
      <c r="H14">
        <f>Dataset_A!H14</f>
        <v>6</v>
      </c>
      <c r="I14">
        <f>Dataset_A!I14</f>
        <v>1</v>
      </c>
      <c r="J14" s="55">
        <f>Dataset_A!J14</f>
        <v>0.42</v>
      </c>
      <c r="K14">
        <f>Dataset_A!K14</f>
        <v>0.42420000000000002</v>
      </c>
      <c r="L14">
        <f>Dataset_A!L14</f>
        <v>0.77</v>
      </c>
      <c r="M14">
        <f>Dataset_A!M14</f>
        <v>0.28360000000000002</v>
      </c>
      <c r="N14">
        <f>Dataset_A!N14</f>
        <v>29</v>
      </c>
      <c r="O14">
        <f>Dataset_A!O14</f>
        <v>55</v>
      </c>
      <c r="P14">
        <f>Dataset_A!P14</f>
        <v>84</v>
      </c>
      <c r="Q14" t="str">
        <f t="shared" si="0"/>
        <v>REC-0013</v>
      </c>
      <c r="R14" s="62">
        <f t="shared" si="1"/>
        <v>40544.5</v>
      </c>
      <c r="S14" t="str">
        <f t="shared" si="2"/>
        <v>Jan</v>
      </c>
      <c r="T14" t="str">
        <f>INDEX(Lookups!$B$39:$B$45,MATCH(H14,Lookups!$A$39:$A$45,0))</f>
        <v>Sat</v>
      </c>
      <c r="U14" t="str">
        <f t="shared" si="3"/>
        <v>Weekend</v>
      </c>
      <c r="V14" t="str">
        <f t="shared" si="4"/>
        <v>Non-Working Day</v>
      </c>
      <c r="W14" t="str">
        <f t="shared" si="5"/>
        <v>Spring</v>
      </c>
      <c r="X14" t="str">
        <f t="shared" si="6"/>
        <v>Clear</v>
      </c>
      <c r="Y14" t="str">
        <f t="shared" si="7"/>
        <v>Afternoon</v>
      </c>
      <c r="Z14" t="str">
        <f t="shared" si="8"/>
        <v>Warm</v>
      </c>
      <c r="AA14" t="str">
        <f t="shared" si="9"/>
        <v>High</v>
      </c>
      <c r="AB14" t="str">
        <f t="shared" si="10"/>
        <v>Off-Peak</v>
      </c>
      <c r="AC14" s="63">
        <f t="shared" si="11"/>
        <v>0.34523809523809523</v>
      </c>
      <c r="AD14" t="str">
        <f>IF(P14&gt;=Stats!$C$30,"High",IF(P14&lt;=Stats!$C$29,"Low","Normal"))</f>
        <v>High</v>
      </c>
      <c r="AE14">
        <f t="shared" si="12"/>
        <v>1</v>
      </c>
    </row>
    <row r="15" spans="1:31" x14ac:dyDescent="0.2">
      <c r="A15">
        <f>Dataset_A!A15</f>
        <v>14</v>
      </c>
      <c r="B15" s="61">
        <f>Dataset_A!B15</f>
        <v>40544</v>
      </c>
      <c r="C15">
        <f>Dataset_A!C15</f>
        <v>1</v>
      </c>
      <c r="D15">
        <f>Dataset_A!D15</f>
        <v>0</v>
      </c>
      <c r="E15">
        <f>Dataset_A!E15</f>
        <v>1</v>
      </c>
      <c r="F15">
        <f>Dataset_A!F15</f>
        <v>13</v>
      </c>
      <c r="G15" t="b">
        <f>Dataset_A!G15</f>
        <v>0</v>
      </c>
      <c r="H15">
        <f>Dataset_A!H15</f>
        <v>6</v>
      </c>
      <c r="I15">
        <f>Dataset_A!I15</f>
        <v>2</v>
      </c>
      <c r="J15" s="55">
        <f>Dataset_A!J15</f>
        <v>0.46</v>
      </c>
      <c r="K15">
        <f>Dataset_A!K15</f>
        <v>0.45450000000000002</v>
      </c>
      <c r="L15">
        <f>Dataset_A!L15</f>
        <v>0.72</v>
      </c>
      <c r="M15">
        <f>Dataset_A!M15</f>
        <v>0.29849999999999999</v>
      </c>
      <c r="N15">
        <f>Dataset_A!N15</f>
        <v>47</v>
      </c>
      <c r="O15">
        <f>Dataset_A!O15</f>
        <v>47</v>
      </c>
      <c r="P15">
        <f>Dataset_A!P15</f>
        <v>94</v>
      </c>
      <c r="Q15" t="str">
        <f t="shared" si="0"/>
        <v>REC-0014</v>
      </c>
      <c r="R15" s="62">
        <f t="shared" si="1"/>
        <v>40544.541666666664</v>
      </c>
      <c r="S15" t="str">
        <f t="shared" si="2"/>
        <v>Jan</v>
      </c>
      <c r="T15" t="str">
        <f>INDEX(Lookups!$B$39:$B$45,MATCH(H15,Lookups!$A$39:$A$45,0))</f>
        <v>Sat</v>
      </c>
      <c r="U15" t="str">
        <f t="shared" si="3"/>
        <v>Weekend</v>
      </c>
      <c r="V15" t="str">
        <f t="shared" si="4"/>
        <v>Non-Working Day</v>
      </c>
      <c r="W15" t="str">
        <f t="shared" si="5"/>
        <v>Spring</v>
      </c>
      <c r="X15" t="str">
        <f t="shared" si="6"/>
        <v>Cloudy/Mist</v>
      </c>
      <c r="Y15" t="str">
        <f t="shared" si="7"/>
        <v>Afternoon</v>
      </c>
      <c r="Z15" t="str">
        <f t="shared" si="8"/>
        <v>Warm</v>
      </c>
      <c r="AA15" t="str">
        <f t="shared" si="9"/>
        <v>Medium</v>
      </c>
      <c r="AB15" t="str">
        <f t="shared" si="10"/>
        <v>Off-Peak</v>
      </c>
      <c r="AC15" s="63">
        <f t="shared" si="11"/>
        <v>0.5</v>
      </c>
      <c r="AD15" t="str">
        <f>IF(P15&gt;=Stats!$C$30,"High",IF(P15&lt;=Stats!$C$29,"Low","Normal"))</f>
        <v>High</v>
      </c>
      <c r="AE15">
        <f t="shared" si="12"/>
        <v>1</v>
      </c>
    </row>
    <row r="16" spans="1:31" x14ac:dyDescent="0.2">
      <c r="A16">
        <f>Dataset_A!A16</f>
        <v>15</v>
      </c>
      <c r="B16" s="61">
        <f>Dataset_A!B16</f>
        <v>40544</v>
      </c>
      <c r="C16">
        <f>Dataset_A!C16</f>
        <v>1</v>
      </c>
      <c r="D16">
        <f>Dataset_A!D16</f>
        <v>0</v>
      </c>
      <c r="E16">
        <f>Dataset_A!E16</f>
        <v>1</v>
      </c>
      <c r="F16">
        <f>Dataset_A!F16</f>
        <v>14</v>
      </c>
      <c r="G16" t="b">
        <f>Dataset_A!G16</f>
        <v>0</v>
      </c>
      <c r="H16">
        <f>Dataset_A!H16</f>
        <v>6</v>
      </c>
      <c r="I16">
        <f>Dataset_A!I16</f>
        <v>2</v>
      </c>
      <c r="J16" s="55">
        <f>Dataset_A!J16</f>
        <v>0.46</v>
      </c>
      <c r="K16">
        <f>Dataset_A!K16</f>
        <v>0.45450000000000002</v>
      </c>
      <c r="L16">
        <f>Dataset_A!L16</f>
        <v>0.72</v>
      </c>
      <c r="M16">
        <f>Dataset_A!M16</f>
        <v>0.28360000000000002</v>
      </c>
      <c r="N16">
        <f>Dataset_A!N16</f>
        <v>35</v>
      </c>
      <c r="O16">
        <f>Dataset_A!O16</f>
        <v>71</v>
      </c>
      <c r="P16">
        <f>Dataset_A!P16</f>
        <v>106</v>
      </c>
      <c r="Q16" t="str">
        <f t="shared" si="0"/>
        <v>REC-0015</v>
      </c>
      <c r="R16" s="62">
        <f t="shared" si="1"/>
        <v>40544.583333333336</v>
      </c>
      <c r="S16" t="str">
        <f t="shared" si="2"/>
        <v>Jan</v>
      </c>
      <c r="T16" t="str">
        <f>INDEX(Lookups!$B$39:$B$45,MATCH(H16,Lookups!$A$39:$A$45,0))</f>
        <v>Sat</v>
      </c>
      <c r="U16" t="str">
        <f t="shared" si="3"/>
        <v>Weekend</v>
      </c>
      <c r="V16" t="str">
        <f t="shared" si="4"/>
        <v>Non-Working Day</v>
      </c>
      <c r="W16" t="str">
        <f t="shared" si="5"/>
        <v>Spring</v>
      </c>
      <c r="X16" t="str">
        <f t="shared" si="6"/>
        <v>Cloudy/Mist</v>
      </c>
      <c r="Y16" t="str">
        <f t="shared" si="7"/>
        <v>Afternoon</v>
      </c>
      <c r="Z16" t="str">
        <f t="shared" si="8"/>
        <v>Warm</v>
      </c>
      <c r="AA16" t="str">
        <f t="shared" si="9"/>
        <v>Medium</v>
      </c>
      <c r="AB16" t="str">
        <f t="shared" si="10"/>
        <v>Off-Peak</v>
      </c>
      <c r="AC16" s="63">
        <f t="shared" si="11"/>
        <v>0.330188679245283</v>
      </c>
      <c r="AD16" t="str">
        <f>IF(P16&gt;=Stats!$C$30,"High",IF(P16&lt;=Stats!$C$29,"Low","Normal"))</f>
        <v>High</v>
      </c>
      <c r="AE16">
        <f t="shared" si="12"/>
        <v>1</v>
      </c>
    </row>
    <row r="17" spans="1:31" x14ac:dyDescent="0.2">
      <c r="A17">
        <f>Dataset_A!A17</f>
        <v>16</v>
      </c>
      <c r="B17" s="61">
        <f>Dataset_A!B17</f>
        <v>40544</v>
      </c>
      <c r="C17">
        <f>Dataset_A!C17</f>
        <v>1</v>
      </c>
      <c r="D17">
        <f>Dataset_A!D17</f>
        <v>0</v>
      </c>
      <c r="E17">
        <f>Dataset_A!E17</f>
        <v>1</v>
      </c>
      <c r="F17">
        <f>Dataset_A!F17</f>
        <v>15</v>
      </c>
      <c r="G17" t="b">
        <f>Dataset_A!G17</f>
        <v>0</v>
      </c>
      <c r="H17">
        <f>Dataset_A!H17</f>
        <v>6</v>
      </c>
      <c r="I17">
        <f>Dataset_A!I17</f>
        <v>2</v>
      </c>
      <c r="J17" s="55">
        <f>Dataset_A!J17</f>
        <v>0.44</v>
      </c>
      <c r="K17">
        <f>Dataset_A!K17</f>
        <v>0.43940000000000001</v>
      </c>
      <c r="L17">
        <f>Dataset_A!L17</f>
        <v>0.77</v>
      </c>
      <c r="M17">
        <f>Dataset_A!M17</f>
        <v>0.29849999999999999</v>
      </c>
      <c r="N17">
        <f>Dataset_A!N17</f>
        <v>40</v>
      </c>
      <c r="O17">
        <f>Dataset_A!O17</f>
        <v>70</v>
      </c>
      <c r="P17">
        <f>Dataset_A!P17</f>
        <v>110</v>
      </c>
      <c r="Q17" t="str">
        <f t="shared" si="0"/>
        <v>REC-0016</v>
      </c>
      <c r="R17" s="62">
        <f t="shared" si="1"/>
        <v>40544.625</v>
      </c>
      <c r="S17" t="str">
        <f t="shared" si="2"/>
        <v>Jan</v>
      </c>
      <c r="T17" t="str">
        <f>INDEX(Lookups!$B$39:$B$45,MATCH(H17,Lookups!$A$39:$A$45,0))</f>
        <v>Sat</v>
      </c>
      <c r="U17" t="str">
        <f t="shared" si="3"/>
        <v>Weekend</v>
      </c>
      <c r="V17" t="str">
        <f t="shared" si="4"/>
        <v>Non-Working Day</v>
      </c>
      <c r="W17" t="str">
        <f t="shared" si="5"/>
        <v>Spring</v>
      </c>
      <c r="X17" t="str">
        <f t="shared" si="6"/>
        <v>Cloudy/Mist</v>
      </c>
      <c r="Y17" t="str">
        <f t="shared" si="7"/>
        <v>Afternoon</v>
      </c>
      <c r="Z17" t="str">
        <f t="shared" si="8"/>
        <v>Warm</v>
      </c>
      <c r="AA17" t="str">
        <f t="shared" si="9"/>
        <v>High</v>
      </c>
      <c r="AB17" t="str">
        <f t="shared" si="10"/>
        <v>Off-Peak</v>
      </c>
      <c r="AC17" s="63">
        <f t="shared" si="11"/>
        <v>0.36363636363636365</v>
      </c>
      <c r="AD17" t="str">
        <f>IF(P17&gt;=Stats!$C$30,"High",IF(P17&lt;=Stats!$C$29,"Low","Normal"))</f>
        <v>High</v>
      </c>
      <c r="AE17">
        <f t="shared" si="12"/>
        <v>1</v>
      </c>
    </row>
    <row r="18" spans="1:31" x14ac:dyDescent="0.2">
      <c r="A18">
        <f>Dataset_A!A18</f>
        <v>17</v>
      </c>
      <c r="B18" s="61">
        <f>Dataset_A!B18</f>
        <v>40544</v>
      </c>
      <c r="C18">
        <f>Dataset_A!C18</f>
        <v>1</v>
      </c>
      <c r="D18">
        <f>Dataset_A!D18</f>
        <v>0</v>
      </c>
      <c r="E18">
        <f>Dataset_A!E18</f>
        <v>1</v>
      </c>
      <c r="F18">
        <f>Dataset_A!F18</f>
        <v>16</v>
      </c>
      <c r="G18" t="b">
        <f>Dataset_A!G18</f>
        <v>0</v>
      </c>
      <c r="H18">
        <f>Dataset_A!H18</f>
        <v>6</v>
      </c>
      <c r="I18">
        <f>Dataset_A!I18</f>
        <v>2</v>
      </c>
      <c r="J18" s="55">
        <f>Dataset_A!J18</f>
        <v>0.42</v>
      </c>
      <c r="K18">
        <f>Dataset_A!K18</f>
        <v>0.42420000000000002</v>
      </c>
      <c r="L18">
        <f>Dataset_A!L18</f>
        <v>0.82</v>
      </c>
      <c r="M18">
        <f>Dataset_A!M18</f>
        <v>0.29849999999999999</v>
      </c>
      <c r="N18">
        <f>Dataset_A!N18</f>
        <v>41</v>
      </c>
      <c r="O18">
        <f>Dataset_A!O18</f>
        <v>52</v>
      </c>
      <c r="P18">
        <f>Dataset_A!P18</f>
        <v>93</v>
      </c>
      <c r="Q18" t="str">
        <f t="shared" si="0"/>
        <v>REC-0017</v>
      </c>
      <c r="R18" s="62">
        <f t="shared" si="1"/>
        <v>40544.666666666664</v>
      </c>
      <c r="S18" t="str">
        <f t="shared" si="2"/>
        <v>Jan</v>
      </c>
      <c r="T18" t="str">
        <f>INDEX(Lookups!$B$39:$B$45,MATCH(H18,Lookups!$A$39:$A$45,0))</f>
        <v>Sat</v>
      </c>
      <c r="U18" t="str">
        <f t="shared" si="3"/>
        <v>Weekend</v>
      </c>
      <c r="V18" t="str">
        <f t="shared" si="4"/>
        <v>Non-Working Day</v>
      </c>
      <c r="W18" t="str">
        <f t="shared" si="5"/>
        <v>Spring</v>
      </c>
      <c r="X18" t="str">
        <f t="shared" si="6"/>
        <v>Cloudy/Mist</v>
      </c>
      <c r="Y18" t="str">
        <f t="shared" si="7"/>
        <v>Afternoon</v>
      </c>
      <c r="Z18" t="str">
        <f t="shared" si="8"/>
        <v>Warm</v>
      </c>
      <c r="AA18" t="str">
        <f t="shared" si="9"/>
        <v>High</v>
      </c>
      <c r="AB18" t="str">
        <f t="shared" si="10"/>
        <v>Off-Peak</v>
      </c>
      <c r="AC18" s="63">
        <f t="shared" si="11"/>
        <v>0.44086021505376344</v>
      </c>
      <c r="AD18" t="str">
        <f>IF(P18&gt;=Stats!$C$30,"High",IF(P18&lt;=Stats!$C$29,"Low","Normal"))</f>
        <v>High</v>
      </c>
      <c r="AE18">
        <f t="shared" si="12"/>
        <v>1</v>
      </c>
    </row>
    <row r="19" spans="1:31" x14ac:dyDescent="0.2">
      <c r="A19">
        <f>Dataset_A!A19</f>
        <v>18</v>
      </c>
      <c r="B19" s="61">
        <f>Dataset_A!B19</f>
        <v>40544</v>
      </c>
      <c r="C19">
        <f>Dataset_A!C19</f>
        <v>1</v>
      </c>
      <c r="D19">
        <f>Dataset_A!D19</f>
        <v>0</v>
      </c>
      <c r="E19">
        <f>Dataset_A!E19</f>
        <v>1</v>
      </c>
      <c r="F19">
        <f>Dataset_A!F19</f>
        <v>17</v>
      </c>
      <c r="G19" t="b">
        <f>Dataset_A!G19</f>
        <v>0</v>
      </c>
      <c r="H19">
        <f>Dataset_A!H19</f>
        <v>6</v>
      </c>
      <c r="I19">
        <f>Dataset_A!I19</f>
        <v>2</v>
      </c>
      <c r="J19" s="55">
        <f>Dataset_A!J19</f>
        <v>0.44</v>
      </c>
      <c r="K19">
        <f>Dataset_A!K19</f>
        <v>0.42420000000000002</v>
      </c>
      <c r="L19">
        <f>Dataset_A!L19</f>
        <v>0.82</v>
      </c>
      <c r="M19">
        <f>Dataset_A!M19</f>
        <v>0.28360000000000002</v>
      </c>
      <c r="N19">
        <f>Dataset_A!N19</f>
        <v>15</v>
      </c>
      <c r="O19">
        <f>Dataset_A!O19</f>
        <v>52</v>
      </c>
      <c r="P19">
        <f>Dataset_A!P19</f>
        <v>67</v>
      </c>
      <c r="Q19" t="str">
        <f t="shared" si="0"/>
        <v>REC-0018</v>
      </c>
      <c r="R19" s="62">
        <f t="shared" si="1"/>
        <v>40544.708333333336</v>
      </c>
      <c r="S19" t="str">
        <f t="shared" si="2"/>
        <v>Jan</v>
      </c>
      <c r="T19" t="str">
        <f>INDEX(Lookups!$B$39:$B$45,MATCH(H19,Lookups!$A$39:$A$45,0))</f>
        <v>Sat</v>
      </c>
      <c r="U19" t="str">
        <f t="shared" si="3"/>
        <v>Weekend</v>
      </c>
      <c r="V19" t="str">
        <f t="shared" si="4"/>
        <v>Non-Working Day</v>
      </c>
      <c r="W19" t="str">
        <f t="shared" si="5"/>
        <v>Spring</v>
      </c>
      <c r="X19" t="str">
        <f t="shared" si="6"/>
        <v>Cloudy/Mist</v>
      </c>
      <c r="Y19" t="str">
        <f t="shared" si="7"/>
        <v>Evening</v>
      </c>
      <c r="Z19" t="str">
        <f t="shared" si="8"/>
        <v>Warm</v>
      </c>
      <c r="AA19" t="str">
        <f t="shared" si="9"/>
        <v>High</v>
      </c>
      <c r="AB19" t="str">
        <f t="shared" si="10"/>
        <v>Off-Peak</v>
      </c>
      <c r="AC19" s="63">
        <f t="shared" si="11"/>
        <v>0.22388059701492538</v>
      </c>
      <c r="AD19" t="str">
        <f>IF(P19&gt;=Stats!$C$30,"High",IF(P19&lt;=Stats!$C$29,"Low","Normal"))</f>
        <v>Normal</v>
      </c>
      <c r="AE19">
        <f t="shared" si="12"/>
        <v>1</v>
      </c>
    </row>
    <row r="20" spans="1:31" x14ac:dyDescent="0.2">
      <c r="A20">
        <f>Dataset_A!A20</f>
        <v>19</v>
      </c>
      <c r="B20" s="61">
        <f>Dataset_A!B20</f>
        <v>40544</v>
      </c>
      <c r="C20">
        <f>Dataset_A!C20</f>
        <v>1</v>
      </c>
      <c r="D20">
        <f>Dataset_A!D20</f>
        <v>0</v>
      </c>
      <c r="E20">
        <f>Dataset_A!E20</f>
        <v>1</v>
      </c>
      <c r="F20">
        <f>Dataset_A!F20</f>
        <v>18</v>
      </c>
      <c r="G20" t="b">
        <f>Dataset_A!G20</f>
        <v>0</v>
      </c>
      <c r="H20">
        <f>Dataset_A!H20</f>
        <v>6</v>
      </c>
      <c r="I20">
        <f>Dataset_A!I20</f>
        <v>3</v>
      </c>
      <c r="J20" s="55">
        <f>Dataset_A!J20</f>
        <v>0.42</v>
      </c>
      <c r="K20">
        <f>Dataset_A!K20</f>
        <v>0.42420000000000002</v>
      </c>
      <c r="L20">
        <f>Dataset_A!L20</f>
        <v>0.88</v>
      </c>
      <c r="M20">
        <f>Dataset_A!M20</f>
        <v>0.25369999999999998</v>
      </c>
      <c r="N20">
        <f>Dataset_A!N20</f>
        <v>9</v>
      </c>
      <c r="O20">
        <f>Dataset_A!O20</f>
        <v>26</v>
      </c>
      <c r="P20">
        <f>Dataset_A!P20</f>
        <v>35</v>
      </c>
      <c r="Q20" t="str">
        <f t="shared" si="0"/>
        <v>REC-0019</v>
      </c>
      <c r="R20" s="62">
        <f t="shared" si="1"/>
        <v>40544.75</v>
      </c>
      <c r="S20" t="str">
        <f t="shared" si="2"/>
        <v>Jan</v>
      </c>
      <c r="T20" t="str">
        <f>INDEX(Lookups!$B$39:$B$45,MATCH(H20,Lookups!$A$39:$A$45,0))</f>
        <v>Sat</v>
      </c>
      <c r="U20" t="str">
        <f t="shared" si="3"/>
        <v>Weekend</v>
      </c>
      <c r="V20" t="str">
        <f t="shared" si="4"/>
        <v>Non-Working Day</v>
      </c>
      <c r="W20" t="str">
        <f t="shared" si="5"/>
        <v>Spring</v>
      </c>
      <c r="X20" t="str">
        <f t="shared" si="6"/>
        <v>Light Rain/Snow</v>
      </c>
      <c r="Y20" t="str">
        <f t="shared" si="7"/>
        <v>Evening</v>
      </c>
      <c r="Z20" t="str">
        <f t="shared" si="8"/>
        <v>Warm</v>
      </c>
      <c r="AA20" t="str">
        <f t="shared" si="9"/>
        <v>High</v>
      </c>
      <c r="AB20" t="str">
        <f t="shared" si="10"/>
        <v>Off-Peak</v>
      </c>
      <c r="AC20" s="63">
        <f t="shared" si="11"/>
        <v>0.25714285714285712</v>
      </c>
      <c r="AD20" t="str">
        <f>IF(P20&gt;=Stats!$C$30,"High",IF(P20&lt;=Stats!$C$29,"Low","Normal"))</f>
        <v>Normal</v>
      </c>
      <c r="AE20">
        <f t="shared" si="12"/>
        <v>1</v>
      </c>
    </row>
    <row r="21" spans="1:31" x14ac:dyDescent="0.2">
      <c r="A21">
        <f>Dataset_A!A21</f>
        <v>20</v>
      </c>
      <c r="B21" s="61">
        <f>Dataset_A!B21</f>
        <v>40544</v>
      </c>
      <c r="C21">
        <f>Dataset_A!C21</f>
        <v>1</v>
      </c>
      <c r="D21">
        <f>Dataset_A!D21</f>
        <v>0</v>
      </c>
      <c r="E21">
        <f>Dataset_A!E21</f>
        <v>1</v>
      </c>
      <c r="F21">
        <f>Dataset_A!F21</f>
        <v>19</v>
      </c>
      <c r="G21" t="b">
        <f>Dataset_A!G21</f>
        <v>0</v>
      </c>
      <c r="H21">
        <f>Dataset_A!H21</f>
        <v>6</v>
      </c>
      <c r="I21">
        <f>Dataset_A!I21</f>
        <v>3</v>
      </c>
      <c r="J21" s="55">
        <f>Dataset_A!J21</f>
        <v>0.42</v>
      </c>
      <c r="K21">
        <f>Dataset_A!K21</f>
        <v>0.42420000000000002</v>
      </c>
      <c r="L21">
        <f>Dataset_A!L21</f>
        <v>0.88</v>
      </c>
      <c r="M21">
        <f>Dataset_A!M21</f>
        <v>0.25369999999999998</v>
      </c>
      <c r="N21">
        <f>Dataset_A!N21</f>
        <v>6</v>
      </c>
      <c r="O21">
        <f>Dataset_A!O21</f>
        <v>31</v>
      </c>
      <c r="P21">
        <f>Dataset_A!P21</f>
        <v>37</v>
      </c>
      <c r="Q21" t="str">
        <f t="shared" si="0"/>
        <v>REC-0020</v>
      </c>
      <c r="R21" s="62">
        <f t="shared" si="1"/>
        <v>40544.791666666664</v>
      </c>
      <c r="S21" t="str">
        <f t="shared" si="2"/>
        <v>Jan</v>
      </c>
      <c r="T21" t="str">
        <f>INDEX(Lookups!$B$39:$B$45,MATCH(H21,Lookups!$A$39:$A$45,0))</f>
        <v>Sat</v>
      </c>
      <c r="U21" t="str">
        <f t="shared" si="3"/>
        <v>Weekend</v>
      </c>
      <c r="V21" t="str">
        <f t="shared" si="4"/>
        <v>Non-Working Day</v>
      </c>
      <c r="W21" t="str">
        <f t="shared" si="5"/>
        <v>Spring</v>
      </c>
      <c r="X21" t="str">
        <f t="shared" si="6"/>
        <v>Light Rain/Snow</v>
      </c>
      <c r="Y21" t="str">
        <f t="shared" si="7"/>
        <v>Evening</v>
      </c>
      <c r="Z21" t="str">
        <f t="shared" si="8"/>
        <v>Warm</v>
      </c>
      <c r="AA21" t="str">
        <f t="shared" si="9"/>
        <v>High</v>
      </c>
      <c r="AB21" t="str">
        <f t="shared" si="10"/>
        <v>Off-Peak</v>
      </c>
      <c r="AC21" s="63">
        <f t="shared" si="11"/>
        <v>0.16216216216216217</v>
      </c>
      <c r="AD21" t="str">
        <f>IF(P21&gt;=Stats!$C$30,"High",IF(P21&lt;=Stats!$C$29,"Low","Normal"))</f>
        <v>Normal</v>
      </c>
      <c r="AE21">
        <f t="shared" si="12"/>
        <v>1</v>
      </c>
    </row>
    <row r="22" spans="1:31" x14ac:dyDescent="0.2">
      <c r="A22">
        <f>Dataset_A!A22</f>
        <v>21</v>
      </c>
      <c r="B22" s="61">
        <f>Dataset_A!B22</f>
        <v>40544</v>
      </c>
      <c r="C22">
        <f>Dataset_A!C22</f>
        <v>1</v>
      </c>
      <c r="D22">
        <f>Dataset_A!D22</f>
        <v>0</v>
      </c>
      <c r="E22">
        <f>Dataset_A!E22</f>
        <v>1</v>
      </c>
      <c r="F22">
        <f>Dataset_A!F22</f>
        <v>20</v>
      </c>
      <c r="G22" t="b">
        <f>Dataset_A!G22</f>
        <v>0</v>
      </c>
      <c r="H22">
        <f>Dataset_A!H22</f>
        <v>6</v>
      </c>
      <c r="I22">
        <f>Dataset_A!I22</f>
        <v>2</v>
      </c>
      <c r="J22" s="55">
        <f>Dataset_A!J22</f>
        <v>0.4</v>
      </c>
      <c r="K22">
        <f>Dataset_A!K22</f>
        <v>0.40910000000000002</v>
      </c>
      <c r="L22">
        <f>Dataset_A!L22</f>
        <v>0.87</v>
      </c>
      <c r="M22">
        <f>Dataset_A!M22</f>
        <v>0.25369999999999998</v>
      </c>
      <c r="N22">
        <f>Dataset_A!N22</f>
        <v>11</v>
      </c>
      <c r="O22">
        <f>Dataset_A!O22</f>
        <v>25</v>
      </c>
      <c r="P22">
        <f>Dataset_A!P22</f>
        <v>36</v>
      </c>
      <c r="Q22" t="str">
        <f t="shared" si="0"/>
        <v>REC-0021</v>
      </c>
      <c r="R22" s="62">
        <f t="shared" si="1"/>
        <v>40544.833333333336</v>
      </c>
      <c r="S22" t="str">
        <f t="shared" si="2"/>
        <v>Jan</v>
      </c>
      <c r="T22" t="str">
        <f>INDEX(Lookups!$B$39:$B$45,MATCH(H22,Lookups!$A$39:$A$45,0))</f>
        <v>Sat</v>
      </c>
      <c r="U22" t="str">
        <f t="shared" si="3"/>
        <v>Weekend</v>
      </c>
      <c r="V22" t="str">
        <f t="shared" si="4"/>
        <v>Non-Working Day</v>
      </c>
      <c r="W22" t="str">
        <f t="shared" si="5"/>
        <v>Spring</v>
      </c>
      <c r="X22" t="str">
        <f t="shared" si="6"/>
        <v>Cloudy/Mist</v>
      </c>
      <c r="Y22" t="str">
        <f t="shared" si="7"/>
        <v>Evening</v>
      </c>
      <c r="Z22" t="str">
        <f t="shared" si="8"/>
        <v>Warm</v>
      </c>
      <c r="AA22" t="str">
        <f t="shared" si="9"/>
        <v>High</v>
      </c>
      <c r="AB22" t="str">
        <f t="shared" si="10"/>
        <v>Off-Peak</v>
      </c>
      <c r="AC22" s="63">
        <f t="shared" si="11"/>
        <v>0.30555555555555558</v>
      </c>
      <c r="AD22" t="str">
        <f>IF(P22&gt;=Stats!$C$30,"High",IF(P22&lt;=Stats!$C$29,"Low","Normal"))</f>
        <v>Normal</v>
      </c>
      <c r="AE22">
        <f t="shared" si="12"/>
        <v>1</v>
      </c>
    </row>
    <row r="23" spans="1:31" x14ac:dyDescent="0.2">
      <c r="A23">
        <f>Dataset_A!A23</f>
        <v>22</v>
      </c>
      <c r="B23" s="61">
        <f>Dataset_A!B23</f>
        <v>40544</v>
      </c>
      <c r="C23">
        <f>Dataset_A!C23</f>
        <v>1</v>
      </c>
      <c r="D23">
        <f>Dataset_A!D23</f>
        <v>0</v>
      </c>
      <c r="E23">
        <f>Dataset_A!E23</f>
        <v>1</v>
      </c>
      <c r="F23">
        <f>Dataset_A!F23</f>
        <v>21</v>
      </c>
      <c r="G23" t="b">
        <f>Dataset_A!G23</f>
        <v>0</v>
      </c>
      <c r="H23">
        <f>Dataset_A!H23</f>
        <v>6</v>
      </c>
      <c r="I23">
        <f>Dataset_A!I23</f>
        <v>2</v>
      </c>
      <c r="J23" s="55">
        <f>Dataset_A!J23</f>
        <v>0.4</v>
      </c>
      <c r="K23">
        <f>Dataset_A!K23</f>
        <v>0.40910000000000002</v>
      </c>
      <c r="L23">
        <f>Dataset_A!L23</f>
        <v>0.87</v>
      </c>
      <c r="M23">
        <f>Dataset_A!M23</f>
        <v>0.19400000000000001</v>
      </c>
      <c r="N23">
        <f>Dataset_A!N23</f>
        <v>3</v>
      </c>
      <c r="O23">
        <f>Dataset_A!O23</f>
        <v>31</v>
      </c>
      <c r="P23">
        <f>Dataset_A!P23</f>
        <v>34</v>
      </c>
      <c r="Q23" t="str">
        <f t="shared" si="0"/>
        <v>REC-0022</v>
      </c>
      <c r="R23" s="62">
        <f t="shared" si="1"/>
        <v>40544.875</v>
      </c>
      <c r="S23" t="str">
        <f t="shared" si="2"/>
        <v>Jan</v>
      </c>
      <c r="T23" t="str">
        <f>INDEX(Lookups!$B$39:$B$45,MATCH(H23,Lookups!$A$39:$A$45,0))</f>
        <v>Sat</v>
      </c>
      <c r="U23" t="str">
        <f t="shared" si="3"/>
        <v>Weekend</v>
      </c>
      <c r="V23" t="str">
        <f t="shared" si="4"/>
        <v>Non-Working Day</v>
      </c>
      <c r="W23" t="str">
        <f t="shared" si="5"/>
        <v>Spring</v>
      </c>
      <c r="X23" t="str">
        <f t="shared" si="6"/>
        <v>Cloudy/Mist</v>
      </c>
      <c r="Y23" t="str">
        <f t="shared" si="7"/>
        <v>Late Evening</v>
      </c>
      <c r="Z23" t="str">
        <f t="shared" si="8"/>
        <v>Warm</v>
      </c>
      <c r="AA23" t="str">
        <f t="shared" si="9"/>
        <v>High</v>
      </c>
      <c r="AB23" t="str">
        <f t="shared" si="10"/>
        <v>Off-Peak</v>
      </c>
      <c r="AC23" s="63">
        <f t="shared" si="11"/>
        <v>8.8235294117647065E-2</v>
      </c>
      <c r="AD23" t="str">
        <f>IF(P23&gt;=Stats!$C$30,"High",IF(P23&lt;=Stats!$C$29,"Low","Normal"))</f>
        <v>Normal</v>
      </c>
      <c r="AE23">
        <f t="shared" si="12"/>
        <v>1</v>
      </c>
    </row>
    <row r="24" spans="1:31" x14ac:dyDescent="0.2">
      <c r="A24">
        <f>Dataset_A!A24</f>
        <v>23</v>
      </c>
      <c r="B24" s="61">
        <f>Dataset_A!B24</f>
        <v>40544</v>
      </c>
      <c r="C24">
        <f>Dataset_A!C24</f>
        <v>1</v>
      </c>
      <c r="D24">
        <f>Dataset_A!D24</f>
        <v>0</v>
      </c>
      <c r="E24">
        <f>Dataset_A!E24</f>
        <v>1</v>
      </c>
      <c r="F24">
        <f>Dataset_A!F24</f>
        <v>22</v>
      </c>
      <c r="G24" t="b">
        <f>Dataset_A!G24</f>
        <v>0</v>
      </c>
      <c r="H24">
        <f>Dataset_A!H24</f>
        <v>6</v>
      </c>
      <c r="I24">
        <f>Dataset_A!I24</f>
        <v>2</v>
      </c>
      <c r="J24" s="55">
        <f>Dataset_A!J24</f>
        <v>0.4</v>
      </c>
      <c r="K24">
        <f>Dataset_A!K24</f>
        <v>0.40910000000000002</v>
      </c>
      <c r="L24">
        <f>Dataset_A!L24</f>
        <v>0.94</v>
      </c>
      <c r="M24">
        <f>Dataset_A!M24</f>
        <v>0.22389999999999999</v>
      </c>
      <c r="N24">
        <f>Dataset_A!N24</f>
        <v>11</v>
      </c>
      <c r="O24">
        <f>Dataset_A!O24</f>
        <v>17</v>
      </c>
      <c r="P24">
        <f>Dataset_A!P24</f>
        <v>28</v>
      </c>
      <c r="Q24" t="str">
        <f t="shared" si="0"/>
        <v>REC-0023</v>
      </c>
      <c r="R24" s="62">
        <f t="shared" si="1"/>
        <v>40544.916666666664</v>
      </c>
      <c r="S24" t="str">
        <f t="shared" si="2"/>
        <v>Jan</v>
      </c>
      <c r="T24" t="str">
        <f>INDEX(Lookups!$B$39:$B$45,MATCH(H24,Lookups!$A$39:$A$45,0))</f>
        <v>Sat</v>
      </c>
      <c r="U24" t="str">
        <f t="shared" si="3"/>
        <v>Weekend</v>
      </c>
      <c r="V24" t="str">
        <f t="shared" si="4"/>
        <v>Non-Working Day</v>
      </c>
      <c r="W24" t="str">
        <f t="shared" si="5"/>
        <v>Spring</v>
      </c>
      <c r="X24" t="str">
        <f t="shared" si="6"/>
        <v>Cloudy/Mist</v>
      </c>
      <c r="Y24" t="str">
        <f t="shared" si="7"/>
        <v>Late Evening</v>
      </c>
      <c r="Z24" t="str">
        <f t="shared" si="8"/>
        <v>Warm</v>
      </c>
      <c r="AA24" t="str">
        <f t="shared" si="9"/>
        <v>High</v>
      </c>
      <c r="AB24" t="str">
        <f t="shared" si="10"/>
        <v>Off-Peak</v>
      </c>
      <c r="AC24" s="63">
        <f t="shared" si="11"/>
        <v>0.39285714285714285</v>
      </c>
      <c r="AD24" t="str">
        <f>IF(P24&gt;=Stats!$C$30,"High",IF(P24&lt;=Stats!$C$29,"Low","Normal"))</f>
        <v>Normal</v>
      </c>
      <c r="AE24">
        <f t="shared" si="12"/>
        <v>1</v>
      </c>
    </row>
    <row r="25" spans="1:31" x14ac:dyDescent="0.2">
      <c r="A25">
        <f>Dataset_A!A25</f>
        <v>24</v>
      </c>
      <c r="B25" s="61">
        <f>Dataset_A!B25</f>
        <v>40544</v>
      </c>
      <c r="C25">
        <f>Dataset_A!C25</f>
        <v>1</v>
      </c>
      <c r="D25">
        <f>Dataset_A!D25</f>
        <v>0</v>
      </c>
      <c r="E25">
        <f>Dataset_A!E25</f>
        <v>1</v>
      </c>
      <c r="F25">
        <f>Dataset_A!F25</f>
        <v>23</v>
      </c>
      <c r="G25" t="b">
        <f>Dataset_A!G25</f>
        <v>0</v>
      </c>
      <c r="H25">
        <f>Dataset_A!H25</f>
        <v>6</v>
      </c>
      <c r="I25">
        <f>Dataset_A!I25</f>
        <v>2</v>
      </c>
      <c r="J25" s="55">
        <f>Dataset_A!J25</f>
        <v>0.46</v>
      </c>
      <c r="K25">
        <f>Dataset_A!K25</f>
        <v>0.43180000000000002</v>
      </c>
      <c r="L25">
        <f>Dataset_A!L25</f>
        <v>0.88</v>
      </c>
      <c r="M25">
        <f>Dataset_A!M25</f>
        <v>0.29849999999999999</v>
      </c>
      <c r="N25">
        <f>Dataset_A!N25</f>
        <v>15</v>
      </c>
      <c r="O25">
        <f>Dataset_A!O25</f>
        <v>24</v>
      </c>
      <c r="P25">
        <f>Dataset_A!P25</f>
        <v>39</v>
      </c>
      <c r="Q25" t="str">
        <f t="shared" si="0"/>
        <v>REC-0024</v>
      </c>
      <c r="R25" s="62">
        <f t="shared" si="1"/>
        <v>40544.958333333336</v>
      </c>
      <c r="S25" t="str">
        <f t="shared" si="2"/>
        <v>Jan</v>
      </c>
      <c r="T25" t="str">
        <f>INDEX(Lookups!$B$39:$B$45,MATCH(H25,Lookups!$A$39:$A$45,0))</f>
        <v>Sat</v>
      </c>
      <c r="U25" t="str">
        <f t="shared" si="3"/>
        <v>Weekend</v>
      </c>
      <c r="V25" t="str">
        <f t="shared" si="4"/>
        <v>Non-Working Day</v>
      </c>
      <c r="W25" t="str">
        <f t="shared" si="5"/>
        <v>Spring</v>
      </c>
      <c r="X25" t="str">
        <f t="shared" si="6"/>
        <v>Cloudy/Mist</v>
      </c>
      <c r="Y25" t="str">
        <f t="shared" si="7"/>
        <v>Late Evening</v>
      </c>
      <c r="Z25" t="str">
        <f t="shared" si="8"/>
        <v>Warm</v>
      </c>
      <c r="AA25" t="str">
        <f t="shared" si="9"/>
        <v>High</v>
      </c>
      <c r="AB25" t="str">
        <f t="shared" si="10"/>
        <v>Off-Peak</v>
      </c>
      <c r="AC25" s="63">
        <f t="shared" si="11"/>
        <v>0.38461538461538464</v>
      </c>
      <c r="AD25" t="str">
        <f>IF(P25&gt;=Stats!$C$30,"High",IF(P25&lt;=Stats!$C$29,"Low","Normal"))</f>
        <v>Normal</v>
      </c>
      <c r="AE25">
        <f t="shared" si="12"/>
        <v>1</v>
      </c>
    </row>
    <row r="26" spans="1:31" x14ac:dyDescent="0.2">
      <c r="A26">
        <f>Dataset_A!A26</f>
        <v>25</v>
      </c>
      <c r="B26" s="61">
        <f>Dataset_A!B26</f>
        <v>40545</v>
      </c>
      <c r="C26">
        <f>Dataset_A!C26</f>
        <v>1</v>
      </c>
      <c r="D26">
        <f>Dataset_A!D26</f>
        <v>0</v>
      </c>
      <c r="E26">
        <f>Dataset_A!E26</f>
        <v>1</v>
      </c>
      <c r="F26">
        <f>Dataset_A!F26</f>
        <v>0</v>
      </c>
      <c r="G26" t="b">
        <f>Dataset_A!G26</f>
        <v>0</v>
      </c>
      <c r="H26">
        <f>Dataset_A!H26</f>
        <v>0</v>
      </c>
      <c r="I26">
        <f>Dataset_A!I26</f>
        <v>2</v>
      </c>
      <c r="J26" s="55">
        <f>Dataset_A!J26</f>
        <v>0.46</v>
      </c>
      <c r="K26">
        <f>Dataset_A!K26</f>
        <v>0.45450000000000002</v>
      </c>
      <c r="L26">
        <f>Dataset_A!L26</f>
        <v>0.88</v>
      </c>
      <c r="M26">
        <f>Dataset_A!M26</f>
        <v>0.29849999999999999</v>
      </c>
      <c r="N26">
        <f>Dataset_A!N26</f>
        <v>4</v>
      </c>
      <c r="O26">
        <f>Dataset_A!O26</f>
        <v>13</v>
      </c>
      <c r="P26">
        <f>Dataset_A!P26</f>
        <v>17</v>
      </c>
      <c r="Q26" t="str">
        <f t="shared" si="0"/>
        <v>REC-0025</v>
      </c>
      <c r="R26" s="62">
        <f t="shared" si="1"/>
        <v>40545</v>
      </c>
      <c r="S26" t="str">
        <f t="shared" si="2"/>
        <v>Jan</v>
      </c>
      <c r="T26" t="str">
        <f>INDEX(Lookups!$B$39:$B$45,MATCH(H26,Lookups!$A$39:$A$45,0))</f>
        <v>Sun</v>
      </c>
      <c r="U26" t="str">
        <f t="shared" si="3"/>
        <v>Weekend</v>
      </c>
      <c r="V26" t="str">
        <f t="shared" si="4"/>
        <v>Non-Working Day</v>
      </c>
      <c r="W26" t="str">
        <f t="shared" si="5"/>
        <v>Spring</v>
      </c>
      <c r="X26" t="str">
        <f t="shared" si="6"/>
        <v>Cloudy/Mist</v>
      </c>
      <c r="Y26" t="str">
        <f t="shared" si="7"/>
        <v>Night</v>
      </c>
      <c r="Z26" t="str">
        <f t="shared" si="8"/>
        <v>Warm</v>
      </c>
      <c r="AA26" t="str">
        <f t="shared" si="9"/>
        <v>High</v>
      </c>
      <c r="AB26" t="str">
        <f t="shared" si="10"/>
        <v>Off-Peak</v>
      </c>
      <c r="AC26" s="63">
        <f t="shared" si="11"/>
        <v>0.23529411764705882</v>
      </c>
      <c r="AD26" t="str">
        <f>IF(P26&gt;=Stats!$C$30,"High",IF(P26&lt;=Stats!$C$29,"Low","Normal"))</f>
        <v>Normal</v>
      </c>
      <c r="AE26">
        <f t="shared" si="12"/>
        <v>1</v>
      </c>
    </row>
    <row r="27" spans="1:31" x14ac:dyDescent="0.2">
      <c r="A27">
        <f>Dataset_A!A27</f>
        <v>26</v>
      </c>
      <c r="B27" s="61">
        <f>Dataset_A!B27</f>
        <v>40545</v>
      </c>
      <c r="C27">
        <f>Dataset_A!C27</f>
        <v>1</v>
      </c>
      <c r="D27">
        <f>Dataset_A!D27</f>
        <v>0</v>
      </c>
      <c r="E27">
        <f>Dataset_A!E27</f>
        <v>1</v>
      </c>
      <c r="F27">
        <f>Dataset_A!F27</f>
        <v>1</v>
      </c>
      <c r="G27" t="b">
        <f>Dataset_A!G27</f>
        <v>0</v>
      </c>
      <c r="H27">
        <f>Dataset_A!H27</f>
        <v>0</v>
      </c>
      <c r="I27">
        <f>Dataset_A!I27</f>
        <v>2</v>
      </c>
      <c r="J27" s="55">
        <f>Dataset_A!J27</f>
        <v>0.44</v>
      </c>
      <c r="K27">
        <f>Dataset_A!K27</f>
        <v>0.43940000000000001</v>
      </c>
      <c r="L27">
        <f>Dataset_A!L27</f>
        <v>0.94</v>
      </c>
      <c r="M27">
        <f>Dataset_A!M27</f>
        <v>0.25369999999999998</v>
      </c>
      <c r="N27">
        <f>Dataset_A!N27</f>
        <v>1</v>
      </c>
      <c r="O27">
        <f>Dataset_A!O27</f>
        <v>16</v>
      </c>
      <c r="P27">
        <f>Dataset_A!P27</f>
        <v>17</v>
      </c>
      <c r="Q27" t="str">
        <f t="shared" si="0"/>
        <v>REC-0026</v>
      </c>
      <c r="R27" s="62">
        <f t="shared" si="1"/>
        <v>40545.041666666664</v>
      </c>
      <c r="S27" t="str">
        <f t="shared" si="2"/>
        <v>Jan</v>
      </c>
      <c r="T27" t="str">
        <f>INDEX(Lookups!$B$39:$B$45,MATCH(H27,Lookups!$A$39:$A$45,0))</f>
        <v>Sun</v>
      </c>
      <c r="U27" t="str">
        <f t="shared" si="3"/>
        <v>Weekend</v>
      </c>
      <c r="V27" t="str">
        <f t="shared" si="4"/>
        <v>Non-Working Day</v>
      </c>
      <c r="W27" t="str">
        <f t="shared" si="5"/>
        <v>Spring</v>
      </c>
      <c r="X27" t="str">
        <f t="shared" si="6"/>
        <v>Cloudy/Mist</v>
      </c>
      <c r="Y27" t="str">
        <f t="shared" si="7"/>
        <v>Night</v>
      </c>
      <c r="Z27" t="str">
        <f t="shared" si="8"/>
        <v>Warm</v>
      </c>
      <c r="AA27" t="str">
        <f t="shared" si="9"/>
        <v>High</v>
      </c>
      <c r="AB27" t="str">
        <f t="shared" si="10"/>
        <v>Off-Peak</v>
      </c>
      <c r="AC27" s="63">
        <f t="shared" si="11"/>
        <v>5.8823529411764705E-2</v>
      </c>
      <c r="AD27" t="str">
        <f>IF(P27&gt;=Stats!$C$30,"High",IF(P27&lt;=Stats!$C$29,"Low","Normal"))</f>
        <v>Normal</v>
      </c>
      <c r="AE27">
        <f t="shared" si="12"/>
        <v>1</v>
      </c>
    </row>
    <row r="28" spans="1:31" x14ac:dyDescent="0.2">
      <c r="A28">
        <f>Dataset_A!A28</f>
        <v>27</v>
      </c>
      <c r="B28" s="61">
        <f>Dataset_A!B28</f>
        <v>40545</v>
      </c>
      <c r="C28">
        <f>Dataset_A!C28</f>
        <v>1</v>
      </c>
      <c r="D28">
        <f>Dataset_A!D28</f>
        <v>0</v>
      </c>
      <c r="E28">
        <f>Dataset_A!E28</f>
        <v>1</v>
      </c>
      <c r="F28">
        <f>Dataset_A!F28</f>
        <v>2</v>
      </c>
      <c r="G28" t="b">
        <f>Dataset_A!G28</f>
        <v>0</v>
      </c>
      <c r="H28">
        <f>Dataset_A!H28</f>
        <v>0</v>
      </c>
      <c r="I28">
        <f>Dataset_A!I28</f>
        <v>2</v>
      </c>
      <c r="J28" s="55">
        <f>Dataset_A!J28</f>
        <v>0.42</v>
      </c>
      <c r="K28">
        <f>Dataset_A!K28</f>
        <v>0.42420000000000002</v>
      </c>
      <c r="L28">
        <f>Dataset_A!L28</f>
        <v>1</v>
      </c>
      <c r="M28">
        <f>Dataset_A!M28</f>
        <v>0.28360000000000002</v>
      </c>
      <c r="N28">
        <f>Dataset_A!N28</f>
        <v>1</v>
      </c>
      <c r="O28">
        <f>Dataset_A!O28</f>
        <v>8</v>
      </c>
      <c r="P28">
        <f>Dataset_A!P28</f>
        <v>9</v>
      </c>
      <c r="Q28" t="str">
        <f t="shared" si="0"/>
        <v>REC-0027</v>
      </c>
      <c r="R28" s="62">
        <f t="shared" si="1"/>
        <v>40545.083333333336</v>
      </c>
      <c r="S28" t="str">
        <f t="shared" si="2"/>
        <v>Jan</v>
      </c>
      <c r="T28" t="str">
        <f>INDEX(Lookups!$B$39:$B$45,MATCH(H28,Lookups!$A$39:$A$45,0))</f>
        <v>Sun</v>
      </c>
      <c r="U28" t="str">
        <f t="shared" si="3"/>
        <v>Weekend</v>
      </c>
      <c r="V28" t="str">
        <f t="shared" si="4"/>
        <v>Non-Working Day</v>
      </c>
      <c r="W28" t="str">
        <f t="shared" si="5"/>
        <v>Spring</v>
      </c>
      <c r="X28" t="str">
        <f t="shared" si="6"/>
        <v>Cloudy/Mist</v>
      </c>
      <c r="Y28" t="str">
        <f t="shared" si="7"/>
        <v>Night</v>
      </c>
      <c r="Z28" t="str">
        <f t="shared" si="8"/>
        <v>Warm</v>
      </c>
      <c r="AA28" t="str">
        <f t="shared" si="9"/>
        <v>High</v>
      </c>
      <c r="AB28" t="str">
        <f t="shared" si="10"/>
        <v>Off-Peak</v>
      </c>
      <c r="AC28" s="63">
        <f t="shared" si="11"/>
        <v>0.1111111111111111</v>
      </c>
      <c r="AD28" t="str">
        <f>IF(P28&gt;=Stats!$C$30,"High",IF(P28&lt;=Stats!$C$29,"Low","Normal"))</f>
        <v>Low</v>
      </c>
      <c r="AE28">
        <f t="shared" si="12"/>
        <v>1</v>
      </c>
    </row>
    <row r="29" spans="1:31" x14ac:dyDescent="0.2">
      <c r="A29">
        <f>Dataset_A!A29</f>
        <v>28</v>
      </c>
      <c r="B29" s="61">
        <f>Dataset_A!B29</f>
        <v>40545</v>
      </c>
      <c r="C29">
        <f>Dataset_A!C29</f>
        <v>1</v>
      </c>
      <c r="D29">
        <f>Dataset_A!D29</f>
        <v>0</v>
      </c>
      <c r="E29">
        <f>Dataset_A!E29</f>
        <v>1</v>
      </c>
      <c r="F29">
        <f>Dataset_A!F29</f>
        <v>3</v>
      </c>
      <c r="G29" t="b">
        <f>Dataset_A!G29</f>
        <v>0</v>
      </c>
      <c r="H29">
        <f>Dataset_A!H29</f>
        <v>0</v>
      </c>
      <c r="I29">
        <f>Dataset_A!I29</f>
        <v>2</v>
      </c>
      <c r="J29" s="55">
        <f>Dataset_A!J29</f>
        <v>0.46</v>
      </c>
      <c r="K29">
        <f>Dataset_A!K29</f>
        <v>0.45450000000000002</v>
      </c>
      <c r="L29">
        <f>Dataset_A!L29</f>
        <v>0.94</v>
      </c>
      <c r="M29">
        <f>Dataset_A!M29</f>
        <v>0.19400000000000001</v>
      </c>
      <c r="N29">
        <f>Dataset_A!N29</f>
        <v>2</v>
      </c>
      <c r="O29">
        <f>Dataset_A!O29</f>
        <v>4</v>
      </c>
      <c r="P29">
        <f>Dataset_A!P29</f>
        <v>6</v>
      </c>
      <c r="Q29" t="str">
        <f t="shared" si="0"/>
        <v>REC-0028</v>
      </c>
      <c r="R29" s="62">
        <f t="shared" si="1"/>
        <v>40545.125</v>
      </c>
      <c r="S29" t="str">
        <f t="shared" si="2"/>
        <v>Jan</v>
      </c>
      <c r="T29" t="str">
        <f>INDEX(Lookups!$B$39:$B$45,MATCH(H29,Lookups!$A$39:$A$45,0))</f>
        <v>Sun</v>
      </c>
      <c r="U29" t="str">
        <f t="shared" si="3"/>
        <v>Weekend</v>
      </c>
      <c r="V29" t="str">
        <f t="shared" si="4"/>
        <v>Non-Working Day</v>
      </c>
      <c r="W29" t="str">
        <f t="shared" si="5"/>
        <v>Spring</v>
      </c>
      <c r="X29" t="str">
        <f t="shared" si="6"/>
        <v>Cloudy/Mist</v>
      </c>
      <c r="Y29" t="str">
        <f t="shared" si="7"/>
        <v>Night</v>
      </c>
      <c r="Z29" t="str">
        <f t="shared" si="8"/>
        <v>Warm</v>
      </c>
      <c r="AA29" t="str">
        <f t="shared" si="9"/>
        <v>High</v>
      </c>
      <c r="AB29" t="str">
        <f t="shared" si="10"/>
        <v>Off-Peak</v>
      </c>
      <c r="AC29" s="63">
        <f t="shared" si="11"/>
        <v>0.33333333333333331</v>
      </c>
      <c r="AD29" t="str">
        <f>IF(P29&gt;=Stats!$C$30,"High",IF(P29&lt;=Stats!$C$29,"Low","Normal"))</f>
        <v>Low</v>
      </c>
      <c r="AE29">
        <f t="shared" si="12"/>
        <v>1</v>
      </c>
    </row>
    <row r="30" spans="1:31" x14ac:dyDescent="0.2">
      <c r="A30">
        <f>Dataset_A!A30</f>
        <v>29</v>
      </c>
      <c r="B30" s="61">
        <f>Dataset_A!B30</f>
        <v>40545</v>
      </c>
      <c r="C30">
        <f>Dataset_A!C30</f>
        <v>1</v>
      </c>
      <c r="D30">
        <f>Dataset_A!D30</f>
        <v>0</v>
      </c>
      <c r="E30">
        <f>Dataset_A!E30</f>
        <v>1</v>
      </c>
      <c r="F30">
        <f>Dataset_A!F30</f>
        <v>4</v>
      </c>
      <c r="G30" t="b">
        <f>Dataset_A!G30</f>
        <v>0</v>
      </c>
      <c r="H30">
        <f>Dataset_A!H30</f>
        <v>0</v>
      </c>
      <c r="I30">
        <f>Dataset_A!I30</f>
        <v>2</v>
      </c>
      <c r="J30" s="55">
        <f>Dataset_A!J30</f>
        <v>0.46</v>
      </c>
      <c r="K30">
        <f>Dataset_A!K30</f>
        <v>0.43940000000000001</v>
      </c>
      <c r="L30">
        <f>Dataset_A!L30</f>
        <v>0.94</v>
      </c>
      <c r="M30">
        <f>Dataset_A!M30</f>
        <v>0.19400000000000001</v>
      </c>
      <c r="N30">
        <f>Dataset_A!N30</f>
        <v>2</v>
      </c>
      <c r="O30">
        <f>Dataset_A!O30</f>
        <v>1</v>
      </c>
      <c r="P30">
        <f>Dataset_A!P30</f>
        <v>3</v>
      </c>
      <c r="Q30" t="str">
        <f t="shared" si="0"/>
        <v>REC-0029</v>
      </c>
      <c r="R30" s="62">
        <f t="shared" si="1"/>
        <v>40545.166666666664</v>
      </c>
      <c r="S30" t="str">
        <f t="shared" si="2"/>
        <v>Jan</v>
      </c>
      <c r="T30" t="str">
        <f>INDEX(Lookups!$B$39:$B$45,MATCH(H30,Lookups!$A$39:$A$45,0))</f>
        <v>Sun</v>
      </c>
      <c r="U30" t="str">
        <f t="shared" si="3"/>
        <v>Weekend</v>
      </c>
      <c r="V30" t="str">
        <f t="shared" si="4"/>
        <v>Non-Working Day</v>
      </c>
      <c r="W30" t="str">
        <f t="shared" si="5"/>
        <v>Spring</v>
      </c>
      <c r="X30" t="str">
        <f t="shared" si="6"/>
        <v>Cloudy/Mist</v>
      </c>
      <c r="Y30" t="str">
        <f t="shared" si="7"/>
        <v>Night</v>
      </c>
      <c r="Z30" t="str">
        <f t="shared" si="8"/>
        <v>Warm</v>
      </c>
      <c r="AA30" t="str">
        <f t="shared" si="9"/>
        <v>High</v>
      </c>
      <c r="AB30" t="str">
        <f t="shared" si="10"/>
        <v>Off-Peak</v>
      </c>
      <c r="AC30" s="63">
        <f t="shared" si="11"/>
        <v>0.66666666666666663</v>
      </c>
      <c r="AD30" t="str">
        <f>IF(P30&gt;=Stats!$C$30,"High",IF(P30&lt;=Stats!$C$29,"Low","Normal"))</f>
        <v>Low</v>
      </c>
      <c r="AE30">
        <f t="shared" si="12"/>
        <v>1</v>
      </c>
    </row>
    <row r="31" spans="1:31" x14ac:dyDescent="0.2">
      <c r="A31">
        <f>Dataset_A!A31</f>
        <v>30</v>
      </c>
      <c r="B31" s="61">
        <f>Dataset_A!B31</f>
        <v>40545</v>
      </c>
      <c r="C31">
        <f>Dataset_A!C31</f>
        <v>1</v>
      </c>
      <c r="D31">
        <f>Dataset_A!D31</f>
        <v>0</v>
      </c>
      <c r="E31">
        <f>Dataset_A!E31</f>
        <v>1</v>
      </c>
      <c r="F31">
        <f>Dataset_A!F31</f>
        <v>6</v>
      </c>
      <c r="G31" t="b">
        <f>Dataset_A!G31</f>
        <v>0</v>
      </c>
      <c r="H31">
        <f>Dataset_A!H31</f>
        <v>0</v>
      </c>
      <c r="I31">
        <f>Dataset_A!I31</f>
        <v>3</v>
      </c>
      <c r="J31" s="55">
        <f>Dataset_A!J31</f>
        <v>0.42</v>
      </c>
      <c r="K31">
        <f>Dataset_A!K31</f>
        <v>0.42420000000000002</v>
      </c>
      <c r="L31">
        <f>Dataset_A!L31</f>
        <v>0.77</v>
      </c>
      <c r="M31">
        <f>Dataset_A!M31</f>
        <v>0.29849999999999999</v>
      </c>
      <c r="N31">
        <f>Dataset_A!N31</f>
        <v>0</v>
      </c>
      <c r="O31">
        <f>Dataset_A!O31</f>
        <v>2</v>
      </c>
      <c r="P31">
        <f>Dataset_A!P31</f>
        <v>2</v>
      </c>
      <c r="Q31" t="str">
        <f t="shared" si="0"/>
        <v>REC-0030</v>
      </c>
      <c r="R31" s="62">
        <f t="shared" si="1"/>
        <v>40545.25</v>
      </c>
      <c r="S31" t="str">
        <f t="shared" si="2"/>
        <v>Jan</v>
      </c>
      <c r="T31" t="str">
        <f>INDEX(Lookups!$B$39:$B$45,MATCH(H31,Lookups!$A$39:$A$45,0))</f>
        <v>Sun</v>
      </c>
      <c r="U31" t="str">
        <f t="shared" si="3"/>
        <v>Weekend</v>
      </c>
      <c r="V31" t="str">
        <f t="shared" si="4"/>
        <v>Non-Working Day</v>
      </c>
      <c r="W31" t="str">
        <f t="shared" si="5"/>
        <v>Spring</v>
      </c>
      <c r="X31" t="str">
        <f t="shared" si="6"/>
        <v>Light Rain/Snow</v>
      </c>
      <c r="Y31" t="str">
        <f t="shared" si="7"/>
        <v>Morning</v>
      </c>
      <c r="Z31" t="str">
        <f t="shared" si="8"/>
        <v>Warm</v>
      </c>
      <c r="AA31" t="str">
        <f t="shared" si="9"/>
        <v>High</v>
      </c>
      <c r="AB31" t="str">
        <f t="shared" si="10"/>
        <v>Off-Peak</v>
      </c>
      <c r="AC31" s="63">
        <f t="shared" si="11"/>
        <v>0</v>
      </c>
      <c r="AD31" t="str">
        <f>IF(P31&gt;=Stats!$C$30,"High",IF(P31&lt;=Stats!$C$29,"Low","Normal"))</f>
        <v>Low</v>
      </c>
      <c r="AE31">
        <f t="shared" si="12"/>
        <v>1</v>
      </c>
    </row>
    <row r="32" spans="1:31" x14ac:dyDescent="0.2">
      <c r="A32">
        <f>Dataset_A!A32</f>
        <v>31</v>
      </c>
      <c r="B32" s="61">
        <f>Dataset_A!B32</f>
        <v>40545</v>
      </c>
      <c r="C32">
        <f>Dataset_A!C32</f>
        <v>1</v>
      </c>
      <c r="D32">
        <f>Dataset_A!D32</f>
        <v>0</v>
      </c>
      <c r="E32">
        <f>Dataset_A!E32</f>
        <v>1</v>
      </c>
      <c r="F32">
        <f>Dataset_A!F32</f>
        <v>7</v>
      </c>
      <c r="G32" t="b">
        <f>Dataset_A!G32</f>
        <v>0</v>
      </c>
      <c r="H32">
        <f>Dataset_A!H32</f>
        <v>0</v>
      </c>
      <c r="I32">
        <f>Dataset_A!I32</f>
        <v>2</v>
      </c>
      <c r="J32" s="55">
        <f>Dataset_A!J32</f>
        <v>0.4</v>
      </c>
      <c r="K32">
        <f>Dataset_A!K32</f>
        <v>0.40910000000000002</v>
      </c>
      <c r="L32">
        <f>Dataset_A!L32</f>
        <v>0.76</v>
      </c>
      <c r="M32">
        <f>Dataset_A!M32</f>
        <v>0.19400000000000001</v>
      </c>
      <c r="N32">
        <f>Dataset_A!N32</f>
        <v>0</v>
      </c>
      <c r="O32">
        <f>Dataset_A!O32</f>
        <v>1</v>
      </c>
      <c r="P32">
        <f>Dataset_A!P32</f>
        <v>1</v>
      </c>
      <c r="Q32" t="str">
        <f t="shared" si="0"/>
        <v>REC-0031</v>
      </c>
      <c r="R32" s="62">
        <f t="shared" si="1"/>
        <v>40545.291666666664</v>
      </c>
      <c r="S32" t="str">
        <f t="shared" si="2"/>
        <v>Jan</v>
      </c>
      <c r="T32" t="str">
        <f>INDEX(Lookups!$B$39:$B$45,MATCH(H32,Lookups!$A$39:$A$45,0))</f>
        <v>Sun</v>
      </c>
      <c r="U32" t="str">
        <f t="shared" si="3"/>
        <v>Weekend</v>
      </c>
      <c r="V32" t="str">
        <f t="shared" si="4"/>
        <v>Non-Working Day</v>
      </c>
      <c r="W32" t="str">
        <f t="shared" si="5"/>
        <v>Spring</v>
      </c>
      <c r="X32" t="str">
        <f t="shared" si="6"/>
        <v>Cloudy/Mist</v>
      </c>
      <c r="Y32" t="str">
        <f t="shared" si="7"/>
        <v>Morning</v>
      </c>
      <c r="Z32" t="str">
        <f t="shared" si="8"/>
        <v>Warm</v>
      </c>
      <c r="AA32" t="str">
        <f t="shared" si="9"/>
        <v>High</v>
      </c>
      <c r="AB32" t="str">
        <f t="shared" si="10"/>
        <v>Off-Peak</v>
      </c>
      <c r="AC32" s="63">
        <f t="shared" si="11"/>
        <v>0</v>
      </c>
      <c r="AD32" t="str">
        <f>IF(P32&gt;=Stats!$C$30,"High",IF(P32&lt;=Stats!$C$29,"Low","Normal"))</f>
        <v>Low</v>
      </c>
      <c r="AE32">
        <f t="shared" si="12"/>
        <v>1</v>
      </c>
    </row>
    <row r="33" spans="1:31" x14ac:dyDescent="0.2">
      <c r="A33">
        <f>Dataset_A!A33</f>
        <v>32</v>
      </c>
      <c r="B33" s="61">
        <f>Dataset_A!B33</f>
        <v>40545</v>
      </c>
      <c r="C33">
        <f>Dataset_A!C33</f>
        <v>1</v>
      </c>
      <c r="D33">
        <f>Dataset_A!D33</f>
        <v>0</v>
      </c>
      <c r="E33">
        <f>Dataset_A!E33</f>
        <v>1</v>
      </c>
      <c r="F33">
        <f>Dataset_A!F33</f>
        <v>8</v>
      </c>
      <c r="G33" t="b">
        <f>Dataset_A!G33</f>
        <v>0</v>
      </c>
      <c r="H33">
        <f>Dataset_A!H33</f>
        <v>0</v>
      </c>
      <c r="I33">
        <f>Dataset_A!I33</f>
        <v>3</v>
      </c>
      <c r="J33" s="55">
        <f>Dataset_A!J33</f>
        <v>0.4</v>
      </c>
      <c r="K33">
        <f>Dataset_A!K33</f>
        <v>0.40910000000000002</v>
      </c>
      <c r="L33">
        <f>Dataset_A!L33</f>
        <v>0.71</v>
      </c>
      <c r="M33">
        <f>Dataset_A!M33</f>
        <v>0.22389999999999999</v>
      </c>
      <c r="N33">
        <f>Dataset_A!N33</f>
        <v>0</v>
      </c>
      <c r="O33">
        <f>Dataset_A!O33</f>
        <v>8</v>
      </c>
      <c r="P33">
        <f>Dataset_A!P33</f>
        <v>8</v>
      </c>
      <c r="Q33" t="str">
        <f t="shared" si="0"/>
        <v>REC-0032</v>
      </c>
      <c r="R33" s="62">
        <f t="shared" si="1"/>
        <v>40545.333333333336</v>
      </c>
      <c r="S33" t="str">
        <f t="shared" si="2"/>
        <v>Jan</v>
      </c>
      <c r="T33" t="str">
        <f>INDEX(Lookups!$B$39:$B$45,MATCH(H33,Lookups!$A$39:$A$45,0))</f>
        <v>Sun</v>
      </c>
      <c r="U33" t="str">
        <f t="shared" si="3"/>
        <v>Weekend</v>
      </c>
      <c r="V33" t="str">
        <f t="shared" si="4"/>
        <v>Non-Working Day</v>
      </c>
      <c r="W33" t="str">
        <f t="shared" si="5"/>
        <v>Spring</v>
      </c>
      <c r="X33" t="str">
        <f t="shared" si="6"/>
        <v>Light Rain/Snow</v>
      </c>
      <c r="Y33" t="str">
        <f t="shared" si="7"/>
        <v>Morning</v>
      </c>
      <c r="Z33" t="str">
        <f t="shared" si="8"/>
        <v>Warm</v>
      </c>
      <c r="AA33" t="str">
        <f t="shared" si="9"/>
        <v>Medium</v>
      </c>
      <c r="AB33" t="str">
        <f t="shared" si="10"/>
        <v>Off-Peak</v>
      </c>
      <c r="AC33" s="63">
        <f t="shared" si="11"/>
        <v>0</v>
      </c>
      <c r="AD33" t="str">
        <f>IF(P33&gt;=Stats!$C$30,"High",IF(P33&lt;=Stats!$C$29,"Low","Normal"))</f>
        <v>Low</v>
      </c>
      <c r="AE33">
        <f t="shared" si="12"/>
        <v>1</v>
      </c>
    </row>
    <row r="34" spans="1:31" x14ac:dyDescent="0.2">
      <c r="A34">
        <f>Dataset_A!A34</f>
        <v>33</v>
      </c>
      <c r="B34" s="61">
        <f>Dataset_A!B34</f>
        <v>40545</v>
      </c>
      <c r="C34">
        <f>Dataset_A!C34</f>
        <v>1</v>
      </c>
      <c r="D34">
        <f>Dataset_A!D34</f>
        <v>0</v>
      </c>
      <c r="E34">
        <f>Dataset_A!E34</f>
        <v>1</v>
      </c>
      <c r="F34">
        <f>Dataset_A!F34</f>
        <v>9</v>
      </c>
      <c r="G34" t="b">
        <f>Dataset_A!G34</f>
        <v>0</v>
      </c>
      <c r="H34">
        <f>Dataset_A!H34</f>
        <v>0</v>
      </c>
      <c r="I34">
        <f>Dataset_A!I34</f>
        <v>2</v>
      </c>
      <c r="J34" s="55">
        <f>Dataset_A!J34</f>
        <v>0.38</v>
      </c>
      <c r="K34">
        <f>Dataset_A!K34</f>
        <v>0.37880000000000003</v>
      </c>
      <c r="L34">
        <f>Dataset_A!L34</f>
        <v>0.76</v>
      </c>
      <c r="M34">
        <f>Dataset_A!M34</f>
        <v>0.22389999999999999</v>
      </c>
      <c r="N34">
        <f>Dataset_A!N34</f>
        <v>1</v>
      </c>
      <c r="O34">
        <f>Dataset_A!O34</f>
        <v>19</v>
      </c>
      <c r="P34">
        <f>Dataset_A!P34</f>
        <v>20</v>
      </c>
      <c r="Q34" t="str">
        <f t="shared" si="0"/>
        <v>REC-0033</v>
      </c>
      <c r="R34" s="62">
        <f t="shared" si="1"/>
        <v>40545.375</v>
      </c>
      <c r="S34" t="str">
        <f t="shared" si="2"/>
        <v>Jan</v>
      </c>
      <c r="T34" t="str">
        <f>INDEX(Lookups!$B$39:$B$45,MATCH(H34,Lookups!$A$39:$A$45,0))</f>
        <v>Sun</v>
      </c>
      <c r="U34" t="str">
        <f t="shared" si="3"/>
        <v>Weekend</v>
      </c>
      <c r="V34" t="str">
        <f t="shared" si="4"/>
        <v>Non-Working Day</v>
      </c>
      <c r="W34" t="str">
        <f t="shared" si="5"/>
        <v>Spring</v>
      </c>
      <c r="X34" t="str">
        <f t="shared" si="6"/>
        <v>Cloudy/Mist</v>
      </c>
      <c r="Y34" t="str">
        <f t="shared" si="7"/>
        <v>Morning</v>
      </c>
      <c r="Z34" t="str">
        <f t="shared" si="8"/>
        <v>Warm</v>
      </c>
      <c r="AA34" t="str">
        <f t="shared" si="9"/>
        <v>High</v>
      </c>
      <c r="AB34" t="str">
        <f t="shared" si="10"/>
        <v>Off-Peak</v>
      </c>
      <c r="AC34" s="63">
        <f t="shared" si="11"/>
        <v>0.05</v>
      </c>
      <c r="AD34" t="str">
        <f>IF(P34&gt;=Stats!$C$30,"High",IF(P34&lt;=Stats!$C$29,"Low","Normal"))</f>
        <v>Normal</v>
      </c>
      <c r="AE34">
        <f t="shared" si="12"/>
        <v>1</v>
      </c>
    </row>
    <row r="35" spans="1:31" x14ac:dyDescent="0.2">
      <c r="A35">
        <f>Dataset_A!A35</f>
        <v>34</v>
      </c>
      <c r="B35" s="61">
        <f>Dataset_A!B35</f>
        <v>40545</v>
      </c>
      <c r="C35">
        <f>Dataset_A!C35</f>
        <v>1</v>
      </c>
      <c r="D35">
        <f>Dataset_A!D35</f>
        <v>0</v>
      </c>
      <c r="E35">
        <f>Dataset_A!E35</f>
        <v>1</v>
      </c>
      <c r="F35">
        <f>Dataset_A!F35</f>
        <v>10</v>
      </c>
      <c r="G35" t="b">
        <f>Dataset_A!G35</f>
        <v>0</v>
      </c>
      <c r="H35">
        <f>Dataset_A!H35</f>
        <v>0</v>
      </c>
      <c r="I35">
        <f>Dataset_A!I35</f>
        <v>2</v>
      </c>
      <c r="J35" s="55">
        <f>Dataset_A!J35</f>
        <v>0.36</v>
      </c>
      <c r="K35">
        <f>Dataset_A!K35</f>
        <v>0.34849999999999998</v>
      </c>
      <c r="L35">
        <f>Dataset_A!L35</f>
        <v>0.81</v>
      </c>
      <c r="M35">
        <f>Dataset_A!M35</f>
        <v>0.22389999999999999</v>
      </c>
      <c r="N35">
        <f>Dataset_A!N35</f>
        <v>7</v>
      </c>
      <c r="O35">
        <f>Dataset_A!O35</f>
        <v>46</v>
      </c>
      <c r="P35">
        <f>Dataset_A!P35</f>
        <v>53</v>
      </c>
      <c r="Q35" t="str">
        <f t="shared" si="0"/>
        <v>REC-0034</v>
      </c>
      <c r="R35" s="62">
        <f t="shared" si="1"/>
        <v>40545.416666666664</v>
      </c>
      <c r="S35" t="str">
        <f t="shared" si="2"/>
        <v>Jan</v>
      </c>
      <c r="T35" t="str">
        <f>INDEX(Lookups!$B$39:$B$45,MATCH(H35,Lookups!$A$39:$A$45,0))</f>
        <v>Sun</v>
      </c>
      <c r="U35" t="str">
        <f t="shared" si="3"/>
        <v>Weekend</v>
      </c>
      <c r="V35" t="str">
        <f t="shared" si="4"/>
        <v>Non-Working Day</v>
      </c>
      <c r="W35" t="str">
        <f t="shared" si="5"/>
        <v>Spring</v>
      </c>
      <c r="X35" t="str">
        <f t="shared" si="6"/>
        <v>Cloudy/Mist</v>
      </c>
      <c r="Y35" t="str">
        <f t="shared" si="7"/>
        <v>Morning</v>
      </c>
      <c r="Z35" t="str">
        <f t="shared" si="8"/>
        <v>Warm</v>
      </c>
      <c r="AA35" t="str">
        <f t="shared" si="9"/>
        <v>High</v>
      </c>
      <c r="AB35" t="str">
        <f t="shared" si="10"/>
        <v>Off-Peak</v>
      </c>
      <c r="AC35" s="63">
        <f t="shared" si="11"/>
        <v>0.13207547169811321</v>
      </c>
      <c r="AD35" t="str">
        <f>IF(P35&gt;=Stats!$C$30,"High",IF(P35&lt;=Stats!$C$29,"Low","Normal"))</f>
        <v>Normal</v>
      </c>
      <c r="AE35">
        <f t="shared" si="12"/>
        <v>1</v>
      </c>
    </row>
    <row r="36" spans="1:31" x14ac:dyDescent="0.2">
      <c r="A36">
        <f>Dataset_A!A36</f>
        <v>35</v>
      </c>
      <c r="B36" s="61">
        <f>Dataset_A!B36</f>
        <v>40545</v>
      </c>
      <c r="C36">
        <f>Dataset_A!C36</f>
        <v>1</v>
      </c>
      <c r="D36">
        <f>Dataset_A!D36</f>
        <v>0</v>
      </c>
      <c r="E36">
        <f>Dataset_A!E36</f>
        <v>1</v>
      </c>
      <c r="F36">
        <f>Dataset_A!F36</f>
        <v>11</v>
      </c>
      <c r="G36" t="b">
        <f>Dataset_A!G36</f>
        <v>0</v>
      </c>
      <c r="H36">
        <f>Dataset_A!H36</f>
        <v>0</v>
      </c>
      <c r="I36">
        <f>Dataset_A!I36</f>
        <v>2</v>
      </c>
      <c r="J36" s="55">
        <f>Dataset_A!J36</f>
        <v>0.36</v>
      </c>
      <c r="K36">
        <f>Dataset_A!K36</f>
        <v>0.33329999999999999</v>
      </c>
      <c r="L36">
        <f>Dataset_A!L36</f>
        <v>0.71</v>
      </c>
      <c r="M36">
        <f>Dataset_A!M36</f>
        <v>0.25369999999999998</v>
      </c>
      <c r="N36">
        <f>Dataset_A!N36</f>
        <v>16</v>
      </c>
      <c r="O36">
        <f>Dataset_A!O36</f>
        <v>54</v>
      </c>
      <c r="P36">
        <f>Dataset_A!P36</f>
        <v>70</v>
      </c>
      <c r="Q36" t="str">
        <f t="shared" si="0"/>
        <v>REC-0035</v>
      </c>
      <c r="R36" s="62">
        <f t="shared" si="1"/>
        <v>40545.458333333336</v>
      </c>
      <c r="S36" t="str">
        <f t="shared" si="2"/>
        <v>Jan</v>
      </c>
      <c r="T36" t="str">
        <f>INDEX(Lookups!$B$39:$B$45,MATCH(H36,Lookups!$A$39:$A$45,0))</f>
        <v>Sun</v>
      </c>
      <c r="U36" t="str">
        <f t="shared" si="3"/>
        <v>Weekend</v>
      </c>
      <c r="V36" t="str">
        <f t="shared" si="4"/>
        <v>Non-Working Day</v>
      </c>
      <c r="W36" t="str">
        <f t="shared" si="5"/>
        <v>Spring</v>
      </c>
      <c r="X36" t="str">
        <f t="shared" si="6"/>
        <v>Cloudy/Mist</v>
      </c>
      <c r="Y36" t="str">
        <f t="shared" si="7"/>
        <v>Morning</v>
      </c>
      <c r="Z36" t="str">
        <f t="shared" si="8"/>
        <v>Warm</v>
      </c>
      <c r="AA36" t="str">
        <f t="shared" si="9"/>
        <v>Medium</v>
      </c>
      <c r="AB36" t="str">
        <f t="shared" si="10"/>
        <v>Off-Peak</v>
      </c>
      <c r="AC36" s="63">
        <f t="shared" si="11"/>
        <v>0.22857142857142856</v>
      </c>
      <c r="AD36" t="str">
        <f>IF(P36&gt;=Stats!$C$30,"High",IF(P36&lt;=Stats!$C$29,"Low","Normal"))</f>
        <v>Normal</v>
      </c>
      <c r="AE36">
        <f t="shared" si="12"/>
        <v>1</v>
      </c>
    </row>
    <row r="37" spans="1:31" x14ac:dyDescent="0.2">
      <c r="A37">
        <f>Dataset_A!A37</f>
        <v>36</v>
      </c>
      <c r="B37" s="61">
        <f>Dataset_A!B37</f>
        <v>40545</v>
      </c>
      <c r="C37">
        <f>Dataset_A!C37</f>
        <v>1</v>
      </c>
      <c r="D37">
        <f>Dataset_A!D37</f>
        <v>0</v>
      </c>
      <c r="E37">
        <f>Dataset_A!E37</f>
        <v>1</v>
      </c>
      <c r="F37">
        <f>Dataset_A!F37</f>
        <v>12</v>
      </c>
      <c r="G37" t="b">
        <f>Dataset_A!G37</f>
        <v>0</v>
      </c>
      <c r="H37">
        <f>Dataset_A!H37</f>
        <v>0</v>
      </c>
      <c r="I37">
        <f>Dataset_A!I37</f>
        <v>2</v>
      </c>
      <c r="J37" s="55">
        <f>Dataset_A!J37</f>
        <v>0.36</v>
      </c>
      <c r="K37">
        <f>Dataset_A!K37</f>
        <v>0.33329999999999999</v>
      </c>
      <c r="L37">
        <f>Dataset_A!L37</f>
        <v>0.66</v>
      </c>
      <c r="M37">
        <f>Dataset_A!M37</f>
        <v>0.29849999999999999</v>
      </c>
      <c r="N37">
        <f>Dataset_A!N37</f>
        <v>20</v>
      </c>
      <c r="O37">
        <f>Dataset_A!O37</f>
        <v>73</v>
      </c>
      <c r="P37">
        <f>Dataset_A!P37</f>
        <v>93</v>
      </c>
      <c r="Q37" t="str">
        <f t="shared" si="0"/>
        <v>REC-0036</v>
      </c>
      <c r="R37" s="62">
        <f t="shared" si="1"/>
        <v>40545.5</v>
      </c>
      <c r="S37" t="str">
        <f t="shared" si="2"/>
        <v>Jan</v>
      </c>
      <c r="T37" t="str">
        <f>INDEX(Lookups!$B$39:$B$45,MATCH(H37,Lookups!$A$39:$A$45,0))</f>
        <v>Sun</v>
      </c>
      <c r="U37" t="str">
        <f t="shared" si="3"/>
        <v>Weekend</v>
      </c>
      <c r="V37" t="str">
        <f t="shared" si="4"/>
        <v>Non-Working Day</v>
      </c>
      <c r="W37" t="str">
        <f t="shared" si="5"/>
        <v>Spring</v>
      </c>
      <c r="X37" t="str">
        <f t="shared" si="6"/>
        <v>Cloudy/Mist</v>
      </c>
      <c r="Y37" t="str">
        <f t="shared" si="7"/>
        <v>Afternoon</v>
      </c>
      <c r="Z37" t="str">
        <f t="shared" si="8"/>
        <v>Warm</v>
      </c>
      <c r="AA37" t="str">
        <f t="shared" si="9"/>
        <v>Medium</v>
      </c>
      <c r="AB37" t="str">
        <f t="shared" si="10"/>
        <v>Off-Peak</v>
      </c>
      <c r="AC37" s="63">
        <f t="shared" si="11"/>
        <v>0.21505376344086022</v>
      </c>
      <c r="AD37" t="str">
        <f>IF(P37&gt;=Stats!$C$30,"High",IF(P37&lt;=Stats!$C$29,"Low","Normal"))</f>
        <v>High</v>
      </c>
      <c r="AE37">
        <f t="shared" si="12"/>
        <v>1</v>
      </c>
    </row>
    <row r="38" spans="1:31" x14ac:dyDescent="0.2">
      <c r="A38">
        <f>Dataset_A!A38</f>
        <v>37</v>
      </c>
      <c r="B38" s="61">
        <f>Dataset_A!B38</f>
        <v>40545</v>
      </c>
      <c r="C38">
        <f>Dataset_A!C38</f>
        <v>1</v>
      </c>
      <c r="D38">
        <f>Dataset_A!D38</f>
        <v>0</v>
      </c>
      <c r="E38">
        <f>Dataset_A!E38</f>
        <v>1</v>
      </c>
      <c r="F38">
        <f>Dataset_A!F38</f>
        <v>13</v>
      </c>
      <c r="G38" t="b">
        <f>Dataset_A!G38</f>
        <v>0</v>
      </c>
      <c r="H38">
        <f>Dataset_A!H38</f>
        <v>0</v>
      </c>
      <c r="I38">
        <f>Dataset_A!I38</f>
        <v>2</v>
      </c>
      <c r="J38" s="55">
        <f>Dataset_A!J38</f>
        <v>0.36</v>
      </c>
      <c r="K38">
        <f>Dataset_A!K38</f>
        <v>0.34849999999999998</v>
      </c>
      <c r="L38">
        <f>Dataset_A!L38</f>
        <v>0.66</v>
      </c>
      <c r="M38">
        <f>Dataset_A!M38</f>
        <v>0.1343</v>
      </c>
      <c r="N38">
        <f>Dataset_A!N38</f>
        <v>11</v>
      </c>
      <c r="O38">
        <f>Dataset_A!O38</f>
        <v>64</v>
      </c>
      <c r="P38">
        <f>Dataset_A!P38</f>
        <v>75</v>
      </c>
      <c r="Q38" t="str">
        <f t="shared" si="0"/>
        <v>REC-0037</v>
      </c>
      <c r="R38" s="62">
        <f t="shared" si="1"/>
        <v>40545.541666666664</v>
      </c>
      <c r="S38" t="str">
        <f t="shared" si="2"/>
        <v>Jan</v>
      </c>
      <c r="T38" t="str">
        <f>INDEX(Lookups!$B$39:$B$45,MATCH(H38,Lookups!$A$39:$A$45,0))</f>
        <v>Sun</v>
      </c>
      <c r="U38" t="str">
        <f t="shared" si="3"/>
        <v>Weekend</v>
      </c>
      <c r="V38" t="str">
        <f t="shared" si="4"/>
        <v>Non-Working Day</v>
      </c>
      <c r="W38" t="str">
        <f t="shared" si="5"/>
        <v>Spring</v>
      </c>
      <c r="X38" t="str">
        <f t="shared" si="6"/>
        <v>Cloudy/Mist</v>
      </c>
      <c r="Y38" t="str">
        <f t="shared" si="7"/>
        <v>Afternoon</v>
      </c>
      <c r="Z38" t="str">
        <f t="shared" si="8"/>
        <v>Warm</v>
      </c>
      <c r="AA38" t="str">
        <f t="shared" si="9"/>
        <v>Medium</v>
      </c>
      <c r="AB38" t="str">
        <f t="shared" si="10"/>
        <v>Off-Peak</v>
      </c>
      <c r="AC38" s="63">
        <f t="shared" si="11"/>
        <v>0.14666666666666667</v>
      </c>
      <c r="AD38" t="str">
        <f>IF(P38&gt;=Stats!$C$30,"High",IF(P38&lt;=Stats!$C$29,"Low","Normal"))</f>
        <v>Normal</v>
      </c>
      <c r="AE38">
        <f t="shared" si="12"/>
        <v>1</v>
      </c>
    </row>
    <row r="39" spans="1:31" x14ac:dyDescent="0.2">
      <c r="A39">
        <f>Dataset_A!A39</f>
        <v>38</v>
      </c>
      <c r="B39" s="61">
        <f>Dataset_A!B39</f>
        <v>40545</v>
      </c>
      <c r="C39">
        <f>Dataset_A!C39</f>
        <v>1</v>
      </c>
      <c r="D39">
        <f>Dataset_A!D39</f>
        <v>0</v>
      </c>
      <c r="E39">
        <f>Dataset_A!E39</f>
        <v>1</v>
      </c>
      <c r="F39">
        <f>Dataset_A!F39</f>
        <v>14</v>
      </c>
      <c r="G39" t="b">
        <f>Dataset_A!G39</f>
        <v>0</v>
      </c>
      <c r="H39">
        <f>Dataset_A!H39</f>
        <v>0</v>
      </c>
      <c r="I39">
        <f>Dataset_A!I39</f>
        <v>3</v>
      </c>
      <c r="J39" s="55">
        <f>Dataset_A!J39</f>
        <v>0.36</v>
      </c>
      <c r="K39">
        <f>Dataset_A!K39</f>
        <v>0.34089999999999998</v>
      </c>
      <c r="L39">
        <f>Dataset_A!L39</f>
        <v>0.76</v>
      </c>
      <c r="M39">
        <f>Dataset_A!M39</f>
        <v>0.19400000000000001</v>
      </c>
      <c r="N39">
        <f>Dataset_A!N39</f>
        <v>4</v>
      </c>
      <c r="O39">
        <f>Dataset_A!O39</f>
        <v>55</v>
      </c>
      <c r="P39">
        <f>Dataset_A!P39</f>
        <v>59</v>
      </c>
      <c r="Q39" t="str">
        <f t="shared" si="0"/>
        <v>REC-0038</v>
      </c>
      <c r="R39" s="62">
        <f t="shared" si="1"/>
        <v>40545.583333333336</v>
      </c>
      <c r="S39" t="str">
        <f t="shared" si="2"/>
        <v>Jan</v>
      </c>
      <c r="T39" t="str">
        <f>INDEX(Lookups!$B$39:$B$45,MATCH(H39,Lookups!$A$39:$A$45,0))</f>
        <v>Sun</v>
      </c>
      <c r="U39" t="str">
        <f t="shared" si="3"/>
        <v>Weekend</v>
      </c>
      <c r="V39" t="str">
        <f t="shared" si="4"/>
        <v>Non-Working Day</v>
      </c>
      <c r="W39" t="str">
        <f t="shared" si="5"/>
        <v>Spring</v>
      </c>
      <c r="X39" t="str">
        <f t="shared" si="6"/>
        <v>Light Rain/Snow</v>
      </c>
      <c r="Y39" t="str">
        <f t="shared" si="7"/>
        <v>Afternoon</v>
      </c>
      <c r="Z39" t="str">
        <f t="shared" si="8"/>
        <v>Warm</v>
      </c>
      <c r="AA39" t="str">
        <f t="shared" si="9"/>
        <v>High</v>
      </c>
      <c r="AB39" t="str">
        <f t="shared" si="10"/>
        <v>Off-Peak</v>
      </c>
      <c r="AC39" s="63">
        <f t="shared" si="11"/>
        <v>6.7796610169491525E-2</v>
      </c>
      <c r="AD39" t="str">
        <f>IF(P39&gt;=Stats!$C$30,"High",IF(P39&lt;=Stats!$C$29,"Low","Normal"))</f>
        <v>Normal</v>
      </c>
      <c r="AE39">
        <f t="shared" si="12"/>
        <v>1</v>
      </c>
    </row>
    <row r="40" spans="1:31" x14ac:dyDescent="0.2">
      <c r="A40">
        <f>Dataset_A!A40</f>
        <v>39</v>
      </c>
      <c r="B40" s="61">
        <f>Dataset_A!B40</f>
        <v>40545</v>
      </c>
      <c r="C40">
        <f>Dataset_A!C40</f>
        <v>1</v>
      </c>
      <c r="D40">
        <f>Dataset_A!D40</f>
        <v>0</v>
      </c>
      <c r="E40">
        <f>Dataset_A!E40</f>
        <v>1</v>
      </c>
      <c r="F40">
        <f>Dataset_A!F40</f>
        <v>15</v>
      </c>
      <c r="G40" t="b">
        <f>Dataset_A!G40</f>
        <v>0</v>
      </c>
      <c r="H40">
        <f>Dataset_A!H40</f>
        <v>0</v>
      </c>
      <c r="I40">
        <f>Dataset_A!I40</f>
        <v>3</v>
      </c>
      <c r="J40" s="55">
        <f>Dataset_A!J40</f>
        <v>0.34</v>
      </c>
      <c r="K40">
        <f>Dataset_A!K40</f>
        <v>0.33329999999999999</v>
      </c>
      <c r="L40">
        <f>Dataset_A!L40</f>
        <v>0.81</v>
      </c>
      <c r="M40">
        <f>Dataset_A!M40</f>
        <v>0.16420000000000001</v>
      </c>
      <c r="N40">
        <f>Dataset_A!N40</f>
        <v>19</v>
      </c>
      <c r="O40">
        <f>Dataset_A!O40</f>
        <v>55</v>
      </c>
      <c r="P40">
        <f>Dataset_A!P40</f>
        <v>74</v>
      </c>
      <c r="Q40" t="str">
        <f t="shared" si="0"/>
        <v>REC-0039</v>
      </c>
      <c r="R40" s="62">
        <f t="shared" si="1"/>
        <v>40545.625</v>
      </c>
      <c r="S40" t="str">
        <f t="shared" si="2"/>
        <v>Jan</v>
      </c>
      <c r="T40" t="str">
        <f>INDEX(Lookups!$B$39:$B$45,MATCH(H40,Lookups!$A$39:$A$45,0))</f>
        <v>Sun</v>
      </c>
      <c r="U40" t="str">
        <f t="shared" si="3"/>
        <v>Weekend</v>
      </c>
      <c r="V40" t="str">
        <f t="shared" si="4"/>
        <v>Non-Working Day</v>
      </c>
      <c r="W40" t="str">
        <f t="shared" si="5"/>
        <v>Spring</v>
      </c>
      <c r="X40" t="str">
        <f t="shared" si="6"/>
        <v>Light Rain/Snow</v>
      </c>
      <c r="Y40" t="str">
        <f t="shared" si="7"/>
        <v>Afternoon</v>
      </c>
      <c r="Z40" t="str">
        <f t="shared" si="8"/>
        <v>Warm</v>
      </c>
      <c r="AA40" t="str">
        <f t="shared" si="9"/>
        <v>High</v>
      </c>
      <c r="AB40" t="str">
        <f t="shared" si="10"/>
        <v>Off-Peak</v>
      </c>
      <c r="AC40" s="63">
        <f t="shared" si="11"/>
        <v>0.25675675675675674</v>
      </c>
      <c r="AD40" t="str">
        <f>IF(P40&gt;=Stats!$C$30,"High",IF(P40&lt;=Stats!$C$29,"Low","Normal"))</f>
        <v>Normal</v>
      </c>
      <c r="AE40">
        <f t="shared" si="12"/>
        <v>1</v>
      </c>
    </row>
    <row r="41" spans="1:31" x14ac:dyDescent="0.2">
      <c r="A41">
        <f>Dataset_A!A41</f>
        <v>40</v>
      </c>
      <c r="B41" s="61">
        <f>Dataset_A!B41</f>
        <v>40545</v>
      </c>
      <c r="C41">
        <f>Dataset_A!C41</f>
        <v>1</v>
      </c>
      <c r="D41">
        <f>Dataset_A!D41</f>
        <v>0</v>
      </c>
      <c r="E41">
        <f>Dataset_A!E41</f>
        <v>1</v>
      </c>
      <c r="F41">
        <f>Dataset_A!F41</f>
        <v>16</v>
      </c>
      <c r="G41" t="b">
        <f>Dataset_A!G41</f>
        <v>0</v>
      </c>
      <c r="H41">
        <f>Dataset_A!H41</f>
        <v>0</v>
      </c>
      <c r="I41">
        <f>Dataset_A!I41</f>
        <v>3</v>
      </c>
      <c r="J41" s="55">
        <f>Dataset_A!J41</f>
        <v>0.34</v>
      </c>
      <c r="K41">
        <f>Dataset_A!K41</f>
        <v>0.33329999999999999</v>
      </c>
      <c r="L41">
        <f>Dataset_A!L41</f>
        <v>0.71</v>
      </c>
      <c r="M41">
        <f>Dataset_A!M41</f>
        <v>0.16420000000000001</v>
      </c>
      <c r="N41">
        <f>Dataset_A!N41</f>
        <v>9</v>
      </c>
      <c r="O41">
        <f>Dataset_A!O41</f>
        <v>67</v>
      </c>
      <c r="P41">
        <f>Dataset_A!P41</f>
        <v>76</v>
      </c>
      <c r="Q41" t="str">
        <f t="shared" si="0"/>
        <v>REC-0040</v>
      </c>
      <c r="R41" s="62">
        <f t="shared" si="1"/>
        <v>40545.666666666664</v>
      </c>
      <c r="S41" t="str">
        <f t="shared" si="2"/>
        <v>Jan</v>
      </c>
      <c r="T41" t="str">
        <f>INDEX(Lookups!$B$39:$B$45,MATCH(H41,Lookups!$A$39:$A$45,0))</f>
        <v>Sun</v>
      </c>
      <c r="U41" t="str">
        <f t="shared" si="3"/>
        <v>Weekend</v>
      </c>
      <c r="V41" t="str">
        <f t="shared" si="4"/>
        <v>Non-Working Day</v>
      </c>
      <c r="W41" t="str">
        <f t="shared" si="5"/>
        <v>Spring</v>
      </c>
      <c r="X41" t="str">
        <f t="shared" si="6"/>
        <v>Light Rain/Snow</v>
      </c>
      <c r="Y41" t="str">
        <f t="shared" si="7"/>
        <v>Afternoon</v>
      </c>
      <c r="Z41" t="str">
        <f t="shared" si="8"/>
        <v>Warm</v>
      </c>
      <c r="AA41" t="str">
        <f t="shared" si="9"/>
        <v>Medium</v>
      </c>
      <c r="AB41" t="str">
        <f t="shared" si="10"/>
        <v>Off-Peak</v>
      </c>
      <c r="AC41" s="63">
        <f t="shared" si="11"/>
        <v>0.11842105263157894</v>
      </c>
      <c r="AD41" t="str">
        <f>IF(P41&gt;=Stats!$C$30,"High",IF(P41&lt;=Stats!$C$29,"Low","Normal"))</f>
        <v>Normal</v>
      </c>
      <c r="AE41">
        <f t="shared" si="12"/>
        <v>1</v>
      </c>
    </row>
    <row r="42" spans="1:31" x14ac:dyDescent="0.2">
      <c r="A42">
        <f>Dataset_A!A42</f>
        <v>41</v>
      </c>
      <c r="B42" s="61">
        <f>Dataset_A!B42</f>
        <v>40545</v>
      </c>
      <c r="C42">
        <f>Dataset_A!C42</f>
        <v>1</v>
      </c>
      <c r="D42">
        <f>Dataset_A!D42</f>
        <v>0</v>
      </c>
      <c r="E42">
        <f>Dataset_A!E42</f>
        <v>1</v>
      </c>
      <c r="F42">
        <f>Dataset_A!F42</f>
        <v>17</v>
      </c>
      <c r="G42" t="b">
        <f>Dataset_A!G42</f>
        <v>0</v>
      </c>
      <c r="H42">
        <f>Dataset_A!H42</f>
        <v>0</v>
      </c>
      <c r="I42">
        <f>Dataset_A!I42</f>
        <v>1</v>
      </c>
      <c r="J42" s="55">
        <f>Dataset_A!J42</f>
        <v>0.34</v>
      </c>
      <c r="K42">
        <f>Dataset_A!K42</f>
        <v>0.33329999999999999</v>
      </c>
      <c r="L42">
        <f>Dataset_A!L42</f>
        <v>0.56999999999999995</v>
      </c>
      <c r="M42">
        <f>Dataset_A!M42</f>
        <v>0.19400000000000001</v>
      </c>
      <c r="N42">
        <f>Dataset_A!N42</f>
        <v>7</v>
      </c>
      <c r="O42">
        <f>Dataset_A!O42</f>
        <v>58</v>
      </c>
      <c r="P42">
        <f>Dataset_A!P42</f>
        <v>65</v>
      </c>
      <c r="Q42" t="str">
        <f t="shared" si="0"/>
        <v>REC-0041</v>
      </c>
      <c r="R42" s="62">
        <f t="shared" si="1"/>
        <v>40545.708333333336</v>
      </c>
      <c r="S42" t="str">
        <f t="shared" si="2"/>
        <v>Jan</v>
      </c>
      <c r="T42" t="str">
        <f>INDEX(Lookups!$B$39:$B$45,MATCH(H42,Lookups!$A$39:$A$45,0))</f>
        <v>Sun</v>
      </c>
      <c r="U42" t="str">
        <f t="shared" si="3"/>
        <v>Weekend</v>
      </c>
      <c r="V42" t="str">
        <f t="shared" si="4"/>
        <v>Non-Working Day</v>
      </c>
      <c r="W42" t="str">
        <f t="shared" si="5"/>
        <v>Spring</v>
      </c>
      <c r="X42" t="str">
        <f t="shared" si="6"/>
        <v>Clear</v>
      </c>
      <c r="Y42" t="str">
        <f t="shared" si="7"/>
        <v>Evening</v>
      </c>
      <c r="Z42" t="str">
        <f t="shared" si="8"/>
        <v>Warm</v>
      </c>
      <c r="AA42" t="str">
        <f t="shared" si="9"/>
        <v>Medium</v>
      </c>
      <c r="AB42" t="str">
        <f t="shared" si="10"/>
        <v>Off-Peak</v>
      </c>
      <c r="AC42" s="63">
        <f t="shared" si="11"/>
        <v>0.1076923076923077</v>
      </c>
      <c r="AD42" t="str">
        <f>IF(P42&gt;=Stats!$C$30,"High",IF(P42&lt;=Stats!$C$29,"Low","Normal"))</f>
        <v>Normal</v>
      </c>
      <c r="AE42">
        <f t="shared" si="12"/>
        <v>1</v>
      </c>
    </row>
    <row r="43" spans="1:31" x14ac:dyDescent="0.2">
      <c r="A43">
        <f>Dataset_A!A43</f>
        <v>42</v>
      </c>
      <c r="B43" s="61">
        <f>Dataset_A!B43</f>
        <v>40545</v>
      </c>
      <c r="C43">
        <f>Dataset_A!C43</f>
        <v>1</v>
      </c>
      <c r="D43">
        <f>Dataset_A!D43</f>
        <v>0</v>
      </c>
      <c r="E43">
        <f>Dataset_A!E43</f>
        <v>1</v>
      </c>
      <c r="F43">
        <f>Dataset_A!F43</f>
        <v>18</v>
      </c>
      <c r="G43" t="b">
        <f>Dataset_A!G43</f>
        <v>0</v>
      </c>
      <c r="H43">
        <f>Dataset_A!H43</f>
        <v>0</v>
      </c>
      <c r="I43">
        <f>Dataset_A!I43</f>
        <v>2</v>
      </c>
      <c r="J43" s="55">
        <f>Dataset_A!J43</f>
        <v>0.36</v>
      </c>
      <c r="K43">
        <f>Dataset_A!K43</f>
        <v>0.33329999999999999</v>
      </c>
      <c r="L43">
        <f>Dataset_A!L43</f>
        <v>0.46</v>
      </c>
      <c r="M43">
        <f>Dataset_A!M43</f>
        <v>0.32840000000000003</v>
      </c>
      <c r="N43">
        <f>Dataset_A!N43</f>
        <v>10</v>
      </c>
      <c r="O43">
        <f>Dataset_A!O43</f>
        <v>43</v>
      </c>
      <c r="P43">
        <f>Dataset_A!P43</f>
        <v>53</v>
      </c>
      <c r="Q43" t="str">
        <f t="shared" si="0"/>
        <v>REC-0042</v>
      </c>
      <c r="R43" s="62">
        <f t="shared" si="1"/>
        <v>40545.75</v>
      </c>
      <c r="S43" t="str">
        <f t="shared" si="2"/>
        <v>Jan</v>
      </c>
      <c r="T43" t="str">
        <f>INDEX(Lookups!$B$39:$B$45,MATCH(H43,Lookups!$A$39:$A$45,0))</f>
        <v>Sun</v>
      </c>
      <c r="U43" t="str">
        <f t="shared" si="3"/>
        <v>Weekend</v>
      </c>
      <c r="V43" t="str">
        <f t="shared" si="4"/>
        <v>Non-Working Day</v>
      </c>
      <c r="W43" t="str">
        <f t="shared" si="5"/>
        <v>Spring</v>
      </c>
      <c r="X43" t="str">
        <f t="shared" si="6"/>
        <v>Cloudy/Mist</v>
      </c>
      <c r="Y43" t="str">
        <f t="shared" si="7"/>
        <v>Evening</v>
      </c>
      <c r="Z43" t="str">
        <f t="shared" si="8"/>
        <v>Warm</v>
      </c>
      <c r="AA43" t="str">
        <f t="shared" si="9"/>
        <v>Low</v>
      </c>
      <c r="AB43" t="str">
        <f t="shared" si="10"/>
        <v>Off-Peak</v>
      </c>
      <c r="AC43" s="63">
        <f t="shared" si="11"/>
        <v>0.18867924528301888</v>
      </c>
      <c r="AD43" t="str">
        <f>IF(P43&gt;=Stats!$C$30,"High",IF(P43&lt;=Stats!$C$29,"Low","Normal"))</f>
        <v>Normal</v>
      </c>
      <c r="AE43">
        <f t="shared" si="12"/>
        <v>1</v>
      </c>
    </row>
    <row r="44" spans="1:31" x14ac:dyDescent="0.2">
      <c r="A44">
        <f>Dataset_A!A44</f>
        <v>43</v>
      </c>
      <c r="B44" s="61">
        <f>Dataset_A!B44</f>
        <v>40545</v>
      </c>
      <c r="C44">
        <f>Dataset_A!C44</f>
        <v>1</v>
      </c>
      <c r="D44">
        <f>Dataset_A!D44</f>
        <v>0</v>
      </c>
      <c r="E44">
        <f>Dataset_A!E44</f>
        <v>1</v>
      </c>
      <c r="F44">
        <f>Dataset_A!F44</f>
        <v>19</v>
      </c>
      <c r="G44" t="b">
        <f>Dataset_A!G44</f>
        <v>0</v>
      </c>
      <c r="H44">
        <f>Dataset_A!H44</f>
        <v>0</v>
      </c>
      <c r="I44">
        <f>Dataset_A!I44</f>
        <v>1</v>
      </c>
      <c r="J44" s="55">
        <f>Dataset_A!J44</f>
        <v>0.32</v>
      </c>
      <c r="K44">
        <f>Dataset_A!K44</f>
        <v>0.28789999999999999</v>
      </c>
      <c r="L44">
        <f>Dataset_A!L44</f>
        <v>0.42</v>
      </c>
      <c r="M44">
        <f>Dataset_A!M44</f>
        <v>0.44779999999999998</v>
      </c>
      <c r="N44">
        <f>Dataset_A!N44</f>
        <v>1</v>
      </c>
      <c r="O44">
        <f>Dataset_A!O44</f>
        <v>29</v>
      </c>
      <c r="P44">
        <f>Dataset_A!P44</f>
        <v>30</v>
      </c>
      <c r="Q44" t="str">
        <f t="shared" si="0"/>
        <v>REC-0043</v>
      </c>
      <c r="R44" s="62">
        <f t="shared" si="1"/>
        <v>40545.791666666664</v>
      </c>
      <c r="S44" t="str">
        <f t="shared" si="2"/>
        <v>Jan</v>
      </c>
      <c r="T44" t="str">
        <f>INDEX(Lookups!$B$39:$B$45,MATCH(H44,Lookups!$A$39:$A$45,0))</f>
        <v>Sun</v>
      </c>
      <c r="U44" t="str">
        <f t="shared" si="3"/>
        <v>Weekend</v>
      </c>
      <c r="V44" t="str">
        <f t="shared" si="4"/>
        <v>Non-Working Day</v>
      </c>
      <c r="W44" t="str">
        <f t="shared" si="5"/>
        <v>Spring</v>
      </c>
      <c r="X44" t="str">
        <f t="shared" si="6"/>
        <v>Clear</v>
      </c>
      <c r="Y44" t="str">
        <f t="shared" si="7"/>
        <v>Evening</v>
      </c>
      <c r="Z44" t="str">
        <f t="shared" si="8"/>
        <v>Warm</v>
      </c>
      <c r="AA44" t="str">
        <f t="shared" si="9"/>
        <v>Low</v>
      </c>
      <c r="AB44" t="str">
        <f t="shared" si="10"/>
        <v>Off-Peak</v>
      </c>
      <c r="AC44" s="63">
        <f t="shared" si="11"/>
        <v>3.3333333333333333E-2</v>
      </c>
      <c r="AD44" t="str">
        <f>IF(P44&gt;=Stats!$C$30,"High",IF(P44&lt;=Stats!$C$29,"Low","Normal"))</f>
        <v>Normal</v>
      </c>
      <c r="AE44">
        <f t="shared" si="12"/>
        <v>1</v>
      </c>
    </row>
    <row r="45" spans="1:31" x14ac:dyDescent="0.2">
      <c r="A45">
        <f>Dataset_A!A45</f>
        <v>44</v>
      </c>
      <c r="B45" s="61">
        <f>Dataset_A!B45</f>
        <v>40545</v>
      </c>
      <c r="C45">
        <f>Dataset_A!C45</f>
        <v>1</v>
      </c>
      <c r="D45">
        <f>Dataset_A!D45</f>
        <v>0</v>
      </c>
      <c r="E45">
        <f>Dataset_A!E45</f>
        <v>1</v>
      </c>
      <c r="F45">
        <f>Dataset_A!F45</f>
        <v>20</v>
      </c>
      <c r="G45" t="b">
        <f>Dataset_A!G45</f>
        <v>0</v>
      </c>
      <c r="H45">
        <f>Dataset_A!H45</f>
        <v>0</v>
      </c>
      <c r="I45">
        <f>Dataset_A!I45</f>
        <v>1</v>
      </c>
      <c r="J45" s="55">
        <f>Dataset_A!J45</f>
        <v>0.3</v>
      </c>
      <c r="K45">
        <f>Dataset_A!K45</f>
        <v>0.2576</v>
      </c>
      <c r="L45">
        <f>Dataset_A!L45</f>
        <v>0.39</v>
      </c>
      <c r="M45">
        <f>Dataset_A!M45</f>
        <v>0.35820000000000002</v>
      </c>
      <c r="N45">
        <f>Dataset_A!N45</f>
        <v>5</v>
      </c>
      <c r="O45">
        <f>Dataset_A!O45</f>
        <v>17</v>
      </c>
      <c r="P45">
        <f>Dataset_A!P45</f>
        <v>22</v>
      </c>
      <c r="Q45" t="str">
        <f t="shared" si="0"/>
        <v>REC-0044</v>
      </c>
      <c r="R45" s="62">
        <f t="shared" si="1"/>
        <v>40545.833333333336</v>
      </c>
      <c r="S45" t="str">
        <f t="shared" si="2"/>
        <v>Jan</v>
      </c>
      <c r="T45" t="str">
        <f>INDEX(Lookups!$B$39:$B$45,MATCH(H45,Lookups!$A$39:$A$45,0))</f>
        <v>Sun</v>
      </c>
      <c r="U45" t="str">
        <f t="shared" si="3"/>
        <v>Weekend</v>
      </c>
      <c r="V45" t="str">
        <f t="shared" si="4"/>
        <v>Non-Working Day</v>
      </c>
      <c r="W45" t="str">
        <f t="shared" si="5"/>
        <v>Spring</v>
      </c>
      <c r="X45" t="str">
        <f t="shared" si="6"/>
        <v>Clear</v>
      </c>
      <c r="Y45" t="str">
        <f t="shared" si="7"/>
        <v>Evening</v>
      </c>
      <c r="Z45" t="str">
        <f t="shared" si="8"/>
        <v>Warm</v>
      </c>
      <c r="AA45" t="str">
        <f t="shared" si="9"/>
        <v>Low</v>
      </c>
      <c r="AB45" t="str">
        <f t="shared" si="10"/>
        <v>Off-Peak</v>
      </c>
      <c r="AC45" s="63">
        <f t="shared" si="11"/>
        <v>0.22727272727272727</v>
      </c>
      <c r="AD45" t="str">
        <f>IF(P45&gt;=Stats!$C$30,"High",IF(P45&lt;=Stats!$C$29,"Low","Normal"))</f>
        <v>Normal</v>
      </c>
      <c r="AE45">
        <f t="shared" si="12"/>
        <v>1</v>
      </c>
    </row>
    <row r="46" spans="1:31" x14ac:dyDescent="0.2">
      <c r="A46">
        <f>Dataset_A!A46</f>
        <v>45</v>
      </c>
      <c r="B46" s="61">
        <f>Dataset_A!B46</f>
        <v>40545</v>
      </c>
      <c r="C46">
        <f>Dataset_A!C46</f>
        <v>1</v>
      </c>
      <c r="D46">
        <f>Dataset_A!D46</f>
        <v>0</v>
      </c>
      <c r="E46">
        <f>Dataset_A!E46</f>
        <v>1</v>
      </c>
      <c r="F46">
        <f>Dataset_A!F46</f>
        <v>21</v>
      </c>
      <c r="G46" t="b">
        <f>Dataset_A!G46</f>
        <v>0</v>
      </c>
      <c r="H46">
        <f>Dataset_A!H46</f>
        <v>0</v>
      </c>
      <c r="I46">
        <f>Dataset_A!I46</f>
        <v>1</v>
      </c>
      <c r="J46" s="55">
        <f>Dataset_A!J46</f>
        <v>0.26</v>
      </c>
      <c r="K46">
        <f>Dataset_A!K46</f>
        <v>0.2273</v>
      </c>
      <c r="L46">
        <f>Dataset_A!L46</f>
        <v>0.44</v>
      </c>
      <c r="M46">
        <f>Dataset_A!M46</f>
        <v>0.32840000000000003</v>
      </c>
      <c r="N46">
        <f>Dataset_A!N46</f>
        <v>11</v>
      </c>
      <c r="O46">
        <f>Dataset_A!O46</f>
        <v>20</v>
      </c>
      <c r="P46">
        <f>Dataset_A!P46</f>
        <v>31</v>
      </c>
      <c r="Q46" t="str">
        <f t="shared" si="0"/>
        <v>REC-0045</v>
      </c>
      <c r="R46" s="62">
        <f t="shared" si="1"/>
        <v>40545.875</v>
      </c>
      <c r="S46" t="str">
        <f t="shared" si="2"/>
        <v>Jan</v>
      </c>
      <c r="T46" t="str">
        <f>INDEX(Lookups!$B$39:$B$45,MATCH(H46,Lookups!$A$39:$A$45,0))</f>
        <v>Sun</v>
      </c>
      <c r="U46" t="str">
        <f t="shared" si="3"/>
        <v>Weekend</v>
      </c>
      <c r="V46" t="str">
        <f t="shared" si="4"/>
        <v>Non-Working Day</v>
      </c>
      <c r="W46" t="str">
        <f t="shared" si="5"/>
        <v>Spring</v>
      </c>
      <c r="X46" t="str">
        <f t="shared" si="6"/>
        <v>Clear</v>
      </c>
      <c r="Y46" t="str">
        <f t="shared" si="7"/>
        <v>Late Evening</v>
      </c>
      <c r="Z46" t="str">
        <f t="shared" si="8"/>
        <v>Mild</v>
      </c>
      <c r="AA46" t="str">
        <f t="shared" si="9"/>
        <v>Low</v>
      </c>
      <c r="AB46" t="str">
        <f t="shared" si="10"/>
        <v>Off-Peak</v>
      </c>
      <c r="AC46" s="63">
        <f t="shared" si="11"/>
        <v>0.35483870967741937</v>
      </c>
      <c r="AD46" t="str">
        <f>IF(P46&gt;=Stats!$C$30,"High",IF(P46&lt;=Stats!$C$29,"Low","Normal"))</f>
        <v>Normal</v>
      </c>
      <c r="AE46">
        <f t="shared" si="12"/>
        <v>1</v>
      </c>
    </row>
    <row r="47" spans="1:31" x14ac:dyDescent="0.2">
      <c r="A47">
        <f>Dataset_A!A47</f>
        <v>46</v>
      </c>
      <c r="B47" s="61">
        <f>Dataset_A!B47</f>
        <v>40545</v>
      </c>
      <c r="C47">
        <f>Dataset_A!C47</f>
        <v>1</v>
      </c>
      <c r="D47">
        <f>Dataset_A!D47</f>
        <v>0</v>
      </c>
      <c r="E47">
        <f>Dataset_A!E47</f>
        <v>1</v>
      </c>
      <c r="F47">
        <f>Dataset_A!F47</f>
        <v>22</v>
      </c>
      <c r="G47" t="b">
        <f>Dataset_A!G47</f>
        <v>0</v>
      </c>
      <c r="H47">
        <f>Dataset_A!H47</f>
        <v>0</v>
      </c>
      <c r="I47">
        <f>Dataset_A!I47</f>
        <v>1</v>
      </c>
      <c r="J47" s="55">
        <f>Dataset_A!J47</f>
        <v>0.24</v>
      </c>
      <c r="K47">
        <f>Dataset_A!K47</f>
        <v>0.21210000000000001</v>
      </c>
      <c r="L47">
        <f>Dataset_A!L47</f>
        <v>0.44</v>
      </c>
      <c r="M47">
        <f>Dataset_A!M47</f>
        <v>0.29849999999999999</v>
      </c>
      <c r="N47">
        <f>Dataset_A!N47</f>
        <v>0</v>
      </c>
      <c r="O47">
        <f>Dataset_A!O47</f>
        <v>9</v>
      </c>
      <c r="P47">
        <f>Dataset_A!P47</f>
        <v>9</v>
      </c>
      <c r="Q47" t="str">
        <f t="shared" si="0"/>
        <v>REC-0046</v>
      </c>
      <c r="R47" s="62">
        <f t="shared" si="1"/>
        <v>40545.916666666664</v>
      </c>
      <c r="S47" t="str">
        <f t="shared" si="2"/>
        <v>Jan</v>
      </c>
      <c r="T47" t="str">
        <f>INDEX(Lookups!$B$39:$B$45,MATCH(H47,Lookups!$A$39:$A$45,0))</f>
        <v>Sun</v>
      </c>
      <c r="U47" t="str">
        <f t="shared" si="3"/>
        <v>Weekend</v>
      </c>
      <c r="V47" t="str">
        <f t="shared" si="4"/>
        <v>Non-Working Day</v>
      </c>
      <c r="W47" t="str">
        <f t="shared" si="5"/>
        <v>Spring</v>
      </c>
      <c r="X47" t="str">
        <f t="shared" si="6"/>
        <v>Clear</v>
      </c>
      <c r="Y47" t="str">
        <f t="shared" si="7"/>
        <v>Late Evening</v>
      </c>
      <c r="Z47" t="str">
        <f t="shared" si="8"/>
        <v>Mild</v>
      </c>
      <c r="AA47" t="str">
        <f t="shared" si="9"/>
        <v>Low</v>
      </c>
      <c r="AB47" t="str">
        <f t="shared" si="10"/>
        <v>Off-Peak</v>
      </c>
      <c r="AC47" s="63">
        <f t="shared" si="11"/>
        <v>0</v>
      </c>
      <c r="AD47" t="str">
        <f>IF(P47&gt;=Stats!$C$30,"High",IF(P47&lt;=Stats!$C$29,"Low","Normal"))</f>
        <v>Low</v>
      </c>
      <c r="AE47">
        <f t="shared" si="12"/>
        <v>1</v>
      </c>
    </row>
    <row r="48" spans="1:31" x14ac:dyDescent="0.2">
      <c r="A48">
        <f>Dataset_A!A48</f>
        <v>47</v>
      </c>
      <c r="B48" s="61">
        <f>Dataset_A!B48</f>
        <v>40545</v>
      </c>
      <c r="C48">
        <f>Dataset_A!C48</f>
        <v>1</v>
      </c>
      <c r="D48">
        <f>Dataset_A!D48</f>
        <v>0</v>
      </c>
      <c r="E48">
        <f>Dataset_A!E48</f>
        <v>1</v>
      </c>
      <c r="F48">
        <f>Dataset_A!F48</f>
        <v>23</v>
      </c>
      <c r="G48" t="b">
        <f>Dataset_A!G48</f>
        <v>0</v>
      </c>
      <c r="H48">
        <f>Dataset_A!H48</f>
        <v>0</v>
      </c>
      <c r="I48">
        <f>Dataset_A!I48</f>
        <v>1</v>
      </c>
      <c r="J48" s="55">
        <f>Dataset_A!J48</f>
        <v>0.22</v>
      </c>
      <c r="K48">
        <f>Dataset_A!K48</f>
        <v>0.2273</v>
      </c>
      <c r="L48">
        <f>Dataset_A!L48</f>
        <v>0.47</v>
      </c>
      <c r="M48">
        <f>Dataset_A!M48</f>
        <v>0.16420000000000001</v>
      </c>
      <c r="N48">
        <f>Dataset_A!N48</f>
        <v>0</v>
      </c>
      <c r="O48">
        <f>Dataset_A!O48</f>
        <v>8</v>
      </c>
      <c r="P48">
        <f>Dataset_A!P48</f>
        <v>8</v>
      </c>
      <c r="Q48" t="str">
        <f t="shared" si="0"/>
        <v>REC-0047</v>
      </c>
      <c r="R48" s="62">
        <f t="shared" si="1"/>
        <v>40545.958333333336</v>
      </c>
      <c r="S48" t="str">
        <f t="shared" si="2"/>
        <v>Jan</v>
      </c>
      <c r="T48" t="str">
        <f>INDEX(Lookups!$B$39:$B$45,MATCH(H48,Lookups!$A$39:$A$45,0))</f>
        <v>Sun</v>
      </c>
      <c r="U48" t="str">
        <f t="shared" si="3"/>
        <v>Weekend</v>
      </c>
      <c r="V48" t="str">
        <f t="shared" si="4"/>
        <v>Non-Working Day</v>
      </c>
      <c r="W48" t="str">
        <f t="shared" si="5"/>
        <v>Spring</v>
      </c>
      <c r="X48" t="str">
        <f t="shared" si="6"/>
        <v>Clear</v>
      </c>
      <c r="Y48" t="str">
        <f t="shared" si="7"/>
        <v>Late Evening</v>
      </c>
      <c r="Z48" t="str">
        <f t="shared" si="8"/>
        <v>Mild</v>
      </c>
      <c r="AA48" t="str">
        <f t="shared" si="9"/>
        <v>Low</v>
      </c>
      <c r="AB48" t="str">
        <f t="shared" si="10"/>
        <v>Off-Peak</v>
      </c>
      <c r="AC48" s="63">
        <f t="shared" si="11"/>
        <v>0</v>
      </c>
      <c r="AD48" t="str">
        <f>IF(P48&gt;=Stats!$C$30,"High",IF(P48&lt;=Stats!$C$29,"Low","Normal"))</f>
        <v>Low</v>
      </c>
      <c r="AE48">
        <f t="shared" si="12"/>
        <v>1</v>
      </c>
    </row>
    <row r="49" spans="1:31" x14ac:dyDescent="0.2">
      <c r="A49">
        <f>Dataset_A!A49</f>
        <v>48</v>
      </c>
      <c r="B49" s="61">
        <f>Dataset_A!B49</f>
        <v>40546</v>
      </c>
      <c r="C49">
        <f>Dataset_A!C49</f>
        <v>1</v>
      </c>
      <c r="D49">
        <f>Dataset_A!D49</f>
        <v>0</v>
      </c>
      <c r="E49">
        <f>Dataset_A!E49</f>
        <v>1</v>
      </c>
      <c r="F49">
        <f>Dataset_A!F49</f>
        <v>0</v>
      </c>
      <c r="G49" t="b">
        <f>Dataset_A!G49</f>
        <v>0</v>
      </c>
      <c r="H49">
        <f>Dataset_A!H49</f>
        <v>1</v>
      </c>
      <c r="I49">
        <f>Dataset_A!I49</f>
        <v>1</v>
      </c>
      <c r="J49" s="55">
        <f>Dataset_A!J49</f>
        <v>0.22</v>
      </c>
      <c r="K49">
        <f>Dataset_A!K49</f>
        <v>0.19700000000000001</v>
      </c>
      <c r="L49">
        <f>Dataset_A!L49</f>
        <v>0.44</v>
      </c>
      <c r="M49">
        <f>Dataset_A!M49</f>
        <v>0.35820000000000002</v>
      </c>
      <c r="N49">
        <f>Dataset_A!N49</f>
        <v>0</v>
      </c>
      <c r="O49">
        <f>Dataset_A!O49</f>
        <v>5</v>
      </c>
      <c r="P49">
        <f>Dataset_A!P49</f>
        <v>5</v>
      </c>
      <c r="Q49" t="str">
        <f t="shared" si="0"/>
        <v>REC-0048</v>
      </c>
      <c r="R49" s="62">
        <f t="shared" si="1"/>
        <v>40546</v>
      </c>
      <c r="S49" t="str">
        <f t="shared" si="2"/>
        <v>Jan</v>
      </c>
      <c r="T49" t="str">
        <f>INDEX(Lookups!$B$39:$B$45,MATCH(H49,Lookups!$A$39:$A$45,0))</f>
        <v>Mon</v>
      </c>
      <c r="U49" t="str">
        <f t="shared" si="3"/>
        <v>Weekday</v>
      </c>
      <c r="V49" t="str">
        <f t="shared" si="4"/>
        <v>Working Day</v>
      </c>
      <c r="W49" t="str">
        <f t="shared" si="5"/>
        <v>Spring</v>
      </c>
      <c r="X49" t="str">
        <f t="shared" si="6"/>
        <v>Clear</v>
      </c>
      <c r="Y49" t="str">
        <f t="shared" si="7"/>
        <v>Night</v>
      </c>
      <c r="Z49" t="str">
        <f t="shared" si="8"/>
        <v>Mild</v>
      </c>
      <c r="AA49" t="str">
        <f t="shared" si="9"/>
        <v>Low</v>
      </c>
      <c r="AB49" t="str">
        <f t="shared" si="10"/>
        <v>Off-Peak</v>
      </c>
      <c r="AC49" s="63">
        <f t="shared" si="11"/>
        <v>0</v>
      </c>
      <c r="AD49" t="str">
        <f>IF(P49&gt;=Stats!$C$30,"High",IF(P49&lt;=Stats!$C$29,"Low","Normal"))</f>
        <v>Low</v>
      </c>
      <c r="AE49">
        <f t="shared" si="12"/>
        <v>1</v>
      </c>
    </row>
    <row r="50" spans="1:31" x14ac:dyDescent="0.2">
      <c r="A50">
        <f>Dataset_A!A50</f>
        <v>49</v>
      </c>
      <c r="B50" s="61">
        <f>Dataset_A!B50</f>
        <v>40546</v>
      </c>
      <c r="C50">
        <f>Dataset_A!C50</f>
        <v>1</v>
      </c>
      <c r="D50">
        <f>Dataset_A!D50</f>
        <v>0</v>
      </c>
      <c r="E50">
        <f>Dataset_A!E50</f>
        <v>1</v>
      </c>
      <c r="F50">
        <f>Dataset_A!F50</f>
        <v>1</v>
      </c>
      <c r="G50" t="b">
        <f>Dataset_A!G50</f>
        <v>0</v>
      </c>
      <c r="H50">
        <f>Dataset_A!H50</f>
        <v>1</v>
      </c>
      <c r="I50">
        <f>Dataset_A!I50</f>
        <v>1</v>
      </c>
      <c r="J50" s="55">
        <f>Dataset_A!J50</f>
        <v>0.2</v>
      </c>
      <c r="K50">
        <f>Dataset_A!K50</f>
        <v>0.16669999999999999</v>
      </c>
      <c r="L50">
        <f>Dataset_A!L50</f>
        <v>0.44</v>
      </c>
      <c r="M50">
        <f>Dataset_A!M50</f>
        <v>0.41789999999999999</v>
      </c>
      <c r="N50">
        <f>Dataset_A!N50</f>
        <v>0</v>
      </c>
      <c r="O50">
        <f>Dataset_A!O50</f>
        <v>2</v>
      </c>
      <c r="P50">
        <f>Dataset_A!P50</f>
        <v>2</v>
      </c>
      <c r="Q50" t="str">
        <f t="shared" si="0"/>
        <v>REC-0049</v>
      </c>
      <c r="R50" s="62">
        <f t="shared" si="1"/>
        <v>40546.041666666664</v>
      </c>
      <c r="S50" t="str">
        <f t="shared" si="2"/>
        <v>Jan</v>
      </c>
      <c r="T50" t="str">
        <f>INDEX(Lookups!$B$39:$B$45,MATCH(H50,Lookups!$A$39:$A$45,0))</f>
        <v>Mon</v>
      </c>
      <c r="U50" t="str">
        <f t="shared" si="3"/>
        <v>Weekday</v>
      </c>
      <c r="V50" t="str">
        <f t="shared" si="4"/>
        <v>Working Day</v>
      </c>
      <c r="W50" t="str">
        <f t="shared" si="5"/>
        <v>Spring</v>
      </c>
      <c r="X50" t="str">
        <f t="shared" si="6"/>
        <v>Clear</v>
      </c>
      <c r="Y50" t="str">
        <f t="shared" si="7"/>
        <v>Night</v>
      </c>
      <c r="Z50" t="str">
        <f t="shared" si="8"/>
        <v>Mild</v>
      </c>
      <c r="AA50" t="str">
        <f t="shared" si="9"/>
        <v>Low</v>
      </c>
      <c r="AB50" t="str">
        <f t="shared" si="10"/>
        <v>Off-Peak</v>
      </c>
      <c r="AC50" s="63">
        <f t="shared" si="11"/>
        <v>0</v>
      </c>
      <c r="AD50" t="str">
        <f>IF(P50&gt;=Stats!$C$30,"High",IF(P50&lt;=Stats!$C$29,"Low","Normal"))</f>
        <v>Low</v>
      </c>
      <c r="AE50">
        <f t="shared" si="12"/>
        <v>1</v>
      </c>
    </row>
    <row r="51" spans="1:31" x14ac:dyDescent="0.2">
      <c r="A51">
        <f>Dataset_A!A51</f>
        <v>50</v>
      </c>
      <c r="B51" s="61">
        <f>Dataset_A!B51</f>
        <v>40546</v>
      </c>
      <c r="C51">
        <f>Dataset_A!C51</f>
        <v>1</v>
      </c>
      <c r="D51">
        <f>Dataset_A!D51</f>
        <v>0</v>
      </c>
      <c r="E51">
        <f>Dataset_A!E51</f>
        <v>1</v>
      </c>
      <c r="F51">
        <f>Dataset_A!F51</f>
        <v>4</v>
      </c>
      <c r="G51" t="b">
        <f>Dataset_A!G51</f>
        <v>0</v>
      </c>
      <c r="H51">
        <f>Dataset_A!H51</f>
        <v>1</v>
      </c>
      <c r="I51">
        <f>Dataset_A!I51</f>
        <v>1</v>
      </c>
      <c r="J51" s="55">
        <f>Dataset_A!J51</f>
        <v>0.16</v>
      </c>
      <c r="K51">
        <f>Dataset_A!K51</f>
        <v>0.13639999999999999</v>
      </c>
      <c r="L51">
        <f>Dataset_A!L51</f>
        <v>0.47</v>
      </c>
      <c r="M51">
        <f>Dataset_A!M51</f>
        <v>0.3881</v>
      </c>
      <c r="N51">
        <f>Dataset_A!N51</f>
        <v>0</v>
      </c>
      <c r="O51">
        <f>Dataset_A!O51</f>
        <v>1</v>
      </c>
      <c r="P51">
        <f>Dataset_A!P51</f>
        <v>1</v>
      </c>
      <c r="Q51" t="str">
        <f t="shared" si="0"/>
        <v>REC-0050</v>
      </c>
      <c r="R51" s="62">
        <f t="shared" si="1"/>
        <v>40546.166666666664</v>
      </c>
      <c r="S51" t="str">
        <f t="shared" si="2"/>
        <v>Jan</v>
      </c>
      <c r="T51" t="str">
        <f>INDEX(Lookups!$B$39:$B$45,MATCH(H51,Lookups!$A$39:$A$45,0))</f>
        <v>Mon</v>
      </c>
      <c r="U51" t="str">
        <f t="shared" si="3"/>
        <v>Weekday</v>
      </c>
      <c r="V51" t="str">
        <f t="shared" si="4"/>
        <v>Working Day</v>
      </c>
      <c r="W51" t="str">
        <f t="shared" si="5"/>
        <v>Spring</v>
      </c>
      <c r="X51" t="str">
        <f t="shared" si="6"/>
        <v>Clear</v>
      </c>
      <c r="Y51" t="str">
        <f t="shared" si="7"/>
        <v>Night</v>
      </c>
      <c r="Z51" t="str">
        <f t="shared" si="8"/>
        <v>Cold</v>
      </c>
      <c r="AA51" t="str">
        <f t="shared" si="9"/>
        <v>Low</v>
      </c>
      <c r="AB51" t="str">
        <f t="shared" si="10"/>
        <v>Off-Peak</v>
      </c>
      <c r="AC51" s="63">
        <f t="shared" si="11"/>
        <v>0</v>
      </c>
      <c r="AD51" t="str">
        <f>IF(P51&gt;=Stats!$C$30,"High",IF(P51&lt;=Stats!$C$29,"Low","Normal"))</f>
        <v>Low</v>
      </c>
      <c r="AE51">
        <f t="shared" si="12"/>
        <v>1</v>
      </c>
    </row>
    <row r="52" spans="1:31" x14ac:dyDescent="0.2">
      <c r="A52">
        <f>Dataset_A!A52</f>
        <v>51</v>
      </c>
      <c r="B52" s="61">
        <f>Dataset_A!B52</f>
        <v>40546</v>
      </c>
      <c r="C52">
        <f>Dataset_A!C52</f>
        <v>1</v>
      </c>
      <c r="D52">
        <f>Dataset_A!D52</f>
        <v>0</v>
      </c>
      <c r="E52">
        <f>Dataset_A!E52</f>
        <v>1</v>
      </c>
      <c r="F52">
        <f>Dataset_A!F52</f>
        <v>5</v>
      </c>
      <c r="G52" t="b">
        <f>Dataset_A!G52</f>
        <v>0</v>
      </c>
      <c r="H52">
        <f>Dataset_A!H52</f>
        <v>1</v>
      </c>
      <c r="I52">
        <f>Dataset_A!I52</f>
        <v>1</v>
      </c>
      <c r="J52" s="55">
        <f>Dataset_A!J52</f>
        <v>0.16</v>
      </c>
      <c r="K52">
        <f>Dataset_A!K52</f>
        <v>0.13639999999999999</v>
      </c>
      <c r="L52">
        <f>Dataset_A!L52</f>
        <v>0.47</v>
      </c>
      <c r="M52">
        <f>Dataset_A!M52</f>
        <v>0.28360000000000002</v>
      </c>
      <c r="N52">
        <f>Dataset_A!N52</f>
        <v>0</v>
      </c>
      <c r="O52">
        <f>Dataset_A!O52</f>
        <v>3</v>
      </c>
      <c r="P52">
        <f>Dataset_A!P52</f>
        <v>3</v>
      </c>
      <c r="Q52" t="str">
        <f t="shared" si="0"/>
        <v>REC-0051</v>
      </c>
      <c r="R52" s="62">
        <f t="shared" si="1"/>
        <v>40546.208333333336</v>
      </c>
      <c r="S52" t="str">
        <f t="shared" si="2"/>
        <v>Jan</v>
      </c>
      <c r="T52" t="str">
        <f>INDEX(Lookups!$B$39:$B$45,MATCH(H52,Lookups!$A$39:$A$45,0))</f>
        <v>Mon</v>
      </c>
      <c r="U52" t="str">
        <f t="shared" si="3"/>
        <v>Weekday</v>
      </c>
      <c r="V52" t="str">
        <f t="shared" si="4"/>
        <v>Working Day</v>
      </c>
      <c r="W52" t="str">
        <f t="shared" si="5"/>
        <v>Spring</v>
      </c>
      <c r="X52" t="str">
        <f t="shared" si="6"/>
        <v>Clear</v>
      </c>
      <c r="Y52" t="str">
        <f t="shared" si="7"/>
        <v>Night</v>
      </c>
      <c r="Z52" t="str">
        <f t="shared" si="8"/>
        <v>Cold</v>
      </c>
      <c r="AA52" t="str">
        <f t="shared" si="9"/>
        <v>Low</v>
      </c>
      <c r="AB52" t="str">
        <f t="shared" si="10"/>
        <v>Off-Peak</v>
      </c>
      <c r="AC52" s="63">
        <f t="shared" si="11"/>
        <v>0</v>
      </c>
      <c r="AD52" t="str">
        <f>IF(P52&gt;=Stats!$C$30,"High",IF(P52&lt;=Stats!$C$29,"Low","Normal"))</f>
        <v>Low</v>
      </c>
      <c r="AE52">
        <f t="shared" si="12"/>
        <v>1</v>
      </c>
    </row>
    <row r="53" spans="1:31" x14ac:dyDescent="0.2">
      <c r="A53">
        <f>Dataset_A!A53</f>
        <v>52</v>
      </c>
      <c r="B53" s="61">
        <f>Dataset_A!B53</f>
        <v>40546</v>
      </c>
      <c r="C53">
        <f>Dataset_A!C53</f>
        <v>1</v>
      </c>
      <c r="D53">
        <f>Dataset_A!D53</f>
        <v>0</v>
      </c>
      <c r="E53">
        <f>Dataset_A!E53</f>
        <v>1</v>
      </c>
      <c r="F53">
        <f>Dataset_A!F53</f>
        <v>6</v>
      </c>
      <c r="G53" t="b">
        <f>Dataset_A!G53</f>
        <v>0</v>
      </c>
      <c r="H53">
        <f>Dataset_A!H53</f>
        <v>1</v>
      </c>
      <c r="I53">
        <f>Dataset_A!I53</f>
        <v>1</v>
      </c>
      <c r="J53" s="55">
        <f>Dataset_A!J53</f>
        <v>0.14000000000000001</v>
      </c>
      <c r="K53">
        <f>Dataset_A!K53</f>
        <v>0.1061</v>
      </c>
      <c r="L53">
        <f>Dataset_A!L53</f>
        <v>0.5</v>
      </c>
      <c r="M53">
        <f>Dataset_A!M53</f>
        <v>0.3881</v>
      </c>
      <c r="N53">
        <f>Dataset_A!N53</f>
        <v>0</v>
      </c>
      <c r="O53">
        <f>Dataset_A!O53</f>
        <v>30</v>
      </c>
      <c r="P53">
        <f>Dataset_A!P53</f>
        <v>30</v>
      </c>
      <c r="Q53" t="str">
        <f t="shared" si="0"/>
        <v>REC-0052</v>
      </c>
      <c r="R53" s="62">
        <f t="shared" si="1"/>
        <v>40546.25</v>
      </c>
      <c r="S53" t="str">
        <f t="shared" si="2"/>
        <v>Jan</v>
      </c>
      <c r="T53" t="str">
        <f>INDEX(Lookups!$B$39:$B$45,MATCH(H53,Lookups!$A$39:$A$45,0))</f>
        <v>Mon</v>
      </c>
      <c r="U53" t="str">
        <f t="shared" si="3"/>
        <v>Weekday</v>
      </c>
      <c r="V53" t="str">
        <f t="shared" si="4"/>
        <v>Working Day</v>
      </c>
      <c r="W53" t="str">
        <f t="shared" si="5"/>
        <v>Spring</v>
      </c>
      <c r="X53" t="str">
        <f t="shared" si="6"/>
        <v>Clear</v>
      </c>
      <c r="Y53" t="str">
        <f t="shared" si="7"/>
        <v>Morning</v>
      </c>
      <c r="Z53" t="str">
        <f t="shared" si="8"/>
        <v>Cold</v>
      </c>
      <c r="AA53" t="str">
        <f t="shared" si="9"/>
        <v>Medium</v>
      </c>
      <c r="AB53" t="str">
        <f t="shared" si="10"/>
        <v>Off-Peak</v>
      </c>
      <c r="AC53" s="63">
        <f t="shared" si="11"/>
        <v>0</v>
      </c>
      <c r="AD53" t="str">
        <f>IF(P53&gt;=Stats!$C$30,"High",IF(P53&lt;=Stats!$C$29,"Low","Normal"))</f>
        <v>Normal</v>
      </c>
      <c r="AE53">
        <f t="shared" si="12"/>
        <v>1</v>
      </c>
    </row>
    <row r="54" spans="1:31" x14ac:dyDescent="0.2">
      <c r="A54">
        <f>Dataset_A!A54</f>
        <v>53</v>
      </c>
      <c r="B54" s="61">
        <f>Dataset_A!B54</f>
        <v>40546</v>
      </c>
      <c r="C54">
        <f>Dataset_A!C54</f>
        <v>1</v>
      </c>
      <c r="D54">
        <f>Dataset_A!D54</f>
        <v>0</v>
      </c>
      <c r="E54">
        <f>Dataset_A!E54</f>
        <v>1</v>
      </c>
      <c r="F54">
        <f>Dataset_A!F54</f>
        <v>7</v>
      </c>
      <c r="G54" t="b">
        <f>Dataset_A!G54</f>
        <v>0</v>
      </c>
      <c r="H54">
        <f>Dataset_A!H54</f>
        <v>1</v>
      </c>
      <c r="I54">
        <f>Dataset_A!I54</f>
        <v>1</v>
      </c>
      <c r="J54" s="55">
        <f>Dataset_A!J54</f>
        <v>0.14000000000000001</v>
      </c>
      <c r="K54">
        <f>Dataset_A!K54</f>
        <v>0.13639999999999999</v>
      </c>
      <c r="L54">
        <f>Dataset_A!L54</f>
        <v>0.5</v>
      </c>
      <c r="M54">
        <f>Dataset_A!M54</f>
        <v>0.19400000000000001</v>
      </c>
      <c r="N54">
        <f>Dataset_A!N54</f>
        <v>1</v>
      </c>
      <c r="O54">
        <f>Dataset_A!O54</f>
        <v>63</v>
      </c>
      <c r="P54">
        <f>Dataset_A!P54</f>
        <v>64</v>
      </c>
      <c r="Q54" t="str">
        <f t="shared" si="0"/>
        <v>REC-0053</v>
      </c>
      <c r="R54" s="62">
        <f t="shared" si="1"/>
        <v>40546.291666666664</v>
      </c>
      <c r="S54" t="str">
        <f t="shared" si="2"/>
        <v>Jan</v>
      </c>
      <c r="T54" t="str">
        <f>INDEX(Lookups!$B$39:$B$45,MATCH(H54,Lookups!$A$39:$A$45,0))</f>
        <v>Mon</v>
      </c>
      <c r="U54" t="str">
        <f t="shared" si="3"/>
        <v>Weekday</v>
      </c>
      <c r="V54" t="str">
        <f t="shared" si="4"/>
        <v>Working Day</v>
      </c>
      <c r="W54" t="str">
        <f t="shared" si="5"/>
        <v>Spring</v>
      </c>
      <c r="X54" t="str">
        <f t="shared" si="6"/>
        <v>Clear</v>
      </c>
      <c r="Y54" t="str">
        <f t="shared" si="7"/>
        <v>Morning</v>
      </c>
      <c r="Z54" t="str">
        <f t="shared" si="8"/>
        <v>Cold</v>
      </c>
      <c r="AA54" t="str">
        <f t="shared" si="9"/>
        <v>Medium</v>
      </c>
      <c r="AB54" t="str">
        <f t="shared" si="10"/>
        <v>Peak</v>
      </c>
      <c r="AC54" s="63">
        <f t="shared" si="11"/>
        <v>1.5625E-2</v>
      </c>
      <c r="AD54" t="str">
        <f>IF(P54&gt;=Stats!$C$30,"High",IF(P54&lt;=Stats!$C$29,"Low","Normal"))</f>
        <v>Normal</v>
      </c>
      <c r="AE54">
        <f t="shared" si="12"/>
        <v>1</v>
      </c>
    </row>
    <row r="55" spans="1:31" x14ac:dyDescent="0.2">
      <c r="A55">
        <f>Dataset_A!A55</f>
        <v>54</v>
      </c>
      <c r="B55" s="61">
        <f>Dataset_A!B55</f>
        <v>40546</v>
      </c>
      <c r="C55">
        <f>Dataset_A!C55</f>
        <v>1</v>
      </c>
      <c r="D55">
        <f>Dataset_A!D55</f>
        <v>0</v>
      </c>
      <c r="E55">
        <f>Dataset_A!E55</f>
        <v>1</v>
      </c>
      <c r="F55">
        <f>Dataset_A!F55</f>
        <v>8</v>
      </c>
      <c r="G55" t="b">
        <f>Dataset_A!G55</f>
        <v>0</v>
      </c>
      <c r="H55">
        <f>Dataset_A!H55</f>
        <v>1</v>
      </c>
      <c r="I55">
        <f>Dataset_A!I55</f>
        <v>1</v>
      </c>
      <c r="J55" s="55">
        <f>Dataset_A!J55</f>
        <v>0.14000000000000001</v>
      </c>
      <c r="K55">
        <f>Dataset_A!K55</f>
        <v>0.1212</v>
      </c>
      <c r="L55">
        <f>Dataset_A!L55</f>
        <v>0.5</v>
      </c>
      <c r="M55">
        <f>Dataset_A!M55</f>
        <v>0.28360000000000002</v>
      </c>
      <c r="N55">
        <f>Dataset_A!N55</f>
        <v>1</v>
      </c>
      <c r="O55">
        <f>Dataset_A!O55</f>
        <v>153</v>
      </c>
      <c r="P55">
        <f>Dataset_A!P55</f>
        <v>154</v>
      </c>
      <c r="Q55" t="str">
        <f t="shared" si="0"/>
        <v>REC-0054</v>
      </c>
      <c r="R55" s="62">
        <f t="shared" si="1"/>
        <v>40546.333333333336</v>
      </c>
      <c r="S55" t="str">
        <f t="shared" si="2"/>
        <v>Jan</v>
      </c>
      <c r="T55" t="str">
        <f>INDEX(Lookups!$B$39:$B$45,MATCH(H55,Lookups!$A$39:$A$45,0))</f>
        <v>Mon</v>
      </c>
      <c r="U55" t="str">
        <f t="shared" si="3"/>
        <v>Weekday</v>
      </c>
      <c r="V55" t="str">
        <f t="shared" si="4"/>
        <v>Working Day</v>
      </c>
      <c r="W55" t="str">
        <f t="shared" si="5"/>
        <v>Spring</v>
      </c>
      <c r="X55" t="str">
        <f t="shared" si="6"/>
        <v>Clear</v>
      </c>
      <c r="Y55" t="str">
        <f t="shared" si="7"/>
        <v>Morning</v>
      </c>
      <c r="Z55" t="str">
        <f t="shared" si="8"/>
        <v>Cold</v>
      </c>
      <c r="AA55" t="str">
        <f t="shared" si="9"/>
        <v>Medium</v>
      </c>
      <c r="AB55" t="str">
        <f t="shared" si="10"/>
        <v>Peak</v>
      </c>
      <c r="AC55" s="63">
        <f t="shared" si="11"/>
        <v>6.4935064935064939E-3</v>
      </c>
      <c r="AD55" t="str">
        <f>IF(P55&gt;=Stats!$C$30,"High",IF(P55&lt;=Stats!$C$29,"Low","Normal"))</f>
        <v>High</v>
      </c>
      <c r="AE55">
        <f t="shared" si="12"/>
        <v>1</v>
      </c>
    </row>
    <row r="56" spans="1:31" x14ac:dyDescent="0.2">
      <c r="A56">
        <f>Dataset_A!A56</f>
        <v>55</v>
      </c>
      <c r="B56" s="61">
        <f>Dataset_A!B56</f>
        <v>40546</v>
      </c>
      <c r="C56">
        <f>Dataset_A!C56</f>
        <v>1</v>
      </c>
      <c r="D56">
        <f>Dataset_A!D56</f>
        <v>0</v>
      </c>
      <c r="E56">
        <f>Dataset_A!E56</f>
        <v>1</v>
      </c>
      <c r="F56">
        <f>Dataset_A!F56</f>
        <v>9</v>
      </c>
      <c r="G56" t="b">
        <f>Dataset_A!G56</f>
        <v>0</v>
      </c>
      <c r="H56">
        <f>Dataset_A!H56</f>
        <v>1</v>
      </c>
      <c r="I56">
        <f>Dataset_A!I56</f>
        <v>1</v>
      </c>
      <c r="J56" s="55">
        <f>Dataset_A!J56</f>
        <v>0.16</v>
      </c>
      <c r="K56">
        <f>Dataset_A!K56</f>
        <v>0.13639999999999999</v>
      </c>
      <c r="L56">
        <f>Dataset_A!L56</f>
        <v>0.43</v>
      </c>
      <c r="M56">
        <f>Dataset_A!M56</f>
        <v>0.3881</v>
      </c>
      <c r="N56">
        <f>Dataset_A!N56</f>
        <v>7</v>
      </c>
      <c r="O56">
        <f>Dataset_A!O56</f>
        <v>81</v>
      </c>
      <c r="P56">
        <f>Dataset_A!P56</f>
        <v>88</v>
      </c>
      <c r="Q56" t="str">
        <f t="shared" si="0"/>
        <v>REC-0055</v>
      </c>
      <c r="R56" s="62">
        <f t="shared" si="1"/>
        <v>40546.375</v>
      </c>
      <c r="S56" t="str">
        <f t="shared" si="2"/>
        <v>Jan</v>
      </c>
      <c r="T56" t="str">
        <f>INDEX(Lookups!$B$39:$B$45,MATCH(H56,Lookups!$A$39:$A$45,0))</f>
        <v>Mon</v>
      </c>
      <c r="U56" t="str">
        <f t="shared" si="3"/>
        <v>Weekday</v>
      </c>
      <c r="V56" t="str">
        <f t="shared" si="4"/>
        <v>Working Day</v>
      </c>
      <c r="W56" t="str">
        <f t="shared" si="5"/>
        <v>Spring</v>
      </c>
      <c r="X56" t="str">
        <f t="shared" si="6"/>
        <v>Clear</v>
      </c>
      <c r="Y56" t="str">
        <f t="shared" si="7"/>
        <v>Morning</v>
      </c>
      <c r="Z56" t="str">
        <f t="shared" si="8"/>
        <v>Cold</v>
      </c>
      <c r="AA56" t="str">
        <f t="shared" si="9"/>
        <v>Low</v>
      </c>
      <c r="AB56" t="str">
        <f t="shared" si="10"/>
        <v>Peak</v>
      </c>
      <c r="AC56" s="63">
        <f t="shared" si="11"/>
        <v>7.9545454545454544E-2</v>
      </c>
      <c r="AD56" t="str">
        <f>IF(P56&gt;=Stats!$C$30,"High",IF(P56&lt;=Stats!$C$29,"Low","Normal"))</f>
        <v>High</v>
      </c>
      <c r="AE56">
        <f t="shared" si="12"/>
        <v>1</v>
      </c>
    </row>
    <row r="57" spans="1:31" x14ac:dyDescent="0.2">
      <c r="A57">
        <f>Dataset_A!A57</f>
        <v>56</v>
      </c>
      <c r="B57" s="61">
        <f>Dataset_A!B57</f>
        <v>40546</v>
      </c>
      <c r="C57">
        <f>Dataset_A!C57</f>
        <v>1</v>
      </c>
      <c r="D57">
        <f>Dataset_A!D57</f>
        <v>0</v>
      </c>
      <c r="E57">
        <f>Dataset_A!E57</f>
        <v>1</v>
      </c>
      <c r="F57">
        <f>Dataset_A!F57</f>
        <v>10</v>
      </c>
      <c r="G57" t="b">
        <f>Dataset_A!G57</f>
        <v>0</v>
      </c>
      <c r="H57">
        <f>Dataset_A!H57</f>
        <v>1</v>
      </c>
      <c r="I57">
        <f>Dataset_A!I57</f>
        <v>1</v>
      </c>
      <c r="J57" s="55">
        <f>Dataset_A!J57</f>
        <v>0.18</v>
      </c>
      <c r="K57">
        <f>Dataset_A!K57</f>
        <v>0.16669999999999999</v>
      </c>
      <c r="L57">
        <f>Dataset_A!L57</f>
        <v>0.43</v>
      </c>
      <c r="M57">
        <f>Dataset_A!M57</f>
        <v>0.25369999999999998</v>
      </c>
      <c r="N57">
        <f>Dataset_A!N57</f>
        <v>11</v>
      </c>
      <c r="O57">
        <f>Dataset_A!O57</f>
        <v>33</v>
      </c>
      <c r="P57">
        <f>Dataset_A!P57</f>
        <v>44</v>
      </c>
      <c r="Q57" t="str">
        <f t="shared" si="0"/>
        <v>REC-0056</v>
      </c>
      <c r="R57" s="62">
        <f t="shared" si="1"/>
        <v>40546.416666666664</v>
      </c>
      <c r="S57" t="str">
        <f t="shared" si="2"/>
        <v>Jan</v>
      </c>
      <c r="T57" t="str">
        <f>INDEX(Lookups!$B$39:$B$45,MATCH(H57,Lookups!$A$39:$A$45,0))</f>
        <v>Mon</v>
      </c>
      <c r="U57" t="str">
        <f t="shared" si="3"/>
        <v>Weekday</v>
      </c>
      <c r="V57" t="str">
        <f t="shared" si="4"/>
        <v>Working Day</v>
      </c>
      <c r="W57" t="str">
        <f t="shared" si="5"/>
        <v>Spring</v>
      </c>
      <c r="X57" t="str">
        <f t="shared" si="6"/>
        <v>Clear</v>
      </c>
      <c r="Y57" t="str">
        <f t="shared" si="7"/>
        <v>Morning</v>
      </c>
      <c r="Z57" t="str">
        <f t="shared" si="8"/>
        <v>Cold</v>
      </c>
      <c r="AA57" t="str">
        <f t="shared" si="9"/>
        <v>Low</v>
      </c>
      <c r="AB57" t="str">
        <f t="shared" si="10"/>
        <v>Off-Peak</v>
      </c>
      <c r="AC57" s="63">
        <f t="shared" si="11"/>
        <v>0.25</v>
      </c>
      <c r="AD57" t="str">
        <f>IF(P57&gt;=Stats!$C$30,"High",IF(P57&lt;=Stats!$C$29,"Low","Normal"))</f>
        <v>Normal</v>
      </c>
      <c r="AE57">
        <f t="shared" si="12"/>
        <v>1</v>
      </c>
    </row>
    <row r="58" spans="1:31" x14ac:dyDescent="0.2">
      <c r="A58">
        <f>Dataset_A!A58</f>
        <v>57</v>
      </c>
      <c r="B58" s="61">
        <f>Dataset_A!B58</f>
        <v>40546</v>
      </c>
      <c r="C58">
        <f>Dataset_A!C58</f>
        <v>1</v>
      </c>
      <c r="D58">
        <f>Dataset_A!D58</f>
        <v>0</v>
      </c>
      <c r="E58">
        <f>Dataset_A!E58</f>
        <v>1</v>
      </c>
      <c r="F58">
        <f>Dataset_A!F58</f>
        <v>11</v>
      </c>
      <c r="G58" t="b">
        <f>Dataset_A!G58</f>
        <v>0</v>
      </c>
      <c r="H58">
        <f>Dataset_A!H58</f>
        <v>1</v>
      </c>
      <c r="I58">
        <f>Dataset_A!I58</f>
        <v>1</v>
      </c>
      <c r="J58" s="55">
        <f>Dataset_A!J58</f>
        <v>0.2</v>
      </c>
      <c r="K58">
        <f>Dataset_A!K58</f>
        <v>0.18179999999999999</v>
      </c>
      <c r="L58">
        <f>Dataset_A!L58</f>
        <v>0.4</v>
      </c>
      <c r="M58">
        <f>Dataset_A!M58</f>
        <v>0.32840000000000003</v>
      </c>
      <c r="N58">
        <f>Dataset_A!N58</f>
        <v>10</v>
      </c>
      <c r="O58">
        <f>Dataset_A!O58</f>
        <v>41</v>
      </c>
      <c r="P58">
        <f>Dataset_A!P58</f>
        <v>51</v>
      </c>
      <c r="Q58" t="str">
        <f t="shared" si="0"/>
        <v>REC-0057</v>
      </c>
      <c r="R58" s="62">
        <f t="shared" si="1"/>
        <v>40546.458333333336</v>
      </c>
      <c r="S58" t="str">
        <f t="shared" si="2"/>
        <v>Jan</v>
      </c>
      <c r="T58" t="str">
        <f>INDEX(Lookups!$B$39:$B$45,MATCH(H58,Lookups!$A$39:$A$45,0))</f>
        <v>Mon</v>
      </c>
      <c r="U58" t="str">
        <f t="shared" si="3"/>
        <v>Weekday</v>
      </c>
      <c r="V58" t="str">
        <f t="shared" si="4"/>
        <v>Working Day</v>
      </c>
      <c r="W58" t="str">
        <f t="shared" si="5"/>
        <v>Spring</v>
      </c>
      <c r="X58" t="str">
        <f t="shared" si="6"/>
        <v>Clear</v>
      </c>
      <c r="Y58" t="str">
        <f t="shared" si="7"/>
        <v>Morning</v>
      </c>
      <c r="Z58" t="str">
        <f t="shared" si="8"/>
        <v>Mild</v>
      </c>
      <c r="AA58" t="str">
        <f t="shared" si="9"/>
        <v>Low</v>
      </c>
      <c r="AB58" t="str">
        <f t="shared" si="10"/>
        <v>Off-Peak</v>
      </c>
      <c r="AC58" s="63">
        <f t="shared" si="11"/>
        <v>0.19607843137254902</v>
      </c>
      <c r="AD58" t="str">
        <f>IF(P58&gt;=Stats!$C$30,"High",IF(P58&lt;=Stats!$C$29,"Low","Normal"))</f>
        <v>Normal</v>
      </c>
      <c r="AE58">
        <f t="shared" si="12"/>
        <v>1</v>
      </c>
    </row>
    <row r="59" spans="1:31" x14ac:dyDescent="0.2">
      <c r="A59">
        <f>Dataset_A!A59</f>
        <v>58</v>
      </c>
      <c r="B59" s="61">
        <f>Dataset_A!B59</f>
        <v>40546</v>
      </c>
      <c r="C59">
        <f>Dataset_A!C59</f>
        <v>1</v>
      </c>
      <c r="D59">
        <f>Dataset_A!D59</f>
        <v>0</v>
      </c>
      <c r="E59">
        <f>Dataset_A!E59</f>
        <v>1</v>
      </c>
      <c r="F59">
        <f>Dataset_A!F59</f>
        <v>12</v>
      </c>
      <c r="G59" t="b">
        <f>Dataset_A!G59</f>
        <v>0</v>
      </c>
      <c r="H59">
        <f>Dataset_A!H59</f>
        <v>1</v>
      </c>
      <c r="I59">
        <f>Dataset_A!I59</f>
        <v>1</v>
      </c>
      <c r="J59" s="55">
        <f>Dataset_A!J59</f>
        <v>0.22</v>
      </c>
      <c r="K59">
        <f>Dataset_A!K59</f>
        <v>0.21210000000000001</v>
      </c>
      <c r="L59">
        <f>Dataset_A!L59</f>
        <v>0.35</v>
      </c>
      <c r="M59">
        <f>Dataset_A!M59</f>
        <v>0.29849999999999999</v>
      </c>
      <c r="N59">
        <f>Dataset_A!N59</f>
        <v>13</v>
      </c>
      <c r="O59">
        <f>Dataset_A!O59</f>
        <v>48</v>
      </c>
      <c r="P59">
        <f>Dataset_A!P59</f>
        <v>61</v>
      </c>
      <c r="Q59" t="str">
        <f t="shared" si="0"/>
        <v>REC-0058</v>
      </c>
      <c r="R59" s="62">
        <f t="shared" si="1"/>
        <v>40546.5</v>
      </c>
      <c r="S59" t="str">
        <f t="shared" si="2"/>
        <v>Jan</v>
      </c>
      <c r="T59" t="str">
        <f>INDEX(Lookups!$B$39:$B$45,MATCH(H59,Lookups!$A$39:$A$45,0))</f>
        <v>Mon</v>
      </c>
      <c r="U59" t="str">
        <f t="shared" si="3"/>
        <v>Weekday</v>
      </c>
      <c r="V59" t="str">
        <f t="shared" si="4"/>
        <v>Working Day</v>
      </c>
      <c r="W59" t="str">
        <f t="shared" si="5"/>
        <v>Spring</v>
      </c>
      <c r="X59" t="str">
        <f t="shared" si="6"/>
        <v>Clear</v>
      </c>
      <c r="Y59" t="str">
        <f t="shared" si="7"/>
        <v>Afternoon</v>
      </c>
      <c r="Z59" t="str">
        <f t="shared" si="8"/>
        <v>Mild</v>
      </c>
      <c r="AA59" t="str">
        <f t="shared" si="9"/>
        <v>Low</v>
      </c>
      <c r="AB59" t="str">
        <f t="shared" si="10"/>
        <v>Off-Peak</v>
      </c>
      <c r="AC59" s="63">
        <f t="shared" si="11"/>
        <v>0.21311475409836064</v>
      </c>
      <c r="AD59" t="str">
        <f>IF(P59&gt;=Stats!$C$30,"High",IF(P59&lt;=Stats!$C$29,"Low","Normal"))</f>
        <v>Normal</v>
      </c>
      <c r="AE59">
        <f t="shared" si="12"/>
        <v>1</v>
      </c>
    </row>
    <row r="60" spans="1:31" x14ac:dyDescent="0.2">
      <c r="A60">
        <f>Dataset_A!A60</f>
        <v>59</v>
      </c>
      <c r="B60" s="61">
        <f>Dataset_A!B60</f>
        <v>40546</v>
      </c>
      <c r="C60">
        <f>Dataset_A!C60</f>
        <v>1</v>
      </c>
      <c r="D60">
        <f>Dataset_A!D60</f>
        <v>0</v>
      </c>
      <c r="E60">
        <f>Dataset_A!E60</f>
        <v>1</v>
      </c>
      <c r="F60">
        <f>Dataset_A!F60</f>
        <v>13</v>
      </c>
      <c r="G60" t="b">
        <f>Dataset_A!G60</f>
        <v>0</v>
      </c>
      <c r="H60">
        <f>Dataset_A!H60</f>
        <v>1</v>
      </c>
      <c r="I60">
        <f>Dataset_A!I60</f>
        <v>1</v>
      </c>
      <c r="J60" s="55">
        <f>Dataset_A!J60</f>
        <v>0.24</v>
      </c>
      <c r="K60">
        <f>Dataset_A!K60</f>
        <v>0.2273</v>
      </c>
      <c r="L60">
        <f>Dataset_A!L60</f>
        <v>0.35</v>
      </c>
      <c r="M60">
        <f>Dataset_A!M60</f>
        <v>0.28360000000000002</v>
      </c>
      <c r="N60">
        <f>Dataset_A!N60</f>
        <v>8</v>
      </c>
      <c r="O60">
        <f>Dataset_A!O60</f>
        <v>53</v>
      </c>
      <c r="P60">
        <f>Dataset_A!P60</f>
        <v>61</v>
      </c>
      <c r="Q60" t="str">
        <f t="shared" si="0"/>
        <v>REC-0059</v>
      </c>
      <c r="R60" s="62">
        <f t="shared" si="1"/>
        <v>40546.541666666664</v>
      </c>
      <c r="S60" t="str">
        <f t="shared" si="2"/>
        <v>Jan</v>
      </c>
      <c r="T60" t="str">
        <f>INDEX(Lookups!$B$39:$B$45,MATCH(H60,Lookups!$A$39:$A$45,0))</f>
        <v>Mon</v>
      </c>
      <c r="U60" t="str">
        <f t="shared" si="3"/>
        <v>Weekday</v>
      </c>
      <c r="V60" t="str">
        <f t="shared" si="4"/>
        <v>Working Day</v>
      </c>
      <c r="W60" t="str">
        <f t="shared" si="5"/>
        <v>Spring</v>
      </c>
      <c r="X60" t="str">
        <f t="shared" si="6"/>
        <v>Clear</v>
      </c>
      <c r="Y60" t="str">
        <f t="shared" si="7"/>
        <v>Afternoon</v>
      </c>
      <c r="Z60" t="str">
        <f t="shared" si="8"/>
        <v>Mild</v>
      </c>
      <c r="AA60" t="str">
        <f t="shared" si="9"/>
        <v>Low</v>
      </c>
      <c r="AB60" t="str">
        <f t="shared" si="10"/>
        <v>Off-Peak</v>
      </c>
      <c r="AC60" s="63">
        <f t="shared" si="11"/>
        <v>0.13114754098360656</v>
      </c>
      <c r="AD60" t="str">
        <f>IF(P60&gt;=Stats!$C$30,"High",IF(P60&lt;=Stats!$C$29,"Low","Normal"))</f>
        <v>Normal</v>
      </c>
      <c r="AE60">
        <f t="shared" si="12"/>
        <v>1</v>
      </c>
    </row>
    <row r="61" spans="1:31" x14ac:dyDescent="0.2">
      <c r="A61">
        <f>Dataset_A!A61</f>
        <v>60</v>
      </c>
      <c r="B61" s="61">
        <f>Dataset_A!B61</f>
        <v>40546</v>
      </c>
      <c r="C61">
        <f>Dataset_A!C61</f>
        <v>1</v>
      </c>
      <c r="D61">
        <f>Dataset_A!D61</f>
        <v>0</v>
      </c>
      <c r="E61">
        <f>Dataset_A!E61</f>
        <v>1</v>
      </c>
      <c r="F61">
        <f>Dataset_A!F61</f>
        <v>14</v>
      </c>
      <c r="G61" t="b">
        <f>Dataset_A!G61</f>
        <v>0</v>
      </c>
      <c r="H61">
        <f>Dataset_A!H61</f>
        <v>1</v>
      </c>
      <c r="I61">
        <f>Dataset_A!I61</f>
        <v>1</v>
      </c>
      <c r="J61" s="55">
        <f>Dataset_A!J61</f>
        <v>0.26</v>
      </c>
      <c r="K61">
        <f>Dataset_A!K61</f>
        <v>0.2424</v>
      </c>
      <c r="L61">
        <f>Dataset_A!L61</f>
        <v>0.3</v>
      </c>
      <c r="M61">
        <f>Dataset_A!M61</f>
        <v>0.28360000000000002</v>
      </c>
      <c r="N61">
        <f>Dataset_A!N61</f>
        <v>11</v>
      </c>
      <c r="O61">
        <f>Dataset_A!O61</f>
        <v>66</v>
      </c>
      <c r="P61">
        <f>Dataset_A!P61</f>
        <v>77</v>
      </c>
      <c r="Q61" t="str">
        <f t="shared" si="0"/>
        <v>REC-0060</v>
      </c>
      <c r="R61" s="62">
        <f t="shared" si="1"/>
        <v>40546.583333333336</v>
      </c>
      <c r="S61" t="str">
        <f t="shared" si="2"/>
        <v>Jan</v>
      </c>
      <c r="T61" t="str">
        <f>INDEX(Lookups!$B$39:$B$45,MATCH(H61,Lookups!$A$39:$A$45,0))</f>
        <v>Mon</v>
      </c>
      <c r="U61" t="str">
        <f t="shared" si="3"/>
        <v>Weekday</v>
      </c>
      <c r="V61" t="str">
        <f t="shared" si="4"/>
        <v>Working Day</v>
      </c>
      <c r="W61" t="str">
        <f t="shared" si="5"/>
        <v>Spring</v>
      </c>
      <c r="X61" t="str">
        <f t="shared" si="6"/>
        <v>Clear</v>
      </c>
      <c r="Y61" t="str">
        <f t="shared" si="7"/>
        <v>Afternoon</v>
      </c>
      <c r="Z61" t="str">
        <f t="shared" si="8"/>
        <v>Mild</v>
      </c>
      <c r="AA61" t="str">
        <f t="shared" si="9"/>
        <v>Low</v>
      </c>
      <c r="AB61" t="str">
        <f t="shared" si="10"/>
        <v>Off-Peak</v>
      </c>
      <c r="AC61" s="63">
        <f t="shared" si="11"/>
        <v>0.14285714285714285</v>
      </c>
      <c r="AD61" t="str">
        <f>IF(P61&gt;=Stats!$C$30,"High",IF(P61&lt;=Stats!$C$29,"Low","Normal"))</f>
        <v>Normal</v>
      </c>
      <c r="AE61">
        <f t="shared" si="12"/>
        <v>1</v>
      </c>
    </row>
    <row r="62" spans="1:31" x14ac:dyDescent="0.2">
      <c r="A62">
        <f>Dataset_A!A62</f>
        <v>61</v>
      </c>
      <c r="B62" s="61">
        <f>Dataset_A!B62</f>
        <v>40546</v>
      </c>
      <c r="C62">
        <f>Dataset_A!C62</f>
        <v>1</v>
      </c>
      <c r="D62">
        <f>Dataset_A!D62</f>
        <v>0</v>
      </c>
      <c r="E62">
        <f>Dataset_A!E62</f>
        <v>1</v>
      </c>
      <c r="F62">
        <f>Dataset_A!F62</f>
        <v>15</v>
      </c>
      <c r="G62" t="b">
        <f>Dataset_A!G62</f>
        <v>0</v>
      </c>
      <c r="H62">
        <f>Dataset_A!H62</f>
        <v>1</v>
      </c>
      <c r="I62">
        <f>Dataset_A!I62</f>
        <v>1</v>
      </c>
      <c r="J62" s="55">
        <f>Dataset_A!J62</f>
        <v>0.26</v>
      </c>
      <c r="K62">
        <f>Dataset_A!K62</f>
        <v>0.2424</v>
      </c>
      <c r="L62">
        <f>Dataset_A!L62</f>
        <v>0.3</v>
      </c>
      <c r="M62">
        <f>Dataset_A!M62</f>
        <v>0.25369999999999998</v>
      </c>
      <c r="N62">
        <f>Dataset_A!N62</f>
        <v>14</v>
      </c>
      <c r="O62">
        <f>Dataset_A!O62</f>
        <v>58</v>
      </c>
      <c r="P62">
        <f>Dataset_A!P62</f>
        <v>72</v>
      </c>
      <c r="Q62" t="str">
        <f t="shared" si="0"/>
        <v>REC-0061</v>
      </c>
      <c r="R62" s="62">
        <f t="shared" si="1"/>
        <v>40546.625</v>
      </c>
      <c r="S62" t="str">
        <f t="shared" si="2"/>
        <v>Jan</v>
      </c>
      <c r="T62" t="str">
        <f>INDEX(Lookups!$B$39:$B$45,MATCH(H62,Lookups!$A$39:$A$45,0))</f>
        <v>Mon</v>
      </c>
      <c r="U62" t="str">
        <f t="shared" si="3"/>
        <v>Weekday</v>
      </c>
      <c r="V62" t="str">
        <f t="shared" si="4"/>
        <v>Working Day</v>
      </c>
      <c r="W62" t="str">
        <f t="shared" si="5"/>
        <v>Spring</v>
      </c>
      <c r="X62" t="str">
        <f t="shared" si="6"/>
        <v>Clear</v>
      </c>
      <c r="Y62" t="str">
        <f t="shared" si="7"/>
        <v>Afternoon</v>
      </c>
      <c r="Z62" t="str">
        <f t="shared" si="8"/>
        <v>Mild</v>
      </c>
      <c r="AA62" t="str">
        <f t="shared" si="9"/>
        <v>Low</v>
      </c>
      <c r="AB62" t="str">
        <f t="shared" si="10"/>
        <v>Off-Peak</v>
      </c>
      <c r="AC62" s="63">
        <f t="shared" si="11"/>
        <v>0.19444444444444445</v>
      </c>
      <c r="AD62" t="str">
        <f>IF(P62&gt;=Stats!$C$30,"High",IF(P62&lt;=Stats!$C$29,"Low","Normal"))</f>
        <v>Normal</v>
      </c>
      <c r="AE62">
        <f t="shared" si="12"/>
        <v>1</v>
      </c>
    </row>
    <row r="63" spans="1:31" x14ac:dyDescent="0.2">
      <c r="A63">
        <f>Dataset_A!A63</f>
        <v>62</v>
      </c>
      <c r="B63" s="61">
        <f>Dataset_A!B63</f>
        <v>40546</v>
      </c>
      <c r="C63">
        <f>Dataset_A!C63</f>
        <v>1</v>
      </c>
      <c r="D63">
        <f>Dataset_A!D63</f>
        <v>0</v>
      </c>
      <c r="E63">
        <f>Dataset_A!E63</f>
        <v>1</v>
      </c>
      <c r="F63">
        <f>Dataset_A!F63</f>
        <v>16</v>
      </c>
      <c r="G63" t="b">
        <f>Dataset_A!G63</f>
        <v>0</v>
      </c>
      <c r="H63">
        <f>Dataset_A!H63</f>
        <v>1</v>
      </c>
      <c r="I63">
        <f>Dataset_A!I63</f>
        <v>1</v>
      </c>
      <c r="J63" s="55">
        <f>Dataset_A!J63</f>
        <v>0.26</v>
      </c>
      <c r="K63">
        <f>Dataset_A!K63</f>
        <v>0.2424</v>
      </c>
      <c r="L63">
        <f>Dataset_A!L63</f>
        <v>0.3</v>
      </c>
      <c r="M63">
        <f>Dataset_A!M63</f>
        <v>0.25369999999999998</v>
      </c>
      <c r="N63">
        <f>Dataset_A!N63</f>
        <v>9</v>
      </c>
      <c r="O63">
        <f>Dataset_A!O63</f>
        <v>67</v>
      </c>
      <c r="P63">
        <f>Dataset_A!P63</f>
        <v>76</v>
      </c>
      <c r="Q63" t="str">
        <f t="shared" si="0"/>
        <v>REC-0062</v>
      </c>
      <c r="R63" s="62">
        <f t="shared" si="1"/>
        <v>40546.666666666664</v>
      </c>
      <c r="S63" t="str">
        <f t="shared" si="2"/>
        <v>Jan</v>
      </c>
      <c r="T63" t="str">
        <f>INDEX(Lookups!$B$39:$B$45,MATCH(H63,Lookups!$A$39:$A$45,0))</f>
        <v>Mon</v>
      </c>
      <c r="U63" t="str">
        <f t="shared" si="3"/>
        <v>Weekday</v>
      </c>
      <c r="V63" t="str">
        <f t="shared" si="4"/>
        <v>Working Day</v>
      </c>
      <c r="W63" t="str">
        <f t="shared" si="5"/>
        <v>Spring</v>
      </c>
      <c r="X63" t="str">
        <f t="shared" si="6"/>
        <v>Clear</v>
      </c>
      <c r="Y63" t="str">
        <f t="shared" si="7"/>
        <v>Afternoon</v>
      </c>
      <c r="Z63" t="str">
        <f t="shared" si="8"/>
        <v>Mild</v>
      </c>
      <c r="AA63" t="str">
        <f t="shared" si="9"/>
        <v>Low</v>
      </c>
      <c r="AB63" t="str">
        <f t="shared" si="10"/>
        <v>Peak</v>
      </c>
      <c r="AC63" s="63">
        <f t="shared" si="11"/>
        <v>0.11842105263157894</v>
      </c>
      <c r="AD63" t="str">
        <f>IF(P63&gt;=Stats!$C$30,"High",IF(P63&lt;=Stats!$C$29,"Low","Normal"))</f>
        <v>Normal</v>
      </c>
      <c r="AE63">
        <f t="shared" si="12"/>
        <v>1</v>
      </c>
    </row>
    <row r="64" spans="1:31" x14ac:dyDescent="0.2">
      <c r="A64">
        <f>Dataset_A!A64</f>
        <v>63</v>
      </c>
      <c r="B64" s="61">
        <f>Dataset_A!B64</f>
        <v>40546</v>
      </c>
      <c r="C64">
        <f>Dataset_A!C64</f>
        <v>1</v>
      </c>
      <c r="D64">
        <f>Dataset_A!D64</f>
        <v>0</v>
      </c>
      <c r="E64">
        <f>Dataset_A!E64</f>
        <v>1</v>
      </c>
      <c r="F64">
        <f>Dataset_A!F64</f>
        <v>17</v>
      </c>
      <c r="G64" t="b">
        <f>Dataset_A!G64</f>
        <v>0</v>
      </c>
      <c r="H64">
        <f>Dataset_A!H64</f>
        <v>1</v>
      </c>
      <c r="I64">
        <f>Dataset_A!I64</f>
        <v>1</v>
      </c>
      <c r="J64" s="55">
        <f>Dataset_A!J64</f>
        <v>0.24</v>
      </c>
      <c r="K64">
        <f>Dataset_A!K64</f>
        <v>0.2273</v>
      </c>
      <c r="L64">
        <f>Dataset_A!L64</f>
        <v>0.3</v>
      </c>
      <c r="M64">
        <f>Dataset_A!M64</f>
        <v>0.22389999999999999</v>
      </c>
      <c r="N64">
        <f>Dataset_A!N64</f>
        <v>11</v>
      </c>
      <c r="O64">
        <f>Dataset_A!O64</f>
        <v>146</v>
      </c>
      <c r="P64">
        <f>Dataset_A!P64</f>
        <v>157</v>
      </c>
      <c r="Q64" t="str">
        <f t="shared" si="0"/>
        <v>REC-0063</v>
      </c>
      <c r="R64" s="62">
        <f t="shared" si="1"/>
        <v>40546.708333333336</v>
      </c>
      <c r="S64" t="str">
        <f t="shared" si="2"/>
        <v>Jan</v>
      </c>
      <c r="T64" t="str">
        <f>INDEX(Lookups!$B$39:$B$45,MATCH(H64,Lookups!$A$39:$A$45,0))</f>
        <v>Mon</v>
      </c>
      <c r="U64" t="str">
        <f t="shared" si="3"/>
        <v>Weekday</v>
      </c>
      <c r="V64" t="str">
        <f t="shared" si="4"/>
        <v>Working Day</v>
      </c>
      <c r="W64" t="str">
        <f t="shared" si="5"/>
        <v>Spring</v>
      </c>
      <c r="X64" t="str">
        <f t="shared" si="6"/>
        <v>Clear</v>
      </c>
      <c r="Y64" t="str">
        <f t="shared" si="7"/>
        <v>Evening</v>
      </c>
      <c r="Z64" t="str">
        <f t="shared" si="8"/>
        <v>Mild</v>
      </c>
      <c r="AA64" t="str">
        <f t="shared" si="9"/>
        <v>Low</v>
      </c>
      <c r="AB64" t="str">
        <f t="shared" si="10"/>
        <v>Peak</v>
      </c>
      <c r="AC64" s="63">
        <f t="shared" si="11"/>
        <v>7.0063694267515922E-2</v>
      </c>
      <c r="AD64" t="str">
        <f>IF(P64&gt;=Stats!$C$30,"High",IF(P64&lt;=Stats!$C$29,"Low","Normal"))</f>
        <v>High</v>
      </c>
      <c r="AE64">
        <f t="shared" si="12"/>
        <v>1</v>
      </c>
    </row>
    <row r="65" spans="1:31" x14ac:dyDescent="0.2">
      <c r="A65">
        <f>Dataset_A!A65</f>
        <v>64</v>
      </c>
      <c r="B65" s="61">
        <f>Dataset_A!B65</f>
        <v>40546</v>
      </c>
      <c r="C65">
        <f>Dataset_A!C65</f>
        <v>1</v>
      </c>
      <c r="D65">
        <f>Dataset_A!D65</f>
        <v>0</v>
      </c>
      <c r="E65">
        <f>Dataset_A!E65</f>
        <v>1</v>
      </c>
      <c r="F65">
        <f>Dataset_A!F65</f>
        <v>18</v>
      </c>
      <c r="G65" t="b">
        <f>Dataset_A!G65</f>
        <v>0</v>
      </c>
      <c r="H65">
        <f>Dataset_A!H65</f>
        <v>1</v>
      </c>
      <c r="I65">
        <f>Dataset_A!I65</f>
        <v>1</v>
      </c>
      <c r="J65" s="55">
        <f>Dataset_A!J65</f>
        <v>0.24</v>
      </c>
      <c r="K65">
        <f>Dataset_A!K65</f>
        <v>0.2576</v>
      </c>
      <c r="L65">
        <f>Dataset_A!L65</f>
        <v>0.32</v>
      </c>
      <c r="M65">
        <f>Dataset_A!M65</f>
        <v>0.1045</v>
      </c>
      <c r="N65">
        <f>Dataset_A!N65</f>
        <v>9</v>
      </c>
      <c r="O65">
        <f>Dataset_A!O65</f>
        <v>148</v>
      </c>
      <c r="P65">
        <f>Dataset_A!P65</f>
        <v>157</v>
      </c>
      <c r="Q65" t="str">
        <f t="shared" si="0"/>
        <v>REC-0064</v>
      </c>
      <c r="R65" s="62">
        <f t="shared" si="1"/>
        <v>40546.75</v>
      </c>
      <c r="S65" t="str">
        <f t="shared" si="2"/>
        <v>Jan</v>
      </c>
      <c r="T65" t="str">
        <f>INDEX(Lookups!$B$39:$B$45,MATCH(H65,Lookups!$A$39:$A$45,0))</f>
        <v>Mon</v>
      </c>
      <c r="U65" t="str">
        <f t="shared" si="3"/>
        <v>Weekday</v>
      </c>
      <c r="V65" t="str">
        <f t="shared" si="4"/>
        <v>Working Day</v>
      </c>
      <c r="W65" t="str">
        <f t="shared" si="5"/>
        <v>Spring</v>
      </c>
      <c r="X65" t="str">
        <f t="shared" si="6"/>
        <v>Clear</v>
      </c>
      <c r="Y65" t="str">
        <f t="shared" si="7"/>
        <v>Evening</v>
      </c>
      <c r="Z65" t="str">
        <f t="shared" si="8"/>
        <v>Mild</v>
      </c>
      <c r="AA65" t="str">
        <f t="shared" si="9"/>
        <v>Low</v>
      </c>
      <c r="AB65" t="str">
        <f t="shared" si="10"/>
        <v>Peak</v>
      </c>
      <c r="AC65" s="63">
        <f t="shared" si="11"/>
        <v>5.7324840764331211E-2</v>
      </c>
      <c r="AD65" t="str">
        <f>IF(P65&gt;=Stats!$C$30,"High",IF(P65&lt;=Stats!$C$29,"Low","Normal"))</f>
        <v>High</v>
      </c>
      <c r="AE65">
        <f t="shared" si="12"/>
        <v>1</v>
      </c>
    </row>
    <row r="66" spans="1:31" x14ac:dyDescent="0.2">
      <c r="A66">
        <f>Dataset_A!A66</f>
        <v>65</v>
      </c>
      <c r="B66" s="61">
        <f>Dataset_A!B66</f>
        <v>40546</v>
      </c>
      <c r="C66">
        <f>Dataset_A!C66</f>
        <v>1</v>
      </c>
      <c r="D66">
        <f>Dataset_A!D66</f>
        <v>0</v>
      </c>
      <c r="E66">
        <f>Dataset_A!E66</f>
        <v>1</v>
      </c>
      <c r="F66">
        <f>Dataset_A!F66</f>
        <v>19</v>
      </c>
      <c r="G66" t="b">
        <f>Dataset_A!G66</f>
        <v>0</v>
      </c>
      <c r="H66">
        <f>Dataset_A!H66</f>
        <v>1</v>
      </c>
      <c r="I66">
        <f>Dataset_A!I66</f>
        <v>1</v>
      </c>
      <c r="J66" s="55">
        <f>Dataset_A!J66</f>
        <v>0.2</v>
      </c>
      <c r="K66">
        <f>Dataset_A!K66</f>
        <v>0.2576</v>
      </c>
      <c r="L66">
        <f>Dataset_A!L66</f>
        <v>0.47</v>
      </c>
      <c r="M66">
        <f>Dataset_A!M66</f>
        <v>0</v>
      </c>
      <c r="N66">
        <f>Dataset_A!N66</f>
        <v>8</v>
      </c>
      <c r="O66">
        <f>Dataset_A!O66</f>
        <v>102</v>
      </c>
      <c r="P66">
        <f>Dataset_A!P66</f>
        <v>110</v>
      </c>
      <c r="Q66" t="str">
        <f t="shared" ref="Q66:Q129" si="13">"REC-"&amp;TEXT(A66,"0000")</f>
        <v>REC-0065</v>
      </c>
      <c r="R66" s="62">
        <f t="shared" ref="R66:R129" si="14">B66+F66/24</f>
        <v>40546.791666666664</v>
      </c>
      <c r="S66" t="str">
        <f t="shared" ref="S66:S129" si="15">TEXT(B66,"mmm")</f>
        <v>Jan</v>
      </c>
      <c r="T66" t="str">
        <f>INDEX(Lookups!$B$39:$B$45,MATCH(H66,Lookups!$A$39:$A$45,0))</f>
        <v>Mon</v>
      </c>
      <c r="U66" t="str">
        <f t="shared" ref="U66:U129" si="16">IF(OR(H66=0,H66=6),"Weekend","Weekday")</f>
        <v>Weekday</v>
      </c>
      <c r="V66" t="str">
        <f t="shared" ref="V66:V129" si="17">IF(OR(U66="Weekend",G66=TRUE),"Non-Working Day","Working Day")</f>
        <v>Working Day</v>
      </c>
      <c r="W66" t="str">
        <f t="shared" ref="W66:W129" si="18">VLOOKUP(C66,tbl_season,2,FALSE)</f>
        <v>Spring</v>
      </c>
      <c r="X66" t="str">
        <f t="shared" ref="X66:X129" si="19">VLOOKUP(I66,tbl_weather,2,FALSE)</f>
        <v>Clear</v>
      </c>
      <c r="Y66" t="str">
        <f t="shared" ref="Y66:Y129" si="20">INDEX(band_name,MATCH(F66,band_start,1))</f>
        <v>Evening</v>
      </c>
      <c r="Z66" t="str">
        <f t="shared" ref="Z66:Z129" si="21">INDEX(temp_band,MATCH(J66,temp_from,1))</f>
        <v>Mild</v>
      </c>
      <c r="AA66" t="str">
        <f t="shared" ref="AA66:AA129" si="22">INDEX(hum_band,MATCH(L66,hum_from,1))</f>
        <v>Low</v>
      </c>
      <c r="AB66" t="str">
        <f t="shared" ref="AB66:AB129" si="23">IF(AND(U66="Weekday",OR(AND(F66&gt;=7,F66&lt;=9),AND(F66&gt;=16,F66&lt;=19))),"Peak","Off-Peak")</f>
        <v>Peak</v>
      </c>
      <c r="AC66" s="63">
        <f t="shared" ref="AC66:AC129" si="24">IF(P66=0,0,N66/P66)</f>
        <v>7.2727272727272724E-2</v>
      </c>
      <c r="AD66" t="str">
        <f>IF(P66&gt;=Stats!$C$30,"High",IF(P66&lt;=Stats!$C$29,"Low","Normal"))</f>
        <v>High</v>
      </c>
      <c r="AE66">
        <f t="shared" ref="AE66:AE129" si="25">SUBTOTAL(103,A66)</f>
        <v>1</v>
      </c>
    </row>
    <row r="67" spans="1:31" x14ac:dyDescent="0.2">
      <c r="A67">
        <f>Dataset_A!A67</f>
        <v>66</v>
      </c>
      <c r="B67" s="61">
        <f>Dataset_A!B67</f>
        <v>40546</v>
      </c>
      <c r="C67">
        <f>Dataset_A!C67</f>
        <v>1</v>
      </c>
      <c r="D67">
        <f>Dataset_A!D67</f>
        <v>0</v>
      </c>
      <c r="E67">
        <f>Dataset_A!E67</f>
        <v>1</v>
      </c>
      <c r="F67">
        <f>Dataset_A!F67</f>
        <v>20</v>
      </c>
      <c r="G67" t="b">
        <f>Dataset_A!G67</f>
        <v>0</v>
      </c>
      <c r="H67">
        <f>Dataset_A!H67</f>
        <v>1</v>
      </c>
      <c r="I67">
        <f>Dataset_A!I67</f>
        <v>1</v>
      </c>
      <c r="J67" s="55">
        <f>Dataset_A!J67</f>
        <v>0.2</v>
      </c>
      <c r="K67">
        <f>Dataset_A!K67</f>
        <v>0.2273</v>
      </c>
      <c r="L67">
        <f>Dataset_A!L67</f>
        <v>0.47</v>
      </c>
      <c r="M67">
        <f>Dataset_A!M67</f>
        <v>0.1045</v>
      </c>
      <c r="N67">
        <f>Dataset_A!N67</f>
        <v>3</v>
      </c>
      <c r="O67">
        <f>Dataset_A!O67</f>
        <v>49</v>
      </c>
      <c r="P67">
        <f>Dataset_A!P67</f>
        <v>52</v>
      </c>
      <c r="Q67" t="str">
        <f t="shared" si="13"/>
        <v>REC-0066</v>
      </c>
      <c r="R67" s="62">
        <f t="shared" si="14"/>
        <v>40546.833333333336</v>
      </c>
      <c r="S67" t="str">
        <f t="shared" si="15"/>
        <v>Jan</v>
      </c>
      <c r="T67" t="str">
        <f>INDEX(Lookups!$B$39:$B$45,MATCH(H67,Lookups!$A$39:$A$45,0))</f>
        <v>Mon</v>
      </c>
      <c r="U67" t="str">
        <f t="shared" si="16"/>
        <v>Weekday</v>
      </c>
      <c r="V67" t="str">
        <f t="shared" si="17"/>
        <v>Working Day</v>
      </c>
      <c r="W67" t="str">
        <f t="shared" si="18"/>
        <v>Spring</v>
      </c>
      <c r="X67" t="str">
        <f t="shared" si="19"/>
        <v>Clear</v>
      </c>
      <c r="Y67" t="str">
        <f t="shared" si="20"/>
        <v>Evening</v>
      </c>
      <c r="Z67" t="str">
        <f t="shared" si="21"/>
        <v>Mild</v>
      </c>
      <c r="AA67" t="str">
        <f t="shared" si="22"/>
        <v>Low</v>
      </c>
      <c r="AB67" t="str">
        <f t="shared" si="23"/>
        <v>Off-Peak</v>
      </c>
      <c r="AC67" s="63">
        <f t="shared" si="24"/>
        <v>5.7692307692307696E-2</v>
      </c>
      <c r="AD67" t="str">
        <f>IF(P67&gt;=Stats!$C$30,"High",IF(P67&lt;=Stats!$C$29,"Low","Normal"))</f>
        <v>Normal</v>
      </c>
      <c r="AE67">
        <f t="shared" si="25"/>
        <v>1</v>
      </c>
    </row>
    <row r="68" spans="1:31" x14ac:dyDescent="0.2">
      <c r="A68">
        <f>Dataset_A!A68</f>
        <v>67</v>
      </c>
      <c r="B68" s="61">
        <f>Dataset_A!B68</f>
        <v>40546</v>
      </c>
      <c r="C68">
        <f>Dataset_A!C68</f>
        <v>1</v>
      </c>
      <c r="D68">
        <f>Dataset_A!D68</f>
        <v>0</v>
      </c>
      <c r="E68">
        <f>Dataset_A!E68</f>
        <v>1</v>
      </c>
      <c r="F68">
        <f>Dataset_A!F68</f>
        <v>21</v>
      </c>
      <c r="G68" t="b">
        <f>Dataset_A!G68</f>
        <v>0</v>
      </c>
      <c r="H68">
        <f>Dataset_A!H68</f>
        <v>1</v>
      </c>
      <c r="I68">
        <f>Dataset_A!I68</f>
        <v>1</v>
      </c>
      <c r="J68" s="55">
        <f>Dataset_A!J68</f>
        <v>0.18</v>
      </c>
      <c r="K68">
        <f>Dataset_A!K68</f>
        <v>0.19700000000000001</v>
      </c>
      <c r="L68">
        <f>Dataset_A!L68</f>
        <v>0.64</v>
      </c>
      <c r="M68">
        <f>Dataset_A!M68</f>
        <v>0.1343</v>
      </c>
      <c r="N68">
        <f>Dataset_A!N68</f>
        <v>3</v>
      </c>
      <c r="O68">
        <f>Dataset_A!O68</f>
        <v>49</v>
      </c>
      <c r="P68">
        <f>Dataset_A!P68</f>
        <v>52</v>
      </c>
      <c r="Q68" t="str">
        <f t="shared" si="13"/>
        <v>REC-0067</v>
      </c>
      <c r="R68" s="62">
        <f t="shared" si="14"/>
        <v>40546.875</v>
      </c>
      <c r="S68" t="str">
        <f t="shared" si="15"/>
        <v>Jan</v>
      </c>
      <c r="T68" t="str">
        <f>INDEX(Lookups!$B$39:$B$45,MATCH(H68,Lookups!$A$39:$A$45,0))</f>
        <v>Mon</v>
      </c>
      <c r="U68" t="str">
        <f t="shared" si="16"/>
        <v>Weekday</v>
      </c>
      <c r="V68" t="str">
        <f t="shared" si="17"/>
        <v>Working Day</v>
      </c>
      <c r="W68" t="str">
        <f t="shared" si="18"/>
        <v>Spring</v>
      </c>
      <c r="X68" t="str">
        <f t="shared" si="19"/>
        <v>Clear</v>
      </c>
      <c r="Y68" t="str">
        <f t="shared" si="20"/>
        <v>Late Evening</v>
      </c>
      <c r="Z68" t="str">
        <f t="shared" si="21"/>
        <v>Cold</v>
      </c>
      <c r="AA68" t="str">
        <f t="shared" si="22"/>
        <v>Medium</v>
      </c>
      <c r="AB68" t="str">
        <f t="shared" si="23"/>
        <v>Off-Peak</v>
      </c>
      <c r="AC68" s="63">
        <f t="shared" si="24"/>
        <v>5.7692307692307696E-2</v>
      </c>
      <c r="AD68" t="str">
        <f>IF(P68&gt;=Stats!$C$30,"High",IF(P68&lt;=Stats!$C$29,"Low","Normal"))</f>
        <v>Normal</v>
      </c>
      <c r="AE68">
        <f t="shared" si="25"/>
        <v>1</v>
      </c>
    </row>
    <row r="69" spans="1:31" x14ac:dyDescent="0.2">
      <c r="A69">
        <f>Dataset_A!A69</f>
        <v>68</v>
      </c>
      <c r="B69" s="61">
        <f>Dataset_A!B69</f>
        <v>40546</v>
      </c>
      <c r="C69">
        <f>Dataset_A!C69</f>
        <v>1</v>
      </c>
      <c r="D69">
        <f>Dataset_A!D69</f>
        <v>0</v>
      </c>
      <c r="E69">
        <f>Dataset_A!E69</f>
        <v>1</v>
      </c>
      <c r="F69">
        <f>Dataset_A!F69</f>
        <v>22</v>
      </c>
      <c r="G69" t="b">
        <f>Dataset_A!G69</f>
        <v>0</v>
      </c>
      <c r="H69">
        <f>Dataset_A!H69</f>
        <v>1</v>
      </c>
      <c r="I69">
        <f>Dataset_A!I69</f>
        <v>1</v>
      </c>
      <c r="J69" s="55">
        <f>Dataset_A!J69</f>
        <v>0.14000000000000001</v>
      </c>
      <c r="K69">
        <f>Dataset_A!K69</f>
        <v>0.1515</v>
      </c>
      <c r="L69">
        <f>Dataset_A!L69</f>
        <v>0.69</v>
      </c>
      <c r="M69">
        <f>Dataset_A!M69</f>
        <v>0.1343</v>
      </c>
      <c r="N69">
        <f>Dataset_A!N69</f>
        <v>0</v>
      </c>
      <c r="O69">
        <f>Dataset_A!O69</f>
        <v>20</v>
      </c>
      <c r="P69">
        <f>Dataset_A!P69</f>
        <v>20</v>
      </c>
      <c r="Q69" t="str">
        <f t="shared" si="13"/>
        <v>REC-0068</v>
      </c>
      <c r="R69" s="62">
        <f t="shared" si="14"/>
        <v>40546.916666666664</v>
      </c>
      <c r="S69" t="str">
        <f t="shared" si="15"/>
        <v>Jan</v>
      </c>
      <c r="T69" t="str">
        <f>INDEX(Lookups!$B$39:$B$45,MATCH(H69,Lookups!$A$39:$A$45,0))</f>
        <v>Mon</v>
      </c>
      <c r="U69" t="str">
        <f t="shared" si="16"/>
        <v>Weekday</v>
      </c>
      <c r="V69" t="str">
        <f t="shared" si="17"/>
        <v>Working Day</v>
      </c>
      <c r="W69" t="str">
        <f t="shared" si="18"/>
        <v>Spring</v>
      </c>
      <c r="X69" t="str">
        <f t="shared" si="19"/>
        <v>Clear</v>
      </c>
      <c r="Y69" t="str">
        <f t="shared" si="20"/>
        <v>Late Evening</v>
      </c>
      <c r="Z69" t="str">
        <f t="shared" si="21"/>
        <v>Cold</v>
      </c>
      <c r="AA69" t="str">
        <f t="shared" si="22"/>
        <v>Medium</v>
      </c>
      <c r="AB69" t="str">
        <f t="shared" si="23"/>
        <v>Off-Peak</v>
      </c>
      <c r="AC69" s="63">
        <f t="shared" si="24"/>
        <v>0</v>
      </c>
      <c r="AD69" t="str">
        <f>IF(P69&gt;=Stats!$C$30,"High",IF(P69&lt;=Stats!$C$29,"Low","Normal"))</f>
        <v>Normal</v>
      </c>
      <c r="AE69">
        <f t="shared" si="25"/>
        <v>1</v>
      </c>
    </row>
    <row r="70" spans="1:31" x14ac:dyDescent="0.2">
      <c r="A70">
        <f>Dataset_A!A70</f>
        <v>69</v>
      </c>
      <c r="B70" s="61">
        <f>Dataset_A!B70</f>
        <v>40546</v>
      </c>
      <c r="C70">
        <f>Dataset_A!C70</f>
        <v>1</v>
      </c>
      <c r="D70">
        <f>Dataset_A!D70</f>
        <v>0</v>
      </c>
      <c r="E70">
        <f>Dataset_A!E70</f>
        <v>1</v>
      </c>
      <c r="F70">
        <f>Dataset_A!F70</f>
        <v>23</v>
      </c>
      <c r="G70" t="b">
        <f>Dataset_A!G70</f>
        <v>0</v>
      </c>
      <c r="H70">
        <f>Dataset_A!H70</f>
        <v>1</v>
      </c>
      <c r="I70">
        <f>Dataset_A!I70</f>
        <v>1</v>
      </c>
      <c r="J70" s="55">
        <f>Dataset_A!J70</f>
        <v>0.18</v>
      </c>
      <c r="K70">
        <f>Dataset_A!K70</f>
        <v>0.21210000000000001</v>
      </c>
      <c r="L70">
        <f>Dataset_A!L70</f>
        <v>0.55000000000000004</v>
      </c>
      <c r="M70">
        <f>Dataset_A!M70</f>
        <v>0.1045</v>
      </c>
      <c r="N70">
        <f>Dataset_A!N70</f>
        <v>1</v>
      </c>
      <c r="O70">
        <f>Dataset_A!O70</f>
        <v>11</v>
      </c>
      <c r="P70">
        <f>Dataset_A!P70</f>
        <v>12</v>
      </c>
      <c r="Q70" t="str">
        <f t="shared" si="13"/>
        <v>REC-0069</v>
      </c>
      <c r="R70" s="62">
        <f t="shared" si="14"/>
        <v>40546.958333333336</v>
      </c>
      <c r="S70" t="str">
        <f t="shared" si="15"/>
        <v>Jan</v>
      </c>
      <c r="T70" t="str">
        <f>INDEX(Lookups!$B$39:$B$45,MATCH(H70,Lookups!$A$39:$A$45,0))</f>
        <v>Mon</v>
      </c>
      <c r="U70" t="str">
        <f t="shared" si="16"/>
        <v>Weekday</v>
      </c>
      <c r="V70" t="str">
        <f t="shared" si="17"/>
        <v>Working Day</v>
      </c>
      <c r="W70" t="str">
        <f t="shared" si="18"/>
        <v>Spring</v>
      </c>
      <c r="X70" t="str">
        <f t="shared" si="19"/>
        <v>Clear</v>
      </c>
      <c r="Y70" t="str">
        <f t="shared" si="20"/>
        <v>Late Evening</v>
      </c>
      <c r="Z70" t="str">
        <f t="shared" si="21"/>
        <v>Cold</v>
      </c>
      <c r="AA70" t="str">
        <f t="shared" si="22"/>
        <v>Medium</v>
      </c>
      <c r="AB70" t="str">
        <f t="shared" si="23"/>
        <v>Off-Peak</v>
      </c>
      <c r="AC70" s="63">
        <f t="shared" si="24"/>
        <v>8.3333333333333329E-2</v>
      </c>
      <c r="AD70" t="str">
        <f>IF(P70&gt;=Stats!$C$30,"High",IF(P70&lt;=Stats!$C$29,"Low","Normal"))</f>
        <v>Low</v>
      </c>
      <c r="AE70">
        <f t="shared" si="25"/>
        <v>1</v>
      </c>
    </row>
    <row r="71" spans="1:31" x14ac:dyDescent="0.2">
      <c r="A71">
        <f>Dataset_A!A71</f>
        <v>70</v>
      </c>
      <c r="B71" s="61">
        <f>Dataset_A!B71</f>
        <v>40547</v>
      </c>
      <c r="C71">
        <f>Dataset_A!C71</f>
        <v>1</v>
      </c>
      <c r="D71">
        <f>Dataset_A!D71</f>
        <v>0</v>
      </c>
      <c r="E71">
        <f>Dataset_A!E71</f>
        <v>1</v>
      </c>
      <c r="F71">
        <f>Dataset_A!F71</f>
        <v>0</v>
      </c>
      <c r="G71" t="b">
        <f>Dataset_A!G71</f>
        <v>0</v>
      </c>
      <c r="H71">
        <f>Dataset_A!H71</f>
        <v>2</v>
      </c>
      <c r="I71">
        <f>Dataset_A!I71</f>
        <v>1</v>
      </c>
      <c r="J71" s="55">
        <f>Dataset_A!J71</f>
        <v>0.16</v>
      </c>
      <c r="K71">
        <f>Dataset_A!K71</f>
        <v>0.19700000000000001</v>
      </c>
      <c r="L71">
        <f>Dataset_A!L71</f>
        <v>0.55000000000000004</v>
      </c>
      <c r="M71">
        <f>Dataset_A!M71</f>
        <v>0.1045</v>
      </c>
      <c r="N71">
        <f>Dataset_A!N71</f>
        <v>0</v>
      </c>
      <c r="O71">
        <f>Dataset_A!O71</f>
        <v>5</v>
      </c>
      <c r="P71">
        <f>Dataset_A!P71</f>
        <v>5</v>
      </c>
      <c r="Q71" t="str">
        <f t="shared" si="13"/>
        <v>REC-0070</v>
      </c>
      <c r="R71" s="62">
        <f t="shared" si="14"/>
        <v>40547</v>
      </c>
      <c r="S71" t="str">
        <f t="shared" si="15"/>
        <v>Jan</v>
      </c>
      <c r="T71" t="str">
        <f>INDEX(Lookups!$B$39:$B$45,MATCH(H71,Lookups!$A$39:$A$45,0))</f>
        <v>Tue</v>
      </c>
      <c r="U71" t="str">
        <f t="shared" si="16"/>
        <v>Weekday</v>
      </c>
      <c r="V71" t="str">
        <f t="shared" si="17"/>
        <v>Working Day</v>
      </c>
      <c r="W71" t="str">
        <f t="shared" si="18"/>
        <v>Spring</v>
      </c>
      <c r="X71" t="str">
        <f t="shared" si="19"/>
        <v>Clear</v>
      </c>
      <c r="Y71" t="str">
        <f t="shared" si="20"/>
        <v>Night</v>
      </c>
      <c r="Z71" t="str">
        <f t="shared" si="21"/>
        <v>Cold</v>
      </c>
      <c r="AA71" t="str">
        <f t="shared" si="22"/>
        <v>Medium</v>
      </c>
      <c r="AB71" t="str">
        <f t="shared" si="23"/>
        <v>Off-Peak</v>
      </c>
      <c r="AC71" s="63">
        <f t="shared" si="24"/>
        <v>0</v>
      </c>
      <c r="AD71" t="str">
        <f>IF(P71&gt;=Stats!$C$30,"High",IF(P71&lt;=Stats!$C$29,"Low","Normal"))</f>
        <v>Low</v>
      </c>
      <c r="AE71">
        <f t="shared" si="25"/>
        <v>1</v>
      </c>
    </row>
    <row r="72" spans="1:31" x14ac:dyDescent="0.2">
      <c r="A72">
        <f>Dataset_A!A72</f>
        <v>71</v>
      </c>
      <c r="B72" s="61">
        <f>Dataset_A!B72</f>
        <v>40547</v>
      </c>
      <c r="C72">
        <f>Dataset_A!C72</f>
        <v>1</v>
      </c>
      <c r="D72">
        <f>Dataset_A!D72</f>
        <v>0</v>
      </c>
      <c r="E72">
        <f>Dataset_A!E72</f>
        <v>1</v>
      </c>
      <c r="F72">
        <f>Dataset_A!F72</f>
        <v>1</v>
      </c>
      <c r="G72" t="b">
        <f>Dataset_A!G72</f>
        <v>0</v>
      </c>
      <c r="H72">
        <f>Dataset_A!H72</f>
        <v>2</v>
      </c>
      <c r="I72">
        <f>Dataset_A!I72</f>
        <v>1</v>
      </c>
      <c r="J72" s="55">
        <f>Dataset_A!J72</f>
        <v>0.16</v>
      </c>
      <c r="K72">
        <f>Dataset_A!K72</f>
        <v>0.18179999999999999</v>
      </c>
      <c r="L72">
        <f>Dataset_A!L72</f>
        <v>0.59</v>
      </c>
      <c r="M72">
        <f>Dataset_A!M72</f>
        <v>0.1045</v>
      </c>
      <c r="N72">
        <f>Dataset_A!N72</f>
        <v>0</v>
      </c>
      <c r="O72">
        <f>Dataset_A!O72</f>
        <v>2</v>
      </c>
      <c r="P72">
        <f>Dataset_A!P72</f>
        <v>2</v>
      </c>
      <c r="Q72" t="str">
        <f t="shared" si="13"/>
        <v>REC-0071</v>
      </c>
      <c r="R72" s="62">
        <f t="shared" si="14"/>
        <v>40547.041666666664</v>
      </c>
      <c r="S72" t="str">
        <f t="shared" si="15"/>
        <v>Jan</v>
      </c>
      <c r="T72" t="str">
        <f>INDEX(Lookups!$B$39:$B$45,MATCH(H72,Lookups!$A$39:$A$45,0))</f>
        <v>Tue</v>
      </c>
      <c r="U72" t="str">
        <f t="shared" si="16"/>
        <v>Weekday</v>
      </c>
      <c r="V72" t="str">
        <f t="shared" si="17"/>
        <v>Working Day</v>
      </c>
      <c r="W72" t="str">
        <f t="shared" si="18"/>
        <v>Spring</v>
      </c>
      <c r="X72" t="str">
        <f t="shared" si="19"/>
        <v>Clear</v>
      </c>
      <c r="Y72" t="str">
        <f t="shared" si="20"/>
        <v>Night</v>
      </c>
      <c r="Z72" t="str">
        <f t="shared" si="21"/>
        <v>Cold</v>
      </c>
      <c r="AA72" t="str">
        <f t="shared" si="22"/>
        <v>Medium</v>
      </c>
      <c r="AB72" t="str">
        <f t="shared" si="23"/>
        <v>Off-Peak</v>
      </c>
      <c r="AC72" s="63">
        <f t="shared" si="24"/>
        <v>0</v>
      </c>
      <c r="AD72" t="str">
        <f>IF(P72&gt;=Stats!$C$30,"High",IF(P72&lt;=Stats!$C$29,"Low","Normal"))</f>
        <v>Low</v>
      </c>
      <c r="AE72">
        <f t="shared" si="25"/>
        <v>1</v>
      </c>
    </row>
    <row r="73" spans="1:31" x14ac:dyDescent="0.2">
      <c r="A73">
        <f>Dataset_A!A73</f>
        <v>72</v>
      </c>
      <c r="B73" s="61">
        <f>Dataset_A!B73</f>
        <v>40547</v>
      </c>
      <c r="C73">
        <f>Dataset_A!C73</f>
        <v>1</v>
      </c>
      <c r="D73">
        <f>Dataset_A!D73</f>
        <v>0</v>
      </c>
      <c r="E73">
        <f>Dataset_A!E73</f>
        <v>1</v>
      </c>
      <c r="F73">
        <f>Dataset_A!F73</f>
        <v>2</v>
      </c>
      <c r="G73" t="b">
        <f>Dataset_A!G73</f>
        <v>0</v>
      </c>
      <c r="H73">
        <f>Dataset_A!H73</f>
        <v>2</v>
      </c>
      <c r="I73">
        <f>Dataset_A!I73</f>
        <v>1</v>
      </c>
      <c r="J73" s="55">
        <f>Dataset_A!J73</f>
        <v>0.14000000000000001</v>
      </c>
      <c r="K73">
        <f>Dataset_A!K73</f>
        <v>0.1515</v>
      </c>
      <c r="L73">
        <f>Dataset_A!L73</f>
        <v>0.63</v>
      </c>
      <c r="M73">
        <f>Dataset_A!M73</f>
        <v>0.1343</v>
      </c>
      <c r="N73">
        <f>Dataset_A!N73</f>
        <v>0</v>
      </c>
      <c r="O73">
        <f>Dataset_A!O73</f>
        <v>1</v>
      </c>
      <c r="P73">
        <f>Dataset_A!P73</f>
        <v>1</v>
      </c>
      <c r="Q73" t="str">
        <f t="shared" si="13"/>
        <v>REC-0072</v>
      </c>
      <c r="R73" s="62">
        <f t="shared" si="14"/>
        <v>40547.083333333336</v>
      </c>
      <c r="S73" t="str">
        <f t="shared" si="15"/>
        <v>Jan</v>
      </c>
      <c r="T73" t="str">
        <f>INDEX(Lookups!$B$39:$B$45,MATCH(H73,Lookups!$A$39:$A$45,0))</f>
        <v>Tue</v>
      </c>
      <c r="U73" t="str">
        <f t="shared" si="16"/>
        <v>Weekday</v>
      </c>
      <c r="V73" t="str">
        <f t="shared" si="17"/>
        <v>Working Day</v>
      </c>
      <c r="W73" t="str">
        <f t="shared" si="18"/>
        <v>Spring</v>
      </c>
      <c r="X73" t="str">
        <f t="shared" si="19"/>
        <v>Clear</v>
      </c>
      <c r="Y73" t="str">
        <f t="shared" si="20"/>
        <v>Night</v>
      </c>
      <c r="Z73" t="str">
        <f t="shared" si="21"/>
        <v>Cold</v>
      </c>
      <c r="AA73" t="str">
        <f t="shared" si="22"/>
        <v>Medium</v>
      </c>
      <c r="AB73" t="str">
        <f t="shared" si="23"/>
        <v>Off-Peak</v>
      </c>
      <c r="AC73" s="63">
        <f t="shared" si="24"/>
        <v>0</v>
      </c>
      <c r="AD73" t="str">
        <f>IF(P73&gt;=Stats!$C$30,"High",IF(P73&lt;=Stats!$C$29,"Low","Normal"))</f>
        <v>Low</v>
      </c>
      <c r="AE73">
        <f t="shared" si="25"/>
        <v>1</v>
      </c>
    </row>
    <row r="74" spans="1:31" x14ac:dyDescent="0.2">
      <c r="A74">
        <f>Dataset_A!A74</f>
        <v>73</v>
      </c>
      <c r="B74" s="61">
        <f>Dataset_A!B74</f>
        <v>40547</v>
      </c>
      <c r="C74">
        <f>Dataset_A!C74</f>
        <v>1</v>
      </c>
      <c r="D74">
        <f>Dataset_A!D74</f>
        <v>0</v>
      </c>
      <c r="E74">
        <f>Dataset_A!E74</f>
        <v>1</v>
      </c>
      <c r="F74">
        <f>Dataset_A!F74</f>
        <v>4</v>
      </c>
      <c r="G74" t="b">
        <f>Dataset_A!G74</f>
        <v>0</v>
      </c>
      <c r="H74">
        <f>Dataset_A!H74</f>
        <v>2</v>
      </c>
      <c r="I74">
        <f>Dataset_A!I74</f>
        <v>1</v>
      </c>
      <c r="J74" s="55">
        <f>Dataset_A!J74</f>
        <v>0.14000000000000001</v>
      </c>
      <c r="K74">
        <f>Dataset_A!K74</f>
        <v>0.18179999999999999</v>
      </c>
      <c r="L74">
        <f>Dataset_A!L74</f>
        <v>0.63</v>
      </c>
      <c r="M74">
        <f>Dataset_A!M74</f>
        <v>8.9599999999999999E-2</v>
      </c>
      <c r="N74">
        <f>Dataset_A!N74</f>
        <v>0</v>
      </c>
      <c r="O74">
        <f>Dataset_A!O74</f>
        <v>2</v>
      </c>
      <c r="P74">
        <f>Dataset_A!P74</f>
        <v>2</v>
      </c>
      <c r="Q74" t="str">
        <f t="shared" si="13"/>
        <v>REC-0073</v>
      </c>
      <c r="R74" s="62">
        <f t="shared" si="14"/>
        <v>40547.166666666664</v>
      </c>
      <c r="S74" t="str">
        <f t="shared" si="15"/>
        <v>Jan</v>
      </c>
      <c r="T74" t="str">
        <f>INDEX(Lookups!$B$39:$B$45,MATCH(H74,Lookups!$A$39:$A$45,0))</f>
        <v>Tue</v>
      </c>
      <c r="U74" t="str">
        <f t="shared" si="16"/>
        <v>Weekday</v>
      </c>
      <c r="V74" t="str">
        <f t="shared" si="17"/>
        <v>Working Day</v>
      </c>
      <c r="W74" t="str">
        <f t="shared" si="18"/>
        <v>Spring</v>
      </c>
      <c r="X74" t="str">
        <f t="shared" si="19"/>
        <v>Clear</v>
      </c>
      <c r="Y74" t="str">
        <f t="shared" si="20"/>
        <v>Night</v>
      </c>
      <c r="Z74" t="str">
        <f t="shared" si="21"/>
        <v>Cold</v>
      </c>
      <c r="AA74" t="str">
        <f t="shared" si="22"/>
        <v>Medium</v>
      </c>
      <c r="AB74" t="str">
        <f t="shared" si="23"/>
        <v>Off-Peak</v>
      </c>
      <c r="AC74" s="63">
        <f t="shared" si="24"/>
        <v>0</v>
      </c>
      <c r="AD74" t="str">
        <f>IF(P74&gt;=Stats!$C$30,"High",IF(P74&lt;=Stats!$C$29,"Low","Normal"))</f>
        <v>Low</v>
      </c>
      <c r="AE74">
        <f t="shared" si="25"/>
        <v>1</v>
      </c>
    </row>
    <row r="75" spans="1:31" x14ac:dyDescent="0.2">
      <c r="A75">
        <f>Dataset_A!A75</f>
        <v>74</v>
      </c>
      <c r="B75" s="61">
        <f>Dataset_A!B75</f>
        <v>40547</v>
      </c>
      <c r="C75">
        <f>Dataset_A!C75</f>
        <v>1</v>
      </c>
      <c r="D75">
        <f>Dataset_A!D75</f>
        <v>0</v>
      </c>
      <c r="E75">
        <f>Dataset_A!E75</f>
        <v>1</v>
      </c>
      <c r="F75">
        <f>Dataset_A!F75</f>
        <v>5</v>
      </c>
      <c r="G75" t="b">
        <f>Dataset_A!G75</f>
        <v>0</v>
      </c>
      <c r="H75">
        <f>Dataset_A!H75</f>
        <v>2</v>
      </c>
      <c r="I75">
        <f>Dataset_A!I75</f>
        <v>1</v>
      </c>
      <c r="J75" s="55">
        <f>Dataset_A!J75</f>
        <v>0.12</v>
      </c>
      <c r="K75">
        <f>Dataset_A!K75</f>
        <v>0.1515</v>
      </c>
      <c r="L75">
        <f>Dataset_A!L75</f>
        <v>0.68</v>
      </c>
      <c r="M75">
        <f>Dataset_A!M75</f>
        <v>0.1045</v>
      </c>
      <c r="N75">
        <f>Dataset_A!N75</f>
        <v>0</v>
      </c>
      <c r="O75">
        <f>Dataset_A!O75</f>
        <v>4</v>
      </c>
      <c r="P75">
        <f>Dataset_A!P75</f>
        <v>4</v>
      </c>
      <c r="Q75" t="str">
        <f t="shared" si="13"/>
        <v>REC-0074</v>
      </c>
      <c r="R75" s="62">
        <f t="shared" si="14"/>
        <v>40547.208333333336</v>
      </c>
      <c r="S75" t="str">
        <f t="shared" si="15"/>
        <v>Jan</v>
      </c>
      <c r="T75" t="str">
        <f>INDEX(Lookups!$B$39:$B$45,MATCH(H75,Lookups!$A$39:$A$45,0))</f>
        <v>Tue</v>
      </c>
      <c r="U75" t="str">
        <f t="shared" si="16"/>
        <v>Weekday</v>
      </c>
      <c r="V75" t="str">
        <f t="shared" si="17"/>
        <v>Working Day</v>
      </c>
      <c r="W75" t="str">
        <f t="shared" si="18"/>
        <v>Spring</v>
      </c>
      <c r="X75" t="str">
        <f t="shared" si="19"/>
        <v>Clear</v>
      </c>
      <c r="Y75" t="str">
        <f t="shared" si="20"/>
        <v>Night</v>
      </c>
      <c r="Z75" t="str">
        <f t="shared" si="21"/>
        <v>Cold</v>
      </c>
      <c r="AA75" t="str">
        <f t="shared" si="22"/>
        <v>Medium</v>
      </c>
      <c r="AB75" t="str">
        <f t="shared" si="23"/>
        <v>Off-Peak</v>
      </c>
      <c r="AC75" s="63">
        <f t="shared" si="24"/>
        <v>0</v>
      </c>
      <c r="AD75" t="str">
        <f>IF(P75&gt;=Stats!$C$30,"High",IF(P75&lt;=Stats!$C$29,"Low","Normal"))</f>
        <v>Low</v>
      </c>
      <c r="AE75">
        <f t="shared" si="25"/>
        <v>1</v>
      </c>
    </row>
    <row r="76" spans="1:31" x14ac:dyDescent="0.2">
      <c r="A76">
        <f>Dataset_A!A76</f>
        <v>75</v>
      </c>
      <c r="B76" s="61">
        <f>Dataset_A!B76</f>
        <v>40547</v>
      </c>
      <c r="C76">
        <f>Dataset_A!C76</f>
        <v>1</v>
      </c>
      <c r="D76">
        <f>Dataset_A!D76</f>
        <v>0</v>
      </c>
      <c r="E76">
        <f>Dataset_A!E76</f>
        <v>1</v>
      </c>
      <c r="F76">
        <f>Dataset_A!F76</f>
        <v>6</v>
      </c>
      <c r="G76" t="b">
        <f>Dataset_A!G76</f>
        <v>0</v>
      </c>
      <c r="H76">
        <f>Dataset_A!H76</f>
        <v>2</v>
      </c>
      <c r="I76">
        <f>Dataset_A!I76</f>
        <v>1</v>
      </c>
      <c r="J76" s="55">
        <f>Dataset_A!J76</f>
        <v>0.12</v>
      </c>
      <c r="K76">
        <f>Dataset_A!K76</f>
        <v>0.1515</v>
      </c>
      <c r="L76">
        <f>Dataset_A!L76</f>
        <v>0.74</v>
      </c>
      <c r="M76">
        <f>Dataset_A!M76</f>
        <v>0.1045</v>
      </c>
      <c r="N76">
        <f>Dataset_A!N76</f>
        <v>0</v>
      </c>
      <c r="O76">
        <f>Dataset_A!O76</f>
        <v>36</v>
      </c>
      <c r="P76">
        <f>Dataset_A!P76</f>
        <v>36</v>
      </c>
      <c r="Q76" t="str">
        <f t="shared" si="13"/>
        <v>REC-0075</v>
      </c>
      <c r="R76" s="62">
        <f t="shared" si="14"/>
        <v>40547.25</v>
      </c>
      <c r="S76" t="str">
        <f t="shared" si="15"/>
        <v>Jan</v>
      </c>
      <c r="T76" t="str">
        <f>INDEX(Lookups!$B$39:$B$45,MATCH(H76,Lookups!$A$39:$A$45,0))</f>
        <v>Tue</v>
      </c>
      <c r="U76" t="str">
        <f t="shared" si="16"/>
        <v>Weekday</v>
      </c>
      <c r="V76" t="str">
        <f t="shared" si="17"/>
        <v>Working Day</v>
      </c>
      <c r="W76" t="str">
        <f t="shared" si="18"/>
        <v>Spring</v>
      </c>
      <c r="X76" t="str">
        <f t="shared" si="19"/>
        <v>Clear</v>
      </c>
      <c r="Y76" t="str">
        <f t="shared" si="20"/>
        <v>Morning</v>
      </c>
      <c r="Z76" t="str">
        <f t="shared" si="21"/>
        <v>Cold</v>
      </c>
      <c r="AA76" t="str">
        <f t="shared" si="22"/>
        <v>Medium</v>
      </c>
      <c r="AB76" t="str">
        <f t="shared" si="23"/>
        <v>Off-Peak</v>
      </c>
      <c r="AC76" s="63">
        <f t="shared" si="24"/>
        <v>0</v>
      </c>
      <c r="AD76" t="str">
        <f>IF(P76&gt;=Stats!$C$30,"High",IF(P76&lt;=Stats!$C$29,"Low","Normal"))</f>
        <v>Normal</v>
      </c>
      <c r="AE76">
        <f t="shared" si="25"/>
        <v>1</v>
      </c>
    </row>
    <row r="77" spans="1:31" x14ac:dyDescent="0.2">
      <c r="A77">
        <f>Dataset_A!A77</f>
        <v>76</v>
      </c>
      <c r="B77" s="61">
        <f>Dataset_A!B77</f>
        <v>40547</v>
      </c>
      <c r="C77">
        <f>Dataset_A!C77</f>
        <v>1</v>
      </c>
      <c r="D77">
        <f>Dataset_A!D77</f>
        <v>0</v>
      </c>
      <c r="E77">
        <f>Dataset_A!E77</f>
        <v>1</v>
      </c>
      <c r="F77">
        <f>Dataset_A!F77</f>
        <v>7</v>
      </c>
      <c r="G77" t="b">
        <f>Dataset_A!G77</f>
        <v>0</v>
      </c>
      <c r="H77">
        <f>Dataset_A!H77</f>
        <v>2</v>
      </c>
      <c r="I77">
        <f>Dataset_A!I77</f>
        <v>1</v>
      </c>
      <c r="J77" s="55">
        <f>Dataset_A!J77</f>
        <v>0.12</v>
      </c>
      <c r="K77">
        <f>Dataset_A!K77</f>
        <v>0.1515</v>
      </c>
      <c r="L77">
        <f>Dataset_A!L77</f>
        <v>0.74</v>
      </c>
      <c r="M77">
        <f>Dataset_A!M77</f>
        <v>0.1343</v>
      </c>
      <c r="N77">
        <f>Dataset_A!N77</f>
        <v>2</v>
      </c>
      <c r="O77">
        <f>Dataset_A!O77</f>
        <v>92</v>
      </c>
      <c r="P77">
        <f>Dataset_A!P77</f>
        <v>94</v>
      </c>
      <c r="Q77" t="str">
        <f t="shared" si="13"/>
        <v>REC-0076</v>
      </c>
      <c r="R77" s="62">
        <f t="shared" si="14"/>
        <v>40547.291666666664</v>
      </c>
      <c r="S77" t="str">
        <f t="shared" si="15"/>
        <v>Jan</v>
      </c>
      <c r="T77" t="str">
        <f>INDEX(Lookups!$B$39:$B$45,MATCH(H77,Lookups!$A$39:$A$45,0))</f>
        <v>Tue</v>
      </c>
      <c r="U77" t="str">
        <f t="shared" si="16"/>
        <v>Weekday</v>
      </c>
      <c r="V77" t="str">
        <f t="shared" si="17"/>
        <v>Working Day</v>
      </c>
      <c r="W77" t="str">
        <f t="shared" si="18"/>
        <v>Spring</v>
      </c>
      <c r="X77" t="str">
        <f t="shared" si="19"/>
        <v>Clear</v>
      </c>
      <c r="Y77" t="str">
        <f t="shared" si="20"/>
        <v>Morning</v>
      </c>
      <c r="Z77" t="str">
        <f t="shared" si="21"/>
        <v>Cold</v>
      </c>
      <c r="AA77" t="str">
        <f t="shared" si="22"/>
        <v>Medium</v>
      </c>
      <c r="AB77" t="str">
        <f t="shared" si="23"/>
        <v>Peak</v>
      </c>
      <c r="AC77" s="63">
        <f t="shared" si="24"/>
        <v>2.1276595744680851E-2</v>
      </c>
      <c r="AD77" t="str">
        <f>IF(P77&gt;=Stats!$C$30,"High",IF(P77&lt;=Stats!$C$29,"Low","Normal"))</f>
        <v>High</v>
      </c>
      <c r="AE77">
        <f t="shared" si="25"/>
        <v>1</v>
      </c>
    </row>
    <row r="78" spans="1:31" x14ac:dyDescent="0.2">
      <c r="A78">
        <f>Dataset_A!A78</f>
        <v>77</v>
      </c>
      <c r="B78" s="61">
        <f>Dataset_A!B78</f>
        <v>40547</v>
      </c>
      <c r="C78">
        <f>Dataset_A!C78</f>
        <v>1</v>
      </c>
      <c r="D78">
        <f>Dataset_A!D78</f>
        <v>0</v>
      </c>
      <c r="E78">
        <f>Dataset_A!E78</f>
        <v>1</v>
      </c>
      <c r="F78">
        <f>Dataset_A!F78</f>
        <v>8</v>
      </c>
      <c r="G78" t="b">
        <f>Dataset_A!G78</f>
        <v>0</v>
      </c>
      <c r="H78">
        <f>Dataset_A!H78</f>
        <v>2</v>
      </c>
      <c r="I78">
        <f>Dataset_A!I78</f>
        <v>1</v>
      </c>
      <c r="J78" s="55">
        <f>Dataset_A!J78</f>
        <v>0.14000000000000001</v>
      </c>
      <c r="K78">
        <f>Dataset_A!K78</f>
        <v>0.1515</v>
      </c>
      <c r="L78">
        <f>Dataset_A!L78</f>
        <v>0.69</v>
      </c>
      <c r="M78">
        <f>Dataset_A!M78</f>
        <v>0.16420000000000001</v>
      </c>
      <c r="N78">
        <f>Dataset_A!N78</f>
        <v>2</v>
      </c>
      <c r="O78">
        <f>Dataset_A!O78</f>
        <v>177</v>
      </c>
      <c r="P78">
        <f>Dataset_A!P78</f>
        <v>179</v>
      </c>
      <c r="Q78" t="str">
        <f t="shared" si="13"/>
        <v>REC-0077</v>
      </c>
      <c r="R78" s="62">
        <f t="shared" si="14"/>
        <v>40547.333333333336</v>
      </c>
      <c r="S78" t="str">
        <f t="shared" si="15"/>
        <v>Jan</v>
      </c>
      <c r="T78" t="str">
        <f>INDEX(Lookups!$B$39:$B$45,MATCH(H78,Lookups!$A$39:$A$45,0))</f>
        <v>Tue</v>
      </c>
      <c r="U78" t="str">
        <f t="shared" si="16"/>
        <v>Weekday</v>
      </c>
      <c r="V78" t="str">
        <f t="shared" si="17"/>
        <v>Working Day</v>
      </c>
      <c r="W78" t="str">
        <f t="shared" si="18"/>
        <v>Spring</v>
      </c>
      <c r="X78" t="str">
        <f t="shared" si="19"/>
        <v>Clear</v>
      </c>
      <c r="Y78" t="str">
        <f t="shared" si="20"/>
        <v>Morning</v>
      </c>
      <c r="Z78" t="str">
        <f t="shared" si="21"/>
        <v>Cold</v>
      </c>
      <c r="AA78" t="str">
        <f t="shared" si="22"/>
        <v>Medium</v>
      </c>
      <c r="AB78" t="str">
        <f t="shared" si="23"/>
        <v>Peak</v>
      </c>
      <c r="AC78" s="63">
        <f t="shared" si="24"/>
        <v>1.11731843575419E-2</v>
      </c>
      <c r="AD78" t="str">
        <f>IF(P78&gt;=Stats!$C$30,"High",IF(P78&lt;=Stats!$C$29,"Low","Normal"))</f>
        <v>High</v>
      </c>
      <c r="AE78">
        <f t="shared" si="25"/>
        <v>1</v>
      </c>
    </row>
    <row r="79" spans="1:31" x14ac:dyDescent="0.2">
      <c r="A79">
        <f>Dataset_A!A79</f>
        <v>78</v>
      </c>
      <c r="B79" s="61">
        <f>Dataset_A!B79</f>
        <v>40547</v>
      </c>
      <c r="C79">
        <f>Dataset_A!C79</f>
        <v>1</v>
      </c>
      <c r="D79">
        <f>Dataset_A!D79</f>
        <v>0</v>
      </c>
      <c r="E79">
        <f>Dataset_A!E79</f>
        <v>1</v>
      </c>
      <c r="F79">
        <f>Dataset_A!F79</f>
        <v>9</v>
      </c>
      <c r="G79" t="b">
        <f>Dataset_A!G79</f>
        <v>0</v>
      </c>
      <c r="H79">
        <f>Dataset_A!H79</f>
        <v>2</v>
      </c>
      <c r="I79">
        <f>Dataset_A!I79</f>
        <v>1</v>
      </c>
      <c r="J79" s="55">
        <f>Dataset_A!J79</f>
        <v>0.16</v>
      </c>
      <c r="K79">
        <f>Dataset_A!K79</f>
        <v>0.1515</v>
      </c>
      <c r="L79">
        <f>Dataset_A!L79</f>
        <v>0.64</v>
      </c>
      <c r="M79">
        <f>Dataset_A!M79</f>
        <v>0.22389999999999999</v>
      </c>
      <c r="N79">
        <f>Dataset_A!N79</f>
        <v>2</v>
      </c>
      <c r="O79">
        <f>Dataset_A!O79</f>
        <v>98</v>
      </c>
      <c r="P79">
        <f>Dataset_A!P79</f>
        <v>100</v>
      </c>
      <c r="Q79" t="str">
        <f t="shared" si="13"/>
        <v>REC-0078</v>
      </c>
      <c r="R79" s="62">
        <f t="shared" si="14"/>
        <v>40547.375</v>
      </c>
      <c r="S79" t="str">
        <f t="shared" si="15"/>
        <v>Jan</v>
      </c>
      <c r="T79" t="str">
        <f>INDEX(Lookups!$B$39:$B$45,MATCH(H79,Lookups!$A$39:$A$45,0))</f>
        <v>Tue</v>
      </c>
      <c r="U79" t="str">
        <f t="shared" si="16"/>
        <v>Weekday</v>
      </c>
      <c r="V79" t="str">
        <f t="shared" si="17"/>
        <v>Working Day</v>
      </c>
      <c r="W79" t="str">
        <f t="shared" si="18"/>
        <v>Spring</v>
      </c>
      <c r="X79" t="str">
        <f t="shared" si="19"/>
        <v>Clear</v>
      </c>
      <c r="Y79" t="str">
        <f t="shared" si="20"/>
        <v>Morning</v>
      </c>
      <c r="Z79" t="str">
        <f t="shared" si="21"/>
        <v>Cold</v>
      </c>
      <c r="AA79" t="str">
        <f t="shared" si="22"/>
        <v>Medium</v>
      </c>
      <c r="AB79" t="str">
        <f t="shared" si="23"/>
        <v>Peak</v>
      </c>
      <c r="AC79" s="63">
        <f t="shared" si="24"/>
        <v>0.02</v>
      </c>
      <c r="AD79" t="str">
        <f>IF(P79&gt;=Stats!$C$30,"High",IF(P79&lt;=Stats!$C$29,"Low","Normal"))</f>
        <v>High</v>
      </c>
      <c r="AE79">
        <f t="shared" si="25"/>
        <v>1</v>
      </c>
    </row>
    <row r="80" spans="1:31" x14ac:dyDescent="0.2">
      <c r="A80">
        <f>Dataset_A!A80</f>
        <v>79</v>
      </c>
      <c r="B80" s="61">
        <f>Dataset_A!B80</f>
        <v>40547</v>
      </c>
      <c r="C80">
        <f>Dataset_A!C80</f>
        <v>1</v>
      </c>
      <c r="D80">
        <f>Dataset_A!D80</f>
        <v>0</v>
      </c>
      <c r="E80">
        <f>Dataset_A!E80</f>
        <v>1</v>
      </c>
      <c r="F80">
        <f>Dataset_A!F80</f>
        <v>10</v>
      </c>
      <c r="G80" t="b">
        <f>Dataset_A!G80</f>
        <v>0</v>
      </c>
      <c r="H80">
        <f>Dataset_A!H80</f>
        <v>2</v>
      </c>
      <c r="I80">
        <f>Dataset_A!I80</f>
        <v>2</v>
      </c>
      <c r="J80" s="55">
        <f>Dataset_A!J80</f>
        <v>0.16</v>
      </c>
      <c r="K80">
        <f>Dataset_A!K80</f>
        <v>0.13639999999999999</v>
      </c>
      <c r="L80">
        <f>Dataset_A!L80</f>
        <v>0.69</v>
      </c>
      <c r="M80">
        <f>Dataset_A!M80</f>
        <v>0.32840000000000003</v>
      </c>
      <c r="N80">
        <f>Dataset_A!N80</f>
        <v>5</v>
      </c>
      <c r="O80">
        <f>Dataset_A!O80</f>
        <v>37</v>
      </c>
      <c r="P80">
        <f>Dataset_A!P80</f>
        <v>42</v>
      </c>
      <c r="Q80" t="str">
        <f t="shared" si="13"/>
        <v>REC-0079</v>
      </c>
      <c r="R80" s="62">
        <f t="shared" si="14"/>
        <v>40547.416666666664</v>
      </c>
      <c r="S80" t="str">
        <f t="shared" si="15"/>
        <v>Jan</v>
      </c>
      <c r="T80" t="str">
        <f>INDEX(Lookups!$B$39:$B$45,MATCH(H80,Lookups!$A$39:$A$45,0))</f>
        <v>Tue</v>
      </c>
      <c r="U80" t="str">
        <f t="shared" si="16"/>
        <v>Weekday</v>
      </c>
      <c r="V80" t="str">
        <f t="shared" si="17"/>
        <v>Working Day</v>
      </c>
      <c r="W80" t="str">
        <f t="shared" si="18"/>
        <v>Spring</v>
      </c>
      <c r="X80" t="str">
        <f t="shared" si="19"/>
        <v>Cloudy/Mist</v>
      </c>
      <c r="Y80" t="str">
        <f t="shared" si="20"/>
        <v>Morning</v>
      </c>
      <c r="Z80" t="str">
        <f t="shared" si="21"/>
        <v>Cold</v>
      </c>
      <c r="AA80" t="str">
        <f t="shared" si="22"/>
        <v>Medium</v>
      </c>
      <c r="AB80" t="str">
        <f t="shared" si="23"/>
        <v>Off-Peak</v>
      </c>
      <c r="AC80" s="63">
        <f t="shared" si="24"/>
        <v>0.11904761904761904</v>
      </c>
      <c r="AD80" t="str">
        <f>IF(P80&gt;=Stats!$C$30,"High",IF(P80&lt;=Stats!$C$29,"Low","Normal"))</f>
        <v>Normal</v>
      </c>
      <c r="AE80">
        <f t="shared" si="25"/>
        <v>1</v>
      </c>
    </row>
    <row r="81" spans="1:31" x14ac:dyDescent="0.2">
      <c r="A81">
        <f>Dataset_A!A81</f>
        <v>80</v>
      </c>
      <c r="B81" s="61">
        <f>Dataset_A!B81</f>
        <v>40547</v>
      </c>
      <c r="C81">
        <f>Dataset_A!C81</f>
        <v>1</v>
      </c>
      <c r="D81">
        <f>Dataset_A!D81</f>
        <v>0</v>
      </c>
      <c r="E81">
        <f>Dataset_A!E81</f>
        <v>1</v>
      </c>
      <c r="F81">
        <f>Dataset_A!F81</f>
        <v>11</v>
      </c>
      <c r="G81" t="b">
        <f>Dataset_A!G81</f>
        <v>0</v>
      </c>
      <c r="H81">
        <f>Dataset_A!H81</f>
        <v>2</v>
      </c>
      <c r="I81">
        <f>Dataset_A!I81</f>
        <v>1</v>
      </c>
      <c r="J81" s="55">
        <f>Dataset_A!J81</f>
        <v>0.22</v>
      </c>
      <c r="K81">
        <f>Dataset_A!K81</f>
        <v>0.21210000000000001</v>
      </c>
      <c r="L81">
        <f>Dataset_A!L81</f>
        <v>0.51</v>
      </c>
      <c r="M81">
        <f>Dataset_A!M81</f>
        <v>0.29849999999999999</v>
      </c>
      <c r="N81">
        <f>Dataset_A!N81</f>
        <v>7</v>
      </c>
      <c r="O81">
        <f>Dataset_A!O81</f>
        <v>50</v>
      </c>
      <c r="P81">
        <f>Dataset_A!P81</f>
        <v>57</v>
      </c>
      <c r="Q81" t="str">
        <f t="shared" si="13"/>
        <v>REC-0080</v>
      </c>
      <c r="R81" s="62">
        <f t="shared" si="14"/>
        <v>40547.458333333336</v>
      </c>
      <c r="S81" t="str">
        <f t="shared" si="15"/>
        <v>Jan</v>
      </c>
      <c r="T81" t="str">
        <f>INDEX(Lookups!$B$39:$B$45,MATCH(H81,Lookups!$A$39:$A$45,0))</f>
        <v>Tue</v>
      </c>
      <c r="U81" t="str">
        <f t="shared" si="16"/>
        <v>Weekday</v>
      </c>
      <c r="V81" t="str">
        <f t="shared" si="17"/>
        <v>Working Day</v>
      </c>
      <c r="W81" t="str">
        <f t="shared" si="18"/>
        <v>Spring</v>
      </c>
      <c r="X81" t="str">
        <f t="shared" si="19"/>
        <v>Clear</v>
      </c>
      <c r="Y81" t="str">
        <f t="shared" si="20"/>
        <v>Morning</v>
      </c>
      <c r="Z81" t="str">
        <f t="shared" si="21"/>
        <v>Mild</v>
      </c>
      <c r="AA81" t="str">
        <f t="shared" si="22"/>
        <v>Medium</v>
      </c>
      <c r="AB81" t="str">
        <f t="shared" si="23"/>
        <v>Off-Peak</v>
      </c>
      <c r="AC81" s="63">
        <f t="shared" si="24"/>
        <v>0.12280701754385964</v>
      </c>
      <c r="AD81" t="str">
        <f>IF(P81&gt;=Stats!$C$30,"High",IF(P81&lt;=Stats!$C$29,"Low","Normal"))</f>
        <v>Normal</v>
      </c>
      <c r="AE81">
        <f t="shared" si="25"/>
        <v>1</v>
      </c>
    </row>
    <row r="82" spans="1:31" x14ac:dyDescent="0.2">
      <c r="A82">
        <f>Dataset_A!A82</f>
        <v>81</v>
      </c>
      <c r="B82" s="61">
        <f>Dataset_A!B82</f>
        <v>40547</v>
      </c>
      <c r="C82">
        <f>Dataset_A!C82</f>
        <v>1</v>
      </c>
      <c r="D82">
        <f>Dataset_A!D82</f>
        <v>0</v>
      </c>
      <c r="E82">
        <f>Dataset_A!E82</f>
        <v>1</v>
      </c>
      <c r="F82">
        <f>Dataset_A!F82</f>
        <v>12</v>
      </c>
      <c r="G82" t="b">
        <f>Dataset_A!G82</f>
        <v>0</v>
      </c>
      <c r="H82">
        <f>Dataset_A!H82</f>
        <v>2</v>
      </c>
      <c r="I82">
        <f>Dataset_A!I82</f>
        <v>1</v>
      </c>
      <c r="J82" s="55">
        <f>Dataset_A!J82</f>
        <v>0.22</v>
      </c>
      <c r="K82">
        <f>Dataset_A!K82</f>
        <v>0.2273</v>
      </c>
      <c r="L82">
        <f>Dataset_A!L82</f>
        <v>0.51</v>
      </c>
      <c r="M82">
        <f>Dataset_A!M82</f>
        <v>0.16420000000000001</v>
      </c>
      <c r="N82">
        <f>Dataset_A!N82</f>
        <v>12</v>
      </c>
      <c r="O82">
        <f>Dataset_A!O82</f>
        <v>66</v>
      </c>
      <c r="P82">
        <f>Dataset_A!P82</f>
        <v>78</v>
      </c>
      <c r="Q82" t="str">
        <f t="shared" si="13"/>
        <v>REC-0081</v>
      </c>
      <c r="R82" s="62">
        <f t="shared" si="14"/>
        <v>40547.5</v>
      </c>
      <c r="S82" t="str">
        <f t="shared" si="15"/>
        <v>Jan</v>
      </c>
      <c r="T82" t="str">
        <f>INDEX(Lookups!$B$39:$B$45,MATCH(H82,Lookups!$A$39:$A$45,0))</f>
        <v>Tue</v>
      </c>
      <c r="U82" t="str">
        <f t="shared" si="16"/>
        <v>Weekday</v>
      </c>
      <c r="V82" t="str">
        <f t="shared" si="17"/>
        <v>Working Day</v>
      </c>
      <c r="W82" t="str">
        <f t="shared" si="18"/>
        <v>Spring</v>
      </c>
      <c r="X82" t="str">
        <f t="shared" si="19"/>
        <v>Clear</v>
      </c>
      <c r="Y82" t="str">
        <f t="shared" si="20"/>
        <v>Afternoon</v>
      </c>
      <c r="Z82" t="str">
        <f t="shared" si="21"/>
        <v>Mild</v>
      </c>
      <c r="AA82" t="str">
        <f t="shared" si="22"/>
        <v>Medium</v>
      </c>
      <c r="AB82" t="str">
        <f t="shared" si="23"/>
        <v>Off-Peak</v>
      </c>
      <c r="AC82" s="63">
        <f t="shared" si="24"/>
        <v>0.15384615384615385</v>
      </c>
      <c r="AD82" t="str">
        <f>IF(P82&gt;=Stats!$C$30,"High",IF(P82&lt;=Stats!$C$29,"Low","Normal"))</f>
        <v>Normal</v>
      </c>
      <c r="AE82">
        <f t="shared" si="25"/>
        <v>1</v>
      </c>
    </row>
    <row r="83" spans="1:31" x14ac:dyDescent="0.2">
      <c r="A83">
        <f>Dataset_A!A83</f>
        <v>82</v>
      </c>
      <c r="B83" s="61">
        <f>Dataset_A!B83</f>
        <v>40547</v>
      </c>
      <c r="C83">
        <f>Dataset_A!C83</f>
        <v>1</v>
      </c>
      <c r="D83">
        <f>Dataset_A!D83</f>
        <v>0</v>
      </c>
      <c r="E83">
        <f>Dataset_A!E83</f>
        <v>1</v>
      </c>
      <c r="F83">
        <f>Dataset_A!F83</f>
        <v>13</v>
      </c>
      <c r="G83" t="b">
        <f>Dataset_A!G83</f>
        <v>0</v>
      </c>
      <c r="H83">
        <f>Dataset_A!H83</f>
        <v>2</v>
      </c>
      <c r="I83">
        <f>Dataset_A!I83</f>
        <v>1</v>
      </c>
      <c r="J83" s="55">
        <f>Dataset_A!J83</f>
        <v>0.24</v>
      </c>
      <c r="K83">
        <f>Dataset_A!K83</f>
        <v>0.2273</v>
      </c>
      <c r="L83">
        <f>Dataset_A!L83</f>
        <v>0.56000000000000005</v>
      </c>
      <c r="M83">
        <f>Dataset_A!M83</f>
        <v>0.19400000000000001</v>
      </c>
      <c r="N83">
        <f>Dataset_A!N83</f>
        <v>18</v>
      </c>
      <c r="O83">
        <f>Dataset_A!O83</f>
        <v>79</v>
      </c>
      <c r="P83">
        <f>Dataset_A!P83</f>
        <v>97</v>
      </c>
      <c r="Q83" t="str">
        <f t="shared" si="13"/>
        <v>REC-0082</v>
      </c>
      <c r="R83" s="62">
        <f t="shared" si="14"/>
        <v>40547.541666666664</v>
      </c>
      <c r="S83" t="str">
        <f t="shared" si="15"/>
        <v>Jan</v>
      </c>
      <c r="T83" t="str">
        <f>INDEX(Lookups!$B$39:$B$45,MATCH(H83,Lookups!$A$39:$A$45,0))</f>
        <v>Tue</v>
      </c>
      <c r="U83" t="str">
        <f t="shared" si="16"/>
        <v>Weekday</v>
      </c>
      <c r="V83" t="str">
        <f t="shared" si="17"/>
        <v>Working Day</v>
      </c>
      <c r="W83" t="str">
        <f t="shared" si="18"/>
        <v>Spring</v>
      </c>
      <c r="X83" t="str">
        <f t="shared" si="19"/>
        <v>Clear</v>
      </c>
      <c r="Y83" t="str">
        <f t="shared" si="20"/>
        <v>Afternoon</v>
      </c>
      <c r="Z83" t="str">
        <f t="shared" si="21"/>
        <v>Mild</v>
      </c>
      <c r="AA83" t="str">
        <f t="shared" si="22"/>
        <v>Medium</v>
      </c>
      <c r="AB83" t="str">
        <f t="shared" si="23"/>
        <v>Off-Peak</v>
      </c>
      <c r="AC83" s="63">
        <f t="shared" si="24"/>
        <v>0.18556701030927836</v>
      </c>
      <c r="AD83" t="str">
        <f>IF(P83&gt;=Stats!$C$30,"High",IF(P83&lt;=Stats!$C$29,"Low","Normal"))</f>
        <v>High</v>
      </c>
      <c r="AE83">
        <f t="shared" si="25"/>
        <v>1</v>
      </c>
    </row>
    <row r="84" spans="1:31" x14ac:dyDescent="0.2">
      <c r="A84">
        <f>Dataset_A!A84</f>
        <v>83</v>
      </c>
      <c r="B84" s="61">
        <f>Dataset_A!B84</f>
        <v>40547</v>
      </c>
      <c r="C84">
        <f>Dataset_A!C84</f>
        <v>1</v>
      </c>
      <c r="D84">
        <f>Dataset_A!D84</f>
        <v>0</v>
      </c>
      <c r="E84">
        <f>Dataset_A!E84</f>
        <v>1</v>
      </c>
      <c r="F84">
        <f>Dataset_A!F84</f>
        <v>14</v>
      </c>
      <c r="G84" t="b">
        <f>Dataset_A!G84</f>
        <v>0</v>
      </c>
      <c r="H84">
        <f>Dataset_A!H84</f>
        <v>2</v>
      </c>
      <c r="I84">
        <f>Dataset_A!I84</f>
        <v>1</v>
      </c>
      <c r="J84" s="55">
        <f>Dataset_A!J84</f>
        <v>0.26</v>
      </c>
      <c r="K84">
        <f>Dataset_A!K84</f>
        <v>0.2576</v>
      </c>
      <c r="L84">
        <f>Dataset_A!L84</f>
        <v>0.52</v>
      </c>
      <c r="M84">
        <f>Dataset_A!M84</f>
        <v>0.22389999999999999</v>
      </c>
      <c r="N84">
        <f>Dataset_A!N84</f>
        <v>9</v>
      </c>
      <c r="O84">
        <f>Dataset_A!O84</f>
        <v>54</v>
      </c>
      <c r="P84">
        <f>Dataset_A!P84</f>
        <v>63</v>
      </c>
      <c r="Q84" t="str">
        <f t="shared" si="13"/>
        <v>REC-0083</v>
      </c>
      <c r="R84" s="62">
        <f t="shared" si="14"/>
        <v>40547.583333333336</v>
      </c>
      <c r="S84" t="str">
        <f t="shared" si="15"/>
        <v>Jan</v>
      </c>
      <c r="T84" t="str">
        <f>INDEX(Lookups!$B$39:$B$45,MATCH(H84,Lookups!$A$39:$A$45,0))</f>
        <v>Tue</v>
      </c>
      <c r="U84" t="str">
        <f t="shared" si="16"/>
        <v>Weekday</v>
      </c>
      <c r="V84" t="str">
        <f t="shared" si="17"/>
        <v>Working Day</v>
      </c>
      <c r="W84" t="str">
        <f t="shared" si="18"/>
        <v>Spring</v>
      </c>
      <c r="X84" t="str">
        <f t="shared" si="19"/>
        <v>Clear</v>
      </c>
      <c r="Y84" t="str">
        <f t="shared" si="20"/>
        <v>Afternoon</v>
      </c>
      <c r="Z84" t="str">
        <f t="shared" si="21"/>
        <v>Mild</v>
      </c>
      <c r="AA84" t="str">
        <f t="shared" si="22"/>
        <v>Medium</v>
      </c>
      <c r="AB84" t="str">
        <f t="shared" si="23"/>
        <v>Off-Peak</v>
      </c>
      <c r="AC84" s="63">
        <f t="shared" si="24"/>
        <v>0.14285714285714285</v>
      </c>
      <c r="AD84" t="str">
        <f>IF(P84&gt;=Stats!$C$30,"High",IF(P84&lt;=Stats!$C$29,"Low","Normal"))</f>
        <v>Normal</v>
      </c>
      <c r="AE84">
        <f t="shared" si="25"/>
        <v>1</v>
      </c>
    </row>
    <row r="85" spans="1:31" x14ac:dyDescent="0.2">
      <c r="A85">
        <f>Dataset_A!A85</f>
        <v>84</v>
      </c>
      <c r="B85" s="61">
        <f>Dataset_A!B85</f>
        <v>40547</v>
      </c>
      <c r="C85">
        <f>Dataset_A!C85</f>
        <v>1</v>
      </c>
      <c r="D85">
        <f>Dataset_A!D85</f>
        <v>0</v>
      </c>
      <c r="E85">
        <f>Dataset_A!E85</f>
        <v>1</v>
      </c>
      <c r="F85">
        <f>Dataset_A!F85</f>
        <v>15</v>
      </c>
      <c r="G85" t="b">
        <f>Dataset_A!G85</f>
        <v>0</v>
      </c>
      <c r="H85">
        <f>Dataset_A!H85</f>
        <v>2</v>
      </c>
      <c r="I85">
        <f>Dataset_A!I85</f>
        <v>1</v>
      </c>
      <c r="J85" s="55">
        <f>Dataset_A!J85</f>
        <v>0.28000000000000003</v>
      </c>
      <c r="K85">
        <f>Dataset_A!K85</f>
        <v>0.2727</v>
      </c>
      <c r="L85">
        <f>Dataset_A!L85</f>
        <v>0.52</v>
      </c>
      <c r="M85">
        <f>Dataset_A!M85</f>
        <v>0.25369999999999998</v>
      </c>
      <c r="N85">
        <f>Dataset_A!N85</f>
        <v>17</v>
      </c>
      <c r="O85">
        <f>Dataset_A!O85</f>
        <v>48</v>
      </c>
      <c r="P85">
        <f>Dataset_A!P85</f>
        <v>65</v>
      </c>
      <c r="Q85" t="str">
        <f t="shared" si="13"/>
        <v>REC-0084</v>
      </c>
      <c r="R85" s="62">
        <f t="shared" si="14"/>
        <v>40547.625</v>
      </c>
      <c r="S85" t="str">
        <f t="shared" si="15"/>
        <v>Jan</v>
      </c>
      <c r="T85" t="str">
        <f>INDEX(Lookups!$B$39:$B$45,MATCH(H85,Lookups!$A$39:$A$45,0))</f>
        <v>Tue</v>
      </c>
      <c r="U85" t="str">
        <f t="shared" si="16"/>
        <v>Weekday</v>
      </c>
      <c r="V85" t="str">
        <f t="shared" si="17"/>
        <v>Working Day</v>
      </c>
      <c r="W85" t="str">
        <f t="shared" si="18"/>
        <v>Spring</v>
      </c>
      <c r="X85" t="str">
        <f t="shared" si="19"/>
        <v>Clear</v>
      </c>
      <c r="Y85" t="str">
        <f t="shared" si="20"/>
        <v>Afternoon</v>
      </c>
      <c r="Z85" t="str">
        <f t="shared" si="21"/>
        <v>Mild</v>
      </c>
      <c r="AA85" t="str">
        <f t="shared" si="22"/>
        <v>Medium</v>
      </c>
      <c r="AB85" t="str">
        <f t="shared" si="23"/>
        <v>Off-Peak</v>
      </c>
      <c r="AC85" s="63">
        <f t="shared" si="24"/>
        <v>0.26153846153846155</v>
      </c>
      <c r="AD85" t="str">
        <f>IF(P85&gt;=Stats!$C$30,"High",IF(P85&lt;=Stats!$C$29,"Low","Normal"))</f>
        <v>Normal</v>
      </c>
      <c r="AE85">
        <f t="shared" si="25"/>
        <v>1</v>
      </c>
    </row>
    <row r="86" spans="1:31" x14ac:dyDescent="0.2">
      <c r="A86">
        <f>Dataset_A!A86</f>
        <v>85</v>
      </c>
      <c r="B86" s="61">
        <f>Dataset_A!B86</f>
        <v>40547</v>
      </c>
      <c r="C86">
        <f>Dataset_A!C86</f>
        <v>1</v>
      </c>
      <c r="D86">
        <f>Dataset_A!D86</f>
        <v>0</v>
      </c>
      <c r="E86">
        <f>Dataset_A!E86</f>
        <v>1</v>
      </c>
      <c r="F86">
        <f>Dataset_A!F86</f>
        <v>16</v>
      </c>
      <c r="G86" t="b">
        <f>Dataset_A!G86</f>
        <v>0</v>
      </c>
      <c r="H86">
        <f>Dataset_A!H86</f>
        <v>2</v>
      </c>
      <c r="I86">
        <f>Dataset_A!I86</f>
        <v>1</v>
      </c>
      <c r="J86" s="55">
        <f>Dataset_A!J86</f>
        <v>0.3</v>
      </c>
      <c r="K86">
        <f>Dataset_A!K86</f>
        <v>0.28789999999999999</v>
      </c>
      <c r="L86">
        <f>Dataset_A!L86</f>
        <v>0.49</v>
      </c>
      <c r="M86">
        <f>Dataset_A!M86</f>
        <v>0.25369999999999998</v>
      </c>
      <c r="N86">
        <f>Dataset_A!N86</f>
        <v>15</v>
      </c>
      <c r="O86">
        <f>Dataset_A!O86</f>
        <v>68</v>
      </c>
      <c r="P86">
        <f>Dataset_A!P86</f>
        <v>83</v>
      </c>
      <c r="Q86" t="str">
        <f t="shared" si="13"/>
        <v>REC-0085</v>
      </c>
      <c r="R86" s="62">
        <f t="shared" si="14"/>
        <v>40547.666666666664</v>
      </c>
      <c r="S86" t="str">
        <f t="shared" si="15"/>
        <v>Jan</v>
      </c>
      <c r="T86" t="str">
        <f>INDEX(Lookups!$B$39:$B$45,MATCH(H86,Lookups!$A$39:$A$45,0))</f>
        <v>Tue</v>
      </c>
      <c r="U86" t="str">
        <f t="shared" si="16"/>
        <v>Weekday</v>
      </c>
      <c r="V86" t="str">
        <f t="shared" si="17"/>
        <v>Working Day</v>
      </c>
      <c r="W86" t="str">
        <f t="shared" si="18"/>
        <v>Spring</v>
      </c>
      <c r="X86" t="str">
        <f t="shared" si="19"/>
        <v>Clear</v>
      </c>
      <c r="Y86" t="str">
        <f t="shared" si="20"/>
        <v>Afternoon</v>
      </c>
      <c r="Z86" t="str">
        <f t="shared" si="21"/>
        <v>Warm</v>
      </c>
      <c r="AA86" t="str">
        <f t="shared" si="22"/>
        <v>Low</v>
      </c>
      <c r="AB86" t="str">
        <f t="shared" si="23"/>
        <v>Peak</v>
      </c>
      <c r="AC86" s="63">
        <f t="shared" si="24"/>
        <v>0.18072289156626506</v>
      </c>
      <c r="AD86" t="str">
        <f>IF(P86&gt;=Stats!$C$30,"High",IF(P86&lt;=Stats!$C$29,"Low","Normal"))</f>
        <v>High</v>
      </c>
      <c r="AE86">
        <f t="shared" si="25"/>
        <v>1</v>
      </c>
    </row>
    <row r="87" spans="1:31" x14ac:dyDescent="0.2">
      <c r="A87">
        <f>Dataset_A!A87</f>
        <v>86</v>
      </c>
      <c r="B87" s="61">
        <f>Dataset_A!B87</f>
        <v>40547</v>
      </c>
      <c r="C87">
        <f>Dataset_A!C87</f>
        <v>1</v>
      </c>
      <c r="D87">
        <f>Dataset_A!D87</f>
        <v>0</v>
      </c>
      <c r="E87">
        <f>Dataset_A!E87</f>
        <v>1</v>
      </c>
      <c r="F87">
        <f>Dataset_A!F87</f>
        <v>17</v>
      </c>
      <c r="G87" t="b">
        <f>Dataset_A!G87</f>
        <v>0</v>
      </c>
      <c r="H87">
        <f>Dataset_A!H87</f>
        <v>2</v>
      </c>
      <c r="I87">
        <f>Dataset_A!I87</f>
        <v>1</v>
      </c>
      <c r="J87" s="55">
        <f>Dataset_A!J87</f>
        <v>0.28000000000000003</v>
      </c>
      <c r="K87">
        <f>Dataset_A!K87</f>
        <v>0.2727</v>
      </c>
      <c r="L87">
        <f>Dataset_A!L87</f>
        <v>0.48</v>
      </c>
      <c r="M87">
        <f>Dataset_A!M87</f>
        <v>0.22389999999999999</v>
      </c>
      <c r="N87">
        <f>Dataset_A!N87</f>
        <v>10</v>
      </c>
      <c r="O87">
        <f>Dataset_A!O87</f>
        <v>202</v>
      </c>
      <c r="P87">
        <f>Dataset_A!P87</f>
        <v>212</v>
      </c>
      <c r="Q87" t="str">
        <f t="shared" si="13"/>
        <v>REC-0086</v>
      </c>
      <c r="R87" s="62">
        <f t="shared" si="14"/>
        <v>40547.708333333336</v>
      </c>
      <c r="S87" t="str">
        <f t="shared" si="15"/>
        <v>Jan</v>
      </c>
      <c r="T87" t="str">
        <f>INDEX(Lookups!$B$39:$B$45,MATCH(H87,Lookups!$A$39:$A$45,0))</f>
        <v>Tue</v>
      </c>
      <c r="U87" t="str">
        <f t="shared" si="16"/>
        <v>Weekday</v>
      </c>
      <c r="V87" t="str">
        <f t="shared" si="17"/>
        <v>Working Day</v>
      </c>
      <c r="W87" t="str">
        <f t="shared" si="18"/>
        <v>Spring</v>
      </c>
      <c r="X87" t="str">
        <f t="shared" si="19"/>
        <v>Clear</v>
      </c>
      <c r="Y87" t="str">
        <f t="shared" si="20"/>
        <v>Evening</v>
      </c>
      <c r="Z87" t="str">
        <f t="shared" si="21"/>
        <v>Mild</v>
      </c>
      <c r="AA87" t="str">
        <f t="shared" si="22"/>
        <v>Low</v>
      </c>
      <c r="AB87" t="str">
        <f t="shared" si="23"/>
        <v>Peak</v>
      </c>
      <c r="AC87" s="63">
        <f t="shared" si="24"/>
        <v>4.716981132075472E-2</v>
      </c>
      <c r="AD87" t="str">
        <f>IF(P87&gt;=Stats!$C$30,"High",IF(P87&lt;=Stats!$C$29,"Low","Normal"))</f>
        <v>High</v>
      </c>
      <c r="AE87">
        <f t="shared" si="25"/>
        <v>1</v>
      </c>
    </row>
    <row r="88" spans="1:31" x14ac:dyDescent="0.2">
      <c r="A88">
        <f>Dataset_A!A88</f>
        <v>87</v>
      </c>
      <c r="B88" s="61">
        <f>Dataset_A!B88</f>
        <v>40547</v>
      </c>
      <c r="C88">
        <f>Dataset_A!C88</f>
        <v>1</v>
      </c>
      <c r="D88">
        <f>Dataset_A!D88</f>
        <v>0</v>
      </c>
      <c r="E88">
        <f>Dataset_A!E88</f>
        <v>1</v>
      </c>
      <c r="F88">
        <f>Dataset_A!F88</f>
        <v>18</v>
      </c>
      <c r="G88" t="b">
        <f>Dataset_A!G88</f>
        <v>0</v>
      </c>
      <c r="H88">
        <f>Dataset_A!H88</f>
        <v>2</v>
      </c>
      <c r="I88">
        <f>Dataset_A!I88</f>
        <v>1</v>
      </c>
      <c r="J88" s="55">
        <f>Dataset_A!J88</f>
        <v>0.26</v>
      </c>
      <c r="K88">
        <f>Dataset_A!K88</f>
        <v>0.2576</v>
      </c>
      <c r="L88">
        <f>Dataset_A!L88</f>
        <v>0.48</v>
      </c>
      <c r="M88">
        <f>Dataset_A!M88</f>
        <v>0.19400000000000001</v>
      </c>
      <c r="N88">
        <f>Dataset_A!N88</f>
        <v>3</v>
      </c>
      <c r="O88">
        <f>Dataset_A!O88</f>
        <v>179</v>
      </c>
      <c r="P88">
        <f>Dataset_A!P88</f>
        <v>182</v>
      </c>
      <c r="Q88" t="str">
        <f t="shared" si="13"/>
        <v>REC-0087</v>
      </c>
      <c r="R88" s="62">
        <f t="shared" si="14"/>
        <v>40547.75</v>
      </c>
      <c r="S88" t="str">
        <f t="shared" si="15"/>
        <v>Jan</v>
      </c>
      <c r="T88" t="str">
        <f>INDEX(Lookups!$B$39:$B$45,MATCH(H88,Lookups!$A$39:$A$45,0))</f>
        <v>Tue</v>
      </c>
      <c r="U88" t="str">
        <f t="shared" si="16"/>
        <v>Weekday</v>
      </c>
      <c r="V88" t="str">
        <f t="shared" si="17"/>
        <v>Working Day</v>
      </c>
      <c r="W88" t="str">
        <f t="shared" si="18"/>
        <v>Spring</v>
      </c>
      <c r="X88" t="str">
        <f t="shared" si="19"/>
        <v>Clear</v>
      </c>
      <c r="Y88" t="str">
        <f t="shared" si="20"/>
        <v>Evening</v>
      </c>
      <c r="Z88" t="str">
        <f t="shared" si="21"/>
        <v>Mild</v>
      </c>
      <c r="AA88" t="str">
        <f t="shared" si="22"/>
        <v>Low</v>
      </c>
      <c r="AB88" t="str">
        <f t="shared" si="23"/>
        <v>Peak</v>
      </c>
      <c r="AC88" s="63">
        <f t="shared" si="24"/>
        <v>1.6483516483516484E-2</v>
      </c>
      <c r="AD88" t="str">
        <f>IF(P88&gt;=Stats!$C$30,"High",IF(P88&lt;=Stats!$C$29,"Low","Normal"))</f>
        <v>High</v>
      </c>
      <c r="AE88">
        <f t="shared" si="25"/>
        <v>1</v>
      </c>
    </row>
    <row r="89" spans="1:31" x14ac:dyDescent="0.2">
      <c r="A89">
        <f>Dataset_A!A89</f>
        <v>88</v>
      </c>
      <c r="B89" s="61">
        <f>Dataset_A!B89</f>
        <v>40547</v>
      </c>
      <c r="C89">
        <f>Dataset_A!C89</f>
        <v>1</v>
      </c>
      <c r="D89">
        <f>Dataset_A!D89</f>
        <v>0</v>
      </c>
      <c r="E89">
        <f>Dataset_A!E89</f>
        <v>1</v>
      </c>
      <c r="F89">
        <f>Dataset_A!F89</f>
        <v>19</v>
      </c>
      <c r="G89" t="b">
        <f>Dataset_A!G89</f>
        <v>0</v>
      </c>
      <c r="H89">
        <f>Dataset_A!H89</f>
        <v>2</v>
      </c>
      <c r="I89">
        <f>Dataset_A!I89</f>
        <v>1</v>
      </c>
      <c r="J89" s="55">
        <f>Dataset_A!J89</f>
        <v>0.24</v>
      </c>
      <c r="K89">
        <f>Dataset_A!K89</f>
        <v>0.2576</v>
      </c>
      <c r="L89">
        <f>Dataset_A!L89</f>
        <v>0.48</v>
      </c>
      <c r="M89">
        <f>Dataset_A!M89</f>
        <v>0.1045</v>
      </c>
      <c r="N89">
        <f>Dataset_A!N89</f>
        <v>2</v>
      </c>
      <c r="O89">
        <f>Dataset_A!O89</f>
        <v>110</v>
      </c>
      <c r="P89">
        <f>Dataset_A!P89</f>
        <v>112</v>
      </c>
      <c r="Q89" t="str">
        <f t="shared" si="13"/>
        <v>REC-0088</v>
      </c>
      <c r="R89" s="62">
        <f t="shared" si="14"/>
        <v>40547.791666666664</v>
      </c>
      <c r="S89" t="str">
        <f t="shared" si="15"/>
        <v>Jan</v>
      </c>
      <c r="T89" t="str">
        <f>INDEX(Lookups!$B$39:$B$45,MATCH(H89,Lookups!$A$39:$A$45,0))</f>
        <v>Tue</v>
      </c>
      <c r="U89" t="str">
        <f t="shared" si="16"/>
        <v>Weekday</v>
      </c>
      <c r="V89" t="str">
        <f t="shared" si="17"/>
        <v>Working Day</v>
      </c>
      <c r="W89" t="str">
        <f t="shared" si="18"/>
        <v>Spring</v>
      </c>
      <c r="X89" t="str">
        <f t="shared" si="19"/>
        <v>Clear</v>
      </c>
      <c r="Y89" t="str">
        <f t="shared" si="20"/>
        <v>Evening</v>
      </c>
      <c r="Z89" t="str">
        <f t="shared" si="21"/>
        <v>Mild</v>
      </c>
      <c r="AA89" t="str">
        <f t="shared" si="22"/>
        <v>Low</v>
      </c>
      <c r="AB89" t="str">
        <f t="shared" si="23"/>
        <v>Peak</v>
      </c>
      <c r="AC89" s="63">
        <f t="shared" si="24"/>
        <v>1.7857142857142856E-2</v>
      </c>
      <c r="AD89" t="str">
        <f>IF(P89&gt;=Stats!$C$30,"High",IF(P89&lt;=Stats!$C$29,"Low","Normal"))</f>
        <v>High</v>
      </c>
      <c r="AE89">
        <f t="shared" si="25"/>
        <v>1</v>
      </c>
    </row>
    <row r="90" spans="1:31" x14ac:dyDescent="0.2">
      <c r="A90">
        <f>Dataset_A!A90</f>
        <v>89</v>
      </c>
      <c r="B90" s="61">
        <f>Dataset_A!B90</f>
        <v>40547</v>
      </c>
      <c r="C90">
        <f>Dataset_A!C90</f>
        <v>1</v>
      </c>
      <c r="D90">
        <f>Dataset_A!D90</f>
        <v>0</v>
      </c>
      <c r="E90">
        <f>Dataset_A!E90</f>
        <v>1</v>
      </c>
      <c r="F90">
        <f>Dataset_A!F90</f>
        <v>20</v>
      </c>
      <c r="G90" t="b">
        <f>Dataset_A!G90</f>
        <v>0</v>
      </c>
      <c r="H90">
        <f>Dataset_A!H90</f>
        <v>2</v>
      </c>
      <c r="I90">
        <f>Dataset_A!I90</f>
        <v>1</v>
      </c>
      <c r="J90" s="55">
        <f>Dataset_A!J90</f>
        <v>0.24</v>
      </c>
      <c r="K90">
        <f>Dataset_A!K90</f>
        <v>0.2576</v>
      </c>
      <c r="L90">
        <f>Dataset_A!L90</f>
        <v>0.48</v>
      </c>
      <c r="M90">
        <f>Dataset_A!M90</f>
        <v>0.1045</v>
      </c>
      <c r="N90">
        <f>Dataset_A!N90</f>
        <v>1</v>
      </c>
      <c r="O90">
        <f>Dataset_A!O90</f>
        <v>53</v>
      </c>
      <c r="P90">
        <f>Dataset_A!P90</f>
        <v>54</v>
      </c>
      <c r="Q90" t="str">
        <f t="shared" si="13"/>
        <v>REC-0089</v>
      </c>
      <c r="R90" s="62">
        <f t="shared" si="14"/>
        <v>40547.833333333336</v>
      </c>
      <c r="S90" t="str">
        <f t="shared" si="15"/>
        <v>Jan</v>
      </c>
      <c r="T90" t="str">
        <f>INDEX(Lookups!$B$39:$B$45,MATCH(H90,Lookups!$A$39:$A$45,0))</f>
        <v>Tue</v>
      </c>
      <c r="U90" t="str">
        <f t="shared" si="16"/>
        <v>Weekday</v>
      </c>
      <c r="V90" t="str">
        <f t="shared" si="17"/>
        <v>Working Day</v>
      </c>
      <c r="W90" t="str">
        <f t="shared" si="18"/>
        <v>Spring</v>
      </c>
      <c r="X90" t="str">
        <f t="shared" si="19"/>
        <v>Clear</v>
      </c>
      <c r="Y90" t="str">
        <f t="shared" si="20"/>
        <v>Evening</v>
      </c>
      <c r="Z90" t="str">
        <f t="shared" si="21"/>
        <v>Mild</v>
      </c>
      <c r="AA90" t="str">
        <f t="shared" si="22"/>
        <v>Low</v>
      </c>
      <c r="AB90" t="str">
        <f t="shared" si="23"/>
        <v>Off-Peak</v>
      </c>
      <c r="AC90" s="63">
        <f t="shared" si="24"/>
        <v>1.8518518518518517E-2</v>
      </c>
      <c r="AD90" t="str">
        <f>IF(P90&gt;=Stats!$C$30,"High",IF(P90&lt;=Stats!$C$29,"Low","Normal"))</f>
        <v>Normal</v>
      </c>
      <c r="AE90">
        <f t="shared" si="25"/>
        <v>1</v>
      </c>
    </row>
    <row r="91" spans="1:31" x14ac:dyDescent="0.2">
      <c r="A91">
        <f>Dataset_A!A91</f>
        <v>90</v>
      </c>
      <c r="B91" s="61">
        <f>Dataset_A!B91</f>
        <v>40547</v>
      </c>
      <c r="C91">
        <f>Dataset_A!C91</f>
        <v>1</v>
      </c>
      <c r="D91">
        <f>Dataset_A!D91</f>
        <v>0</v>
      </c>
      <c r="E91">
        <f>Dataset_A!E91</f>
        <v>1</v>
      </c>
      <c r="F91">
        <f>Dataset_A!F91</f>
        <v>21</v>
      </c>
      <c r="G91" t="b">
        <f>Dataset_A!G91</f>
        <v>0</v>
      </c>
      <c r="H91">
        <f>Dataset_A!H91</f>
        <v>2</v>
      </c>
      <c r="I91">
        <f>Dataset_A!I91</f>
        <v>1</v>
      </c>
      <c r="J91" s="55">
        <f>Dataset_A!J91</f>
        <v>0.22</v>
      </c>
      <c r="K91">
        <f>Dataset_A!K91</f>
        <v>0.2727</v>
      </c>
      <c r="L91">
        <f>Dataset_A!L91</f>
        <v>0.64</v>
      </c>
      <c r="M91">
        <f>Dataset_A!M91</f>
        <v>0</v>
      </c>
      <c r="N91">
        <f>Dataset_A!N91</f>
        <v>0</v>
      </c>
      <c r="O91">
        <f>Dataset_A!O91</f>
        <v>48</v>
      </c>
      <c r="P91">
        <f>Dataset_A!P91</f>
        <v>48</v>
      </c>
      <c r="Q91" t="str">
        <f t="shared" si="13"/>
        <v>REC-0090</v>
      </c>
      <c r="R91" s="62">
        <f t="shared" si="14"/>
        <v>40547.875</v>
      </c>
      <c r="S91" t="str">
        <f t="shared" si="15"/>
        <v>Jan</v>
      </c>
      <c r="T91" t="str">
        <f>INDEX(Lookups!$B$39:$B$45,MATCH(H91,Lookups!$A$39:$A$45,0))</f>
        <v>Tue</v>
      </c>
      <c r="U91" t="str">
        <f t="shared" si="16"/>
        <v>Weekday</v>
      </c>
      <c r="V91" t="str">
        <f t="shared" si="17"/>
        <v>Working Day</v>
      </c>
      <c r="W91" t="str">
        <f t="shared" si="18"/>
        <v>Spring</v>
      </c>
      <c r="X91" t="str">
        <f t="shared" si="19"/>
        <v>Clear</v>
      </c>
      <c r="Y91" t="str">
        <f t="shared" si="20"/>
        <v>Late Evening</v>
      </c>
      <c r="Z91" t="str">
        <f t="shared" si="21"/>
        <v>Mild</v>
      </c>
      <c r="AA91" t="str">
        <f t="shared" si="22"/>
        <v>Medium</v>
      </c>
      <c r="AB91" t="str">
        <f t="shared" si="23"/>
        <v>Off-Peak</v>
      </c>
      <c r="AC91" s="63">
        <f t="shared" si="24"/>
        <v>0</v>
      </c>
      <c r="AD91" t="str">
        <f>IF(P91&gt;=Stats!$C$30,"High",IF(P91&lt;=Stats!$C$29,"Low","Normal"))</f>
        <v>Normal</v>
      </c>
      <c r="AE91">
        <f t="shared" si="25"/>
        <v>1</v>
      </c>
    </row>
    <row r="92" spans="1:31" x14ac:dyDescent="0.2">
      <c r="A92">
        <f>Dataset_A!A92</f>
        <v>91</v>
      </c>
      <c r="B92" s="61">
        <f>Dataset_A!B92</f>
        <v>40547</v>
      </c>
      <c r="C92">
        <f>Dataset_A!C92</f>
        <v>1</v>
      </c>
      <c r="D92">
        <f>Dataset_A!D92</f>
        <v>0</v>
      </c>
      <c r="E92">
        <f>Dataset_A!E92</f>
        <v>1</v>
      </c>
      <c r="F92">
        <f>Dataset_A!F92</f>
        <v>22</v>
      </c>
      <c r="G92" t="b">
        <f>Dataset_A!G92</f>
        <v>0</v>
      </c>
      <c r="H92">
        <f>Dataset_A!H92</f>
        <v>2</v>
      </c>
      <c r="I92">
        <f>Dataset_A!I92</f>
        <v>1</v>
      </c>
      <c r="J92" s="55">
        <f>Dataset_A!J92</f>
        <v>0.22</v>
      </c>
      <c r="K92">
        <f>Dataset_A!K92</f>
        <v>0.2576</v>
      </c>
      <c r="L92">
        <f>Dataset_A!L92</f>
        <v>0.64</v>
      </c>
      <c r="M92">
        <f>Dataset_A!M92</f>
        <v>8.9599999999999999E-2</v>
      </c>
      <c r="N92">
        <f>Dataset_A!N92</f>
        <v>1</v>
      </c>
      <c r="O92">
        <f>Dataset_A!O92</f>
        <v>34</v>
      </c>
      <c r="P92">
        <f>Dataset_A!P92</f>
        <v>35</v>
      </c>
      <c r="Q92" t="str">
        <f t="shared" si="13"/>
        <v>REC-0091</v>
      </c>
      <c r="R92" s="62">
        <f t="shared" si="14"/>
        <v>40547.916666666664</v>
      </c>
      <c r="S92" t="str">
        <f t="shared" si="15"/>
        <v>Jan</v>
      </c>
      <c r="T92" t="str">
        <f>INDEX(Lookups!$B$39:$B$45,MATCH(H92,Lookups!$A$39:$A$45,0))</f>
        <v>Tue</v>
      </c>
      <c r="U92" t="str">
        <f t="shared" si="16"/>
        <v>Weekday</v>
      </c>
      <c r="V92" t="str">
        <f t="shared" si="17"/>
        <v>Working Day</v>
      </c>
      <c r="W92" t="str">
        <f t="shared" si="18"/>
        <v>Spring</v>
      </c>
      <c r="X92" t="str">
        <f t="shared" si="19"/>
        <v>Clear</v>
      </c>
      <c r="Y92" t="str">
        <f t="shared" si="20"/>
        <v>Late Evening</v>
      </c>
      <c r="Z92" t="str">
        <f t="shared" si="21"/>
        <v>Mild</v>
      </c>
      <c r="AA92" t="str">
        <f t="shared" si="22"/>
        <v>Medium</v>
      </c>
      <c r="AB92" t="str">
        <f t="shared" si="23"/>
        <v>Off-Peak</v>
      </c>
      <c r="AC92" s="63">
        <f t="shared" si="24"/>
        <v>2.8571428571428571E-2</v>
      </c>
      <c r="AD92" t="str">
        <f>IF(P92&gt;=Stats!$C$30,"High",IF(P92&lt;=Stats!$C$29,"Low","Normal"))</f>
        <v>Normal</v>
      </c>
      <c r="AE92">
        <f t="shared" si="25"/>
        <v>1</v>
      </c>
    </row>
    <row r="93" spans="1:31" x14ac:dyDescent="0.2">
      <c r="A93">
        <f>Dataset_A!A93</f>
        <v>92</v>
      </c>
      <c r="B93" s="61">
        <f>Dataset_A!B93</f>
        <v>40547</v>
      </c>
      <c r="C93">
        <f>Dataset_A!C93</f>
        <v>1</v>
      </c>
      <c r="D93">
        <f>Dataset_A!D93</f>
        <v>0</v>
      </c>
      <c r="E93">
        <f>Dataset_A!E93</f>
        <v>1</v>
      </c>
      <c r="F93">
        <f>Dataset_A!F93</f>
        <v>23</v>
      </c>
      <c r="G93" t="b">
        <f>Dataset_A!G93</f>
        <v>0</v>
      </c>
      <c r="H93">
        <f>Dataset_A!H93</f>
        <v>2</v>
      </c>
      <c r="I93">
        <f>Dataset_A!I93</f>
        <v>1</v>
      </c>
      <c r="J93" s="55">
        <f>Dataset_A!J93</f>
        <v>0.2</v>
      </c>
      <c r="K93">
        <f>Dataset_A!K93</f>
        <v>0.2273</v>
      </c>
      <c r="L93">
        <f>Dataset_A!L93</f>
        <v>0.69</v>
      </c>
      <c r="M93">
        <f>Dataset_A!M93</f>
        <v>8.9599999999999999E-2</v>
      </c>
      <c r="N93">
        <f>Dataset_A!N93</f>
        <v>2</v>
      </c>
      <c r="O93">
        <f>Dataset_A!O93</f>
        <v>9</v>
      </c>
      <c r="P93">
        <f>Dataset_A!P93</f>
        <v>11</v>
      </c>
      <c r="Q93" t="str">
        <f t="shared" si="13"/>
        <v>REC-0092</v>
      </c>
      <c r="R93" s="62">
        <f t="shared" si="14"/>
        <v>40547.958333333336</v>
      </c>
      <c r="S93" t="str">
        <f t="shared" si="15"/>
        <v>Jan</v>
      </c>
      <c r="T93" t="str">
        <f>INDEX(Lookups!$B$39:$B$45,MATCH(H93,Lookups!$A$39:$A$45,0))</f>
        <v>Tue</v>
      </c>
      <c r="U93" t="str">
        <f t="shared" si="16"/>
        <v>Weekday</v>
      </c>
      <c r="V93" t="str">
        <f t="shared" si="17"/>
        <v>Working Day</v>
      </c>
      <c r="W93" t="str">
        <f t="shared" si="18"/>
        <v>Spring</v>
      </c>
      <c r="X93" t="str">
        <f t="shared" si="19"/>
        <v>Clear</v>
      </c>
      <c r="Y93" t="str">
        <f t="shared" si="20"/>
        <v>Late Evening</v>
      </c>
      <c r="Z93" t="str">
        <f t="shared" si="21"/>
        <v>Mild</v>
      </c>
      <c r="AA93" t="str">
        <f t="shared" si="22"/>
        <v>Medium</v>
      </c>
      <c r="AB93" t="str">
        <f t="shared" si="23"/>
        <v>Off-Peak</v>
      </c>
      <c r="AC93" s="63">
        <f t="shared" si="24"/>
        <v>0.18181818181818182</v>
      </c>
      <c r="AD93" t="str">
        <f>IF(P93&gt;=Stats!$C$30,"High",IF(P93&lt;=Stats!$C$29,"Low","Normal"))</f>
        <v>Low</v>
      </c>
      <c r="AE93">
        <f t="shared" si="25"/>
        <v>1</v>
      </c>
    </row>
    <row r="94" spans="1:31" x14ac:dyDescent="0.2">
      <c r="A94">
        <f>Dataset_A!A94</f>
        <v>93</v>
      </c>
      <c r="B94" s="61">
        <f>Dataset_A!B94</f>
        <v>40548</v>
      </c>
      <c r="C94">
        <f>Dataset_A!C94</f>
        <v>1</v>
      </c>
      <c r="D94">
        <f>Dataset_A!D94</f>
        <v>0</v>
      </c>
      <c r="E94">
        <f>Dataset_A!E94</f>
        <v>1</v>
      </c>
      <c r="F94">
        <f>Dataset_A!F94</f>
        <v>0</v>
      </c>
      <c r="G94" t="b">
        <f>Dataset_A!G94</f>
        <v>0</v>
      </c>
      <c r="H94">
        <f>Dataset_A!H94</f>
        <v>3</v>
      </c>
      <c r="I94">
        <f>Dataset_A!I94</f>
        <v>1</v>
      </c>
      <c r="J94" s="55">
        <f>Dataset_A!J94</f>
        <v>0.2</v>
      </c>
      <c r="K94">
        <f>Dataset_A!K94</f>
        <v>0.2576</v>
      </c>
      <c r="L94">
        <f>Dataset_A!L94</f>
        <v>0.64</v>
      </c>
      <c r="M94">
        <f>Dataset_A!M94</f>
        <v>0</v>
      </c>
      <c r="N94">
        <f>Dataset_A!N94</f>
        <v>0</v>
      </c>
      <c r="O94">
        <f>Dataset_A!O94</f>
        <v>6</v>
      </c>
      <c r="P94">
        <f>Dataset_A!P94</f>
        <v>6</v>
      </c>
      <c r="Q94" t="str">
        <f t="shared" si="13"/>
        <v>REC-0093</v>
      </c>
      <c r="R94" s="62">
        <f t="shared" si="14"/>
        <v>40548</v>
      </c>
      <c r="S94" t="str">
        <f t="shared" si="15"/>
        <v>Jan</v>
      </c>
      <c r="T94" t="str">
        <f>INDEX(Lookups!$B$39:$B$45,MATCH(H94,Lookups!$A$39:$A$45,0))</f>
        <v>Wed</v>
      </c>
      <c r="U94" t="str">
        <f t="shared" si="16"/>
        <v>Weekday</v>
      </c>
      <c r="V94" t="str">
        <f t="shared" si="17"/>
        <v>Working Day</v>
      </c>
      <c r="W94" t="str">
        <f t="shared" si="18"/>
        <v>Spring</v>
      </c>
      <c r="X94" t="str">
        <f t="shared" si="19"/>
        <v>Clear</v>
      </c>
      <c r="Y94" t="str">
        <f t="shared" si="20"/>
        <v>Night</v>
      </c>
      <c r="Z94" t="str">
        <f t="shared" si="21"/>
        <v>Mild</v>
      </c>
      <c r="AA94" t="str">
        <f t="shared" si="22"/>
        <v>Medium</v>
      </c>
      <c r="AB94" t="str">
        <f t="shared" si="23"/>
        <v>Off-Peak</v>
      </c>
      <c r="AC94" s="63">
        <f t="shared" si="24"/>
        <v>0</v>
      </c>
      <c r="AD94" t="str">
        <f>IF(P94&gt;=Stats!$C$30,"High",IF(P94&lt;=Stats!$C$29,"Low","Normal"))</f>
        <v>Low</v>
      </c>
      <c r="AE94">
        <f t="shared" si="25"/>
        <v>1</v>
      </c>
    </row>
    <row r="95" spans="1:31" x14ac:dyDescent="0.2">
      <c r="A95">
        <f>Dataset_A!A95</f>
        <v>94</v>
      </c>
      <c r="B95" s="61">
        <f>Dataset_A!B95</f>
        <v>40548</v>
      </c>
      <c r="C95">
        <f>Dataset_A!C95</f>
        <v>1</v>
      </c>
      <c r="D95">
        <f>Dataset_A!D95</f>
        <v>0</v>
      </c>
      <c r="E95">
        <f>Dataset_A!E95</f>
        <v>1</v>
      </c>
      <c r="F95">
        <f>Dataset_A!F95</f>
        <v>1</v>
      </c>
      <c r="G95" t="b">
        <f>Dataset_A!G95</f>
        <v>0</v>
      </c>
      <c r="H95">
        <f>Dataset_A!H95</f>
        <v>3</v>
      </c>
      <c r="I95">
        <f>Dataset_A!I95</f>
        <v>1</v>
      </c>
      <c r="J95" s="55">
        <f>Dataset_A!J95</f>
        <v>0.16</v>
      </c>
      <c r="K95">
        <f>Dataset_A!K95</f>
        <v>0.19700000000000001</v>
      </c>
      <c r="L95">
        <f>Dataset_A!L95</f>
        <v>0.74</v>
      </c>
      <c r="M95">
        <f>Dataset_A!M95</f>
        <v>8.9599999999999999E-2</v>
      </c>
      <c r="N95">
        <f>Dataset_A!N95</f>
        <v>0</v>
      </c>
      <c r="O95">
        <f>Dataset_A!O95</f>
        <v>6</v>
      </c>
      <c r="P95">
        <f>Dataset_A!P95</f>
        <v>6</v>
      </c>
      <c r="Q95" t="str">
        <f t="shared" si="13"/>
        <v>REC-0094</v>
      </c>
      <c r="R95" s="62">
        <f t="shared" si="14"/>
        <v>40548.041666666664</v>
      </c>
      <c r="S95" t="str">
        <f t="shared" si="15"/>
        <v>Jan</v>
      </c>
      <c r="T95" t="str">
        <f>INDEX(Lookups!$B$39:$B$45,MATCH(H95,Lookups!$A$39:$A$45,0))</f>
        <v>Wed</v>
      </c>
      <c r="U95" t="str">
        <f t="shared" si="16"/>
        <v>Weekday</v>
      </c>
      <c r="V95" t="str">
        <f t="shared" si="17"/>
        <v>Working Day</v>
      </c>
      <c r="W95" t="str">
        <f t="shared" si="18"/>
        <v>Spring</v>
      </c>
      <c r="X95" t="str">
        <f t="shared" si="19"/>
        <v>Clear</v>
      </c>
      <c r="Y95" t="str">
        <f t="shared" si="20"/>
        <v>Night</v>
      </c>
      <c r="Z95" t="str">
        <f t="shared" si="21"/>
        <v>Cold</v>
      </c>
      <c r="AA95" t="str">
        <f t="shared" si="22"/>
        <v>Medium</v>
      </c>
      <c r="AB95" t="str">
        <f t="shared" si="23"/>
        <v>Off-Peak</v>
      </c>
      <c r="AC95" s="63">
        <f t="shared" si="24"/>
        <v>0</v>
      </c>
      <c r="AD95" t="str">
        <f>IF(P95&gt;=Stats!$C$30,"High",IF(P95&lt;=Stats!$C$29,"Low","Normal"))</f>
        <v>Low</v>
      </c>
      <c r="AE95">
        <f t="shared" si="25"/>
        <v>1</v>
      </c>
    </row>
    <row r="96" spans="1:31" x14ac:dyDescent="0.2">
      <c r="A96">
        <f>Dataset_A!A96</f>
        <v>95</v>
      </c>
      <c r="B96" s="61">
        <f>Dataset_A!B96</f>
        <v>40548</v>
      </c>
      <c r="C96">
        <f>Dataset_A!C96</f>
        <v>1</v>
      </c>
      <c r="D96">
        <f>Dataset_A!D96</f>
        <v>0</v>
      </c>
      <c r="E96">
        <f>Dataset_A!E96</f>
        <v>1</v>
      </c>
      <c r="F96">
        <f>Dataset_A!F96</f>
        <v>2</v>
      </c>
      <c r="G96" t="b">
        <f>Dataset_A!G96</f>
        <v>0</v>
      </c>
      <c r="H96">
        <f>Dataset_A!H96</f>
        <v>3</v>
      </c>
      <c r="I96">
        <f>Dataset_A!I96</f>
        <v>1</v>
      </c>
      <c r="J96" s="55">
        <f>Dataset_A!J96</f>
        <v>0.16</v>
      </c>
      <c r="K96">
        <f>Dataset_A!K96</f>
        <v>0.19700000000000001</v>
      </c>
      <c r="L96">
        <f>Dataset_A!L96</f>
        <v>0.74</v>
      </c>
      <c r="M96">
        <f>Dataset_A!M96</f>
        <v>8.9599999999999999E-2</v>
      </c>
      <c r="N96">
        <f>Dataset_A!N96</f>
        <v>0</v>
      </c>
      <c r="O96">
        <f>Dataset_A!O96</f>
        <v>2</v>
      </c>
      <c r="P96">
        <f>Dataset_A!P96</f>
        <v>2</v>
      </c>
      <c r="Q96" t="str">
        <f t="shared" si="13"/>
        <v>REC-0095</v>
      </c>
      <c r="R96" s="62">
        <f t="shared" si="14"/>
        <v>40548.083333333336</v>
      </c>
      <c r="S96" t="str">
        <f t="shared" si="15"/>
        <v>Jan</v>
      </c>
      <c r="T96" t="str">
        <f>INDEX(Lookups!$B$39:$B$45,MATCH(H96,Lookups!$A$39:$A$45,0))</f>
        <v>Wed</v>
      </c>
      <c r="U96" t="str">
        <f t="shared" si="16"/>
        <v>Weekday</v>
      </c>
      <c r="V96" t="str">
        <f t="shared" si="17"/>
        <v>Working Day</v>
      </c>
      <c r="W96" t="str">
        <f t="shared" si="18"/>
        <v>Spring</v>
      </c>
      <c r="X96" t="str">
        <f t="shared" si="19"/>
        <v>Clear</v>
      </c>
      <c r="Y96" t="str">
        <f t="shared" si="20"/>
        <v>Night</v>
      </c>
      <c r="Z96" t="str">
        <f t="shared" si="21"/>
        <v>Cold</v>
      </c>
      <c r="AA96" t="str">
        <f t="shared" si="22"/>
        <v>Medium</v>
      </c>
      <c r="AB96" t="str">
        <f t="shared" si="23"/>
        <v>Off-Peak</v>
      </c>
      <c r="AC96" s="63">
        <f t="shared" si="24"/>
        <v>0</v>
      </c>
      <c r="AD96" t="str">
        <f>IF(P96&gt;=Stats!$C$30,"High",IF(P96&lt;=Stats!$C$29,"Low","Normal"))</f>
        <v>Low</v>
      </c>
      <c r="AE96">
        <f t="shared" si="25"/>
        <v>1</v>
      </c>
    </row>
    <row r="97" spans="1:31" x14ac:dyDescent="0.2">
      <c r="A97">
        <f>Dataset_A!A97</f>
        <v>96</v>
      </c>
      <c r="B97" s="61">
        <f>Dataset_A!B97</f>
        <v>40548</v>
      </c>
      <c r="C97">
        <f>Dataset_A!C97</f>
        <v>1</v>
      </c>
      <c r="D97">
        <f>Dataset_A!D97</f>
        <v>0</v>
      </c>
      <c r="E97">
        <f>Dataset_A!E97</f>
        <v>1</v>
      </c>
      <c r="F97">
        <f>Dataset_A!F97</f>
        <v>4</v>
      </c>
      <c r="G97" t="b">
        <f>Dataset_A!G97</f>
        <v>0</v>
      </c>
      <c r="H97">
        <f>Dataset_A!H97</f>
        <v>3</v>
      </c>
      <c r="I97">
        <f>Dataset_A!I97</f>
        <v>1</v>
      </c>
      <c r="J97" s="55">
        <f>Dataset_A!J97</f>
        <v>0.24</v>
      </c>
      <c r="K97">
        <f>Dataset_A!K97</f>
        <v>0.2273</v>
      </c>
      <c r="L97">
        <f>Dataset_A!L97</f>
        <v>0.48</v>
      </c>
      <c r="M97">
        <f>Dataset_A!M97</f>
        <v>0.22389999999999999</v>
      </c>
      <c r="N97">
        <f>Dataset_A!N97</f>
        <v>0</v>
      </c>
      <c r="O97">
        <f>Dataset_A!O97</f>
        <v>2</v>
      </c>
      <c r="P97">
        <f>Dataset_A!P97</f>
        <v>2</v>
      </c>
      <c r="Q97" t="str">
        <f t="shared" si="13"/>
        <v>REC-0096</v>
      </c>
      <c r="R97" s="62">
        <f t="shared" si="14"/>
        <v>40548.166666666664</v>
      </c>
      <c r="S97" t="str">
        <f t="shared" si="15"/>
        <v>Jan</v>
      </c>
      <c r="T97" t="str">
        <f>INDEX(Lookups!$B$39:$B$45,MATCH(H97,Lookups!$A$39:$A$45,0))</f>
        <v>Wed</v>
      </c>
      <c r="U97" t="str">
        <f t="shared" si="16"/>
        <v>Weekday</v>
      </c>
      <c r="V97" t="str">
        <f t="shared" si="17"/>
        <v>Working Day</v>
      </c>
      <c r="W97" t="str">
        <f t="shared" si="18"/>
        <v>Spring</v>
      </c>
      <c r="X97" t="str">
        <f t="shared" si="19"/>
        <v>Clear</v>
      </c>
      <c r="Y97" t="str">
        <f t="shared" si="20"/>
        <v>Night</v>
      </c>
      <c r="Z97" t="str">
        <f t="shared" si="21"/>
        <v>Mild</v>
      </c>
      <c r="AA97" t="str">
        <f t="shared" si="22"/>
        <v>Low</v>
      </c>
      <c r="AB97" t="str">
        <f t="shared" si="23"/>
        <v>Off-Peak</v>
      </c>
      <c r="AC97" s="63">
        <f t="shared" si="24"/>
        <v>0</v>
      </c>
      <c r="AD97" t="str">
        <f>IF(P97&gt;=Stats!$C$30,"High",IF(P97&lt;=Stats!$C$29,"Low","Normal"))</f>
        <v>Low</v>
      </c>
      <c r="AE97">
        <f t="shared" si="25"/>
        <v>1</v>
      </c>
    </row>
    <row r="98" spans="1:31" x14ac:dyDescent="0.2">
      <c r="A98">
        <f>Dataset_A!A98</f>
        <v>97</v>
      </c>
      <c r="B98" s="61">
        <f>Dataset_A!B98</f>
        <v>40548</v>
      </c>
      <c r="C98">
        <f>Dataset_A!C98</f>
        <v>1</v>
      </c>
      <c r="D98">
        <f>Dataset_A!D98</f>
        <v>0</v>
      </c>
      <c r="E98">
        <f>Dataset_A!E98</f>
        <v>1</v>
      </c>
      <c r="F98">
        <f>Dataset_A!F98</f>
        <v>5</v>
      </c>
      <c r="G98" t="b">
        <f>Dataset_A!G98</f>
        <v>0</v>
      </c>
      <c r="H98">
        <f>Dataset_A!H98</f>
        <v>3</v>
      </c>
      <c r="I98">
        <f>Dataset_A!I98</f>
        <v>1</v>
      </c>
      <c r="J98" s="55">
        <f>Dataset_A!J98</f>
        <v>0.22</v>
      </c>
      <c r="K98">
        <f>Dataset_A!K98</f>
        <v>0.2273</v>
      </c>
      <c r="L98">
        <f>Dataset_A!L98</f>
        <v>0.47</v>
      </c>
      <c r="M98">
        <f>Dataset_A!M98</f>
        <v>0.16420000000000001</v>
      </c>
      <c r="N98">
        <f>Dataset_A!N98</f>
        <v>0</v>
      </c>
      <c r="O98">
        <f>Dataset_A!O98</f>
        <v>3</v>
      </c>
      <c r="P98">
        <f>Dataset_A!P98</f>
        <v>3</v>
      </c>
      <c r="Q98" t="str">
        <f t="shared" si="13"/>
        <v>REC-0097</v>
      </c>
      <c r="R98" s="62">
        <f t="shared" si="14"/>
        <v>40548.208333333336</v>
      </c>
      <c r="S98" t="str">
        <f t="shared" si="15"/>
        <v>Jan</v>
      </c>
      <c r="T98" t="str">
        <f>INDEX(Lookups!$B$39:$B$45,MATCH(H98,Lookups!$A$39:$A$45,0))</f>
        <v>Wed</v>
      </c>
      <c r="U98" t="str">
        <f t="shared" si="16"/>
        <v>Weekday</v>
      </c>
      <c r="V98" t="str">
        <f t="shared" si="17"/>
        <v>Working Day</v>
      </c>
      <c r="W98" t="str">
        <f t="shared" si="18"/>
        <v>Spring</v>
      </c>
      <c r="X98" t="str">
        <f t="shared" si="19"/>
        <v>Clear</v>
      </c>
      <c r="Y98" t="str">
        <f t="shared" si="20"/>
        <v>Night</v>
      </c>
      <c r="Z98" t="str">
        <f t="shared" si="21"/>
        <v>Mild</v>
      </c>
      <c r="AA98" t="str">
        <f t="shared" si="22"/>
        <v>Low</v>
      </c>
      <c r="AB98" t="str">
        <f t="shared" si="23"/>
        <v>Off-Peak</v>
      </c>
      <c r="AC98" s="63">
        <f t="shared" si="24"/>
        <v>0</v>
      </c>
      <c r="AD98" t="str">
        <f>IF(P98&gt;=Stats!$C$30,"High",IF(P98&lt;=Stats!$C$29,"Low","Normal"))</f>
        <v>Low</v>
      </c>
      <c r="AE98">
        <f t="shared" si="25"/>
        <v>1</v>
      </c>
    </row>
    <row r="99" spans="1:31" x14ac:dyDescent="0.2">
      <c r="A99">
        <f>Dataset_A!A99</f>
        <v>98</v>
      </c>
      <c r="B99" s="61">
        <f>Dataset_A!B99</f>
        <v>40548</v>
      </c>
      <c r="C99">
        <f>Dataset_A!C99</f>
        <v>1</v>
      </c>
      <c r="D99">
        <f>Dataset_A!D99</f>
        <v>0</v>
      </c>
      <c r="E99">
        <f>Dataset_A!E99</f>
        <v>1</v>
      </c>
      <c r="F99">
        <f>Dataset_A!F99</f>
        <v>6</v>
      </c>
      <c r="G99" t="b">
        <f>Dataset_A!G99</f>
        <v>0</v>
      </c>
      <c r="H99">
        <f>Dataset_A!H99</f>
        <v>3</v>
      </c>
      <c r="I99">
        <f>Dataset_A!I99</f>
        <v>1</v>
      </c>
      <c r="J99" s="55">
        <f>Dataset_A!J99</f>
        <v>0.2</v>
      </c>
      <c r="K99">
        <f>Dataset_A!K99</f>
        <v>0.19700000000000001</v>
      </c>
      <c r="L99">
        <f>Dataset_A!L99</f>
        <v>0.47</v>
      </c>
      <c r="M99">
        <f>Dataset_A!M99</f>
        <v>0.22389999999999999</v>
      </c>
      <c r="N99">
        <f>Dataset_A!N99</f>
        <v>0</v>
      </c>
      <c r="O99">
        <f>Dataset_A!O99</f>
        <v>33</v>
      </c>
      <c r="P99">
        <f>Dataset_A!P99</f>
        <v>33</v>
      </c>
      <c r="Q99" t="str">
        <f t="shared" si="13"/>
        <v>REC-0098</v>
      </c>
      <c r="R99" s="62">
        <f t="shared" si="14"/>
        <v>40548.25</v>
      </c>
      <c r="S99" t="str">
        <f t="shared" si="15"/>
        <v>Jan</v>
      </c>
      <c r="T99" t="str">
        <f>INDEX(Lookups!$B$39:$B$45,MATCH(H99,Lookups!$A$39:$A$45,0))</f>
        <v>Wed</v>
      </c>
      <c r="U99" t="str">
        <f t="shared" si="16"/>
        <v>Weekday</v>
      </c>
      <c r="V99" t="str">
        <f t="shared" si="17"/>
        <v>Working Day</v>
      </c>
      <c r="W99" t="str">
        <f t="shared" si="18"/>
        <v>Spring</v>
      </c>
      <c r="X99" t="str">
        <f t="shared" si="19"/>
        <v>Clear</v>
      </c>
      <c r="Y99" t="str">
        <f t="shared" si="20"/>
        <v>Morning</v>
      </c>
      <c r="Z99" t="str">
        <f t="shared" si="21"/>
        <v>Mild</v>
      </c>
      <c r="AA99" t="str">
        <f t="shared" si="22"/>
        <v>Low</v>
      </c>
      <c r="AB99" t="str">
        <f t="shared" si="23"/>
        <v>Off-Peak</v>
      </c>
      <c r="AC99" s="63">
        <f t="shared" si="24"/>
        <v>0</v>
      </c>
      <c r="AD99" t="str">
        <f>IF(P99&gt;=Stats!$C$30,"High",IF(P99&lt;=Stats!$C$29,"Low","Normal"))</f>
        <v>Normal</v>
      </c>
      <c r="AE99">
        <f t="shared" si="25"/>
        <v>1</v>
      </c>
    </row>
    <row r="100" spans="1:31" x14ac:dyDescent="0.2">
      <c r="A100">
        <f>Dataset_A!A100</f>
        <v>99</v>
      </c>
      <c r="B100" s="61">
        <f>Dataset_A!B100</f>
        <v>40548</v>
      </c>
      <c r="C100">
        <f>Dataset_A!C100</f>
        <v>1</v>
      </c>
      <c r="D100">
        <f>Dataset_A!D100</f>
        <v>0</v>
      </c>
      <c r="E100">
        <f>Dataset_A!E100</f>
        <v>1</v>
      </c>
      <c r="F100">
        <f>Dataset_A!F100</f>
        <v>7</v>
      </c>
      <c r="G100" t="b">
        <f>Dataset_A!G100</f>
        <v>0</v>
      </c>
      <c r="H100">
        <f>Dataset_A!H100</f>
        <v>3</v>
      </c>
      <c r="I100">
        <f>Dataset_A!I100</f>
        <v>1</v>
      </c>
      <c r="J100" s="55">
        <f>Dataset_A!J100</f>
        <v>0.18</v>
      </c>
      <c r="K100">
        <f>Dataset_A!K100</f>
        <v>0.18179999999999999</v>
      </c>
      <c r="L100">
        <f>Dataset_A!L100</f>
        <v>0.43</v>
      </c>
      <c r="M100">
        <f>Dataset_A!M100</f>
        <v>0.19400000000000001</v>
      </c>
      <c r="N100">
        <f>Dataset_A!N100</f>
        <v>1</v>
      </c>
      <c r="O100">
        <f>Dataset_A!O100</f>
        <v>87</v>
      </c>
      <c r="P100">
        <f>Dataset_A!P100</f>
        <v>88</v>
      </c>
      <c r="Q100" t="str">
        <f t="shared" si="13"/>
        <v>REC-0099</v>
      </c>
      <c r="R100" s="62">
        <f t="shared" si="14"/>
        <v>40548.291666666664</v>
      </c>
      <c r="S100" t="str">
        <f t="shared" si="15"/>
        <v>Jan</v>
      </c>
      <c r="T100" t="str">
        <f>INDEX(Lookups!$B$39:$B$45,MATCH(H100,Lookups!$A$39:$A$45,0))</f>
        <v>Wed</v>
      </c>
      <c r="U100" t="str">
        <f t="shared" si="16"/>
        <v>Weekday</v>
      </c>
      <c r="V100" t="str">
        <f t="shared" si="17"/>
        <v>Working Day</v>
      </c>
      <c r="W100" t="str">
        <f t="shared" si="18"/>
        <v>Spring</v>
      </c>
      <c r="X100" t="str">
        <f t="shared" si="19"/>
        <v>Clear</v>
      </c>
      <c r="Y100" t="str">
        <f t="shared" si="20"/>
        <v>Morning</v>
      </c>
      <c r="Z100" t="str">
        <f t="shared" si="21"/>
        <v>Cold</v>
      </c>
      <c r="AA100" t="str">
        <f t="shared" si="22"/>
        <v>Low</v>
      </c>
      <c r="AB100" t="str">
        <f t="shared" si="23"/>
        <v>Peak</v>
      </c>
      <c r="AC100" s="63">
        <f t="shared" si="24"/>
        <v>1.1363636363636364E-2</v>
      </c>
      <c r="AD100" t="str">
        <f>IF(P100&gt;=Stats!$C$30,"High",IF(P100&lt;=Stats!$C$29,"Low","Normal"))</f>
        <v>High</v>
      </c>
      <c r="AE100">
        <f t="shared" si="25"/>
        <v>1</v>
      </c>
    </row>
    <row r="101" spans="1:31" x14ac:dyDescent="0.2">
      <c r="A101">
        <f>Dataset_A!A101</f>
        <v>100</v>
      </c>
      <c r="B101" s="61">
        <f>Dataset_A!B101</f>
        <v>40548</v>
      </c>
      <c r="C101">
        <f>Dataset_A!C101</f>
        <v>1</v>
      </c>
      <c r="D101">
        <f>Dataset_A!D101</f>
        <v>0</v>
      </c>
      <c r="E101">
        <f>Dataset_A!E101</f>
        <v>1</v>
      </c>
      <c r="F101">
        <f>Dataset_A!F101</f>
        <v>8</v>
      </c>
      <c r="G101" t="b">
        <f>Dataset_A!G101</f>
        <v>0</v>
      </c>
      <c r="H101">
        <f>Dataset_A!H101</f>
        <v>3</v>
      </c>
      <c r="I101">
        <f>Dataset_A!I101</f>
        <v>1</v>
      </c>
      <c r="J101" s="55">
        <f>Dataset_A!J101</f>
        <v>0.2</v>
      </c>
      <c r="K101">
        <f>Dataset_A!K101</f>
        <v>0.18179999999999999</v>
      </c>
      <c r="L101">
        <f>Dataset_A!L101</f>
        <v>0.4</v>
      </c>
      <c r="M101">
        <f>Dataset_A!M101</f>
        <v>0.29849999999999999</v>
      </c>
      <c r="N101">
        <f>Dataset_A!N101</f>
        <v>3</v>
      </c>
      <c r="O101">
        <f>Dataset_A!O101</f>
        <v>192</v>
      </c>
      <c r="P101">
        <f>Dataset_A!P101</f>
        <v>195</v>
      </c>
      <c r="Q101" t="str">
        <f t="shared" si="13"/>
        <v>REC-0100</v>
      </c>
      <c r="R101" s="62">
        <f t="shared" si="14"/>
        <v>40548.333333333336</v>
      </c>
      <c r="S101" t="str">
        <f t="shared" si="15"/>
        <v>Jan</v>
      </c>
      <c r="T101" t="str">
        <f>INDEX(Lookups!$B$39:$B$45,MATCH(H101,Lookups!$A$39:$A$45,0))</f>
        <v>Wed</v>
      </c>
      <c r="U101" t="str">
        <f t="shared" si="16"/>
        <v>Weekday</v>
      </c>
      <c r="V101" t="str">
        <f t="shared" si="17"/>
        <v>Working Day</v>
      </c>
      <c r="W101" t="str">
        <f t="shared" si="18"/>
        <v>Spring</v>
      </c>
      <c r="X101" t="str">
        <f t="shared" si="19"/>
        <v>Clear</v>
      </c>
      <c r="Y101" t="str">
        <f t="shared" si="20"/>
        <v>Morning</v>
      </c>
      <c r="Z101" t="str">
        <f t="shared" si="21"/>
        <v>Mild</v>
      </c>
      <c r="AA101" t="str">
        <f t="shared" si="22"/>
        <v>Low</v>
      </c>
      <c r="AB101" t="str">
        <f t="shared" si="23"/>
        <v>Peak</v>
      </c>
      <c r="AC101" s="63">
        <f t="shared" si="24"/>
        <v>1.5384615384615385E-2</v>
      </c>
      <c r="AD101" t="str">
        <f>IF(P101&gt;=Stats!$C$30,"High",IF(P101&lt;=Stats!$C$29,"Low","Normal"))</f>
        <v>High</v>
      </c>
      <c r="AE101">
        <f t="shared" si="25"/>
        <v>1</v>
      </c>
    </row>
    <row r="102" spans="1:31" x14ac:dyDescent="0.2">
      <c r="A102">
        <f>Dataset_A!A102</f>
        <v>101</v>
      </c>
      <c r="B102" s="61">
        <f>Dataset_A!B102</f>
        <v>40548</v>
      </c>
      <c r="C102">
        <f>Dataset_A!C102</f>
        <v>1</v>
      </c>
      <c r="D102">
        <f>Dataset_A!D102</f>
        <v>0</v>
      </c>
      <c r="E102">
        <f>Dataset_A!E102</f>
        <v>1</v>
      </c>
      <c r="F102">
        <f>Dataset_A!F102</f>
        <v>9</v>
      </c>
      <c r="G102" t="b">
        <f>Dataset_A!G102</f>
        <v>0</v>
      </c>
      <c r="H102">
        <f>Dataset_A!H102</f>
        <v>3</v>
      </c>
      <c r="I102">
        <f>Dataset_A!I102</f>
        <v>1</v>
      </c>
      <c r="J102" s="55">
        <f>Dataset_A!J102</f>
        <v>0.22</v>
      </c>
      <c r="K102">
        <f>Dataset_A!K102</f>
        <v>0.19700000000000001</v>
      </c>
      <c r="L102">
        <f>Dataset_A!L102</f>
        <v>0.37</v>
      </c>
      <c r="M102">
        <f>Dataset_A!M102</f>
        <v>0.32840000000000003</v>
      </c>
      <c r="N102">
        <f>Dataset_A!N102</f>
        <v>6</v>
      </c>
      <c r="O102">
        <f>Dataset_A!O102</f>
        <v>109</v>
      </c>
      <c r="P102">
        <f>Dataset_A!P102</f>
        <v>115</v>
      </c>
      <c r="Q102" t="str">
        <f t="shared" si="13"/>
        <v>REC-0101</v>
      </c>
      <c r="R102" s="62">
        <f t="shared" si="14"/>
        <v>40548.375</v>
      </c>
      <c r="S102" t="str">
        <f t="shared" si="15"/>
        <v>Jan</v>
      </c>
      <c r="T102" t="str">
        <f>INDEX(Lookups!$B$39:$B$45,MATCH(H102,Lookups!$A$39:$A$45,0))</f>
        <v>Wed</v>
      </c>
      <c r="U102" t="str">
        <f t="shared" si="16"/>
        <v>Weekday</v>
      </c>
      <c r="V102" t="str">
        <f t="shared" si="17"/>
        <v>Working Day</v>
      </c>
      <c r="W102" t="str">
        <f t="shared" si="18"/>
        <v>Spring</v>
      </c>
      <c r="X102" t="str">
        <f t="shared" si="19"/>
        <v>Clear</v>
      </c>
      <c r="Y102" t="str">
        <f t="shared" si="20"/>
        <v>Morning</v>
      </c>
      <c r="Z102" t="str">
        <f t="shared" si="21"/>
        <v>Mild</v>
      </c>
      <c r="AA102" t="str">
        <f t="shared" si="22"/>
        <v>Low</v>
      </c>
      <c r="AB102" t="str">
        <f t="shared" si="23"/>
        <v>Peak</v>
      </c>
      <c r="AC102" s="63">
        <f t="shared" si="24"/>
        <v>5.2173913043478258E-2</v>
      </c>
      <c r="AD102" t="str">
        <f>IF(P102&gt;=Stats!$C$30,"High",IF(P102&lt;=Stats!$C$29,"Low","Normal"))</f>
        <v>High</v>
      </c>
      <c r="AE102">
        <f t="shared" si="25"/>
        <v>1</v>
      </c>
    </row>
    <row r="103" spans="1:31" x14ac:dyDescent="0.2">
      <c r="A103">
        <f>Dataset_A!A103</f>
        <v>102</v>
      </c>
      <c r="B103" s="61">
        <f>Dataset_A!B103</f>
        <v>40548</v>
      </c>
      <c r="C103">
        <f>Dataset_A!C103</f>
        <v>1</v>
      </c>
      <c r="D103">
        <f>Dataset_A!D103</f>
        <v>0</v>
      </c>
      <c r="E103">
        <f>Dataset_A!E103</f>
        <v>1</v>
      </c>
      <c r="F103">
        <f>Dataset_A!F103</f>
        <v>10</v>
      </c>
      <c r="G103" t="b">
        <f>Dataset_A!G103</f>
        <v>0</v>
      </c>
      <c r="H103">
        <f>Dataset_A!H103</f>
        <v>3</v>
      </c>
      <c r="I103">
        <f>Dataset_A!I103</f>
        <v>1</v>
      </c>
      <c r="J103" s="55">
        <f>Dataset_A!J103</f>
        <v>0.22</v>
      </c>
      <c r="K103">
        <f>Dataset_A!K103</f>
        <v>0.19700000000000001</v>
      </c>
      <c r="L103">
        <f>Dataset_A!L103</f>
        <v>0.37</v>
      </c>
      <c r="M103">
        <f>Dataset_A!M103</f>
        <v>0.32840000000000003</v>
      </c>
      <c r="N103">
        <f>Dataset_A!N103</f>
        <v>4</v>
      </c>
      <c r="O103">
        <f>Dataset_A!O103</f>
        <v>53</v>
      </c>
      <c r="P103">
        <f>Dataset_A!P103</f>
        <v>57</v>
      </c>
      <c r="Q103" t="str">
        <f t="shared" si="13"/>
        <v>REC-0102</v>
      </c>
      <c r="R103" s="62">
        <f t="shared" si="14"/>
        <v>40548.416666666664</v>
      </c>
      <c r="S103" t="str">
        <f t="shared" si="15"/>
        <v>Jan</v>
      </c>
      <c r="T103" t="str">
        <f>INDEX(Lookups!$B$39:$B$45,MATCH(H103,Lookups!$A$39:$A$45,0))</f>
        <v>Wed</v>
      </c>
      <c r="U103" t="str">
        <f t="shared" si="16"/>
        <v>Weekday</v>
      </c>
      <c r="V103" t="str">
        <f t="shared" si="17"/>
        <v>Working Day</v>
      </c>
      <c r="W103" t="str">
        <f t="shared" si="18"/>
        <v>Spring</v>
      </c>
      <c r="X103" t="str">
        <f t="shared" si="19"/>
        <v>Clear</v>
      </c>
      <c r="Y103" t="str">
        <f t="shared" si="20"/>
        <v>Morning</v>
      </c>
      <c r="Z103" t="str">
        <f t="shared" si="21"/>
        <v>Mild</v>
      </c>
      <c r="AA103" t="str">
        <f t="shared" si="22"/>
        <v>Low</v>
      </c>
      <c r="AB103" t="str">
        <f t="shared" si="23"/>
        <v>Off-Peak</v>
      </c>
      <c r="AC103" s="63">
        <f t="shared" si="24"/>
        <v>7.0175438596491224E-2</v>
      </c>
      <c r="AD103" t="str">
        <f>IF(P103&gt;=Stats!$C$30,"High",IF(P103&lt;=Stats!$C$29,"Low","Normal"))</f>
        <v>Normal</v>
      </c>
      <c r="AE103">
        <f t="shared" si="25"/>
        <v>1</v>
      </c>
    </row>
    <row r="104" spans="1:31" x14ac:dyDescent="0.2">
      <c r="A104">
        <f>Dataset_A!A104</f>
        <v>103</v>
      </c>
      <c r="B104" s="61">
        <f>Dataset_A!B104</f>
        <v>40548</v>
      </c>
      <c r="C104">
        <f>Dataset_A!C104</f>
        <v>1</v>
      </c>
      <c r="D104">
        <f>Dataset_A!D104</f>
        <v>0</v>
      </c>
      <c r="E104">
        <f>Dataset_A!E104</f>
        <v>1</v>
      </c>
      <c r="F104">
        <f>Dataset_A!F104</f>
        <v>11</v>
      </c>
      <c r="G104" t="b">
        <f>Dataset_A!G104</f>
        <v>0</v>
      </c>
      <c r="H104">
        <f>Dataset_A!H104</f>
        <v>3</v>
      </c>
      <c r="I104">
        <f>Dataset_A!I104</f>
        <v>1</v>
      </c>
      <c r="J104" s="55">
        <f>Dataset_A!J104</f>
        <v>0.26</v>
      </c>
      <c r="K104">
        <f>Dataset_A!K104</f>
        <v>0.2273</v>
      </c>
      <c r="L104">
        <f>Dataset_A!L104</f>
        <v>0.33</v>
      </c>
      <c r="M104">
        <f>Dataset_A!M104</f>
        <v>0.32840000000000003</v>
      </c>
      <c r="N104">
        <f>Dataset_A!N104</f>
        <v>12</v>
      </c>
      <c r="O104">
        <f>Dataset_A!O104</f>
        <v>34</v>
      </c>
      <c r="P104">
        <f>Dataset_A!P104</f>
        <v>46</v>
      </c>
      <c r="Q104" t="str">
        <f t="shared" si="13"/>
        <v>REC-0103</v>
      </c>
      <c r="R104" s="62">
        <f t="shared" si="14"/>
        <v>40548.458333333336</v>
      </c>
      <c r="S104" t="str">
        <f t="shared" si="15"/>
        <v>Jan</v>
      </c>
      <c r="T104" t="str">
        <f>INDEX(Lookups!$B$39:$B$45,MATCH(H104,Lookups!$A$39:$A$45,0))</f>
        <v>Wed</v>
      </c>
      <c r="U104" t="str">
        <f t="shared" si="16"/>
        <v>Weekday</v>
      </c>
      <c r="V104" t="str">
        <f t="shared" si="17"/>
        <v>Working Day</v>
      </c>
      <c r="W104" t="str">
        <f t="shared" si="18"/>
        <v>Spring</v>
      </c>
      <c r="X104" t="str">
        <f t="shared" si="19"/>
        <v>Clear</v>
      </c>
      <c r="Y104" t="str">
        <f t="shared" si="20"/>
        <v>Morning</v>
      </c>
      <c r="Z104" t="str">
        <f t="shared" si="21"/>
        <v>Mild</v>
      </c>
      <c r="AA104" t="str">
        <f t="shared" si="22"/>
        <v>Low</v>
      </c>
      <c r="AB104" t="str">
        <f t="shared" si="23"/>
        <v>Off-Peak</v>
      </c>
      <c r="AC104" s="63">
        <f t="shared" si="24"/>
        <v>0.2608695652173913</v>
      </c>
      <c r="AD104" t="str">
        <f>IF(P104&gt;=Stats!$C$30,"High",IF(P104&lt;=Stats!$C$29,"Low","Normal"))</f>
        <v>Normal</v>
      </c>
      <c r="AE104">
        <f t="shared" si="25"/>
        <v>1</v>
      </c>
    </row>
    <row r="105" spans="1:31" x14ac:dyDescent="0.2">
      <c r="A105">
        <f>Dataset_A!A105</f>
        <v>104</v>
      </c>
      <c r="B105" s="61">
        <f>Dataset_A!B105</f>
        <v>40548</v>
      </c>
      <c r="C105">
        <f>Dataset_A!C105</f>
        <v>1</v>
      </c>
      <c r="D105">
        <f>Dataset_A!D105</f>
        <v>0</v>
      </c>
      <c r="E105">
        <f>Dataset_A!E105</f>
        <v>1</v>
      </c>
      <c r="F105">
        <f>Dataset_A!F105</f>
        <v>12</v>
      </c>
      <c r="G105" t="b">
        <f>Dataset_A!G105</f>
        <v>0</v>
      </c>
      <c r="H105">
        <f>Dataset_A!H105</f>
        <v>3</v>
      </c>
      <c r="I105">
        <f>Dataset_A!I105</f>
        <v>1</v>
      </c>
      <c r="J105" s="55">
        <f>Dataset_A!J105</f>
        <v>0.26</v>
      </c>
      <c r="K105">
        <f>Dataset_A!K105</f>
        <v>0.2273</v>
      </c>
      <c r="L105">
        <f>Dataset_A!L105</f>
        <v>0.33</v>
      </c>
      <c r="M105">
        <f>Dataset_A!M105</f>
        <v>0.32840000000000003</v>
      </c>
      <c r="N105">
        <f>Dataset_A!N105</f>
        <v>5</v>
      </c>
      <c r="O105">
        <f>Dataset_A!O105</f>
        <v>74</v>
      </c>
      <c r="P105">
        <f>Dataset_A!P105</f>
        <v>79</v>
      </c>
      <c r="Q105" t="str">
        <f t="shared" si="13"/>
        <v>REC-0104</v>
      </c>
      <c r="R105" s="62">
        <f t="shared" si="14"/>
        <v>40548.5</v>
      </c>
      <c r="S105" t="str">
        <f t="shared" si="15"/>
        <v>Jan</v>
      </c>
      <c r="T105" t="str">
        <f>INDEX(Lookups!$B$39:$B$45,MATCH(H105,Lookups!$A$39:$A$45,0))</f>
        <v>Wed</v>
      </c>
      <c r="U105" t="str">
        <f t="shared" si="16"/>
        <v>Weekday</v>
      </c>
      <c r="V105" t="str">
        <f t="shared" si="17"/>
        <v>Working Day</v>
      </c>
      <c r="W105" t="str">
        <f t="shared" si="18"/>
        <v>Spring</v>
      </c>
      <c r="X105" t="str">
        <f t="shared" si="19"/>
        <v>Clear</v>
      </c>
      <c r="Y105" t="str">
        <f t="shared" si="20"/>
        <v>Afternoon</v>
      </c>
      <c r="Z105" t="str">
        <f t="shared" si="21"/>
        <v>Mild</v>
      </c>
      <c r="AA105" t="str">
        <f t="shared" si="22"/>
        <v>Low</v>
      </c>
      <c r="AB105" t="str">
        <f t="shared" si="23"/>
        <v>Off-Peak</v>
      </c>
      <c r="AC105" s="63">
        <f t="shared" si="24"/>
        <v>6.3291139240506333E-2</v>
      </c>
      <c r="AD105" t="str">
        <f>IF(P105&gt;=Stats!$C$30,"High",IF(P105&lt;=Stats!$C$29,"Low","Normal"))</f>
        <v>Normal</v>
      </c>
      <c r="AE105">
        <f t="shared" si="25"/>
        <v>1</v>
      </c>
    </row>
    <row r="106" spans="1:31" x14ac:dyDescent="0.2">
      <c r="A106">
        <f>Dataset_A!A106</f>
        <v>105</v>
      </c>
      <c r="B106" s="61">
        <f>Dataset_A!B106</f>
        <v>40548</v>
      </c>
      <c r="C106">
        <f>Dataset_A!C106</f>
        <v>1</v>
      </c>
      <c r="D106">
        <f>Dataset_A!D106</f>
        <v>0</v>
      </c>
      <c r="E106">
        <f>Dataset_A!E106</f>
        <v>1</v>
      </c>
      <c r="F106">
        <f>Dataset_A!F106</f>
        <v>13</v>
      </c>
      <c r="G106" t="b">
        <f>Dataset_A!G106</f>
        <v>0</v>
      </c>
      <c r="H106">
        <f>Dataset_A!H106</f>
        <v>3</v>
      </c>
      <c r="I106">
        <f>Dataset_A!I106</f>
        <v>1</v>
      </c>
      <c r="J106" s="55">
        <f>Dataset_A!J106</f>
        <v>0.28000000000000003</v>
      </c>
      <c r="K106">
        <f>Dataset_A!K106</f>
        <v>0.2576</v>
      </c>
      <c r="L106">
        <f>Dataset_A!L106</f>
        <v>0.3</v>
      </c>
      <c r="M106">
        <f>Dataset_A!M106</f>
        <v>0.29849999999999999</v>
      </c>
      <c r="N106">
        <f>Dataset_A!N106</f>
        <v>6</v>
      </c>
      <c r="O106">
        <f>Dataset_A!O106</f>
        <v>65</v>
      </c>
      <c r="P106">
        <f>Dataset_A!P106</f>
        <v>71</v>
      </c>
      <c r="Q106" t="str">
        <f t="shared" si="13"/>
        <v>REC-0105</v>
      </c>
      <c r="R106" s="62">
        <f t="shared" si="14"/>
        <v>40548.541666666664</v>
      </c>
      <c r="S106" t="str">
        <f t="shared" si="15"/>
        <v>Jan</v>
      </c>
      <c r="T106" t="str">
        <f>INDEX(Lookups!$B$39:$B$45,MATCH(H106,Lookups!$A$39:$A$45,0))</f>
        <v>Wed</v>
      </c>
      <c r="U106" t="str">
        <f t="shared" si="16"/>
        <v>Weekday</v>
      </c>
      <c r="V106" t="str">
        <f t="shared" si="17"/>
        <v>Working Day</v>
      </c>
      <c r="W106" t="str">
        <f t="shared" si="18"/>
        <v>Spring</v>
      </c>
      <c r="X106" t="str">
        <f t="shared" si="19"/>
        <v>Clear</v>
      </c>
      <c r="Y106" t="str">
        <f t="shared" si="20"/>
        <v>Afternoon</v>
      </c>
      <c r="Z106" t="str">
        <f t="shared" si="21"/>
        <v>Mild</v>
      </c>
      <c r="AA106" t="str">
        <f t="shared" si="22"/>
        <v>Low</v>
      </c>
      <c r="AB106" t="str">
        <f t="shared" si="23"/>
        <v>Off-Peak</v>
      </c>
      <c r="AC106" s="63">
        <f t="shared" si="24"/>
        <v>8.4507042253521125E-2</v>
      </c>
      <c r="AD106" t="str">
        <f>IF(P106&gt;=Stats!$C$30,"High",IF(P106&lt;=Stats!$C$29,"Low","Normal"))</f>
        <v>Normal</v>
      </c>
      <c r="AE106">
        <f t="shared" si="25"/>
        <v>1</v>
      </c>
    </row>
    <row r="107" spans="1:31" x14ac:dyDescent="0.2">
      <c r="A107">
        <f>Dataset_A!A107</f>
        <v>106</v>
      </c>
      <c r="B107" s="61">
        <f>Dataset_A!B107</f>
        <v>40548</v>
      </c>
      <c r="C107">
        <f>Dataset_A!C107</f>
        <v>1</v>
      </c>
      <c r="D107">
        <f>Dataset_A!D107</f>
        <v>0</v>
      </c>
      <c r="E107">
        <f>Dataset_A!E107</f>
        <v>1</v>
      </c>
      <c r="F107">
        <f>Dataset_A!F107</f>
        <v>14</v>
      </c>
      <c r="G107" t="b">
        <f>Dataset_A!G107</f>
        <v>0</v>
      </c>
      <c r="H107">
        <f>Dataset_A!H107</f>
        <v>3</v>
      </c>
      <c r="I107">
        <f>Dataset_A!I107</f>
        <v>1</v>
      </c>
      <c r="J107" s="55">
        <f>Dataset_A!J107</f>
        <v>0.3</v>
      </c>
      <c r="K107">
        <f>Dataset_A!K107</f>
        <v>0.28789999999999999</v>
      </c>
      <c r="L107">
        <f>Dataset_A!L107</f>
        <v>0.28000000000000003</v>
      </c>
      <c r="M107">
        <f>Dataset_A!M107</f>
        <v>0.19400000000000001</v>
      </c>
      <c r="N107">
        <f>Dataset_A!N107</f>
        <v>10</v>
      </c>
      <c r="O107">
        <f>Dataset_A!O107</f>
        <v>52</v>
      </c>
      <c r="P107">
        <f>Dataset_A!P107</f>
        <v>62</v>
      </c>
      <c r="Q107" t="str">
        <f t="shared" si="13"/>
        <v>REC-0106</v>
      </c>
      <c r="R107" s="62">
        <f t="shared" si="14"/>
        <v>40548.583333333336</v>
      </c>
      <c r="S107" t="str">
        <f t="shared" si="15"/>
        <v>Jan</v>
      </c>
      <c r="T107" t="str">
        <f>INDEX(Lookups!$B$39:$B$45,MATCH(H107,Lookups!$A$39:$A$45,0))</f>
        <v>Wed</v>
      </c>
      <c r="U107" t="str">
        <f t="shared" si="16"/>
        <v>Weekday</v>
      </c>
      <c r="V107" t="str">
        <f t="shared" si="17"/>
        <v>Working Day</v>
      </c>
      <c r="W107" t="str">
        <f t="shared" si="18"/>
        <v>Spring</v>
      </c>
      <c r="X107" t="str">
        <f t="shared" si="19"/>
        <v>Clear</v>
      </c>
      <c r="Y107" t="str">
        <f t="shared" si="20"/>
        <v>Afternoon</v>
      </c>
      <c r="Z107" t="str">
        <f t="shared" si="21"/>
        <v>Warm</v>
      </c>
      <c r="AA107" t="str">
        <f t="shared" si="22"/>
        <v>Low</v>
      </c>
      <c r="AB107" t="str">
        <f t="shared" si="23"/>
        <v>Off-Peak</v>
      </c>
      <c r="AC107" s="63">
        <f t="shared" si="24"/>
        <v>0.16129032258064516</v>
      </c>
      <c r="AD107" t="str">
        <f>IF(P107&gt;=Stats!$C$30,"High",IF(P107&lt;=Stats!$C$29,"Low","Normal"))</f>
        <v>Normal</v>
      </c>
      <c r="AE107">
        <f t="shared" si="25"/>
        <v>1</v>
      </c>
    </row>
    <row r="108" spans="1:31" x14ac:dyDescent="0.2">
      <c r="A108">
        <f>Dataset_A!A108</f>
        <v>107</v>
      </c>
      <c r="B108" s="61">
        <f>Dataset_A!B108</f>
        <v>40548</v>
      </c>
      <c r="C108">
        <f>Dataset_A!C108</f>
        <v>1</v>
      </c>
      <c r="D108">
        <f>Dataset_A!D108</f>
        <v>0</v>
      </c>
      <c r="E108">
        <f>Dataset_A!E108</f>
        <v>1</v>
      </c>
      <c r="F108">
        <f>Dataset_A!F108</f>
        <v>15</v>
      </c>
      <c r="G108" t="b">
        <f>Dataset_A!G108</f>
        <v>0</v>
      </c>
      <c r="H108">
        <f>Dataset_A!H108</f>
        <v>3</v>
      </c>
      <c r="I108">
        <f>Dataset_A!I108</f>
        <v>1</v>
      </c>
      <c r="J108" s="55">
        <f>Dataset_A!J108</f>
        <v>0.3</v>
      </c>
      <c r="K108">
        <f>Dataset_A!K108</f>
        <v>0.28789999999999999</v>
      </c>
      <c r="L108">
        <f>Dataset_A!L108</f>
        <v>0.28000000000000003</v>
      </c>
      <c r="M108">
        <f>Dataset_A!M108</f>
        <v>0.19400000000000001</v>
      </c>
      <c r="N108">
        <f>Dataset_A!N108</f>
        <v>7</v>
      </c>
      <c r="O108">
        <f>Dataset_A!O108</f>
        <v>55</v>
      </c>
      <c r="P108">
        <f>Dataset_A!P108</f>
        <v>62</v>
      </c>
      <c r="Q108" t="str">
        <f t="shared" si="13"/>
        <v>REC-0107</v>
      </c>
      <c r="R108" s="62">
        <f t="shared" si="14"/>
        <v>40548.625</v>
      </c>
      <c r="S108" t="str">
        <f t="shared" si="15"/>
        <v>Jan</v>
      </c>
      <c r="T108" t="str">
        <f>INDEX(Lookups!$B$39:$B$45,MATCH(H108,Lookups!$A$39:$A$45,0))</f>
        <v>Wed</v>
      </c>
      <c r="U108" t="str">
        <f t="shared" si="16"/>
        <v>Weekday</v>
      </c>
      <c r="V108" t="str">
        <f t="shared" si="17"/>
        <v>Working Day</v>
      </c>
      <c r="W108" t="str">
        <f t="shared" si="18"/>
        <v>Spring</v>
      </c>
      <c r="X108" t="str">
        <f t="shared" si="19"/>
        <v>Clear</v>
      </c>
      <c r="Y108" t="str">
        <f t="shared" si="20"/>
        <v>Afternoon</v>
      </c>
      <c r="Z108" t="str">
        <f t="shared" si="21"/>
        <v>Warm</v>
      </c>
      <c r="AA108" t="str">
        <f t="shared" si="22"/>
        <v>Low</v>
      </c>
      <c r="AB108" t="str">
        <f t="shared" si="23"/>
        <v>Off-Peak</v>
      </c>
      <c r="AC108" s="63">
        <f t="shared" si="24"/>
        <v>0.11290322580645161</v>
      </c>
      <c r="AD108" t="str">
        <f>IF(P108&gt;=Stats!$C$30,"High",IF(P108&lt;=Stats!$C$29,"Low","Normal"))</f>
        <v>Normal</v>
      </c>
      <c r="AE108">
        <f t="shared" si="25"/>
        <v>1</v>
      </c>
    </row>
    <row r="109" spans="1:31" x14ac:dyDescent="0.2">
      <c r="A109">
        <f>Dataset_A!A109</f>
        <v>108</v>
      </c>
      <c r="B109" s="61">
        <f>Dataset_A!B109</f>
        <v>40548</v>
      </c>
      <c r="C109">
        <f>Dataset_A!C109</f>
        <v>1</v>
      </c>
      <c r="D109">
        <f>Dataset_A!D109</f>
        <v>0</v>
      </c>
      <c r="E109">
        <f>Dataset_A!E109</f>
        <v>1</v>
      </c>
      <c r="F109">
        <f>Dataset_A!F109</f>
        <v>16</v>
      </c>
      <c r="G109" t="b">
        <f>Dataset_A!G109</f>
        <v>0</v>
      </c>
      <c r="H109">
        <f>Dataset_A!H109</f>
        <v>3</v>
      </c>
      <c r="I109">
        <f>Dataset_A!I109</f>
        <v>1</v>
      </c>
      <c r="J109" s="55">
        <f>Dataset_A!J109</f>
        <v>0.3</v>
      </c>
      <c r="K109">
        <f>Dataset_A!K109</f>
        <v>0.31819999999999998</v>
      </c>
      <c r="L109">
        <f>Dataset_A!L109</f>
        <v>0.28000000000000003</v>
      </c>
      <c r="M109">
        <f>Dataset_A!M109</f>
        <v>8.9599999999999999E-2</v>
      </c>
      <c r="N109">
        <f>Dataset_A!N109</f>
        <v>4</v>
      </c>
      <c r="O109">
        <f>Dataset_A!O109</f>
        <v>85</v>
      </c>
      <c r="P109">
        <f>Dataset_A!P109</f>
        <v>89</v>
      </c>
      <c r="Q109" t="str">
        <f t="shared" si="13"/>
        <v>REC-0108</v>
      </c>
      <c r="R109" s="62">
        <f t="shared" si="14"/>
        <v>40548.666666666664</v>
      </c>
      <c r="S109" t="str">
        <f t="shared" si="15"/>
        <v>Jan</v>
      </c>
      <c r="T109" t="str">
        <f>INDEX(Lookups!$B$39:$B$45,MATCH(H109,Lookups!$A$39:$A$45,0))</f>
        <v>Wed</v>
      </c>
      <c r="U109" t="str">
        <f t="shared" si="16"/>
        <v>Weekday</v>
      </c>
      <c r="V109" t="str">
        <f t="shared" si="17"/>
        <v>Working Day</v>
      </c>
      <c r="W109" t="str">
        <f t="shared" si="18"/>
        <v>Spring</v>
      </c>
      <c r="X109" t="str">
        <f t="shared" si="19"/>
        <v>Clear</v>
      </c>
      <c r="Y109" t="str">
        <f t="shared" si="20"/>
        <v>Afternoon</v>
      </c>
      <c r="Z109" t="str">
        <f t="shared" si="21"/>
        <v>Warm</v>
      </c>
      <c r="AA109" t="str">
        <f t="shared" si="22"/>
        <v>Low</v>
      </c>
      <c r="AB109" t="str">
        <f t="shared" si="23"/>
        <v>Peak</v>
      </c>
      <c r="AC109" s="63">
        <f t="shared" si="24"/>
        <v>4.49438202247191E-2</v>
      </c>
      <c r="AD109" t="str">
        <f>IF(P109&gt;=Stats!$C$30,"High",IF(P109&lt;=Stats!$C$29,"Low","Normal"))</f>
        <v>High</v>
      </c>
      <c r="AE109">
        <f t="shared" si="25"/>
        <v>1</v>
      </c>
    </row>
    <row r="110" spans="1:31" x14ac:dyDescent="0.2">
      <c r="A110">
        <f>Dataset_A!A110</f>
        <v>109</v>
      </c>
      <c r="B110" s="61">
        <f>Dataset_A!B110</f>
        <v>40548</v>
      </c>
      <c r="C110">
        <f>Dataset_A!C110</f>
        <v>1</v>
      </c>
      <c r="D110">
        <f>Dataset_A!D110</f>
        <v>0</v>
      </c>
      <c r="E110">
        <f>Dataset_A!E110</f>
        <v>1</v>
      </c>
      <c r="F110">
        <f>Dataset_A!F110</f>
        <v>17</v>
      </c>
      <c r="G110" t="b">
        <f>Dataset_A!G110</f>
        <v>0</v>
      </c>
      <c r="H110">
        <f>Dataset_A!H110</f>
        <v>3</v>
      </c>
      <c r="I110">
        <f>Dataset_A!I110</f>
        <v>1</v>
      </c>
      <c r="J110" s="55">
        <f>Dataset_A!J110</f>
        <v>0.24</v>
      </c>
      <c r="K110">
        <f>Dataset_A!K110</f>
        <v>0.2273</v>
      </c>
      <c r="L110">
        <f>Dataset_A!L110</f>
        <v>0.38</v>
      </c>
      <c r="M110">
        <f>Dataset_A!M110</f>
        <v>0.19400000000000001</v>
      </c>
      <c r="N110">
        <f>Dataset_A!N110</f>
        <v>4</v>
      </c>
      <c r="O110">
        <f>Dataset_A!O110</f>
        <v>186</v>
      </c>
      <c r="P110">
        <f>Dataset_A!P110</f>
        <v>190</v>
      </c>
      <c r="Q110" t="str">
        <f t="shared" si="13"/>
        <v>REC-0109</v>
      </c>
      <c r="R110" s="62">
        <f t="shared" si="14"/>
        <v>40548.708333333336</v>
      </c>
      <c r="S110" t="str">
        <f t="shared" si="15"/>
        <v>Jan</v>
      </c>
      <c r="T110" t="str">
        <f>INDEX(Lookups!$B$39:$B$45,MATCH(H110,Lookups!$A$39:$A$45,0))</f>
        <v>Wed</v>
      </c>
      <c r="U110" t="str">
        <f t="shared" si="16"/>
        <v>Weekday</v>
      </c>
      <c r="V110" t="str">
        <f t="shared" si="17"/>
        <v>Working Day</v>
      </c>
      <c r="W110" t="str">
        <f t="shared" si="18"/>
        <v>Spring</v>
      </c>
      <c r="X110" t="str">
        <f t="shared" si="19"/>
        <v>Clear</v>
      </c>
      <c r="Y110" t="str">
        <f t="shared" si="20"/>
        <v>Evening</v>
      </c>
      <c r="Z110" t="str">
        <f t="shared" si="21"/>
        <v>Mild</v>
      </c>
      <c r="AA110" t="str">
        <f t="shared" si="22"/>
        <v>Low</v>
      </c>
      <c r="AB110" t="str">
        <f t="shared" si="23"/>
        <v>Peak</v>
      </c>
      <c r="AC110" s="63">
        <f t="shared" si="24"/>
        <v>2.1052631578947368E-2</v>
      </c>
      <c r="AD110" t="str">
        <f>IF(P110&gt;=Stats!$C$30,"High",IF(P110&lt;=Stats!$C$29,"Low","Normal"))</f>
        <v>High</v>
      </c>
      <c r="AE110">
        <f t="shared" si="25"/>
        <v>1</v>
      </c>
    </row>
    <row r="111" spans="1:31" x14ac:dyDescent="0.2">
      <c r="A111">
        <f>Dataset_A!A111</f>
        <v>110</v>
      </c>
      <c r="B111" s="61">
        <f>Dataset_A!B111</f>
        <v>40548</v>
      </c>
      <c r="C111">
        <f>Dataset_A!C111</f>
        <v>1</v>
      </c>
      <c r="D111">
        <f>Dataset_A!D111</f>
        <v>0</v>
      </c>
      <c r="E111">
        <f>Dataset_A!E111</f>
        <v>1</v>
      </c>
      <c r="F111">
        <f>Dataset_A!F111</f>
        <v>18</v>
      </c>
      <c r="G111" t="b">
        <f>Dataset_A!G111</f>
        <v>0</v>
      </c>
      <c r="H111">
        <f>Dataset_A!H111</f>
        <v>3</v>
      </c>
      <c r="I111">
        <f>Dataset_A!I111</f>
        <v>1</v>
      </c>
      <c r="J111" s="55">
        <f>Dataset_A!J111</f>
        <v>0.24</v>
      </c>
      <c r="K111">
        <f>Dataset_A!K111</f>
        <v>0.2424</v>
      </c>
      <c r="L111">
        <f>Dataset_A!L111</f>
        <v>0.38</v>
      </c>
      <c r="M111">
        <f>Dataset_A!M111</f>
        <v>0.1343</v>
      </c>
      <c r="N111">
        <f>Dataset_A!N111</f>
        <v>3</v>
      </c>
      <c r="O111">
        <f>Dataset_A!O111</f>
        <v>166</v>
      </c>
      <c r="P111">
        <f>Dataset_A!P111</f>
        <v>169</v>
      </c>
      <c r="Q111" t="str">
        <f t="shared" si="13"/>
        <v>REC-0110</v>
      </c>
      <c r="R111" s="62">
        <f t="shared" si="14"/>
        <v>40548.75</v>
      </c>
      <c r="S111" t="str">
        <f t="shared" si="15"/>
        <v>Jan</v>
      </c>
      <c r="T111" t="str">
        <f>INDEX(Lookups!$B$39:$B$45,MATCH(H111,Lookups!$A$39:$A$45,0))</f>
        <v>Wed</v>
      </c>
      <c r="U111" t="str">
        <f t="shared" si="16"/>
        <v>Weekday</v>
      </c>
      <c r="V111" t="str">
        <f t="shared" si="17"/>
        <v>Working Day</v>
      </c>
      <c r="W111" t="str">
        <f t="shared" si="18"/>
        <v>Spring</v>
      </c>
      <c r="X111" t="str">
        <f t="shared" si="19"/>
        <v>Clear</v>
      </c>
      <c r="Y111" t="str">
        <f t="shared" si="20"/>
        <v>Evening</v>
      </c>
      <c r="Z111" t="str">
        <f t="shared" si="21"/>
        <v>Mild</v>
      </c>
      <c r="AA111" t="str">
        <f t="shared" si="22"/>
        <v>Low</v>
      </c>
      <c r="AB111" t="str">
        <f t="shared" si="23"/>
        <v>Peak</v>
      </c>
      <c r="AC111" s="63">
        <f t="shared" si="24"/>
        <v>1.7751479289940829E-2</v>
      </c>
      <c r="AD111" t="str">
        <f>IF(P111&gt;=Stats!$C$30,"High",IF(P111&lt;=Stats!$C$29,"Low","Normal"))</f>
        <v>High</v>
      </c>
      <c r="AE111">
        <f t="shared" si="25"/>
        <v>1</v>
      </c>
    </row>
    <row r="112" spans="1:31" x14ac:dyDescent="0.2">
      <c r="A112">
        <f>Dataset_A!A112</f>
        <v>111</v>
      </c>
      <c r="B112" s="61">
        <f>Dataset_A!B112</f>
        <v>40548</v>
      </c>
      <c r="C112">
        <f>Dataset_A!C112</f>
        <v>1</v>
      </c>
      <c r="D112">
        <f>Dataset_A!D112</f>
        <v>0</v>
      </c>
      <c r="E112">
        <f>Dataset_A!E112</f>
        <v>1</v>
      </c>
      <c r="F112">
        <f>Dataset_A!F112</f>
        <v>19</v>
      </c>
      <c r="G112" t="b">
        <f>Dataset_A!G112</f>
        <v>0</v>
      </c>
      <c r="H112">
        <f>Dataset_A!H112</f>
        <v>3</v>
      </c>
      <c r="I112">
        <f>Dataset_A!I112</f>
        <v>1</v>
      </c>
      <c r="J112" s="55">
        <f>Dataset_A!J112</f>
        <v>0.24</v>
      </c>
      <c r="K112">
        <f>Dataset_A!K112</f>
        <v>0.2576</v>
      </c>
      <c r="L112">
        <f>Dataset_A!L112</f>
        <v>0.38</v>
      </c>
      <c r="M112">
        <f>Dataset_A!M112</f>
        <v>0.1045</v>
      </c>
      <c r="N112">
        <f>Dataset_A!N112</f>
        <v>5</v>
      </c>
      <c r="O112">
        <f>Dataset_A!O112</f>
        <v>127</v>
      </c>
      <c r="P112">
        <f>Dataset_A!P112</f>
        <v>132</v>
      </c>
      <c r="Q112" t="str">
        <f t="shared" si="13"/>
        <v>REC-0111</v>
      </c>
      <c r="R112" s="62">
        <f t="shared" si="14"/>
        <v>40548.791666666664</v>
      </c>
      <c r="S112" t="str">
        <f t="shared" si="15"/>
        <v>Jan</v>
      </c>
      <c r="T112" t="str">
        <f>INDEX(Lookups!$B$39:$B$45,MATCH(H112,Lookups!$A$39:$A$45,0))</f>
        <v>Wed</v>
      </c>
      <c r="U112" t="str">
        <f t="shared" si="16"/>
        <v>Weekday</v>
      </c>
      <c r="V112" t="str">
        <f t="shared" si="17"/>
        <v>Working Day</v>
      </c>
      <c r="W112" t="str">
        <f t="shared" si="18"/>
        <v>Spring</v>
      </c>
      <c r="X112" t="str">
        <f t="shared" si="19"/>
        <v>Clear</v>
      </c>
      <c r="Y112" t="str">
        <f t="shared" si="20"/>
        <v>Evening</v>
      </c>
      <c r="Z112" t="str">
        <f t="shared" si="21"/>
        <v>Mild</v>
      </c>
      <c r="AA112" t="str">
        <f t="shared" si="22"/>
        <v>Low</v>
      </c>
      <c r="AB112" t="str">
        <f t="shared" si="23"/>
        <v>Peak</v>
      </c>
      <c r="AC112" s="63">
        <f t="shared" si="24"/>
        <v>3.787878787878788E-2</v>
      </c>
      <c r="AD112" t="str">
        <f>IF(P112&gt;=Stats!$C$30,"High",IF(P112&lt;=Stats!$C$29,"Low","Normal"))</f>
        <v>High</v>
      </c>
      <c r="AE112">
        <f t="shared" si="25"/>
        <v>1</v>
      </c>
    </row>
    <row r="113" spans="1:31" x14ac:dyDescent="0.2">
      <c r="A113">
        <f>Dataset_A!A113</f>
        <v>112</v>
      </c>
      <c r="B113" s="61">
        <f>Dataset_A!B113</f>
        <v>40548</v>
      </c>
      <c r="C113">
        <f>Dataset_A!C113</f>
        <v>1</v>
      </c>
      <c r="D113">
        <f>Dataset_A!D113</f>
        <v>0</v>
      </c>
      <c r="E113">
        <f>Dataset_A!E113</f>
        <v>1</v>
      </c>
      <c r="F113">
        <f>Dataset_A!F113</f>
        <v>20</v>
      </c>
      <c r="G113" t="b">
        <f>Dataset_A!G113</f>
        <v>0</v>
      </c>
      <c r="H113">
        <f>Dataset_A!H113</f>
        <v>3</v>
      </c>
      <c r="I113">
        <f>Dataset_A!I113</f>
        <v>1</v>
      </c>
      <c r="J113" s="55">
        <f>Dataset_A!J113</f>
        <v>0.22</v>
      </c>
      <c r="K113">
        <f>Dataset_A!K113</f>
        <v>0.2273</v>
      </c>
      <c r="L113">
        <f>Dataset_A!L113</f>
        <v>0.47</v>
      </c>
      <c r="M113">
        <f>Dataset_A!M113</f>
        <v>0.16420000000000001</v>
      </c>
      <c r="N113">
        <f>Dataset_A!N113</f>
        <v>7</v>
      </c>
      <c r="O113">
        <f>Dataset_A!O113</f>
        <v>82</v>
      </c>
      <c r="P113">
        <f>Dataset_A!P113</f>
        <v>89</v>
      </c>
      <c r="Q113" t="str">
        <f t="shared" si="13"/>
        <v>REC-0112</v>
      </c>
      <c r="R113" s="62">
        <f t="shared" si="14"/>
        <v>40548.833333333336</v>
      </c>
      <c r="S113" t="str">
        <f t="shared" si="15"/>
        <v>Jan</v>
      </c>
      <c r="T113" t="str">
        <f>INDEX(Lookups!$B$39:$B$45,MATCH(H113,Lookups!$A$39:$A$45,0))</f>
        <v>Wed</v>
      </c>
      <c r="U113" t="str">
        <f t="shared" si="16"/>
        <v>Weekday</v>
      </c>
      <c r="V113" t="str">
        <f t="shared" si="17"/>
        <v>Working Day</v>
      </c>
      <c r="W113" t="str">
        <f t="shared" si="18"/>
        <v>Spring</v>
      </c>
      <c r="X113" t="str">
        <f t="shared" si="19"/>
        <v>Clear</v>
      </c>
      <c r="Y113" t="str">
        <f t="shared" si="20"/>
        <v>Evening</v>
      </c>
      <c r="Z113" t="str">
        <f t="shared" si="21"/>
        <v>Mild</v>
      </c>
      <c r="AA113" t="str">
        <f t="shared" si="22"/>
        <v>Low</v>
      </c>
      <c r="AB113" t="str">
        <f t="shared" si="23"/>
        <v>Off-Peak</v>
      </c>
      <c r="AC113" s="63">
        <f t="shared" si="24"/>
        <v>7.8651685393258425E-2</v>
      </c>
      <c r="AD113" t="str">
        <f>IF(P113&gt;=Stats!$C$30,"High",IF(P113&lt;=Stats!$C$29,"Low","Normal"))</f>
        <v>High</v>
      </c>
      <c r="AE113">
        <f t="shared" si="25"/>
        <v>1</v>
      </c>
    </row>
    <row r="114" spans="1:31" x14ac:dyDescent="0.2">
      <c r="A114">
        <f>Dataset_A!A114</f>
        <v>113</v>
      </c>
      <c r="B114" s="61">
        <f>Dataset_A!B114</f>
        <v>40548</v>
      </c>
      <c r="C114">
        <f>Dataset_A!C114</f>
        <v>1</v>
      </c>
      <c r="D114">
        <f>Dataset_A!D114</f>
        <v>0</v>
      </c>
      <c r="E114">
        <f>Dataset_A!E114</f>
        <v>1</v>
      </c>
      <c r="F114">
        <f>Dataset_A!F114</f>
        <v>21</v>
      </c>
      <c r="G114" t="b">
        <f>Dataset_A!G114</f>
        <v>0</v>
      </c>
      <c r="H114">
        <f>Dataset_A!H114</f>
        <v>3</v>
      </c>
      <c r="I114">
        <f>Dataset_A!I114</f>
        <v>1</v>
      </c>
      <c r="J114" s="55">
        <f>Dataset_A!J114</f>
        <v>0.2</v>
      </c>
      <c r="K114">
        <f>Dataset_A!K114</f>
        <v>0.19700000000000001</v>
      </c>
      <c r="L114">
        <f>Dataset_A!L114</f>
        <v>0.51</v>
      </c>
      <c r="M114">
        <f>Dataset_A!M114</f>
        <v>0.19400000000000001</v>
      </c>
      <c r="N114">
        <f>Dataset_A!N114</f>
        <v>3</v>
      </c>
      <c r="O114">
        <f>Dataset_A!O114</f>
        <v>40</v>
      </c>
      <c r="P114">
        <f>Dataset_A!P114</f>
        <v>43</v>
      </c>
      <c r="Q114" t="str">
        <f t="shared" si="13"/>
        <v>REC-0113</v>
      </c>
      <c r="R114" s="62">
        <f t="shared" si="14"/>
        <v>40548.875</v>
      </c>
      <c r="S114" t="str">
        <f t="shared" si="15"/>
        <v>Jan</v>
      </c>
      <c r="T114" t="str">
        <f>INDEX(Lookups!$B$39:$B$45,MATCH(H114,Lookups!$A$39:$A$45,0))</f>
        <v>Wed</v>
      </c>
      <c r="U114" t="str">
        <f t="shared" si="16"/>
        <v>Weekday</v>
      </c>
      <c r="V114" t="str">
        <f t="shared" si="17"/>
        <v>Working Day</v>
      </c>
      <c r="W114" t="str">
        <f t="shared" si="18"/>
        <v>Spring</v>
      </c>
      <c r="X114" t="str">
        <f t="shared" si="19"/>
        <v>Clear</v>
      </c>
      <c r="Y114" t="str">
        <f t="shared" si="20"/>
        <v>Late Evening</v>
      </c>
      <c r="Z114" t="str">
        <f t="shared" si="21"/>
        <v>Mild</v>
      </c>
      <c r="AA114" t="str">
        <f t="shared" si="22"/>
        <v>Medium</v>
      </c>
      <c r="AB114" t="str">
        <f t="shared" si="23"/>
        <v>Off-Peak</v>
      </c>
      <c r="AC114" s="63">
        <f t="shared" si="24"/>
        <v>6.9767441860465115E-2</v>
      </c>
      <c r="AD114" t="str">
        <f>IF(P114&gt;=Stats!$C$30,"High",IF(P114&lt;=Stats!$C$29,"Low","Normal"))</f>
        <v>Normal</v>
      </c>
      <c r="AE114">
        <f t="shared" si="25"/>
        <v>1</v>
      </c>
    </row>
    <row r="115" spans="1:31" x14ac:dyDescent="0.2">
      <c r="A115">
        <f>Dataset_A!A115</f>
        <v>114</v>
      </c>
      <c r="B115" s="61">
        <f>Dataset_A!B115</f>
        <v>40548</v>
      </c>
      <c r="C115">
        <f>Dataset_A!C115</f>
        <v>1</v>
      </c>
      <c r="D115">
        <f>Dataset_A!D115</f>
        <v>0</v>
      </c>
      <c r="E115">
        <f>Dataset_A!E115</f>
        <v>1</v>
      </c>
      <c r="F115">
        <f>Dataset_A!F115</f>
        <v>22</v>
      </c>
      <c r="G115" t="b">
        <f>Dataset_A!G115</f>
        <v>0</v>
      </c>
      <c r="H115">
        <f>Dataset_A!H115</f>
        <v>3</v>
      </c>
      <c r="I115">
        <f>Dataset_A!I115</f>
        <v>1</v>
      </c>
      <c r="J115" s="55">
        <f>Dataset_A!J115</f>
        <v>0.18</v>
      </c>
      <c r="K115">
        <f>Dataset_A!K115</f>
        <v>0.19700000000000001</v>
      </c>
      <c r="L115">
        <f>Dataset_A!L115</f>
        <v>0.55000000000000004</v>
      </c>
      <c r="M115">
        <f>Dataset_A!M115</f>
        <v>0.1343</v>
      </c>
      <c r="N115">
        <f>Dataset_A!N115</f>
        <v>1</v>
      </c>
      <c r="O115">
        <f>Dataset_A!O115</f>
        <v>41</v>
      </c>
      <c r="P115">
        <f>Dataset_A!P115</f>
        <v>42</v>
      </c>
      <c r="Q115" t="str">
        <f t="shared" si="13"/>
        <v>REC-0114</v>
      </c>
      <c r="R115" s="62">
        <f t="shared" si="14"/>
        <v>40548.916666666664</v>
      </c>
      <c r="S115" t="str">
        <f t="shared" si="15"/>
        <v>Jan</v>
      </c>
      <c r="T115" t="str">
        <f>INDEX(Lookups!$B$39:$B$45,MATCH(H115,Lookups!$A$39:$A$45,0))</f>
        <v>Wed</v>
      </c>
      <c r="U115" t="str">
        <f t="shared" si="16"/>
        <v>Weekday</v>
      </c>
      <c r="V115" t="str">
        <f t="shared" si="17"/>
        <v>Working Day</v>
      </c>
      <c r="W115" t="str">
        <f t="shared" si="18"/>
        <v>Spring</v>
      </c>
      <c r="X115" t="str">
        <f t="shared" si="19"/>
        <v>Clear</v>
      </c>
      <c r="Y115" t="str">
        <f t="shared" si="20"/>
        <v>Late Evening</v>
      </c>
      <c r="Z115" t="str">
        <f t="shared" si="21"/>
        <v>Cold</v>
      </c>
      <c r="AA115" t="str">
        <f t="shared" si="22"/>
        <v>Medium</v>
      </c>
      <c r="AB115" t="str">
        <f t="shared" si="23"/>
        <v>Off-Peak</v>
      </c>
      <c r="AC115" s="63">
        <f t="shared" si="24"/>
        <v>2.3809523809523808E-2</v>
      </c>
      <c r="AD115" t="str">
        <f>IF(P115&gt;=Stats!$C$30,"High",IF(P115&lt;=Stats!$C$29,"Low","Normal"))</f>
        <v>Normal</v>
      </c>
      <c r="AE115">
        <f t="shared" si="25"/>
        <v>1</v>
      </c>
    </row>
    <row r="116" spans="1:31" x14ac:dyDescent="0.2">
      <c r="A116">
        <f>Dataset_A!A116</f>
        <v>115</v>
      </c>
      <c r="B116" s="61">
        <f>Dataset_A!B116</f>
        <v>40548</v>
      </c>
      <c r="C116">
        <f>Dataset_A!C116</f>
        <v>1</v>
      </c>
      <c r="D116">
        <f>Dataset_A!D116</f>
        <v>0</v>
      </c>
      <c r="E116">
        <f>Dataset_A!E116</f>
        <v>1</v>
      </c>
      <c r="F116">
        <f>Dataset_A!F116</f>
        <v>23</v>
      </c>
      <c r="G116" t="b">
        <f>Dataset_A!G116</f>
        <v>0</v>
      </c>
      <c r="H116">
        <f>Dataset_A!H116</f>
        <v>3</v>
      </c>
      <c r="I116">
        <f>Dataset_A!I116</f>
        <v>1</v>
      </c>
      <c r="J116" s="55">
        <f>Dataset_A!J116</f>
        <v>0.2</v>
      </c>
      <c r="K116">
        <f>Dataset_A!K116</f>
        <v>0.2576</v>
      </c>
      <c r="L116">
        <f>Dataset_A!L116</f>
        <v>0.47</v>
      </c>
      <c r="M116">
        <f>Dataset_A!M116</f>
        <v>0</v>
      </c>
      <c r="N116">
        <f>Dataset_A!N116</f>
        <v>1</v>
      </c>
      <c r="O116">
        <f>Dataset_A!O116</f>
        <v>18</v>
      </c>
      <c r="P116">
        <f>Dataset_A!P116</f>
        <v>19</v>
      </c>
      <c r="Q116" t="str">
        <f t="shared" si="13"/>
        <v>REC-0115</v>
      </c>
      <c r="R116" s="62">
        <f t="shared" si="14"/>
        <v>40548.958333333336</v>
      </c>
      <c r="S116" t="str">
        <f t="shared" si="15"/>
        <v>Jan</v>
      </c>
      <c r="T116" t="str">
        <f>INDEX(Lookups!$B$39:$B$45,MATCH(H116,Lookups!$A$39:$A$45,0))</f>
        <v>Wed</v>
      </c>
      <c r="U116" t="str">
        <f t="shared" si="16"/>
        <v>Weekday</v>
      </c>
      <c r="V116" t="str">
        <f t="shared" si="17"/>
        <v>Working Day</v>
      </c>
      <c r="W116" t="str">
        <f t="shared" si="18"/>
        <v>Spring</v>
      </c>
      <c r="X116" t="str">
        <f t="shared" si="19"/>
        <v>Clear</v>
      </c>
      <c r="Y116" t="str">
        <f t="shared" si="20"/>
        <v>Late Evening</v>
      </c>
      <c r="Z116" t="str">
        <f t="shared" si="21"/>
        <v>Mild</v>
      </c>
      <c r="AA116" t="str">
        <f t="shared" si="22"/>
        <v>Low</v>
      </c>
      <c r="AB116" t="str">
        <f t="shared" si="23"/>
        <v>Off-Peak</v>
      </c>
      <c r="AC116" s="63">
        <f t="shared" si="24"/>
        <v>5.2631578947368418E-2</v>
      </c>
      <c r="AD116" t="str">
        <f>IF(P116&gt;=Stats!$C$30,"High",IF(P116&lt;=Stats!$C$29,"Low","Normal"))</f>
        <v>Normal</v>
      </c>
      <c r="AE116">
        <f t="shared" si="25"/>
        <v>1</v>
      </c>
    </row>
    <row r="117" spans="1:31" x14ac:dyDescent="0.2">
      <c r="A117">
        <f>Dataset_A!A117</f>
        <v>116</v>
      </c>
      <c r="B117" s="61">
        <f>Dataset_A!B117</f>
        <v>40549</v>
      </c>
      <c r="C117">
        <f>Dataset_A!C117</f>
        <v>1</v>
      </c>
      <c r="D117">
        <f>Dataset_A!D117</f>
        <v>0</v>
      </c>
      <c r="E117">
        <f>Dataset_A!E117</f>
        <v>1</v>
      </c>
      <c r="F117">
        <f>Dataset_A!F117</f>
        <v>0</v>
      </c>
      <c r="G117" t="b">
        <f>Dataset_A!G117</f>
        <v>0</v>
      </c>
      <c r="H117">
        <f>Dataset_A!H117</f>
        <v>4</v>
      </c>
      <c r="I117">
        <f>Dataset_A!I117</f>
        <v>1</v>
      </c>
      <c r="J117" s="55">
        <f>Dataset_A!J117</f>
        <v>0.18</v>
      </c>
      <c r="K117">
        <f>Dataset_A!K117</f>
        <v>0.2424</v>
      </c>
      <c r="L117">
        <f>Dataset_A!L117</f>
        <v>0.55000000000000004</v>
      </c>
      <c r="M117">
        <f>Dataset_A!M117</f>
        <v>0</v>
      </c>
      <c r="N117">
        <f>Dataset_A!N117</f>
        <v>0</v>
      </c>
      <c r="O117">
        <f>Dataset_A!O117</f>
        <v>11</v>
      </c>
      <c r="P117">
        <f>Dataset_A!P117</f>
        <v>11</v>
      </c>
      <c r="Q117" t="str">
        <f t="shared" si="13"/>
        <v>REC-0116</v>
      </c>
      <c r="R117" s="62">
        <f t="shared" si="14"/>
        <v>40549</v>
      </c>
      <c r="S117" t="str">
        <f t="shared" si="15"/>
        <v>Jan</v>
      </c>
      <c r="T117" t="str">
        <f>INDEX(Lookups!$B$39:$B$45,MATCH(H117,Lookups!$A$39:$A$45,0))</f>
        <v>Thu</v>
      </c>
      <c r="U117" t="str">
        <f t="shared" si="16"/>
        <v>Weekday</v>
      </c>
      <c r="V117" t="str">
        <f t="shared" si="17"/>
        <v>Working Day</v>
      </c>
      <c r="W117" t="str">
        <f t="shared" si="18"/>
        <v>Spring</v>
      </c>
      <c r="X117" t="str">
        <f t="shared" si="19"/>
        <v>Clear</v>
      </c>
      <c r="Y117" t="str">
        <f t="shared" si="20"/>
        <v>Night</v>
      </c>
      <c r="Z117" t="str">
        <f t="shared" si="21"/>
        <v>Cold</v>
      </c>
      <c r="AA117" t="str">
        <f t="shared" si="22"/>
        <v>Medium</v>
      </c>
      <c r="AB117" t="str">
        <f t="shared" si="23"/>
        <v>Off-Peak</v>
      </c>
      <c r="AC117" s="63">
        <f t="shared" si="24"/>
        <v>0</v>
      </c>
      <c r="AD117" t="str">
        <f>IF(P117&gt;=Stats!$C$30,"High",IF(P117&lt;=Stats!$C$29,"Low","Normal"))</f>
        <v>Low</v>
      </c>
      <c r="AE117">
        <f t="shared" si="25"/>
        <v>1</v>
      </c>
    </row>
    <row r="118" spans="1:31" x14ac:dyDescent="0.2">
      <c r="A118">
        <f>Dataset_A!A118</f>
        <v>117</v>
      </c>
      <c r="B118" s="61">
        <f>Dataset_A!B118</f>
        <v>40549</v>
      </c>
      <c r="C118">
        <f>Dataset_A!C118</f>
        <v>1</v>
      </c>
      <c r="D118">
        <f>Dataset_A!D118</f>
        <v>0</v>
      </c>
      <c r="E118">
        <f>Dataset_A!E118</f>
        <v>1</v>
      </c>
      <c r="F118">
        <f>Dataset_A!F118</f>
        <v>1</v>
      </c>
      <c r="G118" t="b">
        <f>Dataset_A!G118</f>
        <v>0</v>
      </c>
      <c r="H118">
        <f>Dataset_A!H118</f>
        <v>4</v>
      </c>
      <c r="I118">
        <f>Dataset_A!I118</f>
        <v>1</v>
      </c>
      <c r="J118" s="55">
        <f>Dataset_A!J118</f>
        <v>0.16</v>
      </c>
      <c r="K118">
        <f>Dataset_A!K118</f>
        <v>0.2273</v>
      </c>
      <c r="L118">
        <f>Dataset_A!L118</f>
        <v>0.64</v>
      </c>
      <c r="M118">
        <f>Dataset_A!M118</f>
        <v>0</v>
      </c>
      <c r="N118">
        <f>Dataset_A!N118</f>
        <v>0</v>
      </c>
      <c r="O118">
        <f>Dataset_A!O118</f>
        <v>4</v>
      </c>
      <c r="P118">
        <f>Dataset_A!P118</f>
        <v>4</v>
      </c>
      <c r="Q118" t="str">
        <f t="shared" si="13"/>
        <v>REC-0117</v>
      </c>
      <c r="R118" s="62">
        <f t="shared" si="14"/>
        <v>40549.041666666664</v>
      </c>
      <c r="S118" t="str">
        <f t="shared" si="15"/>
        <v>Jan</v>
      </c>
      <c r="T118" t="str">
        <f>INDEX(Lookups!$B$39:$B$45,MATCH(H118,Lookups!$A$39:$A$45,0))</f>
        <v>Thu</v>
      </c>
      <c r="U118" t="str">
        <f t="shared" si="16"/>
        <v>Weekday</v>
      </c>
      <c r="V118" t="str">
        <f t="shared" si="17"/>
        <v>Working Day</v>
      </c>
      <c r="W118" t="str">
        <f t="shared" si="18"/>
        <v>Spring</v>
      </c>
      <c r="X118" t="str">
        <f t="shared" si="19"/>
        <v>Clear</v>
      </c>
      <c r="Y118" t="str">
        <f t="shared" si="20"/>
        <v>Night</v>
      </c>
      <c r="Z118" t="str">
        <f t="shared" si="21"/>
        <v>Cold</v>
      </c>
      <c r="AA118" t="str">
        <f t="shared" si="22"/>
        <v>Medium</v>
      </c>
      <c r="AB118" t="str">
        <f t="shared" si="23"/>
        <v>Off-Peak</v>
      </c>
      <c r="AC118" s="63">
        <f t="shared" si="24"/>
        <v>0</v>
      </c>
      <c r="AD118" t="str">
        <f>IF(P118&gt;=Stats!$C$30,"High",IF(P118&lt;=Stats!$C$29,"Low","Normal"))</f>
        <v>Low</v>
      </c>
      <c r="AE118">
        <f t="shared" si="25"/>
        <v>1</v>
      </c>
    </row>
    <row r="119" spans="1:31" x14ac:dyDescent="0.2">
      <c r="A119">
        <f>Dataset_A!A119</f>
        <v>118</v>
      </c>
      <c r="B119" s="61">
        <f>Dataset_A!B119</f>
        <v>40549</v>
      </c>
      <c r="C119">
        <f>Dataset_A!C119</f>
        <v>1</v>
      </c>
      <c r="D119">
        <f>Dataset_A!D119</f>
        <v>0</v>
      </c>
      <c r="E119">
        <f>Dataset_A!E119</f>
        <v>1</v>
      </c>
      <c r="F119">
        <f>Dataset_A!F119</f>
        <v>2</v>
      </c>
      <c r="G119" t="b">
        <f>Dataset_A!G119</f>
        <v>0</v>
      </c>
      <c r="H119">
        <f>Dataset_A!H119</f>
        <v>4</v>
      </c>
      <c r="I119">
        <f>Dataset_A!I119</f>
        <v>1</v>
      </c>
      <c r="J119" s="55">
        <f>Dataset_A!J119</f>
        <v>0.16</v>
      </c>
      <c r="K119">
        <f>Dataset_A!K119</f>
        <v>0.2273</v>
      </c>
      <c r="L119">
        <f>Dataset_A!L119</f>
        <v>0.64</v>
      </c>
      <c r="M119">
        <f>Dataset_A!M119</f>
        <v>0</v>
      </c>
      <c r="N119">
        <f>Dataset_A!N119</f>
        <v>0</v>
      </c>
      <c r="O119">
        <f>Dataset_A!O119</f>
        <v>2</v>
      </c>
      <c r="P119">
        <f>Dataset_A!P119</f>
        <v>2</v>
      </c>
      <c r="Q119" t="str">
        <f t="shared" si="13"/>
        <v>REC-0118</v>
      </c>
      <c r="R119" s="62">
        <f t="shared" si="14"/>
        <v>40549.083333333336</v>
      </c>
      <c r="S119" t="str">
        <f t="shared" si="15"/>
        <v>Jan</v>
      </c>
      <c r="T119" t="str">
        <f>INDEX(Lookups!$B$39:$B$45,MATCH(H119,Lookups!$A$39:$A$45,0))</f>
        <v>Thu</v>
      </c>
      <c r="U119" t="str">
        <f t="shared" si="16"/>
        <v>Weekday</v>
      </c>
      <c r="V119" t="str">
        <f t="shared" si="17"/>
        <v>Working Day</v>
      </c>
      <c r="W119" t="str">
        <f t="shared" si="18"/>
        <v>Spring</v>
      </c>
      <c r="X119" t="str">
        <f t="shared" si="19"/>
        <v>Clear</v>
      </c>
      <c r="Y119" t="str">
        <f t="shared" si="20"/>
        <v>Night</v>
      </c>
      <c r="Z119" t="str">
        <f t="shared" si="21"/>
        <v>Cold</v>
      </c>
      <c r="AA119" t="str">
        <f t="shared" si="22"/>
        <v>Medium</v>
      </c>
      <c r="AB119" t="str">
        <f t="shared" si="23"/>
        <v>Off-Peak</v>
      </c>
      <c r="AC119" s="63">
        <f t="shared" si="24"/>
        <v>0</v>
      </c>
      <c r="AD119" t="str">
        <f>IF(P119&gt;=Stats!$C$30,"High",IF(P119&lt;=Stats!$C$29,"Low","Normal"))</f>
        <v>Low</v>
      </c>
      <c r="AE119">
        <f t="shared" si="25"/>
        <v>1</v>
      </c>
    </row>
    <row r="120" spans="1:31" x14ac:dyDescent="0.2">
      <c r="A120">
        <f>Dataset_A!A120</f>
        <v>119</v>
      </c>
      <c r="B120" s="61">
        <f>Dataset_A!B120</f>
        <v>40549</v>
      </c>
      <c r="C120">
        <f>Dataset_A!C120</f>
        <v>1</v>
      </c>
      <c r="D120">
        <f>Dataset_A!D120</f>
        <v>0</v>
      </c>
      <c r="E120">
        <f>Dataset_A!E120</f>
        <v>1</v>
      </c>
      <c r="F120">
        <f>Dataset_A!F120</f>
        <v>4</v>
      </c>
      <c r="G120" t="b">
        <f>Dataset_A!G120</f>
        <v>0</v>
      </c>
      <c r="H120">
        <f>Dataset_A!H120</f>
        <v>4</v>
      </c>
      <c r="I120">
        <f>Dataset_A!I120</f>
        <v>2</v>
      </c>
      <c r="J120" s="55">
        <f>Dataset_A!J120</f>
        <v>0.16</v>
      </c>
      <c r="K120">
        <f>Dataset_A!K120</f>
        <v>0.19700000000000001</v>
      </c>
      <c r="L120">
        <f>Dataset_A!L120</f>
        <v>0.64</v>
      </c>
      <c r="M120">
        <f>Dataset_A!M120</f>
        <v>8.9599999999999999E-2</v>
      </c>
      <c r="N120">
        <f>Dataset_A!N120</f>
        <v>0</v>
      </c>
      <c r="O120">
        <f>Dataset_A!O120</f>
        <v>1</v>
      </c>
      <c r="P120">
        <f>Dataset_A!P120</f>
        <v>1</v>
      </c>
      <c r="Q120" t="str">
        <f t="shared" si="13"/>
        <v>REC-0119</v>
      </c>
      <c r="R120" s="62">
        <f t="shared" si="14"/>
        <v>40549.166666666664</v>
      </c>
      <c r="S120" t="str">
        <f t="shared" si="15"/>
        <v>Jan</v>
      </c>
      <c r="T120" t="str">
        <f>INDEX(Lookups!$B$39:$B$45,MATCH(H120,Lookups!$A$39:$A$45,0))</f>
        <v>Thu</v>
      </c>
      <c r="U120" t="str">
        <f t="shared" si="16"/>
        <v>Weekday</v>
      </c>
      <c r="V120" t="str">
        <f t="shared" si="17"/>
        <v>Working Day</v>
      </c>
      <c r="W120" t="str">
        <f t="shared" si="18"/>
        <v>Spring</v>
      </c>
      <c r="X120" t="str">
        <f t="shared" si="19"/>
        <v>Cloudy/Mist</v>
      </c>
      <c r="Y120" t="str">
        <f t="shared" si="20"/>
        <v>Night</v>
      </c>
      <c r="Z120" t="str">
        <f t="shared" si="21"/>
        <v>Cold</v>
      </c>
      <c r="AA120" t="str">
        <f t="shared" si="22"/>
        <v>Medium</v>
      </c>
      <c r="AB120" t="str">
        <f t="shared" si="23"/>
        <v>Off-Peak</v>
      </c>
      <c r="AC120" s="63">
        <f t="shared" si="24"/>
        <v>0</v>
      </c>
      <c r="AD120" t="str">
        <f>IF(P120&gt;=Stats!$C$30,"High",IF(P120&lt;=Stats!$C$29,"Low","Normal"))</f>
        <v>Low</v>
      </c>
      <c r="AE120">
        <f t="shared" si="25"/>
        <v>1</v>
      </c>
    </row>
    <row r="121" spans="1:31" x14ac:dyDescent="0.2">
      <c r="A121">
        <f>Dataset_A!A121</f>
        <v>120</v>
      </c>
      <c r="B121" s="61">
        <f>Dataset_A!B121</f>
        <v>40549</v>
      </c>
      <c r="C121">
        <f>Dataset_A!C121</f>
        <v>1</v>
      </c>
      <c r="D121">
        <f>Dataset_A!D121</f>
        <v>0</v>
      </c>
      <c r="E121">
        <f>Dataset_A!E121</f>
        <v>1</v>
      </c>
      <c r="F121">
        <f>Dataset_A!F121</f>
        <v>5</v>
      </c>
      <c r="G121" t="b">
        <f>Dataset_A!G121</f>
        <v>0</v>
      </c>
      <c r="H121">
        <f>Dataset_A!H121</f>
        <v>4</v>
      </c>
      <c r="I121">
        <f>Dataset_A!I121</f>
        <v>2</v>
      </c>
      <c r="J121" s="55">
        <f>Dataset_A!J121</f>
        <v>0.14000000000000001</v>
      </c>
      <c r="K121">
        <f>Dataset_A!K121</f>
        <v>0.18179999999999999</v>
      </c>
      <c r="L121">
        <f>Dataset_A!L121</f>
        <v>0.69</v>
      </c>
      <c r="M121">
        <f>Dataset_A!M121</f>
        <v>8.9599999999999999E-2</v>
      </c>
      <c r="N121">
        <f>Dataset_A!N121</f>
        <v>0</v>
      </c>
      <c r="O121">
        <f>Dataset_A!O121</f>
        <v>4</v>
      </c>
      <c r="P121">
        <f>Dataset_A!P121</f>
        <v>4</v>
      </c>
      <c r="Q121" t="str">
        <f t="shared" si="13"/>
        <v>REC-0120</v>
      </c>
      <c r="R121" s="62">
        <f t="shared" si="14"/>
        <v>40549.208333333336</v>
      </c>
      <c r="S121" t="str">
        <f t="shared" si="15"/>
        <v>Jan</v>
      </c>
      <c r="T121" t="str">
        <f>INDEX(Lookups!$B$39:$B$45,MATCH(H121,Lookups!$A$39:$A$45,0))</f>
        <v>Thu</v>
      </c>
      <c r="U121" t="str">
        <f t="shared" si="16"/>
        <v>Weekday</v>
      </c>
      <c r="V121" t="str">
        <f t="shared" si="17"/>
        <v>Working Day</v>
      </c>
      <c r="W121" t="str">
        <f t="shared" si="18"/>
        <v>Spring</v>
      </c>
      <c r="X121" t="str">
        <f t="shared" si="19"/>
        <v>Cloudy/Mist</v>
      </c>
      <c r="Y121" t="str">
        <f t="shared" si="20"/>
        <v>Night</v>
      </c>
      <c r="Z121" t="str">
        <f t="shared" si="21"/>
        <v>Cold</v>
      </c>
      <c r="AA121" t="str">
        <f t="shared" si="22"/>
        <v>Medium</v>
      </c>
      <c r="AB121" t="str">
        <f t="shared" si="23"/>
        <v>Off-Peak</v>
      </c>
      <c r="AC121" s="63">
        <f t="shared" si="24"/>
        <v>0</v>
      </c>
      <c r="AD121" t="str">
        <f>IF(P121&gt;=Stats!$C$30,"High",IF(P121&lt;=Stats!$C$29,"Low","Normal"))</f>
        <v>Low</v>
      </c>
      <c r="AE121">
        <f t="shared" si="25"/>
        <v>1</v>
      </c>
    </row>
    <row r="122" spans="1:31" x14ac:dyDescent="0.2">
      <c r="A122">
        <f>Dataset_A!A122</f>
        <v>121</v>
      </c>
      <c r="B122" s="61">
        <f>Dataset_A!B122</f>
        <v>40549</v>
      </c>
      <c r="C122">
        <f>Dataset_A!C122</f>
        <v>1</v>
      </c>
      <c r="D122">
        <f>Dataset_A!D122</f>
        <v>0</v>
      </c>
      <c r="E122">
        <f>Dataset_A!E122</f>
        <v>1</v>
      </c>
      <c r="F122">
        <f>Dataset_A!F122</f>
        <v>6</v>
      </c>
      <c r="G122" t="b">
        <f>Dataset_A!G122</f>
        <v>0</v>
      </c>
      <c r="H122">
        <f>Dataset_A!H122</f>
        <v>4</v>
      </c>
      <c r="I122">
        <f>Dataset_A!I122</f>
        <v>2</v>
      </c>
      <c r="J122" s="55">
        <f>Dataset_A!J122</f>
        <v>0.14000000000000001</v>
      </c>
      <c r="K122">
        <f>Dataset_A!K122</f>
        <v>0.16669999999999999</v>
      </c>
      <c r="L122">
        <f>Dataset_A!L122</f>
        <v>0.63</v>
      </c>
      <c r="M122">
        <f>Dataset_A!M122</f>
        <v>0.1045</v>
      </c>
      <c r="N122">
        <f>Dataset_A!N122</f>
        <v>0</v>
      </c>
      <c r="O122">
        <f>Dataset_A!O122</f>
        <v>36</v>
      </c>
      <c r="P122">
        <f>Dataset_A!P122</f>
        <v>36</v>
      </c>
      <c r="Q122" t="str">
        <f t="shared" si="13"/>
        <v>REC-0121</v>
      </c>
      <c r="R122" s="62">
        <f t="shared" si="14"/>
        <v>40549.25</v>
      </c>
      <c r="S122" t="str">
        <f t="shared" si="15"/>
        <v>Jan</v>
      </c>
      <c r="T122" t="str">
        <f>INDEX(Lookups!$B$39:$B$45,MATCH(H122,Lookups!$A$39:$A$45,0))</f>
        <v>Thu</v>
      </c>
      <c r="U122" t="str">
        <f t="shared" si="16"/>
        <v>Weekday</v>
      </c>
      <c r="V122" t="str">
        <f t="shared" si="17"/>
        <v>Working Day</v>
      </c>
      <c r="W122" t="str">
        <f t="shared" si="18"/>
        <v>Spring</v>
      </c>
      <c r="X122" t="str">
        <f t="shared" si="19"/>
        <v>Cloudy/Mist</v>
      </c>
      <c r="Y122" t="str">
        <f t="shared" si="20"/>
        <v>Morning</v>
      </c>
      <c r="Z122" t="str">
        <f t="shared" si="21"/>
        <v>Cold</v>
      </c>
      <c r="AA122" t="str">
        <f t="shared" si="22"/>
        <v>Medium</v>
      </c>
      <c r="AB122" t="str">
        <f t="shared" si="23"/>
        <v>Off-Peak</v>
      </c>
      <c r="AC122" s="63">
        <f t="shared" si="24"/>
        <v>0</v>
      </c>
      <c r="AD122" t="str">
        <f>IF(P122&gt;=Stats!$C$30,"High",IF(P122&lt;=Stats!$C$29,"Low","Normal"))</f>
        <v>Normal</v>
      </c>
      <c r="AE122">
        <f t="shared" si="25"/>
        <v>1</v>
      </c>
    </row>
    <row r="123" spans="1:31" x14ac:dyDescent="0.2">
      <c r="A123">
        <f>Dataset_A!A123</f>
        <v>122</v>
      </c>
      <c r="B123" s="61">
        <f>Dataset_A!B123</f>
        <v>40549</v>
      </c>
      <c r="C123">
        <f>Dataset_A!C123</f>
        <v>1</v>
      </c>
      <c r="D123">
        <f>Dataset_A!D123</f>
        <v>0</v>
      </c>
      <c r="E123">
        <f>Dataset_A!E123</f>
        <v>1</v>
      </c>
      <c r="F123">
        <f>Dataset_A!F123</f>
        <v>7</v>
      </c>
      <c r="G123" t="b">
        <f>Dataset_A!G123</f>
        <v>0</v>
      </c>
      <c r="H123">
        <f>Dataset_A!H123</f>
        <v>4</v>
      </c>
      <c r="I123">
        <f>Dataset_A!I123</f>
        <v>2</v>
      </c>
      <c r="J123" s="55">
        <f>Dataset_A!J123</f>
        <v>0.16</v>
      </c>
      <c r="K123">
        <f>Dataset_A!K123</f>
        <v>0.2273</v>
      </c>
      <c r="L123">
        <f>Dataset_A!L123</f>
        <v>0.59</v>
      </c>
      <c r="M123">
        <f>Dataset_A!M123</f>
        <v>0</v>
      </c>
      <c r="N123">
        <f>Dataset_A!N123</f>
        <v>0</v>
      </c>
      <c r="O123">
        <f>Dataset_A!O123</f>
        <v>95</v>
      </c>
      <c r="P123">
        <f>Dataset_A!P123</f>
        <v>95</v>
      </c>
      <c r="Q123" t="str">
        <f t="shared" si="13"/>
        <v>REC-0122</v>
      </c>
      <c r="R123" s="62">
        <f t="shared" si="14"/>
        <v>40549.291666666664</v>
      </c>
      <c r="S123" t="str">
        <f t="shared" si="15"/>
        <v>Jan</v>
      </c>
      <c r="T123" t="str">
        <f>INDEX(Lookups!$B$39:$B$45,MATCH(H123,Lookups!$A$39:$A$45,0))</f>
        <v>Thu</v>
      </c>
      <c r="U123" t="str">
        <f t="shared" si="16"/>
        <v>Weekday</v>
      </c>
      <c r="V123" t="str">
        <f t="shared" si="17"/>
        <v>Working Day</v>
      </c>
      <c r="W123" t="str">
        <f t="shared" si="18"/>
        <v>Spring</v>
      </c>
      <c r="X123" t="str">
        <f t="shared" si="19"/>
        <v>Cloudy/Mist</v>
      </c>
      <c r="Y123" t="str">
        <f t="shared" si="20"/>
        <v>Morning</v>
      </c>
      <c r="Z123" t="str">
        <f t="shared" si="21"/>
        <v>Cold</v>
      </c>
      <c r="AA123" t="str">
        <f t="shared" si="22"/>
        <v>Medium</v>
      </c>
      <c r="AB123" t="str">
        <f t="shared" si="23"/>
        <v>Peak</v>
      </c>
      <c r="AC123" s="63">
        <f t="shared" si="24"/>
        <v>0</v>
      </c>
      <c r="AD123" t="str">
        <f>IF(P123&gt;=Stats!$C$30,"High",IF(P123&lt;=Stats!$C$29,"Low","Normal"))</f>
        <v>High</v>
      </c>
      <c r="AE123">
        <f t="shared" si="25"/>
        <v>1</v>
      </c>
    </row>
    <row r="124" spans="1:31" x14ac:dyDescent="0.2">
      <c r="A124">
        <f>Dataset_A!A124</f>
        <v>123</v>
      </c>
      <c r="B124" s="61">
        <f>Dataset_A!B124</f>
        <v>40549</v>
      </c>
      <c r="C124">
        <f>Dataset_A!C124</f>
        <v>1</v>
      </c>
      <c r="D124">
        <f>Dataset_A!D124</f>
        <v>0</v>
      </c>
      <c r="E124">
        <f>Dataset_A!E124</f>
        <v>1</v>
      </c>
      <c r="F124">
        <f>Dataset_A!F124</f>
        <v>8</v>
      </c>
      <c r="G124" t="b">
        <f>Dataset_A!G124</f>
        <v>0</v>
      </c>
      <c r="H124">
        <f>Dataset_A!H124</f>
        <v>4</v>
      </c>
      <c r="I124">
        <f>Dataset_A!I124</f>
        <v>1</v>
      </c>
      <c r="J124" s="55">
        <f>Dataset_A!J124</f>
        <v>0.16</v>
      </c>
      <c r="K124">
        <f>Dataset_A!K124</f>
        <v>0.2273</v>
      </c>
      <c r="L124">
        <f>Dataset_A!L124</f>
        <v>0.59</v>
      </c>
      <c r="M124">
        <f>Dataset_A!M124</f>
        <v>0</v>
      </c>
      <c r="N124">
        <f>Dataset_A!N124</f>
        <v>3</v>
      </c>
      <c r="O124">
        <f>Dataset_A!O124</f>
        <v>216</v>
      </c>
      <c r="P124">
        <f>Dataset_A!P124</f>
        <v>219</v>
      </c>
      <c r="Q124" t="str">
        <f t="shared" si="13"/>
        <v>REC-0123</v>
      </c>
      <c r="R124" s="62">
        <f t="shared" si="14"/>
        <v>40549.333333333336</v>
      </c>
      <c r="S124" t="str">
        <f t="shared" si="15"/>
        <v>Jan</v>
      </c>
      <c r="T124" t="str">
        <f>INDEX(Lookups!$B$39:$B$45,MATCH(H124,Lookups!$A$39:$A$45,0))</f>
        <v>Thu</v>
      </c>
      <c r="U124" t="str">
        <f t="shared" si="16"/>
        <v>Weekday</v>
      </c>
      <c r="V124" t="str">
        <f t="shared" si="17"/>
        <v>Working Day</v>
      </c>
      <c r="W124" t="str">
        <f t="shared" si="18"/>
        <v>Spring</v>
      </c>
      <c r="X124" t="str">
        <f t="shared" si="19"/>
        <v>Clear</v>
      </c>
      <c r="Y124" t="str">
        <f t="shared" si="20"/>
        <v>Morning</v>
      </c>
      <c r="Z124" t="str">
        <f t="shared" si="21"/>
        <v>Cold</v>
      </c>
      <c r="AA124" t="str">
        <f t="shared" si="22"/>
        <v>Medium</v>
      </c>
      <c r="AB124" t="str">
        <f t="shared" si="23"/>
        <v>Peak</v>
      </c>
      <c r="AC124" s="63">
        <f t="shared" si="24"/>
        <v>1.3698630136986301E-2</v>
      </c>
      <c r="AD124" t="str">
        <f>IF(P124&gt;=Stats!$C$30,"High",IF(P124&lt;=Stats!$C$29,"Low","Normal"))</f>
        <v>High</v>
      </c>
      <c r="AE124">
        <f t="shared" si="25"/>
        <v>1</v>
      </c>
    </row>
    <row r="125" spans="1:31" x14ac:dyDescent="0.2">
      <c r="A125">
        <f>Dataset_A!A125</f>
        <v>124</v>
      </c>
      <c r="B125" s="61">
        <f>Dataset_A!B125</f>
        <v>40549</v>
      </c>
      <c r="C125">
        <f>Dataset_A!C125</f>
        <v>1</v>
      </c>
      <c r="D125">
        <f>Dataset_A!D125</f>
        <v>0</v>
      </c>
      <c r="E125">
        <f>Dataset_A!E125</f>
        <v>1</v>
      </c>
      <c r="F125">
        <f>Dataset_A!F125</f>
        <v>9</v>
      </c>
      <c r="G125" t="b">
        <f>Dataset_A!G125</f>
        <v>0</v>
      </c>
      <c r="H125">
        <f>Dataset_A!H125</f>
        <v>4</v>
      </c>
      <c r="I125">
        <f>Dataset_A!I125</f>
        <v>2</v>
      </c>
      <c r="J125" s="55">
        <f>Dataset_A!J125</f>
        <v>0.18</v>
      </c>
      <c r="K125">
        <f>Dataset_A!K125</f>
        <v>0.2424</v>
      </c>
      <c r="L125">
        <f>Dataset_A!L125</f>
        <v>0.51</v>
      </c>
      <c r="M125">
        <f>Dataset_A!M125</f>
        <v>0</v>
      </c>
      <c r="N125">
        <f>Dataset_A!N125</f>
        <v>6</v>
      </c>
      <c r="O125">
        <f>Dataset_A!O125</f>
        <v>116</v>
      </c>
      <c r="P125">
        <f>Dataset_A!P125</f>
        <v>122</v>
      </c>
      <c r="Q125" t="str">
        <f t="shared" si="13"/>
        <v>REC-0124</v>
      </c>
      <c r="R125" s="62">
        <f t="shared" si="14"/>
        <v>40549.375</v>
      </c>
      <c r="S125" t="str">
        <f t="shared" si="15"/>
        <v>Jan</v>
      </c>
      <c r="T125" t="str">
        <f>INDEX(Lookups!$B$39:$B$45,MATCH(H125,Lookups!$A$39:$A$45,0))</f>
        <v>Thu</v>
      </c>
      <c r="U125" t="str">
        <f t="shared" si="16"/>
        <v>Weekday</v>
      </c>
      <c r="V125" t="str">
        <f t="shared" si="17"/>
        <v>Working Day</v>
      </c>
      <c r="W125" t="str">
        <f t="shared" si="18"/>
        <v>Spring</v>
      </c>
      <c r="X125" t="str">
        <f t="shared" si="19"/>
        <v>Cloudy/Mist</v>
      </c>
      <c r="Y125" t="str">
        <f t="shared" si="20"/>
        <v>Morning</v>
      </c>
      <c r="Z125" t="str">
        <f t="shared" si="21"/>
        <v>Cold</v>
      </c>
      <c r="AA125" t="str">
        <f t="shared" si="22"/>
        <v>Medium</v>
      </c>
      <c r="AB125" t="str">
        <f t="shared" si="23"/>
        <v>Peak</v>
      </c>
      <c r="AC125" s="63">
        <f t="shared" si="24"/>
        <v>4.9180327868852458E-2</v>
      </c>
      <c r="AD125" t="str">
        <f>IF(P125&gt;=Stats!$C$30,"High",IF(P125&lt;=Stats!$C$29,"Low","Normal"))</f>
        <v>High</v>
      </c>
      <c r="AE125">
        <f t="shared" si="25"/>
        <v>1</v>
      </c>
    </row>
    <row r="126" spans="1:31" x14ac:dyDescent="0.2">
      <c r="A126">
        <f>Dataset_A!A126</f>
        <v>125</v>
      </c>
      <c r="B126" s="61">
        <f>Dataset_A!B126</f>
        <v>40549</v>
      </c>
      <c r="C126">
        <f>Dataset_A!C126</f>
        <v>1</v>
      </c>
      <c r="D126">
        <f>Dataset_A!D126</f>
        <v>0</v>
      </c>
      <c r="E126">
        <f>Dataset_A!E126</f>
        <v>1</v>
      </c>
      <c r="F126">
        <f>Dataset_A!F126</f>
        <v>10</v>
      </c>
      <c r="G126" t="b">
        <f>Dataset_A!G126</f>
        <v>0</v>
      </c>
      <c r="H126">
        <f>Dataset_A!H126</f>
        <v>4</v>
      </c>
      <c r="I126">
        <f>Dataset_A!I126</f>
        <v>1</v>
      </c>
      <c r="J126" s="55">
        <f>Dataset_A!J126</f>
        <v>0.2</v>
      </c>
      <c r="K126">
        <f>Dataset_A!K126</f>
        <v>0.2576</v>
      </c>
      <c r="L126">
        <f>Dataset_A!L126</f>
        <v>0.47</v>
      </c>
      <c r="M126">
        <f>Dataset_A!M126</f>
        <v>0</v>
      </c>
      <c r="N126">
        <f>Dataset_A!N126</f>
        <v>3</v>
      </c>
      <c r="O126">
        <f>Dataset_A!O126</f>
        <v>42</v>
      </c>
      <c r="P126">
        <f>Dataset_A!P126</f>
        <v>45</v>
      </c>
      <c r="Q126" t="str">
        <f t="shared" si="13"/>
        <v>REC-0125</v>
      </c>
      <c r="R126" s="62">
        <f t="shared" si="14"/>
        <v>40549.416666666664</v>
      </c>
      <c r="S126" t="str">
        <f t="shared" si="15"/>
        <v>Jan</v>
      </c>
      <c r="T126" t="str">
        <f>INDEX(Lookups!$B$39:$B$45,MATCH(H126,Lookups!$A$39:$A$45,0))</f>
        <v>Thu</v>
      </c>
      <c r="U126" t="str">
        <f t="shared" si="16"/>
        <v>Weekday</v>
      </c>
      <c r="V126" t="str">
        <f t="shared" si="17"/>
        <v>Working Day</v>
      </c>
      <c r="W126" t="str">
        <f t="shared" si="18"/>
        <v>Spring</v>
      </c>
      <c r="X126" t="str">
        <f t="shared" si="19"/>
        <v>Clear</v>
      </c>
      <c r="Y126" t="str">
        <f t="shared" si="20"/>
        <v>Morning</v>
      </c>
      <c r="Z126" t="str">
        <f t="shared" si="21"/>
        <v>Mild</v>
      </c>
      <c r="AA126" t="str">
        <f t="shared" si="22"/>
        <v>Low</v>
      </c>
      <c r="AB126" t="str">
        <f t="shared" si="23"/>
        <v>Off-Peak</v>
      </c>
      <c r="AC126" s="63">
        <f t="shared" si="24"/>
        <v>6.6666666666666666E-2</v>
      </c>
      <c r="AD126" t="str">
        <f>IF(P126&gt;=Stats!$C$30,"High",IF(P126&lt;=Stats!$C$29,"Low","Normal"))</f>
        <v>Normal</v>
      </c>
      <c r="AE126">
        <f t="shared" si="25"/>
        <v>1</v>
      </c>
    </row>
    <row r="127" spans="1:31" x14ac:dyDescent="0.2">
      <c r="A127">
        <f>Dataset_A!A127</f>
        <v>126</v>
      </c>
      <c r="B127" s="61">
        <f>Dataset_A!B127</f>
        <v>40549</v>
      </c>
      <c r="C127">
        <f>Dataset_A!C127</f>
        <v>1</v>
      </c>
      <c r="D127">
        <f>Dataset_A!D127</f>
        <v>0</v>
      </c>
      <c r="E127">
        <f>Dataset_A!E127</f>
        <v>1</v>
      </c>
      <c r="F127">
        <f>Dataset_A!F127</f>
        <v>11</v>
      </c>
      <c r="G127" t="b">
        <f>Dataset_A!G127</f>
        <v>0</v>
      </c>
      <c r="H127">
        <f>Dataset_A!H127</f>
        <v>4</v>
      </c>
      <c r="I127">
        <f>Dataset_A!I127</f>
        <v>1</v>
      </c>
      <c r="J127" s="55">
        <f>Dataset_A!J127</f>
        <v>0.22</v>
      </c>
      <c r="K127">
        <f>Dataset_A!K127</f>
        <v>0.2576</v>
      </c>
      <c r="L127">
        <f>Dataset_A!L127</f>
        <v>0.44</v>
      </c>
      <c r="M127">
        <f>Dataset_A!M127</f>
        <v>8.9599999999999999E-2</v>
      </c>
      <c r="N127">
        <f>Dataset_A!N127</f>
        <v>2</v>
      </c>
      <c r="O127">
        <f>Dataset_A!O127</f>
        <v>57</v>
      </c>
      <c r="P127">
        <f>Dataset_A!P127</f>
        <v>59</v>
      </c>
      <c r="Q127" t="str">
        <f t="shared" si="13"/>
        <v>REC-0126</v>
      </c>
      <c r="R127" s="62">
        <f t="shared" si="14"/>
        <v>40549.458333333336</v>
      </c>
      <c r="S127" t="str">
        <f t="shared" si="15"/>
        <v>Jan</v>
      </c>
      <c r="T127" t="str">
        <f>INDEX(Lookups!$B$39:$B$45,MATCH(H127,Lookups!$A$39:$A$45,0))</f>
        <v>Thu</v>
      </c>
      <c r="U127" t="str">
        <f t="shared" si="16"/>
        <v>Weekday</v>
      </c>
      <c r="V127" t="str">
        <f t="shared" si="17"/>
        <v>Working Day</v>
      </c>
      <c r="W127" t="str">
        <f t="shared" si="18"/>
        <v>Spring</v>
      </c>
      <c r="X127" t="str">
        <f t="shared" si="19"/>
        <v>Clear</v>
      </c>
      <c r="Y127" t="str">
        <f t="shared" si="20"/>
        <v>Morning</v>
      </c>
      <c r="Z127" t="str">
        <f t="shared" si="21"/>
        <v>Mild</v>
      </c>
      <c r="AA127" t="str">
        <f t="shared" si="22"/>
        <v>Low</v>
      </c>
      <c r="AB127" t="str">
        <f t="shared" si="23"/>
        <v>Off-Peak</v>
      </c>
      <c r="AC127" s="63">
        <f t="shared" si="24"/>
        <v>3.3898305084745763E-2</v>
      </c>
      <c r="AD127" t="str">
        <f>IF(P127&gt;=Stats!$C$30,"High",IF(P127&lt;=Stats!$C$29,"Low","Normal"))</f>
        <v>Normal</v>
      </c>
      <c r="AE127">
        <f t="shared" si="25"/>
        <v>1</v>
      </c>
    </row>
    <row r="128" spans="1:31" x14ac:dyDescent="0.2">
      <c r="A128">
        <f>Dataset_A!A128</f>
        <v>127</v>
      </c>
      <c r="B128" s="61">
        <f>Dataset_A!B128</f>
        <v>40549</v>
      </c>
      <c r="C128">
        <f>Dataset_A!C128</f>
        <v>1</v>
      </c>
      <c r="D128">
        <f>Dataset_A!D128</f>
        <v>0</v>
      </c>
      <c r="E128">
        <f>Dataset_A!E128</f>
        <v>1</v>
      </c>
      <c r="F128">
        <f>Dataset_A!F128</f>
        <v>12</v>
      </c>
      <c r="G128" t="b">
        <f>Dataset_A!G128</f>
        <v>0</v>
      </c>
      <c r="H128">
        <f>Dataset_A!H128</f>
        <v>4</v>
      </c>
      <c r="I128">
        <f>Dataset_A!I128</f>
        <v>1</v>
      </c>
      <c r="J128" s="55">
        <f>Dataset_A!J128</f>
        <v>0.26</v>
      </c>
      <c r="K128">
        <f>Dataset_A!K128</f>
        <v>0.28789999999999999</v>
      </c>
      <c r="L128">
        <f>Dataset_A!L128</f>
        <v>0.35</v>
      </c>
      <c r="M128">
        <f>Dataset_A!M128</f>
        <v>0</v>
      </c>
      <c r="N128">
        <f>Dataset_A!N128</f>
        <v>6</v>
      </c>
      <c r="O128">
        <f>Dataset_A!O128</f>
        <v>78</v>
      </c>
      <c r="P128">
        <f>Dataset_A!P128</f>
        <v>84</v>
      </c>
      <c r="Q128" t="str">
        <f t="shared" si="13"/>
        <v>REC-0127</v>
      </c>
      <c r="R128" s="62">
        <f t="shared" si="14"/>
        <v>40549.5</v>
      </c>
      <c r="S128" t="str">
        <f t="shared" si="15"/>
        <v>Jan</v>
      </c>
      <c r="T128" t="str">
        <f>INDEX(Lookups!$B$39:$B$45,MATCH(H128,Lookups!$A$39:$A$45,0))</f>
        <v>Thu</v>
      </c>
      <c r="U128" t="str">
        <f t="shared" si="16"/>
        <v>Weekday</v>
      </c>
      <c r="V128" t="str">
        <f t="shared" si="17"/>
        <v>Working Day</v>
      </c>
      <c r="W128" t="str">
        <f t="shared" si="18"/>
        <v>Spring</v>
      </c>
      <c r="X128" t="str">
        <f t="shared" si="19"/>
        <v>Clear</v>
      </c>
      <c r="Y128" t="str">
        <f t="shared" si="20"/>
        <v>Afternoon</v>
      </c>
      <c r="Z128" t="str">
        <f t="shared" si="21"/>
        <v>Mild</v>
      </c>
      <c r="AA128" t="str">
        <f t="shared" si="22"/>
        <v>Low</v>
      </c>
      <c r="AB128" t="str">
        <f t="shared" si="23"/>
        <v>Off-Peak</v>
      </c>
      <c r="AC128" s="63">
        <f t="shared" si="24"/>
        <v>7.1428571428571425E-2</v>
      </c>
      <c r="AD128" t="str">
        <f>IF(P128&gt;=Stats!$C$30,"High",IF(P128&lt;=Stats!$C$29,"Low","Normal"))</f>
        <v>High</v>
      </c>
      <c r="AE128">
        <f t="shared" si="25"/>
        <v>1</v>
      </c>
    </row>
    <row r="129" spans="1:31" x14ac:dyDescent="0.2">
      <c r="A129">
        <f>Dataset_A!A129</f>
        <v>128</v>
      </c>
      <c r="B129" s="61">
        <f>Dataset_A!B129</f>
        <v>40549</v>
      </c>
      <c r="C129">
        <f>Dataset_A!C129</f>
        <v>1</v>
      </c>
      <c r="D129">
        <f>Dataset_A!D129</f>
        <v>0</v>
      </c>
      <c r="E129">
        <f>Dataset_A!E129</f>
        <v>1</v>
      </c>
      <c r="F129">
        <f>Dataset_A!F129</f>
        <v>13</v>
      </c>
      <c r="G129" t="b">
        <f>Dataset_A!G129</f>
        <v>0</v>
      </c>
      <c r="H129">
        <f>Dataset_A!H129</f>
        <v>4</v>
      </c>
      <c r="I129">
        <f>Dataset_A!I129</f>
        <v>1</v>
      </c>
      <c r="J129" s="55">
        <f>Dataset_A!J129</f>
        <v>0.26</v>
      </c>
      <c r="K129">
        <f>Dataset_A!K129</f>
        <v>0.2727</v>
      </c>
      <c r="L129">
        <f>Dataset_A!L129</f>
        <v>0.35</v>
      </c>
      <c r="M129">
        <f>Dataset_A!M129</f>
        <v>0.1045</v>
      </c>
      <c r="N129">
        <f>Dataset_A!N129</f>
        <v>12</v>
      </c>
      <c r="O129">
        <f>Dataset_A!O129</f>
        <v>55</v>
      </c>
      <c r="P129">
        <f>Dataset_A!P129</f>
        <v>67</v>
      </c>
      <c r="Q129" t="str">
        <f t="shared" si="13"/>
        <v>REC-0128</v>
      </c>
      <c r="R129" s="62">
        <f t="shared" si="14"/>
        <v>40549.541666666664</v>
      </c>
      <c r="S129" t="str">
        <f t="shared" si="15"/>
        <v>Jan</v>
      </c>
      <c r="T129" t="str">
        <f>INDEX(Lookups!$B$39:$B$45,MATCH(H129,Lookups!$A$39:$A$45,0))</f>
        <v>Thu</v>
      </c>
      <c r="U129" t="str">
        <f t="shared" si="16"/>
        <v>Weekday</v>
      </c>
      <c r="V129" t="str">
        <f t="shared" si="17"/>
        <v>Working Day</v>
      </c>
      <c r="W129" t="str">
        <f t="shared" si="18"/>
        <v>Spring</v>
      </c>
      <c r="X129" t="str">
        <f t="shared" si="19"/>
        <v>Clear</v>
      </c>
      <c r="Y129" t="str">
        <f t="shared" si="20"/>
        <v>Afternoon</v>
      </c>
      <c r="Z129" t="str">
        <f t="shared" si="21"/>
        <v>Mild</v>
      </c>
      <c r="AA129" t="str">
        <f t="shared" si="22"/>
        <v>Low</v>
      </c>
      <c r="AB129" t="str">
        <f t="shared" si="23"/>
        <v>Off-Peak</v>
      </c>
      <c r="AC129" s="63">
        <f t="shared" si="24"/>
        <v>0.17910447761194029</v>
      </c>
      <c r="AD129" t="str">
        <f>IF(P129&gt;=Stats!$C$30,"High",IF(P129&lt;=Stats!$C$29,"Low","Normal"))</f>
        <v>Normal</v>
      </c>
      <c r="AE129">
        <f t="shared" si="25"/>
        <v>1</v>
      </c>
    </row>
    <row r="130" spans="1:31" x14ac:dyDescent="0.2">
      <c r="A130">
        <f>Dataset_A!A130</f>
        <v>129</v>
      </c>
      <c r="B130" s="61">
        <f>Dataset_A!B130</f>
        <v>40549</v>
      </c>
      <c r="C130">
        <f>Dataset_A!C130</f>
        <v>1</v>
      </c>
      <c r="D130">
        <f>Dataset_A!D130</f>
        <v>0</v>
      </c>
      <c r="E130">
        <f>Dataset_A!E130</f>
        <v>1</v>
      </c>
      <c r="F130">
        <f>Dataset_A!F130</f>
        <v>14</v>
      </c>
      <c r="G130" t="b">
        <f>Dataset_A!G130</f>
        <v>0</v>
      </c>
      <c r="H130">
        <f>Dataset_A!H130</f>
        <v>4</v>
      </c>
      <c r="I130">
        <f>Dataset_A!I130</f>
        <v>1</v>
      </c>
      <c r="J130" s="55">
        <f>Dataset_A!J130</f>
        <v>0.28000000000000003</v>
      </c>
      <c r="K130">
        <f>Dataset_A!K130</f>
        <v>0.2727</v>
      </c>
      <c r="L130">
        <f>Dataset_A!L130</f>
        <v>0.36</v>
      </c>
      <c r="M130">
        <f>Dataset_A!M130</f>
        <v>0.16420000000000001</v>
      </c>
      <c r="N130">
        <f>Dataset_A!N130</f>
        <v>11</v>
      </c>
      <c r="O130">
        <f>Dataset_A!O130</f>
        <v>59</v>
      </c>
      <c r="P130">
        <f>Dataset_A!P130</f>
        <v>70</v>
      </c>
      <c r="Q130" t="str">
        <f t="shared" ref="Q130:Q193" si="26">"REC-"&amp;TEXT(A130,"0000")</f>
        <v>REC-0129</v>
      </c>
      <c r="R130" s="62">
        <f t="shared" ref="R130:R193" si="27">B130+F130/24</f>
        <v>40549.583333333336</v>
      </c>
      <c r="S130" t="str">
        <f t="shared" ref="S130:S193" si="28">TEXT(B130,"mmm")</f>
        <v>Jan</v>
      </c>
      <c r="T130" t="str">
        <f>INDEX(Lookups!$B$39:$B$45,MATCH(H130,Lookups!$A$39:$A$45,0))</f>
        <v>Thu</v>
      </c>
      <c r="U130" t="str">
        <f t="shared" ref="U130:U193" si="29">IF(OR(H130=0,H130=6),"Weekend","Weekday")</f>
        <v>Weekday</v>
      </c>
      <c r="V130" t="str">
        <f t="shared" ref="V130:V193" si="30">IF(OR(U130="Weekend",G130=TRUE),"Non-Working Day","Working Day")</f>
        <v>Working Day</v>
      </c>
      <c r="W130" t="str">
        <f t="shared" ref="W130:W193" si="31">VLOOKUP(C130,tbl_season,2,FALSE)</f>
        <v>Spring</v>
      </c>
      <c r="X130" t="str">
        <f t="shared" ref="X130:X193" si="32">VLOOKUP(I130,tbl_weather,2,FALSE)</f>
        <v>Clear</v>
      </c>
      <c r="Y130" t="str">
        <f t="shared" ref="Y130:Y193" si="33">INDEX(band_name,MATCH(F130,band_start,1))</f>
        <v>Afternoon</v>
      </c>
      <c r="Z130" t="str">
        <f t="shared" ref="Z130:Z193" si="34">INDEX(temp_band,MATCH(J130,temp_from,1))</f>
        <v>Mild</v>
      </c>
      <c r="AA130" t="str">
        <f t="shared" ref="AA130:AA193" si="35">INDEX(hum_band,MATCH(L130,hum_from,1))</f>
        <v>Low</v>
      </c>
      <c r="AB130" t="str">
        <f t="shared" ref="AB130:AB193" si="36">IF(AND(U130="Weekday",OR(AND(F130&gt;=7,F130&lt;=9),AND(F130&gt;=16,F130&lt;=19))),"Peak","Off-Peak")</f>
        <v>Off-Peak</v>
      </c>
      <c r="AC130" s="63">
        <f t="shared" ref="AC130:AC193" si="37">IF(P130=0,0,N130/P130)</f>
        <v>0.15714285714285714</v>
      </c>
      <c r="AD130" t="str">
        <f>IF(P130&gt;=Stats!$C$30,"High",IF(P130&lt;=Stats!$C$29,"Low","Normal"))</f>
        <v>Normal</v>
      </c>
      <c r="AE130">
        <f t="shared" ref="AE130:AE193" si="38">SUBTOTAL(103,A130)</f>
        <v>1</v>
      </c>
    </row>
    <row r="131" spans="1:31" x14ac:dyDescent="0.2">
      <c r="A131">
        <f>Dataset_A!A131</f>
        <v>130</v>
      </c>
      <c r="B131" s="61">
        <f>Dataset_A!B131</f>
        <v>40549</v>
      </c>
      <c r="C131">
        <f>Dataset_A!C131</f>
        <v>1</v>
      </c>
      <c r="D131">
        <f>Dataset_A!D131</f>
        <v>0</v>
      </c>
      <c r="E131">
        <f>Dataset_A!E131</f>
        <v>1</v>
      </c>
      <c r="F131">
        <f>Dataset_A!F131</f>
        <v>15</v>
      </c>
      <c r="G131" t="b">
        <f>Dataset_A!G131</f>
        <v>0</v>
      </c>
      <c r="H131">
        <f>Dataset_A!H131</f>
        <v>4</v>
      </c>
      <c r="I131">
        <f>Dataset_A!I131</f>
        <v>1</v>
      </c>
      <c r="J131" s="55">
        <f>Dataset_A!J131</f>
        <v>0.28000000000000003</v>
      </c>
      <c r="K131">
        <f>Dataset_A!K131</f>
        <v>0.2727</v>
      </c>
      <c r="L131">
        <f>Dataset_A!L131</f>
        <v>0.36</v>
      </c>
      <c r="M131">
        <f>Dataset_A!M131</f>
        <v>0</v>
      </c>
      <c r="N131">
        <f>Dataset_A!N131</f>
        <v>8</v>
      </c>
      <c r="O131">
        <f>Dataset_A!O131</f>
        <v>54</v>
      </c>
      <c r="P131">
        <f>Dataset_A!P131</f>
        <v>62</v>
      </c>
      <c r="Q131" t="str">
        <f t="shared" si="26"/>
        <v>REC-0130</v>
      </c>
      <c r="R131" s="62">
        <f t="shared" si="27"/>
        <v>40549.625</v>
      </c>
      <c r="S131" t="str">
        <f t="shared" si="28"/>
        <v>Jan</v>
      </c>
      <c r="T131" t="str">
        <f>INDEX(Lookups!$B$39:$B$45,MATCH(H131,Lookups!$A$39:$A$45,0))</f>
        <v>Thu</v>
      </c>
      <c r="U131" t="str">
        <f t="shared" si="29"/>
        <v>Weekday</v>
      </c>
      <c r="V131" t="str">
        <f t="shared" si="30"/>
        <v>Working Day</v>
      </c>
      <c r="W131" t="str">
        <f t="shared" si="31"/>
        <v>Spring</v>
      </c>
      <c r="X131" t="str">
        <f t="shared" si="32"/>
        <v>Clear</v>
      </c>
      <c r="Y131" t="str">
        <f t="shared" si="33"/>
        <v>Afternoon</v>
      </c>
      <c r="Z131" t="str">
        <f t="shared" si="34"/>
        <v>Mild</v>
      </c>
      <c r="AA131" t="str">
        <f t="shared" si="35"/>
        <v>Low</v>
      </c>
      <c r="AB131" t="str">
        <f t="shared" si="36"/>
        <v>Off-Peak</v>
      </c>
      <c r="AC131" s="63">
        <f t="shared" si="37"/>
        <v>0.12903225806451613</v>
      </c>
      <c r="AD131" t="str">
        <f>IF(P131&gt;=Stats!$C$30,"High",IF(P131&lt;=Stats!$C$29,"Low","Normal"))</f>
        <v>Normal</v>
      </c>
      <c r="AE131">
        <f t="shared" si="38"/>
        <v>1</v>
      </c>
    </row>
    <row r="132" spans="1:31" x14ac:dyDescent="0.2">
      <c r="A132">
        <f>Dataset_A!A132</f>
        <v>131</v>
      </c>
      <c r="B132" s="61">
        <f>Dataset_A!B132</f>
        <v>40549</v>
      </c>
      <c r="C132">
        <f>Dataset_A!C132</f>
        <v>1</v>
      </c>
      <c r="D132">
        <f>Dataset_A!D132</f>
        <v>0</v>
      </c>
      <c r="E132">
        <f>Dataset_A!E132</f>
        <v>1</v>
      </c>
      <c r="F132">
        <f>Dataset_A!F132</f>
        <v>16</v>
      </c>
      <c r="G132" t="b">
        <f>Dataset_A!G132</f>
        <v>0</v>
      </c>
      <c r="H132">
        <f>Dataset_A!H132</f>
        <v>4</v>
      </c>
      <c r="I132">
        <f>Dataset_A!I132</f>
        <v>1</v>
      </c>
      <c r="J132" s="55">
        <f>Dataset_A!J132</f>
        <v>0.26</v>
      </c>
      <c r="K132">
        <f>Dataset_A!K132</f>
        <v>0.2576</v>
      </c>
      <c r="L132">
        <f>Dataset_A!L132</f>
        <v>0.38</v>
      </c>
      <c r="M132">
        <f>Dataset_A!M132</f>
        <v>0.16420000000000001</v>
      </c>
      <c r="N132">
        <f>Dataset_A!N132</f>
        <v>12</v>
      </c>
      <c r="O132">
        <f>Dataset_A!O132</f>
        <v>74</v>
      </c>
      <c r="P132">
        <f>Dataset_A!P132</f>
        <v>86</v>
      </c>
      <c r="Q132" t="str">
        <f t="shared" si="26"/>
        <v>REC-0131</v>
      </c>
      <c r="R132" s="62">
        <f t="shared" si="27"/>
        <v>40549.666666666664</v>
      </c>
      <c r="S132" t="str">
        <f t="shared" si="28"/>
        <v>Jan</v>
      </c>
      <c r="T132" t="str">
        <f>INDEX(Lookups!$B$39:$B$45,MATCH(H132,Lookups!$A$39:$A$45,0))</f>
        <v>Thu</v>
      </c>
      <c r="U132" t="str">
        <f t="shared" si="29"/>
        <v>Weekday</v>
      </c>
      <c r="V132" t="str">
        <f t="shared" si="30"/>
        <v>Working Day</v>
      </c>
      <c r="W132" t="str">
        <f t="shared" si="31"/>
        <v>Spring</v>
      </c>
      <c r="X132" t="str">
        <f t="shared" si="32"/>
        <v>Clear</v>
      </c>
      <c r="Y132" t="str">
        <f t="shared" si="33"/>
        <v>Afternoon</v>
      </c>
      <c r="Z132" t="str">
        <f t="shared" si="34"/>
        <v>Mild</v>
      </c>
      <c r="AA132" t="str">
        <f t="shared" si="35"/>
        <v>Low</v>
      </c>
      <c r="AB132" t="str">
        <f t="shared" si="36"/>
        <v>Peak</v>
      </c>
      <c r="AC132" s="63">
        <f t="shared" si="37"/>
        <v>0.13953488372093023</v>
      </c>
      <c r="AD132" t="str">
        <f>IF(P132&gt;=Stats!$C$30,"High",IF(P132&lt;=Stats!$C$29,"Low","Normal"))</f>
        <v>High</v>
      </c>
      <c r="AE132">
        <f t="shared" si="38"/>
        <v>1</v>
      </c>
    </row>
    <row r="133" spans="1:31" x14ac:dyDescent="0.2">
      <c r="A133">
        <f>Dataset_A!A133</f>
        <v>132</v>
      </c>
      <c r="B133" s="61">
        <f>Dataset_A!B133</f>
        <v>40549</v>
      </c>
      <c r="C133">
        <f>Dataset_A!C133</f>
        <v>1</v>
      </c>
      <c r="D133">
        <f>Dataset_A!D133</f>
        <v>0</v>
      </c>
      <c r="E133">
        <f>Dataset_A!E133</f>
        <v>1</v>
      </c>
      <c r="F133">
        <f>Dataset_A!F133</f>
        <v>17</v>
      </c>
      <c r="G133" t="b">
        <f>Dataset_A!G133</f>
        <v>0</v>
      </c>
      <c r="H133">
        <f>Dataset_A!H133</f>
        <v>4</v>
      </c>
      <c r="I133">
        <f>Dataset_A!I133</f>
        <v>1</v>
      </c>
      <c r="J133" s="55">
        <f>Dataset_A!J133</f>
        <v>0.22</v>
      </c>
      <c r="K133">
        <f>Dataset_A!K133</f>
        <v>0.2273</v>
      </c>
      <c r="L133">
        <f>Dataset_A!L133</f>
        <v>0.51</v>
      </c>
      <c r="M133">
        <f>Dataset_A!M133</f>
        <v>0.16420000000000001</v>
      </c>
      <c r="N133">
        <f>Dataset_A!N133</f>
        <v>9</v>
      </c>
      <c r="O133">
        <f>Dataset_A!O133</f>
        <v>163</v>
      </c>
      <c r="P133">
        <f>Dataset_A!P133</f>
        <v>172</v>
      </c>
      <c r="Q133" t="str">
        <f t="shared" si="26"/>
        <v>REC-0132</v>
      </c>
      <c r="R133" s="62">
        <f t="shared" si="27"/>
        <v>40549.708333333336</v>
      </c>
      <c r="S133" t="str">
        <f t="shared" si="28"/>
        <v>Jan</v>
      </c>
      <c r="T133" t="str">
        <f>INDEX(Lookups!$B$39:$B$45,MATCH(H133,Lookups!$A$39:$A$45,0))</f>
        <v>Thu</v>
      </c>
      <c r="U133" t="str">
        <f t="shared" si="29"/>
        <v>Weekday</v>
      </c>
      <c r="V133" t="str">
        <f t="shared" si="30"/>
        <v>Working Day</v>
      </c>
      <c r="W133" t="str">
        <f t="shared" si="31"/>
        <v>Spring</v>
      </c>
      <c r="X133" t="str">
        <f t="shared" si="32"/>
        <v>Clear</v>
      </c>
      <c r="Y133" t="str">
        <f t="shared" si="33"/>
        <v>Evening</v>
      </c>
      <c r="Z133" t="str">
        <f t="shared" si="34"/>
        <v>Mild</v>
      </c>
      <c r="AA133" t="str">
        <f t="shared" si="35"/>
        <v>Medium</v>
      </c>
      <c r="AB133" t="str">
        <f t="shared" si="36"/>
        <v>Peak</v>
      </c>
      <c r="AC133" s="63">
        <f t="shared" si="37"/>
        <v>5.232558139534884E-2</v>
      </c>
      <c r="AD133" t="str">
        <f>IF(P133&gt;=Stats!$C$30,"High",IF(P133&lt;=Stats!$C$29,"Low","Normal"))</f>
        <v>High</v>
      </c>
      <c r="AE133">
        <f t="shared" si="38"/>
        <v>1</v>
      </c>
    </row>
    <row r="134" spans="1:31" x14ac:dyDescent="0.2">
      <c r="A134">
        <f>Dataset_A!A134</f>
        <v>133</v>
      </c>
      <c r="B134" s="61">
        <f>Dataset_A!B134</f>
        <v>40549</v>
      </c>
      <c r="C134">
        <f>Dataset_A!C134</f>
        <v>1</v>
      </c>
      <c r="D134">
        <f>Dataset_A!D134</f>
        <v>0</v>
      </c>
      <c r="E134">
        <f>Dataset_A!E134</f>
        <v>1</v>
      </c>
      <c r="F134">
        <f>Dataset_A!F134</f>
        <v>18</v>
      </c>
      <c r="G134" t="b">
        <f>Dataset_A!G134</f>
        <v>0</v>
      </c>
      <c r="H134">
        <f>Dataset_A!H134</f>
        <v>4</v>
      </c>
      <c r="I134">
        <f>Dataset_A!I134</f>
        <v>1</v>
      </c>
      <c r="J134" s="55">
        <f>Dataset_A!J134</f>
        <v>0.22</v>
      </c>
      <c r="K134">
        <f>Dataset_A!K134</f>
        <v>0.2273</v>
      </c>
      <c r="L134">
        <f>Dataset_A!L134</f>
        <v>0.51</v>
      </c>
      <c r="M134">
        <f>Dataset_A!M134</f>
        <v>0.1343</v>
      </c>
      <c r="N134">
        <f>Dataset_A!N134</f>
        <v>5</v>
      </c>
      <c r="O134">
        <f>Dataset_A!O134</f>
        <v>158</v>
      </c>
      <c r="P134">
        <f>Dataset_A!P134</f>
        <v>163</v>
      </c>
      <c r="Q134" t="str">
        <f t="shared" si="26"/>
        <v>REC-0133</v>
      </c>
      <c r="R134" s="62">
        <f t="shared" si="27"/>
        <v>40549.75</v>
      </c>
      <c r="S134" t="str">
        <f t="shared" si="28"/>
        <v>Jan</v>
      </c>
      <c r="T134" t="str">
        <f>INDEX(Lookups!$B$39:$B$45,MATCH(H134,Lookups!$A$39:$A$45,0))</f>
        <v>Thu</v>
      </c>
      <c r="U134" t="str">
        <f t="shared" si="29"/>
        <v>Weekday</v>
      </c>
      <c r="V134" t="str">
        <f t="shared" si="30"/>
        <v>Working Day</v>
      </c>
      <c r="W134" t="str">
        <f t="shared" si="31"/>
        <v>Spring</v>
      </c>
      <c r="X134" t="str">
        <f t="shared" si="32"/>
        <v>Clear</v>
      </c>
      <c r="Y134" t="str">
        <f t="shared" si="33"/>
        <v>Evening</v>
      </c>
      <c r="Z134" t="str">
        <f t="shared" si="34"/>
        <v>Mild</v>
      </c>
      <c r="AA134" t="str">
        <f t="shared" si="35"/>
        <v>Medium</v>
      </c>
      <c r="AB134" t="str">
        <f t="shared" si="36"/>
        <v>Peak</v>
      </c>
      <c r="AC134" s="63">
        <f t="shared" si="37"/>
        <v>3.0674846625766871E-2</v>
      </c>
      <c r="AD134" t="str">
        <f>IF(P134&gt;=Stats!$C$30,"High",IF(P134&lt;=Stats!$C$29,"Low","Normal"))</f>
        <v>High</v>
      </c>
      <c r="AE134">
        <f t="shared" si="38"/>
        <v>1</v>
      </c>
    </row>
    <row r="135" spans="1:31" x14ac:dyDescent="0.2">
      <c r="A135">
        <f>Dataset_A!A135</f>
        <v>134</v>
      </c>
      <c r="B135" s="61">
        <f>Dataset_A!B135</f>
        <v>40549</v>
      </c>
      <c r="C135">
        <f>Dataset_A!C135</f>
        <v>1</v>
      </c>
      <c r="D135">
        <f>Dataset_A!D135</f>
        <v>0</v>
      </c>
      <c r="E135">
        <f>Dataset_A!E135</f>
        <v>1</v>
      </c>
      <c r="F135">
        <f>Dataset_A!F135</f>
        <v>19</v>
      </c>
      <c r="G135" t="b">
        <f>Dataset_A!G135</f>
        <v>0</v>
      </c>
      <c r="H135">
        <f>Dataset_A!H135</f>
        <v>4</v>
      </c>
      <c r="I135">
        <f>Dataset_A!I135</f>
        <v>1</v>
      </c>
      <c r="J135" s="55">
        <f>Dataset_A!J135</f>
        <v>0.22</v>
      </c>
      <c r="K135">
        <f>Dataset_A!K135</f>
        <v>0.2576</v>
      </c>
      <c r="L135">
        <f>Dataset_A!L135</f>
        <v>0.55000000000000004</v>
      </c>
      <c r="M135">
        <f>Dataset_A!M135</f>
        <v>8.9599999999999999E-2</v>
      </c>
      <c r="N135">
        <f>Dataset_A!N135</f>
        <v>3</v>
      </c>
      <c r="O135">
        <f>Dataset_A!O135</f>
        <v>109</v>
      </c>
      <c r="P135">
        <f>Dataset_A!P135</f>
        <v>112</v>
      </c>
      <c r="Q135" t="str">
        <f t="shared" si="26"/>
        <v>REC-0134</v>
      </c>
      <c r="R135" s="62">
        <f t="shared" si="27"/>
        <v>40549.791666666664</v>
      </c>
      <c r="S135" t="str">
        <f t="shared" si="28"/>
        <v>Jan</v>
      </c>
      <c r="T135" t="str">
        <f>INDEX(Lookups!$B$39:$B$45,MATCH(H135,Lookups!$A$39:$A$45,0))</f>
        <v>Thu</v>
      </c>
      <c r="U135" t="str">
        <f t="shared" si="29"/>
        <v>Weekday</v>
      </c>
      <c r="V135" t="str">
        <f t="shared" si="30"/>
        <v>Working Day</v>
      </c>
      <c r="W135" t="str">
        <f t="shared" si="31"/>
        <v>Spring</v>
      </c>
      <c r="X135" t="str">
        <f t="shared" si="32"/>
        <v>Clear</v>
      </c>
      <c r="Y135" t="str">
        <f t="shared" si="33"/>
        <v>Evening</v>
      </c>
      <c r="Z135" t="str">
        <f t="shared" si="34"/>
        <v>Mild</v>
      </c>
      <c r="AA135" t="str">
        <f t="shared" si="35"/>
        <v>Medium</v>
      </c>
      <c r="AB135" t="str">
        <f t="shared" si="36"/>
        <v>Peak</v>
      </c>
      <c r="AC135" s="63">
        <f t="shared" si="37"/>
        <v>2.6785714285714284E-2</v>
      </c>
      <c r="AD135" t="str">
        <f>IF(P135&gt;=Stats!$C$30,"High",IF(P135&lt;=Stats!$C$29,"Low","Normal"))</f>
        <v>High</v>
      </c>
      <c r="AE135">
        <f t="shared" si="38"/>
        <v>1</v>
      </c>
    </row>
    <row r="136" spans="1:31" x14ac:dyDescent="0.2">
      <c r="A136">
        <f>Dataset_A!A136</f>
        <v>135</v>
      </c>
      <c r="B136" s="61">
        <f>Dataset_A!B136</f>
        <v>40549</v>
      </c>
      <c r="C136">
        <f>Dataset_A!C136</f>
        <v>1</v>
      </c>
      <c r="D136">
        <f>Dataset_A!D136</f>
        <v>0</v>
      </c>
      <c r="E136">
        <f>Dataset_A!E136</f>
        <v>1</v>
      </c>
      <c r="F136">
        <f>Dataset_A!F136</f>
        <v>20</v>
      </c>
      <c r="G136" t="b">
        <f>Dataset_A!G136</f>
        <v>0</v>
      </c>
      <c r="H136">
        <f>Dataset_A!H136</f>
        <v>4</v>
      </c>
      <c r="I136">
        <f>Dataset_A!I136</f>
        <v>1</v>
      </c>
      <c r="J136" s="55">
        <f>Dataset_A!J136</f>
        <v>0.2</v>
      </c>
      <c r="K136">
        <f>Dataset_A!K136</f>
        <v>0.21210000000000001</v>
      </c>
      <c r="L136">
        <f>Dataset_A!L136</f>
        <v>0.51</v>
      </c>
      <c r="M136">
        <f>Dataset_A!M136</f>
        <v>0.16420000000000001</v>
      </c>
      <c r="N136">
        <f>Dataset_A!N136</f>
        <v>3</v>
      </c>
      <c r="O136">
        <f>Dataset_A!O136</f>
        <v>66</v>
      </c>
      <c r="P136">
        <f>Dataset_A!P136</f>
        <v>69</v>
      </c>
      <c r="Q136" t="str">
        <f t="shared" si="26"/>
        <v>REC-0135</v>
      </c>
      <c r="R136" s="62">
        <f t="shared" si="27"/>
        <v>40549.833333333336</v>
      </c>
      <c r="S136" t="str">
        <f t="shared" si="28"/>
        <v>Jan</v>
      </c>
      <c r="T136" t="str">
        <f>INDEX(Lookups!$B$39:$B$45,MATCH(H136,Lookups!$A$39:$A$45,0))</f>
        <v>Thu</v>
      </c>
      <c r="U136" t="str">
        <f t="shared" si="29"/>
        <v>Weekday</v>
      </c>
      <c r="V136" t="str">
        <f t="shared" si="30"/>
        <v>Working Day</v>
      </c>
      <c r="W136" t="str">
        <f t="shared" si="31"/>
        <v>Spring</v>
      </c>
      <c r="X136" t="str">
        <f t="shared" si="32"/>
        <v>Clear</v>
      </c>
      <c r="Y136" t="str">
        <f t="shared" si="33"/>
        <v>Evening</v>
      </c>
      <c r="Z136" t="str">
        <f t="shared" si="34"/>
        <v>Mild</v>
      </c>
      <c r="AA136" t="str">
        <f t="shared" si="35"/>
        <v>Medium</v>
      </c>
      <c r="AB136" t="str">
        <f t="shared" si="36"/>
        <v>Off-Peak</v>
      </c>
      <c r="AC136" s="63">
        <f t="shared" si="37"/>
        <v>4.3478260869565216E-2</v>
      </c>
      <c r="AD136" t="str">
        <f>IF(P136&gt;=Stats!$C$30,"High",IF(P136&lt;=Stats!$C$29,"Low","Normal"))</f>
        <v>Normal</v>
      </c>
      <c r="AE136">
        <f t="shared" si="38"/>
        <v>1</v>
      </c>
    </row>
    <row r="137" spans="1:31" x14ac:dyDescent="0.2">
      <c r="A137">
        <f>Dataset_A!A137</f>
        <v>136</v>
      </c>
      <c r="B137" s="61">
        <f>Dataset_A!B137</f>
        <v>40549</v>
      </c>
      <c r="C137">
        <f>Dataset_A!C137</f>
        <v>1</v>
      </c>
      <c r="D137">
        <f>Dataset_A!D137</f>
        <v>0</v>
      </c>
      <c r="E137">
        <f>Dataset_A!E137</f>
        <v>1</v>
      </c>
      <c r="F137">
        <f>Dataset_A!F137</f>
        <v>21</v>
      </c>
      <c r="G137" t="b">
        <f>Dataset_A!G137</f>
        <v>0</v>
      </c>
      <c r="H137">
        <f>Dataset_A!H137</f>
        <v>4</v>
      </c>
      <c r="I137">
        <f>Dataset_A!I137</f>
        <v>2</v>
      </c>
      <c r="J137" s="55">
        <f>Dataset_A!J137</f>
        <v>0.22</v>
      </c>
      <c r="K137">
        <f>Dataset_A!K137</f>
        <v>0.21210000000000001</v>
      </c>
      <c r="L137">
        <f>Dataset_A!L137</f>
        <v>0.55000000000000004</v>
      </c>
      <c r="M137">
        <f>Dataset_A!M137</f>
        <v>0.22389999999999999</v>
      </c>
      <c r="N137">
        <f>Dataset_A!N137</f>
        <v>0</v>
      </c>
      <c r="O137">
        <f>Dataset_A!O137</f>
        <v>48</v>
      </c>
      <c r="P137">
        <f>Dataset_A!P137</f>
        <v>48</v>
      </c>
      <c r="Q137" t="str">
        <f t="shared" si="26"/>
        <v>REC-0136</v>
      </c>
      <c r="R137" s="62">
        <f t="shared" si="27"/>
        <v>40549.875</v>
      </c>
      <c r="S137" t="str">
        <f t="shared" si="28"/>
        <v>Jan</v>
      </c>
      <c r="T137" t="str">
        <f>INDEX(Lookups!$B$39:$B$45,MATCH(H137,Lookups!$A$39:$A$45,0))</f>
        <v>Thu</v>
      </c>
      <c r="U137" t="str">
        <f t="shared" si="29"/>
        <v>Weekday</v>
      </c>
      <c r="V137" t="str">
        <f t="shared" si="30"/>
        <v>Working Day</v>
      </c>
      <c r="W137" t="str">
        <f t="shared" si="31"/>
        <v>Spring</v>
      </c>
      <c r="X137" t="str">
        <f t="shared" si="32"/>
        <v>Cloudy/Mist</v>
      </c>
      <c r="Y137" t="str">
        <f t="shared" si="33"/>
        <v>Late Evening</v>
      </c>
      <c r="Z137" t="str">
        <f t="shared" si="34"/>
        <v>Mild</v>
      </c>
      <c r="AA137" t="str">
        <f t="shared" si="35"/>
        <v>Medium</v>
      </c>
      <c r="AB137" t="str">
        <f t="shared" si="36"/>
        <v>Off-Peak</v>
      </c>
      <c r="AC137" s="63">
        <f t="shared" si="37"/>
        <v>0</v>
      </c>
      <c r="AD137" t="str">
        <f>IF(P137&gt;=Stats!$C$30,"High",IF(P137&lt;=Stats!$C$29,"Low","Normal"))</f>
        <v>Normal</v>
      </c>
      <c r="AE137">
        <f t="shared" si="38"/>
        <v>1</v>
      </c>
    </row>
    <row r="138" spans="1:31" x14ac:dyDescent="0.2">
      <c r="A138">
        <f>Dataset_A!A138</f>
        <v>137</v>
      </c>
      <c r="B138" s="61">
        <f>Dataset_A!B138</f>
        <v>40549</v>
      </c>
      <c r="C138">
        <f>Dataset_A!C138</f>
        <v>1</v>
      </c>
      <c r="D138">
        <f>Dataset_A!D138</f>
        <v>0</v>
      </c>
      <c r="E138">
        <f>Dataset_A!E138</f>
        <v>1</v>
      </c>
      <c r="F138">
        <f>Dataset_A!F138</f>
        <v>22</v>
      </c>
      <c r="G138" t="b">
        <f>Dataset_A!G138</f>
        <v>0</v>
      </c>
      <c r="H138">
        <f>Dataset_A!H138</f>
        <v>4</v>
      </c>
      <c r="I138">
        <f>Dataset_A!I138</f>
        <v>2</v>
      </c>
      <c r="J138" s="55">
        <f>Dataset_A!J138</f>
        <v>0.22</v>
      </c>
      <c r="K138">
        <f>Dataset_A!K138</f>
        <v>0.21210000000000001</v>
      </c>
      <c r="L138">
        <f>Dataset_A!L138</f>
        <v>0.51</v>
      </c>
      <c r="M138">
        <f>Dataset_A!M138</f>
        <v>0.28360000000000002</v>
      </c>
      <c r="N138">
        <f>Dataset_A!N138</f>
        <v>1</v>
      </c>
      <c r="O138">
        <f>Dataset_A!O138</f>
        <v>51</v>
      </c>
      <c r="P138">
        <f>Dataset_A!P138</f>
        <v>52</v>
      </c>
      <c r="Q138" t="str">
        <f t="shared" si="26"/>
        <v>REC-0137</v>
      </c>
      <c r="R138" s="62">
        <f t="shared" si="27"/>
        <v>40549.916666666664</v>
      </c>
      <c r="S138" t="str">
        <f t="shared" si="28"/>
        <v>Jan</v>
      </c>
      <c r="T138" t="str">
        <f>INDEX(Lookups!$B$39:$B$45,MATCH(H138,Lookups!$A$39:$A$45,0))</f>
        <v>Thu</v>
      </c>
      <c r="U138" t="str">
        <f t="shared" si="29"/>
        <v>Weekday</v>
      </c>
      <c r="V138" t="str">
        <f t="shared" si="30"/>
        <v>Working Day</v>
      </c>
      <c r="W138" t="str">
        <f t="shared" si="31"/>
        <v>Spring</v>
      </c>
      <c r="X138" t="str">
        <f t="shared" si="32"/>
        <v>Cloudy/Mist</v>
      </c>
      <c r="Y138" t="str">
        <f t="shared" si="33"/>
        <v>Late Evening</v>
      </c>
      <c r="Z138" t="str">
        <f t="shared" si="34"/>
        <v>Mild</v>
      </c>
      <c r="AA138" t="str">
        <f t="shared" si="35"/>
        <v>Medium</v>
      </c>
      <c r="AB138" t="str">
        <f t="shared" si="36"/>
        <v>Off-Peak</v>
      </c>
      <c r="AC138" s="63">
        <f t="shared" si="37"/>
        <v>1.9230769230769232E-2</v>
      </c>
      <c r="AD138" t="str">
        <f>IF(P138&gt;=Stats!$C$30,"High",IF(P138&lt;=Stats!$C$29,"Low","Normal"))</f>
        <v>Normal</v>
      </c>
      <c r="AE138">
        <f t="shared" si="38"/>
        <v>1</v>
      </c>
    </row>
    <row r="139" spans="1:31" x14ac:dyDescent="0.2">
      <c r="A139">
        <f>Dataset_A!A139</f>
        <v>138</v>
      </c>
      <c r="B139" s="61">
        <f>Dataset_A!B139</f>
        <v>40549</v>
      </c>
      <c r="C139">
        <f>Dataset_A!C139</f>
        <v>1</v>
      </c>
      <c r="D139">
        <f>Dataset_A!D139</f>
        <v>0</v>
      </c>
      <c r="E139">
        <f>Dataset_A!E139</f>
        <v>1</v>
      </c>
      <c r="F139">
        <f>Dataset_A!F139</f>
        <v>23</v>
      </c>
      <c r="G139" t="b">
        <f>Dataset_A!G139</f>
        <v>0</v>
      </c>
      <c r="H139">
        <f>Dataset_A!H139</f>
        <v>4</v>
      </c>
      <c r="I139">
        <f>Dataset_A!I139</f>
        <v>2</v>
      </c>
      <c r="J139" s="55">
        <f>Dataset_A!J139</f>
        <v>0.2</v>
      </c>
      <c r="K139">
        <f>Dataset_A!K139</f>
        <v>0.19700000000000001</v>
      </c>
      <c r="L139">
        <f>Dataset_A!L139</f>
        <v>0.59</v>
      </c>
      <c r="M139">
        <f>Dataset_A!M139</f>
        <v>0.19400000000000001</v>
      </c>
      <c r="N139">
        <f>Dataset_A!N139</f>
        <v>4</v>
      </c>
      <c r="O139">
        <f>Dataset_A!O139</f>
        <v>19</v>
      </c>
      <c r="P139">
        <f>Dataset_A!P139</f>
        <v>23</v>
      </c>
      <c r="Q139" t="str">
        <f t="shared" si="26"/>
        <v>REC-0138</v>
      </c>
      <c r="R139" s="62">
        <f t="shared" si="27"/>
        <v>40549.958333333336</v>
      </c>
      <c r="S139" t="str">
        <f t="shared" si="28"/>
        <v>Jan</v>
      </c>
      <c r="T139" t="str">
        <f>INDEX(Lookups!$B$39:$B$45,MATCH(H139,Lookups!$A$39:$A$45,0))</f>
        <v>Thu</v>
      </c>
      <c r="U139" t="str">
        <f t="shared" si="29"/>
        <v>Weekday</v>
      </c>
      <c r="V139" t="str">
        <f t="shared" si="30"/>
        <v>Working Day</v>
      </c>
      <c r="W139" t="str">
        <f t="shared" si="31"/>
        <v>Spring</v>
      </c>
      <c r="X139" t="str">
        <f t="shared" si="32"/>
        <v>Cloudy/Mist</v>
      </c>
      <c r="Y139" t="str">
        <f t="shared" si="33"/>
        <v>Late Evening</v>
      </c>
      <c r="Z139" t="str">
        <f t="shared" si="34"/>
        <v>Mild</v>
      </c>
      <c r="AA139" t="str">
        <f t="shared" si="35"/>
        <v>Medium</v>
      </c>
      <c r="AB139" t="str">
        <f t="shared" si="36"/>
        <v>Off-Peak</v>
      </c>
      <c r="AC139" s="63">
        <f t="shared" si="37"/>
        <v>0.17391304347826086</v>
      </c>
      <c r="AD139" t="str">
        <f>IF(P139&gt;=Stats!$C$30,"High",IF(P139&lt;=Stats!$C$29,"Low","Normal"))</f>
        <v>Normal</v>
      </c>
      <c r="AE139">
        <f t="shared" si="38"/>
        <v>1</v>
      </c>
    </row>
    <row r="140" spans="1:31" x14ac:dyDescent="0.2">
      <c r="A140">
        <f>Dataset_A!A140</f>
        <v>139</v>
      </c>
      <c r="B140" s="61">
        <f>Dataset_A!B140</f>
        <v>40550</v>
      </c>
      <c r="C140">
        <f>Dataset_A!C140</f>
        <v>1</v>
      </c>
      <c r="D140">
        <f>Dataset_A!D140</f>
        <v>0</v>
      </c>
      <c r="E140">
        <f>Dataset_A!E140</f>
        <v>1</v>
      </c>
      <c r="F140">
        <f>Dataset_A!F140</f>
        <v>0</v>
      </c>
      <c r="G140" t="b">
        <f>Dataset_A!G140</f>
        <v>0</v>
      </c>
      <c r="H140">
        <f>Dataset_A!H140</f>
        <v>5</v>
      </c>
      <c r="I140">
        <f>Dataset_A!I140</f>
        <v>2</v>
      </c>
      <c r="J140" s="55">
        <f>Dataset_A!J140</f>
        <v>0.2</v>
      </c>
      <c r="K140">
        <f>Dataset_A!K140</f>
        <v>0.19700000000000001</v>
      </c>
      <c r="L140">
        <f>Dataset_A!L140</f>
        <v>0.64</v>
      </c>
      <c r="M140">
        <f>Dataset_A!M140</f>
        <v>0.19400000000000001</v>
      </c>
      <c r="N140">
        <f>Dataset_A!N140</f>
        <v>4</v>
      </c>
      <c r="O140">
        <f>Dataset_A!O140</f>
        <v>13</v>
      </c>
      <c r="P140">
        <f>Dataset_A!P140</f>
        <v>17</v>
      </c>
      <c r="Q140" t="str">
        <f t="shared" si="26"/>
        <v>REC-0139</v>
      </c>
      <c r="R140" s="62">
        <f t="shared" si="27"/>
        <v>40550</v>
      </c>
      <c r="S140" t="str">
        <f t="shared" si="28"/>
        <v>Jan</v>
      </c>
      <c r="T140" t="str">
        <f>INDEX(Lookups!$B$39:$B$45,MATCH(H140,Lookups!$A$39:$A$45,0))</f>
        <v>Fri</v>
      </c>
      <c r="U140" t="str">
        <f t="shared" si="29"/>
        <v>Weekday</v>
      </c>
      <c r="V140" t="str">
        <f t="shared" si="30"/>
        <v>Working Day</v>
      </c>
      <c r="W140" t="str">
        <f t="shared" si="31"/>
        <v>Spring</v>
      </c>
      <c r="X140" t="str">
        <f t="shared" si="32"/>
        <v>Cloudy/Mist</v>
      </c>
      <c r="Y140" t="str">
        <f t="shared" si="33"/>
        <v>Night</v>
      </c>
      <c r="Z140" t="str">
        <f t="shared" si="34"/>
        <v>Mild</v>
      </c>
      <c r="AA140" t="str">
        <f t="shared" si="35"/>
        <v>Medium</v>
      </c>
      <c r="AB140" t="str">
        <f t="shared" si="36"/>
        <v>Off-Peak</v>
      </c>
      <c r="AC140" s="63">
        <f t="shared" si="37"/>
        <v>0.23529411764705882</v>
      </c>
      <c r="AD140" t="str">
        <f>IF(P140&gt;=Stats!$C$30,"High",IF(P140&lt;=Stats!$C$29,"Low","Normal"))</f>
        <v>Normal</v>
      </c>
      <c r="AE140">
        <f t="shared" si="38"/>
        <v>1</v>
      </c>
    </row>
    <row r="141" spans="1:31" x14ac:dyDescent="0.2">
      <c r="A141">
        <f>Dataset_A!A141</f>
        <v>140</v>
      </c>
      <c r="B141" s="61">
        <f>Dataset_A!B141</f>
        <v>40550</v>
      </c>
      <c r="C141">
        <f>Dataset_A!C141</f>
        <v>1</v>
      </c>
      <c r="D141">
        <f>Dataset_A!D141</f>
        <v>0</v>
      </c>
      <c r="E141">
        <f>Dataset_A!E141</f>
        <v>1</v>
      </c>
      <c r="F141">
        <f>Dataset_A!F141</f>
        <v>1</v>
      </c>
      <c r="G141" t="b">
        <f>Dataset_A!G141</f>
        <v>0</v>
      </c>
      <c r="H141">
        <f>Dataset_A!H141</f>
        <v>5</v>
      </c>
      <c r="I141">
        <f>Dataset_A!I141</f>
        <v>2</v>
      </c>
      <c r="J141" s="55">
        <f>Dataset_A!J141</f>
        <v>0.2</v>
      </c>
      <c r="K141">
        <f>Dataset_A!K141</f>
        <v>0.19700000000000001</v>
      </c>
      <c r="L141">
        <f>Dataset_A!L141</f>
        <v>0.69</v>
      </c>
      <c r="M141">
        <f>Dataset_A!M141</f>
        <v>0.22389999999999999</v>
      </c>
      <c r="N141">
        <f>Dataset_A!N141</f>
        <v>2</v>
      </c>
      <c r="O141">
        <f>Dataset_A!O141</f>
        <v>5</v>
      </c>
      <c r="P141">
        <f>Dataset_A!P141</f>
        <v>7</v>
      </c>
      <c r="Q141" t="str">
        <f t="shared" si="26"/>
        <v>REC-0140</v>
      </c>
      <c r="R141" s="62">
        <f t="shared" si="27"/>
        <v>40550.041666666664</v>
      </c>
      <c r="S141" t="str">
        <f t="shared" si="28"/>
        <v>Jan</v>
      </c>
      <c r="T141" t="str">
        <f>INDEX(Lookups!$B$39:$B$45,MATCH(H141,Lookups!$A$39:$A$45,0))</f>
        <v>Fri</v>
      </c>
      <c r="U141" t="str">
        <f t="shared" si="29"/>
        <v>Weekday</v>
      </c>
      <c r="V141" t="str">
        <f t="shared" si="30"/>
        <v>Working Day</v>
      </c>
      <c r="W141" t="str">
        <f t="shared" si="31"/>
        <v>Spring</v>
      </c>
      <c r="X141" t="str">
        <f t="shared" si="32"/>
        <v>Cloudy/Mist</v>
      </c>
      <c r="Y141" t="str">
        <f t="shared" si="33"/>
        <v>Night</v>
      </c>
      <c r="Z141" t="str">
        <f t="shared" si="34"/>
        <v>Mild</v>
      </c>
      <c r="AA141" t="str">
        <f t="shared" si="35"/>
        <v>Medium</v>
      </c>
      <c r="AB141" t="str">
        <f t="shared" si="36"/>
        <v>Off-Peak</v>
      </c>
      <c r="AC141" s="63">
        <f t="shared" si="37"/>
        <v>0.2857142857142857</v>
      </c>
      <c r="AD141" t="str">
        <f>IF(P141&gt;=Stats!$C$30,"High",IF(P141&lt;=Stats!$C$29,"Low","Normal"))</f>
        <v>Low</v>
      </c>
      <c r="AE141">
        <f t="shared" si="38"/>
        <v>1</v>
      </c>
    </row>
    <row r="142" spans="1:31" x14ac:dyDescent="0.2">
      <c r="A142">
        <f>Dataset_A!A142</f>
        <v>141</v>
      </c>
      <c r="B142" s="61">
        <f>Dataset_A!B142</f>
        <v>40550</v>
      </c>
      <c r="C142">
        <f>Dataset_A!C142</f>
        <v>1</v>
      </c>
      <c r="D142">
        <f>Dataset_A!D142</f>
        <v>0</v>
      </c>
      <c r="E142">
        <f>Dataset_A!E142</f>
        <v>1</v>
      </c>
      <c r="F142">
        <f>Dataset_A!F142</f>
        <v>2</v>
      </c>
      <c r="G142" t="b">
        <f>Dataset_A!G142</f>
        <v>0</v>
      </c>
      <c r="H142">
        <f>Dataset_A!H142</f>
        <v>5</v>
      </c>
      <c r="I142">
        <f>Dataset_A!I142</f>
        <v>2</v>
      </c>
      <c r="J142" s="55">
        <f>Dataset_A!J142</f>
        <v>0.2</v>
      </c>
      <c r="K142">
        <f>Dataset_A!K142</f>
        <v>0.19700000000000001</v>
      </c>
      <c r="L142">
        <f>Dataset_A!L142</f>
        <v>0.69</v>
      </c>
      <c r="M142">
        <f>Dataset_A!M142</f>
        <v>0.22389999999999999</v>
      </c>
      <c r="N142">
        <f>Dataset_A!N142</f>
        <v>0</v>
      </c>
      <c r="O142">
        <f>Dataset_A!O142</f>
        <v>1</v>
      </c>
      <c r="P142">
        <f>Dataset_A!P142</f>
        <v>1</v>
      </c>
      <c r="Q142" t="str">
        <f t="shared" si="26"/>
        <v>REC-0141</v>
      </c>
      <c r="R142" s="62">
        <f t="shared" si="27"/>
        <v>40550.083333333336</v>
      </c>
      <c r="S142" t="str">
        <f t="shared" si="28"/>
        <v>Jan</v>
      </c>
      <c r="T142" t="str">
        <f>INDEX(Lookups!$B$39:$B$45,MATCH(H142,Lookups!$A$39:$A$45,0))</f>
        <v>Fri</v>
      </c>
      <c r="U142" t="str">
        <f t="shared" si="29"/>
        <v>Weekday</v>
      </c>
      <c r="V142" t="str">
        <f t="shared" si="30"/>
        <v>Working Day</v>
      </c>
      <c r="W142" t="str">
        <f t="shared" si="31"/>
        <v>Spring</v>
      </c>
      <c r="X142" t="str">
        <f t="shared" si="32"/>
        <v>Cloudy/Mist</v>
      </c>
      <c r="Y142" t="str">
        <f t="shared" si="33"/>
        <v>Night</v>
      </c>
      <c r="Z142" t="str">
        <f t="shared" si="34"/>
        <v>Mild</v>
      </c>
      <c r="AA142" t="str">
        <f t="shared" si="35"/>
        <v>Medium</v>
      </c>
      <c r="AB142" t="str">
        <f t="shared" si="36"/>
        <v>Off-Peak</v>
      </c>
      <c r="AC142" s="63">
        <f t="shared" si="37"/>
        <v>0</v>
      </c>
      <c r="AD142" t="str">
        <f>IF(P142&gt;=Stats!$C$30,"High",IF(P142&lt;=Stats!$C$29,"Low","Normal"))</f>
        <v>Low</v>
      </c>
      <c r="AE142">
        <f t="shared" si="38"/>
        <v>1</v>
      </c>
    </row>
    <row r="143" spans="1:31" x14ac:dyDescent="0.2">
      <c r="A143">
        <f>Dataset_A!A143</f>
        <v>142</v>
      </c>
      <c r="B143" s="61">
        <f>Dataset_A!B143</f>
        <v>40550</v>
      </c>
      <c r="C143">
        <f>Dataset_A!C143</f>
        <v>1</v>
      </c>
      <c r="D143">
        <f>Dataset_A!D143</f>
        <v>0</v>
      </c>
      <c r="E143">
        <f>Dataset_A!E143</f>
        <v>1</v>
      </c>
      <c r="F143">
        <f>Dataset_A!F143</f>
        <v>4</v>
      </c>
      <c r="G143" t="b">
        <f>Dataset_A!G143</f>
        <v>0</v>
      </c>
      <c r="H143">
        <f>Dataset_A!H143</f>
        <v>5</v>
      </c>
      <c r="I143">
        <f>Dataset_A!I143</f>
        <v>2</v>
      </c>
      <c r="J143" s="55">
        <f>Dataset_A!J143</f>
        <v>0.2</v>
      </c>
      <c r="K143">
        <f>Dataset_A!K143</f>
        <v>0.21210000000000001</v>
      </c>
      <c r="L143">
        <f>Dataset_A!L143</f>
        <v>0.69</v>
      </c>
      <c r="M143">
        <f>Dataset_A!M143</f>
        <v>0.1343</v>
      </c>
      <c r="N143">
        <f>Dataset_A!N143</f>
        <v>0</v>
      </c>
      <c r="O143">
        <f>Dataset_A!O143</f>
        <v>1</v>
      </c>
      <c r="P143">
        <f>Dataset_A!P143</f>
        <v>1</v>
      </c>
      <c r="Q143" t="str">
        <f t="shared" si="26"/>
        <v>REC-0142</v>
      </c>
      <c r="R143" s="62">
        <f t="shared" si="27"/>
        <v>40550.166666666664</v>
      </c>
      <c r="S143" t="str">
        <f t="shared" si="28"/>
        <v>Jan</v>
      </c>
      <c r="T143" t="str">
        <f>INDEX(Lookups!$B$39:$B$45,MATCH(H143,Lookups!$A$39:$A$45,0))</f>
        <v>Fri</v>
      </c>
      <c r="U143" t="str">
        <f t="shared" si="29"/>
        <v>Weekday</v>
      </c>
      <c r="V143" t="str">
        <f t="shared" si="30"/>
        <v>Working Day</v>
      </c>
      <c r="W143" t="str">
        <f t="shared" si="31"/>
        <v>Spring</v>
      </c>
      <c r="X143" t="str">
        <f t="shared" si="32"/>
        <v>Cloudy/Mist</v>
      </c>
      <c r="Y143" t="str">
        <f t="shared" si="33"/>
        <v>Night</v>
      </c>
      <c r="Z143" t="str">
        <f t="shared" si="34"/>
        <v>Mild</v>
      </c>
      <c r="AA143" t="str">
        <f t="shared" si="35"/>
        <v>Medium</v>
      </c>
      <c r="AB143" t="str">
        <f t="shared" si="36"/>
        <v>Off-Peak</v>
      </c>
      <c r="AC143" s="63">
        <f t="shared" si="37"/>
        <v>0</v>
      </c>
      <c r="AD143" t="str">
        <f>IF(P143&gt;=Stats!$C$30,"High",IF(P143&lt;=Stats!$C$29,"Low","Normal"))</f>
        <v>Low</v>
      </c>
      <c r="AE143">
        <f t="shared" si="38"/>
        <v>1</v>
      </c>
    </row>
    <row r="144" spans="1:31" x14ac:dyDescent="0.2">
      <c r="A144">
        <f>Dataset_A!A144</f>
        <v>143</v>
      </c>
      <c r="B144" s="61">
        <f>Dataset_A!B144</f>
        <v>40550</v>
      </c>
      <c r="C144">
        <f>Dataset_A!C144</f>
        <v>1</v>
      </c>
      <c r="D144">
        <f>Dataset_A!D144</f>
        <v>0</v>
      </c>
      <c r="E144">
        <f>Dataset_A!E144</f>
        <v>1</v>
      </c>
      <c r="F144">
        <f>Dataset_A!F144</f>
        <v>5</v>
      </c>
      <c r="G144" t="b">
        <f>Dataset_A!G144</f>
        <v>0</v>
      </c>
      <c r="H144">
        <f>Dataset_A!H144</f>
        <v>5</v>
      </c>
      <c r="I144">
        <f>Dataset_A!I144</f>
        <v>3</v>
      </c>
      <c r="J144" s="55">
        <f>Dataset_A!J144</f>
        <v>0.22</v>
      </c>
      <c r="K144">
        <f>Dataset_A!K144</f>
        <v>0.2727</v>
      </c>
      <c r="L144">
        <f>Dataset_A!L144</f>
        <v>0.55000000000000004</v>
      </c>
      <c r="M144">
        <f>Dataset_A!M144</f>
        <v>0</v>
      </c>
      <c r="N144">
        <f>Dataset_A!N144</f>
        <v>0</v>
      </c>
      <c r="O144">
        <f>Dataset_A!O144</f>
        <v>5</v>
      </c>
      <c r="P144">
        <f>Dataset_A!P144</f>
        <v>5</v>
      </c>
      <c r="Q144" t="str">
        <f t="shared" si="26"/>
        <v>REC-0143</v>
      </c>
      <c r="R144" s="62">
        <f t="shared" si="27"/>
        <v>40550.208333333336</v>
      </c>
      <c r="S144" t="str">
        <f t="shared" si="28"/>
        <v>Jan</v>
      </c>
      <c r="T144" t="str">
        <f>INDEX(Lookups!$B$39:$B$45,MATCH(H144,Lookups!$A$39:$A$45,0))</f>
        <v>Fri</v>
      </c>
      <c r="U144" t="str">
        <f t="shared" si="29"/>
        <v>Weekday</v>
      </c>
      <c r="V144" t="str">
        <f t="shared" si="30"/>
        <v>Working Day</v>
      </c>
      <c r="W144" t="str">
        <f t="shared" si="31"/>
        <v>Spring</v>
      </c>
      <c r="X144" t="str">
        <f t="shared" si="32"/>
        <v>Light Rain/Snow</v>
      </c>
      <c r="Y144" t="str">
        <f t="shared" si="33"/>
        <v>Night</v>
      </c>
      <c r="Z144" t="str">
        <f t="shared" si="34"/>
        <v>Mild</v>
      </c>
      <c r="AA144" t="str">
        <f t="shared" si="35"/>
        <v>Medium</v>
      </c>
      <c r="AB144" t="str">
        <f t="shared" si="36"/>
        <v>Off-Peak</v>
      </c>
      <c r="AC144" s="63">
        <f t="shared" si="37"/>
        <v>0</v>
      </c>
      <c r="AD144" t="str">
        <f>IF(P144&gt;=Stats!$C$30,"High",IF(P144&lt;=Stats!$C$29,"Low","Normal"))</f>
        <v>Low</v>
      </c>
      <c r="AE144">
        <f t="shared" si="38"/>
        <v>1</v>
      </c>
    </row>
    <row r="145" spans="1:31" x14ac:dyDescent="0.2">
      <c r="A145">
        <f>Dataset_A!A145</f>
        <v>144</v>
      </c>
      <c r="B145" s="61">
        <f>Dataset_A!B145</f>
        <v>40550</v>
      </c>
      <c r="C145">
        <f>Dataset_A!C145</f>
        <v>1</v>
      </c>
      <c r="D145">
        <f>Dataset_A!D145</f>
        <v>0</v>
      </c>
      <c r="E145">
        <f>Dataset_A!E145</f>
        <v>1</v>
      </c>
      <c r="F145">
        <f>Dataset_A!F145</f>
        <v>6</v>
      </c>
      <c r="G145" t="b">
        <f>Dataset_A!G145</f>
        <v>0</v>
      </c>
      <c r="H145">
        <f>Dataset_A!H145</f>
        <v>5</v>
      </c>
      <c r="I145">
        <f>Dataset_A!I145</f>
        <v>2</v>
      </c>
      <c r="J145" s="55">
        <f>Dataset_A!J145</f>
        <v>0.2</v>
      </c>
      <c r="K145">
        <f>Dataset_A!K145</f>
        <v>0.2576</v>
      </c>
      <c r="L145">
        <f>Dataset_A!L145</f>
        <v>0.69</v>
      </c>
      <c r="M145">
        <f>Dataset_A!M145</f>
        <v>0</v>
      </c>
      <c r="N145">
        <f>Dataset_A!N145</f>
        <v>8</v>
      </c>
      <c r="O145">
        <f>Dataset_A!O145</f>
        <v>26</v>
      </c>
      <c r="P145">
        <f>Dataset_A!P145</f>
        <v>34</v>
      </c>
      <c r="Q145" t="str">
        <f t="shared" si="26"/>
        <v>REC-0144</v>
      </c>
      <c r="R145" s="62">
        <f t="shared" si="27"/>
        <v>40550.25</v>
      </c>
      <c r="S145" t="str">
        <f t="shared" si="28"/>
        <v>Jan</v>
      </c>
      <c r="T145" t="str">
        <f>INDEX(Lookups!$B$39:$B$45,MATCH(H145,Lookups!$A$39:$A$45,0))</f>
        <v>Fri</v>
      </c>
      <c r="U145" t="str">
        <f t="shared" si="29"/>
        <v>Weekday</v>
      </c>
      <c r="V145" t="str">
        <f t="shared" si="30"/>
        <v>Working Day</v>
      </c>
      <c r="W145" t="str">
        <f t="shared" si="31"/>
        <v>Spring</v>
      </c>
      <c r="X145" t="str">
        <f t="shared" si="32"/>
        <v>Cloudy/Mist</v>
      </c>
      <c r="Y145" t="str">
        <f t="shared" si="33"/>
        <v>Morning</v>
      </c>
      <c r="Z145" t="str">
        <f t="shared" si="34"/>
        <v>Mild</v>
      </c>
      <c r="AA145" t="str">
        <f t="shared" si="35"/>
        <v>Medium</v>
      </c>
      <c r="AB145" t="str">
        <f t="shared" si="36"/>
        <v>Off-Peak</v>
      </c>
      <c r="AC145" s="63">
        <f t="shared" si="37"/>
        <v>0.23529411764705882</v>
      </c>
      <c r="AD145" t="str">
        <f>IF(P145&gt;=Stats!$C$30,"High",IF(P145&lt;=Stats!$C$29,"Low","Normal"))</f>
        <v>Normal</v>
      </c>
      <c r="AE145">
        <f t="shared" si="38"/>
        <v>1</v>
      </c>
    </row>
    <row r="146" spans="1:31" x14ac:dyDescent="0.2">
      <c r="A146">
        <f>Dataset_A!A146</f>
        <v>145</v>
      </c>
      <c r="B146" s="61">
        <f>Dataset_A!B146</f>
        <v>40550</v>
      </c>
      <c r="C146">
        <f>Dataset_A!C146</f>
        <v>1</v>
      </c>
      <c r="D146">
        <f>Dataset_A!D146</f>
        <v>0</v>
      </c>
      <c r="E146">
        <f>Dataset_A!E146</f>
        <v>1</v>
      </c>
      <c r="F146">
        <f>Dataset_A!F146</f>
        <v>7</v>
      </c>
      <c r="G146" t="b">
        <f>Dataset_A!G146</f>
        <v>0</v>
      </c>
      <c r="H146">
        <f>Dataset_A!H146</f>
        <v>5</v>
      </c>
      <c r="I146">
        <f>Dataset_A!I146</f>
        <v>1</v>
      </c>
      <c r="J146" s="55">
        <f>Dataset_A!J146</f>
        <v>0.2</v>
      </c>
      <c r="K146">
        <f>Dataset_A!K146</f>
        <v>0.21210000000000001</v>
      </c>
      <c r="L146">
        <f>Dataset_A!L146</f>
        <v>0.69</v>
      </c>
      <c r="M146">
        <f>Dataset_A!M146</f>
        <v>0.1343</v>
      </c>
      <c r="N146">
        <f>Dataset_A!N146</f>
        <v>8</v>
      </c>
      <c r="O146">
        <f>Dataset_A!O146</f>
        <v>76</v>
      </c>
      <c r="P146">
        <f>Dataset_A!P146</f>
        <v>84</v>
      </c>
      <c r="Q146" t="str">
        <f t="shared" si="26"/>
        <v>REC-0145</v>
      </c>
      <c r="R146" s="62">
        <f t="shared" si="27"/>
        <v>40550.291666666664</v>
      </c>
      <c r="S146" t="str">
        <f t="shared" si="28"/>
        <v>Jan</v>
      </c>
      <c r="T146" t="str">
        <f>INDEX(Lookups!$B$39:$B$45,MATCH(H146,Lookups!$A$39:$A$45,0))</f>
        <v>Fri</v>
      </c>
      <c r="U146" t="str">
        <f t="shared" si="29"/>
        <v>Weekday</v>
      </c>
      <c r="V146" t="str">
        <f t="shared" si="30"/>
        <v>Working Day</v>
      </c>
      <c r="W146" t="str">
        <f t="shared" si="31"/>
        <v>Spring</v>
      </c>
      <c r="X146" t="str">
        <f t="shared" si="32"/>
        <v>Clear</v>
      </c>
      <c r="Y146" t="str">
        <f t="shared" si="33"/>
        <v>Morning</v>
      </c>
      <c r="Z146" t="str">
        <f t="shared" si="34"/>
        <v>Mild</v>
      </c>
      <c r="AA146" t="str">
        <f t="shared" si="35"/>
        <v>Medium</v>
      </c>
      <c r="AB146" t="str">
        <f t="shared" si="36"/>
        <v>Peak</v>
      </c>
      <c r="AC146" s="63">
        <f t="shared" si="37"/>
        <v>9.5238095238095233E-2</v>
      </c>
      <c r="AD146" t="str">
        <f>IF(P146&gt;=Stats!$C$30,"High",IF(P146&lt;=Stats!$C$29,"Low","Normal"))</f>
        <v>High</v>
      </c>
      <c r="AE146">
        <f t="shared" si="38"/>
        <v>1</v>
      </c>
    </row>
    <row r="147" spans="1:31" x14ac:dyDescent="0.2">
      <c r="A147">
        <f>Dataset_A!A147</f>
        <v>146</v>
      </c>
      <c r="B147" s="61">
        <f>Dataset_A!B147</f>
        <v>40550</v>
      </c>
      <c r="C147">
        <f>Dataset_A!C147</f>
        <v>1</v>
      </c>
      <c r="D147">
        <f>Dataset_A!D147</f>
        <v>0</v>
      </c>
      <c r="E147">
        <f>Dataset_A!E147</f>
        <v>1</v>
      </c>
      <c r="F147">
        <f>Dataset_A!F147</f>
        <v>8</v>
      </c>
      <c r="G147" t="b">
        <f>Dataset_A!G147</f>
        <v>0</v>
      </c>
      <c r="H147">
        <f>Dataset_A!H147</f>
        <v>5</v>
      </c>
      <c r="I147">
        <f>Dataset_A!I147</f>
        <v>1</v>
      </c>
      <c r="J147" s="55">
        <f>Dataset_A!J147</f>
        <v>0.2</v>
      </c>
      <c r="K147">
        <f>Dataset_A!K147</f>
        <v>0.19700000000000001</v>
      </c>
      <c r="L147">
        <f>Dataset_A!L147</f>
        <v>0.51</v>
      </c>
      <c r="M147">
        <f>Dataset_A!M147</f>
        <v>0.25369999999999998</v>
      </c>
      <c r="N147">
        <f>Dataset_A!N147</f>
        <v>20</v>
      </c>
      <c r="O147">
        <f>Dataset_A!O147</f>
        <v>190</v>
      </c>
      <c r="P147">
        <f>Dataset_A!P147</f>
        <v>210</v>
      </c>
      <c r="Q147" t="str">
        <f t="shared" si="26"/>
        <v>REC-0146</v>
      </c>
      <c r="R147" s="62">
        <f t="shared" si="27"/>
        <v>40550.333333333336</v>
      </c>
      <c r="S147" t="str">
        <f t="shared" si="28"/>
        <v>Jan</v>
      </c>
      <c r="T147" t="str">
        <f>INDEX(Lookups!$B$39:$B$45,MATCH(H147,Lookups!$A$39:$A$45,0))</f>
        <v>Fri</v>
      </c>
      <c r="U147" t="str">
        <f t="shared" si="29"/>
        <v>Weekday</v>
      </c>
      <c r="V147" t="str">
        <f t="shared" si="30"/>
        <v>Working Day</v>
      </c>
      <c r="W147" t="str">
        <f t="shared" si="31"/>
        <v>Spring</v>
      </c>
      <c r="X147" t="str">
        <f t="shared" si="32"/>
        <v>Clear</v>
      </c>
      <c r="Y147" t="str">
        <f t="shared" si="33"/>
        <v>Morning</v>
      </c>
      <c r="Z147" t="str">
        <f t="shared" si="34"/>
        <v>Mild</v>
      </c>
      <c r="AA147" t="str">
        <f t="shared" si="35"/>
        <v>Medium</v>
      </c>
      <c r="AB147" t="str">
        <f t="shared" si="36"/>
        <v>Peak</v>
      </c>
      <c r="AC147" s="63">
        <f t="shared" si="37"/>
        <v>9.5238095238095233E-2</v>
      </c>
      <c r="AD147" t="str">
        <f>IF(P147&gt;=Stats!$C$30,"High",IF(P147&lt;=Stats!$C$29,"Low","Normal"))</f>
        <v>High</v>
      </c>
      <c r="AE147">
        <f t="shared" si="38"/>
        <v>1</v>
      </c>
    </row>
    <row r="148" spans="1:31" x14ac:dyDescent="0.2">
      <c r="A148">
        <f>Dataset_A!A148</f>
        <v>147</v>
      </c>
      <c r="B148" s="61">
        <f>Dataset_A!B148</f>
        <v>40550</v>
      </c>
      <c r="C148">
        <f>Dataset_A!C148</f>
        <v>1</v>
      </c>
      <c r="D148">
        <f>Dataset_A!D148</f>
        <v>0</v>
      </c>
      <c r="E148">
        <f>Dataset_A!E148</f>
        <v>1</v>
      </c>
      <c r="F148">
        <f>Dataset_A!F148</f>
        <v>9</v>
      </c>
      <c r="G148" t="b">
        <f>Dataset_A!G148</f>
        <v>0</v>
      </c>
      <c r="H148">
        <f>Dataset_A!H148</f>
        <v>5</v>
      </c>
      <c r="I148">
        <f>Dataset_A!I148</f>
        <v>1</v>
      </c>
      <c r="J148" s="55">
        <f>Dataset_A!J148</f>
        <v>0.2</v>
      </c>
      <c r="K148">
        <f>Dataset_A!K148</f>
        <v>0.18179999999999999</v>
      </c>
      <c r="L148">
        <f>Dataset_A!L148</f>
        <v>0.47</v>
      </c>
      <c r="M148">
        <f>Dataset_A!M148</f>
        <v>0.29849999999999999</v>
      </c>
      <c r="N148">
        <f>Dataset_A!N148</f>
        <v>9</v>
      </c>
      <c r="O148">
        <f>Dataset_A!O148</f>
        <v>125</v>
      </c>
      <c r="P148">
        <f>Dataset_A!P148</f>
        <v>134</v>
      </c>
      <c r="Q148" t="str">
        <f t="shared" si="26"/>
        <v>REC-0147</v>
      </c>
      <c r="R148" s="62">
        <f t="shared" si="27"/>
        <v>40550.375</v>
      </c>
      <c r="S148" t="str">
        <f t="shared" si="28"/>
        <v>Jan</v>
      </c>
      <c r="T148" t="str">
        <f>INDEX(Lookups!$B$39:$B$45,MATCH(H148,Lookups!$A$39:$A$45,0))</f>
        <v>Fri</v>
      </c>
      <c r="U148" t="str">
        <f t="shared" si="29"/>
        <v>Weekday</v>
      </c>
      <c r="V148" t="str">
        <f t="shared" si="30"/>
        <v>Working Day</v>
      </c>
      <c r="W148" t="str">
        <f t="shared" si="31"/>
        <v>Spring</v>
      </c>
      <c r="X148" t="str">
        <f t="shared" si="32"/>
        <v>Clear</v>
      </c>
      <c r="Y148" t="str">
        <f t="shared" si="33"/>
        <v>Morning</v>
      </c>
      <c r="Z148" t="str">
        <f t="shared" si="34"/>
        <v>Mild</v>
      </c>
      <c r="AA148" t="str">
        <f t="shared" si="35"/>
        <v>Low</v>
      </c>
      <c r="AB148" t="str">
        <f t="shared" si="36"/>
        <v>Peak</v>
      </c>
      <c r="AC148" s="63">
        <f t="shared" si="37"/>
        <v>6.7164179104477612E-2</v>
      </c>
      <c r="AD148" t="str">
        <f>IF(P148&gt;=Stats!$C$30,"High",IF(P148&lt;=Stats!$C$29,"Low","Normal"))</f>
        <v>High</v>
      </c>
      <c r="AE148">
        <f t="shared" si="38"/>
        <v>1</v>
      </c>
    </row>
    <row r="149" spans="1:31" x14ac:dyDescent="0.2">
      <c r="A149">
        <f>Dataset_A!A149</f>
        <v>148</v>
      </c>
      <c r="B149" s="61">
        <f>Dataset_A!B149</f>
        <v>40550</v>
      </c>
      <c r="C149">
        <f>Dataset_A!C149</f>
        <v>1</v>
      </c>
      <c r="D149">
        <f>Dataset_A!D149</f>
        <v>0</v>
      </c>
      <c r="E149">
        <f>Dataset_A!E149</f>
        <v>1</v>
      </c>
      <c r="F149">
        <f>Dataset_A!F149</f>
        <v>10</v>
      </c>
      <c r="G149" t="b">
        <f>Dataset_A!G149</f>
        <v>0</v>
      </c>
      <c r="H149">
        <f>Dataset_A!H149</f>
        <v>5</v>
      </c>
      <c r="I149">
        <f>Dataset_A!I149</f>
        <v>1</v>
      </c>
      <c r="J149" s="55">
        <f>Dataset_A!J149</f>
        <v>0.22</v>
      </c>
      <c r="K149">
        <f>Dataset_A!K149</f>
        <v>0.19700000000000001</v>
      </c>
      <c r="L149">
        <f>Dataset_A!L149</f>
        <v>0.37</v>
      </c>
      <c r="M149">
        <f>Dataset_A!M149</f>
        <v>0.32840000000000003</v>
      </c>
      <c r="N149">
        <f>Dataset_A!N149</f>
        <v>16</v>
      </c>
      <c r="O149">
        <f>Dataset_A!O149</f>
        <v>47</v>
      </c>
      <c r="P149">
        <f>Dataset_A!P149</f>
        <v>63</v>
      </c>
      <c r="Q149" t="str">
        <f t="shared" si="26"/>
        <v>REC-0148</v>
      </c>
      <c r="R149" s="62">
        <f t="shared" si="27"/>
        <v>40550.416666666664</v>
      </c>
      <c r="S149" t="str">
        <f t="shared" si="28"/>
        <v>Jan</v>
      </c>
      <c r="T149" t="str">
        <f>INDEX(Lookups!$B$39:$B$45,MATCH(H149,Lookups!$A$39:$A$45,0))</f>
        <v>Fri</v>
      </c>
      <c r="U149" t="str">
        <f t="shared" si="29"/>
        <v>Weekday</v>
      </c>
      <c r="V149" t="str">
        <f t="shared" si="30"/>
        <v>Working Day</v>
      </c>
      <c r="W149" t="str">
        <f t="shared" si="31"/>
        <v>Spring</v>
      </c>
      <c r="X149" t="str">
        <f t="shared" si="32"/>
        <v>Clear</v>
      </c>
      <c r="Y149" t="str">
        <f t="shared" si="33"/>
        <v>Morning</v>
      </c>
      <c r="Z149" t="str">
        <f t="shared" si="34"/>
        <v>Mild</v>
      </c>
      <c r="AA149" t="str">
        <f t="shared" si="35"/>
        <v>Low</v>
      </c>
      <c r="AB149" t="str">
        <f t="shared" si="36"/>
        <v>Off-Peak</v>
      </c>
      <c r="AC149" s="63">
        <f t="shared" si="37"/>
        <v>0.25396825396825395</v>
      </c>
      <c r="AD149" t="str">
        <f>IF(P149&gt;=Stats!$C$30,"High",IF(P149&lt;=Stats!$C$29,"Low","Normal"))</f>
        <v>Normal</v>
      </c>
      <c r="AE149">
        <f t="shared" si="38"/>
        <v>1</v>
      </c>
    </row>
    <row r="150" spans="1:31" x14ac:dyDescent="0.2">
      <c r="A150">
        <f>Dataset_A!A150</f>
        <v>149</v>
      </c>
      <c r="B150" s="61">
        <f>Dataset_A!B150</f>
        <v>40550</v>
      </c>
      <c r="C150">
        <f>Dataset_A!C150</f>
        <v>1</v>
      </c>
      <c r="D150">
        <f>Dataset_A!D150</f>
        <v>0</v>
      </c>
      <c r="E150">
        <f>Dataset_A!E150</f>
        <v>1</v>
      </c>
      <c r="F150">
        <f>Dataset_A!F150</f>
        <v>11</v>
      </c>
      <c r="G150" t="b">
        <f>Dataset_A!G150</f>
        <v>0</v>
      </c>
      <c r="H150">
        <f>Dataset_A!H150</f>
        <v>5</v>
      </c>
      <c r="I150">
        <f>Dataset_A!I150</f>
        <v>2</v>
      </c>
      <c r="J150" s="55">
        <f>Dataset_A!J150</f>
        <v>0.2</v>
      </c>
      <c r="K150">
        <f>Dataset_A!K150</f>
        <v>0.19700000000000001</v>
      </c>
      <c r="L150">
        <f>Dataset_A!L150</f>
        <v>0.4</v>
      </c>
      <c r="M150">
        <f>Dataset_A!M150</f>
        <v>0.22389999999999999</v>
      </c>
      <c r="N150">
        <f>Dataset_A!N150</f>
        <v>19</v>
      </c>
      <c r="O150">
        <f>Dataset_A!O150</f>
        <v>48</v>
      </c>
      <c r="P150">
        <f>Dataset_A!P150</f>
        <v>67</v>
      </c>
      <c r="Q150" t="str">
        <f t="shared" si="26"/>
        <v>REC-0149</v>
      </c>
      <c r="R150" s="62">
        <f t="shared" si="27"/>
        <v>40550.458333333336</v>
      </c>
      <c r="S150" t="str">
        <f t="shared" si="28"/>
        <v>Jan</v>
      </c>
      <c r="T150" t="str">
        <f>INDEX(Lookups!$B$39:$B$45,MATCH(H150,Lookups!$A$39:$A$45,0))</f>
        <v>Fri</v>
      </c>
      <c r="U150" t="str">
        <f t="shared" si="29"/>
        <v>Weekday</v>
      </c>
      <c r="V150" t="str">
        <f t="shared" si="30"/>
        <v>Working Day</v>
      </c>
      <c r="W150" t="str">
        <f t="shared" si="31"/>
        <v>Spring</v>
      </c>
      <c r="X150" t="str">
        <f t="shared" si="32"/>
        <v>Cloudy/Mist</v>
      </c>
      <c r="Y150" t="str">
        <f t="shared" si="33"/>
        <v>Morning</v>
      </c>
      <c r="Z150" t="str">
        <f t="shared" si="34"/>
        <v>Mild</v>
      </c>
      <c r="AA150" t="str">
        <f t="shared" si="35"/>
        <v>Low</v>
      </c>
      <c r="AB150" t="str">
        <f t="shared" si="36"/>
        <v>Off-Peak</v>
      </c>
      <c r="AC150" s="63">
        <f t="shared" si="37"/>
        <v>0.28358208955223879</v>
      </c>
      <c r="AD150" t="str">
        <f>IF(P150&gt;=Stats!$C$30,"High",IF(P150&lt;=Stats!$C$29,"Low","Normal"))</f>
        <v>Normal</v>
      </c>
      <c r="AE150">
        <f t="shared" si="38"/>
        <v>1</v>
      </c>
    </row>
    <row r="151" spans="1:31" x14ac:dyDescent="0.2">
      <c r="A151">
        <f>Dataset_A!A151</f>
        <v>150</v>
      </c>
      <c r="B151" s="61">
        <f>Dataset_A!B151</f>
        <v>40550</v>
      </c>
      <c r="C151">
        <f>Dataset_A!C151</f>
        <v>1</v>
      </c>
      <c r="D151">
        <f>Dataset_A!D151</f>
        <v>0</v>
      </c>
      <c r="E151">
        <f>Dataset_A!E151</f>
        <v>1</v>
      </c>
      <c r="F151">
        <f>Dataset_A!F151</f>
        <v>12</v>
      </c>
      <c r="G151" t="b">
        <f>Dataset_A!G151</f>
        <v>0</v>
      </c>
      <c r="H151">
        <f>Dataset_A!H151</f>
        <v>5</v>
      </c>
      <c r="I151">
        <f>Dataset_A!I151</f>
        <v>2</v>
      </c>
      <c r="J151" s="55">
        <f>Dataset_A!J151</f>
        <v>0.2</v>
      </c>
      <c r="K151">
        <f>Dataset_A!K151</f>
        <v>0.19700000000000001</v>
      </c>
      <c r="L151">
        <f>Dataset_A!L151</f>
        <v>0.37</v>
      </c>
      <c r="M151">
        <f>Dataset_A!M151</f>
        <v>0.25369999999999998</v>
      </c>
      <c r="N151">
        <f>Dataset_A!N151</f>
        <v>9</v>
      </c>
      <c r="O151">
        <f>Dataset_A!O151</f>
        <v>50</v>
      </c>
      <c r="P151">
        <f>Dataset_A!P151</f>
        <v>59</v>
      </c>
      <c r="Q151" t="str">
        <f t="shared" si="26"/>
        <v>REC-0150</v>
      </c>
      <c r="R151" s="62">
        <f t="shared" si="27"/>
        <v>40550.5</v>
      </c>
      <c r="S151" t="str">
        <f t="shared" si="28"/>
        <v>Jan</v>
      </c>
      <c r="T151" t="str">
        <f>INDEX(Lookups!$B$39:$B$45,MATCH(H151,Lookups!$A$39:$A$45,0))</f>
        <v>Fri</v>
      </c>
      <c r="U151" t="str">
        <f t="shared" si="29"/>
        <v>Weekday</v>
      </c>
      <c r="V151" t="str">
        <f t="shared" si="30"/>
        <v>Working Day</v>
      </c>
      <c r="W151" t="str">
        <f t="shared" si="31"/>
        <v>Spring</v>
      </c>
      <c r="X151" t="str">
        <f t="shared" si="32"/>
        <v>Cloudy/Mist</v>
      </c>
      <c r="Y151" t="str">
        <f t="shared" si="33"/>
        <v>Afternoon</v>
      </c>
      <c r="Z151" t="str">
        <f t="shared" si="34"/>
        <v>Mild</v>
      </c>
      <c r="AA151" t="str">
        <f t="shared" si="35"/>
        <v>Low</v>
      </c>
      <c r="AB151" t="str">
        <f t="shared" si="36"/>
        <v>Off-Peak</v>
      </c>
      <c r="AC151" s="63">
        <f t="shared" si="37"/>
        <v>0.15254237288135594</v>
      </c>
      <c r="AD151" t="str">
        <f>IF(P151&gt;=Stats!$C$30,"High",IF(P151&lt;=Stats!$C$29,"Low","Normal"))</f>
        <v>Normal</v>
      </c>
      <c r="AE151">
        <f t="shared" si="38"/>
        <v>1</v>
      </c>
    </row>
    <row r="152" spans="1:31" x14ac:dyDescent="0.2">
      <c r="A152">
        <f>Dataset_A!A152</f>
        <v>151</v>
      </c>
      <c r="B152" s="61">
        <f>Dataset_A!B152</f>
        <v>40550</v>
      </c>
      <c r="C152">
        <f>Dataset_A!C152</f>
        <v>1</v>
      </c>
      <c r="D152">
        <f>Dataset_A!D152</f>
        <v>0</v>
      </c>
      <c r="E152">
        <f>Dataset_A!E152</f>
        <v>1</v>
      </c>
      <c r="F152">
        <f>Dataset_A!F152</f>
        <v>13</v>
      </c>
      <c r="G152" t="b">
        <f>Dataset_A!G152</f>
        <v>0</v>
      </c>
      <c r="H152">
        <f>Dataset_A!H152</f>
        <v>5</v>
      </c>
      <c r="I152">
        <f>Dataset_A!I152</f>
        <v>2</v>
      </c>
      <c r="J152" s="55">
        <f>Dataset_A!J152</f>
        <v>0.2</v>
      </c>
      <c r="K152">
        <f>Dataset_A!K152</f>
        <v>0.18179999999999999</v>
      </c>
      <c r="L152">
        <f>Dataset_A!L152</f>
        <v>0.37</v>
      </c>
      <c r="M152">
        <f>Dataset_A!M152</f>
        <v>0.28360000000000002</v>
      </c>
      <c r="N152">
        <f>Dataset_A!N152</f>
        <v>9</v>
      </c>
      <c r="O152">
        <f>Dataset_A!O152</f>
        <v>64</v>
      </c>
      <c r="P152">
        <f>Dataset_A!P152</f>
        <v>73</v>
      </c>
      <c r="Q152" t="str">
        <f t="shared" si="26"/>
        <v>REC-0151</v>
      </c>
      <c r="R152" s="62">
        <f t="shared" si="27"/>
        <v>40550.541666666664</v>
      </c>
      <c r="S152" t="str">
        <f t="shared" si="28"/>
        <v>Jan</v>
      </c>
      <c r="T152" t="str">
        <f>INDEX(Lookups!$B$39:$B$45,MATCH(H152,Lookups!$A$39:$A$45,0))</f>
        <v>Fri</v>
      </c>
      <c r="U152" t="str">
        <f t="shared" si="29"/>
        <v>Weekday</v>
      </c>
      <c r="V152" t="str">
        <f t="shared" si="30"/>
        <v>Working Day</v>
      </c>
      <c r="W152" t="str">
        <f t="shared" si="31"/>
        <v>Spring</v>
      </c>
      <c r="X152" t="str">
        <f t="shared" si="32"/>
        <v>Cloudy/Mist</v>
      </c>
      <c r="Y152" t="str">
        <f t="shared" si="33"/>
        <v>Afternoon</v>
      </c>
      <c r="Z152" t="str">
        <f t="shared" si="34"/>
        <v>Mild</v>
      </c>
      <c r="AA152" t="str">
        <f t="shared" si="35"/>
        <v>Low</v>
      </c>
      <c r="AB152" t="str">
        <f t="shared" si="36"/>
        <v>Off-Peak</v>
      </c>
      <c r="AC152" s="63">
        <f t="shared" si="37"/>
        <v>0.12328767123287671</v>
      </c>
      <c r="AD152" t="str">
        <f>IF(P152&gt;=Stats!$C$30,"High",IF(P152&lt;=Stats!$C$29,"Low","Normal"))</f>
        <v>Normal</v>
      </c>
      <c r="AE152">
        <f t="shared" si="38"/>
        <v>1</v>
      </c>
    </row>
    <row r="153" spans="1:31" x14ac:dyDescent="0.2">
      <c r="A153">
        <f>Dataset_A!A153</f>
        <v>152</v>
      </c>
      <c r="B153" s="61">
        <f>Dataset_A!B153</f>
        <v>40550</v>
      </c>
      <c r="C153">
        <f>Dataset_A!C153</f>
        <v>1</v>
      </c>
      <c r="D153">
        <f>Dataset_A!D153</f>
        <v>0</v>
      </c>
      <c r="E153">
        <f>Dataset_A!E153</f>
        <v>1</v>
      </c>
      <c r="F153">
        <f>Dataset_A!F153</f>
        <v>14</v>
      </c>
      <c r="G153" t="b">
        <f>Dataset_A!G153</f>
        <v>0</v>
      </c>
      <c r="H153">
        <f>Dataset_A!H153</f>
        <v>5</v>
      </c>
      <c r="I153">
        <f>Dataset_A!I153</f>
        <v>2</v>
      </c>
      <c r="J153" s="55">
        <f>Dataset_A!J153</f>
        <v>0.2</v>
      </c>
      <c r="K153">
        <f>Dataset_A!K153</f>
        <v>0.19700000000000001</v>
      </c>
      <c r="L153">
        <f>Dataset_A!L153</f>
        <v>0.4</v>
      </c>
      <c r="M153">
        <f>Dataset_A!M153</f>
        <v>0.25369999999999998</v>
      </c>
      <c r="N153">
        <f>Dataset_A!N153</f>
        <v>7</v>
      </c>
      <c r="O153">
        <f>Dataset_A!O153</f>
        <v>43</v>
      </c>
      <c r="P153">
        <f>Dataset_A!P153</f>
        <v>50</v>
      </c>
      <c r="Q153" t="str">
        <f t="shared" si="26"/>
        <v>REC-0152</v>
      </c>
      <c r="R153" s="62">
        <f t="shared" si="27"/>
        <v>40550.583333333336</v>
      </c>
      <c r="S153" t="str">
        <f t="shared" si="28"/>
        <v>Jan</v>
      </c>
      <c r="T153" t="str">
        <f>INDEX(Lookups!$B$39:$B$45,MATCH(H153,Lookups!$A$39:$A$45,0))</f>
        <v>Fri</v>
      </c>
      <c r="U153" t="str">
        <f t="shared" si="29"/>
        <v>Weekday</v>
      </c>
      <c r="V153" t="str">
        <f t="shared" si="30"/>
        <v>Working Day</v>
      </c>
      <c r="W153" t="str">
        <f t="shared" si="31"/>
        <v>Spring</v>
      </c>
      <c r="X153" t="str">
        <f t="shared" si="32"/>
        <v>Cloudy/Mist</v>
      </c>
      <c r="Y153" t="str">
        <f t="shared" si="33"/>
        <v>Afternoon</v>
      </c>
      <c r="Z153" t="str">
        <f t="shared" si="34"/>
        <v>Mild</v>
      </c>
      <c r="AA153" t="str">
        <f t="shared" si="35"/>
        <v>Low</v>
      </c>
      <c r="AB153" t="str">
        <f t="shared" si="36"/>
        <v>Off-Peak</v>
      </c>
      <c r="AC153" s="63">
        <f t="shared" si="37"/>
        <v>0.14000000000000001</v>
      </c>
      <c r="AD153" t="str">
        <f>IF(P153&gt;=Stats!$C$30,"High",IF(P153&lt;=Stats!$C$29,"Low","Normal"))</f>
        <v>Normal</v>
      </c>
      <c r="AE153">
        <f t="shared" si="38"/>
        <v>1</v>
      </c>
    </row>
    <row r="154" spans="1:31" x14ac:dyDescent="0.2">
      <c r="A154">
        <f>Dataset_A!A154</f>
        <v>153</v>
      </c>
      <c r="B154" s="61">
        <f>Dataset_A!B154</f>
        <v>40550</v>
      </c>
      <c r="C154">
        <f>Dataset_A!C154</f>
        <v>1</v>
      </c>
      <c r="D154">
        <f>Dataset_A!D154</f>
        <v>0</v>
      </c>
      <c r="E154">
        <f>Dataset_A!E154</f>
        <v>1</v>
      </c>
      <c r="F154">
        <f>Dataset_A!F154</f>
        <v>15</v>
      </c>
      <c r="G154" t="b">
        <f>Dataset_A!G154</f>
        <v>0</v>
      </c>
      <c r="H154">
        <f>Dataset_A!H154</f>
        <v>5</v>
      </c>
      <c r="I154">
        <f>Dataset_A!I154</f>
        <v>2</v>
      </c>
      <c r="J154" s="55">
        <f>Dataset_A!J154</f>
        <v>0.2</v>
      </c>
      <c r="K154">
        <f>Dataset_A!K154</f>
        <v>0.21210000000000001</v>
      </c>
      <c r="L154">
        <f>Dataset_A!L154</f>
        <v>0.37</v>
      </c>
      <c r="M154">
        <f>Dataset_A!M154</f>
        <v>0.16420000000000001</v>
      </c>
      <c r="N154">
        <f>Dataset_A!N154</f>
        <v>9</v>
      </c>
      <c r="O154">
        <f>Dataset_A!O154</f>
        <v>63</v>
      </c>
      <c r="P154">
        <f>Dataset_A!P154</f>
        <v>72</v>
      </c>
      <c r="Q154" t="str">
        <f t="shared" si="26"/>
        <v>REC-0153</v>
      </c>
      <c r="R154" s="62">
        <f t="shared" si="27"/>
        <v>40550.625</v>
      </c>
      <c r="S154" t="str">
        <f t="shared" si="28"/>
        <v>Jan</v>
      </c>
      <c r="T154" t="str">
        <f>INDEX(Lookups!$B$39:$B$45,MATCH(H154,Lookups!$A$39:$A$45,0))</f>
        <v>Fri</v>
      </c>
      <c r="U154" t="str">
        <f t="shared" si="29"/>
        <v>Weekday</v>
      </c>
      <c r="V154" t="str">
        <f t="shared" si="30"/>
        <v>Working Day</v>
      </c>
      <c r="W154" t="str">
        <f t="shared" si="31"/>
        <v>Spring</v>
      </c>
      <c r="X154" t="str">
        <f t="shared" si="32"/>
        <v>Cloudy/Mist</v>
      </c>
      <c r="Y154" t="str">
        <f t="shared" si="33"/>
        <v>Afternoon</v>
      </c>
      <c r="Z154" t="str">
        <f t="shared" si="34"/>
        <v>Mild</v>
      </c>
      <c r="AA154" t="str">
        <f t="shared" si="35"/>
        <v>Low</v>
      </c>
      <c r="AB154" t="str">
        <f t="shared" si="36"/>
        <v>Off-Peak</v>
      </c>
      <c r="AC154" s="63">
        <f t="shared" si="37"/>
        <v>0.125</v>
      </c>
      <c r="AD154" t="str">
        <f>IF(P154&gt;=Stats!$C$30,"High",IF(P154&lt;=Stats!$C$29,"Low","Normal"))</f>
        <v>Normal</v>
      </c>
      <c r="AE154">
        <f t="shared" si="38"/>
        <v>1</v>
      </c>
    </row>
    <row r="155" spans="1:31" x14ac:dyDescent="0.2">
      <c r="A155">
        <f>Dataset_A!A155</f>
        <v>154</v>
      </c>
      <c r="B155" s="61">
        <f>Dataset_A!B155</f>
        <v>40550</v>
      </c>
      <c r="C155">
        <f>Dataset_A!C155</f>
        <v>1</v>
      </c>
      <c r="D155">
        <f>Dataset_A!D155</f>
        <v>0</v>
      </c>
      <c r="E155">
        <f>Dataset_A!E155</f>
        <v>1</v>
      </c>
      <c r="F155">
        <f>Dataset_A!F155</f>
        <v>16</v>
      </c>
      <c r="G155" t="b">
        <f>Dataset_A!G155</f>
        <v>0</v>
      </c>
      <c r="H155">
        <f>Dataset_A!H155</f>
        <v>5</v>
      </c>
      <c r="I155">
        <f>Dataset_A!I155</f>
        <v>2</v>
      </c>
      <c r="J155" s="55">
        <f>Dataset_A!J155</f>
        <v>0.2</v>
      </c>
      <c r="K155">
        <f>Dataset_A!K155</f>
        <v>0.21210000000000001</v>
      </c>
      <c r="L155">
        <f>Dataset_A!L155</f>
        <v>0.37</v>
      </c>
      <c r="M155">
        <f>Dataset_A!M155</f>
        <v>0.16420000000000001</v>
      </c>
      <c r="N155">
        <f>Dataset_A!N155</f>
        <v>5</v>
      </c>
      <c r="O155">
        <f>Dataset_A!O155</f>
        <v>82</v>
      </c>
      <c r="P155">
        <f>Dataset_A!P155</f>
        <v>87</v>
      </c>
      <c r="Q155" t="str">
        <f t="shared" si="26"/>
        <v>REC-0154</v>
      </c>
      <c r="R155" s="62">
        <f t="shared" si="27"/>
        <v>40550.666666666664</v>
      </c>
      <c r="S155" t="str">
        <f t="shared" si="28"/>
        <v>Jan</v>
      </c>
      <c r="T155" t="str">
        <f>INDEX(Lookups!$B$39:$B$45,MATCH(H155,Lookups!$A$39:$A$45,0))</f>
        <v>Fri</v>
      </c>
      <c r="U155" t="str">
        <f t="shared" si="29"/>
        <v>Weekday</v>
      </c>
      <c r="V155" t="str">
        <f t="shared" si="30"/>
        <v>Working Day</v>
      </c>
      <c r="W155" t="str">
        <f t="shared" si="31"/>
        <v>Spring</v>
      </c>
      <c r="X155" t="str">
        <f t="shared" si="32"/>
        <v>Cloudy/Mist</v>
      </c>
      <c r="Y155" t="str">
        <f t="shared" si="33"/>
        <v>Afternoon</v>
      </c>
      <c r="Z155" t="str">
        <f t="shared" si="34"/>
        <v>Mild</v>
      </c>
      <c r="AA155" t="str">
        <f t="shared" si="35"/>
        <v>Low</v>
      </c>
      <c r="AB155" t="str">
        <f t="shared" si="36"/>
        <v>Peak</v>
      </c>
      <c r="AC155" s="63">
        <f t="shared" si="37"/>
        <v>5.7471264367816091E-2</v>
      </c>
      <c r="AD155" t="str">
        <f>IF(P155&gt;=Stats!$C$30,"High",IF(P155&lt;=Stats!$C$29,"Low","Normal"))</f>
        <v>High</v>
      </c>
      <c r="AE155">
        <f t="shared" si="38"/>
        <v>1</v>
      </c>
    </row>
    <row r="156" spans="1:31" x14ac:dyDescent="0.2">
      <c r="A156">
        <f>Dataset_A!A156</f>
        <v>155</v>
      </c>
      <c r="B156" s="61">
        <f>Dataset_A!B156</f>
        <v>40550</v>
      </c>
      <c r="C156">
        <f>Dataset_A!C156</f>
        <v>1</v>
      </c>
      <c r="D156">
        <f>Dataset_A!D156</f>
        <v>0</v>
      </c>
      <c r="E156">
        <f>Dataset_A!E156</f>
        <v>1</v>
      </c>
      <c r="F156">
        <f>Dataset_A!F156</f>
        <v>17</v>
      </c>
      <c r="G156" t="b">
        <f>Dataset_A!G156</f>
        <v>0</v>
      </c>
      <c r="H156">
        <f>Dataset_A!H156</f>
        <v>5</v>
      </c>
      <c r="I156">
        <f>Dataset_A!I156</f>
        <v>2</v>
      </c>
      <c r="J156" s="55">
        <f>Dataset_A!J156</f>
        <v>0.2</v>
      </c>
      <c r="K156">
        <f>Dataset_A!K156</f>
        <v>0.2576</v>
      </c>
      <c r="L156">
        <f>Dataset_A!L156</f>
        <v>0.37</v>
      </c>
      <c r="M156">
        <f>Dataset_A!M156</f>
        <v>0</v>
      </c>
      <c r="N156">
        <f>Dataset_A!N156</f>
        <v>9</v>
      </c>
      <c r="O156">
        <f>Dataset_A!O156</f>
        <v>178</v>
      </c>
      <c r="P156">
        <f>Dataset_A!P156</f>
        <v>187</v>
      </c>
      <c r="Q156" t="str">
        <f t="shared" si="26"/>
        <v>REC-0155</v>
      </c>
      <c r="R156" s="62">
        <f t="shared" si="27"/>
        <v>40550.708333333336</v>
      </c>
      <c r="S156" t="str">
        <f t="shared" si="28"/>
        <v>Jan</v>
      </c>
      <c r="T156" t="str">
        <f>INDEX(Lookups!$B$39:$B$45,MATCH(H156,Lookups!$A$39:$A$45,0))</f>
        <v>Fri</v>
      </c>
      <c r="U156" t="str">
        <f t="shared" si="29"/>
        <v>Weekday</v>
      </c>
      <c r="V156" t="str">
        <f t="shared" si="30"/>
        <v>Working Day</v>
      </c>
      <c r="W156" t="str">
        <f t="shared" si="31"/>
        <v>Spring</v>
      </c>
      <c r="X156" t="str">
        <f t="shared" si="32"/>
        <v>Cloudy/Mist</v>
      </c>
      <c r="Y156" t="str">
        <f t="shared" si="33"/>
        <v>Evening</v>
      </c>
      <c r="Z156" t="str">
        <f t="shared" si="34"/>
        <v>Mild</v>
      </c>
      <c r="AA156" t="str">
        <f t="shared" si="35"/>
        <v>Low</v>
      </c>
      <c r="AB156" t="str">
        <f t="shared" si="36"/>
        <v>Peak</v>
      </c>
      <c r="AC156" s="63">
        <f t="shared" si="37"/>
        <v>4.8128342245989303E-2</v>
      </c>
      <c r="AD156" t="str">
        <f>IF(P156&gt;=Stats!$C$30,"High",IF(P156&lt;=Stats!$C$29,"Low","Normal"))</f>
        <v>High</v>
      </c>
      <c r="AE156">
        <f t="shared" si="38"/>
        <v>1</v>
      </c>
    </row>
    <row r="157" spans="1:31" x14ac:dyDescent="0.2">
      <c r="A157">
        <f>Dataset_A!A157</f>
        <v>156</v>
      </c>
      <c r="B157" s="61">
        <f>Dataset_A!B157</f>
        <v>40550</v>
      </c>
      <c r="C157">
        <f>Dataset_A!C157</f>
        <v>1</v>
      </c>
      <c r="D157">
        <f>Dataset_A!D157</f>
        <v>0</v>
      </c>
      <c r="E157">
        <f>Dataset_A!E157</f>
        <v>1</v>
      </c>
      <c r="F157">
        <f>Dataset_A!F157</f>
        <v>18</v>
      </c>
      <c r="G157" t="b">
        <f>Dataset_A!G157</f>
        <v>0</v>
      </c>
      <c r="H157">
        <f>Dataset_A!H157</f>
        <v>5</v>
      </c>
      <c r="I157">
        <f>Dataset_A!I157</f>
        <v>1</v>
      </c>
      <c r="J157" s="55">
        <f>Dataset_A!J157</f>
        <v>0.2</v>
      </c>
      <c r="K157">
        <f>Dataset_A!K157</f>
        <v>0.2273</v>
      </c>
      <c r="L157">
        <f>Dataset_A!L157</f>
        <v>0.4</v>
      </c>
      <c r="M157">
        <f>Dataset_A!M157</f>
        <v>8.9599999999999999E-2</v>
      </c>
      <c r="N157">
        <f>Dataset_A!N157</f>
        <v>7</v>
      </c>
      <c r="O157">
        <f>Dataset_A!O157</f>
        <v>116</v>
      </c>
      <c r="P157">
        <f>Dataset_A!P157</f>
        <v>123</v>
      </c>
      <c r="Q157" t="str">
        <f t="shared" si="26"/>
        <v>REC-0156</v>
      </c>
      <c r="R157" s="62">
        <f t="shared" si="27"/>
        <v>40550.75</v>
      </c>
      <c r="S157" t="str">
        <f t="shared" si="28"/>
        <v>Jan</v>
      </c>
      <c r="T157" t="str">
        <f>INDEX(Lookups!$B$39:$B$45,MATCH(H157,Lookups!$A$39:$A$45,0))</f>
        <v>Fri</v>
      </c>
      <c r="U157" t="str">
        <f t="shared" si="29"/>
        <v>Weekday</v>
      </c>
      <c r="V157" t="str">
        <f t="shared" si="30"/>
        <v>Working Day</v>
      </c>
      <c r="W157" t="str">
        <f t="shared" si="31"/>
        <v>Spring</v>
      </c>
      <c r="X157" t="str">
        <f t="shared" si="32"/>
        <v>Clear</v>
      </c>
      <c r="Y157" t="str">
        <f t="shared" si="33"/>
        <v>Evening</v>
      </c>
      <c r="Z157" t="str">
        <f t="shared" si="34"/>
        <v>Mild</v>
      </c>
      <c r="AA157" t="str">
        <f t="shared" si="35"/>
        <v>Low</v>
      </c>
      <c r="AB157" t="str">
        <f t="shared" si="36"/>
        <v>Peak</v>
      </c>
      <c r="AC157" s="63">
        <f t="shared" si="37"/>
        <v>5.6910569105691054E-2</v>
      </c>
      <c r="AD157" t="str">
        <f>IF(P157&gt;=Stats!$C$30,"High",IF(P157&lt;=Stats!$C$29,"Low","Normal"))</f>
        <v>High</v>
      </c>
      <c r="AE157">
        <f t="shared" si="38"/>
        <v>1</v>
      </c>
    </row>
    <row r="158" spans="1:31" x14ac:dyDescent="0.2">
      <c r="A158">
        <f>Dataset_A!A158</f>
        <v>157</v>
      </c>
      <c r="B158" s="61">
        <f>Dataset_A!B158</f>
        <v>40550</v>
      </c>
      <c r="C158">
        <f>Dataset_A!C158</f>
        <v>1</v>
      </c>
      <c r="D158">
        <f>Dataset_A!D158</f>
        <v>0</v>
      </c>
      <c r="E158">
        <f>Dataset_A!E158</f>
        <v>1</v>
      </c>
      <c r="F158">
        <f>Dataset_A!F158</f>
        <v>19</v>
      </c>
      <c r="G158" t="b">
        <f>Dataset_A!G158</f>
        <v>0</v>
      </c>
      <c r="H158">
        <f>Dataset_A!H158</f>
        <v>5</v>
      </c>
      <c r="I158">
        <f>Dataset_A!I158</f>
        <v>1</v>
      </c>
      <c r="J158" s="55">
        <f>Dataset_A!J158</f>
        <v>0.16</v>
      </c>
      <c r="K158">
        <f>Dataset_A!K158</f>
        <v>0.19700000000000001</v>
      </c>
      <c r="L158">
        <f>Dataset_A!L158</f>
        <v>0.55000000000000004</v>
      </c>
      <c r="M158">
        <f>Dataset_A!M158</f>
        <v>8.9599999999999999E-2</v>
      </c>
      <c r="N158">
        <f>Dataset_A!N158</f>
        <v>3</v>
      </c>
      <c r="O158">
        <f>Dataset_A!O158</f>
        <v>92</v>
      </c>
      <c r="P158">
        <f>Dataset_A!P158</f>
        <v>95</v>
      </c>
      <c r="Q158" t="str">
        <f t="shared" si="26"/>
        <v>REC-0157</v>
      </c>
      <c r="R158" s="62">
        <f t="shared" si="27"/>
        <v>40550.791666666664</v>
      </c>
      <c r="S158" t="str">
        <f t="shared" si="28"/>
        <v>Jan</v>
      </c>
      <c r="T158" t="str">
        <f>INDEX(Lookups!$B$39:$B$45,MATCH(H158,Lookups!$A$39:$A$45,0))</f>
        <v>Fri</v>
      </c>
      <c r="U158" t="str">
        <f t="shared" si="29"/>
        <v>Weekday</v>
      </c>
      <c r="V158" t="str">
        <f t="shared" si="30"/>
        <v>Working Day</v>
      </c>
      <c r="W158" t="str">
        <f t="shared" si="31"/>
        <v>Spring</v>
      </c>
      <c r="X158" t="str">
        <f t="shared" si="32"/>
        <v>Clear</v>
      </c>
      <c r="Y158" t="str">
        <f t="shared" si="33"/>
        <v>Evening</v>
      </c>
      <c r="Z158" t="str">
        <f t="shared" si="34"/>
        <v>Cold</v>
      </c>
      <c r="AA158" t="str">
        <f t="shared" si="35"/>
        <v>Medium</v>
      </c>
      <c r="AB158" t="str">
        <f t="shared" si="36"/>
        <v>Peak</v>
      </c>
      <c r="AC158" s="63">
        <f t="shared" si="37"/>
        <v>3.1578947368421054E-2</v>
      </c>
      <c r="AD158" t="str">
        <f>IF(P158&gt;=Stats!$C$30,"High",IF(P158&lt;=Stats!$C$29,"Low","Normal"))</f>
        <v>High</v>
      </c>
      <c r="AE158">
        <f t="shared" si="38"/>
        <v>1</v>
      </c>
    </row>
    <row r="159" spans="1:31" x14ac:dyDescent="0.2">
      <c r="A159">
        <f>Dataset_A!A159</f>
        <v>158</v>
      </c>
      <c r="B159" s="61">
        <f>Dataset_A!B159</f>
        <v>40550</v>
      </c>
      <c r="C159">
        <f>Dataset_A!C159</f>
        <v>1</v>
      </c>
      <c r="D159">
        <f>Dataset_A!D159</f>
        <v>0</v>
      </c>
      <c r="E159">
        <f>Dataset_A!E159</f>
        <v>1</v>
      </c>
      <c r="F159">
        <f>Dataset_A!F159</f>
        <v>20</v>
      </c>
      <c r="G159" t="b">
        <f>Dataset_A!G159</f>
        <v>0</v>
      </c>
      <c r="H159">
        <f>Dataset_A!H159</f>
        <v>5</v>
      </c>
      <c r="I159">
        <f>Dataset_A!I159</f>
        <v>1</v>
      </c>
      <c r="J159" s="55">
        <f>Dataset_A!J159</f>
        <v>0.18</v>
      </c>
      <c r="K159">
        <f>Dataset_A!K159</f>
        <v>0.21210000000000001</v>
      </c>
      <c r="L159">
        <f>Dataset_A!L159</f>
        <v>0.47</v>
      </c>
      <c r="M159">
        <f>Dataset_A!M159</f>
        <v>0.1045</v>
      </c>
      <c r="N159">
        <f>Dataset_A!N159</f>
        <v>1</v>
      </c>
      <c r="O159">
        <f>Dataset_A!O159</f>
        <v>50</v>
      </c>
      <c r="P159">
        <f>Dataset_A!P159</f>
        <v>51</v>
      </c>
      <c r="Q159" t="str">
        <f t="shared" si="26"/>
        <v>REC-0158</v>
      </c>
      <c r="R159" s="62">
        <f t="shared" si="27"/>
        <v>40550.833333333336</v>
      </c>
      <c r="S159" t="str">
        <f t="shared" si="28"/>
        <v>Jan</v>
      </c>
      <c r="T159" t="str">
        <f>INDEX(Lookups!$B$39:$B$45,MATCH(H159,Lookups!$A$39:$A$45,0))</f>
        <v>Fri</v>
      </c>
      <c r="U159" t="str">
        <f t="shared" si="29"/>
        <v>Weekday</v>
      </c>
      <c r="V159" t="str">
        <f t="shared" si="30"/>
        <v>Working Day</v>
      </c>
      <c r="W159" t="str">
        <f t="shared" si="31"/>
        <v>Spring</v>
      </c>
      <c r="X159" t="str">
        <f t="shared" si="32"/>
        <v>Clear</v>
      </c>
      <c r="Y159" t="str">
        <f t="shared" si="33"/>
        <v>Evening</v>
      </c>
      <c r="Z159" t="str">
        <f t="shared" si="34"/>
        <v>Cold</v>
      </c>
      <c r="AA159" t="str">
        <f t="shared" si="35"/>
        <v>Low</v>
      </c>
      <c r="AB159" t="str">
        <f t="shared" si="36"/>
        <v>Off-Peak</v>
      </c>
      <c r="AC159" s="63">
        <f t="shared" si="37"/>
        <v>1.9607843137254902E-2</v>
      </c>
      <c r="AD159" t="str">
        <f>IF(P159&gt;=Stats!$C$30,"High",IF(P159&lt;=Stats!$C$29,"Low","Normal"))</f>
        <v>Normal</v>
      </c>
      <c r="AE159">
        <f t="shared" si="38"/>
        <v>1</v>
      </c>
    </row>
    <row r="160" spans="1:31" x14ac:dyDescent="0.2">
      <c r="A160">
        <f>Dataset_A!A160</f>
        <v>159</v>
      </c>
      <c r="B160" s="61">
        <f>Dataset_A!B160</f>
        <v>40550</v>
      </c>
      <c r="C160">
        <f>Dataset_A!C160</f>
        <v>1</v>
      </c>
      <c r="D160">
        <f>Dataset_A!D160</f>
        <v>0</v>
      </c>
      <c r="E160">
        <f>Dataset_A!E160</f>
        <v>1</v>
      </c>
      <c r="F160">
        <f>Dataset_A!F160</f>
        <v>21</v>
      </c>
      <c r="G160" t="b">
        <f>Dataset_A!G160</f>
        <v>0</v>
      </c>
      <c r="H160">
        <f>Dataset_A!H160</f>
        <v>5</v>
      </c>
      <c r="I160">
        <f>Dataset_A!I160</f>
        <v>1</v>
      </c>
      <c r="J160" s="55">
        <f>Dataset_A!J160</f>
        <v>0.18</v>
      </c>
      <c r="K160">
        <f>Dataset_A!K160</f>
        <v>0.19700000000000001</v>
      </c>
      <c r="L160">
        <f>Dataset_A!L160</f>
        <v>0.47</v>
      </c>
      <c r="M160">
        <f>Dataset_A!M160</f>
        <v>0.1343</v>
      </c>
      <c r="N160">
        <f>Dataset_A!N160</f>
        <v>0</v>
      </c>
      <c r="O160">
        <f>Dataset_A!O160</f>
        <v>39</v>
      </c>
      <c r="P160">
        <f>Dataset_A!P160</f>
        <v>39</v>
      </c>
      <c r="Q160" t="str">
        <f t="shared" si="26"/>
        <v>REC-0159</v>
      </c>
      <c r="R160" s="62">
        <f t="shared" si="27"/>
        <v>40550.875</v>
      </c>
      <c r="S160" t="str">
        <f t="shared" si="28"/>
        <v>Jan</v>
      </c>
      <c r="T160" t="str">
        <f>INDEX(Lookups!$B$39:$B$45,MATCH(H160,Lookups!$A$39:$A$45,0))</f>
        <v>Fri</v>
      </c>
      <c r="U160" t="str">
        <f t="shared" si="29"/>
        <v>Weekday</v>
      </c>
      <c r="V160" t="str">
        <f t="shared" si="30"/>
        <v>Working Day</v>
      </c>
      <c r="W160" t="str">
        <f t="shared" si="31"/>
        <v>Spring</v>
      </c>
      <c r="X160" t="str">
        <f t="shared" si="32"/>
        <v>Clear</v>
      </c>
      <c r="Y160" t="str">
        <f t="shared" si="33"/>
        <v>Late Evening</v>
      </c>
      <c r="Z160" t="str">
        <f t="shared" si="34"/>
        <v>Cold</v>
      </c>
      <c r="AA160" t="str">
        <f t="shared" si="35"/>
        <v>Low</v>
      </c>
      <c r="AB160" t="str">
        <f t="shared" si="36"/>
        <v>Off-Peak</v>
      </c>
      <c r="AC160" s="63">
        <f t="shared" si="37"/>
        <v>0</v>
      </c>
      <c r="AD160" t="str">
        <f>IF(P160&gt;=Stats!$C$30,"High",IF(P160&lt;=Stats!$C$29,"Low","Normal"))</f>
        <v>Normal</v>
      </c>
      <c r="AE160">
        <f t="shared" si="38"/>
        <v>1</v>
      </c>
    </row>
    <row r="161" spans="1:31" x14ac:dyDescent="0.2">
      <c r="A161">
        <f>Dataset_A!A161</f>
        <v>160</v>
      </c>
      <c r="B161" s="61">
        <f>Dataset_A!B161</f>
        <v>40550</v>
      </c>
      <c r="C161">
        <f>Dataset_A!C161</f>
        <v>1</v>
      </c>
      <c r="D161">
        <f>Dataset_A!D161</f>
        <v>0</v>
      </c>
      <c r="E161">
        <f>Dataset_A!E161</f>
        <v>1</v>
      </c>
      <c r="F161">
        <f>Dataset_A!F161</f>
        <v>22</v>
      </c>
      <c r="G161" t="b">
        <f>Dataset_A!G161</f>
        <v>0</v>
      </c>
      <c r="H161">
        <f>Dataset_A!H161</f>
        <v>5</v>
      </c>
      <c r="I161">
        <f>Dataset_A!I161</f>
        <v>2</v>
      </c>
      <c r="J161" s="55">
        <f>Dataset_A!J161</f>
        <v>0.18</v>
      </c>
      <c r="K161">
        <f>Dataset_A!K161</f>
        <v>0.19700000000000001</v>
      </c>
      <c r="L161">
        <f>Dataset_A!L161</f>
        <v>0.43</v>
      </c>
      <c r="M161">
        <f>Dataset_A!M161</f>
        <v>0.16420000000000001</v>
      </c>
      <c r="N161">
        <f>Dataset_A!N161</f>
        <v>2</v>
      </c>
      <c r="O161">
        <f>Dataset_A!O161</f>
        <v>34</v>
      </c>
      <c r="P161">
        <f>Dataset_A!P161</f>
        <v>36</v>
      </c>
      <c r="Q161" t="str">
        <f t="shared" si="26"/>
        <v>REC-0160</v>
      </c>
      <c r="R161" s="62">
        <f t="shared" si="27"/>
        <v>40550.916666666664</v>
      </c>
      <c r="S161" t="str">
        <f t="shared" si="28"/>
        <v>Jan</v>
      </c>
      <c r="T161" t="str">
        <f>INDEX(Lookups!$B$39:$B$45,MATCH(H161,Lookups!$A$39:$A$45,0))</f>
        <v>Fri</v>
      </c>
      <c r="U161" t="str">
        <f t="shared" si="29"/>
        <v>Weekday</v>
      </c>
      <c r="V161" t="str">
        <f t="shared" si="30"/>
        <v>Working Day</v>
      </c>
      <c r="W161" t="str">
        <f t="shared" si="31"/>
        <v>Spring</v>
      </c>
      <c r="X161" t="str">
        <f t="shared" si="32"/>
        <v>Cloudy/Mist</v>
      </c>
      <c r="Y161" t="str">
        <f t="shared" si="33"/>
        <v>Late Evening</v>
      </c>
      <c r="Z161" t="str">
        <f t="shared" si="34"/>
        <v>Cold</v>
      </c>
      <c r="AA161" t="str">
        <f t="shared" si="35"/>
        <v>Low</v>
      </c>
      <c r="AB161" t="str">
        <f t="shared" si="36"/>
        <v>Off-Peak</v>
      </c>
      <c r="AC161" s="63">
        <f t="shared" si="37"/>
        <v>5.5555555555555552E-2</v>
      </c>
      <c r="AD161" t="str">
        <f>IF(P161&gt;=Stats!$C$30,"High",IF(P161&lt;=Stats!$C$29,"Low","Normal"))</f>
        <v>Normal</v>
      </c>
      <c r="AE161">
        <f t="shared" si="38"/>
        <v>1</v>
      </c>
    </row>
    <row r="162" spans="1:31" x14ac:dyDescent="0.2">
      <c r="A162">
        <f>Dataset_A!A162</f>
        <v>161</v>
      </c>
      <c r="B162" s="61">
        <f>Dataset_A!B162</f>
        <v>40550</v>
      </c>
      <c r="C162">
        <f>Dataset_A!C162</f>
        <v>1</v>
      </c>
      <c r="D162">
        <f>Dataset_A!D162</f>
        <v>0</v>
      </c>
      <c r="E162">
        <f>Dataset_A!E162</f>
        <v>1</v>
      </c>
      <c r="F162">
        <f>Dataset_A!F162</f>
        <v>23</v>
      </c>
      <c r="G162" t="b">
        <f>Dataset_A!G162</f>
        <v>0</v>
      </c>
      <c r="H162">
        <f>Dataset_A!H162</f>
        <v>5</v>
      </c>
      <c r="I162">
        <f>Dataset_A!I162</f>
        <v>2</v>
      </c>
      <c r="J162" s="55">
        <f>Dataset_A!J162</f>
        <v>0.18</v>
      </c>
      <c r="K162">
        <f>Dataset_A!K162</f>
        <v>0.19700000000000001</v>
      </c>
      <c r="L162">
        <f>Dataset_A!L162</f>
        <v>0.51</v>
      </c>
      <c r="M162">
        <f>Dataset_A!M162</f>
        <v>0.16420000000000001</v>
      </c>
      <c r="N162">
        <f>Dataset_A!N162</f>
        <v>1</v>
      </c>
      <c r="O162">
        <f>Dataset_A!O162</f>
        <v>14</v>
      </c>
      <c r="P162">
        <f>Dataset_A!P162</f>
        <v>15</v>
      </c>
      <c r="Q162" t="str">
        <f t="shared" si="26"/>
        <v>REC-0161</v>
      </c>
      <c r="R162" s="62">
        <f t="shared" si="27"/>
        <v>40550.958333333336</v>
      </c>
      <c r="S162" t="str">
        <f t="shared" si="28"/>
        <v>Jan</v>
      </c>
      <c r="T162" t="str">
        <f>INDEX(Lookups!$B$39:$B$45,MATCH(H162,Lookups!$A$39:$A$45,0))</f>
        <v>Fri</v>
      </c>
      <c r="U162" t="str">
        <f t="shared" si="29"/>
        <v>Weekday</v>
      </c>
      <c r="V162" t="str">
        <f t="shared" si="30"/>
        <v>Working Day</v>
      </c>
      <c r="W162" t="str">
        <f t="shared" si="31"/>
        <v>Spring</v>
      </c>
      <c r="X162" t="str">
        <f t="shared" si="32"/>
        <v>Cloudy/Mist</v>
      </c>
      <c r="Y162" t="str">
        <f t="shared" si="33"/>
        <v>Late Evening</v>
      </c>
      <c r="Z162" t="str">
        <f t="shared" si="34"/>
        <v>Cold</v>
      </c>
      <c r="AA162" t="str">
        <f t="shared" si="35"/>
        <v>Medium</v>
      </c>
      <c r="AB162" t="str">
        <f t="shared" si="36"/>
        <v>Off-Peak</v>
      </c>
      <c r="AC162" s="63">
        <f t="shared" si="37"/>
        <v>6.6666666666666666E-2</v>
      </c>
      <c r="AD162" t="str">
        <f>IF(P162&gt;=Stats!$C$30,"High",IF(P162&lt;=Stats!$C$29,"Low","Normal"))</f>
        <v>Low</v>
      </c>
      <c r="AE162">
        <f t="shared" si="38"/>
        <v>1</v>
      </c>
    </row>
    <row r="163" spans="1:31" x14ac:dyDescent="0.2">
      <c r="A163">
        <f>Dataset_A!A163</f>
        <v>162</v>
      </c>
      <c r="B163" s="61">
        <f>Dataset_A!B163</f>
        <v>40551</v>
      </c>
      <c r="C163">
        <f>Dataset_A!C163</f>
        <v>1</v>
      </c>
      <c r="D163">
        <f>Dataset_A!D163</f>
        <v>0</v>
      </c>
      <c r="E163">
        <f>Dataset_A!E163</f>
        <v>1</v>
      </c>
      <c r="F163">
        <f>Dataset_A!F163</f>
        <v>0</v>
      </c>
      <c r="G163" t="b">
        <f>Dataset_A!G163</f>
        <v>0</v>
      </c>
      <c r="H163">
        <f>Dataset_A!H163</f>
        <v>6</v>
      </c>
      <c r="I163">
        <f>Dataset_A!I163</f>
        <v>2</v>
      </c>
      <c r="J163" s="55">
        <f>Dataset_A!J163</f>
        <v>0.18</v>
      </c>
      <c r="K163">
        <f>Dataset_A!K163</f>
        <v>0.19700000000000001</v>
      </c>
      <c r="L163">
        <f>Dataset_A!L163</f>
        <v>0.51</v>
      </c>
      <c r="M163">
        <f>Dataset_A!M163</f>
        <v>0.16420000000000001</v>
      </c>
      <c r="N163">
        <f>Dataset_A!N163</f>
        <v>1</v>
      </c>
      <c r="O163">
        <f>Dataset_A!O163</f>
        <v>24</v>
      </c>
      <c r="P163">
        <f>Dataset_A!P163</f>
        <v>25</v>
      </c>
      <c r="Q163" t="str">
        <f t="shared" si="26"/>
        <v>REC-0162</v>
      </c>
      <c r="R163" s="62">
        <f t="shared" si="27"/>
        <v>40551</v>
      </c>
      <c r="S163" t="str">
        <f t="shared" si="28"/>
        <v>Jan</v>
      </c>
      <c r="T163" t="str">
        <f>INDEX(Lookups!$B$39:$B$45,MATCH(H163,Lookups!$A$39:$A$45,0))</f>
        <v>Sat</v>
      </c>
      <c r="U163" t="str">
        <f t="shared" si="29"/>
        <v>Weekend</v>
      </c>
      <c r="V163" t="str">
        <f t="shared" si="30"/>
        <v>Non-Working Day</v>
      </c>
      <c r="W163" t="str">
        <f t="shared" si="31"/>
        <v>Spring</v>
      </c>
      <c r="X163" t="str">
        <f t="shared" si="32"/>
        <v>Cloudy/Mist</v>
      </c>
      <c r="Y163" t="str">
        <f t="shared" si="33"/>
        <v>Night</v>
      </c>
      <c r="Z163" t="str">
        <f t="shared" si="34"/>
        <v>Cold</v>
      </c>
      <c r="AA163" t="str">
        <f t="shared" si="35"/>
        <v>Medium</v>
      </c>
      <c r="AB163" t="str">
        <f t="shared" si="36"/>
        <v>Off-Peak</v>
      </c>
      <c r="AC163" s="63">
        <f t="shared" si="37"/>
        <v>0.04</v>
      </c>
      <c r="AD163" t="str">
        <f>IF(P163&gt;=Stats!$C$30,"High",IF(P163&lt;=Stats!$C$29,"Low","Normal"))</f>
        <v>Normal</v>
      </c>
      <c r="AE163">
        <f t="shared" si="38"/>
        <v>1</v>
      </c>
    </row>
    <row r="164" spans="1:31" x14ac:dyDescent="0.2">
      <c r="A164">
        <f>Dataset_A!A164</f>
        <v>163</v>
      </c>
      <c r="B164" s="61">
        <f>Dataset_A!B164</f>
        <v>40551</v>
      </c>
      <c r="C164">
        <f>Dataset_A!C164</f>
        <v>1</v>
      </c>
      <c r="D164">
        <f>Dataset_A!D164</f>
        <v>0</v>
      </c>
      <c r="E164">
        <f>Dataset_A!E164</f>
        <v>1</v>
      </c>
      <c r="F164">
        <f>Dataset_A!F164</f>
        <v>1</v>
      </c>
      <c r="G164" t="b">
        <f>Dataset_A!G164</f>
        <v>0</v>
      </c>
      <c r="H164">
        <f>Dataset_A!H164</f>
        <v>6</v>
      </c>
      <c r="I164">
        <f>Dataset_A!I164</f>
        <v>2</v>
      </c>
      <c r="J164" s="55">
        <f>Dataset_A!J164</f>
        <v>0.18</v>
      </c>
      <c r="K164">
        <f>Dataset_A!K164</f>
        <v>0.21210000000000001</v>
      </c>
      <c r="L164">
        <f>Dataset_A!L164</f>
        <v>0.55000000000000004</v>
      </c>
      <c r="M164">
        <f>Dataset_A!M164</f>
        <v>8.9599999999999999E-2</v>
      </c>
      <c r="N164">
        <f>Dataset_A!N164</f>
        <v>1</v>
      </c>
      <c r="O164">
        <f>Dataset_A!O164</f>
        <v>15</v>
      </c>
      <c r="P164">
        <f>Dataset_A!P164</f>
        <v>16</v>
      </c>
      <c r="Q164" t="str">
        <f t="shared" si="26"/>
        <v>REC-0163</v>
      </c>
      <c r="R164" s="62">
        <f t="shared" si="27"/>
        <v>40551.041666666664</v>
      </c>
      <c r="S164" t="str">
        <f t="shared" si="28"/>
        <v>Jan</v>
      </c>
      <c r="T164" t="str">
        <f>INDEX(Lookups!$B$39:$B$45,MATCH(H164,Lookups!$A$39:$A$45,0))</f>
        <v>Sat</v>
      </c>
      <c r="U164" t="str">
        <f t="shared" si="29"/>
        <v>Weekend</v>
      </c>
      <c r="V164" t="str">
        <f t="shared" si="30"/>
        <v>Non-Working Day</v>
      </c>
      <c r="W164" t="str">
        <f t="shared" si="31"/>
        <v>Spring</v>
      </c>
      <c r="X164" t="str">
        <f t="shared" si="32"/>
        <v>Cloudy/Mist</v>
      </c>
      <c r="Y164" t="str">
        <f t="shared" si="33"/>
        <v>Night</v>
      </c>
      <c r="Z164" t="str">
        <f t="shared" si="34"/>
        <v>Cold</v>
      </c>
      <c r="AA164" t="str">
        <f t="shared" si="35"/>
        <v>Medium</v>
      </c>
      <c r="AB164" t="str">
        <f t="shared" si="36"/>
        <v>Off-Peak</v>
      </c>
      <c r="AC164" s="63">
        <f t="shared" si="37"/>
        <v>6.25E-2</v>
      </c>
      <c r="AD164" t="str">
        <f>IF(P164&gt;=Stats!$C$30,"High",IF(P164&lt;=Stats!$C$29,"Low","Normal"))</f>
        <v>Low</v>
      </c>
      <c r="AE164">
        <f t="shared" si="38"/>
        <v>1</v>
      </c>
    </row>
    <row r="165" spans="1:31" x14ac:dyDescent="0.2">
      <c r="A165">
        <f>Dataset_A!A165</f>
        <v>164</v>
      </c>
      <c r="B165" s="61">
        <f>Dataset_A!B165</f>
        <v>40551</v>
      </c>
      <c r="C165">
        <f>Dataset_A!C165</f>
        <v>1</v>
      </c>
      <c r="D165">
        <f>Dataset_A!D165</f>
        <v>0</v>
      </c>
      <c r="E165">
        <f>Dataset_A!E165</f>
        <v>1</v>
      </c>
      <c r="F165">
        <f>Dataset_A!F165</f>
        <v>2</v>
      </c>
      <c r="G165" t="b">
        <f>Dataset_A!G165</f>
        <v>0</v>
      </c>
      <c r="H165">
        <f>Dataset_A!H165</f>
        <v>6</v>
      </c>
      <c r="I165">
        <f>Dataset_A!I165</f>
        <v>2</v>
      </c>
      <c r="J165" s="55">
        <f>Dataset_A!J165</f>
        <v>0.18</v>
      </c>
      <c r="K165">
        <f>Dataset_A!K165</f>
        <v>0.2424</v>
      </c>
      <c r="L165">
        <f>Dataset_A!L165</f>
        <v>0.55000000000000004</v>
      </c>
      <c r="M165">
        <f>Dataset_A!M165</f>
        <v>0</v>
      </c>
      <c r="N165">
        <f>Dataset_A!N165</f>
        <v>3</v>
      </c>
      <c r="O165">
        <f>Dataset_A!O165</f>
        <v>13</v>
      </c>
      <c r="P165">
        <f>Dataset_A!P165</f>
        <v>16</v>
      </c>
      <c r="Q165" t="str">
        <f t="shared" si="26"/>
        <v>REC-0164</v>
      </c>
      <c r="R165" s="62">
        <f t="shared" si="27"/>
        <v>40551.083333333336</v>
      </c>
      <c r="S165" t="str">
        <f t="shared" si="28"/>
        <v>Jan</v>
      </c>
      <c r="T165" t="str">
        <f>INDEX(Lookups!$B$39:$B$45,MATCH(H165,Lookups!$A$39:$A$45,0))</f>
        <v>Sat</v>
      </c>
      <c r="U165" t="str">
        <f t="shared" si="29"/>
        <v>Weekend</v>
      </c>
      <c r="V165" t="str">
        <f t="shared" si="30"/>
        <v>Non-Working Day</v>
      </c>
      <c r="W165" t="str">
        <f t="shared" si="31"/>
        <v>Spring</v>
      </c>
      <c r="X165" t="str">
        <f t="shared" si="32"/>
        <v>Cloudy/Mist</v>
      </c>
      <c r="Y165" t="str">
        <f t="shared" si="33"/>
        <v>Night</v>
      </c>
      <c r="Z165" t="str">
        <f t="shared" si="34"/>
        <v>Cold</v>
      </c>
      <c r="AA165" t="str">
        <f t="shared" si="35"/>
        <v>Medium</v>
      </c>
      <c r="AB165" t="str">
        <f t="shared" si="36"/>
        <v>Off-Peak</v>
      </c>
      <c r="AC165" s="63">
        <f t="shared" si="37"/>
        <v>0.1875</v>
      </c>
      <c r="AD165" t="str">
        <f>IF(P165&gt;=Stats!$C$30,"High",IF(P165&lt;=Stats!$C$29,"Low","Normal"))</f>
        <v>Low</v>
      </c>
      <c r="AE165">
        <f t="shared" si="38"/>
        <v>1</v>
      </c>
    </row>
    <row r="166" spans="1:31" x14ac:dyDescent="0.2">
      <c r="A166">
        <f>Dataset_A!A166</f>
        <v>165</v>
      </c>
      <c r="B166" s="61">
        <f>Dataset_A!B166</f>
        <v>40551</v>
      </c>
      <c r="C166">
        <f>Dataset_A!C166</f>
        <v>1</v>
      </c>
      <c r="D166">
        <f>Dataset_A!D166</f>
        <v>0</v>
      </c>
      <c r="E166">
        <f>Dataset_A!E166</f>
        <v>1</v>
      </c>
      <c r="F166">
        <f>Dataset_A!F166</f>
        <v>3</v>
      </c>
      <c r="G166" t="b">
        <f>Dataset_A!G166</f>
        <v>0</v>
      </c>
      <c r="H166">
        <f>Dataset_A!H166</f>
        <v>6</v>
      </c>
      <c r="I166">
        <f>Dataset_A!I166</f>
        <v>3</v>
      </c>
      <c r="J166" s="55">
        <f>Dataset_A!J166</f>
        <v>0.18</v>
      </c>
      <c r="K166">
        <f>Dataset_A!K166</f>
        <v>0.19700000000000001</v>
      </c>
      <c r="L166">
        <f>Dataset_A!L166</f>
        <v>0.55000000000000004</v>
      </c>
      <c r="M166">
        <f>Dataset_A!M166</f>
        <v>0.16420000000000001</v>
      </c>
      <c r="N166">
        <f>Dataset_A!N166</f>
        <v>0</v>
      </c>
      <c r="O166">
        <f>Dataset_A!O166</f>
        <v>7</v>
      </c>
      <c r="P166">
        <f>Dataset_A!P166</f>
        <v>7</v>
      </c>
      <c r="Q166" t="str">
        <f t="shared" si="26"/>
        <v>REC-0165</v>
      </c>
      <c r="R166" s="62">
        <f t="shared" si="27"/>
        <v>40551.125</v>
      </c>
      <c r="S166" t="str">
        <f t="shared" si="28"/>
        <v>Jan</v>
      </c>
      <c r="T166" t="str">
        <f>INDEX(Lookups!$B$39:$B$45,MATCH(H166,Lookups!$A$39:$A$45,0))</f>
        <v>Sat</v>
      </c>
      <c r="U166" t="str">
        <f t="shared" si="29"/>
        <v>Weekend</v>
      </c>
      <c r="V166" t="str">
        <f t="shared" si="30"/>
        <v>Non-Working Day</v>
      </c>
      <c r="W166" t="str">
        <f t="shared" si="31"/>
        <v>Spring</v>
      </c>
      <c r="X166" t="str">
        <f t="shared" si="32"/>
        <v>Light Rain/Snow</v>
      </c>
      <c r="Y166" t="str">
        <f t="shared" si="33"/>
        <v>Night</v>
      </c>
      <c r="Z166" t="str">
        <f t="shared" si="34"/>
        <v>Cold</v>
      </c>
      <c r="AA166" t="str">
        <f t="shared" si="35"/>
        <v>Medium</v>
      </c>
      <c r="AB166" t="str">
        <f t="shared" si="36"/>
        <v>Off-Peak</v>
      </c>
      <c r="AC166" s="63">
        <f t="shared" si="37"/>
        <v>0</v>
      </c>
      <c r="AD166" t="str">
        <f>IF(P166&gt;=Stats!$C$30,"High",IF(P166&lt;=Stats!$C$29,"Low","Normal"))</f>
        <v>Low</v>
      </c>
      <c r="AE166">
        <f t="shared" si="38"/>
        <v>1</v>
      </c>
    </row>
    <row r="167" spans="1:31" x14ac:dyDescent="0.2">
      <c r="A167">
        <f>Dataset_A!A167</f>
        <v>166</v>
      </c>
      <c r="B167" s="61">
        <f>Dataset_A!B167</f>
        <v>40551</v>
      </c>
      <c r="C167">
        <f>Dataset_A!C167</f>
        <v>1</v>
      </c>
      <c r="D167">
        <f>Dataset_A!D167</f>
        <v>0</v>
      </c>
      <c r="E167">
        <f>Dataset_A!E167</f>
        <v>1</v>
      </c>
      <c r="F167">
        <f>Dataset_A!F167</f>
        <v>4</v>
      </c>
      <c r="G167" t="b">
        <f>Dataset_A!G167</f>
        <v>0</v>
      </c>
      <c r="H167">
        <f>Dataset_A!H167</f>
        <v>6</v>
      </c>
      <c r="I167">
        <f>Dataset_A!I167</f>
        <v>3</v>
      </c>
      <c r="J167" s="55">
        <f>Dataset_A!J167</f>
        <v>0.18</v>
      </c>
      <c r="K167">
        <f>Dataset_A!K167</f>
        <v>0.19700000000000001</v>
      </c>
      <c r="L167">
        <f>Dataset_A!L167</f>
        <v>0.55000000000000004</v>
      </c>
      <c r="M167">
        <f>Dataset_A!M167</f>
        <v>0.16420000000000001</v>
      </c>
      <c r="N167">
        <f>Dataset_A!N167</f>
        <v>0</v>
      </c>
      <c r="O167">
        <f>Dataset_A!O167</f>
        <v>1</v>
      </c>
      <c r="P167">
        <f>Dataset_A!P167</f>
        <v>1</v>
      </c>
      <c r="Q167" t="str">
        <f t="shared" si="26"/>
        <v>REC-0166</v>
      </c>
      <c r="R167" s="62">
        <f t="shared" si="27"/>
        <v>40551.166666666664</v>
      </c>
      <c r="S167" t="str">
        <f t="shared" si="28"/>
        <v>Jan</v>
      </c>
      <c r="T167" t="str">
        <f>INDEX(Lookups!$B$39:$B$45,MATCH(H167,Lookups!$A$39:$A$45,0))</f>
        <v>Sat</v>
      </c>
      <c r="U167" t="str">
        <f t="shared" si="29"/>
        <v>Weekend</v>
      </c>
      <c r="V167" t="str">
        <f t="shared" si="30"/>
        <v>Non-Working Day</v>
      </c>
      <c r="W167" t="str">
        <f t="shared" si="31"/>
        <v>Spring</v>
      </c>
      <c r="X167" t="str">
        <f t="shared" si="32"/>
        <v>Light Rain/Snow</v>
      </c>
      <c r="Y167" t="str">
        <f t="shared" si="33"/>
        <v>Night</v>
      </c>
      <c r="Z167" t="str">
        <f t="shared" si="34"/>
        <v>Cold</v>
      </c>
      <c r="AA167" t="str">
        <f t="shared" si="35"/>
        <v>Medium</v>
      </c>
      <c r="AB167" t="str">
        <f t="shared" si="36"/>
        <v>Off-Peak</v>
      </c>
      <c r="AC167" s="63">
        <f t="shared" si="37"/>
        <v>0</v>
      </c>
      <c r="AD167" t="str">
        <f>IF(P167&gt;=Stats!$C$30,"High",IF(P167&lt;=Stats!$C$29,"Low","Normal"))</f>
        <v>Low</v>
      </c>
      <c r="AE167">
        <f t="shared" si="38"/>
        <v>1</v>
      </c>
    </row>
    <row r="168" spans="1:31" x14ac:dyDescent="0.2">
      <c r="A168">
        <f>Dataset_A!A168</f>
        <v>167</v>
      </c>
      <c r="B168" s="61">
        <f>Dataset_A!B168</f>
        <v>40551</v>
      </c>
      <c r="C168">
        <f>Dataset_A!C168</f>
        <v>1</v>
      </c>
      <c r="D168">
        <f>Dataset_A!D168</f>
        <v>0</v>
      </c>
      <c r="E168">
        <f>Dataset_A!E168</f>
        <v>1</v>
      </c>
      <c r="F168">
        <f>Dataset_A!F168</f>
        <v>5</v>
      </c>
      <c r="G168" t="b">
        <f>Dataset_A!G168</f>
        <v>0</v>
      </c>
      <c r="H168">
        <f>Dataset_A!H168</f>
        <v>6</v>
      </c>
      <c r="I168">
        <f>Dataset_A!I168</f>
        <v>2</v>
      </c>
      <c r="J168" s="55">
        <f>Dataset_A!J168</f>
        <v>0.16</v>
      </c>
      <c r="K168">
        <f>Dataset_A!K168</f>
        <v>0.16669999999999999</v>
      </c>
      <c r="L168">
        <f>Dataset_A!L168</f>
        <v>0.74</v>
      </c>
      <c r="M168">
        <f>Dataset_A!M168</f>
        <v>0.16420000000000001</v>
      </c>
      <c r="N168">
        <f>Dataset_A!N168</f>
        <v>0</v>
      </c>
      <c r="O168">
        <f>Dataset_A!O168</f>
        <v>5</v>
      </c>
      <c r="P168">
        <f>Dataset_A!P168</f>
        <v>5</v>
      </c>
      <c r="Q168" t="str">
        <f t="shared" si="26"/>
        <v>REC-0167</v>
      </c>
      <c r="R168" s="62">
        <f t="shared" si="27"/>
        <v>40551.208333333336</v>
      </c>
      <c r="S168" t="str">
        <f t="shared" si="28"/>
        <v>Jan</v>
      </c>
      <c r="T168" t="str">
        <f>INDEX(Lookups!$B$39:$B$45,MATCH(H168,Lookups!$A$39:$A$45,0))</f>
        <v>Sat</v>
      </c>
      <c r="U168" t="str">
        <f t="shared" si="29"/>
        <v>Weekend</v>
      </c>
      <c r="V168" t="str">
        <f t="shared" si="30"/>
        <v>Non-Working Day</v>
      </c>
      <c r="W168" t="str">
        <f t="shared" si="31"/>
        <v>Spring</v>
      </c>
      <c r="X168" t="str">
        <f t="shared" si="32"/>
        <v>Cloudy/Mist</v>
      </c>
      <c r="Y168" t="str">
        <f t="shared" si="33"/>
        <v>Night</v>
      </c>
      <c r="Z168" t="str">
        <f t="shared" si="34"/>
        <v>Cold</v>
      </c>
      <c r="AA168" t="str">
        <f t="shared" si="35"/>
        <v>Medium</v>
      </c>
      <c r="AB168" t="str">
        <f t="shared" si="36"/>
        <v>Off-Peak</v>
      </c>
      <c r="AC168" s="63">
        <f t="shared" si="37"/>
        <v>0</v>
      </c>
      <c r="AD168" t="str">
        <f>IF(P168&gt;=Stats!$C$30,"High",IF(P168&lt;=Stats!$C$29,"Low","Normal"))</f>
        <v>Low</v>
      </c>
      <c r="AE168">
        <f t="shared" si="38"/>
        <v>1</v>
      </c>
    </row>
    <row r="169" spans="1:31" x14ac:dyDescent="0.2">
      <c r="A169">
        <f>Dataset_A!A169</f>
        <v>168</v>
      </c>
      <c r="B169" s="61">
        <f>Dataset_A!B169</f>
        <v>40551</v>
      </c>
      <c r="C169">
        <f>Dataset_A!C169</f>
        <v>1</v>
      </c>
      <c r="D169">
        <f>Dataset_A!D169</f>
        <v>0</v>
      </c>
      <c r="E169">
        <f>Dataset_A!E169</f>
        <v>1</v>
      </c>
      <c r="F169">
        <f>Dataset_A!F169</f>
        <v>6</v>
      </c>
      <c r="G169" t="b">
        <f>Dataset_A!G169</f>
        <v>0</v>
      </c>
      <c r="H169">
        <f>Dataset_A!H169</f>
        <v>6</v>
      </c>
      <c r="I169">
        <f>Dataset_A!I169</f>
        <v>2</v>
      </c>
      <c r="J169" s="55">
        <f>Dataset_A!J169</f>
        <v>0.16</v>
      </c>
      <c r="K169">
        <f>Dataset_A!K169</f>
        <v>0.16669999999999999</v>
      </c>
      <c r="L169">
        <f>Dataset_A!L169</f>
        <v>0.74</v>
      </c>
      <c r="M169">
        <f>Dataset_A!M169</f>
        <v>0.16420000000000001</v>
      </c>
      <c r="N169">
        <f>Dataset_A!N169</f>
        <v>0</v>
      </c>
      <c r="O169">
        <f>Dataset_A!O169</f>
        <v>2</v>
      </c>
      <c r="P169">
        <f>Dataset_A!P169</f>
        <v>2</v>
      </c>
      <c r="Q169" t="str">
        <f t="shared" si="26"/>
        <v>REC-0168</v>
      </c>
      <c r="R169" s="62">
        <f t="shared" si="27"/>
        <v>40551.25</v>
      </c>
      <c r="S169" t="str">
        <f t="shared" si="28"/>
        <v>Jan</v>
      </c>
      <c r="T169" t="str">
        <f>INDEX(Lookups!$B$39:$B$45,MATCH(H169,Lookups!$A$39:$A$45,0))</f>
        <v>Sat</v>
      </c>
      <c r="U169" t="str">
        <f t="shared" si="29"/>
        <v>Weekend</v>
      </c>
      <c r="V169" t="str">
        <f t="shared" si="30"/>
        <v>Non-Working Day</v>
      </c>
      <c r="W169" t="str">
        <f t="shared" si="31"/>
        <v>Spring</v>
      </c>
      <c r="X169" t="str">
        <f t="shared" si="32"/>
        <v>Cloudy/Mist</v>
      </c>
      <c r="Y169" t="str">
        <f t="shared" si="33"/>
        <v>Morning</v>
      </c>
      <c r="Z169" t="str">
        <f t="shared" si="34"/>
        <v>Cold</v>
      </c>
      <c r="AA169" t="str">
        <f t="shared" si="35"/>
        <v>Medium</v>
      </c>
      <c r="AB169" t="str">
        <f t="shared" si="36"/>
        <v>Off-Peak</v>
      </c>
      <c r="AC169" s="63">
        <f t="shared" si="37"/>
        <v>0</v>
      </c>
      <c r="AD169" t="str">
        <f>IF(P169&gt;=Stats!$C$30,"High",IF(P169&lt;=Stats!$C$29,"Low","Normal"))</f>
        <v>Low</v>
      </c>
      <c r="AE169">
        <f t="shared" si="38"/>
        <v>1</v>
      </c>
    </row>
    <row r="170" spans="1:31" x14ac:dyDescent="0.2">
      <c r="A170">
        <f>Dataset_A!A170</f>
        <v>169</v>
      </c>
      <c r="B170" s="61">
        <f>Dataset_A!B170</f>
        <v>40551</v>
      </c>
      <c r="C170">
        <f>Dataset_A!C170</f>
        <v>1</v>
      </c>
      <c r="D170">
        <f>Dataset_A!D170</f>
        <v>0</v>
      </c>
      <c r="E170">
        <f>Dataset_A!E170</f>
        <v>1</v>
      </c>
      <c r="F170">
        <f>Dataset_A!F170</f>
        <v>7</v>
      </c>
      <c r="G170" t="b">
        <f>Dataset_A!G170</f>
        <v>0</v>
      </c>
      <c r="H170">
        <f>Dataset_A!H170</f>
        <v>6</v>
      </c>
      <c r="I170">
        <f>Dataset_A!I170</f>
        <v>2</v>
      </c>
      <c r="J170" s="55">
        <f>Dataset_A!J170</f>
        <v>0.16</v>
      </c>
      <c r="K170">
        <f>Dataset_A!K170</f>
        <v>0.18179999999999999</v>
      </c>
      <c r="L170">
        <f>Dataset_A!L170</f>
        <v>0.74</v>
      </c>
      <c r="M170">
        <f>Dataset_A!M170</f>
        <v>0.1045</v>
      </c>
      <c r="N170">
        <f>Dataset_A!N170</f>
        <v>1</v>
      </c>
      <c r="O170">
        <f>Dataset_A!O170</f>
        <v>8</v>
      </c>
      <c r="P170">
        <f>Dataset_A!P170</f>
        <v>9</v>
      </c>
      <c r="Q170" t="str">
        <f t="shared" si="26"/>
        <v>REC-0169</v>
      </c>
      <c r="R170" s="62">
        <f t="shared" si="27"/>
        <v>40551.291666666664</v>
      </c>
      <c r="S170" t="str">
        <f t="shared" si="28"/>
        <v>Jan</v>
      </c>
      <c r="T170" t="str">
        <f>INDEX(Lookups!$B$39:$B$45,MATCH(H170,Lookups!$A$39:$A$45,0))</f>
        <v>Sat</v>
      </c>
      <c r="U170" t="str">
        <f t="shared" si="29"/>
        <v>Weekend</v>
      </c>
      <c r="V170" t="str">
        <f t="shared" si="30"/>
        <v>Non-Working Day</v>
      </c>
      <c r="W170" t="str">
        <f t="shared" si="31"/>
        <v>Spring</v>
      </c>
      <c r="X170" t="str">
        <f t="shared" si="32"/>
        <v>Cloudy/Mist</v>
      </c>
      <c r="Y170" t="str">
        <f t="shared" si="33"/>
        <v>Morning</v>
      </c>
      <c r="Z170" t="str">
        <f t="shared" si="34"/>
        <v>Cold</v>
      </c>
      <c r="AA170" t="str">
        <f t="shared" si="35"/>
        <v>Medium</v>
      </c>
      <c r="AB170" t="str">
        <f t="shared" si="36"/>
        <v>Off-Peak</v>
      </c>
      <c r="AC170" s="63">
        <f t="shared" si="37"/>
        <v>0.1111111111111111</v>
      </c>
      <c r="AD170" t="str">
        <f>IF(P170&gt;=Stats!$C$30,"High",IF(P170&lt;=Stats!$C$29,"Low","Normal"))</f>
        <v>Low</v>
      </c>
      <c r="AE170">
        <f t="shared" si="38"/>
        <v>1</v>
      </c>
    </row>
    <row r="171" spans="1:31" x14ac:dyDescent="0.2">
      <c r="A171">
        <f>Dataset_A!A171</f>
        <v>170</v>
      </c>
      <c r="B171" s="61">
        <f>Dataset_A!B171</f>
        <v>40551</v>
      </c>
      <c r="C171">
        <f>Dataset_A!C171</f>
        <v>1</v>
      </c>
      <c r="D171">
        <f>Dataset_A!D171</f>
        <v>0</v>
      </c>
      <c r="E171">
        <f>Dataset_A!E171</f>
        <v>1</v>
      </c>
      <c r="F171">
        <f>Dataset_A!F171</f>
        <v>8</v>
      </c>
      <c r="G171" t="b">
        <f>Dataset_A!G171</f>
        <v>0</v>
      </c>
      <c r="H171">
        <f>Dataset_A!H171</f>
        <v>6</v>
      </c>
      <c r="I171">
        <f>Dataset_A!I171</f>
        <v>3</v>
      </c>
      <c r="J171" s="55">
        <f>Dataset_A!J171</f>
        <v>0.16</v>
      </c>
      <c r="K171">
        <f>Dataset_A!K171</f>
        <v>0.18179999999999999</v>
      </c>
      <c r="L171">
        <f>Dataset_A!L171</f>
        <v>0.93</v>
      </c>
      <c r="M171">
        <f>Dataset_A!M171</f>
        <v>0.1045</v>
      </c>
      <c r="N171">
        <f>Dataset_A!N171</f>
        <v>0</v>
      </c>
      <c r="O171">
        <f>Dataset_A!O171</f>
        <v>15</v>
      </c>
      <c r="P171">
        <f>Dataset_A!P171</f>
        <v>15</v>
      </c>
      <c r="Q171" t="str">
        <f t="shared" si="26"/>
        <v>REC-0170</v>
      </c>
      <c r="R171" s="62">
        <f t="shared" si="27"/>
        <v>40551.333333333336</v>
      </c>
      <c r="S171" t="str">
        <f t="shared" si="28"/>
        <v>Jan</v>
      </c>
      <c r="T171" t="str">
        <f>INDEX(Lookups!$B$39:$B$45,MATCH(H171,Lookups!$A$39:$A$45,0))</f>
        <v>Sat</v>
      </c>
      <c r="U171" t="str">
        <f t="shared" si="29"/>
        <v>Weekend</v>
      </c>
      <c r="V171" t="str">
        <f t="shared" si="30"/>
        <v>Non-Working Day</v>
      </c>
      <c r="W171" t="str">
        <f t="shared" si="31"/>
        <v>Spring</v>
      </c>
      <c r="X171" t="str">
        <f t="shared" si="32"/>
        <v>Light Rain/Snow</v>
      </c>
      <c r="Y171" t="str">
        <f t="shared" si="33"/>
        <v>Morning</v>
      </c>
      <c r="Z171" t="str">
        <f t="shared" si="34"/>
        <v>Cold</v>
      </c>
      <c r="AA171" t="str">
        <f t="shared" si="35"/>
        <v>High</v>
      </c>
      <c r="AB171" t="str">
        <f t="shared" si="36"/>
        <v>Off-Peak</v>
      </c>
      <c r="AC171" s="63">
        <f t="shared" si="37"/>
        <v>0</v>
      </c>
      <c r="AD171" t="str">
        <f>IF(P171&gt;=Stats!$C$30,"High",IF(P171&lt;=Stats!$C$29,"Low","Normal"))</f>
        <v>Low</v>
      </c>
      <c r="AE171">
        <f t="shared" si="38"/>
        <v>1</v>
      </c>
    </row>
    <row r="172" spans="1:31" x14ac:dyDescent="0.2">
      <c r="A172">
        <f>Dataset_A!A172</f>
        <v>171</v>
      </c>
      <c r="B172" s="61">
        <f>Dataset_A!B172</f>
        <v>40551</v>
      </c>
      <c r="C172">
        <f>Dataset_A!C172</f>
        <v>1</v>
      </c>
      <c r="D172">
        <f>Dataset_A!D172</f>
        <v>0</v>
      </c>
      <c r="E172">
        <f>Dataset_A!E172</f>
        <v>1</v>
      </c>
      <c r="F172">
        <f>Dataset_A!F172</f>
        <v>9</v>
      </c>
      <c r="G172" t="b">
        <f>Dataset_A!G172</f>
        <v>0</v>
      </c>
      <c r="H172">
        <f>Dataset_A!H172</f>
        <v>6</v>
      </c>
      <c r="I172">
        <f>Dataset_A!I172</f>
        <v>3</v>
      </c>
      <c r="J172" s="55">
        <f>Dataset_A!J172</f>
        <v>0.16</v>
      </c>
      <c r="K172">
        <f>Dataset_A!K172</f>
        <v>0.18179999999999999</v>
      </c>
      <c r="L172">
        <f>Dataset_A!L172</f>
        <v>0.93</v>
      </c>
      <c r="M172">
        <f>Dataset_A!M172</f>
        <v>0.1045</v>
      </c>
      <c r="N172">
        <f>Dataset_A!N172</f>
        <v>0</v>
      </c>
      <c r="O172">
        <f>Dataset_A!O172</f>
        <v>20</v>
      </c>
      <c r="P172">
        <f>Dataset_A!P172</f>
        <v>20</v>
      </c>
      <c r="Q172" t="str">
        <f t="shared" si="26"/>
        <v>REC-0171</v>
      </c>
      <c r="R172" s="62">
        <f t="shared" si="27"/>
        <v>40551.375</v>
      </c>
      <c r="S172" t="str">
        <f t="shared" si="28"/>
        <v>Jan</v>
      </c>
      <c r="T172" t="str">
        <f>INDEX(Lookups!$B$39:$B$45,MATCH(H172,Lookups!$A$39:$A$45,0))</f>
        <v>Sat</v>
      </c>
      <c r="U172" t="str">
        <f t="shared" si="29"/>
        <v>Weekend</v>
      </c>
      <c r="V172" t="str">
        <f t="shared" si="30"/>
        <v>Non-Working Day</v>
      </c>
      <c r="W172" t="str">
        <f t="shared" si="31"/>
        <v>Spring</v>
      </c>
      <c r="X172" t="str">
        <f t="shared" si="32"/>
        <v>Light Rain/Snow</v>
      </c>
      <c r="Y172" t="str">
        <f t="shared" si="33"/>
        <v>Morning</v>
      </c>
      <c r="Z172" t="str">
        <f t="shared" si="34"/>
        <v>Cold</v>
      </c>
      <c r="AA172" t="str">
        <f t="shared" si="35"/>
        <v>High</v>
      </c>
      <c r="AB172" t="str">
        <f t="shared" si="36"/>
        <v>Off-Peak</v>
      </c>
      <c r="AC172" s="63">
        <f t="shared" si="37"/>
        <v>0</v>
      </c>
      <c r="AD172" t="str">
        <f>IF(P172&gt;=Stats!$C$30,"High",IF(P172&lt;=Stats!$C$29,"Low","Normal"))</f>
        <v>Normal</v>
      </c>
      <c r="AE172">
        <f t="shared" si="38"/>
        <v>1</v>
      </c>
    </row>
    <row r="173" spans="1:31" x14ac:dyDescent="0.2">
      <c r="A173">
        <f>Dataset_A!A173</f>
        <v>172</v>
      </c>
      <c r="B173" s="61">
        <f>Dataset_A!B173</f>
        <v>40551</v>
      </c>
      <c r="C173">
        <f>Dataset_A!C173</f>
        <v>1</v>
      </c>
      <c r="D173">
        <f>Dataset_A!D173</f>
        <v>0</v>
      </c>
      <c r="E173">
        <f>Dataset_A!E173</f>
        <v>1</v>
      </c>
      <c r="F173">
        <f>Dataset_A!F173</f>
        <v>10</v>
      </c>
      <c r="G173" t="b">
        <f>Dataset_A!G173</f>
        <v>0</v>
      </c>
      <c r="H173">
        <f>Dataset_A!H173</f>
        <v>6</v>
      </c>
      <c r="I173">
        <f>Dataset_A!I173</f>
        <v>2</v>
      </c>
      <c r="J173" s="55">
        <f>Dataset_A!J173</f>
        <v>0.18</v>
      </c>
      <c r="K173">
        <f>Dataset_A!K173</f>
        <v>0.19700000000000001</v>
      </c>
      <c r="L173">
        <f>Dataset_A!L173</f>
        <v>0.8</v>
      </c>
      <c r="M173">
        <f>Dataset_A!M173</f>
        <v>0.16420000000000001</v>
      </c>
      <c r="N173">
        <f>Dataset_A!N173</f>
        <v>5</v>
      </c>
      <c r="O173">
        <f>Dataset_A!O173</f>
        <v>56</v>
      </c>
      <c r="P173">
        <f>Dataset_A!P173</f>
        <v>61</v>
      </c>
      <c r="Q173" t="str">
        <f t="shared" si="26"/>
        <v>REC-0172</v>
      </c>
      <c r="R173" s="62">
        <f t="shared" si="27"/>
        <v>40551.416666666664</v>
      </c>
      <c r="S173" t="str">
        <f t="shared" si="28"/>
        <v>Jan</v>
      </c>
      <c r="T173" t="str">
        <f>INDEX(Lookups!$B$39:$B$45,MATCH(H173,Lookups!$A$39:$A$45,0))</f>
        <v>Sat</v>
      </c>
      <c r="U173" t="str">
        <f t="shared" si="29"/>
        <v>Weekend</v>
      </c>
      <c r="V173" t="str">
        <f t="shared" si="30"/>
        <v>Non-Working Day</v>
      </c>
      <c r="W173" t="str">
        <f t="shared" si="31"/>
        <v>Spring</v>
      </c>
      <c r="X173" t="str">
        <f t="shared" si="32"/>
        <v>Cloudy/Mist</v>
      </c>
      <c r="Y173" t="str">
        <f t="shared" si="33"/>
        <v>Morning</v>
      </c>
      <c r="Z173" t="str">
        <f t="shared" si="34"/>
        <v>Cold</v>
      </c>
      <c r="AA173" t="str">
        <f t="shared" si="35"/>
        <v>High</v>
      </c>
      <c r="AB173" t="str">
        <f t="shared" si="36"/>
        <v>Off-Peak</v>
      </c>
      <c r="AC173" s="63">
        <f t="shared" si="37"/>
        <v>8.1967213114754092E-2</v>
      </c>
      <c r="AD173" t="str">
        <f>IF(P173&gt;=Stats!$C$30,"High",IF(P173&lt;=Stats!$C$29,"Low","Normal"))</f>
        <v>Normal</v>
      </c>
      <c r="AE173">
        <f t="shared" si="38"/>
        <v>1</v>
      </c>
    </row>
    <row r="174" spans="1:31" x14ac:dyDescent="0.2">
      <c r="A174">
        <f>Dataset_A!A174</f>
        <v>173</v>
      </c>
      <c r="B174" s="61">
        <f>Dataset_A!B174</f>
        <v>40551</v>
      </c>
      <c r="C174">
        <f>Dataset_A!C174</f>
        <v>1</v>
      </c>
      <c r="D174">
        <f>Dataset_A!D174</f>
        <v>0</v>
      </c>
      <c r="E174">
        <f>Dataset_A!E174</f>
        <v>1</v>
      </c>
      <c r="F174">
        <f>Dataset_A!F174</f>
        <v>11</v>
      </c>
      <c r="G174" t="b">
        <f>Dataset_A!G174</f>
        <v>0</v>
      </c>
      <c r="H174">
        <f>Dataset_A!H174</f>
        <v>6</v>
      </c>
      <c r="I174">
        <f>Dataset_A!I174</f>
        <v>2</v>
      </c>
      <c r="J174" s="55">
        <f>Dataset_A!J174</f>
        <v>0.2</v>
      </c>
      <c r="K174">
        <f>Dataset_A!K174</f>
        <v>0.18179999999999999</v>
      </c>
      <c r="L174">
        <f>Dataset_A!L174</f>
        <v>0.69</v>
      </c>
      <c r="M174">
        <f>Dataset_A!M174</f>
        <v>0.3881</v>
      </c>
      <c r="N174">
        <f>Dataset_A!N174</f>
        <v>2</v>
      </c>
      <c r="O174">
        <f>Dataset_A!O174</f>
        <v>60</v>
      </c>
      <c r="P174">
        <f>Dataset_A!P174</f>
        <v>62</v>
      </c>
      <c r="Q174" t="str">
        <f t="shared" si="26"/>
        <v>REC-0173</v>
      </c>
      <c r="R174" s="62">
        <f t="shared" si="27"/>
        <v>40551.458333333336</v>
      </c>
      <c r="S174" t="str">
        <f t="shared" si="28"/>
        <v>Jan</v>
      </c>
      <c r="T174" t="str">
        <f>INDEX(Lookups!$B$39:$B$45,MATCH(H174,Lookups!$A$39:$A$45,0))</f>
        <v>Sat</v>
      </c>
      <c r="U174" t="str">
        <f t="shared" si="29"/>
        <v>Weekend</v>
      </c>
      <c r="V174" t="str">
        <f t="shared" si="30"/>
        <v>Non-Working Day</v>
      </c>
      <c r="W174" t="str">
        <f t="shared" si="31"/>
        <v>Spring</v>
      </c>
      <c r="X174" t="str">
        <f t="shared" si="32"/>
        <v>Cloudy/Mist</v>
      </c>
      <c r="Y174" t="str">
        <f t="shared" si="33"/>
        <v>Morning</v>
      </c>
      <c r="Z174" t="str">
        <f t="shared" si="34"/>
        <v>Mild</v>
      </c>
      <c r="AA174" t="str">
        <f t="shared" si="35"/>
        <v>Medium</v>
      </c>
      <c r="AB174" t="str">
        <f t="shared" si="36"/>
        <v>Off-Peak</v>
      </c>
      <c r="AC174" s="63">
        <f t="shared" si="37"/>
        <v>3.2258064516129031E-2</v>
      </c>
      <c r="AD174" t="str">
        <f>IF(P174&gt;=Stats!$C$30,"High",IF(P174&lt;=Stats!$C$29,"Low","Normal"))</f>
        <v>Normal</v>
      </c>
      <c r="AE174">
        <f t="shared" si="38"/>
        <v>1</v>
      </c>
    </row>
    <row r="175" spans="1:31" x14ac:dyDescent="0.2">
      <c r="A175">
        <f>Dataset_A!A175</f>
        <v>174</v>
      </c>
      <c r="B175" s="61">
        <f>Dataset_A!B175</f>
        <v>40551</v>
      </c>
      <c r="C175">
        <f>Dataset_A!C175</f>
        <v>1</v>
      </c>
      <c r="D175">
        <f>Dataset_A!D175</f>
        <v>0</v>
      </c>
      <c r="E175">
        <f>Dataset_A!E175</f>
        <v>1</v>
      </c>
      <c r="F175">
        <f>Dataset_A!F175</f>
        <v>12</v>
      </c>
      <c r="G175" t="b">
        <f>Dataset_A!G175</f>
        <v>0</v>
      </c>
      <c r="H175">
        <f>Dataset_A!H175</f>
        <v>6</v>
      </c>
      <c r="I175">
        <f>Dataset_A!I175</f>
        <v>2</v>
      </c>
      <c r="J175" s="55">
        <f>Dataset_A!J175</f>
        <v>0.2</v>
      </c>
      <c r="K175">
        <f>Dataset_A!K175</f>
        <v>0.18179999999999999</v>
      </c>
      <c r="L175">
        <f>Dataset_A!L175</f>
        <v>0.59</v>
      </c>
      <c r="M175">
        <f>Dataset_A!M175</f>
        <v>0.35820000000000002</v>
      </c>
      <c r="N175">
        <f>Dataset_A!N175</f>
        <v>8</v>
      </c>
      <c r="O175">
        <f>Dataset_A!O175</f>
        <v>90</v>
      </c>
      <c r="P175">
        <f>Dataset_A!P175</f>
        <v>98</v>
      </c>
      <c r="Q175" t="str">
        <f t="shared" si="26"/>
        <v>REC-0174</v>
      </c>
      <c r="R175" s="62">
        <f t="shared" si="27"/>
        <v>40551.5</v>
      </c>
      <c r="S175" t="str">
        <f t="shared" si="28"/>
        <v>Jan</v>
      </c>
      <c r="T175" t="str">
        <f>INDEX(Lookups!$B$39:$B$45,MATCH(H175,Lookups!$A$39:$A$45,0))</f>
        <v>Sat</v>
      </c>
      <c r="U175" t="str">
        <f t="shared" si="29"/>
        <v>Weekend</v>
      </c>
      <c r="V175" t="str">
        <f t="shared" si="30"/>
        <v>Non-Working Day</v>
      </c>
      <c r="W175" t="str">
        <f t="shared" si="31"/>
        <v>Spring</v>
      </c>
      <c r="X175" t="str">
        <f t="shared" si="32"/>
        <v>Cloudy/Mist</v>
      </c>
      <c r="Y175" t="str">
        <f t="shared" si="33"/>
        <v>Afternoon</v>
      </c>
      <c r="Z175" t="str">
        <f t="shared" si="34"/>
        <v>Mild</v>
      </c>
      <c r="AA175" t="str">
        <f t="shared" si="35"/>
        <v>Medium</v>
      </c>
      <c r="AB175" t="str">
        <f t="shared" si="36"/>
        <v>Off-Peak</v>
      </c>
      <c r="AC175" s="63">
        <f t="shared" si="37"/>
        <v>8.1632653061224483E-2</v>
      </c>
      <c r="AD175" t="str">
        <f>IF(P175&gt;=Stats!$C$30,"High",IF(P175&lt;=Stats!$C$29,"Low","Normal"))</f>
        <v>High</v>
      </c>
      <c r="AE175">
        <f t="shared" si="38"/>
        <v>1</v>
      </c>
    </row>
    <row r="176" spans="1:31" x14ac:dyDescent="0.2">
      <c r="A176">
        <f>Dataset_A!A176</f>
        <v>175</v>
      </c>
      <c r="B176" s="61">
        <f>Dataset_A!B176</f>
        <v>40551</v>
      </c>
      <c r="C176">
        <f>Dataset_A!C176</f>
        <v>1</v>
      </c>
      <c r="D176">
        <f>Dataset_A!D176</f>
        <v>0</v>
      </c>
      <c r="E176">
        <f>Dataset_A!E176</f>
        <v>1</v>
      </c>
      <c r="F176">
        <f>Dataset_A!F176</f>
        <v>13</v>
      </c>
      <c r="G176" t="b">
        <f>Dataset_A!G176</f>
        <v>0</v>
      </c>
      <c r="H176">
        <f>Dataset_A!H176</f>
        <v>6</v>
      </c>
      <c r="I176">
        <f>Dataset_A!I176</f>
        <v>1</v>
      </c>
      <c r="J176" s="55">
        <f>Dataset_A!J176</f>
        <v>0.2</v>
      </c>
      <c r="K176">
        <f>Dataset_A!K176</f>
        <v>0.18179999999999999</v>
      </c>
      <c r="L176">
        <f>Dataset_A!L176</f>
        <v>0.44</v>
      </c>
      <c r="M176">
        <f>Dataset_A!M176</f>
        <v>0.32840000000000003</v>
      </c>
      <c r="N176">
        <f>Dataset_A!N176</f>
        <v>7</v>
      </c>
      <c r="O176">
        <f>Dataset_A!O176</f>
        <v>95</v>
      </c>
      <c r="P176">
        <f>Dataset_A!P176</f>
        <v>102</v>
      </c>
      <c r="Q176" t="str">
        <f t="shared" si="26"/>
        <v>REC-0175</v>
      </c>
      <c r="R176" s="62">
        <f t="shared" si="27"/>
        <v>40551.541666666664</v>
      </c>
      <c r="S176" t="str">
        <f t="shared" si="28"/>
        <v>Jan</v>
      </c>
      <c r="T176" t="str">
        <f>INDEX(Lookups!$B$39:$B$45,MATCH(H176,Lookups!$A$39:$A$45,0))</f>
        <v>Sat</v>
      </c>
      <c r="U176" t="str">
        <f t="shared" si="29"/>
        <v>Weekend</v>
      </c>
      <c r="V176" t="str">
        <f t="shared" si="30"/>
        <v>Non-Working Day</v>
      </c>
      <c r="W176" t="str">
        <f t="shared" si="31"/>
        <v>Spring</v>
      </c>
      <c r="X176" t="str">
        <f t="shared" si="32"/>
        <v>Clear</v>
      </c>
      <c r="Y176" t="str">
        <f t="shared" si="33"/>
        <v>Afternoon</v>
      </c>
      <c r="Z176" t="str">
        <f t="shared" si="34"/>
        <v>Mild</v>
      </c>
      <c r="AA176" t="str">
        <f t="shared" si="35"/>
        <v>Low</v>
      </c>
      <c r="AB176" t="str">
        <f t="shared" si="36"/>
        <v>Off-Peak</v>
      </c>
      <c r="AC176" s="63">
        <f t="shared" si="37"/>
        <v>6.8627450980392163E-2</v>
      </c>
      <c r="AD176" t="str">
        <f>IF(P176&gt;=Stats!$C$30,"High",IF(P176&lt;=Stats!$C$29,"Low","Normal"))</f>
        <v>High</v>
      </c>
      <c r="AE176">
        <f t="shared" si="38"/>
        <v>1</v>
      </c>
    </row>
    <row r="177" spans="1:31" x14ac:dyDescent="0.2">
      <c r="A177">
        <f>Dataset_A!A177</f>
        <v>176</v>
      </c>
      <c r="B177" s="61">
        <f>Dataset_A!B177</f>
        <v>40551</v>
      </c>
      <c r="C177">
        <f>Dataset_A!C177</f>
        <v>1</v>
      </c>
      <c r="D177">
        <f>Dataset_A!D177</f>
        <v>0</v>
      </c>
      <c r="E177">
        <f>Dataset_A!E177</f>
        <v>1</v>
      </c>
      <c r="F177">
        <f>Dataset_A!F177</f>
        <v>14</v>
      </c>
      <c r="G177" t="b">
        <f>Dataset_A!G177</f>
        <v>0</v>
      </c>
      <c r="H177">
        <f>Dataset_A!H177</f>
        <v>6</v>
      </c>
      <c r="I177">
        <f>Dataset_A!I177</f>
        <v>1</v>
      </c>
      <c r="J177" s="55">
        <f>Dataset_A!J177</f>
        <v>0.2</v>
      </c>
      <c r="K177">
        <f>Dataset_A!K177</f>
        <v>0.16669999999999999</v>
      </c>
      <c r="L177">
        <f>Dataset_A!L177</f>
        <v>0.32</v>
      </c>
      <c r="M177">
        <f>Dataset_A!M177</f>
        <v>0.49249999999999999</v>
      </c>
      <c r="N177">
        <f>Dataset_A!N177</f>
        <v>12</v>
      </c>
      <c r="O177">
        <f>Dataset_A!O177</f>
        <v>83</v>
      </c>
      <c r="P177">
        <f>Dataset_A!P177</f>
        <v>95</v>
      </c>
      <c r="Q177" t="str">
        <f t="shared" si="26"/>
        <v>REC-0176</v>
      </c>
      <c r="R177" s="62">
        <f t="shared" si="27"/>
        <v>40551.583333333336</v>
      </c>
      <c r="S177" t="str">
        <f t="shared" si="28"/>
        <v>Jan</v>
      </c>
      <c r="T177" t="str">
        <f>INDEX(Lookups!$B$39:$B$45,MATCH(H177,Lookups!$A$39:$A$45,0))</f>
        <v>Sat</v>
      </c>
      <c r="U177" t="str">
        <f t="shared" si="29"/>
        <v>Weekend</v>
      </c>
      <c r="V177" t="str">
        <f t="shared" si="30"/>
        <v>Non-Working Day</v>
      </c>
      <c r="W177" t="str">
        <f t="shared" si="31"/>
        <v>Spring</v>
      </c>
      <c r="X177" t="str">
        <f t="shared" si="32"/>
        <v>Clear</v>
      </c>
      <c r="Y177" t="str">
        <f t="shared" si="33"/>
        <v>Afternoon</v>
      </c>
      <c r="Z177" t="str">
        <f t="shared" si="34"/>
        <v>Mild</v>
      </c>
      <c r="AA177" t="str">
        <f t="shared" si="35"/>
        <v>Low</v>
      </c>
      <c r="AB177" t="str">
        <f t="shared" si="36"/>
        <v>Off-Peak</v>
      </c>
      <c r="AC177" s="63">
        <f t="shared" si="37"/>
        <v>0.12631578947368421</v>
      </c>
      <c r="AD177" t="str">
        <f>IF(P177&gt;=Stats!$C$30,"High",IF(P177&lt;=Stats!$C$29,"Low","Normal"))</f>
        <v>High</v>
      </c>
      <c r="AE177">
        <f t="shared" si="38"/>
        <v>1</v>
      </c>
    </row>
    <row r="178" spans="1:31" x14ac:dyDescent="0.2">
      <c r="A178">
        <f>Dataset_A!A178</f>
        <v>177</v>
      </c>
      <c r="B178" s="61">
        <f>Dataset_A!B178</f>
        <v>40551</v>
      </c>
      <c r="C178">
        <f>Dataset_A!C178</f>
        <v>1</v>
      </c>
      <c r="D178">
        <f>Dataset_A!D178</f>
        <v>0</v>
      </c>
      <c r="E178">
        <f>Dataset_A!E178</f>
        <v>1</v>
      </c>
      <c r="F178">
        <f>Dataset_A!F178</f>
        <v>15</v>
      </c>
      <c r="G178" t="b">
        <f>Dataset_A!G178</f>
        <v>0</v>
      </c>
      <c r="H178">
        <f>Dataset_A!H178</f>
        <v>6</v>
      </c>
      <c r="I178">
        <f>Dataset_A!I178</f>
        <v>1</v>
      </c>
      <c r="J178" s="55">
        <f>Dataset_A!J178</f>
        <v>0.2</v>
      </c>
      <c r="K178">
        <f>Dataset_A!K178</f>
        <v>0.16669999999999999</v>
      </c>
      <c r="L178">
        <f>Dataset_A!L178</f>
        <v>0.32</v>
      </c>
      <c r="M178">
        <f>Dataset_A!M178</f>
        <v>0.44779999999999998</v>
      </c>
      <c r="N178">
        <f>Dataset_A!N178</f>
        <v>5</v>
      </c>
      <c r="O178">
        <f>Dataset_A!O178</f>
        <v>69</v>
      </c>
      <c r="P178">
        <f>Dataset_A!P178</f>
        <v>74</v>
      </c>
      <c r="Q178" t="str">
        <f t="shared" si="26"/>
        <v>REC-0177</v>
      </c>
      <c r="R178" s="62">
        <f t="shared" si="27"/>
        <v>40551.625</v>
      </c>
      <c r="S178" t="str">
        <f t="shared" si="28"/>
        <v>Jan</v>
      </c>
      <c r="T178" t="str">
        <f>INDEX(Lookups!$B$39:$B$45,MATCH(H178,Lookups!$A$39:$A$45,0))</f>
        <v>Sat</v>
      </c>
      <c r="U178" t="str">
        <f t="shared" si="29"/>
        <v>Weekend</v>
      </c>
      <c r="V178" t="str">
        <f t="shared" si="30"/>
        <v>Non-Working Day</v>
      </c>
      <c r="W178" t="str">
        <f t="shared" si="31"/>
        <v>Spring</v>
      </c>
      <c r="X178" t="str">
        <f t="shared" si="32"/>
        <v>Clear</v>
      </c>
      <c r="Y178" t="str">
        <f t="shared" si="33"/>
        <v>Afternoon</v>
      </c>
      <c r="Z178" t="str">
        <f t="shared" si="34"/>
        <v>Mild</v>
      </c>
      <c r="AA178" t="str">
        <f t="shared" si="35"/>
        <v>Low</v>
      </c>
      <c r="AB178" t="str">
        <f t="shared" si="36"/>
        <v>Off-Peak</v>
      </c>
      <c r="AC178" s="63">
        <f t="shared" si="37"/>
        <v>6.7567567567567571E-2</v>
      </c>
      <c r="AD178" t="str">
        <f>IF(P178&gt;=Stats!$C$30,"High",IF(P178&lt;=Stats!$C$29,"Low","Normal"))</f>
        <v>Normal</v>
      </c>
      <c r="AE178">
        <f t="shared" si="38"/>
        <v>1</v>
      </c>
    </row>
    <row r="179" spans="1:31" x14ac:dyDescent="0.2">
      <c r="A179">
        <f>Dataset_A!A179</f>
        <v>178</v>
      </c>
      <c r="B179" s="61">
        <f>Dataset_A!B179</f>
        <v>40551</v>
      </c>
      <c r="C179">
        <f>Dataset_A!C179</f>
        <v>1</v>
      </c>
      <c r="D179">
        <f>Dataset_A!D179</f>
        <v>0</v>
      </c>
      <c r="E179">
        <f>Dataset_A!E179</f>
        <v>1</v>
      </c>
      <c r="F179">
        <f>Dataset_A!F179</f>
        <v>16</v>
      </c>
      <c r="G179" t="b">
        <f>Dataset_A!G179</f>
        <v>0</v>
      </c>
      <c r="H179">
        <f>Dataset_A!H179</f>
        <v>6</v>
      </c>
      <c r="I179">
        <f>Dataset_A!I179</f>
        <v>1</v>
      </c>
      <c r="J179" s="55">
        <f>Dataset_A!J179</f>
        <v>0.18</v>
      </c>
      <c r="K179">
        <f>Dataset_A!K179</f>
        <v>0.13639999999999999</v>
      </c>
      <c r="L179">
        <f>Dataset_A!L179</f>
        <v>0.28999999999999998</v>
      </c>
      <c r="M179">
        <f>Dataset_A!M179</f>
        <v>0.44779999999999998</v>
      </c>
      <c r="N179">
        <f>Dataset_A!N179</f>
        <v>8</v>
      </c>
      <c r="O179">
        <f>Dataset_A!O179</f>
        <v>68</v>
      </c>
      <c r="P179">
        <f>Dataset_A!P179</f>
        <v>76</v>
      </c>
      <c r="Q179" t="str">
        <f t="shared" si="26"/>
        <v>REC-0178</v>
      </c>
      <c r="R179" s="62">
        <f t="shared" si="27"/>
        <v>40551.666666666664</v>
      </c>
      <c r="S179" t="str">
        <f t="shared" si="28"/>
        <v>Jan</v>
      </c>
      <c r="T179" t="str">
        <f>INDEX(Lookups!$B$39:$B$45,MATCH(H179,Lookups!$A$39:$A$45,0))</f>
        <v>Sat</v>
      </c>
      <c r="U179" t="str">
        <f t="shared" si="29"/>
        <v>Weekend</v>
      </c>
      <c r="V179" t="str">
        <f t="shared" si="30"/>
        <v>Non-Working Day</v>
      </c>
      <c r="W179" t="str">
        <f t="shared" si="31"/>
        <v>Spring</v>
      </c>
      <c r="X179" t="str">
        <f t="shared" si="32"/>
        <v>Clear</v>
      </c>
      <c r="Y179" t="str">
        <f t="shared" si="33"/>
        <v>Afternoon</v>
      </c>
      <c r="Z179" t="str">
        <f t="shared" si="34"/>
        <v>Cold</v>
      </c>
      <c r="AA179" t="str">
        <f t="shared" si="35"/>
        <v>Low</v>
      </c>
      <c r="AB179" t="str">
        <f t="shared" si="36"/>
        <v>Off-Peak</v>
      </c>
      <c r="AC179" s="63">
        <f t="shared" si="37"/>
        <v>0.10526315789473684</v>
      </c>
      <c r="AD179" t="str">
        <f>IF(P179&gt;=Stats!$C$30,"High",IF(P179&lt;=Stats!$C$29,"Low","Normal"))</f>
        <v>Normal</v>
      </c>
      <c r="AE179">
        <f t="shared" si="38"/>
        <v>1</v>
      </c>
    </row>
    <row r="180" spans="1:31" x14ac:dyDescent="0.2">
      <c r="A180">
        <f>Dataset_A!A180</f>
        <v>179</v>
      </c>
      <c r="B180" s="61">
        <f>Dataset_A!B180</f>
        <v>40551</v>
      </c>
      <c r="C180">
        <f>Dataset_A!C180</f>
        <v>1</v>
      </c>
      <c r="D180">
        <f>Dataset_A!D180</f>
        <v>0</v>
      </c>
      <c r="E180">
        <f>Dataset_A!E180</f>
        <v>1</v>
      </c>
      <c r="F180">
        <f>Dataset_A!F180</f>
        <v>17</v>
      </c>
      <c r="G180" t="b">
        <f>Dataset_A!G180</f>
        <v>0</v>
      </c>
      <c r="H180">
        <f>Dataset_A!H180</f>
        <v>6</v>
      </c>
      <c r="I180">
        <f>Dataset_A!I180</f>
        <v>1</v>
      </c>
      <c r="J180" s="55">
        <f>Dataset_A!J180</f>
        <v>0.16</v>
      </c>
      <c r="K180">
        <f>Dataset_A!K180</f>
        <v>0.1212</v>
      </c>
      <c r="L180">
        <f>Dataset_A!L180</f>
        <v>0.37</v>
      </c>
      <c r="M180">
        <f>Dataset_A!M180</f>
        <v>0.55220000000000002</v>
      </c>
      <c r="N180">
        <f>Dataset_A!N180</f>
        <v>5</v>
      </c>
      <c r="O180">
        <f>Dataset_A!O180</f>
        <v>64</v>
      </c>
      <c r="P180">
        <f>Dataset_A!P180</f>
        <v>69</v>
      </c>
      <c r="Q180" t="str">
        <f t="shared" si="26"/>
        <v>REC-0179</v>
      </c>
      <c r="R180" s="62">
        <f t="shared" si="27"/>
        <v>40551.708333333336</v>
      </c>
      <c r="S180" t="str">
        <f t="shared" si="28"/>
        <v>Jan</v>
      </c>
      <c r="T180" t="str">
        <f>INDEX(Lookups!$B$39:$B$45,MATCH(H180,Lookups!$A$39:$A$45,0))</f>
        <v>Sat</v>
      </c>
      <c r="U180" t="str">
        <f t="shared" si="29"/>
        <v>Weekend</v>
      </c>
      <c r="V180" t="str">
        <f t="shared" si="30"/>
        <v>Non-Working Day</v>
      </c>
      <c r="W180" t="str">
        <f t="shared" si="31"/>
        <v>Spring</v>
      </c>
      <c r="X180" t="str">
        <f t="shared" si="32"/>
        <v>Clear</v>
      </c>
      <c r="Y180" t="str">
        <f t="shared" si="33"/>
        <v>Evening</v>
      </c>
      <c r="Z180" t="str">
        <f t="shared" si="34"/>
        <v>Cold</v>
      </c>
      <c r="AA180" t="str">
        <f t="shared" si="35"/>
        <v>Low</v>
      </c>
      <c r="AB180" t="str">
        <f t="shared" si="36"/>
        <v>Off-Peak</v>
      </c>
      <c r="AC180" s="63">
        <f t="shared" si="37"/>
        <v>7.2463768115942032E-2</v>
      </c>
      <c r="AD180" t="str">
        <f>IF(P180&gt;=Stats!$C$30,"High",IF(P180&lt;=Stats!$C$29,"Low","Normal"))</f>
        <v>Normal</v>
      </c>
      <c r="AE180">
        <f t="shared" si="38"/>
        <v>1</v>
      </c>
    </row>
    <row r="181" spans="1:31" x14ac:dyDescent="0.2">
      <c r="A181">
        <f>Dataset_A!A181</f>
        <v>180</v>
      </c>
      <c r="B181" s="61">
        <f>Dataset_A!B181</f>
        <v>40551</v>
      </c>
      <c r="C181">
        <f>Dataset_A!C181</f>
        <v>1</v>
      </c>
      <c r="D181">
        <f>Dataset_A!D181</f>
        <v>0</v>
      </c>
      <c r="E181">
        <f>Dataset_A!E181</f>
        <v>1</v>
      </c>
      <c r="F181">
        <f>Dataset_A!F181</f>
        <v>18</v>
      </c>
      <c r="G181" t="b">
        <f>Dataset_A!G181</f>
        <v>0</v>
      </c>
      <c r="H181">
        <f>Dataset_A!H181</f>
        <v>6</v>
      </c>
      <c r="I181">
        <f>Dataset_A!I181</f>
        <v>1</v>
      </c>
      <c r="J181" s="55">
        <f>Dataset_A!J181</f>
        <v>0.14000000000000001</v>
      </c>
      <c r="K181">
        <f>Dataset_A!K181</f>
        <v>0.1212</v>
      </c>
      <c r="L181">
        <f>Dataset_A!L181</f>
        <v>0.39</v>
      </c>
      <c r="M181">
        <f>Dataset_A!M181</f>
        <v>0.29849999999999999</v>
      </c>
      <c r="N181">
        <f>Dataset_A!N181</f>
        <v>3</v>
      </c>
      <c r="O181">
        <f>Dataset_A!O181</f>
        <v>52</v>
      </c>
      <c r="P181">
        <f>Dataset_A!P181</f>
        <v>55</v>
      </c>
      <c r="Q181" t="str">
        <f t="shared" si="26"/>
        <v>REC-0180</v>
      </c>
      <c r="R181" s="62">
        <f t="shared" si="27"/>
        <v>40551.75</v>
      </c>
      <c r="S181" t="str">
        <f t="shared" si="28"/>
        <v>Jan</v>
      </c>
      <c r="T181" t="str">
        <f>INDEX(Lookups!$B$39:$B$45,MATCH(H181,Lookups!$A$39:$A$45,0))</f>
        <v>Sat</v>
      </c>
      <c r="U181" t="str">
        <f t="shared" si="29"/>
        <v>Weekend</v>
      </c>
      <c r="V181" t="str">
        <f t="shared" si="30"/>
        <v>Non-Working Day</v>
      </c>
      <c r="W181" t="str">
        <f t="shared" si="31"/>
        <v>Spring</v>
      </c>
      <c r="X181" t="str">
        <f t="shared" si="32"/>
        <v>Clear</v>
      </c>
      <c r="Y181" t="str">
        <f t="shared" si="33"/>
        <v>Evening</v>
      </c>
      <c r="Z181" t="str">
        <f t="shared" si="34"/>
        <v>Cold</v>
      </c>
      <c r="AA181" t="str">
        <f t="shared" si="35"/>
        <v>Low</v>
      </c>
      <c r="AB181" t="str">
        <f t="shared" si="36"/>
        <v>Off-Peak</v>
      </c>
      <c r="AC181" s="63">
        <f t="shared" si="37"/>
        <v>5.4545454545454543E-2</v>
      </c>
      <c r="AD181" t="str">
        <f>IF(P181&gt;=Stats!$C$30,"High",IF(P181&lt;=Stats!$C$29,"Low","Normal"))</f>
        <v>Normal</v>
      </c>
      <c r="AE181">
        <f t="shared" si="38"/>
        <v>1</v>
      </c>
    </row>
    <row r="182" spans="1:31" x14ac:dyDescent="0.2">
      <c r="A182">
        <f>Dataset_A!A182</f>
        <v>181</v>
      </c>
      <c r="B182" s="61">
        <f>Dataset_A!B182</f>
        <v>40551</v>
      </c>
      <c r="C182">
        <f>Dataset_A!C182</f>
        <v>1</v>
      </c>
      <c r="D182">
        <f>Dataset_A!D182</f>
        <v>0</v>
      </c>
      <c r="E182">
        <f>Dataset_A!E182</f>
        <v>1</v>
      </c>
      <c r="F182">
        <f>Dataset_A!F182</f>
        <v>19</v>
      </c>
      <c r="G182" t="b">
        <f>Dataset_A!G182</f>
        <v>0</v>
      </c>
      <c r="H182">
        <f>Dataset_A!H182</f>
        <v>6</v>
      </c>
      <c r="I182">
        <f>Dataset_A!I182</f>
        <v>1</v>
      </c>
      <c r="J182" s="55">
        <f>Dataset_A!J182</f>
        <v>0.14000000000000001</v>
      </c>
      <c r="K182">
        <f>Dataset_A!K182</f>
        <v>0.1212</v>
      </c>
      <c r="L182">
        <f>Dataset_A!L182</f>
        <v>0.36</v>
      </c>
      <c r="M182">
        <f>Dataset_A!M182</f>
        <v>0.25369999999999998</v>
      </c>
      <c r="N182">
        <f>Dataset_A!N182</f>
        <v>4</v>
      </c>
      <c r="O182">
        <f>Dataset_A!O182</f>
        <v>26</v>
      </c>
      <c r="P182">
        <f>Dataset_A!P182</f>
        <v>30</v>
      </c>
      <c r="Q182" t="str">
        <f t="shared" si="26"/>
        <v>REC-0181</v>
      </c>
      <c r="R182" s="62">
        <f t="shared" si="27"/>
        <v>40551.791666666664</v>
      </c>
      <c r="S182" t="str">
        <f t="shared" si="28"/>
        <v>Jan</v>
      </c>
      <c r="T182" t="str">
        <f>INDEX(Lookups!$B$39:$B$45,MATCH(H182,Lookups!$A$39:$A$45,0))</f>
        <v>Sat</v>
      </c>
      <c r="U182" t="str">
        <f t="shared" si="29"/>
        <v>Weekend</v>
      </c>
      <c r="V182" t="str">
        <f t="shared" si="30"/>
        <v>Non-Working Day</v>
      </c>
      <c r="W182" t="str">
        <f t="shared" si="31"/>
        <v>Spring</v>
      </c>
      <c r="X182" t="str">
        <f t="shared" si="32"/>
        <v>Clear</v>
      </c>
      <c r="Y182" t="str">
        <f t="shared" si="33"/>
        <v>Evening</v>
      </c>
      <c r="Z182" t="str">
        <f t="shared" si="34"/>
        <v>Cold</v>
      </c>
      <c r="AA182" t="str">
        <f t="shared" si="35"/>
        <v>Low</v>
      </c>
      <c r="AB182" t="str">
        <f t="shared" si="36"/>
        <v>Off-Peak</v>
      </c>
      <c r="AC182" s="63">
        <f t="shared" si="37"/>
        <v>0.13333333333333333</v>
      </c>
      <c r="AD182" t="str">
        <f>IF(P182&gt;=Stats!$C$30,"High",IF(P182&lt;=Stats!$C$29,"Low","Normal"))</f>
        <v>Normal</v>
      </c>
      <c r="AE182">
        <f t="shared" si="38"/>
        <v>1</v>
      </c>
    </row>
    <row r="183" spans="1:31" x14ac:dyDescent="0.2">
      <c r="A183">
        <f>Dataset_A!A183</f>
        <v>182</v>
      </c>
      <c r="B183" s="61">
        <f>Dataset_A!B183</f>
        <v>40551</v>
      </c>
      <c r="C183">
        <f>Dataset_A!C183</f>
        <v>1</v>
      </c>
      <c r="D183">
        <f>Dataset_A!D183</f>
        <v>0</v>
      </c>
      <c r="E183">
        <f>Dataset_A!E183</f>
        <v>1</v>
      </c>
      <c r="F183">
        <f>Dataset_A!F183</f>
        <v>20</v>
      </c>
      <c r="G183" t="b">
        <f>Dataset_A!G183</f>
        <v>0</v>
      </c>
      <c r="H183">
        <f>Dataset_A!H183</f>
        <v>6</v>
      </c>
      <c r="I183">
        <f>Dataset_A!I183</f>
        <v>1</v>
      </c>
      <c r="J183" s="55">
        <f>Dataset_A!J183</f>
        <v>0.12</v>
      </c>
      <c r="K183">
        <f>Dataset_A!K183</f>
        <v>0.1212</v>
      </c>
      <c r="L183">
        <f>Dataset_A!L183</f>
        <v>0.36</v>
      </c>
      <c r="M183">
        <f>Dataset_A!M183</f>
        <v>0.25369999999999998</v>
      </c>
      <c r="N183">
        <f>Dataset_A!N183</f>
        <v>0</v>
      </c>
      <c r="O183">
        <f>Dataset_A!O183</f>
        <v>28</v>
      </c>
      <c r="P183">
        <f>Dataset_A!P183</f>
        <v>28</v>
      </c>
      <c r="Q183" t="str">
        <f t="shared" si="26"/>
        <v>REC-0182</v>
      </c>
      <c r="R183" s="62">
        <f t="shared" si="27"/>
        <v>40551.833333333336</v>
      </c>
      <c r="S183" t="str">
        <f t="shared" si="28"/>
        <v>Jan</v>
      </c>
      <c r="T183" t="str">
        <f>INDEX(Lookups!$B$39:$B$45,MATCH(H183,Lookups!$A$39:$A$45,0))</f>
        <v>Sat</v>
      </c>
      <c r="U183" t="str">
        <f t="shared" si="29"/>
        <v>Weekend</v>
      </c>
      <c r="V183" t="str">
        <f t="shared" si="30"/>
        <v>Non-Working Day</v>
      </c>
      <c r="W183" t="str">
        <f t="shared" si="31"/>
        <v>Spring</v>
      </c>
      <c r="X183" t="str">
        <f t="shared" si="32"/>
        <v>Clear</v>
      </c>
      <c r="Y183" t="str">
        <f t="shared" si="33"/>
        <v>Evening</v>
      </c>
      <c r="Z183" t="str">
        <f t="shared" si="34"/>
        <v>Cold</v>
      </c>
      <c r="AA183" t="str">
        <f t="shared" si="35"/>
        <v>Low</v>
      </c>
      <c r="AB183" t="str">
        <f t="shared" si="36"/>
        <v>Off-Peak</v>
      </c>
      <c r="AC183" s="63">
        <f t="shared" si="37"/>
        <v>0</v>
      </c>
      <c r="AD183" t="str">
        <f>IF(P183&gt;=Stats!$C$30,"High",IF(P183&lt;=Stats!$C$29,"Low","Normal"))</f>
        <v>Normal</v>
      </c>
      <c r="AE183">
        <f t="shared" si="38"/>
        <v>1</v>
      </c>
    </row>
    <row r="184" spans="1:31" x14ac:dyDescent="0.2">
      <c r="A184">
        <f>Dataset_A!A184</f>
        <v>183</v>
      </c>
      <c r="B184" s="61">
        <f>Dataset_A!B184</f>
        <v>40551</v>
      </c>
      <c r="C184">
        <f>Dataset_A!C184</f>
        <v>1</v>
      </c>
      <c r="D184">
        <f>Dataset_A!D184</f>
        <v>0</v>
      </c>
      <c r="E184">
        <f>Dataset_A!E184</f>
        <v>1</v>
      </c>
      <c r="F184">
        <f>Dataset_A!F184</f>
        <v>21</v>
      </c>
      <c r="G184" t="b">
        <f>Dataset_A!G184</f>
        <v>0</v>
      </c>
      <c r="H184">
        <f>Dataset_A!H184</f>
        <v>6</v>
      </c>
      <c r="I184">
        <f>Dataset_A!I184</f>
        <v>1</v>
      </c>
      <c r="J184" s="55">
        <f>Dataset_A!J184</f>
        <v>0.12</v>
      </c>
      <c r="K184">
        <f>Dataset_A!K184</f>
        <v>0.1061</v>
      </c>
      <c r="L184">
        <f>Dataset_A!L184</f>
        <v>0.39</v>
      </c>
      <c r="M184">
        <f>Dataset_A!M184</f>
        <v>0.35820000000000002</v>
      </c>
      <c r="N184">
        <f>Dataset_A!N184</f>
        <v>2</v>
      </c>
      <c r="O184">
        <f>Dataset_A!O184</f>
        <v>35</v>
      </c>
      <c r="P184">
        <f>Dataset_A!P184</f>
        <v>37</v>
      </c>
      <c r="Q184" t="str">
        <f t="shared" si="26"/>
        <v>REC-0183</v>
      </c>
      <c r="R184" s="62">
        <f t="shared" si="27"/>
        <v>40551.875</v>
      </c>
      <c r="S184" t="str">
        <f t="shared" si="28"/>
        <v>Jan</v>
      </c>
      <c r="T184" t="str">
        <f>INDEX(Lookups!$B$39:$B$45,MATCH(H184,Lookups!$A$39:$A$45,0))</f>
        <v>Sat</v>
      </c>
      <c r="U184" t="str">
        <f t="shared" si="29"/>
        <v>Weekend</v>
      </c>
      <c r="V184" t="str">
        <f t="shared" si="30"/>
        <v>Non-Working Day</v>
      </c>
      <c r="W184" t="str">
        <f t="shared" si="31"/>
        <v>Spring</v>
      </c>
      <c r="X184" t="str">
        <f t="shared" si="32"/>
        <v>Clear</v>
      </c>
      <c r="Y184" t="str">
        <f t="shared" si="33"/>
        <v>Late Evening</v>
      </c>
      <c r="Z184" t="str">
        <f t="shared" si="34"/>
        <v>Cold</v>
      </c>
      <c r="AA184" t="str">
        <f t="shared" si="35"/>
        <v>Low</v>
      </c>
      <c r="AB184" t="str">
        <f t="shared" si="36"/>
        <v>Off-Peak</v>
      </c>
      <c r="AC184" s="63">
        <f t="shared" si="37"/>
        <v>5.4054054054054057E-2</v>
      </c>
      <c r="AD184" t="str">
        <f>IF(P184&gt;=Stats!$C$30,"High",IF(P184&lt;=Stats!$C$29,"Low","Normal"))</f>
        <v>Normal</v>
      </c>
      <c r="AE184">
        <f t="shared" si="38"/>
        <v>1</v>
      </c>
    </row>
    <row r="185" spans="1:31" x14ac:dyDescent="0.2">
      <c r="A185">
        <f>Dataset_A!A185</f>
        <v>184</v>
      </c>
      <c r="B185" s="61">
        <f>Dataset_A!B185</f>
        <v>40551</v>
      </c>
      <c r="C185">
        <f>Dataset_A!C185</f>
        <v>1</v>
      </c>
      <c r="D185">
        <f>Dataset_A!D185</f>
        <v>0</v>
      </c>
      <c r="E185">
        <f>Dataset_A!E185</f>
        <v>1</v>
      </c>
      <c r="F185">
        <f>Dataset_A!F185</f>
        <v>22</v>
      </c>
      <c r="G185" t="b">
        <f>Dataset_A!G185</f>
        <v>0</v>
      </c>
      <c r="H185">
        <f>Dataset_A!H185</f>
        <v>6</v>
      </c>
      <c r="I185">
        <f>Dataset_A!I185</f>
        <v>1</v>
      </c>
      <c r="J185" s="55">
        <f>Dataset_A!J185</f>
        <v>0.12</v>
      </c>
      <c r="K185">
        <f>Dataset_A!K185</f>
        <v>0.1061</v>
      </c>
      <c r="L185">
        <f>Dataset_A!L185</f>
        <v>0.36</v>
      </c>
      <c r="M185">
        <f>Dataset_A!M185</f>
        <v>0.3881</v>
      </c>
      <c r="N185">
        <f>Dataset_A!N185</f>
        <v>1</v>
      </c>
      <c r="O185">
        <f>Dataset_A!O185</f>
        <v>33</v>
      </c>
      <c r="P185">
        <f>Dataset_A!P185</f>
        <v>34</v>
      </c>
      <c r="Q185" t="str">
        <f t="shared" si="26"/>
        <v>REC-0184</v>
      </c>
      <c r="R185" s="62">
        <f t="shared" si="27"/>
        <v>40551.916666666664</v>
      </c>
      <c r="S185" t="str">
        <f t="shared" si="28"/>
        <v>Jan</v>
      </c>
      <c r="T185" t="str">
        <f>INDEX(Lookups!$B$39:$B$45,MATCH(H185,Lookups!$A$39:$A$45,0))</f>
        <v>Sat</v>
      </c>
      <c r="U185" t="str">
        <f t="shared" si="29"/>
        <v>Weekend</v>
      </c>
      <c r="V185" t="str">
        <f t="shared" si="30"/>
        <v>Non-Working Day</v>
      </c>
      <c r="W185" t="str">
        <f t="shared" si="31"/>
        <v>Spring</v>
      </c>
      <c r="X185" t="str">
        <f t="shared" si="32"/>
        <v>Clear</v>
      </c>
      <c r="Y185" t="str">
        <f t="shared" si="33"/>
        <v>Late Evening</v>
      </c>
      <c r="Z185" t="str">
        <f t="shared" si="34"/>
        <v>Cold</v>
      </c>
      <c r="AA185" t="str">
        <f t="shared" si="35"/>
        <v>Low</v>
      </c>
      <c r="AB185" t="str">
        <f t="shared" si="36"/>
        <v>Off-Peak</v>
      </c>
      <c r="AC185" s="63">
        <f t="shared" si="37"/>
        <v>2.9411764705882353E-2</v>
      </c>
      <c r="AD185" t="str">
        <f>IF(P185&gt;=Stats!$C$30,"High",IF(P185&lt;=Stats!$C$29,"Low","Normal"))</f>
        <v>Normal</v>
      </c>
      <c r="AE185">
        <f t="shared" si="38"/>
        <v>1</v>
      </c>
    </row>
    <row r="186" spans="1:31" x14ac:dyDescent="0.2">
      <c r="A186">
        <f>Dataset_A!A186</f>
        <v>185</v>
      </c>
      <c r="B186" s="61">
        <f>Dataset_A!B186</f>
        <v>40551</v>
      </c>
      <c r="C186">
        <f>Dataset_A!C186</f>
        <v>1</v>
      </c>
      <c r="D186">
        <f>Dataset_A!D186</f>
        <v>0</v>
      </c>
      <c r="E186">
        <f>Dataset_A!E186</f>
        <v>1</v>
      </c>
      <c r="F186">
        <f>Dataset_A!F186</f>
        <v>23</v>
      </c>
      <c r="G186" t="b">
        <f>Dataset_A!G186</f>
        <v>0</v>
      </c>
      <c r="H186">
        <f>Dataset_A!H186</f>
        <v>6</v>
      </c>
      <c r="I186">
        <f>Dataset_A!I186</f>
        <v>1</v>
      </c>
      <c r="J186" s="55">
        <f>Dataset_A!J186</f>
        <v>0.1</v>
      </c>
      <c r="K186">
        <f>Dataset_A!K186</f>
        <v>6.0600000000000001E-2</v>
      </c>
      <c r="L186">
        <f>Dataset_A!L186</f>
        <v>0.39</v>
      </c>
      <c r="M186">
        <f>Dataset_A!M186</f>
        <v>0.44779999999999998</v>
      </c>
      <c r="N186">
        <f>Dataset_A!N186</f>
        <v>0</v>
      </c>
      <c r="O186">
        <f>Dataset_A!O186</f>
        <v>22</v>
      </c>
      <c r="P186">
        <f>Dataset_A!P186</f>
        <v>22</v>
      </c>
      <c r="Q186" t="str">
        <f t="shared" si="26"/>
        <v>REC-0185</v>
      </c>
      <c r="R186" s="62">
        <f t="shared" si="27"/>
        <v>40551.958333333336</v>
      </c>
      <c r="S186" t="str">
        <f t="shared" si="28"/>
        <v>Jan</v>
      </c>
      <c r="T186" t="str">
        <f>INDEX(Lookups!$B$39:$B$45,MATCH(H186,Lookups!$A$39:$A$45,0))</f>
        <v>Sat</v>
      </c>
      <c r="U186" t="str">
        <f t="shared" si="29"/>
        <v>Weekend</v>
      </c>
      <c r="V186" t="str">
        <f t="shared" si="30"/>
        <v>Non-Working Day</v>
      </c>
      <c r="W186" t="str">
        <f t="shared" si="31"/>
        <v>Spring</v>
      </c>
      <c r="X186" t="str">
        <f t="shared" si="32"/>
        <v>Clear</v>
      </c>
      <c r="Y186" t="str">
        <f t="shared" si="33"/>
        <v>Late Evening</v>
      </c>
      <c r="Z186" t="str">
        <f t="shared" si="34"/>
        <v>Cold</v>
      </c>
      <c r="AA186" t="str">
        <f t="shared" si="35"/>
        <v>Low</v>
      </c>
      <c r="AB186" t="str">
        <f t="shared" si="36"/>
        <v>Off-Peak</v>
      </c>
      <c r="AC186" s="63">
        <f t="shared" si="37"/>
        <v>0</v>
      </c>
      <c r="AD186" t="str">
        <f>IF(P186&gt;=Stats!$C$30,"High",IF(P186&lt;=Stats!$C$29,"Low","Normal"))</f>
        <v>Normal</v>
      </c>
      <c r="AE186">
        <f t="shared" si="38"/>
        <v>1</v>
      </c>
    </row>
    <row r="187" spans="1:31" x14ac:dyDescent="0.2">
      <c r="A187">
        <f>Dataset_A!A187</f>
        <v>186</v>
      </c>
      <c r="B187" s="61">
        <f>Dataset_A!B187</f>
        <v>40552</v>
      </c>
      <c r="C187">
        <f>Dataset_A!C187</f>
        <v>1</v>
      </c>
      <c r="D187">
        <f>Dataset_A!D187</f>
        <v>0</v>
      </c>
      <c r="E187">
        <f>Dataset_A!E187</f>
        <v>1</v>
      </c>
      <c r="F187">
        <f>Dataset_A!F187</f>
        <v>0</v>
      </c>
      <c r="G187" t="b">
        <f>Dataset_A!G187</f>
        <v>0</v>
      </c>
      <c r="H187">
        <f>Dataset_A!H187</f>
        <v>0</v>
      </c>
      <c r="I187">
        <f>Dataset_A!I187</f>
        <v>1</v>
      </c>
      <c r="J187" s="55">
        <f>Dataset_A!J187</f>
        <v>0.1</v>
      </c>
      <c r="K187">
        <f>Dataset_A!K187</f>
        <v>7.5800000000000006E-2</v>
      </c>
      <c r="L187">
        <f>Dataset_A!L187</f>
        <v>0.42</v>
      </c>
      <c r="M187">
        <f>Dataset_A!M187</f>
        <v>0.3881</v>
      </c>
      <c r="N187">
        <f>Dataset_A!N187</f>
        <v>1</v>
      </c>
      <c r="O187">
        <f>Dataset_A!O187</f>
        <v>24</v>
      </c>
      <c r="P187">
        <f>Dataset_A!P187</f>
        <v>25</v>
      </c>
      <c r="Q187" t="str">
        <f t="shared" si="26"/>
        <v>REC-0186</v>
      </c>
      <c r="R187" s="62">
        <f t="shared" si="27"/>
        <v>40552</v>
      </c>
      <c r="S187" t="str">
        <f t="shared" si="28"/>
        <v>Jan</v>
      </c>
      <c r="T187" t="str">
        <f>INDEX(Lookups!$B$39:$B$45,MATCH(H187,Lookups!$A$39:$A$45,0))</f>
        <v>Sun</v>
      </c>
      <c r="U187" t="str">
        <f t="shared" si="29"/>
        <v>Weekend</v>
      </c>
      <c r="V187" t="str">
        <f t="shared" si="30"/>
        <v>Non-Working Day</v>
      </c>
      <c r="W187" t="str">
        <f t="shared" si="31"/>
        <v>Spring</v>
      </c>
      <c r="X187" t="str">
        <f t="shared" si="32"/>
        <v>Clear</v>
      </c>
      <c r="Y187" t="str">
        <f t="shared" si="33"/>
        <v>Night</v>
      </c>
      <c r="Z187" t="str">
        <f t="shared" si="34"/>
        <v>Cold</v>
      </c>
      <c r="AA187" t="str">
        <f t="shared" si="35"/>
        <v>Low</v>
      </c>
      <c r="AB187" t="str">
        <f t="shared" si="36"/>
        <v>Off-Peak</v>
      </c>
      <c r="AC187" s="63">
        <f t="shared" si="37"/>
        <v>0.04</v>
      </c>
      <c r="AD187" t="str">
        <f>IF(P187&gt;=Stats!$C$30,"High",IF(P187&lt;=Stats!$C$29,"Low","Normal"))</f>
        <v>Normal</v>
      </c>
      <c r="AE187">
        <f t="shared" si="38"/>
        <v>1</v>
      </c>
    </row>
    <row r="188" spans="1:31" x14ac:dyDescent="0.2">
      <c r="A188">
        <f>Dataset_A!A188</f>
        <v>187</v>
      </c>
      <c r="B188" s="61">
        <f>Dataset_A!B188</f>
        <v>40552</v>
      </c>
      <c r="C188">
        <f>Dataset_A!C188</f>
        <v>1</v>
      </c>
      <c r="D188">
        <f>Dataset_A!D188</f>
        <v>0</v>
      </c>
      <c r="E188">
        <f>Dataset_A!E188</f>
        <v>1</v>
      </c>
      <c r="F188">
        <f>Dataset_A!F188</f>
        <v>1</v>
      </c>
      <c r="G188" t="b">
        <f>Dataset_A!G188</f>
        <v>0</v>
      </c>
      <c r="H188">
        <f>Dataset_A!H188</f>
        <v>0</v>
      </c>
      <c r="I188">
        <f>Dataset_A!I188</f>
        <v>1</v>
      </c>
      <c r="J188" s="55">
        <f>Dataset_A!J188</f>
        <v>0.1</v>
      </c>
      <c r="K188">
        <f>Dataset_A!K188</f>
        <v>6.0600000000000001E-2</v>
      </c>
      <c r="L188">
        <f>Dataset_A!L188</f>
        <v>0.42</v>
      </c>
      <c r="M188">
        <f>Dataset_A!M188</f>
        <v>0.4627</v>
      </c>
      <c r="N188">
        <f>Dataset_A!N188</f>
        <v>0</v>
      </c>
      <c r="O188">
        <f>Dataset_A!O188</f>
        <v>12</v>
      </c>
      <c r="P188">
        <f>Dataset_A!P188</f>
        <v>12</v>
      </c>
      <c r="Q188" t="str">
        <f t="shared" si="26"/>
        <v>REC-0187</v>
      </c>
      <c r="R188" s="62">
        <f t="shared" si="27"/>
        <v>40552.041666666664</v>
      </c>
      <c r="S188" t="str">
        <f t="shared" si="28"/>
        <v>Jan</v>
      </c>
      <c r="T188" t="str">
        <f>INDEX(Lookups!$B$39:$B$45,MATCH(H188,Lookups!$A$39:$A$45,0))</f>
        <v>Sun</v>
      </c>
      <c r="U188" t="str">
        <f t="shared" si="29"/>
        <v>Weekend</v>
      </c>
      <c r="V188" t="str">
        <f t="shared" si="30"/>
        <v>Non-Working Day</v>
      </c>
      <c r="W188" t="str">
        <f t="shared" si="31"/>
        <v>Spring</v>
      </c>
      <c r="X188" t="str">
        <f t="shared" si="32"/>
        <v>Clear</v>
      </c>
      <c r="Y188" t="str">
        <f t="shared" si="33"/>
        <v>Night</v>
      </c>
      <c r="Z188" t="str">
        <f t="shared" si="34"/>
        <v>Cold</v>
      </c>
      <c r="AA188" t="str">
        <f t="shared" si="35"/>
        <v>Low</v>
      </c>
      <c r="AB188" t="str">
        <f t="shared" si="36"/>
        <v>Off-Peak</v>
      </c>
      <c r="AC188" s="63">
        <f t="shared" si="37"/>
        <v>0</v>
      </c>
      <c r="AD188" t="str">
        <f>IF(P188&gt;=Stats!$C$30,"High",IF(P188&lt;=Stats!$C$29,"Low","Normal"))</f>
        <v>Low</v>
      </c>
      <c r="AE188">
        <f t="shared" si="38"/>
        <v>1</v>
      </c>
    </row>
    <row r="189" spans="1:31" x14ac:dyDescent="0.2">
      <c r="A189">
        <f>Dataset_A!A189</f>
        <v>188</v>
      </c>
      <c r="B189" s="61">
        <f>Dataset_A!B189</f>
        <v>40552</v>
      </c>
      <c r="C189">
        <f>Dataset_A!C189</f>
        <v>1</v>
      </c>
      <c r="D189">
        <f>Dataset_A!D189</f>
        <v>0</v>
      </c>
      <c r="E189">
        <f>Dataset_A!E189</f>
        <v>1</v>
      </c>
      <c r="F189">
        <f>Dataset_A!F189</f>
        <v>2</v>
      </c>
      <c r="G189" t="b">
        <f>Dataset_A!G189</f>
        <v>0</v>
      </c>
      <c r="H189">
        <f>Dataset_A!H189</f>
        <v>0</v>
      </c>
      <c r="I189">
        <f>Dataset_A!I189</f>
        <v>1</v>
      </c>
      <c r="J189" s="55">
        <f>Dataset_A!J189</f>
        <v>0.1</v>
      </c>
      <c r="K189">
        <f>Dataset_A!K189</f>
        <v>6.0600000000000001E-2</v>
      </c>
      <c r="L189">
        <f>Dataset_A!L189</f>
        <v>0.46</v>
      </c>
      <c r="M189">
        <f>Dataset_A!M189</f>
        <v>0.4627</v>
      </c>
      <c r="N189">
        <f>Dataset_A!N189</f>
        <v>0</v>
      </c>
      <c r="O189">
        <f>Dataset_A!O189</f>
        <v>11</v>
      </c>
      <c r="P189">
        <f>Dataset_A!P189</f>
        <v>11</v>
      </c>
      <c r="Q189" t="str">
        <f t="shared" si="26"/>
        <v>REC-0188</v>
      </c>
      <c r="R189" s="62">
        <f t="shared" si="27"/>
        <v>40552.083333333336</v>
      </c>
      <c r="S189" t="str">
        <f t="shared" si="28"/>
        <v>Jan</v>
      </c>
      <c r="T189" t="str">
        <f>INDEX(Lookups!$B$39:$B$45,MATCH(H189,Lookups!$A$39:$A$45,0))</f>
        <v>Sun</v>
      </c>
      <c r="U189" t="str">
        <f t="shared" si="29"/>
        <v>Weekend</v>
      </c>
      <c r="V189" t="str">
        <f t="shared" si="30"/>
        <v>Non-Working Day</v>
      </c>
      <c r="W189" t="str">
        <f t="shared" si="31"/>
        <v>Spring</v>
      </c>
      <c r="X189" t="str">
        <f t="shared" si="32"/>
        <v>Clear</v>
      </c>
      <c r="Y189" t="str">
        <f t="shared" si="33"/>
        <v>Night</v>
      </c>
      <c r="Z189" t="str">
        <f t="shared" si="34"/>
        <v>Cold</v>
      </c>
      <c r="AA189" t="str">
        <f t="shared" si="35"/>
        <v>Low</v>
      </c>
      <c r="AB189" t="str">
        <f t="shared" si="36"/>
        <v>Off-Peak</v>
      </c>
      <c r="AC189" s="63">
        <f t="shared" si="37"/>
        <v>0</v>
      </c>
      <c r="AD189" t="str">
        <f>IF(P189&gt;=Stats!$C$30,"High",IF(P189&lt;=Stats!$C$29,"Low","Normal"))</f>
        <v>Low</v>
      </c>
      <c r="AE189">
        <f t="shared" si="38"/>
        <v>1</v>
      </c>
    </row>
    <row r="190" spans="1:31" x14ac:dyDescent="0.2">
      <c r="A190">
        <f>Dataset_A!A190</f>
        <v>189</v>
      </c>
      <c r="B190" s="61">
        <f>Dataset_A!B190</f>
        <v>40552</v>
      </c>
      <c r="C190">
        <f>Dataset_A!C190</f>
        <v>1</v>
      </c>
      <c r="D190">
        <f>Dataset_A!D190</f>
        <v>0</v>
      </c>
      <c r="E190">
        <f>Dataset_A!E190</f>
        <v>1</v>
      </c>
      <c r="F190">
        <f>Dataset_A!F190</f>
        <v>3</v>
      </c>
      <c r="G190" t="b">
        <f>Dataset_A!G190</f>
        <v>0</v>
      </c>
      <c r="H190">
        <f>Dataset_A!H190</f>
        <v>0</v>
      </c>
      <c r="I190">
        <f>Dataset_A!I190</f>
        <v>1</v>
      </c>
      <c r="J190" s="55">
        <f>Dataset_A!J190</f>
        <v>0.1</v>
      </c>
      <c r="K190">
        <f>Dataset_A!K190</f>
        <v>7.5800000000000006E-2</v>
      </c>
      <c r="L190">
        <f>Dataset_A!L190</f>
        <v>0.46</v>
      </c>
      <c r="M190">
        <f>Dataset_A!M190</f>
        <v>0.41789999999999999</v>
      </c>
      <c r="N190">
        <f>Dataset_A!N190</f>
        <v>0</v>
      </c>
      <c r="O190">
        <f>Dataset_A!O190</f>
        <v>4</v>
      </c>
      <c r="P190">
        <f>Dataset_A!P190</f>
        <v>4</v>
      </c>
      <c r="Q190" t="str">
        <f t="shared" si="26"/>
        <v>REC-0189</v>
      </c>
      <c r="R190" s="62">
        <f t="shared" si="27"/>
        <v>40552.125</v>
      </c>
      <c r="S190" t="str">
        <f t="shared" si="28"/>
        <v>Jan</v>
      </c>
      <c r="T190" t="str">
        <f>INDEX(Lookups!$B$39:$B$45,MATCH(H190,Lookups!$A$39:$A$45,0))</f>
        <v>Sun</v>
      </c>
      <c r="U190" t="str">
        <f t="shared" si="29"/>
        <v>Weekend</v>
      </c>
      <c r="V190" t="str">
        <f t="shared" si="30"/>
        <v>Non-Working Day</v>
      </c>
      <c r="W190" t="str">
        <f t="shared" si="31"/>
        <v>Spring</v>
      </c>
      <c r="X190" t="str">
        <f t="shared" si="32"/>
        <v>Clear</v>
      </c>
      <c r="Y190" t="str">
        <f t="shared" si="33"/>
        <v>Night</v>
      </c>
      <c r="Z190" t="str">
        <f t="shared" si="34"/>
        <v>Cold</v>
      </c>
      <c r="AA190" t="str">
        <f t="shared" si="35"/>
        <v>Low</v>
      </c>
      <c r="AB190" t="str">
        <f t="shared" si="36"/>
        <v>Off-Peak</v>
      </c>
      <c r="AC190" s="63">
        <f t="shared" si="37"/>
        <v>0</v>
      </c>
      <c r="AD190" t="str">
        <f>IF(P190&gt;=Stats!$C$30,"High",IF(P190&lt;=Stats!$C$29,"Low","Normal"))</f>
        <v>Low</v>
      </c>
      <c r="AE190">
        <f t="shared" si="38"/>
        <v>1</v>
      </c>
    </row>
    <row r="191" spans="1:31" x14ac:dyDescent="0.2">
      <c r="A191">
        <f>Dataset_A!A191</f>
        <v>190</v>
      </c>
      <c r="B191" s="61">
        <f>Dataset_A!B191</f>
        <v>40552</v>
      </c>
      <c r="C191">
        <f>Dataset_A!C191</f>
        <v>1</v>
      </c>
      <c r="D191">
        <f>Dataset_A!D191</f>
        <v>0</v>
      </c>
      <c r="E191">
        <f>Dataset_A!E191</f>
        <v>1</v>
      </c>
      <c r="F191">
        <f>Dataset_A!F191</f>
        <v>4</v>
      </c>
      <c r="G191" t="b">
        <f>Dataset_A!G191</f>
        <v>0</v>
      </c>
      <c r="H191">
        <f>Dataset_A!H191</f>
        <v>0</v>
      </c>
      <c r="I191">
        <f>Dataset_A!I191</f>
        <v>1</v>
      </c>
      <c r="J191" s="55">
        <f>Dataset_A!J191</f>
        <v>0.08</v>
      </c>
      <c r="K191">
        <f>Dataset_A!K191</f>
        <v>9.0899999999999995E-2</v>
      </c>
      <c r="L191">
        <f>Dataset_A!L191</f>
        <v>0.53</v>
      </c>
      <c r="M191">
        <f>Dataset_A!M191</f>
        <v>0.19400000000000001</v>
      </c>
      <c r="N191">
        <f>Dataset_A!N191</f>
        <v>0</v>
      </c>
      <c r="O191">
        <f>Dataset_A!O191</f>
        <v>1</v>
      </c>
      <c r="P191">
        <f>Dataset_A!P191</f>
        <v>1</v>
      </c>
      <c r="Q191" t="str">
        <f t="shared" si="26"/>
        <v>REC-0190</v>
      </c>
      <c r="R191" s="62">
        <f t="shared" si="27"/>
        <v>40552.166666666664</v>
      </c>
      <c r="S191" t="str">
        <f t="shared" si="28"/>
        <v>Jan</v>
      </c>
      <c r="T191" t="str">
        <f>INDEX(Lookups!$B$39:$B$45,MATCH(H191,Lookups!$A$39:$A$45,0))</f>
        <v>Sun</v>
      </c>
      <c r="U191" t="str">
        <f t="shared" si="29"/>
        <v>Weekend</v>
      </c>
      <c r="V191" t="str">
        <f t="shared" si="30"/>
        <v>Non-Working Day</v>
      </c>
      <c r="W191" t="str">
        <f t="shared" si="31"/>
        <v>Spring</v>
      </c>
      <c r="X191" t="str">
        <f t="shared" si="32"/>
        <v>Clear</v>
      </c>
      <c r="Y191" t="str">
        <f t="shared" si="33"/>
        <v>Night</v>
      </c>
      <c r="Z191" t="str">
        <f t="shared" si="34"/>
        <v>Cold</v>
      </c>
      <c r="AA191" t="str">
        <f t="shared" si="35"/>
        <v>Medium</v>
      </c>
      <c r="AB191" t="str">
        <f t="shared" si="36"/>
        <v>Off-Peak</v>
      </c>
      <c r="AC191" s="63">
        <f t="shared" si="37"/>
        <v>0</v>
      </c>
      <c r="AD191" t="str">
        <f>IF(P191&gt;=Stats!$C$30,"High",IF(P191&lt;=Stats!$C$29,"Low","Normal"))</f>
        <v>Low</v>
      </c>
      <c r="AE191">
        <f t="shared" si="38"/>
        <v>1</v>
      </c>
    </row>
    <row r="192" spans="1:31" x14ac:dyDescent="0.2">
      <c r="A192">
        <f>Dataset_A!A192</f>
        <v>191</v>
      </c>
      <c r="B192" s="61">
        <f>Dataset_A!B192</f>
        <v>40552</v>
      </c>
      <c r="C192">
        <f>Dataset_A!C192</f>
        <v>1</v>
      </c>
      <c r="D192">
        <f>Dataset_A!D192</f>
        <v>0</v>
      </c>
      <c r="E192">
        <f>Dataset_A!E192</f>
        <v>1</v>
      </c>
      <c r="F192">
        <f>Dataset_A!F192</f>
        <v>5</v>
      </c>
      <c r="G192" t="b">
        <f>Dataset_A!G192</f>
        <v>0</v>
      </c>
      <c r="H192">
        <f>Dataset_A!H192</f>
        <v>0</v>
      </c>
      <c r="I192">
        <f>Dataset_A!I192</f>
        <v>1</v>
      </c>
      <c r="J192" s="55">
        <f>Dataset_A!J192</f>
        <v>0.08</v>
      </c>
      <c r="K192">
        <f>Dataset_A!K192</f>
        <v>9.0899999999999995E-2</v>
      </c>
      <c r="L192">
        <f>Dataset_A!L192</f>
        <v>0.53</v>
      </c>
      <c r="M192">
        <f>Dataset_A!M192</f>
        <v>0.19400000000000001</v>
      </c>
      <c r="N192">
        <f>Dataset_A!N192</f>
        <v>0</v>
      </c>
      <c r="O192">
        <f>Dataset_A!O192</f>
        <v>1</v>
      </c>
      <c r="P192">
        <f>Dataset_A!P192</f>
        <v>1</v>
      </c>
      <c r="Q192" t="str">
        <f t="shared" si="26"/>
        <v>REC-0191</v>
      </c>
      <c r="R192" s="62">
        <f t="shared" si="27"/>
        <v>40552.208333333336</v>
      </c>
      <c r="S192" t="str">
        <f t="shared" si="28"/>
        <v>Jan</v>
      </c>
      <c r="T192" t="str">
        <f>INDEX(Lookups!$B$39:$B$45,MATCH(H192,Lookups!$A$39:$A$45,0))</f>
        <v>Sun</v>
      </c>
      <c r="U192" t="str">
        <f t="shared" si="29"/>
        <v>Weekend</v>
      </c>
      <c r="V192" t="str">
        <f t="shared" si="30"/>
        <v>Non-Working Day</v>
      </c>
      <c r="W192" t="str">
        <f t="shared" si="31"/>
        <v>Spring</v>
      </c>
      <c r="X192" t="str">
        <f t="shared" si="32"/>
        <v>Clear</v>
      </c>
      <c r="Y192" t="str">
        <f t="shared" si="33"/>
        <v>Night</v>
      </c>
      <c r="Z192" t="str">
        <f t="shared" si="34"/>
        <v>Cold</v>
      </c>
      <c r="AA192" t="str">
        <f t="shared" si="35"/>
        <v>Medium</v>
      </c>
      <c r="AB192" t="str">
        <f t="shared" si="36"/>
        <v>Off-Peak</v>
      </c>
      <c r="AC192" s="63">
        <f t="shared" si="37"/>
        <v>0</v>
      </c>
      <c r="AD192" t="str">
        <f>IF(P192&gt;=Stats!$C$30,"High",IF(P192&lt;=Stats!$C$29,"Low","Normal"))</f>
        <v>Low</v>
      </c>
      <c r="AE192">
        <f t="shared" si="38"/>
        <v>1</v>
      </c>
    </row>
    <row r="193" spans="1:31" x14ac:dyDescent="0.2">
      <c r="A193">
        <f>Dataset_A!A193</f>
        <v>192</v>
      </c>
      <c r="B193" s="61">
        <f>Dataset_A!B193</f>
        <v>40552</v>
      </c>
      <c r="C193">
        <f>Dataset_A!C193</f>
        <v>1</v>
      </c>
      <c r="D193">
        <f>Dataset_A!D193</f>
        <v>0</v>
      </c>
      <c r="E193">
        <f>Dataset_A!E193</f>
        <v>1</v>
      </c>
      <c r="F193">
        <f>Dataset_A!F193</f>
        <v>6</v>
      </c>
      <c r="G193" t="b">
        <f>Dataset_A!G193</f>
        <v>0</v>
      </c>
      <c r="H193">
        <f>Dataset_A!H193</f>
        <v>0</v>
      </c>
      <c r="I193">
        <f>Dataset_A!I193</f>
        <v>1</v>
      </c>
      <c r="J193" s="55">
        <f>Dataset_A!J193</f>
        <v>0.1</v>
      </c>
      <c r="K193">
        <f>Dataset_A!K193</f>
        <v>9.0899999999999995E-2</v>
      </c>
      <c r="L193">
        <f>Dataset_A!L193</f>
        <v>0.49</v>
      </c>
      <c r="M193">
        <f>Dataset_A!M193</f>
        <v>0.28360000000000002</v>
      </c>
      <c r="N193">
        <f>Dataset_A!N193</f>
        <v>0</v>
      </c>
      <c r="O193">
        <f>Dataset_A!O193</f>
        <v>1</v>
      </c>
      <c r="P193">
        <f>Dataset_A!P193</f>
        <v>1</v>
      </c>
      <c r="Q193" t="str">
        <f t="shared" si="26"/>
        <v>REC-0192</v>
      </c>
      <c r="R193" s="62">
        <f t="shared" si="27"/>
        <v>40552.25</v>
      </c>
      <c r="S193" t="str">
        <f t="shared" si="28"/>
        <v>Jan</v>
      </c>
      <c r="T193" t="str">
        <f>INDEX(Lookups!$B$39:$B$45,MATCH(H193,Lookups!$A$39:$A$45,0))</f>
        <v>Sun</v>
      </c>
      <c r="U193" t="str">
        <f t="shared" si="29"/>
        <v>Weekend</v>
      </c>
      <c r="V193" t="str">
        <f t="shared" si="30"/>
        <v>Non-Working Day</v>
      </c>
      <c r="W193" t="str">
        <f t="shared" si="31"/>
        <v>Spring</v>
      </c>
      <c r="X193" t="str">
        <f t="shared" si="32"/>
        <v>Clear</v>
      </c>
      <c r="Y193" t="str">
        <f t="shared" si="33"/>
        <v>Morning</v>
      </c>
      <c r="Z193" t="str">
        <f t="shared" si="34"/>
        <v>Cold</v>
      </c>
      <c r="AA193" t="str">
        <f t="shared" si="35"/>
        <v>Low</v>
      </c>
      <c r="AB193" t="str">
        <f t="shared" si="36"/>
        <v>Off-Peak</v>
      </c>
      <c r="AC193" s="63">
        <f t="shared" si="37"/>
        <v>0</v>
      </c>
      <c r="AD193" t="str">
        <f>IF(P193&gt;=Stats!$C$30,"High",IF(P193&lt;=Stats!$C$29,"Low","Normal"))</f>
        <v>Low</v>
      </c>
      <c r="AE193">
        <f t="shared" si="38"/>
        <v>1</v>
      </c>
    </row>
    <row r="194" spans="1:31" x14ac:dyDescent="0.2">
      <c r="A194">
        <f>Dataset_A!A194</f>
        <v>193</v>
      </c>
      <c r="B194" s="61">
        <f>Dataset_A!B194</f>
        <v>40552</v>
      </c>
      <c r="C194">
        <f>Dataset_A!C194</f>
        <v>1</v>
      </c>
      <c r="D194">
        <f>Dataset_A!D194</f>
        <v>0</v>
      </c>
      <c r="E194">
        <f>Dataset_A!E194</f>
        <v>1</v>
      </c>
      <c r="F194">
        <f>Dataset_A!F194</f>
        <v>7</v>
      </c>
      <c r="G194" t="b">
        <f>Dataset_A!G194</f>
        <v>0</v>
      </c>
      <c r="H194">
        <f>Dataset_A!H194</f>
        <v>0</v>
      </c>
      <c r="I194">
        <f>Dataset_A!I194</f>
        <v>1</v>
      </c>
      <c r="J194" s="55">
        <f>Dataset_A!J194</f>
        <v>0.08</v>
      </c>
      <c r="K194">
        <f>Dataset_A!K194</f>
        <v>9.0899999999999995E-2</v>
      </c>
      <c r="L194">
        <f>Dataset_A!L194</f>
        <v>0.53</v>
      </c>
      <c r="M194">
        <f>Dataset_A!M194</f>
        <v>0.19400000000000001</v>
      </c>
      <c r="N194">
        <f>Dataset_A!N194</f>
        <v>1</v>
      </c>
      <c r="O194">
        <f>Dataset_A!O194</f>
        <v>5</v>
      </c>
      <c r="P194">
        <f>Dataset_A!P194</f>
        <v>6</v>
      </c>
      <c r="Q194" t="str">
        <f t="shared" ref="Q194:Q257" si="39">"REC-"&amp;TEXT(A194,"0000")</f>
        <v>REC-0193</v>
      </c>
      <c r="R194" s="62">
        <f t="shared" ref="R194:R257" si="40">B194+F194/24</f>
        <v>40552.291666666664</v>
      </c>
      <c r="S194" t="str">
        <f t="shared" ref="S194:S257" si="41">TEXT(B194,"mmm")</f>
        <v>Jan</v>
      </c>
      <c r="T194" t="str">
        <f>INDEX(Lookups!$B$39:$B$45,MATCH(H194,Lookups!$A$39:$A$45,0))</f>
        <v>Sun</v>
      </c>
      <c r="U194" t="str">
        <f t="shared" ref="U194:U257" si="42">IF(OR(H194=0,H194=6),"Weekend","Weekday")</f>
        <v>Weekend</v>
      </c>
      <c r="V194" t="str">
        <f t="shared" ref="V194:V257" si="43">IF(OR(U194="Weekend",G194=TRUE),"Non-Working Day","Working Day")</f>
        <v>Non-Working Day</v>
      </c>
      <c r="W194" t="str">
        <f t="shared" ref="W194:W257" si="44">VLOOKUP(C194,tbl_season,2,FALSE)</f>
        <v>Spring</v>
      </c>
      <c r="X194" t="str">
        <f t="shared" ref="X194:X257" si="45">VLOOKUP(I194,tbl_weather,2,FALSE)</f>
        <v>Clear</v>
      </c>
      <c r="Y194" t="str">
        <f t="shared" ref="Y194:Y257" si="46">INDEX(band_name,MATCH(F194,band_start,1))</f>
        <v>Morning</v>
      </c>
      <c r="Z194" t="str">
        <f t="shared" ref="Z194:Z257" si="47">INDEX(temp_band,MATCH(J194,temp_from,1))</f>
        <v>Cold</v>
      </c>
      <c r="AA194" t="str">
        <f t="shared" ref="AA194:AA257" si="48">INDEX(hum_band,MATCH(L194,hum_from,1))</f>
        <v>Medium</v>
      </c>
      <c r="AB194" t="str">
        <f t="shared" ref="AB194:AB257" si="49">IF(AND(U194="Weekday",OR(AND(F194&gt;=7,F194&lt;=9),AND(F194&gt;=16,F194&lt;=19))),"Peak","Off-Peak")</f>
        <v>Off-Peak</v>
      </c>
      <c r="AC194" s="63">
        <f t="shared" ref="AC194:AC257" si="50">IF(P194=0,0,N194/P194)</f>
        <v>0.16666666666666666</v>
      </c>
      <c r="AD194" t="str">
        <f>IF(P194&gt;=Stats!$C$30,"High",IF(P194&lt;=Stats!$C$29,"Low","Normal"))</f>
        <v>Low</v>
      </c>
      <c r="AE194">
        <f t="shared" ref="AE194:AE257" si="51">SUBTOTAL(103,A194)</f>
        <v>1</v>
      </c>
    </row>
    <row r="195" spans="1:31" x14ac:dyDescent="0.2">
      <c r="A195">
        <f>Dataset_A!A195</f>
        <v>194</v>
      </c>
      <c r="B195" s="61">
        <f>Dataset_A!B195</f>
        <v>40552</v>
      </c>
      <c r="C195">
        <f>Dataset_A!C195</f>
        <v>1</v>
      </c>
      <c r="D195">
        <f>Dataset_A!D195</f>
        <v>0</v>
      </c>
      <c r="E195">
        <f>Dataset_A!E195</f>
        <v>1</v>
      </c>
      <c r="F195">
        <f>Dataset_A!F195</f>
        <v>8</v>
      </c>
      <c r="G195" t="b">
        <f>Dataset_A!G195</f>
        <v>0</v>
      </c>
      <c r="H195">
        <f>Dataset_A!H195</f>
        <v>0</v>
      </c>
      <c r="I195">
        <f>Dataset_A!I195</f>
        <v>1</v>
      </c>
      <c r="J195" s="55">
        <f>Dataset_A!J195</f>
        <v>0.1</v>
      </c>
      <c r="K195">
        <f>Dataset_A!K195</f>
        <v>9.0899999999999995E-2</v>
      </c>
      <c r="L195">
        <f>Dataset_A!L195</f>
        <v>0.49</v>
      </c>
      <c r="M195">
        <f>Dataset_A!M195</f>
        <v>0.28360000000000002</v>
      </c>
      <c r="N195">
        <f>Dataset_A!N195</f>
        <v>0</v>
      </c>
      <c r="O195">
        <f>Dataset_A!O195</f>
        <v>10</v>
      </c>
      <c r="P195">
        <f>Dataset_A!P195</f>
        <v>10</v>
      </c>
      <c r="Q195" t="str">
        <f t="shared" si="39"/>
        <v>REC-0194</v>
      </c>
      <c r="R195" s="62">
        <f t="shared" si="40"/>
        <v>40552.333333333336</v>
      </c>
      <c r="S195" t="str">
        <f t="shared" si="41"/>
        <v>Jan</v>
      </c>
      <c r="T195" t="str">
        <f>INDEX(Lookups!$B$39:$B$45,MATCH(H195,Lookups!$A$39:$A$45,0))</f>
        <v>Sun</v>
      </c>
      <c r="U195" t="str">
        <f t="shared" si="42"/>
        <v>Weekend</v>
      </c>
      <c r="V195" t="str">
        <f t="shared" si="43"/>
        <v>Non-Working Day</v>
      </c>
      <c r="W195" t="str">
        <f t="shared" si="44"/>
        <v>Spring</v>
      </c>
      <c r="X195" t="str">
        <f t="shared" si="45"/>
        <v>Clear</v>
      </c>
      <c r="Y195" t="str">
        <f t="shared" si="46"/>
        <v>Morning</v>
      </c>
      <c r="Z195" t="str">
        <f t="shared" si="47"/>
        <v>Cold</v>
      </c>
      <c r="AA195" t="str">
        <f t="shared" si="48"/>
        <v>Low</v>
      </c>
      <c r="AB195" t="str">
        <f t="shared" si="49"/>
        <v>Off-Peak</v>
      </c>
      <c r="AC195" s="63">
        <f t="shared" si="50"/>
        <v>0</v>
      </c>
      <c r="AD195" t="str">
        <f>IF(P195&gt;=Stats!$C$30,"High",IF(P195&lt;=Stats!$C$29,"Low","Normal"))</f>
        <v>Low</v>
      </c>
      <c r="AE195">
        <f t="shared" si="51"/>
        <v>1</v>
      </c>
    </row>
    <row r="196" spans="1:31" x14ac:dyDescent="0.2">
      <c r="A196">
        <f>Dataset_A!A196</f>
        <v>195</v>
      </c>
      <c r="B196" s="61">
        <f>Dataset_A!B196</f>
        <v>40552</v>
      </c>
      <c r="C196">
        <f>Dataset_A!C196</f>
        <v>1</v>
      </c>
      <c r="D196">
        <f>Dataset_A!D196</f>
        <v>0</v>
      </c>
      <c r="E196">
        <f>Dataset_A!E196</f>
        <v>1</v>
      </c>
      <c r="F196">
        <f>Dataset_A!F196</f>
        <v>9</v>
      </c>
      <c r="G196" t="b">
        <f>Dataset_A!G196</f>
        <v>0</v>
      </c>
      <c r="H196">
        <f>Dataset_A!H196</f>
        <v>0</v>
      </c>
      <c r="I196">
        <f>Dataset_A!I196</f>
        <v>1</v>
      </c>
      <c r="J196" s="55">
        <f>Dataset_A!J196</f>
        <v>0.12</v>
      </c>
      <c r="K196">
        <f>Dataset_A!K196</f>
        <v>7.5800000000000006E-2</v>
      </c>
      <c r="L196">
        <f>Dataset_A!L196</f>
        <v>0.46</v>
      </c>
      <c r="M196">
        <f>Dataset_A!M196</f>
        <v>0.52239999999999998</v>
      </c>
      <c r="N196">
        <f>Dataset_A!N196</f>
        <v>0</v>
      </c>
      <c r="O196">
        <f>Dataset_A!O196</f>
        <v>19</v>
      </c>
      <c r="P196">
        <f>Dataset_A!P196</f>
        <v>19</v>
      </c>
      <c r="Q196" t="str">
        <f t="shared" si="39"/>
        <v>REC-0195</v>
      </c>
      <c r="R196" s="62">
        <f t="shared" si="40"/>
        <v>40552.375</v>
      </c>
      <c r="S196" t="str">
        <f t="shared" si="41"/>
        <v>Jan</v>
      </c>
      <c r="T196" t="str">
        <f>INDEX(Lookups!$B$39:$B$45,MATCH(H196,Lookups!$A$39:$A$45,0))</f>
        <v>Sun</v>
      </c>
      <c r="U196" t="str">
        <f t="shared" si="42"/>
        <v>Weekend</v>
      </c>
      <c r="V196" t="str">
        <f t="shared" si="43"/>
        <v>Non-Working Day</v>
      </c>
      <c r="W196" t="str">
        <f t="shared" si="44"/>
        <v>Spring</v>
      </c>
      <c r="X196" t="str">
        <f t="shared" si="45"/>
        <v>Clear</v>
      </c>
      <c r="Y196" t="str">
        <f t="shared" si="46"/>
        <v>Morning</v>
      </c>
      <c r="Z196" t="str">
        <f t="shared" si="47"/>
        <v>Cold</v>
      </c>
      <c r="AA196" t="str">
        <f t="shared" si="48"/>
        <v>Low</v>
      </c>
      <c r="AB196" t="str">
        <f t="shared" si="49"/>
        <v>Off-Peak</v>
      </c>
      <c r="AC196" s="63">
        <f t="shared" si="50"/>
        <v>0</v>
      </c>
      <c r="AD196" t="str">
        <f>IF(P196&gt;=Stats!$C$30,"High",IF(P196&lt;=Stats!$C$29,"Low","Normal"))</f>
        <v>Normal</v>
      </c>
      <c r="AE196">
        <f t="shared" si="51"/>
        <v>1</v>
      </c>
    </row>
    <row r="197" spans="1:31" x14ac:dyDescent="0.2">
      <c r="A197">
        <f>Dataset_A!A197</f>
        <v>196</v>
      </c>
      <c r="B197" s="61">
        <f>Dataset_A!B197</f>
        <v>40552</v>
      </c>
      <c r="C197">
        <f>Dataset_A!C197</f>
        <v>1</v>
      </c>
      <c r="D197">
        <f>Dataset_A!D197</f>
        <v>0</v>
      </c>
      <c r="E197">
        <f>Dataset_A!E197</f>
        <v>1</v>
      </c>
      <c r="F197">
        <f>Dataset_A!F197</f>
        <v>10</v>
      </c>
      <c r="G197" t="b">
        <f>Dataset_A!G197</f>
        <v>0</v>
      </c>
      <c r="H197">
        <f>Dataset_A!H197</f>
        <v>0</v>
      </c>
      <c r="I197">
        <f>Dataset_A!I197</f>
        <v>1</v>
      </c>
      <c r="J197" s="55">
        <f>Dataset_A!J197</f>
        <v>0.14000000000000001</v>
      </c>
      <c r="K197">
        <f>Dataset_A!K197</f>
        <v>0.1061</v>
      </c>
      <c r="L197">
        <f>Dataset_A!L197</f>
        <v>0.43</v>
      </c>
      <c r="M197">
        <f>Dataset_A!M197</f>
        <v>0.3881</v>
      </c>
      <c r="N197">
        <f>Dataset_A!N197</f>
        <v>0</v>
      </c>
      <c r="O197">
        <f>Dataset_A!O197</f>
        <v>49</v>
      </c>
      <c r="P197">
        <f>Dataset_A!P197</f>
        <v>49</v>
      </c>
      <c r="Q197" t="str">
        <f t="shared" si="39"/>
        <v>REC-0196</v>
      </c>
      <c r="R197" s="62">
        <f t="shared" si="40"/>
        <v>40552.416666666664</v>
      </c>
      <c r="S197" t="str">
        <f t="shared" si="41"/>
        <v>Jan</v>
      </c>
      <c r="T197" t="str">
        <f>INDEX(Lookups!$B$39:$B$45,MATCH(H197,Lookups!$A$39:$A$45,0))</f>
        <v>Sun</v>
      </c>
      <c r="U197" t="str">
        <f t="shared" si="42"/>
        <v>Weekend</v>
      </c>
      <c r="V197" t="str">
        <f t="shared" si="43"/>
        <v>Non-Working Day</v>
      </c>
      <c r="W197" t="str">
        <f t="shared" si="44"/>
        <v>Spring</v>
      </c>
      <c r="X197" t="str">
        <f t="shared" si="45"/>
        <v>Clear</v>
      </c>
      <c r="Y197" t="str">
        <f t="shared" si="46"/>
        <v>Morning</v>
      </c>
      <c r="Z197" t="str">
        <f t="shared" si="47"/>
        <v>Cold</v>
      </c>
      <c r="AA197" t="str">
        <f t="shared" si="48"/>
        <v>Low</v>
      </c>
      <c r="AB197" t="str">
        <f t="shared" si="49"/>
        <v>Off-Peak</v>
      </c>
      <c r="AC197" s="63">
        <f t="shared" si="50"/>
        <v>0</v>
      </c>
      <c r="AD197" t="str">
        <f>IF(P197&gt;=Stats!$C$30,"High",IF(P197&lt;=Stats!$C$29,"Low","Normal"))</f>
        <v>Normal</v>
      </c>
      <c r="AE197">
        <f t="shared" si="51"/>
        <v>1</v>
      </c>
    </row>
    <row r="198" spans="1:31" x14ac:dyDescent="0.2">
      <c r="A198">
        <f>Dataset_A!A198</f>
        <v>197</v>
      </c>
      <c r="B198" s="61">
        <f>Dataset_A!B198</f>
        <v>40552</v>
      </c>
      <c r="C198">
        <f>Dataset_A!C198</f>
        <v>1</v>
      </c>
      <c r="D198">
        <f>Dataset_A!D198</f>
        <v>0</v>
      </c>
      <c r="E198">
        <f>Dataset_A!E198</f>
        <v>1</v>
      </c>
      <c r="F198">
        <f>Dataset_A!F198</f>
        <v>11</v>
      </c>
      <c r="G198" t="b">
        <f>Dataset_A!G198</f>
        <v>0</v>
      </c>
      <c r="H198">
        <f>Dataset_A!H198</f>
        <v>0</v>
      </c>
      <c r="I198">
        <f>Dataset_A!I198</f>
        <v>1</v>
      </c>
      <c r="J198" s="55">
        <f>Dataset_A!J198</f>
        <v>0.16</v>
      </c>
      <c r="K198">
        <f>Dataset_A!K198</f>
        <v>0.1212</v>
      </c>
      <c r="L198">
        <f>Dataset_A!L198</f>
        <v>0.4</v>
      </c>
      <c r="M198">
        <f>Dataset_A!M198</f>
        <v>0.52239999999999998</v>
      </c>
      <c r="N198">
        <f>Dataset_A!N198</f>
        <v>2</v>
      </c>
      <c r="O198">
        <f>Dataset_A!O198</f>
        <v>47</v>
      </c>
      <c r="P198">
        <f>Dataset_A!P198</f>
        <v>49</v>
      </c>
      <c r="Q198" t="str">
        <f t="shared" si="39"/>
        <v>REC-0197</v>
      </c>
      <c r="R198" s="62">
        <f t="shared" si="40"/>
        <v>40552.458333333336</v>
      </c>
      <c r="S198" t="str">
        <f t="shared" si="41"/>
        <v>Jan</v>
      </c>
      <c r="T198" t="str">
        <f>INDEX(Lookups!$B$39:$B$45,MATCH(H198,Lookups!$A$39:$A$45,0))</f>
        <v>Sun</v>
      </c>
      <c r="U198" t="str">
        <f t="shared" si="42"/>
        <v>Weekend</v>
      </c>
      <c r="V198" t="str">
        <f t="shared" si="43"/>
        <v>Non-Working Day</v>
      </c>
      <c r="W198" t="str">
        <f t="shared" si="44"/>
        <v>Spring</v>
      </c>
      <c r="X198" t="str">
        <f t="shared" si="45"/>
        <v>Clear</v>
      </c>
      <c r="Y198" t="str">
        <f t="shared" si="46"/>
        <v>Morning</v>
      </c>
      <c r="Z198" t="str">
        <f t="shared" si="47"/>
        <v>Cold</v>
      </c>
      <c r="AA198" t="str">
        <f t="shared" si="48"/>
        <v>Low</v>
      </c>
      <c r="AB198" t="str">
        <f t="shared" si="49"/>
        <v>Off-Peak</v>
      </c>
      <c r="AC198" s="63">
        <f t="shared" si="50"/>
        <v>4.0816326530612242E-2</v>
      </c>
      <c r="AD198" t="str">
        <f>IF(P198&gt;=Stats!$C$30,"High",IF(P198&lt;=Stats!$C$29,"Low","Normal"))</f>
        <v>Normal</v>
      </c>
      <c r="AE198">
        <f t="shared" si="51"/>
        <v>1</v>
      </c>
    </row>
    <row r="199" spans="1:31" x14ac:dyDescent="0.2">
      <c r="A199">
        <f>Dataset_A!A199</f>
        <v>198</v>
      </c>
      <c r="B199" s="61">
        <f>Dataset_A!B199</f>
        <v>40552</v>
      </c>
      <c r="C199">
        <f>Dataset_A!C199</f>
        <v>1</v>
      </c>
      <c r="D199">
        <f>Dataset_A!D199</f>
        <v>0</v>
      </c>
      <c r="E199">
        <f>Dataset_A!E199</f>
        <v>1</v>
      </c>
      <c r="F199">
        <f>Dataset_A!F199</f>
        <v>12</v>
      </c>
      <c r="G199" t="b">
        <f>Dataset_A!G199</f>
        <v>0</v>
      </c>
      <c r="H199">
        <f>Dataset_A!H199</f>
        <v>0</v>
      </c>
      <c r="I199">
        <f>Dataset_A!I199</f>
        <v>1</v>
      </c>
      <c r="J199" s="55">
        <f>Dataset_A!J199</f>
        <v>0.18</v>
      </c>
      <c r="K199">
        <f>Dataset_A!K199</f>
        <v>0.13639999999999999</v>
      </c>
      <c r="L199">
        <f>Dataset_A!L199</f>
        <v>0.37</v>
      </c>
      <c r="M199">
        <f>Dataset_A!M199</f>
        <v>0.44779999999999998</v>
      </c>
      <c r="N199">
        <f>Dataset_A!N199</f>
        <v>4</v>
      </c>
      <c r="O199">
        <f>Dataset_A!O199</f>
        <v>79</v>
      </c>
      <c r="P199">
        <f>Dataset_A!P199</f>
        <v>83</v>
      </c>
      <c r="Q199" t="str">
        <f t="shared" si="39"/>
        <v>REC-0198</v>
      </c>
      <c r="R199" s="62">
        <f t="shared" si="40"/>
        <v>40552.5</v>
      </c>
      <c r="S199" t="str">
        <f t="shared" si="41"/>
        <v>Jan</v>
      </c>
      <c r="T199" t="str">
        <f>INDEX(Lookups!$B$39:$B$45,MATCH(H199,Lookups!$A$39:$A$45,0))</f>
        <v>Sun</v>
      </c>
      <c r="U199" t="str">
        <f t="shared" si="42"/>
        <v>Weekend</v>
      </c>
      <c r="V199" t="str">
        <f t="shared" si="43"/>
        <v>Non-Working Day</v>
      </c>
      <c r="W199" t="str">
        <f t="shared" si="44"/>
        <v>Spring</v>
      </c>
      <c r="X199" t="str">
        <f t="shared" si="45"/>
        <v>Clear</v>
      </c>
      <c r="Y199" t="str">
        <f t="shared" si="46"/>
        <v>Afternoon</v>
      </c>
      <c r="Z199" t="str">
        <f t="shared" si="47"/>
        <v>Cold</v>
      </c>
      <c r="AA199" t="str">
        <f t="shared" si="48"/>
        <v>Low</v>
      </c>
      <c r="AB199" t="str">
        <f t="shared" si="49"/>
        <v>Off-Peak</v>
      </c>
      <c r="AC199" s="63">
        <f t="shared" si="50"/>
        <v>4.8192771084337352E-2</v>
      </c>
      <c r="AD199" t="str">
        <f>IF(P199&gt;=Stats!$C$30,"High",IF(P199&lt;=Stats!$C$29,"Low","Normal"))</f>
        <v>High</v>
      </c>
      <c r="AE199">
        <f t="shared" si="51"/>
        <v>1</v>
      </c>
    </row>
    <row r="200" spans="1:31" x14ac:dyDescent="0.2">
      <c r="A200">
        <f>Dataset_A!A200</f>
        <v>199</v>
      </c>
      <c r="B200" s="61">
        <f>Dataset_A!B200</f>
        <v>40552</v>
      </c>
      <c r="C200">
        <f>Dataset_A!C200</f>
        <v>1</v>
      </c>
      <c r="D200">
        <f>Dataset_A!D200</f>
        <v>0</v>
      </c>
      <c r="E200">
        <f>Dataset_A!E200</f>
        <v>1</v>
      </c>
      <c r="F200">
        <f>Dataset_A!F200</f>
        <v>13</v>
      </c>
      <c r="G200" t="b">
        <f>Dataset_A!G200</f>
        <v>0</v>
      </c>
      <c r="H200">
        <f>Dataset_A!H200</f>
        <v>0</v>
      </c>
      <c r="I200">
        <f>Dataset_A!I200</f>
        <v>1</v>
      </c>
      <c r="J200" s="55">
        <f>Dataset_A!J200</f>
        <v>0.2</v>
      </c>
      <c r="K200">
        <f>Dataset_A!K200</f>
        <v>0.16669999999999999</v>
      </c>
      <c r="L200">
        <f>Dataset_A!L200</f>
        <v>0.34</v>
      </c>
      <c r="M200">
        <f>Dataset_A!M200</f>
        <v>0.44779999999999998</v>
      </c>
      <c r="N200">
        <f>Dataset_A!N200</f>
        <v>6</v>
      </c>
      <c r="O200">
        <f>Dataset_A!O200</f>
        <v>69</v>
      </c>
      <c r="P200">
        <f>Dataset_A!P200</f>
        <v>75</v>
      </c>
      <c r="Q200" t="str">
        <f t="shared" si="39"/>
        <v>REC-0199</v>
      </c>
      <c r="R200" s="62">
        <f t="shared" si="40"/>
        <v>40552.541666666664</v>
      </c>
      <c r="S200" t="str">
        <f t="shared" si="41"/>
        <v>Jan</v>
      </c>
      <c r="T200" t="str">
        <f>INDEX(Lookups!$B$39:$B$45,MATCH(H200,Lookups!$A$39:$A$45,0))</f>
        <v>Sun</v>
      </c>
      <c r="U200" t="str">
        <f t="shared" si="42"/>
        <v>Weekend</v>
      </c>
      <c r="V200" t="str">
        <f t="shared" si="43"/>
        <v>Non-Working Day</v>
      </c>
      <c r="W200" t="str">
        <f t="shared" si="44"/>
        <v>Spring</v>
      </c>
      <c r="X200" t="str">
        <f t="shared" si="45"/>
        <v>Clear</v>
      </c>
      <c r="Y200" t="str">
        <f t="shared" si="46"/>
        <v>Afternoon</v>
      </c>
      <c r="Z200" t="str">
        <f t="shared" si="47"/>
        <v>Mild</v>
      </c>
      <c r="AA200" t="str">
        <f t="shared" si="48"/>
        <v>Low</v>
      </c>
      <c r="AB200" t="str">
        <f t="shared" si="49"/>
        <v>Off-Peak</v>
      </c>
      <c r="AC200" s="63">
        <f t="shared" si="50"/>
        <v>0.08</v>
      </c>
      <c r="AD200" t="str">
        <f>IF(P200&gt;=Stats!$C$30,"High",IF(P200&lt;=Stats!$C$29,"Low","Normal"))</f>
        <v>Normal</v>
      </c>
      <c r="AE200">
        <f t="shared" si="51"/>
        <v>1</v>
      </c>
    </row>
    <row r="201" spans="1:31" x14ac:dyDescent="0.2">
      <c r="A201">
        <f>Dataset_A!A201</f>
        <v>200</v>
      </c>
      <c r="B201" s="61">
        <f>Dataset_A!B201</f>
        <v>40552</v>
      </c>
      <c r="C201">
        <f>Dataset_A!C201</f>
        <v>1</v>
      </c>
      <c r="D201">
        <f>Dataset_A!D201</f>
        <v>0</v>
      </c>
      <c r="E201">
        <f>Dataset_A!E201</f>
        <v>1</v>
      </c>
      <c r="F201">
        <f>Dataset_A!F201</f>
        <v>14</v>
      </c>
      <c r="G201" t="b">
        <f>Dataset_A!G201</f>
        <v>0</v>
      </c>
      <c r="H201">
        <f>Dataset_A!H201</f>
        <v>0</v>
      </c>
      <c r="I201">
        <f>Dataset_A!I201</f>
        <v>1</v>
      </c>
      <c r="J201" s="55">
        <f>Dataset_A!J201</f>
        <v>0.22</v>
      </c>
      <c r="K201">
        <f>Dataset_A!K201</f>
        <v>0.18179999999999999</v>
      </c>
      <c r="L201">
        <f>Dataset_A!L201</f>
        <v>0.32</v>
      </c>
      <c r="M201">
        <f>Dataset_A!M201</f>
        <v>0.4627</v>
      </c>
      <c r="N201">
        <f>Dataset_A!N201</f>
        <v>8</v>
      </c>
      <c r="O201">
        <f>Dataset_A!O201</f>
        <v>64</v>
      </c>
      <c r="P201">
        <f>Dataset_A!P201</f>
        <v>72</v>
      </c>
      <c r="Q201" t="str">
        <f t="shared" si="39"/>
        <v>REC-0200</v>
      </c>
      <c r="R201" s="62">
        <f t="shared" si="40"/>
        <v>40552.583333333336</v>
      </c>
      <c r="S201" t="str">
        <f t="shared" si="41"/>
        <v>Jan</v>
      </c>
      <c r="T201" t="str">
        <f>INDEX(Lookups!$B$39:$B$45,MATCH(H201,Lookups!$A$39:$A$45,0))</f>
        <v>Sun</v>
      </c>
      <c r="U201" t="str">
        <f t="shared" si="42"/>
        <v>Weekend</v>
      </c>
      <c r="V201" t="str">
        <f t="shared" si="43"/>
        <v>Non-Working Day</v>
      </c>
      <c r="W201" t="str">
        <f t="shared" si="44"/>
        <v>Spring</v>
      </c>
      <c r="X201" t="str">
        <f t="shared" si="45"/>
        <v>Clear</v>
      </c>
      <c r="Y201" t="str">
        <f t="shared" si="46"/>
        <v>Afternoon</v>
      </c>
      <c r="Z201" t="str">
        <f t="shared" si="47"/>
        <v>Mild</v>
      </c>
      <c r="AA201" t="str">
        <f t="shared" si="48"/>
        <v>Low</v>
      </c>
      <c r="AB201" t="str">
        <f t="shared" si="49"/>
        <v>Off-Peak</v>
      </c>
      <c r="AC201" s="63">
        <f t="shared" si="50"/>
        <v>0.1111111111111111</v>
      </c>
      <c r="AD201" t="str">
        <f>IF(P201&gt;=Stats!$C$30,"High",IF(P201&lt;=Stats!$C$29,"Low","Normal"))</f>
        <v>Normal</v>
      </c>
      <c r="AE201">
        <f t="shared" si="51"/>
        <v>1</v>
      </c>
    </row>
    <row r="202" spans="1:31" x14ac:dyDescent="0.2">
      <c r="A202">
        <f>Dataset_A!A202</f>
        <v>201</v>
      </c>
      <c r="B202" s="61">
        <f>Dataset_A!B202</f>
        <v>40552</v>
      </c>
      <c r="C202">
        <f>Dataset_A!C202</f>
        <v>1</v>
      </c>
      <c r="D202">
        <f>Dataset_A!D202</f>
        <v>0</v>
      </c>
      <c r="E202">
        <f>Dataset_A!E202</f>
        <v>1</v>
      </c>
      <c r="F202">
        <f>Dataset_A!F202</f>
        <v>15</v>
      </c>
      <c r="G202" t="b">
        <f>Dataset_A!G202</f>
        <v>0</v>
      </c>
      <c r="H202">
        <f>Dataset_A!H202</f>
        <v>0</v>
      </c>
      <c r="I202">
        <f>Dataset_A!I202</f>
        <v>1</v>
      </c>
      <c r="J202" s="55">
        <f>Dataset_A!J202</f>
        <v>0.22</v>
      </c>
      <c r="K202">
        <f>Dataset_A!K202</f>
        <v>0.19700000000000001</v>
      </c>
      <c r="L202">
        <f>Dataset_A!L202</f>
        <v>0.35</v>
      </c>
      <c r="M202">
        <f>Dataset_A!M202</f>
        <v>0.35820000000000002</v>
      </c>
      <c r="N202">
        <f>Dataset_A!N202</f>
        <v>5</v>
      </c>
      <c r="O202">
        <f>Dataset_A!O202</f>
        <v>77</v>
      </c>
      <c r="P202">
        <f>Dataset_A!P202</f>
        <v>82</v>
      </c>
      <c r="Q202" t="str">
        <f t="shared" si="39"/>
        <v>REC-0201</v>
      </c>
      <c r="R202" s="62">
        <f t="shared" si="40"/>
        <v>40552.625</v>
      </c>
      <c r="S202" t="str">
        <f t="shared" si="41"/>
        <v>Jan</v>
      </c>
      <c r="T202" t="str">
        <f>INDEX(Lookups!$B$39:$B$45,MATCH(H202,Lookups!$A$39:$A$45,0))</f>
        <v>Sun</v>
      </c>
      <c r="U202" t="str">
        <f t="shared" si="42"/>
        <v>Weekend</v>
      </c>
      <c r="V202" t="str">
        <f t="shared" si="43"/>
        <v>Non-Working Day</v>
      </c>
      <c r="W202" t="str">
        <f t="shared" si="44"/>
        <v>Spring</v>
      </c>
      <c r="X202" t="str">
        <f t="shared" si="45"/>
        <v>Clear</v>
      </c>
      <c r="Y202" t="str">
        <f t="shared" si="46"/>
        <v>Afternoon</v>
      </c>
      <c r="Z202" t="str">
        <f t="shared" si="47"/>
        <v>Mild</v>
      </c>
      <c r="AA202" t="str">
        <f t="shared" si="48"/>
        <v>Low</v>
      </c>
      <c r="AB202" t="str">
        <f t="shared" si="49"/>
        <v>Off-Peak</v>
      </c>
      <c r="AC202" s="63">
        <f t="shared" si="50"/>
        <v>6.097560975609756E-2</v>
      </c>
      <c r="AD202" t="str">
        <f>IF(P202&gt;=Stats!$C$30,"High",IF(P202&lt;=Stats!$C$29,"Low","Normal"))</f>
        <v>Normal</v>
      </c>
      <c r="AE202">
        <f t="shared" si="51"/>
        <v>1</v>
      </c>
    </row>
    <row r="203" spans="1:31" x14ac:dyDescent="0.2">
      <c r="A203">
        <f>Dataset_A!A203</f>
        <v>202</v>
      </c>
      <c r="B203" s="61">
        <f>Dataset_A!B203</f>
        <v>40552</v>
      </c>
      <c r="C203">
        <f>Dataset_A!C203</f>
        <v>1</v>
      </c>
      <c r="D203">
        <f>Dataset_A!D203</f>
        <v>0</v>
      </c>
      <c r="E203">
        <f>Dataset_A!E203</f>
        <v>1</v>
      </c>
      <c r="F203">
        <f>Dataset_A!F203</f>
        <v>16</v>
      </c>
      <c r="G203" t="b">
        <f>Dataset_A!G203</f>
        <v>0</v>
      </c>
      <c r="H203">
        <f>Dataset_A!H203</f>
        <v>0</v>
      </c>
      <c r="I203">
        <f>Dataset_A!I203</f>
        <v>1</v>
      </c>
      <c r="J203" s="55">
        <f>Dataset_A!J203</f>
        <v>0.2</v>
      </c>
      <c r="K203">
        <f>Dataset_A!K203</f>
        <v>0.16669999999999999</v>
      </c>
      <c r="L203">
        <f>Dataset_A!L203</f>
        <v>0.34</v>
      </c>
      <c r="M203">
        <f>Dataset_A!M203</f>
        <v>0.44779999999999998</v>
      </c>
      <c r="N203">
        <f>Dataset_A!N203</f>
        <v>13</v>
      </c>
      <c r="O203">
        <f>Dataset_A!O203</f>
        <v>79</v>
      </c>
      <c r="P203">
        <f>Dataset_A!P203</f>
        <v>92</v>
      </c>
      <c r="Q203" t="str">
        <f t="shared" si="39"/>
        <v>REC-0202</v>
      </c>
      <c r="R203" s="62">
        <f t="shared" si="40"/>
        <v>40552.666666666664</v>
      </c>
      <c r="S203" t="str">
        <f t="shared" si="41"/>
        <v>Jan</v>
      </c>
      <c r="T203" t="str">
        <f>INDEX(Lookups!$B$39:$B$45,MATCH(H203,Lookups!$A$39:$A$45,0))</f>
        <v>Sun</v>
      </c>
      <c r="U203" t="str">
        <f t="shared" si="42"/>
        <v>Weekend</v>
      </c>
      <c r="V203" t="str">
        <f t="shared" si="43"/>
        <v>Non-Working Day</v>
      </c>
      <c r="W203" t="str">
        <f t="shared" si="44"/>
        <v>Spring</v>
      </c>
      <c r="X203" t="str">
        <f t="shared" si="45"/>
        <v>Clear</v>
      </c>
      <c r="Y203" t="str">
        <f t="shared" si="46"/>
        <v>Afternoon</v>
      </c>
      <c r="Z203" t="str">
        <f t="shared" si="47"/>
        <v>Mild</v>
      </c>
      <c r="AA203" t="str">
        <f t="shared" si="48"/>
        <v>Low</v>
      </c>
      <c r="AB203" t="str">
        <f t="shared" si="49"/>
        <v>Off-Peak</v>
      </c>
      <c r="AC203" s="63">
        <f t="shared" si="50"/>
        <v>0.14130434782608695</v>
      </c>
      <c r="AD203" t="str">
        <f>IF(P203&gt;=Stats!$C$30,"High",IF(P203&lt;=Stats!$C$29,"Low","Normal"))</f>
        <v>High</v>
      </c>
      <c r="AE203">
        <f t="shared" si="51"/>
        <v>1</v>
      </c>
    </row>
    <row r="204" spans="1:31" x14ac:dyDescent="0.2">
      <c r="A204">
        <f>Dataset_A!A204</f>
        <v>203</v>
      </c>
      <c r="B204" s="61">
        <f>Dataset_A!B204</f>
        <v>40552</v>
      </c>
      <c r="C204">
        <f>Dataset_A!C204</f>
        <v>1</v>
      </c>
      <c r="D204">
        <f>Dataset_A!D204</f>
        <v>0</v>
      </c>
      <c r="E204">
        <f>Dataset_A!E204</f>
        <v>1</v>
      </c>
      <c r="F204">
        <f>Dataset_A!F204</f>
        <v>17</v>
      </c>
      <c r="G204" t="b">
        <f>Dataset_A!G204</f>
        <v>0</v>
      </c>
      <c r="H204">
        <f>Dataset_A!H204</f>
        <v>0</v>
      </c>
      <c r="I204">
        <f>Dataset_A!I204</f>
        <v>1</v>
      </c>
      <c r="J204" s="55">
        <f>Dataset_A!J204</f>
        <v>0.18</v>
      </c>
      <c r="K204">
        <f>Dataset_A!K204</f>
        <v>0.1515</v>
      </c>
      <c r="L204">
        <f>Dataset_A!L204</f>
        <v>0.37</v>
      </c>
      <c r="M204">
        <f>Dataset_A!M204</f>
        <v>0.3881</v>
      </c>
      <c r="N204">
        <f>Dataset_A!N204</f>
        <v>3</v>
      </c>
      <c r="O204">
        <f>Dataset_A!O204</f>
        <v>59</v>
      </c>
      <c r="P204">
        <f>Dataset_A!P204</f>
        <v>62</v>
      </c>
      <c r="Q204" t="str">
        <f t="shared" si="39"/>
        <v>REC-0203</v>
      </c>
      <c r="R204" s="62">
        <f t="shared" si="40"/>
        <v>40552.708333333336</v>
      </c>
      <c r="S204" t="str">
        <f t="shared" si="41"/>
        <v>Jan</v>
      </c>
      <c r="T204" t="str">
        <f>INDEX(Lookups!$B$39:$B$45,MATCH(H204,Lookups!$A$39:$A$45,0))</f>
        <v>Sun</v>
      </c>
      <c r="U204" t="str">
        <f t="shared" si="42"/>
        <v>Weekend</v>
      </c>
      <c r="V204" t="str">
        <f t="shared" si="43"/>
        <v>Non-Working Day</v>
      </c>
      <c r="W204" t="str">
        <f t="shared" si="44"/>
        <v>Spring</v>
      </c>
      <c r="X204" t="str">
        <f t="shared" si="45"/>
        <v>Clear</v>
      </c>
      <c r="Y204" t="str">
        <f t="shared" si="46"/>
        <v>Evening</v>
      </c>
      <c r="Z204" t="str">
        <f t="shared" si="47"/>
        <v>Cold</v>
      </c>
      <c r="AA204" t="str">
        <f t="shared" si="48"/>
        <v>Low</v>
      </c>
      <c r="AB204" t="str">
        <f t="shared" si="49"/>
        <v>Off-Peak</v>
      </c>
      <c r="AC204" s="63">
        <f t="shared" si="50"/>
        <v>4.8387096774193547E-2</v>
      </c>
      <c r="AD204" t="str">
        <f>IF(P204&gt;=Stats!$C$30,"High",IF(P204&lt;=Stats!$C$29,"Low","Normal"))</f>
        <v>Normal</v>
      </c>
      <c r="AE204">
        <f t="shared" si="51"/>
        <v>1</v>
      </c>
    </row>
    <row r="205" spans="1:31" x14ac:dyDescent="0.2">
      <c r="A205">
        <f>Dataset_A!A205</f>
        <v>204</v>
      </c>
      <c r="B205" s="61">
        <f>Dataset_A!B205</f>
        <v>40552</v>
      </c>
      <c r="C205">
        <f>Dataset_A!C205</f>
        <v>1</v>
      </c>
      <c r="D205">
        <f>Dataset_A!D205</f>
        <v>0</v>
      </c>
      <c r="E205">
        <f>Dataset_A!E205</f>
        <v>1</v>
      </c>
      <c r="F205">
        <f>Dataset_A!F205</f>
        <v>18</v>
      </c>
      <c r="G205" t="b">
        <f>Dataset_A!G205</f>
        <v>0</v>
      </c>
      <c r="H205">
        <f>Dataset_A!H205</f>
        <v>0</v>
      </c>
      <c r="I205">
        <f>Dataset_A!I205</f>
        <v>1</v>
      </c>
      <c r="J205" s="55">
        <f>Dataset_A!J205</f>
        <v>0.16</v>
      </c>
      <c r="K205">
        <f>Dataset_A!K205</f>
        <v>0.13639999999999999</v>
      </c>
      <c r="L205">
        <f>Dataset_A!L205</f>
        <v>0.4</v>
      </c>
      <c r="M205">
        <f>Dataset_A!M205</f>
        <v>0.32840000000000003</v>
      </c>
      <c r="N205">
        <f>Dataset_A!N205</f>
        <v>4</v>
      </c>
      <c r="O205">
        <f>Dataset_A!O205</f>
        <v>44</v>
      </c>
      <c r="P205">
        <f>Dataset_A!P205</f>
        <v>48</v>
      </c>
      <c r="Q205" t="str">
        <f t="shared" si="39"/>
        <v>REC-0204</v>
      </c>
      <c r="R205" s="62">
        <f t="shared" si="40"/>
        <v>40552.75</v>
      </c>
      <c r="S205" t="str">
        <f t="shared" si="41"/>
        <v>Jan</v>
      </c>
      <c r="T205" t="str">
        <f>INDEX(Lookups!$B$39:$B$45,MATCH(H205,Lookups!$A$39:$A$45,0))</f>
        <v>Sun</v>
      </c>
      <c r="U205" t="str">
        <f t="shared" si="42"/>
        <v>Weekend</v>
      </c>
      <c r="V205" t="str">
        <f t="shared" si="43"/>
        <v>Non-Working Day</v>
      </c>
      <c r="W205" t="str">
        <f t="shared" si="44"/>
        <v>Spring</v>
      </c>
      <c r="X205" t="str">
        <f t="shared" si="45"/>
        <v>Clear</v>
      </c>
      <c r="Y205" t="str">
        <f t="shared" si="46"/>
        <v>Evening</v>
      </c>
      <c r="Z205" t="str">
        <f t="shared" si="47"/>
        <v>Cold</v>
      </c>
      <c r="AA205" t="str">
        <f t="shared" si="48"/>
        <v>Low</v>
      </c>
      <c r="AB205" t="str">
        <f t="shared" si="49"/>
        <v>Off-Peak</v>
      </c>
      <c r="AC205" s="63">
        <f t="shared" si="50"/>
        <v>8.3333333333333329E-2</v>
      </c>
      <c r="AD205" t="str">
        <f>IF(P205&gt;=Stats!$C$30,"High",IF(P205&lt;=Stats!$C$29,"Low","Normal"))</f>
        <v>Normal</v>
      </c>
      <c r="AE205">
        <f t="shared" si="51"/>
        <v>1</v>
      </c>
    </row>
    <row r="206" spans="1:31" x14ac:dyDescent="0.2">
      <c r="A206">
        <f>Dataset_A!A206</f>
        <v>205</v>
      </c>
      <c r="B206" s="61">
        <f>Dataset_A!B206</f>
        <v>40552</v>
      </c>
      <c r="C206">
        <f>Dataset_A!C206</f>
        <v>1</v>
      </c>
      <c r="D206">
        <f>Dataset_A!D206</f>
        <v>0</v>
      </c>
      <c r="E206">
        <f>Dataset_A!E206</f>
        <v>1</v>
      </c>
      <c r="F206">
        <f>Dataset_A!F206</f>
        <v>19</v>
      </c>
      <c r="G206" t="b">
        <f>Dataset_A!G206</f>
        <v>0</v>
      </c>
      <c r="H206">
        <f>Dataset_A!H206</f>
        <v>0</v>
      </c>
      <c r="I206">
        <f>Dataset_A!I206</f>
        <v>1</v>
      </c>
      <c r="J206" s="55">
        <f>Dataset_A!J206</f>
        <v>0.16</v>
      </c>
      <c r="K206">
        <f>Dataset_A!K206</f>
        <v>0.13639999999999999</v>
      </c>
      <c r="L206">
        <f>Dataset_A!L206</f>
        <v>0.43</v>
      </c>
      <c r="M206">
        <f>Dataset_A!M206</f>
        <v>0.32840000000000003</v>
      </c>
      <c r="N206">
        <f>Dataset_A!N206</f>
        <v>1</v>
      </c>
      <c r="O206">
        <f>Dataset_A!O206</f>
        <v>40</v>
      </c>
      <c r="P206">
        <f>Dataset_A!P206</f>
        <v>41</v>
      </c>
      <c r="Q206" t="str">
        <f t="shared" si="39"/>
        <v>REC-0205</v>
      </c>
      <c r="R206" s="62">
        <f t="shared" si="40"/>
        <v>40552.791666666664</v>
      </c>
      <c r="S206" t="str">
        <f t="shared" si="41"/>
        <v>Jan</v>
      </c>
      <c r="T206" t="str">
        <f>INDEX(Lookups!$B$39:$B$45,MATCH(H206,Lookups!$A$39:$A$45,0))</f>
        <v>Sun</v>
      </c>
      <c r="U206" t="str">
        <f t="shared" si="42"/>
        <v>Weekend</v>
      </c>
      <c r="V206" t="str">
        <f t="shared" si="43"/>
        <v>Non-Working Day</v>
      </c>
      <c r="W206" t="str">
        <f t="shared" si="44"/>
        <v>Spring</v>
      </c>
      <c r="X206" t="str">
        <f t="shared" si="45"/>
        <v>Clear</v>
      </c>
      <c r="Y206" t="str">
        <f t="shared" si="46"/>
        <v>Evening</v>
      </c>
      <c r="Z206" t="str">
        <f t="shared" si="47"/>
        <v>Cold</v>
      </c>
      <c r="AA206" t="str">
        <f t="shared" si="48"/>
        <v>Low</v>
      </c>
      <c r="AB206" t="str">
        <f t="shared" si="49"/>
        <v>Off-Peak</v>
      </c>
      <c r="AC206" s="63">
        <f t="shared" si="50"/>
        <v>2.4390243902439025E-2</v>
      </c>
      <c r="AD206" t="str">
        <f>IF(P206&gt;=Stats!$C$30,"High",IF(P206&lt;=Stats!$C$29,"Low","Normal"))</f>
        <v>Normal</v>
      </c>
      <c r="AE206">
        <f t="shared" si="51"/>
        <v>1</v>
      </c>
    </row>
    <row r="207" spans="1:31" x14ac:dyDescent="0.2">
      <c r="A207">
        <f>Dataset_A!A207</f>
        <v>206</v>
      </c>
      <c r="B207" s="61">
        <f>Dataset_A!B207</f>
        <v>40552</v>
      </c>
      <c r="C207">
        <f>Dataset_A!C207</f>
        <v>1</v>
      </c>
      <c r="D207">
        <f>Dataset_A!D207</f>
        <v>0</v>
      </c>
      <c r="E207">
        <f>Dataset_A!E207</f>
        <v>1</v>
      </c>
      <c r="F207">
        <f>Dataset_A!F207</f>
        <v>20</v>
      </c>
      <c r="G207" t="b">
        <f>Dataset_A!G207</f>
        <v>0</v>
      </c>
      <c r="H207">
        <f>Dataset_A!H207</f>
        <v>0</v>
      </c>
      <c r="I207">
        <f>Dataset_A!I207</f>
        <v>1</v>
      </c>
      <c r="J207" s="55">
        <f>Dataset_A!J207</f>
        <v>0.14000000000000001</v>
      </c>
      <c r="K207">
        <f>Dataset_A!K207</f>
        <v>0.1212</v>
      </c>
      <c r="L207">
        <f>Dataset_A!L207</f>
        <v>0.46</v>
      </c>
      <c r="M207">
        <f>Dataset_A!M207</f>
        <v>0.25369999999999998</v>
      </c>
      <c r="N207">
        <f>Dataset_A!N207</f>
        <v>0</v>
      </c>
      <c r="O207">
        <f>Dataset_A!O207</f>
        <v>38</v>
      </c>
      <c r="P207">
        <f>Dataset_A!P207</f>
        <v>38</v>
      </c>
      <c r="Q207" t="str">
        <f t="shared" si="39"/>
        <v>REC-0206</v>
      </c>
      <c r="R207" s="62">
        <f t="shared" si="40"/>
        <v>40552.833333333336</v>
      </c>
      <c r="S207" t="str">
        <f t="shared" si="41"/>
        <v>Jan</v>
      </c>
      <c r="T207" t="str">
        <f>INDEX(Lookups!$B$39:$B$45,MATCH(H207,Lookups!$A$39:$A$45,0))</f>
        <v>Sun</v>
      </c>
      <c r="U207" t="str">
        <f t="shared" si="42"/>
        <v>Weekend</v>
      </c>
      <c r="V207" t="str">
        <f t="shared" si="43"/>
        <v>Non-Working Day</v>
      </c>
      <c r="W207" t="str">
        <f t="shared" si="44"/>
        <v>Spring</v>
      </c>
      <c r="X207" t="str">
        <f t="shared" si="45"/>
        <v>Clear</v>
      </c>
      <c r="Y207" t="str">
        <f t="shared" si="46"/>
        <v>Evening</v>
      </c>
      <c r="Z207" t="str">
        <f t="shared" si="47"/>
        <v>Cold</v>
      </c>
      <c r="AA207" t="str">
        <f t="shared" si="48"/>
        <v>Low</v>
      </c>
      <c r="AB207" t="str">
        <f t="shared" si="49"/>
        <v>Off-Peak</v>
      </c>
      <c r="AC207" s="63">
        <f t="shared" si="50"/>
        <v>0</v>
      </c>
      <c r="AD207" t="str">
        <f>IF(P207&gt;=Stats!$C$30,"High",IF(P207&lt;=Stats!$C$29,"Low","Normal"))</f>
        <v>Normal</v>
      </c>
      <c r="AE207">
        <f t="shared" si="51"/>
        <v>1</v>
      </c>
    </row>
    <row r="208" spans="1:31" x14ac:dyDescent="0.2">
      <c r="A208">
        <f>Dataset_A!A208</f>
        <v>207</v>
      </c>
      <c r="B208" s="61">
        <f>Dataset_A!B208</f>
        <v>40552</v>
      </c>
      <c r="C208">
        <f>Dataset_A!C208</f>
        <v>1</v>
      </c>
      <c r="D208">
        <f>Dataset_A!D208</f>
        <v>0</v>
      </c>
      <c r="E208">
        <f>Dataset_A!E208</f>
        <v>1</v>
      </c>
      <c r="F208">
        <f>Dataset_A!F208</f>
        <v>21</v>
      </c>
      <c r="G208" t="b">
        <f>Dataset_A!G208</f>
        <v>0</v>
      </c>
      <c r="H208">
        <f>Dataset_A!H208</f>
        <v>0</v>
      </c>
      <c r="I208">
        <f>Dataset_A!I208</f>
        <v>1</v>
      </c>
      <c r="J208" s="55">
        <f>Dataset_A!J208</f>
        <v>0.14000000000000001</v>
      </c>
      <c r="K208">
        <f>Dataset_A!K208</f>
        <v>0.1061</v>
      </c>
      <c r="L208">
        <f>Dataset_A!L208</f>
        <v>0.46</v>
      </c>
      <c r="M208">
        <f>Dataset_A!M208</f>
        <v>0.41789999999999999</v>
      </c>
      <c r="N208">
        <f>Dataset_A!N208</f>
        <v>1</v>
      </c>
      <c r="O208">
        <f>Dataset_A!O208</f>
        <v>19</v>
      </c>
      <c r="P208">
        <f>Dataset_A!P208</f>
        <v>20</v>
      </c>
      <c r="Q208" t="str">
        <f t="shared" si="39"/>
        <v>REC-0207</v>
      </c>
      <c r="R208" s="62">
        <f t="shared" si="40"/>
        <v>40552.875</v>
      </c>
      <c r="S208" t="str">
        <f t="shared" si="41"/>
        <v>Jan</v>
      </c>
      <c r="T208" t="str">
        <f>INDEX(Lookups!$B$39:$B$45,MATCH(H208,Lookups!$A$39:$A$45,0))</f>
        <v>Sun</v>
      </c>
      <c r="U208" t="str">
        <f t="shared" si="42"/>
        <v>Weekend</v>
      </c>
      <c r="V208" t="str">
        <f t="shared" si="43"/>
        <v>Non-Working Day</v>
      </c>
      <c r="W208" t="str">
        <f t="shared" si="44"/>
        <v>Spring</v>
      </c>
      <c r="X208" t="str">
        <f t="shared" si="45"/>
        <v>Clear</v>
      </c>
      <c r="Y208" t="str">
        <f t="shared" si="46"/>
        <v>Late Evening</v>
      </c>
      <c r="Z208" t="str">
        <f t="shared" si="47"/>
        <v>Cold</v>
      </c>
      <c r="AA208" t="str">
        <f t="shared" si="48"/>
        <v>Low</v>
      </c>
      <c r="AB208" t="str">
        <f t="shared" si="49"/>
        <v>Off-Peak</v>
      </c>
      <c r="AC208" s="63">
        <f t="shared" si="50"/>
        <v>0.05</v>
      </c>
      <c r="AD208" t="str">
        <f>IF(P208&gt;=Stats!$C$30,"High",IF(P208&lt;=Stats!$C$29,"Low","Normal"))</f>
        <v>Normal</v>
      </c>
      <c r="AE208">
        <f t="shared" si="51"/>
        <v>1</v>
      </c>
    </row>
    <row r="209" spans="1:31" x14ac:dyDescent="0.2">
      <c r="A209">
        <f>Dataset_A!A209</f>
        <v>208</v>
      </c>
      <c r="B209" s="61">
        <f>Dataset_A!B209</f>
        <v>40552</v>
      </c>
      <c r="C209">
        <f>Dataset_A!C209</f>
        <v>1</v>
      </c>
      <c r="D209">
        <f>Dataset_A!D209</f>
        <v>0</v>
      </c>
      <c r="E209">
        <f>Dataset_A!E209</f>
        <v>1</v>
      </c>
      <c r="F209">
        <f>Dataset_A!F209</f>
        <v>22</v>
      </c>
      <c r="G209" t="b">
        <f>Dataset_A!G209</f>
        <v>0</v>
      </c>
      <c r="H209">
        <f>Dataset_A!H209</f>
        <v>0</v>
      </c>
      <c r="I209">
        <f>Dataset_A!I209</f>
        <v>1</v>
      </c>
      <c r="J209" s="55">
        <f>Dataset_A!J209</f>
        <v>0.14000000000000001</v>
      </c>
      <c r="K209">
        <f>Dataset_A!K209</f>
        <v>0.1212</v>
      </c>
      <c r="L209">
        <f>Dataset_A!L209</f>
        <v>0.46</v>
      </c>
      <c r="M209">
        <f>Dataset_A!M209</f>
        <v>0.29849999999999999</v>
      </c>
      <c r="N209">
        <f>Dataset_A!N209</f>
        <v>5</v>
      </c>
      <c r="O209">
        <f>Dataset_A!O209</f>
        <v>10</v>
      </c>
      <c r="P209">
        <f>Dataset_A!P209</f>
        <v>15</v>
      </c>
      <c r="Q209" t="str">
        <f t="shared" si="39"/>
        <v>REC-0208</v>
      </c>
      <c r="R209" s="62">
        <f t="shared" si="40"/>
        <v>40552.916666666664</v>
      </c>
      <c r="S209" t="str">
        <f t="shared" si="41"/>
        <v>Jan</v>
      </c>
      <c r="T209" t="str">
        <f>INDEX(Lookups!$B$39:$B$45,MATCH(H209,Lookups!$A$39:$A$45,0))</f>
        <v>Sun</v>
      </c>
      <c r="U209" t="str">
        <f t="shared" si="42"/>
        <v>Weekend</v>
      </c>
      <c r="V209" t="str">
        <f t="shared" si="43"/>
        <v>Non-Working Day</v>
      </c>
      <c r="W209" t="str">
        <f t="shared" si="44"/>
        <v>Spring</v>
      </c>
      <c r="X209" t="str">
        <f t="shared" si="45"/>
        <v>Clear</v>
      </c>
      <c r="Y209" t="str">
        <f t="shared" si="46"/>
        <v>Late Evening</v>
      </c>
      <c r="Z209" t="str">
        <f t="shared" si="47"/>
        <v>Cold</v>
      </c>
      <c r="AA209" t="str">
        <f t="shared" si="48"/>
        <v>Low</v>
      </c>
      <c r="AB209" t="str">
        <f t="shared" si="49"/>
        <v>Off-Peak</v>
      </c>
      <c r="AC209" s="63">
        <f t="shared" si="50"/>
        <v>0.33333333333333331</v>
      </c>
      <c r="AD209" t="str">
        <f>IF(P209&gt;=Stats!$C$30,"High",IF(P209&lt;=Stats!$C$29,"Low","Normal"))</f>
        <v>Low</v>
      </c>
      <c r="AE209">
        <f t="shared" si="51"/>
        <v>1</v>
      </c>
    </row>
    <row r="210" spans="1:31" x14ac:dyDescent="0.2">
      <c r="A210">
        <f>Dataset_A!A210</f>
        <v>209</v>
      </c>
      <c r="B210" s="61">
        <f>Dataset_A!B210</f>
        <v>40552</v>
      </c>
      <c r="C210">
        <f>Dataset_A!C210</f>
        <v>1</v>
      </c>
      <c r="D210">
        <f>Dataset_A!D210</f>
        <v>0</v>
      </c>
      <c r="E210">
        <f>Dataset_A!E210</f>
        <v>1</v>
      </c>
      <c r="F210">
        <f>Dataset_A!F210</f>
        <v>23</v>
      </c>
      <c r="G210" t="b">
        <f>Dataset_A!G210</f>
        <v>0</v>
      </c>
      <c r="H210">
        <f>Dataset_A!H210</f>
        <v>0</v>
      </c>
      <c r="I210">
        <f>Dataset_A!I210</f>
        <v>1</v>
      </c>
      <c r="J210" s="55">
        <f>Dataset_A!J210</f>
        <v>0.12</v>
      </c>
      <c r="K210">
        <f>Dataset_A!K210</f>
        <v>0.13639999999999999</v>
      </c>
      <c r="L210">
        <f>Dataset_A!L210</f>
        <v>0.5</v>
      </c>
      <c r="M210">
        <f>Dataset_A!M210</f>
        <v>0.19400000000000001</v>
      </c>
      <c r="N210">
        <f>Dataset_A!N210</f>
        <v>0</v>
      </c>
      <c r="O210">
        <f>Dataset_A!O210</f>
        <v>6</v>
      </c>
      <c r="P210">
        <f>Dataset_A!P210</f>
        <v>6</v>
      </c>
      <c r="Q210" t="str">
        <f t="shared" si="39"/>
        <v>REC-0209</v>
      </c>
      <c r="R210" s="62">
        <f t="shared" si="40"/>
        <v>40552.958333333336</v>
      </c>
      <c r="S210" t="str">
        <f t="shared" si="41"/>
        <v>Jan</v>
      </c>
      <c r="T210" t="str">
        <f>INDEX(Lookups!$B$39:$B$45,MATCH(H210,Lookups!$A$39:$A$45,0))</f>
        <v>Sun</v>
      </c>
      <c r="U210" t="str">
        <f t="shared" si="42"/>
        <v>Weekend</v>
      </c>
      <c r="V210" t="str">
        <f t="shared" si="43"/>
        <v>Non-Working Day</v>
      </c>
      <c r="W210" t="str">
        <f t="shared" si="44"/>
        <v>Spring</v>
      </c>
      <c r="X210" t="str">
        <f t="shared" si="45"/>
        <v>Clear</v>
      </c>
      <c r="Y210" t="str">
        <f t="shared" si="46"/>
        <v>Late Evening</v>
      </c>
      <c r="Z210" t="str">
        <f t="shared" si="47"/>
        <v>Cold</v>
      </c>
      <c r="AA210" t="str">
        <f t="shared" si="48"/>
        <v>Medium</v>
      </c>
      <c r="AB210" t="str">
        <f t="shared" si="49"/>
        <v>Off-Peak</v>
      </c>
      <c r="AC210" s="63">
        <f t="shared" si="50"/>
        <v>0</v>
      </c>
      <c r="AD210" t="str">
        <f>IF(P210&gt;=Stats!$C$30,"High",IF(P210&lt;=Stats!$C$29,"Low","Normal"))</f>
        <v>Low</v>
      </c>
      <c r="AE210">
        <f t="shared" si="51"/>
        <v>1</v>
      </c>
    </row>
    <row r="211" spans="1:31" x14ac:dyDescent="0.2">
      <c r="A211">
        <f>Dataset_A!A211</f>
        <v>210</v>
      </c>
      <c r="B211" s="61">
        <f>Dataset_A!B211</f>
        <v>40553</v>
      </c>
      <c r="C211">
        <f>Dataset_A!C211</f>
        <v>1</v>
      </c>
      <c r="D211">
        <f>Dataset_A!D211</f>
        <v>0</v>
      </c>
      <c r="E211">
        <f>Dataset_A!E211</f>
        <v>1</v>
      </c>
      <c r="F211">
        <f>Dataset_A!F211</f>
        <v>0</v>
      </c>
      <c r="G211" t="b">
        <f>Dataset_A!G211</f>
        <v>0</v>
      </c>
      <c r="H211">
        <f>Dataset_A!H211</f>
        <v>1</v>
      </c>
      <c r="I211">
        <f>Dataset_A!I211</f>
        <v>1</v>
      </c>
      <c r="J211" s="55">
        <f>Dataset_A!J211</f>
        <v>0.12</v>
      </c>
      <c r="K211">
        <f>Dataset_A!K211</f>
        <v>0.1212</v>
      </c>
      <c r="L211">
        <f>Dataset_A!L211</f>
        <v>0.5</v>
      </c>
      <c r="M211">
        <f>Dataset_A!M211</f>
        <v>0.28360000000000002</v>
      </c>
      <c r="N211">
        <f>Dataset_A!N211</f>
        <v>2</v>
      </c>
      <c r="O211">
        <f>Dataset_A!O211</f>
        <v>3</v>
      </c>
      <c r="P211">
        <f>Dataset_A!P211</f>
        <v>5</v>
      </c>
      <c r="Q211" t="str">
        <f t="shared" si="39"/>
        <v>REC-0210</v>
      </c>
      <c r="R211" s="62">
        <f t="shared" si="40"/>
        <v>40553</v>
      </c>
      <c r="S211" t="str">
        <f t="shared" si="41"/>
        <v>Jan</v>
      </c>
      <c r="T211" t="str">
        <f>INDEX(Lookups!$B$39:$B$45,MATCH(H211,Lookups!$A$39:$A$45,0))</f>
        <v>Mon</v>
      </c>
      <c r="U211" t="str">
        <f t="shared" si="42"/>
        <v>Weekday</v>
      </c>
      <c r="V211" t="str">
        <f t="shared" si="43"/>
        <v>Working Day</v>
      </c>
      <c r="W211" t="str">
        <f t="shared" si="44"/>
        <v>Spring</v>
      </c>
      <c r="X211" t="str">
        <f t="shared" si="45"/>
        <v>Clear</v>
      </c>
      <c r="Y211" t="str">
        <f t="shared" si="46"/>
        <v>Night</v>
      </c>
      <c r="Z211" t="str">
        <f t="shared" si="47"/>
        <v>Cold</v>
      </c>
      <c r="AA211" t="str">
        <f t="shared" si="48"/>
        <v>Medium</v>
      </c>
      <c r="AB211" t="str">
        <f t="shared" si="49"/>
        <v>Off-Peak</v>
      </c>
      <c r="AC211" s="63">
        <f t="shared" si="50"/>
        <v>0.4</v>
      </c>
      <c r="AD211" t="str">
        <f>IF(P211&gt;=Stats!$C$30,"High",IF(P211&lt;=Stats!$C$29,"Low","Normal"))</f>
        <v>Low</v>
      </c>
      <c r="AE211">
        <f t="shared" si="51"/>
        <v>1</v>
      </c>
    </row>
    <row r="212" spans="1:31" x14ac:dyDescent="0.2">
      <c r="A212">
        <f>Dataset_A!A212</f>
        <v>211</v>
      </c>
      <c r="B212" s="61">
        <f>Dataset_A!B212</f>
        <v>40553</v>
      </c>
      <c r="C212">
        <f>Dataset_A!C212</f>
        <v>1</v>
      </c>
      <c r="D212">
        <f>Dataset_A!D212</f>
        <v>0</v>
      </c>
      <c r="E212">
        <f>Dataset_A!E212</f>
        <v>1</v>
      </c>
      <c r="F212">
        <f>Dataset_A!F212</f>
        <v>1</v>
      </c>
      <c r="G212" t="b">
        <f>Dataset_A!G212</f>
        <v>0</v>
      </c>
      <c r="H212">
        <f>Dataset_A!H212</f>
        <v>1</v>
      </c>
      <c r="I212">
        <f>Dataset_A!I212</f>
        <v>1</v>
      </c>
      <c r="J212" s="55">
        <f>Dataset_A!J212</f>
        <v>0.12</v>
      </c>
      <c r="K212">
        <f>Dataset_A!K212</f>
        <v>0.1212</v>
      </c>
      <c r="L212">
        <f>Dataset_A!L212</f>
        <v>0.5</v>
      </c>
      <c r="M212">
        <f>Dataset_A!M212</f>
        <v>0.28360000000000002</v>
      </c>
      <c r="N212">
        <f>Dataset_A!N212</f>
        <v>1</v>
      </c>
      <c r="O212">
        <f>Dataset_A!O212</f>
        <v>0</v>
      </c>
      <c r="P212">
        <f>Dataset_A!P212</f>
        <v>1</v>
      </c>
      <c r="Q212" t="str">
        <f t="shared" si="39"/>
        <v>REC-0211</v>
      </c>
      <c r="R212" s="62">
        <f t="shared" si="40"/>
        <v>40553.041666666664</v>
      </c>
      <c r="S212" t="str">
        <f t="shared" si="41"/>
        <v>Jan</v>
      </c>
      <c r="T212" t="str">
        <f>INDEX(Lookups!$B$39:$B$45,MATCH(H212,Lookups!$A$39:$A$45,0))</f>
        <v>Mon</v>
      </c>
      <c r="U212" t="str">
        <f t="shared" si="42"/>
        <v>Weekday</v>
      </c>
      <c r="V212" t="str">
        <f t="shared" si="43"/>
        <v>Working Day</v>
      </c>
      <c r="W212" t="str">
        <f t="shared" si="44"/>
        <v>Spring</v>
      </c>
      <c r="X212" t="str">
        <f t="shared" si="45"/>
        <v>Clear</v>
      </c>
      <c r="Y212" t="str">
        <f t="shared" si="46"/>
        <v>Night</v>
      </c>
      <c r="Z212" t="str">
        <f t="shared" si="47"/>
        <v>Cold</v>
      </c>
      <c r="AA212" t="str">
        <f t="shared" si="48"/>
        <v>Medium</v>
      </c>
      <c r="AB212" t="str">
        <f t="shared" si="49"/>
        <v>Off-Peak</v>
      </c>
      <c r="AC212" s="63">
        <f t="shared" si="50"/>
        <v>1</v>
      </c>
      <c r="AD212" t="str">
        <f>IF(P212&gt;=Stats!$C$30,"High",IF(P212&lt;=Stats!$C$29,"Low","Normal"))</f>
        <v>Low</v>
      </c>
      <c r="AE212">
        <f t="shared" si="51"/>
        <v>1</v>
      </c>
    </row>
    <row r="213" spans="1:31" x14ac:dyDescent="0.2">
      <c r="A213">
        <f>Dataset_A!A213</f>
        <v>212</v>
      </c>
      <c r="B213" s="61">
        <f>Dataset_A!B213</f>
        <v>40553</v>
      </c>
      <c r="C213">
        <f>Dataset_A!C213</f>
        <v>1</v>
      </c>
      <c r="D213">
        <f>Dataset_A!D213</f>
        <v>0</v>
      </c>
      <c r="E213">
        <f>Dataset_A!E213</f>
        <v>1</v>
      </c>
      <c r="F213">
        <f>Dataset_A!F213</f>
        <v>2</v>
      </c>
      <c r="G213" t="b">
        <f>Dataset_A!G213</f>
        <v>0</v>
      </c>
      <c r="H213">
        <f>Dataset_A!H213</f>
        <v>1</v>
      </c>
      <c r="I213">
        <f>Dataset_A!I213</f>
        <v>1</v>
      </c>
      <c r="J213" s="55">
        <f>Dataset_A!J213</f>
        <v>0.12</v>
      </c>
      <c r="K213">
        <f>Dataset_A!K213</f>
        <v>0.1212</v>
      </c>
      <c r="L213">
        <f>Dataset_A!L213</f>
        <v>0.5</v>
      </c>
      <c r="M213">
        <f>Dataset_A!M213</f>
        <v>0.22389999999999999</v>
      </c>
      <c r="N213">
        <f>Dataset_A!N213</f>
        <v>0</v>
      </c>
      <c r="O213">
        <f>Dataset_A!O213</f>
        <v>3</v>
      </c>
      <c r="P213">
        <f>Dataset_A!P213</f>
        <v>3</v>
      </c>
      <c r="Q213" t="str">
        <f t="shared" si="39"/>
        <v>REC-0212</v>
      </c>
      <c r="R213" s="62">
        <f t="shared" si="40"/>
        <v>40553.083333333336</v>
      </c>
      <c r="S213" t="str">
        <f t="shared" si="41"/>
        <v>Jan</v>
      </c>
      <c r="T213" t="str">
        <f>INDEX(Lookups!$B$39:$B$45,MATCH(H213,Lookups!$A$39:$A$45,0))</f>
        <v>Mon</v>
      </c>
      <c r="U213" t="str">
        <f t="shared" si="42"/>
        <v>Weekday</v>
      </c>
      <c r="V213" t="str">
        <f t="shared" si="43"/>
        <v>Working Day</v>
      </c>
      <c r="W213" t="str">
        <f t="shared" si="44"/>
        <v>Spring</v>
      </c>
      <c r="X213" t="str">
        <f t="shared" si="45"/>
        <v>Clear</v>
      </c>
      <c r="Y213" t="str">
        <f t="shared" si="46"/>
        <v>Night</v>
      </c>
      <c r="Z213" t="str">
        <f t="shared" si="47"/>
        <v>Cold</v>
      </c>
      <c r="AA213" t="str">
        <f t="shared" si="48"/>
        <v>Medium</v>
      </c>
      <c r="AB213" t="str">
        <f t="shared" si="49"/>
        <v>Off-Peak</v>
      </c>
      <c r="AC213" s="63">
        <f t="shared" si="50"/>
        <v>0</v>
      </c>
      <c r="AD213" t="str">
        <f>IF(P213&gt;=Stats!$C$30,"High",IF(P213&lt;=Stats!$C$29,"Low","Normal"))</f>
        <v>Low</v>
      </c>
      <c r="AE213">
        <f t="shared" si="51"/>
        <v>1</v>
      </c>
    </row>
    <row r="214" spans="1:31" x14ac:dyDescent="0.2">
      <c r="A214">
        <f>Dataset_A!A214</f>
        <v>213</v>
      </c>
      <c r="B214" s="61">
        <f>Dataset_A!B214</f>
        <v>40553</v>
      </c>
      <c r="C214">
        <f>Dataset_A!C214</f>
        <v>1</v>
      </c>
      <c r="D214">
        <f>Dataset_A!D214</f>
        <v>0</v>
      </c>
      <c r="E214">
        <f>Dataset_A!E214</f>
        <v>1</v>
      </c>
      <c r="F214">
        <f>Dataset_A!F214</f>
        <v>3</v>
      </c>
      <c r="G214" t="b">
        <f>Dataset_A!G214</f>
        <v>0</v>
      </c>
      <c r="H214">
        <f>Dataset_A!H214</f>
        <v>1</v>
      </c>
      <c r="I214">
        <f>Dataset_A!I214</f>
        <v>1</v>
      </c>
      <c r="J214" s="55">
        <f>Dataset_A!J214</f>
        <v>0.12</v>
      </c>
      <c r="K214">
        <f>Dataset_A!K214</f>
        <v>0.1212</v>
      </c>
      <c r="L214">
        <f>Dataset_A!L214</f>
        <v>0.5</v>
      </c>
      <c r="M214">
        <f>Dataset_A!M214</f>
        <v>0.22389999999999999</v>
      </c>
      <c r="N214">
        <f>Dataset_A!N214</f>
        <v>0</v>
      </c>
      <c r="O214">
        <f>Dataset_A!O214</f>
        <v>1</v>
      </c>
      <c r="P214">
        <f>Dataset_A!P214</f>
        <v>1</v>
      </c>
      <c r="Q214" t="str">
        <f t="shared" si="39"/>
        <v>REC-0213</v>
      </c>
      <c r="R214" s="62">
        <f t="shared" si="40"/>
        <v>40553.125</v>
      </c>
      <c r="S214" t="str">
        <f t="shared" si="41"/>
        <v>Jan</v>
      </c>
      <c r="T214" t="str">
        <f>INDEX(Lookups!$B$39:$B$45,MATCH(H214,Lookups!$A$39:$A$45,0))</f>
        <v>Mon</v>
      </c>
      <c r="U214" t="str">
        <f t="shared" si="42"/>
        <v>Weekday</v>
      </c>
      <c r="V214" t="str">
        <f t="shared" si="43"/>
        <v>Working Day</v>
      </c>
      <c r="W214" t="str">
        <f t="shared" si="44"/>
        <v>Spring</v>
      </c>
      <c r="X214" t="str">
        <f t="shared" si="45"/>
        <v>Clear</v>
      </c>
      <c r="Y214" t="str">
        <f t="shared" si="46"/>
        <v>Night</v>
      </c>
      <c r="Z214" t="str">
        <f t="shared" si="47"/>
        <v>Cold</v>
      </c>
      <c r="AA214" t="str">
        <f t="shared" si="48"/>
        <v>Medium</v>
      </c>
      <c r="AB214" t="str">
        <f t="shared" si="49"/>
        <v>Off-Peak</v>
      </c>
      <c r="AC214" s="63">
        <f t="shared" si="50"/>
        <v>0</v>
      </c>
      <c r="AD214" t="str">
        <f>IF(P214&gt;=Stats!$C$30,"High",IF(P214&lt;=Stats!$C$29,"Low","Normal"))</f>
        <v>Low</v>
      </c>
      <c r="AE214">
        <f t="shared" si="51"/>
        <v>1</v>
      </c>
    </row>
    <row r="215" spans="1:31" x14ac:dyDescent="0.2">
      <c r="A215">
        <f>Dataset_A!A215</f>
        <v>214</v>
      </c>
      <c r="B215" s="61">
        <f>Dataset_A!B215</f>
        <v>40553</v>
      </c>
      <c r="C215">
        <f>Dataset_A!C215</f>
        <v>1</v>
      </c>
      <c r="D215">
        <f>Dataset_A!D215</f>
        <v>0</v>
      </c>
      <c r="E215">
        <f>Dataset_A!E215</f>
        <v>1</v>
      </c>
      <c r="F215">
        <f>Dataset_A!F215</f>
        <v>4</v>
      </c>
      <c r="G215" t="b">
        <f>Dataset_A!G215</f>
        <v>0</v>
      </c>
      <c r="H215">
        <f>Dataset_A!H215</f>
        <v>1</v>
      </c>
      <c r="I215">
        <f>Dataset_A!I215</f>
        <v>1</v>
      </c>
      <c r="J215" s="55">
        <f>Dataset_A!J215</f>
        <v>0.1</v>
      </c>
      <c r="K215">
        <f>Dataset_A!K215</f>
        <v>0.1212</v>
      </c>
      <c r="L215">
        <f>Dataset_A!L215</f>
        <v>0.54</v>
      </c>
      <c r="M215">
        <f>Dataset_A!M215</f>
        <v>0.1343</v>
      </c>
      <c r="N215">
        <f>Dataset_A!N215</f>
        <v>1</v>
      </c>
      <c r="O215">
        <f>Dataset_A!O215</f>
        <v>2</v>
      </c>
      <c r="P215">
        <f>Dataset_A!P215</f>
        <v>3</v>
      </c>
      <c r="Q215" t="str">
        <f t="shared" si="39"/>
        <v>REC-0214</v>
      </c>
      <c r="R215" s="62">
        <f t="shared" si="40"/>
        <v>40553.166666666664</v>
      </c>
      <c r="S215" t="str">
        <f t="shared" si="41"/>
        <v>Jan</v>
      </c>
      <c r="T215" t="str">
        <f>INDEX(Lookups!$B$39:$B$45,MATCH(H215,Lookups!$A$39:$A$45,0))</f>
        <v>Mon</v>
      </c>
      <c r="U215" t="str">
        <f t="shared" si="42"/>
        <v>Weekday</v>
      </c>
      <c r="V215" t="str">
        <f t="shared" si="43"/>
        <v>Working Day</v>
      </c>
      <c r="W215" t="str">
        <f t="shared" si="44"/>
        <v>Spring</v>
      </c>
      <c r="X215" t="str">
        <f t="shared" si="45"/>
        <v>Clear</v>
      </c>
      <c r="Y215" t="str">
        <f t="shared" si="46"/>
        <v>Night</v>
      </c>
      <c r="Z215" t="str">
        <f t="shared" si="47"/>
        <v>Cold</v>
      </c>
      <c r="AA215" t="str">
        <f t="shared" si="48"/>
        <v>Medium</v>
      </c>
      <c r="AB215" t="str">
        <f t="shared" si="49"/>
        <v>Off-Peak</v>
      </c>
      <c r="AC215" s="63">
        <f t="shared" si="50"/>
        <v>0.33333333333333331</v>
      </c>
      <c r="AD215" t="str">
        <f>IF(P215&gt;=Stats!$C$30,"High",IF(P215&lt;=Stats!$C$29,"Low","Normal"))</f>
        <v>Low</v>
      </c>
      <c r="AE215">
        <f t="shared" si="51"/>
        <v>1</v>
      </c>
    </row>
    <row r="216" spans="1:31" x14ac:dyDescent="0.2">
      <c r="A216">
        <f>Dataset_A!A216</f>
        <v>215</v>
      </c>
      <c r="B216" s="61">
        <f>Dataset_A!B216</f>
        <v>40553</v>
      </c>
      <c r="C216">
        <f>Dataset_A!C216</f>
        <v>1</v>
      </c>
      <c r="D216">
        <f>Dataset_A!D216</f>
        <v>0</v>
      </c>
      <c r="E216">
        <f>Dataset_A!E216</f>
        <v>1</v>
      </c>
      <c r="F216">
        <f>Dataset_A!F216</f>
        <v>5</v>
      </c>
      <c r="G216" t="b">
        <f>Dataset_A!G216</f>
        <v>0</v>
      </c>
      <c r="H216">
        <f>Dataset_A!H216</f>
        <v>1</v>
      </c>
      <c r="I216">
        <f>Dataset_A!I216</f>
        <v>1</v>
      </c>
      <c r="J216" s="55">
        <f>Dataset_A!J216</f>
        <v>0.1</v>
      </c>
      <c r="K216">
        <f>Dataset_A!K216</f>
        <v>0.1061</v>
      </c>
      <c r="L216">
        <f>Dataset_A!L216</f>
        <v>0.54</v>
      </c>
      <c r="M216">
        <f>Dataset_A!M216</f>
        <v>0.25369999999999998</v>
      </c>
      <c r="N216">
        <f>Dataset_A!N216</f>
        <v>0</v>
      </c>
      <c r="O216">
        <f>Dataset_A!O216</f>
        <v>3</v>
      </c>
      <c r="P216">
        <f>Dataset_A!P216</f>
        <v>3</v>
      </c>
      <c r="Q216" t="str">
        <f t="shared" si="39"/>
        <v>REC-0215</v>
      </c>
      <c r="R216" s="62">
        <f t="shared" si="40"/>
        <v>40553.208333333336</v>
      </c>
      <c r="S216" t="str">
        <f t="shared" si="41"/>
        <v>Jan</v>
      </c>
      <c r="T216" t="str">
        <f>INDEX(Lookups!$B$39:$B$45,MATCH(H216,Lookups!$A$39:$A$45,0))</f>
        <v>Mon</v>
      </c>
      <c r="U216" t="str">
        <f t="shared" si="42"/>
        <v>Weekday</v>
      </c>
      <c r="V216" t="str">
        <f t="shared" si="43"/>
        <v>Working Day</v>
      </c>
      <c r="W216" t="str">
        <f t="shared" si="44"/>
        <v>Spring</v>
      </c>
      <c r="X216" t="str">
        <f t="shared" si="45"/>
        <v>Clear</v>
      </c>
      <c r="Y216" t="str">
        <f t="shared" si="46"/>
        <v>Night</v>
      </c>
      <c r="Z216" t="str">
        <f t="shared" si="47"/>
        <v>Cold</v>
      </c>
      <c r="AA216" t="str">
        <f t="shared" si="48"/>
        <v>Medium</v>
      </c>
      <c r="AB216" t="str">
        <f t="shared" si="49"/>
        <v>Off-Peak</v>
      </c>
      <c r="AC216" s="63">
        <f t="shared" si="50"/>
        <v>0</v>
      </c>
      <c r="AD216" t="str">
        <f>IF(P216&gt;=Stats!$C$30,"High",IF(P216&lt;=Stats!$C$29,"Low","Normal"))</f>
        <v>Low</v>
      </c>
      <c r="AE216">
        <f t="shared" si="51"/>
        <v>1</v>
      </c>
    </row>
    <row r="217" spans="1:31" x14ac:dyDescent="0.2">
      <c r="A217">
        <f>Dataset_A!A217</f>
        <v>216</v>
      </c>
      <c r="B217" s="61">
        <f>Dataset_A!B217</f>
        <v>40553</v>
      </c>
      <c r="C217">
        <f>Dataset_A!C217</f>
        <v>1</v>
      </c>
      <c r="D217">
        <f>Dataset_A!D217</f>
        <v>0</v>
      </c>
      <c r="E217">
        <f>Dataset_A!E217</f>
        <v>1</v>
      </c>
      <c r="F217">
        <f>Dataset_A!F217</f>
        <v>6</v>
      </c>
      <c r="G217" t="b">
        <f>Dataset_A!G217</f>
        <v>0</v>
      </c>
      <c r="H217">
        <f>Dataset_A!H217</f>
        <v>1</v>
      </c>
      <c r="I217">
        <f>Dataset_A!I217</f>
        <v>1</v>
      </c>
      <c r="J217" s="55">
        <f>Dataset_A!J217</f>
        <v>0.12</v>
      </c>
      <c r="K217">
        <f>Dataset_A!K217</f>
        <v>0.1212</v>
      </c>
      <c r="L217">
        <f>Dataset_A!L217</f>
        <v>0.5</v>
      </c>
      <c r="M217">
        <f>Dataset_A!M217</f>
        <v>0.28360000000000002</v>
      </c>
      <c r="N217">
        <f>Dataset_A!N217</f>
        <v>0</v>
      </c>
      <c r="O217">
        <f>Dataset_A!O217</f>
        <v>31</v>
      </c>
      <c r="P217">
        <f>Dataset_A!P217</f>
        <v>31</v>
      </c>
      <c r="Q217" t="str">
        <f t="shared" si="39"/>
        <v>REC-0216</v>
      </c>
      <c r="R217" s="62">
        <f t="shared" si="40"/>
        <v>40553.25</v>
      </c>
      <c r="S217" t="str">
        <f t="shared" si="41"/>
        <v>Jan</v>
      </c>
      <c r="T217" t="str">
        <f>INDEX(Lookups!$B$39:$B$45,MATCH(H217,Lookups!$A$39:$A$45,0))</f>
        <v>Mon</v>
      </c>
      <c r="U217" t="str">
        <f t="shared" si="42"/>
        <v>Weekday</v>
      </c>
      <c r="V217" t="str">
        <f t="shared" si="43"/>
        <v>Working Day</v>
      </c>
      <c r="W217" t="str">
        <f t="shared" si="44"/>
        <v>Spring</v>
      </c>
      <c r="X217" t="str">
        <f t="shared" si="45"/>
        <v>Clear</v>
      </c>
      <c r="Y217" t="str">
        <f t="shared" si="46"/>
        <v>Morning</v>
      </c>
      <c r="Z217" t="str">
        <f t="shared" si="47"/>
        <v>Cold</v>
      </c>
      <c r="AA217" t="str">
        <f t="shared" si="48"/>
        <v>Medium</v>
      </c>
      <c r="AB217" t="str">
        <f t="shared" si="49"/>
        <v>Off-Peak</v>
      </c>
      <c r="AC217" s="63">
        <f t="shared" si="50"/>
        <v>0</v>
      </c>
      <c r="AD217" t="str">
        <f>IF(P217&gt;=Stats!$C$30,"High",IF(P217&lt;=Stats!$C$29,"Low","Normal"))</f>
        <v>Normal</v>
      </c>
      <c r="AE217">
        <f t="shared" si="51"/>
        <v>1</v>
      </c>
    </row>
    <row r="218" spans="1:31" x14ac:dyDescent="0.2">
      <c r="A218">
        <f>Dataset_A!A218</f>
        <v>217</v>
      </c>
      <c r="B218" s="61">
        <f>Dataset_A!B218</f>
        <v>40553</v>
      </c>
      <c r="C218">
        <f>Dataset_A!C218</f>
        <v>1</v>
      </c>
      <c r="D218">
        <f>Dataset_A!D218</f>
        <v>0</v>
      </c>
      <c r="E218">
        <f>Dataset_A!E218</f>
        <v>1</v>
      </c>
      <c r="F218">
        <f>Dataset_A!F218</f>
        <v>7</v>
      </c>
      <c r="G218" t="b">
        <f>Dataset_A!G218</f>
        <v>0</v>
      </c>
      <c r="H218">
        <f>Dataset_A!H218</f>
        <v>1</v>
      </c>
      <c r="I218">
        <f>Dataset_A!I218</f>
        <v>1</v>
      </c>
      <c r="J218" s="55">
        <f>Dataset_A!J218</f>
        <v>0.12</v>
      </c>
      <c r="K218">
        <f>Dataset_A!K218</f>
        <v>0.1212</v>
      </c>
      <c r="L218">
        <f>Dataset_A!L218</f>
        <v>0.5</v>
      </c>
      <c r="M218">
        <f>Dataset_A!M218</f>
        <v>0.22389999999999999</v>
      </c>
      <c r="N218">
        <f>Dataset_A!N218</f>
        <v>2</v>
      </c>
      <c r="O218">
        <f>Dataset_A!O218</f>
        <v>75</v>
      </c>
      <c r="P218">
        <f>Dataset_A!P218</f>
        <v>77</v>
      </c>
      <c r="Q218" t="str">
        <f t="shared" si="39"/>
        <v>REC-0217</v>
      </c>
      <c r="R218" s="62">
        <f t="shared" si="40"/>
        <v>40553.291666666664</v>
      </c>
      <c r="S218" t="str">
        <f t="shared" si="41"/>
        <v>Jan</v>
      </c>
      <c r="T218" t="str">
        <f>INDEX(Lookups!$B$39:$B$45,MATCH(H218,Lookups!$A$39:$A$45,0))</f>
        <v>Mon</v>
      </c>
      <c r="U218" t="str">
        <f t="shared" si="42"/>
        <v>Weekday</v>
      </c>
      <c r="V218" t="str">
        <f t="shared" si="43"/>
        <v>Working Day</v>
      </c>
      <c r="W218" t="str">
        <f t="shared" si="44"/>
        <v>Spring</v>
      </c>
      <c r="X218" t="str">
        <f t="shared" si="45"/>
        <v>Clear</v>
      </c>
      <c r="Y218" t="str">
        <f t="shared" si="46"/>
        <v>Morning</v>
      </c>
      <c r="Z218" t="str">
        <f t="shared" si="47"/>
        <v>Cold</v>
      </c>
      <c r="AA218" t="str">
        <f t="shared" si="48"/>
        <v>Medium</v>
      </c>
      <c r="AB218" t="str">
        <f t="shared" si="49"/>
        <v>Peak</v>
      </c>
      <c r="AC218" s="63">
        <f t="shared" si="50"/>
        <v>2.5974025974025976E-2</v>
      </c>
      <c r="AD218" t="str">
        <f>IF(P218&gt;=Stats!$C$30,"High",IF(P218&lt;=Stats!$C$29,"Low","Normal"))</f>
        <v>Normal</v>
      </c>
      <c r="AE218">
        <f t="shared" si="51"/>
        <v>1</v>
      </c>
    </row>
    <row r="219" spans="1:31" x14ac:dyDescent="0.2">
      <c r="A219">
        <f>Dataset_A!A219</f>
        <v>218</v>
      </c>
      <c r="B219" s="61">
        <f>Dataset_A!B219</f>
        <v>40553</v>
      </c>
      <c r="C219">
        <f>Dataset_A!C219</f>
        <v>1</v>
      </c>
      <c r="D219">
        <f>Dataset_A!D219</f>
        <v>0</v>
      </c>
      <c r="E219">
        <f>Dataset_A!E219</f>
        <v>1</v>
      </c>
      <c r="F219">
        <f>Dataset_A!F219</f>
        <v>8</v>
      </c>
      <c r="G219" t="b">
        <f>Dataset_A!G219</f>
        <v>0</v>
      </c>
      <c r="H219">
        <f>Dataset_A!H219</f>
        <v>1</v>
      </c>
      <c r="I219">
        <f>Dataset_A!I219</f>
        <v>2</v>
      </c>
      <c r="J219" s="55">
        <f>Dataset_A!J219</f>
        <v>0.12</v>
      </c>
      <c r="K219">
        <f>Dataset_A!K219</f>
        <v>0.1212</v>
      </c>
      <c r="L219">
        <f>Dataset_A!L219</f>
        <v>0.5</v>
      </c>
      <c r="M219">
        <f>Dataset_A!M219</f>
        <v>0.28360000000000002</v>
      </c>
      <c r="N219">
        <f>Dataset_A!N219</f>
        <v>4</v>
      </c>
      <c r="O219">
        <f>Dataset_A!O219</f>
        <v>184</v>
      </c>
      <c r="P219">
        <f>Dataset_A!P219</f>
        <v>188</v>
      </c>
      <c r="Q219" t="str">
        <f t="shared" si="39"/>
        <v>REC-0218</v>
      </c>
      <c r="R219" s="62">
        <f t="shared" si="40"/>
        <v>40553.333333333336</v>
      </c>
      <c r="S219" t="str">
        <f t="shared" si="41"/>
        <v>Jan</v>
      </c>
      <c r="T219" t="str">
        <f>INDEX(Lookups!$B$39:$B$45,MATCH(H219,Lookups!$A$39:$A$45,0))</f>
        <v>Mon</v>
      </c>
      <c r="U219" t="str">
        <f t="shared" si="42"/>
        <v>Weekday</v>
      </c>
      <c r="V219" t="str">
        <f t="shared" si="43"/>
        <v>Working Day</v>
      </c>
      <c r="W219" t="str">
        <f t="shared" si="44"/>
        <v>Spring</v>
      </c>
      <c r="X219" t="str">
        <f t="shared" si="45"/>
        <v>Cloudy/Mist</v>
      </c>
      <c r="Y219" t="str">
        <f t="shared" si="46"/>
        <v>Morning</v>
      </c>
      <c r="Z219" t="str">
        <f t="shared" si="47"/>
        <v>Cold</v>
      </c>
      <c r="AA219" t="str">
        <f t="shared" si="48"/>
        <v>Medium</v>
      </c>
      <c r="AB219" t="str">
        <f t="shared" si="49"/>
        <v>Peak</v>
      </c>
      <c r="AC219" s="63">
        <f t="shared" si="50"/>
        <v>2.1276595744680851E-2</v>
      </c>
      <c r="AD219" t="str">
        <f>IF(P219&gt;=Stats!$C$30,"High",IF(P219&lt;=Stats!$C$29,"Low","Normal"))</f>
        <v>High</v>
      </c>
      <c r="AE219">
        <f t="shared" si="51"/>
        <v>1</v>
      </c>
    </row>
    <row r="220" spans="1:31" x14ac:dyDescent="0.2">
      <c r="A220">
        <f>Dataset_A!A220</f>
        <v>219</v>
      </c>
      <c r="B220" s="61">
        <f>Dataset_A!B220</f>
        <v>40553</v>
      </c>
      <c r="C220">
        <f>Dataset_A!C220</f>
        <v>1</v>
      </c>
      <c r="D220">
        <f>Dataset_A!D220</f>
        <v>0</v>
      </c>
      <c r="E220">
        <f>Dataset_A!E220</f>
        <v>1</v>
      </c>
      <c r="F220">
        <f>Dataset_A!F220</f>
        <v>9</v>
      </c>
      <c r="G220" t="b">
        <f>Dataset_A!G220</f>
        <v>0</v>
      </c>
      <c r="H220">
        <f>Dataset_A!H220</f>
        <v>1</v>
      </c>
      <c r="I220">
        <f>Dataset_A!I220</f>
        <v>2</v>
      </c>
      <c r="J220" s="55">
        <f>Dataset_A!J220</f>
        <v>0.14000000000000001</v>
      </c>
      <c r="K220">
        <f>Dataset_A!K220</f>
        <v>0.1212</v>
      </c>
      <c r="L220">
        <f>Dataset_A!L220</f>
        <v>0.5</v>
      </c>
      <c r="M220">
        <f>Dataset_A!M220</f>
        <v>0.25369999999999998</v>
      </c>
      <c r="N220">
        <f>Dataset_A!N220</f>
        <v>2</v>
      </c>
      <c r="O220">
        <f>Dataset_A!O220</f>
        <v>92</v>
      </c>
      <c r="P220">
        <f>Dataset_A!P220</f>
        <v>94</v>
      </c>
      <c r="Q220" t="str">
        <f t="shared" si="39"/>
        <v>REC-0219</v>
      </c>
      <c r="R220" s="62">
        <f t="shared" si="40"/>
        <v>40553.375</v>
      </c>
      <c r="S220" t="str">
        <f t="shared" si="41"/>
        <v>Jan</v>
      </c>
      <c r="T220" t="str">
        <f>INDEX(Lookups!$B$39:$B$45,MATCH(H220,Lookups!$A$39:$A$45,0))</f>
        <v>Mon</v>
      </c>
      <c r="U220" t="str">
        <f t="shared" si="42"/>
        <v>Weekday</v>
      </c>
      <c r="V220" t="str">
        <f t="shared" si="43"/>
        <v>Working Day</v>
      </c>
      <c r="W220" t="str">
        <f t="shared" si="44"/>
        <v>Spring</v>
      </c>
      <c r="X220" t="str">
        <f t="shared" si="45"/>
        <v>Cloudy/Mist</v>
      </c>
      <c r="Y220" t="str">
        <f t="shared" si="46"/>
        <v>Morning</v>
      </c>
      <c r="Z220" t="str">
        <f t="shared" si="47"/>
        <v>Cold</v>
      </c>
      <c r="AA220" t="str">
        <f t="shared" si="48"/>
        <v>Medium</v>
      </c>
      <c r="AB220" t="str">
        <f t="shared" si="49"/>
        <v>Peak</v>
      </c>
      <c r="AC220" s="63">
        <f t="shared" si="50"/>
        <v>2.1276595744680851E-2</v>
      </c>
      <c r="AD220" t="str">
        <f>IF(P220&gt;=Stats!$C$30,"High",IF(P220&lt;=Stats!$C$29,"Low","Normal"))</f>
        <v>High</v>
      </c>
      <c r="AE220">
        <f t="shared" si="51"/>
        <v>1</v>
      </c>
    </row>
    <row r="221" spans="1:31" x14ac:dyDescent="0.2">
      <c r="A221">
        <f>Dataset_A!A221</f>
        <v>220</v>
      </c>
      <c r="B221" s="61">
        <f>Dataset_A!B221</f>
        <v>40553</v>
      </c>
      <c r="C221">
        <f>Dataset_A!C221</f>
        <v>1</v>
      </c>
      <c r="D221">
        <f>Dataset_A!D221</f>
        <v>0</v>
      </c>
      <c r="E221">
        <f>Dataset_A!E221</f>
        <v>1</v>
      </c>
      <c r="F221">
        <f>Dataset_A!F221</f>
        <v>10</v>
      </c>
      <c r="G221" t="b">
        <f>Dataset_A!G221</f>
        <v>0</v>
      </c>
      <c r="H221">
        <f>Dataset_A!H221</f>
        <v>1</v>
      </c>
      <c r="I221">
        <f>Dataset_A!I221</f>
        <v>2</v>
      </c>
      <c r="J221" s="55">
        <f>Dataset_A!J221</f>
        <v>0.14000000000000001</v>
      </c>
      <c r="K221">
        <f>Dataset_A!K221</f>
        <v>0.1212</v>
      </c>
      <c r="L221">
        <f>Dataset_A!L221</f>
        <v>0.5</v>
      </c>
      <c r="M221">
        <f>Dataset_A!M221</f>
        <v>0.29849999999999999</v>
      </c>
      <c r="N221">
        <f>Dataset_A!N221</f>
        <v>0</v>
      </c>
      <c r="O221">
        <f>Dataset_A!O221</f>
        <v>31</v>
      </c>
      <c r="P221">
        <f>Dataset_A!P221</f>
        <v>31</v>
      </c>
      <c r="Q221" t="str">
        <f t="shared" si="39"/>
        <v>REC-0220</v>
      </c>
      <c r="R221" s="62">
        <f t="shared" si="40"/>
        <v>40553.416666666664</v>
      </c>
      <c r="S221" t="str">
        <f t="shared" si="41"/>
        <v>Jan</v>
      </c>
      <c r="T221" t="str">
        <f>INDEX(Lookups!$B$39:$B$45,MATCH(H221,Lookups!$A$39:$A$45,0))</f>
        <v>Mon</v>
      </c>
      <c r="U221" t="str">
        <f t="shared" si="42"/>
        <v>Weekday</v>
      </c>
      <c r="V221" t="str">
        <f t="shared" si="43"/>
        <v>Working Day</v>
      </c>
      <c r="W221" t="str">
        <f t="shared" si="44"/>
        <v>Spring</v>
      </c>
      <c r="X221" t="str">
        <f t="shared" si="45"/>
        <v>Cloudy/Mist</v>
      </c>
      <c r="Y221" t="str">
        <f t="shared" si="46"/>
        <v>Morning</v>
      </c>
      <c r="Z221" t="str">
        <f t="shared" si="47"/>
        <v>Cold</v>
      </c>
      <c r="AA221" t="str">
        <f t="shared" si="48"/>
        <v>Medium</v>
      </c>
      <c r="AB221" t="str">
        <f t="shared" si="49"/>
        <v>Off-Peak</v>
      </c>
      <c r="AC221" s="63">
        <f t="shared" si="50"/>
        <v>0</v>
      </c>
      <c r="AD221" t="str">
        <f>IF(P221&gt;=Stats!$C$30,"High",IF(P221&lt;=Stats!$C$29,"Low","Normal"))</f>
        <v>Normal</v>
      </c>
      <c r="AE221">
        <f t="shared" si="51"/>
        <v>1</v>
      </c>
    </row>
    <row r="222" spans="1:31" x14ac:dyDescent="0.2">
      <c r="A222">
        <f>Dataset_A!A222</f>
        <v>221</v>
      </c>
      <c r="B222" s="61">
        <f>Dataset_A!B222</f>
        <v>40553</v>
      </c>
      <c r="C222">
        <f>Dataset_A!C222</f>
        <v>1</v>
      </c>
      <c r="D222">
        <f>Dataset_A!D222</f>
        <v>0</v>
      </c>
      <c r="E222">
        <f>Dataset_A!E222</f>
        <v>1</v>
      </c>
      <c r="F222">
        <f>Dataset_A!F222</f>
        <v>11</v>
      </c>
      <c r="G222" t="b">
        <f>Dataset_A!G222</f>
        <v>0</v>
      </c>
      <c r="H222">
        <f>Dataset_A!H222</f>
        <v>1</v>
      </c>
      <c r="I222">
        <f>Dataset_A!I222</f>
        <v>2</v>
      </c>
      <c r="J222" s="55">
        <f>Dataset_A!J222</f>
        <v>0.16</v>
      </c>
      <c r="K222">
        <f>Dataset_A!K222</f>
        <v>0.13639999999999999</v>
      </c>
      <c r="L222">
        <f>Dataset_A!L222</f>
        <v>0.47</v>
      </c>
      <c r="M222">
        <f>Dataset_A!M222</f>
        <v>0.28360000000000002</v>
      </c>
      <c r="N222">
        <f>Dataset_A!N222</f>
        <v>2</v>
      </c>
      <c r="O222">
        <f>Dataset_A!O222</f>
        <v>28</v>
      </c>
      <c r="P222">
        <f>Dataset_A!P222</f>
        <v>30</v>
      </c>
      <c r="Q222" t="str">
        <f t="shared" si="39"/>
        <v>REC-0221</v>
      </c>
      <c r="R222" s="62">
        <f t="shared" si="40"/>
        <v>40553.458333333336</v>
      </c>
      <c r="S222" t="str">
        <f t="shared" si="41"/>
        <v>Jan</v>
      </c>
      <c r="T222" t="str">
        <f>INDEX(Lookups!$B$39:$B$45,MATCH(H222,Lookups!$A$39:$A$45,0))</f>
        <v>Mon</v>
      </c>
      <c r="U222" t="str">
        <f t="shared" si="42"/>
        <v>Weekday</v>
      </c>
      <c r="V222" t="str">
        <f t="shared" si="43"/>
        <v>Working Day</v>
      </c>
      <c r="W222" t="str">
        <f t="shared" si="44"/>
        <v>Spring</v>
      </c>
      <c r="X222" t="str">
        <f t="shared" si="45"/>
        <v>Cloudy/Mist</v>
      </c>
      <c r="Y222" t="str">
        <f t="shared" si="46"/>
        <v>Morning</v>
      </c>
      <c r="Z222" t="str">
        <f t="shared" si="47"/>
        <v>Cold</v>
      </c>
      <c r="AA222" t="str">
        <f t="shared" si="48"/>
        <v>Low</v>
      </c>
      <c r="AB222" t="str">
        <f t="shared" si="49"/>
        <v>Off-Peak</v>
      </c>
      <c r="AC222" s="63">
        <f t="shared" si="50"/>
        <v>6.6666666666666666E-2</v>
      </c>
      <c r="AD222" t="str">
        <f>IF(P222&gt;=Stats!$C$30,"High",IF(P222&lt;=Stats!$C$29,"Low","Normal"))</f>
        <v>Normal</v>
      </c>
      <c r="AE222">
        <f t="shared" si="51"/>
        <v>1</v>
      </c>
    </row>
    <row r="223" spans="1:31" x14ac:dyDescent="0.2">
      <c r="A223">
        <f>Dataset_A!A223</f>
        <v>222</v>
      </c>
      <c r="B223" s="61">
        <f>Dataset_A!B223</f>
        <v>40553</v>
      </c>
      <c r="C223">
        <f>Dataset_A!C223</f>
        <v>1</v>
      </c>
      <c r="D223">
        <f>Dataset_A!D223</f>
        <v>0</v>
      </c>
      <c r="E223">
        <f>Dataset_A!E223</f>
        <v>1</v>
      </c>
      <c r="F223">
        <f>Dataset_A!F223</f>
        <v>12</v>
      </c>
      <c r="G223" t="b">
        <f>Dataset_A!G223</f>
        <v>0</v>
      </c>
      <c r="H223">
        <f>Dataset_A!H223</f>
        <v>1</v>
      </c>
      <c r="I223">
        <f>Dataset_A!I223</f>
        <v>2</v>
      </c>
      <c r="J223" s="55">
        <f>Dataset_A!J223</f>
        <v>0.2</v>
      </c>
      <c r="K223">
        <f>Dataset_A!K223</f>
        <v>0.18179999999999999</v>
      </c>
      <c r="L223">
        <f>Dataset_A!L223</f>
        <v>0.4</v>
      </c>
      <c r="M223">
        <f>Dataset_A!M223</f>
        <v>0.28360000000000002</v>
      </c>
      <c r="N223">
        <f>Dataset_A!N223</f>
        <v>5</v>
      </c>
      <c r="O223">
        <f>Dataset_A!O223</f>
        <v>47</v>
      </c>
      <c r="P223">
        <f>Dataset_A!P223</f>
        <v>52</v>
      </c>
      <c r="Q223" t="str">
        <f t="shared" si="39"/>
        <v>REC-0222</v>
      </c>
      <c r="R223" s="62">
        <f t="shared" si="40"/>
        <v>40553.5</v>
      </c>
      <c r="S223" t="str">
        <f t="shared" si="41"/>
        <v>Jan</v>
      </c>
      <c r="T223" t="str">
        <f>INDEX(Lookups!$B$39:$B$45,MATCH(H223,Lookups!$A$39:$A$45,0))</f>
        <v>Mon</v>
      </c>
      <c r="U223" t="str">
        <f t="shared" si="42"/>
        <v>Weekday</v>
      </c>
      <c r="V223" t="str">
        <f t="shared" si="43"/>
        <v>Working Day</v>
      </c>
      <c r="W223" t="str">
        <f t="shared" si="44"/>
        <v>Spring</v>
      </c>
      <c r="X223" t="str">
        <f t="shared" si="45"/>
        <v>Cloudy/Mist</v>
      </c>
      <c r="Y223" t="str">
        <f t="shared" si="46"/>
        <v>Afternoon</v>
      </c>
      <c r="Z223" t="str">
        <f t="shared" si="47"/>
        <v>Mild</v>
      </c>
      <c r="AA223" t="str">
        <f t="shared" si="48"/>
        <v>Low</v>
      </c>
      <c r="AB223" t="str">
        <f t="shared" si="49"/>
        <v>Off-Peak</v>
      </c>
      <c r="AC223" s="63">
        <f t="shared" si="50"/>
        <v>9.6153846153846159E-2</v>
      </c>
      <c r="AD223" t="str">
        <f>IF(P223&gt;=Stats!$C$30,"High",IF(P223&lt;=Stats!$C$29,"Low","Normal"))</f>
        <v>Normal</v>
      </c>
      <c r="AE223">
        <f t="shared" si="51"/>
        <v>1</v>
      </c>
    </row>
    <row r="224" spans="1:31" x14ac:dyDescent="0.2">
      <c r="A224">
        <f>Dataset_A!A224</f>
        <v>223</v>
      </c>
      <c r="B224" s="61">
        <f>Dataset_A!B224</f>
        <v>40553</v>
      </c>
      <c r="C224">
        <f>Dataset_A!C224</f>
        <v>1</v>
      </c>
      <c r="D224">
        <f>Dataset_A!D224</f>
        <v>0</v>
      </c>
      <c r="E224">
        <f>Dataset_A!E224</f>
        <v>1</v>
      </c>
      <c r="F224">
        <f>Dataset_A!F224</f>
        <v>13</v>
      </c>
      <c r="G224" t="b">
        <f>Dataset_A!G224</f>
        <v>0</v>
      </c>
      <c r="H224">
        <f>Dataset_A!H224</f>
        <v>1</v>
      </c>
      <c r="I224">
        <f>Dataset_A!I224</f>
        <v>2</v>
      </c>
      <c r="J224" s="55">
        <f>Dataset_A!J224</f>
        <v>0.2</v>
      </c>
      <c r="K224">
        <f>Dataset_A!K224</f>
        <v>0.18179999999999999</v>
      </c>
      <c r="L224">
        <f>Dataset_A!L224</f>
        <v>0.4</v>
      </c>
      <c r="M224">
        <f>Dataset_A!M224</f>
        <v>0.28360000000000002</v>
      </c>
      <c r="N224">
        <f>Dataset_A!N224</f>
        <v>4</v>
      </c>
      <c r="O224">
        <f>Dataset_A!O224</f>
        <v>50</v>
      </c>
      <c r="P224">
        <f>Dataset_A!P224</f>
        <v>54</v>
      </c>
      <c r="Q224" t="str">
        <f t="shared" si="39"/>
        <v>REC-0223</v>
      </c>
      <c r="R224" s="62">
        <f t="shared" si="40"/>
        <v>40553.541666666664</v>
      </c>
      <c r="S224" t="str">
        <f t="shared" si="41"/>
        <v>Jan</v>
      </c>
      <c r="T224" t="str">
        <f>INDEX(Lookups!$B$39:$B$45,MATCH(H224,Lookups!$A$39:$A$45,0))</f>
        <v>Mon</v>
      </c>
      <c r="U224" t="str">
        <f t="shared" si="42"/>
        <v>Weekday</v>
      </c>
      <c r="V224" t="str">
        <f t="shared" si="43"/>
        <v>Working Day</v>
      </c>
      <c r="W224" t="str">
        <f t="shared" si="44"/>
        <v>Spring</v>
      </c>
      <c r="X224" t="str">
        <f t="shared" si="45"/>
        <v>Cloudy/Mist</v>
      </c>
      <c r="Y224" t="str">
        <f t="shared" si="46"/>
        <v>Afternoon</v>
      </c>
      <c r="Z224" t="str">
        <f t="shared" si="47"/>
        <v>Mild</v>
      </c>
      <c r="AA224" t="str">
        <f t="shared" si="48"/>
        <v>Low</v>
      </c>
      <c r="AB224" t="str">
        <f t="shared" si="49"/>
        <v>Off-Peak</v>
      </c>
      <c r="AC224" s="63">
        <f t="shared" si="50"/>
        <v>7.407407407407407E-2</v>
      </c>
      <c r="AD224" t="str">
        <f>IF(P224&gt;=Stats!$C$30,"High",IF(P224&lt;=Stats!$C$29,"Low","Normal"))</f>
        <v>Normal</v>
      </c>
      <c r="AE224">
        <f t="shared" si="51"/>
        <v>1</v>
      </c>
    </row>
    <row r="225" spans="1:31" x14ac:dyDescent="0.2">
      <c r="A225">
        <f>Dataset_A!A225</f>
        <v>224</v>
      </c>
      <c r="B225" s="61">
        <f>Dataset_A!B225</f>
        <v>40553</v>
      </c>
      <c r="C225">
        <f>Dataset_A!C225</f>
        <v>1</v>
      </c>
      <c r="D225">
        <f>Dataset_A!D225</f>
        <v>0</v>
      </c>
      <c r="E225">
        <f>Dataset_A!E225</f>
        <v>1</v>
      </c>
      <c r="F225">
        <f>Dataset_A!F225</f>
        <v>14</v>
      </c>
      <c r="G225" t="b">
        <f>Dataset_A!G225</f>
        <v>0</v>
      </c>
      <c r="H225">
        <f>Dataset_A!H225</f>
        <v>1</v>
      </c>
      <c r="I225">
        <f>Dataset_A!I225</f>
        <v>2</v>
      </c>
      <c r="J225" s="55">
        <f>Dataset_A!J225</f>
        <v>0.2</v>
      </c>
      <c r="K225">
        <f>Dataset_A!K225</f>
        <v>0.19700000000000001</v>
      </c>
      <c r="L225">
        <f>Dataset_A!L225</f>
        <v>0.4</v>
      </c>
      <c r="M225">
        <f>Dataset_A!M225</f>
        <v>0.22389999999999999</v>
      </c>
      <c r="N225">
        <f>Dataset_A!N225</f>
        <v>0</v>
      </c>
      <c r="O225">
        <f>Dataset_A!O225</f>
        <v>47</v>
      </c>
      <c r="P225">
        <f>Dataset_A!P225</f>
        <v>47</v>
      </c>
      <c r="Q225" t="str">
        <f t="shared" si="39"/>
        <v>REC-0224</v>
      </c>
      <c r="R225" s="62">
        <f t="shared" si="40"/>
        <v>40553.583333333336</v>
      </c>
      <c r="S225" t="str">
        <f t="shared" si="41"/>
        <v>Jan</v>
      </c>
      <c r="T225" t="str">
        <f>INDEX(Lookups!$B$39:$B$45,MATCH(H225,Lookups!$A$39:$A$45,0))</f>
        <v>Mon</v>
      </c>
      <c r="U225" t="str">
        <f t="shared" si="42"/>
        <v>Weekday</v>
      </c>
      <c r="V225" t="str">
        <f t="shared" si="43"/>
        <v>Working Day</v>
      </c>
      <c r="W225" t="str">
        <f t="shared" si="44"/>
        <v>Spring</v>
      </c>
      <c r="X225" t="str">
        <f t="shared" si="45"/>
        <v>Cloudy/Mist</v>
      </c>
      <c r="Y225" t="str">
        <f t="shared" si="46"/>
        <v>Afternoon</v>
      </c>
      <c r="Z225" t="str">
        <f t="shared" si="47"/>
        <v>Mild</v>
      </c>
      <c r="AA225" t="str">
        <f t="shared" si="48"/>
        <v>Low</v>
      </c>
      <c r="AB225" t="str">
        <f t="shared" si="49"/>
        <v>Off-Peak</v>
      </c>
      <c r="AC225" s="63">
        <f t="shared" si="50"/>
        <v>0</v>
      </c>
      <c r="AD225" t="str">
        <f>IF(P225&gt;=Stats!$C$30,"High",IF(P225&lt;=Stats!$C$29,"Low","Normal"))</f>
        <v>Normal</v>
      </c>
      <c r="AE225">
        <f t="shared" si="51"/>
        <v>1</v>
      </c>
    </row>
    <row r="226" spans="1:31" x14ac:dyDescent="0.2">
      <c r="A226">
        <f>Dataset_A!A226</f>
        <v>225</v>
      </c>
      <c r="B226" s="61">
        <f>Dataset_A!B226</f>
        <v>40553</v>
      </c>
      <c r="C226">
        <f>Dataset_A!C226</f>
        <v>1</v>
      </c>
      <c r="D226">
        <f>Dataset_A!D226</f>
        <v>0</v>
      </c>
      <c r="E226">
        <f>Dataset_A!E226</f>
        <v>1</v>
      </c>
      <c r="F226">
        <f>Dataset_A!F226</f>
        <v>15</v>
      </c>
      <c r="G226" t="b">
        <f>Dataset_A!G226</f>
        <v>0</v>
      </c>
      <c r="H226">
        <f>Dataset_A!H226</f>
        <v>1</v>
      </c>
      <c r="I226">
        <f>Dataset_A!I226</f>
        <v>2</v>
      </c>
      <c r="J226" s="55">
        <f>Dataset_A!J226</f>
        <v>0.2</v>
      </c>
      <c r="K226">
        <f>Dataset_A!K226</f>
        <v>0.19700000000000001</v>
      </c>
      <c r="L226">
        <f>Dataset_A!L226</f>
        <v>0.4</v>
      </c>
      <c r="M226">
        <f>Dataset_A!M226</f>
        <v>0.22389999999999999</v>
      </c>
      <c r="N226">
        <f>Dataset_A!N226</f>
        <v>2</v>
      </c>
      <c r="O226">
        <f>Dataset_A!O226</f>
        <v>43</v>
      </c>
      <c r="P226">
        <f>Dataset_A!P226</f>
        <v>45</v>
      </c>
      <c r="Q226" t="str">
        <f t="shared" si="39"/>
        <v>REC-0225</v>
      </c>
      <c r="R226" s="62">
        <f t="shared" si="40"/>
        <v>40553.625</v>
      </c>
      <c r="S226" t="str">
        <f t="shared" si="41"/>
        <v>Jan</v>
      </c>
      <c r="T226" t="str">
        <f>INDEX(Lookups!$B$39:$B$45,MATCH(H226,Lookups!$A$39:$A$45,0))</f>
        <v>Mon</v>
      </c>
      <c r="U226" t="str">
        <f t="shared" si="42"/>
        <v>Weekday</v>
      </c>
      <c r="V226" t="str">
        <f t="shared" si="43"/>
        <v>Working Day</v>
      </c>
      <c r="W226" t="str">
        <f t="shared" si="44"/>
        <v>Spring</v>
      </c>
      <c r="X226" t="str">
        <f t="shared" si="45"/>
        <v>Cloudy/Mist</v>
      </c>
      <c r="Y226" t="str">
        <f t="shared" si="46"/>
        <v>Afternoon</v>
      </c>
      <c r="Z226" t="str">
        <f t="shared" si="47"/>
        <v>Mild</v>
      </c>
      <c r="AA226" t="str">
        <f t="shared" si="48"/>
        <v>Low</v>
      </c>
      <c r="AB226" t="str">
        <f t="shared" si="49"/>
        <v>Off-Peak</v>
      </c>
      <c r="AC226" s="63">
        <f t="shared" si="50"/>
        <v>4.4444444444444446E-2</v>
      </c>
      <c r="AD226" t="str">
        <f>IF(P226&gt;=Stats!$C$30,"High",IF(P226&lt;=Stats!$C$29,"Low","Normal"))</f>
        <v>Normal</v>
      </c>
      <c r="AE226">
        <f t="shared" si="51"/>
        <v>1</v>
      </c>
    </row>
    <row r="227" spans="1:31" x14ac:dyDescent="0.2">
      <c r="A227">
        <f>Dataset_A!A227</f>
        <v>226</v>
      </c>
      <c r="B227" s="61">
        <f>Dataset_A!B227</f>
        <v>40553</v>
      </c>
      <c r="C227">
        <f>Dataset_A!C227</f>
        <v>1</v>
      </c>
      <c r="D227">
        <f>Dataset_A!D227</f>
        <v>0</v>
      </c>
      <c r="E227">
        <f>Dataset_A!E227</f>
        <v>1</v>
      </c>
      <c r="F227">
        <f>Dataset_A!F227</f>
        <v>16</v>
      </c>
      <c r="G227" t="b">
        <f>Dataset_A!G227</f>
        <v>0</v>
      </c>
      <c r="H227">
        <f>Dataset_A!H227</f>
        <v>1</v>
      </c>
      <c r="I227">
        <f>Dataset_A!I227</f>
        <v>1</v>
      </c>
      <c r="J227" s="55">
        <f>Dataset_A!J227</f>
        <v>0.2</v>
      </c>
      <c r="K227">
        <f>Dataset_A!K227</f>
        <v>0.21210000000000001</v>
      </c>
      <c r="L227">
        <f>Dataset_A!L227</f>
        <v>0.4</v>
      </c>
      <c r="M227">
        <f>Dataset_A!M227</f>
        <v>0.1343</v>
      </c>
      <c r="N227">
        <f>Dataset_A!N227</f>
        <v>4</v>
      </c>
      <c r="O227">
        <f>Dataset_A!O227</f>
        <v>70</v>
      </c>
      <c r="P227">
        <f>Dataset_A!P227</f>
        <v>74</v>
      </c>
      <c r="Q227" t="str">
        <f t="shared" si="39"/>
        <v>REC-0226</v>
      </c>
      <c r="R227" s="62">
        <f t="shared" si="40"/>
        <v>40553.666666666664</v>
      </c>
      <c r="S227" t="str">
        <f t="shared" si="41"/>
        <v>Jan</v>
      </c>
      <c r="T227" t="str">
        <f>INDEX(Lookups!$B$39:$B$45,MATCH(H227,Lookups!$A$39:$A$45,0))</f>
        <v>Mon</v>
      </c>
      <c r="U227" t="str">
        <f t="shared" si="42"/>
        <v>Weekday</v>
      </c>
      <c r="V227" t="str">
        <f t="shared" si="43"/>
        <v>Working Day</v>
      </c>
      <c r="W227" t="str">
        <f t="shared" si="44"/>
        <v>Spring</v>
      </c>
      <c r="X227" t="str">
        <f t="shared" si="45"/>
        <v>Clear</v>
      </c>
      <c r="Y227" t="str">
        <f t="shared" si="46"/>
        <v>Afternoon</v>
      </c>
      <c r="Z227" t="str">
        <f t="shared" si="47"/>
        <v>Mild</v>
      </c>
      <c r="AA227" t="str">
        <f t="shared" si="48"/>
        <v>Low</v>
      </c>
      <c r="AB227" t="str">
        <f t="shared" si="49"/>
        <v>Peak</v>
      </c>
      <c r="AC227" s="63">
        <f t="shared" si="50"/>
        <v>5.4054054054054057E-2</v>
      </c>
      <c r="AD227" t="str">
        <f>IF(P227&gt;=Stats!$C$30,"High",IF(P227&lt;=Stats!$C$29,"Low","Normal"))</f>
        <v>Normal</v>
      </c>
      <c r="AE227">
        <f t="shared" si="51"/>
        <v>1</v>
      </c>
    </row>
    <row r="228" spans="1:31" x14ac:dyDescent="0.2">
      <c r="A228">
        <f>Dataset_A!A228</f>
        <v>227</v>
      </c>
      <c r="B228" s="61">
        <f>Dataset_A!B228</f>
        <v>40553</v>
      </c>
      <c r="C228">
        <f>Dataset_A!C228</f>
        <v>1</v>
      </c>
      <c r="D228">
        <f>Dataset_A!D228</f>
        <v>0</v>
      </c>
      <c r="E228">
        <f>Dataset_A!E228</f>
        <v>1</v>
      </c>
      <c r="F228">
        <f>Dataset_A!F228</f>
        <v>17</v>
      </c>
      <c r="G228" t="b">
        <f>Dataset_A!G228</f>
        <v>0</v>
      </c>
      <c r="H228">
        <f>Dataset_A!H228</f>
        <v>1</v>
      </c>
      <c r="I228">
        <f>Dataset_A!I228</f>
        <v>1</v>
      </c>
      <c r="J228" s="55">
        <f>Dataset_A!J228</f>
        <v>0.2</v>
      </c>
      <c r="K228">
        <f>Dataset_A!K228</f>
        <v>0.2273</v>
      </c>
      <c r="L228">
        <f>Dataset_A!L228</f>
        <v>0.4</v>
      </c>
      <c r="M228">
        <f>Dataset_A!M228</f>
        <v>0.1045</v>
      </c>
      <c r="N228">
        <f>Dataset_A!N228</f>
        <v>4</v>
      </c>
      <c r="O228">
        <f>Dataset_A!O228</f>
        <v>174</v>
      </c>
      <c r="P228">
        <f>Dataset_A!P228</f>
        <v>178</v>
      </c>
      <c r="Q228" t="str">
        <f t="shared" si="39"/>
        <v>REC-0227</v>
      </c>
      <c r="R228" s="62">
        <f t="shared" si="40"/>
        <v>40553.708333333336</v>
      </c>
      <c r="S228" t="str">
        <f t="shared" si="41"/>
        <v>Jan</v>
      </c>
      <c r="T228" t="str">
        <f>INDEX(Lookups!$B$39:$B$45,MATCH(H228,Lookups!$A$39:$A$45,0))</f>
        <v>Mon</v>
      </c>
      <c r="U228" t="str">
        <f t="shared" si="42"/>
        <v>Weekday</v>
      </c>
      <c r="V228" t="str">
        <f t="shared" si="43"/>
        <v>Working Day</v>
      </c>
      <c r="W228" t="str">
        <f t="shared" si="44"/>
        <v>Spring</v>
      </c>
      <c r="X228" t="str">
        <f t="shared" si="45"/>
        <v>Clear</v>
      </c>
      <c r="Y228" t="str">
        <f t="shared" si="46"/>
        <v>Evening</v>
      </c>
      <c r="Z228" t="str">
        <f t="shared" si="47"/>
        <v>Mild</v>
      </c>
      <c r="AA228" t="str">
        <f t="shared" si="48"/>
        <v>Low</v>
      </c>
      <c r="AB228" t="str">
        <f t="shared" si="49"/>
        <v>Peak</v>
      </c>
      <c r="AC228" s="63">
        <f t="shared" si="50"/>
        <v>2.247191011235955E-2</v>
      </c>
      <c r="AD228" t="str">
        <f>IF(P228&gt;=Stats!$C$30,"High",IF(P228&lt;=Stats!$C$29,"Low","Normal"))</f>
        <v>High</v>
      </c>
      <c r="AE228">
        <f t="shared" si="51"/>
        <v>1</v>
      </c>
    </row>
    <row r="229" spans="1:31" x14ac:dyDescent="0.2">
      <c r="A229">
        <f>Dataset_A!A229</f>
        <v>228</v>
      </c>
      <c r="B229" s="61">
        <f>Dataset_A!B229</f>
        <v>40553</v>
      </c>
      <c r="C229">
        <f>Dataset_A!C229</f>
        <v>1</v>
      </c>
      <c r="D229">
        <f>Dataset_A!D229</f>
        <v>0</v>
      </c>
      <c r="E229">
        <f>Dataset_A!E229</f>
        <v>1</v>
      </c>
      <c r="F229">
        <f>Dataset_A!F229</f>
        <v>18</v>
      </c>
      <c r="G229" t="b">
        <f>Dataset_A!G229</f>
        <v>0</v>
      </c>
      <c r="H229">
        <f>Dataset_A!H229</f>
        <v>1</v>
      </c>
      <c r="I229">
        <f>Dataset_A!I229</f>
        <v>1</v>
      </c>
      <c r="J229" s="55">
        <f>Dataset_A!J229</f>
        <v>0.2</v>
      </c>
      <c r="K229">
        <f>Dataset_A!K229</f>
        <v>0.19700000000000001</v>
      </c>
      <c r="L229">
        <f>Dataset_A!L229</f>
        <v>0.4</v>
      </c>
      <c r="M229">
        <f>Dataset_A!M229</f>
        <v>0.22389999999999999</v>
      </c>
      <c r="N229">
        <f>Dataset_A!N229</f>
        <v>1</v>
      </c>
      <c r="O229">
        <f>Dataset_A!O229</f>
        <v>154</v>
      </c>
      <c r="P229">
        <f>Dataset_A!P229</f>
        <v>155</v>
      </c>
      <c r="Q229" t="str">
        <f t="shared" si="39"/>
        <v>REC-0228</v>
      </c>
      <c r="R229" s="62">
        <f t="shared" si="40"/>
        <v>40553.75</v>
      </c>
      <c r="S229" t="str">
        <f t="shared" si="41"/>
        <v>Jan</v>
      </c>
      <c r="T229" t="str">
        <f>INDEX(Lookups!$B$39:$B$45,MATCH(H229,Lookups!$A$39:$A$45,0))</f>
        <v>Mon</v>
      </c>
      <c r="U229" t="str">
        <f t="shared" si="42"/>
        <v>Weekday</v>
      </c>
      <c r="V229" t="str">
        <f t="shared" si="43"/>
        <v>Working Day</v>
      </c>
      <c r="W229" t="str">
        <f t="shared" si="44"/>
        <v>Spring</v>
      </c>
      <c r="X229" t="str">
        <f t="shared" si="45"/>
        <v>Clear</v>
      </c>
      <c r="Y229" t="str">
        <f t="shared" si="46"/>
        <v>Evening</v>
      </c>
      <c r="Z229" t="str">
        <f t="shared" si="47"/>
        <v>Mild</v>
      </c>
      <c r="AA229" t="str">
        <f t="shared" si="48"/>
        <v>Low</v>
      </c>
      <c r="AB229" t="str">
        <f t="shared" si="49"/>
        <v>Peak</v>
      </c>
      <c r="AC229" s="63">
        <f t="shared" si="50"/>
        <v>6.4516129032258064E-3</v>
      </c>
      <c r="AD229" t="str">
        <f>IF(P229&gt;=Stats!$C$30,"High",IF(P229&lt;=Stats!$C$29,"Low","Normal"))</f>
        <v>High</v>
      </c>
      <c r="AE229">
        <f t="shared" si="51"/>
        <v>1</v>
      </c>
    </row>
    <row r="230" spans="1:31" x14ac:dyDescent="0.2">
      <c r="A230">
        <f>Dataset_A!A230</f>
        <v>229</v>
      </c>
      <c r="B230" s="61">
        <f>Dataset_A!B230</f>
        <v>40553</v>
      </c>
      <c r="C230">
        <f>Dataset_A!C230</f>
        <v>1</v>
      </c>
      <c r="D230">
        <f>Dataset_A!D230</f>
        <v>0</v>
      </c>
      <c r="E230">
        <f>Dataset_A!E230</f>
        <v>1</v>
      </c>
      <c r="F230">
        <f>Dataset_A!F230</f>
        <v>19</v>
      </c>
      <c r="G230" t="b">
        <f>Dataset_A!G230</f>
        <v>0</v>
      </c>
      <c r="H230">
        <f>Dataset_A!H230</f>
        <v>1</v>
      </c>
      <c r="I230">
        <f>Dataset_A!I230</f>
        <v>1</v>
      </c>
      <c r="J230" s="55">
        <f>Dataset_A!J230</f>
        <v>0.16</v>
      </c>
      <c r="K230">
        <f>Dataset_A!K230</f>
        <v>0.16669999999999999</v>
      </c>
      <c r="L230">
        <f>Dataset_A!L230</f>
        <v>0.47</v>
      </c>
      <c r="M230">
        <f>Dataset_A!M230</f>
        <v>0.16420000000000001</v>
      </c>
      <c r="N230">
        <f>Dataset_A!N230</f>
        <v>3</v>
      </c>
      <c r="O230">
        <f>Dataset_A!O230</f>
        <v>92</v>
      </c>
      <c r="P230">
        <f>Dataset_A!P230</f>
        <v>95</v>
      </c>
      <c r="Q230" t="str">
        <f t="shared" si="39"/>
        <v>REC-0229</v>
      </c>
      <c r="R230" s="62">
        <f t="shared" si="40"/>
        <v>40553.791666666664</v>
      </c>
      <c r="S230" t="str">
        <f t="shared" si="41"/>
        <v>Jan</v>
      </c>
      <c r="T230" t="str">
        <f>INDEX(Lookups!$B$39:$B$45,MATCH(H230,Lookups!$A$39:$A$45,0))</f>
        <v>Mon</v>
      </c>
      <c r="U230" t="str">
        <f t="shared" si="42"/>
        <v>Weekday</v>
      </c>
      <c r="V230" t="str">
        <f t="shared" si="43"/>
        <v>Working Day</v>
      </c>
      <c r="W230" t="str">
        <f t="shared" si="44"/>
        <v>Spring</v>
      </c>
      <c r="X230" t="str">
        <f t="shared" si="45"/>
        <v>Clear</v>
      </c>
      <c r="Y230" t="str">
        <f t="shared" si="46"/>
        <v>Evening</v>
      </c>
      <c r="Z230" t="str">
        <f t="shared" si="47"/>
        <v>Cold</v>
      </c>
      <c r="AA230" t="str">
        <f t="shared" si="48"/>
        <v>Low</v>
      </c>
      <c r="AB230" t="str">
        <f t="shared" si="49"/>
        <v>Peak</v>
      </c>
      <c r="AC230" s="63">
        <f t="shared" si="50"/>
        <v>3.1578947368421054E-2</v>
      </c>
      <c r="AD230" t="str">
        <f>IF(P230&gt;=Stats!$C$30,"High",IF(P230&lt;=Stats!$C$29,"Low","Normal"))</f>
        <v>High</v>
      </c>
      <c r="AE230">
        <f t="shared" si="51"/>
        <v>1</v>
      </c>
    </row>
    <row r="231" spans="1:31" x14ac:dyDescent="0.2">
      <c r="A231">
        <f>Dataset_A!A231</f>
        <v>230</v>
      </c>
      <c r="B231" s="61">
        <f>Dataset_A!B231</f>
        <v>40553</v>
      </c>
      <c r="C231">
        <f>Dataset_A!C231</f>
        <v>1</v>
      </c>
      <c r="D231">
        <f>Dataset_A!D231</f>
        <v>0</v>
      </c>
      <c r="E231">
        <f>Dataset_A!E231</f>
        <v>1</v>
      </c>
      <c r="F231">
        <f>Dataset_A!F231</f>
        <v>20</v>
      </c>
      <c r="G231" t="b">
        <f>Dataset_A!G231</f>
        <v>0</v>
      </c>
      <c r="H231">
        <f>Dataset_A!H231</f>
        <v>1</v>
      </c>
      <c r="I231">
        <f>Dataset_A!I231</f>
        <v>1</v>
      </c>
      <c r="J231" s="55">
        <f>Dataset_A!J231</f>
        <v>0.16</v>
      </c>
      <c r="K231">
        <f>Dataset_A!K231</f>
        <v>0.16669999999999999</v>
      </c>
      <c r="L231">
        <f>Dataset_A!L231</f>
        <v>0.5</v>
      </c>
      <c r="M231">
        <f>Dataset_A!M231</f>
        <v>0.16420000000000001</v>
      </c>
      <c r="N231">
        <f>Dataset_A!N231</f>
        <v>1</v>
      </c>
      <c r="O231">
        <f>Dataset_A!O231</f>
        <v>73</v>
      </c>
      <c r="P231">
        <f>Dataset_A!P231</f>
        <v>74</v>
      </c>
      <c r="Q231" t="str">
        <f t="shared" si="39"/>
        <v>REC-0230</v>
      </c>
      <c r="R231" s="62">
        <f t="shared" si="40"/>
        <v>40553.833333333336</v>
      </c>
      <c r="S231" t="str">
        <f t="shared" si="41"/>
        <v>Jan</v>
      </c>
      <c r="T231" t="str">
        <f>INDEX(Lookups!$B$39:$B$45,MATCH(H231,Lookups!$A$39:$A$45,0))</f>
        <v>Mon</v>
      </c>
      <c r="U231" t="str">
        <f t="shared" si="42"/>
        <v>Weekday</v>
      </c>
      <c r="V231" t="str">
        <f t="shared" si="43"/>
        <v>Working Day</v>
      </c>
      <c r="W231" t="str">
        <f t="shared" si="44"/>
        <v>Spring</v>
      </c>
      <c r="X231" t="str">
        <f t="shared" si="45"/>
        <v>Clear</v>
      </c>
      <c r="Y231" t="str">
        <f t="shared" si="46"/>
        <v>Evening</v>
      </c>
      <c r="Z231" t="str">
        <f t="shared" si="47"/>
        <v>Cold</v>
      </c>
      <c r="AA231" t="str">
        <f t="shared" si="48"/>
        <v>Medium</v>
      </c>
      <c r="AB231" t="str">
        <f t="shared" si="49"/>
        <v>Off-Peak</v>
      </c>
      <c r="AC231" s="63">
        <f t="shared" si="50"/>
        <v>1.3513513513513514E-2</v>
      </c>
      <c r="AD231" t="str">
        <f>IF(P231&gt;=Stats!$C$30,"High",IF(P231&lt;=Stats!$C$29,"Low","Normal"))</f>
        <v>Normal</v>
      </c>
      <c r="AE231">
        <f t="shared" si="51"/>
        <v>1</v>
      </c>
    </row>
    <row r="232" spans="1:31" x14ac:dyDescent="0.2">
      <c r="A232">
        <f>Dataset_A!A232</f>
        <v>231</v>
      </c>
      <c r="B232" s="61">
        <f>Dataset_A!B232</f>
        <v>40553</v>
      </c>
      <c r="C232">
        <f>Dataset_A!C232</f>
        <v>1</v>
      </c>
      <c r="D232">
        <f>Dataset_A!D232</f>
        <v>0</v>
      </c>
      <c r="E232">
        <f>Dataset_A!E232</f>
        <v>1</v>
      </c>
      <c r="F232">
        <f>Dataset_A!F232</f>
        <v>21</v>
      </c>
      <c r="G232" t="b">
        <f>Dataset_A!G232</f>
        <v>0</v>
      </c>
      <c r="H232">
        <f>Dataset_A!H232</f>
        <v>1</v>
      </c>
      <c r="I232">
        <f>Dataset_A!I232</f>
        <v>1</v>
      </c>
      <c r="J232" s="55">
        <f>Dataset_A!J232</f>
        <v>0.14000000000000001</v>
      </c>
      <c r="K232">
        <f>Dataset_A!K232</f>
        <v>0.13639999999999999</v>
      </c>
      <c r="L232">
        <f>Dataset_A!L232</f>
        <v>0.59</v>
      </c>
      <c r="M232">
        <f>Dataset_A!M232</f>
        <v>0.19400000000000001</v>
      </c>
      <c r="N232">
        <f>Dataset_A!N232</f>
        <v>1</v>
      </c>
      <c r="O232">
        <f>Dataset_A!O232</f>
        <v>37</v>
      </c>
      <c r="P232">
        <f>Dataset_A!P232</f>
        <v>38</v>
      </c>
      <c r="Q232" t="str">
        <f t="shared" si="39"/>
        <v>REC-0231</v>
      </c>
      <c r="R232" s="62">
        <f t="shared" si="40"/>
        <v>40553.875</v>
      </c>
      <c r="S232" t="str">
        <f t="shared" si="41"/>
        <v>Jan</v>
      </c>
      <c r="T232" t="str">
        <f>INDEX(Lookups!$B$39:$B$45,MATCH(H232,Lookups!$A$39:$A$45,0))</f>
        <v>Mon</v>
      </c>
      <c r="U232" t="str">
        <f t="shared" si="42"/>
        <v>Weekday</v>
      </c>
      <c r="V232" t="str">
        <f t="shared" si="43"/>
        <v>Working Day</v>
      </c>
      <c r="W232" t="str">
        <f t="shared" si="44"/>
        <v>Spring</v>
      </c>
      <c r="X232" t="str">
        <f t="shared" si="45"/>
        <v>Clear</v>
      </c>
      <c r="Y232" t="str">
        <f t="shared" si="46"/>
        <v>Late Evening</v>
      </c>
      <c r="Z232" t="str">
        <f t="shared" si="47"/>
        <v>Cold</v>
      </c>
      <c r="AA232" t="str">
        <f t="shared" si="48"/>
        <v>Medium</v>
      </c>
      <c r="AB232" t="str">
        <f t="shared" si="49"/>
        <v>Off-Peak</v>
      </c>
      <c r="AC232" s="63">
        <f t="shared" si="50"/>
        <v>2.6315789473684209E-2</v>
      </c>
      <c r="AD232" t="str">
        <f>IF(P232&gt;=Stats!$C$30,"High",IF(P232&lt;=Stats!$C$29,"Low","Normal"))</f>
        <v>Normal</v>
      </c>
      <c r="AE232">
        <f t="shared" si="51"/>
        <v>1</v>
      </c>
    </row>
    <row r="233" spans="1:31" x14ac:dyDescent="0.2">
      <c r="A233">
        <f>Dataset_A!A233</f>
        <v>232</v>
      </c>
      <c r="B233" s="61">
        <f>Dataset_A!B233</f>
        <v>40553</v>
      </c>
      <c r="C233">
        <f>Dataset_A!C233</f>
        <v>1</v>
      </c>
      <c r="D233">
        <f>Dataset_A!D233</f>
        <v>0</v>
      </c>
      <c r="E233">
        <f>Dataset_A!E233</f>
        <v>1</v>
      </c>
      <c r="F233">
        <f>Dataset_A!F233</f>
        <v>22</v>
      </c>
      <c r="G233" t="b">
        <f>Dataset_A!G233</f>
        <v>0</v>
      </c>
      <c r="H233">
        <f>Dataset_A!H233</f>
        <v>1</v>
      </c>
      <c r="I233">
        <f>Dataset_A!I233</f>
        <v>1</v>
      </c>
      <c r="J233" s="55">
        <f>Dataset_A!J233</f>
        <v>0.14000000000000001</v>
      </c>
      <c r="K233">
        <f>Dataset_A!K233</f>
        <v>0.1515</v>
      </c>
      <c r="L233">
        <f>Dataset_A!L233</f>
        <v>0.59</v>
      </c>
      <c r="M233">
        <f>Dataset_A!M233</f>
        <v>0.16420000000000001</v>
      </c>
      <c r="N233">
        <f>Dataset_A!N233</f>
        <v>2</v>
      </c>
      <c r="O233">
        <f>Dataset_A!O233</f>
        <v>22</v>
      </c>
      <c r="P233">
        <f>Dataset_A!P233</f>
        <v>24</v>
      </c>
      <c r="Q233" t="str">
        <f t="shared" si="39"/>
        <v>REC-0232</v>
      </c>
      <c r="R233" s="62">
        <f t="shared" si="40"/>
        <v>40553.916666666664</v>
      </c>
      <c r="S233" t="str">
        <f t="shared" si="41"/>
        <v>Jan</v>
      </c>
      <c r="T233" t="str">
        <f>INDEX(Lookups!$B$39:$B$45,MATCH(H233,Lookups!$A$39:$A$45,0))</f>
        <v>Mon</v>
      </c>
      <c r="U233" t="str">
        <f t="shared" si="42"/>
        <v>Weekday</v>
      </c>
      <c r="V233" t="str">
        <f t="shared" si="43"/>
        <v>Working Day</v>
      </c>
      <c r="W233" t="str">
        <f t="shared" si="44"/>
        <v>Spring</v>
      </c>
      <c r="X233" t="str">
        <f t="shared" si="45"/>
        <v>Clear</v>
      </c>
      <c r="Y233" t="str">
        <f t="shared" si="46"/>
        <v>Late Evening</v>
      </c>
      <c r="Z233" t="str">
        <f t="shared" si="47"/>
        <v>Cold</v>
      </c>
      <c r="AA233" t="str">
        <f t="shared" si="48"/>
        <v>Medium</v>
      </c>
      <c r="AB233" t="str">
        <f t="shared" si="49"/>
        <v>Off-Peak</v>
      </c>
      <c r="AC233" s="63">
        <f t="shared" si="50"/>
        <v>8.3333333333333329E-2</v>
      </c>
      <c r="AD233" t="str">
        <f>IF(P233&gt;=Stats!$C$30,"High",IF(P233&lt;=Stats!$C$29,"Low","Normal"))</f>
        <v>Normal</v>
      </c>
      <c r="AE233">
        <f t="shared" si="51"/>
        <v>1</v>
      </c>
    </row>
    <row r="234" spans="1:31" x14ac:dyDescent="0.2">
      <c r="A234">
        <f>Dataset_A!A234</f>
        <v>233</v>
      </c>
      <c r="B234" s="61">
        <f>Dataset_A!B234</f>
        <v>40553</v>
      </c>
      <c r="C234">
        <f>Dataset_A!C234</f>
        <v>1</v>
      </c>
      <c r="D234">
        <f>Dataset_A!D234</f>
        <v>0</v>
      </c>
      <c r="E234">
        <f>Dataset_A!E234</f>
        <v>1</v>
      </c>
      <c r="F234">
        <f>Dataset_A!F234</f>
        <v>23</v>
      </c>
      <c r="G234" t="b">
        <f>Dataset_A!G234</f>
        <v>0</v>
      </c>
      <c r="H234">
        <f>Dataset_A!H234</f>
        <v>1</v>
      </c>
      <c r="I234">
        <f>Dataset_A!I234</f>
        <v>1</v>
      </c>
      <c r="J234" s="55">
        <f>Dataset_A!J234</f>
        <v>0.14000000000000001</v>
      </c>
      <c r="K234">
        <f>Dataset_A!K234</f>
        <v>0.1515</v>
      </c>
      <c r="L234">
        <f>Dataset_A!L234</f>
        <v>0.59</v>
      </c>
      <c r="M234">
        <f>Dataset_A!M234</f>
        <v>0.16420000000000001</v>
      </c>
      <c r="N234">
        <f>Dataset_A!N234</f>
        <v>0</v>
      </c>
      <c r="O234">
        <f>Dataset_A!O234</f>
        <v>18</v>
      </c>
      <c r="P234">
        <f>Dataset_A!P234</f>
        <v>18</v>
      </c>
      <c r="Q234" t="str">
        <f t="shared" si="39"/>
        <v>REC-0233</v>
      </c>
      <c r="R234" s="62">
        <f t="shared" si="40"/>
        <v>40553.958333333336</v>
      </c>
      <c r="S234" t="str">
        <f t="shared" si="41"/>
        <v>Jan</v>
      </c>
      <c r="T234" t="str">
        <f>INDEX(Lookups!$B$39:$B$45,MATCH(H234,Lookups!$A$39:$A$45,0))</f>
        <v>Mon</v>
      </c>
      <c r="U234" t="str">
        <f t="shared" si="42"/>
        <v>Weekday</v>
      </c>
      <c r="V234" t="str">
        <f t="shared" si="43"/>
        <v>Working Day</v>
      </c>
      <c r="W234" t="str">
        <f t="shared" si="44"/>
        <v>Spring</v>
      </c>
      <c r="X234" t="str">
        <f t="shared" si="45"/>
        <v>Clear</v>
      </c>
      <c r="Y234" t="str">
        <f t="shared" si="46"/>
        <v>Late Evening</v>
      </c>
      <c r="Z234" t="str">
        <f t="shared" si="47"/>
        <v>Cold</v>
      </c>
      <c r="AA234" t="str">
        <f t="shared" si="48"/>
        <v>Medium</v>
      </c>
      <c r="AB234" t="str">
        <f t="shared" si="49"/>
        <v>Off-Peak</v>
      </c>
      <c r="AC234" s="63">
        <f t="shared" si="50"/>
        <v>0</v>
      </c>
      <c r="AD234" t="str">
        <f>IF(P234&gt;=Stats!$C$30,"High",IF(P234&lt;=Stats!$C$29,"Low","Normal"))</f>
        <v>Normal</v>
      </c>
      <c r="AE234">
        <f t="shared" si="51"/>
        <v>1</v>
      </c>
    </row>
    <row r="235" spans="1:31" x14ac:dyDescent="0.2">
      <c r="A235">
        <f>Dataset_A!A235</f>
        <v>234</v>
      </c>
      <c r="B235" s="61">
        <f>Dataset_A!B235</f>
        <v>40554</v>
      </c>
      <c r="C235">
        <f>Dataset_A!C235</f>
        <v>1</v>
      </c>
      <c r="D235">
        <f>Dataset_A!D235</f>
        <v>0</v>
      </c>
      <c r="E235">
        <f>Dataset_A!E235</f>
        <v>1</v>
      </c>
      <c r="F235">
        <f>Dataset_A!F235</f>
        <v>0</v>
      </c>
      <c r="G235" t="b">
        <f>Dataset_A!G235</f>
        <v>0</v>
      </c>
      <c r="H235">
        <f>Dataset_A!H235</f>
        <v>2</v>
      </c>
      <c r="I235">
        <f>Dataset_A!I235</f>
        <v>1</v>
      </c>
      <c r="J235" s="55">
        <f>Dataset_A!J235</f>
        <v>0.14000000000000001</v>
      </c>
      <c r="K235">
        <f>Dataset_A!K235</f>
        <v>0.16669999999999999</v>
      </c>
      <c r="L235">
        <f>Dataset_A!L235</f>
        <v>0.59</v>
      </c>
      <c r="M235">
        <f>Dataset_A!M235</f>
        <v>0.1045</v>
      </c>
      <c r="N235">
        <f>Dataset_A!N235</f>
        <v>2</v>
      </c>
      <c r="O235">
        <f>Dataset_A!O235</f>
        <v>10</v>
      </c>
      <c r="P235">
        <f>Dataset_A!P235</f>
        <v>12</v>
      </c>
      <c r="Q235" t="str">
        <f t="shared" si="39"/>
        <v>REC-0234</v>
      </c>
      <c r="R235" s="62">
        <f t="shared" si="40"/>
        <v>40554</v>
      </c>
      <c r="S235" t="str">
        <f t="shared" si="41"/>
        <v>Jan</v>
      </c>
      <c r="T235" t="str">
        <f>INDEX(Lookups!$B$39:$B$45,MATCH(H235,Lookups!$A$39:$A$45,0))</f>
        <v>Tue</v>
      </c>
      <c r="U235" t="str">
        <f t="shared" si="42"/>
        <v>Weekday</v>
      </c>
      <c r="V235" t="str">
        <f t="shared" si="43"/>
        <v>Working Day</v>
      </c>
      <c r="W235" t="str">
        <f t="shared" si="44"/>
        <v>Spring</v>
      </c>
      <c r="X235" t="str">
        <f t="shared" si="45"/>
        <v>Clear</v>
      </c>
      <c r="Y235" t="str">
        <f t="shared" si="46"/>
        <v>Night</v>
      </c>
      <c r="Z235" t="str">
        <f t="shared" si="47"/>
        <v>Cold</v>
      </c>
      <c r="AA235" t="str">
        <f t="shared" si="48"/>
        <v>Medium</v>
      </c>
      <c r="AB235" t="str">
        <f t="shared" si="49"/>
        <v>Off-Peak</v>
      </c>
      <c r="AC235" s="63">
        <f t="shared" si="50"/>
        <v>0.16666666666666666</v>
      </c>
      <c r="AD235" t="str">
        <f>IF(P235&gt;=Stats!$C$30,"High",IF(P235&lt;=Stats!$C$29,"Low","Normal"))</f>
        <v>Low</v>
      </c>
      <c r="AE235">
        <f t="shared" si="51"/>
        <v>1</v>
      </c>
    </row>
    <row r="236" spans="1:31" x14ac:dyDescent="0.2">
      <c r="A236">
        <f>Dataset_A!A236</f>
        <v>235</v>
      </c>
      <c r="B236" s="61">
        <f>Dataset_A!B236</f>
        <v>40554</v>
      </c>
      <c r="C236">
        <f>Dataset_A!C236</f>
        <v>1</v>
      </c>
      <c r="D236">
        <f>Dataset_A!D236</f>
        <v>0</v>
      </c>
      <c r="E236">
        <f>Dataset_A!E236</f>
        <v>1</v>
      </c>
      <c r="F236">
        <f>Dataset_A!F236</f>
        <v>1</v>
      </c>
      <c r="G236" t="b">
        <f>Dataset_A!G236</f>
        <v>0</v>
      </c>
      <c r="H236">
        <f>Dataset_A!H236</f>
        <v>2</v>
      </c>
      <c r="I236">
        <f>Dataset_A!I236</f>
        <v>1</v>
      </c>
      <c r="J236" s="55">
        <f>Dataset_A!J236</f>
        <v>0.14000000000000001</v>
      </c>
      <c r="K236">
        <f>Dataset_A!K236</f>
        <v>0.1515</v>
      </c>
      <c r="L236">
        <f>Dataset_A!L236</f>
        <v>0.59</v>
      </c>
      <c r="M236">
        <f>Dataset_A!M236</f>
        <v>0.16420000000000001</v>
      </c>
      <c r="N236">
        <f>Dataset_A!N236</f>
        <v>0</v>
      </c>
      <c r="O236">
        <f>Dataset_A!O236</f>
        <v>3</v>
      </c>
      <c r="P236">
        <f>Dataset_A!P236</f>
        <v>3</v>
      </c>
      <c r="Q236" t="str">
        <f t="shared" si="39"/>
        <v>REC-0235</v>
      </c>
      <c r="R236" s="62">
        <f t="shared" si="40"/>
        <v>40554.041666666664</v>
      </c>
      <c r="S236" t="str">
        <f t="shared" si="41"/>
        <v>Jan</v>
      </c>
      <c r="T236" t="str">
        <f>INDEX(Lookups!$B$39:$B$45,MATCH(H236,Lookups!$A$39:$A$45,0))</f>
        <v>Tue</v>
      </c>
      <c r="U236" t="str">
        <f t="shared" si="42"/>
        <v>Weekday</v>
      </c>
      <c r="V236" t="str">
        <f t="shared" si="43"/>
        <v>Working Day</v>
      </c>
      <c r="W236" t="str">
        <f t="shared" si="44"/>
        <v>Spring</v>
      </c>
      <c r="X236" t="str">
        <f t="shared" si="45"/>
        <v>Clear</v>
      </c>
      <c r="Y236" t="str">
        <f t="shared" si="46"/>
        <v>Night</v>
      </c>
      <c r="Z236" t="str">
        <f t="shared" si="47"/>
        <v>Cold</v>
      </c>
      <c r="AA236" t="str">
        <f t="shared" si="48"/>
        <v>Medium</v>
      </c>
      <c r="AB236" t="str">
        <f t="shared" si="49"/>
        <v>Off-Peak</v>
      </c>
      <c r="AC236" s="63">
        <f t="shared" si="50"/>
        <v>0</v>
      </c>
      <c r="AD236" t="str">
        <f>IF(P236&gt;=Stats!$C$30,"High",IF(P236&lt;=Stats!$C$29,"Low","Normal"))</f>
        <v>Low</v>
      </c>
      <c r="AE236">
        <f t="shared" si="51"/>
        <v>1</v>
      </c>
    </row>
    <row r="237" spans="1:31" x14ac:dyDescent="0.2">
      <c r="A237">
        <f>Dataset_A!A237</f>
        <v>236</v>
      </c>
      <c r="B237" s="61">
        <f>Dataset_A!B237</f>
        <v>40554</v>
      </c>
      <c r="C237">
        <f>Dataset_A!C237</f>
        <v>1</v>
      </c>
      <c r="D237">
        <f>Dataset_A!D237</f>
        <v>0</v>
      </c>
      <c r="E237">
        <f>Dataset_A!E237</f>
        <v>1</v>
      </c>
      <c r="F237">
        <f>Dataset_A!F237</f>
        <v>2</v>
      </c>
      <c r="G237" t="b">
        <f>Dataset_A!G237</f>
        <v>0</v>
      </c>
      <c r="H237">
        <f>Dataset_A!H237</f>
        <v>2</v>
      </c>
      <c r="I237">
        <f>Dataset_A!I237</f>
        <v>2</v>
      </c>
      <c r="J237" s="55">
        <f>Dataset_A!J237</f>
        <v>0.16</v>
      </c>
      <c r="K237">
        <f>Dataset_A!K237</f>
        <v>0.1515</v>
      </c>
      <c r="L237">
        <f>Dataset_A!L237</f>
        <v>0.55000000000000004</v>
      </c>
      <c r="M237">
        <f>Dataset_A!M237</f>
        <v>0.19400000000000001</v>
      </c>
      <c r="N237">
        <f>Dataset_A!N237</f>
        <v>0</v>
      </c>
      <c r="O237">
        <f>Dataset_A!O237</f>
        <v>3</v>
      </c>
      <c r="P237">
        <f>Dataset_A!P237</f>
        <v>3</v>
      </c>
      <c r="Q237" t="str">
        <f t="shared" si="39"/>
        <v>REC-0236</v>
      </c>
      <c r="R237" s="62">
        <f t="shared" si="40"/>
        <v>40554.083333333336</v>
      </c>
      <c r="S237" t="str">
        <f t="shared" si="41"/>
        <v>Jan</v>
      </c>
      <c r="T237" t="str">
        <f>INDEX(Lookups!$B$39:$B$45,MATCH(H237,Lookups!$A$39:$A$45,0))</f>
        <v>Tue</v>
      </c>
      <c r="U237" t="str">
        <f t="shared" si="42"/>
        <v>Weekday</v>
      </c>
      <c r="V237" t="str">
        <f t="shared" si="43"/>
        <v>Working Day</v>
      </c>
      <c r="W237" t="str">
        <f t="shared" si="44"/>
        <v>Spring</v>
      </c>
      <c r="X237" t="str">
        <f t="shared" si="45"/>
        <v>Cloudy/Mist</v>
      </c>
      <c r="Y237" t="str">
        <f t="shared" si="46"/>
        <v>Night</v>
      </c>
      <c r="Z237" t="str">
        <f t="shared" si="47"/>
        <v>Cold</v>
      </c>
      <c r="AA237" t="str">
        <f t="shared" si="48"/>
        <v>Medium</v>
      </c>
      <c r="AB237" t="str">
        <f t="shared" si="49"/>
        <v>Off-Peak</v>
      </c>
      <c r="AC237" s="63">
        <f t="shared" si="50"/>
        <v>0</v>
      </c>
      <c r="AD237" t="str">
        <f>IF(P237&gt;=Stats!$C$30,"High",IF(P237&lt;=Stats!$C$29,"Low","Normal"))</f>
        <v>Low</v>
      </c>
      <c r="AE237">
        <f t="shared" si="51"/>
        <v>1</v>
      </c>
    </row>
    <row r="238" spans="1:31" x14ac:dyDescent="0.2">
      <c r="A238">
        <f>Dataset_A!A238</f>
        <v>237</v>
      </c>
      <c r="B238" s="61">
        <f>Dataset_A!B238</f>
        <v>40554</v>
      </c>
      <c r="C238">
        <f>Dataset_A!C238</f>
        <v>1</v>
      </c>
      <c r="D238">
        <f>Dataset_A!D238</f>
        <v>0</v>
      </c>
      <c r="E238">
        <f>Dataset_A!E238</f>
        <v>1</v>
      </c>
      <c r="F238">
        <f>Dataset_A!F238</f>
        <v>5</v>
      </c>
      <c r="G238" t="b">
        <f>Dataset_A!G238</f>
        <v>0</v>
      </c>
      <c r="H238">
        <f>Dataset_A!H238</f>
        <v>2</v>
      </c>
      <c r="I238">
        <f>Dataset_A!I238</f>
        <v>2</v>
      </c>
      <c r="J238" s="55">
        <f>Dataset_A!J238</f>
        <v>0.16</v>
      </c>
      <c r="K238">
        <f>Dataset_A!K238</f>
        <v>0.18179999999999999</v>
      </c>
      <c r="L238">
        <f>Dataset_A!L238</f>
        <v>0.55000000000000004</v>
      </c>
      <c r="M238">
        <f>Dataset_A!M238</f>
        <v>0.1343</v>
      </c>
      <c r="N238">
        <f>Dataset_A!N238</f>
        <v>0</v>
      </c>
      <c r="O238">
        <f>Dataset_A!O238</f>
        <v>6</v>
      </c>
      <c r="P238">
        <f>Dataset_A!P238</f>
        <v>6</v>
      </c>
      <c r="Q238" t="str">
        <f t="shared" si="39"/>
        <v>REC-0237</v>
      </c>
      <c r="R238" s="62">
        <f t="shared" si="40"/>
        <v>40554.208333333336</v>
      </c>
      <c r="S238" t="str">
        <f t="shared" si="41"/>
        <v>Jan</v>
      </c>
      <c r="T238" t="str">
        <f>INDEX(Lookups!$B$39:$B$45,MATCH(H238,Lookups!$A$39:$A$45,0))</f>
        <v>Tue</v>
      </c>
      <c r="U238" t="str">
        <f t="shared" si="42"/>
        <v>Weekday</v>
      </c>
      <c r="V238" t="str">
        <f t="shared" si="43"/>
        <v>Working Day</v>
      </c>
      <c r="W238" t="str">
        <f t="shared" si="44"/>
        <v>Spring</v>
      </c>
      <c r="X238" t="str">
        <f t="shared" si="45"/>
        <v>Cloudy/Mist</v>
      </c>
      <c r="Y238" t="str">
        <f t="shared" si="46"/>
        <v>Night</v>
      </c>
      <c r="Z238" t="str">
        <f t="shared" si="47"/>
        <v>Cold</v>
      </c>
      <c r="AA238" t="str">
        <f t="shared" si="48"/>
        <v>Medium</v>
      </c>
      <c r="AB238" t="str">
        <f t="shared" si="49"/>
        <v>Off-Peak</v>
      </c>
      <c r="AC238" s="63">
        <f t="shared" si="50"/>
        <v>0</v>
      </c>
      <c r="AD238" t="str">
        <f>IF(P238&gt;=Stats!$C$30,"High",IF(P238&lt;=Stats!$C$29,"Low","Normal"))</f>
        <v>Low</v>
      </c>
      <c r="AE238">
        <f t="shared" si="51"/>
        <v>1</v>
      </c>
    </row>
    <row r="239" spans="1:31" x14ac:dyDescent="0.2">
      <c r="A239">
        <f>Dataset_A!A239</f>
        <v>238</v>
      </c>
      <c r="B239" s="61">
        <f>Dataset_A!B239</f>
        <v>40554</v>
      </c>
      <c r="C239">
        <f>Dataset_A!C239</f>
        <v>1</v>
      </c>
      <c r="D239">
        <f>Dataset_A!D239</f>
        <v>0</v>
      </c>
      <c r="E239">
        <f>Dataset_A!E239</f>
        <v>1</v>
      </c>
      <c r="F239">
        <f>Dataset_A!F239</f>
        <v>6</v>
      </c>
      <c r="G239" t="b">
        <f>Dataset_A!G239</f>
        <v>0</v>
      </c>
      <c r="H239">
        <f>Dataset_A!H239</f>
        <v>2</v>
      </c>
      <c r="I239">
        <f>Dataset_A!I239</f>
        <v>2</v>
      </c>
      <c r="J239" s="55">
        <f>Dataset_A!J239</f>
        <v>0.16</v>
      </c>
      <c r="K239">
        <f>Dataset_A!K239</f>
        <v>0.18179999999999999</v>
      </c>
      <c r="L239">
        <f>Dataset_A!L239</f>
        <v>0.55000000000000004</v>
      </c>
      <c r="M239">
        <f>Dataset_A!M239</f>
        <v>0.1343</v>
      </c>
      <c r="N239">
        <f>Dataset_A!N239</f>
        <v>0</v>
      </c>
      <c r="O239">
        <f>Dataset_A!O239</f>
        <v>27</v>
      </c>
      <c r="P239">
        <f>Dataset_A!P239</f>
        <v>27</v>
      </c>
      <c r="Q239" t="str">
        <f t="shared" si="39"/>
        <v>REC-0238</v>
      </c>
      <c r="R239" s="62">
        <f t="shared" si="40"/>
        <v>40554.25</v>
      </c>
      <c r="S239" t="str">
        <f t="shared" si="41"/>
        <v>Jan</v>
      </c>
      <c r="T239" t="str">
        <f>INDEX(Lookups!$B$39:$B$45,MATCH(H239,Lookups!$A$39:$A$45,0))</f>
        <v>Tue</v>
      </c>
      <c r="U239" t="str">
        <f t="shared" si="42"/>
        <v>Weekday</v>
      </c>
      <c r="V239" t="str">
        <f t="shared" si="43"/>
        <v>Working Day</v>
      </c>
      <c r="W239" t="str">
        <f t="shared" si="44"/>
        <v>Spring</v>
      </c>
      <c r="X239" t="str">
        <f t="shared" si="45"/>
        <v>Cloudy/Mist</v>
      </c>
      <c r="Y239" t="str">
        <f t="shared" si="46"/>
        <v>Morning</v>
      </c>
      <c r="Z239" t="str">
        <f t="shared" si="47"/>
        <v>Cold</v>
      </c>
      <c r="AA239" t="str">
        <f t="shared" si="48"/>
        <v>Medium</v>
      </c>
      <c r="AB239" t="str">
        <f t="shared" si="49"/>
        <v>Off-Peak</v>
      </c>
      <c r="AC239" s="63">
        <f t="shared" si="50"/>
        <v>0</v>
      </c>
      <c r="AD239" t="str">
        <f>IF(P239&gt;=Stats!$C$30,"High",IF(P239&lt;=Stats!$C$29,"Low","Normal"))</f>
        <v>Normal</v>
      </c>
      <c r="AE239">
        <f t="shared" si="51"/>
        <v>1</v>
      </c>
    </row>
    <row r="240" spans="1:31" x14ac:dyDescent="0.2">
      <c r="A240">
        <f>Dataset_A!A240</f>
        <v>239</v>
      </c>
      <c r="B240" s="61">
        <f>Dataset_A!B240</f>
        <v>40554</v>
      </c>
      <c r="C240">
        <f>Dataset_A!C240</f>
        <v>1</v>
      </c>
      <c r="D240">
        <f>Dataset_A!D240</f>
        <v>0</v>
      </c>
      <c r="E240">
        <f>Dataset_A!E240</f>
        <v>1</v>
      </c>
      <c r="F240">
        <f>Dataset_A!F240</f>
        <v>7</v>
      </c>
      <c r="G240" t="b">
        <f>Dataset_A!G240</f>
        <v>0</v>
      </c>
      <c r="H240">
        <f>Dataset_A!H240</f>
        <v>2</v>
      </c>
      <c r="I240">
        <f>Dataset_A!I240</f>
        <v>2</v>
      </c>
      <c r="J240" s="55">
        <f>Dataset_A!J240</f>
        <v>0.16</v>
      </c>
      <c r="K240">
        <f>Dataset_A!K240</f>
        <v>0.2273</v>
      </c>
      <c r="L240">
        <f>Dataset_A!L240</f>
        <v>0.55000000000000004</v>
      </c>
      <c r="M240">
        <f>Dataset_A!M240</f>
        <v>0</v>
      </c>
      <c r="N240">
        <f>Dataset_A!N240</f>
        <v>2</v>
      </c>
      <c r="O240">
        <f>Dataset_A!O240</f>
        <v>97</v>
      </c>
      <c r="P240">
        <f>Dataset_A!P240</f>
        <v>99</v>
      </c>
      <c r="Q240" t="str">
        <f t="shared" si="39"/>
        <v>REC-0239</v>
      </c>
      <c r="R240" s="62">
        <f t="shared" si="40"/>
        <v>40554.291666666664</v>
      </c>
      <c r="S240" t="str">
        <f t="shared" si="41"/>
        <v>Jan</v>
      </c>
      <c r="T240" t="str">
        <f>INDEX(Lookups!$B$39:$B$45,MATCH(H240,Lookups!$A$39:$A$45,0))</f>
        <v>Tue</v>
      </c>
      <c r="U240" t="str">
        <f t="shared" si="42"/>
        <v>Weekday</v>
      </c>
      <c r="V240" t="str">
        <f t="shared" si="43"/>
        <v>Working Day</v>
      </c>
      <c r="W240" t="str">
        <f t="shared" si="44"/>
        <v>Spring</v>
      </c>
      <c r="X240" t="str">
        <f t="shared" si="45"/>
        <v>Cloudy/Mist</v>
      </c>
      <c r="Y240" t="str">
        <f t="shared" si="46"/>
        <v>Morning</v>
      </c>
      <c r="Z240" t="str">
        <f t="shared" si="47"/>
        <v>Cold</v>
      </c>
      <c r="AA240" t="str">
        <f t="shared" si="48"/>
        <v>Medium</v>
      </c>
      <c r="AB240" t="str">
        <f t="shared" si="49"/>
        <v>Peak</v>
      </c>
      <c r="AC240" s="63">
        <f t="shared" si="50"/>
        <v>2.0202020202020204E-2</v>
      </c>
      <c r="AD240" t="str">
        <f>IF(P240&gt;=Stats!$C$30,"High",IF(P240&lt;=Stats!$C$29,"Low","Normal"))</f>
        <v>High</v>
      </c>
      <c r="AE240">
        <f t="shared" si="51"/>
        <v>1</v>
      </c>
    </row>
    <row r="241" spans="1:31" x14ac:dyDescent="0.2">
      <c r="A241">
        <f>Dataset_A!A241</f>
        <v>240</v>
      </c>
      <c r="B241" s="61">
        <f>Dataset_A!B241</f>
        <v>40554</v>
      </c>
      <c r="C241">
        <f>Dataset_A!C241</f>
        <v>1</v>
      </c>
      <c r="D241">
        <f>Dataset_A!D241</f>
        <v>0</v>
      </c>
      <c r="E241">
        <f>Dataset_A!E241</f>
        <v>1</v>
      </c>
      <c r="F241">
        <f>Dataset_A!F241</f>
        <v>8</v>
      </c>
      <c r="G241" t="b">
        <f>Dataset_A!G241</f>
        <v>0</v>
      </c>
      <c r="H241">
        <f>Dataset_A!H241</f>
        <v>2</v>
      </c>
      <c r="I241">
        <f>Dataset_A!I241</f>
        <v>2</v>
      </c>
      <c r="J241" s="55">
        <f>Dataset_A!J241</f>
        <v>0.18</v>
      </c>
      <c r="K241">
        <f>Dataset_A!K241</f>
        <v>0.21210000000000001</v>
      </c>
      <c r="L241">
        <f>Dataset_A!L241</f>
        <v>0.51</v>
      </c>
      <c r="M241">
        <f>Dataset_A!M241</f>
        <v>8.9599999999999999E-2</v>
      </c>
      <c r="N241">
        <f>Dataset_A!N241</f>
        <v>3</v>
      </c>
      <c r="O241">
        <f>Dataset_A!O241</f>
        <v>214</v>
      </c>
      <c r="P241">
        <f>Dataset_A!P241</f>
        <v>217</v>
      </c>
      <c r="Q241" t="str">
        <f t="shared" si="39"/>
        <v>REC-0240</v>
      </c>
      <c r="R241" s="62">
        <f t="shared" si="40"/>
        <v>40554.333333333336</v>
      </c>
      <c r="S241" t="str">
        <f t="shared" si="41"/>
        <v>Jan</v>
      </c>
      <c r="T241" t="str">
        <f>INDEX(Lookups!$B$39:$B$45,MATCH(H241,Lookups!$A$39:$A$45,0))</f>
        <v>Tue</v>
      </c>
      <c r="U241" t="str">
        <f t="shared" si="42"/>
        <v>Weekday</v>
      </c>
      <c r="V241" t="str">
        <f t="shared" si="43"/>
        <v>Working Day</v>
      </c>
      <c r="W241" t="str">
        <f t="shared" si="44"/>
        <v>Spring</v>
      </c>
      <c r="X241" t="str">
        <f t="shared" si="45"/>
        <v>Cloudy/Mist</v>
      </c>
      <c r="Y241" t="str">
        <f t="shared" si="46"/>
        <v>Morning</v>
      </c>
      <c r="Z241" t="str">
        <f t="shared" si="47"/>
        <v>Cold</v>
      </c>
      <c r="AA241" t="str">
        <f t="shared" si="48"/>
        <v>Medium</v>
      </c>
      <c r="AB241" t="str">
        <f t="shared" si="49"/>
        <v>Peak</v>
      </c>
      <c r="AC241" s="63">
        <f t="shared" si="50"/>
        <v>1.3824884792626729E-2</v>
      </c>
      <c r="AD241" t="str">
        <f>IF(P241&gt;=Stats!$C$30,"High",IF(P241&lt;=Stats!$C$29,"Low","Normal"))</f>
        <v>High</v>
      </c>
      <c r="AE241">
        <f t="shared" si="51"/>
        <v>1</v>
      </c>
    </row>
    <row r="242" spans="1:31" x14ac:dyDescent="0.2">
      <c r="A242">
        <f>Dataset_A!A242</f>
        <v>241</v>
      </c>
      <c r="B242" s="61">
        <f>Dataset_A!B242</f>
        <v>40554</v>
      </c>
      <c r="C242">
        <f>Dataset_A!C242</f>
        <v>1</v>
      </c>
      <c r="D242">
        <f>Dataset_A!D242</f>
        <v>0</v>
      </c>
      <c r="E242">
        <f>Dataset_A!E242</f>
        <v>1</v>
      </c>
      <c r="F242">
        <f>Dataset_A!F242</f>
        <v>9</v>
      </c>
      <c r="G242" t="b">
        <f>Dataset_A!G242</f>
        <v>0</v>
      </c>
      <c r="H242">
        <f>Dataset_A!H242</f>
        <v>2</v>
      </c>
      <c r="I242">
        <f>Dataset_A!I242</f>
        <v>2</v>
      </c>
      <c r="J242" s="55">
        <f>Dataset_A!J242</f>
        <v>0.18</v>
      </c>
      <c r="K242">
        <f>Dataset_A!K242</f>
        <v>0.19700000000000001</v>
      </c>
      <c r="L242">
        <f>Dataset_A!L242</f>
        <v>0.51</v>
      </c>
      <c r="M242">
        <f>Dataset_A!M242</f>
        <v>0.16420000000000001</v>
      </c>
      <c r="N242">
        <f>Dataset_A!N242</f>
        <v>3</v>
      </c>
      <c r="O242">
        <f>Dataset_A!O242</f>
        <v>127</v>
      </c>
      <c r="P242">
        <f>Dataset_A!P242</f>
        <v>130</v>
      </c>
      <c r="Q242" t="str">
        <f t="shared" si="39"/>
        <v>REC-0241</v>
      </c>
      <c r="R242" s="62">
        <f t="shared" si="40"/>
        <v>40554.375</v>
      </c>
      <c r="S242" t="str">
        <f t="shared" si="41"/>
        <v>Jan</v>
      </c>
      <c r="T242" t="str">
        <f>INDEX(Lookups!$B$39:$B$45,MATCH(H242,Lookups!$A$39:$A$45,0))</f>
        <v>Tue</v>
      </c>
      <c r="U242" t="str">
        <f t="shared" si="42"/>
        <v>Weekday</v>
      </c>
      <c r="V242" t="str">
        <f t="shared" si="43"/>
        <v>Working Day</v>
      </c>
      <c r="W242" t="str">
        <f t="shared" si="44"/>
        <v>Spring</v>
      </c>
      <c r="X242" t="str">
        <f t="shared" si="45"/>
        <v>Cloudy/Mist</v>
      </c>
      <c r="Y242" t="str">
        <f t="shared" si="46"/>
        <v>Morning</v>
      </c>
      <c r="Z242" t="str">
        <f t="shared" si="47"/>
        <v>Cold</v>
      </c>
      <c r="AA242" t="str">
        <f t="shared" si="48"/>
        <v>Medium</v>
      </c>
      <c r="AB242" t="str">
        <f t="shared" si="49"/>
        <v>Peak</v>
      </c>
      <c r="AC242" s="63">
        <f t="shared" si="50"/>
        <v>2.3076923076923078E-2</v>
      </c>
      <c r="AD242" t="str">
        <f>IF(P242&gt;=Stats!$C$30,"High",IF(P242&lt;=Stats!$C$29,"Low","Normal"))</f>
        <v>High</v>
      </c>
      <c r="AE242">
        <f t="shared" si="51"/>
        <v>1</v>
      </c>
    </row>
    <row r="243" spans="1:31" x14ac:dyDescent="0.2">
      <c r="A243">
        <f>Dataset_A!A243</f>
        <v>242</v>
      </c>
      <c r="B243" s="61">
        <f>Dataset_A!B243</f>
        <v>40554</v>
      </c>
      <c r="C243">
        <f>Dataset_A!C243</f>
        <v>1</v>
      </c>
      <c r="D243">
        <f>Dataset_A!D243</f>
        <v>0</v>
      </c>
      <c r="E243">
        <f>Dataset_A!E243</f>
        <v>1</v>
      </c>
      <c r="F243">
        <f>Dataset_A!F243</f>
        <v>10</v>
      </c>
      <c r="G243" t="b">
        <f>Dataset_A!G243</f>
        <v>0</v>
      </c>
      <c r="H243">
        <f>Dataset_A!H243</f>
        <v>2</v>
      </c>
      <c r="I243">
        <f>Dataset_A!I243</f>
        <v>2</v>
      </c>
      <c r="J243" s="55">
        <f>Dataset_A!J243</f>
        <v>0.2</v>
      </c>
      <c r="K243">
        <f>Dataset_A!K243</f>
        <v>0.21210000000000001</v>
      </c>
      <c r="L243">
        <f>Dataset_A!L243</f>
        <v>0.51</v>
      </c>
      <c r="M243">
        <f>Dataset_A!M243</f>
        <v>0.16420000000000001</v>
      </c>
      <c r="N243">
        <f>Dataset_A!N243</f>
        <v>3</v>
      </c>
      <c r="O243">
        <f>Dataset_A!O243</f>
        <v>51</v>
      </c>
      <c r="P243">
        <f>Dataset_A!P243</f>
        <v>54</v>
      </c>
      <c r="Q243" t="str">
        <f t="shared" si="39"/>
        <v>REC-0242</v>
      </c>
      <c r="R243" s="62">
        <f t="shared" si="40"/>
        <v>40554.416666666664</v>
      </c>
      <c r="S243" t="str">
        <f t="shared" si="41"/>
        <v>Jan</v>
      </c>
      <c r="T243" t="str">
        <f>INDEX(Lookups!$B$39:$B$45,MATCH(H243,Lookups!$A$39:$A$45,0))</f>
        <v>Tue</v>
      </c>
      <c r="U243" t="str">
        <f t="shared" si="42"/>
        <v>Weekday</v>
      </c>
      <c r="V243" t="str">
        <f t="shared" si="43"/>
        <v>Working Day</v>
      </c>
      <c r="W243" t="str">
        <f t="shared" si="44"/>
        <v>Spring</v>
      </c>
      <c r="X243" t="str">
        <f t="shared" si="45"/>
        <v>Cloudy/Mist</v>
      </c>
      <c r="Y243" t="str">
        <f t="shared" si="46"/>
        <v>Morning</v>
      </c>
      <c r="Z243" t="str">
        <f t="shared" si="47"/>
        <v>Mild</v>
      </c>
      <c r="AA243" t="str">
        <f t="shared" si="48"/>
        <v>Medium</v>
      </c>
      <c r="AB243" t="str">
        <f t="shared" si="49"/>
        <v>Off-Peak</v>
      </c>
      <c r="AC243" s="63">
        <f t="shared" si="50"/>
        <v>5.5555555555555552E-2</v>
      </c>
      <c r="AD243" t="str">
        <f>IF(P243&gt;=Stats!$C$30,"High",IF(P243&lt;=Stats!$C$29,"Low","Normal"))</f>
        <v>Normal</v>
      </c>
      <c r="AE243">
        <f t="shared" si="51"/>
        <v>1</v>
      </c>
    </row>
    <row r="244" spans="1:31" x14ac:dyDescent="0.2">
      <c r="A244">
        <f>Dataset_A!A244</f>
        <v>243</v>
      </c>
      <c r="B244" s="61">
        <f>Dataset_A!B244</f>
        <v>40554</v>
      </c>
      <c r="C244">
        <f>Dataset_A!C244</f>
        <v>1</v>
      </c>
      <c r="D244">
        <f>Dataset_A!D244</f>
        <v>0</v>
      </c>
      <c r="E244">
        <f>Dataset_A!E244</f>
        <v>1</v>
      </c>
      <c r="F244">
        <f>Dataset_A!F244</f>
        <v>11</v>
      </c>
      <c r="G244" t="b">
        <f>Dataset_A!G244</f>
        <v>0</v>
      </c>
      <c r="H244">
        <f>Dataset_A!H244</f>
        <v>2</v>
      </c>
      <c r="I244">
        <f>Dataset_A!I244</f>
        <v>2</v>
      </c>
      <c r="J244" s="55">
        <f>Dataset_A!J244</f>
        <v>0.2</v>
      </c>
      <c r="K244">
        <f>Dataset_A!K244</f>
        <v>0.21210000000000001</v>
      </c>
      <c r="L244">
        <f>Dataset_A!L244</f>
        <v>0.47</v>
      </c>
      <c r="M244">
        <f>Dataset_A!M244</f>
        <v>0.1343</v>
      </c>
      <c r="N244">
        <f>Dataset_A!N244</f>
        <v>4</v>
      </c>
      <c r="O244">
        <f>Dataset_A!O244</f>
        <v>31</v>
      </c>
      <c r="P244">
        <f>Dataset_A!P244</f>
        <v>35</v>
      </c>
      <c r="Q244" t="str">
        <f t="shared" si="39"/>
        <v>REC-0243</v>
      </c>
      <c r="R244" s="62">
        <f t="shared" si="40"/>
        <v>40554.458333333336</v>
      </c>
      <c r="S244" t="str">
        <f t="shared" si="41"/>
        <v>Jan</v>
      </c>
      <c r="T244" t="str">
        <f>INDEX(Lookups!$B$39:$B$45,MATCH(H244,Lookups!$A$39:$A$45,0))</f>
        <v>Tue</v>
      </c>
      <c r="U244" t="str">
        <f t="shared" si="42"/>
        <v>Weekday</v>
      </c>
      <c r="V244" t="str">
        <f t="shared" si="43"/>
        <v>Working Day</v>
      </c>
      <c r="W244" t="str">
        <f t="shared" si="44"/>
        <v>Spring</v>
      </c>
      <c r="X244" t="str">
        <f t="shared" si="45"/>
        <v>Cloudy/Mist</v>
      </c>
      <c r="Y244" t="str">
        <f t="shared" si="46"/>
        <v>Morning</v>
      </c>
      <c r="Z244" t="str">
        <f t="shared" si="47"/>
        <v>Mild</v>
      </c>
      <c r="AA244" t="str">
        <f t="shared" si="48"/>
        <v>Low</v>
      </c>
      <c r="AB244" t="str">
        <f t="shared" si="49"/>
        <v>Off-Peak</v>
      </c>
      <c r="AC244" s="63">
        <f t="shared" si="50"/>
        <v>0.11428571428571428</v>
      </c>
      <c r="AD244" t="str">
        <f>IF(P244&gt;=Stats!$C$30,"High",IF(P244&lt;=Stats!$C$29,"Low","Normal"))</f>
        <v>Normal</v>
      </c>
      <c r="AE244">
        <f t="shared" si="51"/>
        <v>1</v>
      </c>
    </row>
    <row r="245" spans="1:31" x14ac:dyDescent="0.2">
      <c r="A245">
        <f>Dataset_A!A245</f>
        <v>244</v>
      </c>
      <c r="B245" s="61">
        <f>Dataset_A!B245</f>
        <v>40554</v>
      </c>
      <c r="C245">
        <f>Dataset_A!C245</f>
        <v>1</v>
      </c>
      <c r="D245">
        <f>Dataset_A!D245</f>
        <v>0</v>
      </c>
      <c r="E245">
        <f>Dataset_A!E245</f>
        <v>1</v>
      </c>
      <c r="F245">
        <f>Dataset_A!F245</f>
        <v>12</v>
      </c>
      <c r="G245" t="b">
        <f>Dataset_A!G245</f>
        <v>0</v>
      </c>
      <c r="H245">
        <f>Dataset_A!H245</f>
        <v>2</v>
      </c>
      <c r="I245">
        <f>Dataset_A!I245</f>
        <v>2</v>
      </c>
      <c r="J245" s="55">
        <f>Dataset_A!J245</f>
        <v>0.2</v>
      </c>
      <c r="K245">
        <f>Dataset_A!K245</f>
        <v>0.2273</v>
      </c>
      <c r="L245">
        <f>Dataset_A!L245</f>
        <v>0.51</v>
      </c>
      <c r="M245">
        <f>Dataset_A!M245</f>
        <v>0.1045</v>
      </c>
      <c r="N245">
        <f>Dataset_A!N245</f>
        <v>2</v>
      </c>
      <c r="O245">
        <f>Dataset_A!O245</f>
        <v>55</v>
      </c>
      <c r="P245">
        <f>Dataset_A!P245</f>
        <v>57</v>
      </c>
      <c r="Q245" t="str">
        <f t="shared" si="39"/>
        <v>REC-0244</v>
      </c>
      <c r="R245" s="62">
        <f t="shared" si="40"/>
        <v>40554.5</v>
      </c>
      <c r="S245" t="str">
        <f t="shared" si="41"/>
        <v>Jan</v>
      </c>
      <c r="T245" t="str">
        <f>INDEX(Lookups!$B$39:$B$45,MATCH(H245,Lookups!$A$39:$A$45,0))</f>
        <v>Tue</v>
      </c>
      <c r="U245" t="str">
        <f t="shared" si="42"/>
        <v>Weekday</v>
      </c>
      <c r="V245" t="str">
        <f t="shared" si="43"/>
        <v>Working Day</v>
      </c>
      <c r="W245" t="str">
        <f t="shared" si="44"/>
        <v>Spring</v>
      </c>
      <c r="X245" t="str">
        <f t="shared" si="45"/>
        <v>Cloudy/Mist</v>
      </c>
      <c r="Y245" t="str">
        <f t="shared" si="46"/>
        <v>Afternoon</v>
      </c>
      <c r="Z245" t="str">
        <f t="shared" si="47"/>
        <v>Mild</v>
      </c>
      <c r="AA245" t="str">
        <f t="shared" si="48"/>
        <v>Medium</v>
      </c>
      <c r="AB245" t="str">
        <f t="shared" si="49"/>
        <v>Off-Peak</v>
      </c>
      <c r="AC245" s="63">
        <f t="shared" si="50"/>
        <v>3.5087719298245612E-2</v>
      </c>
      <c r="AD245" t="str">
        <f>IF(P245&gt;=Stats!$C$30,"High",IF(P245&lt;=Stats!$C$29,"Low","Normal"))</f>
        <v>Normal</v>
      </c>
      <c r="AE245">
        <f t="shared" si="51"/>
        <v>1</v>
      </c>
    </row>
    <row r="246" spans="1:31" x14ac:dyDescent="0.2">
      <c r="A246">
        <f>Dataset_A!A246</f>
        <v>245</v>
      </c>
      <c r="B246" s="61">
        <f>Dataset_A!B246</f>
        <v>40554</v>
      </c>
      <c r="C246">
        <f>Dataset_A!C246</f>
        <v>1</v>
      </c>
      <c r="D246">
        <f>Dataset_A!D246</f>
        <v>0</v>
      </c>
      <c r="E246">
        <f>Dataset_A!E246</f>
        <v>1</v>
      </c>
      <c r="F246">
        <f>Dataset_A!F246</f>
        <v>13</v>
      </c>
      <c r="G246" t="b">
        <f>Dataset_A!G246</f>
        <v>0</v>
      </c>
      <c r="H246">
        <f>Dataset_A!H246</f>
        <v>2</v>
      </c>
      <c r="I246">
        <f>Dataset_A!I246</f>
        <v>2</v>
      </c>
      <c r="J246" s="55">
        <f>Dataset_A!J246</f>
        <v>0.2</v>
      </c>
      <c r="K246">
        <f>Dataset_A!K246</f>
        <v>0.2273</v>
      </c>
      <c r="L246">
        <f>Dataset_A!L246</f>
        <v>0.59</v>
      </c>
      <c r="M246">
        <f>Dataset_A!M246</f>
        <v>8.9599999999999999E-2</v>
      </c>
      <c r="N246">
        <f>Dataset_A!N246</f>
        <v>6</v>
      </c>
      <c r="O246">
        <f>Dataset_A!O246</f>
        <v>46</v>
      </c>
      <c r="P246">
        <f>Dataset_A!P246</f>
        <v>52</v>
      </c>
      <c r="Q246" t="str">
        <f t="shared" si="39"/>
        <v>REC-0245</v>
      </c>
      <c r="R246" s="62">
        <f t="shared" si="40"/>
        <v>40554.541666666664</v>
      </c>
      <c r="S246" t="str">
        <f t="shared" si="41"/>
        <v>Jan</v>
      </c>
      <c r="T246" t="str">
        <f>INDEX(Lookups!$B$39:$B$45,MATCH(H246,Lookups!$A$39:$A$45,0))</f>
        <v>Tue</v>
      </c>
      <c r="U246" t="str">
        <f t="shared" si="42"/>
        <v>Weekday</v>
      </c>
      <c r="V246" t="str">
        <f t="shared" si="43"/>
        <v>Working Day</v>
      </c>
      <c r="W246" t="str">
        <f t="shared" si="44"/>
        <v>Spring</v>
      </c>
      <c r="X246" t="str">
        <f t="shared" si="45"/>
        <v>Cloudy/Mist</v>
      </c>
      <c r="Y246" t="str">
        <f t="shared" si="46"/>
        <v>Afternoon</v>
      </c>
      <c r="Z246" t="str">
        <f t="shared" si="47"/>
        <v>Mild</v>
      </c>
      <c r="AA246" t="str">
        <f t="shared" si="48"/>
        <v>Medium</v>
      </c>
      <c r="AB246" t="str">
        <f t="shared" si="49"/>
        <v>Off-Peak</v>
      </c>
      <c r="AC246" s="63">
        <f t="shared" si="50"/>
        <v>0.11538461538461539</v>
      </c>
      <c r="AD246" t="str">
        <f>IF(P246&gt;=Stats!$C$30,"High",IF(P246&lt;=Stats!$C$29,"Low","Normal"))</f>
        <v>Normal</v>
      </c>
      <c r="AE246">
        <f t="shared" si="51"/>
        <v>1</v>
      </c>
    </row>
    <row r="247" spans="1:31" x14ac:dyDescent="0.2">
      <c r="A247">
        <f>Dataset_A!A247</f>
        <v>246</v>
      </c>
      <c r="B247" s="61">
        <f>Dataset_A!B247</f>
        <v>40554</v>
      </c>
      <c r="C247">
        <f>Dataset_A!C247</f>
        <v>1</v>
      </c>
      <c r="D247">
        <f>Dataset_A!D247</f>
        <v>0</v>
      </c>
      <c r="E247">
        <f>Dataset_A!E247</f>
        <v>1</v>
      </c>
      <c r="F247">
        <f>Dataset_A!F247</f>
        <v>14</v>
      </c>
      <c r="G247" t="b">
        <f>Dataset_A!G247</f>
        <v>0</v>
      </c>
      <c r="H247">
        <f>Dataset_A!H247</f>
        <v>2</v>
      </c>
      <c r="I247">
        <f>Dataset_A!I247</f>
        <v>2</v>
      </c>
      <c r="J247" s="55">
        <f>Dataset_A!J247</f>
        <v>0.2</v>
      </c>
      <c r="K247">
        <f>Dataset_A!K247</f>
        <v>0.2273</v>
      </c>
      <c r="L247">
        <f>Dataset_A!L247</f>
        <v>0.59</v>
      </c>
      <c r="M247">
        <f>Dataset_A!M247</f>
        <v>8.9599999999999999E-2</v>
      </c>
      <c r="N247">
        <f>Dataset_A!N247</f>
        <v>3</v>
      </c>
      <c r="O247">
        <f>Dataset_A!O247</f>
        <v>60</v>
      </c>
      <c r="P247">
        <f>Dataset_A!P247</f>
        <v>63</v>
      </c>
      <c r="Q247" t="str">
        <f t="shared" si="39"/>
        <v>REC-0246</v>
      </c>
      <c r="R247" s="62">
        <f t="shared" si="40"/>
        <v>40554.583333333336</v>
      </c>
      <c r="S247" t="str">
        <f t="shared" si="41"/>
        <v>Jan</v>
      </c>
      <c r="T247" t="str">
        <f>INDEX(Lookups!$B$39:$B$45,MATCH(H247,Lookups!$A$39:$A$45,0))</f>
        <v>Tue</v>
      </c>
      <c r="U247" t="str">
        <f t="shared" si="42"/>
        <v>Weekday</v>
      </c>
      <c r="V247" t="str">
        <f t="shared" si="43"/>
        <v>Working Day</v>
      </c>
      <c r="W247" t="str">
        <f t="shared" si="44"/>
        <v>Spring</v>
      </c>
      <c r="X247" t="str">
        <f t="shared" si="45"/>
        <v>Cloudy/Mist</v>
      </c>
      <c r="Y247" t="str">
        <f t="shared" si="46"/>
        <v>Afternoon</v>
      </c>
      <c r="Z247" t="str">
        <f t="shared" si="47"/>
        <v>Mild</v>
      </c>
      <c r="AA247" t="str">
        <f t="shared" si="48"/>
        <v>Medium</v>
      </c>
      <c r="AB247" t="str">
        <f t="shared" si="49"/>
        <v>Off-Peak</v>
      </c>
      <c r="AC247" s="63">
        <f t="shared" si="50"/>
        <v>4.7619047619047616E-2</v>
      </c>
      <c r="AD247" t="str">
        <f>IF(P247&gt;=Stats!$C$30,"High",IF(P247&lt;=Stats!$C$29,"Low","Normal"))</f>
        <v>Normal</v>
      </c>
      <c r="AE247">
        <f t="shared" si="51"/>
        <v>1</v>
      </c>
    </row>
    <row r="248" spans="1:31" x14ac:dyDescent="0.2">
      <c r="A248">
        <f>Dataset_A!A248</f>
        <v>247</v>
      </c>
      <c r="B248" s="61">
        <f>Dataset_A!B248</f>
        <v>40554</v>
      </c>
      <c r="C248">
        <f>Dataset_A!C248</f>
        <v>1</v>
      </c>
      <c r="D248">
        <f>Dataset_A!D248</f>
        <v>0</v>
      </c>
      <c r="E248">
        <f>Dataset_A!E248</f>
        <v>1</v>
      </c>
      <c r="F248">
        <f>Dataset_A!F248</f>
        <v>15</v>
      </c>
      <c r="G248" t="b">
        <f>Dataset_A!G248</f>
        <v>0</v>
      </c>
      <c r="H248">
        <f>Dataset_A!H248</f>
        <v>2</v>
      </c>
      <c r="I248">
        <f>Dataset_A!I248</f>
        <v>2</v>
      </c>
      <c r="J248" s="55">
        <f>Dataset_A!J248</f>
        <v>0.16</v>
      </c>
      <c r="K248">
        <f>Dataset_A!K248</f>
        <v>0.19700000000000001</v>
      </c>
      <c r="L248">
        <f>Dataset_A!L248</f>
        <v>0.8</v>
      </c>
      <c r="M248">
        <f>Dataset_A!M248</f>
        <v>8.9599999999999999E-2</v>
      </c>
      <c r="N248">
        <f>Dataset_A!N248</f>
        <v>2</v>
      </c>
      <c r="O248">
        <f>Dataset_A!O248</f>
        <v>45</v>
      </c>
      <c r="P248">
        <f>Dataset_A!P248</f>
        <v>47</v>
      </c>
      <c r="Q248" t="str">
        <f t="shared" si="39"/>
        <v>REC-0247</v>
      </c>
      <c r="R248" s="62">
        <f t="shared" si="40"/>
        <v>40554.625</v>
      </c>
      <c r="S248" t="str">
        <f t="shared" si="41"/>
        <v>Jan</v>
      </c>
      <c r="T248" t="str">
        <f>INDEX(Lookups!$B$39:$B$45,MATCH(H248,Lookups!$A$39:$A$45,0))</f>
        <v>Tue</v>
      </c>
      <c r="U248" t="str">
        <f t="shared" si="42"/>
        <v>Weekday</v>
      </c>
      <c r="V248" t="str">
        <f t="shared" si="43"/>
        <v>Working Day</v>
      </c>
      <c r="W248" t="str">
        <f t="shared" si="44"/>
        <v>Spring</v>
      </c>
      <c r="X248" t="str">
        <f t="shared" si="45"/>
        <v>Cloudy/Mist</v>
      </c>
      <c r="Y248" t="str">
        <f t="shared" si="46"/>
        <v>Afternoon</v>
      </c>
      <c r="Z248" t="str">
        <f t="shared" si="47"/>
        <v>Cold</v>
      </c>
      <c r="AA248" t="str">
        <f t="shared" si="48"/>
        <v>High</v>
      </c>
      <c r="AB248" t="str">
        <f t="shared" si="49"/>
        <v>Off-Peak</v>
      </c>
      <c r="AC248" s="63">
        <f t="shared" si="50"/>
        <v>4.2553191489361701E-2</v>
      </c>
      <c r="AD248" t="str">
        <f>IF(P248&gt;=Stats!$C$30,"High",IF(P248&lt;=Stats!$C$29,"Low","Normal"))</f>
        <v>Normal</v>
      </c>
      <c r="AE248">
        <f t="shared" si="51"/>
        <v>1</v>
      </c>
    </row>
    <row r="249" spans="1:31" x14ac:dyDescent="0.2">
      <c r="A249">
        <f>Dataset_A!A249</f>
        <v>248</v>
      </c>
      <c r="B249" s="61">
        <f>Dataset_A!B249</f>
        <v>40554</v>
      </c>
      <c r="C249">
        <f>Dataset_A!C249</f>
        <v>1</v>
      </c>
      <c r="D249">
        <f>Dataset_A!D249</f>
        <v>0</v>
      </c>
      <c r="E249">
        <f>Dataset_A!E249</f>
        <v>1</v>
      </c>
      <c r="F249">
        <f>Dataset_A!F249</f>
        <v>16</v>
      </c>
      <c r="G249" t="b">
        <f>Dataset_A!G249</f>
        <v>0</v>
      </c>
      <c r="H249">
        <f>Dataset_A!H249</f>
        <v>2</v>
      </c>
      <c r="I249">
        <f>Dataset_A!I249</f>
        <v>2</v>
      </c>
      <c r="J249" s="55">
        <f>Dataset_A!J249</f>
        <v>0.16</v>
      </c>
      <c r="K249">
        <f>Dataset_A!K249</f>
        <v>0.1515</v>
      </c>
      <c r="L249">
        <f>Dataset_A!L249</f>
        <v>0.86</v>
      </c>
      <c r="M249">
        <f>Dataset_A!M249</f>
        <v>0.22389999999999999</v>
      </c>
      <c r="N249">
        <f>Dataset_A!N249</f>
        <v>4</v>
      </c>
      <c r="O249">
        <f>Dataset_A!O249</f>
        <v>72</v>
      </c>
      <c r="P249">
        <f>Dataset_A!P249</f>
        <v>76</v>
      </c>
      <c r="Q249" t="str">
        <f t="shared" si="39"/>
        <v>REC-0248</v>
      </c>
      <c r="R249" s="62">
        <f t="shared" si="40"/>
        <v>40554.666666666664</v>
      </c>
      <c r="S249" t="str">
        <f t="shared" si="41"/>
        <v>Jan</v>
      </c>
      <c r="T249" t="str">
        <f>INDEX(Lookups!$B$39:$B$45,MATCH(H249,Lookups!$A$39:$A$45,0))</f>
        <v>Tue</v>
      </c>
      <c r="U249" t="str">
        <f t="shared" si="42"/>
        <v>Weekday</v>
      </c>
      <c r="V249" t="str">
        <f t="shared" si="43"/>
        <v>Working Day</v>
      </c>
      <c r="W249" t="str">
        <f t="shared" si="44"/>
        <v>Spring</v>
      </c>
      <c r="X249" t="str">
        <f t="shared" si="45"/>
        <v>Cloudy/Mist</v>
      </c>
      <c r="Y249" t="str">
        <f t="shared" si="46"/>
        <v>Afternoon</v>
      </c>
      <c r="Z249" t="str">
        <f t="shared" si="47"/>
        <v>Cold</v>
      </c>
      <c r="AA249" t="str">
        <f t="shared" si="48"/>
        <v>High</v>
      </c>
      <c r="AB249" t="str">
        <f t="shared" si="49"/>
        <v>Peak</v>
      </c>
      <c r="AC249" s="63">
        <f t="shared" si="50"/>
        <v>5.2631578947368418E-2</v>
      </c>
      <c r="AD249" t="str">
        <f>IF(P249&gt;=Stats!$C$30,"High",IF(P249&lt;=Stats!$C$29,"Low","Normal"))</f>
        <v>Normal</v>
      </c>
      <c r="AE249">
        <f t="shared" si="51"/>
        <v>1</v>
      </c>
    </row>
    <row r="250" spans="1:31" x14ac:dyDescent="0.2">
      <c r="A250">
        <f>Dataset_A!A250</f>
        <v>249</v>
      </c>
      <c r="B250" s="61">
        <f>Dataset_A!B250</f>
        <v>40554</v>
      </c>
      <c r="C250">
        <f>Dataset_A!C250</f>
        <v>1</v>
      </c>
      <c r="D250">
        <f>Dataset_A!D250</f>
        <v>0</v>
      </c>
      <c r="E250">
        <f>Dataset_A!E250</f>
        <v>1</v>
      </c>
      <c r="F250">
        <f>Dataset_A!F250</f>
        <v>17</v>
      </c>
      <c r="G250" t="b">
        <f>Dataset_A!G250</f>
        <v>0</v>
      </c>
      <c r="H250">
        <f>Dataset_A!H250</f>
        <v>2</v>
      </c>
      <c r="I250">
        <f>Dataset_A!I250</f>
        <v>2</v>
      </c>
      <c r="J250" s="55">
        <f>Dataset_A!J250</f>
        <v>0.16</v>
      </c>
      <c r="K250">
        <f>Dataset_A!K250</f>
        <v>0.1515</v>
      </c>
      <c r="L250">
        <f>Dataset_A!L250</f>
        <v>0.86</v>
      </c>
      <c r="M250">
        <f>Dataset_A!M250</f>
        <v>0.22389999999999999</v>
      </c>
      <c r="N250">
        <f>Dataset_A!N250</f>
        <v>6</v>
      </c>
      <c r="O250">
        <f>Dataset_A!O250</f>
        <v>130</v>
      </c>
      <c r="P250">
        <f>Dataset_A!P250</f>
        <v>136</v>
      </c>
      <c r="Q250" t="str">
        <f t="shared" si="39"/>
        <v>REC-0249</v>
      </c>
      <c r="R250" s="62">
        <f t="shared" si="40"/>
        <v>40554.708333333336</v>
      </c>
      <c r="S250" t="str">
        <f t="shared" si="41"/>
        <v>Jan</v>
      </c>
      <c r="T250" t="str">
        <f>INDEX(Lookups!$B$39:$B$45,MATCH(H250,Lookups!$A$39:$A$45,0))</f>
        <v>Tue</v>
      </c>
      <c r="U250" t="str">
        <f t="shared" si="42"/>
        <v>Weekday</v>
      </c>
      <c r="V250" t="str">
        <f t="shared" si="43"/>
        <v>Working Day</v>
      </c>
      <c r="W250" t="str">
        <f t="shared" si="44"/>
        <v>Spring</v>
      </c>
      <c r="X250" t="str">
        <f t="shared" si="45"/>
        <v>Cloudy/Mist</v>
      </c>
      <c r="Y250" t="str">
        <f t="shared" si="46"/>
        <v>Evening</v>
      </c>
      <c r="Z250" t="str">
        <f t="shared" si="47"/>
        <v>Cold</v>
      </c>
      <c r="AA250" t="str">
        <f t="shared" si="48"/>
        <v>High</v>
      </c>
      <c r="AB250" t="str">
        <f t="shared" si="49"/>
        <v>Peak</v>
      </c>
      <c r="AC250" s="63">
        <f t="shared" si="50"/>
        <v>4.4117647058823532E-2</v>
      </c>
      <c r="AD250" t="str">
        <f>IF(P250&gt;=Stats!$C$30,"High",IF(P250&lt;=Stats!$C$29,"Low","Normal"))</f>
        <v>High</v>
      </c>
      <c r="AE250">
        <f t="shared" si="51"/>
        <v>1</v>
      </c>
    </row>
    <row r="251" spans="1:31" x14ac:dyDescent="0.2">
      <c r="A251">
        <f>Dataset_A!A251</f>
        <v>250</v>
      </c>
      <c r="B251" s="61">
        <f>Dataset_A!B251</f>
        <v>40554</v>
      </c>
      <c r="C251">
        <f>Dataset_A!C251</f>
        <v>1</v>
      </c>
      <c r="D251">
        <f>Dataset_A!D251</f>
        <v>0</v>
      </c>
      <c r="E251">
        <f>Dataset_A!E251</f>
        <v>1</v>
      </c>
      <c r="F251">
        <f>Dataset_A!F251</f>
        <v>18</v>
      </c>
      <c r="G251" t="b">
        <f>Dataset_A!G251</f>
        <v>0</v>
      </c>
      <c r="H251">
        <f>Dataset_A!H251</f>
        <v>2</v>
      </c>
      <c r="I251">
        <f>Dataset_A!I251</f>
        <v>3</v>
      </c>
      <c r="J251" s="55">
        <f>Dataset_A!J251</f>
        <v>0.16</v>
      </c>
      <c r="K251">
        <f>Dataset_A!K251</f>
        <v>0.18179999999999999</v>
      </c>
      <c r="L251">
        <f>Dataset_A!L251</f>
        <v>0.93</v>
      </c>
      <c r="M251">
        <f>Dataset_A!M251</f>
        <v>0.1045</v>
      </c>
      <c r="N251">
        <f>Dataset_A!N251</f>
        <v>1</v>
      </c>
      <c r="O251">
        <f>Dataset_A!O251</f>
        <v>94</v>
      </c>
      <c r="P251">
        <f>Dataset_A!P251</f>
        <v>95</v>
      </c>
      <c r="Q251" t="str">
        <f t="shared" si="39"/>
        <v>REC-0250</v>
      </c>
      <c r="R251" s="62">
        <f t="shared" si="40"/>
        <v>40554.75</v>
      </c>
      <c r="S251" t="str">
        <f t="shared" si="41"/>
        <v>Jan</v>
      </c>
      <c r="T251" t="str">
        <f>INDEX(Lookups!$B$39:$B$45,MATCH(H251,Lookups!$A$39:$A$45,0))</f>
        <v>Tue</v>
      </c>
      <c r="U251" t="str">
        <f t="shared" si="42"/>
        <v>Weekday</v>
      </c>
      <c r="V251" t="str">
        <f t="shared" si="43"/>
        <v>Working Day</v>
      </c>
      <c r="W251" t="str">
        <f t="shared" si="44"/>
        <v>Spring</v>
      </c>
      <c r="X251" t="str">
        <f t="shared" si="45"/>
        <v>Light Rain/Snow</v>
      </c>
      <c r="Y251" t="str">
        <f t="shared" si="46"/>
        <v>Evening</v>
      </c>
      <c r="Z251" t="str">
        <f t="shared" si="47"/>
        <v>Cold</v>
      </c>
      <c r="AA251" t="str">
        <f t="shared" si="48"/>
        <v>High</v>
      </c>
      <c r="AB251" t="str">
        <f t="shared" si="49"/>
        <v>Peak</v>
      </c>
      <c r="AC251" s="63">
        <f t="shared" si="50"/>
        <v>1.0526315789473684E-2</v>
      </c>
      <c r="AD251" t="str">
        <f>IF(P251&gt;=Stats!$C$30,"High",IF(P251&lt;=Stats!$C$29,"Low","Normal"))</f>
        <v>High</v>
      </c>
      <c r="AE251">
        <f t="shared" si="51"/>
        <v>1</v>
      </c>
    </row>
    <row r="252" spans="1:31" x14ac:dyDescent="0.2">
      <c r="A252">
        <f>Dataset_A!A252</f>
        <v>251</v>
      </c>
      <c r="B252" s="61">
        <f>Dataset_A!B252</f>
        <v>40554</v>
      </c>
      <c r="C252">
        <f>Dataset_A!C252</f>
        <v>1</v>
      </c>
      <c r="D252">
        <f>Dataset_A!D252</f>
        <v>0</v>
      </c>
      <c r="E252">
        <f>Dataset_A!E252</f>
        <v>1</v>
      </c>
      <c r="F252">
        <f>Dataset_A!F252</f>
        <v>19</v>
      </c>
      <c r="G252" t="b">
        <f>Dataset_A!G252</f>
        <v>0</v>
      </c>
      <c r="H252">
        <f>Dataset_A!H252</f>
        <v>2</v>
      </c>
      <c r="I252">
        <f>Dataset_A!I252</f>
        <v>3</v>
      </c>
      <c r="J252" s="55">
        <f>Dataset_A!J252</f>
        <v>0.16</v>
      </c>
      <c r="K252">
        <f>Dataset_A!K252</f>
        <v>0.2273</v>
      </c>
      <c r="L252">
        <f>Dataset_A!L252</f>
        <v>0.93</v>
      </c>
      <c r="M252">
        <f>Dataset_A!M252</f>
        <v>0</v>
      </c>
      <c r="N252">
        <f>Dataset_A!N252</f>
        <v>0</v>
      </c>
      <c r="O252">
        <f>Dataset_A!O252</f>
        <v>51</v>
      </c>
      <c r="P252">
        <f>Dataset_A!P252</f>
        <v>51</v>
      </c>
      <c r="Q252" t="str">
        <f t="shared" si="39"/>
        <v>REC-0251</v>
      </c>
      <c r="R252" s="62">
        <f t="shared" si="40"/>
        <v>40554.791666666664</v>
      </c>
      <c r="S252" t="str">
        <f t="shared" si="41"/>
        <v>Jan</v>
      </c>
      <c r="T252" t="str">
        <f>INDEX(Lookups!$B$39:$B$45,MATCH(H252,Lookups!$A$39:$A$45,0))</f>
        <v>Tue</v>
      </c>
      <c r="U252" t="str">
        <f t="shared" si="42"/>
        <v>Weekday</v>
      </c>
      <c r="V252" t="str">
        <f t="shared" si="43"/>
        <v>Working Day</v>
      </c>
      <c r="W252" t="str">
        <f t="shared" si="44"/>
        <v>Spring</v>
      </c>
      <c r="X252" t="str">
        <f t="shared" si="45"/>
        <v>Light Rain/Snow</v>
      </c>
      <c r="Y252" t="str">
        <f t="shared" si="46"/>
        <v>Evening</v>
      </c>
      <c r="Z252" t="str">
        <f t="shared" si="47"/>
        <v>Cold</v>
      </c>
      <c r="AA252" t="str">
        <f t="shared" si="48"/>
        <v>High</v>
      </c>
      <c r="AB252" t="str">
        <f t="shared" si="49"/>
        <v>Peak</v>
      </c>
      <c r="AC252" s="63">
        <f t="shared" si="50"/>
        <v>0</v>
      </c>
      <c r="AD252" t="str">
        <f>IF(P252&gt;=Stats!$C$30,"High",IF(P252&lt;=Stats!$C$29,"Low","Normal"))</f>
        <v>Normal</v>
      </c>
      <c r="AE252">
        <f t="shared" si="51"/>
        <v>1</v>
      </c>
    </row>
    <row r="253" spans="1:31" x14ac:dyDescent="0.2">
      <c r="A253">
        <f>Dataset_A!A253</f>
        <v>252</v>
      </c>
      <c r="B253" s="61">
        <f>Dataset_A!B253</f>
        <v>40554</v>
      </c>
      <c r="C253">
        <f>Dataset_A!C253</f>
        <v>1</v>
      </c>
      <c r="D253">
        <f>Dataset_A!D253</f>
        <v>0</v>
      </c>
      <c r="E253">
        <f>Dataset_A!E253</f>
        <v>1</v>
      </c>
      <c r="F253">
        <f>Dataset_A!F253</f>
        <v>20</v>
      </c>
      <c r="G253" t="b">
        <f>Dataset_A!G253</f>
        <v>0</v>
      </c>
      <c r="H253">
        <f>Dataset_A!H253</f>
        <v>2</v>
      </c>
      <c r="I253">
        <f>Dataset_A!I253</f>
        <v>3</v>
      </c>
      <c r="J253" s="55">
        <f>Dataset_A!J253</f>
        <v>0.16</v>
      </c>
      <c r="K253">
        <f>Dataset_A!K253</f>
        <v>0.1515</v>
      </c>
      <c r="L253">
        <f>Dataset_A!L253</f>
        <v>0.93</v>
      </c>
      <c r="M253">
        <f>Dataset_A!M253</f>
        <v>0.19400000000000001</v>
      </c>
      <c r="N253">
        <f>Dataset_A!N253</f>
        <v>0</v>
      </c>
      <c r="O253">
        <f>Dataset_A!O253</f>
        <v>32</v>
      </c>
      <c r="P253">
        <f>Dataset_A!P253</f>
        <v>32</v>
      </c>
      <c r="Q253" t="str">
        <f t="shared" si="39"/>
        <v>REC-0252</v>
      </c>
      <c r="R253" s="62">
        <f t="shared" si="40"/>
        <v>40554.833333333336</v>
      </c>
      <c r="S253" t="str">
        <f t="shared" si="41"/>
        <v>Jan</v>
      </c>
      <c r="T253" t="str">
        <f>INDEX(Lookups!$B$39:$B$45,MATCH(H253,Lookups!$A$39:$A$45,0))</f>
        <v>Tue</v>
      </c>
      <c r="U253" t="str">
        <f t="shared" si="42"/>
        <v>Weekday</v>
      </c>
      <c r="V253" t="str">
        <f t="shared" si="43"/>
        <v>Working Day</v>
      </c>
      <c r="W253" t="str">
        <f t="shared" si="44"/>
        <v>Spring</v>
      </c>
      <c r="X253" t="str">
        <f t="shared" si="45"/>
        <v>Light Rain/Snow</v>
      </c>
      <c r="Y253" t="str">
        <f t="shared" si="46"/>
        <v>Evening</v>
      </c>
      <c r="Z253" t="str">
        <f t="shared" si="47"/>
        <v>Cold</v>
      </c>
      <c r="AA253" t="str">
        <f t="shared" si="48"/>
        <v>High</v>
      </c>
      <c r="AB253" t="str">
        <f t="shared" si="49"/>
        <v>Off-Peak</v>
      </c>
      <c r="AC253" s="63">
        <f t="shared" si="50"/>
        <v>0</v>
      </c>
      <c r="AD253" t="str">
        <f>IF(P253&gt;=Stats!$C$30,"High",IF(P253&lt;=Stats!$C$29,"Low","Normal"))</f>
        <v>Normal</v>
      </c>
      <c r="AE253">
        <f t="shared" si="51"/>
        <v>1</v>
      </c>
    </row>
    <row r="254" spans="1:31" x14ac:dyDescent="0.2">
      <c r="A254">
        <f>Dataset_A!A254</f>
        <v>253</v>
      </c>
      <c r="B254" s="61">
        <f>Dataset_A!B254</f>
        <v>40554</v>
      </c>
      <c r="C254">
        <f>Dataset_A!C254</f>
        <v>1</v>
      </c>
      <c r="D254">
        <f>Dataset_A!D254</f>
        <v>0</v>
      </c>
      <c r="E254">
        <f>Dataset_A!E254</f>
        <v>1</v>
      </c>
      <c r="F254">
        <f>Dataset_A!F254</f>
        <v>21</v>
      </c>
      <c r="G254" t="b">
        <f>Dataset_A!G254</f>
        <v>0</v>
      </c>
      <c r="H254">
        <f>Dataset_A!H254</f>
        <v>2</v>
      </c>
      <c r="I254">
        <f>Dataset_A!I254</f>
        <v>3</v>
      </c>
      <c r="J254" s="55">
        <f>Dataset_A!J254</f>
        <v>0.16</v>
      </c>
      <c r="K254">
        <f>Dataset_A!K254</f>
        <v>0.19700000000000001</v>
      </c>
      <c r="L254">
        <f>Dataset_A!L254</f>
        <v>0.86</v>
      </c>
      <c r="M254">
        <f>Dataset_A!M254</f>
        <v>8.9599999999999999E-2</v>
      </c>
      <c r="N254">
        <f>Dataset_A!N254</f>
        <v>0</v>
      </c>
      <c r="O254">
        <f>Dataset_A!O254</f>
        <v>20</v>
      </c>
      <c r="P254">
        <f>Dataset_A!P254</f>
        <v>20</v>
      </c>
      <c r="Q254" t="str">
        <f t="shared" si="39"/>
        <v>REC-0253</v>
      </c>
      <c r="R254" s="62">
        <f t="shared" si="40"/>
        <v>40554.875</v>
      </c>
      <c r="S254" t="str">
        <f t="shared" si="41"/>
        <v>Jan</v>
      </c>
      <c r="T254" t="str">
        <f>INDEX(Lookups!$B$39:$B$45,MATCH(H254,Lookups!$A$39:$A$45,0))</f>
        <v>Tue</v>
      </c>
      <c r="U254" t="str">
        <f t="shared" si="42"/>
        <v>Weekday</v>
      </c>
      <c r="V254" t="str">
        <f t="shared" si="43"/>
        <v>Working Day</v>
      </c>
      <c r="W254" t="str">
        <f t="shared" si="44"/>
        <v>Spring</v>
      </c>
      <c r="X254" t="str">
        <f t="shared" si="45"/>
        <v>Light Rain/Snow</v>
      </c>
      <c r="Y254" t="str">
        <f t="shared" si="46"/>
        <v>Late Evening</v>
      </c>
      <c r="Z254" t="str">
        <f t="shared" si="47"/>
        <v>Cold</v>
      </c>
      <c r="AA254" t="str">
        <f t="shared" si="48"/>
        <v>High</v>
      </c>
      <c r="AB254" t="str">
        <f t="shared" si="49"/>
        <v>Off-Peak</v>
      </c>
      <c r="AC254" s="63">
        <f t="shared" si="50"/>
        <v>0</v>
      </c>
      <c r="AD254" t="str">
        <f>IF(P254&gt;=Stats!$C$30,"High",IF(P254&lt;=Stats!$C$29,"Low","Normal"))</f>
        <v>Normal</v>
      </c>
      <c r="AE254">
        <f t="shared" si="51"/>
        <v>1</v>
      </c>
    </row>
    <row r="255" spans="1:31" x14ac:dyDescent="0.2">
      <c r="A255">
        <f>Dataset_A!A255</f>
        <v>254</v>
      </c>
      <c r="B255" s="61">
        <f>Dataset_A!B255</f>
        <v>40554</v>
      </c>
      <c r="C255">
        <f>Dataset_A!C255</f>
        <v>1</v>
      </c>
      <c r="D255">
        <f>Dataset_A!D255</f>
        <v>0</v>
      </c>
      <c r="E255">
        <f>Dataset_A!E255</f>
        <v>1</v>
      </c>
      <c r="F255">
        <f>Dataset_A!F255</f>
        <v>22</v>
      </c>
      <c r="G255" t="b">
        <f>Dataset_A!G255</f>
        <v>0</v>
      </c>
      <c r="H255">
        <f>Dataset_A!H255</f>
        <v>2</v>
      </c>
      <c r="I255">
        <f>Dataset_A!I255</f>
        <v>3</v>
      </c>
      <c r="J255" s="55">
        <f>Dataset_A!J255</f>
        <v>0.16</v>
      </c>
      <c r="K255">
        <f>Dataset_A!K255</f>
        <v>0.18179999999999999</v>
      </c>
      <c r="L255">
        <f>Dataset_A!L255</f>
        <v>0.93</v>
      </c>
      <c r="M255">
        <f>Dataset_A!M255</f>
        <v>0.1045</v>
      </c>
      <c r="N255">
        <f>Dataset_A!N255</f>
        <v>1</v>
      </c>
      <c r="O255">
        <f>Dataset_A!O255</f>
        <v>28</v>
      </c>
      <c r="P255">
        <f>Dataset_A!P255</f>
        <v>29</v>
      </c>
      <c r="Q255" t="str">
        <f t="shared" si="39"/>
        <v>REC-0254</v>
      </c>
      <c r="R255" s="62">
        <f t="shared" si="40"/>
        <v>40554.916666666664</v>
      </c>
      <c r="S255" t="str">
        <f t="shared" si="41"/>
        <v>Jan</v>
      </c>
      <c r="T255" t="str">
        <f>INDEX(Lookups!$B$39:$B$45,MATCH(H255,Lookups!$A$39:$A$45,0))</f>
        <v>Tue</v>
      </c>
      <c r="U255" t="str">
        <f t="shared" si="42"/>
        <v>Weekday</v>
      </c>
      <c r="V255" t="str">
        <f t="shared" si="43"/>
        <v>Working Day</v>
      </c>
      <c r="W255" t="str">
        <f t="shared" si="44"/>
        <v>Spring</v>
      </c>
      <c r="X255" t="str">
        <f t="shared" si="45"/>
        <v>Light Rain/Snow</v>
      </c>
      <c r="Y255" t="str">
        <f t="shared" si="46"/>
        <v>Late Evening</v>
      </c>
      <c r="Z255" t="str">
        <f t="shared" si="47"/>
        <v>Cold</v>
      </c>
      <c r="AA255" t="str">
        <f t="shared" si="48"/>
        <v>High</v>
      </c>
      <c r="AB255" t="str">
        <f t="shared" si="49"/>
        <v>Off-Peak</v>
      </c>
      <c r="AC255" s="63">
        <f t="shared" si="50"/>
        <v>3.4482758620689655E-2</v>
      </c>
      <c r="AD255" t="str">
        <f>IF(P255&gt;=Stats!$C$30,"High",IF(P255&lt;=Stats!$C$29,"Low","Normal"))</f>
        <v>Normal</v>
      </c>
      <c r="AE255">
        <f t="shared" si="51"/>
        <v>1</v>
      </c>
    </row>
    <row r="256" spans="1:31" x14ac:dyDescent="0.2">
      <c r="A256">
        <f>Dataset_A!A256</f>
        <v>255</v>
      </c>
      <c r="B256" s="61">
        <f>Dataset_A!B256</f>
        <v>40554</v>
      </c>
      <c r="C256">
        <f>Dataset_A!C256</f>
        <v>1</v>
      </c>
      <c r="D256">
        <f>Dataset_A!D256</f>
        <v>0</v>
      </c>
      <c r="E256">
        <f>Dataset_A!E256</f>
        <v>1</v>
      </c>
      <c r="F256">
        <f>Dataset_A!F256</f>
        <v>23</v>
      </c>
      <c r="G256" t="b">
        <f>Dataset_A!G256</f>
        <v>0</v>
      </c>
      <c r="H256">
        <f>Dataset_A!H256</f>
        <v>2</v>
      </c>
      <c r="I256">
        <f>Dataset_A!I256</f>
        <v>3</v>
      </c>
      <c r="J256" s="55">
        <f>Dataset_A!J256</f>
        <v>0.16</v>
      </c>
      <c r="K256">
        <f>Dataset_A!K256</f>
        <v>0.19700000000000001</v>
      </c>
      <c r="L256">
        <f>Dataset_A!L256</f>
        <v>0.93</v>
      </c>
      <c r="M256">
        <f>Dataset_A!M256</f>
        <v>8.9599999999999999E-2</v>
      </c>
      <c r="N256">
        <f>Dataset_A!N256</f>
        <v>1</v>
      </c>
      <c r="O256">
        <f>Dataset_A!O256</f>
        <v>18</v>
      </c>
      <c r="P256">
        <f>Dataset_A!P256</f>
        <v>19</v>
      </c>
      <c r="Q256" t="str">
        <f t="shared" si="39"/>
        <v>REC-0255</v>
      </c>
      <c r="R256" s="62">
        <f t="shared" si="40"/>
        <v>40554.958333333336</v>
      </c>
      <c r="S256" t="str">
        <f t="shared" si="41"/>
        <v>Jan</v>
      </c>
      <c r="T256" t="str">
        <f>INDEX(Lookups!$B$39:$B$45,MATCH(H256,Lookups!$A$39:$A$45,0))</f>
        <v>Tue</v>
      </c>
      <c r="U256" t="str">
        <f t="shared" si="42"/>
        <v>Weekday</v>
      </c>
      <c r="V256" t="str">
        <f t="shared" si="43"/>
        <v>Working Day</v>
      </c>
      <c r="W256" t="str">
        <f t="shared" si="44"/>
        <v>Spring</v>
      </c>
      <c r="X256" t="str">
        <f t="shared" si="45"/>
        <v>Light Rain/Snow</v>
      </c>
      <c r="Y256" t="str">
        <f t="shared" si="46"/>
        <v>Late Evening</v>
      </c>
      <c r="Z256" t="str">
        <f t="shared" si="47"/>
        <v>Cold</v>
      </c>
      <c r="AA256" t="str">
        <f t="shared" si="48"/>
        <v>High</v>
      </c>
      <c r="AB256" t="str">
        <f t="shared" si="49"/>
        <v>Off-Peak</v>
      </c>
      <c r="AC256" s="63">
        <f t="shared" si="50"/>
        <v>5.2631578947368418E-2</v>
      </c>
      <c r="AD256" t="str">
        <f>IF(P256&gt;=Stats!$C$30,"High",IF(P256&lt;=Stats!$C$29,"Low","Normal"))</f>
        <v>Normal</v>
      </c>
      <c r="AE256">
        <f t="shared" si="51"/>
        <v>1</v>
      </c>
    </row>
    <row r="257" spans="1:31" x14ac:dyDescent="0.2">
      <c r="A257">
        <f>Dataset_A!A257</f>
        <v>256</v>
      </c>
      <c r="B257" s="61">
        <f>Dataset_A!B257</f>
        <v>40555</v>
      </c>
      <c r="C257">
        <f>Dataset_A!C257</f>
        <v>1</v>
      </c>
      <c r="D257">
        <f>Dataset_A!D257</f>
        <v>0</v>
      </c>
      <c r="E257">
        <f>Dataset_A!E257</f>
        <v>1</v>
      </c>
      <c r="F257">
        <f>Dataset_A!F257</f>
        <v>0</v>
      </c>
      <c r="G257" t="b">
        <f>Dataset_A!G257</f>
        <v>0</v>
      </c>
      <c r="H257">
        <f>Dataset_A!H257</f>
        <v>3</v>
      </c>
      <c r="I257">
        <f>Dataset_A!I257</f>
        <v>2</v>
      </c>
      <c r="J257" s="55">
        <f>Dataset_A!J257</f>
        <v>0.16</v>
      </c>
      <c r="K257">
        <f>Dataset_A!K257</f>
        <v>0.19700000000000001</v>
      </c>
      <c r="L257">
        <f>Dataset_A!L257</f>
        <v>0.86</v>
      </c>
      <c r="M257">
        <f>Dataset_A!M257</f>
        <v>8.9599999999999999E-2</v>
      </c>
      <c r="N257">
        <f>Dataset_A!N257</f>
        <v>0</v>
      </c>
      <c r="O257">
        <f>Dataset_A!O257</f>
        <v>7</v>
      </c>
      <c r="P257">
        <f>Dataset_A!P257</f>
        <v>7</v>
      </c>
      <c r="Q257" t="str">
        <f t="shared" si="39"/>
        <v>REC-0256</v>
      </c>
      <c r="R257" s="62">
        <f t="shared" si="40"/>
        <v>40555</v>
      </c>
      <c r="S257" t="str">
        <f t="shared" si="41"/>
        <v>Jan</v>
      </c>
      <c r="T257" t="str">
        <f>INDEX(Lookups!$B$39:$B$45,MATCH(H257,Lookups!$A$39:$A$45,0))</f>
        <v>Wed</v>
      </c>
      <c r="U257" t="str">
        <f t="shared" si="42"/>
        <v>Weekday</v>
      </c>
      <c r="V257" t="str">
        <f t="shared" si="43"/>
        <v>Working Day</v>
      </c>
      <c r="W257" t="str">
        <f t="shared" si="44"/>
        <v>Spring</v>
      </c>
      <c r="X257" t="str">
        <f t="shared" si="45"/>
        <v>Cloudy/Mist</v>
      </c>
      <c r="Y257" t="str">
        <f t="shared" si="46"/>
        <v>Night</v>
      </c>
      <c r="Z257" t="str">
        <f t="shared" si="47"/>
        <v>Cold</v>
      </c>
      <c r="AA257" t="str">
        <f t="shared" si="48"/>
        <v>High</v>
      </c>
      <c r="AB257" t="str">
        <f t="shared" si="49"/>
        <v>Off-Peak</v>
      </c>
      <c r="AC257" s="63">
        <f t="shared" si="50"/>
        <v>0</v>
      </c>
      <c r="AD257" t="str">
        <f>IF(P257&gt;=Stats!$C$30,"High",IF(P257&lt;=Stats!$C$29,"Low","Normal"))</f>
        <v>Low</v>
      </c>
      <c r="AE257">
        <f t="shared" si="51"/>
        <v>1</v>
      </c>
    </row>
    <row r="258" spans="1:31" x14ac:dyDescent="0.2">
      <c r="A258">
        <f>Dataset_A!A258</f>
        <v>257</v>
      </c>
      <c r="B258" s="61">
        <f>Dataset_A!B258</f>
        <v>40555</v>
      </c>
      <c r="C258">
        <f>Dataset_A!C258</f>
        <v>1</v>
      </c>
      <c r="D258">
        <f>Dataset_A!D258</f>
        <v>0</v>
      </c>
      <c r="E258">
        <f>Dataset_A!E258</f>
        <v>1</v>
      </c>
      <c r="F258">
        <f>Dataset_A!F258</f>
        <v>1</v>
      </c>
      <c r="G258" t="b">
        <f>Dataset_A!G258</f>
        <v>0</v>
      </c>
      <c r="H258">
        <f>Dataset_A!H258</f>
        <v>3</v>
      </c>
      <c r="I258">
        <f>Dataset_A!I258</f>
        <v>2</v>
      </c>
      <c r="J258" s="55">
        <f>Dataset_A!J258</f>
        <v>0.16</v>
      </c>
      <c r="K258">
        <f>Dataset_A!K258</f>
        <v>0.18179999999999999</v>
      </c>
      <c r="L258">
        <f>Dataset_A!L258</f>
        <v>0.86</v>
      </c>
      <c r="M258">
        <f>Dataset_A!M258</f>
        <v>0.1045</v>
      </c>
      <c r="N258">
        <f>Dataset_A!N258</f>
        <v>0</v>
      </c>
      <c r="O258">
        <f>Dataset_A!O258</f>
        <v>6</v>
      </c>
      <c r="P258">
        <f>Dataset_A!P258</f>
        <v>6</v>
      </c>
      <c r="Q258" t="str">
        <f t="shared" ref="Q258:Q321" si="52">"REC-"&amp;TEXT(A258,"0000")</f>
        <v>REC-0257</v>
      </c>
      <c r="R258" s="62">
        <f t="shared" ref="R258:R321" si="53">B258+F258/24</f>
        <v>40555.041666666664</v>
      </c>
      <c r="S258" t="str">
        <f t="shared" ref="S258:S321" si="54">TEXT(B258,"mmm")</f>
        <v>Jan</v>
      </c>
      <c r="T258" t="str">
        <f>INDEX(Lookups!$B$39:$B$45,MATCH(H258,Lookups!$A$39:$A$45,0))</f>
        <v>Wed</v>
      </c>
      <c r="U258" t="str">
        <f t="shared" ref="U258:U321" si="55">IF(OR(H258=0,H258=6),"Weekend","Weekday")</f>
        <v>Weekday</v>
      </c>
      <c r="V258" t="str">
        <f t="shared" ref="V258:V321" si="56">IF(OR(U258="Weekend",G258=TRUE),"Non-Working Day","Working Day")</f>
        <v>Working Day</v>
      </c>
      <c r="W258" t="str">
        <f t="shared" ref="W258:W321" si="57">VLOOKUP(C258,tbl_season,2,FALSE)</f>
        <v>Spring</v>
      </c>
      <c r="X258" t="str">
        <f t="shared" ref="X258:X321" si="58">VLOOKUP(I258,tbl_weather,2,FALSE)</f>
        <v>Cloudy/Mist</v>
      </c>
      <c r="Y258" t="str">
        <f t="shared" ref="Y258:Y321" si="59">INDEX(band_name,MATCH(F258,band_start,1))</f>
        <v>Night</v>
      </c>
      <c r="Z258" t="str">
        <f t="shared" ref="Z258:Z321" si="60">INDEX(temp_band,MATCH(J258,temp_from,1))</f>
        <v>Cold</v>
      </c>
      <c r="AA258" t="str">
        <f t="shared" ref="AA258:AA321" si="61">INDEX(hum_band,MATCH(L258,hum_from,1))</f>
        <v>High</v>
      </c>
      <c r="AB258" t="str">
        <f t="shared" ref="AB258:AB321" si="62">IF(AND(U258="Weekday",OR(AND(F258&gt;=7,F258&lt;=9),AND(F258&gt;=16,F258&lt;=19))),"Peak","Off-Peak")</f>
        <v>Off-Peak</v>
      </c>
      <c r="AC258" s="63">
        <f t="shared" ref="AC258:AC321" si="63">IF(P258=0,0,N258/P258)</f>
        <v>0</v>
      </c>
      <c r="AD258" t="str">
        <f>IF(P258&gt;=Stats!$C$30,"High",IF(P258&lt;=Stats!$C$29,"Low","Normal"))</f>
        <v>Low</v>
      </c>
      <c r="AE258">
        <f t="shared" ref="AE258:AE321" si="64">SUBTOTAL(103,A258)</f>
        <v>1</v>
      </c>
    </row>
    <row r="259" spans="1:31" x14ac:dyDescent="0.2">
      <c r="A259">
        <f>Dataset_A!A259</f>
        <v>258</v>
      </c>
      <c r="B259" s="61">
        <f>Dataset_A!B259</f>
        <v>40555</v>
      </c>
      <c r="C259">
        <f>Dataset_A!C259</f>
        <v>1</v>
      </c>
      <c r="D259">
        <f>Dataset_A!D259</f>
        <v>0</v>
      </c>
      <c r="E259">
        <f>Dataset_A!E259</f>
        <v>1</v>
      </c>
      <c r="F259">
        <f>Dataset_A!F259</f>
        <v>2</v>
      </c>
      <c r="G259" t="b">
        <f>Dataset_A!G259</f>
        <v>0</v>
      </c>
      <c r="H259">
        <f>Dataset_A!H259</f>
        <v>3</v>
      </c>
      <c r="I259">
        <f>Dataset_A!I259</f>
        <v>1</v>
      </c>
      <c r="J259" s="55">
        <f>Dataset_A!J259</f>
        <v>0.14000000000000001</v>
      </c>
      <c r="K259">
        <f>Dataset_A!K259</f>
        <v>0.1515</v>
      </c>
      <c r="L259">
        <f>Dataset_A!L259</f>
        <v>0.86</v>
      </c>
      <c r="M259">
        <f>Dataset_A!M259</f>
        <v>0.1343</v>
      </c>
      <c r="N259">
        <f>Dataset_A!N259</f>
        <v>0</v>
      </c>
      <c r="O259">
        <f>Dataset_A!O259</f>
        <v>1</v>
      </c>
      <c r="P259">
        <f>Dataset_A!P259</f>
        <v>1</v>
      </c>
      <c r="Q259" t="str">
        <f t="shared" si="52"/>
        <v>REC-0258</v>
      </c>
      <c r="R259" s="62">
        <f t="shared" si="53"/>
        <v>40555.083333333336</v>
      </c>
      <c r="S259" t="str">
        <f t="shared" si="54"/>
        <v>Jan</v>
      </c>
      <c r="T259" t="str">
        <f>INDEX(Lookups!$B$39:$B$45,MATCH(H259,Lookups!$A$39:$A$45,0))</f>
        <v>Wed</v>
      </c>
      <c r="U259" t="str">
        <f t="shared" si="55"/>
        <v>Weekday</v>
      </c>
      <c r="V259" t="str">
        <f t="shared" si="56"/>
        <v>Working Day</v>
      </c>
      <c r="W259" t="str">
        <f t="shared" si="57"/>
        <v>Spring</v>
      </c>
      <c r="X259" t="str">
        <f t="shared" si="58"/>
        <v>Clear</v>
      </c>
      <c r="Y259" t="str">
        <f t="shared" si="59"/>
        <v>Night</v>
      </c>
      <c r="Z259" t="str">
        <f t="shared" si="60"/>
        <v>Cold</v>
      </c>
      <c r="AA259" t="str">
        <f t="shared" si="61"/>
        <v>High</v>
      </c>
      <c r="AB259" t="str">
        <f t="shared" si="62"/>
        <v>Off-Peak</v>
      </c>
      <c r="AC259" s="63">
        <f t="shared" si="63"/>
        <v>0</v>
      </c>
      <c r="AD259" t="str">
        <f>IF(P259&gt;=Stats!$C$30,"High",IF(P259&lt;=Stats!$C$29,"Low","Normal"))</f>
        <v>Low</v>
      </c>
      <c r="AE259">
        <f t="shared" si="64"/>
        <v>1</v>
      </c>
    </row>
    <row r="260" spans="1:31" x14ac:dyDescent="0.2">
      <c r="A260">
        <f>Dataset_A!A260</f>
        <v>259</v>
      </c>
      <c r="B260" s="61">
        <f>Dataset_A!B260</f>
        <v>40555</v>
      </c>
      <c r="C260">
        <f>Dataset_A!C260</f>
        <v>1</v>
      </c>
      <c r="D260">
        <f>Dataset_A!D260</f>
        <v>0</v>
      </c>
      <c r="E260">
        <f>Dataset_A!E260</f>
        <v>1</v>
      </c>
      <c r="F260">
        <f>Dataset_A!F260</f>
        <v>5</v>
      </c>
      <c r="G260" t="b">
        <f>Dataset_A!G260</f>
        <v>0</v>
      </c>
      <c r="H260">
        <f>Dataset_A!H260</f>
        <v>3</v>
      </c>
      <c r="I260">
        <f>Dataset_A!I260</f>
        <v>1</v>
      </c>
      <c r="J260" s="55">
        <f>Dataset_A!J260</f>
        <v>0.14000000000000001</v>
      </c>
      <c r="K260">
        <f>Dataset_A!K260</f>
        <v>0.1515</v>
      </c>
      <c r="L260">
        <f>Dataset_A!L260</f>
        <v>0.86</v>
      </c>
      <c r="M260">
        <f>Dataset_A!M260</f>
        <v>0.16420000000000001</v>
      </c>
      <c r="N260">
        <f>Dataset_A!N260</f>
        <v>0</v>
      </c>
      <c r="O260">
        <f>Dataset_A!O260</f>
        <v>5</v>
      </c>
      <c r="P260">
        <f>Dataset_A!P260</f>
        <v>5</v>
      </c>
      <c r="Q260" t="str">
        <f t="shared" si="52"/>
        <v>REC-0259</v>
      </c>
      <c r="R260" s="62">
        <f t="shared" si="53"/>
        <v>40555.208333333336</v>
      </c>
      <c r="S260" t="str">
        <f t="shared" si="54"/>
        <v>Jan</v>
      </c>
      <c r="T260" t="str">
        <f>INDEX(Lookups!$B$39:$B$45,MATCH(H260,Lookups!$A$39:$A$45,0))</f>
        <v>Wed</v>
      </c>
      <c r="U260" t="str">
        <f t="shared" si="55"/>
        <v>Weekday</v>
      </c>
      <c r="V260" t="str">
        <f t="shared" si="56"/>
        <v>Working Day</v>
      </c>
      <c r="W260" t="str">
        <f t="shared" si="57"/>
        <v>Spring</v>
      </c>
      <c r="X260" t="str">
        <f t="shared" si="58"/>
        <v>Clear</v>
      </c>
      <c r="Y260" t="str">
        <f t="shared" si="59"/>
        <v>Night</v>
      </c>
      <c r="Z260" t="str">
        <f t="shared" si="60"/>
        <v>Cold</v>
      </c>
      <c r="AA260" t="str">
        <f t="shared" si="61"/>
        <v>High</v>
      </c>
      <c r="AB260" t="str">
        <f t="shared" si="62"/>
        <v>Off-Peak</v>
      </c>
      <c r="AC260" s="63">
        <f t="shared" si="63"/>
        <v>0</v>
      </c>
      <c r="AD260" t="str">
        <f>IF(P260&gt;=Stats!$C$30,"High",IF(P260&lt;=Stats!$C$29,"Low","Normal"))</f>
        <v>Low</v>
      </c>
      <c r="AE260">
        <f t="shared" si="64"/>
        <v>1</v>
      </c>
    </row>
    <row r="261" spans="1:31" x14ac:dyDescent="0.2">
      <c r="A261">
        <f>Dataset_A!A261</f>
        <v>260</v>
      </c>
      <c r="B261" s="61">
        <f>Dataset_A!B261</f>
        <v>40555</v>
      </c>
      <c r="C261">
        <f>Dataset_A!C261</f>
        <v>1</v>
      </c>
      <c r="D261">
        <f>Dataset_A!D261</f>
        <v>0</v>
      </c>
      <c r="E261">
        <f>Dataset_A!E261</f>
        <v>1</v>
      </c>
      <c r="F261">
        <f>Dataset_A!F261</f>
        <v>6</v>
      </c>
      <c r="G261" t="b">
        <f>Dataset_A!G261</f>
        <v>0</v>
      </c>
      <c r="H261">
        <f>Dataset_A!H261</f>
        <v>3</v>
      </c>
      <c r="I261">
        <f>Dataset_A!I261</f>
        <v>1</v>
      </c>
      <c r="J261" s="55">
        <f>Dataset_A!J261</f>
        <v>0.12</v>
      </c>
      <c r="K261">
        <f>Dataset_A!K261</f>
        <v>0.1515</v>
      </c>
      <c r="L261">
        <f>Dataset_A!L261</f>
        <v>0.93</v>
      </c>
      <c r="M261">
        <f>Dataset_A!M261</f>
        <v>0.1343</v>
      </c>
      <c r="N261">
        <f>Dataset_A!N261</f>
        <v>0</v>
      </c>
      <c r="O261">
        <f>Dataset_A!O261</f>
        <v>16</v>
      </c>
      <c r="P261">
        <f>Dataset_A!P261</f>
        <v>16</v>
      </c>
      <c r="Q261" t="str">
        <f t="shared" si="52"/>
        <v>REC-0260</v>
      </c>
      <c r="R261" s="62">
        <f t="shared" si="53"/>
        <v>40555.25</v>
      </c>
      <c r="S261" t="str">
        <f t="shared" si="54"/>
        <v>Jan</v>
      </c>
      <c r="T261" t="str">
        <f>INDEX(Lookups!$B$39:$B$45,MATCH(H261,Lookups!$A$39:$A$45,0))</f>
        <v>Wed</v>
      </c>
      <c r="U261" t="str">
        <f t="shared" si="55"/>
        <v>Weekday</v>
      </c>
      <c r="V261" t="str">
        <f t="shared" si="56"/>
        <v>Working Day</v>
      </c>
      <c r="W261" t="str">
        <f t="shared" si="57"/>
        <v>Spring</v>
      </c>
      <c r="X261" t="str">
        <f t="shared" si="58"/>
        <v>Clear</v>
      </c>
      <c r="Y261" t="str">
        <f t="shared" si="59"/>
        <v>Morning</v>
      </c>
      <c r="Z261" t="str">
        <f t="shared" si="60"/>
        <v>Cold</v>
      </c>
      <c r="AA261" t="str">
        <f t="shared" si="61"/>
        <v>High</v>
      </c>
      <c r="AB261" t="str">
        <f t="shared" si="62"/>
        <v>Off-Peak</v>
      </c>
      <c r="AC261" s="63">
        <f t="shared" si="63"/>
        <v>0</v>
      </c>
      <c r="AD261" t="str">
        <f>IF(P261&gt;=Stats!$C$30,"High",IF(P261&lt;=Stats!$C$29,"Low","Normal"))</f>
        <v>Low</v>
      </c>
      <c r="AE261">
        <f t="shared" si="64"/>
        <v>1</v>
      </c>
    </row>
    <row r="262" spans="1:31" x14ac:dyDescent="0.2">
      <c r="A262">
        <f>Dataset_A!A262</f>
        <v>261</v>
      </c>
      <c r="B262" s="61">
        <f>Dataset_A!B262</f>
        <v>40555</v>
      </c>
      <c r="C262">
        <f>Dataset_A!C262</f>
        <v>1</v>
      </c>
      <c r="D262">
        <f>Dataset_A!D262</f>
        <v>0</v>
      </c>
      <c r="E262">
        <f>Dataset_A!E262</f>
        <v>1</v>
      </c>
      <c r="F262">
        <f>Dataset_A!F262</f>
        <v>7</v>
      </c>
      <c r="G262" t="b">
        <f>Dataset_A!G262</f>
        <v>0</v>
      </c>
      <c r="H262">
        <f>Dataset_A!H262</f>
        <v>3</v>
      </c>
      <c r="I262">
        <f>Dataset_A!I262</f>
        <v>1</v>
      </c>
      <c r="J262" s="55">
        <f>Dataset_A!J262</f>
        <v>0.14000000000000001</v>
      </c>
      <c r="K262">
        <f>Dataset_A!K262</f>
        <v>0.1515</v>
      </c>
      <c r="L262">
        <f>Dataset_A!L262</f>
        <v>0.69</v>
      </c>
      <c r="M262">
        <f>Dataset_A!M262</f>
        <v>0.1343</v>
      </c>
      <c r="N262">
        <f>Dataset_A!N262</f>
        <v>0</v>
      </c>
      <c r="O262">
        <f>Dataset_A!O262</f>
        <v>54</v>
      </c>
      <c r="P262">
        <f>Dataset_A!P262</f>
        <v>54</v>
      </c>
      <c r="Q262" t="str">
        <f t="shared" si="52"/>
        <v>REC-0261</v>
      </c>
      <c r="R262" s="62">
        <f t="shared" si="53"/>
        <v>40555.291666666664</v>
      </c>
      <c r="S262" t="str">
        <f t="shared" si="54"/>
        <v>Jan</v>
      </c>
      <c r="T262" t="str">
        <f>INDEX(Lookups!$B$39:$B$45,MATCH(H262,Lookups!$A$39:$A$45,0))</f>
        <v>Wed</v>
      </c>
      <c r="U262" t="str">
        <f t="shared" si="55"/>
        <v>Weekday</v>
      </c>
      <c r="V262" t="str">
        <f t="shared" si="56"/>
        <v>Working Day</v>
      </c>
      <c r="W262" t="str">
        <f t="shared" si="57"/>
        <v>Spring</v>
      </c>
      <c r="X262" t="str">
        <f t="shared" si="58"/>
        <v>Clear</v>
      </c>
      <c r="Y262" t="str">
        <f t="shared" si="59"/>
        <v>Morning</v>
      </c>
      <c r="Z262" t="str">
        <f t="shared" si="60"/>
        <v>Cold</v>
      </c>
      <c r="AA262" t="str">
        <f t="shared" si="61"/>
        <v>Medium</v>
      </c>
      <c r="AB262" t="str">
        <f t="shared" si="62"/>
        <v>Peak</v>
      </c>
      <c r="AC262" s="63">
        <f t="shared" si="63"/>
        <v>0</v>
      </c>
      <c r="AD262" t="str">
        <f>IF(P262&gt;=Stats!$C$30,"High",IF(P262&lt;=Stats!$C$29,"Low","Normal"))</f>
        <v>Normal</v>
      </c>
      <c r="AE262">
        <f t="shared" si="64"/>
        <v>1</v>
      </c>
    </row>
    <row r="263" spans="1:31" x14ac:dyDescent="0.2">
      <c r="A263">
        <f>Dataset_A!A263</f>
        <v>262</v>
      </c>
      <c r="B263" s="61">
        <f>Dataset_A!B263</f>
        <v>40555</v>
      </c>
      <c r="C263">
        <f>Dataset_A!C263</f>
        <v>1</v>
      </c>
      <c r="D263">
        <f>Dataset_A!D263</f>
        <v>0</v>
      </c>
      <c r="E263">
        <f>Dataset_A!E263</f>
        <v>1</v>
      </c>
      <c r="F263">
        <f>Dataset_A!F263</f>
        <v>8</v>
      </c>
      <c r="G263" t="b">
        <f>Dataset_A!G263</f>
        <v>0</v>
      </c>
      <c r="H263">
        <f>Dataset_A!H263</f>
        <v>3</v>
      </c>
      <c r="I263">
        <f>Dataset_A!I263</f>
        <v>1</v>
      </c>
      <c r="J263" s="55">
        <f>Dataset_A!J263</f>
        <v>0.16</v>
      </c>
      <c r="K263">
        <f>Dataset_A!K263</f>
        <v>0.16669999999999999</v>
      </c>
      <c r="L263">
        <f>Dataset_A!L263</f>
        <v>0.59</v>
      </c>
      <c r="M263">
        <f>Dataset_A!M263</f>
        <v>0.16420000000000001</v>
      </c>
      <c r="N263">
        <f>Dataset_A!N263</f>
        <v>3</v>
      </c>
      <c r="O263">
        <f>Dataset_A!O263</f>
        <v>125</v>
      </c>
      <c r="P263">
        <f>Dataset_A!P263</f>
        <v>128</v>
      </c>
      <c r="Q263" t="str">
        <f t="shared" si="52"/>
        <v>REC-0262</v>
      </c>
      <c r="R263" s="62">
        <f t="shared" si="53"/>
        <v>40555.333333333336</v>
      </c>
      <c r="S263" t="str">
        <f t="shared" si="54"/>
        <v>Jan</v>
      </c>
      <c r="T263" t="str">
        <f>INDEX(Lookups!$B$39:$B$45,MATCH(H263,Lookups!$A$39:$A$45,0))</f>
        <v>Wed</v>
      </c>
      <c r="U263" t="str">
        <f t="shared" si="55"/>
        <v>Weekday</v>
      </c>
      <c r="V263" t="str">
        <f t="shared" si="56"/>
        <v>Working Day</v>
      </c>
      <c r="W263" t="str">
        <f t="shared" si="57"/>
        <v>Spring</v>
      </c>
      <c r="X263" t="str">
        <f t="shared" si="58"/>
        <v>Clear</v>
      </c>
      <c r="Y263" t="str">
        <f t="shared" si="59"/>
        <v>Morning</v>
      </c>
      <c r="Z263" t="str">
        <f t="shared" si="60"/>
        <v>Cold</v>
      </c>
      <c r="AA263" t="str">
        <f t="shared" si="61"/>
        <v>Medium</v>
      </c>
      <c r="AB263" t="str">
        <f t="shared" si="62"/>
        <v>Peak</v>
      </c>
      <c r="AC263" s="63">
        <f t="shared" si="63"/>
        <v>2.34375E-2</v>
      </c>
      <c r="AD263" t="str">
        <f>IF(P263&gt;=Stats!$C$30,"High",IF(P263&lt;=Stats!$C$29,"Low","Normal"))</f>
        <v>High</v>
      </c>
      <c r="AE263">
        <f t="shared" si="64"/>
        <v>1</v>
      </c>
    </row>
    <row r="264" spans="1:31" x14ac:dyDescent="0.2">
      <c r="A264">
        <f>Dataset_A!A264</f>
        <v>263</v>
      </c>
      <c r="B264" s="61">
        <f>Dataset_A!B264</f>
        <v>40555</v>
      </c>
      <c r="C264">
        <f>Dataset_A!C264</f>
        <v>1</v>
      </c>
      <c r="D264">
        <f>Dataset_A!D264</f>
        <v>0</v>
      </c>
      <c r="E264">
        <f>Dataset_A!E264</f>
        <v>1</v>
      </c>
      <c r="F264">
        <f>Dataset_A!F264</f>
        <v>9</v>
      </c>
      <c r="G264" t="b">
        <f>Dataset_A!G264</f>
        <v>0</v>
      </c>
      <c r="H264">
        <f>Dataset_A!H264</f>
        <v>3</v>
      </c>
      <c r="I264">
        <f>Dataset_A!I264</f>
        <v>1</v>
      </c>
      <c r="J264" s="55">
        <f>Dataset_A!J264</f>
        <v>0.16</v>
      </c>
      <c r="K264">
        <f>Dataset_A!K264</f>
        <v>0.13639999999999999</v>
      </c>
      <c r="L264">
        <f>Dataset_A!L264</f>
        <v>0.59</v>
      </c>
      <c r="M264">
        <f>Dataset_A!M264</f>
        <v>0.32840000000000003</v>
      </c>
      <c r="N264">
        <f>Dataset_A!N264</f>
        <v>3</v>
      </c>
      <c r="O264">
        <f>Dataset_A!O264</f>
        <v>78</v>
      </c>
      <c r="P264">
        <f>Dataset_A!P264</f>
        <v>81</v>
      </c>
      <c r="Q264" t="str">
        <f t="shared" si="52"/>
        <v>REC-0263</v>
      </c>
      <c r="R264" s="62">
        <f t="shared" si="53"/>
        <v>40555.375</v>
      </c>
      <c r="S264" t="str">
        <f t="shared" si="54"/>
        <v>Jan</v>
      </c>
      <c r="T264" t="str">
        <f>INDEX(Lookups!$B$39:$B$45,MATCH(H264,Lookups!$A$39:$A$45,0))</f>
        <v>Wed</v>
      </c>
      <c r="U264" t="str">
        <f t="shared" si="55"/>
        <v>Weekday</v>
      </c>
      <c r="V264" t="str">
        <f t="shared" si="56"/>
        <v>Working Day</v>
      </c>
      <c r="W264" t="str">
        <f t="shared" si="57"/>
        <v>Spring</v>
      </c>
      <c r="X264" t="str">
        <f t="shared" si="58"/>
        <v>Clear</v>
      </c>
      <c r="Y264" t="str">
        <f t="shared" si="59"/>
        <v>Morning</v>
      </c>
      <c r="Z264" t="str">
        <f t="shared" si="60"/>
        <v>Cold</v>
      </c>
      <c r="AA264" t="str">
        <f t="shared" si="61"/>
        <v>Medium</v>
      </c>
      <c r="AB264" t="str">
        <f t="shared" si="62"/>
        <v>Peak</v>
      </c>
      <c r="AC264" s="63">
        <f t="shared" si="63"/>
        <v>3.7037037037037035E-2</v>
      </c>
      <c r="AD264" t="str">
        <f>IF(P264&gt;=Stats!$C$30,"High",IF(P264&lt;=Stats!$C$29,"Low","Normal"))</f>
        <v>Normal</v>
      </c>
      <c r="AE264">
        <f t="shared" si="64"/>
        <v>1</v>
      </c>
    </row>
    <row r="265" spans="1:31" x14ac:dyDescent="0.2">
      <c r="A265">
        <f>Dataset_A!A265</f>
        <v>264</v>
      </c>
      <c r="B265" s="61">
        <f>Dataset_A!B265</f>
        <v>40555</v>
      </c>
      <c r="C265">
        <f>Dataset_A!C265</f>
        <v>1</v>
      </c>
      <c r="D265">
        <f>Dataset_A!D265</f>
        <v>0</v>
      </c>
      <c r="E265">
        <f>Dataset_A!E265</f>
        <v>1</v>
      </c>
      <c r="F265">
        <f>Dataset_A!F265</f>
        <v>10</v>
      </c>
      <c r="G265" t="b">
        <f>Dataset_A!G265</f>
        <v>0</v>
      </c>
      <c r="H265">
        <f>Dataset_A!H265</f>
        <v>3</v>
      </c>
      <c r="I265">
        <f>Dataset_A!I265</f>
        <v>1</v>
      </c>
      <c r="J265" s="55">
        <f>Dataset_A!J265</f>
        <v>0.18</v>
      </c>
      <c r="K265">
        <f>Dataset_A!K265</f>
        <v>0.18179999999999999</v>
      </c>
      <c r="L265">
        <f>Dataset_A!L265</f>
        <v>0.55000000000000004</v>
      </c>
      <c r="M265">
        <f>Dataset_A!M265</f>
        <v>0.22389999999999999</v>
      </c>
      <c r="N265">
        <f>Dataset_A!N265</f>
        <v>0</v>
      </c>
      <c r="O265">
        <f>Dataset_A!O265</f>
        <v>39</v>
      </c>
      <c r="P265">
        <f>Dataset_A!P265</f>
        <v>39</v>
      </c>
      <c r="Q265" t="str">
        <f t="shared" si="52"/>
        <v>REC-0264</v>
      </c>
      <c r="R265" s="62">
        <f t="shared" si="53"/>
        <v>40555.416666666664</v>
      </c>
      <c r="S265" t="str">
        <f t="shared" si="54"/>
        <v>Jan</v>
      </c>
      <c r="T265" t="str">
        <f>INDEX(Lookups!$B$39:$B$45,MATCH(H265,Lookups!$A$39:$A$45,0))</f>
        <v>Wed</v>
      </c>
      <c r="U265" t="str">
        <f t="shared" si="55"/>
        <v>Weekday</v>
      </c>
      <c r="V265" t="str">
        <f t="shared" si="56"/>
        <v>Working Day</v>
      </c>
      <c r="W265" t="str">
        <f t="shared" si="57"/>
        <v>Spring</v>
      </c>
      <c r="X265" t="str">
        <f t="shared" si="58"/>
        <v>Clear</v>
      </c>
      <c r="Y265" t="str">
        <f t="shared" si="59"/>
        <v>Morning</v>
      </c>
      <c r="Z265" t="str">
        <f t="shared" si="60"/>
        <v>Cold</v>
      </c>
      <c r="AA265" t="str">
        <f t="shared" si="61"/>
        <v>Medium</v>
      </c>
      <c r="AB265" t="str">
        <f t="shared" si="62"/>
        <v>Off-Peak</v>
      </c>
      <c r="AC265" s="63">
        <f t="shared" si="63"/>
        <v>0</v>
      </c>
      <c r="AD265" t="str">
        <f>IF(P265&gt;=Stats!$C$30,"High",IF(P265&lt;=Stats!$C$29,"Low","Normal"))</f>
        <v>Normal</v>
      </c>
      <c r="AE265">
        <f t="shared" si="64"/>
        <v>1</v>
      </c>
    </row>
    <row r="266" spans="1:31" x14ac:dyDescent="0.2">
      <c r="A266">
        <f>Dataset_A!A266</f>
        <v>265</v>
      </c>
      <c r="B266" s="61">
        <f>Dataset_A!B266</f>
        <v>40555</v>
      </c>
      <c r="C266">
        <f>Dataset_A!C266</f>
        <v>1</v>
      </c>
      <c r="D266">
        <f>Dataset_A!D266</f>
        <v>0</v>
      </c>
      <c r="E266">
        <f>Dataset_A!E266</f>
        <v>1</v>
      </c>
      <c r="F266">
        <f>Dataset_A!F266</f>
        <v>11</v>
      </c>
      <c r="G266" t="b">
        <f>Dataset_A!G266</f>
        <v>0</v>
      </c>
      <c r="H266">
        <f>Dataset_A!H266</f>
        <v>3</v>
      </c>
      <c r="I266">
        <f>Dataset_A!I266</f>
        <v>1</v>
      </c>
      <c r="J266" s="55">
        <f>Dataset_A!J266</f>
        <v>0.2</v>
      </c>
      <c r="K266">
        <f>Dataset_A!K266</f>
        <v>0.18179999999999999</v>
      </c>
      <c r="L266">
        <f>Dataset_A!L266</f>
        <v>0.51</v>
      </c>
      <c r="M266">
        <f>Dataset_A!M266</f>
        <v>0.3881</v>
      </c>
      <c r="N266">
        <f>Dataset_A!N266</f>
        <v>3</v>
      </c>
      <c r="O266">
        <f>Dataset_A!O266</f>
        <v>32</v>
      </c>
      <c r="P266">
        <f>Dataset_A!P266</f>
        <v>35</v>
      </c>
      <c r="Q266" t="str">
        <f t="shared" si="52"/>
        <v>REC-0265</v>
      </c>
      <c r="R266" s="62">
        <f t="shared" si="53"/>
        <v>40555.458333333336</v>
      </c>
      <c r="S266" t="str">
        <f t="shared" si="54"/>
        <v>Jan</v>
      </c>
      <c r="T266" t="str">
        <f>INDEX(Lookups!$B$39:$B$45,MATCH(H266,Lookups!$A$39:$A$45,0))</f>
        <v>Wed</v>
      </c>
      <c r="U266" t="str">
        <f t="shared" si="55"/>
        <v>Weekday</v>
      </c>
      <c r="V266" t="str">
        <f t="shared" si="56"/>
        <v>Working Day</v>
      </c>
      <c r="W266" t="str">
        <f t="shared" si="57"/>
        <v>Spring</v>
      </c>
      <c r="X266" t="str">
        <f t="shared" si="58"/>
        <v>Clear</v>
      </c>
      <c r="Y266" t="str">
        <f t="shared" si="59"/>
        <v>Morning</v>
      </c>
      <c r="Z266" t="str">
        <f t="shared" si="60"/>
        <v>Mild</v>
      </c>
      <c r="AA266" t="str">
        <f t="shared" si="61"/>
        <v>Medium</v>
      </c>
      <c r="AB266" t="str">
        <f t="shared" si="62"/>
        <v>Off-Peak</v>
      </c>
      <c r="AC266" s="63">
        <f t="shared" si="63"/>
        <v>8.5714285714285715E-2</v>
      </c>
      <c r="AD266" t="str">
        <f>IF(P266&gt;=Stats!$C$30,"High",IF(P266&lt;=Stats!$C$29,"Low","Normal"))</f>
        <v>Normal</v>
      </c>
      <c r="AE266">
        <f t="shared" si="64"/>
        <v>1</v>
      </c>
    </row>
    <row r="267" spans="1:31" x14ac:dyDescent="0.2">
      <c r="A267">
        <f>Dataset_A!A267</f>
        <v>266</v>
      </c>
      <c r="B267" s="61">
        <f>Dataset_A!B267</f>
        <v>40555</v>
      </c>
      <c r="C267">
        <f>Dataset_A!C267</f>
        <v>1</v>
      </c>
      <c r="D267">
        <f>Dataset_A!D267</f>
        <v>0</v>
      </c>
      <c r="E267">
        <f>Dataset_A!E267</f>
        <v>1</v>
      </c>
      <c r="F267">
        <f>Dataset_A!F267</f>
        <v>12</v>
      </c>
      <c r="G267" t="b">
        <f>Dataset_A!G267</f>
        <v>0</v>
      </c>
      <c r="H267">
        <f>Dataset_A!H267</f>
        <v>3</v>
      </c>
      <c r="I267">
        <f>Dataset_A!I267</f>
        <v>1</v>
      </c>
      <c r="J267" s="55">
        <f>Dataset_A!J267</f>
        <v>0.2</v>
      </c>
      <c r="K267">
        <f>Dataset_A!K267</f>
        <v>0.1515</v>
      </c>
      <c r="L267">
        <f>Dataset_A!L267</f>
        <v>0.47</v>
      </c>
      <c r="M267">
        <f>Dataset_A!M267</f>
        <v>0.58209999999999995</v>
      </c>
      <c r="N267">
        <f>Dataset_A!N267</f>
        <v>3</v>
      </c>
      <c r="O267">
        <f>Dataset_A!O267</f>
        <v>52</v>
      </c>
      <c r="P267">
        <f>Dataset_A!P267</f>
        <v>55</v>
      </c>
      <c r="Q267" t="str">
        <f t="shared" si="52"/>
        <v>REC-0266</v>
      </c>
      <c r="R267" s="62">
        <f t="shared" si="53"/>
        <v>40555.5</v>
      </c>
      <c r="S267" t="str">
        <f t="shared" si="54"/>
        <v>Jan</v>
      </c>
      <c r="T267" t="str">
        <f>INDEX(Lookups!$B$39:$B$45,MATCH(H267,Lookups!$A$39:$A$45,0))</f>
        <v>Wed</v>
      </c>
      <c r="U267" t="str">
        <f t="shared" si="55"/>
        <v>Weekday</v>
      </c>
      <c r="V267" t="str">
        <f t="shared" si="56"/>
        <v>Working Day</v>
      </c>
      <c r="W267" t="str">
        <f t="shared" si="57"/>
        <v>Spring</v>
      </c>
      <c r="X267" t="str">
        <f t="shared" si="58"/>
        <v>Clear</v>
      </c>
      <c r="Y267" t="str">
        <f t="shared" si="59"/>
        <v>Afternoon</v>
      </c>
      <c r="Z267" t="str">
        <f t="shared" si="60"/>
        <v>Mild</v>
      </c>
      <c r="AA267" t="str">
        <f t="shared" si="61"/>
        <v>Low</v>
      </c>
      <c r="AB267" t="str">
        <f t="shared" si="62"/>
        <v>Off-Peak</v>
      </c>
      <c r="AC267" s="63">
        <f t="shared" si="63"/>
        <v>5.4545454545454543E-2</v>
      </c>
      <c r="AD267" t="str">
        <f>IF(P267&gt;=Stats!$C$30,"High",IF(P267&lt;=Stats!$C$29,"Low","Normal"))</f>
        <v>Normal</v>
      </c>
      <c r="AE267">
        <f t="shared" si="64"/>
        <v>1</v>
      </c>
    </row>
    <row r="268" spans="1:31" x14ac:dyDescent="0.2">
      <c r="A268">
        <f>Dataset_A!A268</f>
        <v>267</v>
      </c>
      <c r="B268" s="61">
        <f>Dataset_A!B268</f>
        <v>40555</v>
      </c>
      <c r="C268">
        <f>Dataset_A!C268</f>
        <v>1</v>
      </c>
      <c r="D268">
        <f>Dataset_A!D268</f>
        <v>0</v>
      </c>
      <c r="E268">
        <f>Dataset_A!E268</f>
        <v>1</v>
      </c>
      <c r="F268">
        <f>Dataset_A!F268</f>
        <v>13</v>
      </c>
      <c r="G268" t="b">
        <f>Dataset_A!G268</f>
        <v>0</v>
      </c>
      <c r="H268">
        <f>Dataset_A!H268</f>
        <v>3</v>
      </c>
      <c r="I268">
        <f>Dataset_A!I268</f>
        <v>1</v>
      </c>
      <c r="J268" s="55">
        <f>Dataset_A!J268</f>
        <v>0.22</v>
      </c>
      <c r="K268">
        <f>Dataset_A!K268</f>
        <v>0.19700000000000001</v>
      </c>
      <c r="L268">
        <f>Dataset_A!L268</f>
        <v>0.44</v>
      </c>
      <c r="M268">
        <f>Dataset_A!M268</f>
        <v>0.35820000000000002</v>
      </c>
      <c r="N268">
        <f>Dataset_A!N268</f>
        <v>0</v>
      </c>
      <c r="O268">
        <f>Dataset_A!O268</f>
        <v>49</v>
      </c>
      <c r="P268">
        <f>Dataset_A!P268</f>
        <v>49</v>
      </c>
      <c r="Q268" t="str">
        <f t="shared" si="52"/>
        <v>REC-0267</v>
      </c>
      <c r="R268" s="62">
        <f t="shared" si="53"/>
        <v>40555.541666666664</v>
      </c>
      <c r="S268" t="str">
        <f t="shared" si="54"/>
        <v>Jan</v>
      </c>
      <c r="T268" t="str">
        <f>INDEX(Lookups!$B$39:$B$45,MATCH(H268,Lookups!$A$39:$A$45,0))</f>
        <v>Wed</v>
      </c>
      <c r="U268" t="str">
        <f t="shared" si="55"/>
        <v>Weekday</v>
      </c>
      <c r="V268" t="str">
        <f t="shared" si="56"/>
        <v>Working Day</v>
      </c>
      <c r="W268" t="str">
        <f t="shared" si="57"/>
        <v>Spring</v>
      </c>
      <c r="X268" t="str">
        <f t="shared" si="58"/>
        <v>Clear</v>
      </c>
      <c r="Y268" t="str">
        <f t="shared" si="59"/>
        <v>Afternoon</v>
      </c>
      <c r="Z268" t="str">
        <f t="shared" si="60"/>
        <v>Mild</v>
      </c>
      <c r="AA268" t="str">
        <f t="shared" si="61"/>
        <v>Low</v>
      </c>
      <c r="AB268" t="str">
        <f t="shared" si="62"/>
        <v>Off-Peak</v>
      </c>
      <c r="AC268" s="63">
        <f t="shared" si="63"/>
        <v>0</v>
      </c>
      <c r="AD268" t="str">
        <f>IF(P268&gt;=Stats!$C$30,"High",IF(P268&lt;=Stats!$C$29,"Low","Normal"))</f>
        <v>Normal</v>
      </c>
      <c r="AE268">
        <f t="shared" si="64"/>
        <v>1</v>
      </c>
    </row>
    <row r="269" spans="1:31" x14ac:dyDescent="0.2">
      <c r="A269">
        <f>Dataset_A!A269</f>
        <v>268</v>
      </c>
      <c r="B269" s="61">
        <f>Dataset_A!B269</f>
        <v>40555</v>
      </c>
      <c r="C269">
        <f>Dataset_A!C269</f>
        <v>1</v>
      </c>
      <c r="D269">
        <f>Dataset_A!D269</f>
        <v>0</v>
      </c>
      <c r="E269">
        <f>Dataset_A!E269</f>
        <v>1</v>
      </c>
      <c r="F269">
        <f>Dataset_A!F269</f>
        <v>14</v>
      </c>
      <c r="G269" t="b">
        <f>Dataset_A!G269</f>
        <v>0</v>
      </c>
      <c r="H269">
        <f>Dataset_A!H269</f>
        <v>3</v>
      </c>
      <c r="I269">
        <f>Dataset_A!I269</f>
        <v>1</v>
      </c>
      <c r="J269" s="55">
        <f>Dataset_A!J269</f>
        <v>0.2</v>
      </c>
      <c r="K269">
        <f>Dataset_A!K269</f>
        <v>0.18179999999999999</v>
      </c>
      <c r="L269">
        <f>Dataset_A!L269</f>
        <v>0.47</v>
      </c>
      <c r="M269">
        <f>Dataset_A!M269</f>
        <v>0.32840000000000003</v>
      </c>
      <c r="N269">
        <f>Dataset_A!N269</f>
        <v>0</v>
      </c>
      <c r="O269">
        <f>Dataset_A!O269</f>
        <v>44</v>
      </c>
      <c r="P269">
        <f>Dataset_A!P269</f>
        <v>44</v>
      </c>
      <c r="Q269" t="str">
        <f t="shared" si="52"/>
        <v>REC-0268</v>
      </c>
      <c r="R269" s="62">
        <f t="shared" si="53"/>
        <v>40555.583333333336</v>
      </c>
      <c r="S269" t="str">
        <f t="shared" si="54"/>
        <v>Jan</v>
      </c>
      <c r="T269" t="str">
        <f>INDEX(Lookups!$B$39:$B$45,MATCH(H269,Lookups!$A$39:$A$45,0))</f>
        <v>Wed</v>
      </c>
      <c r="U269" t="str">
        <f t="shared" si="55"/>
        <v>Weekday</v>
      </c>
      <c r="V269" t="str">
        <f t="shared" si="56"/>
        <v>Working Day</v>
      </c>
      <c r="W269" t="str">
        <f t="shared" si="57"/>
        <v>Spring</v>
      </c>
      <c r="X269" t="str">
        <f t="shared" si="58"/>
        <v>Clear</v>
      </c>
      <c r="Y269" t="str">
        <f t="shared" si="59"/>
        <v>Afternoon</v>
      </c>
      <c r="Z269" t="str">
        <f t="shared" si="60"/>
        <v>Mild</v>
      </c>
      <c r="AA269" t="str">
        <f t="shared" si="61"/>
        <v>Low</v>
      </c>
      <c r="AB269" t="str">
        <f t="shared" si="62"/>
        <v>Off-Peak</v>
      </c>
      <c r="AC269" s="63">
        <f t="shared" si="63"/>
        <v>0</v>
      </c>
      <c r="AD269" t="str">
        <f>IF(P269&gt;=Stats!$C$30,"High",IF(P269&lt;=Stats!$C$29,"Low","Normal"))</f>
        <v>Normal</v>
      </c>
      <c r="AE269">
        <f t="shared" si="64"/>
        <v>1</v>
      </c>
    </row>
    <row r="270" spans="1:31" x14ac:dyDescent="0.2">
      <c r="A270">
        <f>Dataset_A!A270</f>
        <v>269</v>
      </c>
      <c r="B270" s="61">
        <f>Dataset_A!B270</f>
        <v>40555</v>
      </c>
      <c r="C270">
        <f>Dataset_A!C270</f>
        <v>1</v>
      </c>
      <c r="D270">
        <f>Dataset_A!D270</f>
        <v>0</v>
      </c>
      <c r="E270">
        <f>Dataset_A!E270</f>
        <v>1</v>
      </c>
      <c r="F270">
        <f>Dataset_A!F270</f>
        <v>15</v>
      </c>
      <c r="G270" t="b">
        <f>Dataset_A!G270</f>
        <v>0</v>
      </c>
      <c r="H270">
        <f>Dataset_A!H270</f>
        <v>3</v>
      </c>
      <c r="I270">
        <f>Dataset_A!I270</f>
        <v>1</v>
      </c>
      <c r="J270" s="55">
        <f>Dataset_A!J270</f>
        <v>0.2</v>
      </c>
      <c r="K270">
        <f>Dataset_A!K270</f>
        <v>0.16669999999999999</v>
      </c>
      <c r="L270">
        <f>Dataset_A!L270</f>
        <v>0.47</v>
      </c>
      <c r="M270">
        <f>Dataset_A!M270</f>
        <v>0.41789999999999999</v>
      </c>
      <c r="N270">
        <f>Dataset_A!N270</f>
        <v>1</v>
      </c>
      <c r="O270">
        <f>Dataset_A!O270</f>
        <v>48</v>
      </c>
      <c r="P270">
        <f>Dataset_A!P270</f>
        <v>49</v>
      </c>
      <c r="Q270" t="str">
        <f t="shared" si="52"/>
        <v>REC-0269</v>
      </c>
      <c r="R270" s="62">
        <f t="shared" si="53"/>
        <v>40555.625</v>
      </c>
      <c r="S270" t="str">
        <f t="shared" si="54"/>
        <v>Jan</v>
      </c>
      <c r="T270" t="str">
        <f>INDEX(Lookups!$B$39:$B$45,MATCH(H270,Lookups!$A$39:$A$45,0))</f>
        <v>Wed</v>
      </c>
      <c r="U270" t="str">
        <f t="shared" si="55"/>
        <v>Weekday</v>
      </c>
      <c r="V270" t="str">
        <f t="shared" si="56"/>
        <v>Working Day</v>
      </c>
      <c r="W270" t="str">
        <f t="shared" si="57"/>
        <v>Spring</v>
      </c>
      <c r="X270" t="str">
        <f t="shared" si="58"/>
        <v>Clear</v>
      </c>
      <c r="Y270" t="str">
        <f t="shared" si="59"/>
        <v>Afternoon</v>
      </c>
      <c r="Z270" t="str">
        <f t="shared" si="60"/>
        <v>Mild</v>
      </c>
      <c r="AA270" t="str">
        <f t="shared" si="61"/>
        <v>Low</v>
      </c>
      <c r="AB270" t="str">
        <f t="shared" si="62"/>
        <v>Off-Peak</v>
      </c>
      <c r="AC270" s="63">
        <f t="shared" si="63"/>
        <v>2.0408163265306121E-2</v>
      </c>
      <c r="AD270" t="str">
        <f>IF(P270&gt;=Stats!$C$30,"High",IF(P270&lt;=Stats!$C$29,"Low","Normal"))</f>
        <v>Normal</v>
      </c>
      <c r="AE270">
        <f t="shared" si="64"/>
        <v>1</v>
      </c>
    </row>
    <row r="271" spans="1:31" x14ac:dyDescent="0.2">
      <c r="A271">
        <f>Dataset_A!A271</f>
        <v>270</v>
      </c>
      <c r="B271" s="61">
        <f>Dataset_A!B271</f>
        <v>40555</v>
      </c>
      <c r="C271">
        <f>Dataset_A!C271</f>
        <v>1</v>
      </c>
      <c r="D271">
        <f>Dataset_A!D271</f>
        <v>0</v>
      </c>
      <c r="E271">
        <f>Dataset_A!E271</f>
        <v>1</v>
      </c>
      <c r="F271">
        <f>Dataset_A!F271</f>
        <v>16</v>
      </c>
      <c r="G271" t="b">
        <f>Dataset_A!G271</f>
        <v>0</v>
      </c>
      <c r="H271">
        <f>Dataset_A!H271</f>
        <v>3</v>
      </c>
      <c r="I271">
        <f>Dataset_A!I271</f>
        <v>1</v>
      </c>
      <c r="J271" s="55">
        <f>Dataset_A!J271</f>
        <v>0.22</v>
      </c>
      <c r="K271">
        <f>Dataset_A!K271</f>
        <v>0.19700000000000001</v>
      </c>
      <c r="L271">
        <f>Dataset_A!L271</f>
        <v>0.44</v>
      </c>
      <c r="M271">
        <f>Dataset_A!M271</f>
        <v>0.32840000000000003</v>
      </c>
      <c r="N271">
        <f>Dataset_A!N271</f>
        <v>5</v>
      </c>
      <c r="O271">
        <f>Dataset_A!O271</f>
        <v>63</v>
      </c>
      <c r="P271">
        <f>Dataset_A!P271</f>
        <v>68</v>
      </c>
      <c r="Q271" t="str">
        <f t="shared" si="52"/>
        <v>REC-0270</v>
      </c>
      <c r="R271" s="62">
        <f t="shared" si="53"/>
        <v>40555.666666666664</v>
      </c>
      <c r="S271" t="str">
        <f t="shared" si="54"/>
        <v>Jan</v>
      </c>
      <c r="T271" t="str">
        <f>INDEX(Lookups!$B$39:$B$45,MATCH(H271,Lookups!$A$39:$A$45,0))</f>
        <v>Wed</v>
      </c>
      <c r="U271" t="str">
        <f t="shared" si="55"/>
        <v>Weekday</v>
      </c>
      <c r="V271" t="str">
        <f t="shared" si="56"/>
        <v>Working Day</v>
      </c>
      <c r="W271" t="str">
        <f t="shared" si="57"/>
        <v>Spring</v>
      </c>
      <c r="X271" t="str">
        <f t="shared" si="58"/>
        <v>Clear</v>
      </c>
      <c r="Y271" t="str">
        <f t="shared" si="59"/>
        <v>Afternoon</v>
      </c>
      <c r="Z271" t="str">
        <f t="shared" si="60"/>
        <v>Mild</v>
      </c>
      <c r="AA271" t="str">
        <f t="shared" si="61"/>
        <v>Low</v>
      </c>
      <c r="AB271" t="str">
        <f t="shared" si="62"/>
        <v>Peak</v>
      </c>
      <c r="AC271" s="63">
        <f t="shared" si="63"/>
        <v>7.3529411764705885E-2</v>
      </c>
      <c r="AD271" t="str">
        <f>IF(P271&gt;=Stats!$C$30,"High",IF(P271&lt;=Stats!$C$29,"Low","Normal"))</f>
        <v>Normal</v>
      </c>
      <c r="AE271">
        <f t="shared" si="64"/>
        <v>1</v>
      </c>
    </row>
    <row r="272" spans="1:31" x14ac:dyDescent="0.2">
      <c r="A272">
        <f>Dataset_A!A272</f>
        <v>271</v>
      </c>
      <c r="B272" s="61">
        <f>Dataset_A!B272</f>
        <v>40555</v>
      </c>
      <c r="C272">
        <f>Dataset_A!C272</f>
        <v>1</v>
      </c>
      <c r="D272">
        <f>Dataset_A!D272</f>
        <v>0</v>
      </c>
      <c r="E272">
        <f>Dataset_A!E272</f>
        <v>1</v>
      </c>
      <c r="F272">
        <f>Dataset_A!F272</f>
        <v>17</v>
      </c>
      <c r="G272" t="b">
        <f>Dataset_A!G272</f>
        <v>0</v>
      </c>
      <c r="H272">
        <f>Dataset_A!H272</f>
        <v>3</v>
      </c>
      <c r="I272">
        <f>Dataset_A!I272</f>
        <v>1</v>
      </c>
      <c r="J272" s="55">
        <f>Dataset_A!J272</f>
        <v>0.2</v>
      </c>
      <c r="K272">
        <f>Dataset_A!K272</f>
        <v>0.18179999999999999</v>
      </c>
      <c r="L272">
        <f>Dataset_A!L272</f>
        <v>0.47</v>
      </c>
      <c r="M272">
        <f>Dataset_A!M272</f>
        <v>0.35820000000000002</v>
      </c>
      <c r="N272">
        <f>Dataset_A!N272</f>
        <v>0</v>
      </c>
      <c r="O272">
        <f>Dataset_A!O272</f>
        <v>139</v>
      </c>
      <c r="P272">
        <f>Dataset_A!P272</f>
        <v>139</v>
      </c>
      <c r="Q272" t="str">
        <f t="shared" si="52"/>
        <v>REC-0271</v>
      </c>
      <c r="R272" s="62">
        <f t="shared" si="53"/>
        <v>40555.708333333336</v>
      </c>
      <c r="S272" t="str">
        <f t="shared" si="54"/>
        <v>Jan</v>
      </c>
      <c r="T272" t="str">
        <f>INDEX(Lookups!$B$39:$B$45,MATCH(H272,Lookups!$A$39:$A$45,0))</f>
        <v>Wed</v>
      </c>
      <c r="U272" t="str">
        <f t="shared" si="55"/>
        <v>Weekday</v>
      </c>
      <c r="V272" t="str">
        <f t="shared" si="56"/>
        <v>Working Day</v>
      </c>
      <c r="W272" t="str">
        <f t="shared" si="57"/>
        <v>Spring</v>
      </c>
      <c r="X272" t="str">
        <f t="shared" si="58"/>
        <v>Clear</v>
      </c>
      <c r="Y272" t="str">
        <f t="shared" si="59"/>
        <v>Evening</v>
      </c>
      <c r="Z272" t="str">
        <f t="shared" si="60"/>
        <v>Mild</v>
      </c>
      <c r="AA272" t="str">
        <f t="shared" si="61"/>
        <v>Low</v>
      </c>
      <c r="AB272" t="str">
        <f t="shared" si="62"/>
        <v>Peak</v>
      </c>
      <c r="AC272" s="63">
        <f t="shared" si="63"/>
        <v>0</v>
      </c>
      <c r="AD272" t="str">
        <f>IF(P272&gt;=Stats!$C$30,"High",IF(P272&lt;=Stats!$C$29,"Low","Normal"))</f>
        <v>High</v>
      </c>
      <c r="AE272">
        <f t="shared" si="64"/>
        <v>1</v>
      </c>
    </row>
    <row r="273" spans="1:31" x14ac:dyDescent="0.2">
      <c r="A273">
        <f>Dataset_A!A273</f>
        <v>272</v>
      </c>
      <c r="B273" s="61">
        <f>Dataset_A!B273</f>
        <v>40555</v>
      </c>
      <c r="C273">
        <f>Dataset_A!C273</f>
        <v>1</v>
      </c>
      <c r="D273">
        <f>Dataset_A!D273</f>
        <v>0</v>
      </c>
      <c r="E273">
        <f>Dataset_A!E273</f>
        <v>1</v>
      </c>
      <c r="F273">
        <f>Dataset_A!F273</f>
        <v>18</v>
      </c>
      <c r="G273" t="b">
        <f>Dataset_A!G273</f>
        <v>0</v>
      </c>
      <c r="H273">
        <f>Dataset_A!H273</f>
        <v>3</v>
      </c>
      <c r="I273">
        <f>Dataset_A!I273</f>
        <v>1</v>
      </c>
      <c r="J273" s="55">
        <f>Dataset_A!J273</f>
        <v>0.2</v>
      </c>
      <c r="K273">
        <f>Dataset_A!K273</f>
        <v>0.1515</v>
      </c>
      <c r="L273">
        <f>Dataset_A!L273</f>
        <v>0.47</v>
      </c>
      <c r="M273">
        <f>Dataset_A!M273</f>
        <v>0.52239999999999998</v>
      </c>
      <c r="N273">
        <f>Dataset_A!N273</f>
        <v>2</v>
      </c>
      <c r="O273">
        <f>Dataset_A!O273</f>
        <v>135</v>
      </c>
      <c r="P273">
        <f>Dataset_A!P273</f>
        <v>137</v>
      </c>
      <c r="Q273" t="str">
        <f t="shared" si="52"/>
        <v>REC-0272</v>
      </c>
      <c r="R273" s="62">
        <f t="shared" si="53"/>
        <v>40555.75</v>
      </c>
      <c r="S273" t="str">
        <f t="shared" si="54"/>
        <v>Jan</v>
      </c>
      <c r="T273" t="str">
        <f>INDEX(Lookups!$B$39:$B$45,MATCH(H273,Lookups!$A$39:$A$45,0))</f>
        <v>Wed</v>
      </c>
      <c r="U273" t="str">
        <f t="shared" si="55"/>
        <v>Weekday</v>
      </c>
      <c r="V273" t="str">
        <f t="shared" si="56"/>
        <v>Working Day</v>
      </c>
      <c r="W273" t="str">
        <f t="shared" si="57"/>
        <v>Spring</v>
      </c>
      <c r="X273" t="str">
        <f t="shared" si="58"/>
        <v>Clear</v>
      </c>
      <c r="Y273" t="str">
        <f t="shared" si="59"/>
        <v>Evening</v>
      </c>
      <c r="Z273" t="str">
        <f t="shared" si="60"/>
        <v>Mild</v>
      </c>
      <c r="AA273" t="str">
        <f t="shared" si="61"/>
        <v>Low</v>
      </c>
      <c r="AB273" t="str">
        <f t="shared" si="62"/>
        <v>Peak</v>
      </c>
      <c r="AC273" s="63">
        <f t="shared" si="63"/>
        <v>1.4598540145985401E-2</v>
      </c>
      <c r="AD273" t="str">
        <f>IF(P273&gt;=Stats!$C$30,"High",IF(P273&lt;=Stats!$C$29,"Low","Normal"))</f>
        <v>High</v>
      </c>
      <c r="AE273">
        <f t="shared" si="64"/>
        <v>1</v>
      </c>
    </row>
    <row r="274" spans="1:31" x14ac:dyDescent="0.2">
      <c r="A274">
        <f>Dataset_A!A274</f>
        <v>273</v>
      </c>
      <c r="B274" s="61">
        <f>Dataset_A!B274</f>
        <v>40555</v>
      </c>
      <c r="C274">
        <f>Dataset_A!C274</f>
        <v>1</v>
      </c>
      <c r="D274">
        <f>Dataset_A!D274</f>
        <v>0</v>
      </c>
      <c r="E274">
        <f>Dataset_A!E274</f>
        <v>1</v>
      </c>
      <c r="F274">
        <f>Dataset_A!F274</f>
        <v>19</v>
      </c>
      <c r="G274" t="b">
        <f>Dataset_A!G274</f>
        <v>0</v>
      </c>
      <c r="H274">
        <f>Dataset_A!H274</f>
        <v>3</v>
      </c>
      <c r="I274">
        <f>Dataset_A!I274</f>
        <v>1</v>
      </c>
      <c r="J274" s="55">
        <f>Dataset_A!J274</f>
        <v>0.18</v>
      </c>
      <c r="K274">
        <f>Dataset_A!K274</f>
        <v>0.1515</v>
      </c>
      <c r="L274">
        <f>Dataset_A!L274</f>
        <v>0.47</v>
      </c>
      <c r="M274">
        <f>Dataset_A!M274</f>
        <v>0.41789999999999999</v>
      </c>
      <c r="N274">
        <f>Dataset_A!N274</f>
        <v>1</v>
      </c>
      <c r="O274">
        <f>Dataset_A!O274</f>
        <v>82</v>
      </c>
      <c r="P274">
        <f>Dataset_A!P274</f>
        <v>83</v>
      </c>
      <c r="Q274" t="str">
        <f t="shared" si="52"/>
        <v>REC-0273</v>
      </c>
      <c r="R274" s="62">
        <f t="shared" si="53"/>
        <v>40555.791666666664</v>
      </c>
      <c r="S274" t="str">
        <f t="shared" si="54"/>
        <v>Jan</v>
      </c>
      <c r="T274" t="str">
        <f>INDEX(Lookups!$B$39:$B$45,MATCH(H274,Lookups!$A$39:$A$45,0))</f>
        <v>Wed</v>
      </c>
      <c r="U274" t="str">
        <f t="shared" si="55"/>
        <v>Weekday</v>
      </c>
      <c r="V274" t="str">
        <f t="shared" si="56"/>
        <v>Working Day</v>
      </c>
      <c r="W274" t="str">
        <f t="shared" si="57"/>
        <v>Spring</v>
      </c>
      <c r="X274" t="str">
        <f t="shared" si="58"/>
        <v>Clear</v>
      </c>
      <c r="Y274" t="str">
        <f t="shared" si="59"/>
        <v>Evening</v>
      </c>
      <c r="Z274" t="str">
        <f t="shared" si="60"/>
        <v>Cold</v>
      </c>
      <c r="AA274" t="str">
        <f t="shared" si="61"/>
        <v>Low</v>
      </c>
      <c r="AB274" t="str">
        <f t="shared" si="62"/>
        <v>Peak</v>
      </c>
      <c r="AC274" s="63">
        <f t="shared" si="63"/>
        <v>1.2048192771084338E-2</v>
      </c>
      <c r="AD274" t="str">
        <f>IF(P274&gt;=Stats!$C$30,"High",IF(P274&lt;=Stats!$C$29,"Low","Normal"))</f>
        <v>High</v>
      </c>
      <c r="AE274">
        <f t="shared" si="64"/>
        <v>1</v>
      </c>
    </row>
    <row r="275" spans="1:31" x14ac:dyDescent="0.2">
      <c r="A275">
        <f>Dataset_A!A275</f>
        <v>274</v>
      </c>
      <c r="B275" s="61">
        <f>Dataset_A!B275</f>
        <v>40555</v>
      </c>
      <c r="C275">
        <f>Dataset_A!C275</f>
        <v>1</v>
      </c>
      <c r="D275">
        <f>Dataset_A!D275</f>
        <v>0</v>
      </c>
      <c r="E275">
        <f>Dataset_A!E275</f>
        <v>1</v>
      </c>
      <c r="F275">
        <f>Dataset_A!F275</f>
        <v>20</v>
      </c>
      <c r="G275" t="b">
        <f>Dataset_A!G275</f>
        <v>0</v>
      </c>
      <c r="H275">
        <f>Dataset_A!H275</f>
        <v>3</v>
      </c>
      <c r="I275">
        <f>Dataset_A!I275</f>
        <v>1</v>
      </c>
      <c r="J275" s="55">
        <f>Dataset_A!J275</f>
        <v>0.16</v>
      </c>
      <c r="K275">
        <f>Dataset_A!K275</f>
        <v>0.13639999999999999</v>
      </c>
      <c r="L275">
        <f>Dataset_A!L275</f>
        <v>0.5</v>
      </c>
      <c r="M275">
        <f>Dataset_A!M275</f>
        <v>0.32840000000000003</v>
      </c>
      <c r="N275">
        <f>Dataset_A!N275</f>
        <v>2</v>
      </c>
      <c r="O275">
        <f>Dataset_A!O275</f>
        <v>54</v>
      </c>
      <c r="P275">
        <f>Dataset_A!P275</f>
        <v>56</v>
      </c>
      <c r="Q275" t="str">
        <f t="shared" si="52"/>
        <v>REC-0274</v>
      </c>
      <c r="R275" s="62">
        <f t="shared" si="53"/>
        <v>40555.833333333336</v>
      </c>
      <c r="S275" t="str">
        <f t="shared" si="54"/>
        <v>Jan</v>
      </c>
      <c r="T275" t="str">
        <f>INDEX(Lookups!$B$39:$B$45,MATCH(H275,Lookups!$A$39:$A$45,0))</f>
        <v>Wed</v>
      </c>
      <c r="U275" t="str">
        <f t="shared" si="55"/>
        <v>Weekday</v>
      </c>
      <c r="V275" t="str">
        <f t="shared" si="56"/>
        <v>Working Day</v>
      </c>
      <c r="W275" t="str">
        <f t="shared" si="57"/>
        <v>Spring</v>
      </c>
      <c r="X275" t="str">
        <f t="shared" si="58"/>
        <v>Clear</v>
      </c>
      <c r="Y275" t="str">
        <f t="shared" si="59"/>
        <v>Evening</v>
      </c>
      <c r="Z275" t="str">
        <f t="shared" si="60"/>
        <v>Cold</v>
      </c>
      <c r="AA275" t="str">
        <f t="shared" si="61"/>
        <v>Medium</v>
      </c>
      <c r="AB275" t="str">
        <f t="shared" si="62"/>
        <v>Off-Peak</v>
      </c>
      <c r="AC275" s="63">
        <f t="shared" si="63"/>
        <v>3.5714285714285712E-2</v>
      </c>
      <c r="AD275" t="str">
        <f>IF(P275&gt;=Stats!$C$30,"High",IF(P275&lt;=Stats!$C$29,"Low","Normal"))</f>
        <v>Normal</v>
      </c>
      <c r="AE275">
        <f t="shared" si="64"/>
        <v>1</v>
      </c>
    </row>
    <row r="276" spans="1:31" x14ac:dyDescent="0.2">
      <c r="A276">
        <f>Dataset_A!A276</f>
        <v>275</v>
      </c>
      <c r="B276" s="61">
        <f>Dataset_A!B276</f>
        <v>40555</v>
      </c>
      <c r="C276">
        <f>Dataset_A!C276</f>
        <v>1</v>
      </c>
      <c r="D276">
        <f>Dataset_A!D276</f>
        <v>0</v>
      </c>
      <c r="E276">
        <f>Dataset_A!E276</f>
        <v>1</v>
      </c>
      <c r="F276">
        <f>Dataset_A!F276</f>
        <v>21</v>
      </c>
      <c r="G276" t="b">
        <f>Dataset_A!G276</f>
        <v>0</v>
      </c>
      <c r="H276">
        <f>Dataset_A!H276</f>
        <v>3</v>
      </c>
      <c r="I276">
        <f>Dataset_A!I276</f>
        <v>1</v>
      </c>
      <c r="J276" s="55">
        <f>Dataset_A!J276</f>
        <v>0.16</v>
      </c>
      <c r="K276">
        <f>Dataset_A!K276</f>
        <v>0.13639999999999999</v>
      </c>
      <c r="L276">
        <f>Dataset_A!L276</f>
        <v>0.55000000000000004</v>
      </c>
      <c r="M276">
        <f>Dataset_A!M276</f>
        <v>0.32840000000000003</v>
      </c>
      <c r="N276">
        <f>Dataset_A!N276</f>
        <v>0</v>
      </c>
      <c r="O276">
        <f>Dataset_A!O276</f>
        <v>57</v>
      </c>
      <c r="P276">
        <f>Dataset_A!P276</f>
        <v>57</v>
      </c>
      <c r="Q276" t="str">
        <f t="shared" si="52"/>
        <v>REC-0275</v>
      </c>
      <c r="R276" s="62">
        <f t="shared" si="53"/>
        <v>40555.875</v>
      </c>
      <c r="S276" t="str">
        <f t="shared" si="54"/>
        <v>Jan</v>
      </c>
      <c r="T276" t="str">
        <f>INDEX(Lookups!$B$39:$B$45,MATCH(H276,Lookups!$A$39:$A$45,0))</f>
        <v>Wed</v>
      </c>
      <c r="U276" t="str">
        <f t="shared" si="55"/>
        <v>Weekday</v>
      </c>
      <c r="V276" t="str">
        <f t="shared" si="56"/>
        <v>Working Day</v>
      </c>
      <c r="W276" t="str">
        <f t="shared" si="57"/>
        <v>Spring</v>
      </c>
      <c r="X276" t="str">
        <f t="shared" si="58"/>
        <v>Clear</v>
      </c>
      <c r="Y276" t="str">
        <f t="shared" si="59"/>
        <v>Late Evening</v>
      </c>
      <c r="Z276" t="str">
        <f t="shared" si="60"/>
        <v>Cold</v>
      </c>
      <c r="AA276" t="str">
        <f t="shared" si="61"/>
        <v>Medium</v>
      </c>
      <c r="AB276" t="str">
        <f t="shared" si="62"/>
        <v>Off-Peak</v>
      </c>
      <c r="AC276" s="63">
        <f t="shared" si="63"/>
        <v>0</v>
      </c>
      <c r="AD276" t="str">
        <f>IF(P276&gt;=Stats!$C$30,"High",IF(P276&lt;=Stats!$C$29,"Low","Normal"))</f>
        <v>Normal</v>
      </c>
      <c r="AE276">
        <f t="shared" si="64"/>
        <v>1</v>
      </c>
    </row>
    <row r="277" spans="1:31" x14ac:dyDescent="0.2">
      <c r="A277">
        <f>Dataset_A!A277</f>
        <v>276</v>
      </c>
      <c r="B277" s="61">
        <f>Dataset_A!B277</f>
        <v>40555</v>
      </c>
      <c r="C277">
        <f>Dataset_A!C277</f>
        <v>1</v>
      </c>
      <c r="D277">
        <f>Dataset_A!D277</f>
        <v>0</v>
      </c>
      <c r="E277">
        <f>Dataset_A!E277</f>
        <v>1</v>
      </c>
      <c r="F277">
        <f>Dataset_A!F277</f>
        <v>22</v>
      </c>
      <c r="G277" t="b">
        <f>Dataset_A!G277</f>
        <v>0</v>
      </c>
      <c r="H277">
        <f>Dataset_A!H277</f>
        <v>3</v>
      </c>
      <c r="I277">
        <f>Dataset_A!I277</f>
        <v>1</v>
      </c>
      <c r="J277" s="55">
        <f>Dataset_A!J277</f>
        <v>0.16</v>
      </c>
      <c r="K277">
        <f>Dataset_A!K277</f>
        <v>0.1212</v>
      </c>
      <c r="L277">
        <f>Dataset_A!L277</f>
        <v>0.55000000000000004</v>
      </c>
      <c r="M277">
        <f>Dataset_A!M277</f>
        <v>0.44779999999999998</v>
      </c>
      <c r="N277">
        <f>Dataset_A!N277</f>
        <v>1</v>
      </c>
      <c r="O277">
        <f>Dataset_A!O277</f>
        <v>32</v>
      </c>
      <c r="P277">
        <f>Dataset_A!P277</f>
        <v>33</v>
      </c>
      <c r="Q277" t="str">
        <f t="shared" si="52"/>
        <v>REC-0276</v>
      </c>
      <c r="R277" s="62">
        <f t="shared" si="53"/>
        <v>40555.916666666664</v>
      </c>
      <c r="S277" t="str">
        <f t="shared" si="54"/>
        <v>Jan</v>
      </c>
      <c r="T277" t="str">
        <f>INDEX(Lookups!$B$39:$B$45,MATCH(H277,Lookups!$A$39:$A$45,0))</f>
        <v>Wed</v>
      </c>
      <c r="U277" t="str">
        <f t="shared" si="55"/>
        <v>Weekday</v>
      </c>
      <c r="V277" t="str">
        <f t="shared" si="56"/>
        <v>Working Day</v>
      </c>
      <c r="W277" t="str">
        <f t="shared" si="57"/>
        <v>Spring</v>
      </c>
      <c r="X277" t="str">
        <f t="shared" si="58"/>
        <v>Clear</v>
      </c>
      <c r="Y277" t="str">
        <f t="shared" si="59"/>
        <v>Late Evening</v>
      </c>
      <c r="Z277" t="str">
        <f t="shared" si="60"/>
        <v>Cold</v>
      </c>
      <c r="AA277" t="str">
        <f t="shared" si="61"/>
        <v>Medium</v>
      </c>
      <c r="AB277" t="str">
        <f t="shared" si="62"/>
        <v>Off-Peak</v>
      </c>
      <c r="AC277" s="63">
        <f t="shared" si="63"/>
        <v>3.0303030303030304E-2</v>
      </c>
      <c r="AD277" t="str">
        <f>IF(P277&gt;=Stats!$C$30,"High",IF(P277&lt;=Stats!$C$29,"Low","Normal"))</f>
        <v>Normal</v>
      </c>
      <c r="AE277">
        <f t="shared" si="64"/>
        <v>1</v>
      </c>
    </row>
    <row r="278" spans="1:31" x14ac:dyDescent="0.2">
      <c r="A278">
        <f>Dataset_A!A278</f>
        <v>277</v>
      </c>
      <c r="B278" s="61">
        <f>Dataset_A!B278</f>
        <v>40555</v>
      </c>
      <c r="C278">
        <f>Dataset_A!C278</f>
        <v>1</v>
      </c>
      <c r="D278">
        <f>Dataset_A!D278</f>
        <v>0</v>
      </c>
      <c r="E278">
        <f>Dataset_A!E278</f>
        <v>1</v>
      </c>
      <c r="F278">
        <f>Dataset_A!F278</f>
        <v>23</v>
      </c>
      <c r="G278" t="b">
        <f>Dataset_A!G278</f>
        <v>0</v>
      </c>
      <c r="H278">
        <f>Dataset_A!H278</f>
        <v>3</v>
      </c>
      <c r="I278">
        <f>Dataset_A!I278</f>
        <v>1</v>
      </c>
      <c r="J278" s="55">
        <f>Dataset_A!J278</f>
        <v>0.14000000000000001</v>
      </c>
      <c r="K278">
        <f>Dataset_A!K278</f>
        <v>0.1061</v>
      </c>
      <c r="L278">
        <f>Dataset_A!L278</f>
        <v>0.59</v>
      </c>
      <c r="M278">
        <f>Dataset_A!M278</f>
        <v>0.41789999999999999</v>
      </c>
      <c r="N278">
        <f>Dataset_A!N278</f>
        <v>1</v>
      </c>
      <c r="O278">
        <f>Dataset_A!O278</f>
        <v>19</v>
      </c>
      <c r="P278">
        <f>Dataset_A!P278</f>
        <v>20</v>
      </c>
      <c r="Q278" t="str">
        <f t="shared" si="52"/>
        <v>REC-0277</v>
      </c>
      <c r="R278" s="62">
        <f t="shared" si="53"/>
        <v>40555.958333333336</v>
      </c>
      <c r="S278" t="str">
        <f t="shared" si="54"/>
        <v>Jan</v>
      </c>
      <c r="T278" t="str">
        <f>INDEX(Lookups!$B$39:$B$45,MATCH(H278,Lookups!$A$39:$A$45,0))</f>
        <v>Wed</v>
      </c>
      <c r="U278" t="str">
        <f t="shared" si="55"/>
        <v>Weekday</v>
      </c>
      <c r="V278" t="str">
        <f t="shared" si="56"/>
        <v>Working Day</v>
      </c>
      <c r="W278" t="str">
        <f t="shared" si="57"/>
        <v>Spring</v>
      </c>
      <c r="X278" t="str">
        <f t="shared" si="58"/>
        <v>Clear</v>
      </c>
      <c r="Y278" t="str">
        <f t="shared" si="59"/>
        <v>Late Evening</v>
      </c>
      <c r="Z278" t="str">
        <f t="shared" si="60"/>
        <v>Cold</v>
      </c>
      <c r="AA278" t="str">
        <f t="shared" si="61"/>
        <v>Medium</v>
      </c>
      <c r="AB278" t="str">
        <f t="shared" si="62"/>
        <v>Off-Peak</v>
      </c>
      <c r="AC278" s="63">
        <f t="shared" si="63"/>
        <v>0.05</v>
      </c>
      <c r="AD278" t="str">
        <f>IF(P278&gt;=Stats!$C$30,"High",IF(P278&lt;=Stats!$C$29,"Low","Normal"))</f>
        <v>Normal</v>
      </c>
      <c r="AE278">
        <f t="shared" si="64"/>
        <v>1</v>
      </c>
    </row>
    <row r="279" spans="1:31" x14ac:dyDescent="0.2">
      <c r="A279">
        <f>Dataset_A!A279</f>
        <v>278</v>
      </c>
      <c r="B279" s="61">
        <f>Dataset_A!B279</f>
        <v>40556</v>
      </c>
      <c r="C279">
        <f>Dataset_A!C279</f>
        <v>1</v>
      </c>
      <c r="D279">
        <f>Dataset_A!D279</f>
        <v>0</v>
      </c>
      <c r="E279">
        <f>Dataset_A!E279</f>
        <v>1</v>
      </c>
      <c r="F279">
        <f>Dataset_A!F279</f>
        <v>0</v>
      </c>
      <c r="G279" t="b">
        <f>Dataset_A!G279</f>
        <v>0</v>
      </c>
      <c r="H279">
        <f>Dataset_A!H279</f>
        <v>4</v>
      </c>
      <c r="I279">
        <f>Dataset_A!I279</f>
        <v>1</v>
      </c>
      <c r="J279" s="55">
        <f>Dataset_A!J279</f>
        <v>0.14000000000000001</v>
      </c>
      <c r="K279">
        <f>Dataset_A!K279</f>
        <v>0.1212</v>
      </c>
      <c r="L279">
        <f>Dataset_A!L279</f>
        <v>0.59</v>
      </c>
      <c r="M279">
        <f>Dataset_A!M279</f>
        <v>0.28360000000000002</v>
      </c>
      <c r="N279">
        <f>Dataset_A!N279</f>
        <v>1</v>
      </c>
      <c r="O279">
        <f>Dataset_A!O279</f>
        <v>6</v>
      </c>
      <c r="P279">
        <f>Dataset_A!P279</f>
        <v>7</v>
      </c>
      <c r="Q279" t="str">
        <f t="shared" si="52"/>
        <v>REC-0278</v>
      </c>
      <c r="R279" s="62">
        <f t="shared" si="53"/>
        <v>40556</v>
      </c>
      <c r="S279" t="str">
        <f t="shared" si="54"/>
        <v>Jan</v>
      </c>
      <c r="T279" t="str">
        <f>INDEX(Lookups!$B$39:$B$45,MATCH(H279,Lookups!$A$39:$A$45,0))</f>
        <v>Thu</v>
      </c>
      <c r="U279" t="str">
        <f t="shared" si="55"/>
        <v>Weekday</v>
      </c>
      <c r="V279" t="str">
        <f t="shared" si="56"/>
        <v>Working Day</v>
      </c>
      <c r="W279" t="str">
        <f t="shared" si="57"/>
        <v>Spring</v>
      </c>
      <c r="X279" t="str">
        <f t="shared" si="58"/>
        <v>Clear</v>
      </c>
      <c r="Y279" t="str">
        <f t="shared" si="59"/>
        <v>Night</v>
      </c>
      <c r="Z279" t="str">
        <f t="shared" si="60"/>
        <v>Cold</v>
      </c>
      <c r="AA279" t="str">
        <f t="shared" si="61"/>
        <v>Medium</v>
      </c>
      <c r="AB279" t="str">
        <f t="shared" si="62"/>
        <v>Off-Peak</v>
      </c>
      <c r="AC279" s="63">
        <f t="shared" si="63"/>
        <v>0.14285714285714285</v>
      </c>
      <c r="AD279" t="str">
        <f>IF(P279&gt;=Stats!$C$30,"High",IF(P279&lt;=Stats!$C$29,"Low","Normal"))</f>
        <v>Low</v>
      </c>
      <c r="AE279">
        <f t="shared" si="64"/>
        <v>1</v>
      </c>
    </row>
    <row r="280" spans="1:31" x14ac:dyDescent="0.2">
      <c r="A280">
        <f>Dataset_A!A280</f>
        <v>279</v>
      </c>
      <c r="B280" s="61">
        <f>Dataset_A!B280</f>
        <v>40556</v>
      </c>
      <c r="C280">
        <f>Dataset_A!C280</f>
        <v>1</v>
      </c>
      <c r="D280">
        <f>Dataset_A!D280</f>
        <v>0</v>
      </c>
      <c r="E280">
        <f>Dataset_A!E280</f>
        <v>1</v>
      </c>
      <c r="F280">
        <f>Dataset_A!F280</f>
        <v>1</v>
      </c>
      <c r="G280" t="b">
        <f>Dataset_A!G280</f>
        <v>0</v>
      </c>
      <c r="H280">
        <f>Dataset_A!H280</f>
        <v>4</v>
      </c>
      <c r="I280">
        <f>Dataset_A!I280</f>
        <v>1</v>
      </c>
      <c r="J280" s="55">
        <f>Dataset_A!J280</f>
        <v>0.14000000000000001</v>
      </c>
      <c r="K280">
        <f>Dataset_A!K280</f>
        <v>0.1212</v>
      </c>
      <c r="L280">
        <f>Dataset_A!L280</f>
        <v>0.5</v>
      </c>
      <c r="M280">
        <f>Dataset_A!M280</f>
        <v>0.28360000000000002</v>
      </c>
      <c r="N280">
        <f>Dataset_A!N280</f>
        <v>0</v>
      </c>
      <c r="O280">
        <f>Dataset_A!O280</f>
        <v>2</v>
      </c>
      <c r="P280">
        <f>Dataset_A!P280</f>
        <v>2</v>
      </c>
      <c r="Q280" t="str">
        <f t="shared" si="52"/>
        <v>REC-0279</v>
      </c>
      <c r="R280" s="62">
        <f t="shared" si="53"/>
        <v>40556.041666666664</v>
      </c>
      <c r="S280" t="str">
        <f t="shared" si="54"/>
        <v>Jan</v>
      </c>
      <c r="T280" t="str">
        <f>INDEX(Lookups!$B$39:$B$45,MATCH(H280,Lookups!$A$39:$A$45,0))</f>
        <v>Thu</v>
      </c>
      <c r="U280" t="str">
        <f t="shared" si="55"/>
        <v>Weekday</v>
      </c>
      <c r="V280" t="str">
        <f t="shared" si="56"/>
        <v>Working Day</v>
      </c>
      <c r="W280" t="str">
        <f t="shared" si="57"/>
        <v>Spring</v>
      </c>
      <c r="X280" t="str">
        <f t="shared" si="58"/>
        <v>Clear</v>
      </c>
      <c r="Y280" t="str">
        <f t="shared" si="59"/>
        <v>Night</v>
      </c>
      <c r="Z280" t="str">
        <f t="shared" si="60"/>
        <v>Cold</v>
      </c>
      <c r="AA280" t="str">
        <f t="shared" si="61"/>
        <v>Medium</v>
      </c>
      <c r="AB280" t="str">
        <f t="shared" si="62"/>
        <v>Off-Peak</v>
      </c>
      <c r="AC280" s="63">
        <f t="shared" si="63"/>
        <v>0</v>
      </c>
      <c r="AD280" t="str">
        <f>IF(P280&gt;=Stats!$C$30,"High",IF(P280&lt;=Stats!$C$29,"Low","Normal"))</f>
        <v>Low</v>
      </c>
      <c r="AE280">
        <f t="shared" si="64"/>
        <v>1</v>
      </c>
    </row>
    <row r="281" spans="1:31" x14ac:dyDescent="0.2">
      <c r="A281">
        <f>Dataset_A!A281</f>
        <v>280</v>
      </c>
      <c r="B281" s="61">
        <f>Dataset_A!B281</f>
        <v>40556</v>
      </c>
      <c r="C281">
        <f>Dataset_A!C281</f>
        <v>1</v>
      </c>
      <c r="D281">
        <f>Dataset_A!D281</f>
        <v>0</v>
      </c>
      <c r="E281">
        <f>Dataset_A!E281</f>
        <v>1</v>
      </c>
      <c r="F281">
        <f>Dataset_A!F281</f>
        <v>2</v>
      </c>
      <c r="G281" t="b">
        <f>Dataset_A!G281</f>
        <v>0</v>
      </c>
      <c r="H281">
        <f>Dataset_A!H281</f>
        <v>4</v>
      </c>
      <c r="I281">
        <f>Dataset_A!I281</f>
        <v>1</v>
      </c>
      <c r="J281" s="55">
        <f>Dataset_A!J281</f>
        <v>0.14000000000000001</v>
      </c>
      <c r="K281">
        <f>Dataset_A!K281</f>
        <v>0.1212</v>
      </c>
      <c r="L281">
        <f>Dataset_A!L281</f>
        <v>0.5</v>
      </c>
      <c r="M281">
        <f>Dataset_A!M281</f>
        <v>0.35820000000000002</v>
      </c>
      <c r="N281">
        <f>Dataset_A!N281</f>
        <v>0</v>
      </c>
      <c r="O281">
        <f>Dataset_A!O281</f>
        <v>2</v>
      </c>
      <c r="P281">
        <f>Dataset_A!P281</f>
        <v>2</v>
      </c>
      <c r="Q281" t="str">
        <f t="shared" si="52"/>
        <v>REC-0280</v>
      </c>
      <c r="R281" s="62">
        <f t="shared" si="53"/>
        <v>40556.083333333336</v>
      </c>
      <c r="S281" t="str">
        <f t="shared" si="54"/>
        <v>Jan</v>
      </c>
      <c r="T281" t="str">
        <f>INDEX(Lookups!$B$39:$B$45,MATCH(H281,Lookups!$A$39:$A$45,0))</f>
        <v>Thu</v>
      </c>
      <c r="U281" t="str">
        <f t="shared" si="55"/>
        <v>Weekday</v>
      </c>
      <c r="V281" t="str">
        <f t="shared" si="56"/>
        <v>Working Day</v>
      </c>
      <c r="W281" t="str">
        <f t="shared" si="57"/>
        <v>Spring</v>
      </c>
      <c r="X281" t="str">
        <f t="shared" si="58"/>
        <v>Clear</v>
      </c>
      <c r="Y281" t="str">
        <f t="shared" si="59"/>
        <v>Night</v>
      </c>
      <c r="Z281" t="str">
        <f t="shared" si="60"/>
        <v>Cold</v>
      </c>
      <c r="AA281" t="str">
        <f t="shared" si="61"/>
        <v>Medium</v>
      </c>
      <c r="AB281" t="str">
        <f t="shared" si="62"/>
        <v>Off-Peak</v>
      </c>
      <c r="AC281" s="63">
        <f t="shared" si="63"/>
        <v>0</v>
      </c>
      <c r="AD281" t="str">
        <f>IF(P281&gt;=Stats!$C$30,"High",IF(P281&lt;=Stats!$C$29,"Low","Normal"))</f>
        <v>Low</v>
      </c>
      <c r="AE281">
        <f t="shared" si="64"/>
        <v>1</v>
      </c>
    </row>
    <row r="282" spans="1:31" x14ac:dyDescent="0.2">
      <c r="A282">
        <f>Dataset_A!A282</f>
        <v>281</v>
      </c>
      <c r="B282" s="61">
        <f>Dataset_A!B282</f>
        <v>40556</v>
      </c>
      <c r="C282">
        <f>Dataset_A!C282</f>
        <v>1</v>
      </c>
      <c r="D282">
        <f>Dataset_A!D282</f>
        <v>0</v>
      </c>
      <c r="E282">
        <f>Dataset_A!E282</f>
        <v>1</v>
      </c>
      <c r="F282">
        <f>Dataset_A!F282</f>
        <v>3</v>
      </c>
      <c r="G282" t="b">
        <f>Dataset_A!G282</f>
        <v>0</v>
      </c>
      <c r="H282">
        <f>Dataset_A!H282</f>
        <v>4</v>
      </c>
      <c r="I282">
        <f>Dataset_A!I282</f>
        <v>1</v>
      </c>
      <c r="J282" s="55">
        <f>Dataset_A!J282</f>
        <v>0.14000000000000001</v>
      </c>
      <c r="K282">
        <f>Dataset_A!K282</f>
        <v>0.1212</v>
      </c>
      <c r="L282">
        <f>Dataset_A!L282</f>
        <v>0.5</v>
      </c>
      <c r="M282">
        <f>Dataset_A!M282</f>
        <v>0.32840000000000003</v>
      </c>
      <c r="N282">
        <f>Dataset_A!N282</f>
        <v>0</v>
      </c>
      <c r="O282">
        <f>Dataset_A!O282</f>
        <v>3</v>
      </c>
      <c r="P282">
        <f>Dataset_A!P282</f>
        <v>3</v>
      </c>
      <c r="Q282" t="str">
        <f t="shared" si="52"/>
        <v>REC-0281</v>
      </c>
      <c r="R282" s="62">
        <f t="shared" si="53"/>
        <v>40556.125</v>
      </c>
      <c r="S282" t="str">
        <f t="shared" si="54"/>
        <v>Jan</v>
      </c>
      <c r="T282" t="str">
        <f>INDEX(Lookups!$B$39:$B$45,MATCH(H282,Lookups!$A$39:$A$45,0))</f>
        <v>Thu</v>
      </c>
      <c r="U282" t="str">
        <f t="shared" si="55"/>
        <v>Weekday</v>
      </c>
      <c r="V282" t="str">
        <f t="shared" si="56"/>
        <v>Working Day</v>
      </c>
      <c r="W282" t="str">
        <f t="shared" si="57"/>
        <v>Spring</v>
      </c>
      <c r="X282" t="str">
        <f t="shared" si="58"/>
        <v>Clear</v>
      </c>
      <c r="Y282" t="str">
        <f t="shared" si="59"/>
        <v>Night</v>
      </c>
      <c r="Z282" t="str">
        <f t="shared" si="60"/>
        <v>Cold</v>
      </c>
      <c r="AA282" t="str">
        <f t="shared" si="61"/>
        <v>Medium</v>
      </c>
      <c r="AB282" t="str">
        <f t="shared" si="62"/>
        <v>Off-Peak</v>
      </c>
      <c r="AC282" s="63">
        <f t="shared" si="63"/>
        <v>0</v>
      </c>
      <c r="AD282" t="str">
        <f>IF(P282&gt;=Stats!$C$30,"High",IF(P282&lt;=Stats!$C$29,"Low","Normal"))</f>
        <v>Low</v>
      </c>
      <c r="AE282">
        <f t="shared" si="64"/>
        <v>1</v>
      </c>
    </row>
    <row r="283" spans="1:31" x14ac:dyDescent="0.2">
      <c r="A283">
        <f>Dataset_A!A283</f>
        <v>282</v>
      </c>
      <c r="B283" s="61">
        <f>Dataset_A!B283</f>
        <v>40556</v>
      </c>
      <c r="C283">
        <f>Dataset_A!C283</f>
        <v>1</v>
      </c>
      <c r="D283">
        <f>Dataset_A!D283</f>
        <v>0</v>
      </c>
      <c r="E283">
        <f>Dataset_A!E283</f>
        <v>1</v>
      </c>
      <c r="F283">
        <f>Dataset_A!F283</f>
        <v>4</v>
      </c>
      <c r="G283" t="b">
        <f>Dataset_A!G283</f>
        <v>0</v>
      </c>
      <c r="H283">
        <f>Dataset_A!H283</f>
        <v>4</v>
      </c>
      <c r="I283">
        <f>Dataset_A!I283</f>
        <v>1</v>
      </c>
      <c r="J283" s="55">
        <f>Dataset_A!J283</f>
        <v>0.14000000000000001</v>
      </c>
      <c r="K283">
        <f>Dataset_A!K283</f>
        <v>0.1212</v>
      </c>
      <c r="L283">
        <f>Dataset_A!L283</f>
        <v>0.5</v>
      </c>
      <c r="M283">
        <f>Dataset_A!M283</f>
        <v>0.25369999999999998</v>
      </c>
      <c r="N283">
        <f>Dataset_A!N283</f>
        <v>0</v>
      </c>
      <c r="O283">
        <f>Dataset_A!O283</f>
        <v>4</v>
      </c>
      <c r="P283">
        <f>Dataset_A!P283</f>
        <v>4</v>
      </c>
      <c r="Q283" t="str">
        <f t="shared" si="52"/>
        <v>REC-0282</v>
      </c>
      <c r="R283" s="62">
        <f t="shared" si="53"/>
        <v>40556.166666666664</v>
      </c>
      <c r="S283" t="str">
        <f t="shared" si="54"/>
        <v>Jan</v>
      </c>
      <c r="T283" t="str">
        <f>INDEX(Lookups!$B$39:$B$45,MATCH(H283,Lookups!$A$39:$A$45,0))</f>
        <v>Thu</v>
      </c>
      <c r="U283" t="str">
        <f t="shared" si="55"/>
        <v>Weekday</v>
      </c>
      <c r="V283" t="str">
        <f t="shared" si="56"/>
        <v>Working Day</v>
      </c>
      <c r="W283" t="str">
        <f t="shared" si="57"/>
        <v>Spring</v>
      </c>
      <c r="X283" t="str">
        <f t="shared" si="58"/>
        <v>Clear</v>
      </c>
      <c r="Y283" t="str">
        <f t="shared" si="59"/>
        <v>Night</v>
      </c>
      <c r="Z283" t="str">
        <f t="shared" si="60"/>
        <v>Cold</v>
      </c>
      <c r="AA283" t="str">
        <f t="shared" si="61"/>
        <v>Medium</v>
      </c>
      <c r="AB283" t="str">
        <f t="shared" si="62"/>
        <v>Off-Peak</v>
      </c>
      <c r="AC283" s="63">
        <f t="shared" si="63"/>
        <v>0</v>
      </c>
      <c r="AD283" t="str">
        <f>IF(P283&gt;=Stats!$C$30,"High",IF(P283&lt;=Stats!$C$29,"Low","Normal"))</f>
        <v>Low</v>
      </c>
      <c r="AE283">
        <f t="shared" si="64"/>
        <v>1</v>
      </c>
    </row>
    <row r="284" spans="1:31" x14ac:dyDescent="0.2">
      <c r="A284">
        <f>Dataset_A!A284</f>
        <v>283</v>
      </c>
      <c r="B284" s="61">
        <f>Dataset_A!B284</f>
        <v>40556</v>
      </c>
      <c r="C284">
        <f>Dataset_A!C284</f>
        <v>1</v>
      </c>
      <c r="D284">
        <f>Dataset_A!D284</f>
        <v>0</v>
      </c>
      <c r="E284">
        <f>Dataset_A!E284</f>
        <v>1</v>
      </c>
      <c r="F284">
        <f>Dataset_A!F284</f>
        <v>5</v>
      </c>
      <c r="G284" t="b">
        <f>Dataset_A!G284</f>
        <v>0</v>
      </c>
      <c r="H284">
        <f>Dataset_A!H284</f>
        <v>4</v>
      </c>
      <c r="I284">
        <f>Dataset_A!I284</f>
        <v>1</v>
      </c>
      <c r="J284" s="55">
        <f>Dataset_A!J284</f>
        <v>0.14000000000000001</v>
      </c>
      <c r="K284">
        <f>Dataset_A!K284</f>
        <v>0.1212</v>
      </c>
      <c r="L284">
        <f>Dataset_A!L284</f>
        <v>0.5</v>
      </c>
      <c r="M284">
        <f>Dataset_A!M284</f>
        <v>0.29849999999999999</v>
      </c>
      <c r="N284">
        <f>Dataset_A!N284</f>
        <v>0</v>
      </c>
      <c r="O284">
        <f>Dataset_A!O284</f>
        <v>3</v>
      </c>
      <c r="P284">
        <f>Dataset_A!P284</f>
        <v>3</v>
      </c>
      <c r="Q284" t="str">
        <f t="shared" si="52"/>
        <v>REC-0283</v>
      </c>
      <c r="R284" s="62">
        <f t="shared" si="53"/>
        <v>40556.208333333336</v>
      </c>
      <c r="S284" t="str">
        <f t="shared" si="54"/>
        <v>Jan</v>
      </c>
      <c r="T284" t="str">
        <f>INDEX(Lookups!$B$39:$B$45,MATCH(H284,Lookups!$A$39:$A$45,0))</f>
        <v>Thu</v>
      </c>
      <c r="U284" t="str">
        <f t="shared" si="55"/>
        <v>Weekday</v>
      </c>
      <c r="V284" t="str">
        <f t="shared" si="56"/>
        <v>Working Day</v>
      </c>
      <c r="W284" t="str">
        <f t="shared" si="57"/>
        <v>Spring</v>
      </c>
      <c r="X284" t="str">
        <f t="shared" si="58"/>
        <v>Clear</v>
      </c>
      <c r="Y284" t="str">
        <f t="shared" si="59"/>
        <v>Night</v>
      </c>
      <c r="Z284" t="str">
        <f t="shared" si="60"/>
        <v>Cold</v>
      </c>
      <c r="AA284" t="str">
        <f t="shared" si="61"/>
        <v>Medium</v>
      </c>
      <c r="AB284" t="str">
        <f t="shared" si="62"/>
        <v>Off-Peak</v>
      </c>
      <c r="AC284" s="63">
        <f t="shared" si="63"/>
        <v>0</v>
      </c>
      <c r="AD284" t="str">
        <f>IF(P284&gt;=Stats!$C$30,"High",IF(P284&lt;=Stats!$C$29,"Low","Normal"))</f>
        <v>Low</v>
      </c>
      <c r="AE284">
        <f t="shared" si="64"/>
        <v>1</v>
      </c>
    </row>
    <row r="285" spans="1:31" x14ac:dyDescent="0.2">
      <c r="A285">
        <f>Dataset_A!A285</f>
        <v>284</v>
      </c>
      <c r="B285" s="61">
        <f>Dataset_A!B285</f>
        <v>40556</v>
      </c>
      <c r="C285">
        <f>Dataset_A!C285</f>
        <v>1</v>
      </c>
      <c r="D285">
        <f>Dataset_A!D285</f>
        <v>0</v>
      </c>
      <c r="E285">
        <f>Dataset_A!E285</f>
        <v>1</v>
      </c>
      <c r="F285">
        <f>Dataset_A!F285</f>
        <v>6</v>
      </c>
      <c r="G285" t="b">
        <f>Dataset_A!G285</f>
        <v>0</v>
      </c>
      <c r="H285">
        <f>Dataset_A!H285</f>
        <v>4</v>
      </c>
      <c r="I285">
        <f>Dataset_A!I285</f>
        <v>1</v>
      </c>
      <c r="J285" s="55">
        <f>Dataset_A!J285</f>
        <v>0.12</v>
      </c>
      <c r="K285">
        <f>Dataset_A!K285</f>
        <v>0.1515</v>
      </c>
      <c r="L285">
        <f>Dataset_A!L285</f>
        <v>0.54</v>
      </c>
      <c r="M285">
        <f>Dataset_A!M285</f>
        <v>0.1343</v>
      </c>
      <c r="N285">
        <f>Dataset_A!N285</f>
        <v>0</v>
      </c>
      <c r="O285">
        <f>Dataset_A!O285</f>
        <v>28</v>
      </c>
      <c r="P285">
        <f>Dataset_A!P285</f>
        <v>28</v>
      </c>
      <c r="Q285" t="str">
        <f t="shared" si="52"/>
        <v>REC-0284</v>
      </c>
      <c r="R285" s="62">
        <f t="shared" si="53"/>
        <v>40556.25</v>
      </c>
      <c r="S285" t="str">
        <f t="shared" si="54"/>
        <v>Jan</v>
      </c>
      <c r="T285" t="str">
        <f>INDEX(Lookups!$B$39:$B$45,MATCH(H285,Lookups!$A$39:$A$45,0))</f>
        <v>Thu</v>
      </c>
      <c r="U285" t="str">
        <f t="shared" si="55"/>
        <v>Weekday</v>
      </c>
      <c r="V285" t="str">
        <f t="shared" si="56"/>
        <v>Working Day</v>
      </c>
      <c r="W285" t="str">
        <f t="shared" si="57"/>
        <v>Spring</v>
      </c>
      <c r="X285" t="str">
        <f t="shared" si="58"/>
        <v>Clear</v>
      </c>
      <c r="Y285" t="str">
        <f t="shared" si="59"/>
        <v>Morning</v>
      </c>
      <c r="Z285" t="str">
        <f t="shared" si="60"/>
        <v>Cold</v>
      </c>
      <c r="AA285" t="str">
        <f t="shared" si="61"/>
        <v>Medium</v>
      </c>
      <c r="AB285" t="str">
        <f t="shared" si="62"/>
        <v>Off-Peak</v>
      </c>
      <c r="AC285" s="63">
        <f t="shared" si="63"/>
        <v>0</v>
      </c>
      <c r="AD285" t="str">
        <f>IF(P285&gt;=Stats!$C$30,"High",IF(P285&lt;=Stats!$C$29,"Low","Normal"))</f>
        <v>Normal</v>
      </c>
      <c r="AE285">
        <f t="shared" si="64"/>
        <v>1</v>
      </c>
    </row>
    <row r="286" spans="1:31" x14ac:dyDescent="0.2">
      <c r="A286">
        <f>Dataset_A!A286</f>
        <v>285</v>
      </c>
      <c r="B286" s="61">
        <f>Dataset_A!B286</f>
        <v>40556</v>
      </c>
      <c r="C286">
        <f>Dataset_A!C286</f>
        <v>1</v>
      </c>
      <c r="D286">
        <f>Dataset_A!D286</f>
        <v>0</v>
      </c>
      <c r="E286">
        <f>Dataset_A!E286</f>
        <v>1</v>
      </c>
      <c r="F286">
        <f>Dataset_A!F286</f>
        <v>7</v>
      </c>
      <c r="G286" t="b">
        <f>Dataset_A!G286</f>
        <v>0</v>
      </c>
      <c r="H286">
        <f>Dataset_A!H286</f>
        <v>4</v>
      </c>
      <c r="I286">
        <f>Dataset_A!I286</f>
        <v>1</v>
      </c>
      <c r="J286" s="55">
        <f>Dataset_A!J286</f>
        <v>0.12</v>
      </c>
      <c r="K286">
        <f>Dataset_A!K286</f>
        <v>0.1515</v>
      </c>
      <c r="L286">
        <f>Dataset_A!L286</f>
        <v>0.54</v>
      </c>
      <c r="M286">
        <f>Dataset_A!M286</f>
        <v>0.1343</v>
      </c>
      <c r="N286">
        <f>Dataset_A!N286</f>
        <v>0</v>
      </c>
      <c r="O286">
        <f>Dataset_A!O286</f>
        <v>72</v>
      </c>
      <c r="P286">
        <f>Dataset_A!P286</f>
        <v>72</v>
      </c>
      <c r="Q286" t="str">
        <f t="shared" si="52"/>
        <v>REC-0285</v>
      </c>
      <c r="R286" s="62">
        <f t="shared" si="53"/>
        <v>40556.291666666664</v>
      </c>
      <c r="S286" t="str">
        <f t="shared" si="54"/>
        <v>Jan</v>
      </c>
      <c r="T286" t="str">
        <f>INDEX(Lookups!$B$39:$B$45,MATCH(H286,Lookups!$A$39:$A$45,0))</f>
        <v>Thu</v>
      </c>
      <c r="U286" t="str">
        <f t="shared" si="55"/>
        <v>Weekday</v>
      </c>
      <c r="V286" t="str">
        <f t="shared" si="56"/>
        <v>Working Day</v>
      </c>
      <c r="W286" t="str">
        <f t="shared" si="57"/>
        <v>Spring</v>
      </c>
      <c r="X286" t="str">
        <f t="shared" si="58"/>
        <v>Clear</v>
      </c>
      <c r="Y286" t="str">
        <f t="shared" si="59"/>
        <v>Morning</v>
      </c>
      <c r="Z286" t="str">
        <f t="shared" si="60"/>
        <v>Cold</v>
      </c>
      <c r="AA286" t="str">
        <f t="shared" si="61"/>
        <v>Medium</v>
      </c>
      <c r="AB286" t="str">
        <f t="shared" si="62"/>
        <v>Peak</v>
      </c>
      <c r="AC286" s="63">
        <f t="shared" si="63"/>
        <v>0</v>
      </c>
      <c r="AD286" t="str">
        <f>IF(P286&gt;=Stats!$C$30,"High",IF(P286&lt;=Stats!$C$29,"Low","Normal"))</f>
        <v>Normal</v>
      </c>
      <c r="AE286">
        <f t="shared" si="64"/>
        <v>1</v>
      </c>
    </row>
    <row r="287" spans="1:31" x14ac:dyDescent="0.2">
      <c r="A287">
        <f>Dataset_A!A287</f>
        <v>286</v>
      </c>
      <c r="B287" s="61">
        <f>Dataset_A!B287</f>
        <v>40556</v>
      </c>
      <c r="C287">
        <f>Dataset_A!C287</f>
        <v>1</v>
      </c>
      <c r="D287">
        <f>Dataset_A!D287</f>
        <v>0</v>
      </c>
      <c r="E287">
        <f>Dataset_A!E287</f>
        <v>1</v>
      </c>
      <c r="F287">
        <f>Dataset_A!F287</f>
        <v>8</v>
      </c>
      <c r="G287" t="b">
        <f>Dataset_A!G287</f>
        <v>0</v>
      </c>
      <c r="H287">
        <f>Dataset_A!H287</f>
        <v>4</v>
      </c>
      <c r="I287">
        <f>Dataset_A!I287</f>
        <v>1</v>
      </c>
      <c r="J287" s="55">
        <f>Dataset_A!J287</f>
        <v>0.14000000000000001</v>
      </c>
      <c r="K287">
        <f>Dataset_A!K287</f>
        <v>0.13639999999999999</v>
      </c>
      <c r="L287">
        <f>Dataset_A!L287</f>
        <v>0.5</v>
      </c>
      <c r="M287">
        <f>Dataset_A!M287</f>
        <v>0.19400000000000001</v>
      </c>
      <c r="N287">
        <f>Dataset_A!N287</f>
        <v>5</v>
      </c>
      <c r="O287">
        <f>Dataset_A!O287</f>
        <v>197</v>
      </c>
      <c r="P287">
        <f>Dataset_A!P287</f>
        <v>202</v>
      </c>
      <c r="Q287" t="str">
        <f t="shared" si="52"/>
        <v>REC-0286</v>
      </c>
      <c r="R287" s="62">
        <f t="shared" si="53"/>
        <v>40556.333333333336</v>
      </c>
      <c r="S287" t="str">
        <f t="shared" si="54"/>
        <v>Jan</v>
      </c>
      <c r="T287" t="str">
        <f>INDEX(Lookups!$B$39:$B$45,MATCH(H287,Lookups!$A$39:$A$45,0))</f>
        <v>Thu</v>
      </c>
      <c r="U287" t="str">
        <f t="shared" si="55"/>
        <v>Weekday</v>
      </c>
      <c r="V287" t="str">
        <f t="shared" si="56"/>
        <v>Working Day</v>
      </c>
      <c r="W287" t="str">
        <f t="shared" si="57"/>
        <v>Spring</v>
      </c>
      <c r="X287" t="str">
        <f t="shared" si="58"/>
        <v>Clear</v>
      </c>
      <c r="Y287" t="str">
        <f t="shared" si="59"/>
        <v>Morning</v>
      </c>
      <c r="Z287" t="str">
        <f t="shared" si="60"/>
        <v>Cold</v>
      </c>
      <c r="AA287" t="str">
        <f t="shared" si="61"/>
        <v>Medium</v>
      </c>
      <c r="AB287" t="str">
        <f t="shared" si="62"/>
        <v>Peak</v>
      </c>
      <c r="AC287" s="63">
        <f t="shared" si="63"/>
        <v>2.4752475247524754E-2</v>
      </c>
      <c r="AD287" t="str">
        <f>IF(P287&gt;=Stats!$C$30,"High",IF(P287&lt;=Stats!$C$29,"Low","Normal"))</f>
        <v>High</v>
      </c>
      <c r="AE287">
        <f t="shared" si="64"/>
        <v>1</v>
      </c>
    </row>
    <row r="288" spans="1:31" x14ac:dyDescent="0.2">
      <c r="A288">
        <f>Dataset_A!A288</f>
        <v>287</v>
      </c>
      <c r="B288" s="61">
        <f>Dataset_A!B288</f>
        <v>40556</v>
      </c>
      <c r="C288">
        <f>Dataset_A!C288</f>
        <v>1</v>
      </c>
      <c r="D288">
        <f>Dataset_A!D288</f>
        <v>0</v>
      </c>
      <c r="E288">
        <f>Dataset_A!E288</f>
        <v>1</v>
      </c>
      <c r="F288">
        <f>Dataset_A!F288</f>
        <v>9</v>
      </c>
      <c r="G288" t="b">
        <f>Dataset_A!G288</f>
        <v>0</v>
      </c>
      <c r="H288">
        <f>Dataset_A!H288</f>
        <v>4</v>
      </c>
      <c r="I288">
        <f>Dataset_A!I288</f>
        <v>1</v>
      </c>
      <c r="J288" s="55">
        <f>Dataset_A!J288</f>
        <v>0.14000000000000001</v>
      </c>
      <c r="K288">
        <f>Dataset_A!K288</f>
        <v>0.1212</v>
      </c>
      <c r="L288">
        <f>Dataset_A!L288</f>
        <v>0.5</v>
      </c>
      <c r="M288">
        <f>Dataset_A!M288</f>
        <v>0.32840000000000003</v>
      </c>
      <c r="N288">
        <f>Dataset_A!N288</f>
        <v>2</v>
      </c>
      <c r="O288">
        <f>Dataset_A!O288</f>
        <v>137</v>
      </c>
      <c r="P288">
        <f>Dataset_A!P288</f>
        <v>139</v>
      </c>
      <c r="Q288" t="str">
        <f t="shared" si="52"/>
        <v>REC-0287</v>
      </c>
      <c r="R288" s="62">
        <f t="shared" si="53"/>
        <v>40556.375</v>
      </c>
      <c r="S288" t="str">
        <f t="shared" si="54"/>
        <v>Jan</v>
      </c>
      <c r="T288" t="str">
        <f>INDEX(Lookups!$B$39:$B$45,MATCH(H288,Lookups!$A$39:$A$45,0))</f>
        <v>Thu</v>
      </c>
      <c r="U288" t="str">
        <f t="shared" si="55"/>
        <v>Weekday</v>
      </c>
      <c r="V288" t="str">
        <f t="shared" si="56"/>
        <v>Working Day</v>
      </c>
      <c r="W288" t="str">
        <f t="shared" si="57"/>
        <v>Spring</v>
      </c>
      <c r="X288" t="str">
        <f t="shared" si="58"/>
        <v>Clear</v>
      </c>
      <c r="Y288" t="str">
        <f t="shared" si="59"/>
        <v>Morning</v>
      </c>
      <c r="Z288" t="str">
        <f t="shared" si="60"/>
        <v>Cold</v>
      </c>
      <c r="AA288" t="str">
        <f t="shared" si="61"/>
        <v>Medium</v>
      </c>
      <c r="AB288" t="str">
        <f t="shared" si="62"/>
        <v>Peak</v>
      </c>
      <c r="AC288" s="63">
        <f t="shared" si="63"/>
        <v>1.4388489208633094E-2</v>
      </c>
      <c r="AD288" t="str">
        <f>IF(P288&gt;=Stats!$C$30,"High",IF(P288&lt;=Stats!$C$29,"Low","Normal"))</f>
        <v>High</v>
      </c>
      <c r="AE288">
        <f t="shared" si="64"/>
        <v>1</v>
      </c>
    </row>
    <row r="289" spans="1:31" x14ac:dyDescent="0.2">
      <c r="A289">
        <f>Dataset_A!A289</f>
        <v>288</v>
      </c>
      <c r="B289" s="61">
        <f>Dataset_A!B289</f>
        <v>40556</v>
      </c>
      <c r="C289">
        <f>Dataset_A!C289</f>
        <v>1</v>
      </c>
      <c r="D289">
        <f>Dataset_A!D289</f>
        <v>0</v>
      </c>
      <c r="E289">
        <f>Dataset_A!E289</f>
        <v>1</v>
      </c>
      <c r="F289">
        <f>Dataset_A!F289</f>
        <v>10</v>
      </c>
      <c r="G289" t="b">
        <f>Dataset_A!G289</f>
        <v>0</v>
      </c>
      <c r="H289">
        <f>Dataset_A!H289</f>
        <v>4</v>
      </c>
      <c r="I289">
        <f>Dataset_A!I289</f>
        <v>2</v>
      </c>
      <c r="J289" s="55">
        <f>Dataset_A!J289</f>
        <v>0.16</v>
      </c>
      <c r="K289">
        <f>Dataset_A!K289</f>
        <v>0.13639999999999999</v>
      </c>
      <c r="L289">
        <f>Dataset_A!L289</f>
        <v>0.5</v>
      </c>
      <c r="M289">
        <f>Dataset_A!M289</f>
        <v>0.35820000000000002</v>
      </c>
      <c r="N289">
        <f>Dataset_A!N289</f>
        <v>2</v>
      </c>
      <c r="O289">
        <f>Dataset_A!O289</f>
        <v>36</v>
      </c>
      <c r="P289">
        <f>Dataset_A!P289</f>
        <v>38</v>
      </c>
      <c r="Q289" t="str">
        <f t="shared" si="52"/>
        <v>REC-0288</v>
      </c>
      <c r="R289" s="62">
        <f t="shared" si="53"/>
        <v>40556.416666666664</v>
      </c>
      <c r="S289" t="str">
        <f t="shared" si="54"/>
        <v>Jan</v>
      </c>
      <c r="T289" t="str">
        <f>INDEX(Lookups!$B$39:$B$45,MATCH(H289,Lookups!$A$39:$A$45,0))</f>
        <v>Thu</v>
      </c>
      <c r="U289" t="str">
        <f t="shared" si="55"/>
        <v>Weekday</v>
      </c>
      <c r="V289" t="str">
        <f t="shared" si="56"/>
        <v>Working Day</v>
      </c>
      <c r="W289" t="str">
        <f t="shared" si="57"/>
        <v>Spring</v>
      </c>
      <c r="X289" t="str">
        <f t="shared" si="58"/>
        <v>Cloudy/Mist</v>
      </c>
      <c r="Y289" t="str">
        <f t="shared" si="59"/>
        <v>Morning</v>
      </c>
      <c r="Z289" t="str">
        <f t="shared" si="60"/>
        <v>Cold</v>
      </c>
      <c r="AA289" t="str">
        <f t="shared" si="61"/>
        <v>Medium</v>
      </c>
      <c r="AB289" t="str">
        <f t="shared" si="62"/>
        <v>Off-Peak</v>
      </c>
      <c r="AC289" s="63">
        <f t="shared" si="63"/>
        <v>5.2631578947368418E-2</v>
      </c>
      <c r="AD289" t="str">
        <f>IF(P289&gt;=Stats!$C$30,"High",IF(P289&lt;=Stats!$C$29,"Low","Normal"))</f>
        <v>Normal</v>
      </c>
      <c r="AE289">
        <f t="shared" si="64"/>
        <v>1</v>
      </c>
    </row>
    <row r="290" spans="1:31" x14ac:dyDescent="0.2">
      <c r="A290">
        <f>Dataset_A!A290</f>
        <v>289</v>
      </c>
      <c r="B290" s="61">
        <f>Dataset_A!B290</f>
        <v>40556</v>
      </c>
      <c r="C290">
        <f>Dataset_A!C290</f>
        <v>1</v>
      </c>
      <c r="D290">
        <f>Dataset_A!D290</f>
        <v>0</v>
      </c>
      <c r="E290">
        <f>Dataset_A!E290</f>
        <v>1</v>
      </c>
      <c r="F290">
        <f>Dataset_A!F290</f>
        <v>11</v>
      </c>
      <c r="G290" t="b">
        <f>Dataset_A!G290</f>
        <v>0</v>
      </c>
      <c r="H290">
        <f>Dataset_A!H290</f>
        <v>4</v>
      </c>
      <c r="I290">
        <f>Dataset_A!I290</f>
        <v>2</v>
      </c>
      <c r="J290" s="55">
        <f>Dataset_A!J290</f>
        <v>0.2</v>
      </c>
      <c r="K290">
        <f>Dataset_A!K290</f>
        <v>0.16669999999999999</v>
      </c>
      <c r="L290">
        <f>Dataset_A!L290</f>
        <v>0.44</v>
      </c>
      <c r="M290">
        <f>Dataset_A!M290</f>
        <v>0.44779999999999998</v>
      </c>
      <c r="N290">
        <f>Dataset_A!N290</f>
        <v>4</v>
      </c>
      <c r="O290">
        <f>Dataset_A!O290</f>
        <v>33</v>
      </c>
      <c r="P290">
        <f>Dataset_A!P290</f>
        <v>37</v>
      </c>
      <c r="Q290" t="str">
        <f t="shared" si="52"/>
        <v>REC-0289</v>
      </c>
      <c r="R290" s="62">
        <f t="shared" si="53"/>
        <v>40556.458333333336</v>
      </c>
      <c r="S290" t="str">
        <f t="shared" si="54"/>
        <v>Jan</v>
      </c>
      <c r="T290" t="str">
        <f>INDEX(Lookups!$B$39:$B$45,MATCH(H290,Lookups!$A$39:$A$45,0))</f>
        <v>Thu</v>
      </c>
      <c r="U290" t="str">
        <f t="shared" si="55"/>
        <v>Weekday</v>
      </c>
      <c r="V290" t="str">
        <f t="shared" si="56"/>
        <v>Working Day</v>
      </c>
      <c r="W290" t="str">
        <f t="shared" si="57"/>
        <v>Spring</v>
      </c>
      <c r="X290" t="str">
        <f t="shared" si="58"/>
        <v>Cloudy/Mist</v>
      </c>
      <c r="Y290" t="str">
        <f t="shared" si="59"/>
        <v>Morning</v>
      </c>
      <c r="Z290" t="str">
        <f t="shared" si="60"/>
        <v>Mild</v>
      </c>
      <c r="AA290" t="str">
        <f t="shared" si="61"/>
        <v>Low</v>
      </c>
      <c r="AB290" t="str">
        <f t="shared" si="62"/>
        <v>Off-Peak</v>
      </c>
      <c r="AC290" s="63">
        <f t="shared" si="63"/>
        <v>0.10810810810810811</v>
      </c>
      <c r="AD290" t="str">
        <f>IF(P290&gt;=Stats!$C$30,"High",IF(P290&lt;=Stats!$C$29,"Low","Normal"))</f>
        <v>Normal</v>
      </c>
      <c r="AE290">
        <f t="shared" si="64"/>
        <v>1</v>
      </c>
    </row>
    <row r="291" spans="1:31" x14ac:dyDescent="0.2">
      <c r="A291">
        <f>Dataset_A!A291</f>
        <v>290</v>
      </c>
      <c r="B291" s="61">
        <f>Dataset_A!B291</f>
        <v>40556</v>
      </c>
      <c r="C291">
        <f>Dataset_A!C291</f>
        <v>1</v>
      </c>
      <c r="D291">
        <f>Dataset_A!D291</f>
        <v>0</v>
      </c>
      <c r="E291">
        <f>Dataset_A!E291</f>
        <v>1</v>
      </c>
      <c r="F291">
        <f>Dataset_A!F291</f>
        <v>12</v>
      </c>
      <c r="G291" t="b">
        <f>Dataset_A!G291</f>
        <v>0</v>
      </c>
      <c r="H291">
        <f>Dataset_A!H291</f>
        <v>4</v>
      </c>
      <c r="I291">
        <f>Dataset_A!I291</f>
        <v>1</v>
      </c>
      <c r="J291" s="55">
        <f>Dataset_A!J291</f>
        <v>0.2</v>
      </c>
      <c r="K291">
        <f>Dataset_A!K291</f>
        <v>0.16669999999999999</v>
      </c>
      <c r="L291">
        <f>Dataset_A!L291</f>
        <v>0.44</v>
      </c>
      <c r="M291">
        <f>Dataset_A!M291</f>
        <v>0.41789999999999999</v>
      </c>
      <c r="N291">
        <f>Dataset_A!N291</f>
        <v>3</v>
      </c>
      <c r="O291">
        <f>Dataset_A!O291</f>
        <v>49</v>
      </c>
      <c r="P291">
        <f>Dataset_A!P291</f>
        <v>52</v>
      </c>
      <c r="Q291" t="str">
        <f t="shared" si="52"/>
        <v>REC-0290</v>
      </c>
      <c r="R291" s="62">
        <f t="shared" si="53"/>
        <v>40556.5</v>
      </c>
      <c r="S291" t="str">
        <f t="shared" si="54"/>
        <v>Jan</v>
      </c>
      <c r="T291" t="str">
        <f>INDEX(Lookups!$B$39:$B$45,MATCH(H291,Lookups!$A$39:$A$45,0))</f>
        <v>Thu</v>
      </c>
      <c r="U291" t="str">
        <f t="shared" si="55"/>
        <v>Weekday</v>
      </c>
      <c r="V291" t="str">
        <f t="shared" si="56"/>
        <v>Working Day</v>
      </c>
      <c r="W291" t="str">
        <f t="shared" si="57"/>
        <v>Spring</v>
      </c>
      <c r="X291" t="str">
        <f t="shared" si="58"/>
        <v>Clear</v>
      </c>
      <c r="Y291" t="str">
        <f t="shared" si="59"/>
        <v>Afternoon</v>
      </c>
      <c r="Z291" t="str">
        <f t="shared" si="60"/>
        <v>Mild</v>
      </c>
      <c r="AA291" t="str">
        <f t="shared" si="61"/>
        <v>Low</v>
      </c>
      <c r="AB291" t="str">
        <f t="shared" si="62"/>
        <v>Off-Peak</v>
      </c>
      <c r="AC291" s="63">
        <f t="shared" si="63"/>
        <v>5.7692307692307696E-2</v>
      </c>
      <c r="AD291" t="str">
        <f>IF(P291&gt;=Stats!$C$30,"High",IF(P291&lt;=Stats!$C$29,"Low","Normal"))</f>
        <v>Normal</v>
      </c>
      <c r="AE291">
        <f t="shared" si="64"/>
        <v>1</v>
      </c>
    </row>
    <row r="292" spans="1:31" x14ac:dyDescent="0.2">
      <c r="A292">
        <f>Dataset_A!A292</f>
        <v>291</v>
      </c>
      <c r="B292" s="61">
        <f>Dataset_A!B292</f>
        <v>40556</v>
      </c>
      <c r="C292">
        <f>Dataset_A!C292</f>
        <v>1</v>
      </c>
      <c r="D292">
        <f>Dataset_A!D292</f>
        <v>0</v>
      </c>
      <c r="E292">
        <f>Dataset_A!E292</f>
        <v>1</v>
      </c>
      <c r="F292">
        <f>Dataset_A!F292</f>
        <v>13</v>
      </c>
      <c r="G292" t="b">
        <f>Dataset_A!G292</f>
        <v>0</v>
      </c>
      <c r="H292">
        <f>Dataset_A!H292</f>
        <v>4</v>
      </c>
      <c r="I292">
        <f>Dataset_A!I292</f>
        <v>1</v>
      </c>
      <c r="J292" s="55">
        <f>Dataset_A!J292</f>
        <v>0.22</v>
      </c>
      <c r="K292">
        <f>Dataset_A!K292</f>
        <v>0.19700000000000001</v>
      </c>
      <c r="L292">
        <f>Dataset_A!L292</f>
        <v>0.41</v>
      </c>
      <c r="M292">
        <f>Dataset_A!M292</f>
        <v>0.44779999999999998</v>
      </c>
      <c r="N292">
        <f>Dataset_A!N292</f>
        <v>2</v>
      </c>
      <c r="O292">
        <f>Dataset_A!O292</f>
        <v>81</v>
      </c>
      <c r="P292">
        <f>Dataset_A!P292</f>
        <v>83</v>
      </c>
      <c r="Q292" t="str">
        <f t="shared" si="52"/>
        <v>REC-0291</v>
      </c>
      <c r="R292" s="62">
        <f t="shared" si="53"/>
        <v>40556.541666666664</v>
      </c>
      <c r="S292" t="str">
        <f t="shared" si="54"/>
        <v>Jan</v>
      </c>
      <c r="T292" t="str">
        <f>INDEX(Lookups!$B$39:$B$45,MATCH(H292,Lookups!$A$39:$A$45,0))</f>
        <v>Thu</v>
      </c>
      <c r="U292" t="str">
        <f t="shared" si="55"/>
        <v>Weekday</v>
      </c>
      <c r="V292" t="str">
        <f t="shared" si="56"/>
        <v>Working Day</v>
      </c>
      <c r="W292" t="str">
        <f t="shared" si="57"/>
        <v>Spring</v>
      </c>
      <c r="X292" t="str">
        <f t="shared" si="58"/>
        <v>Clear</v>
      </c>
      <c r="Y292" t="str">
        <f t="shared" si="59"/>
        <v>Afternoon</v>
      </c>
      <c r="Z292" t="str">
        <f t="shared" si="60"/>
        <v>Mild</v>
      </c>
      <c r="AA292" t="str">
        <f t="shared" si="61"/>
        <v>Low</v>
      </c>
      <c r="AB292" t="str">
        <f t="shared" si="62"/>
        <v>Off-Peak</v>
      </c>
      <c r="AC292" s="63">
        <f t="shared" si="63"/>
        <v>2.4096385542168676E-2</v>
      </c>
      <c r="AD292" t="str">
        <f>IF(P292&gt;=Stats!$C$30,"High",IF(P292&lt;=Stats!$C$29,"Low","Normal"))</f>
        <v>High</v>
      </c>
      <c r="AE292">
        <f t="shared" si="64"/>
        <v>1</v>
      </c>
    </row>
    <row r="293" spans="1:31" x14ac:dyDescent="0.2">
      <c r="A293">
        <f>Dataset_A!A293</f>
        <v>292</v>
      </c>
      <c r="B293" s="61">
        <f>Dataset_A!B293</f>
        <v>40556</v>
      </c>
      <c r="C293">
        <f>Dataset_A!C293</f>
        <v>1</v>
      </c>
      <c r="D293">
        <f>Dataset_A!D293</f>
        <v>0</v>
      </c>
      <c r="E293">
        <f>Dataset_A!E293</f>
        <v>1</v>
      </c>
      <c r="F293">
        <f>Dataset_A!F293</f>
        <v>14</v>
      </c>
      <c r="G293" t="b">
        <f>Dataset_A!G293</f>
        <v>0</v>
      </c>
      <c r="H293">
        <f>Dataset_A!H293</f>
        <v>4</v>
      </c>
      <c r="I293">
        <f>Dataset_A!I293</f>
        <v>1</v>
      </c>
      <c r="J293" s="55">
        <f>Dataset_A!J293</f>
        <v>0.22</v>
      </c>
      <c r="K293">
        <f>Dataset_A!K293</f>
        <v>0.19700000000000001</v>
      </c>
      <c r="L293">
        <f>Dataset_A!L293</f>
        <v>0.41</v>
      </c>
      <c r="M293">
        <f>Dataset_A!M293</f>
        <v>0.3881</v>
      </c>
      <c r="N293">
        <f>Dataset_A!N293</f>
        <v>3</v>
      </c>
      <c r="O293">
        <f>Dataset_A!O293</f>
        <v>39</v>
      </c>
      <c r="P293">
        <f>Dataset_A!P293</f>
        <v>42</v>
      </c>
      <c r="Q293" t="str">
        <f t="shared" si="52"/>
        <v>REC-0292</v>
      </c>
      <c r="R293" s="62">
        <f t="shared" si="53"/>
        <v>40556.583333333336</v>
      </c>
      <c r="S293" t="str">
        <f t="shared" si="54"/>
        <v>Jan</v>
      </c>
      <c r="T293" t="str">
        <f>INDEX(Lookups!$B$39:$B$45,MATCH(H293,Lookups!$A$39:$A$45,0))</f>
        <v>Thu</v>
      </c>
      <c r="U293" t="str">
        <f t="shared" si="55"/>
        <v>Weekday</v>
      </c>
      <c r="V293" t="str">
        <f t="shared" si="56"/>
        <v>Working Day</v>
      </c>
      <c r="W293" t="str">
        <f t="shared" si="57"/>
        <v>Spring</v>
      </c>
      <c r="X293" t="str">
        <f t="shared" si="58"/>
        <v>Clear</v>
      </c>
      <c r="Y293" t="str">
        <f t="shared" si="59"/>
        <v>Afternoon</v>
      </c>
      <c r="Z293" t="str">
        <f t="shared" si="60"/>
        <v>Mild</v>
      </c>
      <c r="AA293" t="str">
        <f t="shared" si="61"/>
        <v>Low</v>
      </c>
      <c r="AB293" t="str">
        <f t="shared" si="62"/>
        <v>Off-Peak</v>
      </c>
      <c r="AC293" s="63">
        <f t="shared" si="63"/>
        <v>7.1428571428571425E-2</v>
      </c>
      <c r="AD293" t="str">
        <f>IF(P293&gt;=Stats!$C$30,"High",IF(P293&lt;=Stats!$C$29,"Low","Normal"))</f>
        <v>Normal</v>
      </c>
      <c r="AE293">
        <f t="shared" si="64"/>
        <v>1</v>
      </c>
    </row>
    <row r="294" spans="1:31" x14ac:dyDescent="0.2">
      <c r="A294">
        <f>Dataset_A!A294</f>
        <v>293</v>
      </c>
      <c r="B294" s="61">
        <f>Dataset_A!B294</f>
        <v>40556</v>
      </c>
      <c r="C294">
        <f>Dataset_A!C294</f>
        <v>1</v>
      </c>
      <c r="D294">
        <f>Dataset_A!D294</f>
        <v>0</v>
      </c>
      <c r="E294">
        <f>Dataset_A!E294</f>
        <v>1</v>
      </c>
      <c r="F294">
        <f>Dataset_A!F294</f>
        <v>15</v>
      </c>
      <c r="G294" t="b">
        <f>Dataset_A!G294</f>
        <v>0</v>
      </c>
      <c r="H294">
        <f>Dataset_A!H294</f>
        <v>4</v>
      </c>
      <c r="I294">
        <f>Dataset_A!I294</f>
        <v>1</v>
      </c>
      <c r="J294" s="55">
        <f>Dataset_A!J294</f>
        <v>0.24</v>
      </c>
      <c r="K294">
        <f>Dataset_A!K294</f>
        <v>0.21210000000000001</v>
      </c>
      <c r="L294">
        <f>Dataset_A!L294</f>
        <v>0.38</v>
      </c>
      <c r="M294">
        <f>Dataset_A!M294</f>
        <v>0.29849999999999999</v>
      </c>
      <c r="N294">
        <f>Dataset_A!N294</f>
        <v>5</v>
      </c>
      <c r="O294">
        <f>Dataset_A!O294</f>
        <v>55</v>
      </c>
      <c r="P294">
        <f>Dataset_A!P294</f>
        <v>60</v>
      </c>
      <c r="Q294" t="str">
        <f t="shared" si="52"/>
        <v>REC-0293</v>
      </c>
      <c r="R294" s="62">
        <f t="shared" si="53"/>
        <v>40556.625</v>
      </c>
      <c r="S294" t="str">
        <f t="shared" si="54"/>
        <v>Jan</v>
      </c>
      <c r="T294" t="str">
        <f>INDEX(Lookups!$B$39:$B$45,MATCH(H294,Lookups!$A$39:$A$45,0))</f>
        <v>Thu</v>
      </c>
      <c r="U294" t="str">
        <f t="shared" si="55"/>
        <v>Weekday</v>
      </c>
      <c r="V294" t="str">
        <f t="shared" si="56"/>
        <v>Working Day</v>
      </c>
      <c r="W294" t="str">
        <f t="shared" si="57"/>
        <v>Spring</v>
      </c>
      <c r="X294" t="str">
        <f t="shared" si="58"/>
        <v>Clear</v>
      </c>
      <c r="Y294" t="str">
        <f t="shared" si="59"/>
        <v>Afternoon</v>
      </c>
      <c r="Z294" t="str">
        <f t="shared" si="60"/>
        <v>Mild</v>
      </c>
      <c r="AA294" t="str">
        <f t="shared" si="61"/>
        <v>Low</v>
      </c>
      <c r="AB294" t="str">
        <f t="shared" si="62"/>
        <v>Off-Peak</v>
      </c>
      <c r="AC294" s="63">
        <f t="shared" si="63"/>
        <v>8.3333333333333329E-2</v>
      </c>
      <c r="AD294" t="str">
        <f>IF(P294&gt;=Stats!$C$30,"High",IF(P294&lt;=Stats!$C$29,"Low","Normal"))</f>
        <v>Normal</v>
      </c>
      <c r="AE294">
        <f t="shared" si="64"/>
        <v>1</v>
      </c>
    </row>
    <row r="295" spans="1:31" x14ac:dyDescent="0.2">
      <c r="A295">
        <f>Dataset_A!A295</f>
        <v>294</v>
      </c>
      <c r="B295" s="61">
        <f>Dataset_A!B295</f>
        <v>40556</v>
      </c>
      <c r="C295">
        <f>Dataset_A!C295</f>
        <v>1</v>
      </c>
      <c r="D295">
        <f>Dataset_A!D295</f>
        <v>0</v>
      </c>
      <c r="E295">
        <f>Dataset_A!E295</f>
        <v>1</v>
      </c>
      <c r="F295">
        <f>Dataset_A!F295</f>
        <v>16</v>
      </c>
      <c r="G295" t="b">
        <f>Dataset_A!G295</f>
        <v>0</v>
      </c>
      <c r="H295">
        <f>Dataset_A!H295</f>
        <v>4</v>
      </c>
      <c r="I295">
        <f>Dataset_A!I295</f>
        <v>1</v>
      </c>
      <c r="J295" s="55">
        <f>Dataset_A!J295</f>
        <v>0.24</v>
      </c>
      <c r="K295">
        <f>Dataset_A!K295</f>
        <v>0.21210000000000001</v>
      </c>
      <c r="L295">
        <f>Dataset_A!L295</f>
        <v>0.38</v>
      </c>
      <c r="M295">
        <f>Dataset_A!M295</f>
        <v>0.35820000000000002</v>
      </c>
      <c r="N295">
        <f>Dataset_A!N295</f>
        <v>2</v>
      </c>
      <c r="O295">
        <f>Dataset_A!O295</f>
        <v>76</v>
      </c>
      <c r="P295">
        <f>Dataset_A!P295</f>
        <v>78</v>
      </c>
      <c r="Q295" t="str">
        <f t="shared" si="52"/>
        <v>REC-0294</v>
      </c>
      <c r="R295" s="62">
        <f t="shared" si="53"/>
        <v>40556.666666666664</v>
      </c>
      <c r="S295" t="str">
        <f t="shared" si="54"/>
        <v>Jan</v>
      </c>
      <c r="T295" t="str">
        <f>INDEX(Lookups!$B$39:$B$45,MATCH(H295,Lookups!$A$39:$A$45,0))</f>
        <v>Thu</v>
      </c>
      <c r="U295" t="str">
        <f t="shared" si="55"/>
        <v>Weekday</v>
      </c>
      <c r="V295" t="str">
        <f t="shared" si="56"/>
        <v>Working Day</v>
      </c>
      <c r="W295" t="str">
        <f t="shared" si="57"/>
        <v>Spring</v>
      </c>
      <c r="X295" t="str">
        <f t="shared" si="58"/>
        <v>Clear</v>
      </c>
      <c r="Y295" t="str">
        <f t="shared" si="59"/>
        <v>Afternoon</v>
      </c>
      <c r="Z295" t="str">
        <f t="shared" si="60"/>
        <v>Mild</v>
      </c>
      <c r="AA295" t="str">
        <f t="shared" si="61"/>
        <v>Low</v>
      </c>
      <c r="AB295" t="str">
        <f t="shared" si="62"/>
        <v>Peak</v>
      </c>
      <c r="AC295" s="63">
        <f t="shared" si="63"/>
        <v>2.564102564102564E-2</v>
      </c>
      <c r="AD295" t="str">
        <f>IF(P295&gt;=Stats!$C$30,"High",IF(P295&lt;=Stats!$C$29,"Low","Normal"))</f>
        <v>Normal</v>
      </c>
      <c r="AE295">
        <f t="shared" si="64"/>
        <v>1</v>
      </c>
    </row>
    <row r="296" spans="1:31" x14ac:dyDescent="0.2">
      <c r="A296">
        <f>Dataset_A!A296</f>
        <v>295</v>
      </c>
      <c r="B296" s="61">
        <f>Dataset_A!B296</f>
        <v>40556</v>
      </c>
      <c r="C296">
        <f>Dataset_A!C296</f>
        <v>1</v>
      </c>
      <c r="D296">
        <f>Dataset_A!D296</f>
        <v>0</v>
      </c>
      <c r="E296">
        <f>Dataset_A!E296</f>
        <v>1</v>
      </c>
      <c r="F296">
        <f>Dataset_A!F296</f>
        <v>17</v>
      </c>
      <c r="G296" t="b">
        <f>Dataset_A!G296</f>
        <v>0</v>
      </c>
      <c r="H296">
        <f>Dataset_A!H296</f>
        <v>4</v>
      </c>
      <c r="I296">
        <f>Dataset_A!I296</f>
        <v>1</v>
      </c>
      <c r="J296" s="55">
        <f>Dataset_A!J296</f>
        <v>0.2</v>
      </c>
      <c r="K296">
        <f>Dataset_A!K296</f>
        <v>0.18179999999999999</v>
      </c>
      <c r="L296">
        <f>Dataset_A!L296</f>
        <v>0.4</v>
      </c>
      <c r="M296">
        <f>Dataset_A!M296</f>
        <v>0.28360000000000002</v>
      </c>
      <c r="N296">
        <f>Dataset_A!N296</f>
        <v>4</v>
      </c>
      <c r="O296">
        <f>Dataset_A!O296</f>
        <v>158</v>
      </c>
      <c r="P296">
        <f>Dataset_A!P296</f>
        <v>162</v>
      </c>
      <c r="Q296" t="str">
        <f t="shared" si="52"/>
        <v>REC-0295</v>
      </c>
      <c r="R296" s="62">
        <f t="shared" si="53"/>
        <v>40556.708333333336</v>
      </c>
      <c r="S296" t="str">
        <f t="shared" si="54"/>
        <v>Jan</v>
      </c>
      <c r="T296" t="str">
        <f>INDEX(Lookups!$B$39:$B$45,MATCH(H296,Lookups!$A$39:$A$45,0))</f>
        <v>Thu</v>
      </c>
      <c r="U296" t="str">
        <f t="shared" si="55"/>
        <v>Weekday</v>
      </c>
      <c r="V296" t="str">
        <f t="shared" si="56"/>
        <v>Working Day</v>
      </c>
      <c r="W296" t="str">
        <f t="shared" si="57"/>
        <v>Spring</v>
      </c>
      <c r="X296" t="str">
        <f t="shared" si="58"/>
        <v>Clear</v>
      </c>
      <c r="Y296" t="str">
        <f t="shared" si="59"/>
        <v>Evening</v>
      </c>
      <c r="Z296" t="str">
        <f t="shared" si="60"/>
        <v>Mild</v>
      </c>
      <c r="AA296" t="str">
        <f t="shared" si="61"/>
        <v>Low</v>
      </c>
      <c r="AB296" t="str">
        <f t="shared" si="62"/>
        <v>Peak</v>
      </c>
      <c r="AC296" s="63">
        <f t="shared" si="63"/>
        <v>2.4691358024691357E-2</v>
      </c>
      <c r="AD296" t="str">
        <f>IF(P296&gt;=Stats!$C$30,"High",IF(P296&lt;=Stats!$C$29,"Low","Normal"))</f>
        <v>High</v>
      </c>
      <c r="AE296">
        <f t="shared" si="64"/>
        <v>1</v>
      </c>
    </row>
    <row r="297" spans="1:31" x14ac:dyDescent="0.2">
      <c r="A297">
        <f>Dataset_A!A297</f>
        <v>296</v>
      </c>
      <c r="B297" s="61">
        <f>Dataset_A!B297</f>
        <v>40556</v>
      </c>
      <c r="C297">
        <f>Dataset_A!C297</f>
        <v>1</v>
      </c>
      <c r="D297">
        <f>Dataset_A!D297</f>
        <v>0</v>
      </c>
      <c r="E297">
        <f>Dataset_A!E297</f>
        <v>1</v>
      </c>
      <c r="F297">
        <f>Dataset_A!F297</f>
        <v>18</v>
      </c>
      <c r="G297" t="b">
        <f>Dataset_A!G297</f>
        <v>0</v>
      </c>
      <c r="H297">
        <f>Dataset_A!H297</f>
        <v>4</v>
      </c>
      <c r="I297">
        <f>Dataset_A!I297</f>
        <v>1</v>
      </c>
      <c r="J297" s="55">
        <f>Dataset_A!J297</f>
        <v>0.2</v>
      </c>
      <c r="K297">
        <f>Dataset_A!K297</f>
        <v>0.18179999999999999</v>
      </c>
      <c r="L297">
        <f>Dataset_A!L297</f>
        <v>0.4</v>
      </c>
      <c r="M297">
        <f>Dataset_A!M297</f>
        <v>0.32840000000000003</v>
      </c>
      <c r="N297">
        <f>Dataset_A!N297</f>
        <v>3</v>
      </c>
      <c r="O297">
        <f>Dataset_A!O297</f>
        <v>141</v>
      </c>
      <c r="P297">
        <f>Dataset_A!P297</f>
        <v>144</v>
      </c>
      <c r="Q297" t="str">
        <f t="shared" si="52"/>
        <v>REC-0296</v>
      </c>
      <c r="R297" s="62">
        <f t="shared" si="53"/>
        <v>40556.75</v>
      </c>
      <c r="S297" t="str">
        <f t="shared" si="54"/>
        <v>Jan</v>
      </c>
      <c r="T297" t="str">
        <f>INDEX(Lookups!$B$39:$B$45,MATCH(H297,Lookups!$A$39:$A$45,0))</f>
        <v>Thu</v>
      </c>
      <c r="U297" t="str">
        <f t="shared" si="55"/>
        <v>Weekday</v>
      </c>
      <c r="V297" t="str">
        <f t="shared" si="56"/>
        <v>Working Day</v>
      </c>
      <c r="W297" t="str">
        <f t="shared" si="57"/>
        <v>Spring</v>
      </c>
      <c r="X297" t="str">
        <f t="shared" si="58"/>
        <v>Clear</v>
      </c>
      <c r="Y297" t="str">
        <f t="shared" si="59"/>
        <v>Evening</v>
      </c>
      <c r="Z297" t="str">
        <f t="shared" si="60"/>
        <v>Mild</v>
      </c>
      <c r="AA297" t="str">
        <f t="shared" si="61"/>
        <v>Low</v>
      </c>
      <c r="AB297" t="str">
        <f t="shared" si="62"/>
        <v>Peak</v>
      </c>
      <c r="AC297" s="63">
        <f t="shared" si="63"/>
        <v>2.0833333333333332E-2</v>
      </c>
      <c r="AD297" t="str">
        <f>IF(P297&gt;=Stats!$C$30,"High",IF(P297&lt;=Stats!$C$29,"Low","Normal"))</f>
        <v>High</v>
      </c>
      <c r="AE297">
        <f t="shared" si="64"/>
        <v>1</v>
      </c>
    </row>
    <row r="298" spans="1:31" x14ac:dyDescent="0.2">
      <c r="A298">
        <f>Dataset_A!A298</f>
        <v>297</v>
      </c>
      <c r="B298" s="61">
        <f>Dataset_A!B298</f>
        <v>40556</v>
      </c>
      <c r="C298">
        <f>Dataset_A!C298</f>
        <v>1</v>
      </c>
      <c r="D298">
        <f>Dataset_A!D298</f>
        <v>0</v>
      </c>
      <c r="E298">
        <f>Dataset_A!E298</f>
        <v>1</v>
      </c>
      <c r="F298">
        <f>Dataset_A!F298</f>
        <v>19</v>
      </c>
      <c r="G298" t="b">
        <f>Dataset_A!G298</f>
        <v>0</v>
      </c>
      <c r="H298">
        <f>Dataset_A!H298</f>
        <v>4</v>
      </c>
      <c r="I298">
        <f>Dataset_A!I298</f>
        <v>1</v>
      </c>
      <c r="J298" s="55">
        <f>Dataset_A!J298</f>
        <v>0.16</v>
      </c>
      <c r="K298">
        <f>Dataset_A!K298</f>
        <v>0.1515</v>
      </c>
      <c r="L298">
        <f>Dataset_A!L298</f>
        <v>0.47</v>
      </c>
      <c r="M298">
        <f>Dataset_A!M298</f>
        <v>0.25369999999999998</v>
      </c>
      <c r="N298">
        <f>Dataset_A!N298</f>
        <v>1</v>
      </c>
      <c r="O298">
        <f>Dataset_A!O298</f>
        <v>98</v>
      </c>
      <c r="P298">
        <f>Dataset_A!P298</f>
        <v>99</v>
      </c>
      <c r="Q298" t="str">
        <f t="shared" si="52"/>
        <v>REC-0297</v>
      </c>
      <c r="R298" s="62">
        <f t="shared" si="53"/>
        <v>40556.791666666664</v>
      </c>
      <c r="S298" t="str">
        <f t="shared" si="54"/>
        <v>Jan</v>
      </c>
      <c r="T298" t="str">
        <f>INDEX(Lookups!$B$39:$B$45,MATCH(H298,Lookups!$A$39:$A$45,0))</f>
        <v>Thu</v>
      </c>
      <c r="U298" t="str">
        <f t="shared" si="55"/>
        <v>Weekday</v>
      </c>
      <c r="V298" t="str">
        <f t="shared" si="56"/>
        <v>Working Day</v>
      </c>
      <c r="W298" t="str">
        <f t="shared" si="57"/>
        <v>Spring</v>
      </c>
      <c r="X298" t="str">
        <f t="shared" si="58"/>
        <v>Clear</v>
      </c>
      <c r="Y298" t="str">
        <f t="shared" si="59"/>
        <v>Evening</v>
      </c>
      <c r="Z298" t="str">
        <f t="shared" si="60"/>
        <v>Cold</v>
      </c>
      <c r="AA298" t="str">
        <f t="shared" si="61"/>
        <v>Low</v>
      </c>
      <c r="AB298" t="str">
        <f t="shared" si="62"/>
        <v>Peak</v>
      </c>
      <c r="AC298" s="63">
        <f t="shared" si="63"/>
        <v>1.0101010101010102E-2</v>
      </c>
      <c r="AD298" t="str">
        <f>IF(P298&gt;=Stats!$C$30,"High",IF(P298&lt;=Stats!$C$29,"Low","Normal"))</f>
        <v>High</v>
      </c>
      <c r="AE298">
        <f t="shared" si="64"/>
        <v>1</v>
      </c>
    </row>
    <row r="299" spans="1:31" x14ac:dyDescent="0.2">
      <c r="A299">
        <f>Dataset_A!A299</f>
        <v>298</v>
      </c>
      <c r="B299" s="61">
        <f>Dataset_A!B299</f>
        <v>40556</v>
      </c>
      <c r="C299">
        <f>Dataset_A!C299</f>
        <v>1</v>
      </c>
      <c r="D299">
        <f>Dataset_A!D299</f>
        <v>0</v>
      </c>
      <c r="E299">
        <f>Dataset_A!E299</f>
        <v>1</v>
      </c>
      <c r="F299">
        <f>Dataset_A!F299</f>
        <v>20</v>
      </c>
      <c r="G299" t="b">
        <f>Dataset_A!G299</f>
        <v>0</v>
      </c>
      <c r="H299">
        <f>Dataset_A!H299</f>
        <v>4</v>
      </c>
      <c r="I299">
        <f>Dataset_A!I299</f>
        <v>1</v>
      </c>
      <c r="J299" s="55">
        <f>Dataset_A!J299</f>
        <v>0.16</v>
      </c>
      <c r="K299">
        <f>Dataset_A!K299</f>
        <v>0.1515</v>
      </c>
      <c r="L299">
        <f>Dataset_A!L299</f>
        <v>0.47</v>
      </c>
      <c r="M299">
        <f>Dataset_A!M299</f>
        <v>0.22389999999999999</v>
      </c>
      <c r="N299">
        <f>Dataset_A!N299</f>
        <v>0</v>
      </c>
      <c r="O299">
        <f>Dataset_A!O299</f>
        <v>64</v>
      </c>
      <c r="P299">
        <f>Dataset_A!P299</f>
        <v>64</v>
      </c>
      <c r="Q299" t="str">
        <f t="shared" si="52"/>
        <v>REC-0298</v>
      </c>
      <c r="R299" s="62">
        <f t="shared" si="53"/>
        <v>40556.833333333336</v>
      </c>
      <c r="S299" t="str">
        <f t="shared" si="54"/>
        <v>Jan</v>
      </c>
      <c r="T299" t="str">
        <f>INDEX(Lookups!$B$39:$B$45,MATCH(H299,Lookups!$A$39:$A$45,0))</f>
        <v>Thu</v>
      </c>
      <c r="U299" t="str">
        <f t="shared" si="55"/>
        <v>Weekday</v>
      </c>
      <c r="V299" t="str">
        <f t="shared" si="56"/>
        <v>Working Day</v>
      </c>
      <c r="W299" t="str">
        <f t="shared" si="57"/>
        <v>Spring</v>
      </c>
      <c r="X299" t="str">
        <f t="shared" si="58"/>
        <v>Clear</v>
      </c>
      <c r="Y299" t="str">
        <f t="shared" si="59"/>
        <v>Evening</v>
      </c>
      <c r="Z299" t="str">
        <f t="shared" si="60"/>
        <v>Cold</v>
      </c>
      <c r="AA299" t="str">
        <f t="shared" si="61"/>
        <v>Low</v>
      </c>
      <c r="AB299" t="str">
        <f t="shared" si="62"/>
        <v>Off-Peak</v>
      </c>
      <c r="AC299" s="63">
        <f t="shared" si="63"/>
        <v>0</v>
      </c>
      <c r="AD299" t="str">
        <f>IF(P299&gt;=Stats!$C$30,"High",IF(P299&lt;=Stats!$C$29,"Low","Normal"))</f>
        <v>Normal</v>
      </c>
      <c r="AE299">
        <f t="shared" si="64"/>
        <v>1</v>
      </c>
    </row>
    <row r="300" spans="1:31" x14ac:dyDescent="0.2">
      <c r="A300">
        <f>Dataset_A!A300</f>
        <v>299</v>
      </c>
      <c r="B300" s="61">
        <f>Dataset_A!B300</f>
        <v>40556</v>
      </c>
      <c r="C300">
        <f>Dataset_A!C300</f>
        <v>1</v>
      </c>
      <c r="D300">
        <f>Dataset_A!D300</f>
        <v>0</v>
      </c>
      <c r="E300">
        <f>Dataset_A!E300</f>
        <v>1</v>
      </c>
      <c r="F300">
        <f>Dataset_A!F300</f>
        <v>21</v>
      </c>
      <c r="G300" t="b">
        <f>Dataset_A!G300</f>
        <v>0</v>
      </c>
      <c r="H300">
        <f>Dataset_A!H300</f>
        <v>4</v>
      </c>
      <c r="I300">
        <f>Dataset_A!I300</f>
        <v>1</v>
      </c>
      <c r="J300" s="55">
        <f>Dataset_A!J300</f>
        <v>0.14000000000000001</v>
      </c>
      <c r="K300">
        <f>Dataset_A!K300</f>
        <v>0.1212</v>
      </c>
      <c r="L300">
        <f>Dataset_A!L300</f>
        <v>0.46</v>
      </c>
      <c r="M300">
        <f>Dataset_A!M300</f>
        <v>0.29849999999999999</v>
      </c>
      <c r="N300">
        <f>Dataset_A!N300</f>
        <v>0</v>
      </c>
      <c r="O300">
        <f>Dataset_A!O300</f>
        <v>40</v>
      </c>
      <c r="P300">
        <f>Dataset_A!P300</f>
        <v>40</v>
      </c>
      <c r="Q300" t="str">
        <f t="shared" si="52"/>
        <v>REC-0299</v>
      </c>
      <c r="R300" s="62">
        <f t="shared" si="53"/>
        <v>40556.875</v>
      </c>
      <c r="S300" t="str">
        <f t="shared" si="54"/>
        <v>Jan</v>
      </c>
      <c r="T300" t="str">
        <f>INDEX(Lookups!$B$39:$B$45,MATCH(H300,Lookups!$A$39:$A$45,0))</f>
        <v>Thu</v>
      </c>
      <c r="U300" t="str">
        <f t="shared" si="55"/>
        <v>Weekday</v>
      </c>
      <c r="V300" t="str">
        <f t="shared" si="56"/>
        <v>Working Day</v>
      </c>
      <c r="W300" t="str">
        <f t="shared" si="57"/>
        <v>Spring</v>
      </c>
      <c r="X300" t="str">
        <f t="shared" si="58"/>
        <v>Clear</v>
      </c>
      <c r="Y300" t="str">
        <f t="shared" si="59"/>
        <v>Late Evening</v>
      </c>
      <c r="Z300" t="str">
        <f t="shared" si="60"/>
        <v>Cold</v>
      </c>
      <c r="AA300" t="str">
        <f t="shared" si="61"/>
        <v>Low</v>
      </c>
      <c r="AB300" t="str">
        <f t="shared" si="62"/>
        <v>Off-Peak</v>
      </c>
      <c r="AC300" s="63">
        <f t="shared" si="63"/>
        <v>0</v>
      </c>
      <c r="AD300" t="str">
        <f>IF(P300&gt;=Stats!$C$30,"High",IF(P300&lt;=Stats!$C$29,"Low","Normal"))</f>
        <v>Normal</v>
      </c>
      <c r="AE300">
        <f t="shared" si="64"/>
        <v>1</v>
      </c>
    </row>
    <row r="301" spans="1:31" x14ac:dyDescent="0.2">
      <c r="A301">
        <f>Dataset_A!A301</f>
        <v>300</v>
      </c>
      <c r="B301" s="61">
        <f>Dataset_A!B301</f>
        <v>40556</v>
      </c>
      <c r="C301">
        <f>Dataset_A!C301</f>
        <v>1</v>
      </c>
      <c r="D301">
        <f>Dataset_A!D301</f>
        <v>0</v>
      </c>
      <c r="E301">
        <f>Dataset_A!E301</f>
        <v>1</v>
      </c>
      <c r="F301">
        <f>Dataset_A!F301</f>
        <v>22</v>
      </c>
      <c r="G301" t="b">
        <f>Dataset_A!G301</f>
        <v>0</v>
      </c>
      <c r="H301">
        <f>Dataset_A!H301</f>
        <v>4</v>
      </c>
      <c r="I301">
        <f>Dataset_A!I301</f>
        <v>1</v>
      </c>
      <c r="J301" s="55">
        <f>Dataset_A!J301</f>
        <v>0.14000000000000001</v>
      </c>
      <c r="K301">
        <f>Dataset_A!K301</f>
        <v>0.1212</v>
      </c>
      <c r="L301">
        <f>Dataset_A!L301</f>
        <v>0.46</v>
      </c>
      <c r="M301">
        <f>Dataset_A!M301</f>
        <v>0.32840000000000003</v>
      </c>
      <c r="N301">
        <f>Dataset_A!N301</f>
        <v>0</v>
      </c>
      <c r="O301">
        <f>Dataset_A!O301</f>
        <v>30</v>
      </c>
      <c r="P301">
        <f>Dataset_A!P301</f>
        <v>30</v>
      </c>
      <c r="Q301" t="str">
        <f t="shared" si="52"/>
        <v>REC-0300</v>
      </c>
      <c r="R301" s="62">
        <f t="shared" si="53"/>
        <v>40556.916666666664</v>
      </c>
      <c r="S301" t="str">
        <f t="shared" si="54"/>
        <v>Jan</v>
      </c>
      <c r="T301" t="str">
        <f>INDEX(Lookups!$B$39:$B$45,MATCH(H301,Lookups!$A$39:$A$45,0))</f>
        <v>Thu</v>
      </c>
      <c r="U301" t="str">
        <f t="shared" si="55"/>
        <v>Weekday</v>
      </c>
      <c r="V301" t="str">
        <f t="shared" si="56"/>
        <v>Working Day</v>
      </c>
      <c r="W301" t="str">
        <f t="shared" si="57"/>
        <v>Spring</v>
      </c>
      <c r="X301" t="str">
        <f t="shared" si="58"/>
        <v>Clear</v>
      </c>
      <c r="Y301" t="str">
        <f t="shared" si="59"/>
        <v>Late Evening</v>
      </c>
      <c r="Z301" t="str">
        <f t="shared" si="60"/>
        <v>Cold</v>
      </c>
      <c r="AA301" t="str">
        <f t="shared" si="61"/>
        <v>Low</v>
      </c>
      <c r="AB301" t="str">
        <f t="shared" si="62"/>
        <v>Off-Peak</v>
      </c>
      <c r="AC301" s="63">
        <f t="shared" si="63"/>
        <v>0</v>
      </c>
      <c r="AD301" t="str">
        <f>IF(P301&gt;=Stats!$C$30,"High",IF(P301&lt;=Stats!$C$29,"Low","Normal"))</f>
        <v>Normal</v>
      </c>
      <c r="AE301">
        <f t="shared" si="64"/>
        <v>1</v>
      </c>
    </row>
    <row r="302" spans="1:31" x14ac:dyDescent="0.2">
      <c r="A302">
        <f>Dataset_A!A302</f>
        <v>301</v>
      </c>
      <c r="B302" s="61">
        <f>Dataset_A!B302</f>
        <v>40556</v>
      </c>
      <c r="C302">
        <f>Dataset_A!C302</f>
        <v>1</v>
      </c>
      <c r="D302">
        <f>Dataset_A!D302</f>
        <v>0</v>
      </c>
      <c r="E302">
        <f>Dataset_A!E302</f>
        <v>1</v>
      </c>
      <c r="F302">
        <f>Dataset_A!F302</f>
        <v>23</v>
      </c>
      <c r="G302" t="b">
        <f>Dataset_A!G302</f>
        <v>0</v>
      </c>
      <c r="H302">
        <f>Dataset_A!H302</f>
        <v>4</v>
      </c>
      <c r="I302">
        <f>Dataset_A!I302</f>
        <v>1</v>
      </c>
      <c r="J302" s="55">
        <f>Dataset_A!J302</f>
        <v>0.12</v>
      </c>
      <c r="K302">
        <f>Dataset_A!K302</f>
        <v>0.13639999999999999</v>
      </c>
      <c r="L302">
        <f>Dataset_A!L302</f>
        <v>0.5</v>
      </c>
      <c r="M302">
        <f>Dataset_A!M302</f>
        <v>0.19400000000000001</v>
      </c>
      <c r="N302">
        <f>Dataset_A!N302</f>
        <v>1</v>
      </c>
      <c r="O302">
        <f>Dataset_A!O302</f>
        <v>14</v>
      </c>
      <c r="P302">
        <f>Dataset_A!P302</f>
        <v>15</v>
      </c>
      <c r="Q302" t="str">
        <f t="shared" si="52"/>
        <v>REC-0301</v>
      </c>
      <c r="R302" s="62">
        <f t="shared" si="53"/>
        <v>40556.958333333336</v>
      </c>
      <c r="S302" t="str">
        <f t="shared" si="54"/>
        <v>Jan</v>
      </c>
      <c r="T302" t="str">
        <f>INDEX(Lookups!$B$39:$B$45,MATCH(H302,Lookups!$A$39:$A$45,0))</f>
        <v>Thu</v>
      </c>
      <c r="U302" t="str">
        <f t="shared" si="55"/>
        <v>Weekday</v>
      </c>
      <c r="V302" t="str">
        <f t="shared" si="56"/>
        <v>Working Day</v>
      </c>
      <c r="W302" t="str">
        <f t="shared" si="57"/>
        <v>Spring</v>
      </c>
      <c r="X302" t="str">
        <f t="shared" si="58"/>
        <v>Clear</v>
      </c>
      <c r="Y302" t="str">
        <f t="shared" si="59"/>
        <v>Late Evening</v>
      </c>
      <c r="Z302" t="str">
        <f t="shared" si="60"/>
        <v>Cold</v>
      </c>
      <c r="AA302" t="str">
        <f t="shared" si="61"/>
        <v>Medium</v>
      </c>
      <c r="AB302" t="str">
        <f t="shared" si="62"/>
        <v>Off-Peak</v>
      </c>
      <c r="AC302" s="63">
        <f t="shared" si="63"/>
        <v>6.6666666666666666E-2</v>
      </c>
      <c r="AD302" t="str">
        <f>IF(P302&gt;=Stats!$C$30,"High",IF(P302&lt;=Stats!$C$29,"Low","Normal"))</f>
        <v>Low</v>
      </c>
      <c r="AE302">
        <f t="shared" si="64"/>
        <v>1</v>
      </c>
    </row>
    <row r="303" spans="1:31" x14ac:dyDescent="0.2">
      <c r="A303">
        <f>Dataset_A!A303</f>
        <v>302</v>
      </c>
      <c r="B303" s="61">
        <f>Dataset_A!B303</f>
        <v>40557</v>
      </c>
      <c r="C303">
        <f>Dataset_A!C303</f>
        <v>1</v>
      </c>
      <c r="D303">
        <f>Dataset_A!D303</f>
        <v>0</v>
      </c>
      <c r="E303">
        <f>Dataset_A!E303</f>
        <v>1</v>
      </c>
      <c r="F303">
        <f>Dataset_A!F303</f>
        <v>0</v>
      </c>
      <c r="G303" t="b">
        <f>Dataset_A!G303</f>
        <v>0</v>
      </c>
      <c r="H303">
        <f>Dataset_A!H303</f>
        <v>5</v>
      </c>
      <c r="I303">
        <f>Dataset_A!I303</f>
        <v>1</v>
      </c>
      <c r="J303" s="55">
        <f>Dataset_A!J303</f>
        <v>0.12</v>
      </c>
      <c r="K303">
        <f>Dataset_A!K303</f>
        <v>0.13639999999999999</v>
      </c>
      <c r="L303">
        <f>Dataset_A!L303</f>
        <v>0.5</v>
      </c>
      <c r="M303">
        <f>Dataset_A!M303</f>
        <v>0.19400000000000001</v>
      </c>
      <c r="N303">
        <f>Dataset_A!N303</f>
        <v>0</v>
      </c>
      <c r="O303">
        <f>Dataset_A!O303</f>
        <v>14</v>
      </c>
      <c r="P303">
        <f>Dataset_A!P303</f>
        <v>14</v>
      </c>
      <c r="Q303" t="str">
        <f t="shared" si="52"/>
        <v>REC-0302</v>
      </c>
      <c r="R303" s="62">
        <f t="shared" si="53"/>
        <v>40557</v>
      </c>
      <c r="S303" t="str">
        <f t="shared" si="54"/>
        <v>Jan</v>
      </c>
      <c r="T303" t="str">
        <f>INDEX(Lookups!$B$39:$B$45,MATCH(H303,Lookups!$A$39:$A$45,0))</f>
        <v>Fri</v>
      </c>
      <c r="U303" t="str">
        <f t="shared" si="55"/>
        <v>Weekday</v>
      </c>
      <c r="V303" t="str">
        <f t="shared" si="56"/>
        <v>Working Day</v>
      </c>
      <c r="W303" t="str">
        <f t="shared" si="57"/>
        <v>Spring</v>
      </c>
      <c r="X303" t="str">
        <f t="shared" si="58"/>
        <v>Clear</v>
      </c>
      <c r="Y303" t="str">
        <f t="shared" si="59"/>
        <v>Night</v>
      </c>
      <c r="Z303" t="str">
        <f t="shared" si="60"/>
        <v>Cold</v>
      </c>
      <c r="AA303" t="str">
        <f t="shared" si="61"/>
        <v>Medium</v>
      </c>
      <c r="AB303" t="str">
        <f t="shared" si="62"/>
        <v>Off-Peak</v>
      </c>
      <c r="AC303" s="63">
        <f t="shared" si="63"/>
        <v>0</v>
      </c>
      <c r="AD303" t="str">
        <f>IF(P303&gt;=Stats!$C$30,"High",IF(P303&lt;=Stats!$C$29,"Low","Normal"))</f>
        <v>Low</v>
      </c>
      <c r="AE303">
        <f t="shared" si="64"/>
        <v>1</v>
      </c>
    </row>
    <row r="304" spans="1:31" x14ac:dyDescent="0.2">
      <c r="A304">
        <f>Dataset_A!A304</f>
        <v>303</v>
      </c>
      <c r="B304" s="61">
        <f>Dataset_A!B304</f>
        <v>40557</v>
      </c>
      <c r="C304">
        <f>Dataset_A!C304</f>
        <v>1</v>
      </c>
      <c r="D304">
        <f>Dataset_A!D304</f>
        <v>0</v>
      </c>
      <c r="E304">
        <f>Dataset_A!E304</f>
        <v>1</v>
      </c>
      <c r="F304">
        <f>Dataset_A!F304</f>
        <v>1</v>
      </c>
      <c r="G304" t="b">
        <f>Dataset_A!G304</f>
        <v>0</v>
      </c>
      <c r="H304">
        <f>Dataset_A!H304</f>
        <v>5</v>
      </c>
      <c r="I304">
        <f>Dataset_A!I304</f>
        <v>1</v>
      </c>
      <c r="J304" s="55">
        <f>Dataset_A!J304</f>
        <v>0.1</v>
      </c>
      <c r="K304">
        <f>Dataset_A!K304</f>
        <v>0.1212</v>
      </c>
      <c r="L304">
        <f>Dataset_A!L304</f>
        <v>0.54</v>
      </c>
      <c r="M304">
        <f>Dataset_A!M304</f>
        <v>0.16420000000000001</v>
      </c>
      <c r="N304">
        <f>Dataset_A!N304</f>
        <v>0</v>
      </c>
      <c r="O304">
        <f>Dataset_A!O304</f>
        <v>5</v>
      </c>
      <c r="P304">
        <f>Dataset_A!P304</f>
        <v>5</v>
      </c>
      <c r="Q304" t="str">
        <f t="shared" si="52"/>
        <v>REC-0303</v>
      </c>
      <c r="R304" s="62">
        <f t="shared" si="53"/>
        <v>40557.041666666664</v>
      </c>
      <c r="S304" t="str">
        <f t="shared" si="54"/>
        <v>Jan</v>
      </c>
      <c r="T304" t="str">
        <f>INDEX(Lookups!$B$39:$B$45,MATCH(H304,Lookups!$A$39:$A$45,0))</f>
        <v>Fri</v>
      </c>
      <c r="U304" t="str">
        <f t="shared" si="55"/>
        <v>Weekday</v>
      </c>
      <c r="V304" t="str">
        <f t="shared" si="56"/>
        <v>Working Day</v>
      </c>
      <c r="W304" t="str">
        <f t="shared" si="57"/>
        <v>Spring</v>
      </c>
      <c r="X304" t="str">
        <f t="shared" si="58"/>
        <v>Clear</v>
      </c>
      <c r="Y304" t="str">
        <f t="shared" si="59"/>
        <v>Night</v>
      </c>
      <c r="Z304" t="str">
        <f t="shared" si="60"/>
        <v>Cold</v>
      </c>
      <c r="AA304" t="str">
        <f t="shared" si="61"/>
        <v>Medium</v>
      </c>
      <c r="AB304" t="str">
        <f t="shared" si="62"/>
        <v>Off-Peak</v>
      </c>
      <c r="AC304" s="63">
        <f t="shared" si="63"/>
        <v>0</v>
      </c>
      <c r="AD304" t="str">
        <f>IF(P304&gt;=Stats!$C$30,"High",IF(P304&lt;=Stats!$C$29,"Low","Normal"))</f>
        <v>Low</v>
      </c>
      <c r="AE304">
        <f t="shared" si="64"/>
        <v>1</v>
      </c>
    </row>
    <row r="305" spans="1:31" x14ac:dyDescent="0.2">
      <c r="A305">
        <f>Dataset_A!A305</f>
        <v>304</v>
      </c>
      <c r="B305" s="61">
        <f>Dataset_A!B305</f>
        <v>40557</v>
      </c>
      <c r="C305">
        <f>Dataset_A!C305</f>
        <v>1</v>
      </c>
      <c r="D305">
        <f>Dataset_A!D305</f>
        <v>0</v>
      </c>
      <c r="E305">
        <f>Dataset_A!E305</f>
        <v>1</v>
      </c>
      <c r="F305">
        <f>Dataset_A!F305</f>
        <v>2</v>
      </c>
      <c r="G305" t="b">
        <f>Dataset_A!G305</f>
        <v>0</v>
      </c>
      <c r="H305">
        <f>Dataset_A!H305</f>
        <v>5</v>
      </c>
      <c r="I305">
        <f>Dataset_A!I305</f>
        <v>1</v>
      </c>
      <c r="J305" s="55">
        <f>Dataset_A!J305</f>
        <v>0.1</v>
      </c>
      <c r="K305">
        <f>Dataset_A!K305</f>
        <v>0.1212</v>
      </c>
      <c r="L305">
        <f>Dataset_A!L305</f>
        <v>0.54</v>
      </c>
      <c r="M305">
        <f>Dataset_A!M305</f>
        <v>0.1343</v>
      </c>
      <c r="N305">
        <f>Dataset_A!N305</f>
        <v>0</v>
      </c>
      <c r="O305">
        <f>Dataset_A!O305</f>
        <v>1</v>
      </c>
      <c r="P305">
        <f>Dataset_A!P305</f>
        <v>1</v>
      </c>
      <c r="Q305" t="str">
        <f t="shared" si="52"/>
        <v>REC-0304</v>
      </c>
      <c r="R305" s="62">
        <f t="shared" si="53"/>
        <v>40557.083333333336</v>
      </c>
      <c r="S305" t="str">
        <f t="shared" si="54"/>
        <v>Jan</v>
      </c>
      <c r="T305" t="str">
        <f>INDEX(Lookups!$B$39:$B$45,MATCH(H305,Lookups!$A$39:$A$45,0))</f>
        <v>Fri</v>
      </c>
      <c r="U305" t="str">
        <f t="shared" si="55"/>
        <v>Weekday</v>
      </c>
      <c r="V305" t="str">
        <f t="shared" si="56"/>
        <v>Working Day</v>
      </c>
      <c r="W305" t="str">
        <f t="shared" si="57"/>
        <v>Spring</v>
      </c>
      <c r="X305" t="str">
        <f t="shared" si="58"/>
        <v>Clear</v>
      </c>
      <c r="Y305" t="str">
        <f t="shared" si="59"/>
        <v>Night</v>
      </c>
      <c r="Z305" t="str">
        <f t="shared" si="60"/>
        <v>Cold</v>
      </c>
      <c r="AA305" t="str">
        <f t="shared" si="61"/>
        <v>Medium</v>
      </c>
      <c r="AB305" t="str">
        <f t="shared" si="62"/>
        <v>Off-Peak</v>
      </c>
      <c r="AC305" s="63">
        <f t="shared" si="63"/>
        <v>0</v>
      </c>
      <c r="AD305" t="str">
        <f>IF(P305&gt;=Stats!$C$30,"High",IF(P305&lt;=Stats!$C$29,"Low","Normal"))</f>
        <v>Low</v>
      </c>
      <c r="AE305">
        <f t="shared" si="64"/>
        <v>1</v>
      </c>
    </row>
    <row r="306" spans="1:31" x14ac:dyDescent="0.2">
      <c r="A306">
        <f>Dataset_A!A306</f>
        <v>305</v>
      </c>
      <c r="B306" s="61">
        <f>Dataset_A!B306</f>
        <v>40557</v>
      </c>
      <c r="C306">
        <f>Dataset_A!C306</f>
        <v>1</v>
      </c>
      <c r="D306">
        <f>Dataset_A!D306</f>
        <v>0</v>
      </c>
      <c r="E306">
        <f>Dataset_A!E306</f>
        <v>1</v>
      </c>
      <c r="F306">
        <f>Dataset_A!F306</f>
        <v>3</v>
      </c>
      <c r="G306" t="b">
        <f>Dataset_A!G306</f>
        <v>0</v>
      </c>
      <c r="H306">
        <f>Dataset_A!H306</f>
        <v>5</v>
      </c>
      <c r="I306">
        <f>Dataset_A!I306</f>
        <v>1</v>
      </c>
      <c r="J306" s="55">
        <f>Dataset_A!J306</f>
        <v>0.1</v>
      </c>
      <c r="K306">
        <f>Dataset_A!K306</f>
        <v>0.13639999999999999</v>
      </c>
      <c r="L306">
        <f>Dataset_A!L306</f>
        <v>0.54</v>
      </c>
      <c r="M306">
        <f>Dataset_A!M306</f>
        <v>0.1045</v>
      </c>
      <c r="N306">
        <f>Dataset_A!N306</f>
        <v>0</v>
      </c>
      <c r="O306">
        <f>Dataset_A!O306</f>
        <v>1</v>
      </c>
      <c r="P306">
        <f>Dataset_A!P306</f>
        <v>1</v>
      </c>
      <c r="Q306" t="str">
        <f t="shared" si="52"/>
        <v>REC-0305</v>
      </c>
      <c r="R306" s="62">
        <f t="shared" si="53"/>
        <v>40557.125</v>
      </c>
      <c r="S306" t="str">
        <f t="shared" si="54"/>
        <v>Jan</v>
      </c>
      <c r="T306" t="str">
        <f>INDEX(Lookups!$B$39:$B$45,MATCH(H306,Lookups!$A$39:$A$45,0))</f>
        <v>Fri</v>
      </c>
      <c r="U306" t="str">
        <f t="shared" si="55"/>
        <v>Weekday</v>
      </c>
      <c r="V306" t="str">
        <f t="shared" si="56"/>
        <v>Working Day</v>
      </c>
      <c r="W306" t="str">
        <f t="shared" si="57"/>
        <v>Spring</v>
      </c>
      <c r="X306" t="str">
        <f t="shared" si="58"/>
        <v>Clear</v>
      </c>
      <c r="Y306" t="str">
        <f t="shared" si="59"/>
        <v>Night</v>
      </c>
      <c r="Z306" t="str">
        <f t="shared" si="60"/>
        <v>Cold</v>
      </c>
      <c r="AA306" t="str">
        <f t="shared" si="61"/>
        <v>Medium</v>
      </c>
      <c r="AB306" t="str">
        <f t="shared" si="62"/>
        <v>Off-Peak</v>
      </c>
      <c r="AC306" s="63">
        <f t="shared" si="63"/>
        <v>0</v>
      </c>
      <c r="AD306" t="str">
        <f>IF(P306&gt;=Stats!$C$30,"High",IF(P306&lt;=Stats!$C$29,"Low","Normal"))</f>
        <v>Low</v>
      </c>
      <c r="AE306">
        <f t="shared" si="64"/>
        <v>1</v>
      </c>
    </row>
    <row r="307" spans="1:31" x14ac:dyDescent="0.2">
      <c r="A307">
        <f>Dataset_A!A307</f>
        <v>306</v>
      </c>
      <c r="B307" s="61">
        <f>Dataset_A!B307</f>
        <v>40557</v>
      </c>
      <c r="C307">
        <f>Dataset_A!C307</f>
        <v>1</v>
      </c>
      <c r="D307">
        <f>Dataset_A!D307</f>
        <v>0</v>
      </c>
      <c r="E307">
        <f>Dataset_A!E307</f>
        <v>1</v>
      </c>
      <c r="F307">
        <f>Dataset_A!F307</f>
        <v>5</v>
      </c>
      <c r="G307" t="b">
        <f>Dataset_A!G307</f>
        <v>0</v>
      </c>
      <c r="H307">
        <f>Dataset_A!H307</f>
        <v>5</v>
      </c>
      <c r="I307">
        <f>Dataset_A!I307</f>
        <v>1</v>
      </c>
      <c r="J307" s="55">
        <f>Dataset_A!J307</f>
        <v>0.1</v>
      </c>
      <c r="K307">
        <f>Dataset_A!K307</f>
        <v>0.13639999999999999</v>
      </c>
      <c r="L307">
        <f>Dataset_A!L307</f>
        <v>0.54</v>
      </c>
      <c r="M307">
        <f>Dataset_A!M307</f>
        <v>8.9599999999999999E-2</v>
      </c>
      <c r="N307">
        <f>Dataset_A!N307</f>
        <v>0</v>
      </c>
      <c r="O307">
        <f>Dataset_A!O307</f>
        <v>8</v>
      </c>
      <c r="P307">
        <f>Dataset_A!P307</f>
        <v>8</v>
      </c>
      <c r="Q307" t="str">
        <f t="shared" si="52"/>
        <v>REC-0306</v>
      </c>
      <c r="R307" s="62">
        <f t="shared" si="53"/>
        <v>40557.208333333336</v>
      </c>
      <c r="S307" t="str">
        <f t="shared" si="54"/>
        <v>Jan</v>
      </c>
      <c r="T307" t="str">
        <f>INDEX(Lookups!$B$39:$B$45,MATCH(H307,Lookups!$A$39:$A$45,0))</f>
        <v>Fri</v>
      </c>
      <c r="U307" t="str">
        <f t="shared" si="55"/>
        <v>Weekday</v>
      </c>
      <c r="V307" t="str">
        <f t="shared" si="56"/>
        <v>Working Day</v>
      </c>
      <c r="W307" t="str">
        <f t="shared" si="57"/>
        <v>Spring</v>
      </c>
      <c r="X307" t="str">
        <f t="shared" si="58"/>
        <v>Clear</v>
      </c>
      <c r="Y307" t="str">
        <f t="shared" si="59"/>
        <v>Night</v>
      </c>
      <c r="Z307" t="str">
        <f t="shared" si="60"/>
        <v>Cold</v>
      </c>
      <c r="AA307" t="str">
        <f t="shared" si="61"/>
        <v>Medium</v>
      </c>
      <c r="AB307" t="str">
        <f t="shared" si="62"/>
        <v>Off-Peak</v>
      </c>
      <c r="AC307" s="63">
        <f t="shared" si="63"/>
        <v>0</v>
      </c>
      <c r="AD307" t="str">
        <f>IF(P307&gt;=Stats!$C$30,"High",IF(P307&lt;=Stats!$C$29,"Low","Normal"))</f>
        <v>Low</v>
      </c>
      <c r="AE307">
        <f t="shared" si="64"/>
        <v>1</v>
      </c>
    </row>
    <row r="308" spans="1:31" x14ac:dyDescent="0.2">
      <c r="A308">
        <f>Dataset_A!A308</f>
        <v>307</v>
      </c>
      <c r="B308" s="61">
        <f>Dataset_A!B308</f>
        <v>40557</v>
      </c>
      <c r="C308">
        <f>Dataset_A!C308</f>
        <v>1</v>
      </c>
      <c r="D308">
        <f>Dataset_A!D308</f>
        <v>0</v>
      </c>
      <c r="E308">
        <f>Dataset_A!E308</f>
        <v>1</v>
      </c>
      <c r="F308">
        <f>Dataset_A!F308</f>
        <v>6</v>
      </c>
      <c r="G308" t="b">
        <f>Dataset_A!G308</f>
        <v>0</v>
      </c>
      <c r="H308">
        <f>Dataset_A!H308</f>
        <v>5</v>
      </c>
      <c r="I308">
        <f>Dataset_A!I308</f>
        <v>1</v>
      </c>
      <c r="J308" s="55">
        <f>Dataset_A!J308</f>
        <v>0.1</v>
      </c>
      <c r="K308">
        <f>Dataset_A!K308</f>
        <v>0.18179999999999999</v>
      </c>
      <c r="L308">
        <f>Dataset_A!L308</f>
        <v>0.54</v>
      </c>
      <c r="M308">
        <f>Dataset_A!M308</f>
        <v>0</v>
      </c>
      <c r="N308">
        <f>Dataset_A!N308</f>
        <v>0</v>
      </c>
      <c r="O308">
        <f>Dataset_A!O308</f>
        <v>17</v>
      </c>
      <c r="P308">
        <f>Dataset_A!P308</f>
        <v>17</v>
      </c>
      <c r="Q308" t="str">
        <f t="shared" si="52"/>
        <v>REC-0307</v>
      </c>
      <c r="R308" s="62">
        <f t="shared" si="53"/>
        <v>40557.25</v>
      </c>
      <c r="S308" t="str">
        <f t="shared" si="54"/>
        <v>Jan</v>
      </c>
      <c r="T308" t="str">
        <f>INDEX(Lookups!$B$39:$B$45,MATCH(H308,Lookups!$A$39:$A$45,0))</f>
        <v>Fri</v>
      </c>
      <c r="U308" t="str">
        <f t="shared" si="55"/>
        <v>Weekday</v>
      </c>
      <c r="V308" t="str">
        <f t="shared" si="56"/>
        <v>Working Day</v>
      </c>
      <c r="W308" t="str">
        <f t="shared" si="57"/>
        <v>Spring</v>
      </c>
      <c r="X308" t="str">
        <f t="shared" si="58"/>
        <v>Clear</v>
      </c>
      <c r="Y308" t="str">
        <f t="shared" si="59"/>
        <v>Morning</v>
      </c>
      <c r="Z308" t="str">
        <f t="shared" si="60"/>
        <v>Cold</v>
      </c>
      <c r="AA308" t="str">
        <f t="shared" si="61"/>
        <v>Medium</v>
      </c>
      <c r="AB308" t="str">
        <f t="shared" si="62"/>
        <v>Off-Peak</v>
      </c>
      <c r="AC308" s="63">
        <f t="shared" si="63"/>
        <v>0</v>
      </c>
      <c r="AD308" t="str">
        <f>IF(P308&gt;=Stats!$C$30,"High",IF(P308&lt;=Stats!$C$29,"Low","Normal"))</f>
        <v>Normal</v>
      </c>
      <c r="AE308">
        <f t="shared" si="64"/>
        <v>1</v>
      </c>
    </row>
    <row r="309" spans="1:31" x14ac:dyDescent="0.2">
      <c r="A309">
        <f>Dataset_A!A309</f>
        <v>308</v>
      </c>
      <c r="B309" s="61">
        <f>Dataset_A!B309</f>
        <v>40557</v>
      </c>
      <c r="C309">
        <f>Dataset_A!C309</f>
        <v>1</v>
      </c>
      <c r="D309">
        <f>Dataset_A!D309</f>
        <v>0</v>
      </c>
      <c r="E309">
        <f>Dataset_A!E309</f>
        <v>1</v>
      </c>
      <c r="F309">
        <f>Dataset_A!F309</f>
        <v>7</v>
      </c>
      <c r="G309" t="b">
        <f>Dataset_A!G309</f>
        <v>0</v>
      </c>
      <c r="H309">
        <f>Dataset_A!H309</f>
        <v>5</v>
      </c>
      <c r="I309">
        <f>Dataset_A!I309</f>
        <v>1</v>
      </c>
      <c r="J309" s="55">
        <f>Dataset_A!J309</f>
        <v>0.1</v>
      </c>
      <c r="K309">
        <f>Dataset_A!K309</f>
        <v>0.1212</v>
      </c>
      <c r="L309">
        <f>Dataset_A!L309</f>
        <v>0.74</v>
      </c>
      <c r="M309">
        <f>Dataset_A!M309</f>
        <v>0.16420000000000001</v>
      </c>
      <c r="N309">
        <f>Dataset_A!N309</f>
        <v>0</v>
      </c>
      <c r="O309">
        <f>Dataset_A!O309</f>
        <v>70</v>
      </c>
      <c r="P309">
        <f>Dataset_A!P309</f>
        <v>70</v>
      </c>
      <c r="Q309" t="str">
        <f t="shared" si="52"/>
        <v>REC-0308</v>
      </c>
      <c r="R309" s="62">
        <f t="shared" si="53"/>
        <v>40557.291666666664</v>
      </c>
      <c r="S309" t="str">
        <f t="shared" si="54"/>
        <v>Jan</v>
      </c>
      <c r="T309" t="str">
        <f>INDEX(Lookups!$B$39:$B$45,MATCH(H309,Lookups!$A$39:$A$45,0))</f>
        <v>Fri</v>
      </c>
      <c r="U309" t="str">
        <f t="shared" si="55"/>
        <v>Weekday</v>
      </c>
      <c r="V309" t="str">
        <f t="shared" si="56"/>
        <v>Working Day</v>
      </c>
      <c r="W309" t="str">
        <f t="shared" si="57"/>
        <v>Spring</v>
      </c>
      <c r="X309" t="str">
        <f t="shared" si="58"/>
        <v>Clear</v>
      </c>
      <c r="Y309" t="str">
        <f t="shared" si="59"/>
        <v>Morning</v>
      </c>
      <c r="Z309" t="str">
        <f t="shared" si="60"/>
        <v>Cold</v>
      </c>
      <c r="AA309" t="str">
        <f t="shared" si="61"/>
        <v>Medium</v>
      </c>
      <c r="AB309" t="str">
        <f t="shared" si="62"/>
        <v>Peak</v>
      </c>
      <c r="AC309" s="63">
        <f t="shared" si="63"/>
        <v>0</v>
      </c>
      <c r="AD309" t="str">
        <f>IF(P309&gt;=Stats!$C$30,"High",IF(P309&lt;=Stats!$C$29,"Low","Normal"))</f>
        <v>Normal</v>
      </c>
      <c r="AE309">
        <f t="shared" si="64"/>
        <v>1</v>
      </c>
    </row>
    <row r="310" spans="1:31" x14ac:dyDescent="0.2">
      <c r="A310">
        <f>Dataset_A!A310</f>
        <v>309</v>
      </c>
      <c r="B310" s="61">
        <f>Dataset_A!B310</f>
        <v>40557</v>
      </c>
      <c r="C310">
        <f>Dataset_A!C310</f>
        <v>1</v>
      </c>
      <c r="D310">
        <f>Dataset_A!D310</f>
        <v>0</v>
      </c>
      <c r="E310">
        <f>Dataset_A!E310</f>
        <v>1</v>
      </c>
      <c r="F310">
        <f>Dataset_A!F310</f>
        <v>8</v>
      </c>
      <c r="G310" t="b">
        <f>Dataset_A!G310</f>
        <v>0</v>
      </c>
      <c r="H310">
        <f>Dataset_A!H310</f>
        <v>5</v>
      </c>
      <c r="I310">
        <f>Dataset_A!I310</f>
        <v>1</v>
      </c>
      <c r="J310" s="55">
        <f>Dataset_A!J310</f>
        <v>0.12</v>
      </c>
      <c r="K310">
        <f>Dataset_A!K310</f>
        <v>0.16669999999999999</v>
      </c>
      <c r="L310">
        <f>Dataset_A!L310</f>
        <v>0.68</v>
      </c>
      <c r="M310">
        <f>Dataset_A!M310</f>
        <v>0</v>
      </c>
      <c r="N310">
        <f>Dataset_A!N310</f>
        <v>2</v>
      </c>
      <c r="O310">
        <f>Dataset_A!O310</f>
        <v>156</v>
      </c>
      <c r="P310">
        <f>Dataset_A!P310</f>
        <v>158</v>
      </c>
      <c r="Q310" t="str">
        <f t="shared" si="52"/>
        <v>REC-0309</v>
      </c>
      <c r="R310" s="62">
        <f t="shared" si="53"/>
        <v>40557.333333333336</v>
      </c>
      <c r="S310" t="str">
        <f t="shared" si="54"/>
        <v>Jan</v>
      </c>
      <c r="T310" t="str">
        <f>INDEX(Lookups!$B$39:$B$45,MATCH(H310,Lookups!$A$39:$A$45,0))</f>
        <v>Fri</v>
      </c>
      <c r="U310" t="str">
        <f t="shared" si="55"/>
        <v>Weekday</v>
      </c>
      <c r="V310" t="str">
        <f t="shared" si="56"/>
        <v>Working Day</v>
      </c>
      <c r="W310" t="str">
        <f t="shared" si="57"/>
        <v>Spring</v>
      </c>
      <c r="X310" t="str">
        <f t="shared" si="58"/>
        <v>Clear</v>
      </c>
      <c r="Y310" t="str">
        <f t="shared" si="59"/>
        <v>Morning</v>
      </c>
      <c r="Z310" t="str">
        <f t="shared" si="60"/>
        <v>Cold</v>
      </c>
      <c r="AA310" t="str">
        <f t="shared" si="61"/>
        <v>Medium</v>
      </c>
      <c r="AB310" t="str">
        <f t="shared" si="62"/>
        <v>Peak</v>
      </c>
      <c r="AC310" s="63">
        <f t="shared" si="63"/>
        <v>1.2658227848101266E-2</v>
      </c>
      <c r="AD310" t="str">
        <f>IF(P310&gt;=Stats!$C$30,"High",IF(P310&lt;=Stats!$C$29,"Low","Normal"))</f>
        <v>High</v>
      </c>
      <c r="AE310">
        <f t="shared" si="64"/>
        <v>1</v>
      </c>
    </row>
    <row r="311" spans="1:31" x14ac:dyDescent="0.2">
      <c r="A311">
        <f>Dataset_A!A311</f>
        <v>310</v>
      </c>
      <c r="B311" s="61">
        <f>Dataset_A!B311</f>
        <v>40557</v>
      </c>
      <c r="C311">
        <f>Dataset_A!C311</f>
        <v>1</v>
      </c>
      <c r="D311">
        <f>Dataset_A!D311</f>
        <v>0</v>
      </c>
      <c r="E311">
        <f>Dataset_A!E311</f>
        <v>1</v>
      </c>
      <c r="F311">
        <f>Dataset_A!F311</f>
        <v>9</v>
      </c>
      <c r="G311" t="b">
        <f>Dataset_A!G311</f>
        <v>0</v>
      </c>
      <c r="H311">
        <f>Dataset_A!H311</f>
        <v>5</v>
      </c>
      <c r="I311">
        <f>Dataset_A!I311</f>
        <v>1</v>
      </c>
      <c r="J311" s="55">
        <f>Dataset_A!J311</f>
        <v>0.14000000000000001</v>
      </c>
      <c r="K311">
        <f>Dataset_A!K311</f>
        <v>0.1515</v>
      </c>
      <c r="L311">
        <f>Dataset_A!L311</f>
        <v>0.69</v>
      </c>
      <c r="M311">
        <f>Dataset_A!M311</f>
        <v>0.1343</v>
      </c>
      <c r="N311">
        <f>Dataset_A!N311</f>
        <v>0</v>
      </c>
      <c r="O311">
        <f>Dataset_A!O311</f>
        <v>117</v>
      </c>
      <c r="P311">
        <f>Dataset_A!P311</f>
        <v>117</v>
      </c>
      <c r="Q311" t="str">
        <f t="shared" si="52"/>
        <v>REC-0310</v>
      </c>
      <c r="R311" s="62">
        <f t="shared" si="53"/>
        <v>40557.375</v>
      </c>
      <c r="S311" t="str">
        <f t="shared" si="54"/>
        <v>Jan</v>
      </c>
      <c r="T311" t="str">
        <f>INDEX(Lookups!$B$39:$B$45,MATCH(H311,Lookups!$A$39:$A$45,0))</f>
        <v>Fri</v>
      </c>
      <c r="U311" t="str">
        <f t="shared" si="55"/>
        <v>Weekday</v>
      </c>
      <c r="V311" t="str">
        <f t="shared" si="56"/>
        <v>Working Day</v>
      </c>
      <c r="W311" t="str">
        <f t="shared" si="57"/>
        <v>Spring</v>
      </c>
      <c r="X311" t="str">
        <f t="shared" si="58"/>
        <v>Clear</v>
      </c>
      <c r="Y311" t="str">
        <f t="shared" si="59"/>
        <v>Morning</v>
      </c>
      <c r="Z311" t="str">
        <f t="shared" si="60"/>
        <v>Cold</v>
      </c>
      <c r="AA311" t="str">
        <f t="shared" si="61"/>
        <v>Medium</v>
      </c>
      <c r="AB311" t="str">
        <f t="shared" si="62"/>
        <v>Peak</v>
      </c>
      <c r="AC311" s="63">
        <f t="shared" si="63"/>
        <v>0</v>
      </c>
      <c r="AD311" t="str">
        <f>IF(P311&gt;=Stats!$C$30,"High",IF(P311&lt;=Stats!$C$29,"Low","Normal"))</f>
        <v>High</v>
      </c>
      <c r="AE311">
        <f t="shared" si="64"/>
        <v>1</v>
      </c>
    </row>
    <row r="312" spans="1:31" x14ac:dyDescent="0.2">
      <c r="A312">
        <f>Dataset_A!A312</f>
        <v>311</v>
      </c>
      <c r="B312" s="61">
        <f>Dataset_A!B312</f>
        <v>40557</v>
      </c>
      <c r="C312">
        <f>Dataset_A!C312</f>
        <v>1</v>
      </c>
      <c r="D312">
        <f>Dataset_A!D312</f>
        <v>0</v>
      </c>
      <c r="E312">
        <f>Dataset_A!E312</f>
        <v>1</v>
      </c>
      <c r="F312">
        <f>Dataset_A!F312</f>
        <v>10</v>
      </c>
      <c r="G312" t="b">
        <f>Dataset_A!G312</f>
        <v>0</v>
      </c>
      <c r="H312">
        <f>Dataset_A!H312</f>
        <v>5</v>
      </c>
      <c r="I312">
        <f>Dataset_A!I312</f>
        <v>1</v>
      </c>
      <c r="J312" s="55">
        <f>Dataset_A!J312</f>
        <v>0.18</v>
      </c>
      <c r="K312">
        <f>Dataset_A!K312</f>
        <v>0.18179999999999999</v>
      </c>
      <c r="L312">
        <f>Dataset_A!L312</f>
        <v>0.55000000000000004</v>
      </c>
      <c r="M312">
        <f>Dataset_A!M312</f>
        <v>0.19400000000000001</v>
      </c>
      <c r="N312">
        <f>Dataset_A!N312</f>
        <v>4</v>
      </c>
      <c r="O312">
        <f>Dataset_A!O312</f>
        <v>40</v>
      </c>
      <c r="P312">
        <f>Dataset_A!P312</f>
        <v>44</v>
      </c>
      <c r="Q312" t="str">
        <f t="shared" si="52"/>
        <v>REC-0311</v>
      </c>
      <c r="R312" s="62">
        <f t="shared" si="53"/>
        <v>40557.416666666664</v>
      </c>
      <c r="S312" t="str">
        <f t="shared" si="54"/>
        <v>Jan</v>
      </c>
      <c r="T312" t="str">
        <f>INDEX(Lookups!$B$39:$B$45,MATCH(H312,Lookups!$A$39:$A$45,0))</f>
        <v>Fri</v>
      </c>
      <c r="U312" t="str">
        <f t="shared" si="55"/>
        <v>Weekday</v>
      </c>
      <c r="V312" t="str">
        <f t="shared" si="56"/>
        <v>Working Day</v>
      </c>
      <c r="W312" t="str">
        <f t="shared" si="57"/>
        <v>Spring</v>
      </c>
      <c r="X312" t="str">
        <f t="shared" si="58"/>
        <v>Clear</v>
      </c>
      <c r="Y312" t="str">
        <f t="shared" si="59"/>
        <v>Morning</v>
      </c>
      <c r="Z312" t="str">
        <f t="shared" si="60"/>
        <v>Cold</v>
      </c>
      <c r="AA312" t="str">
        <f t="shared" si="61"/>
        <v>Medium</v>
      </c>
      <c r="AB312" t="str">
        <f t="shared" si="62"/>
        <v>Off-Peak</v>
      </c>
      <c r="AC312" s="63">
        <f t="shared" si="63"/>
        <v>9.0909090909090912E-2</v>
      </c>
      <c r="AD312" t="str">
        <f>IF(P312&gt;=Stats!$C$30,"High",IF(P312&lt;=Stats!$C$29,"Low","Normal"))</f>
        <v>Normal</v>
      </c>
      <c r="AE312">
        <f t="shared" si="64"/>
        <v>1</v>
      </c>
    </row>
    <row r="313" spans="1:31" x14ac:dyDescent="0.2">
      <c r="A313">
        <f>Dataset_A!A313</f>
        <v>312</v>
      </c>
      <c r="B313" s="61">
        <f>Dataset_A!B313</f>
        <v>40557</v>
      </c>
      <c r="C313">
        <f>Dataset_A!C313</f>
        <v>1</v>
      </c>
      <c r="D313">
        <f>Dataset_A!D313</f>
        <v>0</v>
      </c>
      <c r="E313">
        <f>Dataset_A!E313</f>
        <v>1</v>
      </c>
      <c r="F313">
        <f>Dataset_A!F313</f>
        <v>11</v>
      </c>
      <c r="G313" t="b">
        <f>Dataset_A!G313</f>
        <v>0</v>
      </c>
      <c r="H313">
        <f>Dataset_A!H313</f>
        <v>5</v>
      </c>
      <c r="I313">
        <f>Dataset_A!I313</f>
        <v>1</v>
      </c>
      <c r="J313" s="55">
        <f>Dataset_A!J313</f>
        <v>0.18</v>
      </c>
      <c r="K313">
        <f>Dataset_A!K313</f>
        <v>0.16669999999999999</v>
      </c>
      <c r="L313">
        <f>Dataset_A!L313</f>
        <v>0.51</v>
      </c>
      <c r="M313">
        <f>Dataset_A!M313</f>
        <v>0.28360000000000002</v>
      </c>
      <c r="N313">
        <f>Dataset_A!N313</f>
        <v>6</v>
      </c>
      <c r="O313">
        <f>Dataset_A!O313</f>
        <v>47</v>
      </c>
      <c r="P313">
        <f>Dataset_A!P313</f>
        <v>53</v>
      </c>
      <c r="Q313" t="str">
        <f t="shared" si="52"/>
        <v>REC-0312</v>
      </c>
      <c r="R313" s="62">
        <f t="shared" si="53"/>
        <v>40557.458333333336</v>
      </c>
      <c r="S313" t="str">
        <f t="shared" si="54"/>
        <v>Jan</v>
      </c>
      <c r="T313" t="str">
        <f>INDEX(Lookups!$B$39:$B$45,MATCH(H313,Lookups!$A$39:$A$45,0))</f>
        <v>Fri</v>
      </c>
      <c r="U313" t="str">
        <f t="shared" si="55"/>
        <v>Weekday</v>
      </c>
      <c r="V313" t="str">
        <f t="shared" si="56"/>
        <v>Working Day</v>
      </c>
      <c r="W313" t="str">
        <f t="shared" si="57"/>
        <v>Spring</v>
      </c>
      <c r="X313" t="str">
        <f t="shared" si="58"/>
        <v>Clear</v>
      </c>
      <c r="Y313" t="str">
        <f t="shared" si="59"/>
        <v>Morning</v>
      </c>
      <c r="Z313" t="str">
        <f t="shared" si="60"/>
        <v>Cold</v>
      </c>
      <c r="AA313" t="str">
        <f t="shared" si="61"/>
        <v>Medium</v>
      </c>
      <c r="AB313" t="str">
        <f t="shared" si="62"/>
        <v>Off-Peak</v>
      </c>
      <c r="AC313" s="63">
        <f t="shared" si="63"/>
        <v>0.11320754716981132</v>
      </c>
      <c r="AD313" t="str">
        <f>IF(P313&gt;=Stats!$C$30,"High",IF(P313&lt;=Stats!$C$29,"Low","Normal"))</f>
        <v>Normal</v>
      </c>
      <c r="AE313">
        <f t="shared" si="64"/>
        <v>1</v>
      </c>
    </row>
    <row r="314" spans="1:31" x14ac:dyDescent="0.2">
      <c r="A314">
        <f>Dataset_A!A314</f>
        <v>313</v>
      </c>
      <c r="B314" s="61">
        <f>Dataset_A!B314</f>
        <v>40557</v>
      </c>
      <c r="C314">
        <f>Dataset_A!C314</f>
        <v>1</v>
      </c>
      <c r="D314">
        <f>Dataset_A!D314</f>
        <v>0</v>
      </c>
      <c r="E314">
        <f>Dataset_A!E314</f>
        <v>1</v>
      </c>
      <c r="F314">
        <f>Dataset_A!F314</f>
        <v>12</v>
      </c>
      <c r="G314" t="b">
        <f>Dataset_A!G314</f>
        <v>0</v>
      </c>
      <c r="H314">
        <f>Dataset_A!H314</f>
        <v>5</v>
      </c>
      <c r="I314">
        <f>Dataset_A!I314</f>
        <v>1</v>
      </c>
      <c r="J314" s="55">
        <f>Dataset_A!J314</f>
        <v>0.2</v>
      </c>
      <c r="K314">
        <f>Dataset_A!K314</f>
        <v>0.19700000000000001</v>
      </c>
      <c r="L314">
        <f>Dataset_A!L314</f>
        <v>0.44</v>
      </c>
      <c r="M314">
        <f>Dataset_A!M314</f>
        <v>0.25369999999999998</v>
      </c>
      <c r="N314">
        <f>Dataset_A!N314</f>
        <v>2</v>
      </c>
      <c r="O314">
        <f>Dataset_A!O314</f>
        <v>59</v>
      </c>
      <c r="P314">
        <f>Dataset_A!P314</f>
        <v>61</v>
      </c>
      <c r="Q314" t="str">
        <f t="shared" si="52"/>
        <v>REC-0313</v>
      </c>
      <c r="R314" s="62">
        <f t="shared" si="53"/>
        <v>40557.5</v>
      </c>
      <c r="S314" t="str">
        <f t="shared" si="54"/>
        <v>Jan</v>
      </c>
      <c r="T314" t="str">
        <f>INDEX(Lookups!$B$39:$B$45,MATCH(H314,Lookups!$A$39:$A$45,0))</f>
        <v>Fri</v>
      </c>
      <c r="U314" t="str">
        <f t="shared" si="55"/>
        <v>Weekday</v>
      </c>
      <c r="V314" t="str">
        <f t="shared" si="56"/>
        <v>Working Day</v>
      </c>
      <c r="W314" t="str">
        <f t="shared" si="57"/>
        <v>Spring</v>
      </c>
      <c r="X314" t="str">
        <f t="shared" si="58"/>
        <v>Clear</v>
      </c>
      <c r="Y314" t="str">
        <f t="shared" si="59"/>
        <v>Afternoon</v>
      </c>
      <c r="Z314" t="str">
        <f t="shared" si="60"/>
        <v>Mild</v>
      </c>
      <c r="AA314" t="str">
        <f t="shared" si="61"/>
        <v>Low</v>
      </c>
      <c r="AB314" t="str">
        <f t="shared" si="62"/>
        <v>Off-Peak</v>
      </c>
      <c r="AC314" s="63">
        <f t="shared" si="63"/>
        <v>3.2786885245901641E-2</v>
      </c>
      <c r="AD314" t="str">
        <f>IF(P314&gt;=Stats!$C$30,"High",IF(P314&lt;=Stats!$C$29,"Low","Normal"))</f>
        <v>Normal</v>
      </c>
      <c r="AE314">
        <f t="shared" si="64"/>
        <v>1</v>
      </c>
    </row>
    <row r="315" spans="1:31" x14ac:dyDescent="0.2">
      <c r="A315">
        <f>Dataset_A!A315</f>
        <v>314</v>
      </c>
      <c r="B315" s="61">
        <f>Dataset_A!B315</f>
        <v>40557</v>
      </c>
      <c r="C315">
        <f>Dataset_A!C315</f>
        <v>1</v>
      </c>
      <c r="D315">
        <f>Dataset_A!D315</f>
        <v>0</v>
      </c>
      <c r="E315">
        <f>Dataset_A!E315</f>
        <v>1</v>
      </c>
      <c r="F315">
        <f>Dataset_A!F315</f>
        <v>13</v>
      </c>
      <c r="G315" t="b">
        <f>Dataset_A!G315</f>
        <v>0</v>
      </c>
      <c r="H315">
        <f>Dataset_A!H315</f>
        <v>5</v>
      </c>
      <c r="I315">
        <f>Dataset_A!I315</f>
        <v>1</v>
      </c>
      <c r="J315" s="55">
        <f>Dataset_A!J315</f>
        <v>0.22</v>
      </c>
      <c r="K315">
        <f>Dataset_A!K315</f>
        <v>0.19700000000000001</v>
      </c>
      <c r="L315">
        <f>Dataset_A!L315</f>
        <v>0.37</v>
      </c>
      <c r="M315">
        <f>Dataset_A!M315</f>
        <v>0.3881</v>
      </c>
      <c r="N315">
        <f>Dataset_A!N315</f>
        <v>4</v>
      </c>
      <c r="O315">
        <f>Dataset_A!O315</f>
        <v>73</v>
      </c>
      <c r="P315">
        <f>Dataset_A!P315</f>
        <v>77</v>
      </c>
      <c r="Q315" t="str">
        <f t="shared" si="52"/>
        <v>REC-0314</v>
      </c>
      <c r="R315" s="62">
        <f t="shared" si="53"/>
        <v>40557.541666666664</v>
      </c>
      <c r="S315" t="str">
        <f t="shared" si="54"/>
        <v>Jan</v>
      </c>
      <c r="T315" t="str">
        <f>INDEX(Lookups!$B$39:$B$45,MATCH(H315,Lookups!$A$39:$A$45,0))</f>
        <v>Fri</v>
      </c>
      <c r="U315" t="str">
        <f t="shared" si="55"/>
        <v>Weekday</v>
      </c>
      <c r="V315" t="str">
        <f t="shared" si="56"/>
        <v>Working Day</v>
      </c>
      <c r="W315" t="str">
        <f t="shared" si="57"/>
        <v>Spring</v>
      </c>
      <c r="X315" t="str">
        <f t="shared" si="58"/>
        <v>Clear</v>
      </c>
      <c r="Y315" t="str">
        <f t="shared" si="59"/>
        <v>Afternoon</v>
      </c>
      <c r="Z315" t="str">
        <f t="shared" si="60"/>
        <v>Mild</v>
      </c>
      <c r="AA315" t="str">
        <f t="shared" si="61"/>
        <v>Low</v>
      </c>
      <c r="AB315" t="str">
        <f t="shared" si="62"/>
        <v>Off-Peak</v>
      </c>
      <c r="AC315" s="63">
        <f t="shared" si="63"/>
        <v>5.1948051948051951E-2</v>
      </c>
      <c r="AD315" t="str">
        <f>IF(P315&gt;=Stats!$C$30,"High",IF(P315&lt;=Stats!$C$29,"Low","Normal"))</f>
        <v>Normal</v>
      </c>
      <c r="AE315">
        <f t="shared" si="64"/>
        <v>1</v>
      </c>
    </row>
    <row r="316" spans="1:31" x14ac:dyDescent="0.2">
      <c r="A316">
        <f>Dataset_A!A316</f>
        <v>315</v>
      </c>
      <c r="B316" s="61">
        <f>Dataset_A!B316</f>
        <v>40557</v>
      </c>
      <c r="C316">
        <f>Dataset_A!C316</f>
        <v>1</v>
      </c>
      <c r="D316">
        <f>Dataset_A!D316</f>
        <v>0</v>
      </c>
      <c r="E316">
        <f>Dataset_A!E316</f>
        <v>1</v>
      </c>
      <c r="F316">
        <f>Dataset_A!F316</f>
        <v>14</v>
      </c>
      <c r="G316" t="b">
        <f>Dataset_A!G316</f>
        <v>0</v>
      </c>
      <c r="H316">
        <f>Dataset_A!H316</f>
        <v>5</v>
      </c>
      <c r="I316">
        <f>Dataset_A!I316</f>
        <v>1</v>
      </c>
      <c r="J316" s="55">
        <f>Dataset_A!J316</f>
        <v>0.22</v>
      </c>
      <c r="K316">
        <f>Dataset_A!K316</f>
        <v>0.21210000000000001</v>
      </c>
      <c r="L316">
        <f>Dataset_A!L316</f>
        <v>0.41</v>
      </c>
      <c r="M316">
        <f>Dataset_A!M316</f>
        <v>0.28360000000000002</v>
      </c>
      <c r="N316">
        <f>Dataset_A!N316</f>
        <v>5</v>
      </c>
      <c r="O316">
        <f>Dataset_A!O316</f>
        <v>59</v>
      </c>
      <c r="P316">
        <f>Dataset_A!P316</f>
        <v>64</v>
      </c>
      <c r="Q316" t="str">
        <f t="shared" si="52"/>
        <v>REC-0315</v>
      </c>
      <c r="R316" s="62">
        <f t="shared" si="53"/>
        <v>40557.583333333336</v>
      </c>
      <c r="S316" t="str">
        <f t="shared" si="54"/>
        <v>Jan</v>
      </c>
      <c r="T316" t="str">
        <f>INDEX(Lookups!$B$39:$B$45,MATCH(H316,Lookups!$A$39:$A$45,0))</f>
        <v>Fri</v>
      </c>
      <c r="U316" t="str">
        <f t="shared" si="55"/>
        <v>Weekday</v>
      </c>
      <c r="V316" t="str">
        <f t="shared" si="56"/>
        <v>Working Day</v>
      </c>
      <c r="W316" t="str">
        <f t="shared" si="57"/>
        <v>Spring</v>
      </c>
      <c r="X316" t="str">
        <f t="shared" si="58"/>
        <v>Clear</v>
      </c>
      <c r="Y316" t="str">
        <f t="shared" si="59"/>
        <v>Afternoon</v>
      </c>
      <c r="Z316" t="str">
        <f t="shared" si="60"/>
        <v>Mild</v>
      </c>
      <c r="AA316" t="str">
        <f t="shared" si="61"/>
        <v>Low</v>
      </c>
      <c r="AB316" t="str">
        <f t="shared" si="62"/>
        <v>Off-Peak</v>
      </c>
      <c r="AC316" s="63">
        <f t="shared" si="63"/>
        <v>7.8125E-2</v>
      </c>
      <c r="AD316" t="str">
        <f>IF(P316&gt;=Stats!$C$30,"High",IF(P316&lt;=Stats!$C$29,"Low","Normal"))</f>
        <v>Normal</v>
      </c>
      <c r="AE316">
        <f t="shared" si="64"/>
        <v>1</v>
      </c>
    </row>
    <row r="317" spans="1:31" x14ac:dyDescent="0.2">
      <c r="A317">
        <f>Dataset_A!A317</f>
        <v>316</v>
      </c>
      <c r="B317" s="61">
        <f>Dataset_A!B317</f>
        <v>40557</v>
      </c>
      <c r="C317">
        <f>Dataset_A!C317</f>
        <v>1</v>
      </c>
      <c r="D317">
        <f>Dataset_A!D317</f>
        <v>0</v>
      </c>
      <c r="E317">
        <f>Dataset_A!E317</f>
        <v>1</v>
      </c>
      <c r="F317">
        <f>Dataset_A!F317</f>
        <v>15</v>
      </c>
      <c r="G317" t="b">
        <f>Dataset_A!G317</f>
        <v>0</v>
      </c>
      <c r="H317">
        <f>Dataset_A!H317</f>
        <v>5</v>
      </c>
      <c r="I317">
        <f>Dataset_A!I317</f>
        <v>1</v>
      </c>
      <c r="J317" s="55">
        <f>Dataset_A!J317</f>
        <v>0.24</v>
      </c>
      <c r="K317">
        <f>Dataset_A!K317</f>
        <v>0.2424</v>
      </c>
      <c r="L317">
        <f>Dataset_A!L317</f>
        <v>0.38</v>
      </c>
      <c r="M317">
        <f>Dataset_A!M317</f>
        <v>0.16420000000000001</v>
      </c>
      <c r="N317">
        <f>Dataset_A!N317</f>
        <v>9</v>
      </c>
      <c r="O317">
        <f>Dataset_A!O317</f>
        <v>59</v>
      </c>
      <c r="P317">
        <f>Dataset_A!P317</f>
        <v>68</v>
      </c>
      <c r="Q317" t="str">
        <f t="shared" si="52"/>
        <v>REC-0316</v>
      </c>
      <c r="R317" s="62">
        <f t="shared" si="53"/>
        <v>40557.625</v>
      </c>
      <c r="S317" t="str">
        <f t="shared" si="54"/>
        <v>Jan</v>
      </c>
      <c r="T317" t="str">
        <f>INDEX(Lookups!$B$39:$B$45,MATCH(H317,Lookups!$A$39:$A$45,0))</f>
        <v>Fri</v>
      </c>
      <c r="U317" t="str">
        <f t="shared" si="55"/>
        <v>Weekday</v>
      </c>
      <c r="V317" t="str">
        <f t="shared" si="56"/>
        <v>Working Day</v>
      </c>
      <c r="W317" t="str">
        <f t="shared" si="57"/>
        <v>Spring</v>
      </c>
      <c r="X317" t="str">
        <f t="shared" si="58"/>
        <v>Clear</v>
      </c>
      <c r="Y317" t="str">
        <f t="shared" si="59"/>
        <v>Afternoon</v>
      </c>
      <c r="Z317" t="str">
        <f t="shared" si="60"/>
        <v>Mild</v>
      </c>
      <c r="AA317" t="str">
        <f t="shared" si="61"/>
        <v>Low</v>
      </c>
      <c r="AB317" t="str">
        <f t="shared" si="62"/>
        <v>Off-Peak</v>
      </c>
      <c r="AC317" s="63">
        <f t="shared" si="63"/>
        <v>0.13235294117647059</v>
      </c>
      <c r="AD317" t="str">
        <f>IF(P317&gt;=Stats!$C$30,"High",IF(P317&lt;=Stats!$C$29,"Low","Normal"))</f>
        <v>Normal</v>
      </c>
      <c r="AE317">
        <f t="shared" si="64"/>
        <v>1</v>
      </c>
    </row>
    <row r="318" spans="1:31" x14ac:dyDescent="0.2">
      <c r="A318">
        <f>Dataset_A!A318</f>
        <v>317</v>
      </c>
      <c r="B318" s="61">
        <f>Dataset_A!B318</f>
        <v>40557</v>
      </c>
      <c r="C318">
        <f>Dataset_A!C318</f>
        <v>1</v>
      </c>
      <c r="D318">
        <f>Dataset_A!D318</f>
        <v>0</v>
      </c>
      <c r="E318">
        <f>Dataset_A!E318</f>
        <v>1</v>
      </c>
      <c r="F318">
        <f>Dataset_A!F318</f>
        <v>16</v>
      </c>
      <c r="G318" t="b">
        <f>Dataset_A!G318</f>
        <v>0</v>
      </c>
      <c r="H318">
        <f>Dataset_A!H318</f>
        <v>5</v>
      </c>
      <c r="I318">
        <f>Dataset_A!I318</f>
        <v>1</v>
      </c>
      <c r="J318" s="55">
        <f>Dataset_A!J318</f>
        <v>0.22</v>
      </c>
      <c r="K318">
        <f>Dataset_A!K318</f>
        <v>0.2424</v>
      </c>
      <c r="L318">
        <f>Dataset_A!L318</f>
        <v>0.41</v>
      </c>
      <c r="M318">
        <f>Dataset_A!M318</f>
        <v>0.1045</v>
      </c>
      <c r="N318">
        <f>Dataset_A!N318</f>
        <v>3</v>
      </c>
      <c r="O318">
        <f>Dataset_A!O318</f>
        <v>87</v>
      </c>
      <c r="P318">
        <f>Dataset_A!P318</f>
        <v>90</v>
      </c>
      <c r="Q318" t="str">
        <f t="shared" si="52"/>
        <v>REC-0317</v>
      </c>
      <c r="R318" s="62">
        <f t="shared" si="53"/>
        <v>40557.666666666664</v>
      </c>
      <c r="S318" t="str">
        <f t="shared" si="54"/>
        <v>Jan</v>
      </c>
      <c r="T318" t="str">
        <f>INDEX(Lookups!$B$39:$B$45,MATCH(H318,Lookups!$A$39:$A$45,0))</f>
        <v>Fri</v>
      </c>
      <c r="U318" t="str">
        <f t="shared" si="55"/>
        <v>Weekday</v>
      </c>
      <c r="V318" t="str">
        <f t="shared" si="56"/>
        <v>Working Day</v>
      </c>
      <c r="W318" t="str">
        <f t="shared" si="57"/>
        <v>Spring</v>
      </c>
      <c r="X318" t="str">
        <f t="shared" si="58"/>
        <v>Clear</v>
      </c>
      <c r="Y318" t="str">
        <f t="shared" si="59"/>
        <v>Afternoon</v>
      </c>
      <c r="Z318" t="str">
        <f t="shared" si="60"/>
        <v>Mild</v>
      </c>
      <c r="AA318" t="str">
        <f t="shared" si="61"/>
        <v>Low</v>
      </c>
      <c r="AB318" t="str">
        <f t="shared" si="62"/>
        <v>Peak</v>
      </c>
      <c r="AC318" s="63">
        <f t="shared" si="63"/>
        <v>3.3333333333333333E-2</v>
      </c>
      <c r="AD318" t="str">
        <f>IF(P318&gt;=Stats!$C$30,"High",IF(P318&lt;=Stats!$C$29,"Low","Normal"))</f>
        <v>High</v>
      </c>
      <c r="AE318">
        <f t="shared" si="64"/>
        <v>1</v>
      </c>
    </row>
    <row r="319" spans="1:31" x14ac:dyDescent="0.2">
      <c r="A319">
        <f>Dataset_A!A319</f>
        <v>318</v>
      </c>
      <c r="B319" s="61">
        <f>Dataset_A!B319</f>
        <v>40557</v>
      </c>
      <c r="C319">
        <f>Dataset_A!C319</f>
        <v>1</v>
      </c>
      <c r="D319">
        <f>Dataset_A!D319</f>
        <v>0</v>
      </c>
      <c r="E319">
        <f>Dataset_A!E319</f>
        <v>1</v>
      </c>
      <c r="F319">
        <f>Dataset_A!F319</f>
        <v>17</v>
      </c>
      <c r="G319" t="b">
        <f>Dataset_A!G319</f>
        <v>0</v>
      </c>
      <c r="H319">
        <f>Dataset_A!H319</f>
        <v>5</v>
      </c>
      <c r="I319">
        <f>Dataset_A!I319</f>
        <v>1</v>
      </c>
      <c r="J319" s="55">
        <f>Dataset_A!J319</f>
        <v>0.22</v>
      </c>
      <c r="K319">
        <f>Dataset_A!K319</f>
        <v>0.2273</v>
      </c>
      <c r="L319">
        <f>Dataset_A!L319</f>
        <v>0.41</v>
      </c>
      <c r="M319">
        <f>Dataset_A!M319</f>
        <v>0.16420000000000001</v>
      </c>
      <c r="N319">
        <f>Dataset_A!N319</f>
        <v>4</v>
      </c>
      <c r="O319">
        <f>Dataset_A!O319</f>
        <v>155</v>
      </c>
      <c r="P319">
        <f>Dataset_A!P319</f>
        <v>159</v>
      </c>
      <c r="Q319" t="str">
        <f t="shared" si="52"/>
        <v>REC-0318</v>
      </c>
      <c r="R319" s="62">
        <f t="shared" si="53"/>
        <v>40557.708333333336</v>
      </c>
      <c r="S319" t="str">
        <f t="shared" si="54"/>
        <v>Jan</v>
      </c>
      <c r="T319" t="str">
        <f>INDEX(Lookups!$B$39:$B$45,MATCH(H319,Lookups!$A$39:$A$45,0))</f>
        <v>Fri</v>
      </c>
      <c r="U319" t="str">
        <f t="shared" si="55"/>
        <v>Weekday</v>
      </c>
      <c r="V319" t="str">
        <f t="shared" si="56"/>
        <v>Working Day</v>
      </c>
      <c r="W319" t="str">
        <f t="shared" si="57"/>
        <v>Spring</v>
      </c>
      <c r="X319" t="str">
        <f t="shared" si="58"/>
        <v>Clear</v>
      </c>
      <c r="Y319" t="str">
        <f t="shared" si="59"/>
        <v>Evening</v>
      </c>
      <c r="Z319" t="str">
        <f t="shared" si="60"/>
        <v>Mild</v>
      </c>
      <c r="AA319" t="str">
        <f t="shared" si="61"/>
        <v>Low</v>
      </c>
      <c r="AB319" t="str">
        <f t="shared" si="62"/>
        <v>Peak</v>
      </c>
      <c r="AC319" s="63">
        <f t="shared" si="63"/>
        <v>2.5157232704402517E-2</v>
      </c>
      <c r="AD319" t="str">
        <f>IF(P319&gt;=Stats!$C$30,"High",IF(P319&lt;=Stats!$C$29,"Low","Normal"))</f>
        <v>High</v>
      </c>
      <c r="AE319">
        <f t="shared" si="64"/>
        <v>1</v>
      </c>
    </row>
    <row r="320" spans="1:31" x14ac:dyDescent="0.2">
      <c r="A320">
        <f>Dataset_A!A320</f>
        <v>319</v>
      </c>
      <c r="B320" s="61">
        <f>Dataset_A!B320</f>
        <v>40557</v>
      </c>
      <c r="C320">
        <f>Dataset_A!C320</f>
        <v>1</v>
      </c>
      <c r="D320">
        <f>Dataset_A!D320</f>
        <v>0</v>
      </c>
      <c r="E320">
        <f>Dataset_A!E320</f>
        <v>1</v>
      </c>
      <c r="F320">
        <f>Dataset_A!F320</f>
        <v>18</v>
      </c>
      <c r="G320" t="b">
        <f>Dataset_A!G320</f>
        <v>0</v>
      </c>
      <c r="H320">
        <f>Dataset_A!H320</f>
        <v>5</v>
      </c>
      <c r="I320">
        <f>Dataset_A!I320</f>
        <v>1</v>
      </c>
      <c r="J320" s="55">
        <f>Dataset_A!J320</f>
        <v>0.2</v>
      </c>
      <c r="K320">
        <f>Dataset_A!K320</f>
        <v>0.2576</v>
      </c>
      <c r="L320">
        <f>Dataset_A!L320</f>
        <v>0.47</v>
      </c>
      <c r="M320">
        <f>Dataset_A!M320</f>
        <v>0</v>
      </c>
      <c r="N320">
        <f>Dataset_A!N320</f>
        <v>5</v>
      </c>
      <c r="O320">
        <f>Dataset_A!O320</f>
        <v>134</v>
      </c>
      <c r="P320">
        <f>Dataset_A!P320</f>
        <v>139</v>
      </c>
      <c r="Q320" t="str">
        <f t="shared" si="52"/>
        <v>REC-0319</v>
      </c>
      <c r="R320" s="62">
        <f t="shared" si="53"/>
        <v>40557.75</v>
      </c>
      <c r="S320" t="str">
        <f t="shared" si="54"/>
        <v>Jan</v>
      </c>
      <c r="T320" t="str">
        <f>INDEX(Lookups!$B$39:$B$45,MATCH(H320,Lookups!$A$39:$A$45,0))</f>
        <v>Fri</v>
      </c>
      <c r="U320" t="str">
        <f t="shared" si="55"/>
        <v>Weekday</v>
      </c>
      <c r="V320" t="str">
        <f t="shared" si="56"/>
        <v>Working Day</v>
      </c>
      <c r="W320" t="str">
        <f t="shared" si="57"/>
        <v>Spring</v>
      </c>
      <c r="X320" t="str">
        <f t="shared" si="58"/>
        <v>Clear</v>
      </c>
      <c r="Y320" t="str">
        <f t="shared" si="59"/>
        <v>Evening</v>
      </c>
      <c r="Z320" t="str">
        <f t="shared" si="60"/>
        <v>Mild</v>
      </c>
      <c r="AA320" t="str">
        <f t="shared" si="61"/>
        <v>Low</v>
      </c>
      <c r="AB320" t="str">
        <f t="shared" si="62"/>
        <v>Peak</v>
      </c>
      <c r="AC320" s="63">
        <f t="shared" si="63"/>
        <v>3.5971223021582732E-2</v>
      </c>
      <c r="AD320" t="str">
        <f>IF(P320&gt;=Stats!$C$30,"High",IF(P320&lt;=Stats!$C$29,"Low","Normal"))</f>
        <v>High</v>
      </c>
      <c r="AE320">
        <f t="shared" si="64"/>
        <v>1</v>
      </c>
    </row>
    <row r="321" spans="1:31" x14ac:dyDescent="0.2">
      <c r="A321">
        <f>Dataset_A!A321</f>
        <v>320</v>
      </c>
      <c r="B321" s="61">
        <f>Dataset_A!B321</f>
        <v>40557</v>
      </c>
      <c r="C321">
        <f>Dataset_A!C321</f>
        <v>1</v>
      </c>
      <c r="D321">
        <f>Dataset_A!D321</f>
        <v>0</v>
      </c>
      <c r="E321">
        <f>Dataset_A!E321</f>
        <v>1</v>
      </c>
      <c r="F321">
        <f>Dataset_A!F321</f>
        <v>19</v>
      </c>
      <c r="G321" t="b">
        <f>Dataset_A!G321</f>
        <v>0</v>
      </c>
      <c r="H321">
        <f>Dataset_A!H321</f>
        <v>5</v>
      </c>
      <c r="I321">
        <f>Dataset_A!I321</f>
        <v>1</v>
      </c>
      <c r="J321" s="55">
        <f>Dataset_A!J321</f>
        <v>0.16</v>
      </c>
      <c r="K321">
        <f>Dataset_A!K321</f>
        <v>0.19700000000000001</v>
      </c>
      <c r="L321">
        <f>Dataset_A!L321</f>
        <v>0.59</v>
      </c>
      <c r="M321">
        <f>Dataset_A!M321</f>
        <v>8.9599999999999999E-2</v>
      </c>
      <c r="N321">
        <f>Dataset_A!N321</f>
        <v>3</v>
      </c>
      <c r="O321">
        <f>Dataset_A!O321</f>
        <v>89</v>
      </c>
      <c r="P321">
        <f>Dataset_A!P321</f>
        <v>92</v>
      </c>
      <c r="Q321" t="str">
        <f t="shared" si="52"/>
        <v>REC-0320</v>
      </c>
      <c r="R321" s="62">
        <f t="shared" si="53"/>
        <v>40557.791666666664</v>
      </c>
      <c r="S321" t="str">
        <f t="shared" si="54"/>
        <v>Jan</v>
      </c>
      <c r="T321" t="str">
        <f>INDEX(Lookups!$B$39:$B$45,MATCH(H321,Lookups!$A$39:$A$45,0))</f>
        <v>Fri</v>
      </c>
      <c r="U321" t="str">
        <f t="shared" si="55"/>
        <v>Weekday</v>
      </c>
      <c r="V321" t="str">
        <f t="shared" si="56"/>
        <v>Working Day</v>
      </c>
      <c r="W321" t="str">
        <f t="shared" si="57"/>
        <v>Spring</v>
      </c>
      <c r="X321" t="str">
        <f t="shared" si="58"/>
        <v>Clear</v>
      </c>
      <c r="Y321" t="str">
        <f t="shared" si="59"/>
        <v>Evening</v>
      </c>
      <c r="Z321" t="str">
        <f t="shared" si="60"/>
        <v>Cold</v>
      </c>
      <c r="AA321" t="str">
        <f t="shared" si="61"/>
        <v>Medium</v>
      </c>
      <c r="AB321" t="str">
        <f t="shared" si="62"/>
        <v>Peak</v>
      </c>
      <c r="AC321" s="63">
        <f t="shared" si="63"/>
        <v>3.2608695652173912E-2</v>
      </c>
      <c r="AD321" t="str">
        <f>IF(P321&gt;=Stats!$C$30,"High",IF(P321&lt;=Stats!$C$29,"Low","Normal"))</f>
        <v>High</v>
      </c>
      <c r="AE321">
        <f t="shared" si="64"/>
        <v>1</v>
      </c>
    </row>
    <row r="322" spans="1:31" x14ac:dyDescent="0.2">
      <c r="A322">
        <f>Dataset_A!A322</f>
        <v>321</v>
      </c>
      <c r="B322" s="61">
        <f>Dataset_A!B322</f>
        <v>40557</v>
      </c>
      <c r="C322">
        <f>Dataset_A!C322</f>
        <v>1</v>
      </c>
      <c r="D322">
        <f>Dataset_A!D322</f>
        <v>0</v>
      </c>
      <c r="E322">
        <f>Dataset_A!E322</f>
        <v>1</v>
      </c>
      <c r="F322">
        <f>Dataset_A!F322</f>
        <v>20</v>
      </c>
      <c r="G322" t="b">
        <f>Dataset_A!G322</f>
        <v>0</v>
      </c>
      <c r="H322">
        <f>Dataset_A!H322</f>
        <v>5</v>
      </c>
      <c r="I322">
        <f>Dataset_A!I322</f>
        <v>1</v>
      </c>
      <c r="J322" s="55">
        <f>Dataset_A!J322</f>
        <v>0.18</v>
      </c>
      <c r="K322">
        <f>Dataset_A!K322</f>
        <v>0.2424</v>
      </c>
      <c r="L322">
        <f>Dataset_A!L322</f>
        <v>0.59</v>
      </c>
      <c r="M322">
        <f>Dataset_A!M322</f>
        <v>0</v>
      </c>
      <c r="N322">
        <f>Dataset_A!N322</f>
        <v>0</v>
      </c>
      <c r="O322">
        <f>Dataset_A!O322</f>
        <v>68</v>
      </c>
      <c r="P322">
        <f>Dataset_A!P322</f>
        <v>68</v>
      </c>
      <c r="Q322" t="str">
        <f t="shared" ref="Q322:Q385" si="65">"REC-"&amp;TEXT(A322,"0000")</f>
        <v>REC-0321</v>
      </c>
      <c r="R322" s="62">
        <f t="shared" ref="R322:R385" si="66">B322+F322/24</f>
        <v>40557.833333333336</v>
      </c>
      <c r="S322" t="str">
        <f t="shared" ref="S322:S385" si="67">TEXT(B322,"mmm")</f>
        <v>Jan</v>
      </c>
      <c r="T322" t="str">
        <f>INDEX(Lookups!$B$39:$B$45,MATCH(H322,Lookups!$A$39:$A$45,0))</f>
        <v>Fri</v>
      </c>
      <c r="U322" t="str">
        <f t="shared" ref="U322:U385" si="68">IF(OR(H322=0,H322=6),"Weekend","Weekday")</f>
        <v>Weekday</v>
      </c>
      <c r="V322" t="str">
        <f t="shared" ref="V322:V385" si="69">IF(OR(U322="Weekend",G322=TRUE),"Non-Working Day","Working Day")</f>
        <v>Working Day</v>
      </c>
      <c r="W322" t="str">
        <f t="shared" ref="W322:W385" si="70">VLOOKUP(C322,tbl_season,2,FALSE)</f>
        <v>Spring</v>
      </c>
      <c r="X322" t="str">
        <f t="shared" ref="X322:X385" si="71">VLOOKUP(I322,tbl_weather,2,FALSE)</f>
        <v>Clear</v>
      </c>
      <c r="Y322" t="str">
        <f t="shared" ref="Y322:Y385" si="72">INDEX(band_name,MATCH(F322,band_start,1))</f>
        <v>Evening</v>
      </c>
      <c r="Z322" t="str">
        <f t="shared" ref="Z322:Z385" si="73">INDEX(temp_band,MATCH(J322,temp_from,1))</f>
        <v>Cold</v>
      </c>
      <c r="AA322" t="str">
        <f t="shared" ref="AA322:AA385" si="74">INDEX(hum_band,MATCH(L322,hum_from,1))</f>
        <v>Medium</v>
      </c>
      <c r="AB322" t="str">
        <f t="shared" ref="AB322:AB385" si="75">IF(AND(U322="Weekday",OR(AND(F322&gt;=7,F322&lt;=9),AND(F322&gt;=16,F322&lt;=19))),"Peak","Off-Peak")</f>
        <v>Off-Peak</v>
      </c>
      <c r="AC322" s="63">
        <f t="shared" ref="AC322:AC385" si="76">IF(P322=0,0,N322/P322)</f>
        <v>0</v>
      </c>
      <c r="AD322" t="str">
        <f>IF(P322&gt;=Stats!$C$30,"High",IF(P322&lt;=Stats!$C$29,"Low","Normal"))</f>
        <v>Normal</v>
      </c>
      <c r="AE322">
        <f t="shared" ref="AE322:AE385" si="77">SUBTOTAL(103,A322)</f>
        <v>1</v>
      </c>
    </row>
    <row r="323" spans="1:31" x14ac:dyDescent="0.2">
      <c r="A323">
        <f>Dataset_A!A323</f>
        <v>322</v>
      </c>
      <c r="B323" s="61">
        <f>Dataset_A!B323</f>
        <v>40557</v>
      </c>
      <c r="C323">
        <f>Dataset_A!C323</f>
        <v>1</v>
      </c>
      <c r="D323">
        <f>Dataset_A!D323</f>
        <v>0</v>
      </c>
      <c r="E323">
        <f>Dataset_A!E323</f>
        <v>1</v>
      </c>
      <c r="F323">
        <f>Dataset_A!F323</f>
        <v>21</v>
      </c>
      <c r="G323" t="b">
        <f>Dataset_A!G323</f>
        <v>0</v>
      </c>
      <c r="H323">
        <f>Dataset_A!H323</f>
        <v>5</v>
      </c>
      <c r="I323">
        <f>Dataset_A!I323</f>
        <v>1</v>
      </c>
      <c r="J323" s="55">
        <f>Dataset_A!J323</f>
        <v>0.16</v>
      </c>
      <c r="K323">
        <f>Dataset_A!K323</f>
        <v>0.2273</v>
      </c>
      <c r="L323">
        <f>Dataset_A!L323</f>
        <v>0.69</v>
      </c>
      <c r="M323">
        <f>Dataset_A!M323</f>
        <v>0</v>
      </c>
      <c r="N323">
        <f>Dataset_A!N323</f>
        <v>4</v>
      </c>
      <c r="O323">
        <f>Dataset_A!O323</f>
        <v>48</v>
      </c>
      <c r="P323">
        <f>Dataset_A!P323</f>
        <v>52</v>
      </c>
      <c r="Q323" t="str">
        <f t="shared" si="65"/>
        <v>REC-0322</v>
      </c>
      <c r="R323" s="62">
        <f t="shared" si="66"/>
        <v>40557.875</v>
      </c>
      <c r="S323" t="str">
        <f t="shared" si="67"/>
        <v>Jan</v>
      </c>
      <c r="T323" t="str">
        <f>INDEX(Lookups!$B$39:$B$45,MATCH(H323,Lookups!$A$39:$A$45,0))</f>
        <v>Fri</v>
      </c>
      <c r="U323" t="str">
        <f t="shared" si="68"/>
        <v>Weekday</v>
      </c>
      <c r="V323" t="str">
        <f t="shared" si="69"/>
        <v>Working Day</v>
      </c>
      <c r="W323" t="str">
        <f t="shared" si="70"/>
        <v>Spring</v>
      </c>
      <c r="X323" t="str">
        <f t="shared" si="71"/>
        <v>Clear</v>
      </c>
      <c r="Y323" t="str">
        <f t="shared" si="72"/>
        <v>Late Evening</v>
      </c>
      <c r="Z323" t="str">
        <f t="shared" si="73"/>
        <v>Cold</v>
      </c>
      <c r="AA323" t="str">
        <f t="shared" si="74"/>
        <v>Medium</v>
      </c>
      <c r="AB323" t="str">
        <f t="shared" si="75"/>
        <v>Off-Peak</v>
      </c>
      <c r="AC323" s="63">
        <f t="shared" si="76"/>
        <v>7.6923076923076927E-2</v>
      </c>
      <c r="AD323" t="str">
        <f>IF(P323&gt;=Stats!$C$30,"High",IF(P323&lt;=Stats!$C$29,"Low","Normal"))</f>
        <v>Normal</v>
      </c>
      <c r="AE323">
        <f t="shared" si="77"/>
        <v>1</v>
      </c>
    </row>
    <row r="324" spans="1:31" x14ac:dyDescent="0.2">
      <c r="A324">
        <f>Dataset_A!A324</f>
        <v>323</v>
      </c>
      <c r="B324" s="61">
        <f>Dataset_A!B324</f>
        <v>40557</v>
      </c>
      <c r="C324">
        <f>Dataset_A!C324</f>
        <v>1</v>
      </c>
      <c r="D324">
        <f>Dataset_A!D324</f>
        <v>0</v>
      </c>
      <c r="E324">
        <f>Dataset_A!E324</f>
        <v>1</v>
      </c>
      <c r="F324">
        <f>Dataset_A!F324</f>
        <v>22</v>
      </c>
      <c r="G324" t="b">
        <f>Dataset_A!G324</f>
        <v>0</v>
      </c>
      <c r="H324">
        <f>Dataset_A!H324</f>
        <v>5</v>
      </c>
      <c r="I324">
        <f>Dataset_A!I324</f>
        <v>2</v>
      </c>
      <c r="J324" s="55">
        <f>Dataset_A!J324</f>
        <v>0.16</v>
      </c>
      <c r="K324">
        <f>Dataset_A!K324</f>
        <v>0.2273</v>
      </c>
      <c r="L324">
        <f>Dataset_A!L324</f>
        <v>0.69</v>
      </c>
      <c r="M324">
        <f>Dataset_A!M324</f>
        <v>0</v>
      </c>
      <c r="N324">
        <f>Dataset_A!N324</f>
        <v>2</v>
      </c>
      <c r="O324">
        <f>Dataset_A!O324</f>
        <v>34</v>
      </c>
      <c r="P324">
        <f>Dataset_A!P324</f>
        <v>36</v>
      </c>
      <c r="Q324" t="str">
        <f t="shared" si="65"/>
        <v>REC-0323</v>
      </c>
      <c r="R324" s="62">
        <f t="shared" si="66"/>
        <v>40557.916666666664</v>
      </c>
      <c r="S324" t="str">
        <f t="shared" si="67"/>
        <v>Jan</v>
      </c>
      <c r="T324" t="str">
        <f>INDEX(Lookups!$B$39:$B$45,MATCH(H324,Lookups!$A$39:$A$45,0))</f>
        <v>Fri</v>
      </c>
      <c r="U324" t="str">
        <f t="shared" si="68"/>
        <v>Weekday</v>
      </c>
      <c r="V324" t="str">
        <f t="shared" si="69"/>
        <v>Working Day</v>
      </c>
      <c r="W324" t="str">
        <f t="shared" si="70"/>
        <v>Spring</v>
      </c>
      <c r="X324" t="str">
        <f t="shared" si="71"/>
        <v>Cloudy/Mist</v>
      </c>
      <c r="Y324" t="str">
        <f t="shared" si="72"/>
        <v>Late Evening</v>
      </c>
      <c r="Z324" t="str">
        <f t="shared" si="73"/>
        <v>Cold</v>
      </c>
      <c r="AA324" t="str">
        <f t="shared" si="74"/>
        <v>Medium</v>
      </c>
      <c r="AB324" t="str">
        <f t="shared" si="75"/>
        <v>Off-Peak</v>
      </c>
      <c r="AC324" s="63">
        <f t="shared" si="76"/>
        <v>5.5555555555555552E-2</v>
      </c>
      <c r="AD324" t="str">
        <f>IF(P324&gt;=Stats!$C$30,"High",IF(P324&lt;=Stats!$C$29,"Low","Normal"))</f>
        <v>Normal</v>
      </c>
      <c r="AE324">
        <f t="shared" si="77"/>
        <v>1</v>
      </c>
    </row>
    <row r="325" spans="1:31" x14ac:dyDescent="0.2">
      <c r="A325">
        <f>Dataset_A!A325</f>
        <v>324</v>
      </c>
      <c r="B325" s="61">
        <f>Dataset_A!B325</f>
        <v>40557</v>
      </c>
      <c r="C325">
        <f>Dataset_A!C325</f>
        <v>1</v>
      </c>
      <c r="D325">
        <f>Dataset_A!D325</f>
        <v>0</v>
      </c>
      <c r="E325">
        <f>Dataset_A!E325</f>
        <v>1</v>
      </c>
      <c r="F325">
        <f>Dataset_A!F325</f>
        <v>23</v>
      </c>
      <c r="G325" t="b">
        <f>Dataset_A!G325</f>
        <v>0</v>
      </c>
      <c r="H325">
        <f>Dataset_A!H325</f>
        <v>5</v>
      </c>
      <c r="I325">
        <f>Dataset_A!I325</f>
        <v>2</v>
      </c>
      <c r="J325" s="55">
        <f>Dataset_A!J325</f>
        <v>0.18</v>
      </c>
      <c r="K325">
        <f>Dataset_A!K325</f>
        <v>0.2424</v>
      </c>
      <c r="L325">
        <f>Dataset_A!L325</f>
        <v>0.55000000000000004</v>
      </c>
      <c r="M325">
        <f>Dataset_A!M325</f>
        <v>0</v>
      </c>
      <c r="N325">
        <f>Dataset_A!N325</f>
        <v>1</v>
      </c>
      <c r="O325">
        <f>Dataset_A!O325</f>
        <v>26</v>
      </c>
      <c r="P325">
        <f>Dataset_A!P325</f>
        <v>27</v>
      </c>
      <c r="Q325" t="str">
        <f t="shared" si="65"/>
        <v>REC-0324</v>
      </c>
      <c r="R325" s="62">
        <f t="shared" si="66"/>
        <v>40557.958333333336</v>
      </c>
      <c r="S325" t="str">
        <f t="shared" si="67"/>
        <v>Jan</v>
      </c>
      <c r="T325" t="str">
        <f>INDEX(Lookups!$B$39:$B$45,MATCH(H325,Lookups!$A$39:$A$45,0))</f>
        <v>Fri</v>
      </c>
      <c r="U325" t="str">
        <f t="shared" si="68"/>
        <v>Weekday</v>
      </c>
      <c r="V325" t="str">
        <f t="shared" si="69"/>
        <v>Working Day</v>
      </c>
      <c r="W325" t="str">
        <f t="shared" si="70"/>
        <v>Spring</v>
      </c>
      <c r="X325" t="str">
        <f t="shared" si="71"/>
        <v>Cloudy/Mist</v>
      </c>
      <c r="Y325" t="str">
        <f t="shared" si="72"/>
        <v>Late Evening</v>
      </c>
      <c r="Z325" t="str">
        <f t="shared" si="73"/>
        <v>Cold</v>
      </c>
      <c r="AA325" t="str">
        <f t="shared" si="74"/>
        <v>Medium</v>
      </c>
      <c r="AB325" t="str">
        <f t="shared" si="75"/>
        <v>Off-Peak</v>
      </c>
      <c r="AC325" s="63">
        <f t="shared" si="76"/>
        <v>3.7037037037037035E-2</v>
      </c>
      <c r="AD325" t="str">
        <f>IF(P325&gt;=Stats!$C$30,"High",IF(P325&lt;=Stats!$C$29,"Low","Normal"))</f>
        <v>Normal</v>
      </c>
      <c r="AE325">
        <f t="shared" si="77"/>
        <v>1</v>
      </c>
    </row>
    <row r="326" spans="1:31" x14ac:dyDescent="0.2">
      <c r="A326">
        <f>Dataset_A!A326</f>
        <v>325</v>
      </c>
      <c r="B326" s="61">
        <f>Dataset_A!B326</f>
        <v>40558</v>
      </c>
      <c r="C326">
        <f>Dataset_A!C326</f>
        <v>1</v>
      </c>
      <c r="D326">
        <f>Dataset_A!D326</f>
        <v>0</v>
      </c>
      <c r="E326">
        <f>Dataset_A!E326</f>
        <v>1</v>
      </c>
      <c r="F326">
        <f>Dataset_A!F326</f>
        <v>0</v>
      </c>
      <c r="G326" t="b">
        <f>Dataset_A!G326</f>
        <v>0</v>
      </c>
      <c r="H326">
        <f>Dataset_A!H326</f>
        <v>6</v>
      </c>
      <c r="I326">
        <f>Dataset_A!I326</f>
        <v>1</v>
      </c>
      <c r="J326" s="55">
        <f>Dataset_A!J326</f>
        <v>0.18</v>
      </c>
      <c r="K326">
        <f>Dataset_A!K326</f>
        <v>0.2424</v>
      </c>
      <c r="L326">
        <f>Dataset_A!L326</f>
        <v>0.55000000000000004</v>
      </c>
      <c r="M326">
        <f>Dataset_A!M326</f>
        <v>0</v>
      </c>
      <c r="N326">
        <f>Dataset_A!N326</f>
        <v>3</v>
      </c>
      <c r="O326">
        <f>Dataset_A!O326</f>
        <v>25</v>
      </c>
      <c r="P326">
        <f>Dataset_A!P326</f>
        <v>28</v>
      </c>
      <c r="Q326" t="str">
        <f t="shared" si="65"/>
        <v>REC-0325</v>
      </c>
      <c r="R326" s="62">
        <f t="shared" si="66"/>
        <v>40558</v>
      </c>
      <c r="S326" t="str">
        <f t="shared" si="67"/>
        <v>Jan</v>
      </c>
      <c r="T326" t="str">
        <f>INDEX(Lookups!$B$39:$B$45,MATCH(H326,Lookups!$A$39:$A$45,0))</f>
        <v>Sat</v>
      </c>
      <c r="U326" t="str">
        <f t="shared" si="68"/>
        <v>Weekend</v>
      </c>
      <c r="V326" t="str">
        <f t="shared" si="69"/>
        <v>Non-Working Day</v>
      </c>
      <c r="W326" t="str">
        <f t="shared" si="70"/>
        <v>Spring</v>
      </c>
      <c r="X326" t="str">
        <f t="shared" si="71"/>
        <v>Clear</v>
      </c>
      <c r="Y326" t="str">
        <f t="shared" si="72"/>
        <v>Night</v>
      </c>
      <c r="Z326" t="str">
        <f t="shared" si="73"/>
        <v>Cold</v>
      </c>
      <c r="AA326" t="str">
        <f t="shared" si="74"/>
        <v>Medium</v>
      </c>
      <c r="AB326" t="str">
        <f t="shared" si="75"/>
        <v>Off-Peak</v>
      </c>
      <c r="AC326" s="63">
        <f t="shared" si="76"/>
        <v>0.10714285714285714</v>
      </c>
      <c r="AD326" t="str">
        <f>IF(P326&gt;=Stats!$C$30,"High",IF(P326&lt;=Stats!$C$29,"Low","Normal"))</f>
        <v>Normal</v>
      </c>
      <c r="AE326">
        <f t="shared" si="77"/>
        <v>1</v>
      </c>
    </row>
    <row r="327" spans="1:31" x14ac:dyDescent="0.2">
      <c r="A327">
        <f>Dataset_A!A327</f>
        <v>326</v>
      </c>
      <c r="B327" s="61">
        <f>Dataset_A!B327</f>
        <v>40558</v>
      </c>
      <c r="C327">
        <f>Dataset_A!C327</f>
        <v>1</v>
      </c>
      <c r="D327">
        <f>Dataset_A!D327</f>
        <v>0</v>
      </c>
      <c r="E327">
        <f>Dataset_A!E327</f>
        <v>1</v>
      </c>
      <c r="F327">
        <f>Dataset_A!F327</f>
        <v>1</v>
      </c>
      <c r="G327" t="b">
        <f>Dataset_A!G327</f>
        <v>0</v>
      </c>
      <c r="H327">
        <f>Dataset_A!H327</f>
        <v>6</v>
      </c>
      <c r="I327">
        <f>Dataset_A!I327</f>
        <v>2</v>
      </c>
      <c r="J327" s="55">
        <f>Dataset_A!J327</f>
        <v>0.16</v>
      </c>
      <c r="K327">
        <f>Dataset_A!K327</f>
        <v>0.19700000000000001</v>
      </c>
      <c r="L327">
        <f>Dataset_A!L327</f>
        <v>0.59</v>
      </c>
      <c r="M327">
        <f>Dataset_A!M327</f>
        <v>8.9599999999999999E-2</v>
      </c>
      <c r="N327">
        <f>Dataset_A!N327</f>
        <v>2</v>
      </c>
      <c r="O327">
        <f>Dataset_A!O327</f>
        <v>18</v>
      </c>
      <c r="P327">
        <f>Dataset_A!P327</f>
        <v>20</v>
      </c>
      <c r="Q327" t="str">
        <f t="shared" si="65"/>
        <v>REC-0326</v>
      </c>
      <c r="R327" s="62">
        <f t="shared" si="66"/>
        <v>40558.041666666664</v>
      </c>
      <c r="S327" t="str">
        <f t="shared" si="67"/>
        <v>Jan</v>
      </c>
      <c r="T327" t="str">
        <f>INDEX(Lookups!$B$39:$B$45,MATCH(H327,Lookups!$A$39:$A$45,0))</f>
        <v>Sat</v>
      </c>
      <c r="U327" t="str">
        <f t="shared" si="68"/>
        <v>Weekend</v>
      </c>
      <c r="V327" t="str">
        <f t="shared" si="69"/>
        <v>Non-Working Day</v>
      </c>
      <c r="W327" t="str">
        <f t="shared" si="70"/>
        <v>Spring</v>
      </c>
      <c r="X327" t="str">
        <f t="shared" si="71"/>
        <v>Cloudy/Mist</v>
      </c>
      <c r="Y327" t="str">
        <f t="shared" si="72"/>
        <v>Night</v>
      </c>
      <c r="Z327" t="str">
        <f t="shared" si="73"/>
        <v>Cold</v>
      </c>
      <c r="AA327" t="str">
        <f t="shared" si="74"/>
        <v>Medium</v>
      </c>
      <c r="AB327" t="str">
        <f t="shared" si="75"/>
        <v>Off-Peak</v>
      </c>
      <c r="AC327" s="63">
        <f t="shared" si="76"/>
        <v>0.1</v>
      </c>
      <c r="AD327" t="str">
        <f>IF(P327&gt;=Stats!$C$30,"High",IF(P327&lt;=Stats!$C$29,"Low","Normal"))</f>
        <v>Normal</v>
      </c>
      <c r="AE327">
        <f t="shared" si="77"/>
        <v>1</v>
      </c>
    </row>
    <row r="328" spans="1:31" x14ac:dyDescent="0.2">
      <c r="A328">
        <f>Dataset_A!A328</f>
        <v>327</v>
      </c>
      <c r="B328" s="61">
        <f>Dataset_A!B328</f>
        <v>40558</v>
      </c>
      <c r="C328">
        <f>Dataset_A!C328</f>
        <v>1</v>
      </c>
      <c r="D328">
        <f>Dataset_A!D328</f>
        <v>0</v>
      </c>
      <c r="E328">
        <f>Dataset_A!E328</f>
        <v>1</v>
      </c>
      <c r="F328">
        <f>Dataset_A!F328</f>
        <v>2</v>
      </c>
      <c r="G328" t="b">
        <f>Dataset_A!G328</f>
        <v>0</v>
      </c>
      <c r="H328">
        <f>Dataset_A!H328</f>
        <v>6</v>
      </c>
      <c r="I328">
        <f>Dataset_A!I328</f>
        <v>2</v>
      </c>
      <c r="J328" s="55">
        <f>Dataset_A!J328</f>
        <v>0.16</v>
      </c>
      <c r="K328">
        <f>Dataset_A!K328</f>
        <v>0.19700000000000001</v>
      </c>
      <c r="L328">
        <f>Dataset_A!L328</f>
        <v>0.59</v>
      </c>
      <c r="M328">
        <f>Dataset_A!M328</f>
        <v>8.9599999999999999E-2</v>
      </c>
      <c r="N328">
        <f>Dataset_A!N328</f>
        <v>0</v>
      </c>
      <c r="O328">
        <f>Dataset_A!O328</f>
        <v>12</v>
      </c>
      <c r="P328">
        <f>Dataset_A!P328</f>
        <v>12</v>
      </c>
      <c r="Q328" t="str">
        <f t="shared" si="65"/>
        <v>REC-0327</v>
      </c>
      <c r="R328" s="62">
        <f t="shared" si="66"/>
        <v>40558.083333333336</v>
      </c>
      <c r="S328" t="str">
        <f t="shared" si="67"/>
        <v>Jan</v>
      </c>
      <c r="T328" t="str">
        <f>INDEX(Lookups!$B$39:$B$45,MATCH(H328,Lookups!$A$39:$A$45,0))</f>
        <v>Sat</v>
      </c>
      <c r="U328" t="str">
        <f t="shared" si="68"/>
        <v>Weekend</v>
      </c>
      <c r="V328" t="str">
        <f t="shared" si="69"/>
        <v>Non-Working Day</v>
      </c>
      <c r="W328" t="str">
        <f t="shared" si="70"/>
        <v>Spring</v>
      </c>
      <c r="X328" t="str">
        <f t="shared" si="71"/>
        <v>Cloudy/Mist</v>
      </c>
      <c r="Y328" t="str">
        <f t="shared" si="72"/>
        <v>Night</v>
      </c>
      <c r="Z328" t="str">
        <f t="shared" si="73"/>
        <v>Cold</v>
      </c>
      <c r="AA328" t="str">
        <f t="shared" si="74"/>
        <v>Medium</v>
      </c>
      <c r="AB328" t="str">
        <f t="shared" si="75"/>
        <v>Off-Peak</v>
      </c>
      <c r="AC328" s="63">
        <f t="shared" si="76"/>
        <v>0</v>
      </c>
      <c r="AD328" t="str">
        <f>IF(P328&gt;=Stats!$C$30,"High",IF(P328&lt;=Stats!$C$29,"Low","Normal"))</f>
        <v>Low</v>
      </c>
      <c r="AE328">
        <f t="shared" si="77"/>
        <v>1</v>
      </c>
    </row>
    <row r="329" spans="1:31" x14ac:dyDescent="0.2">
      <c r="A329">
        <f>Dataset_A!A329</f>
        <v>328</v>
      </c>
      <c r="B329" s="61">
        <f>Dataset_A!B329</f>
        <v>40558</v>
      </c>
      <c r="C329">
        <f>Dataset_A!C329</f>
        <v>1</v>
      </c>
      <c r="D329">
        <f>Dataset_A!D329</f>
        <v>0</v>
      </c>
      <c r="E329">
        <f>Dataset_A!E329</f>
        <v>1</v>
      </c>
      <c r="F329">
        <f>Dataset_A!F329</f>
        <v>3</v>
      </c>
      <c r="G329" t="b">
        <f>Dataset_A!G329</f>
        <v>0</v>
      </c>
      <c r="H329">
        <f>Dataset_A!H329</f>
        <v>6</v>
      </c>
      <c r="I329">
        <f>Dataset_A!I329</f>
        <v>2</v>
      </c>
      <c r="J329" s="55">
        <f>Dataset_A!J329</f>
        <v>0.16</v>
      </c>
      <c r="K329">
        <f>Dataset_A!K329</f>
        <v>0.2273</v>
      </c>
      <c r="L329">
        <f>Dataset_A!L329</f>
        <v>0.59</v>
      </c>
      <c r="M329">
        <f>Dataset_A!M329</f>
        <v>0</v>
      </c>
      <c r="N329">
        <f>Dataset_A!N329</f>
        <v>1</v>
      </c>
      <c r="O329">
        <f>Dataset_A!O329</f>
        <v>7</v>
      </c>
      <c r="P329">
        <f>Dataset_A!P329</f>
        <v>8</v>
      </c>
      <c r="Q329" t="str">
        <f t="shared" si="65"/>
        <v>REC-0328</v>
      </c>
      <c r="R329" s="62">
        <f t="shared" si="66"/>
        <v>40558.125</v>
      </c>
      <c r="S329" t="str">
        <f t="shared" si="67"/>
        <v>Jan</v>
      </c>
      <c r="T329" t="str">
        <f>INDEX(Lookups!$B$39:$B$45,MATCH(H329,Lookups!$A$39:$A$45,0))</f>
        <v>Sat</v>
      </c>
      <c r="U329" t="str">
        <f t="shared" si="68"/>
        <v>Weekend</v>
      </c>
      <c r="V329" t="str">
        <f t="shared" si="69"/>
        <v>Non-Working Day</v>
      </c>
      <c r="W329" t="str">
        <f t="shared" si="70"/>
        <v>Spring</v>
      </c>
      <c r="X329" t="str">
        <f t="shared" si="71"/>
        <v>Cloudy/Mist</v>
      </c>
      <c r="Y329" t="str">
        <f t="shared" si="72"/>
        <v>Night</v>
      </c>
      <c r="Z329" t="str">
        <f t="shared" si="73"/>
        <v>Cold</v>
      </c>
      <c r="AA329" t="str">
        <f t="shared" si="74"/>
        <v>Medium</v>
      </c>
      <c r="AB329" t="str">
        <f t="shared" si="75"/>
        <v>Off-Peak</v>
      </c>
      <c r="AC329" s="63">
        <f t="shared" si="76"/>
        <v>0.125</v>
      </c>
      <c r="AD329" t="str">
        <f>IF(P329&gt;=Stats!$C$30,"High",IF(P329&lt;=Stats!$C$29,"Low","Normal"))</f>
        <v>Low</v>
      </c>
      <c r="AE329">
        <f t="shared" si="77"/>
        <v>1</v>
      </c>
    </row>
    <row r="330" spans="1:31" x14ac:dyDescent="0.2">
      <c r="A330">
        <f>Dataset_A!A330</f>
        <v>329</v>
      </c>
      <c r="B330" s="61">
        <f>Dataset_A!B330</f>
        <v>40558</v>
      </c>
      <c r="C330">
        <f>Dataset_A!C330</f>
        <v>1</v>
      </c>
      <c r="D330">
        <f>Dataset_A!D330</f>
        <v>0</v>
      </c>
      <c r="E330">
        <f>Dataset_A!E330</f>
        <v>1</v>
      </c>
      <c r="F330">
        <f>Dataset_A!F330</f>
        <v>4</v>
      </c>
      <c r="G330" t="b">
        <f>Dataset_A!G330</f>
        <v>0</v>
      </c>
      <c r="H330">
        <f>Dataset_A!H330</f>
        <v>6</v>
      </c>
      <c r="I330">
        <f>Dataset_A!I330</f>
        <v>2</v>
      </c>
      <c r="J330" s="55">
        <f>Dataset_A!J330</f>
        <v>0.16</v>
      </c>
      <c r="K330">
        <f>Dataset_A!K330</f>
        <v>0.2273</v>
      </c>
      <c r="L330">
        <f>Dataset_A!L330</f>
        <v>0.59</v>
      </c>
      <c r="M330">
        <f>Dataset_A!M330</f>
        <v>0</v>
      </c>
      <c r="N330">
        <f>Dataset_A!N330</f>
        <v>0</v>
      </c>
      <c r="O330">
        <f>Dataset_A!O330</f>
        <v>5</v>
      </c>
      <c r="P330">
        <f>Dataset_A!P330</f>
        <v>5</v>
      </c>
      <c r="Q330" t="str">
        <f t="shared" si="65"/>
        <v>REC-0329</v>
      </c>
      <c r="R330" s="62">
        <f t="shared" si="66"/>
        <v>40558.166666666664</v>
      </c>
      <c r="S330" t="str">
        <f t="shared" si="67"/>
        <v>Jan</v>
      </c>
      <c r="T330" t="str">
        <f>INDEX(Lookups!$B$39:$B$45,MATCH(H330,Lookups!$A$39:$A$45,0))</f>
        <v>Sat</v>
      </c>
      <c r="U330" t="str">
        <f t="shared" si="68"/>
        <v>Weekend</v>
      </c>
      <c r="V330" t="str">
        <f t="shared" si="69"/>
        <v>Non-Working Day</v>
      </c>
      <c r="W330" t="str">
        <f t="shared" si="70"/>
        <v>Spring</v>
      </c>
      <c r="X330" t="str">
        <f t="shared" si="71"/>
        <v>Cloudy/Mist</v>
      </c>
      <c r="Y330" t="str">
        <f t="shared" si="72"/>
        <v>Night</v>
      </c>
      <c r="Z330" t="str">
        <f t="shared" si="73"/>
        <v>Cold</v>
      </c>
      <c r="AA330" t="str">
        <f t="shared" si="74"/>
        <v>Medium</v>
      </c>
      <c r="AB330" t="str">
        <f t="shared" si="75"/>
        <v>Off-Peak</v>
      </c>
      <c r="AC330" s="63">
        <f t="shared" si="76"/>
        <v>0</v>
      </c>
      <c r="AD330" t="str">
        <f>IF(P330&gt;=Stats!$C$30,"High",IF(P330&lt;=Stats!$C$29,"Low","Normal"))</f>
        <v>Low</v>
      </c>
      <c r="AE330">
        <f t="shared" si="77"/>
        <v>1</v>
      </c>
    </row>
    <row r="331" spans="1:31" x14ac:dyDescent="0.2">
      <c r="A331">
        <f>Dataset_A!A331</f>
        <v>330</v>
      </c>
      <c r="B331" s="61">
        <f>Dataset_A!B331</f>
        <v>40558</v>
      </c>
      <c r="C331">
        <f>Dataset_A!C331</f>
        <v>1</v>
      </c>
      <c r="D331">
        <f>Dataset_A!D331</f>
        <v>0</v>
      </c>
      <c r="E331">
        <f>Dataset_A!E331</f>
        <v>1</v>
      </c>
      <c r="F331">
        <f>Dataset_A!F331</f>
        <v>5</v>
      </c>
      <c r="G331" t="b">
        <f>Dataset_A!G331</f>
        <v>0</v>
      </c>
      <c r="H331">
        <f>Dataset_A!H331</f>
        <v>6</v>
      </c>
      <c r="I331">
        <f>Dataset_A!I331</f>
        <v>1</v>
      </c>
      <c r="J331" s="55">
        <f>Dataset_A!J331</f>
        <v>0.16</v>
      </c>
      <c r="K331">
        <f>Dataset_A!K331</f>
        <v>0.2273</v>
      </c>
      <c r="L331">
        <f>Dataset_A!L331</f>
        <v>0.59</v>
      </c>
      <c r="M331">
        <f>Dataset_A!M331</f>
        <v>0</v>
      </c>
      <c r="N331">
        <f>Dataset_A!N331</f>
        <v>0</v>
      </c>
      <c r="O331">
        <f>Dataset_A!O331</f>
        <v>1</v>
      </c>
      <c r="P331">
        <f>Dataset_A!P331</f>
        <v>1</v>
      </c>
      <c r="Q331" t="str">
        <f t="shared" si="65"/>
        <v>REC-0330</v>
      </c>
      <c r="R331" s="62">
        <f t="shared" si="66"/>
        <v>40558.208333333336</v>
      </c>
      <c r="S331" t="str">
        <f t="shared" si="67"/>
        <v>Jan</v>
      </c>
      <c r="T331" t="str">
        <f>INDEX(Lookups!$B$39:$B$45,MATCH(H331,Lookups!$A$39:$A$45,0))</f>
        <v>Sat</v>
      </c>
      <c r="U331" t="str">
        <f t="shared" si="68"/>
        <v>Weekend</v>
      </c>
      <c r="V331" t="str">
        <f t="shared" si="69"/>
        <v>Non-Working Day</v>
      </c>
      <c r="W331" t="str">
        <f t="shared" si="70"/>
        <v>Spring</v>
      </c>
      <c r="X331" t="str">
        <f t="shared" si="71"/>
        <v>Clear</v>
      </c>
      <c r="Y331" t="str">
        <f t="shared" si="72"/>
        <v>Night</v>
      </c>
      <c r="Z331" t="str">
        <f t="shared" si="73"/>
        <v>Cold</v>
      </c>
      <c r="AA331" t="str">
        <f t="shared" si="74"/>
        <v>Medium</v>
      </c>
      <c r="AB331" t="str">
        <f t="shared" si="75"/>
        <v>Off-Peak</v>
      </c>
      <c r="AC331" s="63">
        <f t="shared" si="76"/>
        <v>0</v>
      </c>
      <c r="AD331" t="str">
        <f>IF(P331&gt;=Stats!$C$30,"High",IF(P331&lt;=Stats!$C$29,"Low","Normal"))</f>
        <v>Low</v>
      </c>
      <c r="AE331">
        <f t="shared" si="77"/>
        <v>1</v>
      </c>
    </row>
    <row r="332" spans="1:31" x14ac:dyDescent="0.2">
      <c r="A332">
        <f>Dataset_A!A332</f>
        <v>331</v>
      </c>
      <c r="B332" s="61">
        <f>Dataset_A!B332</f>
        <v>40558</v>
      </c>
      <c r="C332">
        <f>Dataset_A!C332</f>
        <v>1</v>
      </c>
      <c r="D332">
        <f>Dataset_A!D332</f>
        <v>0</v>
      </c>
      <c r="E332">
        <f>Dataset_A!E332</f>
        <v>1</v>
      </c>
      <c r="F332">
        <f>Dataset_A!F332</f>
        <v>6</v>
      </c>
      <c r="G332" t="b">
        <f>Dataset_A!G332</f>
        <v>0</v>
      </c>
      <c r="H332">
        <f>Dataset_A!H332</f>
        <v>6</v>
      </c>
      <c r="I332">
        <f>Dataset_A!I332</f>
        <v>1</v>
      </c>
      <c r="J332" s="55">
        <f>Dataset_A!J332</f>
        <v>0.14000000000000001</v>
      </c>
      <c r="K332">
        <f>Dataset_A!K332</f>
        <v>0.16669999999999999</v>
      </c>
      <c r="L332">
        <f>Dataset_A!L332</f>
        <v>0.63</v>
      </c>
      <c r="M332">
        <f>Dataset_A!M332</f>
        <v>0.1045</v>
      </c>
      <c r="N332">
        <f>Dataset_A!N332</f>
        <v>1</v>
      </c>
      <c r="O332">
        <f>Dataset_A!O332</f>
        <v>2</v>
      </c>
      <c r="P332">
        <f>Dataset_A!P332</f>
        <v>3</v>
      </c>
      <c r="Q332" t="str">
        <f t="shared" si="65"/>
        <v>REC-0331</v>
      </c>
      <c r="R332" s="62">
        <f t="shared" si="66"/>
        <v>40558.25</v>
      </c>
      <c r="S332" t="str">
        <f t="shared" si="67"/>
        <v>Jan</v>
      </c>
      <c r="T332" t="str">
        <f>INDEX(Lookups!$B$39:$B$45,MATCH(H332,Lookups!$A$39:$A$45,0))</f>
        <v>Sat</v>
      </c>
      <c r="U332" t="str">
        <f t="shared" si="68"/>
        <v>Weekend</v>
      </c>
      <c r="V332" t="str">
        <f t="shared" si="69"/>
        <v>Non-Working Day</v>
      </c>
      <c r="W332" t="str">
        <f t="shared" si="70"/>
        <v>Spring</v>
      </c>
      <c r="X332" t="str">
        <f t="shared" si="71"/>
        <v>Clear</v>
      </c>
      <c r="Y332" t="str">
        <f t="shared" si="72"/>
        <v>Morning</v>
      </c>
      <c r="Z332" t="str">
        <f t="shared" si="73"/>
        <v>Cold</v>
      </c>
      <c r="AA332" t="str">
        <f t="shared" si="74"/>
        <v>Medium</v>
      </c>
      <c r="AB332" t="str">
        <f t="shared" si="75"/>
        <v>Off-Peak</v>
      </c>
      <c r="AC332" s="63">
        <f t="shared" si="76"/>
        <v>0.33333333333333331</v>
      </c>
      <c r="AD332" t="str">
        <f>IF(P332&gt;=Stats!$C$30,"High",IF(P332&lt;=Stats!$C$29,"Low","Normal"))</f>
        <v>Low</v>
      </c>
      <c r="AE332">
        <f t="shared" si="77"/>
        <v>1</v>
      </c>
    </row>
    <row r="333" spans="1:31" x14ac:dyDescent="0.2">
      <c r="A333">
        <f>Dataset_A!A333</f>
        <v>332</v>
      </c>
      <c r="B333" s="61">
        <f>Dataset_A!B333</f>
        <v>40558</v>
      </c>
      <c r="C333">
        <f>Dataset_A!C333</f>
        <v>1</v>
      </c>
      <c r="D333">
        <f>Dataset_A!D333</f>
        <v>0</v>
      </c>
      <c r="E333">
        <f>Dataset_A!E333</f>
        <v>1</v>
      </c>
      <c r="F333">
        <f>Dataset_A!F333</f>
        <v>7</v>
      </c>
      <c r="G333" t="b">
        <f>Dataset_A!G333</f>
        <v>0</v>
      </c>
      <c r="H333">
        <f>Dataset_A!H333</f>
        <v>6</v>
      </c>
      <c r="I333">
        <f>Dataset_A!I333</f>
        <v>1</v>
      </c>
      <c r="J333" s="55">
        <f>Dataset_A!J333</f>
        <v>0.14000000000000001</v>
      </c>
      <c r="K333">
        <f>Dataset_A!K333</f>
        <v>0.21210000000000001</v>
      </c>
      <c r="L333">
        <f>Dataset_A!L333</f>
        <v>0.63</v>
      </c>
      <c r="M333">
        <f>Dataset_A!M333</f>
        <v>0</v>
      </c>
      <c r="N333">
        <f>Dataset_A!N333</f>
        <v>1</v>
      </c>
      <c r="O333">
        <f>Dataset_A!O333</f>
        <v>9</v>
      </c>
      <c r="P333">
        <f>Dataset_A!P333</f>
        <v>10</v>
      </c>
      <c r="Q333" t="str">
        <f t="shared" si="65"/>
        <v>REC-0332</v>
      </c>
      <c r="R333" s="62">
        <f t="shared" si="66"/>
        <v>40558.291666666664</v>
      </c>
      <c r="S333" t="str">
        <f t="shared" si="67"/>
        <v>Jan</v>
      </c>
      <c r="T333" t="str">
        <f>INDEX(Lookups!$B$39:$B$45,MATCH(H333,Lookups!$A$39:$A$45,0))</f>
        <v>Sat</v>
      </c>
      <c r="U333" t="str">
        <f t="shared" si="68"/>
        <v>Weekend</v>
      </c>
      <c r="V333" t="str">
        <f t="shared" si="69"/>
        <v>Non-Working Day</v>
      </c>
      <c r="W333" t="str">
        <f t="shared" si="70"/>
        <v>Spring</v>
      </c>
      <c r="X333" t="str">
        <f t="shared" si="71"/>
        <v>Clear</v>
      </c>
      <c r="Y333" t="str">
        <f t="shared" si="72"/>
        <v>Morning</v>
      </c>
      <c r="Z333" t="str">
        <f t="shared" si="73"/>
        <v>Cold</v>
      </c>
      <c r="AA333" t="str">
        <f t="shared" si="74"/>
        <v>Medium</v>
      </c>
      <c r="AB333" t="str">
        <f t="shared" si="75"/>
        <v>Off-Peak</v>
      </c>
      <c r="AC333" s="63">
        <f t="shared" si="76"/>
        <v>0.1</v>
      </c>
      <c r="AD333" t="str">
        <f>IF(P333&gt;=Stats!$C$30,"High",IF(P333&lt;=Stats!$C$29,"Low","Normal"))</f>
        <v>Low</v>
      </c>
      <c r="AE333">
        <f t="shared" si="77"/>
        <v>1</v>
      </c>
    </row>
    <row r="334" spans="1:31" x14ac:dyDescent="0.2">
      <c r="A334">
        <f>Dataset_A!A334</f>
        <v>333</v>
      </c>
      <c r="B334" s="61">
        <f>Dataset_A!B334</f>
        <v>40558</v>
      </c>
      <c r="C334">
        <f>Dataset_A!C334</f>
        <v>1</v>
      </c>
      <c r="D334">
        <f>Dataset_A!D334</f>
        <v>0</v>
      </c>
      <c r="E334">
        <f>Dataset_A!E334</f>
        <v>1</v>
      </c>
      <c r="F334">
        <f>Dataset_A!F334</f>
        <v>8</v>
      </c>
      <c r="G334" t="b">
        <f>Dataset_A!G334</f>
        <v>0</v>
      </c>
      <c r="H334">
        <f>Dataset_A!H334</f>
        <v>6</v>
      </c>
      <c r="I334">
        <f>Dataset_A!I334</f>
        <v>1</v>
      </c>
      <c r="J334" s="55">
        <f>Dataset_A!J334</f>
        <v>0.14000000000000001</v>
      </c>
      <c r="K334">
        <f>Dataset_A!K334</f>
        <v>0.1515</v>
      </c>
      <c r="L334">
        <f>Dataset_A!L334</f>
        <v>0.63</v>
      </c>
      <c r="M334">
        <f>Dataset_A!M334</f>
        <v>0.1343</v>
      </c>
      <c r="N334">
        <f>Dataset_A!N334</f>
        <v>1</v>
      </c>
      <c r="O334">
        <f>Dataset_A!O334</f>
        <v>22</v>
      </c>
      <c r="P334">
        <f>Dataset_A!P334</f>
        <v>23</v>
      </c>
      <c r="Q334" t="str">
        <f t="shared" si="65"/>
        <v>REC-0333</v>
      </c>
      <c r="R334" s="62">
        <f t="shared" si="66"/>
        <v>40558.333333333336</v>
      </c>
      <c r="S334" t="str">
        <f t="shared" si="67"/>
        <v>Jan</v>
      </c>
      <c r="T334" t="str">
        <f>INDEX(Lookups!$B$39:$B$45,MATCH(H334,Lookups!$A$39:$A$45,0))</f>
        <v>Sat</v>
      </c>
      <c r="U334" t="str">
        <f t="shared" si="68"/>
        <v>Weekend</v>
      </c>
      <c r="V334" t="str">
        <f t="shared" si="69"/>
        <v>Non-Working Day</v>
      </c>
      <c r="W334" t="str">
        <f t="shared" si="70"/>
        <v>Spring</v>
      </c>
      <c r="X334" t="str">
        <f t="shared" si="71"/>
        <v>Clear</v>
      </c>
      <c r="Y334" t="str">
        <f t="shared" si="72"/>
        <v>Morning</v>
      </c>
      <c r="Z334" t="str">
        <f t="shared" si="73"/>
        <v>Cold</v>
      </c>
      <c r="AA334" t="str">
        <f t="shared" si="74"/>
        <v>Medium</v>
      </c>
      <c r="AB334" t="str">
        <f t="shared" si="75"/>
        <v>Off-Peak</v>
      </c>
      <c r="AC334" s="63">
        <f t="shared" si="76"/>
        <v>4.3478260869565216E-2</v>
      </c>
      <c r="AD334" t="str">
        <f>IF(P334&gt;=Stats!$C$30,"High",IF(P334&lt;=Stats!$C$29,"Low","Normal"))</f>
        <v>Normal</v>
      </c>
      <c r="AE334">
        <f t="shared" si="77"/>
        <v>1</v>
      </c>
    </row>
    <row r="335" spans="1:31" x14ac:dyDescent="0.2">
      <c r="A335">
        <f>Dataset_A!A335</f>
        <v>334</v>
      </c>
      <c r="B335" s="61">
        <f>Dataset_A!B335</f>
        <v>40558</v>
      </c>
      <c r="C335">
        <f>Dataset_A!C335</f>
        <v>1</v>
      </c>
      <c r="D335">
        <f>Dataset_A!D335</f>
        <v>0</v>
      </c>
      <c r="E335">
        <f>Dataset_A!E335</f>
        <v>1</v>
      </c>
      <c r="F335">
        <f>Dataset_A!F335</f>
        <v>9</v>
      </c>
      <c r="G335" t="b">
        <f>Dataset_A!G335</f>
        <v>0</v>
      </c>
      <c r="H335">
        <f>Dataset_A!H335</f>
        <v>6</v>
      </c>
      <c r="I335">
        <f>Dataset_A!I335</f>
        <v>1</v>
      </c>
      <c r="J335" s="55">
        <f>Dataset_A!J335</f>
        <v>0.16</v>
      </c>
      <c r="K335">
        <f>Dataset_A!K335</f>
        <v>0.18179999999999999</v>
      </c>
      <c r="L335">
        <f>Dataset_A!L335</f>
        <v>0.64</v>
      </c>
      <c r="M335">
        <f>Dataset_A!M335</f>
        <v>0.1343</v>
      </c>
      <c r="N335">
        <f>Dataset_A!N335</f>
        <v>2</v>
      </c>
      <c r="O335">
        <f>Dataset_A!O335</f>
        <v>31</v>
      </c>
      <c r="P335">
        <f>Dataset_A!P335</f>
        <v>33</v>
      </c>
      <c r="Q335" t="str">
        <f t="shared" si="65"/>
        <v>REC-0334</v>
      </c>
      <c r="R335" s="62">
        <f t="shared" si="66"/>
        <v>40558.375</v>
      </c>
      <c r="S335" t="str">
        <f t="shared" si="67"/>
        <v>Jan</v>
      </c>
      <c r="T335" t="str">
        <f>INDEX(Lookups!$B$39:$B$45,MATCH(H335,Lookups!$A$39:$A$45,0))</f>
        <v>Sat</v>
      </c>
      <c r="U335" t="str">
        <f t="shared" si="68"/>
        <v>Weekend</v>
      </c>
      <c r="V335" t="str">
        <f t="shared" si="69"/>
        <v>Non-Working Day</v>
      </c>
      <c r="W335" t="str">
        <f t="shared" si="70"/>
        <v>Spring</v>
      </c>
      <c r="X335" t="str">
        <f t="shared" si="71"/>
        <v>Clear</v>
      </c>
      <c r="Y335" t="str">
        <f t="shared" si="72"/>
        <v>Morning</v>
      </c>
      <c r="Z335" t="str">
        <f t="shared" si="73"/>
        <v>Cold</v>
      </c>
      <c r="AA335" t="str">
        <f t="shared" si="74"/>
        <v>Medium</v>
      </c>
      <c r="AB335" t="str">
        <f t="shared" si="75"/>
        <v>Off-Peak</v>
      </c>
      <c r="AC335" s="63">
        <f t="shared" si="76"/>
        <v>6.0606060606060608E-2</v>
      </c>
      <c r="AD335" t="str">
        <f>IF(P335&gt;=Stats!$C$30,"High",IF(P335&lt;=Stats!$C$29,"Low","Normal"))</f>
        <v>Normal</v>
      </c>
      <c r="AE335">
        <f t="shared" si="77"/>
        <v>1</v>
      </c>
    </row>
    <row r="336" spans="1:31" x14ac:dyDescent="0.2">
      <c r="A336">
        <f>Dataset_A!A336</f>
        <v>335</v>
      </c>
      <c r="B336" s="61">
        <f>Dataset_A!B336</f>
        <v>40558</v>
      </c>
      <c r="C336">
        <f>Dataset_A!C336</f>
        <v>1</v>
      </c>
      <c r="D336">
        <f>Dataset_A!D336</f>
        <v>0</v>
      </c>
      <c r="E336">
        <f>Dataset_A!E336</f>
        <v>1</v>
      </c>
      <c r="F336">
        <f>Dataset_A!F336</f>
        <v>10</v>
      </c>
      <c r="G336" t="b">
        <f>Dataset_A!G336</f>
        <v>0</v>
      </c>
      <c r="H336">
        <f>Dataset_A!H336</f>
        <v>6</v>
      </c>
      <c r="I336">
        <f>Dataset_A!I336</f>
        <v>1</v>
      </c>
      <c r="J336" s="55">
        <f>Dataset_A!J336</f>
        <v>0.18</v>
      </c>
      <c r="K336">
        <f>Dataset_A!K336</f>
        <v>0.19700000000000001</v>
      </c>
      <c r="L336">
        <f>Dataset_A!L336</f>
        <v>0.59</v>
      </c>
      <c r="M336">
        <f>Dataset_A!M336</f>
        <v>0.16420000000000001</v>
      </c>
      <c r="N336">
        <f>Dataset_A!N336</f>
        <v>2</v>
      </c>
      <c r="O336">
        <f>Dataset_A!O336</f>
        <v>57</v>
      </c>
      <c r="P336">
        <f>Dataset_A!P336</f>
        <v>59</v>
      </c>
      <c r="Q336" t="str">
        <f t="shared" si="65"/>
        <v>REC-0335</v>
      </c>
      <c r="R336" s="62">
        <f t="shared" si="66"/>
        <v>40558.416666666664</v>
      </c>
      <c r="S336" t="str">
        <f t="shared" si="67"/>
        <v>Jan</v>
      </c>
      <c r="T336" t="str">
        <f>INDEX(Lookups!$B$39:$B$45,MATCH(H336,Lookups!$A$39:$A$45,0))</f>
        <v>Sat</v>
      </c>
      <c r="U336" t="str">
        <f t="shared" si="68"/>
        <v>Weekend</v>
      </c>
      <c r="V336" t="str">
        <f t="shared" si="69"/>
        <v>Non-Working Day</v>
      </c>
      <c r="W336" t="str">
        <f t="shared" si="70"/>
        <v>Spring</v>
      </c>
      <c r="X336" t="str">
        <f t="shared" si="71"/>
        <v>Clear</v>
      </c>
      <c r="Y336" t="str">
        <f t="shared" si="72"/>
        <v>Morning</v>
      </c>
      <c r="Z336" t="str">
        <f t="shared" si="73"/>
        <v>Cold</v>
      </c>
      <c r="AA336" t="str">
        <f t="shared" si="74"/>
        <v>Medium</v>
      </c>
      <c r="AB336" t="str">
        <f t="shared" si="75"/>
        <v>Off-Peak</v>
      </c>
      <c r="AC336" s="63">
        <f t="shared" si="76"/>
        <v>3.3898305084745763E-2</v>
      </c>
      <c r="AD336" t="str">
        <f>IF(P336&gt;=Stats!$C$30,"High",IF(P336&lt;=Stats!$C$29,"Low","Normal"))</f>
        <v>Normal</v>
      </c>
      <c r="AE336">
        <f t="shared" si="77"/>
        <v>1</v>
      </c>
    </row>
    <row r="337" spans="1:31" x14ac:dyDescent="0.2">
      <c r="A337">
        <f>Dataset_A!A337</f>
        <v>336</v>
      </c>
      <c r="B337" s="61">
        <f>Dataset_A!B337</f>
        <v>40558</v>
      </c>
      <c r="C337">
        <f>Dataset_A!C337</f>
        <v>1</v>
      </c>
      <c r="D337">
        <f>Dataset_A!D337</f>
        <v>0</v>
      </c>
      <c r="E337">
        <f>Dataset_A!E337</f>
        <v>1</v>
      </c>
      <c r="F337">
        <f>Dataset_A!F337</f>
        <v>11</v>
      </c>
      <c r="G337" t="b">
        <f>Dataset_A!G337</f>
        <v>0</v>
      </c>
      <c r="H337">
        <f>Dataset_A!H337</f>
        <v>6</v>
      </c>
      <c r="I337">
        <f>Dataset_A!I337</f>
        <v>1</v>
      </c>
      <c r="J337" s="55">
        <f>Dataset_A!J337</f>
        <v>0.2</v>
      </c>
      <c r="K337">
        <f>Dataset_A!K337</f>
        <v>0.19700000000000001</v>
      </c>
      <c r="L337">
        <f>Dataset_A!L337</f>
        <v>0.55000000000000004</v>
      </c>
      <c r="M337">
        <f>Dataset_A!M337</f>
        <v>0.22389999999999999</v>
      </c>
      <c r="N337">
        <f>Dataset_A!N337</f>
        <v>18</v>
      </c>
      <c r="O337">
        <f>Dataset_A!O337</f>
        <v>54</v>
      </c>
      <c r="P337">
        <f>Dataset_A!P337</f>
        <v>72</v>
      </c>
      <c r="Q337" t="str">
        <f t="shared" si="65"/>
        <v>REC-0336</v>
      </c>
      <c r="R337" s="62">
        <f t="shared" si="66"/>
        <v>40558.458333333336</v>
      </c>
      <c r="S337" t="str">
        <f t="shared" si="67"/>
        <v>Jan</v>
      </c>
      <c r="T337" t="str">
        <f>INDEX(Lookups!$B$39:$B$45,MATCH(H337,Lookups!$A$39:$A$45,0))</f>
        <v>Sat</v>
      </c>
      <c r="U337" t="str">
        <f t="shared" si="68"/>
        <v>Weekend</v>
      </c>
      <c r="V337" t="str">
        <f t="shared" si="69"/>
        <v>Non-Working Day</v>
      </c>
      <c r="W337" t="str">
        <f t="shared" si="70"/>
        <v>Spring</v>
      </c>
      <c r="X337" t="str">
        <f t="shared" si="71"/>
        <v>Clear</v>
      </c>
      <c r="Y337" t="str">
        <f t="shared" si="72"/>
        <v>Morning</v>
      </c>
      <c r="Z337" t="str">
        <f t="shared" si="73"/>
        <v>Mild</v>
      </c>
      <c r="AA337" t="str">
        <f t="shared" si="74"/>
        <v>Medium</v>
      </c>
      <c r="AB337" t="str">
        <f t="shared" si="75"/>
        <v>Off-Peak</v>
      </c>
      <c r="AC337" s="63">
        <f t="shared" si="76"/>
        <v>0.25</v>
      </c>
      <c r="AD337" t="str">
        <f>IF(P337&gt;=Stats!$C$30,"High",IF(P337&lt;=Stats!$C$29,"Low","Normal"))</f>
        <v>Normal</v>
      </c>
      <c r="AE337">
        <f t="shared" si="77"/>
        <v>1</v>
      </c>
    </row>
    <row r="338" spans="1:31" x14ac:dyDescent="0.2">
      <c r="A338">
        <f>Dataset_A!A338</f>
        <v>337</v>
      </c>
      <c r="B338" s="61">
        <f>Dataset_A!B338</f>
        <v>40558</v>
      </c>
      <c r="C338">
        <f>Dataset_A!C338</f>
        <v>1</v>
      </c>
      <c r="D338">
        <f>Dataset_A!D338</f>
        <v>0</v>
      </c>
      <c r="E338">
        <f>Dataset_A!E338</f>
        <v>1</v>
      </c>
      <c r="F338">
        <f>Dataset_A!F338</f>
        <v>12</v>
      </c>
      <c r="G338" t="b">
        <f>Dataset_A!G338</f>
        <v>0</v>
      </c>
      <c r="H338">
        <f>Dataset_A!H338</f>
        <v>6</v>
      </c>
      <c r="I338">
        <f>Dataset_A!I338</f>
        <v>1</v>
      </c>
      <c r="J338" s="55">
        <f>Dataset_A!J338</f>
        <v>0.24</v>
      </c>
      <c r="K338">
        <f>Dataset_A!K338</f>
        <v>0.2273</v>
      </c>
      <c r="L338">
        <f>Dataset_A!L338</f>
        <v>0.48</v>
      </c>
      <c r="M338">
        <f>Dataset_A!M338</f>
        <v>0.22389999999999999</v>
      </c>
      <c r="N338">
        <f>Dataset_A!N338</f>
        <v>15</v>
      </c>
      <c r="O338">
        <f>Dataset_A!O338</f>
        <v>74</v>
      </c>
      <c r="P338">
        <f>Dataset_A!P338</f>
        <v>89</v>
      </c>
      <c r="Q338" t="str">
        <f t="shared" si="65"/>
        <v>REC-0337</v>
      </c>
      <c r="R338" s="62">
        <f t="shared" si="66"/>
        <v>40558.5</v>
      </c>
      <c r="S338" t="str">
        <f t="shared" si="67"/>
        <v>Jan</v>
      </c>
      <c r="T338" t="str">
        <f>INDEX(Lookups!$B$39:$B$45,MATCH(H338,Lookups!$A$39:$A$45,0))</f>
        <v>Sat</v>
      </c>
      <c r="U338" t="str">
        <f t="shared" si="68"/>
        <v>Weekend</v>
      </c>
      <c r="V338" t="str">
        <f t="shared" si="69"/>
        <v>Non-Working Day</v>
      </c>
      <c r="W338" t="str">
        <f t="shared" si="70"/>
        <v>Spring</v>
      </c>
      <c r="X338" t="str">
        <f t="shared" si="71"/>
        <v>Clear</v>
      </c>
      <c r="Y338" t="str">
        <f t="shared" si="72"/>
        <v>Afternoon</v>
      </c>
      <c r="Z338" t="str">
        <f t="shared" si="73"/>
        <v>Mild</v>
      </c>
      <c r="AA338" t="str">
        <f t="shared" si="74"/>
        <v>Low</v>
      </c>
      <c r="AB338" t="str">
        <f t="shared" si="75"/>
        <v>Off-Peak</v>
      </c>
      <c r="AC338" s="63">
        <f t="shared" si="76"/>
        <v>0.16853932584269662</v>
      </c>
      <c r="AD338" t="str">
        <f>IF(P338&gt;=Stats!$C$30,"High",IF(P338&lt;=Stats!$C$29,"Low","Normal"))</f>
        <v>High</v>
      </c>
      <c r="AE338">
        <f t="shared" si="77"/>
        <v>1</v>
      </c>
    </row>
    <row r="339" spans="1:31" x14ac:dyDescent="0.2">
      <c r="A339">
        <f>Dataset_A!A339</f>
        <v>338</v>
      </c>
      <c r="B339" s="61">
        <f>Dataset_A!B339</f>
        <v>40558</v>
      </c>
      <c r="C339">
        <f>Dataset_A!C339</f>
        <v>1</v>
      </c>
      <c r="D339">
        <f>Dataset_A!D339</f>
        <v>0</v>
      </c>
      <c r="E339">
        <f>Dataset_A!E339</f>
        <v>1</v>
      </c>
      <c r="F339">
        <f>Dataset_A!F339</f>
        <v>13</v>
      </c>
      <c r="G339" t="b">
        <f>Dataset_A!G339</f>
        <v>0</v>
      </c>
      <c r="H339">
        <f>Dataset_A!H339</f>
        <v>6</v>
      </c>
      <c r="I339">
        <f>Dataset_A!I339</f>
        <v>1</v>
      </c>
      <c r="J339" s="55">
        <f>Dataset_A!J339</f>
        <v>0.28000000000000003</v>
      </c>
      <c r="K339">
        <f>Dataset_A!K339</f>
        <v>0.2576</v>
      </c>
      <c r="L339">
        <f>Dataset_A!L339</f>
        <v>0.38</v>
      </c>
      <c r="M339">
        <f>Dataset_A!M339</f>
        <v>0.29849999999999999</v>
      </c>
      <c r="N339">
        <f>Dataset_A!N339</f>
        <v>21</v>
      </c>
      <c r="O339">
        <f>Dataset_A!O339</f>
        <v>80</v>
      </c>
      <c r="P339">
        <f>Dataset_A!P339</f>
        <v>101</v>
      </c>
      <c r="Q339" t="str">
        <f t="shared" si="65"/>
        <v>REC-0338</v>
      </c>
      <c r="R339" s="62">
        <f t="shared" si="66"/>
        <v>40558.541666666664</v>
      </c>
      <c r="S339" t="str">
        <f t="shared" si="67"/>
        <v>Jan</v>
      </c>
      <c r="T339" t="str">
        <f>INDEX(Lookups!$B$39:$B$45,MATCH(H339,Lookups!$A$39:$A$45,0))</f>
        <v>Sat</v>
      </c>
      <c r="U339" t="str">
        <f t="shared" si="68"/>
        <v>Weekend</v>
      </c>
      <c r="V339" t="str">
        <f t="shared" si="69"/>
        <v>Non-Working Day</v>
      </c>
      <c r="W339" t="str">
        <f t="shared" si="70"/>
        <v>Spring</v>
      </c>
      <c r="X339" t="str">
        <f t="shared" si="71"/>
        <v>Clear</v>
      </c>
      <c r="Y339" t="str">
        <f t="shared" si="72"/>
        <v>Afternoon</v>
      </c>
      <c r="Z339" t="str">
        <f t="shared" si="73"/>
        <v>Mild</v>
      </c>
      <c r="AA339" t="str">
        <f t="shared" si="74"/>
        <v>Low</v>
      </c>
      <c r="AB339" t="str">
        <f t="shared" si="75"/>
        <v>Off-Peak</v>
      </c>
      <c r="AC339" s="63">
        <f t="shared" si="76"/>
        <v>0.20792079207920791</v>
      </c>
      <c r="AD339" t="str">
        <f>IF(P339&gt;=Stats!$C$30,"High",IF(P339&lt;=Stats!$C$29,"Low","Normal"))</f>
        <v>High</v>
      </c>
      <c r="AE339">
        <f t="shared" si="77"/>
        <v>1</v>
      </c>
    </row>
    <row r="340" spans="1:31" x14ac:dyDescent="0.2">
      <c r="A340">
        <f>Dataset_A!A340</f>
        <v>339</v>
      </c>
      <c r="B340" s="61">
        <f>Dataset_A!B340</f>
        <v>40558</v>
      </c>
      <c r="C340">
        <f>Dataset_A!C340</f>
        <v>1</v>
      </c>
      <c r="D340">
        <f>Dataset_A!D340</f>
        <v>0</v>
      </c>
      <c r="E340">
        <f>Dataset_A!E340</f>
        <v>1</v>
      </c>
      <c r="F340">
        <f>Dataset_A!F340</f>
        <v>14</v>
      </c>
      <c r="G340" t="b">
        <f>Dataset_A!G340</f>
        <v>0</v>
      </c>
      <c r="H340">
        <f>Dataset_A!H340</f>
        <v>6</v>
      </c>
      <c r="I340">
        <f>Dataset_A!I340</f>
        <v>1</v>
      </c>
      <c r="J340" s="55">
        <f>Dataset_A!J340</f>
        <v>0.3</v>
      </c>
      <c r="K340">
        <f>Dataset_A!K340</f>
        <v>0.28789999999999999</v>
      </c>
      <c r="L340">
        <f>Dataset_A!L340</f>
        <v>0.39</v>
      </c>
      <c r="M340">
        <f>Dataset_A!M340</f>
        <v>0.28360000000000002</v>
      </c>
      <c r="N340">
        <f>Dataset_A!N340</f>
        <v>26</v>
      </c>
      <c r="O340">
        <f>Dataset_A!O340</f>
        <v>92</v>
      </c>
      <c r="P340">
        <f>Dataset_A!P340</f>
        <v>118</v>
      </c>
      <c r="Q340" t="str">
        <f t="shared" si="65"/>
        <v>REC-0339</v>
      </c>
      <c r="R340" s="62">
        <f t="shared" si="66"/>
        <v>40558.583333333336</v>
      </c>
      <c r="S340" t="str">
        <f t="shared" si="67"/>
        <v>Jan</v>
      </c>
      <c r="T340" t="str">
        <f>INDEX(Lookups!$B$39:$B$45,MATCH(H340,Lookups!$A$39:$A$45,0))</f>
        <v>Sat</v>
      </c>
      <c r="U340" t="str">
        <f t="shared" si="68"/>
        <v>Weekend</v>
      </c>
      <c r="V340" t="str">
        <f t="shared" si="69"/>
        <v>Non-Working Day</v>
      </c>
      <c r="W340" t="str">
        <f t="shared" si="70"/>
        <v>Spring</v>
      </c>
      <c r="X340" t="str">
        <f t="shared" si="71"/>
        <v>Clear</v>
      </c>
      <c r="Y340" t="str">
        <f t="shared" si="72"/>
        <v>Afternoon</v>
      </c>
      <c r="Z340" t="str">
        <f t="shared" si="73"/>
        <v>Warm</v>
      </c>
      <c r="AA340" t="str">
        <f t="shared" si="74"/>
        <v>Low</v>
      </c>
      <c r="AB340" t="str">
        <f t="shared" si="75"/>
        <v>Off-Peak</v>
      </c>
      <c r="AC340" s="63">
        <f t="shared" si="76"/>
        <v>0.22033898305084745</v>
      </c>
      <c r="AD340" t="str">
        <f>IF(P340&gt;=Stats!$C$30,"High",IF(P340&lt;=Stats!$C$29,"Low","Normal"))</f>
        <v>High</v>
      </c>
      <c r="AE340">
        <f t="shared" si="77"/>
        <v>1</v>
      </c>
    </row>
    <row r="341" spans="1:31" x14ac:dyDescent="0.2">
      <c r="A341">
        <f>Dataset_A!A341</f>
        <v>340</v>
      </c>
      <c r="B341" s="61">
        <f>Dataset_A!B341</f>
        <v>40558</v>
      </c>
      <c r="C341">
        <f>Dataset_A!C341</f>
        <v>1</v>
      </c>
      <c r="D341">
        <f>Dataset_A!D341</f>
        <v>0</v>
      </c>
      <c r="E341">
        <f>Dataset_A!E341</f>
        <v>1</v>
      </c>
      <c r="F341">
        <f>Dataset_A!F341</f>
        <v>15</v>
      </c>
      <c r="G341" t="b">
        <f>Dataset_A!G341</f>
        <v>0</v>
      </c>
      <c r="H341">
        <f>Dataset_A!H341</f>
        <v>6</v>
      </c>
      <c r="I341">
        <f>Dataset_A!I341</f>
        <v>2</v>
      </c>
      <c r="J341" s="55">
        <f>Dataset_A!J341</f>
        <v>0.32</v>
      </c>
      <c r="K341">
        <f>Dataset_A!K341</f>
        <v>0.31819999999999998</v>
      </c>
      <c r="L341">
        <f>Dataset_A!L341</f>
        <v>0.36</v>
      </c>
      <c r="M341">
        <f>Dataset_A!M341</f>
        <v>0.19400000000000001</v>
      </c>
      <c r="N341">
        <f>Dataset_A!N341</f>
        <v>21</v>
      </c>
      <c r="O341">
        <f>Dataset_A!O341</f>
        <v>108</v>
      </c>
      <c r="P341">
        <f>Dataset_A!P341</f>
        <v>129</v>
      </c>
      <c r="Q341" t="str">
        <f t="shared" si="65"/>
        <v>REC-0340</v>
      </c>
      <c r="R341" s="62">
        <f t="shared" si="66"/>
        <v>40558.625</v>
      </c>
      <c r="S341" t="str">
        <f t="shared" si="67"/>
        <v>Jan</v>
      </c>
      <c r="T341" t="str">
        <f>INDEX(Lookups!$B$39:$B$45,MATCH(H341,Lookups!$A$39:$A$45,0))</f>
        <v>Sat</v>
      </c>
      <c r="U341" t="str">
        <f t="shared" si="68"/>
        <v>Weekend</v>
      </c>
      <c r="V341" t="str">
        <f t="shared" si="69"/>
        <v>Non-Working Day</v>
      </c>
      <c r="W341" t="str">
        <f t="shared" si="70"/>
        <v>Spring</v>
      </c>
      <c r="X341" t="str">
        <f t="shared" si="71"/>
        <v>Cloudy/Mist</v>
      </c>
      <c r="Y341" t="str">
        <f t="shared" si="72"/>
        <v>Afternoon</v>
      </c>
      <c r="Z341" t="str">
        <f t="shared" si="73"/>
        <v>Warm</v>
      </c>
      <c r="AA341" t="str">
        <f t="shared" si="74"/>
        <v>Low</v>
      </c>
      <c r="AB341" t="str">
        <f t="shared" si="75"/>
        <v>Off-Peak</v>
      </c>
      <c r="AC341" s="63">
        <f t="shared" si="76"/>
        <v>0.16279069767441862</v>
      </c>
      <c r="AD341" t="str">
        <f>IF(P341&gt;=Stats!$C$30,"High",IF(P341&lt;=Stats!$C$29,"Low","Normal"))</f>
        <v>High</v>
      </c>
      <c r="AE341">
        <f t="shared" si="77"/>
        <v>1</v>
      </c>
    </row>
    <row r="342" spans="1:31" x14ac:dyDescent="0.2">
      <c r="A342">
        <f>Dataset_A!A342</f>
        <v>341</v>
      </c>
      <c r="B342" s="61">
        <f>Dataset_A!B342</f>
        <v>40558</v>
      </c>
      <c r="C342">
        <f>Dataset_A!C342</f>
        <v>1</v>
      </c>
      <c r="D342">
        <f>Dataset_A!D342</f>
        <v>0</v>
      </c>
      <c r="E342">
        <f>Dataset_A!E342</f>
        <v>1</v>
      </c>
      <c r="F342">
        <f>Dataset_A!F342</f>
        <v>16</v>
      </c>
      <c r="G342" t="b">
        <f>Dataset_A!G342</f>
        <v>0</v>
      </c>
      <c r="H342">
        <f>Dataset_A!H342</f>
        <v>6</v>
      </c>
      <c r="I342">
        <f>Dataset_A!I342</f>
        <v>2</v>
      </c>
      <c r="J342" s="55">
        <f>Dataset_A!J342</f>
        <v>0.34</v>
      </c>
      <c r="K342">
        <f>Dataset_A!K342</f>
        <v>0.33329999999999999</v>
      </c>
      <c r="L342">
        <f>Dataset_A!L342</f>
        <v>0.34</v>
      </c>
      <c r="M342">
        <f>Dataset_A!M342</f>
        <v>0.19400000000000001</v>
      </c>
      <c r="N342">
        <f>Dataset_A!N342</f>
        <v>33</v>
      </c>
      <c r="O342">
        <f>Dataset_A!O342</f>
        <v>95</v>
      </c>
      <c r="P342">
        <f>Dataset_A!P342</f>
        <v>128</v>
      </c>
      <c r="Q342" t="str">
        <f t="shared" si="65"/>
        <v>REC-0341</v>
      </c>
      <c r="R342" s="62">
        <f t="shared" si="66"/>
        <v>40558.666666666664</v>
      </c>
      <c r="S342" t="str">
        <f t="shared" si="67"/>
        <v>Jan</v>
      </c>
      <c r="T342" t="str">
        <f>INDEX(Lookups!$B$39:$B$45,MATCH(H342,Lookups!$A$39:$A$45,0))</f>
        <v>Sat</v>
      </c>
      <c r="U342" t="str">
        <f t="shared" si="68"/>
        <v>Weekend</v>
      </c>
      <c r="V342" t="str">
        <f t="shared" si="69"/>
        <v>Non-Working Day</v>
      </c>
      <c r="W342" t="str">
        <f t="shared" si="70"/>
        <v>Spring</v>
      </c>
      <c r="X342" t="str">
        <f t="shared" si="71"/>
        <v>Cloudy/Mist</v>
      </c>
      <c r="Y342" t="str">
        <f t="shared" si="72"/>
        <v>Afternoon</v>
      </c>
      <c r="Z342" t="str">
        <f t="shared" si="73"/>
        <v>Warm</v>
      </c>
      <c r="AA342" t="str">
        <f t="shared" si="74"/>
        <v>Low</v>
      </c>
      <c r="AB342" t="str">
        <f t="shared" si="75"/>
        <v>Off-Peak</v>
      </c>
      <c r="AC342" s="63">
        <f t="shared" si="76"/>
        <v>0.2578125</v>
      </c>
      <c r="AD342" t="str">
        <f>IF(P342&gt;=Stats!$C$30,"High",IF(P342&lt;=Stats!$C$29,"Low","Normal"))</f>
        <v>High</v>
      </c>
      <c r="AE342">
        <f t="shared" si="77"/>
        <v>1</v>
      </c>
    </row>
    <row r="343" spans="1:31" x14ac:dyDescent="0.2">
      <c r="A343">
        <f>Dataset_A!A343</f>
        <v>342</v>
      </c>
      <c r="B343" s="61">
        <f>Dataset_A!B343</f>
        <v>40558</v>
      </c>
      <c r="C343">
        <f>Dataset_A!C343</f>
        <v>1</v>
      </c>
      <c r="D343">
        <f>Dataset_A!D343</f>
        <v>0</v>
      </c>
      <c r="E343">
        <f>Dataset_A!E343</f>
        <v>1</v>
      </c>
      <c r="F343">
        <f>Dataset_A!F343</f>
        <v>17</v>
      </c>
      <c r="G343" t="b">
        <f>Dataset_A!G343</f>
        <v>0</v>
      </c>
      <c r="H343">
        <f>Dataset_A!H343</f>
        <v>6</v>
      </c>
      <c r="I343">
        <f>Dataset_A!I343</f>
        <v>2</v>
      </c>
      <c r="J343" s="55">
        <f>Dataset_A!J343</f>
        <v>0.32</v>
      </c>
      <c r="K343">
        <f>Dataset_A!K343</f>
        <v>0.30299999999999999</v>
      </c>
      <c r="L343">
        <f>Dataset_A!L343</f>
        <v>0.36</v>
      </c>
      <c r="M343">
        <f>Dataset_A!M343</f>
        <v>0.28360000000000002</v>
      </c>
      <c r="N343">
        <f>Dataset_A!N343</f>
        <v>29</v>
      </c>
      <c r="O343">
        <f>Dataset_A!O343</f>
        <v>54</v>
      </c>
      <c r="P343">
        <f>Dataset_A!P343</f>
        <v>83</v>
      </c>
      <c r="Q343" t="str">
        <f t="shared" si="65"/>
        <v>REC-0342</v>
      </c>
      <c r="R343" s="62">
        <f t="shared" si="66"/>
        <v>40558.708333333336</v>
      </c>
      <c r="S343" t="str">
        <f t="shared" si="67"/>
        <v>Jan</v>
      </c>
      <c r="T343" t="str">
        <f>INDEX(Lookups!$B$39:$B$45,MATCH(H343,Lookups!$A$39:$A$45,0))</f>
        <v>Sat</v>
      </c>
      <c r="U343" t="str">
        <f t="shared" si="68"/>
        <v>Weekend</v>
      </c>
      <c r="V343" t="str">
        <f t="shared" si="69"/>
        <v>Non-Working Day</v>
      </c>
      <c r="W343" t="str">
        <f t="shared" si="70"/>
        <v>Spring</v>
      </c>
      <c r="X343" t="str">
        <f t="shared" si="71"/>
        <v>Cloudy/Mist</v>
      </c>
      <c r="Y343" t="str">
        <f t="shared" si="72"/>
        <v>Evening</v>
      </c>
      <c r="Z343" t="str">
        <f t="shared" si="73"/>
        <v>Warm</v>
      </c>
      <c r="AA343" t="str">
        <f t="shared" si="74"/>
        <v>Low</v>
      </c>
      <c r="AB343" t="str">
        <f t="shared" si="75"/>
        <v>Off-Peak</v>
      </c>
      <c r="AC343" s="63">
        <f t="shared" si="76"/>
        <v>0.3493975903614458</v>
      </c>
      <c r="AD343" t="str">
        <f>IF(P343&gt;=Stats!$C$30,"High",IF(P343&lt;=Stats!$C$29,"Low","Normal"))</f>
        <v>High</v>
      </c>
      <c r="AE343">
        <f t="shared" si="77"/>
        <v>1</v>
      </c>
    </row>
    <row r="344" spans="1:31" x14ac:dyDescent="0.2">
      <c r="A344">
        <f>Dataset_A!A344</f>
        <v>343</v>
      </c>
      <c r="B344" s="61">
        <f>Dataset_A!B344</f>
        <v>40558</v>
      </c>
      <c r="C344">
        <f>Dataset_A!C344</f>
        <v>1</v>
      </c>
      <c r="D344">
        <f>Dataset_A!D344</f>
        <v>0</v>
      </c>
      <c r="E344">
        <f>Dataset_A!E344</f>
        <v>1</v>
      </c>
      <c r="F344">
        <f>Dataset_A!F344</f>
        <v>18</v>
      </c>
      <c r="G344" t="b">
        <f>Dataset_A!G344</f>
        <v>0</v>
      </c>
      <c r="H344">
        <f>Dataset_A!H344</f>
        <v>6</v>
      </c>
      <c r="I344">
        <f>Dataset_A!I344</f>
        <v>2</v>
      </c>
      <c r="J344" s="55">
        <f>Dataset_A!J344</f>
        <v>0.3</v>
      </c>
      <c r="K344">
        <f>Dataset_A!K344</f>
        <v>0.28789999999999999</v>
      </c>
      <c r="L344">
        <f>Dataset_A!L344</f>
        <v>0.45</v>
      </c>
      <c r="M344">
        <f>Dataset_A!M344</f>
        <v>0.25369999999999998</v>
      </c>
      <c r="N344">
        <f>Dataset_A!N344</f>
        <v>15</v>
      </c>
      <c r="O344">
        <f>Dataset_A!O344</f>
        <v>69</v>
      </c>
      <c r="P344">
        <f>Dataset_A!P344</f>
        <v>84</v>
      </c>
      <c r="Q344" t="str">
        <f t="shared" si="65"/>
        <v>REC-0343</v>
      </c>
      <c r="R344" s="62">
        <f t="shared" si="66"/>
        <v>40558.75</v>
      </c>
      <c r="S344" t="str">
        <f t="shared" si="67"/>
        <v>Jan</v>
      </c>
      <c r="T344" t="str">
        <f>INDEX(Lookups!$B$39:$B$45,MATCH(H344,Lookups!$A$39:$A$45,0))</f>
        <v>Sat</v>
      </c>
      <c r="U344" t="str">
        <f t="shared" si="68"/>
        <v>Weekend</v>
      </c>
      <c r="V344" t="str">
        <f t="shared" si="69"/>
        <v>Non-Working Day</v>
      </c>
      <c r="W344" t="str">
        <f t="shared" si="70"/>
        <v>Spring</v>
      </c>
      <c r="X344" t="str">
        <f t="shared" si="71"/>
        <v>Cloudy/Mist</v>
      </c>
      <c r="Y344" t="str">
        <f t="shared" si="72"/>
        <v>Evening</v>
      </c>
      <c r="Z344" t="str">
        <f t="shared" si="73"/>
        <v>Warm</v>
      </c>
      <c r="AA344" t="str">
        <f t="shared" si="74"/>
        <v>Low</v>
      </c>
      <c r="AB344" t="str">
        <f t="shared" si="75"/>
        <v>Off-Peak</v>
      </c>
      <c r="AC344" s="63">
        <f t="shared" si="76"/>
        <v>0.17857142857142858</v>
      </c>
      <c r="AD344" t="str">
        <f>IF(P344&gt;=Stats!$C$30,"High",IF(P344&lt;=Stats!$C$29,"Low","Normal"))</f>
        <v>High</v>
      </c>
      <c r="AE344">
        <f t="shared" si="77"/>
        <v>1</v>
      </c>
    </row>
    <row r="345" spans="1:31" x14ac:dyDescent="0.2">
      <c r="A345">
        <f>Dataset_A!A345</f>
        <v>344</v>
      </c>
      <c r="B345" s="61">
        <f>Dataset_A!B345</f>
        <v>40558</v>
      </c>
      <c r="C345">
        <f>Dataset_A!C345</f>
        <v>1</v>
      </c>
      <c r="D345">
        <f>Dataset_A!D345</f>
        <v>0</v>
      </c>
      <c r="E345">
        <f>Dataset_A!E345</f>
        <v>1</v>
      </c>
      <c r="F345">
        <f>Dataset_A!F345</f>
        <v>19</v>
      </c>
      <c r="G345" t="b">
        <f>Dataset_A!G345</f>
        <v>0</v>
      </c>
      <c r="H345">
        <f>Dataset_A!H345</f>
        <v>6</v>
      </c>
      <c r="I345">
        <f>Dataset_A!I345</f>
        <v>2</v>
      </c>
      <c r="J345" s="55">
        <f>Dataset_A!J345</f>
        <v>0.32</v>
      </c>
      <c r="K345">
        <f>Dataset_A!K345</f>
        <v>0.30299999999999999</v>
      </c>
      <c r="L345">
        <f>Dataset_A!L345</f>
        <v>0.39</v>
      </c>
      <c r="M345">
        <f>Dataset_A!M345</f>
        <v>0.25369999999999998</v>
      </c>
      <c r="N345">
        <f>Dataset_A!N345</f>
        <v>14</v>
      </c>
      <c r="O345">
        <f>Dataset_A!O345</f>
        <v>60</v>
      </c>
      <c r="P345">
        <f>Dataset_A!P345</f>
        <v>74</v>
      </c>
      <c r="Q345" t="str">
        <f t="shared" si="65"/>
        <v>REC-0344</v>
      </c>
      <c r="R345" s="62">
        <f t="shared" si="66"/>
        <v>40558.791666666664</v>
      </c>
      <c r="S345" t="str">
        <f t="shared" si="67"/>
        <v>Jan</v>
      </c>
      <c r="T345" t="str">
        <f>INDEX(Lookups!$B$39:$B$45,MATCH(H345,Lookups!$A$39:$A$45,0))</f>
        <v>Sat</v>
      </c>
      <c r="U345" t="str">
        <f t="shared" si="68"/>
        <v>Weekend</v>
      </c>
      <c r="V345" t="str">
        <f t="shared" si="69"/>
        <v>Non-Working Day</v>
      </c>
      <c r="W345" t="str">
        <f t="shared" si="70"/>
        <v>Spring</v>
      </c>
      <c r="X345" t="str">
        <f t="shared" si="71"/>
        <v>Cloudy/Mist</v>
      </c>
      <c r="Y345" t="str">
        <f t="shared" si="72"/>
        <v>Evening</v>
      </c>
      <c r="Z345" t="str">
        <f t="shared" si="73"/>
        <v>Warm</v>
      </c>
      <c r="AA345" t="str">
        <f t="shared" si="74"/>
        <v>Low</v>
      </c>
      <c r="AB345" t="str">
        <f t="shared" si="75"/>
        <v>Off-Peak</v>
      </c>
      <c r="AC345" s="63">
        <f t="shared" si="76"/>
        <v>0.1891891891891892</v>
      </c>
      <c r="AD345" t="str">
        <f>IF(P345&gt;=Stats!$C$30,"High",IF(P345&lt;=Stats!$C$29,"Low","Normal"))</f>
        <v>Normal</v>
      </c>
      <c r="AE345">
        <f t="shared" si="77"/>
        <v>1</v>
      </c>
    </row>
    <row r="346" spans="1:31" x14ac:dyDescent="0.2">
      <c r="A346">
        <f>Dataset_A!A346</f>
        <v>345</v>
      </c>
      <c r="B346" s="61">
        <f>Dataset_A!B346</f>
        <v>40558</v>
      </c>
      <c r="C346">
        <f>Dataset_A!C346</f>
        <v>1</v>
      </c>
      <c r="D346">
        <f>Dataset_A!D346</f>
        <v>0</v>
      </c>
      <c r="E346">
        <f>Dataset_A!E346</f>
        <v>1</v>
      </c>
      <c r="F346">
        <f>Dataset_A!F346</f>
        <v>20</v>
      </c>
      <c r="G346" t="b">
        <f>Dataset_A!G346</f>
        <v>0</v>
      </c>
      <c r="H346">
        <f>Dataset_A!H346</f>
        <v>6</v>
      </c>
      <c r="I346">
        <f>Dataset_A!I346</f>
        <v>2</v>
      </c>
      <c r="J346" s="55">
        <f>Dataset_A!J346</f>
        <v>0.32</v>
      </c>
      <c r="K346">
        <f>Dataset_A!K346</f>
        <v>0.30299999999999999</v>
      </c>
      <c r="L346">
        <f>Dataset_A!L346</f>
        <v>0.39</v>
      </c>
      <c r="M346">
        <f>Dataset_A!M346</f>
        <v>0.25369999999999998</v>
      </c>
      <c r="N346">
        <f>Dataset_A!N346</f>
        <v>6</v>
      </c>
      <c r="O346">
        <f>Dataset_A!O346</f>
        <v>35</v>
      </c>
      <c r="P346">
        <f>Dataset_A!P346</f>
        <v>41</v>
      </c>
      <c r="Q346" t="str">
        <f t="shared" si="65"/>
        <v>REC-0345</v>
      </c>
      <c r="R346" s="62">
        <f t="shared" si="66"/>
        <v>40558.833333333336</v>
      </c>
      <c r="S346" t="str">
        <f t="shared" si="67"/>
        <v>Jan</v>
      </c>
      <c r="T346" t="str">
        <f>INDEX(Lookups!$B$39:$B$45,MATCH(H346,Lookups!$A$39:$A$45,0))</f>
        <v>Sat</v>
      </c>
      <c r="U346" t="str">
        <f t="shared" si="68"/>
        <v>Weekend</v>
      </c>
      <c r="V346" t="str">
        <f t="shared" si="69"/>
        <v>Non-Working Day</v>
      </c>
      <c r="W346" t="str">
        <f t="shared" si="70"/>
        <v>Spring</v>
      </c>
      <c r="X346" t="str">
        <f t="shared" si="71"/>
        <v>Cloudy/Mist</v>
      </c>
      <c r="Y346" t="str">
        <f t="shared" si="72"/>
        <v>Evening</v>
      </c>
      <c r="Z346" t="str">
        <f t="shared" si="73"/>
        <v>Warm</v>
      </c>
      <c r="AA346" t="str">
        <f t="shared" si="74"/>
        <v>Low</v>
      </c>
      <c r="AB346" t="str">
        <f t="shared" si="75"/>
        <v>Off-Peak</v>
      </c>
      <c r="AC346" s="63">
        <f t="shared" si="76"/>
        <v>0.14634146341463414</v>
      </c>
      <c r="AD346" t="str">
        <f>IF(P346&gt;=Stats!$C$30,"High",IF(P346&lt;=Stats!$C$29,"Low","Normal"))</f>
        <v>Normal</v>
      </c>
      <c r="AE346">
        <f t="shared" si="77"/>
        <v>1</v>
      </c>
    </row>
    <row r="347" spans="1:31" x14ac:dyDescent="0.2">
      <c r="A347">
        <f>Dataset_A!A347</f>
        <v>346</v>
      </c>
      <c r="B347" s="61">
        <f>Dataset_A!B347</f>
        <v>40558</v>
      </c>
      <c r="C347">
        <f>Dataset_A!C347</f>
        <v>1</v>
      </c>
      <c r="D347">
        <f>Dataset_A!D347</f>
        <v>0</v>
      </c>
      <c r="E347">
        <f>Dataset_A!E347</f>
        <v>1</v>
      </c>
      <c r="F347">
        <f>Dataset_A!F347</f>
        <v>21</v>
      </c>
      <c r="G347" t="b">
        <f>Dataset_A!G347</f>
        <v>0</v>
      </c>
      <c r="H347">
        <f>Dataset_A!H347</f>
        <v>6</v>
      </c>
      <c r="I347">
        <f>Dataset_A!I347</f>
        <v>2</v>
      </c>
      <c r="J347" s="55">
        <f>Dataset_A!J347</f>
        <v>0.32</v>
      </c>
      <c r="K347">
        <f>Dataset_A!K347</f>
        <v>0.30299999999999999</v>
      </c>
      <c r="L347">
        <f>Dataset_A!L347</f>
        <v>0.39</v>
      </c>
      <c r="M347">
        <f>Dataset_A!M347</f>
        <v>0.22389999999999999</v>
      </c>
      <c r="N347">
        <f>Dataset_A!N347</f>
        <v>6</v>
      </c>
      <c r="O347">
        <f>Dataset_A!O347</f>
        <v>51</v>
      </c>
      <c r="P347">
        <f>Dataset_A!P347</f>
        <v>57</v>
      </c>
      <c r="Q347" t="str">
        <f t="shared" si="65"/>
        <v>REC-0346</v>
      </c>
      <c r="R347" s="62">
        <f t="shared" si="66"/>
        <v>40558.875</v>
      </c>
      <c r="S347" t="str">
        <f t="shared" si="67"/>
        <v>Jan</v>
      </c>
      <c r="T347" t="str">
        <f>INDEX(Lookups!$B$39:$B$45,MATCH(H347,Lookups!$A$39:$A$45,0))</f>
        <v>Sat</v>
      </c>
      <c r="U347" t="str">
        <f t="shared" si="68"/>
        <v>Weekend</v>
      </c>
      <c r="V347" t="str">
        <f t="shared" si="69"/>
        <v>Non-Working Day</v>
      </c>
      <c r="W347" t="str">
        <f t="shared" si="70"/>
        <v>Spring</v>
      </c>
      <c r="X347" t="str">
        <f t="shared" si="71"/>
        <v>Cloudy/Mist</v>
      </c>
      <c r="Y347" t="str">
        <f t="shared" si="72"/>
        <v>Late Evening</v>
      </c>
      <c r="Z347" t="str">
        <f t="shared" si="73"/>
        <v>Warm</v>
      </c>
      <c r="AA347" t="str">
        <f t="shared" si="74"/>
        <v>Low</v>
      </c>
      <c r="AB347" t="str">
        <f t="shared" si="75"/>
        <v>Off-Peak</v>
      </c>
      <c r="AC347" s="63">
        <f t="shared" si="76"/>
        <v>0.10526315789473684</v>
      </c>
      <c r="AD347" t="str">
        <f>IF(P347&gt;=Stats!$C$30,"High",IF(P347&lt;=Stats!$C$29,"Low","Normal"))</f>
        <v>Normal</v>
      </c>
      <c r="AE347">
        <f t="shared" si="77"/>
        <v>1</v>
      </c>
    </row>
    <row r="348" spans="1:31" x14ac:dyDescent="0.2">
      <c r="A348">
        <f>Dataset_A!A348</f>
        <v>347</v>
      </c>
      <c r="B348" s="61">
        <f>Dataset_A!B348</f>
        <v>40558</v>
      </c>
      <c r="C348">
        <f>Dataset_A!C348</f>
        <v>1</v>
      </c>
      <c r="D348">
        <f>Dataset_A!D348</f>
        <v>0</v>
      </c>
      <c r="E348">
        <f>Dataset_A!E348</f>
        <v>1</v>
      </c>
      <c r="F348">
        <f>Dataset_A!F348</f>
        <v>22</v>
      </c>
      <c r="G348" t="b">
        <f>Dataset_A!G348</f>
        <v>0</v>
      </c>
      <c r="H348">
        <f>Dataset_A!H348</f>
        <v>6</v>
      </c>
      <c r="I348">
        <f>Dataset_A!I348</f>
        <v>2</v>
      </c>
      <c r="J348" s="55">
        <f>Dataset_A!J348</f>
        <v>0.3</v>
      </c>
      <c r="K348">
        <f>Dataset_A!K348</f>
        <v>0.31819999999999998</v>
      </c>
      <c r="L348">
        <f>Dataset_A!L348</f>
        <v>0.42</v>
      </c>
      <c r="M348">
        <f>Dataset_A!M348</f>
        <v>0.1045</v>
      </c>
      <c r="N348">
        <f>Dataset_A!N348</f>
        <v>0</v>
      </c>
      <c r="O348">
        <f>Dataset_A!O348</f>
        <v>26</v>
      </c>
      <c r="P348">
        <f>Dataset_A!P348</f>
        <v>26</v>
      </c>
      <c r="Q348" t="str">
        <f t="shared" si="65"/>
        <v>REC-0347</v>
      </c>
      <c r="R348" s="62">
        <f t="shared" si="66"/>
        <v>40558.916666666664</v>
      </c>
      <c r="S348" t="str">
        <f t="shared" si="67"/>
        <v>Jan</v>
      </c>
      <c r="T348" t="str">
        <f>INDEX(Lookups!$B$39:$B$45,MATCH(H348,Lookups!$A$39:$A$45,0))</f>
        <v>Sat</v>
      </c>
      <c r="U348" t="str">
        <f t="shared" si="68"/>
        <v>Weekend</v>
      </c>
      <c r="V348" t="str">
        <f t="shared" si="69"/>
        <v>Non-Working Day</v>
      </c>
      <c r="W348" t="str">
        <f t="shared" si="70"/>
        <v>Spring</v>
      </c>
      <c r="X348" t="str">
        <f t="shared" si="71"/>
        <v>Cloudy/Mist</v>
      </c>
      <c r="Y348" t="str">
        <f t="shared" si="72"/>
        <v>Late Evening</v>
      </c>
      <c r="Z348" t="str">
        <f t="shared" si="73"/>
        <v>Warm</v>
      </c>
      <c r="AA348" t="str">
        <f t="shared" si="74"/>
        <v>Low</v>
      </c>
      <c r="AB348" t="str">
        <f t="shared" si="75"/>
        <v>Off-Peak</v>
      </c>
      <c r="AC348" s="63">
        <f t="shared" si="76"/>
        <v>0</v>
      </c>
      <c r="AD348" t="str">
        <f>IF(P348&gt;=Stats!$C$30,"High",IF(P348&lt;=Stats!$C$29,"Low","Normal"))</f>
        <v>Normal</v>
      </c>
      <c r="AE348">
        <f t="shared" si="77"/>
        <v>1</v>
      </c>
    </row>
    <row r="349" spans="1:31" x14ac:dyDescent="0.2">
      <c r="A349">
        <f>Dataset_A!A349</f>
        <v>348</v>
      </c>
      <c r="B349" s="61">
        <f>Dataset_A!B349</f>
        <v>40558</v>
      </c>
      <c r="C349">
        <f>Dataset_A!C349</f>
        <v>1</v>
      </c>
      <c r="D349">
        <f>Dataset_A!D349</f>
        <v>0</v>
      </c>
      <c r="E349">
        <f>Dataset_A!E349</f>
        <v>1</v>
      </c>
      <c r="F349">
        <f>Dataset_A!F349</f>
        <v>23</v>
      </c>
      <c r="G349" t="b">
        <f>Dataset_A!G349</f>
        <v>0</v>
      </c>
      <c r="H349">
        <f>Dataset_A!H349</f>
        <v>6</v>
      </c>
      <c r="I349">
        <f>Dataset_A!I349</f>
        <v>1</v>
      </c>
      <c r="J349" s="55">
        <f>Dataset_A!J349</f>
        <v>0.3</v>
      </c>
      <c r="K349">
        <f>Dataset_A!K349</f>
        <v>0.28789999999999999</v>
      </c>
      <c r="L349">
        <f>Dataset_A!L349</f>
        <v>0.45</v>
      </c>
      <c r="M349">
        <f>Dataset_A!M349</f>
        <v>0.28360000000000002</v>
      </c>
      <c r="N349">
        <f>Dataset_A!N349</f>
        <v>5</v>
      </c>
      <c r="O349">
        <f>Dataset_A!O349</f>
        <v>39</v>
      </c>
      <c r="P349">
        <f>Dataset_A!P349</f>
        <v>44</v>
      </c>
      <c r="Q349" t="str">
        <f t="shared" si="65"/>
        <v>REC-0348</v>
      </c>
      <c r="R349" s="62">
        <f t="shared" si="66"/>
        <v>40558.958333333336</v>
      </c>
      <c r="S349" t="str">
        <f t="shared" si="67"/>
        <v>Jan</v>
      </c>
      <c r="T349" t="str">
        <f>INDEX(Lookups!$B$39:$B$45,MATCH(H349,Lookups!$A$39:$A$45,0))</f>
        <v>Sat</v>
      </c>
      <c r="U349" t="str">
        <f t="shared" si="68"/>
        <v>Weekend</v>
      </c>
      <c r="V349" t="str">
        <f t="shared" si="69"/>
        <v>Non-Working Day</v>
      </c>
      <c r="W349" t="str">
        <f t="shared" si="70"/>
        <v>Spring</v>
      </c>
      <c r="X349" t="str">
        <f t="shared" si="71"/>
        <v>Clear</v>
      </c>
      <c r="Y349" t="str">
        <f t="shared" si="72"/>
        <v>Late Evening</v>
      </c>
      <c r="Z349" t="str">
        <f t="shared" si="73"/>
        <v>Warm</v>
      </c>
      <c r="AA349" t="str">
        <f t="shared" si="74"/>
        <v>Low</v>
      </c>
      <c r="AB349" t="str">
        <f t="shared" si="75"/>
        <v>Off-Peak</v>
      </c>
      <c r="AC349" s="63">
        <f t="shared" si="76"/>
        <v>0.11363636363636363</v>
      </c>
      <c r="AD349" t="str">
        <f>IF(P349&gt;=Stats!$C$30,"High",IF(P349&lt;=Stats!$C$29,"Low","Normal"))</f>
        <v>Normal</v>
      </c>
      <c r="AE349">
        <f t="shared" si="77"/>
        <v>1</v>
      </c>
    </row>
    <row r="350" spans="1:31" x14ac:dyDescent="0.2">
      <c r="A350">
        <f>Dataset_A!A350</f>
        <v>349</v>
      </c>
      <c r="B350" s="61">
        <f>Dataset_A!B350</f>
        <v>40559</v>
      </c>
      <c r="C350">
        <f>Dataset_A!C350</f>
        <v>1</v>
      </c>
      <c r="D350">
        <f>Dataset_A!D350</f>
        <v>0</v>
      </c>
      <c r="E350">
        <f>Dataset_A!E350</f>
        <v>1</v>
      </c>
      <c r="F350">
        <f>Dataset_A!F350</f>
        <v>0</v>
      </c>
      <c r="G350" t="b">
        <f>Dataset_A!G350</f>
        <v>0</v>
      </c>
      <c r="H350">
        <f>Dataset_A!H350</f>
        <v>0</v>
      </c>
      <c r="I350">
        <f>Dataset_A!I350</f>
        <v>1</v>
      </c>
      <c r="J350" s="55">
        <f>Dataset_A!J350</f>
        <v>0.26</v>
      </c>
      <c r="K350">
        <f>Dataset_A!K350</f>
        <v>0.30299999999999999</v>
      </c>
      <c r="L350">
        <f>Dataset_A!L350</f>
        <v>0.56000000000000005</v>
      </c>
      <c r="M350">
        <f>Dataset_A!M350</f>
        <v>0</v>
      </c>
      <c r="N350">
        <f>Dataset_A!N350</f>
        <v>6</v>
      </c>
      <c r="O350">
        <f>Dataset_A!O350</f>
        <v>33</v>
      </c>
      <c r="P350">
        <f>Dataset_A!P350</f>
        <v>39</v>
      </c>
      <c r="Q350" t="str">
        <f t="shared" si="65"/>
        <v>REC-0349</v>
      </c>
      <c r="R350" s="62">
        <f t="shared" si="66"/>
        <v>40559</v>
      </c>
      <c r="S350" t="str">
        <f t="shared" si="67"/>
        <v>Jan</v>
      </c>
      <c r="T350" t="str">
        <f>INDEX(Lookups!$B$39:$B$45,MATCH(H350,Lookups!$A$39:$A$45,0))</f>
        <v>Sun</v>
      </c>
      <c r="U350" t="str">
        <f t="shared" si="68"/>
        <v>Weekend</v>
      </c>
      <c r="V350" t="str">
        <f t="shared" si="69"/>
        <v>Non-Working Day</v>
      </c>
      <c r="W350" t="str">
        <f t="shared" si="70"/>
        <v>Spring</v>
      </c>
      <c r="X350" t="str">
        <f t="shared" si="71"/>
        <v>Clear</v>
      </c>
      <c r="Y350" t="str">
        <f t="shared" si="72"/>
        <v>Night</v>
      </c>
      <c r="Z350" t="str">
        <f t="shared" si="73"/>
        <v>Mild</v>
      </c>
      <c r="AA350" t="str">
        <f t="shared" si="74"/>
        <v>Medium</v>
      </c>
      <c r="AB350" t="str">
        <f t="shared" si="75"/>
        <v>Off-Peak</v>
      </c>
      <c r="AC350" s="63">
        <f t="shared" si="76"/>
        <v>0.15384615384615385</v>
      </c>
      <c r="AD350" t="str">
        <f>IF(P350&gt;=Stats!$C$30,"High",IF(P350&lt;=Stats!$C$29,"Low","Normal"))</f>
        <v>Normal</v>
      </c>
      <c r="AE350">
        <f t="shared" si="77"/>
        <v>1</v>
      </c>
    </row>
    <row r="351" spans="1:31" x14ac:dyDescent="0.2">
      <c r="A351">
        <f>Dataset_A!A351</f>
        <v>350</v>
      </c>
      <c r="B351" s="61">
        <f>Dataset_A!B351</f>
        <v>40559</v>
      </c>
      <c r="C351">
        <f>Dataset_A!C351</f>
        <v>1</v>
      </c>
      <c r="D351">
        <f>Dataset_A!D351</f>
        <v>0</v>
      </c>
      <c r="E351">
        <f>Dataset_A!E351</f>
        <v>1</v>
      </c>
      <c r="F351">
        <f>Dataset_A!F351</f>
        <v>1</v>
      </c>
      <c r="G351" t="b">
        <f>Dataset_A!G351</f>
        <v>0</v>
      </c>
      <c r="H351">
        <f>Dataset_A!H351</f>
        <v>0</v>
      </c>
      <c r="I351">
        <f>Dataset_A!I351</f>
        <v>1</v>
      </c>
      <c r="J351" s="55">
        <f>Dataset_A!J351</f>
        <v>0.26</v>
      </c>
      <c r="K351">
        <f>Dataset_A!K351</f>
        <v>0.2727</v>
      </c>
      <c r="L351">
        <f>Dataset_A!L351</f>
        <v>0.56000000000000005</v>
      </c>
      <c r="M351">
        <f>Dataset_A!M351</f>
        <v>0.1343</v>
      </c>
      <c r="N351">
        <f>Dataset_A!N351</f>
        <v>4</v>
      </c>
      <c r="O351">
        <f>Dataset_A!O351</f>
        <v>19</v>
      </c>
      <c r="P351">
        <f>Dataset_A!P351</f>
        <v>23</v>
      </c>
      <c r="Q351" t="str">
        <f t="shared" si="65"/>
        <v>REC-0350</v>
      </c>
      <c r="R351" s="62">
        <f t="shared" si="66"/>
        <v>40559.041666666664</v>
      </c>
      <c r="S351" t="str">
        <f t="shared" si="67"/>
        <v>Jan</v>
      </c>
      <c r="T351" t="str">
        <f>INDEX(Lookups!$B$39:$B$45,MATCH(H351,Lookups!$A$39:$A$45,0))</f>
        <v>Sun</v>
      </c>
      <c r="U351" t="str">
        <f t="shared" si="68"/>
        <v>Weekend</v>
      </c>
      <c r="V351" t="str">
        <f t="shared" si="69"/>
        <v>Non-Working Day</v>
      </c>
      <c r="W351" t="str">
        <f t="shared" si="70"/>
        <v>Spring</v>
      </c>
      <c r="X351" t="str">
        <f t="shared" si="71"/>
        <v>Clear</v>
      </c>
      <c r="Y351" t="str">
        <f t="shared" si="72"/>
        <v>Night</v>
      </c>
      <c r="Z351" t="str">
        <f t="shared" si="73"/>
        <v>Mild</v>
      </c>
      <c r="AA351" t="str">
        <f t="shared" si="74"/>
        <v>Medium</v>
      </c>
      <c r="AB351" t="str">
        <f t="shared" si="75"/>
        <v>Off-Peak</v>
      </c>
      <c r="AC351" s="63">
        <f t="shared" si="76"/>
        <v>0.17391304347826086</v>
      </c>
      <c r="AD351" t="str">
        <f>IF(P351&gt;=Stats!$C$30,"High",IF(P351&lt;=Stats!$C$29,"Low","Normal"))</f>
        <v>Normal</v>
      </c>
      <c r="AE351">
        <f t="shared" si="77"/>
        <v>1</v>
      </c>
    </row>
    <row r="352" spans="1:31" x14ac:dyDescent="0.2">
      <c r="A352">
        <f>Dataset_A!A352</f>
        <v>351</v>
      </c>
      <c r="B352" s="61">
        <f>Dataset_A!B352</f>
        <v>40559</v>
      </c>
      <c r="C352">
        <f>Dataset_A!C352</f>
        <v>1</v>
      </c>
      <c r="D352">
        <f>Dataset_A!D352</f>
        <v>0</v>
      </c>
      <c r="E352">
        <f>Dataset_A!E352</f>
        <v>1</v>
      </c>
      <c r="F352">
        <f>Dataset_A!F352</f>
        <v>2</v>
      </c>
      <c r="G352" t="b">
        <f>Dataset_A!G352</f>
        <v>0</v>
      </c>
      <c r="H352">
        <f>Dataset_A!H352</f>
        <v>0</v>
      </c>
      <c r="I352">
        <f>Dataset_A!I352</f>
        <v>1</v>
      </c>
      <c r="J352" s="55">
        <f>Dataset_A!J352</f>
        <v>0.26</v>
      </c>
      <c r="K352">
        <f>Dataset_A!K352</f>
        <v>0.28789999999999999</v>
      </c>
      <c r="L352">
        <f>Dataset_A!L352</f>
        <v>0.56000000000000005</v>
      </c>
      <c r="M352">
        <f>Dataset_A!M352</f>
        <v>8.9599999999999999E-2</v>
      </c>
      <c r="N352">
        <f>Dataset_A!N352</f>
        <v>3</v>
      </c>
      <c r="O352">
        <f>Dataset_A!O352</f>
        <v>13</v>
      </c>
      <c r="P352">
        <f>Dataset_A!P352</f>
        <v>16</v>
      </c>
      <c r="Q352" t="str">
        <f t="shared" si="65"/>
        <v>REC-0351</v>
      </c>
      <c r="R352" s="62">
        <f t="shared" si="66"/>
        <v>40559.083333333336</v>
      </c>
      <c r="S352" t="str">
        <f t="shared" si="67"/>
        <v>Jan</v>
      </c>
      <c r="T352" t="str">
        <f>INDEX(Lookups!$B$39:$B$45,MATCH(H352,Lookups!$A$39:$A$45,0))</f>
        <v>Sun</v>
      </c>
      <c r="U352" t="str">
        <f t="shared" si="68"/>
        <v>Weekend</v>
      </c>
      <c r="V352" t="str">
        <f t="shared" si="69"/>
        <v>Non-Working Day</v>
      </c>
      <c r="W352" t="str">
        <f t="shared" si="70"/>
        <v>Spring</v>
      </c>
      <c r="X352" t="str">
        <f t="shared" si="71"/>
        <v>Clear</v>
      </c>
      <c r="Y352" t="str">
        <f t="shared" si="72"/>
        <v>Night</v>
      </c>
      <c r="Z352" t="str">
        <f t="shared" si="73"/>
        <v>Mild</v>
      </c>
      <c r="AA352" t="str">
        <f t="shared" si="74"/>
        <v>Medium</v>
      </c>
      <c r="AB352" t="str">
        <f t="shared" si="75"/>
        <v>Off-Peak</v>
      </c>
      <c r="AC352" s="63">
        <f t="shared" si="76"/>
        <v>0.1875</v>
      </c>
      <c r="AD352" t="str">
        <f>IF(P352&gt;=Stats!$C$30,"High",IF(P352&lt;=Stats!$C$29,"Low","Normal"))</f>
        <v>Low</v>
      </c>
      <c r="AE352">
        <f t="shared" si="77"/>
        <v>1</v>
      </c>
    </row>
    <row r="353" spans="1:31" x14ac:dyDescent="0.2">
      <c r="A353">
        <f>Dataset_A!A353</f>
        <v>352</v>
      </c>
      <c r="B353" s="61">
        <f>Dataset_A!B353</f>
        <v>40559</v>
      </c>
      <c r="C353">
        <f>Dataset_A!C353</f>
        <v>1</v>
      </c>
      <c r="D353">
        <f>Dataset_A!D353</f>
        <v>0</v>
      </c>
      <c r="E353">
        <f>Dataset_A!E353</f>
        <v>1</v>
      </c>
      <c r="F353">
        <f>Dataset_A!F353</f>
        <v>3</v>
      </c>
      <c r="G353" t="b">
        <f>Dataset_A!G353</f>
        <v>0</v>
      </c>
      <c r="H353">
        <f>Dataset_A!H353</f>
        <v>0</v>
      </c>
      <c r="I353">
        <f>Dataset_A!I353</f>
        <v>1</v>
      </c>
      <c r="J353" s="55">
        <f>Dataset_A!J353</f>
        <v>0.22</v>
      </c>
      <c r="K353">
        <f>Dataset_A!K353</f>
        <v>0.2727</v>
      </c>
      <c r="L353">
        <f>Dataset_A!L353</f>
        <v>0.69</v>
      </c>
      <c r="M353">
        <f>Dataset_A!M353</f>
        <v>0</v>
      </c>
      <c r="N353">
        <f>Dataset_A!N353</f>
        <v>9</v>
      </c>
      <c r="O353">
        <f>Dataset_A!O353</f>
        <v>6</v>
      </c>
      <c r="P353">
        <f>Dataset_A!P353</f>
        <v>15</v>
      </c>
      <c r="Q353" t="str">
        <f t="shared" si="65"/>
        <v>REC-0352</v>
      </c>
      <c r="R353" s="62">
        <f t="shared" si="66"/>
        <v>40559.125</v>
      </c>
      <c r="S353" t="str">
        <f t="shared" si="67"/>
        <v>Jan</v>
      </c>
      <c r="T353" t="str">
        <f>INDEX(Lookups!$B$39:$B$45,MATCH(H353,Lookups!$A$39:$A$45,0))</f>
        <v>Sun</v>
      </c>
      <c r="U353" t="str">
        <f t="shared" si="68"/>
        <v>Weekend</v>
      </c>
      <c r="V353" t="str">
        <f t="shared" si="69"/>
        <v>Non-Working Day</v>
      </c>
      <c r="W353" t="str">
        <f t="shared" si="70"/>
        <v>Spring</v>
      </c>
      <c r="X353" t="str">
        <f t="shared" si="71"/>
        <v>Clear</v>
      </c>
      <c r="Y353" t="str">
        <f t="shared" si="72"/>
        <v>Night</v>
      </c>
      <c r="Z353" t="str">
        <f t="shared" si="73"/>
        <v>Mild</v>
      </c>
      <c r="AA353" t="str">
        <f t="shared" si="74"/>
        <v>Medium</v>
      </c>
      <c r="AB353" t="str">
        <f t="shared" si="75"/>
        <v>Off-Peak</v>
      </c>
      <c r="AC353" s="63">
        <f t="shared" si="76"/>
        <v>0.6</v>
      </c>
      <c r="AD353" t="str">
        <f>IF(P353&gt;=Stats!$C$30,"High",IF(P353&lt;=Stats!$C$29,"Low","Normal"))</f>
        <v>Low</v>
      </c>
      <c r="AE353">
        <f t="shared" si="77"/>
        <v>1</v>
      </c>
    </row>
    <row r="354" spans="1:31" x14ac:dyDescent="0.2">
      <c r="A354">
        <f>Dataset_A!A354</f>
        <v>353</v>
      </c>
      <c r="B354" s="61">
        <f>Dataset_A!B354</f>
        <v>40559</v>
      </c>
      <c r="C354">
        <f>Dataset_A!C354</f>
        <v>1</v>
      </c>
      <c r="D354">
        <f>Dataset_A!D354</f>
        <v>0</v>
      </c>
      <c r="E354">
        <f>Dataset_A!E354</f>
        <v>1</v>
      </c>
      <c r="F354">
        <f>Dataset_A!F354</f>
        <v>4</v>
      </c>
      <c r="G354" t="b">
        <f>Dataset_A!G354</f>
        <v>0</v>
      </c>
      <c r="H354">
        <f>Dataset_A!H354</f>
        <v>0</v>
      </c>
      <c r="I354">
        <f>Dataset_A!I354</f>
        <v>1</v>
      </c>
      <c r="J354" s="55">
        <f>Dataset_A!J354</f>
        <v>0.26</v>
      </c>
      <c r="K354">
        <f>Dataset_A!K354</f>
        <v>0.2576</v>
      </c>
      <c r="L354">
        <f>Dataset_A!L354</f>
        <v>0.56000000000000005</v>
      </c>
      <c r="M354">
        <f>Dataset_A!M354</f>
        <v>0.16420000000000001</v>
      </c>
      <c r="N354">
        <f>Dataset_A!N354</f>
        <v>0</v>
      </c>
      <c r="O354">
        <f>Dataset_A!O354</f>
        <v>1</v>
      </c>
      <c r="P354">
        <f>Dataset_A!P354</f>
        <v>1</v>
      </c>
      <c r="Q354" t="str">
        <f t="shared" si="65"/>
        <v>REC-0353</v>
      </c>
      <c r="R354" s="62">
        <f t="shared" si="66"/>
        <v>40559.166666666664</v>
      </c>
      <c r="S354" t="str">
        <f t="shared" si="67"/>
        <v>Jan</v>
      </c>
      <c r="T354" t="str">
        <f>INDEX(Lookups!$B$39:$B$45,MATCH(H354,Lookups!$A$39:$A$45,0))</f>
        <v>Sun</v>
      </c>
      <c r="U354" t="str">
        <f t="shared" si="68"/>
        <v>Weekend</v>
      </c>
      <c r="V354" t="str">
        <f t="shared" si="69"/>
        <v>Non-Working Day</v>
      </c>
      <c r="W354" t="str">
        <f t="shared" si="70"/>
        <v>Spring</v>
      </c>
      <c r="X354" t="str">
        <f t="shared" si="71"/>
        <v>Clear</v>
      </c>
      <c r="Y354" t="str">
        <f t="shared" si="72"/>
        <v>Night</v>
      </c>
      <c r="Z354" t="str">
        <f t="shared" si="73"/>
        <v>Mild</v>
      </c>
      <c r="AA354" t="str">
        <f t="shared" si="74"/>
        <v>Medium</v>
      </c>
      <c r="AB354" t="str">
        <f t="shared" si="75"/>
        <v>Off-Peak</v>
      </c>
      <c r="AC354" s="63">
        <f t="shared" si="76"/>
        <v>0</v>
      </c>
      <c r="AD354" t="str">
        <f>IF(P354&gt;=Stats!$C$30,"High",IF(P354&lt;=Stats!$C$29,"Low","Normal"))</f>
        <v>Low</v>
      </c>
      <c r="AE354">
        <f t="shared" si="77"/>
        <v>1</v>
      </c>
    </row>
    <row r="355" spans="1:31" x14ac:dyDescent="0.2">
      <c r="A355">
        <f>Dataset_A!A355</f>
        <v>354</v>
      </c>
      <c r="B355" s="61">
        <f>Dataset_A!B355</f>
        <v>40559</v>
      </c>
      <c r="C355">
        <f>Dataset_A!C355</f>
        <v>1</v>
      </c>
      <c r="D355">
        <f>Dataset_A!D355</f>
        <v>0</v>
      </c>
      <c r="E355">
        <f>Dataset_A!E355</f>
        <v>1</v>
      </c>
      <c r="F355">
        <f>Dataset_A!F355</f>
        <v>5</v>
      </c>
      <c r="G355" t="b">
        <f>Dataset_A!G355</f>
        <v>0</v>
      </c>
      <c r="H355">
        <f>Dataset_A!H355</f>
        <v>0</v>
      </c>
      <c r="I355">
        <f>Dataset_A!I355</f>
        <v>2</v>
      </c>
      <c r="J355" s="55">
        <f>Dataset_A!J355</f>
        <v>0.26</v>
      </c>
      <c r="K355">
        <f>Dataset_A!K355</f>
        <v>0.2576</v>
      </c>
      <c r="L355">
        <f>Dataset_A!L355</f>
        <v>0.56000000000000005</v>
      </c>
      <c r="M355">
        <f>Dataset_A!M355</f>
        <v>0.16420000000000001</v>
      </c>
      <c r="N355">
        <f>Dataset_A!N355</f>
        <v>1</v>
      </c>
      <c r="O355">
        <f>Dataset_A!O355</f>
        <v>1</v>
      </c>
      <c r="P355">
        <f>Dataset_A!P355</f>
        <v>2</v>
      </c>
      <c r="Q355" t="str">
        <f t="shared" si="65"/>
        <v>REC-0354</v>
      </c>
      <c r="R355" s="62">
        <f t="shared" si="66"/>
        <v>40559.208333333336</v>
      </c>
      <c r="S355" t="str">
        <f t="shared" si="67"/>
        <v>Jan</v>
      </c>
      <c r="T355" t="str">
        <f>INDEX(Lookups!$B$39:$B$45,MATCH(H355,Lookups!$A$39:$A$45,0))</f>
        <v>Sun</v>
      </c>
      <c r="U355" t="str">
        <f t="shared" si="68"/>
        <v>Weekend</v>
      </c>
      <c r="V355" t="str">
        <f t="shared" si="69"/>
        <v>Non-Working Day</v>
      </c>
      <c r="W355" t="str">
        <f t="shared" si="70"/>
        <v>Spring</v>
      </c>
      <c r="X355" t="str">
        <f t="shared" si="71"/>
        <v>Cloudy/Mist</v>
      </c>
      <c r="Y355" t="str">
        <f t="shared" si="72"/>
        <v>Night</v>
      </c>
      <c r="Z355" t="str">
        <f t="shared" si="73"/>
        <v>Mild</v>
      </c>
      <c r="AA355" t="str">
        <f t="shared" si="74"/>
        <v>Medium</v>
      </c>
      <c r="AB355" t="str">
        <f t="shared" si="75"/>
        <v>Off-Peak</v>
      </c>
      <c r="AC355" s="63">
        <f t="shared" si="76"/>
        <v>0.5</v>
      </c>
      <c r="AD355" t="str">
        <f>IF(P355&gt;=Stats!$C$30,"High",IF(P355&lt;=Stats!$C$29,"Low","Normal"))</f>
        <v>Low</v>
      </c>
      <c r="AE355">
        <f t="shared" si="77"/>
        <v>1</v>
      </c>
    </row>
    <row r="356" spans="1:31" x14ac:dyDescent="0.2">
      <c r="A356">
        <f>Dataset_A!A356</f>
        <v>355</v>
      </c>
      <c r="B356" s="61">
        <f>Dataset_A!B356</f>
        <v>40559</v>
      </c>
      <c r="C356">
        <f>Dataset_A!C356</f>
        <v>1</v>
      </c>
      <c r="D356">
        <f>Dataset_A!D356</f>
        <v>0</v>
      </c>
      <c r="E356">
        <f>Dataset_A!E356</f>
        <v>1</v>
      </c>
      <c r="F356">
        <f>Dataset_A!F356</f>
        <v>6</v>
      </c>
      <c r="G356" t="b">
        <f>Dataset_A!G356</f>
        <v>0</v>
      </c>
      <c r="H356">
        <f>Dataset_A!H356</f>
        <v>0</v>
      </c>
      <c r="I356">
        <f>Dataset_A!I356</f>
        <v>2</v>
      </c>
      <c r="J356" s="55">
        <f>Dataset_A!J356</f>
        <v>0.26</v>
      </c>
      <c r="K356">
        <f>Dataset_A!K356</f>
        <v>0.2576</v>
      </c>
      <c r="L356">
        <f>Dataset_A!L356</f>
        <v>0.56000000000000005</v>
      </c>
      <c r="M356">
        <f>Dataset_A!M356</f>
        <v>0.16420000000000001</v>
      </c>
      <c r="N356">
        <f>Dataset_A!N356</f>
        <v>0</v>
      </c>
      <c r="O356">
        <f>Dataset_A!O356</f>
        <v>1</v>
      </c>
      <c r="P356">
        <f>Dataset_A!P356</f>
        <v>1</v>
      </c>
      <c r="Q356" t="str">
        <f t="shared" si="65"/>
        <v>REC-0355</v>
      </c>
      <c r="R356" s="62">
        <f t="shared" si="66"/>
        <v>40559.25</v>
      </c>
      <c r="S356" t="str">
        <f t="shared" si="67"/>
        <v>Jan</v>
      </c>
      <c r="T356" t="str">
        <f>INDEX(Lookups!$B$39:$B$45,MATCH(H356,Lookups!$A$39:$A$45,0))</f>
        <v>Sun</v>
      </c>
      <c r="U356" t="str">
        <f t="shared" si="68"/>
        <v>Weekend</v>
      </c>
      <c r="V356" t="str">
        <f t="shared" si="69"/>
        <v>Non-Working Day</v>
      </c>
      <c r="W356" t="str">
        <f t="shared" si="70"/>
        <v>Spring</v>
      </c>
      <c r="X356" t="str">
        <f t="shared" si="71"/>
        <v>Cloudy/Mist</v>
      </c>
      <c r="Y356" t="str">
        <f t="shared" si="72"/>
        <v>Morning</v>
      </c>
      <c r="Z356" t="str">
        <f t="shared" si="73"/>
        <v>Mild</v>
      </c>
      <c r="AA356" t="str">
        <f t="shared" si="74"/>
        <v>Medium</v>
      </c>
      <c r="AB356" t="str">
        <f t="shared" si="75"/>
        <v>Off-Peak</v>
      </c>
      <c r="AC356" s="63">
        <f t="shared" si="76"/>
        <v>0</v>
      </c>
      <c r="AD356" t="str">
        <f>IF(P356&gt;=Stats!$C$30,"High",IF(P356&lt;=Stats!$C$29,"Low","Normal"))</f>
        <v>Low</v>
      </c>
      <c r="AE356">
        <f t="shared" si="77"/>
        <v>1</v>
      </c>
    </row>
    <row r="357" spans="1:31" x14ac:dyDescent="0.2">
      <c r="A357">
        <f>Dataset_A!A357</f>
        <v>356</v>
      </c>
      <c r="B357" s="61">
        <f>Dataset_A!B357</f>
        <v>40559</v>
      </c>
      <c r="C357">
        <f>Dataset_A!C357</f>
        <v>1</v>
      </c>
      <c r="D357">
        <f>Dataset_A!D357</f>
        <v>0</v>
      </c>
      <c r="E357">
        <f>Dataset_A!E357</f>
        <v>1</v>
      </c>
      <c r="F357">
        <f>Dataset_A!F357</f>
        <v>7</v>
      </c>
      <c r="G357" t="b">
        <f>Dataset_A!G357</f>
        <v>0</v>
      </c>
      <c r="H357">
        <f>Dataset_A!H357</f>
        <v>0</v>
      </c>
      <c r="I357">
        <f>Dataset_A!I357</f>
        <v>2</v>
      </c>
      <c r="J357" s="55">
        <f>Dataset_A!J357</f>
        <v>0.24</v>
      </c>
      <c r="K357">
        <f>Dataset_A!K357</f>
        <v>0.21210000000000001</v>
      </c>
      <c r="L357">
        <f>Dataset_A!L357</f>
        <v>0.56000000000000005</v>
      </c>
      <c r="M357">
        <f>Dataset_A!M357</f>
        <v>0.29849999999999999</v>
      </c>
      <c r="N357">
        <f>Dataset_A!N357</f>
        <v>0</v>
      </c>
      <c r="O357">
        <f>Dataset_A!O357</f>
        <v>3</v>
      </c>
      <c r="P357">
        <f>Dataset_A!P357</f>
        <v>3</v>
      </c>
      <c r="Q357" t="str">
        <f t="shared" si="65"/>
        <v>REC-0356</v>
      </c>
      <c r="R357" s="62">
        <f t="shared" si="66"/>
        <v>40559.291666666664</v>
      </c>
      <c r="S357" t="str">
        <f t="shared" si="67"/>
        <v>Jan</v>
      </c>
      <c r="T357" t="str">
        <f>INDEX(Lookups!$B$39:$B$45,MATCH(H357,Lookups!$A$39:$A$45,0))</f>
        <v>Sun</v>
      </c>
      <c r="U357" t="str">
        <f t="shared" si="68"/>
        <v>Weekend</v>
      </c>
      <c r="V357" t="str">
        <f t="shared" si="69"/>
        <v>Non-Working Day</v>
      </c>
      <c r="W357" t="str">
        <f t="shared" si="70"/>
        <v>Spring</v>
      </c>
      <c r="X357" t="str">
        <f t="shared" si="71"/>
        <v>Cloudy/Mist</v>
      </c>
      <c r="Y357" t="str">
        <f t="shared" si="72"/>
        <v>Morning</v>
      </c>
      <c r="Z357" t="str">
        <f t="shared" si="73"/>
        <v>Mild</v>
      </c>
      <c r="AA357" t="str">
        <f t="shared" si="74"/>
        <v>Medium</v>
      </c>
      <c r="AB357" t="str">
        <f t="shared" si="75"/>
        <v>Off-Peak</v>
      </c>
      <c r="AC357" s="63">
        <f t="shared" si="76"/>
        <v>0</v>
      </c>
      <c r="AD357" t="str">
        <f>IF(P357&gt;=Stats!$C$30,"High",IF(P357&lt;=Stats!$C$29,"Low","Normal"))</f>
        <v>Low</v>
      </c>
      <c r="AE357">
        <f t="shared" si="77"/>
        <v>1</v>
      </c>
    </row>
    <row r="358" spans="1:31" x14ac:dyDescent="0.2">
      <c r="A358">
        <f>Dataset_A!A358</f>
        <v>357</v>
      </c>
      <c r="B358" s="61">
        <f>Dataset_A!B358</f>
        <v>40559</v>
      </c>
      <c r="C358">
        <f>Dataset_A!C358</f>
        <v>1</v>
      </c>
      <c r="D358">
        <f>Dataset_A!D358</f>
        <v>0</v>
      </c>
      <c r="E358">
        <f>Dataset_A!E358</f>
        <v>1</v>
      </c>
      <c r="F358">
        <f>Dataset_A!F358</f>
        <v>8</v>
      </c>
      <c r="G358" t="b">
        <f>Dataset_A!G358</f>
        <v>0</v>
      </c>
      <c r="H358">
        <f>Dataset_A!H358</f>
        <v>0</v>
      </c>
      <c r="I358">
        <f>Dataset_A!I358</f>
        <v>1</v>
      </c>
      <c r="J358" s="55">
        <f>Dataset_A!J358</f>
        <v>0.22</v>
      </c>
      <c r="K358">
        <f>Dataset_A!K358</f>
        <v>0.21210000000000001</v>
      </c>
      <c r="L358">
        <f>Dataset_A!L358</f>
        <v>0.55000000000000004</v>
      </c>
      <c r="M358">
        <f>Dataset_A!M358</f>
        <v>0.28360000000000002</v>
      </c>
      <c r="N358">
        <f>Dataset_A!N358</f>
        <v>0</v>
      </c>
      <c r="O358">
        <f>Dataset_A!O358</f>
        <v>18</v>
      </c>
      <c r="P358">
        <f>Dataset_A!P358</f>
        <v>18</v>
      </c>
      <c r="Q358" t="str">
        <f t="shared" si="65"/>
        <v>REC-0357</v>
      </c>
      <c r="R358" s="62">
        <f t="shared" si="66"/>
        <v>40559.333333333336</v>
      </c>
      <c r="S358" t="str">
        <f t="shared" si="67"/>
        <v>Jan</v>
      </c>
      <c r="T358" t="str">
        <f>INDEX(Lookups!$B$39:$B$45,MATCH(H358,Lookups!$A$39:$A$45,0))</f>
        <v>Sun</v>
      </c>
      <c r="U358" t="str">
        <f t="shared" si="68"/>
        <v>Weekend</v>
      </c>
      <c r="V358" t="str">
        <f t="shared" si="69"/>
        <v>Non-Working Day</v>
      </c>
      <c r="W358" t="str">
        <f t="shared" si="70"/>
        <v>Spring</v>
      </c>
      <c r="X358" t="str">
        <f t="shared" si="71"/>
        <v>Clear</v>
      </c>
      <c r="Y358" t="str">
        <f t="shared" si="72"/>
        <v>Morning</v>
      </c>
      <c r="Z358" t="str">
        <f t="shared" si="73"/>
        <v>Mild</v>
      </c>
      <c r="AA358" t="str">
        <f t="shared" si="74"/>
        <v>Medium</v>
      </c>
      <c r="AB358" t="str">
        <f t="shared" si="75"/>
        <v>Off-Peak</v>
      </c>
      <c r="AC358" s="63">
        <f t="shared" si="76"/>
        <v>0</v>
      </c>
      <c r="AD358" t="str">
        <f>IF(P358&gt;=Stats!$C$30,"High",IF(P358&lt;=Stats!$C$29,"Low","Normal"))</f>
        <v>Normal</v>
      </c>
      <c r="AE358">
        <f t="shared" si="77"/>
        <v>1</v>
      </c>
    </row>
    <row r="359" spans="1:31" x14ac:dyDescent="0.2">
      <c r="A359">
        <f>Dataset_A!A359</f>
        <v>358</v>
      </c>
      <c r="B359" s="61">
        <f>Dataset_A!B359</f>
        <v>40559</v>
      </c>
      <c r="C359">
        <f>Dataset_A!C359</f>
        <v>1</v>
      </c>
      <c r="D359">
        <f>Dataset_A!D359</f>
        <v>0</v>
      </c>
      <c r="E359">
        <f>Dataset_A!E359</f>
        <v>1</v>
      </c>
      <c r="F359">
        <f>Dataset_A!F359</f>
        <v>9</v>
      </c>
      <c r="G359" t="b">
        <f>Dataset_A!G359</f>
        <v>0</v>
      </c>
      <c r="H359">
        <f>Dataset_A!H359</f>
        <v>0</v>
      </c>
      <c r="I359">
        <f>Dataset_A!I359</f>
        <v>1</v>
      </c>
      <c r="J359" s="55">
        <f>Dataset_A!J359</f>
        <v>0.22</v>
      </c>
      <c r="K359">
        <f>Dataset_A!K359</f>
        <v>0.21210000000000001</v>
      </c>
      <c r="L359">
        <f>Dataset_A!L359</f>
        <v>0.51</v>
      </c>
      <c r="M359">
        <f>Dataset_A!M359</f>
        <v>0.25369999999999998</v>
      </c>
      <c r="N359">
        <f>Dataset_A!N359</f>
        <v>3</v>
      </c>
      <c r="O359">
        <f>Dataset_A!O359</f>
        <v>29</v>
      </c>
      <c r="P359">
        <f>Dataset_A!P359</f>
        <v>32</v>
      </c>
      <c r="Q359" t="str">
        <f t="shared" si="65"/>
        <v>REC-0358</v>
      </c>
      <c r="R359" s="62">
        <f t="shared" si="66"/>
        <v>40559.375</v>
      </c>
      <c r="S359" t="str">
        <f t="shared" si="67"/>
        <v>Jan</v>
      </c>
      <c r="T359" t="str">
        <f>INDEX(Lookups!$B$39:$B$45,MATCH(H359,Lookups!$A$39:$A$45,0))</f>
        <v>Sun</v>
      </c>
      <c r="U359" t="str">
        <f t="shared" si="68"/>
        <v>Weekend</v>
      </c>
      <c r="V359" t="str">
        <f t="shared" si="69"/>
        <v>Non-Working Day</v>
      </c>
      <c r="W359" t="str">
        <f t="shared" si="70"/>
        <v>Spring</v>
      </c>
      <c r="X359" t="str">
        <f t="shared" si="71"/>
        <v>Clear</v>
      </c>
      <c r="Y359" t="str">
        <f t="shared" si="72"/>
        <v>Morning</v>
      </c>
      <c r="Z359" t="str">
        <f t="shared" si="73"/>
        <v>Mild</v>
      </c>
      <c r="AA359" t="str">
        <f t="shared" si="74"/>
        <v>Medium</v>
      </c>
      <c r="AB359" t="str">
        <f t="shared" si="75"/>
        <v>Off-Peak</v>
      </c>
      <c r="AC359" s="63">
        <f t="shared" si="76"/>
        <v>9.375E-2</v>
      </c>
      <c r="AD359" t="str">
        <f>IF(P359&gt;=Stats!$C$30,"High",IF(P359&lt;=Stats!$C$29,"Low","Normal"))</f>
        <v>Normal</v>
      </c>
      <c r="AE359">
        <f t="shared" si="77"/>
        <v>1</v>
      </c>
    </row>
    <row r="360" spans="1:31" x14ac:dyDescent="0.2">
      <c r="A360">
        <f>Dataset_A!A360</f>
        <v>359</v>
      </c>
      <c r="B360" s="61">
        <f>Dataset_A!B360</f>
        <v>40559</v>
      </c>
      <c r="C360">
        <f>Dataset_A!C360</f>
        <v>1</v>
      </c>
      <c r="D360">
        <f>Dataset_A!D360</f>
        <v>0</v>
      </c>
      <c r="E360">
        <f>Dataset_A!E360</f>
        <v>1</v>
      </c>
      <c r="F360">
        <f>Dataset_A!F360</f>
        <v>10</v>
      </c>
      <c r="G360" t="b">
        <f>Dataset_A!G360</f>
        <v>0</v>
      </c>
      <c r="H360">
        <f>Dataset_A!H360</f>
        <v>0</v>
      </c>
      <c r="I360">
        <f>Dataset_A!I360</f>
        <v>1</v>
      </c>
      <c r="J360" s="55">
        <f>Dataset_A!J360</f>
        <v>0.22</v>
      </c>
      <c r="K360">
        <f>Dataset_A!K360</f>
        <v>0.21210000000000001</v>
      </c>
      <c r="L360">
        <f>Dataset_A!L360</f>
        <v>0.51</v>
      </c>
      <c r="M360">
        <f>Dataset_A!M360</f>
        <v>0.28360000000000002</v>
      </c>
      <c r="N360">
        <f>Dataset_A!N360</f>
        <v>8</v>
      </c>
      <c r="O360">
        <f>Dataset_A!O360</f>
        <v>71</v>
      </c>
      <c r="P360">
        <f>Dataset_A!P360</f>
        <v>79</v>
      </c>
      <c r="Q360" t="str">
        <f t="shared" si="65"/>
        <v>REC-0359</v>
      </c>
      <c r="R360" s="62">
        <f t="shared" si="66"/>
        <v>40559.416666666664</v>
      </c>
      <c r="S360" t="str">
        <f t="shared" si="67"/>
        <v>Jan</v>
      </c>
      <c r="T360" t="str">
        <f>INDEX(Lookups!$B$39:$B$45,MATCH(H360,Lookups!$A$39:$A$45,0))</f>
        <v>Sun</v>
      </c>
      <c r="U360" t="str">
        <f t="shared" si="68"/>
        <v>Weekend</v>
      </c>
      <c r="V360" t="str">
        <f t="shared" si="69"/>
        <v>Non-Working Day</v>
      </c>
      <c r="W360" t="str">
        <f t="shared" si="70"/>
        <v>Spring</v>
      </c>
      <c r="X360" t="str">
        <f t="shared" si="71"/>
        <v>Clear</v>
      </c>
      <c r="Y360" t="str">
        <f t="shared" si="72"/>
        <v>Morning</v>
      </c>
      <c r="Z360" t="str">
        <f t="shared" si="73"/>
        <v>Mild</v>
      </c>
      <c r="AA360" t="str">
        <f t="shared" si="74"/>
        <v>Medium</v>
      </c>
      <c r="AB360" t="str">
        <f t="shared" si="75"/>
        <v>Off-Peak</v>
      </c>
      <c r="AC360" s="63">
        <f t="shared" si="76"/>
        <v>0.10126582278481013</v>
      </c>
      <c r="AD360" t="str">
        <f>IF(P360&gt;=Stats!$C$30,"High",IF(P360&lt;=Stats!$C$29,"Low","Normal"))</f>
        <v>Normal</v>
      </c>
      <c r="AE360">
        <f t="shared" si="77"/>
        <v>1</v>
      </c>
    </row>
    <row r="361" spans="1:31" x14ac:dyDescent="0.2">
      <c r="A361">
        <f>Dataset_A!A361</f>
        <v>360</v>
      </c>
      <c r="B361" s="61">
        <f>Dataset_A!B361</f>
        <v>40559</v>
      </c>
      <c r="C361">
        <f>Dataset_A!C361</f>
        <v>1</v>
      </c>
      <c r="D361">
        <f>Dataset_A!D361</f>
        <v>0</v>
      </c>
      <c r="E361">
        <f>Dataset_A!E361</f>
        <v>1</v>
      </c>
      <c r="F361">
        <f>Dataset_A!F361</f>
        <v>11</v>
      </c>
      <c r="G361" t="b">
        <f>Dataset_A!G361</f>
        <v>0</v>
      </c>
      <c r="H361">
        <f>Dataset_A!H361</f>
        <v>0</v>
      </c>
      <c r="I361">
        <f>Dataset_A!I361</f>
        <v>1</v>
      </c>
      <c r="J361" s="55">
        <f>Dataset_A!J361</f>
        <v>0.24</v>
      </c>
      <c r="K361">
        <f>Dataset_A!K361</f>
        <v>0.2273</v>
      </c>
      <c r="L361">
        <f>Dataset_A!L361</f>
        <v>0.44</v>
      </c>
      <c r="M361">
        <f>Dataset_A!M361</f>
        <v>0.25369999999999998</v>
      </c>
      <c r="N361">
        <f>Dataset_A!N361</f>
        <v>23</v>
      </c>
      <c r="O361">
        <f>Dataset_A!O361</f>
        <v>70</v>
      </c>
      <c r="P361">
        <f>Dataset_A!P361</f>
        <v>93</v>
      </c>
      <c r="Q361" t="str">
        <f t="shared" si="65"/>
        <v>REC-0360</v>
      </c>
      <c r="R361" s="62">
        <f t="shared" si="66"/>
        <v>40559.458333333336</v>
      </c>
      <c r="S361" t="str">
        <f t="shared" si="67"/>
        <v>Jan</v>
      </c>
      <c r="T361" t="str">
        <f>INDEX(Lookups!$B$39:$B$45,MATCH(H361,Lookups!$A$39:$A$45,0))</f>
        <v>Sun</v>
      </c>
      <c r="U361" t="str">
        <f t="shared" si="68"/>
        <v>Weekend</v>
      </c>
      <c r="V361" t="str">
        <f t="shared" si="69"/>
        <v>Non-Working Day</v>
      </c>
      <c r="W361" t="str">
        <f t="shared" si="70"/>
        <v>Spring</v>
      </c>
      <c r="X361" t="str">
        <f t="shared" si="71"/>
        <v>Clear</v>
      </c>
      <c r="Y361" t="str">
        <f t="shared" si="72"/>
        <v>Morning</v>
      </c>
      <c r="Z361" t="str">
        <f t="shared" si="73"/>
        <v>Mild</v>
      </c>
      <c r="AA361" t="str">
        <f t="shared" si="74"/>
        <v>Low</v>
      </c>
      <c r="AB361" t="str">
        <f t="shared" si="75"/>
        <v>Off-Peak</v>
      </c>
      <c r="AC361" s="63">
        <f t="shared" si="76"/>
        <v>0.24731182795698925</v>
      </c>
      <c r="AD361" t="str">
        <f>IF(P361&gt;=Stats!$C$30,"High",IF(P361&lt;=Stats!$C$29,"Low","Normal"))</f>
        <v>High</v>
      </c>
      <c r="AE361">
        <f t="shared" si="77"/>
        <v>1</v>
      </c>
    </row>
    <row r="362" spans="1:31" x14ac:dyDescent="0.2">
      <c r="A362">
        <f>Dataset_A!A362</f>
        <v>361</v>
      </c>
      <c r="B362" s="61">
        <f>Dataset_A!B362</f>
        <v>40559</v>
      </c>
      <c r="C362">
        <f>Dataset_A!C362</f>
        <v>1</v>
      </c>
      <c r="D362">
        <f>Dataset_A!D362</f>
        <v>0</v>
      </c>
      <c r="E362">
        <f>Dataset_A!E362</f>
        <v>1</v>
      </c>
      <c r="F362">
        <f>Dataset_A!F362</f>
        <v>12</v>
      </c>
      <c r="G362" t="b">
        <f>Dataset_A!G362</f>
        <v>0</v>
      </c>
      <c r="H362">
        <f>Dataset_A!H362</f>
        <v>0</v>
      </c>
      <c r="I362">
        <f>Dataset_A!I362</f>
        <v>1</v>
      </c>
      <c r="J362" s="55">
        <f>Dataset_A!J362</f>
        <v>0.24</v>
      </c>
      <c r="K362">
        <f>Dataset_A!K362</f>
        <v>0.21210000000000001</v>
      </c>
      <c r="L362">
        <f>Dataset_A!L362</f>
        <v>0.41</v>
      </c>
      <c r="M362">
        <f>Dataset_A!M362</f>
        <v>0.28360000000000002</v>
      </c>
      <c r="N362">
        <f>Dataset_A!N362</f>
        <v>29</v>
      </c>
      <c r="O362">
        <f>Dataset_A!O362</f>
        <v>75</v>
      </c>
      <c r="P362">
        <f>Dataset_A!P362</f>
        <v>104</v>
      </c>
      <c r="Q362" t="str">
        <f t="shared" si="65"/>
        <v>REC-0361</v>
      </c>
      <c r="R362" s="62">
        <f t="shared" si="66"/>
        <v>40559.5</v>
      </c>
      <c r="S362" t="str">
        <f t="shared" si="67"/>
        <v>Jan</v>
      </c>
      <c r="T362" t="str">
        <f>INDEX(Lookups!$B$39:$B$45,MATCH(H362,Lookups!$A$39:$A$45,0))</f>
        <v>Sun</v>
      </c>
      <c r="U362" t="str">
        <f t="shared" si="68"/>
        <v>Weekend</v>
      </c>
      <c r="V362" t="str">
        <f t="shared" si="69"/>
        <v>Non-Working Day</v>
      </c>
      <c r="W362" t="str">
        <f t="shared" si="70"/>
        <v>Spring</v>
      </c>
      <c r="X362" t="str">
        <f t="shared" si="71"/>
        <v>Clear</v>
      </c>
      <c r="Y362" t="str">
        <f t="shared" si="72"/>
        <v>Afternoon</v>
      </c>
      <c r="Z362" t="str">
        <f t="shared" si="73"/>
        <v>Mild</v>
      </c>
      <c r="AA362" t="str">
        <f t="shared" si="74"/>
        <v>Low</v>
      </c>
      <c r="AB362" t="str">
        <f t="shared" si="75"/>
        <v>Off-Peak</v>
      </c>
      <c r="AC362" s="63">
        <f t="shared" si="76"/>
        <v>0.27884615384615385</v>
      </c>
      <c r="AD362" t="str">
        <f>IF(P362&gt;=Stats!$C$30,"High",IF(P362&lt;=Stats!$C$29,"Low","Normal"))</f>
        <v>High</v>
      </c>
      <c r="AE362">
        <f t="shared" si="77"/>
        <v>1</v>
      </c>
    </row>
    <row r="363" spans="1:31" x14ac:dyDescent="0.2">
      <c r="A363">
        <f>Dataset_A!A363</f>
        <v>362</v>
      </c>
      <c r="B363" s="61">
        <f>Dataset_A!B363</f>
        <v>40559</v>
      </c>
      <c r="C363">
        <f>Dataset_A!C363</f>
        <v>1</v>
      </c>
      <c r="D363">
        <f>Dataset_A!D363</f>
        <v>0</v>
      </c>
      <c r="E363">
        <f>Dataset_A!E363</f>
        <v>1</v>
      </c>
      <c r="F363">
        <f>Dataset_A!F363</f>
        <v>13</v>
      </c>
      <c r="G363" t="b">
        <f>Dataset_A!G363</f>
        <v>0</v>
      </c>
      <c r="H363">
        <f>Dataset_A!H363</f>
        <v>0</v>
      </c>
      <c r="I363">
        <f>Dataset_A!I363</f>
        <v>1</v>
      </c>
      <c r="J363" s="55">
        <f>Dataset_A!J363</f>
        <v>0.26</v>
      </c>
      <c r="K363">
        <f>Dataset_A!K363</f>
        <v>0.2273</v>
      </c>
      <c r="L363">
        <f>Dataset_A!L363</f>
        <v>0.35</v>
      </c>
      <c r="M363">
        <f>Dataset_A!M363</f>
        <v>0.29849999999999999</v>
      </c>
      <c r="N363">
        <f>Dataset_A!N363</f>
        <v>23</v>
      </c>
      <c r="O363">
        <f>Dataset_A!O363</f>
        <v>95</v>
      </c>
      <c r="P363">
        <f>Dataset_A!P363</f>
        <v>118</v>
      </c>
      <c r="Q363" t="str">
        <f t="shared" si="65"/>
        <v>REC-0362</v>
      </c>
      <c r="R363" s="62">
        <f t="shared" si="66"/>
        <v>40559.541666666664</v>
      </c>
      <c r="S363" t="str">
        <f t="shared" si="67"/>
        <v>Jan</v>
      </c>
      <c r="T363" t="str">
        <f>INDEX(Lookups!$B$39:$B$45,MATCH(H363,Lookups!$A$39:$A$45,0))</f>
        <v>Sun</v>
      </c>
      <c r="U363" t="str">
        <f t="shared" si="68"/>
        <v>Weekend</v>
      </c>
      <c r="V363" t="str">
        <f t="shared" si="69"/>
        <v>Non-Working Day</v>
      </c>
      <c r="W363" t="str">
        <f t="shared" si="70"/>
        <v>Spring</v>
      </c>
      <c r="X363" t="str">
        <f t="shared" si="71"/>
        <v>Clear</v>
      </c>
      <c r="Y363" t="str">
        <f t="shared" si="72"/>
        <v>Afternoon</v>
      </c>
      <c r="Z363" t="str">
        <f t="shared" si="73"/>
        <v>Mild</v>
      </c>
      <c r="AA363" t="str">
        <f t="shared" si="74"/>
        <v>Low</v>
      </c>
      <c r="AB363" t="str">
        <f t="shared" si="75"/>
        <v>Off-Peak</v>
      </c>
      <c r="AC363" s="63">
        <f t="shared" si="76"/>
        <v>0.19491525423728814</v>
      </c>
      <c r="AD363" t="str">
        <f>IF(P363&gt;=Stats!$C$30,"High",IF(P363&lt;=Stats!$C$29,"Low","Normal"))</f>
        <v>High</v>
      </c>
      <c r="AE363">
        <f t="shared" si="77"/>
        <v>1</v>
      </c>
    </row>
    <row r="364" spans="1:31" x14ac:dyDescent="0.2">
      <c r="A364">
        <f>Dataset_A!A364</f>
        <v>363</v>
      </c>
      <c r="B364" s="61">
        <f>Dataset_A!B364</f>
        <v>40559</v>
      </c>
      <c r="C364">
        <f>Dataset_A!C364</f>
        <v>1</v>
      </c>
      <c r="D364">
        <f>Dataset_A!D364</f>
        <v>0</v>
      </c>
      <c r="E364">
        <f>Dataset_A!E364</f>
        <v>1</v>
      </c>
      <c r="F364">
        <f>Dataset_A!F364</f>
        <v>14</v>
      </c>
      <c r="G364" t="b">
        <f>Dataset_A!G364</f>
        <v>0</v>
      </c>
      <c r="H364">
        <f>Dataset_A!H364</f>
        <v>0</v>
      </c>
      <c r="I364">
        <f>Dataset_A!I364</f>
        <v>1</v>
      </c>
      <c r="J364" s="55">
        <f>Dataset_A!J364</f>
        <v>0.28000000000000003</v>
      </c>
      <c r="K364">
        <f>Dataset_A!K364</f>
        <v>0.2727</v>
      </c>
      <c r="L364">
        <f>Dataset_A!L364</f>
        <v>0.36</v>
      </c>
      <c r="M364">
        <f>Dataset_A!M364</f>
        <v>0.25369999999999998</v>
      </c>
      <c r="N364">
        <f>Dataset_A!N364</f>
        <v>22</v>
      </c>
      <c r="O364">
        <f>Dataset_A!O364</f>
        <v>69</v>
      </c>
      <c r="P364">
        <f>Dataset_A!P364</f>
        <v>91</v>
      </c>
      <c r="Q364" t="str">
        <f t="shared" si="65"/>
        <v>REC-0363</v>
      </c>
      <c r="R364" s="62">
        <f t="shared" si="66"/>
        <v>40559.583333333336</v>
      </c>
      <c r="S364" t="str">
        <f t="shared" si="67"/>
        <v>Jan</v>
      </c>
      <c r="T364" t="str">
        <f>INDEX(Lookups!$B$39:$B$45,MATCH(H364,Lookups!$A$39:$A$45,0))</f>
        <v>Sun</v>
      </c>
      <c r="U364" t="str">
        <f t="shared" si="68"/>
        <v>Weekend</v>
      </c>
      <c r="V364" t="str">
        <f t="shared" si="69"/>
        <v>Non-Working Day</v>
      </c>
      <c r="W364" t="str">
        <f t="shared" si="70"/>
        <v>Spring</v>
      </c>
      <c r="X364" t="str">
        <f t="shared" si="71"/>
        <v>Clear</v>
      </c>
      <c r="Y364" t="str">
        <f t="shared" si="72"/>
        <v>Afternoon</v>
      </c>
      <c r="Z364" t="str">
        <f t="shared" si="73"/>
        <v>Mild</v>
      </c>
      <c r="AA364" t="str">
        <f t="shared" si="74"/>
        <v>Low</v>
      </c>
      <c r="AB364" t="str">
        <f t="shared" si="75"/>
        <v>Off-Peak</v>
      </c>
      <c r="AC364" s="63">
        <f t="shared" si="76"/>
        <v>0.24175824175824176</v>
      </c>
      <c r="AD364" t="str">
        <f>IF(P364&gt;=Stats!$C$30,"High",IF(P364&lt;=Stats!$C$29,"Low","Normal"))</f>
        <v>High</v>
      </c>
      <c r="AE364">
        <f t="shared" si="77"/>
        <v>1</v>
      </c>
    </row>
    <row r="365" spans="1:31" x14ac:dyDescent="0.2">
      <c r="A365">
        <f>Dataset_A!A365</f>
        <v>364</v>
      </c>
      <c r="B365" s="61">
        <f>Dataset_A!B365</f>
        <v>40559</v>
      </c>
      <c r="C365">
        <f>Dataset_A!C365</f>
        <v>1</v>
      </c>
      <c r="D365">
        <f>Dataset_A!D365</f>
        <v>0</v>
      </c>
      <c r="E365">
        <f>Dataset_A!E365</f>
        <v>1</v>
      </c>
      <c r="F365">
        <f>Dataset_A!F365</f>
        <v>15</v>
      </c>
      <c r="G365" t="b">
        <f>Dataset_A!G365</f>
        <v>0</v>
      </c>
      <c r="H365">
        <f>Dataset_A!H365</f>
        <v>0</v>
      </c>
      <c r="I365">
        <f>Dataset_A!I365</f>
        <v>1</v>
      </c>
      <c r="J365" s="55">
        <f>Dataset_A!J365</f>
        <v>0.26</v>
      </c>
      <c r="K365">
        <f>Dataset_A!K365</f>
        <v>0.2424</v>
      </c>
      <c r="L365">
        <f>Dataset_A!L365</f>
        <v>0.38</v>
      </c>
      <c r="M365">
        <f>Dataset_A!M365</f>
        <v>0.25369999999999998</v>
      </c>
      <c r="N365">
        <f>Dataset_A!N365</f>
        <v>35</v>
      </c>
      <c r="O365">
        <f>Dataset_A!O365</f>
        <v>78</v>
      </c>
      <c r="P365">
        <f>Dataset_A!P365</f>
        <v>113</v>
      </c>
      <c r="Q365" t="str">
        <f t="shared" si="65"/>
        <v>REC-0364</v>
      </c>
      <c r="R365" s="62">
        <f t="shared" si="66"/>
        <v>40559.625</v>
      </c>
      <c r="S365" t="str">
        <f t="shared" si="67"/>
        <v>Jan</v>
      </c>
      <c r="T365" t="str">
        <f>INDEX(Lookups!$B$39:$B$45,MATCH(H365,Lookups!$A$39:$A$45,0))</f>
        <v>Sun</v>
      </c>
      <c r="U365" t="str">
        <f t="shared" si="68"/>
        <v>Weekend</v>
      </c>
      <c r="V365" t="str">
        <f t="shared" si="69"/>
        <v>Non-Working Day</v>
      </c>
      <c r="W365" t="str">
        <f t="shared" si="70"/>
        <v>Spring</v>
      </c>
      <c r="X365" t="str">
        <f t="shared" si="71"/>
        <v>Clear</v>
      </c>
      <c r="Y365" t="str">
        <f t="shared" si="72"/>
        <v>Afternoon</v>
      </c>
      <c r="Z365" t="str">
        <f t="shared" si="73"/>
        <v>Mild</v>
      </c>
      <c r="AA365" t="str">
        <f t="shared" si="74"/>
        <v>Low</v>
      </c>
      <c r="AB365" t="str">
        <f t="shared" si="75"/>
        <v>Off-Peak</v>
      </c>
      <c r="AC365" s="63">
        <f t="shared" si="76"/>
        <v>0.30973451327433627</v>
      </c>
      <c r="AD365" t="str">
        <f>IF(P365&gt;=Stats!$C$30,"High",IF(P365&lt;=Stats!$C$29,"Low","Normal"))</f>
        <v>High</v>
      </c>
      <c r="AE365">
        <f t="shared" si="77"/>
        <v>1</v>
      </c>
    </row>
    <row r="366" spans="1:31" x14ac:dyDescent="0.2">
      <c r="A366">
        <f>Dataset_A!A366</f>
        <v>365</v>
      </c>
      <c r="B366" s="61">
        <f>Dataset_A!B366</f>
        <v>40559</v>
      </c>
      <c r="C366">
        <f>Dataset_A!C366</f>
        <v>1</v>
      </c>
      <c r="D366">
        <f>Dataset_A!D366</f>
        <v>0</v>
      </c>
      <c r="E366">
        <f>Dataset_A!E366</f>
        <v>1</v>
      </c>
      <c r="F366">
        <f>Dataset_A!F366</f>
        <v>16</v>
      </c>
      <c r="G366" t="b">
        <f>Dataset_A!G366</f>
        <v>0</v>
      </c>
      <c r="H366">
        <f>Dataset_A!H366</f>
        <v>0</v>
      </c>
      <c r="I366">
        <f>Dataset_A!I366</f>
        <v>1</v>
      </c>
      <c r="J366" s="55">
        <f>Dataset_A!J366</f>
        <v>0.24</v>
      </c>
      <c r="K366">
        <f>Dataset_A!K366</f>
        <v>0.2273</v>
      </c>
      <c r="L366">
        <f>Dataset_A!L366</f>
        <v>0.38</v>
      </c>
      <c r="M366">
        <f>Dataset_A!M366</f>
        <v>0.22389999999999999</v>
      </c>
      <c r="N366">
        <f>Dataset_A!N366</f>
        <v>22</v>
      </c>
      <c r="O366">
        <f>Dataset_A!O366</f>
        <v>77</v>
      </c>
      <c r="P366">
        <f>Dataset_A!P366</f>
        <v>99</v>
      </c>
      <c r="Q366" t="str">
        <f t="shared" si="65"/>
        <v>REC-0365</v>
      </c>
      <c r="R366" s="62">
        <f t="shared" si="66"/>
        <v>40559.666666666664</v>
      </c>
      <c r="S366" t="str">
        <f t="shared" si="67"/>
        <v>Jan</v>
      </c>
      <c r="T366" t="str">
        <f>INDEX(Lookups!$B$39:$B$45,MATCH(H366,Lookups!$A$39:$A$45,0))</f>
        <v>Sun</v>
      </c>
      <c r="U366" t="str">
        <f t="shared" si="68"/>
        <v>Weekend</v>
      </c>
      <c r="V366" t="str">
        <f t="shared" si="69"/>
        <v>Non-Working Day</v>
      </c>
      <c r="W366" t="str">
        <f t="shared" si="70"/>
        <v>Spring</v>
      </c>
      <c r="X366" t="str">
        <f t="shared" si="71"/>
        <v>Clear</v>
      </c>
      <c r="Y366" t="str">
        <f t="shared" si="72"/>
        <v>Afternoon</v>
      </c>
      <c r="Z366" t="str">
        <f t="shared" si="73"/>
        <v>Mild</v>
      </c>
      <c r="AA366" t="str">
        <f t="shared" si="74"/>
        <v>Low</v>
      </c>
      <c r="AB366" t="str">
        <f t="shared" si="75"/>
        <v>Off-Peak</v>
      </c>
      <c r="AC366" s="63">
        <f t="shared" si="76"/>
        <v>0.22222222222222221</v>
      </c>
      <c r="AD366" t="str">
        <f>IF(P366&gt;=Stats!$C$30,"High",IF(P366&lt;=Stats!$C$29,"Low","Normal"))</f>
        <v>High</v>
      </c>
      <c r="AE366">
        <f t="shared" si="77"/>
        <v>1</v>
      </c>
    </row>
    <row r="367" spans="1:31" x14ac:dyDescent="0.2">
      <c r="A367">
        <f>Dataset_A!A367</f>
        <v>366</v>
      </c>
      <c r="B367" s="61">
        <f>Dataset_A!B367</f>
        <v>40559</v>
      </c>
      <c r="C367">
        <f>Dataset_A!C367</f>
        <v>1</v>
      </c>
      <c r="D367">
        <f>Dataset_A!D367</f>
        <v>0</v>
      </c>
      <c r="E367">
        <f>Dataset_A!E367</f>
        <v>1</v>
      </c>
      <c r="F367">
        <f>Dataset_A!F367</f>
        <v>17</v>
      </c>
      <c r="G367" t="b">
        <f>Dataset_A!G367</f>
        <v>0</v>
      </c>
      <c r="H367">
        <f>Dataset_A!H367</f>
        <v>0</v>
      </c>
      <c r="I367">
        <f>Dataset_A!I367</f>
        <v>1</v>
      </c>
      <c r="J367" s="55">
        <f>Dataset_A!J367</f>
        <v>0.22</v>
      </c>
      <c r="K367">
        <f>Dataset_A!K367</f>
        <v>0.21210000000000001</v>
      </c>
      <c r="L367">
        <f>Dataset_A!L367</f>
        <v>0.37</v>
      </c>
      <c r="M367">
        <f>Dataset_A!M367</f>
        <v>0.25369999999999998</v>
      </c>
      <c r="N367">
        <f>Dataset_A!N367</f>
        <v>23</v>
      </c>
      <c r="O367">
        <f>Dataset_A!O367</f>
        <v>82</v>
      </c>
      <c r="P367">
        <f>Dataset_A!P367</f>
        <v>105</v>
      </c>
      <c r="Q367" t="str">
        <f t="shared" si="65"/>
        <v>REC-0366</v>
      </c>
      <c r="R367" s="62">
        <f t="shared" si="66"/>
        <v>40559.708333333336</v>
      </c>
      <c r="S367" t="str">
        <f t="shared" si="67"/>
        <v>Jan</v>
      </c>
      <c r="T367" t="str">
        <f>INDEX(Lookups!$B$39:$B$45,MATCH(H367,Lookups!$A$39:$A$45,0))</f>
        <v>Sun</v>
      </c>
      <c r="U367" t="str">
        <f t="shared" si="68"/>
        <v>Weekend</v>
      </c>
      <c r="V367" t="str">
        <f t="shared" si="69"/>
        <v>Non-Working Day</v>
      </c>
      <c r="W367" t="str">
        <f t="shared" si="70"/>
        <v>Spring</v>
      </c>
      <c r="X367" t="str">
        <f t="shared" si="71"/>
        <v>Clear</v>
      </c>
      <c r="Y367" t="str">
        <f t="shared" si="72"/>
        <v>Evening</v>
      </c>
      <c r="Z367" t="str">
        <f t="shared" si="73"/>
        <v>Mild</v>
      </c>
      <c r="AA367" t="str">
        <f t="shared" si="74"/>
        <v>Low</v>
      </c>
      <c r="AB367" t="str">
        <f t="shared" si="75"/>
        <v>Off-Peak</v>
      </c>
      <c r="AC367" s="63">
        <f t="shared" si="76"/>
        <v>0.21904761904761905</v>
      </c>
      <c r="AD367" t="str">
        <f>IF(P367&gt;=Stats!$C$30,"High",IF(P367&lt;=Stats!$C$29,"Low","Normal"))</f>
        <v>High</v>
      </c>
      <c r="AE367">
        <f t="shared" si="77"/>
        <v>1</v>
      </c>
    </row>
    <row r="368" spans="1:31" x14ac:dyDescent="0.2">
      <c r="A368">
        <f>Dataset_A!A368</f>
        <v>367</v>
      </c>
      <c r="B368" s="61">
        <f>Dataset_A!B368</f>
        <v>40559</v>
      </c>
      <c r="C368">
        <f>Dataset_A!C368</f>
        <v>1</v>
      </c>
      <c r="D368">
        <f>Dataset_A!D368</f>
        <v>0</v>
      </c>
      <c r="E368">
        <f>Dataset_A!E368</f>
        <v>1</v>
      </c>
      <c r="F368">
        <f>Dataset_A!F368</f>
        <v>18</v>
      </c>
      <c r="G368" t="b">
        <f>Dataset_A!G368</f>
        <v>0</v>
      </c>
      <c r="H368">
        <f>Dataset_A!H368</f>
        <v>0</v>
      </c>
      <c r="I368">
        <f>Dataset_A!I368</f>
        <v>1</v>
      </c>
      <c r="J368" s="55">
        <f>Dataset_A!J368</f>
        <v>0.2</v>
      </c>
      <c r="K368">
        <f>Dataset_A!K368</f>
        <v>0.21210000000000001</v>
      </c>
      <c r="L368">
        <f>Dataset_A!L368</f>
        <v>0.4</v>
      </c>
      <c r="M368">
        <f>Dataset_A!M368</f>
        <v>0.16420000000000001</v>
      </c>
      <c r="N368">
        <f>Dataset_A!N368</f>
        <v>11</v>
      </c>
      <c r="O368">
        <f>Dataset_A!O368</f>
        <v>56</v>
      </c>
      <c r="P368">
        <f>Dataset_A!P368</f>
        <v>67</v>
      </c>
      <c r="Q368" t="str">
        <f t="shared" si="65"/>
        <v>REC-0367</v>
      </c>
      <c r="R368" s="62">
        <f t="shared" si="66"/>
        <v>40559.75</v>
      </c>
      <c r="S368" t="str">
        <f t="shared" si="67"/>
        <v>Jan</v>
      </c>
      <c r="T368" t="str">
        <f>INDEX(Lookups!$B$39:$B$45,MATCH(H368,Lookups!$A$39:$A$45,0))</f>
        <v>Sun</v>
      </c>
      <c r="U368" t="str">
        <f t="shared" si="68"/>
        <v>Weekend</v>
      </c>
      <c r="V368" t="str">
        <f t="shared" si="69"/>
        <v>Non-Working Day</v>
      </c>
      <c r="W368" t="str">
        <f t="shared" si="70"/>
        <v>Spring</v>
      </c>
      <c r="X368" t="str">
        <f t="shared" si="71"/>
        <v>Clear</v>
      </c>
      <c r="Y368" t="str">
        <f t="shared" si="72"/>
        <v>Evening</v>
      </c>
      <c r="Z368" t="str">
        <f t="shared" si="73"/>
        <v>Mild</v>
      </c>
      <c r="AA368" t="str">
        <f t="shared" si="74"/>
        <v>Low</v>
      </c>
      <c r="AB368" t="str">
        <f t="shared" si="75"/>
        <v>Off-Peak</v>
      </c>
      <c r="AC368" s="63">
        <f t="shared" si="76"/>
        <v>0.16417910447761194</v>
      </c>
      <c r="AD368" t="str">
        <f>IF(P368&gt;=Stats!$C$30,"High",IF(P368&lt;=Stats!$C$29,"Low","Normal"))</f>
        <v>Normal</v>
      </c>
      <c r="AE368">
        <f t="shared" si="77"/>
        <v>1</v>
      </c>
    </row>
    <row r="369" spans="1:31" x14ac:dyDescent="0.2">
      <c r="A369">
        <f>Dataset_A!A369</f>
        <v>368</v>
      </c>
      <c r="B369" s="61">
        <f>Dataset_A!B369</f>
        <v>40559</v>
      </c>
      <c r="C369">
        <f>Dataset_A!C369</f>
        <v>1</v>
      </c>
      <c r="D369">
        <f>Dataset_A!D369</f>
        <v>0</v>
      </c>
      <c r="E369">
        <f>Dataset_A!E369</f>
        <v>1</v>
      </c>
      <c r="F369">
        <f>Dataset_A!F369</f>
        <v>19</v>
      </c>
      <c r="G369" t="b">
        <f>Dataset_A!G369</f>
        <v>0</v>
      </c>
      <c r="H369">
        <f>Dataset_A!H369</f>
        <v>0</v>
      </c>
      <c r="I369">
        <f>Dataset_A!I369</f>
        <v>1</v>
      </c>
      <c r="J369" s="55">
        <f>Dataset_A!J369</f>
        <v>0.18</v>
      </c>
      <c r="K369">
        <f>Dataset_A!K369</f>
        <v>0.19700000000000001</v>
      </c>
      <c r="L369">
        <f>Dataset_A!L369</f>
        <v>0.47</v>
      </c>
      <c r="M369">
        <f>Dataset_A!M369</f>
        <v>0.1343</v>
      </c>
      <c r="N369">
        <f>Dataset_A!N369</f>
        <v>14</v>
      </c>
      <c r="O369">
        <f>Dataset_A!O369</f>
        <v>47</v>
      </c>
      <c r="P369">
        <f>Dataset_A!P369</f>
        <v>61</v>
      </c>
      <c r="Q369" t="str">
        <f t="shared" si="65"/>
        <v>REC-0368</v>
      </c>
      <c r="R369" s="62">
        <f t="shared" si="66"/>
        <v>40559.791666666664</v>
      </c>
      <c r="S369" t="str">
        <f t="shared" si="67"/>
        <v>Jan</v>
      </c>
      <c r="T369" t="str">
        <f>INDEX(Lookups!$B$39:$B$45,MATCH(H369,Lookups!$A$39:$A$45,0))</f>
        <v>Sun</v>
      </c>
      <c r="U369" t="str">
        <f t="shared" si="68"/>
        <v>Weekend</v>
      </c>
      <c r="V369" t="str">
        <f t="shared" si="69"/>
        <v>Non-Working Day</v>
      </c>
      <c r="W369" t="str">
        <f t="shared" si="70"/>
        <v>Spring</v>
      </c>
      <c r="X369" t="str">
        <f t="shared" si="71"/>
        <v>Clear</v>
      </c>
      <c r="Y369" t="str">
        <f t="shared" si="72"/>
        <v>Evening</v>
      </c>
      <c r="Z369" t="str">
        <f t="shared" si="73"/>
        <v>Cold</v>
      </c>
      <c r="AA369" t="str">
        <f t="shared" si="74"/>
        <v>Low</v>
      </c>
      <c r="AB369" t="str">
        <f t="shared" si="75"/>
        <v>Off-Peak</v>
      </c>
      <c r="AC369" s="63">
        <f t="shared" si="76"/>
        <v>0.22950819672131148</v>
      </c>
      <c r="AD369" t="str">
        <f>IF(P369&gt;=Stats!$C$30,"High",IF(P369&lt;=Stats!$C$29,"Low","Normal"))</f>
        <v>Normal</v>
      </c>
      <c r="AE369">
        <f t="shared" si="77"/>
        <v>1</v>
      </c>
    </row>
    <row r="370" spans="1:31" x14ac:dyDescent="0.2">
      <c r="A370">
        <f>Dataset_A!A370</f>
        <v>369</v>
      </c>
      <c r="B370" s="61">
        <f>Dataset_A!B370</f>
        <v>40559</v>
      </c>
      <c r="C370">
        <f>Dataset_A!C370</f>
        <v>1</v>
      </c>
      <c r="D370">
        <f>Dataset_A!D370</f>
        <v>0</v>
      </c>
      <c r="E370">
        <f>Dataset_A!E370</f>
        <v>1</v>
      </c>
      <c r="F370">
        <f>Dataset_A!F370</f>
        <v>20</v>
      </c>
      <c r="G370" t="b">
        <f>Dataset_A!G370</f>
        <v>0</v>
      </c>
      <c r="H370">
        <f>Dataset_A!H370</f>
        <v>0</v>
      </c>
      <c r="I370">
        <f>Dataset_A!I370</f>
        <v>1</v>
      </c>
      <c r="J370" s="55">
        <f>Dataset_A!J370</f>
        <v>0.18</v>
      </c>
      <c r="K370">
        <f>Dataset_A!K370</f>
        <v>0.19700000000000001</v>
      </c>
      <c r="L370">
        <f>Dataset_A!L370</f>
        <v>0.47</v>
      </c>
      <c r="M370">
        <f>Dataset_A!M370</f>
        <v>0.16420000000000001</v>
      </c>
      <c r="N370">
        <f>Dataset_A!N370</f>
        <v>7</v>
      </c>
      <c r="O370">
        <f>Dataset_A!O370</f>
        <v>50</v>
      </c>
      <c r="P370">
        <f>Dataset_A!P370</f>
        <v>57</v>
      </c>
      <c r="Q370" t="str">
        <f t="shared" si="65"/>
        <v>REC-0369</v>
      </c>
      <c r="R370" s="62">
        <f t="shared" si="66"/>
        <v>40559.833333333336</v>
      </c>
      <c r="S370" t="str">
        <f t="shared" si="67"/>
        <v>Jan</v>
      </c>
      <c r="T370" t="str">
        <f>INDEX(Lookups!$B$39:$B$45,MATCH(H370,Lookups!$A$39:$A$45,0))</f>
        <v>Sun</v>
      </c>
      <c r="U370" t="str">
        <f t="shared" si="68"/>
        <v>Weekend</v>
      </c>
      <c r="V370" t="str">
        <f t="shared" si="69"/>
        <v>Non-Working Day</v>
      </c>
      <c r="W370" t="str">
        <f t="shared" si="70"/>
        <v>Spring</v>
      </c>
      <c r="X370" t="str">
        <f t="shared" si="71"/>
        <v>Clear</v>
      </c>
      <c r="Y370" t="str">
        <f t="shared" si="72"/>
        <v>Evening</v>
      </c>
      <c r="Z370" t="str">
        <f t="shared" si="73"/>
        <v>Cold</v>
      </c>
      <c r="AA370" t="str">
        <f t="shared" si="74"/>
        <v>Low</v>
      </c>
      <c r="AB370" t="str">
        <f t="shared" si="75"/>
        <v>Off-Peak</v>
      </c>
      <c r="AC370" s="63">
        <f t="shared" si="76"/>
        <v>0.12280701754385964</v>
      </c>
      <c r="AD370" t="str">
        <f>IF(P370&gt;=Stats!$C$30,"High",IF(P370&lt;=Stats!$C$29,"Low","Normal"))</f>
        <v>Normal</v>
      </c>
      <c r="AE370">
        <f t="shared" si="77"/>
        <v>1</v>
      </c>
    </row>
    <row r="371" spans="1:31" x14ac:dyDescent="0.2">
      <c r="A371">
        <f>Dataset_A!A371</f>
        <v>370</v>
      </c>
      <c r="B371" s="61">
        <f>Dataset_A!B371</f>
        <v>40559</v>
      </c>
      <c r="C371">
        <f>Dataset_A!C371</f>
        <v>1</v>
      </c>
      <c r="D371">
        <f>Dataset_A!D371</f>
        <v>0</v>
      </c>
      <c r="E371">
        <f>Dataset_A!E371</f>
        <v>1</v>
      </c>
      <c r="F371">
        <f>Dataset_A!F371</f>
        <v>21</v>
      </c>
      <c r="G371" t="b">
        <f>Dataset_A!G371</f>
        <v>0</v>
      </c>
      <c r="H371">
        <f>Dataset_A!H371</f>
        <v>0</v>
      </c>
      <c r="I371">
        <f>Dataset_A!I371</f>
        <v>1</v>
      </c>
      <c r="J371" s="55">
        <f>Dataset_A!J371</f>
        <v>0.18</v>
      </c>
      <c r="K371">
        <f>Dataset_A!K371</f>
        <v>0.19700000000000001</v>
      </c>
      <c r="L371">
        <f>Dataset_A!L371</f>
        <v>0.51</v>
      </c>
      <c r="M371">
        <f>Dataset_A!M371</f>
        <v>0.16420000000000001</v>
      </c>
      <c r="N371">
        <f>Dataset_A!N371</f>
        <v>6</v>
      </c>
      <c r="O371">
        <f>Dataset_A!O371</f>
        <v>22</v>
      </c>
      <c r="P371">
        <f>Dataset_A!P371</f>
        <v>28</v>
      </c>
      <c r="Q371" t="str">
        <f t="shared" si="65"/>
        <v>REC-0370</v>
      </c>
      <c r="R371" s="62">
        <f t="shared" si="66"/>
        <v>40559.875</v>
      </c>
      <c r="S371" t="str">
        <f t="shared" si="67"/>
        <v>Jan</v>
      </c>
      <c r="T371" t="str">
        <f>INDEX(Lookups!$B$39:$B$45,MATCH(H371,Lookups!$A$39:$A$45,0))</f>
        <v>Sun</v>
      </c>
      <c r="U371" t="str">
        <f t="shared" si="68"/>
        <v>Weekend</v>
      </c>
      <c r="V371" t="str">
        <f t="shared" si="69"/>
        <v>Non-Working Day</v>
      </c>
      <c r="W371" t="str">
        <f t="shared" si="70"/>
        <v>Spring</v>
      </c>
      <c r="X371" t="str">
        <f t="shared" si="71"/>
        <v>Clear</v>
      </c>
      <c r="Y371" t="str">
        <f t="shared" si="72"/>
        <v>Late Evening</v>
      </c>
      <c r="Z371" t="str">
        <f t="shared" si="73"/>
        <v>Cold</v>
      </c>
      <c r="AA371" t="str">
        <f t="shared" si="74"/>
        <v>Medium</v>
      </c>
      <c r="AB371" t="str">
        <f t="shared" si="75"/>
        <v>Off-Peak</v>
      </c>
      <c r="AC371" s="63">
        <f t="shared" si="76"/>
        <v>0.21428571428571427</v>
      </c>
      <c r="AD371" t="str">
        <f>IF(P371&gt;=Stats!$C$30,"High",IF(P371&lt;=Stats!$C$29,"Low","Normal"))</f>
        <v>Normal</v>
      </c>
      <c r="AE371">
        <f t="shared" si="77"/>
        <v>1</v>
      </c>
    </row>
    <row r="372" spans="1:31" x14ac:dyDescent="0.2">
      <c r="A372">
        <f>Dataset_A!A372</f>
        <v>371</v>
      </c>
      <c r="B372" s="61">
        <f>Dataset_A!B372</f>
        <v>40559</v>
      </c>
      <c r="C372">
        <f>Dataset_A!C372</f>
        <v>1</v>
      </c>
      <c r="D372">
        <f>Dataset_A!D372</f>
        <v>0</v>
      </c>
      <c r="E372">
        <f>Dataset_A!E372</f>
        <v>1</v>
      </c>
      <c r="F372">
        <f>Dataset_A!F372</f>
        <v>22</v>
      </c>
      <c r="G372" t="b">
        <f>Dataset_A!G372</f>
        <v>0</v>
      </c>
      <c r="H372">
        <f>Dataset_A!H372</f>
        <v>0</v>
      </c>
      <c r="I372">
        <f>Dataset_A!I372</f>
        <v>2</v>
      </c>
      <c r="J372" s="55">
        <f>Dataset_A!J372</f>
        <v>0.2</v>
      </c>
      <c r="K372">
        <f>Dataset_A!K372</f>
        <v>0.21210000000000001</v>
      </c>
      <c r="L372">
        <f>Dataset_A!L372</f>
        <v>0.49</v>
      </c>
      <c r="M372">
        <f>Dataset_A!M372</f>
        <v>0.1343</v>
      </c>
      <c r="N372">
        <f>Dataset_A!N372</f>
        <v>2</v>
      </c>
      <c r="O372">
        <f>Dataset_A!O372</f>
        <v>19</v>
      </c>
      <c r="P372">
        <f>Dataset_A!P372</f>
        <v>21</v>
      </c>
      <c r="Q372" t="str">
        <f t="shared" si="65"/>
        <v>REC-0371</v>
      </c>
      <c r="R372" s="62">
        <f t="shared" si="66"/>
        <v>40559.916666666664</v>
      </c>
      <c r="S372" t="str">
        <f t="shared" si="67"/>
        <v>Jan</v>
      </c>
      <c r="T372" t="str">
        <f>INDEX(Lookups!$B$39:$B$45,MATCH(H372,Lookups!$A$39:$A$45,0))</f>
        <v>Sun</v>
      </c>
      <c r="U372" t="str">
        <f t="shared" si="68"/>
        <v>Weekend</v>
      </c>
      <c r="V372" t="str">
        <f t="shared" si="69"/>
        <v>Non-Working Day</v>
      </c>
      <c r="W372" t="str">
        <f t="shared" si="70"/>
        <v>Spring</v>
      </c>
      <c r="X372" t="str">
        <f t="shared" si="71"/>
        <v>Cloudy/Mist</v>
      </c>
      <c r="Y372" t="str">
        <f t="shared" si="72"/>
        <v>Late Evening</v>
      </c>
      <c r="Z372" t="str">
        <f t="shared" si="73"/>
        <v>Mild</v>
      </c>
      <c r="AA372" t="str">
        <f t="shared" si="74"/>
        <v>Low</v>
      </c>
      <c r="AB372" t="str">
        <f t="shared" si="75"/>
        <v>Off-Peak</v>
      </c>
      <c r="AC372" s="63">
        <f t="shared" si="76"/>
        <v>9.5238095238095233E-2</v>
      </c>
      <c r="AD372" t="str">
        <f>IF(P372&gt;=Stats!$C$30,"High",IF(P372&lt;=Stats!$C$29,"Low","Normal"))</f>
        <v>Normal</v>
      </c>
      <c r="AE372">
        <f t="shared" si="77"/>
        <v>1</v>
      </c>
    </row>
    <row r="373" spans="1:31" x14ac:dyDescent="0.2">
      <c r="A373">
        <f>Dataset_A!A373</f>
        <v>372</v>
      </c>
      <c r="B373" s="61">
        <f>Dataset_A!B373</f>
        <v>40559</v>
      </c>
      <c r="C373">
        <f>Dataset_A!C373</f>
        <v>1</v>
      </c>
      <c r="D373">
        <f>Dataset_A!D373</f>
        <v>0</v>
      </c>
      <c r="E373">
        <f>Dataset_A!E373</f>
        <v>1</v>
      </c>
      <c r="F373">
        <f>Dataset_A!F373</f>
        <v>23</v>
      </c>
      <c r="G373" t="b">
        <f>Dataset_A!G373</f>
        <v>0</v>
      </c>
      <c r="H373">
        <f>Dataset_A!H373</f>
        <v>0</v>
      </c>
      <c r="I373">
        <f>Dataset_A!I373</f>
        <v>2</v>
      </c>
      <c r="J373" s="55">
        <f>Dataset_A!J373</f>
        <v>0.2</v>
      </c>
      <c r="K373">
        <f>Dataset_A!K373</f>
        <v>0.2273</v>
      </c>
      <c r="L373">
        <f>Dataset_A!L373</f>
        <v>0.4</v>
      </c>
      <c r="M373">
        <f>Dataset_A!M373</f>
        <v>0.1045</v>
      </c>
      <c r="N373">
        <f>Dataset_A!N373</f>
        <v>0</v>
      </c>
      <c r="O373">
        <f>Dataset_A!O373</f>
        <v>18</v>
      </c>
      <c r="P373">
        <f>Dataset_A!P373</f>
        <v>18</v>
      </c>
      <c r="Q373" t="str">
        <f t="shared" si="65"/>
        <v>REC-0372</v>
      </c>
      <c r="R373" s="62">
        <f t="shared" si="66"/>
        <v>40559.958333333336</v>
      </c>
      <c r="S373" t="str">
        <f t="shared" si="67"/>
        <v>Jan</v>
      </c>
      <c r="T373" t="str">
        <f>INDEX(Lookups!$B$39:$B$45,MATCH(H373,Lookups!$A$39:$A$45,0))</f>
        <v>Sun</v>
      </c>
      <c r="U373" t="str">
        <f t="shared" si="68"/>
        <v>Weekend</v>
      </c>
      <c r="V373" t="str">
        <f t="shared" si="69"/>
        <v>Non-Working Day</v>
      </c>
      <c r="W373" t="str">
        <f t="shared" si="70"/>
        <v>Spring</v>
      </c>
      <c r="X373" t="str">
        <f t="shared" si="71"/>
        <v>Cloudy/Mist</v>
      </c>
      <c r="Y373" t="str">
        <f t="shared" si="72"/>
        <v>Late Evening</v>
      </c>
      <c r="Z373" t="str">
        <f t="shared" si="73"/>
        <v>Mild</v>
      </c>
      <c r="AA373" t="str">
        <f t="shared" si="74"/>
        <v>Low</v>
      </c>
      <c r="AB373" t="str">
        <f t="shared" si="75"/>
        <v>Off-Peak</v>
      </c>
      <c r="AC373" s="63">
        <f t="shared" si="76"/>
        <v>0</v>
      </c>
      <c r="AD373" t="str">
        <f>IF(P373&gt;=Stats!$C$30,"High",IF(P373&lt;=Stats!$C$29,"Low","Normal"))</f>
        <v>Normal</v>
      </c>
      <c r="AE373">
        <f t="shared" si="77"/>
        <v>1</v>
      </c>
    </row>
    <row r="374" spans="1:31" x14ac:dyDescent="0.2">
      <c r="A374">
        <f>Dataset_A!A374</f>
        <v>373</v>
      </c>
      <c r="B374" s="61">
        <f>Dataset_A!B374</f>
        <v>40560</v>
      </c>
      <c r="C374">
        <f>Dataset_A!C374</f>
        <v>1</v>
      </c>
      <c r="D374">
        <f>Dataset_A!D374</f>
        <v>0</v>
      </c>
      <c r="E374">
        <f>Dataset_A!E374</f>
        <v>1</v>
      </c>
      <c r="F374">
        <f>Dataset_A!F374</f>
        <v>0</v>
      </c>
      <c r="G374" t="b">
        <f>Dataset_A!G374</f>
        <v>1</v>
      </c>
      <c r="H374">
        <f>Dataset_A!H374</f>
        <v>1</v>
      </c>
      <c r="I374">
        <f>Dataset_A!I374</f>
        <v>2</v>
      </c>
      <c r="J374" s="55">
        <f>Dataset_A!J374</f>
        <v>0.2</v>
      </c>
      <c r="K374">
        <f>Dataset_A!K374</f>
        <v>0.19700000000000001</v>
      </c>
      <c r="L374">
        <f>Dataset_A!L374</f>
        <v>0.47</v>
      </c>
      <c r="M374">
        <f>Dataset_A!M374</f>
        <v>0.22389999999999999</v>
      </c>
      <c r="N374">
        <f>Dataset_A!N374</f>
        <v>1</v>
      </c>
      <c r="O374">
        <f>Dataset_A!O374</f>
        <v>16</v>
      </c>
      <c r="P374">
        <f>Dataset_A!P374</f>
        <v>17</v>
      </c>
      <c r="Q374" t="str">
        <f t="shared" si="65"/>
        <v>REC-0373</v>
      </c>
      <c r="R374" s="62">
        <f t="shared" si="66"/>
        <v>40560</v>
      </c>
      <c r="S374" t="str">
        <f t="shared" si="67"/>
        <v>Jan</v>
      </c>
      <c r="T374" t="str">
        <f>INDEX(Lookups!$B$39:$B$45,MATCH(H374,Lookups!$A$39:$A$45,0))</f>
        <v>Mon</v>
      </c>
      <c r="U374" t="str">
        <f t="shared" si="68"/>
        <v>Weekday</v>
      </c>
      <c r="V374" t="str">
        <f t="shared" si="69"/>
        <v>Non-Working Day</v>
      </c>
      <c r="W374" t="str">
        <f t="shared" si="70"/>
        <v>Spring</v>
      </c>
      <c r="X374" t="str">
        <f t="shared" si="71"/>
        <v>Cloudy/Mist</v>
      </c>
      <c r="Y374" t="str">
        <f t="shared" si="72"/>
        <v>Night</v>
      </c>
      <c r="Z374" t="str">
        <f t="shared" si="73"/>
        <v>Mild</v>
      </c>
      <c r="AA374" t="str">
        <f t="shared" si="74"/>
        <v>Low</v>
      </c>
      <c r="AB374" t="str">
        <f t="shared" si="75"/>
        <v>Off-Peak</v>
      </c>
      <c r="AC374" s="63">
        <f t="shared" si="76"/>
        <v>5.8823529411764705E-2</v>
      </c>
      <c r="AD374" t="str">
        <f>IF(P374&gt;=Stats!$C$30,"High",IF(P374&lt;=Stats!$C$29,"Low","Normal"))</f>
        <v>Normal</v>
      </c>
      <c r="AE374">
        <f t="shared" si="77"/>
        <v>1</v>
      </c>
    </row>
    <row r="375" spans="1:31" x14ac:dyDescent="0.2">
      <c r="A375">
        <f>Dataset_A!A375</f>
        <v>374</v>
      </c>
      <c r="B375" s="61">
        <f>Dataset_A!B375</f>
        <v>40560</v>
      </c>
      <c r="C375">
        <f>Dataset_A!C375</f>
        <v>1</v>
      </c>
      <c r="D375">
        <f>Dataset_A!D375</f>
        <v>0</v>
      </c>
      <c r="E375">
        <f>Dataset_A!E375</f>
        <v>1</v>
      </c>
      <c r="F375">
        <f>Dataset_A!F375</f>
        <v>1</v>
      </c>
      <c r="G375" t="b">
        <f>Dataset_A!G375</f>
        <v>1</v>
      </c>
      <c r="H375">
        <f>Dataset_A!H375</f>
        <v>1</v>
      </c>
      <c r="I375">
        <f>Dataset_A!I375</f>
        <v>2</v>
      </c>
      <c r="J375" s="55">
        <f>Dataset_A!J375</f>
        <v>0.2</v>
      </c>
      <c r="K375">
        <f>Dataset_A!K375</f>
        <v>0.19700000000000001</v>
      </c>
      <c r="L375">
        <f>Dataset_A!L375</f>
        <v>0.44</v>
      </c>
      <c r="M375">
        <f>Dataset_A!M375</f>
        <v>0.19400000000000001</v>
      </c>
      <c r="N375">
        <f>Dataset_A!N375</f>
        <v>1</v>
      </c>
      <c r="O375">
        <f>Dataset_A!O375</f>
        <v>15</v>
      </c>
      <c r="P375">
        <f>Dataset_A!P375</f>
        <v>16</v>
      </c>
      <c r="Q375" t="str">
        <f t="shared" si="65"/>
        <v>REC-0374</v>
      </c>
      <c r="R375" s="62">
        <f t="shared" si="66"/>
        <v>40560.041666666664</v>
      </c>
      <c r="S375" t="str">
        <f t="shared" si="67"/>
        <v>Jan</v>
      </c>
      <c r="T375" t="str">
        <f>INDEX(Lookups!$B$39:$B$45,MATCH(H375,Lookups!$A$39:$A$45,0))</f>
        <v>Mon</v>
      </c>
      <c r="U375" t="str">
        <f t="shared" si="68"/>
        <v>Weekday</v>
      </c>
      <c r="V375" t="str">
        <f t="shared" si="69"/>
        <v>Non-Working Day</v>
      </c>
      <c r="W375" t="str">
        <f t="shared" si="70"/>
        <v>Spring</v>
      </c>
      <c r="X375" t="str">
        <f t="shared" si="71"/>
        <v>Cloudy/Mist</v>
      </c>
      <c r="Y375" t="str">
        <f t="shared" si="72"/>
        <v>Night</v>
      </c>
      <c r="Z375" t="str">
        <f t="shared" si="73"/>
        <v>Mild</v>
      </c>
      <c r="AA375" t="str">
        <f t="shared" si="74"/>
        <v>Low</v>
      </c>
      <c r="AB375" t="str">
        <f t="shared" si="75"/>
        <v>Off-Peak</v>
      </c>
      <c r="AC375" s="63">
        <f t="shared" si="76"/>
        <v>6.25E-2</v>
      </c>
      <c r="AD375" t="str">
        <f>IF(P375&gt;=Stats!$C$30,"High",IF(P375&lt;=Stats!$C$29,"Low","Normal"))</f>
        <v>Low</v>
      </c>
      <c r="AE375">
        <f t="shared" si="77"/>
        <v>1</v>
      </c>
    </row>
    <row r="376" spans="1:31" x14ac:dyDescent="0.2">
      <c r="A376">
        <f>Dataset_A!A376</f>
        <v>375</v>
      </c>
      <c r="B376" s="61">
        <f>Dataset_A!B376</f>
        <v>40560</v>
      </c>
      <c r="C376">
        <f>Dataset_A!C376</f>
        <v>1</v>
      </c>
      <c r="D376">
        <f>Dataset_A!D376</f>
        <v>0</v>
      </c>
      <c r="E376">
        <f>Dataset_A!E376</f>
        <v>1</v>
      </c>
      <c r="F376">
        <f>Dataset_A!F376</f>
        <v>2</v>
      </c>
      <c r="G376" t="b">
        <f>Dataset_A!G376</f>
        <v>1</v>
      </c>
      <c r="H376">
        <f>Dataset_A!H376</f>
        <v>1</v>
      </c>
      <c r="I376">
        <f>Dataset_A!I376</f>
        <v>2</v>
      </c>
      <c r="J376" s="55">
        <f>Dataset_A!J376</f>
        <v>0.18</v>
      </c>
      <c r="K376">
        <f>Dataset_A!K376</f>
        <v>0.16669999999999999</v>
      </c>
      <c r="L376">
        <f>Dataset_A!L376</f>
        <v>0.43</v>
      </c>
      <c r="M376">
        <f>Dataset_A!M376</f>
        <v>0.25369999999999998</v>
      </c>
      <c r="N376">
        <f>Dataset_A!N376</f>
        <v>0</v>
      </c>
      <c r="O376">
        <f>Dataset_A!O376</f>
        <v>8</v>
      </c>
      <c r="P376">
        <f>Dataset_A!P376</f>
        <v>8</v>
      </c>
      <c r="Q376" t="str">
        <f t="shared" si="65"/>
        <v>REC-0375</v>
      </c>
      <c r="R376" s="62">
        <f t="shared" si="66"/>
        <v>40560.083333333336</v>
      </c>
      <c r="S376" t="str">
        <f t="shared" si="67"/>
        <v>Jan</v>
      </c>
      <c r="T376" t="str">
        <f>INDEX(Lookups!$B$39:$B$45,MATCH(H376,Lookups!$A$39:$A$45,0))</f>
        <v>Mon</v>
      </c>
      <c r="U376" t="str">
        <f t="shared" si="68"/>
        <v>Weekday</v>
      </c>
      <c r="V376" t="str">
        <f t="shared" si="69"/>
        <v>Non-Working Day</v>
      </c>
      <c r="W376" t="str">
        <f t="shared" si="70"/>
        <v>Spring</v>
      </c>
      <c r="X376" t="str">
        <f t="shared" si="71"/>
        <v>Cloudy/Mist</v>
      </c>
      <c r="Y376" t="str">
        <f t="shared" si="72"/>
        <v>Night</v>
      </c>
      <c r="Z376" t="str">
        <f t="shared" si="73"/>
        <v>Cold</v>
      </c>
      <c r="AA376" t="str">
        <f t="shared" si="74"/>
        <v>Low</v>
      </c>
      <c r="AB376" t="str">
        <f t="shared" si="75"/>
        <v>Off-Peak</v>
      </c>
      <c r="AC376" s="63">
        <f t="shared" si="76"/>
        <v>0</v>
      </c>
      <c r="AD376" t="str">
        <f>IF(P376&gt;=Stats!$C$30,"High",IF(P376&lt;=Stats!$C$29,"Low","Normal"))</f>
        <v>Low</v>
      </c>
      <c r="AE376">
        <f t="shared" si="77"/>
        <v>1</v>
      </c>
    </row>
    <row r="377" spans="1:31" x14ac:dyDescent="0.2">
      <c r="A377">
        <f>Dataset_A!A377</f>
        <v>376</v>
      </c>
      <c r="B377" s="61">
        <f>Dataset_A!B377</f>
        <v>40560</v>
      </c>
      <c r="C377">
        <f>Dataset_A!C377</f>
        <v>1</v>
      </c>
      <c r="D377">
        <f>Dataset_A!D377</f>
        <v>0</v>
      </c>
      <c r="E377">
        <f>Dataset_A!E377</f>
        <v>1</v>
      </c>
      <c r="F377">
        <f>Dataset_A!F377</f>
        <v>3</v>
      </c>
      <c r="G377" t="b">
        <f>Dataset_A!G377</f>
        <v>1</v>
      </c>
      <c r="H377">
        <f>Dataset_A!H377</f>
        <v>1</v>
      </c>
      <c r="I377">
        <f>Dataset_A!I377</f>
        <v>2</v>
      </c>
      <c r="J377" s="55">
        <f>Dataset_A!J377</f>
        <v>0.18</v>
      </c>
      <c r="K377">
        <f>Dataset_A!K377</f>
        <v>0.18179999999999999</v>
      </c>
      <c r="L377">
        <f>Dataset_A!L377</f>
        <v>0.43</v>
      </c>
      <c r="M377">
        <f>Dataset_A!M377</f>
        <v>0.19400000000000001</v>
      </c>
      <c r="N377">
        <f>Dataset_A!N377</f>
        <v>0</v>
      </c>
      <c r="O377">
        <f>Dataset_A!O377</f>
        <v>2</v>
      </c>
      <c r="P377">
        <f>Dataset_A!P377</f>
        <v>2</v>
      </c>
      <c r="Q377" t="str">
        <f t="shared" si="65"/>
        <v>REC-0376</v>
      </c>
      <c r="R377" s="62">
        <f t="shared" si="66"/>
        <v>40560.125</v>
      </c>
      <c r="S377" t="str">
        <f t="shared" si="67"/>
        <v>Jan</v>
      </c>
      <c r="T377" t="str">
        <f>INDEX(Lookups!$B$39:$B$45,MATCH(H377,Lookups!$A$39:$A$45,0))</f>
        <v>Mon</v>
      </c>
      <c r="U377" t="str">
        <f t="shared" si="68"/>
        <v>Weekday</v>
      </c>
      <c r="V377" t="str">
        <f t="shared" si="69"/>
        <v>Non-Working Day</v>
      </c>
      <c r="W377" t="str">
        <f t="shared" si="70"/>
        <v>Spring</v>
      </c>
      <c r="X377" t="str">
        <f t="shared" si="71"/>
        <v>Cloudy/Mist</v>
      </c>
      <c r="Y377" t="str">
        <f t="shared" si="72"/>
        <v>Night</v>
      </c>
      <c r="Z377" t="str">
        <f t="shared" si="73"/>
        <v>Cold</v>
      </c>
      <c r="AA377" t="str">
        <f t="shared" si="74"/>
        <v>Low</v>
      </c>
      <c r="AB377" t="str">
        <f t="shared" si="75"/>
        <v>Off-Peak</v>
      </c>
      <c r="AC377" s="63">
        <f t="shared" si="76"/>
        <v>0</v>
      </c>
      <c r="AD377" t="str">
        <f>IF(P377&gt;=Stats!$C$30,"High",IF(P377&lt;=Stats!$C$29,"Low","Normal"))</f>
        <v>Low</v>
      </c>
      <c r="AE377">
        <f t="shared" si="77"/>
        <v>1</v>
      </c>
    </row>
    <row r="378" spans="1:31" x14ac:dyDescent="0.2">
      <c r="A378">
        <f>Dataset_A!A378</f>
        <v>377</v>
      </c>
      <c r="B378" s="61">
        <f>Dataset_A!B378</f>
        <v>40560</v>
      </c>
      <c r="C378">
        <f>Dataset_A!C378</f>
        <v>1</v>
      </c>
      <c r="D378">
        <f>Dataset_A!D378</f>
        <v>0</v>
      </c>
      <c r="E378">
        <f>Dataset_A!E378</f>
        <v>1</v>
      </c>
      <c r="F378">
        <f>Dataset_A!F378</f>
        <v>4</v>
      </c>
      <c r="G378" t="b">
        <f>Dataset_A!G378</f>
        <v>1</v>
      </c>
      <c r="H378">
        <f>Dataset_A!H378</f>
        <v>1</v>
      </c>
      <c r="I378">
        <f>Dataset_A!I378</f>
        <v>2</v>
      </c>
      <c r="J378" s="55">
        <f>Dataset_A!J378</f>
        <v>0.18</v>
      </c>
      <c r="K378">
        <f>Dataset_A!K378</f>
        <v>0.19700000000000001</v>
      </c>
      <c r="L378">
        <f>Dataset_A!L378</f>
        <v>0.43</v>
      </c>
      <c r="M378">
        <f>Dataset_A!M378</f>
        <v>0.1343</v>
      </c>
      <c r="N378">
        <f>Dataset_A!N378</f>
        <v>1</v>
      </c>
      <c r="O378">
        <f>Dataset_A!O378</f>
        <v>2</v>
      </c>
      <c r="P378">
        <f>Dataset_A!P378</f>
        <v>3</v>
      </c>
      <c r="Q378" t="str">
        <f t="shared" si="65"/>
        <v>REC-0377</v>
      </c>
      <c r="R378" s="62">
        <f t="shared" si="66"/>
        <v>40560.166666666664</v>
      </c>
      <c r="S378" t="str">
        <f t="shared" si="67"/>
        <v>Jan</v>
      </c>
      <c r="T378" t="str">
        <f>INDEX(Lookups!$B$39:$B$45,MATCH(H378,Lookups!$A$39:$A$45,0))</f>
        <v>Mon</v>
      </c>
      <c r="U378" t="str">
        <f t="shared" si="68"/>
        <v>Weekday</v>
      </c>
      <c r="V378" t="str">
        <f t="shared" si="69"/>
        <v>Non-Working Day</v>
      </c>
      <c r="W378" t="str">
        <f t="shared" si="70"/>
        <v>Spring</v>
      </c>
      <c r="X378" t="str">
        <f t="shared" si="71"/>
        <v>Cloudy/Mist</v>
      </c>
      <c r="Y378" t="str">
        <f t="shared" si="72"/>
        <v>Night</v>
      </c>
      <c r="Z378" t="str">
        <f t="shared" si="73"/>
        <v>Cold</v>
      </c>
      <c r="AA378" t="str">
        <f t="shared" si="74"/>
        <v>Low</v>
      </c>
      <c r="AB378" t="str">
        <f t="shared" si="75"/>
        <v>Off-Peak</v>
      </c>
      <c r="AC378" s="63">
        <f t="shared" si="76"/>
        <v>0.33333333333333331</v>
      </c>
      <c r="AD378" t="str">
        <f>IF(P378&gt;=Stats!$C$30,"High",IF(P378&lt;=Stats!$C$29,"Low","Normal"))</f>
        <v>Low</v>
      </c>
      <c r="AE378">
        <f t="shared" si="77"/>
        <v>1</v>
      </c>
    </row>
    <row r="379" spans="1:31" x14ac:dyDescent="0.2">
      <c r="A379">
        <f>Dataset_A!A379</f>
        <v>378</v>
      </c>
      <c r="B379" s="61">
        <f>Dataset_A!B379</f>
        <v>40560</v>
      </c>
      <c r="C379">
        <f>Dataset_A!C379</f>
        <v>1</v>
      </c>
      <c r="D379">
        <f>Dataset_A!D379</f>
        <v>0</v>
      </c>
      <c r="E379">
        <f>Dataset_A!E379</f>
        <v>1</v>
      </c>
      <c r="F379">
        <f>Dataset_A!F379</f>
        <v>5</v>
      </c>
      <c r="G379" t="b">
        <f>Dataset_A!G379</f>
        <v>1</v>
      </c>
      <c r="H379">
        <f>Dataset_A!H379</f>
        <v>1</v>
      </c>
      <c r="I379">
        <f>Dataset_A!I379</f>
        <v>2</v>
      </c>
      <c r="J379" s="55">
        <f>Dataset_A!J379</f>
        <v>0.18</v>
      </c>
      <c r="K379">
        <f>Dataset_A!K379</f>
        <v>0.19700000000000001</v>
      </c>
      <c r="L379">
        <f>Dataset_A!L379</f>
        <v>0.43</v>
      </c>
      <c r="M379">
        <f>Dataset_A!M379</f>
        <v>0.16420000000000001</v>
      </c>
      <c r="N379">
        <f>Dataset_A!N379</f>
        <v>0</v>
      </c>
      <c r="O379">
        <f>Dataset_A!O379</f>
        <v>1</v>
      </c>
      <c r="P379">
        <f>Dataset_A!P379</f>
        <v>1</v>
      </c>
      <c r="Q379" t="str">
        <f t="shared" si="65"/>
        <v>REC-0378</v>
      </c>
      <c r="R379" s="62">
        <f t="shared" si="66"/>
        <v>40560.208333333336</v>
      </c>
      <c r="S379" t="str">
        <f t="shared" si="67"/>
        <v>Jan</v>
      </c>
      <c r="T379" t="str">
        <f>INDEX(Lookups!$B$39:$B$45,MATCH(H379,Lookups!$A$39:$A$45,0))</f>
        <v>Mon</v>
      </c>
      <c r="U379" t="str">
        <f t="shared" si="68"/>
        <v>Weekday</v>
      </c>
      <c r="V379" t="str">
        <f t="shared" si="69"/>
        <v>Non-Working Day</v>
      </c>
      <c r="W379" t="str">
        <f t="shared" si="70"/>
        <v>Spring</v>
      </c>
      <c r="X379" t="str">
        <f t="shared" si="71"/>
        <v>Cloudy/Mist</v>
      </c>
      <c r="Y379" t="str">
        <f t="shared" si="72"/>
        <v>Night</v>
      </c>
      <c r="Z379" t="str">
        <f t="shared" si="73"/>
        <v>Cold</v>
      </c>
      <c r="AA379" t="str">
        <f t="shared" si="74"/>
        <v>Low</v>
      </c>
      <c r="AB379" t="str">
        <f t="shared" si="75"/>
        <v>Off-Peak</v>
      </c>
      <c r="AC379" s="63">
        <f t="shared" si="76"/>
        <v>0</v>
      </c>
      <c r="AD379" t="str">
        <f>IF(P379&gt;=Stats!$C$30,"High",IF(P379&lt;=Stats!$C$29,"Low","Normal"))</f>
        <v>Low</v>
      </c>
      <c r="AE379">
        <f t="shared" si="77"/>
        <v>1</v>
      </c>
    </row>
    <row r="380" spans="1:31" x14ac:dyDescent="0.2">
      <c r="A380">
        <f>Dataset_A!A380</f>
        <v>379</v>
      </c>
      <c r="B380" s="61">
        <f>Dataset_A!B380</f>
        <v>40560</v>
      </c>
      <c r="C380">
        <f>Dataset_A!C380</f>
        <v>1</v>
      </c>
      <c r="D380">
        <f>Dataset_A!D380</f>
        <v>0</v>
      </c>
      <c r="E380">
        <f>Dataset_A!E380</f>
        <v>1</v>
      </c>
      <c r="F380">
        <f>Dataset_A!F380</f>
        <v>6</v>
      </c>
      <c r="G380" t="b">
        <f>Dataset_A!G380</f>
        <v>1</v>
      </c>
      <c r="H380">
        <f>Dataset_A!H380</f>
        <v>1</v>
      </c>
      <c r="I380">
        <f>Dataset_A!I380</f>
        <v>2</v>
      </c>
      <c r="J380" s="55">
        <f>Dataset_A!J380</f>
        <v>0.18</v>
      </c>
      <c r="K380">
        <f>Dataset_A!K380</f>
        <v>0.18179999999999999</v>
      </c>
      <c r="L380">
        <f>Dataset_A!L380</f>
        <v>0.43</v>
      </c>
      <c r="M380">
        <f>Dataset_A!M380</f>
        <v>0.19400000000000001</v>
      </c>
      <c r="N380">
        <f>Dataset_A!N380</f>
        <v>0</v>
      </c>
      <c r="O380">
        <f>Dataset_A!O380</f>
        <v>5</v>
      </c>
      <c r="P380">
        <f>Dataset_A!P380</f>
        <v>5</v>
      </c>
      <c r="Q380" t="str">
        <f t="shared" si="65"/>
        <v>REC-0379</v>
      </c>
      <c r="R380" s="62">
        <f t="shared" si="66"/>
        <v>40560.25</v>
      </c>
      <c r="S380" t="str">
        <f t="shared" si="67"/>
        <v>Jan</v>
      </c>
      <c r="T380" t="str">
        <f>INDEX(Lookups!$B$39:$B$45,MATCH(H380,Lookups!$A$39:$A$45,0))</f>
        <v>Mon</v>
      </c>
      <c r="U380" t="str">
        <f t="shared" si="68"/>
        <v>Weekday</v>
      </c>
      <c r="V380" t="str">
        <f t="shared" si="69"/>
        <v>Non-Working Day</v>
      </c>
      <c r="W380" t="str">
        <f t="shared" si="70"/>
        <v>Spring</v>
      </c>
      <c r="X380" t="str">
        <f t="shared" si="71"/>
        <v>Cloudy/Mist</v>
      </c>
      <c r="Y380" t="str">
        <f t="shared" si="72"/>
        <v>Morning</v>
      </c>
      <c r="Z380" t="str">
        <f t="shared" si="73"/>
        <v>Cold</v>
      </c>
      <c r="AA380" t="str">
        <f t="shared" si="74"/>
        <v>Low</v>
      </c>
      <c r="AB380" t="str">
        <f t="shared" si="75"/>
        <v>Off-Peak</v>
      </c>
      <c r="AC380" s="63">
        <f t="shared" si="76"/>
        <v>0</v>
      </c>
      <c r="AD380" t="str">
        <f>IF(P380&gt;=Stats!$C$30,"High",IF(P380&lt;=Stats!$C$29,"Low","Normal"))</f>
        <v>Low</v>
      </c>
      <c r="AE380">
        <f t="shared" si="77"/>
        <v>1</v>
      </c>
    </row>
    <row r="381" spans="1:31" x14ac:dyDescent="0.2">
      <c r="A381">
        <f>Dataset_A!A381</f>
        <v>380</v>
      </c>
      <c r="B381" s="61">
        <f>Dataset_A!B381</f>
        <v>40560</v>
      </c>
      <c r="C381">
        <f>Dataset_A!C381</f>
        <v>1</v>
      </c>
      <c r="D381">
        <f>Dataset_A!D381</f>
        <v>0</v>
      </c>
      <c r="E381">
        <f>Dataset_A!E381</f>
        <v>1</v>
      </c>
      <c r="F381">
        <f>Dataset_A!F381</f>
        <v>7</v>
      </c>
      <c r="G381" t="b">
        <f>Dataset_A!G381</f>
        <v>1</v>
      </c>
      <c r="H381">
        <f>Dataset_A!H381</f>
        <v>1</v>
      </c>
      <c r="I381">
        <f>Dataset_A!I381</f>
        <v>2</v>
      </c>
      <c r="J381" s="55">
        <f>Dataset_A!J381</f>
        <v>0.16</v>
      </c>
      <c r="K381">
        <f>Dataset_A!K381</f>
        <v>0.18179999999999999</v>
      </c>
      <c r="L381">
        <f>Dataset_A!L381</f>
        <v>0.5</v>
      </c>
      <c r="M381">
        <f>Dataset_A!M381</f>
        <v>0.1343</v>
      </c>
      <c r="N381">
        <f>Dataset_A!N381</f>
        <v>4</v>
      </c>
      <c r="O381">
        <f>Dataset_A!O381</f>
        <v>9</v>
      </c>
      <c r="P381">
        <f>Dataset_A!P381</f>
        <v>13</v>
      </c>
      <c r="Q381" t="str">
        <f t="shared" si="65"/>
        <v>REC-0380</v>
      </c>
      <c r="R381" s="62">
        <f t="shared" si="66"/>
        <v>40560.291666666664</v>
      </c>
      <c r="S381" t="str">
        <f t="shared" si="67"/>
        <v>Jan</v>
      </c>
      <c r="T381" t="str">
        <f>INDEX(Lookups!$B$39:$B$45,MATCH(H381,Lookups!$A$39:$A$45,0))</f>
        <v>Mon</v>
      </c>
      <c r="U381" t="str">
        <f t="shared" si="68"/>
        <v>Weekday</v>
      </c>
      <c r="V381" t="str">
        <f t="shared" si="69"/>
        <v>Non-Working Day</v>
      </c>
      <c r="W381" t="str">
        <f t="shared" si="70"/>
        <v>Spring</v>
      </c>
      <c r="X381" t="str">
        <f t="shared" si="71"/>
        <v>Cloudy/Mist</v>
      </c>
      <c r="Y381" t="str">
        <f t="shared" si="72"/>
        <v>Morning</v>
      </c>
      <c r="Z381" t="str">
        <f t="shared" si="73"/>
        <v>Cold</v>
      </c>
      <c r="AA381" t="str">
        <f t="shared" si="74"/>
        <v>Medium</v>
      </c>
      <c r="AB381" t="str">
        <f t="shared" si="75"/>
        <v>Peak</v>
      </c>
      <c r="AC381" s="63">
        <f t="shared" si="76"/>
        <v>0.30769230769230771</v>
      </c>
      <c r="AD381" t="str">
        <f>IF(P381&gt;=Stats!$C$30,"High",IF(P381&lt;=Stats!$C$29,"Low","Normal"))</f>
        <v>Low</v>
      </c>
      <c r="AE381">
        <f t="shared" si="77"/>
        <v>1</v>
      </c>
    </row>
    <row r="382" spans="1:31" x14ac:dyDescent="0.2">
      <c r="A382">
        <f>Dataset_A!A382</f>
        <v>381</v>
      </c>
      <c r="B382" s="61">
        <f>Dataset_A!B382</f>
        <v>40560</v>
      </c>
      <c r="C382">
        <f>Dataset_A!C382</f>
        <v>1</v>
      </c>
      <c r="D382">
        <f>Dataset_A!D382</f>
        <v>0</v>
      </c>
      <c r="E382">
        <f>Dataset_A!E382</f>
        <v>1</v>
      </c>
      <c r="F382">
        <f>Dataset_A!F382</f>
        <v>8</v>
      </c>
      <c r="G382" t="b">
        <f>Dataset_A!G382</f>
        <v>1</v>
      </c>
      <c r="H382">
        <f>Dataset_A!H382</f>
        <v>1</v>
      </c>
      <c r="I382">
        <f>Dataset_A!I382</f>
        <v>2</v>
      </c>
      <c r="J382" s="55">
        <f>Dataset_A!J382</f>
        <v>0.16</v>
      </c>
      <c r="K382">
        <f>Dataset_A!K382</f>
        <v>0.1515</v>
      </c>
      <c r="L382">
        <f>Dataset_A!L382</f>
        <v>0.47</v>
      </c>
      <c r="M382">
        <f>Dataset_A!M382</f>
        <v>0.22389999999999999</v>
      </c>
      <c r="N382">
        <f>Dataset_A!N382</f>
        <v>3</v>
      </c>
      <c r="O382">
        <f>Dataset_A!O382</f>
        <v>30</v>
      </c>
      <c r="P382">
        <f>Dataset_A!P382</f>
        <v>33</v>
      </c>
      <c r="Q382" t="str">
        <f t="shared" si="65"/>
        <v>REC-0381</v>
      </c>
      <c r="R382" s="62">
        <f t="shared" si="66"/>
        <v>40560.333333333336</v>
      </c>
      <c r="S382" t="str">
        <f t="shared" si="67"/>
        <v>Jan</v>
      </c>
      <c r="T382" t="str">
        <f>INDEX(Lookups!$B$39:$B$45,MATCH(H382,Lookups!$A$39:$A$45,0))</f>
        <v>Mon</v>
      </c>
      <c r="U382" t="str">
        <f t="shared" si="68"/>
        <v>Weekday</v>
      </c>
      <c r="V382" t="str">
        <f t="shared" si="69"/>
        <v>Non-Working Day</v>
      </c>
      <c r="W382" t="str">
        <f t="shared" si="70"/>
        <v>Spring</v>
      </c>
      <c r="X382" t="str">
        <f t="shared" si="71"/>
        <v>Cloudy/Mist</v>
      </c>
      <c r="Y382" t="str">
        <f t="shared" si="72"/>
        <v>Morning</v>
      </c>
      <c r="Z382" t="str">
        <f t="shared" si="73"/>
        <v>Cold</v>
      </c>
      <c r="AA382" t="str">
        <f t="shared" si="74"/>
        <v>Low</v>
      </c>
      <c r="AB382" t="str">
        <f t="shared" si="75"/>
        <v>Peak</v>
      </c>
      <c r="AC382" s="63">
        <f t="shared" si="76"/>
        <v>9.0909090909090912E-2</v>
      </c>
      <c r="AD382" t="str">
        <f>IF(P382&gt;=Stats!$C$30,"High",IF(P382&lt;=Stats!$C$29,"Low","Normal"))</f>
        <v>Normal</v>
      </c>
      <c r="AE382">
        <f t="shared" si="77"/>
        <v>1</v>
      </c>
    </row>
    <row r="383" spans="1:31" x14ac:dyDescent="0.2">
      <c r="A383">
        <f>Dataset_A!A383</f>
        <v>382</v>
      </c>
      <c r="B383" s="61">
        <f>Dataset_A!B383</f>
        <v>40560</v>
      </c>
      <c r="C383">
        <f>Dataset_A!C383</f>
        <v>1</v>
      </c>
      <c r="D383">
        <f>Dataset_A!D383</f>
        <v>0</v>
      </c>
      <c r="E383">
        <f>Dataset_A!E383</f>
        <v>1</v>
      </c>
      <c r="F383">
        <f>Dataset_A!F383</f>
        <v>9</v>
      </c>
      <c r="G383" t="b">
        <f>Dataset_A!G383</f>
        <v>1</v>
      </c>
      <c r="H383">
        <f>Dataset_A!H383</f>
        <v>1</v>
      </c>
      <c r="I383">
        <f>Dataset_A!I383</f>
        <v>2</v>
      </c>
      <c r="J383" s="55">
        <f>Dataset_A!J383</f>
        <v>0.16</v>
      </c>
      <c r="K383">
        <f>Dataset_A!K383</f>
        <v>0.1515</v>
      </c>
      <c r="L383">
        <f>Dataset_A!L383</f>
        <v>0.47</v>
      </c>
      <c r="M383">
        <f>Dataset_A!M383</f>
        <v>0.22389999999999999</v>
      </c>
      <c r="N383">
        <f>Dataset_A!N383</f>
        <v>8</v>
      </c>
      <c r="O383">
        <f>Dataset_A!O383</f>
        <v>39</v>
      </c>
      <c r="P383">
        <f>Dataset_A!P383</f>
        <v>47</v>
      </c>
      <c r="Q383" t="str">
        <f t="shared" si="65"/>
        <v>REC-0382</v>
      </c>
      <c r="R383" s="62">
        <f t="shared" si="66"/>
        <v>40560.375</v>
      </c>
      <c r="S383" t="str">
        <f t="shared" si="67"/>
        <v>Jan</v>
      </c>
      <c r="T383" t="str">
        <f>INDEX(Lookups!$B$39:$B$45,MATCH(H383,Lookups!$A$39:$A$45,0))</f>
        <v>Mon</v>
      </c>
      <c r="U383" t="str">
        <f t="shared" si="68"/>
        <v>Weekday</v>
      </c>
      <c r="V383" t="str">
        <f t="shared" si="69"/>
        <v>Non-Working Day</v>
      </c>
      <c r="W383" t="str">
        <f t="shared" si="70"/>
        <v>Spring</v>
      </c>
      <c r="X383" t="str">
        <f t="shared" si="71"/>
        <v>Cloudy/Mist</v>
      </c>
      <c r="Y383" t="str">
        <f t="shared" si="72"/>
        <v>Morning</v>
      </c>
      <c r="Z383" t="str">
        <f t="shared" si="73"/>
        <v>Cold</v>
      </c>
      <c r="AA383" t="str">
        <f t="shared" si="74"/>
        <v>Low</v>
      </c>
      <c r="AB383" t="str">
        <f t="shared" si="75"/>
        <v>Peak</v>
      </c>
      <c r="AC383" s="63">
        <f t="shared" si="76"/>
        <v>0.1702127659574468</v>
      </c>
      <c r="AD383" t="str">
        <f>IF(P383&gt;=Stats!$C$30,"High",IF(P383&lt;=Stats!$C$29,"Low","Normal"))</f>
        <v>Normal</v>
      </c>
      <c r="AE383">
        <f t="shared" si="77"/>
        <v>1</v>
      </c>
    </row>
    <row r="384" spans="1:31" x14ac:dyDescent="0.2">
      <c r="A384">
        <f>Dataset_A!A384</f>
        <v>383</v>
      </c>
      <c r="B384" s="61">
        <f>Dataset_A!B384</f>
        <v>40560</v>
      </c>
      <c r="C384">
        <f>Dataset_A!C384</f>
        <v>1</v>
      </c>
      <c r="D384">
        <f>Dataset_A!D384</f>
        <v>0</v>
      </c>
      <c r="E384">
        <f>Dataset_A!E384</f>
        <v>1</v>
      </c>
      <c r="F384">
        <f>Dataset_A!F384</f>
        <v>10</v>
      </c>
      <c r="G384" t="b">
        <f>Dataset_A!G384</f>
        <v>1</v>
      </c>
      <c r="H384">
        <f>Dataset_A!H384</f>
        <v>1</v>
      </c>
      <c r="I384">
        <f>Dataset_A!I384</f>
        <v>2</v>
      </c>
      <c r="J384" s="55">
        <f>Dataset_A!J384</f>
        <v>0.16</v>
      </c>
      <c r="K384">
        <f>Dataset_A!K384</f>
        <v>0.1515</v>
      </c>
      <c r="L384">
        <f>Dataset_A!L384</f>
        <v>0.5</v>
      </c>
      <c r="M384">
        <f>Dataset_A!M384</f>
        <v>0.25369999999999998</v>
      </c>
      <c r="N384">
        <f>Dataset_A!N384</f>
        <v>7</v>
      </c>
      <c r="O384">
        <f>Dataset_A!O384</f>
        <v>50</v>
      </c>
      <c r="P384">
        <f>Dataset_A!P384</f>
        <v>57</v>
      </c>
      <c r="Q384" t="str">
        <f t="shared" si="65"/>
        <v>REC-0383</v>
      </c>
      <c r="R384" s="62">
        <f t="shared" si="66"/>
        <v>40560.416666666664</v>
      </c>
      <c r="S384" t="str">
        <f t="shared" si="67"/>
        <v>Jan</v>
      </c>
      <c r="T384" t="str">
        <f>INDEX(Lookups!$B$39:$B$45,MATCH(H384,Lookups!$A$39:$A$45,0))</f>
        <v>Mon</v>
      </c>
      <c r="U384" t="str">
        <f t="shared" si="68"/>
        <v>Weekday</v>
      </c>
      <c r="V384" t="str">
        <f t="shared" si="69"/>
        <v>Non-Working Day</v>
      </c>
      <c r="W384" t="str">
        <f t="shared" si="70"/>
        <v>Spring</v>
      </c>
      <c r="X384" t="str">
        <f t="shared" si="71"/>
        <v>Cloudy/Mist</v>
      </c>
      <c r="Y384" t="str">
        <f t="shared" si="72"/>
        <v>Morning</v>
      </c>
      <c r="Z384" t="str">
        <f t="shared" si="73"/>
        <v>Cold</v>
      </c>
      <c r="AA384" t="str">
        <f t="shared" si="74"/>
        <v>Medium</v>
      </c>
      <c r="AB384" t="str">
        <f t="shared" si="75"/>
        <v>Off-Peak</v>
      </c>
      <c r="AC384" s="63">
        <f t="shared" si="76"/>
        <v>0.12280701754385964</v>
      </c>
      <c r="AD384" t="str">
        <f>IF(P384&gt;=Stats!$C$30,"High",IF(P384&lt;=Stats!$C$29,"Low","Normal"))</f>
        <v>Normal</v>
      </c>
      <c r="AE384">
        <f t="shared" si="77"/>
        <v>1</v>
      </c>
    </row>
    <row r="385" spans="1:31" x14ac:dyDescent="0.2">
      <c r="A385">
        <f>Dataset_A!A385</f>
        <v>384</v>
      </c>
      <c r="B385" s="61">
        <f>Dataset_A!B385</f>
        <v>40560</v>
      </c>
      <c r="C385">
        <f>Dataset_A!C385</f>
        <v>1</v>
      </c>
      <c r="D385">
        <f>Dataset_A!D385</f>
        <v>0</v>
      </c>
      <c r="E385">
        <f>Dataset_A!E385</f>
        <v>1</v>
      </c>
      <c r="F385">
        <f>Dataset_A!F385</f>
        <v>11</v>
      </c>
      <c r="G385" t="b">
        <f>Dataset_A!G385</f>
        <v>1</v>
      </c>
      <c r="H385">
        <f>Dataset_A!H385</f>
        <v>1</v>
      </c>
      <c r="I385">
        <f>Dataset_A!I385</f>
        <v>2</v>
      </c>
      <c r="J385" s="55">
        <f>Dataset_A!J385</f>
        <v>0.16</v>
      </c>
      <c r="K385">
        <f>Dataset_A!K385</f>
        <v>0.1515</v>
      </c>
      <c r="L385">
        <f>Dataset_A!L385</f>
        <v>0.55000000000000004</v>
      </c>
      <c r="M385">
        <f>Dataset_A!M385</f>
        <v>0.19400000000000001</v>
      </c>
      <c r="N385">
        <f>Dataset_A!N385</f>
        <v>9</v>
      </c>
      <c r="O385">
        <f>Dataset_A!O385</f>
        <v>55</v>
      </c>
      <c r="P385">
        <f>Dataset_A!P385</f>
        <v>64</v>
      </c>
      <c r="Q385" t="str">
        <f t="shared" si="65"/>
        <v>REC-0384</v>
      </c>
      <c r="R385" s="62">
        <f t="shared" si="66"/>
        <v>40560.458333333336</v>
      </c>
      <c r="S385" t="str">
        <f t="shared" si="67"/>
        <v>Jan</v>
      </c>
      <c r="T385" t="str">
        <f>INDEX(Lookups!$B$39:$B$45,MATCH(H385,Lookups!$A$39:$A$45,0))</f>
        <v>Mon</v>
      </c>
      <c r="U385" t="str">
        <f t="shared" si="68"/>
        <v>Weekday</v>
      </c>
      <c r="V385" t="str">
        <f t="shared" si="69"/>
        <v>Non-Working Day</v>
      </c>
      <c r="W385" t="str">
        <f t="shared" si="70"/>
        <v>Spring</v>
      </c>
      <c r="X385" t="str">
        <f t="shared" si="71"/>
        <v>Cloudy/Mist</v>
      </c>
      <c r="Y385" t="str">
        <f t="shared" si="72"/>
        <v>Morning</v>
      </c>
      <c r="Z385" t="str">
        <f t="shared" si="73"/>
        <v>Cold</v>
      </c>
      <c r="AA385" t="str">
        <f t="shared" si="74"/>
        <v>Medium</v>
      </c>
      <c r="AB385" t="str">
        <f t="shared" si="75"/>
        <v>Off-Peak</v>
      </c>
      <c r="AC385" s="63">
        <f t="shared" si="76"/>
        <v>0.140625</v>
      </c>
      <c r="AD385" t="str">
        <f>IF(P385&gt;=Stats!$C$30,"High",IF(P385&lt;=Stats!$C$29,"Low","Normal"))</f>
        <v>Normal</v>
      </c>
      <c r="AE385">
        <f t="shared" si="77"/>
        <v>1</v>
      </c>
    </row>
    <row r="386" spans="1:31" x14ac:dyDescent="0.2">
      <c r="A386">
        <f>Dataset_A!A386</f>
        <v>385</v>
      </c>
      <c r="B386" s="61">
        <f>Dataset_A!B386</f>
        <v>40560</v>
      </c>
      <c r="C386">
        <f>Dataset_A!C386</f>
        <v>1</v>
      </c>
      <c r="D386">
        <f>Dataset_A!D386</f>
        <v>0</v>
      </c>
      <c r="E386">
        <f>Dataset_A!E386</f>
        <v>1</v>
      </c>
      <c r="F386">
        <f>Dataset_A!F386</f>
        <v>12</v>
      </c>
      <c r="G386" t="b">
        <f>Dataset_A!G386</f>
        <v>1</v>
      </c>
      <c r="H386">
        <f>Dataset_A!H386</f>
        <v>1</v>
      </c>
      <c r="I386">
        <f>Dataset_A!I386</f>
        <v>2</v>
      </c>
      <c r="J386" s="55">
        <f>Dataset_A!J386</f>
        <v>0.18</v>
      </c>
      <c r="K386">
        <f>Dataset_A!K386</f>
        <v>0.19700000000000001</v>
      </c>
      <c r="L386">
        <f>Dataset_A!L386</f>
        <v>0.47</v>
      </c>
      <c r="M386">
        <f>Dataset_A!M386</f>
        <v>0.1343</v>
      </c>
      <c r="N386">
        <f>Dataset_A!N386</f>
        <v>10</v>
      </c>
      <c r="O386">
        <f>Dataset_A!O386</f>
        <v>70</v>
      </c>
      <c r="P386">
        <f>Dataset_A!P386</f>
        <v>80</v>
      </c>
      <c r="Q386" t="str">
        <f t="shared" ref="Q386:Q449" si="78">"REC-"&amp;TEXT(A386,"0000")</f>
        <v>REC-0385</v>
      </c>
      <c r="R386" s="62">
        <f t="shared" ref="R386:R449" si="79">B386+F386/24</f>
        <v>40560.5</v>
      </c>
      <c r="S386" t="str">
        <f t="shared" ref="S386:S449" si="80">TEXT(B386,"mmm")</f>
        <v>Jan</v>
      </c>
      <c r="T386" t="str">
        <f>INDEX(Lookups!$B$39:$B$45,MATCH(H386,Lookups!$A$39:$A$45,0))</f>
        <v>Mon</v>
      </c>
      <c r="U386" t="str">
        <f t="shared" ref="U386:U449" si="81">IF(OR(H386=0,H386=6),"Weekend","Weekday")</f>
        <v>Weekday</v>
      </c>
      <c r="V386" t="str">
        <f t="shared" ref="V386:V449" si="82">IF(OR(U386="Weekend",G386=TRUE),"Non-Working Day","Working Day")</f>
        <v>Non-Working Day</v>
      </c>
      <c r="W386" t="str">
        <f t="shared" ref="W386:W449" si="83">VLOOKUP(C386,tbl_season,2,FALSE)</f>
        <v>Spring</v>
      </c>
      <c r="X386" t="str">
        <f t="shared" ref="X386:X449" si="84">VLOOKUP(I386,tbl_weather,2,FALSE)</f>
        <v>Cloudy/Mist</v>
      </c>
      <c r="Y386" t="str">
        <f t="shared" ref="Y386:Y449" si="85">INDEX(band_name,MATCH(F386,band_start,1))</f>
        <v>Afternoon</v>
      </c>
      <c r="Z386" t="str">
        <f t="shared" ref="Z386:Z449" si="86">INDEX(temp_band,MATCH(J386,temp_from,1))</f>
        <v>Cold</v>
      </c>
      <c r="AA386" t="str">
        <f t="shared" ref="AA386:AA449" si="87">INDEX(hum_band,MATCH(L386,hum_from,1))</f>
        <v>Low</v>
      </c>
      <c r="AB386" t="str">
        <f t="shared" ref="AB386:AB449" si="88">IF(AND(U386="Weekday",OR(AND(F386&gt;=7,F386&lt;=9),AND(F386&gt;=16,F386&lt;=19))),"Peak","Off-Peak")</f>
        <v>Off-Peak</v>
      </c>
      <c r="AC386" s="63">
        <f t="shared" ref="AC386:AC449" si="89">IF(P386=0,0,N386/P386)</f>
        <v>0.125</v>
      </c>
      <c r="AD386" t="str">
        <f>IF(P386&gt;=Stats!$C$30,"High",IF(P386&lt;=Stats!$C$29,"Low","Normal"))</f>
        <v>Normal</v>
      </c>
      <c r="AE386">
        <f t="shared" ref="AE386:AE449" si="90">SUBTOTAL(103,A386)</f>
        <v>1</v>
      </c>
    </row>
    <row r="387" spans="1:31" x14ac:dyDescent="0.2">
      <c r="A387">
        <f>Dataset_A!A387</f>
        <v>386</v>
      </c>
      <c r="B387" s="61">
        <f>Dataset_A!B387</f>
        <v>40560</v>
      </c>
      <c r="C387">
        <f>Dataset_A!C387</f>
        <v>1</v>
      </c>
      <c r="D387">
        <f>Dataset_A!D387</f>
        <v>0</v>
      </c>
      <c r="E387">
        <f>Dataset_A!E387</f>
        <v>1</v>
      </c>
      <c r="F387">
        <f>Dataset_A!F387</f>
        <v>13</v>
      </c>
      <c r="G387" t="b">
        <f>Dataset_A!G387</f>
        <v>1</v>
      </c>
      <c r="H387">
        <f>Dataset_A!H387</f>
        <v>1</v>
      </c>
      <c r="I387">
        <f>Dataset_A!I387</f>
        <v>2</v>
      </c>
      <c r="J387" s="55">
        <f>Dataset_A!J387</f>
        <v>0.18</v>
      </c>
      <c r="K387">
        <f>Dataset_A!K387</f>
        <v>0.19700000000000001</v>
      </c>
      <c r="L387">
        <f>Dataset_A!L387</f>
        <v>0.47</v>
      </c>
      <c r="M387">
        <f>Dataset_A!M387</f>
        <v>0.1343</v>
      </c>
      <c r="N387">
        <f>Dataset_A!N387</f>
        <v>13</v>
      </c>
      <c r="O387">
        <f>Dataset_A!O387</f>
        <v>80</v>
      </c>
      <c r="P387">
        <f>Dataset_A!P387</f>
        <v>93</v>
      </c>
      <c r="Q387" t="str">
        <f t="shared" si="78"/>
        <v>REC-0386</v>
      </c>
      <c r="R387" s="62">
        <f t="shared" si="79"/>
        <v>40560.541666666664</v>
      </c>
      <c r="S387" t="str">
        <f t="shared" si="80"/>
        <v>Jan</v>
      </c>
      <c r="T387" t="str">
        <f>INDEX(Lookups!$B$39:$B$45,MATCH(H387,Lookups!$A$39:$A$45,0))</f>
        <v>Mon</v>
      </c>
      <c r="U387" t="str">
        <f t="shared" si="81"/>
        <v>Weekday</v>
      </c>
      <c r="V387" t="str">
        <f t="shared" si="82"/>
        <v>Non-Working Day</v>
      </c>
      <c r="W387" t="str">
        <f t="shared" si="83"/>
        <v>Spring</v>
      </c>
      <c r="X387" t="str">
        <f t="shared" si="84"/>
        <v>Cloudy/Mist</v>
      </c>
      <c r="Y387" t="str">
        <f t="shared" si="85"/>
        <v>Afternoon</v>
      </c>
      <c r="Z387" t="str">
        <f t="shared" si="86"/>
        <v>Cold</v>
      </c>
      <c r="AA387" t="str">
        <f t="shared" si="87"/>
        <v>Low</v>
      </c>
      <c r="AB387" t="str">
        <f t="shared" si="88"/>
        <v>Off-Peak</v>
      </c>
      <c r="AC387" s="63">
        <f t="shared" si="89"/>
        <v>0.13978494623655913</v>
      </c>
      <c r="AD387" t="str">
        <f>IF(P387&gt;=Stats!$C$30,"High",IF(P387&lt;=Stats!$C$29,"Low","Normal"))</f>
        <v>High</v>
      </c>
      <c r="AE387">
        <f t="shared" si="90"/>
        <v>1</v>
      </c>
    </row>
    <row r="388" spans="1:31" x14ac:dyDescent="0.2">
      <c r="A388">
        <f>Dataset_A!A388</f>
        <v>387</v>
      </c>
      <c r="B388" s="61">
        <f>Dataset_A!B388</f>
        <v>40560</v>
      </c>
      <c r="C388">
        <f>Dataset_A!C388</f>
        <v>1</v>
      </c>
      <c r="D388">
        <f>Dataset_A!D388</f>
        <v>0</v>
      </c>
      <c r="E388">
        <f>Dataset_A!E388</f>
        <v>1</v>
      </c>
      <c r="F388">
        <f>Dataset_A!F388</f>
        <v>14</v>
      </c>
      <c r="G388" t="b">
        <f>Dataset_A!G388</f>
        <v>1</v>
      </c>
      <c r="H388">
        <f>Dataset_A!H388</f>
        <v>1</v>
      </c>
      <c r="I388">
        <f>Dataset_A!I388</f>
        <v>2</v>
      </c>
      <c r="J388" s="55">
        <f>Dataset_A!J388</f>
        <v>0.18</v>
      </c>
      <c r="K388">
        <f>Dataset_A!K388</f>
        <v>0.21210000000000001</v>
      </c>
      <c r="L388">
        <f>Dataset_A!L388</f>
        <v>0.43</v>
      </c>
      <c r="M388">
        <f>Dataset_A!M388</f>
        <v>0.1045</v>
      </c>
      <c r="N388">
        <f>Dataset_A!N388</f>
        <v>12</v>
      </c>
      <c r="O388">
        <f>Dataset_A!O388</f>
        <v>74</v>
      </c>
      <c r="P388">
        <f>Dataset_A!P388</f>
        <v>86</v>
      </c>
      <c r="Q388" t="str">
        <f t="shared" si="78"/>
        <v>REC-0387</v>
      </c>
      <c r="R388" s="62">
        <f t="shared" si="79"/>
        <v>40560.583333333336</v>
      </c>
      <c r="S388" t="str">
        <f t="shared" si="80"/>
        <v>Jan</v>
      </c>
      <c r="T388" t="str">
        <f>INDEX(Lookups!$B$39:$B$45,MATCH(H388,Lookups!$A$39:$A$45,0))</f>
        <v>Mon</v>
      </c>
      <c r="U388" t="str">
        <f t="shared" si="81"/>
        <v>Weekday</v>
      </c>
      <c r="V388" t="str">
        <f t="shared" si="82"/>
        <v>Non-Working Day</v>
      </c>
      <c r="W388" t="str">
        <f t="shared" si="83"/>
        <v>Spring</v>
      </c>
      <c r="X388" t="str">
        <f t="shared" si="84"/>
        <v>Cloudy/Mist</v>
      </c>
      <c r="Y388" t="str">
        <f t="shared" si="85"/>
        <v>Afternoon</v>
      </c>
      <c r="Z388" t="str">
        <f t="shared" si="86"/>
        <v>Cold</v>
      </c>
      <c r="AA388" t="str">
        <f t="shared" si="87"/>
        <v>Low</v>
      </c>
      <c r="AB388" t="str">
        <f t="shared" si="88"/>
        <v>Off-Peak</v>
      </c>
      <c r="AC388" s="63">
        <f t="shared" si="89"/>
        <v>0.13953488372093023</v>
      </c>
      <c r="AD388" t="str">
        <f>IF(P388&gt;=Stats!$C$30,"High",IF(P388&lt;=Stats!$C$29,"Low","Normal"))</f>
        <v>High</v>
      </c>
      <c r="AE388">
        <f t="shared" si="90"/>
        <v>1</v>
      </c>
    </row>
    <row r="389" spans="1:31" x14ac:dyDescent="0.2">
      <c r="A389">
        <f>Dataset_A!A389</f>
        <v>388</v>
      </c>
      <c r="B389" s="61">
        <f>Dataset_A!B389</f>
        <v>40560</v>
      </c>
      <c r="C389">
        <f>Dataset_A!C389</f>
        <v>1</v>
      </c>
      <c r="D389">
        <f>Dataset_A!D389</f>
        <v>0</v>
      </c>
      <c r="E389">
        <f>Dataset_A!E389</f>
        <v>1</v>
      </c>
      <c r="F389">
        <f>Dataset_A!F389</f>
        <v>15</v>
      </c>
      <c r="G389" t="b">
        <f>Dataset_A!G389</f>
        <v>1</v>
      </c>
      <c r="H389">
        <f>Dataset_A!H389</f>
        <v>1</v>
      </c>
      <c r="I389">
        <f>Dataset_A!I389</f>
        <v>2</v>
      </c>
      <c r="J389" s="55">
        <f>Dataset_A!J389</f>
        <v>0.2</v>
      </c>
      <c r="K389">
        <f>Dataset_A!K389</f>
        <v>0.21210000000000001</v>
      </c>
      <c r="L389">
        <f>Dataset_A!L389</f>
        <v>0.47</v>
      </c>
      <c r="M389">
        <f>Dataset_A!M389</f>
        <v>0.16420000000000001</v>
      </c>
      <c r="N389">
        <f>Dataset_A!N389</f>
        <v>21</v>
      </c>
      <c r="O389">
        <f>Dataset_A!O389</f>
        <v>72</v>
      </c>
      <c r="P389">
        <f>Dataset_A!P389</f>
        <v>93</v>
      </c>
      <c r="Q389" t="str">
        <f t="shared" si="78"/>
        <v>REC-0388</v>
      </c>
      <c r="R389" s="62">
        <f t="shared" si="79"/>
        <v>40560.625</v>
      </c>
      <c r="S389" t="str">
        <f t="shared" si="80"/>
        <v>Jan</v>
      </c>
      <c r="T389" t="str">
        <f>INDEX(Lookups!$B$39:$B$45,MATCH(H389,Lookups!$A$39:$A$45,0))</f>
        <v>Mon</v>
      </c>
      <c r="U389" t="str">
        <f t="shared" si="81"/>
        <v>Weekday</v>
      </c>
      <c r="V389" t="str">
        <f t="shared" si="82"/>
        <v>Non-Working Day</v>
      </c>
      <c r="W389" t="str">
        <f t="shared" si="83"/>
        <v>Spring</v>
      </c>
      <c r="X389" t="str">
        <f t="shared" si="84"/>
        <v>Cloudy/Mist</v>
      </c>
      <c r="Y389" t="str">
        <f t="shared" si="85"/>
        <v>Afternoon</v>
      </c>
      <c r="Z389" t="str">
        <f t="shared" si="86"/>
        <v>Mild</v>
      </c>
      <c r="AA389" t="str">
        <f t="shared" si="87"/>
        <v>Low</v>
      </c>
      <c r="AB389" t="str">
        <f t="shared" si="88"/>
        <v>Off-Peak</v>
      </c>
      <c r="AC389" s="63">
        <f t="shared" si="89"/>
        <v>0.22580645161290322</v>
      </c>
      <c r="AD389" t="str">
        <f>IF(P389&gt;=Stats!$C$30,"High",IF(P389&lt;=Stats!$C$29,"Low","Normal"))</f>
        <v>High</v>
      </c>
      <c r="AE389">
        <f t="shared" si="90"/>
        <v>1</v>
      </c>
    </row>
    <row r="390" spans="1:31" x14ac:dyDescent="0.2">
      <c r="A390">
        <f>Dataset_A!A390</f>
        <v>389</v>
      </c>
      <c r="B390" s="61">
        <f>Dataset_A!B390</f>
        <v>40560</v>
      </c>
      <c r="C390">
        <f>Dataset_A!C390</f>
        <v>1</v>
      </c>
      <c r="D390">
        <f>Dataset_A!D390</f>
        <v>0</v>
      </c>
      <c r="E390">
        <f>Dataset_A!E390</f>
        <v>1</v>
      </c>
      <c r="F390">
        <f>Dataset_A!F390</f>
        <v>16</v>
      </c>
      <c r="G390" t="b">
        <f>Dataset_A!G390</f>
        <v>1</v>
      </c>
      <c r="H390">
        <f>Dataset_A!H390</f>
        <v>1</v>
      </c>
      <c r="I390">
        <f>Dataset_A!I390</f>
        <v>2</v>
      </c>
      <c r="J390" s="55">
        <f>Dataset_A!J390</f>
        <v>0.2</v>
      </c>
      <c r="K390">
        <f>Dataset_A!K390</f>
        <v>0.21210000000000001</v>
      </c>
      <c r="L390">
        <f>Dataset_A!L390</f>
        <v>0.47</v>
      </c>
      <c r="M390">
        <f>Dataset_A!M390</f>
        <v>0.16420000000000001</v>
      </c>
      <c r="N390">
        <f>Dataset_A!N390</f>
        <v>6</v>
      </c>
      <c r="O390">
        <f>Dataset_A!O390</f>
        <v>76</v>
      </c>
      <c r="P390">
        <f>Dataset_A!P390</f>
        <v>82</v>
      </c>
      <c r="Q390" t="str">
        <f t="shared" si="78"/>
        <v>REC-0389</v>
      </c>
      <c r="R390" s="62">
        <f t="shared" si="79"/>
        <v>40560.666666666664</v>
      </c>
      <c r="S390" t="str">
        <f t="shared" si="80"/>
        <v>Jan</v>
      </c>
      <c r="T390" t="str">
        <f>INDEX(Lookups!$B$39:$B$45,MATCH(H390,Lookups!$A$39:$A$45,0))</f>
        <v>Mon</v>
      </c>
      <c r="U390" t="str">
        <f t="shared" si="81"/>
        <v>Weekday</v>
      </c>
      <c r="V390" t="str">
        <f t="shared" si="82"/>
        <v>Non-Working Day</v>
      </c>
      <c r="W390" t="str">
        <f t="shared" si="83"/>
        <v>Spring</v>
      </c>
      <c r="X390" t="str">
        <f t="shared" si="84"/>
        <v>Cloudy/Mist</v>
      </c>
      <c r="Y390" t="str">
        <f t="shared" si="85"/>
        <v>Afternoon</v>
      </c>
      <c r="Z390" t="str">
        <f t="shared" si="86"/>
        <v>Mild</v>
      </c>
      <c r="AA390" t="str">
        <f t="shared" si="87"/>
        <v>Low</v>
      </c>
      <c r="AB390" t="str">
        <f t="shared" si="88"/>
        <v>Peak</v>
      </c>
      <c r="AC390" s="63">
        <f t="shared" si="89"/>
        <v>7.3170731707317069E-2</v>
      </c>
      <c r="AD390" t="str">
        <f>IF(P390&gt;=Stats!$C$30,"High",IF(P390&lt;=Stats!$C$29,"Low","Normal"))</f>
        <v>Normal</v>
      </c>
      <c r="AE390">
        <f t="shared" si="90"/>
        <v>1</v>
      </c>
    </row>
    <row r="391" spans="1:31" x14ac:dyDescent="0.2">
      <c r="A391">
        <f>Dataset_A!A391</f>
        <v>390</v>
      </c>
      <c r="B391" s="61">
        <f>Dataset_A!B391</f>
        <v>40560</v>
      </c>
      <c r="C391">
        <f>Dataset_A!C391</f>
        <v>1</v>
      </c>
      <c r="D391">
        <f>Dataset_A!D391</f>
        <v>0</v>
      </c>
      <c r="E391">
        <f>Dataset_A!E391</f>
        <v>1</v>
      </c>
      <c r="F391">
        <f>Dataset_A!F391</f>
        <v>17</v>
      </c>
      <c r="G391" t="b">
        <f>Dataset_A!G391</f>
        <v>1</v>
      </c>
      <c r="H391">
        <f>Dataset_A!H391</f>
        <v>1</v>
      </c>
      <c r="I391">
        <f>Dataset_A!I391</f>
        <v>1</v>
      </c>
      <c r="J391" s="55">
        <f>Dataset_A!J391</f>
        <v>0.2</v>
      </c>
      <c r="K391">
        <f>Dataset_A!K391</f>
        <v>0.19700000000000001</v>
      </c>
      <c r="L391">
        <f>Dataset_A!L391</f>
        <v>0.51</v>
      </c>
      <c r="M391">
        <f>Dataset_A!M391</f>
        <v>0.19400000000000001</v>
      </c>
      <c r="N391">
        <f>Dataset_A!N391</f>
        <v>4</v>
      </c>
      <c r="O391">
        <f>Dataset_A!O391</f>
        <v>67</v>
      </c>
      <c r="P391">
        <f>Dataset_A!P391</f>
        <v>71</v>
      </c>
      <c r="Q391" t="str">
        <f t="shared" si="78"/>
        <v>REC-0390</v>
      </c>
      <c r="R391" s="62">
        <f t="shared" si="79"/>
        <v>40560.708333333336</v>
      </c>
      <c r="S391" t="str">
        <f t="shared" si="80"/>
        <v>Jan</v>
      </c>
      <c r="T391" t="str">
        <f>INDEX(Lookups!$B$39:$B$45,MATCH(H391,Lookups!$A$39:$A$45,0))</f>
        <v>Mon</v>
      </c>
      <c r="U391" t="str">
        <f t="shared" si="81"/>
        <v>Weekday</v>
      </c>
      <c r="V391" t="str">
        <f t="shared" si="82"/>
        <v>Non-Working Day</v>
      </c>
      <c r="W391" t="str">
        <f t="shared" si="83"/>
        <v>Spring</v>
      </c>
      <c r="X391" t="str">
        <f t="shared" si="84"/>
        <v>Clear</v>
      </c>
      <c r="Y391" t="str">
        <f t="shared" si="85"/>
        <v>Evening</v>
      </c>
      <c r="Z391" t="str">
        <f t="shared" si="86"/>
        <v>Mild</v>
      </c>
      <c r="AA391" t="str">
        <f t="shared" si="87"/>
        <v>Medium</v>
      </c>
      <c r="AB391" t="str">
        <f t="shared" si="88"/>
        <v>Peak</v>
      </c>
      <c r="AC391" s="63">
        <f t="shared" si="89"/>
        <v>5.6338028169014086E-2</v>
      </c>
      <c r="AD391" t="str">
        <f>IF(P391&gt;=Stats!$C$30,"High",IF(P391&lt;=Stats!$C$29,"Low","Normal"))</f>
        <v>Normal</v>
      </c>
      <c r="AE391">
        <f t="shared" si="90"/>
        <v>1</v>
      </c>
    </row>
    <row r="392" spans="1:31" x14ac:dyDescent="0.2">
      <c r="A392">
        <f>Dataset_A!A392</f>
        <v>391</v>
      </c>
      <c r="B392" s="61">
        <f>Dataset_A!B392</f>
        <v>40560</v>
      </c>
      <c r="C392">
        <f>Dataset_A!C392</f>
        <v>1</v>
      </c>
      <c r="D392">
        <f>Dataset_A!D392</f>
        <v>0</v>
      </c>
      <c r="E392">
        <f>Dataset_A!E392</f>
        <v>1</v>
      </c>
      <c r="F392">
        <f>Dataset_A!F392</f>
        <v>18</v>
      </c>
      <c r="G392" t="b">
        <f>Dataset_A!G392</f>
        <v>1</v>
      </c>
      <c r="H392">
        <f>Dataset_A!H392</f>
        <v>1</v>
      </c>
      <c r="I392">
        <f>Dataset_A!I392</f>
        <v>2</v>
      </c>
      <c r="J392" s="55">
        <f>Dataset_A!J392</f>
        <v>0.18</v>
      </c>
      <c r="K392">
        <f>Dataset_A!K392</f>
        <v>0.16669999999999999</v>
      </c>
      <c r="L392">
        <f>Dataset_A!L392</f>
        <v>0.55000000000000004</v>
      </c>
      <c r="M392">
        <f>Dataset_A!M392</f>
        <v>0.25369999999999998</v>
      </c>
      <c r="N392">
        <f>Dataset_A!N392</f>
        <v>7</v>
      </c>
      <c r="O392">
        <f>Dataset_A!O392</f>
        <v>85</v>
      </c>
      <c r="P392">
        <f>Dataset_A!P392</f>
        <v>92</v>
      </c>
      <c r="Q392" t="str">
        <f t="shared" si="78"/>
        <v>REC-0391</v>
      </c>
      <c r="R392" s="62">
        <f t="shared" si="79"/>
        <v>40560.75</v>
      </c>
      <c r="S392" t="str">
        <f t="shared" si="80"/>
        <v>Jan</v>
      </c>
      <c r="T392" t="str">
        <f>INDEX(Lookups!$B$39:$B$45,MATCH(H392,Lookups!$A$39:$A$45,0))</f>
        <v>Mon</v>
      </c>
      <c r="U392" t="str">
        <f t="shared" si="81"/>
        <v>Weekday</v>
      </c>
      <c r="V392" t="str">
        <f t="shared" si="82"/>
        <v>Non-Working Day</v>
      </c>
      <c r="W392" t="str">
        <f t="shared" si="83"/>
        <v>Spring</v>
      </c>
      <c r="X392" t="str">
        <f t="shared" si="84"/>
        <v>Cloudy/Mist</v>
      </c>
      <c r="Y392" t="str">
        <f t="shared" si="85"/>
        <v>Evening</v>
      </c>
      <c r="Z392" t="str">
        <f t="shared" si="86"/>
        <v>Cold</v>
      </c>
      <c r="AA392" t="str">
        <f t="shared" si="87"/>
        <v>Medium</v>
      </c>
      <c r="AB392" t="str">
        <f t="shared" si="88"/>
        <v>Peak</v>
      </c>
      <c r="AC392" s="63">
        <f t="shared" si="89"/>
        <v>7.6086956521739135E-2</v>
      </c>
      <c r="AD392" t="str">
        <f>IF(P392&gt;=Stats!$C$30,"High",IF(P392&lt;=Stats!$C$29,"Low","Normal"))</f>
        <v>High</v>
      </c>
      <c r="AE392">
        <f t="shared" si="90"/>
        <v>1</v>
      </c>
    </row>
    <row r="393" spans="1:31" x14ac:dyDescent="0.2">
      <c r="A393">
        <f>Dataset_A!A393</f>
        <v>392</v>
      </c>
      <c r="B393" s="61">
        <f>Dataset_A!B393</f>
        <v>40560</v>
      </c>
      <c r="C393">
        <f>Dataset_A!C393</f>
        <v>1</v>
      </c>
      <c r="D393">
        <f>Dataset_A!D393</f>
        <v>0</v>
      </c>
      <c r="E393">
        <f>Dataset_A!E393</f>
        <v>1</v>
      </c>
      <c r="F393">
        <f>Dataset_A!F393</f>
        <v>19</v>
      </c>
      <c r="G393" t="b">
        <f>Dataset_A!G393</f>
        <v>1</v>
      </c>
      <c r="H393">
        <f>Dataset_A!H393</f>
        <v>1</v>
      </c>
      <c r="I393">
        <f>Dataset_A!I393</f>
        <v>3</v>
      </c>
      <c r="J393" s="55">
        <f>Dataset_A!J393</f>
        <v>0.18</v>
      </c>
      <c r="K393">
        <f>Dataset_A!K393</f>
        <v>0.18179999999999999</v>
      </c>
      <c r="L393">
        <f>Dataset_A!L393</f>
        <v>0.59</v>
      </c>
      <c r="M393">
        <f>Dataset_A!M393</f>
        <v>0.19400000000000001</v>
      </c>
      <c r="N393">
        <f>Dataset_A!N393</f>
        <v>2</v>
      </c>
      <c r="O393">
        <f>Dataset_A!O393</f>
        <v>58</v>
      </c>
      <c r="P393">
        <f>Dataset_A!P393</f>
        <v>60</v>
      </c>
      <c r="Q393" t="str">
        <f t="shared" si="78"/>
        <v>REC-0392</v>
      </c>
      <c r="R393" s="62">
        <f t="shared" si="79"/>
        <v>40560.791666666664</v>
      </c>
      <c r="S393" t="str">
        <f t="shared" si="80"/>
        <v>Jan</v>
      </c>
      <c r="T393" t="str">
        <f>INDEX(Lookups!$B$39:$B$45,MATCH(H393,Lookups!$A$39:$A$45,0))</f>
        <v>Mon</v>
      </c>
      <c r="U393" t="str">
        <f t="shared" si="81"/>
        <v>Weekday</v>
      </c>
      <c r="V393" t="str">
        <f t="shared" si="82"/>
        <v>Non-Working Day</v>
      </c>
      <c r="W393" t="str">
        <f t="shared" si="83"/>
        <v>Spring</v>
      </c>
      <c r="X393" t="str">
        <f t="shared" si="84"/>
        <v>Light Rain/Snow</v>
      </c>
      <c r="Y393" t="str">
        <f t="shared" si="85"/>
        <v>Evening</v>
      </c>
      <c r="Z393" t="str">
        <f t="shared" si="86"/>
        <v>Cold</v>
      </c>
      <c r="AA393" t="str">
        <f t="shared" si="87"/>
        <v>Medium</v>
      </c>
      <c r="AB393" t="str">
        <f t="shared" si="88"/>
        <v>Peak</v>
      </c>
      <c r="AC393" s="63">
        <f t="shared" si="89"/>
        <v>3.3333333333333333E-2</v>
      </c>
      <c r="AD393" t="str">
        <f>IF(P393&gt;=Stats!$C$30,"High",IF(P393&lt;=Stats!$C$29,"Low","Normal"))</f>
        <v>Normal</v>
      </c>
      <c r="AE393">
        <f t="shared" si="90"/>
        <v>1</v>
      </c>
    </row>
    <row r="394" spans="1:31" x14ac:dyDescent="0.2">
      <c r="A394">
        <f>Dataset_A!A394</f>
        <v>393</v>
      </c>
      <c r="B394" s="61">
        <f>Dataset_A!B394</f>
        <v>40560</v>
      </c>
      <c r="C394">
        <f>Dataset_A!C394</f>
        <v>1</v>
      </c>
      <c r="D394">
        <f>Dataset_A!D394</f>
        <v>0</v>
      </c>
      <c r="E394">
        <f>Dataset_A!E394</f>
        <v>1</v>
      </c>
      <c r="F394">
        <f>Dataset_A!F394</f>
        <v>20</v>
      </c>
      <c r="G394" t="b">
        <f>Dataset_A!G394</f>
        <v>1</v>
      </c>
      <c r="H394">
        <f>Dataset_A!H394</f>
        <v>1</v>
      </c>
      <c r="I394">
        <f>Dataset_A!I394</f>
        <v>3</v>
      </c>
      <c r="J394" s="55">
        <f>Dataset_A!J394</f>
        <v>0.16</v>
      </c>
      <c r="K394">
        <f>Dataset_A!K394</f>
        <v>0.1515</v>
      </c>
      <c r="L394">
        <f>Dataset_A!L394</f>
        <v>0.8</v>
      </c>
      <c r="M394">
        <f>Dataset_A!M394</f>
        <v>0.19400000000000001</v>
      </c>
      <c r="N394">
        <f>Dataset_A!N394</f>
        <v>4</v>
      </c>
      <c r="O394">
        <f>Dataset_A!O394</f>
        <v>29</v>
      </c>
      <c r="P394">
        <f>Dataset_A!P394</f>
        <v>33</v>
      </c>
      <c r="Q394" t="str">
        <f t="shared" si="78"/>
        <v>REC-0393</v>
      </c>
      <c r="R394" s="62">
        <f t="shared" si="79"/>
        <v>40560.833333333336</v>
      </c>
      <c r="S394" t="str">
        <f t="shared" si="80"/>
        <v>Jan</v>
      </c>
      <c r="T394" t="str">
        <f>INDEX(Lookups!$B$39:$B$45,MATCH(H394,Lookups!$A$39:$A$45,0))</f>
        <v>Mon</v>
      </c>
      <c r="U394" t="str">
        <f t="shared" si="81"/>
        <v>Weekday</v>
      </c>
      <c r="V394" t="str">
        <f t="shared" si="82"/>
        <v>Non-Working Day</v>
      </c>
      <c r="W394" t="str">
        <f t="shared" si="83"/>
        <v>Spring</v>
      </c>
      <c r="X394" t="str">
        <f t="shared" si="84"/>
        <v>Light Rain/Snow</v>
      </c>
      <c r="Y394" t="str">
        <f t="shared" si="85"/>
        <v>Evening</v>
      </c>
      <c r="Z394" t="str">
        <f t="shared" si="86"/>
        <v>Cold</v>
      </c>
      <c r="AA394" t="str">
        <f t="shared" si="87"/>
        <v>High</v>
      </c>
      <c r="AB394" t="str">
        <f t="shared" si="88"/>
        <v>Off-Peak</v>
      </c>
      <c r="AC394" s="63">
        <f t="shared" si="89"/>
        <v>0.12121212121212122</v>
      </c>
      <c r="AD394" t="str">
        <f>IF(P394&gt;=Stats!$C$30,"High",IF(P394&lt;=Stats!$C$29,"Low","Normal"))</f>
        <v>Normal</v>
      </c>
      <c r="AE394">
        <f t="shared" si="90"/>
        <v>1</v>
      </c>
    </row>
    <row r="395" spans="1:31" x14ac:dyDescent="0.2">
      <c r="A395">
        <f>Dataset_A!A395</f>
        <v>394</v>
      </c>
      <c r="B395" s="61">
        <f>Dataset_A!B395</f>
        <v>40560</v>
      </c>
      <c r="C395">
        <f>Dataset_A!C395</f>
        <v>1</v>
      </c>
      <c r="D395">
        <f>Dataset_A!D395</f>
        <v>0</v>
      </c>
      <c r="E395">
        <f>Dataset_A!E395</f>
        <v>1</v>
      </c>
      <c r="F395">
        <f>Dataset_A!F395</f>
        <v>21</v>
      </c>
      <c r="G395" t="b">
        <f>Dataset_A!G395</f>
        <v>1</v>
      </c>
      <c r="H395">
        <f>Dataset_A!H395</f>
        <v>1</v>
      </c>
      <c r="I395">
        <f>Dataset_A!I395</f>
        <v>3</v>
      </c>
      <c r="J395" s="55">
        <f>Dataset_A!J395</f>
        <v>0.16</v>
      </c>
      <c r="K395">
        <f>Dataset_A!K395</f>
        <v>0.1515</v>
      </c>
      <c r="L395">
        <f>Dataset_A!L395</f>
        <v>0.8</v>
      </c>
      <c r="M395">
        <f>Dataset_A!M395</f>
        <v>0.19400000000000001</v>
      </c>
      <c r="N395">
        <f>Dataset_A!N395</f>
        <v>3</v>
      </c>
      <c r="O395">
        <f>Dataset_A!O395</f>
        <v>24</v>
      </c>
      <c r="P395">
        <f>Dataset_A!P395</f>
        <v>27</v>
      </c>
      <c r="Q395" t="str">
        <f t="shared" si="78"/>
        <v>REC-0394</v>
      </c>
      <c r="R395" s="62">
        <f t="shared" si="79"/>
        <v>40560.875</v>
      </c>
      <c r="S395" t="str">
        <f t="shared" si="80"/>
        <v>Jan</v>
      </c>
      <c r="T395" t="str">
        <f>INDEX(Lookups!$B$39:$B$45,MATCH(H395,Lookups!$A$39:$A$45,0))</f>
        <v>Mon</v>
      </c>
      <c r="U395" t="str">
        <f t="shared" si="81"/>
        <v>Weekday</v>
      </c>
      <c r="V395" t="str">
        <f t="shared" si="82"/>
        <v>Non-Working Day</v>
      </c>
      <c r="W395" t="str">
        <f t="shared" si="83"/>
        <v>Spring</v>
      </c>
      <c r="X395" t="str">
        <f t="shared" si="84"/>
        <v>Light Rain/Snow</v>
      </c>
      <c r="Y395" t="str">
        <f t="shared" si="85"/>
        <v>Late Evening</v>
      </c>
      <c r="Z395" t="str">
        <f t="shared" si="86"/>
        <v>Cold</v>
      </c>
      <c r="AA395" t="str">
        <f t="shared" si="87"/>
        <v>High</v>
      </c>
      <c r="AB395" t="str">
        <f t="shared" si="88"/>
        <v>Off-Peak</v>
      </c>
      <c r="AC395" s="63">
        <f t="shared" si="89"/>
        <v>0.1111111111111111</v>
      </c>
      <c r="AD395" t="str">
        <f>IF(P395&gt;=Stats!$C$30,"High",IF(P395&lt;=Stats!$C$29,"Low","Normal"))</f>
        <v>Normal</v>
      </c>
      <c r="AE395">
        <f t="shared" si="90"/>
        <v>1</v>
      </c>
    </row>
    <row r="396" spans="1:31" x14ac:dyDescent="0.2">
      <c r="A396">
        <f>Dataset_A!A396</f>
        <v>395</v>
      </c>
      <c r="B396" s="61">
        <f>Dataset_A!B396</f>
        <v>40560</v>
      </c>
      <c r="C396">
        <f>Dataset_A!C396</f>
        <v>1</v>
      </c>
      <c r="D396">
        <f>Dataset_A!D396</f>
        <v>0</v>
      </c>
      <c r="E396">
        <f>Dataset_A!E396</f>
        <v>1</v>
      </c>
      <c r="F396">
        <f>Dataset_A!F396</f>
        <v>22</v>
      </c>
      <c r="G396" t="b">
        <f>Dataset_A!G396</f>
        <v>1</v>
      </c>
      <c r="H396">
        <f>Dataset_A!H396</f>
        <v>1</v>
      </c>
      <c r="I396">
        <f>Dataset_A!I396</f>
        <v>3</v>
      </c>
      <c r="J396" s="55">
        <f>Dataset_A!J396</f>
        <v>0.14000000000000001</v>
      </c>
      <c r="K396">
        <f>Dataset_A!K396</f>
        <v>0.1212</v>
      </c>
      <c r="L396">
        <f>Dataset_A!L396</f>
        <v>0.93</v>
      </c>
      <c r="M396">
        <f>Dataset_A!M396</f>
        <v>0.25369999999999998</v>
      </c>
      <c r="N396">
        <f>Dataset_A!N396</f>
        <v>0</v>
      </c>
      <c r="O396">
        <f>Dataset_A!O396</f>
        <v>13</v>
      </c>
      <c r="P396">
        <f>Dataset_A!P396</f>
        <v>13</v>
      </c>
      <c r="Q396" t="str">
        <f t="shared" si="78"/>
        <v>REC-0395</v>
      </c>
      <c r="R396" s="62">
        <f t="shared" si="79"/>
        <v>40560.916666666664</v>
      </c>
      <c r="S396" t="str">
        <f t="shared" si="80"/>
        <v>Jan</v>
      </c>
      <c r="T396" t="str">
        <f>INDEX(Lookups!$B$39:$B$45,MATCH(H396,Lookups!$A$39:$A$45,0))</f>
        <v>Mon</v>
      </c>
      <c r="U396" t="str">
        <f t="shared" si="81"/>
        <v>Weekday</v>
      </c>
      <c r="V396" t="str">
        <f t="shared" si="82"/>
        <v>Non-Working Day</v>
      </c>
      <c r="W396" t="str">
        <f t="shared" si="83"/>
        <v>Spring</v>
      </c>
      <c r="X396" t="str">
        <f t="shared" si="84"/>
        <v>Light Rain/Snow</v>
      </c>
      <c r="Y396" t="str">
        <f t="shared" si="85"/>
        <v>Late Evening</v>
      </c>
      <c r="Z396" t="str">
        <f t="shared" si="86"/>
        <v>Cold</v>
      </c>
      <c r="AA396" t="str">
        <f t="shared" si="87"/>
        <v>High</v>
      </c>
      <c r="AB396" t="str">
        <f t="shared" si="88"/>
        <v>Off-Peak</v>
      </c>
      <c r="AC396" s="63">
        <f t="shared" si="89"/>
        <v>0</v>
      </c>
      <c r="AD396" t="str">
        <f>IF(P396&gt;=Stats!$C$30,"High",IF(P396&lt;=Stats!$C$29,"Low","Normal"))</f>
        <v>Low</v>
      </c>
      <c r="AE396">
        <f t="shared" si="90"/>
        <v>1</v>
      </c>
    </row>
    <row r="397" spans="1:31" x14ac:dyDescent="0.2">
      <c r="A397">
        <f>Dataset_A!A397</f>
        <v>396</v>
      </c>
      <c r="B397" s="61">
        <f>Dataset_A!B397</f>
        <v>40560</v>
      </c>
      <c r="C397">
        <f>Dataset_A!C397</f>
        <v>1</v>
      </c>
      <c r="D397">
        <f>Dataset_A!D397</f>
        <v>0</v>
      </c>
      <c r="E397">
        <f>Dataset_A!E397</f>
        <v>1</v>
      </c>
      <c r="F397">
        <f>Dataset_A!F397</f>
        <v>23</v>
      </c>
      <c r="G397" t="b">
        <f>Dataset_A!G397</f>
        <v>1</v>
      </c>
      <c r="H397">
        <f>Dataset_A!H397</f>
        <v>1</v>
      </c>
      <c r="I397">
        <f>Dataset_A!I397</f>
        <v>3</v>
      </c>
      <c r="J397" s="55">
        <f>Dataset_A!J397</f>
        <v>0.16</v>
      </c>
      <c r="K397">
        <f>Dataset_A!K397</f>
        <v>0.13639999999999999</v>
      </c>
      <c r="L397">
        <f>Dataset_A!L397</f>
        <v>0.86</v>
      </c>
      <c r="M397">
        <f>Dataset_A!M397</f>
        <v>0.28360000000000002</v>
      </c>
      <c r="N397">
        <f>Dataset_A!N397</f>
        <v>1</v>
      </c>
      <c r="O397">
        <f>Dataset_A!O397</f>
        <v>3</v>
      </c>
      <c r="P397">
        <f>Dataset_A!P397</f>
        <v>4</v>
      </c>
      <c r="Q397" t="str">
        <f t="shared" si="78"/>
        <v>REC-0396</v>
      </c>
      <c r="R397" s="62">
        <f t="shared" si="79"/>
        <v>40560.958333333336</v>
      </c>
      <c r="S397" t="str">
        <f t="shared" si="80"/>
        <v>Jan</v>
      </c>
      <c r="T397" t="str">
        <f>INDEX(Lookups!$B$39:$B$45,MATCH(H397,Lookups!$A$39:$A$45,0))</f>
        <v>Mon</v>
      </c>
      <c r="U397" t="str">
        <f t="shared" si="81"/>
        <v>Weekday</v>
      </c>
      <c r="V397" t="str">
        <f t="shared" si="82"/>
        <v>Non-Working Day</v>
      </c>
      <c r="W397" t="str">
        <f t="shared" si="83"/>
        <v>Spring</v>
      </c>
      <c r="X397" t="str">
        <f t="shared" si="84"/>
        <v>Light Rain/Snow</v>
      </c>
      <c r="Y397" t="str">
        <f t="shared" si="85"/>
        <v>Late Evening</v>
      </c>
      <c r="Z397" t="str">
        <f t="shared" si="86"/>
        <v>Cold</v>
      </c>
      <c r="AA397" t="str">
        <f t="shared" si="87"/>
        <v>High</v>
      </c>
      <c r="AB397" t="str">
        <f t="shared" si="88"/>
        <v>Off-Peak</v>
      </c>
      <c r="AC397" s="63">
        <f t="shared" si="89"/>
        <v>0.25</v>
      </c>
      <c r="AD397" t="str">
        <f>IF(P397&gt;=Stats!$C$30,"High",IF(P397&lt;=Stats!$C$29,"Low","Normal"))</f>
        <v>Low</v>
      </c>
      <c r="AE397">
        <f t="shared" si="90"/>
        <v>1</v>
      </c>
    </row>
    <row r="398" spans="1:31" x14ac:dyDescent="0.2">
      <c r="A398">
        <f>Dataset_A!A398</f>
        <v>397</v>
      </c>
      <c r="B398" s="61">
        <f>Dataset_A!B398</f>
        <v>40561</v>
      </c>
      <c r="C398">
        <f>Dataset_A!C398</f>
        <v>1</v>
      </c>
      <c r="D398">
        <f>Dataset_A!D398</f>
        <v>0</v>
      </c>
      <c r="E398">
        <f>Dataset_A!E398</f>
        <v>1</v>
      </c>
      <c r="F398">
        <f>Dataset_A!F398</f>
        <v>12</v>
      </c>
      <c r="G398" t="b">
        <f>Dataset_A!G398</f>
        <v>0</v>
      </c>
      <c r="H398">
        <f>Dataset_A!H398</f>
        <v>2</v>
      </c>
      <c r="I398">
        <f>Dataset_A!I398</f>
        <v>2</v>
      </c>
      <c r="J398" s="55">
        <f>Dataset_A!J398</f>
        <v>0.2</v>
      </c>
      <c r="K398">
        <f>Dataset_A!K398</f>
        <v>0.18179999999999999</v>
      </c>
      <c r="L398">
        <f>Dataset_A!L398</f>
        <v>0.86</v>
      </c>
      <c r="M398">
        <f>Dataset_A!M398</f>
        <v>0.32840000000000003</v>
      </c>
      <c r="N398">
        <f>Dataset_A!N398</f>
        <v>0</v>
      </c>
      <c r="O398">
        <f>Dataset_A!O398</f>
        <v>3</v>
      </c>
      <c r="P398">
        <f>Dataset_A!P398</f>
        <v>3</v>
      </c>
      <c r="Q398" t="str">
        <f t="shared" si="78"/>
        <v>REC-0397</v>
      </c>
      <c r="R398" s="62">
        <f t="shared" si="79"/>
        <v>40561.5</v>
      </c>
      <c r="S398" t="str">
        <f t="shared" si="80"/>
        <v>Jan</v>
      </c>
      <c r="T398" t="str">
        <f>INDEX(Lookups!$B$39:$B$45,MATCH(H398,Lookups!$A$39:$A$45,0))</f>
        <v>Tue</v>
      </c>
      <c r="U398" t="str">
        <f t="shared" si="81"/>
        <v>Weekday</v>
      </c>
      <c r="V398" t="str">
        <f t="shared" si="82"/>
        <v>Working Day</v>
      </c>
      <c r="W398" t="str">
        <f t="shared" si="83"/>
        <v>Spring</v>
      </c>
      <c r="X398" t="str">
        <f t="shared" si="84"/>
        <v>Cloudy/Mist</v>
      </c>
      <c r="Y398" t="str">
        <f t="shared" si="85"/>
        <v>Afternoon</v>
      </c>
      <c r="Z398" t="str">
        <f t="shared" si="86"/>
        <v>Mild</v>
      </c>
      <c r="AA398" t="str">
        <f t="shared" si="87"/>
        <v>High</v>
      </c>
      <c r="AB398" t="str">
        <f t="shared" si="88"/>
        <v>Off-Peak</v>
      </c>
      <c r="AC398" s="63">
        <f t="shared" si="89"/>
        <v>0</v>
      </c>
      <c r="AD398" t="str">
        <f>IF(P398&gt;=Stats!$C$30,"High",IF(P398&lt;=Stats!$C$29,"Low","Normal"))</f>
        <v>Low</v>
      </c>
      <c r="AE398">
        <f t="shared" si="90"/>
        <v>1</v>
      </c>
    </row>
    <row r="399" spans="1:31" x14ac:dyDescent="0.2">
      <c r="A399">
        <f>Dataset_A!A399</f>
        <v>398</v>
      </c>
      <c r="B399" s="61">
        <f>Dataset_A!B399</f>
        <v>40561</v>
      </c>
      <c r="C399">
        <f>Dataset_A!C399</f>
        <v>1</v>
      </c>
      <c r="D399">
        <f>Dataset_A!D399</f>
        <v>0</v>
      </c>
      <c r="E399">
        <f>Dataset_A!E399</f>
        <v>1</v>
      </c>
      <c r="F399">
        <f>Dataset_A!F399</f>
        <v>13</v>
      </c>
      <c r="G399" t="b">
        <f>Dataset_A!G399</f>
        <v>0</v>
      </c>
      <c r="H399">
        <f>Dataset_A!H399</f>
        <v>2</v>
      </c>
      <c r="I399">
        <f>Dataset_A!I399</f>
        <v>2</v>
      </c>
      <c r="J399" s="55">
        <f>Dataset_A!J399</f>
        <v>0.2</v>
      </c>
      <c r="K399">
        <f>Dataset_A!K399</f>
        <v>0.19700000000000001</v>
      </c>
      <c r="L399">
        <f>Dataset_A!L399</f>
        <v>0.86</v>
      </c>
      <c r="M399">
        <f>Dataset_A!M399</f>
        <v>0.22389999999999999</v>
      </c>
      <c r="N399">
        <f>Dataset_A!N399</f>
        <v>0</v>
      </c>
      <c r="O399">
        <f>Dataset_A!O399</f>
        <v>22</v>
      </c>
      <c r="P399">
        <f>Dataset_A!P399</f>
        <v>22</v>
      </c>
      <c r="Q399" t="str">
        <f t="shared" si="78"/>
        <v>REC-0398</v>
      </c>
      <c r="R399" s="62">
        <f t="shared" si="79"/>
        <v>40561.541666666664</v>
      </c>
      <c r="S399" t="str">
        <f t="shared" si="80"/>
        <v>Jan</v>
      </c>
      <c r="T399" t="str">
        <f>INDEX(Lookups!$B$39:$B$45,MATCH(H399,Lookups!$A$39:$A$45,0))</f>
        <v>Tue</v>
      </c>
      <c r="U399" t="str">
        <f t="shared" si="81"/>
        <v>Weekday</v>
      </c>
      <c r="V399" t="str">
        <f t="shared" si="82"/>
        <v>Working Day</v>
      </c>
      <c r="W399" t="str">
        <f t="shared" si="83"/>
        <v>Spring</v>
      </c>
      <c r="X399" t="str">
        <f t="shared" si="84"/>
        <v>Cloudy/Mist</v>
      </c>
      <c r="Y399" t="str">
        <f t="shared" si="85"/>
        <v>Afternoon</v>
      </c>
      <c r="Z399" t="str">
        <f t="shared" si="86"/>
        <v>Mild</v>
      </c>
      <c r="AA399" t="str">
        <f t="shared" si="87"/>
        <v>High</v>
      </c>
      <c r="AB399" t="str">
        <f t="shared" si="88"/>
        <v>Off-Peak</v>
      </c>
      <c r="AC399" s="63">
        <f t="shared" si="89"/>
        <v>0</v>
      </c>
      <c r="AD399" t="str">
        <f>IF(P399&gt;=Stats!$C$30,"High",IF(P399&lt;=Stats!$C$29,"Low","Normal"))</f>
        <v>Normal</v>
      </c>
      <c r="AE399">
        <f t="shared" si="90"/>
        <v>1</v>
      </c>
    </row>
    <row r="400" spans="1:31" x14ac:dyDescent="0.2">
      <c r="A400">
        <f>Dataset_A!A400</f>
        <v>399</v>
      </c>
      <c r="B400" s="61">
        <f>Dataset_A!B400</f>
        <v>40561</v>
      </c>
      <c r="C400">
        <f>Dataset_A!C400</f>
        <v>1</v>
      </c>
      <c r="D400">
        <f>Dataset_A!D400</f>
        <v>0</v>
      </c>
      <c r="E400">
        <f>Dataset_A!E400</f>
        <v>1</v>
      </c>
      <c r="F400">
        <f>Dataset_A!F400</f>
        <v>14</v>
      </c>
      <c r="G400" t="b">
        <f>Dataset_A!G400</f>
        <v>0</v>
      </c>
      <c r="H400">
        <f>Dataset_A!H400</f>
        <v>2</v>
      </c>
      <c r="I400">
        <f>Dataset_A!I400</f>
        <v>2</v>
      </c>
      <c r="J400" s="55">
        <f>Dataset_A!J400</f>
        <v>0.22</v>
      </c>
      <c r="K400">
        <f>Dataset_A!K400</f>
        <v>0.2273</v>
      </c>
      <c r="L400">
        <f>Dataset_A!L400</f>
        <v>0.8</v>
      </c>
      <c r="M400">
        <f>Dataset_A!M400</f>
        <v>0.16420000000000001</v>
      </c>
      <c r="N400">
        <f>Dataset_A!N400</f>
        <v>2</v>
      </c>
      <c r="O400">
        <f>Dataset_A!O400</f>
        <v>26</v>
      </c>
      <c r="P400">
        <f>Dataset_A!P400</f>
        <v>28</v>
      </c>
      <c r="Q400" t="str">
        <f t="shared" si="78"/>
        <v>REC-0399</v>
      </c>
      <c r="R400" s="62">
        <f t="shared" si="79"/>
        <v>40561.583333333336</v>
      </c>
      <c r="S400" t="str">
        <f t="shared" si="80"/>
        <v>Jan</v>
      </c>
      <c r="T400" t="str">
        <f>INDEX(Lookups!$B$39:$B$45,MATCH(H400,Lookups!$A$39:$A$45,0))</f>
        <v>Tue</v>
      </c>
      <c r="U400" t="str">
        <f t="shared" si="81"/>
        <v>Weekday</v>
      </c>
      <c r="V400" t="str">
        <f t="shared" si="82"/>
        <v>Working Day</v>
      </c>
      <c r="W400" t="str">
        <f t="shared" si="83"/>
        <v>Spring</v>
      </c>
      <c r="X400" t="str">
        <f t="shared" si="84"/>
        <v>Cloudy/Mist</v>
      </c>
      <c r="Y400" t="str">
        <f t="shared" si="85"/>
        <v>Afternoon</v>
      </c>
      <c r="Z400" t="str">
        <f t="shared" si="86"/>
        <v>Mild</v>
      </c>
      <c r="AA400" t="str">
        <f t="shared" si="87"/>
        <v>High</v>
      </c>
      <c r="AB400" t="str">
        <f t="shared" si="88"/>
        <v>Off-Peak</v>
      </c>
      <c r="AC400" s="63">
        <f t="shared" si="89"/>
        <v>7.1428571428571425E-2</v>
      </c>
      <c r="AD400" t="str">
        <f>IF(P400&gt;=Stats!$C$30,"High",IF(P400&lt;=Stats!$C$29,"Low","Normal"))</f>
        <v>Normal</v>
      </c>
      <c r="AE400">
        <f t="shared" si="90"/>
        <v>1</v>
      </c>
    </row>
    <row r="401" spans="1:31" x14ac:dyDescent="0.2">
      <c r="A401">
        <f>Dataset_A!A401</f>
        <v>400</v>
      </c>
      <c r="B401" s="61">
        <f>Dataset_A!B401</f>
        <v>40561</v>
      </c>
      <c r="C401">
        <f>Dataset_A!C401</f>
        <v>1</v>
      </c>
      <c r="D401">
        <f>Dataset_A!D401</f>
        <v>0</v>
      </c>
      <c r="E401">
        <f>Dataset_A!E401</f>
        <v>1</v>
      </c>
      <c r="F401">
        <f>Dataset_A!F401</f>
        <v>15</v>
      </c>
      <c r="G401" t="b">
        <f>Dataset_A!G401</f>
        <v>0</v>
      </c>
      <c r="H401">
        <f>Dataset_A!H401</f>
        <v>2</v>
      </c>
      <c r="I401">
        <f>Dataset_A!I401</f>
        <v>2</v>
      </c>
      <c r="J401" s="55">
        <f>Dataset_A!J401</f>
        <v>0.22</v>
      </c>
      <c r="K401">
        <f>Dataset_A!K401</f>
        <v>0.2273</v>
      </c>
      <c r="L401">
        <f>Dataset_A!L401</f>
        <v>0.87</v>
      </c>
      <c r="M401">
        <f>Dataset_A!M401</f>
        <v>0.16420000000000001</v>
      </c>
      <c r="N401">
        <f>Dataset_A!N401</f>
        <v>3</v>
      </c>
      <c r="O401">
        <f>Dataset_A!O401</f>
        <v>32</v>
      </c>
      <c r="P401">
        <f>Dataset_A!P401</f>
        <v>35</v>
      </c>
      <c r="Q401" t="str">
        <f t="shared" si="78"/>
        <v>REC-0400</v>
      </c>
      <c r="R401" s="62">
        <f t="shared" si="79"/>
        <v>40561.625</v>
      </c>
      <c r="S401" t="str">
        <f t="shared" si="80"/>
        <v>Jan</v>
      </c>
      <c r="T401" t="str">
        <f>INDEX(Lookups!$B$39:$B$45,MATCH(H401,Lookups!$A$39:$A$45,0))</f>
        <v>Tue</v>
      </c>
      <c r="U401" t="str">
        <f t="shared" si="81"/>
        <v>Weekday</v>
      </c>
      <c r="V401" t="str">
        <f t="shared" si="82"/>
        <v>Working Day</v>
      </c>
      <c r="W401" t="str">
        <f t="shared" si="83"/>
        <v>Spring</v>
      </c>
      <c r="X401" t="str">
        <f t="shared" si="84"/>
        <v>Cloudy/Mist</v>
      </c>
      <c r="Y401" t="str">
        <f t="shared" si="85"/>
        <v>Afternoon</v>
      </c>
      <c r="Z401" t="str">
        <f t="shared" si="86"/>
        <v>Mild</v>
      </c>
      <c r="AA401" t="str">
        <f t="shared" si="87"/>
        <v>High</v>
      </c>
      <c r="AB401" t="str">
        <f t="shared" si="88"/>
        <v>Off-Peak</v>
      </c>
      <c r="AC401" s="63">
        <f t="shared" si="89"/>
        <v>8.5714285714285715E-2</v>
      </c>
      <c r="AD401" t="str">
        <f>IF(P401&gt;=Stats!$C$30,"High",IF(P401&lt;=Stats!$C$29,"Low","Normal"))</f>
        <v>Normal</v>
      </c>
      <c r="AE401">
        <f t="shared" si="90"/>
        <v>1</v>
      </c>
    </row>
    <row r="402" spans="1:31" x14ac:dyDescent="0.2">
      <c r="A402">
        <f>Dataset_A!A402</f>
        <v>401</v>
      </c>
      <c r="B402" s="61">
        <f>Dataset_A!B402</f>
        <v>40561</v>
      </c>
      <c r="C402">
        <f>Dataset_A!C402</f>
        <v>1</v>
      </c>
      <c r="D402">
        <f>Dataset_A!D402</f>
        <v>0</v>
      </c>
      <c r="E402">
        <f>Dataset_A!E402</f>
        <v>1</v>
      </c>
      <c r="F402">
        <f>Dataset_A!F402</f>
        <v>16</v>
      </c>
      <c r="G402" t="b">
        <f>Dataset_A!G402</f>
        <v>0</v>
      </c>
      <c r="H402">
        <f>Dataset_A!H402</f>
        <v>2</v>
      </c>
      <c r="I402">
        <f>Dataset_A!I402</f>
        <v>2</v>
      </c>
      <c r="J402" s="55">
        <f>Dataset_A!J402</f>
        <v>0.22</v>
      </c>
      <c r="K402">
        <f>Dataset_A!K402</f>
        <v>0.2273</v>
      </c>
      <c r="L402">
        <f>Dataset_A!L402</f>
        <v>0.87</v>
      </c>
      <c r="M402">
        <f>Dataset_A!M402</f>
        <v>0.19400000000000001</v>
      </c>
      <c r="N402">
        <f>Dataset_A!N402</f>
        <v>0</v>
      </c>
      <c r="O402">
        <f>Dataset_A!O402</f>
        <v>61</v>
      </c>
      <c r="P402">
        <f>Dataset_A!P402</f>
        <v>61</v>
      </c>
      <c r="Q402" t="str">
        <f t="shared" si="78"/>
        <v>REC-0401</v>
      </c>
      <c r="R402" s="62">
        <f t="shared" si="79"/>
        <v>40561.666666666664</v>
      </c>
      <c r="S402" t="str">
        <f t="shared" si="80"/>
        <v>Jan</v>
      </c>
      <c r="T402" t="str">
        <f>INDEX(Lookups!$B$39:$B$45,MATCH(H402,Lookups!$A$39:$A$45,0))</f>
        <v>Tue</v>
      </c>
      <c r="U402" t="str">
        <f t="shared" si="81"/>
        <v>Weekday</v>
      </c>
      <c r="V402" t="str">
        <f t="shared" si="82"/>
        <v>Working Day</v>
      </c>
      <c r="W402" t="str">
        <f t="shared" si="83"/>
        <v>Spring</v>
      </c>
      <c r="X402" t="str">
        <f t="shared" si="84"/>
        <v>Cloudy/Mist</v>
      </c>
      <c r="Y402" t="str">
        <f t="shared" si="85"/>
        <v>Afternoon</v>
      </c>
      <c r="Z402" t="str">
        <f t="shared" si="86"/>
        <v>Mild</v>
      </c>
      <c r="AA402" t="str">
        <f t="shared" si="87"/>
        <v>High</v>
      </c>
      <c r="AB402" t="str">
        <f t="shared" si="88"/>
        <v>Peak</v>
      </c>
      <c r="AC402" s="63">
        <f t="shared" si="89"/>
        <v>0</v>
      </c>
      <c r="AD402" t="str">
        <f>IF(P402&gt;=Stats!$C$30,"High",IF(P402&lt;=Stats!$C$29,"Low","Normal"))</f>
        <v>Normal</v>
      </c>
      <c r="AE402">
        <f t="shared" si="90"/>
        <v>1</v>
      </c>
    </row>
    <row r="403" spans="1:31" x14ac:dyDescent="0.2">
      <c r="A403">
        <f>Dataset_A!A403</f>
        <v>402</v>
      </c>
      <c r="B403" s="61">
        <f>Dataset_A!B403</f>
        <v>40561</v>
      </c>
      <c r="C403">
        <f>Dataset_A!C403</f>
        <v>1</v>
      </c>
      <c r="D403">
        <f>Dataset_A!D403</f>
        <v>0</v>
      </c>
      <c r="E403">
        <f>Dataset_A!E403</f>
        <v>1</v>
      </c>
      <c r="F403">
        <f>Dataset_A!F403</f>
        <v>17</v>
      </c>
      <c r="G403" t="b">
        <f>Dataset_A!G403</f>
        <v>0</v>
      </c>
      <c r="H403">
        <f>Dataset_A!H403</f>
        <v>2</v>
      </c>
      <c r="I403">
        <f>Dataset_A!I403</f>
        <v>2</v>
      </c>
      <c r="J403" s="55">
        <f>Dataset_A!J403</f>
        <v>0.22</v>
      </c>
      <c r="K403">
        <f>Dataset_A!K403</f>
        <v>0.2273</v>
      </c>
      <c r="L403">
        <f>Dataset_A!L403</f>
        <v>0.82</v>
      </c>
      <c r="M403">
        <f>Dataset_A!M403</f>
        <v>0.19400000000000001</v>
      </c>
      <c r="N403">
        <f>Dataset_A!N403</f>
        <v>1</v>
      </c>
      <c r="O403">
        <f>Dataset_A!O403</f>
        <v>124</v>
      </c>
      <c r="P403">
        <f>Dataset_A!P403</f>
        <v>125</v>
      </c>
      <c r="Q403" t="str">
        <f t="shared" si="78"/>
        <v>REC-0402</v>
      </c>
      <c r="R403" s="62">
        <f t="shared" si="79"/>
        <v>40561.708333333336</v>
      </c>
      <c r="S403" t="str">
        <f t="shared" si="80"/>
        <v>Jan</v>
      </c>
      <c r="T403" t="str">
        <f>INDEX(Lookups!$B$39:$B$45,MATCH(H403,Lookups!$A$39:$A$45,0))</f>
        <v>Tue</v>
      </c>
      <c r="U403" t="str">
        <f t="shared" si="81"/>
        <v>Weekday</v>
      </c>
      <c r="V403" t="str">
        <f t="shared" si="82"/>
        <v>Working Day</v>
      </c>
      <c r="W403" t="str">
        <f t="shared" si="83"/>
        <v>Spring</v>
      </c>
      <c r="X403" t="str">
        <f t="shared" si="84"/>
        <v>Cloudy/Mist</v>
      </c>
      <c r="Y403" t="str">
        <f t="shared" si="85"/>
        <v>Evening</v>
      </c>
      <c r="Z403" t="str">
        <f t="shared" si="86"/>
        <v>Mild</v>
      </c>
      <c r="AA403" t="str">
        <f t="shared" si="87"/>
        <v>High</v>
      </c>
      <c r="AB403" t="str">
        <f t="shared" si="88"/>
        <v>Peak</v>
      </c>
      <c r="AC403" s="63">
        <f t="shared" si="89"/>
        <v>8.0000000000000002E-3</v>
      </c>
      <c r="AD403" t="str">
        <f>IF(P403&gt;=Stats!$C$30,"High",IF(P403&lt;=Stats!$C$29,"Low","Normal"))</f>
        <v>High</v>
      </c>
      <c r="AE403">
        <f t="shared" si="90"/>
        <v>1</v>
      </c>
    </row>
    <row r="404" spans="1:31" x14ac:dyDescent="0.2">
      <c r="A404">
        <f>Dataset_A!A404</f>
        <v>403</v>
      </c>
      <c r="B404" s="61">
        <f>Dataset_A!B404</f>
        <v>40561</v>
      </c>
      <c r="C404">
        <f>Dataset_A!C404</f>
        <v>1</v>
      </c>
      <c r="D404">
        <f>Dataset_A!D404</f>
        <v>0</v>
      </c>
      <c r="E404">
        <f>Dataset_A!E404</f>
        <v>1</v>
      </c>
      <c r="F404">
        <f>Dataset_A!F404</f>
        <v>18</v>
      </c>
      <c r="G404" t="b">
        <f>Dataset_A!G404</f>
        <v>0</v>
      </c>
      <c r="H404">
        <f>Dataset_A!H404</f>
        <v>2</v>
      </c>
      <c r="I404">
        <f>Dataset_A!I404</f>
        <v>2</v>
      </c>
      <c r="J404" s="55">
        <f>Dataset_A!J404</f>
        <v>0.22</v>
      </c>
      <c r="K404">
        <f>Dataset_A!K404</f>
        <v>0.2273</v>
      </c>
      <c r="L404">
        <f>Dataset_A!L404</f>
        <v>0.8</v>
      </c>
      <c r="M404">
        <f>Dataset_A!M404</f>
        <v>0.16420000000000001</v>
      </c>
      <c r="N404">
        <f>Dataset_A!N404</f>
        <v>1</v>
      </c>
      <c r="O404">
        <f>Dataset_A!O404</f>
        <v>132</v>
      </c>
      <c r="P404">
        <f>Dataset_A!P404</f>
        <v>133</v>
      </c>
      <c r="Q404" t="str">
        <f t="shared" si="78"/>
        <v>REC-0403</v>
      </c>
      <c r="R404" s="62">
        <f t="shared" si="79"/>
        <v>40561.75</v>
      </c>
      <c r="S404" t="str">
        <f t="shared" si="80"/>
        <v>Jan</v>
      </c>
      <c r="T404" t="str">
        <f>INDEX(Lookups!$B$39:$B$45,MATCH(H404,Lookups!$A$39:$A$45,0))</f>
        <v>Tue</v>
      </c>
      <c r="U404" t="str">
        <f t="shared" si="81"/>
        <v>Weekday</v>
      </c>
      <c r="V404" t="str">
        <f t="shared" si="82"/>
        <v>Working Day</v>
      </c>
      <c r="W404" t="str">
        <f t="shared" si="83"/>
        <v>Spring</v>
      </c>
      <c r="X404" t="str">
        <f t="shared" si="84"/>
        <v>Cloudy/Mist</v>
      </c>
      <c r="Y404" t="str">
        <f t="shared" si="85"/>
        <v>Evening</v>
      </c>
      <c r="Z404" t="str">
        <f t="shared" si="86"/>
        <v>Mild</v>
      </c>
      <c r="AA404" t="str">
        <f t="shared" si="87"/>
        <v>High</v>
      </c>
      <c r="AB404" t="str">
        <f t="shared" si="88"/>
        <v>Peak</v>
      </c>
      <c r="AC404" s="63">
        <f t="shared" si="89"/>
        <v>7.5187969924812026E-3</v>
      </c>
      <c r="AD404" t="str">
        <f>IF(P404&gt;=Stats!$C$30,"High",IF(P404&lt;=Stats!$C$29,"Low","Normal"))</f>
        <v>High</v>
      </c>
      <c r="AE404">
        <f t="shared" si="90"/>
        <v>1</v>
      </c>
    </row>
    <row r="405" spans="1:31" x14ac:dyDescent="0.2">
      <c r="A405">
        <f>Dataset_A!A405</f>
        <v>404</v>
      </c>
      <c r="B405" s="61">
        <f>Dataset_A!B405</f>
        <v>40561</v>
      </c>
      <c r="C405">
        <f>Dataset_A!C405</f>
        <v>1</v>
      </c>
      <c r="D405">
        <f>Dataset_A!D405</f>
        <v>0</v>
      </c>
      <c r="E405">
        <f>Dataset_A!E405</f>
        <v>1</v>
      </c>
      <c r="F405">
        <f>Dataset_A!F405</f>
        <v>19</v>
      </c>
      <c r="G405" t="b">
        <f>Dataset_A!G405</f>
        <v>0</v>
      </c>
      <c r="H405">
        <f>Dataset_A!H405</f>
        <v>2</v>
      </c>
      <c r="I405">
        <f>Dataset_A!I405</f>
        <v>2</v>
      </c>
      <c r="J405" s="55">
        <f>Dataset_A!J405</f>
        <v>0.22</v>
      </c>
      <c r="K405">
        <f>Dataset_A!K405</f>
        <v>0.2273</v>
      </c>
      <c r="L405">
        <f>Dataset_A!L405</f>
        <v>0.8</v>
      </c>
      <c r="M405">
        <f>Dataset_A!M405</f>
        <v>0.1343</v>
      </c>
      <c r="N405">
        <f>Dataset_A!N405</f>
        <v>1</v>
      </c>
      <c r="O405">
        <f>Dataset_A!O405</f>
        <v>98</v>
      </c>
      <c r="P405">
        <f>Dataset_A!P405</f>
        <v>99</v>
      </c>
      <c r="Q405" t="str">
        <f t="shared" si="78"/>
        <v>REC-0404</v>
      </c>
      <c r="R405" s="62">
        <f t="shared" si="79"/>
        <v>40561.791666666664</v>
      </c>
      <c r="S405" t="str">
        <f t="shared" si="80"/>
        <v>Jan</v>
      </c>
      <c r="T405" t="str">
        <f>INDEX(Lookups!$B$39:$B$45,MATCH(H405,Lookups!$A$39:$A$45,0))</f>
        <v>Tue</v>
      </c>
      <c r="U405" t="str">
        <f t="shared" si="81"/>
        <v>Weekday</v>
      </c>
      <c r="V405" t="str">
        <f t="shared" si="82"/>
        <v>Working Day</v>
      </c>
      <c r="W405" t="str">
        <f t="shared" si="83"/>
        <v>Spring</v>
      </c>
      <c r="X405" t="str">
        <f t="shared" si="84"/>
        <v>Cloudy/Mist</v>
      </c>
      <c r="Y405" t="str">
        <f t="shared" si="85"/>
        <v>Evening</v>
      </c>
      <c r="Z405" t="str">
        <f t="shared" si="86"/>
        <v>Mild</v>
      </c>
      <c r="AA405" t="str">
        <f t="shared" si="87"/>
        <v>High</v>
      </c>
      <c r="AB405" t="str">
        <f t="shared" si="88"/>
        <v>Peak</v>
      </c>
      <c r="AC405" s="63">
        <f t="shared" si="89"/>
        <v>1.0101010101010102E-2</v>
      </c>
      <c r="AD405" t="str">
        <f>IF(P405&gt;=Stats!$C$30,"High",IF(P405&lt;=Stats!$C$29,"Low","Normal"))</f>
        <v>High</v>
      </c>
      <c r="AE405">
        <f t="shared" si="90"/>
        <v>1</v>
      </c>
    </row>
    <row r="406" spans="1:31" x14ac:dyDescent="0.2">
      <c r="A406">
        <f>Dataset_A!A406</f>
        <v>405</v>
      </c>
      <c r="B406" s="61">
        <f>Dataset_A!B406</f>
        <v>40561</v>
      </c>
      <c r="C406">
        <f>Dataset_A!C406</f>
        <v>1</v>
      </c>
      <c r="D406">
        <f>Dataset_A!D406</f>
        <v>0</v>
      </c>
      <c r="E406">
        <f>Dataset_A!E406</f>
        <v>1</v>
      </c>
      <c r="F406">
        <f>Dataset_A!F406</f>
        <v>20</v>
      </c>
      <c r="G406" t="b">
        <f>Dataset_A!G406</f>
        <v>0</v>
      </c>
      <c r="H406">
        <f>Dataset_A!H406</f>
        <v>2</v>
      </c>
      <c r="I406">
        <f>Dataset_A!I406</f>
        <v>2</v>
      </c>
      <c r="J406" s="55">
        <f>Dataset_A!J406</f>
        <v>0.22</v>
      </c>
      <c r="K406">
        <f>Dataset_A!K406</f>
        <v>0.2727</v>
      </c>
      <c r="L406">
        <f>Dataset_A!L406</f>
        <v>0.87</v>
      </c>
      <c r="M406">
        <f>Dataset_A!M406</f>
        <v>0</v>
      </c>
      <c r="N406">
        <f>Dataset_A!N406</f>
        <v>0</v>
      </c>
      <c r="O406">
        <f>Dataset_A!O406</f>
        <v>83</v>
      </c>
      <c r="P406">
        <f>Dataset_A!P406</f>
        <v>83</v>
      </c>
      <c r="Q406" t="str">
        <f t="shared" si="78"/>
        <v>REC-0405</v>
      </c>
      <c r="R406" s="62">
        <f t="shared" si="79"/>
        <v>40561.833333333336</v>
      </c>
      <c r="S406" t="str">
        <f t="shared" si="80"/>
        <v>Jan</v>
      </c>
      <c r="T406" t="str">
        <f>INDEX(Lookups!$B$39:$B$45,MATCH(H406,Lookups!$A$39:$A$45,0))</f>
        <v>Tue</v>
      </c>
      <c r="U406" t="str">
        <f t="shared" si="81"/>
        <v>Weekday</v>
      </c>
      <c r="V406" t="str">
        <f t="shared" si="82"/>
        <v>Working Day</v>
      </c>
      <c r="W406" t="str">
        <f t="shared" si="83"/>
        <v>Spring</v>
      </c>
      <c r="X406" t="str">
        <f t="shared" si="84"/>
        <v>Cloudy/Mist</v>
      </c>
      <c r="Y406" t="str">
        <f t="shared" si="85"/>
        <v>Evening</v>
      </c>
      <c r="Z406" t="str">
        <f t="shared" si="86"/>
        <v>Mild</v>
      </c>
      <c r="AA406" t="str">
        <f t="shared" si="87"/>
        <v>High</v>
      </c>
      <c r="AB406" t="str">
        <f t="shared" si="88"/>
        <v>Off-Peak</v>
      </c>
      <c r="AC406" s="63">
        <f t="shared" si="89"/>
        <v>0</v>
      </c>
      <c r="AD406" t="str">
        <f>IF(P406&gt;=Stats!$C$30,"High",IF(P406&lt;=Stats!$C$29,"Low","Normal"))</f>
        <v>High</v>
      </c>
      <c r="AE406">
        <f t="shared" si="90"/>
        <v>1</v>
      </c>
    </row>
    <row r="407" spans="1:31" x14ac:dyDescent="0.2">
      <c r="A407">
        <f>Dataset_A!A407</f>
        <v>406</v>
      </c>
      <c r="B407" s="61">
        <f>Dataset_A!B407</f>
        <v>40561</v>
      </c>
      <c r="C407">
        <f>Dataset_A!C407</f>
        <v>1</v>
      </c>
      <c r="D407">
        <f>Dataset_A!D407</f>
        <v>0</v>
      </c>
      <c r="E407">
        <f>Dataset_A!E407</f>
        <v>1</v>
      </c>
      <c r="F407">
        <f>Dataset_A!F407</f>
        <v>21</v>
      </c>
      <c r="G407" t="b">
        <f>Dataset_A!G407</f>
        <v>0</v>
      </c>
      <c r="H407">
        <f>Dataset_A!H407</f>
        <v>2</v>
      </c>
      <c r="I407">
        <f>Dataset_A!I407</f>
        <v>2</v>
      </c>
      <c r="J407" s="55">
        <f>Dataset_A!J407</f>
        <v>0.22</v>
      </c>
      <c r="K407">
        <f>Dataset_A!K407</f>
        <v>0.2424</v>
      </c>
      <c r="L407">
        <f>Dataset_A!L407</f>
        <v>0.93</v>
      </c>
      <c r="M407">
        <f>Dataset_A!M407</f>
        <v>0.1045</v>
      </c>
      <c r="N407">
        <f>Dataset_A!N407</f>
        <v>0</v>
      </c>
      <c r="O407">
        <f>Dataset_A!O407</f>
        <v>41</v>
      </c>
      <c r="P407">
        <f>Dataset_A!P407</f>
        <v>41</v>
      </c>
      <c r="Q407" t="str">
        <f t="shared" si="78"/>
        <v>REC-0406</v>
      </c>
      <c r="R407" s="62">
        <f t="shared" si="79"/>
        <v>40561.875</v>
      </c>
      <c r="S407" t="str">
        <f t="shared" si="80"/>
        <v>Jan</v>
      </c>
      <c r="T407" t="str">
        <f>INDEX(Lookups!$B$39:$B$45,MATCH(H407,Lookups!$A$39:$A$45,0))</f>
        <v>Tue</v>
      </c>
      <c r="U407" t="str">
        <f t="shared" si="81"/>
        <v>Weekday</v>
      </c>
      <c r="V407" t="str">
        <f t="shared" si="82"/>
        <v>Working Day</v>
      </c>
      <c r="W407" t="str">
        <f t="shared" si="83"/>
        <v>Spring</v>
      </c>
      <c r="X407" t="str">
        <f t="shared" si="84"/>
        <v>Cloudy/Mist</v>
      </c>
      <c r="Y407" t="str">
        <f t="shared" si="85"/>
        <v>Late Evening</v>
      </c>
      <c r="Z407" t="str">
        <f t="shared" si="86"/>
        <v>Mild</v>
      </c>
      <c r="AA407" t="str">
        <f t="shared" si="87"/>
        <v>High</v>
      </c>
      <c r="AB407" t="str">
        <f t="shared" si="88"/>
        <v>Off-Peak</v>
      </c>
      <c r="AC407" s="63">
        <f t="shared" si="89"/>
        <v>0</v>
      </c>
      <c r="AD407" t="str">
        <f>IF(P407&gt;=Stats!$C$30,"High",IF(P407&lt;=Stats!$C$29,"Low","Normal"))</f>
        <v>Normal</v>
      </c>
      <c r="AE407">
        <f t="shared" si="90"/>
        <v>1</v>
      </c>
    </row>
    <row r="408" spans="1:31" x14ac:dyDescent="0.2">
      <c r="A408">
        <f>Dataset_A!A408</f>
        <v>407</v>
      </c>
      <c r="B408" s="61">
        <f>Dataset_A!B408</f>
        <v>40561</v>
      </c>
      <c r="C408">
        <f>Dataset_A!C408</f>
        <v>1</v>
      </c>
      <c r="D408">
        <f>Dataset_A!D408</f>
        <v>0</v>
      </c>
      <c r="E408">
        <f>Dataset_A!E408</f>
        <v>1</v>
      </c>
      <c r="F408">
        <f>Dataset_A!F408</f>
        <v>22</v>
      </c>
      <c r="G408" t="b">
        <f>Dataset_A!G408</f>
        <v>0</v>
      </c>
      <c r="H408">
        <f>Dataset_A!H408</f>
        <v>2</v>
      </c>
      <c r="I408">
        <f>Dataset_A!I408</f>
        <v>2</v>
      </c>
      <c r="J408" s="55">
        <f>Dataset_A!J408</f>
        <v>0.22</v>
      </c>
      <c r="K408">
        <f>Dataset_A!K408</f>
        <v>0.2576</v>
      </c>
      <c r="L408">
        <f>Dataset_A!L408</f>
        <v>0.93</v>
      </c>
      <c r="M408">
        <f>Dataset_A!M408</f>
        <v>8.9599999999999999E-2</v>
      </c>
      <c r="N408">
        <f>Dataset_A!N408</f>
        <v>0</v>
      </c>
      <c r="O408">
        <f>Dataset_A!O408</f>
        <v>33</v>
      </c>
      <c r="P408">
        <f>Dataset_A!P408</f>
        <v>33</v>
      </c>
      <c r="Q408" t="str">
        <f t="shared" si="78"/>
        <v>REC-0407</v>
      </c>
      <c r="R408" s="62">
        <f t="shared" si="79"/>
        <v>40561.916666666664</v>
      </c>
      <c r="S408" t="str">
        <f t="shared" si="80"/>
        <v>Jan</v>
      </c>
      <c r="T408" t="str">
        <f>INDEX(Lookups!$B$39:$B$45,MATCH(H408,Lookups!$A$39:$A$45,0))</f>
        <v>Tue</v>
      </c>
      <c r="U408" t="str">
        <f t="shared" si="81"/>
        <v>Weekday</v>
      </c>
      <c r="V408" t="str">
        <f t="shared" si="82"/>
        <v>Working Day</v>
      </c>
      <c r="W408" t="str">
        <f t="shared" si="83"/>
        <v>Spring</v>
      </c>
      <c r="X408" t="str">
        <f t="shared" si="84"/>
        <v>Cloudy/Mist</v>
      </c>
      <c r="Y408" t="str">
        <f t="shared" si="85"/>
        <v>Late Evening</v>
      </c>
      <c r="Z408" t="str">
        <f t="shared" si="86"/>
        <v>Mild</v>
      </c>
      <c r="AA408" t="str">
        <f t="shared" si="87"/>
        <v>High</v>
      </c>
      <c r="AB408" t="str">
        <f t="shared" si="88"/>
        <v>Off-Peak</v>
      </c>
      <c r="AC408" s="63">
        <f t="shared" si="89"/>
        <v>0</v>
      </c>
      <c r="AD408" t="str">
        <f>IF(P408&gt;=Stats!$C$30,"High",IF(P408&lt;=Stats!$C$29,"Low","Normal"))</f>
        <v>Normal</v>
      </c>
      <c r="AE408">
        <f t="shared" si="90"/>
        <v>1</v>
      </c>
    </row>
    <row r="409" spans="1:31" x14ac:dyDescent="0.2">
      <c r="A409">
        <f>Dataset_A!A409</f>
        <v>408</v>
      </c>
      <c r="B409" s="61">
        <f>Dataset_A!B409</f>
        <v>40561</v>
      </c>
      <c r="C409">
        <f>Dataset_A!C409</f>
        <v>1</v>
      </c>
      <c r="D409">
        <f>Dataset_A!D409</f>
        <v>0</v>
      </c>
      <c r="E409">
        <f>Dataset_A!E409</f>
        <v>1</v>
      </c>
      <c r="F409">
        <f>Dataset_A!F409</f>
        <v>23</v>
      </c>
      <c r="G409" t="b">
        <f>Dataset_A!G409</f>
        <v>0</v>
      </c>
      <c r="H409">
        <f>Dataset_A!H409</f>
        <v>2</v>
      </c>
      <c r="I409">
        <f>Dataset_A!I409</f>
        <v>2</v>
      </c>
      <c r="J409" s="55">
        <f>Dataset_A!J409</f>
        <v>0.22</v>
      </c>
      <c r="K409">
        <f>Dataset_A!K409</f>
        <v>0.2727</v>
      </c>
      <c r="L409">
        <f>Dataset_A!L409</f>
        <v>0.93</v>
      </c>
      <c r="M409">
        <f>Dataset_A!M409</f>
        <v>0</v>
      </c>
      <c r="N409">
        <f>Dataset_A!N409</f>
        <v>1</v>
      </c>
      <c r="O409">
        <f>Dataset_A!O409</f>
        <v>19</v>
      </c>
      <c r="P409">
        <f>Dataset_A!P409</f>
        <v>20</v>
      </c>
      <c r="Q409" t="str">
        <f t="shared" si="78"/>
        <v>REC-0408</v>
      </c>
      <c r="R409" s="62">
        <f t="shared" si="79"/>
        <v>40561.958333333336</v>
      </c>
      <c r="S409" t="str">
        <f t="shared" si="80"/>
        <v>Jan</v>
      </c>
      <c r="T409" t="str">
        <f>INDEX(Lookups!$B$39:$B$45,MATCH(H409,Lookups!$A$39:$A$45,0))</f>
        <v>Tue</v>
      </c>
      <c r="U409" t="str">
        <f t="shared" si="81"/>
        <v>Weekday</v>
      </c>
      <c r="V409" t="str">
        <f t="shared" si="82"/>
        <v>Working Day</v>
      </c>
      <c r="W409" t="str">
        <f t="shared" si="83"/>
        <v>Spring</v>
      </c>
      <c r="X409" t="str">
        <f t="shared" si="84"/>
        <v>Cloudy/Mist</v>
      </c>
      <c r="Y409" t="str">
        <f t="shared" si="85"/>
        <v>Late Evening</v>
      </c>
      <c r="Z409" t="str">
        <f t="shared" si="86"/>
        <v>Mild</v>
      </c>
      <c r="AA409" t="str">
        <f t="shared" si="87"/>
        <v>High</v>
      </c>
      <c r="AB409" t="str">
        <f t="shared" si="88"/>
        <v>Off-Peak</v>
      </c>
      <c r="AC409" s="63">
        <f t="shared" si="89"/>
        <v>0.05</v>
      </c>
      <c r="AD409" t="str">
        <f>IF(P409&gt;=Stats!$C$30,"High",IF(P409&lt;=Stats!$C$29,"Low","Normal"))</f>
        <v>Normal</v>
      </c>
      <c r="AE409">
        <f t="shared" si="90"/>
        <v>1</v>
      </c>
    </row>
    <row r="410" spans="1:31" x14ac:dyDescent="0.2">
      <c r="A410">
        <f>Dataset_A!A410</f>
        <v>409</v>
      </c>
      <c r="B410" s="61">
        <f>Dataset_A!B410</f>
        <v>40562</v>
      </c>
      <c r="C410">
        <f>Dataset_A!C410</f>
        <v>1</v>
      </c>
      <c r="D410">
        <f>Dataset_A!D410</f>
        <v>0</v>
      </c>
      <c r="E410">
        <f>Dataset_A!E410</f>
        <v>1</v>
      </c>
      <c r="F410">
        <f>Dataset_A!F410</f>
        <v>0</v>
      </c>
      <c r="G410" t="b">
        <f>Dataset_A!G410</f>
        <v>0</v>
      </c>
      <c r="H410">
        <f>Dataset_A!H410</f>
        <v>3</v>
      </c>
      <c r="I410">
        <f>Dataset_A!I410</f>
        <v>2</v>
      </c>
      <c r="J410" s="55">
        <f>Dataset_A!J410</f>
        <v>0.22</v>
      </c>
      <c r="K410">
        <f>Dataset_A!K410</f>
        <v>0.2727</v>
      </c>
      <c r="L410">
        <f>Dataset_A!L410</f>
        <v>0.93</v>
      </c>
      <c r="M410">
        <f>Dataset_A!M410</f>
        <v>0</v>
      </c>
      <c r="N410">
        <f>Dataset_A!N410</f>
        <v>0</v>
      </c>
      <c r="O410">
        <f>Dataset_A!O410</f>
        <v>3</v>
      </c>
      <c r="P410">
        <f>Dataset_A!P410</f>
        <v>3</v>
      </c>
      <c r="Q410" t="str">
        <f t="shared" si="78"/>
        <v>REC-0409</v>
      </c>
      <c r="R410" s="62">
        <f t="shared" si="79"/>
        <v>40562</v>
      </c>
      <c r="S410" t="str">
        <f t="shared" si="80"/>
        <v>Jan</v>
      </c>
      <c r="T410" t="str">
        <f>INDEX(Lookups!$B$39:$B$45,MATCH(H410,Lookups!$A$39:$A$45,0))</f>
        <v>Wed</v>
      </c>
      <c r="U410" t="str">
        <f t="shared" si="81"/>
        <v>Weekday</v>
      </c>
      <c r="V410" t="str">
        <f t="shared" si="82"/>
        <v>Working Day</v>
      </c>
      <c r="W410" t="str">
        <f t="shared" si="83"/>
        <v>Spring</v>
      </c>
      <c r="X410" t="str">
        <f t="shared" si="84"/>
        <v>Cloudy/Mist</v>
      </c>
      <c r="Y410" t="str">
        <f t="shared" si="85"/>
        <v>Night</v>
      </c>
      <c r="Z410" t="str">
        <f t="shared" si="86"/>
        <v>Mild</v>
      </c>
      <c r="AA410" t="str">
        <f t="shared" si="87"/>
        <v>High</v>
      </c>
      <c r="AB410" t="str">
        <f t="shared" si="88"/>
        <v>Off-Peak</v>
      </c>
      <c r="AC410" s="63">
        <f t="shared" si="89"/>
        <v>0</v>
      </c>
      <c r="AD410" t="str">
        <f>IF(P410&gt;=Stats!$C$30,"High",IF(P410&lt;=Stats!$C$29,"Low","Normal"))</f>
        <v>Low</v>
      </c>
      <c r="AE410">
        <f t="shared" si="90"/>
        <v>1</v>
      </c>
    </row>
    <row r="411" spans="1:31" x14ac:dyDescent="0.2">
      <c r="A411">
        <f>Dataset_A!A411</f>
        <v>410</v>
      </c>
      <c r="B411" s="61">
        <f>Dataset_A!B411</f>
        <v>40562</v>
      </c>
      <c r="C411">
        <f>Dataset_A!C411</f>
        <v>1</v>
      </c>
      <c r="D411">
        <f>Dataset_A!D411</f>
        <v>0</v>
      </c>
      <c r="E411">
        <f>Dataset_A!E411</f>
        <v>1</v>
      </c>
      <c r="F411">
        <f>Dataset_A!F411</f>
        <v>1</v>
      </c>
      <c r="G411" t="b">
        <f>Dataset_A!G411</f>
        <v>0</v>
      </c>
      <c r="H411">
        <f>Dataset_A!H411</f>
        <v>3</v>
      </c>
      <c r="I411">
        <f>Dataset_A!I411</f>
        <v>3</v>
      </c>
      <c r="J411" s="55">
        <f>Dataset_A!J411</f>
        <v>0.22</v>
      </c>
      <c r="K411">
        <f>Dataset_A!K411</f>
        <v>0.2273</v>
      </c>
      <c r="L411">
        <f>Dataset_A!L411</f>
        <v>0.93</v>
      </c>
      <c r="M411">
        <f>Dataset_A!M411</f>
        <v>0.1343</v>
      </c>
      <c r="N411">
        <f>Dataset_A!N411</f>
        <v>1</v>
      </c>
      <c r="O411">
        <f>Dataset_A!O411</f>
        <v>6</v>
      </c>
      <c r="P411">
        <f>Dataset_A!P411</f>
        <v>7</v>
      </c>
      <c r="Q411" t="str">
        <f t="shared" si="78"/>
        <v>REC-0410</v>
      </c>
      <c r="R411" s="62">
        <f t="shared" si="79"/>
        <v>40562.041666666664</v>
      </c>
      <c r="S411" t="str">
        <f t="shared" si="80"/>
        <v>Jan</v>
      </c>
      <c r="T411" t="str">
        <f>INDEX(Lookups!$B$39:$B$45,MATCH(H411,Lookups!$A$39:$A$45,0))</f>
        <v>Wed</v>
      </c>
      <c r="U411" t="str">
        <f t="shared" si="81"/>
        <v>Weekday</v>
      </c>
      <c r="V411" t="str">
        <f t="shared" si="82"/>
        <v>Working Day</v>
      </c>
      <c r="W411" t="str">
        <f t="shared" si="83"/>
        <v>Spring</v>
      </c>
      <c r="X411" t="str">
        <f t="shared" si="84"/>
        <v>Light Rain/Snow</v>
      </c>
      <c r="Y411" t="str">
        <f t="shared" si="85"/>
        <v>Night</v>
      </c>
      <c r="Z411" t="str">
        <f t="shared" si="86"/>
        <v>Mild</v>
      </c>
      <c r="AA411" t="str">
        <f t="shared" si="87"/>
        <v>High</v>
      </c>
      <c r="AB411" t="str">
        <f t="shared" si="88"/>
        <v>Off-Peak</v>
      </c>
      <c r="AC411" s="63">
        <f t="shared" si="89"/>
        <v>0.14285714285714285</v>
      </c>
      <c r="AD411" t="str">
        <f>IF(P411&gt;=Stats!$C$30,"High",IF(P411&lt;=Stats!$C$29,"Low","Normal"))</f>
        <v>Low</v>
      </c>
      <c r="AE411">
        <f t="shared" si="90"/>
        <v>1</v>
      </c>
    </row>
    <row r="412" spans="1:31" x14ac:dyDescent="0.2">
      <c r="A412">
        <f>Dataset_A!A412</f>
        <v>411</v>
      </c>
      <c r="B412" s="61">
        <f>Dataset_A!B412</f>
        <v>40562</v>
      </c>
      <c r="C412">
        <f>Dataset_A!C412</f>
        <v>1</v>
      </c>
      <c r="D412">
        <f>Dataset_A!D412</f>
        <v>0</v>
      </c>
      <c r="E412">
        <f>Dataset_A!E412</f>
        <v>1</v>
      </c>
      <c r="F412">
        <f>Dataset_A!F412</f>
        <v>2</v>
      </c>
      <c r="G412" t="b">
        <f>Dataset_A!G412</f>
        <v>0</v>
      </c>
      <c r="H412">
        <f>Dataset_A!H412</f>
        <v>3</v>
      </c>
      <c r="I412">
        <f>Dataset_A!I412</f>
        <v>3</v>
      </c>
      <c r="J412" s="55">
        <f>Dataset_A!J412</f>
        <v>0.22</v>
      </c>
      <c r="K412">
        <f>Dataset_A!K412</f>
        <v>0.2273</v>
      </c>
      <c r="L412">
        <f>Dataset_A!L412</f>
        <v>0.93</v>
      </c>
      <c r="M412">
        <f>Dataset_A!M412</f>
        <v>0.1343</v>
      </c>
      <c r="N412">
        <f>Dataset_A!N412</f>
        <v>0</v>
      </c>
      <c r="O412">
        <f>Dataset_A!O412</f>
        <v>3</v>
      </c>
      <c r="P412">
        <f>Dataset_A!P412</f>
        <v>3</v>
      </c>
      <c r="Q412" t="str">
        <f t="shared" si="78"/>
        <v>REC-0411</v>
      </c>
      <c r="R412" s="62">
        <f t="shared" si="79"/>
        <v>40562.083333333336</v>
      </c>
      <c r="S412" t="str">
        <f t="shared" si="80"/>
        <v>Jan</v>
      </c>
      <c r="T412" t="str">
        <f>INDEX(Lookups!$B$39:$B$45,MATCH(H412,Lookups!$A$39:$A$45,0))</f>
        <v>Wed</v>
      </c>
      <c r="U412" t="str">
        <f t="shared" si="81"/>
        <v>Weekday</v>
      </c>
      <c r="V412" t="str">
        <f t="shared" si="82"/>
        <v>Working Day</v>
      </c>
      <c r="W412" t="str">
        <f t="shared" si="83"/>
        <v>Spring</v>
      </c>
      <c r="X412" t="str">
        <f t="shared" si="84"/>
        <v>Light Rain/Snow</v>
      </c>
      <c r="Y412" t="str">
        <f t="shared" si="85"/>
        <v>Night</v>
      </c>
      <c r="Z412" t="str">
        <f t="shared" si="86"/>
        <v>Mild</v>
      </c>
      <c r="AA412" t="str">
        <f t="shared" si="87"/>
        <v>High</v>
      </c>
      <c r="AB412" t="str">
        <f t="shared" si="88"/>
        <v>Off-Peak</v>
      </c>
      <c r="AC412" s="63">
        <f t="shared" si="89"/>
        <v>0</v>
      </c>
      <c r="AD412" t="str">
        <f>IF(P412&gt;=Stats!$C$30,"High",IF(P412&lt;=Stats!$C$29,"Low","Normal"))</f>
        <v>Low</v>
      </c>
      <c r="AE412">
        <f t="shared" si="90"/>
        <v>1</v>
      </c>
    </row>
    <row r="413" spans="1:31" x14ac:dyDescent="0.2">
      <c r="A413">
        <f>Dataset_A!A413</f>
        <v>412</v>
      </c>
      <c r="B413" s="61">
        <f>Dataset_A!B413</f>
        <v>40562</v>
      </c>
      <c r="C413">
        <f>Dataset_A!C413</f>
        <v>1</v>
      </c>
      <c r="D413">
        <f>Dataset_A!D413</f>
        <v>0</v>
      </c>
      <c r="E413">
        <f>Dataset_A!E413</f>
        <v>1</v>
      </c>
      <c r="F413">
        <f>Dataset_A!F413</f>
        <v>4</v>
      </c>
      <c r="G413" t="b">
        <f>Dataset_A!G413</f>
        <v>0</v>
      </c>
      <c r="H413">
        <f>Dataset_A!H413</f>
        <v>3</v>
      </c>
      <c r="I413">
        <f>Dataset_A!I413</f>
        <v>3</v>
      </c>
      <c r="J413" s="55">
        <f>Dataset_A!J413</f>
        <v>0.22</v>
      </c>
      <c r="K413">
        <f>Dataset_A!K413</f>
        <v>0.2273</v>
      </c>
      <c r="L413">
        <f>Dataset_A!L413</f>
        <v>0.93</v>
      </c>
      <c r="M413">
        <f>Dataset_A!M413</f>
        <v>0.1343</v>
      </c>
      <c r="N413">
        <f>Dataset_A!N413</f>
        <v>1</v>
      </c>
      <c r="O413">
        <f>Dataset_A!O413</f>
        <v>1</v>
      </c>
      <c r="P413">
        <f>Dataset_A!P413</f>
        <v>2</v>
      </c>
      <c r="Q413" t="str">
        <f t="shared" si="78"/>
        <v>REC-0412</v>
      </c>
      <c r="R413" s="62">
        <f t="shared" si="79"/>
        <v>40562.166666666664</v>
      </c>
      <c r="S413" t="str">
        <f t="shared" si="80"/>
        <v>Jan</v>
      </c>
      <c r="T413" t="str">
        <f>INDEX(Lookups!$B$39:$B$45,MATCH(H413,Lookups!$A$39:$A$45,0))</f>
        <v>Wed</v>
      </c>
      <c r="U413" t="str">
        <f t="shared" si="81"/>
        <v>Weekday</v>
      </c>
      <c r="V413" t="str">
        <f t="shared" si="82"/>
        <v>Working Day</v>
      </c>
      <c r="W413" t="str">
        <f t="shared" si="83"/>
        <v>Spring</v>
      </c>
      <c r="X413" t="str">
        <f t="shared" si="84"/>
        <v>Light Rain/Snow</v>
      </c>
      <c r="Y413" t="str">
        <f t="shared" si="85"/>
        <v>Night</v>
      </c>
      <c r="Z413" t="str">
        <f t="shared" si="86"/>
        <v>Mild</v>
      </c>
      <c r="AA413" t="str">
        <f t="shared" si="87"/>
        <v>High</v>
      </c>
      <c r="AB413" t="str">
        <f t="shared" si="88"/>
        <v>Off-Peak</v>
      </c>
      <c r="AC413" s="63">
        <f t="shared" si="89"/>
        <v>0.5</v>
      </c>
      <c r="AD413" t="str">
        <f>IF(P413&gt;=Stats!$C$30,"High",IF(P413&lt;=Stats!$C$29,"Low","Normal"))</f>
        <v>Low</v>
      </c>
      <c r="AE413">
        <f t="shared" si="90"/>
        <v>1</v>
      </c>
    </row>
    <row r="414" spans="1:31" x14ac:dyDescent="0.2">
      <c r="A414">
        <f>Dataset_A!A414</f>
        <v>413</v>
      </c>
      <c r="B414" s="61">
        <f>Dataset_A!B414</f>
        <v>40562</v>
      </c>
      <c r="C414">
        <f>Dataset_A!C414</f>
        <v>1</v>
      </c>
      <c r="D414">
        <f>Dataset_A!D414</f>
        <v>0</v>
      </c>
      <c r="E414">
        <f>Dataset_A!E414</f>
        <v>1</v>
      </c>
      <c r="F414">
        <f>Dataset_A!F414</f>
        <v>5</v>
      </c>
      <c r="G414" t="b">
        <f>Dataset_A!G414</f>
        <v>0</v>
      </c>
      <c r="H414">
        <f>Dataset_A!H414</f>
        <v>3</v>
      </c>
      <c r="I414">
        <f>Dataset_A!I414</f>
        <v>2</v>
      </c>
      <c r="J414" s="55">
        <f>Dataset_A!J414</f>
        <v>0.22</v>
      </c>
      <c r="K414">
        <f>Dataset_A!K414</f>
        <v>0.2576</v>
      </c>
      <c r="L414">
        <f>Dataset_A!L414</f>
        <v>0.93</v>
      </c>
      <c r="M414">
        <f>Dataset_A!M414</f>
        <v>8.9599999999999999E-2</v>
      </c>
      <c r="N414">
        <f>Dataset_A!N414</f>
        <v>0</v>
      </c>
      <c r="O414">
        <f>Dataset_A!O414</f>
        <v>7</v>
      </c>
      <c r="P414">
        <f>Dataset_A!P414</f>
        <v>7</v>
      </c>
      <c r="Q414" t="str">
        <f t="shared" si="78"/>
        <v>REC-0413</v>
      </c>
      <c r="R414" s="62">
        <f t="shared" si="79"/>
        <v>40562.208333333336</v>
      </c>
      <c r="S414" t="str">
        <f t="shared" si="80"/>
        <v>Jan</v>
      </c>
      <c r="T414" t="str">
        <f>INDEX(Lookups!$B$39:$B$45,MATCH(H414,Lookups!$A$39:$A$45,0))</f>
        <v>Wed</v>
      </c>
      <c r="U414" t="str">
        <f t="shared" si="81"/>
        <v>Weekday</v>
      </c>
      <c r="V414" t="str">
        <f t="shared" si="82"/>
        <v>Working Day</v>
      </c>
      <c r="W414" t="str">
        <f t="shared" si="83"/>
        <v>Spring</v>
      </c>
      <c r="X414" t="str">
        <f t="shared" si="84"/>
        <v>Cloudy/Mist</v>
      </c>
      <c r="Y414" t="str">
        <f t="shared" si="85"/>
        <v>Night</v>
      </c>
      <c r="Z414" t="str">
        <f t="shared" si="86"/>
        <v>Mild</v>
      </c>
      <c r="AA414" t="str">
        <f t="shared" si="87"/>
        <v>High</v>
      </c>
      <c r="AB414" t="str">
        <f t="shared" si="88"/>
        <v>Off-Peak</v>
      </c>
      <c r="AC414" s="63">
        <f t="shared" si="89"/>
        <v>0</v>
      </c>
      <c r="AD414" t="str">
        <f>IF(P414&gt;=Stats!$C$30,"High",IF(P414&lt;=Stats!$C$29,"Low","Normal"))</f>
        <v>Low</v>
      </c>
      <c r="AE414">
        <f t="shared" si="90"/>
        <v>1</v>
      </c>
    </row>
    <row r="415" spans="1:31" x14ac:dyDescent="0.2">
      <c r="A415">
        <f>Dataset_A!A415</f>
        <v>414</v>
      </c>
      <c r="B415" s="61">
        <f>Dataset_A!B415</f>
        <v>40562</v>
      </c>
      <c r="C415">
        <f>Dataset_A!C415</f>
        <v>1</v>
      </c>
      <c r="D415">
        <f>Dataset_A!D415</f>
        <v>0</v>
      </c>
      <c r="E415">
        <f>Dataset_A!E415</f>
        <v>1</v>
      </c>
      <c r="F415">
        <f>Dataset_A!F415</f>
        <v>6</v>
      </c>
      <c r="G415" t="b">
        <f>Dataset_A!G415</f>
        <v>0</v>
      </c>
      <c r="H415">
        <f>Dataset_A!H415</f>
        <v>3</v>
      </c>
      <c r="I415">
        <f>Dataset_A!I415</f>
        <v>2</v>
      </c>
      <c r="J415" s="55">
        <f>Dataset_A!J415</f>
        <v>0.22</v>
      </c>
      <c r="K415">
        <f>Dataset_A!K415</f>
        <v>0.2576</v>
      </c>
      <c r="L415">
        <f>Dataset_A!L415</f>
        <v>0.93</v>
      </c>
      <c r="M415">
        <f>Dataset_A!M415</f>
        <v>8.9599999999999999E-2</v>
      </c>
      <c r="N415">
        <f>Dataset_A!N415</f>
        <v>0</v>
      </c>
      <c r="O415">
        <f>Dataset_A!O415</f>
        <v>32</v>
      </c>
      <c r="P415">
        <f>Dataset_A!P415</f>
        <v>32</v>
      </c>
      <c r="Q415" t="str">
        <f t="shared" si="78"/>
        <v>REC-0414</v>
      </c>
      <c r="R415" s="62">
        <f t="shared" si="79"/>
        <v>40562.25</v>
      </c>
      <c r="S415" t="str">
        <f t="shared" si="80"/>
        <v>Jan</v>
      </c>
      <c r="T415" t="str">
        <f>INDEX(Lookups!$B$39:$B$45,MATCH(H415,Lookups!$A$39:$A$45,0))</f>
        <v>Wed</v>
      </c>
      <c r="U415" t="str">
        <f t="shared" si="81"/>
        <v>Weekday</v>
      </c>
      <c r="V415" t="str">
        <f t="shared" si="82"/>
        <v>Working Day</v>
      </c>
      <c r="W415" t="str">
        <f t="shared" si="83"/>
        <v>Spring</v>
      </c>
      <c r="X415" t="str">
        <f t="shared" si="84"/>
        <v>Cloudy/Mist</v>
      </c>
      <c r="Y415" t="str">
        <f t="shared" si="85"/>
        <v>Morning</v>
      </c>
      <c r="Z415" t="str">
        <f t="shared" si="86"/>
        <v>Mild</v>
      </c>
      <c r="AA415" t="str">
        <f t="shared" si="87"/>
        <v>High</v>
      </c>
      <c r="AB415" t="str">
        <f t="shared" si="88"/>
        <v>Off-Peak</v>
      </c>
      <c r="AC415" s="63">
        <f t="shared" si="89"/>
        <v>0</v>
      </c>
      <c r="AD415" t="str">
        <f>IF(P415&gt;=Stats!$C$30,"High",IF(P415&lt;=Stats!$C$29,"Low","Normal"))</f>
        <v>Normal</v>
      </c>
      <c r="AE415">
        <f t="shared" si="90"/>
        <v>1</v>
      </c>
    </row>
    <row r="416" spans="1:31" x14ac:dyDescent="0.2">
      <c r="A416">
        <f>Dataset_A!A416</f>
        <v>415</v>
      </c>
      <c r="B416" s="61">
        <f>Dataset_A!B416</f>
        <v>40562</v>
      </c>
      <c r="C416">
        <f>Dataset_A!C416</f>
        <v>1</v>
      </c>
      <c r="D416">
        <f>Dataset_A!D416</f>
        <v>0</v>
      </c>
      <c r="E416">
        <f>Dataset_A!E416</f>
        <v>1</v>
      </c>
      <c r="F416">
        <f>Dataset_A!F416</f>
        <v>7</v>
      </c>
      <c r="G416" t="b">
        <f>Dataset_A!G416</f>
        <v>0</v>
      </c>
      <c r="H416">
        <f>Dataset_A!H416</f>
        <v>3</v>
      </c>
      <c r="I416">
        <f>Dataset_A!I416</f>
        <v>2</v>
      </c>
      <c r="J416" s="55">
        <f>Dataset_A!J416</f>
        <v>0.24</v>
      </c>
      <c r="K416">
        <f>Dataset_A!K416</f>
        <v>0.2576</v>
      </c>
      <c r="L416">
        <f>Dataset_A!L416</f>
        <v>0.92</v>
      </c>
      <c r="M416">
        <f>Dataset_A!M416</f>
        <v>0.1045</v>
      </c>
      <c r="N416">
        <f>Dataset_A!N416</f>
        <v>1</v>
      </c>
      <c r="O416">
        <f>Dataset_A!O416</f>
        <v>89</v>
      </c>
      <c r="P416">
        <f>Dataset_A!P416</f>
        <v>90</v>
      </c>
      <c r="Q416" t="str">
        <f t="shared" si="78"/>
        <v>REC-0415</v>
      </c>
      <c r="R416" s="62">
        <f t="shared" si="79"/>
        <v>40562.291666666664</v>
      </c>
      <c r="S416" t="str">
        <f t="shared" si="80"/>
        <v>Jan</v>
      </c>
      <c r="T416" t="str">
        <f>INDEX(Lookups!$B$39:$B$45,MATCH(H416,Lookups!$A$39:$A$45,0))</f>
        <v>Wed</v>
      </c>
      <c r="U416" t="str">
        <f t="shared" si="81"/>
        <v>Weekday</v>
      </c>
      <c r="V416" t="str">
        <f t="shared" si="82"/>
        <v>Working Day</v>
      </c>
      <c r="W416" t="str">
        <f t="shared" si="83"/>
        <v>Spring</v>
      </c>
      <c r="X416" t="str">
        <f t="shared" si="84"/>
        <v>Cloudy/Mist</v>
      </c>
      <c r="Y416" t="str">
        <f t="shared" si="85"/>
        <v>Morning</v>
      </c>
      <c r="Z416" t="str">
        <f t="shared" si="86"/>
        <v>Mild</v>
      </c>
      <c r="AA416" t="str">
        <f t="shared" si="87"/>
        <v>High</v>
      </c>
      <c r="AB416" t="str">
        <f t="shared" si="88"/>
        <v>Peak</v>
      </c>
      <c r="AC416" s="63">
        <f t="shared" si="89"/>
        <v>1.1111111111111112E-2</v>
      </c>
      <c r="AD416" t="str">
        <f>IF(P416&gt;=Stats!$C$30,"High",IF(P416&lt;=Stats!$C$29,"Low","Normal"))</f>
        <v>High</v>
      </c>
      <c r="AE416">
        <f t="shared" si="90"/>
        <v>1</v>
      </c>
    </row>
    <row r="417" spans="1:31" x14ac:dyDescent="0.2">
      <c r="A417">
        <f>Dataset_A!A417</f>
        <v>416</v>
      </c>
      <c r="B417" s="61">
        <f>Dataset_A!B417</f>
        <v>40562</v>
      </c>
      <c r="C417">
        <f>Dataset_A!C417</f>
        <v>1</v>
      </c>
      <c r="D417">
        <f>Dataset_A!D417</f>
        <v>0</v>
      </c>
      <c r="E417">
        <f>Dataset_A!E417</f>
        <v>1</v>
      </c>
      <c r="F417">
        <f>Dataset_A!F417</f>
        <v>8</v>
      </c>
      <c r="G417" t="b">
        <f>Dataset_A!G417</f>
        <v>0</v>
      </c>
      <c r="H417">
        <f>Dataset_A!H417</f>
        <v>3</v>
      </c>
      <c r="I417">
        <f>Dataset_A!I417</f>
        <v>2</v>
      </c>
      <c r="J417" s="55">
        <f>Dataset_A!J417</f>
        <v>0.24</v>
      </c>
      <c r="K417">
        <f>Dataset_A!K417</f>
        <v>0.2576</v>
      </c>
      <c r="L417">
        <f>Dataset_A!L417</f>
        <v>0.93</v>
      </c>
      <c r="M417">
        <f>Dataset_A!M417</f>
        <v>0.1045</v>
      </c>
      <c r="N417">
        <f>Dataset_A!N417</f>
        <v>1</v>
      </c>
      <c r="O417">
        <f>Dataset_A!O417</f>
        <v>196</v>
      </c>
      <c r="P417">
        <f>Dataset_A!P417</f>
        <v>197</v>
      </c>
      <c r="Q417" t="str">
        <f t="shared" si="78"/>
        <v>REC-0416</v>
      </c>
      <c r="R417" s="62">
        <f t="shared" si="79"/>
        <v>40562.333333333336</v>
      </c>
      <c r="S417" t="str">
        <f t="shared" si="80"/>
        <v>Jan</v>
      </c>
      <c r="T417" t="str">
        <f>INDEX(Lookups!$B$39:$B$45,MATCH(H417,Lookups!$A$39:$A$45,0))</f>
        <v>Wed</v>
      </c>
      <c r="U417" t="str">
        <f t="shared" si="81"/>
        <v>Weekday</v>
      </c>
      <c r="V417" t="str">
        <f t="shared" si="82"/>
        <v>Working Day</v>
      </c>
      <c r="W417" t="str">
        <f t="shared" si="83"/>
        <v>Spring</v>
      </c>
      <c r="X417" t="str">
        <f t="shared" si="84"/>
        <v>Cloudy/Mist</v>
      </c>
      <c r="Y417" t="str">
        <f t="shared" si="85"/>
        <v>Morning</v>
      </c>
      <c r="Z417" t="str">
        <f t="shared" si="86"/>
        <v>Mild</v>
      </c>
      <c r="AA417" t="str">
        <f t="shared" si="87"/>
        <v>High</v>
      </c>
      <c r="AB417" t="str">
        <f t="shared" si="88"/>
        <v>Peak</v>
      </c>
      <c r="AC417" s="63">
        <f t="shared" si="89"/>
        <v>5.076142131979695E-3</v>
      </c>
      <c r="AD417" t="str">
        <f>IF(P417&gt;=Stats!$C$30,"High",IF(P417&lt;=Stats!$C$29,"Low","Normal"))</f>
        <v>High</v>
      </c>
      <c r="AE417">
        <f t="shared" si="90"/>
        <v>1</v>
      </c>
    </row>
    <row r="418" spans="1:31" x14ac:dyDescent="0.2">
      <c r="A418">
        <f>Dataset_A!A418</f>
        <v>417</v>
      </c>
      <c r="B418" s="61">
        <f>Dataset_A!B418</f>
        <v>40562</v>
      </c>
      <c r="C418">
        <f>Dataset_A!C418</f>
        <v>1</v>
      </c>
      <c r="D418">
        <f>Dataset_A!D418</f>
        <v>0</v>
      </c>
      <c r="E418">
        <f>Dataset_A!E418</f>
        <v>1</v>
      </c>
      <c r="F418">
        <f>Dataset_A!F418</f>
        <v>9</v>
      </c>
      <c r="G418" t="b">
        <f>Dataset_A!G418</f>
        <v>0</v>
      </c>
      <c r="H418">
        <f>Dataset_A!H418</f>
        <v>3</v>
      </c>
      <c r="I418">
        <f>Dataset_A!I418</f>
        <v>2</v>
      </c>
      <c r="J418" s="55">
        <f>Dataset_A!J418</f>
        <v>0.24</v>
      </c>
      <c r="K418">
        <f>Dataset_A!K418</f>
        <v>0.2576</v>
      </c>
      <c r="L418">
        <f>Dataset_A!L418</f>
        <v>0.93</v>
      </c>
      <c r="M418">
        <f>Dataset_A!M418</f>
        <v>0.1045</v>
      </c>
      <c r="N418">
        <f>Dataset_A!N418</f>
        <v>2</v>
      </c>
      <c r="O418">
        <f>Dataset_A!O418</f>
        <v>107</v>
      </c>
      <c r="P418">
        <f>Dataset_A!P418</f>
        <v>109</v>
      </c>
      <c r="Q418" t="str">
        <f t="shared" si="78"/>
        <v>REC-0417</v>
      </c>
      <c r="R418" s="62">
        <f t="shared" si="79"/>
        <v>40562.375</v>
      </c>
      <c r="S418" t="str">
        <f t="shared" si="80"/>
        <v>Jan</v>
      </c>
      <c r="T418" t="str">
        <f>INDEX(Lookups!$B$39:$B$45,MATCH(H418,Lookups!$A$39:$A$45,0))</f>
        <v>Wed</v>
      </c>
      <c r="U418" t="str">
        <f t="shared" si="81"/>
        <v>Weekday</v>
      </c>
      <c r="V418" t="str">
        <f t="shared" si="82"/>
        <v>Working Day</v>
      </c>
      <c r="W418" t="str">
        <f t="shared" si="83"/>
        <v>Spring</v>
      </c>
      <c r="X418" t="str">
        <f t="shared" si="84"/>
        <v>Cloudy/Mist</v>
      </c>
      <c r="Y418" t="str">
        <f t="shared" si="85"/>
        <v>Morning</v>
      </c>
      <c r="Z418" t="str">
        <f t="shared" si="86"/>
        <v>Mild</v>
      </c>
      <c r="AA418" t="str">
        <f t="shared" si="87"/>
        <v>High</v>
      </c>
      <c r="AB418" t="str">
        <f t="shared" si="88"/>
        <v>Peak</v>
      </c>
      <c r="AC418" s="63">
        <f t="shared" si="89"/>
        <v>1.834862385321101E-2</v>
      </c>
      <c r="AD418" t="str">
        <f>IF(P418&gt;=Stats!$C$30,"High",IF(P418&lt;=Stats!$C$29,"Low","Normal"))</f>
        <v>High</v>
      </c>
      <c r="AE418">
        <f t="shared" si="90"/>
        <v>1</v>
      </c>
    </row>
    <row r="419" spans="1:31" x14ac:dyDescent="0.2">
      <c r="A419">
        <f>Dataset_A!A419</f>
        <v>418</v>
      </c>
      <c r="B419" s="61">
        <f>Dataset_A!B419</f>
        <v>40562</v>
      </c>
      <c r="C419">
        <f>Dataset_A!C419</f>
        <v>1</v>
      </c>
      <c r="D419">
        <f>Dataset_A!D419</f>
        <v>0</v>
      </c>
      <c r="E419">
        <f>Dataset_A!E419</f>
        <v>1</v>
      </c>
      <c r="F419">
        <f>Dataset_A!F419</f>
        <v>10</v>
      </c>
      <c r="G419" t="b">
        <f>Dataset_A!G419</f>
        <v>0</v>
      </c>
      <c r="H419">
        <f>Dataset_A!H419</f>
        <v>3</v>
      </c>
      <c r="I419">
        <f>Dataset_A!I419</f>
        <v>2</v>
      </c>
      <c r="J419" s="55">
        <f>Dataset_A!J419</f>
        <v>0.26</v>
      </c>
      <c r="K419">
        <f>Dataset_A!K419</f>
        <v>0.2727</v>
      </c>
      <c r="L419">
        <f>Dataset_A!L419</f>
        <v>0.93</v>
      </c>
      <c r="M419">
        <f>Dataset_A!M419</f>
        <v>0.1343</v>
      </c>
      <c r="N419">
        <f>Dataset_A!N419</f>
        <v>1</v>
      </c>
      <c r="O419">
        <f>Dataset_A!O419</f>
        <v>46</v>
      </c>
      <c r="P419">
        <f>Dataset_A!P419</f>
        <v>47</v>
      </c>
      <c r="Q419" t="str">
        <f t="shared" si="78"/>
        <v>REC-0418</v>
      </c>
      <c r="R419" s="62">
        <f t="shared" si="79"/>
        <v>40562.416666666664</v>
      </c>
      <c r="S419" t="str">
        <f t="shared" si="80"/>
        <v>Jan</v>
      </c>
      <c r="T419" t="str">
        <f>INDEX(Lookups!$B$39:$B$45,MATCH(H419,Lookups!$A$39:$A$45,0))</f>
        <v>Wed</v>
      </c>
      <c r="U419" t="str">
        <f t="shared" si="81"/>
        <v>Weekday</v>
      </c>
      <c r="V419" t="str">
        <f t="shared" si="82"/>
        <v>Working Day</v>
      </c>
      <c r="W419" t="str">
        <f t="shared" si="83"/>
        <v>Spring</v>
      </c>
      <c r="X419" t="str">
        <f t="shared" si="84"/>
        <v>Cloudy/Mist</v>
      </c>
      <c r="Y419" t="str">
        <f t="shared" si="85"/>
        <v>Morning</v>
      </c>
      <c r="Z419" t="str">
        <f t="shared" si="86"/>
        <v>Mild</v>
      </c>
      <c r="AA419" t="str">
        <f t="shared" si="87"/>
        <v>High</v>
      </c>
      <c r="AB419" t="str">
        <f t="shared" si="88"/>
        <v>Off-Peak</v>
      </c>
      <c r="AC419" s="63">
        <f t="shared" si="89"/>
        <v>2.1276595744680851E-2</v>
      </c>
      <c r="AD419" t="str">
        <f>IF(P419&gt;=Stats!$C$30,"High",IF(P419&lt;=Stats!$C$29,"Low","Normal"))</f>
        <v>Normal</v>
      </c>
      <c r="AE419">
        <f t="shared" si="90"/>
        <v>1</v>
      </c>
    </row>
    <row r="420" spans="1:31" x14ac:dyDescent="0.2">
      <c r="A420">
        <f>Dataset_A!A420</f>
        <v>419</v>
      </c>
      <c r="B420" s="61">
        <f>Dataset_A!B420</f>
        <v>40562</v>
      </c>
      <c r="C420">
        <f>Dataset_A!C420</f>
        <v>1</v>
      </c>
      <c r="D420">
        <f>Dataset_A!D420</f>
        <v>0</v>
      </c>
      <c r="E420">
        <f>Dataset_A!E420</f>
        <v>1</v>
      </c>
      <c r="F420">
        <f>Dataset_A!F420</f>
        <v>11</v>
      </c>
      <c r="G420" t="b">
        <f>Dataset_A!G420</f>
        <v>0</v>
      </c>
      <c r="H420">
        <f>Dataset_A!H420</f>
        <v>3</v>
      </c>
      <c r="I420">
        <f>Dataset_A!I420</f>
        <v>2</v>
      </c>
      <c r="J420" s="55">
        <f>Dataset_A!J420</f>
        <v>0.28000000000000003</v>
      </c>
      <c r="K420">
        <f>Dataset_A!K420</f>
        <v>0.30299999999999999</v>
      </c>
      <c r="L420">
        <f>Dataset_A!L420</f>
        <v>0.87</v>
      </c>
      <c r="M420">
        <f>Dataset_A!M420</f>
        <v>8.9599999999999999E-2</v>
      </c>
      <c r="N420">
        <f>Dataset_A!N420</f>
        <v>5</v>
      </c>
      <c r="O420">
        <f>Dataset_A!O420</f>
        <v>47</v>
      </c>
      <c r="P420">
        <f>Dataset_A!P420</f>
        <v>52</v>
      </c>
      <c r="Q420" t="str">
        <f t="shared" si="78"/>
        <v>REC-0419</v>
      </c>
      <c r="R420" s="62">
        <f t="shared" si="79"/>
        <v>40562.458333333336</v>
      </c>
      <c r="S420" t="str">
        <f t="shared" si="80"/>
        <v>Jan</v>
      </c>
      <c r="T420" t="str">
        <f>INDEX(Lookups!$B$39:$B$45,MATCH(H420,Lookups!$A$39:$A$45,0))</f>
        <v>Wed</v>
      </c>
      <c r="U420" t="str">
        <f t="shared" si="81"/>
        <v>Weekday</v>
      </c>
      <c r="V420" t="str">
        <f t="shared" si="82"/>
        <v>Working Day</v>
      </c>
      <c r="W420" t="str">
        <f t="shared" si="83"/>
        <v>Spring</v>
      </c>
      <c r="X420" t="str">
        <f t="shared" si="84"/>
        <v>Cloudy/Mist</v>
      </c>
      <c r="Y420" t="str">
        <f t="shared" si="85"/>
        <v>Morning</v>
      </c>
      <c r="Z420" t="str">
        <f t="shared" si="86"/>
        <v>Mild</v>
      </c>
      <c r="AA420" t="str">
        <f t="shared" si="87"/>
        <v>High</v>
      </c>
      <c r="AB420" t="str">
        <f t="shared" si="88"/>
        <v>Off-Peak</v>
      </c>
      <c r="AC420" s="63">
        <f t="shared" si="89"/>
        <v>9.6153846153846159E-2</v>
      </c>
      <c r="AD420" t="str">
        <f>IF(P420&gt;=Stats!$C$30,"High",IF(P420&lt;=Stats!$C$29,"Low","Normal"))</f>
        <v>Normal</v>
      </c>
      <c r="AE420">
        <f t="shared" si="90"/>
        <v>1</v>
      </c>
    </row>
    <row r="421" spans="1:31" x14ac:dyDescent="0.2">
      <c r="A421">
        <f>Dataset_A!A421</f>
        <v>420</v>
      </c>
      <c r="B421" s="61">
        <f>Dataset_A!B421</f>
        <v>40562</v>
      </c>
      <c r="C421">
        <f>Dataset_A!C421</f>
        <v>1</v>
      </c>
      <c r="D421">
        <f>Dataset_A!D421</f>
        <v>0</v>
      </c>
      <c r="E421">
        <f>Dataset_A!E421</f>
        <v>1</v>
      </c>
      <c r="F421">
        <f>Dataset_A!F421</f>
        <v>12</v>
      </c>
      <c r="G421" t="b">
        <f>Dataset_A!G421</f>
        <v>0</v>
      </c>
      <c r="H421">
        <f>Dataset_A!H421</f>
        <v>3</v>
      </c>
      <c r="I421">
        <f>Dataset_A!I421</f>
        <v>2</v>
      </c>
      <c r="J421" s="55">
        <f>Dataset_A!J421</f>
        <v>0.3</v>
      </c>
      <c r="K421">
        <f>Dataset_A!K421</f>
        <v>0.31819999999999998</v>
      </c>
      <c r="L421">
        <f>Dataset_A!L421</f>
        <v>0.81</v>
      </c>
      <c r="M421">
        <f>Dataset_A!M421</f>
        <v>8.9599999999999999E-2</v>
      </c>
      <c r="N421">
        <f>Dataset_A!N421</f>
        <v>5</v>
      </c>
      <c r="O421">
        <f>Dataset_A!O421</f>
        <v>65</v>
      </c>
      <c r="P421">
        <f>Dataset_A!P421</f>
        <v>70</v>
      </c>
      <c r="Q421" t="str">
        <f t="shared" si="78"/>
        <v>REC-0420</v>
      </c>
      <c r="R421" s="62">
        <f t="shared" si="79"/>
        <v>40562.5</v>
      </c>
      <c r="S421" t="str">
        <f t="shared" si="80"/>
        <v>Jan</v>
      </c>
      <c r="T421" t="str">
        <f>INDEX(Lookups!$B$39:$B$45,MATCH(H421,Lookups!$A$39:$A$45,0))</f>
        <v>Wed</v>
      </c>
      <c r="U421" t="str">
        <f t="shared" si="81"/>
        <v>Weekday</v>
      </c>
      <c r="V421" t="str">
        <f t="shared" si="82"/>
        <v>Working Day</v>
      </c>
      <c r="W421" t="str">
        <f t="shared" si="83"/>
        <v>Spring</v>
      </c>
      <c r="X421" t="str">
        <f t="shared" si="84"/>
        <v>Cloudy/Mist</v>
      </c>
      <c r="Y421" t="str">
        <f t="shared" si="85"/>
        <v>Afternoon</v>
      </c>
      <c r="Z421" t="str">
        <f t="shared" si="86"/>
        <v>Warm</v>
      </c>
      <c r="AA421" t="str">
        <f t="shared" si="87"/>
        <v>High</v>
      </c>
      <c r="AB421" t="str">
        <f t="shared" si="88"/>
        <v>Off-Peak</v>
      </c>
      <c r="AC421" s="63">
        <f t="shared" si="89"/>
        <v>7.1428571428571425E-2</v>
      </c>
      <c r="AD421" t="str">
        <f>IF(P421&gt;=Stats!$C$30,"High",IF(P421&lt;=Stats!$C$29,"Low","Normal"))</f>
        <v>Normal</v>
      </c>
      <c r="AE421">
        <f t="shared" si="90"/>
        <v>1</v>
      </c>
    </row>
    <row r="422" spans="1:31" x14ac:dyDescent="0.2">
      <c r="A422">
        <f>Dataset_A!A422</f>
        <v>421</v>
      </c>
      <c r="B422" s="61">
        <f>Dataset_A!B422</f>
        <v>40562</v>
      </c>
      <c r="C422">
        <f>Dataset_A!C422</f>
        <v>1</v>
      </c>
      <c r="D422">
        <f>Dataset_A!D422</f>
        <v>0</v>
      </c>
      <c r="E422">
        <f>Dataset_A!E422</f>
        <v>1</v>
      </c>
      <c r="F422">
        <f>Dataset_A!F422</f>
        <v>13</v>
      </c>
      <c r="G422" t="b">
        <f>Dataset_A!G422</f>
        <v>0</v>
      </c>
      <c r="H422">
        <f>Dataset_A!H422</f>
        <v>3</v>
      </c>
      <c r="I422">
        <f>Dataset_A!I422</f>
        <v>1</v>
      </c>
      <c r="J422" s="55">
        <f>Dataset_A!J422</f>
        <v>0.4</v>
      </c>
      <c r="K422">
        <f>Dataset_A!K422</f>
        <v>0.40910000000000002</v>
      </c>
      <c r="L422">
        <f>Dataset_A!L422</f>
        <v>0.62</v>
      </c>
      <c r="M422">
        <f>Dataset_A!M422</f>
        <v>0.28360000000000002</v>
      </c>
      <c r="N422">
        <f>Dataset_A!N422</f>
        <v>11</v>
      </c>
      <c r="O422">
        <f>Dataset_A!O422</f>
        <v>67</v>
      </c>
      <c r="P422">
        <f>Dataset_A!P422</f>
        <v>78</v>
      </c>
      <c r="Q422" t="str">
        <f t="shared" si="78"/>
        <v>REC-0421</v>
      </c>
      <c r="R422" s="62">
        <f t="shared" si="79"/>
        <v>40562.541666666664</v>
      </c>
      <c r="S422" t="str">
        <f t="shared" si="80"/>
        <v>Jan</v>
      </c>
      <c r="T422" t="str">
        <f>INDEX(Lookups!$B$39:$B$45,MATCH(H422,Lookups!$A$39:$A$45,0))</f>
        <v>Wed</v>
      </c>
      <c r="U422" t="str">
        <f t="shared" si="81"/>
        <v>Weekday</v>
      </c>
      <c r="V422" t="str">
        <f t="shared" si="82"/>
        <v>Working Day</v>
      </c>
      <c r="W422" t="str">
        <f t="shared" si="83"/>
        <v>Spring</v>
      </c>
      <c r="X422" t="str">
        <f t="shared" si="84"/>
        <v>Clear</v>
      </c>
      <c r="Y422" t="str">
        <f t="shared" si="85"/>
        <v>Afternoon</v>
      </c>
      <c r="Z422" t="str">
        <f t="shared" si="86"/>
        <v>Warm</v>
      </c>
      <c r="AA422" t="str">
        <f t="shared" si="87"/>
        <v>Medium</v>
      </c>
      <c r="AB422" t="str">
        <f t="shared" si="88"/>
        <v>Off-Peak</v>
      </c>
      <c r="AC422" s="63">
        <f t="shared" si="89"/>
        <v>0.14102564102564102</v>
      </c>
      <c r="AD422" t="str">
        <f>IF(P422&gt;=Stats!$C$30,"High",IF(P422&lt;=Stats!$C$29,"Low","Normal"))</f>
        <v>Normal</v>
      </c>
      <c r="AE422">
        <f t="shared" si="90"/>
        <v>1</v>
      </c>
    </row>
    <row r="423" spans="1:31" x14ac:dyDescent="0.2">
      <c r="A423">
        <f>Dataset_A!A423</f>
        <v>422</v>
      </c>
      <c r="B423" s="61">
        <f>Dataset_A!B423</f>
        <v>40562</v>
      </c>
      <c r="C423">
        <f>Dataset_A!C423</f>
        <v>1</v>
      </c>
      <c r="D423">
        <f>Dataset_A!D423</f>
        <v>0</v>
      </c>
      <c r="E423">
        <f>Dataset_A!E423</f>
        <v>1</v>
      </c>
      <c r="F423">
        <f>Dataset_A!F423</f>
        <v>14</v>
      </c>
      <c r="G423" t="b">
        <f>Dataset_A!G423</f>
        <v>0</v>
      </c>
      <c r="H423">
        <f>Dataset_A!H423</f>
        <v>3</v>
      </c>
      <c r="I423">
        <f>Dataset_A!I423</f>
        <v>1</v>
      </c>
      <c r="J423" s="55">
        <f>Dataset_A!J423</f>
        <v>0.4</v>
      </c>
      <c r="K423">
        <f>Dataset_A!K423</f>
        <v>0.40910000000000002</v>
      </c>
      <c r="L423">
        <f>Dataset_A!L423</f>
        <v>0.57999999999999996</v>
      </c>
      <c r="M423">
        <f>Dataset_A!M423</f>
        <v>0.25369999999999998</v>
      </c>
      <c r="N423">
        <f>Dataset_A!N423</f>
        <v>7</v>
      </c>
      <c r="O423">
        <f>Dataset_A!O423</f>
        <v>68</v>
      </c>
      <c r="P423">
        <f>Dataset_A!P423</f>
        <v>75</v>
      </c>
      <c r="Q423" t="str">
        <f t="shared" si="78"/>
        <v>REC-0422</v>
      </c>
      <c r="R423" s="62">
        <f t="shared" si="79"/>
        <v>40562.583333333336</v>
      </c>
      <c r="S423" t="str">
        <f t="shared" si="80"/>
        <v>Jan</v>
      </c>
      <c r="T423" t="str">
        <f>INDEX(Lookups!$B$39:$B$45,MATCH(H423,Lookups!$A$39:$A$45,0))</f>
        <v>Wed</v>
      </c>
      <c r="U423" t="str">
        <f t="shared" si="81"/>
        <v>Weekday</v>
      </c>
      <c r="V423" t="str">
        <f t="shared" si="82"/>
        <v>Working Day</v>
      </c>
      <c r="W423" t="str">
        <f t="shared" si="83"/>
        <v>Spring</v>
      </c>
      <c r="X423" t="str">
        <f t="shared" si="84"/>
        <v>Clear</v>
      </c>
      <c r="Y423" t="str">
        <f t="shared" si="85"/>
        <v>Afternoon</v>
      </c>
      <c r="Z423" t="str">
        <f t="shared" si="86"/>
        <v>Warm</v>
      </c>
      <c r="AA423" t="str">
        <f t="shared" si="87"/>
        <v>Medium</v>
      </c>
      <c r="AB423" t="str">
        <f t="shared" si="88"/>
        <v>Off-Peak</v>
      </c>
      <c r="AC423" s="63">
        <f t="shared" si="89"/>
        <v>9.3333333333333338E-2</v>
      </c>
      <c r="AD423" t="str">
        <f>IF(P423&gt;=Stats!$C$30,"High",IF(P423&lt;=Stats!$C$29,"Low","Normal"))</f>
        <v>Normal</v>
      </c>
      <c r="AE423">
        <f t="shared" si="90"/>
        <v>1</v>
      </c>
    </row>
    <row r="424" spans="1:31" x14ac:dyDescent="0.2">
      <c r="A424">
        <f>Dataset_A!A424</f>
        <v>423</v>
      </c>
      <c r="B424" s="61">
        <f>Dataset_A!B424</f>
        <v>40562</v>
      </c>
      <c r="C424">
        <f>Dataset_A!C424</f>
        <v>1</v>
      </c>
      <c r="D424">
        <f>Dataset_A!D424</f>
        <v>0</v>
      </c>
      <c r="E424">
        <f>Dataset_A!E424</f>
        <v>1</v>
      </c>
      <c r="F424">
        <f>Dataset_A!F424</f>
        <v>15</v>
      </c>
      <c r="G424" t="b">
        <f>Dataset_A!G424</f>
        <v>0</v>
      </c>
      <c r="H424">
        <f>Dataset_A!H424</f>
        <v>3</v>
      </c>
      <c r="I424">
        <f>Dataset_A!I424</f>
        <v>1</v>
      </c>
      <c r="J424" s="55">
        <f>Dataset_A!J424</f>
        <v>0.4</v>
      </c>
      <c r="K424">
        <f>Dataset_A!K424</f>
        <v>0.40910000000000002</v>
      </c>
      <c r="L424">
        <f>Dataset_A!L424</f>
        <v>0.54</v>
      </c>
      <c r="M424">
        <f>Dataset_A!M424</f>
        <v>0.28360000000000002</v>
      </c>
      <c r="N424">
        <f>Dataset_A!N424</f>
        <v>4</v>
      </c>
      <c r="O424">
        <f>Dataset_A!O424</f>
        <v>78</v>
      </c>
      <c r="P424">
        <f>Dataset_A!P424</f>
        <v>82</v>
      </c>
      <c r="Q424" t="str">
        <f t="shared" si="78"/>
        <v>REC-0423</v>
      </c>
      <c r="R424" s="62">
        <f t="shared" si="79"/>
        <v>40562.625</v>
      </c>
      <c r="S424" t="str">
        <f t="shared" si="80"/>
        <v>Jan</v>
      </c>
      <c r="T424" t="str">
        <f>INDEX(Lookups!$B$39:$B$45,MATCH(H424,Lookups!$A$39:$A$45,0))</f>
        <v>Wed</v>
      </c>
      <c r="U424" t="str">
        <f t="shared" si="81"/>
        <v>Weekday</v>
      </c>
      <c r="V424" t="str">
        <f t="shared" si="82"/>
        <v>Working Day</v>
      </c>
      <c r="W424" t="str">
        <f t="shared" si="83"/>
        <v>Spring</v>
      </c>
      <c r="X424" t="str">
        <f t="shared" si="84"/>
        <v>Clear</v>
      </c>
      <c r="Y424" t="str">
        <f t="shared" si="85"/>
        <v>Afternoon</v>
      </c>
      <c r="Z424" t="str">
        <f t="shared" si="86"/>
        <v>Warm</v>
      </c>
      <c r="AA424" t="str">
        <f t="shared" si="87"/>
        <v>Medium</v>
      </c>
      <c r="AB424" t="str">
        <f t="shared" si="88"/>
        <v>Off-Peak</v>
      </c>
      <c r="AC424" s="63">
        <f t="shared" si="89"/>
        <v>4.878048780487805E-2</v>
      </c>
      <c r="AD424" t="str">
        <f>IF(P424&gt;=Stats!$C$30,"High",IF(P424&lt;=Stats!$C$29,"Low","Normal"))</f>
        <v>Normal</v>
      </c>
      <c r="AE424">
        <f t="shared" si="90"/>
        <v>1</v>
      </c>
    </row>
    <row r="425" spans="1:31" x14ac:dyDescent="0.2">
      <c r="A425">
        <f>Dataset_A!A425</f>
        <v>424</v>
      </c>
      <c r="B425" s="61">
        <f>Dataset_A!B425</f>
        <v>40562</v>
      </c>
      <c r="C425">
        <f>Dataset_A!C425</f>
        <v>1</v>
      </c>
      <c r="D425">
        <f>Dataset_A!D425</f>
        <v>0</v>
      </c>
      <c r="E425">
        <f>Dataset_A!E425</f>
        <v>1</v>
      </c>
      <c r="F425">
        <f>Dataset_A!F425</f>
        <v>16</v>
      </c>
      <c r="G425" t="b">
        <f>Dataset_A!G425</f>
        <v>0</v>
      </c>
      <c r="H425">
        <f>Dataset_A!H425</f>
        <v>3</v>
      </c>
      <c r="I425">
        <f>Dataset_A!I425</f>
        <v>1</v>
      </c>
      <c r="J425" s="55">
        <f>Dataset_A!J425</f>
        <v>0.38</v>
      </c>
      <c r="K425">
        <f>Dataset_A!K425</f>
        <v>0.39389999999999997</v>
      </c>
      <c r="L425">
        <f>Dataset_A!L425</f>
        <v>0.57999999999999996</v>
      </c>
      <c r="M425">
        <f>Dataset_A!M425</f>
        <v>0.3881</v>
      </c>
      <c r="N425">
        <f>Dataset_A!N425</f>
        <v>10</v>
      </c>
      <c r="O425">
        <f>Dataset_A!O425</f>
        <v>94</v>
      </c>
      <c r="P425">
        <f>Dataset_A!P425</f>
        <v>104</v>
      </c>
      <c r="Q425" t="str">
        <f t="shared" si="78"/>
        <v>REC-0424</v>
      </c>
      <c r="R425" s="62">
        <f t="shared" si="79"/>
        <v>40562.666666666664</v>
      </c>
      <c r="S425" t="str">
        <f t="shared" si="80"/>
        <v>Jan</v>
      </c>
      <c r="T425" t="str">
        <f>INDEX(Lookups!$B$39:$B$45,MATCH(H425,Lookups!$A$39:$A$45,0))</f>
        <v>Wed</v>
      </c>
      <c r="U425" t="str">
        <f t="shared" si="81"/>
        <v>Weekday</v>
      </c>
      <c r="V425" t="str">
        <f t="shared" si="82"/>
        <v>Working Day</v>
      </c>
      <c r="W425" t="str">
        <f t="shared" si="83"/>
        <v>Spring</v>
      </c>
      <c r="X425" t="str">
        <f t="shared" si="84"/>
        <v>Clear</v>
      </c>
      <c r="Y425" t="str">
        <f t="shared" si="85"/>
        <v>Afternoon</v>
      </c>
      <c r="Z425" t="str">
        <f t="shared" si="86"/>
        <v>Warm</v>
      </c>
      <c r="AA425" t="str">
        <f t="shared" si="87"/>
        <v>Medium</v>
      </c>
      <c r="AB425" t="str">
        <f t="shared" si="88"/>
        <v>Peak</v>
      </c>
      <c r="AC425" s="63">
        <f t="shared" si="89"/>
        <v>9.6153846153846159E-2</v>
      </c>
      <c r="AD425" t="str">
        <f>IF(P425&gt;=Stats!$C$30,"High",IF(P425&lt;=Stats!$C$29,"Low","Normal"))</f>
        <v>High</v>
      </c>
      <c r="AE425">
        <f t="shared" si="90"/>
        <v>1</v>
      </c>
    </row>
    <row r="426" spans="1:31" x14ac:dyDescent="0.2">
      <c r="A426">
        <f>Dataset_A!A426</f>
        <v>425</v>
      </c>
      <c r="B426" s="61">
        <f>Dataset_A!B426</f>
        <v>40562</v>
      </c>
      <c r="C426">
        <f>Dataset_A!C426</f>
        <v>1</v>
      </c>
      <c r="D426">
        <f>Dataset_A!D426</f>
        <v>0</v>
      </c>
      <c r="E426">
        <f>Dataset_A!E426</f>
        <v>1</v>
      </c>
      <c r="F426">
        <f>Dataset_A!F426</f>
        <v>17</v>
      </c>
      <c r="G426" t="b">
        <f>Dataset_A!G426</f>
        <v>0</v>
      </c>
      <c r="H426">
        <f>Dataset_A!H426</f>
        <v>3</v>
      </c>
      <c r="I426">
        <f>Dataset_A!I426</f>
        <v>1</v>
      </c>
      <c r="J426" s="55">
        <f>Dataset_A!J426</f>
        <v>0.36</v>
      </c>
      <c r="K426">
        <f>Dataset_A!K426</f>
        <v>0.33329999999999999</v>
      </c>
      <c r="L426">
        <f>Dataset_A!L426</f>
        <v>0.56999999999999995</v>
      </c>
      <c r="M426">
        <f>Dataset_A!M426</f>
        <v>0.32840000000000003</v>
      </c>
      <c r="N426">
        <f>Dataset_A!N426</f>
        <v>7</v>
      </c>
      <c r="O426">
        <f>Dataset_A!O426</f>
        <v>190</v>
      </c>
      <c r="P426">
        <f>Dataset_A!P426</f>
        <v>197</v>
      </c>
      <c r="Q426" t="str">
        <f t="shared" si="78"/>
        <v>REC-0425</v>
      </c>
      <c r="R426" s="62">
        <f t="shared" si="79"/>
        <v>40562.708333333336</v>
      </c>
      <c r="S426" t="str">
        <f t="shared" si="80"/>
        <v>Jan</v>
      </c>
      <c r="T426" t="str">
        <f>INDEX(Lookups!$B$39:$B$45,MATCH(H426,Lookups!$A$39:$A$45,0))</f>
        <v>Wed</v>
      </c>
      <c r="U426" t="str">
        <f t="shared" si="81"/>
        <v>Weekday</v>
      </c>
      <c r="V426" t="str">
        <f t="shared" si="82"/>
        <v>Working Day</v>
      </c>
      <c r="W426" t="str">
        <f t="shared" si="83"/>
        <v>Spring</v>
      </c>
      <c r="X426" t="str">
        <f t="shared" si="84"/>
        <v>Clear</v>
      </c>
      <c r="Y426" t="str">
        <f t="shared" si="85"/>
        <v>Evening</v>
      </c>
      <c r="Z426" t="str">
        <f t="shared" si="86"/>
        <v>Warm</v>
      </c>
      <c r="AA426" t="str">
        <f t="shared" si="87"/>
        <v>Medium</v>
      </c>
      <c r="AB426" t="str">
        <f t="shared" si="88"/>
        <v>Peak</v>
      </c>
      <c r="AC426" s="63">
        <f t="shared" si="89"/>
        <v>3.553299492385787E-2</v>
      </c>
      <c r="AD426" t="str">
        <f>IF(P426&gt;=Stats!$C$30,"High",IF(P426&lt;=Stats!$C$29,"Low","Normal"))</f>
        <v>High</v>
      </c>
      <c r="AE426">
        <f t="shared" si="90"/>
        <v>1</v>
      </c>
    </row>
    <row r="427" spans="1:31" x14ac:dyDescent="0.2">
      <c r="A427">
        <f>Dataset_A!A427</f>
        <v>426</v>
      </c>
      <c r="B427" s="61">
        <f>Dataset_A!B427</f>
        <v>40562</v>
      </c>
      <c r="C427">
        <f>Dataset_A!C427</f>
        <v>1</v>
      </c>
      <c r="D427">
        <f>Dataset_A!D427</f>
        <v>0</v>
      </c>
      <c r="E427">
        <f>Dataset_A!E427</f>
        <v>1</v>
      </c>
      <c r="F427">
        <f>Dataset_A!F427</f>
        <v>18</v>
      </c>
      <c r="G427" t="b">
        <f>Dataset_A!G427</f>
        <v>0</v>
      </c>
      <c r="H427">
        <f>Dataset_A!H427</f>
        <v>3</v>
      </c>
      <c r="I427">
        <f>Dataset_A!I427</f>
        <v>1</v>
      </c>
      <c r="J427" s="55">
        <f>Dataset_A!J427</f>
        <v>0.34</v>
      </c>
      <c r="K427">
        <f>Dataset_A!K427</f>
        <v>0.31819999999999998</v>
      </c>
      <c r="L427">
        <f>Dataset_A!L427</f>
        <v>0.61</v>
      </c>
      <c r="M427">
        <f>Dataset_A!M427</f>
        <v>0.28360000000000002</v>
      </c>
      <c r="N427">
        <f>Dataset_A!N427</f>
        <v>5</v>
      </c>
      <c r="O427">
        <f>Dataset_A!O427</f>
        <v>156</v>
      </c>
      <c r="P427">
        <f>Dataset_A!P427</f>
        <v>161</v>
      </c>
      <c r="Q427" t="str">
        <f t="shared" si="78"/>
        <v>REC-0426</v>
      </c>
      <c r="R427" s="62">
        <f t="shared" si="79"/>
        <v>40562.75</v>
      </c>
      <c r="S427" t="str">
        <f t="shared" si="80"/>
        <v>Jan</v>
      </c>
      <c r="T427" t="str">
        <f>INDEX(Lookups!$B$39:$B$45,MATCH(H427,Lookups!$A$39:$A$45,0))</f>
        <v>Wed</v>
      </c>
      <c r="U427" t="str">
        <f t="shared" si="81"/>
        <v>Weekday</v>
      </c>
      <c r="V427" t="str">
        <f t="shared" si="82"/>
        <v>Working Day</v>
      </c>
      <c r="W427" t="str">
        <f t="shared" si="83"/>
        <v>Spring</v>
      </c>
      <c r="X427" t="str">
        <f t="shared" si="84"/>
        <v>Clear</v>
      </c>
      <c r="Y427" t="str">
        <f t="shared" si="85"/>
        <v>Evening</v>
      </c>
      <c r="Z427" t="str">
        <f t="shared" si="86"/>
        <v>Warm</v>
      </c>
      <c r="AA427" t="str">
        <f t="shared" si="87"/>
        <v>Medium</v>
      </c>
      <c r="AB427" t="str">
        <f t="shared" si="88"/>
        <v>Peak</v>
      </c>
      <c r="AC427" s="63">
        <f t="shared" si="89"/>
        <v>3.1055900621118012E-2</v>
      </c>
      <c r="AD427" t="str">
        <f>IF(P427&gt;=Stats!$C$30,"High",IF(P427&lt;=Stats!$C$29,"Low","Normal"))</f>
        <v>High</v>
      </c>
      <c r="AE427">
        <f t="shared" si="90"/>
        <v>1</v>
      </c>
    </row>
    <row r="428" spans="1:31" x14ac:dyDescent="0.2">
      <c r="A428">
        <f>Dataset_A!A428</f>
        <v>427</v>
      </c>
      <c r="B428" s="61">
        <f>Dataset_A!B428</f>
        <v>40562</v>
      </c>
      <c r="C428">
        <f>Dataset_A!C428</f>
        <v>1</v>
      </c>
      <c r="D428">
        <f>Dataset_A!D428</f>
        <v>0</v>
      </c>
      <c r="E428">
        <f>Dataset_A!E428</f>
        <v>1</v>
      </c>
      <c r="F428">
        <f>Dataset_A!F428</f>
        <v>19</v>
      </c>
      <c r="G428" t="b">
        <f>Dataset_A!G428</f>
        <v>0</v>
      </c>
      <c r="H428">
        <f>Dataset_A!H428</f>
        <v>3</v>
      </c>
      <c r="I428">
        <f>Dataset_A!I428</f>
        <v>1</v>
      </c>
      <c r="J428" s="55">
        <f>Dataset_A!J428</f>
        <v>0.32</v>
      </c>
      <c r="K428">
        <f>Dataset_A!K428</f>
        <v>0.28789999999999999</v>
      </c>
      <c r="L428">
        <f>Dataset_A!L428</f>
        <v>0.56999999999999995</v>
      </c>
      <c r="M428">
        <f>Dataset_A!M428</f>
        <v>0.41789999999999999</v>
      </c>
      <c r="N428">
        <f>Dataset_A!N428</f>
        <v>4</v>
      </c>
      <c r="O428">
        <f>Dataset_A!O428</f>
        <v>108</v>
      </c>
      <c r="P428">
        <f>Dataset_A!P428</f>
        <v>112</v>
      </c>
      <c r="Q428" t="str">
        <f t="shared" si="78"/>
        <v>REC-0427</v>
      </c>
      <c r="R428" s="62">
        <f t="shared" si="79"/>
        <v>40562.791666666664</v>
      </c>
      <c r="S428" t="str">
        <f t="shared" si="80"/>
        <v>Jan</v>
      </c>
      <c r="T428" t="str">
        <f>INDEX(Lookups!$B$39:$B$45,MATCH(H428,Lookups!$A$39:$A$45,0))</f>
        <v>Wed</v>
      </c>
      <c r="U428" t="str">
        <f t="shared" si="81"/>
        <v>Weekday</v>
      </c>
      <c r="V428" t="str">
        <f t="shared" si="82"/>
        <v>Working Day</v>
      </c>
      <c r="W428" t="str">
        <f t="shared" si="83"/>
        <v>Spring</v>
      </c>
      <c r="X428" t="str">
        <f t="shared" si="84"/>
        <v>Clear</v>
      </c>
      <c r="Y428" t="str">
        <f t="shared" si="85"/>
        <v>Evening</v>
      </c>
      <c r="Z428" t="str">
        <f t="shared" si="86"/>
        <v>Warm</v>
      </c>
      <c r="AA428" t="str">
        <f t="shared" si="87"/>
        <v>Medium</v>
      </c>
      <c r="AB428" t="str">
        <f t="shared" si="88"/>
        <v>Peak</v>
      </c>
      <c r="AC428" s="63">
        <f t="shared" si="89"/>
        <v>3.5714285714285712E-2</v>
      </c>
      <c r="AD428" t="str">
        <f>IF(P428&gt;=Stats!$C$30,"High",IF(P428&lt;=Stats!$C$29,"Low","Normal"))</f>
        <v>High</v>
      </c>
      <c r="AE428">
        <f t="shared" si="90"/>
        <v>1</v>
      </c>
    </row>
    <row r="429" spans="1:31" x14ac:dyDescent="0.2">
      <c r="A429">
        <f>Dataset_A!A429</f>
        <v>428</v>
      </c>
      <c r="B429" s="61">
        <f>Dataset_A!B429</f>
        <v>40562</v>
      </c>
      <c r="C429">
        <f>Dataset_A!C429</f>
        <v>1</v>
      </c>
      <c r="D429">
        <f>Dataset_A!D429</f>
        <v>0</v>
      </c>
      <c r="E429">
        <f>Dataset_A!E429</f>
        <v>1</v>
      </c>
      <c r="F429">
        <f>Dataset_A!F429</f>
        <v>20</v>
      </c>
      <c r="G429" t="b">
        <f>Dataset_A!G429</f>
        <v>0</v>
      </c>
      <c r="H429">
        <f>Dataset_A!H429</f>
        <v>3</v>
      </c>
      <c r="I429">
        <f>Dataset_A!I429</f>
        <v>1</v>
      </c>
      <c r="J429" s="55">
        <f>Dataset_A!J429</f>
        <v>0.32</v>
      </c>
      <c r="K429">
        <f>Dataset_A!K429</f>
        <v>0.30299999999999999</v>
      </c>
      <c r="L429">
        <f>Dataset_A!L429</f>
        <v>0.49</v>
      </c>
      <c r="M429">
        <f>Dataset_A!M429</f>
        <v>0.29849999999999999</v>
      </c>
      <c r="N429">
        <f>Dataset_A!N429</f>
        <v>2</v>
      </c>
      <c r="O429">
        <f>Dataset_A!O429</f>
        <v>74</v>
      </c>
      <c r="P429">
        <f>Dataset_A!P429</f>
        <v>76</v>
      </c>
      <c r="Q429" t="str">
        <f t="shared" si="78"/>
        <v>REC-0428</v>
      </c>
      <c r="R429" s="62">
        <f t="shared" si="79"/>
        <v>40562.833333333336</v>
      </c>
      <c r="S429" t="str">
        <f t="shared" si="80"/>
        <v>Jan</v>
      </c>
      <c r="T429" t="str">
        <f>INDEX(Lookups!$B$39:$B$45,MATCH(H429,Lookups!$A$39:$A$45,0))</f>
        <v>Wed</v>
      </c>
      <c r="U429" t="str">
        <f t="shared" si="81"/>
        <v>Weekday</v>
      </c>
      <c r="V429" t="str">
        <f t="shared" si="82"/>
        <v>Working Day</v>
      </c>
      <c r="W429" t="str">
        <f t="shared" si="83"/>
        <v>Spring</v>
      </c>
      <c r="X429" t="str">
        <f t="shared" si="84"/>
        <v>Clear</v>
      </c>
      <c r="Y429" t="str">
        <f t="shared" si="85"/>
        <v>Evening</v>
      </c>
      <c r="Z429" t="str">
        <f t="shared" si="86"/>
        <v>Warm</v>
      </c>
      <c r="AA429" t="str">
        <f t="shared" si="87"/>
        <v>Low</v>
      </c>
      <c r="AB429" t="str">
        <f t="shared" si="88"/>
        <v>Off-Peak</v>
      </c>
      <c r="AC429" s="63">
        <f t="shared" si="89"/>
        <v>2.6315789473684209E-2</v>
      </c>
      <c r="AD429" t="str">
        <f>IF(P429&gt;=Stats!$C$30,"High",IF(P429&lt;=Stats!$C$29,"Low","Normal"))</f>
        <v>Normal</v>
      </c>
      <c r="AE429">
        <f t="shared" si="90"/>
        <v>1</v>
      </c>
    </row>
    <row r="430" spans="1:31" x14ac:dyDescent="0.2">
      <c r="A430">
        <f>Dataset_A!A430</f>
        <v>429</v>
      </c>
      <c r="B430" s="61">
        <f>Dataset_A!B430</f>
        <v>40562</v>
      </c>
      <c r="C430">
        <f>Dataset_A!C430</f>
        <v>1</v>
      </c>
      <c r="D430">
        <f>Dataset_A!D430</f>
        <v>0</v>
      </c>
      <c r="E430">
        <f>Dataset_A!E430</f>
        <v>1</v>
      </c>
      <c r="F430">
        <f>Dataset_A!F430</f>
        <v>21</v>
      </c>
      <c r="G430" t="b">
        <f>Dataset_A!G430</f>
        <v>0</v>
      </c>
      <c r="H430">
        <f>Dataset_A!H430</f>
        <v>3</v>
      </c>
      <c r="I430">
        <f>Dataset_A!I430</f>
        <v>1</v>
      </c>
      <c r="J430" s="55">
        <f>Dataset_A!J430</f>
        <v>0.32</v>
      </c>
      <c r="K430">
        <f>Dataset_A!K430</f>
        <v>0.28789999999999999</v>
      </c>
      <c r="L430">
        <f>Dataset_A!L430</f>
        <v>0.49</v>
      </c>
      <c r="M430">
        <f>Dataset_A!M430</f>
        <v>0.41789999999999999</v>
      </c>
      <c r="N430">
        <f>Dataset_A!N430</f>
        <v>4</v>
      </c>
      <c r="O430">
        <f>Dataset_A!O430</f>
        <v>55</v>
      </c>
      <c r="P430">
        <f>Dataset_A!P430</f>
        <v>59</v>
      </c>
      <c r="Q430" t="str">
        <f t="shared" si="78"/>
        <v>REC-0429</v>
      </c>
      <c r="R430" s="62">
        <f t="shared" si="79"/>
        <v>40562.875</v>
      </c>
      <c r="S430" t="str">
        <f t="shared" si="80"/>
        <v>Jan</v>
      </c>
      <c r="T430" t="str">
        <f>INDEX(Lookups!$B$39:$B$45,MATCH(H430,Lookups!$A$39:$A$45,0))</f>
        <v>Wed</v>
      </c>
      <c r="U430" t="str">
        <f t="shared" si="81"/>
        <v>Weekday</v>
      </c>
      <c r="V430" t="str">
        <f t="shared" si="82"/>
        <v>Working Day</v>
      </c>
      <c r="W430" t="str">
        <f t="shared" si="83"/>
        <v>Spring</v>
      </c>
      <c r="X430" t="str">
        <f t="shared" si="84"/>
        <v>Clear</v>
      </c>
      <c r="Y430" t="str">
        <f t="shared" si="85"/>
        <v>Late Evening</v>
      </c>
      <c r="Z430" t="str">
        <f t="shared" si="86"/>
        <v>Warm</v>
      </c>
      <c r="AA430" t="str">
        <f t="shared" si="87"/>
        <v>Low</v>
      </c>
      <c r="AB430" t="str">
        <f t="shared" si="88"/>
        <v>Off-Peak</v>
      </c>
      <c r="AC430" s="63">
        <f t="shared" si="89"/>
        <v>6.7796610169491525E-2</v>
      </c>
      <c r="AD430" t="str">
        <f>IF(P430&gt;=Stats!$C$30,"High",IF(P430&lt;=Stats!$C$29,"Low","Normal"))</f>
        <v>Normal</v>
      </c>
      <c r="AE430">
        <f t="shared" si="90"/>
        <v>1</v>
      </c>
    </row>
    <row r="431" spans="1:31" x14ac:dyDescent="0.2">
      <c r="A431">
        <f>Dataset_A!A431</f>
        <v>430</v>
      </c>
      <c r="B431" s="61">
        <f>Dataset_A!B431</f>
        <v>40562</v>
      </c>
      <c r="C431">
        <f>Dataset_A!C431</f>
        <v>1</v>
      </c>
      <c r="D431">
        <f>Dataset_A!D431</f>
        <v>0</v>
      </c>
      <c r="E431">
        <f>Dataset_A!E431</f>
        <v>1</v>
      </c>
      <c r="F431">
        <f>Dataset_A!F431</f>
        <v>22</v>
      </c>
      <c r="G431" t="b">
        <f>Dataset_A!G431</f>
        <v>0</v>
      </c>
      <c r="H431">
        <f>Dataset_A!H431</f>
        <v>3</v>
      </c>
      <c r="I431">
        <f>Dataset_A!I431</f>
        <v>1</v>
      </c>
      <c r="J431" s="55">
        <f>Dataset_A!J431</f>
        <v>0.3</v>
      </c>
      <c r="K431">
        <f>Dataset_A!K431</f>
        <v>0.30299999999999999</v>
      </c>
      <c r="L431">
        <f>Dataset_A!L431</f>
        <v>0.52</v>
      </c>
      <c r="M431">
        <f>Dataset_A!M431</f>
        <v>0.16420000000000001</v>
      </c>
      <c r="N431">
        <f>Dataset_A!N431</f>
        <v>6</v>
      </c>
      <c r="O431">
        <f>Dataset_A!O431</f>
        <v>53</v>
      </c>
      <c r="P431">
        <f>Dataset_A!P431</f>
        <v>59</v>
      </c>
      <c r="Q431" t="str">
        <f t="shared" si="78"/>
        <v>REC-0430</v>
      </c>
      <c r="R431" s="62">
        <f t="shared" si="79"/>
        <v>40562.916666666664</v>
      </c>
      <c r="S431" t="str">
        <f t="shared" si="80"/>
        <v>Jan</v>
      </c>
      <c r="T431" t="str">
        <f>INDEX(Lookups!$B$39:$B$45,MATCH(H431,Lookups!$A$39:$A$45,0))</f>
        <v>Wed</v>
      </c>
      <c r="U431" t="str">
        <f t="shared" si="81"/>
        <v>Weekday</v>
      </c>
      <c r="V431" t="str">
        <f t="shared" si="82"/>
        <v>Working Day</v>
      </c>
      <c r="W431" t="str">
        <f t="shared" si="83"/>
        <v>Spring</v>
      </c>
      <c r="X431" t="str">
        <f t="shared" si="84"/>
        <v>Clear</v>
      </c>
      <c r="Y431" t="str">
        <f t="shared" si="85"/>
        <v>Late Evening</v>
      </c>
      <c r="Z431" t="str">
        <f t="shared" si="86"/>
        <v>Warm</v>
      </c>
      <c r="AA431" t="str">
        <f t="shared" si="87"/>
        <v>Medium</v>
      </c>
      <c r="AB431" t="str">
        <f t="shared" si="88"/>
        <v>Off-Peak</v>
      </c>
      <c r="AC431" s="63">
        <f t="shared" si="89"/>
        <v>0.10169491525423729</v>
      </c>
      <c r="AD431" t="str">
        <f>IF(P431&gt;=Stats!$C$30,"High",IF(P431&lt;=Stats!$C$29,"Low","Normal"))</f>
        <v>Normal</v>
      </c>
      <c r="AE431">
        <f t="shared" si="90"/>
        <v>1</v>
      </c>
    </row>
    <row r="432" spans="1:31" x14ac:dyDescent="0.2">
      <c r="A432">
        <f>Dataset_A!A432</f>
        <v>431</v>
      </c>
      <c r="B432" s="61">
        <f>Dataset_A!B432</f>
        <v>40562</v>
      </c>
      <c r="C432">
        <f>Dataset_A!C432</f>
        <v>1</v>
      </c>
      <c r="D432">
        <f>Dataset_A!D432</f>
        <v>0</v>
      </c>
      <c r="E432">
        <f>Dataset_A!E432</f>
        <v>1</v>
      </c>
      <c r="F432">
        <f>Dataset_A!F432</f>
        <v>23</v>
      </c>
      <c r="G432" t="b">
        <f>Dataset_A!G432</f>
        <v>0</v>
      </c>
      <c r="H432">
        <f>Dataset_A!H432</f>
        <v>3</v>
      </c>
      <c r="I432">
        <f>Dataset_A!I432</f>
        <v>1</v>
      </c>
      <c r="J432" s="55">
        <f>Dataset_A!J432</f>
        <v>0.3</v>
      </c>
      <c r="K432">
        <f>Dataset_A!K432</f>
        <v>0.2727</v>
      </c>
      <c r="L432">
        <f>Dataset_A!L432</f>
        <v>0.52</v>
      </c>
      <c r="M432">
        <f>Dataset_A!M432</f>
        <v>0.4627</v>
      </c>
      <c r="N432">
        <f>Dataset_A!N432</f>
        <v>1</v>
      </c>
      <c r="O432">
        <f>Dataset_A!O432</f>
        <v>27</v>
      </c>
      <c r="P432">
        <f>Dataset_A!P432</f>
        <v>28</v>
      </c>
      <c r="Q432" t="str">
        <f t="shared" si="78"/>
        <v>REC-0431</v>
      </c>
      <c r="R432" s="62">
        <f t="shared" si="79"/>
        <v>40562.958333333336</v>
      </c>
      <c r="S432" t="str">
        <f t="shared" si="80"/>
        <v>Jan</v>
      </c>
      <c r="T432" t="str">
        <f>INDEX(Lookups!$B$39:$B$45,MATCH(H432,Lookups!$A$39:$A$45,0))</f>
        <v>Wed</v>
      </c>
      <c r="U432" t="str">
        <f t="shared" si="81"/>
        <v>Weekday</v>
      </c>
      <c r="V432" t="str">
        <f t="shared" si="82"/>
        <v>Working Day</v>
      </c>
      <c r="W432" t="str">
        <f t="shared" si="83"/>
        <v>Spring</v>
      </c>
      <c r="X432" t="str">
        <f t="shared" si="84"/>
        <v>Clear</v>
      </c>
      <c r="Y432" t="str">
        <f t="shared" si="85"/>
        <v>Late Evening</v>
      </c>
      <c r="Z432" t="str">
        <f t="shared" si="86"/>
        <v>Warm</v>
      </c>
      <c r="AA432" t="str">
        <f t="shared" si="87"/>
        <v>Medium</v>
      </c>
      <c r="AB432" t="str">
        <f t="shared" si="88"/>
        <v>Off-Peak</v>
      </c>
      <c r="AC432" s="63">
        <f t="shared" si="89"/>
        <v>3.5714285714285712E-2</v>
      </c>
      <c r="AD432" t="str">
        <f>IF(P432&gt;=Stats!$C$30,"High",IF(P432&lt;=Stats!$C$29,"Low","Normal"))</f>
        <v>Normal</v>
      </c>
      <c r="AE432">
        <f t="shared" si="90"/>
        <v>1</v>
      </c>
    </row>
    <row r="433" spans="1:31" x14ac:dyDescent="0.2">
      <c r="A433">
        <f>Dataset_A!A433</f>
        <v>432</v>
      </c>
      <c r="B433" s="61">
        <f>Dataset_A!B433</f>
        <v>40563</v>
      </c>
      <c r="C433">
        <f>Dataset_A!C433</f>
        <v>1</v>
      </c>
      <c r="D433">
        <f>Dataset_A!D433</f>
        <v>0</v>
      </c>
      <c r="E433">
        <f>Dataset_A!E433</f>
        <v>1</v>
      </c>
      <c r="F433">
        <f>Dataset_A!F433</f>
        <v>0</v>
      </c>
      <c r="G433" t="b">
        <f>Dataset_A!G433</f>
        <v>0</v>
      </c>
      <c r="H433">
        <f>Dataset_A!H433</f>
        <v>4</v>
      </c>
      <c r="I433">
        <f>Dataset_A!I433</f>
        <v>1</v>
      </c>
      <c r="J433" s="55">
        <f>Dataset_A!J433</f>
        <v>0.26</v>
      </c>
      <c r="K433">
        <f>Dataset_A!K433</f>
        <v>0.2273</v>
      </c>
      <c r="L433">
        <f>Dataset_A!L433</f>
        <v>0.56000000000000005</v>
      </c>
      <c r="M433">
        <f>Dataset_A!M433</f>
        <v>0.3881</v>
      </c>
      <c r="N433">
        <f>Dataset_A!N433</f>
        <v>5</v>
      </c>
      <c r="O433">
        <f>Dataset_A!O433</f>
        <v>8</v>
      </c>
      <c r="P433">
        <f>Dataset_A!P433</f>
        <v>13</v>
      </c>
      <c r="Q433" t="str">
        <f t="shared" si="78"/>
        <v>REC-0432</v>
      </c>
      <c r="R433" s="62">
        <f t="shared" si="79"/>
        <v>40563</v>
      </c>
      <c r="S433" t="str">
        <f t="shared" si="80"/>
        <v>Jan</v>
      </c>
      <c r="T433" t="str">
        <f>INDEX(Lookups!$B$39:$B$45,MATCH(H433,Lookups!$A$39:$A$45,0))</f>
        <v>Thu</v>
      </c>
      <c r="U433" t="str">
        <f t="shared" si="81"/>
        <v>Weekday</v>
      </c>
      <c r="V433" t="str">
        <f t="shared" si="82"/>
        <v>Working Day</v>
      </c>
      <c r="W433" t="str">
        <f t="shared" si="83"/>
        <v>Spring</v>
      </c>
      <c r="X433" t="str">
        <f t="shared" si="84"/>
        <v>Clear</v>
      </c>
      <c r="Y433" t="str">
        <f t="shared" si="85"/>
        <v>Night</v>
      </c>
      <c r="Z433" t="str">
        <f t="shared" si="86"/>
        <v>Mild</v>
      </c>
      <c r="AA433" t="str">
        <f t="shared" si="87"/>
        <v>Medium</v>
      </c>
      <c r="AB433" t="str">
        <f t="shared" si="88"/>
        <v>Off-Peak</v>
      </c>
      <c r="AC433" s="63">
        <f t="shared" si="89"/>
        <v>0.38461538461538464</v>
      </c>
      <c r="AD433" t="str">
        <f>IF(P433&gt;=Stats!$C$30,"High",IF(P433&lt;=Stats!$C$29,"Low","Normal"))</f>
        <v>Low</v>
      </c>
      <c r="AE433">
        <f t="shared" si="90"/>
        <v>1</v>
      </c>
    </row>
    <row r="434" spans="1:31" x14ac:dyDescent="0.2">
      <c r="A434">
        <f>Dataset_A!A434</f>
        <v>433</v>
      </c>
      <c r="B434" s="61">
        <f>Dataset_A!B434</f>
        <v>40563</v>
      </c>
      <c r="C434">
        <f>Dataset_A!C434</f>
        <v>1</v>
      </c>
      <c r="D434">
        <f>Dataset_A!D434</f>
        <v>0</v>
      </c>
      <c r="E434">
        <f>Dataset_A!E434</f>
        <v>1</v>
      </c>
      <c r="F434">
        <f>Dataset_A!F434</f>
        <v>1</v>
      </c>
      <c r="G434" t="b">
        <f>Dataset_A!G434</f>
        <v>0</v>
      </c>
      <c r="H434">
        <f>Dataset_A!H434</f>
        <v>4</v>
      </c>
      <c r="I434">
        <f>Dataset_A!I434</f>
        <v>1</v>
      </c>
      <c r="J434" s="55">
        <f>Dataset_A!J434</f>
        <v>0.26</v>
      </c>
      <c r="K434">
        <f>Dataset_A!K434</f>
        <v>0.2727</v>
      </c>
      <c r="L434">
        <f>Dataset_A!L434</f>
        <v>0.56000000000000005</v>
      </c>
      <c r="M434">
        <f>Dataset_A!M434</f>
        <v>0</v>
      </c>
      <c r="N434">
        <f>Dataset_A!N434</f>
        <v>2</v>
      </c>
      <c r="O434">
        <f>Dataset_A!O434</f>
        <v>3</v>
      </c>
      <c r="P434">
        <f>Dataset_A!P434</f>
        <v>5</v>
      </c>
      <c r="Q434" t="str">
        <f t="shared" si="78"/>
        <v>REC-0433</v>
      </c>
      <c r="R434" s="62">
        <f t="shared" si="79"/>
        <v>40563.041666666664</v>
      </c>
      <c r="S434" t="str">
        <f t="shared" si="80"/>
        <v>Jan</v>
      </c>
      <c r="T434" t="str">
        <f>INDEX(Lookups!$B$39:$B$45,MATCH(H434,Lookups!$A$39:$A$45,0))</f>
        <v>Thu</v>
      </c>
      <c r="U434" t="str">
        <f t="shared" si="81"/>
        <v>Weekday</v>
      </c>
      <c r="V434" t="str">
        <f t="shared" si="82"/>
        <v>Working Day</v>
      </c>
      <c r="W434" t="str">
        <f t="shared" si="83"/>
        <v>Spring</v>
      </c>
      <c r="X434" t="str">
        <f t="shared" si="84"/>
        <v>Clear</v>
      </c>
      <c r="Y434" t="str">
        <f t="shared" si="85"/>
        <v>Night</v>
      </c>
      <c r="Z434" t="str">
        <f t="shared" si="86"/>
        <v>Mild</v>
      </c>
      <c r="AA434" t="str">
        <f t="shared" si="87"/>
        <v>Medium</v>
      </c>
      <c r="AB434" t="str">
        <f t="shared" si="88"/>
        <v>Off-Peak</v>
      </c>
      <c r="AC434" s="63">
        <f t="shared" si="89"/>
        <v>0.4</v>
      </c>
      <c r="AD434" t="str">
        <f>IF(P434&gt;=Stats!$C$30,"High",IF(P434&lt;=Stats!$C$29,"Low","Normal"))</f>
        <v>Low</v>
      </c>
      <c r="AE434">
        <f t="shared" si="90"/>
        <v>1</v>
      </c>
    </row>
    <row r="435" spans="1:31" x14ac:dyDescent="0.2">
      <c r="A435">
        <f>Dataset_A!A435</f>
        <v>434</v>
      </c>
      <c r="B435" s="61">
        <f>Dataset_A!B435</f>
        <v>40563</v>
      </c>
      <c r="C435">
        <f>Dataset_A!C435</f>
        <v>1</v>
      </c>
      <c r="D435">
        <f>Dataset_A!D435</f>
        <v>0</v>
      </c>
      <c r="E435">
        <f>Dataset_A!E435</f>
        <v>1</v>
      </c>
      <c r="F435">
        <f>Dataset_A!F435</f>
        <v>2</v>
      </c>
      <c r="G435" t="b">
        <f>Dataset_A!G435</f>
        <v>0</v>
      </c>
      <c r="H435">
        <f>Dataset_A!H435</f>
        <v>4</v>
      </c>
      <c r="I435">
        <f>Dataset_A!I435</f>
        <v>1</v>
      </c>
      <c r="J435" s="55">
        <f>Dataset_A!J435</f>
        <v>0.26</v>
      </c>
      <c r="K435">
        <f>Dataset_A!K435</f>
        <v>0.2727</v>
      </c>
      <c r="L435">
        <f>Dataset_A!L435</f>
        <v>0.56000000000000005</v>
      </c>
      <c r="M435">
        <f>Dataset_A!M435</f>
        <v>0</v>
      </c>
      <c r="N435">
        <f>Dataset_A!N435</f>
        <v>0</v>
      </c>
      <c r="O435">
        <f>Dataset_A!O435</f>
        <v>2</v>
      </c>
      <c r="P435">
        <f>Dataset_A!P435</f>
        <v>2</v>
      </c>
      <c r="Q435" t="str">
        <f t="shared" si="78"/>
        <v>REC-0434</v>
      </c>
      <c r="R435" s="62">
        <f t="shared" si="79"/>
        <v>40563.083333333336</v>
      </c>
      <c r="S435" t="str">
        <f t="shared" si="80"/>
        <v>Jan</v>
      </c>
      <c r="T435" t="str">
        <f>INDEX(Lookups!$B$39:$B$45,MATCH(H435,Lookups!$A$39:$A$45,0))</f>
        <v>Thu</v>
      </c>
      <c r="U435" t="str">
        <f t="shared" si="81"/>
        <v>Weekday</v>
      </c>
      <c r="V435" t="str">
        <f t="shared" si="82"/>
        <v>Working Day</v>
      </c>
      <c r="W435" t="str">
        <f t="shared" si="83"/>
        <v>Spring</v>
      </c>
      <c r="X435" t="str">
        <f t="shared" si="84"/>
        <v>Clear</v>
      </c>
      <c r="Y435" t="str">
        <f t="shared" si="85"/>
        <v>Night</v>
      </c>
      <c r="Z435" t="str">
        <f t="shared" si="86"/>
        <v>Mild</v>
      </c>
      <c r="AA435" t="str">
        <f t="shared" si="87"/>
        <v>Medium</v>
      </c>
      <c r="AB435" t="str">
        <f t="shared" si="88"/>
        <v>Off-Peak</v>
      </c>
      <c r="AC435" s="63">
        <f t="shared" si="89"/>
        <v>0</v>
      </c>
      <c r="AD435" t="str">
        <f>IF(P435&gt;=Stats!$C$30,"High",IF(P435&lt;=Stats!$C$29,"Low","Normal"))</f>
        <v>Low</v>
      </c>
      <c r="AE435">
        <f t="shared" si="90"/>
        <v>1</v>
      </c>
    </row>
    <row r="436" spans="1:31" x14ac:dyDescent="0.2">
      <c r="A436">
        <f>Dataset_A!A436</f>
        <v>435</v>
      </c>
      <c r="B436" s="61">
        <f>Dataset_A!B436</f>
        <v>40563</v>
      </c>
      <c r="C436">
        <f>Dataset_A!C436</f>
        <v>1</v>
      </c>
      <c r="D436">
        <f>Dataset_A!D436</f>
        <v>0</v>
      </c>
      <c r="E436">
        <f>Dataset_A!E436</f>
        <v>1</v>
      </c>
      <c r="F436">
        <f>Dataset_A!F436</f>
        <v>3</v>
      </c>
      <c r="G436" t="b">
        <f>Dataset_A!G436</f>
        <v>0</v>
      </c>
      <c r="H436">
        <f>Dataset_A!H436</f>
        <v>4</v>
      </c>
      <c r="I436">
        <f>Dataset_A!I436</f>
        <v>1</v>
      </c>
      <c r="J436" s="55">
        <f>Dataset_A!J436</f>
        <v>0.26</v>
      </c>
      <c r="K436">
        <f>Dataset_A!K436</f>
        <v>0.2576</v>
      </c>
      <c r="L436">
        <f>Dataset_A!L436</f>
        <v>0.56000000000000005</v>
      </c>
      <c r="M436">
        <f>Dataset_A!M436</f>
        <v>0.16420000000000001</v>
      </c>
      <c r="N436">
        <f>Dataset_A!N436</f>
        <v>0</v>
      </c>
      <c r="O436">
        <f>Dataset_A!O436</f>
        <v>1</v>
      </c>
      <c r="P436">
        <f>Dataset_A!P436</f>
        <v>1</v>
      </c>
      <c r="Q436" t="str">
        <f t="shared" si="78"/>
        <v>REC-0435</v>
      </c>
      <c r="R436" s="62">
        <f t="shared" si="79"/>
        <v>40563.125</v>
      </c>
      <c r="S436" t="str">
        <f t="shared" si="80"/>
        <v>Jan</v>
      </c>
      <c r="T436" t="str">
        <f>INDEX(Lookups!$B$39:$B$45,MATCH(H436,Lookups!$A$39:$A$45,0))</f>
        <v>Thu</v>
      </c>
      <c r="U436" t="str">
        <f t="shared" si="81"/>
        <v>Weekday</v>
      </c>
      <c r="V436" t="str">
        <f t="shared" si="82"/>
        <v>Working Day</v>
      </c>
      <c r="W436" t="str">
        <f t="shared" si="83"/>
        <v>Spring</v>
      </c>
      <c r="X436" t="str">
        <f t="shared" si="84"/>
        <v>Clear</v>
      </c>
      <c r="Y436" t="str">
        <f t="shared" si="85"/>
        <v>Night</v>
      </c>
      <c r="Z436" t="str">
        <f t="shared" si="86"/>
        <v>Mild</v>
      </c>
      <c r="AA436" t="str">
        <f t="shared" si="87"/>
        <v>Medium</v>
      </c>
      <c r="AB436" t="str">
        <f t="shared" si="88"/>
        <v>Off-Peak</v>
      </c>
      <c r="AC436" s="63">
        <f t="shared" si="89"/>
        <v>0</v>
      </c>
      <c r="AD436" t="str">
        <f>IF(P436&gt;=Stats!$C$30,"High",IF(P436&lt;=Stats!$C$29,"Low","Normal"))</f>
        <v>Low</v>
      </c>
      <c r="AE436">
        <f t="shared" si="90"/>
        <v>1</v>
      </c>
    </row>
    <row r="437" spans="1:31" x14ac:dyDescent="0.2">
      <c r="A437">
        <f>Dataset_A!A437</f>
        <v>436</v>
      </c>
      <c r="B437" s="61">
        <f>Dataset_A!B437</f>
        <v>40563</v>
      </c>
      <c r="C437">
        <f>Dataset_A!C437</f>
        <v>1</v>
      </c>
      <c r="D437">
        <f>Dataset_A!D437</f>
        <v>0</v>
      </c>
      <c r="E437">
        <f>Dataset_A!E437</f>
        <v>1</v>
      </c>
      <c r="F437">
        <f>Dataset_A!F437</f>
        <v>4</v>
      </c>
      <c r="G437" t="b">
        <f>Dataset_A!G437</f>
        <v>0</v>
      </c>
      <c r="H437">
        <f>Dataset_A!H437</f>
        <v>4</v>
      </c>
      <c r="I437">
        <f>Dataset_A!I437</f>
        <v>1</v>
      </c>
      <c r="J437" s="55">
        <f>Dataset_A!J437</f>
        <v>0.26</v>
      </c>
      <c r="K437">
        <f>Dataset_A!K437</f>
        <v>0.2576</v>
      </c>
      <c r="L437">
        <f>Dataset_A!L437</f>
        <v>0.56000000000000005</v>
      </c>
      <c r="M437">
        <f>Dataset_A!M437</f>
        <v>0.16420000000000001</v>
      </c>
      <c r="N437">
        <f>Dataset_A!N437</f>
        <v>0</v>
      </c>
      <c r="O437">
        <f>Dataset_A!O437</f>
        <v>1</v>
      </c>
      <c r="P437">
        <f>Dataset_A!P437</f>
        <v>1</v>
      </c>
      <c r="Q437" t="str">
        <f t="shared" si="78"/>
        <v>REC-0436</v>
      </c>
      <c r="R437" s="62">
        <f t="shared" si="79"/>
        <v>40563.166666666664</v>
      </c>
      <c r="S437" t="str">
        <f t="shared" si="80"/>
        <v>Jan</v>
      </c>
      <c r="T437" t="str">
        <f>INDEX(Lookups!$B$39:$B$45,MATCH(H437,Lookups!$A$39:$A$45,0))</f>
        <v>Thu</v>
      </c>
      <c r="U437" t="str">
        <f t="shared" si="81"/>
        <v>Weekday</v>
      </c>
      <c r="V437" t="str">
        <f t="shared" si="82"/>
        <v>Working Day</v>
      </c>
      <c r="W437" t="str">
        <f t="shared" si="83"/>
        <v>Spring</v>
      </c>
      <c r="X437" t="str">
        <f t="shared" si="84"/>
        <v>Clear</v>
      </c>
      <c r="Y437" t="str">
        <f t="shared" si="85"/>
        <v>Night</v>
      </c>
      <c r="Z437" t="str">
        <f t="shared" si="86"/>
        <v>Mild</v>
      </c>
      <c r="AA437" t="str">
        <f t="shared" si="87"/>
        <v>Medium</v>
      </c>
      <c r="AB437" t="str">
        <f t="shared" si="88"/>
        <v>Off-Peak</v>
      </c>
      <c r="AC437" s="63">
        <f t="shared" si="89"/>
        <v>0</v>
      </c>
      <c r="AD437" t="str">
        <f>IF(P437&gt;=Stats!$C$30,"High",IF(P437&lt;=Stats!$C$29,"Low","Normal"))</f>
        <v>Low</v>
      </c>
      <c r="AE437">
        <f t="shared" si="90"/>
        <v>1</v>
      </c>
    </row>
    <row r="438" spans="1:31" x14ac:dyDescent="0.2">
      <c r="A438">
        <f>Dataset_A!A438</f>
        <v>437</v>
      </c>
      <c r="B438" s="61">
        <f>Dataset_A!B438</f>
        <v>40563</v>
      </c>
      <c r="C438">
        <f>Dataset_A!C438</f>
        <v>1</v>
      </c>
      <c r="D438">
        <f>Dataset_A!D438</f>
        <v>0</v>
      </c>
      <c r="E438">
        <f>Dataset_A!E438</f>
        <v>1</v>
      </c>
      <c r="F438">
        <f>Dataset_A!F438</f>
        <v>5</v>
      </c>
      <c r="G438" t="b">
        <f>Dataset_A!G438</f>
        <v>0</v>
      </c>
      <c r="H438">
        <f>Dataset_A!H438</f>
        <v>4</v>
      </c>
      <c r="I438">
        <f>Dataset_A!I438</f>
        <v>1</v>
      </c>
      <c r="J438" s="55">
        <f>Dataset_A!J438</f>
        <v>0.24</v>
      </c>
      <c r="K438">
        <f>Dataset_A!K438</f>
        <v>0.2273</v>
      </c>
      <c r="L438">
        <f>Dataset_A!L438</f>
        <v>0.6</v>
      </c>
      <c r="M438">
        <f>Dataset_A!M438</f>
        <v>0.22389999999999999</v>
      </c>
      <c r="N438">
        <f>Dataset_A!N438</f>
        <v>0</v>
      </c>
      <c r="O438">
        <f>Dataset_A!O438</f>
        <v>6</v>
      </c>
      <c r="P438">
        <f>Dataset_A!P438</f>
        <v>6</v>
      </c>
      <c r="Q438" t="str">
        <f t="shared" si="78"/>
        <v>REC-0437</v>
      </c>
      <c r="R438" s="62">
        <f t="shared" si="79"/>
        <v>40563.208333333336</v>
      </c>
      <c r="S438" t="str">
        <f t="shared" si="80"/>
        <v>Jan</v>
      </c>
      <c r="T438" t="str">
        <f>INDEX(Lookups!$B$39:$B$45,MATCH(H438,Lookups!$A$39:$A$45,0))</f>
        <v>Thu</v>
      </c>
      <c r="U438" t="str">
        <f t="shared" si="81"/>
        <v>Weekday</v>
      </c>
      <c r="V438" t="str">
        <f t="shared" si="82"/>
        <v>Working Day</v>
      </c>
      <c r="W438" t="str">
        <f t="shared" si="83"/>
        <v>Spring</v>
      </c>
      <c r="X438" t="str">
        <f t="shared" si="84"/>
        <v>Clear</v>
      </c>
      <c r="Y438" t="str">
        <f t="shared" si="85"/>
        <v>Night</v>
      </c>
      <c r="Z438" t="str">
        <f t="shared" si="86"/>
        <v>Mild</v>
      </c>
      <c r="AA438" t="str">
        <f t="shared" si="87"/>
        <v>Medium</v>
      </c>
      <c r="AB438" t="str">
        <f t="shared" si="88"/>
        <v>Off-Peak</v>
      </c>
      <c r="AC438" s="63">
        <f t="shared" si="89"/>
        <v>0</v>
      </c>
      <c r="AD438" t="str">
        <f>IF(P438&gt;=Stats!$C$30,"High",IF(P438&lt;=Stats!$C$29,"Low","Normal"))</f>
        <v>Low</v>
      </c>
      <c r="AE438">
        <f t="shared" si="90"/>
        <v>1</v>
      </c>
    </row>
    <row r="439" spans="1:31" x14ac:dyDescent="0.2">
      <c r="A439">
        <f>Dataset_A!A439</f>
        <v>438</v>
      </c>
      <c r="B439" s="61">
        <f>Dataset_A!B439</f>
        <v>40563</v>
      </c>
      <c r="C439">
        <f>Dataset_A!C439</f>
        <v>1</v>
      </c>
      <c r="D439">
        <f>Dataset_A!D439</f>
        <v>0</v>
      </c>
      <c r="E439">
        <f>Dataset_A!E439</f>
        <v>1</v>
      </c>
      <c r="F439">
        <f>Dataset_A!F439</f>
        <v>6</v>
      </c>
      <c r="G439" t="b">
        <f>Dataset_A!G439</f>
        <v>0</v>
      </c>
      <c r="H439">
        <f>Dataset_A!H439</f>
        <v>4</v>
      </c>
      <c r="I439">
        <f>Dataset_A!I439</f>
        <v>1</v>
      </c>
      <c r="J439" s="55">
        <f>Dataset_A!J439</f>
        <v>0.22</v>
      </c>
      <c r="K439">
        <f>Dataset_A!K439</f>
        <v>0.21210000000000001</v>
      </c>
      <c r="L439">
        <f>Dataset_A!L439</f>
        <v>0.6</v>
      </c>
      <c r="M439">
        <f>Dataset_A!M439</f>
        <v>0.22389999999999999</v>
      </c>
      <c r="N439">
        <f>Dataset_A!N439</f>
        <v>0</v>
      </c>
      <c r="O439">
        <f>Dataset_A!O439</f>
        <v>35</v>
      </c>
      <c r="P439">
        <f>Dataset_A!P439</f>
        <v>35</v>
      </c>
      <c r="Q439" t="str">
        <f t="shared" si="78"/>
        <v>REC-0438</v>
      </c>
      <c r="R439" s="62">
        <f t="shared" si="79"/>
        <v>40563.25</v>
      </c>
      <c r="S439" t="str">
        <f t="shared" si="80"/>
        <v>Jan</v>
      </c>
      <c r="T439" t="str">
        <f>INDEX(Lookups!$B$39:$B$45,MATCH(H439,Lookups!$A$39:$A$45,0))</f>
        <v>Thu</v>
      </c>
      <c r="U439" t="str">
        <f t="shared" si="81"/>
        <v>Weekday</v>
      </c>
      <c r="V439" t="str">
        <f t="shared" si="82"/>
        <v>Working Day</v>
      </c>
      <c r="W439" t="str">
        <f t="shared" si="83"/>
        <v>Spring</v>
      </c>
      <c r="X439" t="str">
        <f t="shared" si="84"/>
        <v>Clear</v>
      </c>
      <c r="Y439" t="str">
        <f t="shared" si="85"/>
        <v>Morning</v>
      </c>
      <c r="Z439" t="str">
        <f t="shared" si="86"/>
        <v>Mild</v>
      </c>
      <c r="AA439" t="str">
        <f t="shared" si="87"/>
        <v>Medium</v>
      </c>
      <c r="AB439" t="str">
        <f t="shared" si="88"/>
        <v>Off-Peak</v>
      </c>
      <c r="AC439" s="63">
        <f t="shared" si="89"/>
        <v>0</v>
      </c>
      <c r="AD439" t="str">
        <f>IF(P439&gt;=Stats!$C$30,"High",IF(P439&lt;=Stats!$C$29,"Low","Normal"))</f>
        <v>Normal</v>
      </c>
      <c r="AE439">
        <f t="shared" si="90"/>
        <v>1</v>
      </c>
    </row>
    <row r="440" spans="1:31" x14ac:dyDescent="0.2">
      <c r="A440">
        <f>Dataset_A!A440</f>
        <v>439</v>
      </c>
      <c r="B440" s="61">
        <f>Dataset_A!B440</f>
        <v>40563</v>
      </c>
      <c r="C440">
        <f>Dataset_A!C440</f>
        <v>1</v>
      </c>
      <c r="D440">
        <f>Dataset_A!D440</f>
        <v>0</v>
      </c>
      <c r="E440">
        <f>Dataset_A!E440</f>
        <v>1</v>
      </c>
      <c r="F440">
        <f>Dataset_A!F440</f>
        <v>7</v>
      </c>
      <c r="G440" t="b">
        <f>Dataset_A!G440</f>
        <v>0</v>
      </c>
      <c r="H440">
        <f>Dataset_A!H440</f>
        <v>4</v>
      </c>
      <c r="I440">
        <f>Dataset_A!I440</f>
        <v>1</v>
      </c>
      <c r="J440" s="55">
        <f>Dataset_A!J440</f>
        <v>0.22</v>
      </c>
      <c r="K440">
        <f>Dataset_A!K440</f>
        <v>0.21210000000000001</v>
      </c>
      <c r="L440">
        <f>Dataset_A!L440</f>
        <v>0.55000000000000004</v>
      </c>
      <c r="M440">
        <f>Dataset_A!M440</f>
        <v>0.22389999999999999</v>
      </c>
      <c r="N440">
        <f>Dataset_A!N440</f>
        <v>1</v>
      </c>
      <c r="O440">
        <f>Dataset_A!O440</f>
        <v>100</v>
      </c>
      <c r="P440">
        <f>Dataset_A!P440</f>
        <v>101</v>
      </c>
      <c r="Q440" t="str">
        <f t="shared" si="78"/>
        <v>REC-0439</v>
      </c>
      <c r="R440" s="62">
        <f t="shared" si="79"/>
        <v>40563.291666666664</v>
      </c>
      <c r="S440" t="str">
        <f t="shared" si="80"/>
        <v>Jan</v>
      </c>
      <c r="T440" t="str">
        <f>INDEX(Lookups!$B$39:$B$45,MATCH(H440,Lookups!$A$39:$A$45,0))</f>
        <v>Thu</v>
      </c>
      <c r="U440" t="str">
        <f t="shared" si="81"/>
        <v>Weekday</v>
      </c>
      <c r="V440" t="str">
        <f t="shared" si="82"/>
        <v>Working Day</v>
      </c>
      <c r="W440" t="str">
        <f t="shared" si="83"/>
        <v>Spring</v>
      </c>
      <c r="X440" t="str">
        <f t="shared" si="84"/>
        <v>Clear</v>
      </c>
      <c r="Y440" t="str">
        <f t="shared" si="85"/>
        <v>Morning</v>
      </c>
      <c r="Z440" t="str">
        <f t="shared" si="86"/>
        <v>Mild</v>
      </c>
      <c r="AA440" t="str">
        <f t="shared" si="87"/>
        <v>Medium</v>
      </c>
      <c r="AB440" t="str">
        <f t="shared" si="88"/>
        <v>Peak</v>
      </c>
      <c r="AC440" s="63">
        <f t="shared" si="89"/>
        <v>9.9009900990099011E-3</v>
      </c>
      <c r="AD440" t="str">
        <f>IF(P440&gt;=Stats!$C$30,"High",IF(P440&lt;=Stats!$C$29,"Low","Normal"))</f>
        <v>High</v>
      </c>
      <c r="AE440">
        <f t="shared" si="90"/>
        <v>1</v>
      </c>
    </row>
    <row r="441" spans="1:31" x14ac:dyDescent="0.2">
      <c r="A441">
        <f>Dataset_A!A441</f>
        <v>440</v>
      </c>
      <c r="B441" s="61">
        <f>Dataset_A!B441</f>
        <v>40563</v>
      </c>
      <c r="C441">
        <f>Dataset_A!C441</f>
        <v>1</v>
      </c>
      <c r="D441">
        <f>Dataset_A!D441</f>
        <v>0</v>
      </c>
      <c r="E441">
        <f>Dataset_A!E441</f>
        <v>1</v>
      </c>
      <c r="F441">
        <f>Dataset_A!F441</f>
        <v>8</v>
      </c>
      <c r="G441" t="b">
        <f>Dataset_A!G441</f>
        <v>0</v>
      </c>
      <c r="H441">
        <f>Dataset_A!H441</f>
        <v>4</v>
      </c>
      <c r="I441">
        <f>Dataset_A!I441</f>
        <v>1</v>
      </c>
      <c r="J441" s="55">
        <f>Dataset_A!J441</f>
        <v>0.22</v>
      </c>
      <c r="K441">
        <f>Dataset_A!K441</f>
        <v>0.21210000000000001</v>
      </c>
      <c r="L441">
        <f>Dataset_A!L441</f>
        <v>0.55000000000000004</v>
      </c>
      <c r="M441">
        <f>Dataset_A!M441</f>
        <v>0.28360000000000002</v>
      </c>
      <c r="N441">
        <f>Dataset_A!N441</f>
        <v>2</v>
      </c>
      <c r="O441">
        <f>Dataset_A!O441</f>
        <v>247</v>
      </c>
      <c r="P441">
        <f>Dataset_A!P441</f>
        <v>249</v>
      </c>
      <c r="Q441" t="str">
        <f t="shared" si="78"/>
        <v>REC-0440</v>
      </c>
      <c r="R441" s="62">
        <f t="shared" si="79"/>
        <v>40563.333333333336</v>
      </c>
      <c r="S441" t="str">
        <f t="shared" si="80"/>
        <v>Jan</v>
      </c>
      <c r="T441" t="str">
        <f>INDEX(Lookups!$B$39:$B$45,MATCH(H441,Lookups!$A$39:$A$45,0))</f>
        <v>Thu</v>
      </c>
      <c r="U441" t="str">
        <f t="shared" si="81"/>
        <v>Weekday</v>
      </c>
      <c r="V441" t="str">
        <f t="shared" si="82"/>
        <v>Working Day</v>
      </c>
      <c r="W441" t="str">
        <f t="shared" si="83"/>
        <v>Spring</v>
      </c>
      <c r="X441" t="str">
        <f t="shared" si="84"/>
        <v>Clear</v>
      </c>
      <c r="Y441" t="str">
        <f t="shared" si="85"/>
        <v>Morning</v>
      </c>
      <c r="Z441" t="str">
        <f t="shared" si="86"/>
        <v>Mild</v>
      </c>
      <c r="AA441" t="str">
        <f t="shared" si="87"/>
        <v>Medium</v>
      </c>
      <c r="AB441" t="str">
        <f t="shared" si="88"/>
        <v>Peak</v>
      </c>
      <c r="AC441" s="63">
        <f t="shared" si="89"/>
        <v>8.0321285140562242E-3</v>
      </c>
      <c r="AD441" t="str">
        <f>IF(P441&gt;=Stats!$C$30,"High",IF(P441&lt;=Stats!$C$29,"Low","Normal"))</f>
        <v>High</v>
      </c>
      <c r="AE441">
        <f t="shared" si="90"/>
        <v>1</v>
      </c>
    </row>
    <row r="442" spans="1:31" x14ac:dyDescent="0.2">
      <c r="A442">
        <f>Dataset_A!A442</f>
        <v>441</v>
      </c>
      <c r="B442" s="61">
        <f>Dataset_A!B442</f>
        <v>40563</v>
      </c>
      <c r="C442">
        <f>Dataset_A!C442</f>
        <v>1</v>
      </c>
      <c r="D442">
        <f>Dataset_A!D442</f>
        <v>0</v>
      </c>
      <c r="E442">
        <f>Dataset_A!E442</f>
        <v>1</v>
      </c>
      <c r="F442">
        <f>Dataset_A!F442</f>
        <v>9</v>
      </c>
      <c r="G442" t="b">
        <f>Dataset_A!G442</f>
        <v>0</v>
      </c>
      <c r="H442">
        <f>Dataset_A!H442</f>
        <v>4</v>
      </c>
      <c r="I442">
        <f>Dataset_A!I442</f>
        <v>2</v>
      </c>
      <c r="J442" s="55">
        <f>Dataset_A!J442</f>
        <v>0.24</v>
      </c>
      <c r="K442">
        <f>Dataset_A!K442</f>
        <v>0.2273</v>
      </c>
      <c r="L442">
        <f>Dataset_A!L442</f>
        <v>0.52</v>
      </c>
      <c r="M442">
        <f>Dataset_A!M442</f>
        <v>0.22389999999999999</v>
      </c>
      <c r="N442">
        <f>Dataset_A!N442</f>
        <v>3</v>
      </c>
      <c r="O442">
        <f>Dataset_A!O442</f>
        <v>140</v>
      </c>
      <c r="P442">
        <f>Dataset_A!P442</f>
        <v>143</v>
      </c>
      <c r="Q442" t="str">
        <f t="shared" si="78"/>
        <v>REC-0441</v>
      </c>
      <c r="R442" s="62">
        <f t="shared" si="79"/>
        <v>40563.375</v>
      </c>
      <c r="S442" t="str">
        <f t="shared" si="80"/>
        <v>Jan</v>
      </c>
      <c r="T442" t="str">
        <f>INDEX(Lookups!$B$39:$B$45,MATCH(H442,Lookups!$A$39:$A$45,0))</f>
        <v>Thu</v>
      </c>
      <c r="U442" t="str">
        <f t="shared" si="81"/>
        <v>Weekday</v>
      </c>
      <c r="V442" t="str">
        <f t="shared" si="82"/>
        <v>Working Day</v>
      </c>
      <c r="W442" t="str">
        <f t="shared" si="83"/>
        <v>Spring</v>
      </c>
      <c r="X442" t="str">
        <f t="shared" si="84"/>
        <v>Cloudy/Mist</v>
      </c>
      <c r="Y442" t="str">
        <f t="shared" si="85"/>
        <v>Morning</v>
      </c>
      <c r="Z442" t="str">
        <f t="shared" si="86"/>
        <v>Mild</v>
      </c>
      <c r="AA442" t="str">
        <f t="shared" si="87"/>
        <v>Medium</v>
      </c>
      <c r="AB442" t="str">
        <f t="shared" si="88"/>
        <v>Peak</v>
      </c>
      <c r="AC442" s="63">
        <f t="shared" si="89"/>
        <v>2.097902097902098E-2</v>
      </c>
      <c r="AD442" t="str">
        <f>IF(P442&gt;=Stats!$C$30,"High",IF(P442&lt;=Stats!$C$29,"Low","Normal"))</f>
        <v>High</v>
      </c>
      <c r="AE442">
        <f t="shared" si="90"/>
        <v>1</v>
      </c>
    </row>
    <row r="443" spans="1:31" x14ac:dyDescent="0.2">
      <c r="A443">
        <f>Dataset_A!A443</f>
        <v>442</v>
      </c>
      <c r="B443" s="61">
        <f>Dataset_A!B443</f>
        <v>40563</v>
      </c>
      <c r="C443">
        <f>Dataset_A!C443</f>
        <v>1</v>
      </c>
      <c r="D443">
        <f>Dataset_A!D443</f>
        <v>0</v>
      </c>
      <c r="E443">
        <f>Dataset_A!E443</f>
        <v>1</v>
      </c>
      <c r="F443">
        <f>Dataset_A!F443</f>
        <v>10</v>
      </c>
      <c r="G443" t="b">
        <f>Dataset_A!G443</f>
        <v>0</v>
      </c>
      <c r="H443">
        <f>Dataset_A!H443</f>
        <v>4</v>
      </c>
      <c r="I443">
        <f>Dataset_A!I443</f>
        <v>1</v>
      </c>
      <c r="J443" s="55">
        <f>Dataset_A!J443</f>
        <v>0.26</v>
      </c>
      <c r="K443">
        <f>Dataset_A!K443</f>
        <v>0.2273</v>
      </c>
      <c r="L443">
        <f>Dataset_A!L443</f>
        <v>0.48</v>
      </c>
      <c r="M443">
        <f>Dataset_A!M443</f>
        <v>0.29849999999999999</v>
      </c>
      <c r="N443">
        <f>Dataset_A!N443</f>
        <v>1</v>
      </c>
      <c r="O443">
        <f>Dataset_A!O443</f>
        <v>56</v>
      </c>
      <c r="P443">
        <f>Dataset_A!P443</f>
        <v>57</v>
      </c>
      <c r="Q443" t="str">
        <f t="shared" si="78"/>
        <v>REC-0442</v>
      </c>
      <c r="R443" s="62">
        <f t="shared" si="79"/>
        <v>40563.416666666664</v>
      </c>
      <c r="S443" t="str">
        <f t="shared" si="80"/>
        <v>Jan</v>
      </c>
      <c r="T443" t="str">
        <f>INDEX(Lookups!$B$39:$B$45,MATCH(H443,Lookups!$A$39:$A$45,0))</f>
        <v>Thu</v>
      </c>
      <c r="U443" t="str">
        <f t="shared" si="81"/>
        <v>Weekday</v>
      </c>
      <c r="V443" t="str">
        <f t="shared" si="82"/>
        <v>Working Day</v>
      </c>
      <c r="W443" t="str">
        <f t="shared" si="83"/>
        <v>Spring</v>
      </c>
      <c r="X443" t="str">
        <f t="shared" si="84"/>
        <v>Clear</v>
      </c>
      <c r="Y443" t="str">
        <f t="shared" si="85"/>
        <v>Morning</v>
      </c>
      <c r="Z443" t="str">
        <f t="shared" si="86"/>
        <v>Mild</v>
      </c>
      <c r="AA443" t="str">
        <f t="shared" si="87"/>
        <v>Low</v>
      </c>
      <c r="AB443" t="str">
        <f t="shared" si="88"/>
        <v>Off-Peak</v>
      </c>
      <c r="AC443" s="63">
        <f t="shared" si="89"/>
        <v>1.7543859649122806E-2</v>
      </c>
      <c r="AD443" t="str">
        <f>IF(P443&gt;=Stats!$C$30,"High",IF(P443&lt;=Stats!$C$29,"Low","Normal"))</f>
        <v>Normal</v>
      </c>
      <c r="AE443">
        <f t="shared" si="90"/>
        <v>1</v>
      </c>
    </row>
    <row r="444" spans="1:31" x14ac:dyDescent="0.2">
      <c r="A444">
        <f>Dataset_A!A444</f>
        <v>443</v>
      </c>
      <c r="B444" s="61">
        <f>Dataset_A!B444</f>
        <v>40563</v>
      </c>
      <c r="C444">
        <f>Dataset_A!C444</f>
        <v>1</v>
      </c>
      <c r="D444">
        <f>Dataset_A!D444</f>
        <v>0</v>
      </c>
      <c r="E444">
        <f>Dataset_A!E444</f>
        <v>1</v>
      </c>
      <c r="F444">
        <f>Dataset_A!F444</f>
        <v>11</v>
      </c>
      <c r="G444" t="b">
        <f>Dataset_A!G444</f>
        <v>0</v>
      </c>
      <c r="H444">
        <f>Dataset_A!H444</f>
        <v>4</v>
      </c>
      <c r="I444">
        <f>Dataset_A!I444</f>
        <v>2</v>
      </c>
      <c r="J444" s="55">
        <f>Dataset_A!J444</f>
        <v>0.28000000000000003</v>
      </c>
      <c r="K444">
        <f>Dataset_A!K444</f>
        <v>0.2727</v>
      </c>
      <c r="L444">
        <f>Dataset_A!L444</f>
        <v>0.45</v>
      </c>
      <c r="M444">
        <f>Dataset_A!M444</f>
        <v>0.16420000000000001</v>
      </c>
      <c r="N444">
        <f>Dataset_A!N444</f>
        <v>5</v>
      </c>
      <c r="O444">
        <f>Dataset_A!O444</f>
        <v>63</v>
      </c>
      <c r="P444">
        <f>Dataset_A!P444</f>
        <v>68</v>
      </c>
      <c r="Q444" t="str">
        <f t="shared" si="78"/>
        <v>REC-0443</v>
      </c>
      <c r="R444" s="62">
        <f t="shared" si="79"/>
        <v>40563.458333333336</v>
      </c>
      <c r="S444" t="str">
        <f t="shared" si="80"/>
        <v>Jan</v>
      </c>
      <c r="T444" t="str">
        <f>INDEX(Lookups!$B$39:$B$45,MATCH(H444,Lookups!$A$39:$A$45,0))</f>
        <v>Thu</v>
      </c>
      <c r="U444" t="str">
        <f t="shared" si="81"/>
        <v>Weekday</v>
      </c>
      <c r="V444" t="str">
        <f t="shared" si="82"/>
        <v>Working Day</v>
      </c>
      <c r="W444" t="str">
        <f t="shared" si="83"/>
        <v>Spring</v>
      </c>
      <c r="X444" t="str">
        <f t="shared" si="84"/>
        <v>Cloudy/Mist</v>
      </c>
      <c r="Y444" t="str">
        <f t="shared" si="85"/>
        <v>Morning</v>
      </c>
      <c r="Z444" t="str">
        <f t="shared" si="86"/>
        <v>Mild</v>
      </c>
      <c r="AA444" t="str">
        <f t="shared" si="87"/>
        <v>Low</v>
      </c>
      <c r="AB444" t="str">
        <f t="shared" si="88"/>
        <v>Off-Peak</v>
      </c>
      <c r="AC444" s="63">
        <f t="shared" si="89"/>
        <v>7.3529411764705885E-2</v>
      </c>
      <c r="AD444" t="str">
        <f>IF(P444&gt;=Stats!$C$30,"High",IF(P444&lt;=Stats!$C$29,"Low","Normal"))</f>
        <v>Normal</v>
      </c>
      <c r="AE444">
        <f t="shared" si="90"/>
        <v>1</v>
      </c>
    </row>
    <row r="445" spans="1:31" x14ac:dyDescent="0.2">
      <c r="A445">
        <f>Dataset_A!A445</f>
        <v>444</v>
      </c>
      <c r="B445" s="61">
        <f>Dataset_A!B445</f>
        <v>40563</v>
      </c>
      <c r="C445">
        <f>Dataset_A!C445</f>
        <v>1</v>
      </c>
      <c r="D445">
        <f>Dataset_A!D445</f>
        <v>0</v>
      </c>
      <c r="E445">
        <f>Dataset_A!E445</f>
        <v>1</v>
      </c>
      <c r="F445">
        <f>Dataset_A!F445</f>
        <v>12</v>
      </c>
      <c r="G445" t="b">
        <f>Dataset_A!G445</f>
        <v>0</v>
      </c>
      <c r="H445">
        <f>Dataset_A!H445</f>
        <v>4</v>
      </c>
      <c r="I445">
        <f>Dataset_A!I445</f>
        <v>2</v>
      </c>
      <c r="J445" s="55">
        <f>Dataset_A!J445</f>
        <v>0.3</v>
      </c>
      <c r="K445">
        <f>Dataset_A!K445</f>
        <v>0.33329999999999999</v>
      </c>
      <c r="L445">
        <f>Dataset_A!L445</f>
        <v>0.42</v>
      </c>
      <c r="M445">
        <f>Dataset_A!M445</f>
        <v>0</v>
      </c>
      <c r="N445">
        <f>Dataset_A!N445</f>
        <v>7</v>
      </c>
      <c r="O445">
        <f>Dataset_A!O445</f>
        <v>77</v>
      </c>
      <c r="P445">
        <f>Dataset_A!P445</f>
        <v>84</v>
      </c>
      <c r="Q445" t="str">
        <f t="shared" si="78"/>
        <v>REC-0444</v>
      </c>
      <c r="R445" s="62">
        <f t="shared" si="79"/>
        <v>40563.5</v>
      </c>
      <c r="S445" t="str">
        <f t="shared" si="80"/>
        <v>Jan</v>
      </c>
      <c r="T445" t="str">
        <f>INDEX(Lookups!$B$39:$B$45,MATCH(H445,Lookups!$A$39:$A$45,0))</f>
        <v>Thu</v>
      </c>
      <c r="U445" t="str">
        <f t="shared" si="81"/>
        <v>Weekday</v>
      </c>
      <c r="V445" t="str">
        <f t="shared" si="82"/>
        <v>Working Day</v>
      </c>
      <c r="W445" t="str">
        <f t="shared" si="83"/>
        <v>Spring</v>
      </c>
      <c r="X445" t="str">
        <f t="shared" si="84"/>
        <v>Cloudy/Mist</v>
      </c>
      <c r="Y445" t="str">
        <f t="shared" si="85"/>
        <v>Afternoon</v>
      </c>
      <c r="Z445" t="str">
        <f t="shared" si="86"/>
        <v>Warm</v>
      </c>
      <c r="AA445" t="str">
        <f t="shared" si="87"/>
        <v>Low</v>
      </c>
      <c r="AB445" t="str">
        <f t="shared" si="88"/>
        <v>Off-Peak</v>
      </c>
      <c r="AC445" s="63">
        <f t="shared" si="89"/>
        <v>8.3333333333333329E-2</v>
      </c>
      <c r="AD445" t="str">
        <f>IF(P445&gt;=Stats!$C$30,"High",IF(P445&lt;=Stats!$C$29,"Low","Normal"))</f>
        <v>High</v>
      </c>
      <c r="AE445">
        <f t="shared" si="90"/>
        <v>1</v>
      </c>
    </row>
    <row r="446" spans="1:31" x14ac:dyDescent="0.2">
      <c r="A446">
        <f>Dataset_A!A446</f>
        <v>445</v>
      </c>
      <c r="B446" s="61">
        <f>Dataset_A!B446</f>
        <v>40563</v>
      </c>
      <c r="C446">
        <f>Dataset_A!C446</f>
        <v>1</v>
      </c>
      <c r="D446">
        <f>Dataset_A!D446</f>
        <v>0</v>
      </c>
      <c r="E446">
        <f>Dataset_A!E446</f>
        <v>1</v>
      </c>
      <c r="F446">
        <f>Dataset_A!F446</f>
        <v>13</v>
      </c>
      <c r="G446" t="b">
        <f>Dataset_A!G446</f>
        <v>0</v>
      </c>
      <c r="H446">
        <f>Dataset_A!H446</f>
        <v>4</v>
      </c>
      <c r="I446">
        <f>Dataset_A!I446</f>
        <v>2</v>
      </c>
      <c r="J446" s="55">
        <f>Dataset_A!J446</f>
        <v>0.28000000000000003</v>
      </c>
      <c r="K446">
        <f>Dataset_A!K446</f>
        <v>0.28789999999999999</v>
      </c>
      <c r="L446">
        <f>Dataset_A!L446</f>
        <v>0.45</v>
      </c>
      <c r="M446">
        <f>Dataset_A!M446</f>
        <v>0.1045</v>
      </c>
      <c r="N446">
        <f>Dataset_A!N446</f>
        <v>12</v>
      </c>
      <c r="O446">
        <f>Dataset_A!O446</f>
        <v>86</v>
      </c>
      <c r="P446">
        <f>Dataset_A!P446</f>
        <v>98</v>
      </c>
      <c r="Q446" t="str">
        <f t="shared" si="78"/>
        <v>REC-0445</v>
      </c>
      <c r="R446" s="62">
        <f t="shared" si="79"/>
        <v>40563.541666666664</v>
      </c>
      <c r="S446" t="str">
        <f t="shared" si="80"/>
        <v>Jan</v>
      </c>
      <c r="T446" t="str">
        <f>INDEX(Lookups!$B$39:$B$45,MATCH(H446,Lookups!$A$39:$A$45,0))</f>
        <v>Thu</v>
      </c>
      <c r="U446" t="str">
        <f t="shared" si="81"/>
        <v>Weekday</v>
      </c>
      <c r="V446" t="str">
        <f t="shared" si="82"/>
        <v>Working Day</v>
      </c>
      <c r="W446" t="str">
        <f t="shared" si="83"/>
        <v>Spring</v>
      </c>
      <c r="X446" t="str">
        <f t="shared" si="84"/>
        <v>Cloudy/Mist</v>
      </c>
      <c r="Y446" t="str">
        <f t="shared" si="85"/>
        <v>Afternoon</v>
      </c>
      <c r="Z446" t="str">
        <f t="shared" si="86"/>
        <v>Mild</v>
      </c>
      <c r="AA446" t="str">
        <f t="shared" si="87"/>
        <v>Low</v>
      </c>
      <c r="AB446" t="str">
        <f t="shared" si="88"/>
        <v>Off-Peak</v>
      </c>
      <c r="AC446" s="63">
        <f t="shared" si="89"/>
        <v>0.12244897959183673</v>
      </c>
      <c r="AD446" t="str">
        <f>IF(P446&gt;=Stats!$C$30,"High",IF(P446&lt;=Stats!$C$29,"Low","Normal"))</f>
        <v>High</v>
      </c>
      <c r="AE446">
        <f t="shared" si="90"/>
        <v>1</v>
      </c>
    </row>
    <row r="447" spans="1:31" x14ac:dyDescent="0.2">
      <c r="A447">
        <f>Dataset_A!A447</f>
        <v>446</v>
      </c>
      <c r="B447" s="61">
        <f>Dataset_A!B447</f>
        <v>40563</v>
      </c>
      <c r="C447">
        <f>Dataset_A!C447</f>
        <v>1</v>
      </c>
      <c r="D447">
        <f>Dataset_A!D447</f>
        <v>0</v>
      </c>
      <c r="E447">
        <f>Dataset_A!E447</f>
        <v>1</v>
      </c>
      <c r="F447">
        <f>Dataset_A!F447</f>
        <v>14</v>
      </c>
      <c r="G447" t="b">
        <f>Dataset_A!G447</f>
        <v>0</v>
      </c>
      <c r="H447">
        <f>Dataset_A!H447</f>
        <v>4</v>
      </c>
      <c r="I447">
        <f>Dataset_A!I447</f>
        <v>2</v>
      </c>
      <c r="J447" s="55">
        <f>Dataset_A!J447</f>
        <v>0.3</v>
      </c>
      <c r="K447">
        <f>Dataset_A!K447</f>
        <v>0.30299999999999999</v>
      </c>
      <c r="L447">
        <f>Dataset_A!L447</f>
        <v>0.45</v>
      </c>
      <c r="M447">
        <f>Dataset_A!M447</f>
        <v>0.1343</v>
      </c>
      <c r="N447">
        <f>Dataset_A!N447</f>
        <v>6</v>
      </c>
      <c r="O447">
        <f>Dataset_A!O447</f>
        <v>75</v>
      </c>
      <c r="P447">
        <f>Dataset_A!P447</f>
        <v>81</v>
      </c>
      <c r="Q447" t="str">
        <f t="shared" si="78"/>
        <v>REC-0446</v>
      </c>
      <c r="R447" s="62">
        <f t="shared" si="79"/>
        <v>40563.583333333336</v>
      </c>
      <c r="S447" t="str">
        <f t="shared" si="80"/>
        <v>Jan</v>
      </c>
      <c r="T447" t="str">
        <f>INDEX(Lookups!$B$39:$B$45,MATCH(H447,Lookups!$A$39:$A$45,0))</f>
        <v>Thu</v>
      </c>
      <c r="U447" t="str">
        <f t="shared" si="81"/>
        <v>Weekday</v>
      </c>
      <c r="V447" t="str">
        <f t="shared" si="82"/>
        <v>Working Day</v>
      </c>
      <c r="W447" t="str">
        <f t="shared" si="83"/>
        <v>Spring</v>
      </c>
      <c r="X447" t="str">
        <f t="shared" si="84"/>
        <v>Cloudy/Mist</v>
      </c>
      <c r="Y447" t="str">
        <f t="shared" si="85"/>
        <v>Afternoon</v>
      </c>
      <c r="Z447" t="str">
        <f t="shared" si="86"/>
        <v>Warm</v>
      </c>
      <c r="AA447" t="str">
        <f t="shared" si="87"/>
        <v>Low</v>
      </c>
      <c r="AB447" t="str">
        <f t="shared" si="88"/>
        <v>Off-Peak</v>
      </c>
      <c r="AC447" s="63">
        <f t="shared" si="89"/>
        <v>7.407407407407407E-2</v>
      </c>
      <c r="AD447" t="str">
        <f>IF(P447&gt;=Stats!$C$30,"High",IF(P447&lt;=Stats!$C$29,"Low","Normal"))</f>
        <v>Normal</v>
      </c>
      <c r="AE447">
        <f t="shared" si="90"/>
        <v>1</v>
      </c>
    </row>
    <row r="448" spans="1:31" x14ac:dyDescent="0.2">
      <c r="A448">
        <f>Dataset_A!A448</f>
        <v>447</v>
      </c>
      <c r="B448" s="61">
        <f>Dataset_A!B448</f>
        <v>40563</v>
      </c>
      <c r="C448">
        <f>Dataset_A!C448</f>
        <v>1</v>
      </c>
      <c r="D448">
        <f>Dataset_A!D448</f>
        <v>0</v>
      </c>
      <c r="E448">
        <f>Dataset_A!E448</f>
        <v>1</v>
      </c>
      <c r="F448">
        <f>Dataset_A!F448</f>
        <v>15</v>
      </c>
      <c r="G448" t="b">
        <f>Dataset_A!G448</f>
        <v>0</v>
      </c>
      <c r="H448">
        <f>Dataset_A!H448</f>
        <v>4</v>
      </c>
      <c r="I448">
        <f>Dataset_A!I448</f>
        <v>2</v>
      </c>
      <c r="J448" s="55">
        <f>Dataset_A!J448</f>
        <v>0.32</v>
      </c>
      <c r="K448">
        <f>Dataset_A!K448</f>
        <v>0.31819999999999998</v>
      </c>
      <c r="L448">
        <f>Dataset_A!L448</f>
        <v>0.45</v>
      </c>
      <c r="M448">
        <f>Dataset_A!M448</f>
        <v>0.19400000000000001</v>
      </c>
      <c r="N448">
        <f>Dataset_A!N448</f>
        <v>8</v>
      </c>
      <c r="O448">
        <f>Dataset_A!O448</f>
        <v>62</v>
      </c>
      <c r="P448">
        <f>Dataset_A!P448</f>
        <v>70</v>
      </c>
      <c r="Q448" t="str">
        <f t="shared" si="78"/>
        <v>REC-0447</v>
      </c>
      <c r="R448" s="62">
        <f t="shared" si="79"/>
        <v>40563.625</v>
      </c>
      <c r="S448" t="str">
        <f t="shared" si="80"/>
        <v>Jan</v>
      </c>
      <c r="T448" t="str">
        <f>INDEX(Lookups!$B$39:$B$45,MATCH(H448,Lookups!$A$39:$A$45,0))</f>
        <v>Thu</v>
      </c>
      <c r="U448" t="str">
        <f t="shared" si="81"/>
        <v>Weekday</v>
      </c>
      <c r="V448" t="str">
        <f t="shared" si="82"/>
        <v>Working Day</v>
      </c>
      <c r="W448" t="str">
        <f t="shared" si="83"/>
        <v>Spring</v>
      </c>
      <c r="X448" t="str">
        <f t="shared" si="84"/>
        <v>Cloudy/Mist</v>
      </c>
      <c r="Y448" t="str">
        <f t="shared" si="85"/>
        <v>Afternoon</v>
      </c>
      <c r="Z448" t="str">
        <f t="shared" si="86"/>
        <v>Warm</v>
      </c>
      <c r="AA448" t="str">
        <f t="shared" si="87"/>
        <v>Low</v>
      </c>
      <c r="AB448" t="str">
        <f t="shared" si="88"/>
        <v>Off-Peak</v>
      </c>
      <c r="AC448" s="63">
        <f t="shared" si="89"/>
        <v>0.11428571428571428</v>
      </c>
      <c r="AD448" t="str">
        <f>IF(P448&gt;=Stats!$C$30,"High",IF(P448&lt;=Stats!$C$29,"Low","Normal"))</f>
        <v>Normal</v>
      </c>
      <c r="AE448">
        <f t="shared" si="90"/>
        <v>1</v>
      </c>
    </row>
    <row r="449" spans="1:31" x14ac:dyDescent="0.2">
      <c r="A449">
        <f>Dataset_A!A449</f>
        <v>448</v>
      </c>
      <c r="B449" s="61">
        <f>Dataset_A!B449</f>
        <v>40563</v>
      </c>
      <c r="C449">
        <f>Dataset_A!C449</f>
        <v>1</v>
      </c>
      <c r="D449">
        <f>Dataset_A!D449</f>
        <v>0</v>
      </c>
      <c r="E449">
        <f>Dataset_A!E449</f>
        <v>1</v>
      </c>
      <c r="F449">
        <f>Dataset_A!F449</f>
        <v>16</v>
      </c>
      <c r="G449" t="b">
        <f>Dataset_A!G449</f>
        <v>0</v>
      </c>
      <c r="H449">
        <f>Dataset_A!H449</f>
        <v>4</v>
      </c>
      <c r="I449">
        <f>Dataset_A!I449</f>
        <v>2</v>
      </c>
      <c r="J449" s="55">
        <f>Dataset_A!J449</f>
        <v>0.3</v>
      </c>
      <c r="K449">
        <f>Dataset_A!K449</f>
        <v>0.30299999999999999</v>
      </c>
      <c r="L449">
        <f>Dataset_A!L449</f>
        <v>0.49</v>
      </c>
      <c r="M449">
        <f>Dataset_A!M449</f>
        <v>0.1343</v>
      </c>
      <c r="N449">
        <f>Dataset_A!N449</f>
        <v>8</v>
      </c>
      <c r="O449">
        <f>Dataset_A!O449</f>
        <v>83</v>
      </c>
      <c r="P449">
        <f>Dataset_A!P449</f>
        <v>91</v>
      </c>
      <c r="Q449" t="str">
        <f t="shared" si="78"/>
        <v>REC-0448</v>
      </c>
      <c r="R449" s="62">
        <f t="shared" si="79"/>
        <v>40563.666666666664</v>
      </c>
      <c r="S449" t="str">
        <f t="shared" si="80"/>
        <v>Jan</v>
      </c>
      <c r="T449" t="str">
        <f>INDEX(Lookups!$B$39:$B$45,MATCH(H449,Lookups!$A$39:$A$45,0))</f>
        <v>Thu</v>
      </c>
      <c r="U449" t="str">
        <f t="shared" si="81"/>
        <v>Weekday</v>
      </c>
      <c r="V449" t="str">
        <f t="shared" si="82"/>
        <v>Working Day</v>
      </c>
      <c r="W449" t="str">
        <f t="shared" si="83"/>
        <v>Spring</v>
      </c>
      <c r="X449" t="str">
        <f t="shared" si="84"/>
        <v>Cloudy/Mist</v>
      </c>
      <c r="Y449" t="str">
        <f t="shared" si="85"/>
        <v>Afternoon</v>
      </c>
      <c r="Z449" t="str">
        <f t="shared" si="86"/>
        <v>Warm</v>
      </c>
      <c r="AA449" t="str">
        <f t="shared" si="87"/>
        <v>Low</v>
      </c>
      <c r="AB449" t="str">
        <f t="shared" si="88"/>
        <v>Peak</v>
      </c>
      <c r="AC449" s="63">
        <f t="shared" si="89"/>
        <v>8.7912087912087919E-2</v>
      </c>
      <c r="AD449" t="str">
        <f>IF(P449&gt;=Stats!$C$30,"High",IF(P449&lt;=Stats!$C$29,"Low","Normal"))</f>
        <v>High</v>
      </c>
      <c r="AE449">
        <f t="shared" si="90"/>
        <v>1</v>
      </c>
    </row>
    <row r="450" spans="1:31" x14ac:dyDescent="0.2">
      <c r="A450">
        <f>Dataset_A!A450</f>
        <v>449</v>
      </c>
      <c r="B450" s="61">
        <f>Dataset_A!B450</f>
        <v>40563</v>
      </c>
      <c r="C450">
        <f>Dataset_A!C450</f>
        <v>1</v>
      </c>
      <c r="D450">
        <f>Dataset_A!D450</f>
        <v>0</v>
      </c>
      <c r="E450">
        <f>Dataset_A!E450</f>
        <v>1</v>
      </c>
      <c r="F450">
        <f>Dataset_A!F450</f>
        <v>17</v>
      </c>
      <c r="G450" t="b">
        <f>Dataset_A!G450</f>
        <v>0</v>
      </c>
      <c r="H450">
        <f>Dataset_A!H450</f>
        <v>4</v>
      </c>
      <c r="I450">
        <f>Dataset_A!I450</f>
        <v>2</v>
      </c>
      <c r="J450" s="55">
        <f>Dataset_A!J450</f>
        <v>0.3</v>
      </c>
      <c r="K450">
        <f>Dataset_A!K450</f>
        <v>0.31819999999999998</v>
      </c>
      <c r="L450">
        <f>Dataset_A!L450</f>
        <v>0.49</v>
      </c>
      <c r="M450">
        <f>Dataset_A!M450</f>
        <v>0.1045</v>
      </c>
      <c r="N450">
        <f>Dataset_A!N450</f>
        <v>8</v>
      </c>
      <c r="O450">
        <f>Dataset_A!O450</f>
        <v>207</v>
      </c>
      <c r="P450">
        <f>Dataset_A!P450</f>
        <v>215</v>
      </c>
      <c r="Q450" t="str">
        <f t="shared" ref="Q450:Q513" si="91">"REC-"&amp;TEXT(A450,"0000")</f>
        <v>REC-0449</v>
      </c>
      <c r="R450" s="62">
        <f t="shared" ref="R450:R513" si="92">B450+F450/24</f>
        <v>40563.708333333336</v>
      </c>
      <c r="S450" t="str">
        <f t="shared" ref="S450:S513" si="93">TEXT(B450,"mmm")</f>
        <v>Jan</v>
      </c>
      <c r="T450" t="str">
        <f>INDEX(Lookups!$B$39:$B$45,MATCH(H450,Lookups!$A$39:$A$45,0))</f>
        <v>Thu</v>
      </c>
      <c r="U450" t="str">
        <f t="shared" ref="U450:U513" si="94">IF(OR(H450=0,H450=6),"Weekend","Weekday")</f>
        <v>Weekday</v>
      </c>
      <c r="V450" t="str">
        <f t="shared" ref="V450:V513" si="95">IF(OR(U450="Weekend",G450=TRUE),"Non-Working Day","Working Day")</f>
        <v>Working Day</v>
      </c>
      <c r="W450" t="str">
        <f t="shared" ref="W450:W513" si="96">VLOOKUP(C450,tbl_season,2,FALSE)</f>
        <v>Spring</v>
      </c>
      <c r="X450" t="str">
        <f t="shared" ref="X450:X513" si="97">VLOOKUP(I450,tbl_weather,2,FALSE)</f>
        <v>Cloudy/Mist</v>
      </c>
      <c r="Y450" t="str">
        <f t="shared" ref="Y450:Y513" si="98">INDEX(band_name,MATCH(F450,band_start,1))</f>
        <v>Evening</v>
      </c>
      <c r="Z450" t="str">
        <f t="shared" ref="Z450:Z513" si="99">INDEX(temp_band,MATCH(J450,temp_from,1))</f>
        <v>Warm</v>
      </c>
      <c r="AA450" t="str">
        <f t="shared" ref="AA450:AA513" si="100">INDEX(hum_band,MATCH(L450,hum_from,1))</f>
        <v>Low</v>
      </c>
      <c r="AB450" t="str">
        <f t="shared" ref="AB450:AB513" si="101">IF(AND(U450="Weekday",OR(AND(F450&gt;=7,F450&lt;=9),AND(F450&gt;=16,F450&lt;=19))),"Peak","Off-Peak")</f>
        <v>Peak</v>
      </c>
      <c r="AC450" s="63">
        <f t="shared" ref="AC450:AC513" si="102">IF(P450=0,0,N450/P450)</f>
        <v>3.7209302325581395E-2</v>
      </c>
      <c r="AD450" t="str">
        <f>IF(P450&gt;=Stats!$C$30,"High",IF(P450&lt;=Stats!$C$29,"Low","Normal"))</f>
        <v>High</v>
      </c>
      <c r="AE450">
        <f t="shared" ref="AE450:AE513" si="103">SUBTOTAL(103,A450)</f>
        <v>1</v>
      </c>
    </row>
    <row r="451" spans="1:31" x14ac:dyDescent="0.2">
      <c r="A451">
        <f>Dataset_A!A451</f>
        <v>450</v>
      </c>
      <c r="B451" s="61">
        <f>Dataset_A!B451</f>
        <v>40563</v>
      </c>
      <c r="C451">
        <f>Dataset_A!C451</f>
        <v>1</v>
      </c>
      <c r="D451">
        <f>Dataset_A!D451</f>
        <v>0</v>
      </c>
      <c r="E451">
        <f>Dataset_A!E451</f>
        <v>1</v>
      </c>
      <c r="F451">
        <f>Dataset_A!F451</f>
        <v>18</v>
      </c>
      <c r="G451" t="b">
        <f>Dataset_A!G451</f>
        <v>0</v>
      </c>
      <c r="H451">
        <f>Dataset_A!H451</f>
        <v>4</v>
      </c>
      <c r="I451">
        <f>Dataset_A!I451</f>
        <v>2</v>
      </c>
      <c r="J451" s="55">
        <f>Dataset_A!J451</f>
        <v>0.26</v>
      </c>
      <c r="K451">
        <f>Dataset_A!K451</f>
        <v>0.2576</v>
      </c>
      <c r="L451">
        <f>Dataset_A!L451</f>
        <v>0.56000000000000005</v>
      </c>
      <c r="M451">
        <f>Dataset_A!M451</f>
        <v>0.19400000000000001</v>
      </c>
      <c r="N451">
        <f>Dataset_A!N451</f>
        <v>1</v>
      </c>
      <c r="O451">
        <f>Dataset_A!O451</f>
        <v>184</v>
      </c>
      <c r="P451">
        <f>Dataset_A!P451</f>
        <v>185</v>
      </c>
      <c r="Q451" t="str">
        <f t="shared" si="91"/>
        <v>REC-0450</v>
      </c>
      <c r="R451" s="62">
        <f t="shared" si="92"/>
        <v>40563.75</v>
      </c>
      <c r="S451" t="str">
        <f t="shared" si="93"/>
        <v>Jan</v>
      </c>
      <c r="T451" t="str">
        <f>INDEX(Lookups!$B$39:$B$45,MATCH(H451,Lookups!$A$39:$A$45,0))</f>
        <v>Thu</v>
      </c>
      <c r="U451" t="str">
        <f t="shared" si="94"/>
        <v>Weekday</v>
      </c>
      <c r="V451" t="str">
        <f t="shared" si="95"/>
        <v>Working Day</v>
      </c>
      <c r="W451" t="str">
        <f t="shared" si="96"/>
        <v>Spring</v>
      </c>
      <c r="X451" t="str">
        <f t="shared" si="97"/>
        <v>Cloudy/Mist</v>
      </c>
      <c r="Y451" t="str">
        <f t="shared" si="98"/>
        <v>Evening</v>
      </c>
      <c r="Z451" t="str">
        <f t="shared" si="99"/>
        <v>Mild</v>
      </c>
      <c r="AA451" t="str">
        <f t="shared" si="100"/>
        <v>Medium</v>
      </c>
      <c r="AB451" t="str">
        <f t="shared" si="101"/>
        <v>Peak</v>
      </c>
      <c r="AC451" s="63">
        <f t="shared" si="102"/>
        <v>5.4054054054054057E-3</v>
      </c>
      <c r="AD451" t="str">
        <f>IF(P451&gt;=Stats!$C$30,"High",IF(P451&lt;=Stats!$C$29,"Low","Normal"))</f>
        <v>High</v>
      </c>
      <c r="AE451">
        <f t="shared" si="103"/>
        <v>1</v>
      </c>
    </row>
    <row r="452" spans="1:31" x14ac:dyDescent="0.2">
      <c r="A452">
        <f>Dataset_A!A452</f>
        <v>451</v>
      </c>
      <c r="B452" s="61">
        <f>Dataset_A!B452</f>
        <v>40563</v>
      </c>
      <c r="C452">
        <f>Dataset_A!C452</f>
        <v>1</v>
      </c>
      <c r="D452">
        <f>Dataset_A!D452</f>
        <v>0</v>
      </c>
      <c r="E452">
        <f>Dataset_A!E452</f>
        <v>1</v>
      </c>
      <c r="F452">
        <f>Dataset_A!F452</f>
        <v>19</v>
      </c>
      <c r="G452" t="b">
        <f>Dataset_A!G452</f>
        <v>0</v>
      </c>
      <c r="H452">
        <f>Dataset_A!H452</f>
        <v>4</v>
      </c>
      <c r="I452">
        <f>Dataset_A!I452</f>
        <v>1</v>
      </c>
      <c r="J452" s="55">
        <f>Dataset_A!J452</f>
        <v>0.26</v>
      </c>
      <c r="K452">
        <f>Dataset_A!K452</f>
        <v>0.2273</v>
      </c>
      <c r="L452">
        <f>Dataset_A!L452</f>
        <v>0.56000000000000005</v>
      </c>
      <c r="M452">
        <f>Dataset_A!M452</f>
        <v>0.32840000000000003</v>
      </c>
      <c r="N452">
        <f>Dataset_A!N452</f>
        <v>6</v>
      </c>
      <c r="O452">
        <f>Dataset_A!O452</f>
        <v>146</v>
      </c>
      <c r="P452">
        <f>Dataset_A!P452</f>
        <v>152</v>
      </c>
      <c r="Q452" t="str">
        <f t="shared" si="91"/>
        <v>REC-0451</v>
      </c>
      <c r="R452" s="62">
        <f t="shared" si="92"/>
        <v>40563.791666666664</v>
      </c>
      <c r="S452" t="str">
        <f t="shared" si="93"/>
        <v>Jan</v>
      </c>
      <c r="T452" t="str">
        <f>INDEX(Lookups!$B$39:$B$45,MATCH(H452,Lookups!$A$39:$A$45,0))</f>
        <v>Thu</v>
      </c>
      <c r="U452" t="str">
        <f t="shared" si="94"/>
        <v>Weekday</v>
      </c>
      <c r="V452" t="str">
        <f t="shared" si="95"/>
        <v>Working Day</v>
      </c>
      <c r="W452" t="str">
        <f t="shared" si="96"/>
        <v>Spring</v>
      </c>
      <c r="X452" t="str">
        <f t="shared" si="97"/>
        <v>Clear</v>
      </c>
      <c r="Y452" t="str">
        <f t="shared" si="98"/>
        <v>Evening</v>
      </c>
      <c r="Z452" t="str">
        <f t="shared" si="99"/>
        <v>Mild</v>
      </c>
      <c r="AA452" t="str">
        <f t="shared" si="100"/>
        <v>Medium</v>
      </c>
      <c r="AB452" t="str">
        <f t="shared" si="101"/>
        <v>Peak</v>
      </c>
      <c r="AC452" s="63">
        <f t="shared" si="102"/>
        <v>3.9473684210526314E-2</v>
      </c>
      <c r="AD452" t="str">
        <f>IF(P452&gt;=Stats!$C$30,"High",IF(P452&lt;=Stats!$C$29,"Low","Normal"))</f>
        <v>High</v>
      </c>
      <c r="AE452">
        <f t="shared" si="103"/>
        <v>1</v>
      </c>
    </row>
    <row r="453" spans="1:31" x14ac:dyDescent="0.2">
      <c r="A453">
        <f>Dataset_A!A453</f>
        <v>452</v>
      </c>
      <c r="B453" s="61">
        <f>Dataset_A!B453</f>
        <v>40563</v>
      </c>
      <c r="C453">
        <f>Dataset_A!C453</f>
        <v>1</v>
      </c>
      <c r="D453">
        <f>Dataset_A!D453</f>
        <v>0</v>
      </c>
      <c r="E453">
        <f>Dataset_A!E453</f>
        <v>1</v>
      </c>
      <c r="F453">
        <f>Dataset_A!F453</f>
        <v>20</v>
      </c>
      <c r="G453" t="b">
        <f>Dataset_A!G453</f>
        <v>0</v>
      </c>
      <c r="H453">
        <f>Dataset_A!H453</f>
        <v>4</v>
      </c>
      <c r="I453">
        <f>Dataset_A!I453</f>
        <v>2</v>
      </c>
      <c r="J453" s="55">
        <f>Dataset_A!J453</f>
        <v>0.26</v>
      </c>
      <c r="K453">
        <f>Dataset_A!K453</f>
        <v>0.2424</v>
      </c>
      <c r="L453">
        <f>Dataset_A!L453</f>
        <v>0.6</v>
      </c>
      <c r="M453">
        <f>Dataset_A!M453</f>
        <v>0.28360000000000002</v>
      </c>
      <c r="N453">
        <f>Dataset_A!N453</f>
        <v>2</v>
      </c>
      <c r="O453">
        <f>Dataset_A!O453</f>
        <v>124</v>
      </c>
      <c r="P453">
        <f>Dataset_A!P453</f>
        <v>126</v>
      </c>
      <c r="Q453" t="str">
        <f t="shared" si="91"/>
        <v>REC-0452</v>
      </c>
      <c r="R453" s="62">
        <f t="shared" si="92"/>
        <v>40563.833333333336</v>
      </c>
      <c r="S453" t="str">
        <f t="shared" si="93"/>
        <v>Jan</v>
      </c>
      <c r="T453" t="str">
        <f>INDEX(Lookups!$B$39:$B$45,MATCH(H453,Lookups!$A$39:$A$45,0))</f>
        <v>Thu</v>
      </c>
      <c r="U453" t="str">
        <f t="shared" si="94"/>
        <v>Weekday</v>
      </c>
      <c r="V453" t="str">
        <f t="shared" si="95"/>
        <v>Working Day</v>
      </c>
      <c r="W453" t="str">
        <f t="shared" si="96"/>
        <v>Spring</v>
      </c>
      <c r="X453" t="str">
        <f t="shared" si="97"/>
        <v>Cloudy/Mist</v>
      </c>
      <c r="Y453" t="str">
        <f t="shared" si="98"/>
        <v>Evening</v>
      </c>
      <c r="Z453" t="str">
        <f t="shared" si="99"/>
        <v>Mild</v>
      </c>
      <c r="AA453" t="str">
        <f t="shared" si="100"/>
        <v>Medium</v>
      </c>
      <c r="AB453" t="str">
        <f t="shared" si="101"/>
        <v>Off-Peak</v>
      </c>
      <c r="AC453" s="63">
        <f t="shared" si="102"/>
        <v>1.5873015873015872E-2</v>
      </c>
      <c r="AD453" t="str">
        <f>IF(P453&gt;=Stats!$C$30,"High",IF(P453&lt;=Stats!$C$29,"Low","Normal"))</f>
        <v>High</v>
      </c>
      <c r="AE453">
        <f t="shared" si="103"/>
        <v>1</v>
      </c>
    </row>
    <row r="454" spans="1:31" x14ac:dyDescent="0.2">
      <c r="A454">
        <f>Dataset_A!A454</f>
        <v>453</v>
      </c>
      <c r="B454" s="61">
        <f>Dataset_A!B454</f>
        <v>40563</v>
      </c>
      <c r="C454">
        <f>Dataset_A!C454</f>
        <v>1</v>
      </c>
      <c r="D454">
        <f>Dataset_A!D454</f>
        <v>0</v>
      </c>
      <c r="E454">
        <f>Dataset_A!E454</f>
        <v>1</v>
      </c>
      <c r="F454">
        <f>Dataset_A!F454</f>
        <v>21</v>
      </c>
      <c r="G454" t="b">
        <f>Dataset_A!G454</f>
        <v>0</v>
      </c>
      <c r="H454">
        <f>Dataset_A!H454</f>
        <v>4</v>
      </c>
      <c r="I454">
        <f>Dataset_A!I454</f>
        <v>2</v>
      </c>
      <c r="J454" s="55">
        <f>Dataset_A!J454</f>
        <v>0.24</v>
      </c>
      <c r="K454">
        <f>Dataset_A!K454</f>
        <v>0.2273</v>
      </c>
      <c r="L454">
        <f>Dataset_A!L454</f>
        <v>0.6</v>
      </c>
      <c r="M454">
        <f>Dataset_A!M454</f>
        <v>0.25369999999999998</v>
      </c>
      <c r="N454">
        <f>Dataset_A!N454</f>
        <v>3</v>
      </c>
      <c r="O454">
        <f>Dataset_A!O454</f>
        <v>54</v>
      </c>
      <c r="P454">
        <f>Dataset_A!P454</f>
        <v>57</v>
      </c>
      <c r="Q454" t="str">
        <f t="shared" si="91"/>
        <v>REC-0453</v>
      </c>
      <c r="R454" s="62">
        <f t="shared" si="92"/>
        <v>40563.875</v>
      </c>
      <c r="S454" t="str">
        <f t="shared" si="93"/>
        <v>Jan</v>
      </c>
      <c r="T454" t="str">
        <f>INDEX(Lookups!$B$39:$B$45,MATCH(H454,Lookups!$A$39:$A$45,0))</f>
        <v>Thu</v>
      </c>
      <c r="U454" t="str">
        <f t="shared" si="94"/>
        <v>Weekday</v>
      </c>
      <c r="V454" t="str">
        <f t="shared" si="95"/>
        <v>Working Day</v>
      </c>
      <c r="W454" t="str">
        <f t="shared" si="96"/>
        <v>Spring</v>
      </c>
      <c r="X454" t="str">
        <f t="shared" si="97"/>
        <v>Cloudy/Mist</v>
      </c>
      <c r="Y454" t="str">
        <f t="shared" si="98"/>
        <v>Late Evening</v>
      </c>
      <c r="Z454" t="str">
        <f t="shared" si="99"/>
        <v>Mild</v>
      </c>
      <c r="AA454" t="str">
        <f t="shared" si="100"/>
        <v>Medium</v>
      </c>
      <c r="AB454" t="str">
        <f t="shared" si="101"/>
        <v>Off-Peak</v>
      </c>
      <c r="AC454" s="63">
        <f t="shared" si="102"/>
        <v>5.2631578947368418E-2</v>
      </c>
      <c r="AD454" t="str">
        <f>IF(P454&gt;=Stats!$C$30,"High",IF(P454&lt;=Stats!$C$29,"Low","Normal"))</f>
        <v>Normal</v>
      </c>
      <c r="AE454">
        <f t="shared" si="103"/>
        <v>1</v>
      </c>
    </row>
    <row r="455" spans="1:31" x14ac:dyDescent="0.2">
      <c r="A455">
        <f>Dataset_A!A455</f>
        <v>454</v>
      </c>
      <c r="B455" s="61">
        <f>Dataset_A!B455</f>
        <v>40563</v>
      </c>
      <c r="C455">
        <f>Dataset_A!C455</f>
        <v>1</v>
      </c>
      <c r="D455">
        <f>Dataset_A!D455</f>
        <v>0</v>
      </c>
      <c r="E455">
        <f>Dataset_A!E455</f>
        <v>1</v>
      </c>
      <c r="F455">
        <f>Dataset_A!F455</f>
        <v>22</v>
      </c>
      <c r="G455" t="b">
        <f>Dataset_A!G455</f>
        <v>0</v>
      </c>
      <c r="H455">
        <f>Dataset_A!H455</f>
        <v>4</v>
      </c>
      <c r="I455">
        <f>Dataset_A!I455</f>
        <v>2</v>
      </c>
      <c r="J455" s="55">
        <f>Dataset_A!J455</f>
        <v>0.24</v>
      </c>
      <c r="K455">
        <f>Dataset_A!K455</f>
        <v>0.21210000000000001</v>
      </c>
      <c r="L455">
        <f>Dataset_A!L455</f>
        <v>0.65</v>
      </c>
      <c r="M455">
        <f>Dataset_A!M455</f>
        <v>0.28360000000000002</v>
      </c>
      <c r="N455">
        <f>Dataset_A!N455</f>
        <v>0</v>
      </c>
      <c r="O455">
        <f>Dataset_A!O455</f>
        <v>56</v>
      </c>
      <c r="P455">
        <f>Dataset_A!P455</f>
        <v>56</v>
      </c>
      <c r="Q455" t="str">
        <f t="shared" si="91"/>
        <v>REC-0454</v>
      </c>
      <c r="R455" s="62">
        <f t="shared" si="92"/>
        <v>40563.916666666664</v>
      </c>
      <c r="S455" t="str">
        <f t="shared" si="93"/>
        <v>Jan</v>
      </c>
      <c r="T455" t="str">
        <f>INDEX(Lookups!$B$39:$B$45,MATCH(H455,Lookups!$A$39:$A$45,0))</f>
        <v>Thu</v>
      </c>
      <c r="U455" t="str">
        <f t="shared" si="94"/>
        <v>Weekday</v>
      </c>
      <c r="V455" t="str">
        <f t="shared" si="95"/>
        <v>Working Day</v>
      </c>
      <c r="W455" t="str">
        <f t="shared" si="96"/>
        <v>Spring</v>
      </c>
      <c r="X455" t="str">
        <f t="shared" si="97"/>
        <v>Cloudy/Mist</v>
      </c>
      <c r="Y455" t="str">
        <f t="shared" si="98"/>
        <v>Late Evening</v>
      </c>
      <c r="Z455" t="str">
        <f t="shared" si="99"/>
        <v>Mild</v>
      </c>
      <c r="AA455" t="str">
        <f t="shared" si="100"/>
        <v>Medium</v>
      </c>
      <c r="AB455" t="str">
        <f t="shared" si="101"/>
        <v>Off-Peak</v>
      </c>
      <c r="AC455" s="63">
        <f t="shared" si="102"/>
        <v>0</v>
      </c>
      <c r="AD455" t="str">
        <f>IF(P455&gt;=Stats!$C$30,"High",IF(P455&lt;=Stats!$C$29,"Low","Normal"))</f>
        <v>Normal</v>
      </c>
      <c r="AE455">
        <f t="shared" si="103"/>
        <v>1</v>
      </c>
    </row>
    <row r="456" spans="1:31" x14ac:dyDescent="0.2">
      <c r="A456">
        <f>Dataset_A!A456</f>
        <v>455</v>
      </c>
      <c r="B456" s="61">
        <f>Dataset_A!B456</f>
        <v>40563</v>
      </c>
      <c r="C456">
        <f>Dataset_A!C456</f>
        <v>1</v>
      </c>
      <c r="D456">
        <f>Dataset_A!D456</f>
        <v>0</v>
      </c>
      <c r="E456">
        <f>Dataset_A!E456</f>
        <v>1</v>
      </c>
      <c r="F456">
        <f>Dataset_A!F456</f>
        <v>23</v>
      </c>
      <c r="G456" t="b">
        <f>Dataset_A!G456</f>
        <v>0</v>
      </c>
      <c r="H456">
        <f>Dataset_A!H456</f>
        <v>4</v>
      </c>
      <c r="I456">
        <f>Dataset_A!I456</f>
        <v>2</v>
      </c>
      <c r="J456" s="55">
        <f>Dataset_A!J456</f>
        <v>0.24</v>
      </c>
      <c r="K456">
        <f>Dataset_A!K456</f>
        <v>0.21210000000000001</v>
      </c>
      <c r="L456">
        <f>Dataset_A!L456</f>
        <v>0.65</v>
      </c>
      <c r="M456">
        <f>Dataset_A!M456</f>
        <v>0.32840000000000003</v>
      </c>
      <c r="N456">
        <f>Dataset_A!N456</f>
        <v>3</v>
      </c>
      <c r="O456">
        <f>Dataset_A!O456</f>
        <v>28</v>
      </c>
      <c r="P456">
        <f>Dataset_A!P456</f>
        <v>31</v>
      </c>
      <c r="Q456" t="str">
        <f t="shared" si="91"/>
        <v>REC-0455</v>
      </c>
      <c r="R456" s="62">
        <f t="shared" si="92"/>
        <v>40563.958333333336</v>
      </c>
      <c r="S456" t="str">
        <f t="shared" si="93"/>
        <v>Jan</v>
      </c>
      <c r="T456" t="str">
        <f>INDEX(Lookups!$B$39:$B$45,MATCH(H456,Lookups!$A$39:$A$45,0))</f>
        <v>Thu</v>
      </c>
      <c r="U456" t="str">
        <f t="shared" si="94"/>
        <v>Weekday</v>
      </c>
      <c r="V456" t="str">
        <f t="shared" si="95"/>
        <v>Working Day</v>
      </c>
      <c r="W456" t="str">
        <f t="shared" si="96"/>
        <v>Spring</v>
      </c>
      <c r="X456" t="str">
        <f t="shared" si="97"/>
        <v>Cloudy/Mist</v>
      </c>
      <c r="Y456" t="str">
        <f t="shared" si="98"/>
        <v>Late Evening</v>
      </c>
      <c r="Z456" t="str">
        <f t="shared" si="99"/>
        <v>Mild</v>
      </c>
      <c r="AA456" t="str">
        <f t="shared" si="100"/>
        <v>Medium</v>
      </c>
      <c r="AB456" t="str">
        <f t="shared" si="101"/>
        <v>Off-Peak</v>
      </c>
      <c r="AC456" s="63">
        <f t="shared" si="102"/>
        <v>9.6774193548387094E-2</v>
      </c>
      <c r="AD456" t="str">
        <f>IF(P456&gt;=Stats!$C$30,"High",IF(P456&lt;=Stats!$C$29,"Low","Normal"))</f>
        <v>Normal</v>
      </c>
      <c r="AE456">
        <f t="shared" si="103"/>
        <v>1</v>
      </c>
    </row>
    <row r="457" spans="1:31" x14ac:dyDescent="0.2">
      <c r="A457">
        <f>Dataset_A!A457</f>
        <v>456</v>
      </c>
      <c r="B457" s="61">
        <f>Dataset_A!B457</f>
        <v>40564</v>
      </c>
      <c r="C457">
        <f>Dataset_A!C457</f>
        <v>1</v>
      </c>
      <c r="D457">
        <f>Dataset_A!D457</f>
        <v>0</v>
      </c>
      <c r="E457">
        <f>Dataset_A!E457</f>
        <v>1</v>
      </c>
      <c r="F457">
        <f>Dataset_A!F457</f>
        <v>0</v>
      </c>
      <c r="G457" t="b">
        <f>Dataset_A!G457</f>
        <v>0</v>
      </c>
      <c r="H457">
        <f>Dataset_A!H457</f>
        <v>5</v>
      </c>
      <c r="I457">
        <f>Dataset_A!I457</f>
        <v>2</v>
      </c>
      <c r="J457" s="55">
        <f>Dataset_A!J457</f>
        <v>0.24</v>
      </c>
      <c r="K457">
        <f>Dataset_A!K457</f>
        <v>0.2273</v>
      </c>
      <c r="L457">
        <f>Dataset_A!L457</f>
        <v>0.7</v>
      </c>
      <c r="M457">
        <f>Dataset_A!M457</f>
        <v>0.25369999999999998</v>
      </c>
      <c r="N457">
        <f>Dataset_A!N457</f>
        <v>1</v>
      </c>
      <c r="O457">
        <f>Dataset_A!O457</f>
        <v>20</v>
      </c>
      <c r="P457">
        <f>Dataset_A!P457</f>
        <v>21</v>
      </c>
      <c r="Q457" t="str">
        <f t="shared" si="91"/>
        <v>REC-0456</v>
      </c>
      <c r="R457" s="62">
        <f t="shared" si="92"/>
        <v>40564</v>
      </c>
      <c r="S457" t="str">
        <f t="shared" si="93"/>
        <v>Jan</v>
      </c>
      <c r="T457" t="str">
        <f>INDEX(Lookups!$B$39:$B$45,MATCH(H457,Lookups!$A$39:$A$45,0))</f>
        <v>Fri</v>
      </c>
      <c r="U457" t="str">
        <f t="shared" si="94"/>
        <v>Weekday</v>
      </c>
      <c r="V457" t="str">
        <f t="shared" si="95"/>
        <v>Working Day</v>
      </c>
      <c r="W457" t="str">
        <f t="shared" si="96"/>
        <v>Spring</v>
      </c>
      <c r="X457" t="str">
        <f t="shared" si="97"/>
        <v>Cloudy/Mist</v>
      </c>
      <c r="Y457" t="str">
        <f t="shared" si="98"/>
        <v>Night</v>
      </c>
      <c r="Z457" t="str">
        <f t="shared" si="99"/>
        <v>Mild</v>
      </c>
      <c r="AA457" t="str">
        <f t="shared" si="100"/>
        <v>Medium</v>
      </c>
      <c r="AB457" t="str">
        <f t="shared" si="101"/>
        <v>Off-Peak</v>
      </c>
      <c r="AC457" s="63">
        <f t="shared" si="102"/>
        <v>4.7619047619047616E-2</v>
      </c>
      <c r="AD457" t="str">
        <f>IF(P457&gt;=Stats!$C$30,"High",IF(P457&lt;=Stats!$C$29,"Low","Normal"))</f>
        <v>Normal</v>
      </c>
      <c r="AE457">
        <f t="shared" si="103"/>
        <v>1</v>
      </c>
    </row>
    <row r="458" spans="1:31" x14ac:dyDescent="0.2">
      <c r="A458">
        <f>Dataset_A!A458</f>
        <v>457</v>
      </c>
      <c r="B458" s="61">
        <f>Dataset_A!B458</f>
        <v>40564</v>
      </c>
      <c r="C458">
        <f>Dataset_A!C458</f>
        <v>1</v>
      </c>
      <c r="D458">
        <f>Dataset_A!D458</f>
        <v>0</v>
      </c>
      <c r="E458">
        <f>Dataset_A!E458</f>
        <v>1</v>
      </c>
      <c r="F458">
        <f>Dataset_A!F458</f>
        <v>1</v>
      </c>
      <c r="G458" t="b">
        <f>Dataset_A!G458</f>
        <v>0</v>
      </c>
      <c r="H458">
        <f>Dataset_A!H458</f>
        <v>5</v>
      </c>
      <c r="I458">
        <f>Dataset_A!I458</f>
        <v>2</v>
      </c>
      <c r="J458" s="55">
        <f>Dataset_A!J458</f>
        <v>0.24</v>
      </c>
      <c r="K458">
        <f>Dataset_A!K458</f>
        <v>0.2273</v>
      </c>
      <c r="L458">
        <f>Dataset_A!L458</f>
        <v>0.7</v>
      </c>
      <c r="M458">
        <f>Dataset_A!M458</f>
        <v>0.25369999999999998</v>
      </c>
      <c r="N458">
        <f>Dataset_A!N458</f>
        <v>0</v>
      </c>
      <c r="O458">
        <f>Dataset_A!O458</f>
        <v>6</v>
      </c>
      <c r="P458">
        <f>Dataset_A!P458</f>
        <v>6</v>
      </c>
      <c r="Q458" t="str">
        <f t="shared" si="91"/>
        <v>REC-0457</v>
      </c>
      <c r="R458" s="62">
        <f t="shared" si="92"/>
        <v>40564.041666666664</v>
      </c>
      <c r="S458" t="str">
        <f t="shared" si="93"/>
        <v>Jan</v>
      </c>
      <c r="T458" t="str">
        <f>INDEX(Lookups!$B$39:$B$45,MATCH(H458,Lookups!$A$39:$A$45,0))</f>
        <v>Fri</v>
      </c>
      <c r="U458" t="str">
        <f t="shared" si="94"/>
        <v>Weekday</v>
      </c>
      <c r="V458" t="str">
        <f t="shared" si="95"/>
        <v>Working Day</v>
      </c>
      <c r="W458" t="str">
        <f t="shared" si="96"/>
        <v>Spring</v>
      </c>
      <c r="X458" t="str">
        <f t="shared" si="97"/>
        <v>Cloudy/Mist</v>
      </c>
      <c r="Y458" t="str">
        <f t="shared" si="98"/>
        <v>Night</v>
      </c>
      <c r="Z458" t="str">
        <f t="shared" si="99"/>
        <v>Mild</v>
      </c>
      <c r="AA458" t="str">
        <f t="shared" si="100"/>
        <v>Medium</v>
      </c>
      <c r="AB458" t="str">
        <f t="shared" si="101"/>
        <v>Off-Peak</v>
      </c>
      <c r="AC458" s="63">
        <f t="shared" si="102"/>
        <v>0</v>
      </c>
      <c r="AD458" t="str">
        <f>IF(P458&gt;=Stats!$C$30,"High",IF(P458&lt;=Stats!$C$29,"Low","Normal"))</f>
        <v>Low</v>
      </c>
      <c r="AE458">
        <f t="shared" si="103"/>
        <v>1</v>
      </c>
    </row>
    <row r="459" spans="1:31" x14ac:dyDescent="0.2">
      <c r="A459">
        <f>Dataset_A!A459</f>
        <v>458</v>
      </c>
      <c r="B459" s="61">
        <f>Dataset_A!B459</f>
        <v>40564</v>
      </c>
      <c r="C459">
        <f>Dataset_A!C459</f>
        <v>1</v>
      </c>
      <c r="D459">
        <f>Dataset_A!D459</f>
        <v>0</v>
      </c>
      <c r="E459">
        <f>Dataset_A!E459</f>
        <v>1</v>
      </c>
      <c r="F459">
        <f>Dataset_A!F459</f>
        <v>2</v>
      </c>
      <c r="G459" t="b">
        <f>Dataset_A!G459</f>
        <v>0</v>
      </c>
      <c r="H459">
        <f>Dataset_A!H459</f>
        <v>5</v>
      </c>
      <c r="I459">
        <f>Dataset_A!I459</f>
        <v>3</v>
      </c>
      <c r="J459" s="55">
        <f>Dataset_A!J459</f>
        <v>0.24</v>
      </c>
      <c r="K459">
        <f>Dataset_A!K459</f>
        <v>0.2424</v>
      </c>
      <c r="L459">
        <f>Dataset_A!L459</f>
        <v>0.75</v>
      </c>
      <c r="M459">
        <f>Dataset_A!M459</f>
        <v>0.16420000000000001</v>
      </c>
      <c r="N459">
        <f>Dataset_A!N459</f>
        <v>0</v>
      </c>
      <c r="O459">
        <f>Dataset_A!O459</f>
        <v>2</v>
      </c>
      <c r="P459">
        <f>Dataset_A!P459</f>
        <v>2</v>
      </c>
      <c r="Q459" t="str">
        <f t="shared" si="91"/>
        <v>REC-0458</v>
      </c>
      <c r="R459" s="62">
        <f t="shared" si="92"/>
        <v>40564.083333333336</v>
      </c>
      <c r="S459" t="str">
        <f t="shared" si="93"/>
        <v>Jan</v>
      </c>
      <c r="T459" t="str">
        <f>INDEX(Lookups!$B$39:$B$45,MATCH(H459,Lookups!$A$39:$A$45,0))</f>
        <v>Fri</v>
      </c>
      <c r="U459" t="str">
        <f t="shared" si="94"/>
        <v>Weekday</v>
      </c>
      <c r="V459" t="str">
        <f t="shared" si="95"/>
        <v>Working Day</v>
      </c>
      <c r="W459" t="str">
        <f t="shared" si="96"/>
        <v>Spring</v>
      </c>
      <c r="X459" t="str">
        <f t="shared" si="97"/>
        <v>Light Rain/Snow</v>
      </c>
      <c r="Y459" t="str">
        <f t="shared" si="98"/>
        <v>Night</v>
      </c>
      <c r="Z459" t="str">
        <f t="shared" si="99"/>
        <v>Mild</v>
      </c>
      <c r="AA459" t="str">
        <f t="shared" si="100"/>
        <v>High</v>
      </c>
      <c r="AB459" t="str">
        <f t="shared" si="101"/>
        <v>Off-Peak</v>
      </c>
      <c r="AC459" s="63">
        <f t="shared" si="102"/>
        <v>0</v>
      </c>
      <c r="AD459" t="str">
        <f>IF(P459&gt;=Stats!$C$30,"High",IF(P459&lt;=Stats!$C$29,"Low","Normal"))</f>
        <v>Low</v>
      </c>
      <c r="AE459">
        <f t="shared" si="103"/>
        <v>1</v>
      </c>
    </row>
    <row r="460" spans="1:31" x14ac:dyDescent="0.2">
      <c r="A460">
        <f>Dataset_A!A460</f>
        <v>459</v>
      </c>
      <c r="B460" s="61">
        <f>Dataset_A!B460</f>
        <v>40564</v>
      </c>
      <c r="C460">
        <f>Dataset_A!C460</f>
        <v>1</v>
      </c>
      <c r="D460">
        <f>Dataset_A!D460</f>
        <v>0</v>
      </c>
      <c r="E460">
        <f>Dataset_A!E460</f>
        <v>1</v>
      </c>
      <c r="F460">
        <f>Dataset_A!F460</f>
        <v>3</v>
      </c>
      <c r="G460" t="b">
        <f>Dataset_A!G460</f>
        <v>0</v>
      </c>
      <c r="H460">
        <f>Dataset_A!H460</f>
        <v>5</v>
      </c>
      <c r="I460">
        <f>Dataset_A!I460</f>
        <v>3</v>
      </c>
      <c r="J460" s="55">
        <f>Dataset_A!J460</f>
        <v>0.22</v>
      </c>
      <c r="K460">
        <f>Dataset_A!K460</f>
        <v>0.21210000000000001</v>
      </c>
      <c r="L460">
        <f>Dataset_A!L460</f>
        <v>0.8</v>
      </c>
      <c r="M460">
        <f>Dataset_A!M460</f>
        <v>0.29849999999999999</v>
      </c>
      <c r="N460">
        <f>Dataset_A!N460</f>
        <v>0</v>
      </c>
      <c r="O460">
        <f>Dataset_A!O460</f>
        <v>1</v>
      </c>
      <c r="P460">
        <f>Dataset_A!P460</f>
        <v>1</v>
      </c>
      <c r="Q460" t="str">
        <f t="shared" si="91"/>
        <v>REC-0459</v>
      </c>
      <c r="R460" s="62">
        <f t="shared" si="92"/>
        <v>40564.125</v>
      </c>
      <c r="S460" t="str">
        <f t="shared" si="93"/>
        <v>Jan</v>
      </c>
      <c r="T460" t="str">
        <f>INDEX(Lookups!$B$39:$B$45,MATCH(H460,Lookups!$A$39:$A$45,0))</f>
        <v>Fri</v>
      </c>
      <c r="U460" t="str">
        <f t="shared" si="94"/>
        <v>Weekday</v>
      </c>
      <c r="V460" t="str">
        <f t="shared" si="95"/>
        <v>Working Day</v>
      </c>
      <c r="W460" t="str">
        <f t="shared" si="96"/>
        <v>Spring</v>
      </c>
      <c r="X460" t="str">
        <f t="shared" si="97"/>
        <v>Light Rain/Snow</v>
      </c>
      <c r="Y460" t="str">
        <f t="shared" si="98"/>
        <v>Night</v>
      </c>
      <c r="Z460" t="str">
        <f t="shared" si="99"/>
        <v>Mild</v>
      </c>
      <c r="AA460" t="str">
        <f t="shared" si="100"/>
        <v>High</v>
      </c>
      <c r="AB460" t="str">
        <f t="shared" si="101"/>
        <v>Off-Peak</v>
      </c>
      <c r="AC460" s="63">
        <f t="shared" si="102"/>
        <v>0</v>
      </c>
      <c r="AD460" t="str">
        <f>IF(P460&gt;=Stats!$C$30,"High",IF(P460&lt;=Stats!$C$29,"Low","Normal"))</f>
        <v>Low</v>
      </c>
      <c r="AE460">
        <f t="shared" si="103"/>
        <v>1</v>
      </c>
    </row>
    <row r="461" spans="1:31" x14ac:dyDescent="0.2">
      <c r="A461">
        <f>Dataset_A!A461</f>
        <v>460</v>
      </c>
      <c r="B461" s="61">
        <f>Dataset_A!B461</f>
        <v>40564</v>
      </c>
      <c r="C461">
        <f>Dataset_A!C461</f>
        <v>1</v>
      </c>
      <c r="D461">
        <f>Dataset_A!D461</f>
        <v>0</v>
      </c>
      <c r="E461">
        <f>Dataset_A!E461</f>
        <v>1</v>
      </c>
      <c r="F461">
        <f>Dataset_A!F461</f>
        <v>4</v>
      </c>
      <c r="G461" t="b">
        <f>Dataset_A!G461</f>
        <v>0</v>
      </c>
      <c r="H461">
        <f>Dataset_A!H461</f>
        <v>5</v>
      </c>
      <c r="I461">
        <f>Dataset_A!I461</f>
        <v>2</v>
      </c>
      <c r="J461" s="55">
        <f>Dataset_A!J461</f>
        <v>0.22</v>
      </c>
      <c r="K461">
        <f>Dataset_A!K461</f>
        <v>0.2576</v>
      </c>
      <c r="L461">
        <f>Dataset_A!L461</f>
        <v>0.87</v>
      </c>
      <c r="M461">
        <f>Dataset_A!M461</f>
        <v>8.9599999999999999E-2</v>
      </c>
      <c r="N461">
        <f>Dataset_A!N461</f>
        <v>0</v>
      </c>
      <c r="O461">
        <f>Dataset_A!O461</f>
        <v>1</v>
      </c>
      <c r="P461">
        <f>Dataset_A!P461</f>
        <v>1</v>
      </c>
      <c r="Q461" t="str">
        <f t="shared" si="91"/>
        <v>REC-0460</v>
      </c>
      <c r="R461" s="62">
        <f t="shared" si="92"/>
        <v>40564.166666666664</v>
      </c>
      <c r="S461" t="str">
        <f t="shared" si="93"/>
        <v>Jan</v>
      </c>
      <c r="T461" t="str">
        <f>INDEX(Lookups!$B$39:$B$45,MATCH(H461,Lookups!$A$39:$A$45,0))</f>
        <v>Fri</v>
      </c>
      <c r="U461" t="str">
        <f t="shared" si="94"/>
        <v>Weekday</v>
      </c>
      <c r="V461" t="str">
        <f t="shared" si="95"/>
        <v>Working Day</v>
      </c>
      <c r="W461" t="str">
        <f t="shared" si="96"/>
        <v>Spring</v>
      </c>
      <c r="X461" t="str">
        <f t="shared" si="97"/>
        <v>Cloudy/Mist</v>
      </c>
      <c r="Y461" t="str">
        <f t="shared" si="98"/>
        <v>Night</v>
      </c>
      <c r="Z461" t="str">
        <f t="shared" si="99"/>
        <v>Mild</v>
      </c>
      <c r="AA461" t="str">
        <f t="shared" si="100"/>
        <v>High</v>
      </c>
      <c r="AB461" t="str">
        <f t="shared" si="101"/>
        <v>Off-Peak</v>
      </c>
      <c r="AC461" s="63">
        <f t="shared" si="102"/>
        <v>0</v>
      </c>
      <c r="AD461" t="str">
        <f>IF(P461&gt;=Stats!$C$30,"High",IF(P461&lt;=Stats!$C$29,"Low","Normal"))</f>
        <v>Low</v>
      </c>
      <c r="AE461">
        <f t="shared" si="103"/>
        <v>1</v>
      </c>
    </row>
    <row r="462" spans="1:31" x14ac:dyDescent="0.2">
      <c r="A462">
        <f>Dataset_A!A462</f>
        <v>461</v>
      </c>
      <c r="B462" s="61">
        <f>Dataset_A!B462</f>
        <v>40564</v>
      </c>
      <c r="C462">
        <f>Dataset_A!C462</f>
        <v>1</v>
      </c>
      <c r="D462">
        <f>Dataset_A!D462</f>
        <v>0</v>
      </c>
      <c r="E462">
        <f>Dataset_A!E462</f>
        <v>1</v>
      </c>
      <c r="F462">
        <f>Dataset_A!F462</f>
        <v>5</v>
      </c>
      <c r="G462" t="b">
        <f>Dataset_A!G462</f>
        <v>0</v>
      </c>
      <c r="H462">
        <f>Dataset_A!H462</f>
        <v>5</v>
      </c>
      <c r="I462">
        <f>Dataset_A!I462</f>
        <v>1</v>
      </c>
      <c r="J462" s="55">
        <f>Dataset_A!J462</f>
        <v>0.24</v>
      </c>
      <c r="K462">
        <f>Dataset_A!K462</f>
        <v>0.19700000000000001</v>
      </c>
      <c r="L462">
        <f>Dataset_A!L462</f>
        <v>0.6</v>
      </c>
      <c r="M462">
        <f>Dataset_A!M462</f>
        <v>0.41789999999999999</v>
      </c>
      <c r="N462">
        <f>Dataset_A!N462</f>
        <v>1</v>
      </c>
      <c r="O462">
        <f>Dataset_A!O462</f>
        <v>4</v>
      </c>
      <c r="P462">
        <f>Dataset_A!P462</f>
        <v>5</v>
      </c>
      <c r="Q462" t="str">
        <f t="shared" si="91"/>
        <v>REC-0461</v>
      </c>
      <c r="R462" s="62">
        <f t="shared" si="92"/>
        <v>40564.208333333336</v>
      </c>
      <c r="S462" t="str">
        <f t="shared" si="93"/>
        <v>Jan</v>
      </c>
      <c r="T462" t="str">
        <f>INDEX(Lookups!$B$39:$B$45,MATCH(H462,Lookups!$A$39:$A$45,0))</f>
        <v>Fri</v>
      </c>
      <c r="U462" t="str">
        <f t="shared" si="94"/>
        <v>Weekday</v>
      </c>
      <c r="V462" t="str">
        <f t="shared" si="95"/>
        <v>Working Day</v>
      </c>
      <c r="W462" t="str">
        <f t="shared" si="96"/>
        <v>Spring</v>
      </c>
      <c r="X462" t="str">
        <f t="shared" si="97"/>
        <v>Clear</v>
      </c>
      <c r="Y462" t="str">
        <f t="shared" si="98"/>
        <v>Night</v>
      </c>
      <c r="Z462" t="str">
        <f t="shared" si="99"/>
        <v>Mild</v>
      </c>
      <c r="AA462" t="str">
        <f t="shared" si="100"/>
        <v>Medium</v>
      </c>
      <c r="AB462" t="str">
        <f t="shared" si="101"/>
        <v>Off-Peak</v>
      </c>
      <c r="AC462" s="63">
        <f t="shared" si="102"/>
        <v>0.2</v>
      </c>
      <c r="AD462" t="str">
        <f>IF(P462&gt;=Stats!$C$30,"High",IF(P462&lt;=Stats!$C$29,"Low","Normal"))</f>
        <v>Low</v>
      </c>
      <c r="AE462">
        <f t="shared" si="103"/>
        <v>1</v>
      </c>
    </row>
    <row r="463" spans="1:31" x14ac:dyDescent="0.2">
      <c r="A463">
        <f>Dataset_A!A463</f>
        <v>462</v>
      </c>
      <c r="B463" s="61">
        <f>Dataset_A!B463</f>
        <v>40564</v>
      </c>
      <c r="C463">
        <f>Dataset_A!C463</f>
        <v>1</v>
      </c>
      <c r="D463">
        <f>Dataset_A!D463</f>
        <v>0</v>
      </c>
      <c r="E463">
        <f>Dataset_A!E463</f>
        <v>1</v>
      </c>
      <c r="F463">
        <f>Dataset_A!F463</f>
        <v>6</v>
      </c>
      <c r="G463" t="b">
        <f>Dataset_A!G463</f>
        <v>0</v>
      </c>
      <c r="H463">
        <f>Dataset_A!H463</f>
        <v>5</v>
      </c>
      <c r="I463">
        <f>Dataset_A!I463</f>
        <v>1</v>
      </c>
      <c r="J463" s="55">
        <f>Dataset_A!J463</f>
        <v>0.22</v>
      </c>
      <c r="K463">
        <f>Dataset_A!K463</f>
        <v>0.21210000000000001</v>
      </c>
      <c r="L463">
        <f>Dataset_A!L463</f>
        <v>0.55000000000000004</v>
      </c>
      <c r="M463">
        <f>Dataset_A!M463</f>
        <v>0.25369999999999998</v>
      </c>
      <c r="N463">
        <f>Dataset_A!N463</f>
        <v>0</v>
      </c>
      <c r="O463">
        <f>Dataset_A!O463</f>
        <v>27</v>
      </c>
      <c r="P463">
        <f>Dataset_A!P463</f>
        <v>27</v>
      </c>
      <c r="Q463" t="str">
        <f t="shared" si="91"/>
        <v>REC-0462</v>
      </c>
      <c r="R463" s="62">
        <f t="shared" si="92"/>
        <v>40564.25</v>
      </c>
      <c r="S463" t="str">
        <f t="shared" si="93"/>
        <v>Jan</v>
      </c>
      <c r="T463" t="str">
        <f>INDEX(Lookups!$B$39:$B$45,MATCH(H463,Lookups!$A$39:$A$45,0))</f>
        <v>Fri</v>
      </c>
      <c r="U463" t="str">
        <f t="shared" si="94"/>
        <v>Weekday</v>
      </c>
      <c r="V463" t="str">
        <f t="shared" si="95"/>
        <v>Working Day</v>
      </c>
      <c r="W463" t="str">
        <f t="shared" si="96"/>
        <v>Spring</v>
      </c>
      <c r="X463" t="str">
        <f t="shared" si="97"/>
        <v>Clear</v>
      </c>
      <c r="Y463" t="str">
        <f t="shared" si="98"/>
        <v>Morning</v>
      </c>
      <c r="Z463" t="str">
        <f t="shared" si="99"/>
        <v>Mild</v>
      </c>
      <c r="AA463" t="str">
        <f t="shared" si="100"/>
        <v>Medium</v>
      </c>
      <c r="AB463" t="str">
        <f t="shared" si="101"/>
        <v>Off-Peak</v>
      </c>
      <c r="AC463" s="63">
        <f t="shared" si="102"/>
        <v>0</v>
      </c>
      <c r="AD463" t="str">
        <f>IF(P463&gt;=Stats!$C$30,"High",IF(P463&lt;=Stats!$C$29,"Low","Normal"))</f>
        <v>Normal</v>
      </c>
      <c r="AE463">
        <f t="shared" si="103"/>
        <v>1</v>
      </c>
    </row>
    <row r="464" spans="1:31" x14ac:dyDescent="0.2">
      <c r="A464">
        <f>Dataset_A!A464</f>
        <v>463</v>
      </c>
      <c r="B464" s="61">
        <f>Dataset_A!B464</f>
        <v>40564</v>
      </c>
      <c r="C464">
        <f>Dataset_A!C464</f>
        <v>1</v>
      </c>
      <c r="D464">
        <f>Dataset_A!D464</f>
        <v>0</v>
      </c>
      <c r="E464">
        <f>Dataset_A!E464</f>
        <v>1</v>
      </c>
      <c r="F464">
        <f>Dataset_A!F464</f>
        <v>7</v>
      </c>
      <c r="G464" t="b">
        <f>Dataset_A!G464</f>
        <v>0</v>
      </c>
      <c r="H464">
        <f>Dataset_A!H464</f>
        <v>5</v>
      </c>
      <c r="I464">
        <f>Dataset_A!I464</f>
        <v>1</v>
      </c>
      <c r="J464" s="55">
        <f>Dataset_A!J464</f>
        <v>0.2</v>
      </c>
      <c r="K464">
        <f>Dataset_A!K464</f>
        <v>0.18179999999999999</v>
      </c>
      <c r="L464">
        <f>Dataset_A!L464</f>
        <v>0.51</v>
      </c>
      <c r="M464">
        <f>Dataset_A!M464</f>
        <v>0.28360000000000002</v>
      </c>
      <c r="N464">
        <f>Dataset_A!N464</f>
        <v>2</v>
      </c>
      <c r="O464">
        <f>Dataset_A!O464</f>
        <v>66</v>
      </c>
      <c r="P464">
        <f>Dataset_A!P464</f>
        <v>68</v>
      </c>
      <c r="Q464" t="str">
        <f t="shared" si="91"/>
        <v>REC-0463</v>
      </c>
      <c r="R464" s="62">
        <f t="shared" si="92"/>
        <v>40564.291666666664</v>
      </c>
      <c r="S464" t="str">
        <f t="shared" si="93"/>
        <v>Jan</v>
      </c>
      <c r="T464" t="str">
        <f>INDEX(Lookups!$B$39:$B$45,MATCH(H464,Lookups!$A$39:$A$45,0))</f>
        <v>Fri</v>
      </c>
      <c r="U464" t="str">
        <f t="shared" si="94"/>
        <v>Weekday</v>
      </c>
      <c r="V464" t="str">
        <f t="shared" si="95"/>
        <v>Working Day</v>
      </c>
      <c r="W464" t="str">
        <f t="shared" si="96"/>
        <v>Spring</v>
      </c>
      <c r="X464" t="str">
        <f t="shared" si="97"/>
        <v>Clear</v>
      </c>
      <c r="Y464" t="str">
        <f t="shared" si="98"/>
        <v>Morning</v>
      </c>
      <c r="Z464" t="str">
        <f t="shared" si="99"/>
        <v>Mild</v>
      </c>
      <c r="AA464" t="str">
        <f t="shared" si="100"/>
        <v>Medium</v>
      </c>
      <c r="AB464" t="str">
        <f t="shared" si="101"/>
        <v>Peak</v>
      </c>
      <c r="AC464" s="63">
        <f t="shared" si="102"/>
        <v>2.9411764705882353E-2</v>
      </c>
      <c r="AD464" t="str">
        <f>IF(P464&gt;=Stats!$C$30,"High",IF(P464&lt;=Stats!$C$29,"Low","Normal"))</f>
        <v>Normal</v>
      </c>
      <c r="AE464">
        <f t="shared" si="103"/>
        <v>1</v>
      </c>
    </row>
    <row r="465" spans="1:31" x14ac:dyDescent="0.2">
      <c r="A465">
        <f>Dataset_A!A465</f>
        <v>464</v>
      </c>
      <c r="B465" s="61">
        <f>Dataset_A!B465</f>
        <v>40564</v>
      </c>
      <c r="C465">
        <f>Dataset_A!C465</f>
        <v>1</v>
      </c>
      <c r="D465">
        <f>Dataset_A!D465</f>
        <v>0</v>
      </c>
      <c r="E465">
        <f>Dataset_A!E465</f>
        <v>1</v>
      </c>
      <c r="F465">
        <f>Dataset_A!F465</f>
        <v>8</v>
      </c>
      <c r="G465" t="b">
        <f>Dataset_A!G465</f>
        <v>0</v>
      </c>
      <c r="H465">
        <f>Dataset_A!H465</f>
        <v>5</v>
      </c>
      <c r="I465">
        <f>Dataset_A!I465</f>
        <v>1</v>
      </c>
      <c r="J465" s="55">
        <f>Dataset_A!J465</f>
        <v>0.2</v>
      </c>
      <c r="K465">
        <f>Dataset_A!K465</f>
        <v>0.18179999999999999</v>
      </c>
      <c r="L465">
        <f>Dataset_A!L465</f>
        <v>0.47</v>
      </c>
      <c r="M465">
        <f>Dataset_A!M465</f>
        <v>0.32840000000000003</v>
      </c>
      <c r="N465">
        <f>Dataset_A!N465</f>
        <v>7</v>
      </c>
      <c r="O465">
        <f>Dataset_A!O465</f>
        <v>210</v>
      </c>
      <c r="P465">
        <f>Dataset_A!P465</f>
        <v>217</v>
      </c>
      <c r="Q465" t="str">
        <f t="shared" si="91"/>
        <v>REC-0464</v>
      </c>
      <c r="R465" s="62">
        <f t="shared" si="92"/>
        <v>40564.333333333336</v>
      </c>
      <c r="S465" t="str">
        <f t="shared" si="93"/>
        <v>Jan</v>
      </c>
      <c r="T465" t="str">
        <f>INDEX(Lookups!$B$39:$B$45,MATCH(H465,Lookups!$A$39:$A$45,0))</f>
        <v>Fri</v>
      </c>
      <c r="U465" t="str">
        <f t="shared" si="94"/>
        <v>Weekday</v>
      </c>
      <c r="V465" t="str">
        <f t="shared" si="95"/>
        <v>Working Day</v>
      </c>
      <c r="W465" t="str">
        <f t="shared" si="96"/>
        <v>Spring</v>
      </c>
      <c r="X465" t="str">
        <f t="shared" si="97"/>
        <v>Clear</v>
      </c>
      <c r="Y465" t="str">
        <f t="shared" si="98"/>
        <v>Morning</v>
      </c>
      <c r="Z465" t="str">
        <f t="shared" si="99"/>
        <v>Mild</v>
      </c>
      <c r="AA465" t="str">
        <f t="shared" si="100"/>
        <v>Low</v>
      </c>
      <c r="AB465" t="str">
        <f t="shared" si="101"/>
        <v>Peak</v>
      </c>
      <c r="AC465" s="63">
        <f t="shared" si="102"/>
        <v>3.2258064516129031E-2</v>
      </c>
      <c r="AD465" t="str">
        <f>IF(P465&gt;=Stats!$C$30,"High",IF(P465&lt;=Stats!$C$29,"Low","Normal"))</f>
        <v>High</v>
      </c>
      <c r="AE465">
        <f t="shared" si="103"/>
        <v>1</v>
      </c>
    </row>
    <row r="466" spans="1:31" x14ac:dyDescent="0.2">
      <c r="A466">
        <f>Dataset_A!A466</f>
        <v>465</v>
      </c>
      <c r="B466" s="61">
        <f>Dataset_A!B466</f>
        <v>40564</v>
      </c>
      <c r="C466">
        <f>Dataset_A!C466</f>
        <v>1</v>
      </c>
      <c r="D466">
        <f>Dataset_A!D466</f>
        <v>0</v>
      </c>
      <c r="E466">
        <f>Dataset_A!E466</f>
        <v>1</v>
      </c>
      <c r="F466">
        <f>Dataset_A!F466</f>
        <v>9</v>
      </c>
      <c r="G466" t="b">
        <f>Dataset_A!G466</f>
        <v>0</v>
      </c>
      <c r="H466">
        <f>Dataset_A!H466</f>
        <v>5</v>
      </c>
      <c r="I466">
        <f>Dataset_A!I466</f>
        <v>1</v>
      </c>
      <c r="J466" s="55">
        <f>Dataset_A!J466</f>
        <v>0.2</v>
      </c>
      <c r="K466">
        <f>Dataset_A!K466</f>
        <v>0.18179999999999999</v>
      </c>
      <c r="L466">
        <f>Dataset_A!L466</f>
        <v>0.51</v>
      </c>
      <c r="M466">
        <f>Dataset_A!M466</f>
        <v>0.35820000000000002</v>
      </c>
      <c r="N466">
        <f>Dataset_A!N466</f>
        <v>7</v>
      </c>
      <c r="O466">
        <f>Dataset_A!O466</f>
        <v>159</v>
      </c>
      <c r="P466">
        <f>Dataset_A!P466</f>
        <v>166</v>
      </c>
      <c r="Q466" t="str">
        <f t="shared" si="91"/>
        <v>REC-0465</v>
      </c>
      <c r="R466" s="62">
        <f t="shared" si="92"/>
        <v>40564.375</v>
      </c>
      <c r="S466" t="str">
        <f t="shared" si="93"/>
        <v>Jan</v>
      </c>
      <c r="T466" t="str">
        <f>INDEX(Lookups!$B$39:$B$45,MATCH(H466,Lookups!$A$39:$A$45,0))</f>
        <v>Fri</v>
      </c>
      <c r="U466" t="str">
        <f t="shared" si="94"/>
        <v>Weekday</v>
      </c>
      <c r="V466" t="str">
        <f t="shared" si="95"/>
        <v>Working Day</v>
      </c>
      <c r="W466" t="str">
        <f t="shared" si="96"/>
        <v>Spring</v>
      </c>
      <c r="X466" t="str">
        <f t="shared" si="97"/>
        <v>Clear</v>
      </c>
      <c r="Y466" t="str">
        <f t="shared" si="98"/>
        <v>Morning</v>
      </c>
      <c r="Z466" t="str">
        <f t="shared" si="99"/>
        <v>Mild</v>
      </c>
      <c r="AA466" t="str">
        <f t="shared" si="100"/>
        <v>Medium</v>
      </c>
      <c r="AB466" t="str">
        <f t="shared" si="101"/>
        <v>Peak</v>
      </c>
      <c r="AC466" s="63">
        <f t="shared" si="102"/>
        <v>4.2168674698795178E-2</v>
      </c>
      <c r="AD466" t="str">
        <f>IF(P466&gt;=Stats!$C$30,"High",IF(P466&lt;=Stats!$C$29,"Low","Normal"))</f>
        <v>High</v>
      </c>
      <c r="AE466">
        <f t="shared" si="103"/>
        <v>1</v>
      </c>
    </row>
    <row r="467" spans="1:31" x14ac:dyDescent="0.2">
      <c r="A467">
        <f>Dataset_A!A467</f>
        <v>466</v>
      </c>
      <c r="B467" s="61">
        <f>Dataset_A!B467</f>
        <v>40564</v>
      </c>
      <c r="C467">
        <f>Dataset_A!C467</f>
        <v>1</v>
      </c>
      <c r="D467">
        <f>Dataset_A!D467</f>
        <v>0</v>
      </c>
      <c r="E467">
        <f>Dataset_A!E467</f>
        <v>1</v>
      </c>
      <c r="F467">
        <f>Dataset_A!F467</f>
        <v>10</v>
      </c>
      <c r="G467" t="b">
        <f>Dataset_A!G467</f>
        <v>0</v>
      </c>
      <c r="H467">
        <f>Dataset_A!H467</f>
        <v>5</v>
      </c>
      <c r="I467">
        <f>Dataset_A!I467</f>
        <v>1</v>
      </c>
      <c r="J467" s="55">
        <f>Dataset_A!J467</f>
        <v>0.2</v>
      </c>
      <c r="K467">
        <f>Dataset_A!K467</f>
        <v>0.16669999999999999</v>
      </c>
      <c r="L467">
        <f>Dataset_A!L467</f>
        <v>0.47</v>
      </c>
      <c r="M467">
        <f>Dataset_A!M467</f>
        <v>0.4627</v>
      </c>
      <c r="N467">
        <f>Dataset_A!N467</f>
        <v>6</v>
      </c>
      <c r="O467">
        <f>Dataset_A!O467</f>
        <v>57</v>
      </c>
      <c r="P467">
        <f>Dataset_A!P467</f>
        <v>63</v>
      </c>
      <c r="Q467" t="str">
        <f t="shared" si="91"/>
        <v>REC-0466</v>
      </c>
      <c r="R467" s="62">
        <f t="shared" si="92"/>
        <v>40564.416666666664</v>
      </c>
      <c r="S467" t="str">
        <f t="shared" si="93"/>
        <v>Jan</v>
      </c>
      <c r="T467" t="str">
        <f>INDEX(Lookups!$B$39:$B$45,MATCH(H467,Lookups!$A$39:$A$45,0))</f>
        <v>Fri</v>
      </c>
      <c r="U467" t="str">
        <f t="shared" si="94"/>
        <v>Weekday</v>
      </c>
      <c r="V467" t="str">
        <f t="shared" si="95"/>
        <v>Working Day</v>
      </c>
      <c r="W467" t="str">
        <f t="shared" si="96"/>
        <v>Spring</v>
      </c>
      <c r="X467" t="str">
        <f t="shared" si="97"/>
        <v>Clear</v>
      </c>
      <c r="Y467" t="str">
        <f t="shared" si="98"/>
        <v>Morning</v>
      </c>
      <c r="Z467" t="str">
        <f t="shared" si="99"/>
        <v>Mild</v>
      </c>
      <c r="AA467" t="str">
        <f t="shared" si="100"/>
        <v>Low</v>
      </c>
      <c r="AB467" t="str">
        <f t="shared" si="101"/>
        <v>Off-Peak</v>
      </c>
      <c r="AC467" s="63">
        <f t="shared" si="102"/>
        <v>9.5238095238095233E-2</v>
      </c>
      <c r="AD467" t="str">
        <f>IF(P467&gt;=Stats!$C$30,"High",IF(P467&lt;=Stats!$C$29,"Low","Normal"))</f>
        <v>Normal</v>
      </c>
      <c r="AE467">
        <f t="shared" si="103"/>
        <v>1</v>
      </c>
    </row>
    <row r="468" spans="1:31" x14ac:dyDescent="0.2">
      <c r="A468">
        <f>Dataset_A!A468</f>
        <v>467</v>
      </c>
      <c r="B468" s="61">
        <f>Dataset_A!B468</f>
        <v>40564</v>
      </c>
      <c r="C468">
        <f>Dataset_A!C468</f>
        <v>1</v>
      </c>
      <c r="D468">
        <f>Dataset_A!D468</f>
        <v>0</v>
      </c>
      <c r="E468">
        <f>Dataset_A!E468</f>
        <v>1</v>
      </c>
      <c r="F468">
        <f>Dataset_A!F468</f>
        <v>11</v>
      </c>
      <c r="G468" t="b">
        <f>Dataset_A!G468</f>
        <v>0</v>
      </c>
      <c r="H468">
        <f>Dataset_A!H468</f>
        <v>5</v>
      </c>
      <c r="I468">
        <f>Dataset_A!I468</f>
        <v>1</v>
      </c>
      <c r="J468" s="55">
        <f>Dataset_A!J468</f>
        <v>0.22</v>
      </c>
      <c r="K468">
        <f>Dataset_A!K468</f>
        <v>0.18179999999999999</v>
      </c>
      <c r="L468">
        <f>Dataset_A!L468</f>
        <v>0.41</v>
      </c>
      <c r="M468">
        <f>Dataset_A!M468</f>
        <v>0.4627</v>
      </c>
      <c r="N468">
        <f>Dataset_A!N468</f>
        <v>6</v>
      </c>
      <c r="O468">
        <f>Dataset_A!O468</f>
        <v>53</v>
      </c>
      <c r="P468">
        <f>Dataset_A!P468</f>
        <v>59</v>
      </c>
      <c r="Q468" t="str">
        <f t="shared" si="91"/>
        <v>REC-0467</v>
      </c>
      <c r="R468" s="62">
        <f t="shared" si="92"/>
        <v>40564.458333333336</v>
      </c>
      <c r="S468" t="str">
        <f t="shared" si="93"/>
        <v>Jan</v>
      </c>
      <c r="T468" t="str">
        <f>INDEX(Lookups!$B$39:$B$45,MATCH(H468,Lookups!$A$39:$A$45,0))</f>
        <v>Fri</v>
      </c>
      <c r="U468" t="str">
        <f t="shared" si="94"/>
        <v>Weekday</v>
      </c>
      <c r="V468" t="str">
        <f t="shared" si="95"/>
        <v>Working Day</v>
      </c>
      <c r="W468" t="str">
        <f t="shared" si="96"/>
        <v>Spring</v>
      </c>
      <c r="X468" t="str">
        <f t="shared" si="97"/>
        <v>Clear</v>
      </c>
      <c r="Y468" t="str">
        <f t="shared" si="98"/>
        <v>Morning</v>
      </c>
      <c r="Z468" t="str">
        <f t="shared" si="99"/>
        <v>Mild</v>
      </c>
      <c r="AA468" t="str">
        <f t="shared" si="100"/>
        <v>Low</v>
      </c>
      <c r="AB468" t="str">
        <f t="shared" si="101"/>
        <v>Off-Peak</v>
      </c>
      <c r="AC468" s="63">
        <f t="shared" si="102"/>
        <v>0.10169491525423729</v>
      </c>
      <c r="AD468" t="str">
        <f>IF(P468&gt;=Stats!$C$30,"High",IF(P468&lt;=Stats!$C$29,"Low","Normal"))</f>
        <v>Normal</v>
      </c>
      <c r="AE468">
        <f t="shared" si="103"/>
        <v>1</v>
      </c>
    </row>
    <row r="469" spans="1:31" x14ac:dyDescent="0.2">
      <c r="A469">
        <f>Dataset_A!A469</f>
        <v>468</v>
      </c>
      <c r="B469" s="61">
        <f>Dataset_A!B469</f>
        <v>40564</v>
      </c>
      <c r="C469">
        <f>Dataset_A!C469</f>
        <v>1</v>
      </c>
      <c r="D469">
        <f>Dataset_A!D469</f>
        <v>0</v>
      </c>
      <c r="E469">
        <f>Dataset_A!E469</f>
        <v>1</v>
      </c>
      <c r="F469">
        <f>Dataset_A!F469</f>
        <v>12</v>
      </c>
      <c r="G469" t="b">
        <f>Dataset_A!G469</f>
        <v>0</v>
      </c>
      <c r="H469">
        <f>Dataset_A!H469</f>
        <v>5</v>
      </c>
      <c r="I469">
        <f>Dataset_A!I469</f>
        <v>1</v>
      </c>
      <c r="J469" s="55">
        <f>Dataset_A!J469</f>
        <v>0.22</v>
      </c>
      <c r="K469">
        <f>Dataset_A!K469</f>
        <v>0.18179999999999999</v>
      </c>
      <c r="L469">
        <f>Dataset_A!L469</f>
        <v>0.27</v>
      </c>
      <c r="M469">
        <f>Dataset_A!M469</f>
        <v>0.58209999999999995</v>
      </c>
      <c r="N469">
        <f>Dataset_A!N469</f>
        <v>11</v>
      </c>
      <c r="O469">
        <f>Dataset_A!O469</f>
        <v>67</v>
      </c>
      <c r="P469">
        <f>Dataset_A!P469</f>
        <v>78</v>
      </c>
      <c r="Q469" t="str">
        <f t="shared" si="91"/>
        <v>REC-0468</v>
      </c>
      <c r="R469" s="62">
        <f t="shared" si="92"/>
        <v>40564.5</v>
      </c>
      <c r="S469" t="str">
        <f t="shared" si="93"/>
        <v>Jan</v>
      </c>
      <c r="T469" t="str">
        <f>INDEX(Lookups!$B$39:$B$45,MATCH(H469,Lookups!$A$39:$A$45,0))</f>
        <v>Fri</v>
      </c>
      <c r="U469" t="str">
        <f t="shared" si="94"/>
        <v>Weekday</v>
      </c>
      <c r="V469" t="str">
        <f t="shared" si="95"/>
        <v>Working Day</v>
      </c>
      <c r="W469" t="str">
        <f t="shared" si="96"/>
        <v>Spring</v>
      </c>
      <c r="X469" t="str">
        <f t="shared" si="97"/>
        <v>Clear</v>
      </c>
      <c r="Y469" t="str">
        <f t="shared" si="98"/>
        <v>Afternoon</v>
      </c>
      <c r="Z469" t="str">
        <f t="shared" si="99"/>
        <v>Mild</v>
      </c>
      <c r="AA469" t="str">
        <f t="shared" si="100"/>
        <v>Low</v>
      </c>
      <c r="AB469" t="str">
        <f t="shared" si="101"/>
        <v>Off-Peak</v>
      </c>
      <c r="AC469" s="63">
        <f t="shared" si="102"/>
        <v>0.14102564102564102</v>
      </c>
      <c r="AD469" t="str">
        <f>IF(P469&gt;=Stats!$C$30,"High",IF(P469&lt;=Stats!$C$29,"Low","Normal"))</f>
        <v>Normal</v>
      </c>
      <c r="AE469">
        <f t="shared" si="103"/>
        <v>1</v>
      </c>
    </row>
    <row r="470" spans="1:31" x14ac:dyDescent="0.2">
      <c r="A470">
        <f>Dataset_A!A470</f>
        <v>469</v>
      </c>
      <c r="B470" s="61">
        <f>Dataset_A!B470</f>
        <v>40564</v>
      </c>
      <c r="C470">
        <f>Dataset_A!C470</f>
        <v>1</v>
      </c>
      <c r="D470">
        <f>Dataset_A!D470</f>
        <v>0</v>
      </c>
      <c r="E470">
        <f>Dataset_A!E470</f>
        <v>1</v>
      </c>
      <c r="F470">
        <f>Dataset_A!F470</f>
        <v>13</v>
      </c>
      <c r="G470" t="b">
        <f>Dataset_A!G470</f>
        <v>0</v>
      </c>
      <c r="H470">
        <f>Dataset_A!H470</f>
        <v>5</v>
      </c>
      <c r="I470">
        <f>Dataset_A!I470</f>
        <v>1</v>
      </c>
      <c r="J470" s="55">
        <f>Dataset_A!J470</f>
        <v>0.2</v>
      </c>
      <c r="K470">
        <f>Dataset_A!K470</f>
        <v>0.1515</v>
      </c>
      <c r="L470">
        <f>Dataset_A!L470</f>
        <v>0.21</v>
      </c>
      <c r="M470">
        <f>Dataset_A!M470</f>
        <v>0.58209999999999995</v>
      </c>
      <c r="N470">
        <f>Dataset_A!N470</f>
        <v>8</v>
      </c>
      <c r="O470">
        <f>Dataset_A!O470</f>
        <v>65</v>
      </c>
      <c r="P470">
        <f>Dataset_A!P470</f>
        <v>73</v>
      </c>
      <c r="Q470" t="str">
        <f t="shared" si="91"/>
        <v>REC-0469</v>
      </c>
      <c r="R470" s="62">
        <f t="shared" si="92"/>
        <v>40564.541666666664</v>
      </c>
      <c r="S470" t="str">
        <f t="shared" si="93"/>
        <v>Jan</v>
      </c>
      <c r="T470" t="str">
        <f>INDEX(Lookups!$B$39:$B$45,MATCH(H470,Lookups!$A$39:$A$45,0))</f>
        <v>Fri</v>
      </c>
      <c r="U470" t="str">
        <f t="shared" si="94"/>
        <v>Weekday</v>
      </c>
      <c r="V470" t="str">
        <f t="shared" si="95"/>
        <v>Working Day</v>
      </c>
      <c r="W470" t="str">
        <f t="shared" si="96"/>
        <v>Spring</v>
      </c>
      <c r="X470" t="str">
        <f t="shared" si="97"/>
        <v>Clear</v>
      </c>
      <c r="Y470" t="str">
        <f t="shared" si="98"/>
        <v>Afternoon</v>
      </c>
      <c r="Z470" t="str">
        <f t="shared" si="99"/>
        <v>Mild</v>
      </c>
      <c r="AA470" t="str">
        <f t="shared" si="100"/>
        <v>Low</v>
      </c>
      <c r="AB470" t="str">
        <f t="shared" si="101"/>
        <v>Off-Peak</v>
      </c>
      <c r="AC470" s="63">
        <f t="shared" si="102"/>
        <v>0.1095890410958904</v>
      </c>
      <c r="AD470" t="str">
        <f>IF(P470&gt;=Stats!$C$30,"High",IF(P470&lt;=Stats!$C$29,"Low","Normal"))</f>
        <v>Normal</v>
      </c>
      <c r="AE470">
        <f t="shared" si="103"/>
        <v>1</v>
      </c>
    </row>
    <row r="471" spans="1:31" x14ac:dyDescent="0.2">
      <c r="A471">
        <f>Dataset_A!A471</f>
        <v>470</v>
      </c>
      <c r="B471" s="61">
        <f>Dataset_A!B471</f>
        <v>40564</v>
      </c>
      <c r="C471">
        <f>Dataset_A!C471</f>
        <v>1</v>
      </c>
      <c r="D471">
        <f>Dataset_A!D471</f>
        <v>0</v>
      </c>
      <c r="E471">
        <f>Dataset_A!E471</f>
        <v>1</v>
      </c>
      <c r="F471">
        <f>Dataset_A!F471</f>
        <v>14</v>
      </c>
      <c r="G471" t="b">
        <f>Dataset_A!G471</f>
        <v>0</v>
      </c>
      <c r="H471">
        <f>Dataset_A!H471</f>
        <v>5</v>
      </c>
      <c r="I471">
        <f>Dataset_A!I471</f>
        <v>1</v>
      </c>
      <c r="J471" s="55">
        <f>Dataset_A!J471</f>
        <v>0.2</v>
      </c>
      <c r="K471">
        <f>Dataset_A!K471</f>
        <v>0.1515</v>
      </c>
      <c r="L471">
        <f>Dataset_A!L471</f>
        <v>0.25</v>
      </c>
      <c r="M471">
        <f>Dataset_A!M471</f>
        <v>0.52239999999999998</v>
      </c>
      <c r="N471">
        <f>Dataset_A!N471</f>
        <v>6</v>
      </c>
      <c r="O471">
        <f>Dataset_A!O471</f>
        <v>56</v>
      </c>
      <c r="P471">
        <f>Dataset_A!P471</f>
        <v>62</v>
      </c>
      <c r="Q471" t="str">
        <f t="shared" si="91"/>
        <v>REC-0470</v>
      </c>
      <c r="R471" s="62">
        <f t="shared" si="92"/>
        <v>40564.583333333336</v>
      </c>
      <c r="S471" t="str">
        <f t="shared" si="93"/>
        <v>Jan</v>
      </c>
      <c r="T471" t="str">
        <f>INDEX(Lookups!$B$39:$B$45,MATCH(H471,Lookups!$A$39:$A$45,0))</f>
        <v>Fri</v>
      </c>
      <c r="U471" t="str">
        <f t="shared" si="94"/>
        <v>Weekday</v>
      </c>
      <c r="V471" t="str">
        <f t="shared" si="95"/>
        <v>Working Day</v>
      </c>
      <c r="W471" t="str">
        <f t="shared" si="96"/>
        <v>Spring</v>
      </c>
      <c r="X471" t="str">
        <f t="shared" si="97"/>
        <v>Clear</v>
      </c>
      <c r="Y471" t="str">
        <f t="shared" si="98"/>
        <v>Afternoon</v>
      </c>
      <c r="Z471" t="str">
        <f t="shared" si="99"/>
        <v>Mild</v>
      </c>
      <c r="AA471" t="str">
        <f t="shared" si="100"/>
        <v>Low</v>
      </c>
      <c r="AB471" t="str">
        <f t="shared" si="101"/>
        <v>Off-Peak</v>
      </c>
      <c r="AC471" s="63">
        <f t="shared" si="102"/>
        <v>9.6774193548387094E-2</v>
      </c>
      <c r="AD471" t="str">
        <f>IF(P471&gt;=Stats!$C$30,"High",IF(P471&lt;=Stats!$C$29,"Low","Normal"))</f>
        <v>Normal</v>
      </c>
      <c r="AE471">
        <f t="shared" si="103"/>
        <v>1</v>
      </c>
    </row>
    <row r="472" spans="1:31" x14ac:dyDescent="0.2">
      <c r="A472">
        <f>Dataset_A!A472</f>
        <v>471</v>
      </c>
      <c r="B472" s="61">
        <f>Dataset_A!B472</f>
        <v>40564</v>
      </c>
      <c r="C472">
        <f>Dataset_A!C472</f>
        <v>1</v>
      </c>
      <c r="D472">
        <f>Dataset_A!D472</f>
        <v>0</v>
      </c>
      <c r="E472">
        <f>Dataset_A!E472</f>
        <v>1</v>
      </c>
      <c r="F472">
        <f>Dataset_A!F472</f>
        <v>15</v>
      </c>
      <c r="G472" t="b">
        <f>Dataset_A!G472</f>
        <v>0</v>
      </c>
      <c r="H472">
        <f>Dataset_A!H472</f>
        <v>5</v>
      </c>
      <c r="I472">
        <f>Dataset_A!I472</f>
        <v>1</v>
      </c>
      <c r="J472" s="55">
        <f>Dataset_A!J472</f>
        <v>0.16</v>
      </c>
      <c r="K472">
        <f>Dataset_A!K472</f>
        <v>0.1212</v>
      </c>
      <c r="L472">
        <f>Dataset_A!L472</f>
        <v>0.26</v>
      </c>
      <c r="M472">
        <f>Dataset_A!M472</f>
        <v>0.44779999999999998</v>
      </c>
      <c r="N472">
        <f>Dataset_A!N472</f>
        <v>4</v>
      </c>
      <c r="O472">
        <f>Dataset_A!O472</f>
        <v>61</v>
      </c>
      <c r="P472">
        <f>Dataset_A!P472</f>
        <v>65</v>
      </c>
      <c r="Q472" t="str">
        <f t="shared" si="91"/>
        <v>REC-0471</v>
      </c>
      <c r="R472" s="62">
        <f t="shared" si="92"/>
        <v>40564.625</v>
      </c>
      <c r="S472" t="str">
        <f t="shared" si="93"/>
        <v>Jan</v>
      </c>
      <c r="T472" t="str">
        <f>INDEX(Lookups!$B$39:$B$45,MATCH(H472,Lookups!$A$39:$A$45,0))</f>
        <v>Fri</v>
      </c>
      <c r="U472" t="str">
        <f t="shared" si="94"/>
        <v>Weekday</v>
      </c>
      <c r="V472" t="str">
        <f t="shared" si="95"/>
        <v>Working Day</v>
      </c>
      <c r="W472" t="str">
        <f t="shared" si="96"/>
        <v>Spring</v>
      </c>
      <c r="X472" t="str">
        <f t="shared" si="97"/>
        <v>Clear</v>
      </c>
      <c r="Y472" t="str">
        <f t="shared" si="98"/>
        <v>Afternoon</v>
      </c>
      <c r="Z472" t="str">
        <f t="shared" si="99"/>
        <v>Cold</v>
      </c>
      <c r="AA472" t="str">
        <f t="shared" si="100"/>
        <v>Low</v>
      </c>
      <c r="AB472" t="str">
        <f t="shared" si="101"/>
        <v>Off-Peak</v>
      </c>
      <c r="AC472" s="63">
        <f t="shared" si="102"/>
        <v>6.1538461538461542E-2</v>
      </c>
      <c r="AD472" t="str">
        <f>IF(P472&gt;=Stats!$C$30,"High",IF(P472&lt;=Stats!$C$29,"Low","Normal"))</f>
        <v>Normal</v>
      </c>
      <c r="AE472">
        <f t="shared" si="103"/>
        <v>1</v>
      </c>
    </row>
    <row r="473" spans="1:31" x14ac:dyDescent="0.2">
      <c r="A473">
        <f>Dataset_A!A473</f>
        <v>472</v>
      </c>
      <c r="B473" s="61">
        <f>Dataset_A!B473</f>
        <v>40564</v>
      </c>
      <c r="C473">
        <f>Dataset_A!C473</f>
        <v>1</v>
      </c>
      <c r="D473">
        <f>Dataset_A!D473</f>
        <v>0</v>
      </c>
      <c r="E473">
        <f>Dataset_A!E473</f>
        <v>1</v>
      </c>
      <c r="F473">
        <f>Dataset_A!F473</f>
        <v>16</v>
      </c>
      <c r="G473" t="b">
        <f>Dataset_A!G473</f>
        <v>0</v>
      </c>
      <c r="H473">
        <f>Dataset_A!H473</f>
        <v>5</v>
      </c>
      <c r="I473">
        <f>Dataset_A!I473</f>
        <v>1</v>
      </c>
      <c r="J473" s="55">
        <f>Dataset_A!J473</f>
        <v>0.16</v>
      </c>
      <c r="K473">
        <f>Dataset_A!K473</f>
        <v>0.13639999999999999</v>
      </c>
      <c r="L473">
        <f>Dataset_A!L473</f>
        <v>0.26</v>
      </c>
      <c r="M473">
        <f>Dataset_A!M473</f>
        <v>0.35820000000000002</v>
      </c>
      <c r="N473">
        <f>Dataset_A!N473</f>
        <v>0</v>
      </c>
      <c r="O473">
        <f>Dataset_A!O473</f>
        <v>97</v>
      </c>
      <c r="P473">
        <f>Dataset_A!P473</f>
        <v>97</v>
      </c>
      <c r="Q473" t="str">
        <f t="shared" si="91"/>
        <v>REC-0472</v>
      </c>
      <c r="R473" s="62">
        <f t="shared" si="92"/>
        <v>40564.666666666664</v>
      </c>
      <c r="S473" t="str">
        <f t="shared" si="93"/>
        <v>Jan</v>
      </c>
      <c r="T473" t="str">
        <f>INDEX(Lookups!$B$39:$B$45,MATCH(H473,Lookups!$A$39:$A$45,0))</f>
        <v>Fri</v>
      </c>
      <c r="U473" t="str">
        <f t="shared" si="94"/>
        <v>Weekday</v>
      </c>
      <c r="V473" t="str">
        <f t="shared" si="95"/>
        <v>Working Day</v>
      </c>
      <c r="W473" t="str">
        <f t="shared" si="96"/>
        <v>Spring</v>
      </c>
      <c r="X473" t="str">
        <f t="shared" si="97"/>
        <v>Clear</v>
      </c>
      <c r="Y473" t="str">
        <f t="shared" si="98"/>
        <v>Afternoon</v>
      </c>
      <c r="Z473" t="str">
        <f t="shared" si="99"/>
        <v>Cold</v>
      </c>
      <c r="AA473" t="str">
        <f t="shared" si="100"/>
        <v>Low</v>
      </c>
      <c r="AB473" t="str">
        <f t="shared" si="101"/>
        <v>Peak</v>
      </c>
      <c r="AC473" s="63">
        <f t="shared" si="102"/>
        <v>0</v>
      </c>
      <c r="AD473" t="str">
        <f>IF(P473&gt;=Stats!$C$30,"High",IF(P473&lt;=Stats!$C$29,"Low","Normal"))</f>
        <v>High</v>
      </c>
      <c r="AE473">
        <f t="shared" si="103"/>
        <v>1</v>
      </c>
    </row>
    <row r="474" spans="1:31" x14ac:dyDescent="0.2">
      <c r="A474">
        <f>Dataset_A!A474</f>
        <v>473</v>
      </c>
      <c r="B474" s="61">
        <f>Dataset_A!B474</f>
        <v>40564</v>
      </c>
      <c r="C474">
        <f>Dataset_A!C474</f>
        <v>1</v>
      </c>
      <c r="D474">
        <f>Dataset_A!D474</f>
        <v>0</v>
      </c>
      <c r="E474">
        <f>Dataset_A!E474</f>
        <v>1</v>
      </c>
      <c r="F474">
        <f>Dataset_A!F474</f>
        <v>17</v>
      </c>
      <c r="G474" t="b">
        <f>Dataset_A!G474</f>
        <v>0</v>
      </c>
      <c r="H474">
        <f>Dataset_A!H474</f>
        <v>5</v>
      </c>
      <c r="I474">
        <f>Dataset_A!I474</f>
        <v>1</v>
      </c>
      <c r="J474" s="55">
        <f>Dataset_A!J474</f>
        <v>0.14000000000000001</v>
      </c>
      <c r="K474">
        <f>Dataset_A!K474</f>
        <v>0.1212</v>
      </c>
      <c r="L474">
        <f>Dataset_A!L474</f>
        <v>0.28000000000000003</v>
      </c>
      <c r="M474">
        <f>Dataset_A!M474</f>
        <v>0.35820000000000002</v>
      </c>
      <c r="N474">
        <f>Dataset_A!N474</f>
        <v>10</v>
      </c>
      <c r="O474">
        <f>Dataset_A!O474</f>
        <v>151</v>
      </c>
      <c r="P474">
        <f>Dataset_A!P474</f>
        <v>161</v>
      </c>
      <c r="Q474" t="str">
        <f t="shared" si="91"/>
        <v>REC-0473</v>
      </c>
      <c r="R474" s="62">
        <f t="shared" si="92"/>
        <v>40564.708333333336</v>
      </c>
      <c r="S474" t="str">
        <f t="shared" si="93"/>
        <v>Jan</v>
      </c>
      <c r="T474" t="str">
        <f>INDEX(Lookups!$B$39:$B$45,MATCH(H474,Lookups!$A$39:$A$45,0))</f>
        <v>Fri</v>
      </c>
      <c r="U474" t="str">
        <f t="shared" si="94"/>
        <v>Weekday</v>
      </c>
      <c r="V474" t="str">
        <f t="shared" si="95"/>
        <v>Working Day</v>
      </c>
      <c r="W474" t="str">
        <f t="shared" si="96"/>
        <v>Spring</v>
      </c>
      <c r="X474" t="str">
        <f t="shared" si="97"/>
        <v>Clear</v>
      </c>
      <c r="Y474" t="str">
        <f t="shared" si="98"/>
        <v>Evening</v>
      </c>
      <c r="Z474" t="str">
        <f t="shared" si="99"/>
        <v>Cold</v>
      </c>
      <c r="AA474" t="str">
        <f t="shared" si="100"/>
        <v>Low</v>
      </c>
      <c r="AB474" t="str">
        <f t="shared" si="101"/>
        <v>Peak</v>
      </c>
      <c r="AC474" s="63">
        <f t="shared" si="102"/>
        <v>6.2111801242236024E-2</v>
      </c>
      <c r="AD474" t="str">
        <f>IF(P474&gt;=Stats!$C$30,"High",IF(P474&lt;=Stats!$C$29,"Low","Normal"))</f>
        <v>High</v>
      </c>
      <c r="AE474">
        <f t="shared" si="103"/>
        <v>1</v>
      </c>
    </row>
    <row r="475" spans="1:31" x14ac:dyDescent="0.2">
      <c r="A475">
        <f>Dataset_A!A475</f>
        <v>474</v>
      </c>
      <c r="B475" s="61">
        <f>Dataset_A!B475</f>
        <v>40564</v>
      </c>
      <c r="C475">
        <f>Dataset_A!C475</f>
        <v>1</v>
      </c>
      <c r="D475">
        <f>Dataset_A!D475</f>
        <v>0</v>
      </c>
      <c r="E475">
        <f>Dataset_A!E475</f>
        <v>1</v>
      </c>
      <c r="F475">
        <f>Dataset_A!F475</f>
        <v>18</v>
      </c>
      <c r="G475" t="b">
        <f>Dataset_A!G475</f>
        <v>0</v>
      </c>
      <c r="H475">
        <f>Dataset_A!H475</f>
        <v>5</v>
      </c>
      <c r="I475">
        <f>Dataset_A!I475</f>
        <v>1</v>
      </c>
      <c r="J475" s="55">
        <f>Dataset_A!J475</f>
        <v>0.12</v>
      </c>
      <c r="K475">
        <f>Dataset_A!K475</f>
        <v>0.1212</v>
      </c>
      <c r="L475">
        <f>Dataset_A!L475</f>
        <v>0.3</v>
      </c>
      <c r="M475">
        <f>Dataset_A!M475</f>
        <v>0.25369999999999998</v>
      </c>
      <c r="N475">
        <f>Dataset_A!N475</f>
        <v>1</v>
      </c>
      <c r="O475">
        <f>Dataset_A!O475</f>
        <v>119</v>
      </c>
      <c r="P475">
        <f>Dataset_A!P475</f>
        <v>120</v>
      </c>
      <c r="Q475" t="str">
        <f t="shared" si="91"/>
        <v>REC-0474</v>
      </c>
      <c r="R475" s="62">
        <f t="shared" si="92"/>
        <v>40564.75</v>
      </c>
      <c r="S475" t="str">
        <f t="shared" si="93"/>
        <v>Jan</v>
      </c>
      <c r="T475" t="str">
        <f>INDEX(Lookups!$B$39:$B$45,MATCH(H475,Lookups!$A$39:$A$45,0))</f>
        <v>Fri</v>
      </c>
      <c r="U475" t="str">
        <f t="shared" si="94"/>
        <v>Weekday</v>
      </c>
      <c r="V475" t="str">
        <f t="shared" si="95"/>
        <v>Working Day</v>
      </c>
      <c r="W475" t="str">
        <f t="shared" si="96"/>
        <v>Spring</v>
      </c>
      <c r="X475" t="str">
        <f t="shared" si="97"/>
        <v>Clear</v>
      </c>
      <c r="Y475" t="str">
        <f t="shared" si="98"/>
        <v>Evening</v>
      </c>
      <c r="Z475" t="str">
        <f t="shared" si="99"/>
        <v>Cold</v>
      </c>
      <c r="AA475" t="str">
        <f t="shared" si="100"/>
        <v>Low</v>
      </c>
      <c r="AB475" t="str">
        <f t="shared" si="101"/>
        <v>Peak</v>
      </c>
      <c r="AC475" s="63">
        <f t="shared" si="102"/>
        <v>8.3333333333333332E-3</v>
      </c>
      <c r="AD475" t="str">
        <f>IF(P475&gt;=Stats!$C$30,"High",IF(P475&lt;=Stats!$C$29,"Low","Normal"))</f>
        <v>High</v>
      </c>
      <c r="AE475">
        <f t="shared" si="103"/>
        <v>1</v>
      </c>
    </row>
    <row r="476" spans="1:31" x14ac:dyDescent="0.2">
      <c r="A476">
        <f>Dataset_A!A476</f>
        <v>475</v>
      </c>
      <c r="B476" s="61">
        <f>Dataset_A!B476</f>
        <v>40564</v>
      </c>
      <c r="C476">
        <f>Dataset_A!C476</f>
        <v>1</v>
      </c>
      <c r="D476">
        <f>Dataset_A!D476</f>
        <v>0</v>
      </c>
      <c r="E476">
        <f>Dataset_A!E476</f>
        <v>1</v>
      </c>
      <c r="F476">
        <f>Dataset_A!F476</f>
        <v>19</v>
      </c>
      <c r="G476" t="b">
        <f>Dataset_A!G476</f>
        <v>0</v>
      </c>
      <c r="H476">
        <f>Dataset_A!H476</f>
        <v>5</v>
      </c>
      <c r="I476">
        <f>Dataset_A!I476</f>
        <v>1</v>
      </c>
      <c r="J476" s="55">
        <f>Dataset_A!J476</f>
        <v>0.12</v>
      </c>
      <c r="K476">
        <f>Dataset_A!K476</f>
        <v>0.1061</v>
      </c>
      <c r="L476">
        <f>Dataset_A!L476</f>
        <v>0.3</v>
      </c>
      <c r="M476">
        <f>Dataset_A!M476</f>
        <v>0.32840000000000003</v>
      </c>
      <c r="N476">
        <f>Dataset_A!N476</f>
        <v>3</v>
      </c>
      <c r="O476">
        <f>Dataset_A!O476</f>
        <v>93</v>
      </c>
      <c r="P476">
        <f>Dataset_A!P476</f>
        <v>96</v>
      </c>
      <c r="Q476" t="str">
        <f t="shared" si="91"/>
        <v>REC-0475</v>
      </c>
      <c r="R476" s="62">
        <f t="shared" si="92"/>
        <v>40564.791666666664</v>
      </c>
      <c r="S476" t="str">
        <f t="shared" si="93"/>
        <v>Jan</v>
      </c>
      <c r="T476" t="str">
        <f>INDEX(Lookups!$B$39:$B$45,MATCH(H476,Lookups!$A$39:$A$45,0))</f>
        <v>Fri</v>
      </c>
      <c r="U476" t="str">
        <f t="shared" si="94"/>
        <v>Weekday</v>
      </c>
      <c r="V476" t="str">
        <f t="shared" si="95"/>
        <v>Working Day</v>
      </c>
      <c r="W476" t="str">
        <f t="shared" si="96"/>
        <v>Spring</v>
      </c>
      <c r="X476" t="str">
        <f t="shared" si="97"/>
        <v>Clear</v>
      </c>
      <c r="Y476" t="str">
        <f t="shared" si="98"/>
        <v>Evening</v>
      </c>
      <c r="Z476" t="str">
        <f t="shared" si="99"/>
        <v>Cold</v>
      </c>
      <c r="AA476" t="str">
        <f t="shared" si="100"/>
        <v>Low</v>
      </c>
      <c r="AB476" t="str">
        <f t="shared" si="101"/>
        <v>Peak</v>
      </c>
      <c r="AC476" s="63">
        <f t="shared" si="102"/>
        <v>3.125E-2</v>
      </c>
      <c r="AD476" t="str">
        <f>IF(P476&gt;=Stats!$C$30,"High",IF(P476&lt;=Stats!$C$29,"Low","Normal"))</f>
        <v>High</v>
      </c>
      <c r="AE476">
        <f t="shared" si="103"/>
        <v>1</v>
      </c>
    </row>
    <row r="477" spans="1:31" x14ac:dyDescent="0.2">
      <c r="A477">
        <f>Dataset_A!A477</f>
        <v>476</v>
      </c>
      <c r="B477" s="61">
        <f>Dataset_A!B477</f>
        <v>40564</v>
      </c>
      <c r="C477">
        <f>Dataset_A!C477</f>
        <v>1</v>
      </c>
      <c r="D477">
        <f>Dataset_A!D477</f>
        <v>0</v>
      </c>
      <c r="E477">
        <f>Dataset_A!E477</f>
        <v>1</v>
      </c>
      <c r="F477">
        <f>Dataset_A!F477</f>
        <v>20</v>
      </c>
      <c r="G477" t="b">
        <f>Dataset_A!G477</f>
        <v>0</v>
      </c>
      <c r="H477">
        <f>Dataset_A!H477</f>
        <v>5</v>
      </c>
      <c r="I477">
        <f>Dataset_A!I477</f>
        <v>1</v>
      </c>
      <c r="J477" s="55">
        <f>Dataset_A!J477</f>
        <v>0.1</v>
      </c>
      <c r="K477">
        <f>Dataset_A!K477</f>
        <v>7.5800000000000006E-2</v>
      </c>
      <c r="L477">
        <f>Dataset_A!L477</f>
        <v>0.33</v>
      </c>
      <c r="M477">
        <f>Dataset_A!M477</f>
        <v>0.41789999999999999</v>
      </c>
      <c r="N477">
        <f>Dataset_A!N477</f>
        <v>1</v>
      </c>
      <c r="O477">
        <f>Dataset_A!O477</f>
        <v>52</v>
      </c>
      <c r="P477">
        <f>Dataset_A!P477</f>
        <v>53</v>
      </c>
      <c r="Q477" t="str">
        <f t="shared" si="91"/>
        <v>REC-0476</v>
      </c>
      <c r="R477" s="62">
        <f t="shared" si="92"/>
        <v>40564.833333333336</v>
      </c>
      <c r="S477" t="str">
        <f t="shared" si="93"/>
        <v>Jan</v>
      </c>
      <c r="T477" t="str">
        <f>INDEX(Lookups!$B$39:$B$45,MATCH(H477,Lookups!$A$39:$A$45,0))</f>
        <v>Fri</v>
      </c>
      <c r="U477" t="str">
        <f t="shared" si="94"/>
        <v>Weekday</v>
      </c>
      <c r="V477" t="str">
        <f t="shared" si="95"/>
        <v>Working Day</v>
      </c>
      <c r="W477" t="str">
        <f t="shared" si="96"/>
        <v>Spring</v>
      </c>
      <c r="X477" t="str">
        <f t="shared" si="97"/>
        <v>Clear</v>
      </c>
      <c r="Y477" t="str">
        <f t="shared" si="98"/>
        <v>Evening</v>
      </c>
      <c r="Z477" t="str">
        <f t="shared" si="99"/>
        <v>Cold</v>
      </c>
      <c r="AA477" t="str">
        <f t="shared" si="100"/>
        <v>Low</v>
      </c>
      <c r="AB477" t="str">
        <f t="shared" si="101"/>
        <v>Off-Peak</v>
      </c>
      <c r="AC477" s="63">
        <f t="shared" si="102"/>
        <v>1.8867924528301886E-2</v>
      </c>
      <c r="AD477" t="str">
        <f>IF(P477&gt;=Stats!$C$30,"High",IF(P477&lt;=Stats!$C$29,"Low","Normal"))</f>
        <v>Normal</v>
      </c>
      <c r="AE477">
        <f t="shared" si="103"/>
        <v>1</v>
      </c>
    </row>
    <row r="478" spans="1:31" x14ac:dyDescent="0.2">
      <c r="A478">
        <f>Dataset_A!A478</f>
        <v>477</v>
      </c>
      <c r="B478" s="61">
        <f>Dataset_A!B478</f>
        <v>40564</v>
      </c>
      <c r="C478">
        <f>Dataset_A!C478</f>
        <v>1</v>
      </c>
      <c r="D478">
        <f>Dataset_A!D478</f>
        <v>0</v>
      </c>
      <c r="E478">
        <f>Dataset_A!E478</f>
        <v>1</v>
      </c>
      <c r="F478">
        <f>Dataset_A!F478</f>
        <v>21</v>
      </c>
      <c r="G478" t="b">
        <f>Dataset_A!G478</f>
        <v>0</v>
      </c>
      <c r="H478">
        <f>Dataset_A!H478</f>
        <v>5</v>
      </c>
      <c r="I478">
        <f>Dataset_A!I478</f>
        <v>1</v>
      </c>
      <c r="J478" s="55">
        <f>Dataset_A!J478</f>
        <v>0.08</v>
      </c>
      <c r="K478">
        <f>Dataset_A!K478</f>
        <v>7.5800000000000006E-2</v>
      </c>
      <c r="L478">
        <f>Dataset_A!L478</f>
        <v>0.38</v>
      </c>
      <c r="M478">
        <f>Dataset_A!M478</f>
        <v>0.28360000000000002</v>
      </c>
      <c r="N478">
        <f>Dataset_A!N478</f>
        <v>0</v>
      </c>
      <c r="O478">
        <f>Dataset_A!O478</f>
        <v>41</v>
      </c>
      <c r="P478">
        <f>Dataset_A!P478</f>
        <v>41</v>
      </c>
      <c r="Q478" t="str">
        <f t="shared" si="91"/>
        <v>REC-0477</v>
      </c>
      <c r="R478" s="62">
        <f t="shared" si="92"/>
        <v>40564.875</v>
      </c>
      <c r="S478" t="str">
        <f t="shared" si="93"/>
        <v>Jan</v>
      </c>
      <c r="T478" t="str">
        <f>INDEX(Lookups!$B$39:$B$45,MATCH(H478,Lookups!$A$39:$A$45,0))</f>
        <v>Fri</v>
      </c>
      <c r="U478" t="str">
        <f t="shared" si="94"/>
        <v>Weekday</v>
      </c>
      <c r="V478" t="str">
        <f t="shared" si="95"/>
        <v>Working Day</v>
      </c>
      <c r="W478" t="str">
        <f t="shared" si="96"/>
        <v>Spring</v>
      </c>
      <c r="X478" t="str">
        <f t="shared" si="97"/>
        <v>Clear</v>
      </c>
      <c r="Y478" t="str">
        <f t="shared" si="98"/>
        <v>Late Evening</v>
      </c>
      <c r="Z478" t="str">
        <f t="shared" si="99"/>
        <v>Cold</v>
      </c>
      <c r="AA478" t="str">
        <f t="shared" si="100"/>
        <v>Low</v>
      </c>
      <c r="AB478" t="str">
        <f t="shared" si="101"/>
        <v>Off-Peak</v>
      </c>
      <c r="AC478" s="63">
        <f t="shared" si="102"/>
        <v>0</v>
      </c>
      <c r="AD478" t="str">
        <f>IF(P478&gt;=Stats!$C$30,"High",IF(P478&lt;=Stats!$C$29,"Low","Normal"))</f>
        <v>Normal</v>
      </c>
      <c r="AE478">
        <f t="shared" si="103"/>
        <v>1</v>
      </c>
    </row>
    <row r="479" spans="1:31" x14ac:dyDescent="0.2">
      <c r="A479">
        <f>Dataset_A!A479</f>
        <v>478</v>
      </c>
      <c r="B479" s="61">
        <f>Dataset_A!B479</f>
        <v>40564</v>
      </c>
      <c r="C479">
        <f>Dataset_A!C479</f>
        <v>1</v>
      </c>
      <c r="D479">
        <f>Dataset_A!D479</f>
        <v>0</v>
      </c>
      <c r="E479">
        <f>Dataset_A!E479</f>
        <v>1</v>
      </c>
      <c r="F479">
        <f>Dataset_A!F479</f>
        <v>22</v>
      </c>
      <c r="G479" t="b">
        <f>Dataset_A!G479</f>
        <v>0</v>
      </c>
      <c r="H479">
        <f>Dataset_A!H479</f>
        <v>5</v>
      </c>
      <c r="I479">
        <f>Dataset_A!I479</f>
        <v>1</v>
      </c>
      <c r="J479" s="55">
        <f>Dataset_A!J479</f>
        <v>0.06</v>
      </c>
      <c r="K479">
        <f>Dataset_A!K479</f>
        <v>3.0300000000000001E-2</v>
      </c>
      <c r="L479">
        <f>Dataset_A!L479</f>
        <v>0.41</v>
      </c>
      <c r="M479">
        <f>Dataset_A!M479</f>
        <v>0.3881</v>
      </c>
      <c r="N479">
        <f>Dataset_A!N479</f>
        <v>1</v>
      </c>
      <c r="O479">
        <f>Dataset_A!O479</f>
        <v>33</v>
      </c>
      <c r="P479">
        <f>Dataset_A!P479</f>
        <v>34</v>
      </c>
      <c r="Q479" t="str">
        <f t="shared" si="91"/>
        <v>REC-0478</v>
      </c>
      <c r="R479" s="62">
        <f t="shared" si="92"/>
        <v>40564.916666666664</v>
      </c>
      <c r="S479" t="str">
        <f t="shared" si="93"/>
        <v>Jan</v>
      </c>
      <c r="T479" t="str">
        <f>INDEX(Lookups!$B$39:$B$45,MATCH(H479,Lookups!$A$39:$A$45,0))</f>
        <v>Fri</v>
      </c>
      <c r="U479" t="str">
        <f t="shared" si="94"/>
        <v>Weekday</v>
      </c>
      <c r="V479" t="str">
        <f t="shared" si="95"/>
        <v>Working Day</v>
      </c>
      <c r="W479" t="str">
        <f t="shared" si="96"/>
        <v>Spring</v>
      </c>
      <c r="X479" t="str">
        <f t="shared" si="97"/>
        <v>Clear</v>
      </c>
      <c r="Y479" t="str">
        <f t="shared" si="98"/>
        <v>Late Evening</v>
      </c>
      <c r="Z479" t="str">
        <f t="shared" si="99"/>
        <v>Cold</v>
      </c>
      <c r="AA479" t="str">
        <f t="shared" si="100"/>
        <v>Low</v>
      </c>
      <c r="AB479" t="str">
        <f t="shared" si="101"/>
        <v>Off-Peak</v>
      </c>
      <c r="AC479" s="63">
        <f t="shared" si="102"/>
        <v>2.9411764705882353E-2</v>
      </c>
      <c r="AD479" t="str">
        <f>IF(P479&gt;=Stats!$C$30,"High",IF(P479&lt;=Stats!$C$29,"Low","Normal"))</f>
        <v>Normal</v>
      </c>
      <c r="AE479">
        <f t="shared" si="103"/>
        <v>1</v>
      </c>
    </row>
    <row r="480" spans="1:31" x14ac:dyDescent="0.2">
      <c r="A480">
        <f>Dataset_A!A480</f>
        <v>479</v>
      </c>
      <c r="B480" s="61">
        <f>Dataset_A!B480</f>
        <v>40564</v>
      </c>
      <c r="C480">
        <f>Dataset_A!C480</f>
        <v>1</v>
      </c>
      <c r="D480">
        <f>Dataset_A!D480</f>
        <v>0</v>
      </c>
      <c r="E480">
        <f>Dataset_A!E480</f>
        <v>1</v>
      </c>
      <c r="F480">
        <f>Dataset_A!F480</f>
        <v>23</v>
      </c>
      <c r="G480" t="b">
        <f>Dataset_A!G480</f>
        <v>0</v>
      </c>
      <c r="H480">
        <f>Dataset_A!H480</f>
        <v>5</v>
      </c>
      <c r="I480">
        <f>Dataset_A!I480</f>
        <v>1</v>
      </c>
      <c r="J480" s="55">
        <f>Dataset_A!J480</f>
        <v>0.06</v>
      </c>
      <c r="K480">
        <f>Dataset_A!K480</f>
        <v>4.5499999999999999E-2</v>
      </c>
      <c r="L480">
        <f>Dataset_A!L480</f>
        <v>0.38</v>
      </c>
      <c r="M480">
        <f>Dataset_A!M480</f>
        <v>0.32840000000000003</v>
      </c>
      <c r="N480">
        <f>Dataset_A!N480</f>
        <v>0</v>
      </c>
      <c r="O480">
        <f>Dataset_A!O480</f>
        <v>27</v>
      </c>
      <c r="P480">
        <f>Dataset_A!P480</f>
        <v>27</v>
      </c>
      <c r="Q480" t="str">
        <f t="shared" si="91"/>
        <v>REC-0479</v>
      </c>
      <c r="R480" s="62">
        <f t="shared" si="92"/>
        <v>40564.958333333336</v>
      </c>
      <c r="S480" t="str">
        <f t="shared" si="93"/>
        <v>Jan</v>
      </c>
      <c r="T480" t="str">
        <f>INDEX(Lookups!$B$39:$B$45,MATCH(H480,Lookups!$A$39:$A$45,0))</f>
        <v>Fri</v>
      </c>
      <c r="U480" t="str">
        <f t="shared" si="94"/>
        <v>Weekday</v>
      </c>
      <c r="V480" t="str">
        <f t="shared" si="95"/>
        <v>Working Day</v>
      </c>
      <c r="W480" t="str">
        <f t="shared" si="96"/>
        <v>Spring</v>
      </c>
      <c r="X480" t="str">
        <f t="shared" si="97"/>
        <v>Clear</v>
      </c>
      <c r="Y480" t="str">
        <f t="shared" si="98"/>
        <v>Late Evening</v>
      </c>
      <c r="Z480" t="str">
        <f t="shared" si="99"/>
        <v>Cold</v>
      </c>
      <c r="AA480" t="str">
        <f t="shared" si="100"/>
        <v>Low</v>
      </c>
      <c r="AB480" t="str">
        <f t="shared" si="101"/>
        <v>Off-Peak</v>
      </c>
      <c r="AC480" s="63">
        <f t="shared" si="102"/>
        <v>0</v>
      </c>
      <c r="AD480" t="str">
        <f>IF(P480&gt;=Stats!$C$30,"High",IF(P480&lt;=Stats!$C$29,"Low","Normal"))</f>
        <v>Normal</v>
      </c>
      <c r="AE480">
        <f t="shared" si="103"/>
        <v>1</v>
      </c>
    </row>
    <row r="481" spans="1:31" x14ac:dyDescent="0.2">
      <c r="A481">
        <f>Dataset_A!A481</f>
        <v>480</v>
      </c>
      <c r="B481" s="61">
        <f>Dataset_A!B481</f>
        <v>40565</v>
      </c>
      <c r="C481">
        <f>Dataset_A!C481</f>
        <v>1</v>
      </c>
      <c r="D481">
        <f>Dataset_A!D481</f>
        <v>0</v>
      </c>
      <c r="E481">
        <f>Dataset_A!E481</f>
        <v>1</v>
      </c>
      <c r="F481">
        <f>Dataset_A!F481</f>
        <v>0</v>
      </c>
      <c r="G481" t="b">
        <f>Dataset_A!G481</f>
        <v>0</v>
      </c>
      <c r="H481">
        <f>Dataset_A!H481</f>
        <v>6</v>
      </c>
      <c r="I481">
        <f>Dataset_A!I481</f>
        <v>1</v>
      </c>
      <c r="J481" s="55">
        <f>Dataset_A!J481</f>
        <v>0.04</v>
      </c>
      <c r="K481">
        <f>Dataset_A!K481</f>
        <v>3.0300000000000001E-2</v>
      </c>
      <c r="L481">
        <f>Dataset_A!L481</f>
        <v>0.45</v>
      </c>
      <c r="M481">
        <f>Dataset_A!M481</f>
        <v>0.25369999999999998</v>
      </c>
      <c r="N481">
        <f>Dataset_A!N481</f>
        <v>0</v>
      </c>
      <c r="O481">
        <f>Dataset_A!O481</f>
        <v>13</v>
      </c>
      <c r="P481">
        <f>Dataset_A!P481</f>
        <v>13</v>
      </c>
      <c r="Q481" t="str">
        <f t="shared" si="91"/>
        <v>REC-0480</v>
      </c>
      <c r="R481" s="62">
        <f t="shared" si="92"/>
        <v>40565</v>
      </c>
      <c r="S481" t="str">
        <f t="shared" si="93"/>
        <v>Jan</v>
      </c>
      <c r="T481" t="str">
        <f>INDEX(Lookups!$B$39:$B$45,MATCH(H481,Lookups!$A$39:$A$45,0))</f>
        <v>Sat</v>
      </c>
      <c r="U481" t="str">
        <f t="shared" si="94"/>
        <v>Weekend</v>
      </c>
      <c r="V481" t="str">
        <f t="shared" si="95"/>
        <v>Non-Working Day</v>
      </c>
      <c r="W481" t="str">
        <f t="shared" si="96"/>
        <v>Spring</v>
      </c>
      <c r="X481" t="str">
        <f t="shared" si="97"/>
        <v>Clear</v>
      </c>
      <c r="Y481" t="str">
        <f t="shared" si="98"/>
        <v>Night</v>
      </c>
      <c r="Z481" t="str">
        <f t="shared" si="99"/>
        <v>Cold</v>
      </c>
      <c r="AA481" t="str">
        <f t="shared" si="100"/>
        <v>Low</v>
      </c>
      <c r="AB481" t="str">
        <f t="shared" si="101"/>
        <v>Off-Peak</v>
      </c>
      <c r="AC481" s="63">
        <f t="shared" si="102"/>
        <v>0</v>
      </c>
      <c r="AD481" t="str">
        <f>IF(P481&gt;=Stats!$C$30,"High",IF(P481&lt;=Stats!$C$29,"Low","Normal"))</f>
        <v>Low</v>
      </c>
      <c r="AE481">
        <f t="shared" si="103"/>
        <v>1</v>
      </c>
    </row>
    <row r="482" spans="1:31" x14ac:dyDescent="0.2">
      <c r="A482">
        <f>Dataset_A!A482</f>
        <v>481</v>
      </c>
      <c r="B482" s="61">
        <f>Dataset_A!B482</f>
        <v>40565</v>
      </c>
      <c r="C482">
        <f>Dataset_A!C482</f>
        <v>1</v>
      </c>
      <c r="D482">
        <f>Dataset_A!D482</f>
        <v>0</v>
      </c>
      <c r="E482">
        <f>Dataset_A!E482</f>
        <v>1</v>
      </c>
      <c r="F482">
        <f>Dataset_A!F482</f>
        <v>1</v>
      </c>
      <c r="G482" t="b">
        <f>Dataset_A!G482</f>
        <v>0</v>
      </c>
      <c r="H482">
        <f>Dataset_A!H482</f>
        <v>6</v>
      </c>
      <c r="I482">
        <f>Dataset_A!I482</f>
        <v>2</v>
      </c>
      <c r="J482" s="55">
        <f>Dataset_A!J482</f>
        <v>0.04</v>
      </c>
      <c r="K482">
        <f>Dataset_A!K482</f>
        <v>0</v>
      </c>
      <c r="L482">
        <f>Dataset_A!L482</f>
        <v>0.41</v>
      </c>
      <c r="M482">
        <f>Dataset_A!M482</f>
        <v>0.3881</v>
      </c>
      <c r="N482">
        <f>Dataset_A!N482</f>
        <v>3</v>
      </c>
      <c r="O482">
        <f>Dataset_A!O482</f>
        <v>9</v>
      </c>
      <c r="P482">
        <f>Dataset_A!P482</f>
        <v>12</v>
      </c>
      <c r="Q482" t="str">
        <f t="shared" si="91"/>
        <v>REC-0481</v>
      </c>
      <c r="R482" s="62">
        <f t="shared" si="92"/>
        <v>40565.041666666664</v>
      </c>
      <c r="S482" t="str">
        <f t="shared" si="93"/>
        <v>Jan</v>
      </c>
      <c r="T482" t="str">
        <f>INDEX(Lookups!$B$39:$B$45,MATCH(H482,Lookups!$A$39:$A$45,0))</f>
        <v>Sat</v>
      </c>
      <c r="U482" t="str">
        <f t="shared" si="94"/>
        <v>Weekend</v>
      </c>
      <c r="V482" t="str">
        <f t="shared" si="95"/>
        <v>Non-Working Day</v>
      </c>
      <c r="W482" t="str">
        <f t="shared" si="96"/>
        <v>Spring</v>
      </c>
      <c r="X482" t="str">
        <f t="shared" si="97"/>
        <v>Cloudy/Mist</v>
      </c>
      <c r="Y482" t="str">
        <f t="shared" si="98"/>
        <v>Night</v>
      </c>
      <c r="Z482" t="str">
        <f t="shared" si="99"/>
        <v>Cold</v>
      </c>
      <c r="AA482" t="str">
        <f t="shared" si="100"/>
        <v>Low</v>
      </c>
      <c r="AB482" t="str">
        <f t="shared" si="101"/>
        <v>Off-Peak</v>
      </c>
      <c r="AC482" s="63">
        <f t="shared" si="102"/>
        <v>0.25</v>
      </c>
      <c r="AD482" t="str">
        <f>IF(P482&gt;=Stats!$C$30,"High",IF(P482&lt;=Stats!$C$29,"Low","Normal"))</f>
        <v>Low</v>
      </c>
      <c r="AE482">
        <f t="shared" si="103"/>
        <v>1</v>
      </c>
    </row>
    <row r="483" spans="1:31" x14ac:dyDescent="0.2">
      <c r="A483">
        <f>Dataset_A!A483</f>
        <v>482</v>
      </c>
      <c r="B483" s="61">
        <f>Dataset_A!B483</f>
        <v>40565</v>
      </c>
      <c r="C483">
        <f>Dataset_A!C483</f>
        <v>1</v>
      </c>
      <c r="D483">
        <f>Dataset_A!D483</f>
        <v>0</v>
      </c>
      <c r="E483">
        <f>Dataset_A!E483</f>
        <v>1</v>
      </c>
      <c r="F483">
        <f>Dataset_A!F483</f>
        <v>2</v>
      </c>
      <c r="G483" t="b">
        <f>Dataset_A!G483</f>
        <v>0</v>
      </c>
      <c r="H483">
        <f>Dataset_A!H483</f>
        <v>6</v>
      </c>
      <c r="I483">
        <f>Dataset_A!I483</f>
        <v>2</v>
      </c>
      <c r="J483" s="55">
        <f>Dataset_A!J483</f>
        <v>0.04</v>
      </c>
      <c r="K483">
        <f>Dataset_A!K483</f>
        <v>3.0300000000000001E-2</v>
      </c>
      <c r="L483">
        <f>Dataset_A!L483</f>
        <v>0.41</v>
      </c>
      <c r="M483">
        <f>Dataset_A!M483</f>
        <v>0.25369999999999998</v>
      </c>
      <c r="N483">
        <f>Dataset_A!N483</f>
        <v>0</v>
      </c>
      <c r="O483">
        <f>Dataset_A!O483</f>
        <v>11</v>
      </c>
      <c r="P483">
        <f>Dataset_A!P483</f>
        <v>11</v>
      </c>
      <c r="Q483" t="str">
        <f t="shared" si="91"/>
        <v>REC-0482</v>
      </c>
      <c r="R483" s="62">
        <f t="shared" si="92"/>
        <v>40565.083333333336</v>
      </c>
      <c r="S483" t="str">
        <f t="shared" si="93"/>
        <v>Jan</v>
      </c>
      <c r="T483" t="str">
        <f>INDEX(Lookups!$B$39:$B$45,MATCH(H483,Lookups!$A$39:$A$45,0))</f>
        <v>Sat</v>
      </c>
      <c r="U483" t="str">
        <f t="shared" si="94"/>
        <v>Weekend</v>
      </c>
      <c r="V483" t="str">
        <f t="shared" si="95"/>
        <v>Non-Working Day</v>
      </c>
      <c r="W483" t="str">
        <f t="shared" si="96"/>
        <v>Spring</v>
      </c>
      <c r="X483" t="str">
        <f t="shared" si="97"/>
        <v>Cloudy/Mist</v>
      </c>
      <c r="Y483" t="str">
        <f t="shared" si="98"/>
        <v>Night</v>
      </c>
      <c r="Z483" t="str">
        <f t="shared" si="99"/>
        <v>Cold</v>
      </c>
      <c r="AA483" t="str">
        <f t="shared" si="100"/>
        <v>Low</v>
      </c>
      <c r="AB483" t="str">
        <f t="shared" si="101"/>
        <v>Off-Peak</v>
      </c>
      <c r="AC483" s="63">
        <f t="shared" si="102"/>
        <v>0</v>
      </c>
      <c r="AD483" t="str">
        <f>IF(P483&gt;=Stats!$C$30,"High",IF(P483&lt;=Stats!$C$29,"Low","Normal"))</f>
        <v>Low</v>
      </c>
      <c r="AE483">
        <f t="shared" si="103"/>
        <v>1</v>
      </c>
    </row>
    <row r="484" spans="1:31" x14ac:dyDescent="0.2">
      <c r="A484">
        <f>Dataset_A!A484</f>
        <v>483</v>
      </c>
      <c r="B484" s="61">
        <f>Dataset_A!B484</f>
        <v>40565</v>
      </c>
      <c r="C484">
        <f>Dataset_A!C484</f>
        <v>1</v>
      </c>
      <c r="D484">
        <f>Dataset_A!D484</f>
        <v>0</v>
      </c>
      <c r="E484">
        <f>Dataset_A!E484</f>
        <v>1</v>
      </c>
      <c r="F484">
        <f>Dataset_A!F484</f>
        <v>3</v>
      </c>
      <c r="G484" t="b">
        <f>Dataset_A!G484</f>
        <v>0</v>
      </c>
      <c r="H484">
        <f>Dataset_A!H484</f>
        <v>6</v>
      </c>
      <c r="I484">
        <f>Dataset_A!I484</f>
        <v>2</v>
      </c>
      <c r="J484" s="55">
        <f>Dataset_A!J484</f>
        <v>0.04</v>
      </c>
      <c r="K484">
        <f>Dataset_A!K484</f>
        <v>3.0300000000000001E-2</v>
      </c>
      <c r="L484">
        <f>Dataset_A!L484</f>
        <v>0.41</v>
      </c>
      <c r="M484">
        <f>Dataset_A!M484</f>
        <v>0.28360000000000002</v>
      </c>
      <c r="N484">
        <f>Dataset_A!N484</f>
        <v>1</v>
      </c>
      <c r="O484">
        <f>Dataset_A!O484</f>
        <v>6</v>
      </c>
      <c r="P484">
        <f>Dataset_A!P484</f>
        <v>7</v>
      </c>
      <c r="Q484" t="str">
        <f t="shared" si="91"/>
        <v>REC-0483</v>
      </c>
      <c r="R484" s="62">
        <f t="shared" si="92"/>
        <v>40565.125</v>
      </c>
      <c r="S484" t="str">
        <f t="shared" si="93"/>
        <v>Jan</v>
      </c>
      <c r="T484" t="str">
        <f>INDEX(Lookups!$B$39:$B$45,MATCH(H484,Lookups!$A$39:$A$45,0))</f>
        <v>Sat</v>
      </c>
      <c r="U484" t="str">
        <f t="shared" si="94"/>
        <v>Weekend</v>
      </c>
      <c r="V484" t="str">
        <f t="shared" si="95"/>
        <v>Non-Working Day</v>
      </c>
      <c r="W484" t="str">
        <f t="shared" si="96"/>
        <v>Spring</v>
      </c>
      <c r="X484" t="str">
        <f t="shared" si="97"/>
        <v>Cloudy/Mist</v>
      </c>
      <c r="Y484" t="str">
        <f t="shared" si="98"/>
        <v>Night</v>
      </c>
      <c r="Z484" t="str">
        <f t="shared" si="99"/>
        <v>Cold</v>
      </c>
      <c r="AA484" t="str">
        <f t="shared" si="100"/>
        <v>Low</v>
      </c>
      <c r="AB484" t="str">
        <f t="shared" si="101"/>
        <v>Off-Peak</v>
      </c>
      <c r="AC484" s="63">
        <f t="shared" si="102"/>
        <v>0.14285714285714285</v>
      </c>
      <c r="AD484" t="str">
        <f>IF(P484&gt;=Stats!$C$30,"High",IF(P484&lt;=Stats!$C$29,"Low","Normal"))</f>
        <v>Low</v>
      </c>
      <c r="AE484">
        <f t="shared" si="103"/>
        <v>1</v>
      </c>
    </row>
    <row r="485" spans="1:31" x14ac:dyDescent="0.2">
      <c r="A485">
        <f>Dataset_A!A485</f>
        <v>484</v>
      </c>
      <c r="B485" s="61">
        <f>Dataset_A!B485</f>
        <v>40565</v>
      </c>
      <c r="C485">
        <f>Dataset_A!C485</f>
        <v>1</v>
      </c>
      <c r="D485">
        <f>Dataset_A!D485</f>
        <v>0</v>
      </c>
      <c r="E485">
        <f>Dataset_A!E485</f>
        <v>1</v>
      </c>
      <c r="F485">
        <f>Dataset_A!F485</f>
        <v>4</v>
      </c>
      <c r="G485" t="b">
        <f>Dataset_A!G485</f>
        <v>0</v>
      </c>
      <c r="H485">
        <f>Dataset_A!H485</f>
        <v>6</v>
      </c>
      <c r="I485">
        <f>Dataset_A!I485</f>
        <v>2</v>
      </c>
      <c r="J485" s="55">
        <f>Dataset_A!J485</f>
        <v>0.02</v>
      </c>
      <c r="K485">
        <f>Dataset_A!K485</f>
        <v>1.52E-2</v>
      </c>
      <c r="L485">
        <f>Dataset_A!L485</f>
        <v>0.48</v>
      </c>
      <c r="M485">
        <f>Dataset_A!M485</f>
        <v>0.29849999999999999</v>
      </c>
      <c r="N485">
        <f>Dataset_A!N485</f>
        <v>0</v>
      </c>
      <c r="O485">
        <f>Dataset_A!O485</f>
        <v>3</v>
      </c>
      <c r="P485">
        <f>Dataset_A!P485</f>
        <v>3</v>
      </c>
      <c r="Q485" t="str">
        <f t="shared" si="91"/>
        <v>REC-0484</v>
      </c>
      <c r="R485" s="62">
        <f t="shared" si="92"/>
        <v>40565.166666666664</v>
      </c>
      <c r="S485" t="str">
        <f t="shared" si="93"/>
        <v>Jan</v>
      </c>
      <c r="T485" t="str">
        <f>INDEX(Lookups!$B$39:$B$45,MATCH(H485,Lookups!$A$39:$A$45,0))</f>
        <v>Sat</v>
      </c>
      <c r="U485" t="str">
        <f t="shared" si="94"/>
        <v>Weekend</v>
      </c>
      <c r="V485" t="str">
        <f t="shared" si="95"/>
        <v>Non-Working Day</v>
      </c>
      <c r="W485" t="str">
        <f t="shared" si="96"/>
        <v>Spring</v>
      </c>
      <c r="X485" t="str">
        <f t="shared" si="97"/>
        <v>Cloudy/Mist</v>
      </c>
      <c r="Y485" t="str">
        <f t="shared" si="98"/>
        <v>Night</v>
      </c>
      <c r="Z485" t="str">
        <f t="shared" si="99"/>
        <v>Cold</v>
      </c>
      <c r="AA485" t="str">
        <f t="shared" si="100"/>
        <v>Low</v>
      </c>
      <c r="AB485" t="str">
        <f t="shared" si="101"/>
        <v>Off-Peak</v>
      </c>
      <c r="AC485" s="63">
        <f t="shared" si="102"/>
        <v>0</v>
      </c>
      <c r="AD485" t="str">
        <f>IF(P485&gt;=Stats!$C$30,"High",IF(P485&lt;=Stats!$C$29,"Low","Normal"))</f>
        <v>Low</v>
      </c>
      <c r="AE485">
        <f t="shared" si="103"/>
        <v>1</v>
      </c>
    </row>
    <row r="486" spans="1:31" x14ac:dyDescent="0.2">
      <c r="A486">
        <f>Dataset_A!A486</f>
        <v>485</v>
      </c>
      <c r="B486" s="61">
        <f>Dataset_A!B486</f>
        <v>40565</v>
      </c>
      <c r="C486">
        <f>Dataset_A!C486</f>
        <v>1</v>
      </c>
      <c r="D486">
        <f>Dataset_A!D486</f>
        <v>0</v>
      </c>
      <c r="E486">
        <f>Dataset_A!E486</f>
        <v>1</v>
      </c>
      <c r="F486">
        <f>Dataset_A!F486</f>
        <v>6</v>
      </c>
      <c r="G486" t="b">
        <f>Dataset_A!G486</f>
        <v>0</v>
      </c>
      <c r="H486">
        <f>Dataset_A!H486</f>
        <v>6</v>
      </c>
      <c r="I486">
        <f>Dataset_A!I486</f>
        <v>2</v>
      </c>
      <c r="J486" s="55">
        <f>Dataset_A!J486</f>
        <v>0.02</v>
      </c>
      <c r="K486">
        <f>Dataset_A!K486</f>
        <v>3.0300000000000001E-2</v>
      </c>
      <c r="L486">
        <f>Dataset_A!L486</f>
        <v>0.44</v>
      </c>
      <c r="M486">
        <f>Dataset_A!M486</f>
        <v>0.22389999999999999</v>
      </c>
      <c r="N486">
        <f>Dataset_A!N486</f>
        <v>0</v>
      </c>
      <c r="O486">
        <f>Dataset_A!O486</f>
        <v>2</v>
      </c>
      <c r="P486">
        <f>Dataset_A!P486</f>
        <v>2</v>
      </c>
      <c r="Q486" t="str">
        <f t="shared" si="91"/>
        <v>REC-0485</v>
      </c>
      <c r="R486" s="62">
        <f t="shared" si="92"/>
        <v>40565.25</v>
      </c>
      <c r="S486" t="str">
        <f t="shared" si="93"/>
        <v>Jan</v>
      </c>
      <c r="T486" t="str">
        <f>INDEX(Lookups!$B$39:$B$45,MATCH(H486,Lookups!$A$39:$A$45,0))</f>
        <v>Sat</v>
      </c>
      <c r="U486" t="str">
        <f t="shared" si="94"/>
        <v>Weekend</v>
      </c>
      <c r="V486" t="str">
        <f t="shared" si="95"/>
        <v>Non-Working Day</v>
      </c>
      <c r="W486" t="str">
        <f t="shared" si="96"/>
        <v>Spring</v>
      </c>
      <c r="X486" t="str">
        <f t="shared" si="97"/>
        <v>Cloudy/Mist</v>
      </c>
      <c r="Y486" t="str">
        <f t="shared" si="98"/>
        <v>Morning</v>
      </c>
      <c r="Z486" t="str">
        <f t="shared" si="99"/>
        <v>Cold</v>
      </c>
      <c r="AA486" t="str">
        <f t="shared" si="100"/>
        <v>Low</v>
      </c>
      <c r="AB486" t="str">
        <f t="shared" si="101"/>
        <v>Off-Peak</v>
      </c>
      <c r="AC486" s="63">
        <f t="shared" si="102"/>
        <v>0</v>
      </c>
      <c r="AD486" t="str">
        <f>IF(P486&gt;=Stats!$C$30,"High",IF(P486&lt;=Stats!$C$29,"Low","Normal"))</f>
        <v>Low</v>
      </c>
      <c r="AE486">
        <f t="shared" si="103"/>
        <v>1</v>
      </c>
    </row>
    <row r="487" spans="1:31" x14ac:dyDescent="0.2">
      <c r="A487">
        <f>Dataset_A!A487</f>
        <v>486</v>
      </c>
      <c r="B487" s="61">
        <f>Dataset_A!B487</f>
        <v>40565</v>
      </c>
      <c r="C487">
        <f>Dataset_A!C487</f>
        <v>1</v>
      </c>
      <c r="D487">
        <f>Dataset_A!D487</f>
        <v>0</v>
      </c>
      <c r="E487">
        <f>Dataset_A!E487</f>
        <v>1</v>
      </c>
      <c r="F487">
        <f>Dataset_A!F487</f>
        <v>7</v>
      </c>
      <c r="G487" t="b">
        <f>Dataset_A!G487</f>
        <v>0</v>
      </c>
      <c r="H487">
        <f>Dataset_A!H487</f>
        <v>6</v>
      </c>
      <c r="I487">
        <f>Dataset_A!I487</f>
        <v>1</v>
      </c>
      <c r="J487" s="55">
        <f>Dataset_A!J487</f>
        <v>0.02</v>
      </c>
      <c r="K487">
        <f>Dataset_A!K487</f>
        <v>1.52E-2</v>
      </c>
      <c r="L487">
        <f>Dataset_A!L487</f>
        <v>0.44</v>
      </c>
      <c r="M487">
        <f>Dataset_A!M487</f>
        <v>0.28360000000000002</v>
      </c>
      <c r="N487">
        <f>Dataset_A!N487</f>
        <v>0</v>
      </c>
      <c r="O487">
        <f>Dataset_A!O487</f>
        <v>8</v>
      </c>
      <c r="P487">
        <f>Dataset_A!P487</f>
        <v>8</v>
      </c>
      <c r="Q487" t="str">
        <f t="shared" si="91"/>
        <v>REC-0486</v>
      </c>
      <c r="R487" s="62">
        <f t="shared" si="92"/>
        <v>40565.291666666664</v>
      </c>
      <c r="S487" t="str">
        <f t="shared" si="93"/>
        <v>Jan</v>
      </c>
      <c r="T487" t="str">
        <f>INDEX(Lookups!$B$39:$B$45,MATCH(H487,Lookups!$A$39:$A$45,0))</f>
        <v>Sat</v>
      </c>
      <c r="U487" t="str">
        <f t="shared" si="94"/>
        <v>Weekend</v>
      </c>
      <c r="V487" t="str">
        <f t="shared" si="95"/>
        <v>Non-Working Day</v>
      </c>
      <c r="W487" t="str">
        <f t="shared" si="96"/>
        <v>Spring</v>
      </c>
      <c r="X487" t="str">
        <f t="shared" si="97"/>
        <v>Clear</v>
      </c>
      <c r="Y487" t="str">
        <f t="shared" si="98"/>
        <v>Morning</v>
      </c>
      <c r="Z487" t="str">
        <f t="shared" si="99"/>
        <v>Cold</v>
      </c>
      <c r="AA487" t="str">
        <f t="shared" si="100"/>
        <v>Low</v>
      </c>
      <c r="AB487" t="str">
        <f t="shared" si="101"/>
        <v>Off-Peak</v>
      </c>
      <c r="AC487" s="63">
        <f t="shared" si="102"/>
        <v>0</v>
      </c>
      <c r="AD487" t="str">
        <f>IF(P487&gt;=Stats!$C$30,"High",IF(P487&lt;=Stats!$C$29,"Low","Normal"))</f>
        <v>Low</v>
      </c>
      <c r="AE487">
        <f t="shared" si="103"/>
        <v>1</v>
      </c>
    </row>
    <row r="488" spans="1:31" x14ac:dyDescent="0.2">
      <c r="A488">
        <f>Dataset_A!A488</f>
        <v>487</v>
      </c>
      <c r="B488" s="61">
        <f>Dataset_A!B488</f>
        <v>40565</v>
      </c>
      <c r="C488">
        <f>Dataset_A!C488</f>
        <v>1</v>
      </c>
      <c r="D488">
        <f>Dataset_A!D488</f>
        <v>0</v>
      </c>
      <c r="E488">
        <f>Dataset_A!E488</f>
        <v>1</v>
      </c>
      <c r="F488">
        <f>Dataset_A!F488</f>
        <v>8</v>
      </c>
      <c r="G488" t="b">
        <f>Dataset_A!G488</f>
        <v>0</v>
      </c>
      <c r="H488">
        <f>Dataset_A!H488</f>
        <v>6</v>
      </c>
      <c r="I488">
        <f>Dataset_A!I488</f>
        <v>1</v>
      </c>
      <c r="J488" s="55">
        <f>Dataset_A!J488</f>
        <v>0.02</v>
      </c>
      <c r="K488">
        <f>Dataset_A!K488</f>
        <v>0</v>
      </c>
      <c r="L488">
        <f>Dataset_A!L488</f>
        <v>0.44</v>
      </c>
      <c r="M488">
        <f>Dataset_A!M488</f>
        <v>0.32840000000000003</v>
      </c>
      <c r="N488">
        <f>Dataset_A!N488</f>
        <v>1</v>
      </c>
      <c r="O488">
        <f>Dataset_A!O488</f>
        <v>26</v>
      </c>
      <c r="P488">
        <f>Dataset_A!P488</f>
        <v>27</v>
      </c>
      <c r="Q488" t="str">
        <f t="shared" si="91"/>
        <v>REC-0487</v>
      </c>
      <c r="R488" s="62">
        <f t="shared" si="92"/>
        <v>40565.333333333336</v>
      </c>
      <c r="S488" t="str">
        <f t="shared" si="93"/>
        <v>Jan</v>
      </c>
      <c r="T488" t="str">
        <f>INDEX(Lookups!$B$39:$B$45,MATCH(H488,Lookups!$A$39:$A$45,0))</f>
        <v>Sat</v>
      </c>
      <c r="U488" t="str">
        <f t="shared" si="94"/>
        <v>Weekend</v>
      </c>
      <c r="V488" t="str">
        <f t="shared" si="95"/>
        <v>Non-Working Day</v>
      </c>
      <c r="W488" t="str">
        <f t="shared" si="96"/>
        <v>Spring</v>
      </c>
      <c r="X488" t="str">
        <f t="shared" si="97"/>
        <v>Clear</v>
      </c>
      <c r="Y488" t="str">
        <f t="shared" si="98"/>
        <v>Morning</v>
      </c>
      <c r="Z488" t="str">
        <f t="shared" si="99"/>
        <v>Cold</v>
      </c>
      <c r="AA488" t="str">
        <f t="shared" si="100"/>
        <v>Low</v>
      </c>
      <c r="AB488" t="str">
        <f t="shared" si="101"/>
        <v>Off-Peak</v>
      </c>
      <c r="AC488" s="63">
        <f t="shared" si="102"/>
        <v>3.7037037037037035E-2</v>
      </c>
      <c r="AD488" t="str">
        <f>IF(P488&gt;=Stats!$C$30,"High",IF(P488&lt;=Stats!$C$29,"Low","Normal"))</f>
        <v>Normal</v>
      </c>
      <c r="AE488">
        <f t="shared" si="103"/>
        <v>1</v>
      </c>
    </row>
    <row r="489" spans="1:31" x14ac:dyDescent="0.2">
      <c r="A489">
        <f>Dataset_A!A489</f>
        <v>488</v>
      </c>
      <c r="B489" s="61">
        <f>Dataset_A!B489</f>
        <v>40565</v>
      </c>
      <c r="C489">
        <f>Dataset_A!C489</f>
        <v>1</v>
      </c>
      <c r="D489">
        <f>Dataset_A!D489</f>
        <v>0</v>
      </c>
      <c r="E489">
        <f>Dataset_A!E489</f>
        <v>1</v>
      </c>
      <c r="F489">
        <f>Dataset_A!F489</f>
        <v>9</v>
      </c>
      <c r="G489" t="b">
        <f>Dataset_A!G489</f>
        <v>0</v>
      </c>
      <c r="H489">
        <f>Dataset_A!H489</f>
        <v>6</v>
      </c>
      <c r="I489">
        <f>Dataset_A!I489</f>
        <v>1</v>
      </c>
      <c r="J489" s="55">
        <f>Dataset_A!J489</f>
        <v>0.04</v>
      </c>
      <c r="K489">
        <f>Dataset_A!K489</f>
        <v>3.0300000000000001E-2</v>
      </c>
      <c r="L489">
        <f>Dataset_A!L489</f>
        <v>0.41</v>
      </c>
      <c r="M489">
        <f>Dataset_A!M489</f>
        <v>0.25369999999999998</v>
      </c>
      <c r="N489">
        <f>Dataset_A!N489</f>
        <v>3</v>
      </c>
      <c r="O489">
        <f>Dataset_A!O489</f>
        <v>37</v>
      </c>
      <c r="P489">
        <f>Dataset_A!P489</f>
        <v>40</v>
      </c>
      <c r="Q489" t="str">
        <f t="shared" si="91"/>
        <v>REC-0488</v>
      </c>
      <c r="R489" s="62">
        <f t="shared" si="92"/>
        <v>40565.375</v>
      </c>
      <c r="S489" t="str">
        <f t="shared" si="93"/>
        <v>Jan</v>
      </c>
      <c r="T489" t="str">
        <f>INDEX(Lookups!$B$39:$B$45,MATCH(H489,Lookups!$A$39:$A$45,0))</f>
        <v>Sat</v>
      </c>
      <c r="U489" t="str">
        <f t="shared" si="94"/>
        <v>Weekend</v>
      </c>
      <c r="V489" t="str">
        <f t="shared" si="95"/>
        <v>Non-Working Day</v>
      </c>
      <c r="W489" t="str">
        <f t="shared" si="96"/>
        <v>Spring</v>
      </c>
      <c r="X489" t="str">
        <f t="shared" si="97"/>
        <v>Clear</v>
      </c>
      <c r="Y489" t="str">
        <f t="shared" si="98"/>
        <v>Morning</v>
      </c>
      <c r="Z489" t="str">
        <f t="shared" si="99"/>
        <v>Cold</v>
      </c>
      <c r="AA489" t="str">
        <f t="shared" si="100"/>
        <v>Low</v>
      </c>
      <c r="AB489" t="str">
        <f t="shared" si="101"/>
        <v>Off-Peak</v>
      </c>
      <c r="AC489" s="63">
        <f t="shared" si="102"/>
        <v>7.4999999999999997E-2</v>
      </c>
      <c r="AD489" t="str">
        <f>IF(P489&gt;=Stats!$C$30,"High",IF(P489&lt;=Stats!$C$29,"Low","Normal"))</f>
        <v>Normal</v>
      </c>
      <c r="AE489">
        <f t="shared" si="103"/>
        <v>1</v>
      </c>
    </row>
    <row r="490" spans="1:31" x14ac:dyDescent="0.2">
      <c r="A490">
        <f>Dataset_A!A490</f>
        <v>489</v>
      </c>
      <c r="B490" s="61">
        <f>Dataset_A!B490</f>
        <v>40565</v>
      </c>
      <c r="C490">
        <f>Dataset_A!C490</f>
        <v>1</v>
      </c>
      <c r="D490">
        <f>Dataset_A!D490</f>
        <v>0</v>
      </c>
      <c r="E490">
        <f>Dataset_A!E490</f>
        <v>1</v>
      </c>
      <c r="F490">
        <f>Dataset_A!F490</f>
        <v>10</v>
      </c>
      <c r="G490" t="b">
        <f>Dataset_A!G490</f>
        <v>0</v>
      </c>
      <c r="H490">
        <f>Dataset_A!H490</f>
        <v>6</v>
      </c>
      <c r="I490">
        <f>Dataset_A!I490</f>
        <v>2</v>
      </c>
      <c r="J490" s="55">
        <f>Dataset_A!J490</f>
        <v>0.04</v>
      </c>
      <c r="K490">
        <f>Dataset_A!K490</f>
        <v>6.0600000000000001E-2</v>
      </c>
      <c r="L490">
        <f>Dataset_A!L490</f>
        <v>0.41</v>
      </c>
      <c r="M490">
        <f>Dataset_A!M490</f>
        <v>0.16420000000000001</v>
      </c>
      <c r="N490">
        <f>Dataset_A!N490</f>
        <v>3</v>
      </c>
      <c r="O490">
        <f>Dataset_A!O490</f>
        <v>50</v>
      </c>
      <c r="P490">
        <f>Dataset_A!P490</f>
        <v>53</v>
      </c>
      <c r="Q490" t="str">
        <f t="shared" si="91"/>
        <v>REC-0489</v>
      </c>
      <c r="R490" s="62">
        <f t="shared" si="92"/>
        <v>40565.416666666664</v>
      </c>
      <c r="S490" t="str">
        <f t="shared" si="93"/>
        <v>Jan</v>
      </c>
      <c r="T490" t="str">
        <f>INDEX(Lookups!$B$39:$B$45,MATCH(H490,Lookups!$A$39:$A$45,0))</f>
        <v>Sat</v>
      </c>
      <c r="U490" t="str">
        <f t="shared" si="94"/>
        <v>Weekend</v>
      </c>
      <c r="V490" t="str">
        <f t="shared" si="95"/>
        <v>Non-Working Day</v>
      </c>
      <c r="W490" t="str">
        <f t="shared" si="96"/>
        <v>Spring</v>
      </c>
      <c r="X490" t="str">
        <f t="shared" si="97"/>
        <v>Cloudy/Mist</v>
      </c>
      <c r="Y490" t="str">
        <f t="shared" si="98"/>
        <v>Morning</v>
      </c>
      <c r="Z490" t="str">
        <f t="shared" si="99"/>
        <v>Cold</v>
      </c>
      <c r="AA490" t="str">
        <f t="shared" si="100"/>
        <v>Low</v>
      </c>
      <c r="AB490" t="str">
        <f t="shared" si="101"/>
        <v>Off-Peak</v>
      </c>
      <c r="AC490" s="63">
        <f t="shared" si="102"/>
        <v>5.6603773584905662E-2</v>
      </c>
      <c r="AD490" t="str">
        <f>IF(P490&gt;=Stats!$C$30,"High",IF(P490&lt;=Stats!$C$29,"Low","Normal"))</f>
        <v>Normal</v>
      </c>
      <c r="AE490">
        <f t="shared" si="103"/>
        <v>1</v>
      </c>
    </row>
    <row r="491" spans="1:31" x14ac:dyDescent="0.2">
      <c r="A491">
        <f>Dataset_A!A491</f>
        <v>490</v>
      </c>
      <c r="B491" s="61">
        <f>Dataset_A!B491</f>
        <v>40565</v>
      </c>
      <c r="C491">
        <f>Dataset_A!C491</f>
        <v>1</v>
      </c>
      <c r="D491">
        <f>Dataset_A!D491</f>
        <v>0</v>
      </c>
      <c r="E491">
        <f>Dataset_A!E491</f>
        <v>1</v>
      </c>
      <c r="F491">
        <f>Dataset_A!F491</f>
        <v>11</v>
      </c>
      <c r="G491" t="b">
        <f>Dataset_A!G491</f>
        <v>0</v>
      </c>
      <c r="H491">
        <f>Dataset_A!H491</f>
        <v>6</v>
      </c>
      <c r="I491">
        <f>Dataset_A!I491</f>
        <v>2</v>
      </c>
      <c r="J491" s="55">
        <f>Dataset_A!J491</f>
        <v>0.06</v>
      </c>
      <c r="K491">
        <f>Dataset_A!K491</f>
        <v>7.5800000000000006E-2</v>
      </c>
      <c r="L491">
        <f>Dataset_A!L491</f>
        <v>0.38</v>
      </c>
      <c r="M491">
        <f>Dataset_A!M491</f>
        <v>0.1343</v>
      </c>
      <c r="N491">
        <f>Dataset_A!N491</f>
        <v>4</v>
      </c>
      <c r="O491">
        <f>Dataset_A!O491</f>
        <v>59</v>
      </c>
      <c r="P491">
        <f>Dataset_A!P491</f>
        <v>63</v>
      </c>
      <c r="Q491" t="str">
        <f t="shared" si="91"/>
        <v>REC-0490</v>
      </c>
      <c r="R491" s="62">
        <f t="shared" si="92"/>
        <v>40565.458333333336</v>
      </c>
      <c r="S491" t="str">
        <f t="shared" si="93"/>
        <v>Jan</v>
      </c>
      <c r="T491" t="str">
        <f>INDEX(Lookups!$B$39:$B$45,MATCH(H491,Lookups!$A$39:$A$45,0))</f>
        <v>Sat</v>
      </c>
      <c r="U491" t="str">
        <f t="shared" si="94"/>
        <v>Weekend</v>
      </c>
      <c r="V491" t="str">
        <f t="shared" si="95"/>
        <v>Non-Working Day</v>
      </c>
      <c r="W491" t="str">
        <f t="shared" si="96"/>
        <v>Spring</v>
      </c>
      <c r="X491" t="str">
        <f t="shared" si="97"/>
        <v>Cloudy/Mist</v>
      </c>
      <c r="Y491" t="str">
        <f t="shared" si="98"/>
        <v>Morning</v>
      </c>
      <c r="Z491" t="str">
        <f t="shared" si="99"/>
        <v>Cold</v>
      </c>
      <c r="AA491" t="str">
        <f t="shared" si="100"/>
        <v>Low</v>
      </c>
      <c r="AB491" t="str">
        <f t="shared" si="101"/>
        <v>Off-Peak</v>
      </c>
      <c r="AC491" s="63">
        <f t="shared" si="102"/>
        <v>6.3492063492063489E-2</v>
      </c>
      <c r="AD491" t="str">
        <f>IF(P491&gt;=Stats!$C$30,"High",IF(P491&lt;=Stats!$C$29,"Low","Normal"))</f>
        <v>Normal</v>
      </c>
      <c r="AE491">
        <f t="shared" si="103"/>
        <v>1</v>
      </c>
    </row>
    <row r="492" spans="1:31" x14ac:dyDescent="0.2">
      <c r="A492">
        <f>Dataset_A!A492</f>
        <v>491</v>
      </c>
      <c r="B492" s="61">
        <f>Dataset_A!B492</f>
        <v>40565</v>
      </c>
      <c r="C492">
        <f>Dataset_A!C492</f>
        <v>1</v>
      </c>
      <c r="D492">
        <f>Dataset_A!D492</f>
        <v>0</v>
      </c>
      <c r="E492">
        <f>Dataset_A!E492</f>
        <v>1</v>
      </c>
      <c r="F492">
        <f>Dataset_A!F492</f>
        <v>12</v>
      </c>
      <c r="G492" t="b">
        <f>Dataset_A!G492</f>
        <v>0</v>
      </c>
      <c r="H492">
        <f>Dataset_A!H492</f>
        <v>6</v>
      </c>
      <c r="I492">
        <f>Dataset_A!I492</f>
        <v>2</v>
      </c>
      <c r="J492" s="55">
        <f>Dataset_A!J492</f>
        <v>0.06</v>
      </c>
      <c r="K492">
        <f>Dataset_A!K492</f>
        <v>0.1061</v>
      </c>
      <c r="L492">
        <f>Dataset_A!L492</f>
        <v>0.38</v>
      </c>
      <c r="M492">
        <f>Dataset_A!M492</f>
        <v>0.1045</v>
      </c>
      <c r="N492">
        <f>Dataset_A!N492</f>
        <v>10</v>
      </c>
      <c r="O492">
        <f>Dataset_A!O492</f>
        <v>60</v>
      </c>
      <c r="P492">
        <f>Dataset_A!P492</f>
        <v>70</v>
      </c>
      <c r="Q492" t="str">
        <f t="shared" si="91"/>
        <v>REC-0491</v>
      </c>
      <c r="R492" s="62">
        <f t="shared" si="92"/>
        <v>40565.5</v>
      </c>
      <c r="S492" t="str">
        <f t="shared" si="93"/>
        <v>Jan</v>
      </c>
      <c r="T492" t="str">
        <f>INDEX(Lookups!$B$39:$B$45,MATCH(H492,Lookups!$A$39:$A$45,0))</f>
        <v>Sat</v>
      </c>
      <c r="U492" t="str">
        <f t="shared" si="94"/>
        <v>Weekend</v>
      </c>
      <c r="V492" t="str">
        <f t="shared" si="95"/>
        <v>Non-Working Day</v>
      </c>
      <c r="W492" t="str">
        <f t="shared" si="96"/>
        <v>Spring</v>
      </c>
      <c r="X492" t="str">
        <f t="shared" si="97"/>
        <v>Cloudy/Mist</v>
      </c>
      <c r="Y492" t="str">
        <f t="shared" si="98"/>
        <v>Afternoon</v>
      </c>
      <c r="Z492" t="str">
        <f t="shared" si="99"/>
        <v>Cold</v>
      </c>
      <c r="AA492" t="str">
        <f t="shared" si="100"/>
        <v>Low</v>
      </c>
      <c r="AB492" t="str">
        <f t="shared" si="101"/>
        <v>Off-Peak</v>
      </c>
      <c r="AC492" s="63">
        <f t="shared" si="102"/>
        <v>0.14285714285714285</v>
      </c>
      <c r="AD492" t="str">
        <f>IF(P492&gt;=Stats!$C$30,"High",IF(P492&lt;=Stats!$C$29,"Low","Normal"))</f>
        <v>Normal</v>
      </c>
      <c r="AE492">
        <f t="shared" si="103"/>
        <v>1</v>
      </c>
    </row>
    <row r="493" spans="1:31" x14ac:dyDescent="0.2">
      <c r="A493">
        <f>Dataset_A!A493</f>
        <v>492</v>
      </c>
      <c r="B493" s="61">
        <f>Dataset_A!B493</f>
        <v>40565</v>
      </c>
      <c r="C493">
        <f>Dataset_A!C493</f>
        <v>1</v>
      </c>
      <c r="D493">
        <f>Dataset_A!D493</f>
        <v>0</v>
      </c>
      <c r="E493">
        <f>Dataset_A!E493</f>
        <v>1</v>
      </c>
      <c r="F493">
        <f>Dataset_A!F493</f>
        <v>13</v>
      </c>
      <c r="G493" t="b">
        <f>Dataset_A!G493</f>
        <v>0</v>
      </c>
      <c r="H493">
        <f>Dataset_A!H493</f>
        <v>6</v>
      </c>
      <c r="I493">
        <f>Dataset_A!I493</f>
        <v>1</v>
      </c>
      <c r="J493" s="55">
        <f>Dataset_A!J493</f>
        <v>0.08</v>
      </c>
      <c r="K493">
        <f>Dataset_A!K493</f>
        <v>0.16669999999999999</v>
      </c>
      <c r="L493">
        <f>Dataset_A!L493</f>
        <v>0.35</v>
      </c>
      <c r="M493">
        <f>Dataset_A!M493</f>
        <v>0</v>
      </c>
      <c r="N493">
        <f>Dataset_A!N493</f>
        <v>12</v>
      </c>
      <c r="O493">
        <f>Dataset_A!O493</f>
        <v>72</v>
      </c>
      <c r="P493">
        <f>Dataset_A!P493</f>
        <v>84</v>
      </c>
      <c r="Q493" t="str">
        <f t="shared" si="91"/>
        <v>REC-0492</v>
      </c>
      <c r="R493" s="62">
        <f t="shared" si="92"/>
        <v>40565.541666666664</v>
      </c>
      <c r="S493" t="str">
        <f t="shared" si="93"/>
        <v>Jan</v>
      </c>
      <c r="T493" t="str">
        <f>INDEX(Lookups!$B$39:$B$45,MATCH(H493,Lookups!$A$39:$A$45,0))</f>
        <v>Sat</v>
      </c>
      <c r="U493" t="str">
        <f t="shared" si="94"/>
        <v>Weekend</v>
      </c>
      <c r="V493" t="str">
        <f t="shared" si="95"/>
        <v>Non-Working Day</v>
      </c>
      <c r="W493" t="str">
        <f t="shared" si="96"/>
        <v>Spring</v>
      </c>
      <c r="X493" t="str">
        <f t="shared" si="97"/>
        <v>Clear</v>
      </c>
      <c r="Y493" t="str">
        <f t="shared" si="98"/>
        <v>Afternoon</v>
      </c>
      <c r="Z493" t="str">
        <f t="shared" si="99"/>
        <v>Cold</v>
      </c>
      <c r="AA493" t="str">
        <f t="shared" si="100"/>
        <v>Low</v>
      </c>
      <c r="AB493" t="str">
        <f t="shared" si="101"/>
        <v>Off-Peak</v>
      </c>
      <c r="AC493" s="63">
        <f t="shared" si="102"/>
        <v>0.14285714285714285</v>
      </c>
      <c r="AD493" t="str">
        <f>IF(P493&gt;=Stats!$C$30,"High",IF(P493&lt;=Stats!$C$29,"Low","Normal"))</f>
        <v>High</v>
      </c>
      <c r="AE493">
        <f t="shared" si="103"/>
        <v>1</v>
      </c>
    </row>
    <row r="494" spans="1:31" x14ac:dyDescent="0.2">
      <c r="A494">
        <f>Dataset_A!A494</f>
        <v>493</v>
      </c>
      <c r="B494" s="61">
        <f>Dataset_A!B494</f>
        <v>40565</v>
      </c>
      <c r="C494">
        <f>Dataset_A!C494</f>
        <v>1</v>
      </c>
      <c r="D494">
        <f>Dataset_A!D494</f>
        <v>0</v>
      </c>
      <c r="E494">
        <f>Dataset_A!E494</f>
        <v>1</v>
      </c>
      <c r="F494">
        <f>Dataset_A!F494</f>
        <v>14</v>
      </c>
      <c r="G494" t="b">
        <f>Dataset_A!G494</f>
        <v>0</v>
      </c>
      <c r="H494">
        <f>Dataset_A!H494</f>
        <v>6</v>
      </c>
      <c r="I494">
        <f>Dataset_A!I494</f>
        <v>1</v>
      </c>
      <c r="J494" s="55">
        <f>Dataset_A!J494</f>
        <v>0.1</v>
      </c>
      <c r="K494">
        <f>Dataset_A!K494</f>
        <v>0.13639999999999999</v>
      </c>
      <c r="L494">
        <f>Dataset_A!L494</f>
        <v>0.33</v>
      </c>
      <c r="M494">
        <f>Dataset_A!M494</f>
        <v>0.1045</v>
      </c>
      <c r="N494">
        <f>Dataset_A!N494</f>
        <v>11</v>
      </c>
      <c r="O494">
        <f>Dataset_A!O494</f>
        <v>64</v>
      </c>
      <c r="P494">
        <f>Dataset_A!P494</f>
        <v>75</v>
      </c>
      <c r="Q494" t="str">
        <f t="shared" si="91"/>
        <v>REC-0493</v>
      </c>
      <c r="R494" s="62">
        <f t="shared" si="92"/>
        <v>40565.583333333336</v>
      </c>
      <c r="S494" t="str">
        <f t="shared" si="93"/>
        <v>Jan</v>
      </c>
      <c r="T494" t="str">
        <f>INDEX(Lookups!$B$39:$B$45,MATCH(H494,Lookups!$A$39:$A$45,0))</f>
        <v>Sat</v>
      </c>
      <c r="U494" t="str">
        <f t="shared" si="94"/>
        <v>Weekend</v>
      </c>
      <c r="V494" t="str">
        <f t="shared" si="95"/>
        <v>Non-Working Day</v>
      </c>
      <c r="W494" t="str">
        <f t="shared" si="96"/>
        <v>Spring</v>
      </c>
      <c r="X494" t="str">
        <f t="shared" si="97"/>
        <v>Clear</v>
      </c>
      <c r="Y494" t="str">
        <f t="shared" si="98"/>
        <v>Afternoon</v>
      </c>
      <c r="Z494" t="str">
        <f t="shared" si="99"/>
        <v>Cold</v>
      </c>
      <c r="AA494" t="str">
        <f t="shared" si="100"/>
        <v>Low</v>
      </c>
      <c r="AB494" t="str">
        <f t="shared" si="101"/>
        <v>Off-Peak</v>
      </c>
      <c r="AC494" s="63">
        <f t="shared" si="102"/>
        <v>0.14666666666666667</v>
      </c>
      <c r="AD494" t="str">
        <f>IF(P494&gt;=Stats!$C$30,"High",IF(P494&lt;=Stats!$C$29,"Low","Normal"))</f>
        <v>Normal</v>
      </c>
      <c r="AE494">
        <f t="shared" si="103"/>
        <v>1</v>
      </c>
    </row>
    <row r="495" spans="1:31" x14ac:dyDescent="0.2">
      <c r="A495">
        <f>Dataset_A!A495</f>
        <v>494</v>
      </c>
      <c r="B495" s="61">
        <f>Dataset_A!B495</f>
        <v>40565</v>
      </c>
      <c r="C495">
        <f>Dataset_A!C495</f>
        <v>1</v>
      </c>
      <c r="D495">
        <f>Dataset_A!D495</f>
        <v>0</v>
      </c>
      <c r="E495">
        <f>Dataset_A!E495</f>
        <v>1</v>
      </c>
      <c r="F495">
        <f>Dataset_A!F495</f>
        <v>15</v>
      </c>
      <c r="G495" t="b">
        <f>Dataset_A!G495</f>
        <v>0</v>
      </c>
      <c r="H495">
        <f>Dataset_A!H495</f>
        <v>6</v>
      </c>
      <c r="I495">
        <f>Dataset_A!I495</f>
        <v>1</v>
      </c>
      <c r="J495" s="55">
        <f>Dataset_A!J495</f>
        <v>0.12</v>
      </c>
      <c r="K495">
        <f>Dataset_A!K495</f>
        <v>0.1515</v>
      </c>
      <c r="L495">
        <f>Dataset_A!L495</f>
        <v>0.28000000000000003</v>
      </c>
      <c r="M495">
        <f>Dataset_A!M495</f>
        <v>0</v>
      </c>
      <c r="N495">
        <f>Dataset_A!N495</f>
        <v>10</v>
      </c>
      <c r="O495">
        <f>Dataset_A!O495</f>
        <v>93</v>
      </c>
      <c r="P495">
        <f>Dataset_A!P495</f>
        <v>103</v>
      </c>
      <c r="Q495" t="str">
        <f t="shared" si="91"/>
        <v>REC-0494</v>
      </c>
      <c r="R495" s="62">
        <f t="shared" si="92"/>
        <v>40565.625</v>
      </c>
      <c r="S495" t="str">
        <f t="shared" si="93"/>
        <v>Jan</v>
      </c>
      <c r="T495" t="str">
        <f>INDEX(Lookups!$B$39:$B$45,MATCH(H495,Lookups!$A$39:$A$45,0))</f>
        <v>Sat</v>
      </c>
      <c r="U495" t="str">
        <f t="shared" si="94"/>
        <v>Weekend</v>
      </c>
      <c r="V495" t="str">
        <f t="shared" si="95"/>
        <v>Non-Working Day</v>
      </c>
      <c r="W495" t="str">
        <f t="shared" si="96"/>
        <v>Spring</v>
      </c>
      <c r="X495" t="str">
        <f t="shared" si="97"/>
        <v>Clear</v>
      </c>
      <c r="Y495" t="str">
        <f t="shared" si="98"/>
        <v>Afternoon</v>
      </c>
      <c r="Z495" t="str">
        <f t="shared" si="99"/>
        <v>Cold</v>
      </c>
      <c r="AA495" t="str">
        <f t="shared" si="100"/>
        <v>Low</v>
      </c>
      <c r="AB495" t="str">
        <f t="shared" si="101"/>
        <v>Off-Peak</v>
      </c>
      <c r="AC495" s="63">
        <f t="shared" si="102"/>
        <v>9.7087378640776698E-2</v>
      </c>
      <c r="AD495" t="str">
        <f>IF(P495&gt;=Stats!$C$30,"High",IF(P495&lt;=Stats!$C$29,"Low","Normal"))</f>
        <v>High</v>
      </c>
      <c r="AE495">
        <f t="shared" si="103"/>
        <v>1</v>
      </c>
    </row>
    <row r="496" spans="1:31" x14ac:dyDescent="0.2">
      <c r="A496">
        <f>Dataset_A!A496</f>
        <v>495</v>
      </c>
      <c r="B496" s="61">
        <f>Dataset_A!B496</f>
        <v>40565</v>
      </c>
      <c r="C496">
        <f>Dataset_A!C496</f>
        <v>1</v>
      </c>
      <c r="D496">
        <f>Dataset_A!D496</f>
        <v>0</v>
      </c>
      <c r="E496">
        <f>Dataset_A!E496</f>
        <v>1</v>
      </c>
      <c r="F496">
        <f>Dataset_A!F496</f>
        <v>16</v>
      </c>
      <c r="G496" t="b">
        <f>Dataset_A!G496</f>
        <v>0</v>
      </c>
      <c r="H496">
        <f>Dataset_A!H496</f>
        <v>6</v>
      </c>
      <c r="I496">
        <f>Dataset_A!I496</f>
        <v>1</v>
      </c>
      <c r="J496" s="55">
        <f>Dataset_A!J496</f>
        <v>0.12</v>
      </c>
      <c r="K496">
        <f>Dataset_A!K496</f>
        <v>0.13639999999999999</v>
      </c>
      <c r="L496">
        <f>Dataset_A!L496</f>
        <v>0.28000000000000003</v>
      </c>
      <c r="M496">
        <f>Dataset_A!M496</f>
        <v>0.19400000000000001</v>
      </c>
      <c r="N496">
        <f>Dataset_A!N496</f>
        <v>11</v>
      </c>
      <c r="O496">
        <f>Dataset_A!O496</f>
        <v>72</v>
      </c>
      <c r="P496">
        <f>Dataset_A!P496</f>
        <v>83</v>
      </c>
      <c r="Q496" t="str">
        <f t="shared" si="91"/>
        <v>REC-0495</v>
      </c>
      <c r="R496" s="62">
        <f t="shared" si="92"/>
        <v>40565.666666666664</v>
      </c>
      <c r="S496" t="str">
        <f t="shared" si="93"/>
        <v>Jan</v>
      </c>
      <c r="T496" t="str">
        <f>INDEX(Lookups!$B$39:$B$45,MATCH(H496,Lookups!$A$39:$A$45,0))</f>
        <v>Sat</v>
      </c>
      <c r="U496" t="str">
        <f t="shared" si="94"/>
        <v>Weekend</v>
      </c>
      <c r="V496" t="str">
        <f t="shared" si="95"/>
        <v>Non-Working Day</v>
      </c>
      <c r="W496" t="str">
        <f t="shared" si="96"/>
        <v>Spring</v>
      </c>
      <c r="X496" t="str">
        <f t="shared" si="97"/>
        <v>Clear</v>
      </c>
      <c r="Y496" t="str">
        <f t="shared" si="98"/>
        <v>Afternoon</v>
      </c>
      <c r="Z496" t="str">
        <f t="shared" si="99"/>
        <v>Cold</v>
      </c>
      <c r="AA496" t="str">
        <f t="shared" si="100"/>
        <v>Low</v>
      </c>
      <c r="AB496" t="str">
        <f t="shared" si="101"/>
        <v>Off-Peak</v>
      </c>
      <c r="AC496" s="63">
        <f t="shared" si="102"/>
        <v>0.13253012048192772</v>
      </c>
      <c r="AD496" t="str">
        <f>IF(P496&gt;=Stats!$C$30,"High",IF(P496&lt;=Stats!$C$29,"Low","Normal"))</f>
        <v>High</v>
      </c>
      <c r="AE496">
        <f t="shared" si="103"/>
        <v>1</v>
      </c>
    </row>
    <row r="497" spans="1:31" x14ac:dyDescent="0.2">
      <c r="A497">
        <f>Dataset_A!A497</f>
        <v>496</v>
      </c>
      <c r="B497" s="61">
        <f>Dataset_A!B497</f>
        <v>40565</v>
      </c>
      <c r="C497">
        <f>Dataset_A!C497</f>
        <v>1</v>
      </c>
      <c r="D497">
        <f>Dataset_A!D497</f>
        <v>0</v>
      </c>
      <c r="E497">
        <f>Dataset_A!E497</f>
        <v>1</v>
      </c>
      <c r="F497">
        <f>Dataset_A!F497</f>
        <v>17</v>
      </c>
      <c r="G497" t="b">
        <f>Dataset_A!G497</f>
        <v>0</v>
      </c>
      <c r="H497">
        <f>Dataset_A!H497</f>
        <v>6</v>
      </c>
      <c r="I497">
        <f>Dataset_A!I497</f>
        <v>1</v>
      </c>
      <c r="J497" s="55">
        <f>Dataset_A!J497</f>
        <v>0.12</v>
      </c>
      <c r="K497">
        <f>Dataset_A!K497</f>
        <v>0.19700000000000001</v>
      </c>
      <c r="L497">
        <f>Dataset_A!L497</f>
        <v>0.28000000000000003</v>
      </c>
      <c r="M497">
        <f>Dataset_A!M497</f>
        <v>0</v>
      </c>
      <c r="N497">
        <f>Dataset_A!N497</f>
        <v>8</v>
      </c>
      <c r="O497">
        <f>Dataset_A!O497</f>
        <v>59</v>
      </c>
      <c r="P497">
        <f>Dataset_A!P497</f>
        <v>67</v>
      </c>
      <c r="Q497" t="str">
        <f t="shared" si="91"/>
        <v>REC-0496</v>
      </c>
      <c r="R497" s="62">
        <f t="shared" si="92"/>
        <v>40565.708333333336</v>
      </c>
      <c r="S497" t="str">
        <f t="shared" si="93"/>
        <v>Jan</v>
      </c>
      <c r="T497" t="str">
        <f>INDEX(Lookups!$B$39:$B$45,MATCH(H497,Lookups!$A$39:$A$45,0))</f>
        <v>Sat</v>
      </c>
      <c r="U497" t="str">
        <f t="shared" si="94"/>
        <v>Weekend</v>
      </c>
      <c r="V497" t="str">
        <f t="shared" si="95"/>
        <v>Non-Working Day</v>
      </c>
      <c r="W497" t="str">
        <f t="shared" si="96"/>
        <v>Spring</v>
      </c>
      <c r="X497" t="str">
        <f t="shared" si="97"/>
        <v>Clear</v>
      </c>
      <c r="Y497" t="str">
        <f t="shared" si="98"/>
        <v>Evening</v>
      </c>
      <c r="Z497" t="str">
        <f t="shared" si="99"/>
        <v>Cold</v>
      </c>
      <c r="AA497" t="str">
        <f t="shared" si="100"/>
        <v>Low</v>
      </c>
      <c r="AB497" t="str">
        <f t="shared" si="101"/>
        <v>Off-Peak</v>
      </c>
      <c r="AC497" s="63">
        <f t="shared" si="102"/>
        <v>0.11940298507462686</v>
      </c>
      <c r="AD497" t="str">
        <f>IF(P497&gt;=Stats!$C$30,"High",IF(P497&lt;=Stats!$C$29,"Low","Normal"))</f>
        <v>Normal</v>
      </c>
      <c r="AE497">
        <f t="shared" si="103"/>
        <v>1</v>
      </c>
    </row>
    <row r="498" spans="1:31" x14ac:dyDescent="0.2">
      <c r="A498">
        <f>Dataset_A!A498</f>
        <v>497</v>
      </c>
      <c r="B498" s="61">
        <f>Dataset_A!B498</f>
        <v>40565</v>
      </c>
      <c r="C498">
        <f>Dataset_A!C498</f>
        <v>1</v>
      </c>
      <c r="D498">
        <f>Dataset_A!D498</f>
        <v>0</v>
      </c>
      <c r="E498">
        <f>Dataset_A!E498</f>
        <v>1</v>
      </c>
      <c r="F498">
        <f>Dataset_A!F498</f>
        <v>18</v>
      </c>
      <c r="G498" t="b">
        <f>Dataset_A!G498</f>
        <v>0</v>
      </c>
      <c r="H498">
        <f>Dataset_A!H498</f>
        <v>6</v>
      </c>
      <c r="I498">
        <f>Dataset_A!I498</f>
        <v>1</v>
      </c>
      <c r="J498" s="55">
        <f>Dataset_A!J498</f>
        <v>0.08</v>
      </c>
      <c r="K498">
        <f>Dataset_A!K498</f>
        <v>9.0899999999999995E-2</v>
      </c>
      <c r="L498">
        <f>Dataset_A!L498</f>
        <v>0.35</v>
      </c>
      <c r="M498">
        <f>Dataset_A!M498</f>
        <v>0.19400000000000001</v>
      </c>
      <c r="N498">
        <f>Dataset_A!N498</f>
        <v>0</v>
      </c>
      <c r="O498">
        <f>Dataset_A!O498</f>
        <v>54</v>
      </c>
      <c r="P498">
        <f>Dataset_A!P498</f>
        <v>54</v>
      </c>
      <c r="Q498" t="str">
        <f t="shared" si="91"/>
        <v>REC-0497</v>
      </c>
      <c r="R498" s="62">
        <f t="shared" si="92"/>
        <v>40565.75</v>
      </c>
      <c r="S498" t="str">
        <f t="shared" si="93"/>
        <v>Jan</v>
      </c>
      <c r="T498" t="str">
        <f>INDEX(Lookups!$B$39:$B$45,MATCH(H498,Lookups!$A$39:$A$45,0))</f>
        <v>Sat</v>
      </c>
      <c r="U498" t="str">
        <f t="shared" si="94"/>
        <v>Weekend</v>
      </c>
      <c r="V498" t="str">
        <f t="shared" si="95"/>
        <v>Non-Working Day</v>
      </c>
      <c r="W498" t="str">
        <f t="shared" si="96"/>
        <v>Spring</v>
      </c>
      <c r="X498" t="str">
        <f t="shared" si="97"/>
        <v>Clear</v>
      </c>
      <c r="Y498" t="str">
        <f t="shared" si="98"/>
        <v>Evening</v>
      </c>
      <c r="Z498" t="str">
        <f t="shared" si="99"/>
        <v>Cold</v>
      </c>
      <c r="AA498" t="str">
        <f t="shared" si="100"/>
        <v>Low</v>
      </c>
      <c r="AB498" t="str">
        <f t="shared" si="101"/>
        <v>Off-Peak</v>
      </c>
      <c r="AC498" s="63">
        <f t="shared" si="102"/>
        <v>0</v>
      </c>
      <c r="AD498" t="str">
        <f>IF(P498&gt;=Stats!$C$30,"High",IF(P498&lt;=Stats!$C$29,"Low","Normal"))</f>
        <v>Normal</v>
      </c>
      <c r="AE498">
        <f t="shared" si="103"/>
        <v>1</v>
      </c>
    </row>
    <row r="499" spans="1:31" x14ac:dyDescent="0.2">
      <c r="A499">
        <f>Dataset_A!A499</f>
        <v>498</v>
      </c>
      <c r="B499" s="61">
        <f>Dataset_A!B499</f>
        <v>40565</v>
      </c>
      <c r="C499">
        <f>Dataset_A!C499</f>
        <v>1</v>
      </c>
      <c r="D499">
        <f>Dataset_A!D499</f>
        <v>0</v>
      </c>
      <c r="E499">
        <f>Dataset_A!E499</f>
        <v>1</v>
      </c>
      <c r="F499">
        <f>Dataset_A!F499</f>
        <v>19</v>
      </c>
      <c r="G499" t="b">
        <f>Dataset_A!G499</f>
        <v>0</v>
      </c>
      <c r="H499">
        <f>Dataset_A!H499</f>
        <v>6</v>
      </c>
      <c r="I499">
        <f>Dataset_A!I499</f>
        <v>1</v>
      </c>
      <c r="J499" s="55">
        <f>Dataset_A!J499</f>
        <v>0.08</v>
      </c>
      <c r="K499">
        <f>Dataset_A!K499</f>
        <v>0.1061</v>
      </c>
      <c r="L499">
        <f>Dataset_A!L499</f>
        <v>0.35</v>
      </c>
      <c r="M499">
        <f>Dataset_A!M499</f>
        <v>0.1343</v>
      </c>
      <c r="N499">
        <f>Dataset_A!N499</f>
        <v>6</v>
      </c>
      <c r="O499">
        <f>Dataset_A!O499</f>
        <v>53</v>
      </c>
      <c r="P499">
        <f>Dataset_A!P499</f>
        <v>59</v>
      </c>
      <c r="Q499" t="str">
        <f t="shared" si="91"/>
        <v>REC-0498</v>
      </c>
      <c r="R499" s="62">
        <f t="shared" si="92"/>
        <v>40565.791666666664</v>
      </c>
      <c r="S499" t="str">
        <f t="shared" si="93"/>
        <v>Jan</v>
      </c>
      <c r="T499" t="str">
        <f>INDEX(Lookups!$B$39:$B$45,MATCH(H499,Lookups!$A$39:$A$45,0))</f>
        <v>Sat</v>
      </c>
      <c r="U499" t="str">
        <f t="shared" si="94"/>
        <v>Weekend</v>
      </c>
      <c r="V499" t="str">
        <f t="shared" si="95"/>
        <v>Non-Working Day</v>
      </c>
      <c r="W499" t="str">
        <f t="shared" si="96"/>
        <v>Spring</v>
      </c>
      <c r="X499" t="str">
        <f t="shared" si="97"/>
        <v>Clear</v>
      </c>
      <c r="Y499" t="str">
        <f t="shared" si="98"/>
        <v>Evening</v>
      </c>
      <c r="Z499" t="str">
        <f t="shared" si="99"/>
        <v>Cold</v>
      </c>
      <c r="AA499" t="str">
        <f t="shared" si="100"/>
        <v>Low</v>
      </c>
      <c r="AB499" t="str">
        <f t="shared" si="101"/>
        <v>Off-Peak</v>
      </c>
      <c r="AC499" s="63">
        <f t="shared" si="102"/>
        <v>0.10169491525423729</v>
      </c>
      <c r="AD499" t="str">
        <f>IF(P499&gt;=Stats!$C$30,"High",IF(P499&lt;=Stats!$C$29,"Low","Normal"))</f>
        <v>Normal</v>
      </c>
      <c r="AE499">
        <f t="shared" si="103"/>
        <v>1</v>
      </c>
    </row>
    <row r="500" spans="1:31" x14ac:dyDescent="0.2">
      <c r="A500">
        <f>Dataset_A!A500</f>
        <v>499</v>
      </c>
      <c r="B500" s="61">
        <f>Dataset_A!B500</f>
        <v>40565</v>
      </c>
      <c r="C500">
        <f>Dataset_A!C500</f>
        <v>1</v>
      </c>
      <c r="D500">
        <f>Dataset_A!D500</f>
        <v>0</v>
      </c>
      <c r="E500">
        <f>Dataset_A!E500</f>
        <v>1</v>
      </c>
      <c r="F500">
        <f>Dataset_A!F500</f>
        <v>20</v>
      </c>
      <c r="G500" t="b">
        <f>Dataset_A!G500</f>
        <v>0</v>
      </c>
      <c r="H500">
        <f>Dataset_A!H500</f>
        <v>6</v>
      </c>
      <c r="I500">
        <f>Dataset_A!I500</f>
        <v>1</v>
      </c>
      <c r="J500" s="55">
        <f>Dataset_A!J500</f>
        <v>0.06</v>
      </c>
      <c r="K500">
        <f>Dataset_A!K500</f>
        <v>7.5800000000000006E-2</v>
      </c>
      <c r="L500">
        <f>Dataset_A!L500</f>
        <v>0.45</v>
      </c>
      <c r="M500">
        <f>Dataset_A!M500</f>
        <v>0.16420000000000001</v>
      </c>
      <c r="N500">
        <f>Dataset_A!N500</f>
        <v>1</v>
      </c>
      <c r="O500">
        <f>Dataset_A!O500</f>
        <v>44</v>
      </c>
      <c r="P500">
        <f>Dataset_A!P500</f>
        <v>45</v>
      </c>
      <c r="Q500" t="str">
        <f t="shared" si="91"/>
        <v>REC-0499</v>
      </c>
      <c r="R500" s="62">
        <f t="shared" si="92"/>
        <v>40565.833333333336</v>
      </c>
      <c r="S500" t="str">
        <f t="shared" si="93"/>
        <v>Jan</v>
      </c>
      <c r="T500" t="str">
        <f>INDEX(Lookups!$B$39:$B$45,MATCH(H500,Lookups!$A$39:$A$45,0))</f>
        <v>Sat</v>
      </c>
      <c r="U500" t="str">
        <f t="shared" si="94"/>
        <v>Weekend</v>
      </c>
      <c r="V500" t="str">
        <f t="shared" si="95"/>
        <v>Non-Working Day</v>
      </c>
      <c r="W500" t="str">
        <f t="shared" si="96"/>
        <v>Spring</v>
      </c>
      <c r="X500" t="str">
        <f t="shared" si="97"/>
        <v>Clear</v>
      </c>
      <c r="Y500" t="str">
        <f t="shared" si="98"/>
        <v>Evening</v>
      </c>
      <c r="Z500" t="str">
        <f t="shared" si="99"/>
        <v>Cold</v>
      </c>
      <c r="AA500" t="str">
        <f t="shared" si="100"/>
        <v>Low</v>
      </c>
      <c r="AB500" t="str">
        <f t="shared" si="101"/>
        <v>Off-Peak</v>
      </c>
      <c r="AC500" s="63">
        <f t="shared" si="102"/>
        <v>2.2222222222222223E-2</v>
      </c>
      <c r="AD500" t="str">
        <f>IF(P500&gt;=Stats!$C$30,"High",IF(P500&lt;=Stats!$C$29,"Low","Normal"))</f>
        <v>Normal</v>
      </c>
      <c r="AE500">
        <f t="shared" si="103"/>
        <v>1</v>
      </c>
    </row>
    <row r="501" spans="1:31" x14ac:dyDescent="0.2">
      <c r="A501">
        <f>Dataset_A!A501</f>
        <v>500</v>
      </c>
      <c r="B501" s="61">
        <f>Dataset_A!B501</f>
        <v>40565</v>
      </c>
      <c r="C501">
        <f>Dataset_A!C501</f>
        <v>1</v>
      </c>
      <c r="D501">
        <f>Dataset_A!D501</f>
        <v>0</v>
      </c>
      <c r="E501">
        <f>Dataset_A!E501</f>
        <v>1</v>
      </c>
      <c r="F501">
        <f>Dataset_A!F501</f>
        <v>21</v>
      </c>
      <c r="G501" t="b">
        <f>Dataset_A!G501</f>
        <v>0</v>
      </c>
      <c r="H501">
        <f>Dataset_A!H501</f>
        <v>6</v>
      </c>
      <c r="I501">
        <f>Dataset_A!I501</f>
        <v>1</v>
      </c>
      <c r="J501" s="55">
        <f>Dataset_A!J501</f>
        <v>0.06</v>
      </c>
      <c r="K501">
        <f>Dataset_A!K501</f>
        <v>0.1061</v>
      </c>
      <c r="L501">
        <f>Dataset_A!L501</f>
        <v>0.41</v>
      </c>
      <c r="M501">
        <f>Dataset_A!M501</f>
        <v>8.9599999999999999E-2</v>
      </c>
      <c r="N501">
        <f>Dataset_A!N501</f>
        <v>0</v>
      </c>
      <c r="O501">
        <f>Dataset_A!O501</f>
        <v>39</v>
      </c>
      <c r="P501">
        <f>Dataset_A!P501</f>
        <v>39</v>
      </c>
      <c r="Q501" t="str">
        <f t="shared" si="91"/>
        <v>REC-0500</v>
      </c>
      <c r="R501" s="62">
        <f t="shared" si="92"/>
        <v>40565.875</v>
      </c>
      <c r="S501" t="str">
        <f t="shared" si="93"/>
        <v>Jan</v>
      </c>
      <c r="T501" t="str">
        <f>INDEX(Lookups!$B$39:$B$45,MATCH(H501,Lookups!$A$39:$A$45,0))</f>
        <v>Sat</v>
      </c>
      <c r="U501" t="str">
        <f t="shared" si="94"/>
        <v>Weekend</v>
      </c>
      <c r="V501" t="str">
        <f t="shared" si="95"/>
        <v>Non-Working Day</v>
      </c>
      <c r="W501" t="str">
        <f t="shared" si="96"/>
        <v>Spring</v>
      </c>
      <c r="X501" t="str">
        <f t="shared" si="97"/>
        <v>Clear</v>
      </c>
      <c r="Y501" t="str">
        <f t="shared" si="98"/>
        <v>Late Evening</v>
      </c>
      <c r="Z501" t="str">
        <f t="shared" si="99"/>
        <v>Cold</v>
      </c>
      <c r="AA501" t="str">
        <f t="shared" si="100"/>
        <v>Low</v>
      </c>
      <c r="AB501" t="str">
        <f t="shared" si="101"/>
        <v>Off-Peak</v>
      </c>
      <c r="AC501" s="63">
        <f t="shared" si="102"/>
        <v>0</v>
      </c>
      <c r="AD501" t="str">
        <f>IF(P501&gt;=Stats!$C$30,"High",IF(P501&lt;=Stats!$C$29,"Low","Normal"))</f>
        <v>Normal</v>
      </c>
      <c r="AE501">
        <f t="shared" si="103"/>
        <v>1</v>
      </c>
    </row>
    <row r="502" spans="1:31" x14ac:dyDescent="0.2">
      <c r="A502">
        <f>Dataset_A!A502</f>
        <v>501</v>
      </c>
      <c r="B502" s="61">
        <f>Dataset_A!B502</f>
        <v>40565</v>
      </c>
      <c r="C502">
        <f>Dataset_A!C502</f>
        <v>1</v>
      </c>
      <c r="D502">
        <f>Dataset_A!D502</f>
        <v>0</v>
      </c>
      <c r="E502">
        <f>Dataset_A!E502</f>
        <v>1</v>
      </c>
      <c r="F502">
        <f>Dataset_A!F502</f>
        <v>22</v>
      </c>
      <c r="G502" t="b">
        <f>Dataset_A!G502</f>
        <v>0</v>
      </c>
      <c r="H502">
        <f>Dataset_A!H502</f>
        <v>6</v>
      </c>
      <c r="I502">
        <f>Dataset_A!I502</f>
        <v>1</v>
      </c>
      <c r="J502" s="55">
        <f>Dataset_A!J502</f>
        <v>0.06</v>
      </c>
      <c r="K502">
        <f>Dataset_A!K502</f>
        <v>0.1515</v>
      </c>
      <c r="L502">
        <f>Dataset_A!L502</f>
        <v>0.49</v>
      </c>
      <c r="M502">
        <f>Dataset_A!M502</f>
        <v>0</v>
      </c>
      <c r="N502">
        <f>Dataset_A!N502</f>
        <v>7</v>
      </c>
      <c r="O502">
        <f>Dataset_A!O502</f>
        <v>23</v>
      </c>
      <c r="P502">
        <f>Dataset_A!P502</f>
        <v>30</v>
      </c>
      <c r="Q502" t="str">
        <f t="shared" si="91"/>
        <v>REC-0501</v>
      </c>
      <c r="R502" s="62">
        <f t="shared" si="92"/>
        <v>40565.916666666664</v>
      </c>
      <c r="S502" t="str">
        <f t="shared" si="93"/>
        <v>Jan</v>
      </c>
      <c r="T502" t="str">
        <f>INDEX(Lookups!$B$39:$B$45,MATCH(H502,Lookups!$A$39:$A$45,0))</f>
        <v>Sat</v>
      </c>
      <c r="U502" t="str">
        <f t="shared" si="94"/>
        <v>Weekend</v>
      </c>
      <c r="V502" t="str">
        <f t="shared" si="95"/>
        <v>Non-Working Day</v>
      </c>
      <c r="W502" t="str">
        <f t="shared" si="96"/>
        <v>Spring</v>
      </c>
      <c r="X502" t="str">
        <f t="shared" si="97"/>
        <v>Clear</v>
      </c>
      <c r="Y502" t="str">
        <f t="shared" si="98"/>
        <v>Late Evening</v>
      </c>
      <c r="Z502" t="str">
        <f t="shared" si="99"/>
        <v>Cold</v>
      </c>
      <c r="AA502" t="str">
        <f t="shared" si="100"/>
        <v>Low</v>
      </c>
      <c r="AB502" t="str">
        <f t="shared" si="101"/>
        <v>Off-Peak</v>
      </c>
      <c r="AC502" s="63">
        <f t="shared" si="102"/>
        <v>0.23333333333333334</v>
      </c>
      <c r="AD502" t="str">
        <f>IF(P502&gt;=Stats!$C$30,"High",IF(P502&lt;=Stats!$C$29,"Low","Normal"))</f>
        <v>Normal</v>
      </c>
      <c r="AE502">
        <f t="shared" si="103"/>
        <v>1</v>
      </c>
    </row>
    <row r="503" spans="1:31" x14ac:dyDescent="0.2">
      <c r="A503">
        <f>Dataset_A!A503</f>
        <v>502</v>
      </c>
      <c r="B503" s="61">
        <f>Dataset_A!B503</f>
        <v>40565</v>
      </c>
      <c r="C503">
        <f>Dataset_A!C503</f>
        <v>1</v>
      </c>
      <c r="D503">
        <f>Dataset_A!D503</f>
        <v>0</v>
      </c>
      <c r="E503">
        <f>Dataset_A!E503</f>
        <v>1</v>
      </c>
      <c r="F503">
        <f>Dataset_A!F503</f>
        <v>23</v>
      </c>
      <c r="G503" t="b">
        <f>Dataset_A!G503</f>
        <v>0</v>
      </c>
      <c r="H503">
        <f>Dataset_A!H503</f>
        <v>6</v>
      </c>
      <c r="I503">
        <f>Dataset_A!I503</f>
        <v>1</v>
      </c>
      <c r="J503" s="55">
        <f>Dataset_A!J503</f>
        <v>0.04</v>
      </c>
      <c r="K503">
        <f>Dataset_A!K503</f>
        <v>7.5800000000000006E-2</v>
      </c>
      <c r="L503">
        <f>Dataset_A!L503</f>
        <v>0.56999999999999995</v>
      </c>
      <c r="M503">
        <f>Dataset_A!M503</f>
        <v>0.1045</v>
      </c>
      <c r="N503">
        <f>Dataset_A!N503</f>
        <v>2</v>
      </c>
      <c r="O503">
        <f>Dataset_A!O503</f>
        <v>31</v>
      </c>
      <c r="P503">
        <f>Dataset_A!P503</f>
        <v>33</v>
      </c>
      <c r="Q503" t="str">
        <f t="shared" si="91"/>
        <v>REC-0502</v>
      </c>
      <c r="R503" s="62">
        <f t="shared" si="92"/>
        <v>40565.958333333336</v>
      </c>
      <c r="S503" t="str">
        <f t="shared" si="93"/>
        <v>Jan</v>
      </c>
      <c r="T503" t="str">
        <f>INDEX(Lookups!$B$39:$B$45,MATCH(H503,Lookups!$A$39:$A$45,0))</f>
        <v>Sat</v>
      </c>
      <c r="U503" t="str">
        <f t="shared" si="94"/>
        <v>Weekend</v>
      </c>
      <c r="V503" t="str">
        <f t="shared" si="95"/>
        <v>Non-Working Day</v>
      </c>
      <c r="W503" t="str">
        <f t="shared" si="96"/>
        <v>Spring</v>
      </c>
      <c r="X503" t="str">
        <f t="shared" si="97"/>
        <v>Clear</v>
      </c>
      <c r="Y503" t="str">
        <f t="shared" si="98"/>
        <v>Late Evening</v>
      </c>
      <c r="Z503" t="str">
        <f t="shared" si="99"/>
        <v>Cold</v>
      </c>
      <c r="AA503" t="str">
        <f t="shared" si="100"/>
        <v>Medium</v>
      </c>
      <c r="AB503" t="str">
        <f t="shared" si="101"/>
        <v>Off-Peak</v>
      </c>
      <c r="AC503" s="63">
        <f t="shared" si="102"/>
        <v>6.0606060606060608E-2</v>
      </c>
      <c r="AD503" t="str">
        <f>IF(P503&gt;=Stats!$C$30,"High",IF(P503&lt;=Stats!$C$29,"Low","Normal"))</f>
        <v>Normal</v>
      </c>
      <c r="AE503">
        <f t="shared" si="103"/>
        <v>1</v>
      </c>
    </row>
    <row r="504" spans="1:31" x14ac:dyDescent="0.2">
      <c r="A504">
        <f>Dataset_A!A504</f>
        <v>503</v>
      </c>
      <c r="B504" s="61">
        <f>Dataset_A!B504</f>
        <v>40566</v>
      </c>
      <c r="C504">
        <f>Dataset_A!C504</f>
        <v>1</v>
      </c>
      <c r="D504">
        <f>Dataset_A!D504</f>
        <v>0</v>
      </c>
      <c r="E504">
        <f>Dataset_A!E504</f>
        <v>1</v>
      </c>
      <c r="F504">
        <f>Dataset_A!F504</f>
        <v>0</v>
      </c>
      <c r="G504" t="b">
        <f>Dataset_A!G504</f>
        <v>0</v>
      </c>
      <c r="H504">
        <f>Dataset_A!H504</f>
        <v>0</v>
      </c>
      <c r="I504">
        <f>Dataset_A!I504</f>
        <v>1</v>
      </c>
      <c r="J504" s="55">
        <f>Dataset_A!J504</f>
        <v>0.04</v>
      </c>
      <c r="K504">
        <f>Dataset_A!K504</f>
        <v>7.5800000000000006E-2</v>
      </c>
      <c r="L504">
        <f>Dataset_A!L504</f>
        <v>0.56999999999999995</v>
      </c>
      <c r="M504">
        <f>Dataset_A!M504</f>
        <v>0.1045</v>
      </c>
      <c r="N504">
        <f>Dataset_A!N504</f>
        <v>2</v>
      </c>
      <c r="O504">
        <f>Dataset_A!O504</f>
        <v>20</v>
      </c>
      <c r="P504">
        <f>Dataset_A!P504</f>
        <v>22</v>
      </c>
      <c r="Q504" t="str">
        <f t="shared" si="91"/>
        <v>REC-0503</v>
      </c>
      <c r="R504" s="62">
        <f t="shared" si="92"/>
        <v>40566</v>
      </c>
      <c r="S504" t="str">
        <f t="shared" si="93"/>
        <v>Jan</v>
      </c>
      <c r="T504" t="str">
        <f>INDEX(Lookups!$B$39:$B$45,MATCH(H504,Lookups!$A$39:$A$45,0))</f>
        <v>Sun</v>
      </c>
      <c r="U504" t="str">
        <f t="shared" si="94"/>
        <v>Weekend</v>
      </c>
      <c r="V504" t="str">
        <f t="shared" si="95"/>
        <v>Non-Working Day</v>
      </c>
      <c r="W504" t="str">
        <f t="shared" si="96"/>
        <v>Spring</v>
      </c>
      <c r="X504" t="str">
        <f t="shared" si="97"/>
        <v>Clear</v>
      </c>
      <c r="Y504" t="str">
        <f t="shared" si="98"/>
        <v>Night</v>
      </c>
      <c r="Z504" t="str">
        <f t="shared" si="99"/>
        <v>Cold</v>
      </c>
      <c r="AA504" t="str">
        <f t="shared" si="100"/>
        <v>Medium</v>
      </c>
      <c r="AB504" t="str">
        <f t="shared" si="101"/>
        <v>Off-Peak</v>
      </c>
      <c r="AC504" s="63">
        <f t="shared" si="102"/>
        <v>9.0909090909090912E-2</v>
      </c>
      <c r="AD504" t="str">
        <f>IF(P504&gt;=Stats!$C$30,"High",IF(P504&lt;=Stats!$C$29,"Low","Normal"))</f>
        <v>Normal</v>
      </c>
      <c r="AE504">
        <f t="shared" si="103"/>
        <v>1</v>
      </c>
    </row>
    <row r="505" spans="1:31" x14ac:dyDescent="0.2">
      <c r="A505">
        <f>Dataset_A!A505</f>
        <v>504</v>
      </c>
      <c r="B505" s="61">
        <f>Dataset_A!B505</f>
        <v>40566</v>
      </c>
      <c r="C505">
        <f>Dataset_A!C505</f>
        <v>1</v>
      </c>
      <c r="D505">
        <f>Dataset_A!D505</f>
        <v>0</v>
      </c>
      <c r="E505">
        <f>Dataset_A!E505</f>
        <v>1</v>
      </c>
      <c r="F505">
        <f>Dataset_A!F505</f>
        <v>1</v>
      </c>
      <c r="G505" t="b">
        <f>Dataset_A!G505</f>
        <v>0</v>
      </c>
      <c r="H505">
        <f>Dataset_A!H505</f>
        <v>0</v>
      </c>
      <c r="I505">
        <f>Dataset_A!I505</f>
        <v>1</v>
      </c>
      <c r="J505" s="55">
        <f>Dataset_A!J505</f>
        <v>0.04</v>
      </c>
      <c r="K505">
        <f>Dataset_A!K505</f>
        <v>7.5800000000000006E-2</v>
      </c>
      <c r="L505">
        <f>Dataset_A!L505</f>
        <v>0.56999999999999995</v>
      </c>
      <c r="M505">
        <f>Dataset_A!M505</f>
        <v>0.1045</v>
      </c>
      <c r="N505">
        <f>Dataset_A!N505</f>
        <v>1</v>
      </c>
      <c r="O505">
        <f>Dataset_A!O505</f>
        <v>12</v>
      </c>
      <c r="P505">
        <f>Dataset_A!P505</f>
        <v>13</v>
      </c>
      <c r="Q505" t="str">
        <f t="shared" si="91"/>
        <v>REC-0504</v>
      </c>
      <c r="R505" s="62">
        <f t="shared" si="92"/>
        <v>40566.041666666664</v>
      </c>
      <c r="S505" t="str">
        <f t="shared" si="93"/>
        <v>Jan</v>
      </c>
      <c r="T505" t="str">
        <f>INDEX(Lookups!$B$39:$B$45,MATCH(H505,Lookups!$A$39:$A$45,0))</f>
        <v>Sun</v>
      </c>
      <c r="U505" t="str">
        <f t="shared" si="94"/>
        <v>Weekend</v>
      </c>
      <c r="V505" t="str">
        <f t="shared" si="95"/>
        <v>Non-Working Day</v>
      </c>
      <c r="W505" t="str">
        <f t="shared" si="96"/>
        <v>Spring</v>
      </c>
      <c r="X505" t="str">
        <f t="shared" si="97"/>
        <v>Clear</v>
      </c>
      <c r="Y505" t="str">
        <f t="shared" si="98"/>
        <v>Night</v>
      </c>
      <c r="Z505" t="str">
        <f t="shared" si="99"/>
        <v>Cold</v>
      </c>
      <c r="AA505" t="str">
        <f t="shared" si="100"/>
        <v>Medium</v>
      </c>
      <c r="AB505" t="str">
        <f t="shared" si="101"/>
        <v>Off-Peak</v>
      </c>
      <c r="AC505" s="63">
        <f t="shared" si="102"/>
        <v>7.6923076923076927E-2</v>
      </c>
      <c r="AD505" t="str">
        <f>IF(P505&gt;=Stats!$C$30,"High",IF(P505&lt;=Stats!$C$29,"Low","Normal"))</f>
        <v>Low</v>
      </c>
      <c r="AE505">
        <f t="shared" si="103"/>
        <v>1</v>
      </c>
    </row>
    <row r="506" spans="1:31" x14ac:dyDescent="0.2">
      <c r="A506">
        <f>Dataset_A!A506</f>
        <v>505</v>
      </c>
      <c r="B506" s="61">
        <f>Dataset_A!B506</f>
        <v>40566</v>
      </c>
      <c r="C506">
        <f>Dataset_A!C506</f>
        <v>1</v>
      </c>
      <c r="D506">
        <f>Dataset_A!D506</f>
        <v>0</v>
      </c>
      <c r="E506">
        <f>Dataset_A!E506</f>
        <v>1</v>
      </c>
      <c r="F506">
        <f>Dataset_A!F506</f>
        <v>2</v>
      </c>
      <c r="G506" t="b">
        <f>Dataset_A!G506</f>
        <v>0</v>
      </c>
      <c r="H506">
        <f>Dataset_A!H506</f>
        <v>0</v>
      </c>
      <c r="I506">
        <f>Dataset_A!I506</f>
        <v>1</v>
      </c>
      <c r="J506" s="55">
        <f>Dataset_A!J506</f>
        <v>0.02</v>
      </c>
      <c r="K506">
        <f>Dataset_A!K506</f>
        <v>6.0600000000000001E-2</v>
      </c>
      <c r="L506">
        <f>Dataset_A!L506</f>
        <v>0.62</v>
      </c>
      <c r="M506">
        <f>Dataset_A!M506</f>
        <v>0.1343</v>
      </c>
      <c r="N506">
        <f>Dataset_A!N506</f>
        <v>3</v>
      </c>
      <c r="O506">
        <f>Dataset_A!O506</f>
        <v>15</v>
      </c>
      <c r="P506">
        <f>Dataset_A!P506</f>
        <v>18</v>
      </c>
      <c r="Q506" t="str">
        <f t="shared" si="91"/>
        <v>REC-0505</v>
      </c>
      <c r="R506" s="62">
        <f t="shared" si="92"/>
        <v>40566.083333333336</v>
      </c>
      <c r="S506" t="str">
        <f t="shared" si="93"/>
        <v>Jan</v>
      </c>
      <c r="T506" t="str">
        <f>INDEX(Lookups!$B$39:$B$45,MATCH(H506,Lookups!$A$39:$A$45,0))</f>
        <v>Sun</v>
      </c>
      <c r="U506" t="str">
        <f t="shared" si="94"/>
        <v>Weekend</v>
      </c>
      <c r="V506" t="str">
        <f t="shared" si="95"/>
        <v>Non-Working Day</v>
      </c>
      <c r="W506" t="str">
        <f t="shared" si="96"/>
        <v>Spring</v>
      </c>
      <c r="X506" t="str">
        <f t="shared" si="97"/>
        <v>Clear</v>
      </c>
      <c r="Y506" t="str">
        <f t="shared" si="98"/>
        <v>Night</v>
      </c>
      <c r="Z506" t="str">
        <f t="shared" si="99"/>
        <v>Cold</v>
      </c>
      <c r="AA506" t="str">
        <f t="shared" si="100"/>
        <v>Medium</v>
      </c>
      <c r="AB506" t="str">
        <f t="shared" si="101"/>
        <v>Off-Peak</v>
      </c>
      <c r="AC506" s="63">
        <f t="shared" si="102"/>
        <v>0.16666666666666666</v>
      </c>
      <c r="AD506" t="str">
        <f>IF(P506&gt;=Stats!$C$30,"High",IF(P506&lt;=Stats!$C$29,"Low","Normal"))</f>
        <v>Normal</v>
      </c>
      <c r="AE506">
        <f t="shared" si="103"/>
        <v>1</v>
      </c>
    </row>
    <row r="507" spans="1:31" x14ac:dyDescent="0.2">
      <c r="A507">
        <f>Dataset_A!A507</f>
        <v>506</v>
      </c>
      <c r="B507" s="61">
        <f>Dataset_A!B507</f>
        <v>40566</v>
      </c>
      <c r="C507">
        <f>Dataset_A!C507</f>
        <v>1</v>
      </c>
      <c r="D507">
        <f>Dataset_A!D507</f>
        <v>0</v>
      </c>
      <c r="E507">
        <f>Dataset_A!E507</f>
        <v>1</v>
      </c>
      <c r="F507">
        <f>Dataset_A!F507</f>
        <v>3</v>
      </c>
      <c r="G507" t="b">
        <f>Dataset_A!G507</f>
        <v>0</v>
      </c>
      <c r="H507">
        <f>Dataset_A!H507</f>
        <v>0</v>
      </c>
      <c r="I507">
        <f>Dataset_A!I507</f>
        <v>1</v>
      </c>
      <c r="J507" s="55">
        <f>Dataset_A!J507</f>
        <v>0.02</v>
      </c>
      <c r="K507">
        <f>Dataset_A!K507</f>
        <v>6.0600000000000001E-2</v>
      </c>
      <c r="L507">
        <f>Dataset_A!L507</f>
        <v>0.62</v>
      </c>
      <c r="M507">
        <f>Dataset_A!M507</f>
        <v>0.1343</v>
      </c>
      <c r="N507">
        <f>Dataset_A!N507</f>
        <v>1</v>
      </c>
      <c r="O507">
        <f>Dataset_A!O507</f>
        <v>4</v>
      </c>
      <c r="P507">
        <f>Dataset_A!P507</f>
        <v>5</v>
      </c>
      <c r="Q507" t="str">
        <f t="shared" si="91"/>
        <v>REC-0506</v>
      </c>
      <c r="R507" s="62">
        <f t="shared" si="92"/>
        <v>40566.125</v>
      </c>
      <c r="S507" t="str">
        <f t="shared" si="93"/>
        <v>Jan</v>
      </c>
      <c r="T507" t="str">
        <f>INDEX(Lookups!$B$39:$B$45,MATCH(H507,Lookups!$A$39:$A$45,0))</f>
        <v>Sun</v>
      </c>
      <c r="U507" t="str">
        <f t="shared" si="94"/>
        <v>Weekend</v>
      </c>
      <c r="V507" t="str">
        <f t="shared" si="95"/>
        <v>Non-Working Day</v>
      </c>
      <c r="W507" t="str">
        <f t="shared" si="96"/>
        <v>Spring</v>
      </c>
      <c r="X507" t="str">
        <f t="shared" si="97"/>
        <v>Clear</v>
      </c>
      <c r="Y507" t="str">
        <f t="shared" si="98"/>
        <v>Night</v>
      </c>
      <c r="Z507" t="str">
        <f t="shared" si="99"/>
        <v>Cold</v>
      </c>
      <c r="AA507" t="str">
        <f t="shared" si="100"/>
        <v>Medium</v>
      </c>
      <c r="AB507" t="str">
        <f t="shared" si="101"/>
        <v>Off-Peak</v>
      </c>
      <c r="AC507" s="63">
        <f t="shared" si="102"/>
        <v>0.2</v>
      </c>
      <c r="AD507" t="str">
        <f>IF(P507&gt;=Stats!$C$30,"High",IF(P507&lt;=Stats!$C$29,"Low","Normal"))</f>
        <v>Low</v>
      </c>
      <c r="AE507">
        <f t="shared" si="103"/>
        <v>1</v>
      </c>
    </row>
    <row r="508" spans="1:31" x14ac:dyDescent="0.2">
      <c r="A508">
        <f>Dataset_A!A508</f>
        <v>507</v>
      </c>
      <c r="B508" s="61">
        <f>Dataset_A!B508</f>
        <v>40566</v>
      </c>
      <c r="C508">
        <f>Dataset_A!C508</f>
        <v>1</v>
      </c>
      <c r="D508">
        <f>Dataset_A!D508</f>
        <v>0</v>
      </c>
      <c r="E508">
        <f>Dataset_A!E508</f>
        <v>1</v>
      </c>
      <c r="F508">
        <f>Dataset_A!F508</f>
        <v>5</v>
      </c>
      <c r="G508" t="b">
        <f>Dataset_A!G508</f>
        <v>0</v>
      </c>
      <c r="H508">
        <f>Dataset_A!H508</f>
        <v>0</v>
      </c>
      <c r="I508">
        <f>Dataset_A!I508</f>
        <v>2</v>
      </c>
      <c r="J508" s="55">
        <f>Dataset_A!J508</f>
        <v>0.04</v>
      </c>
      <c r="K508">
        <f>Dataset_A!K508</f>
        <v>7.5800000000000006E-2</v>
      </c>
      <c r="L508">
        <f>Dataset_A!L508</f>
        <v>0.56999999999999995</v>
      </c>
      <c r="M508">
        <f>Dataset_A!M508</f>
        <v>0.1045</v>
      </c>
      <c r="N508">
        <f>Dataset_A!N508</f>
        <v>0</v>
      </c>
      <c r="O508">
        <f>Dataset_A!O508</f>
        <v>3</v>
      </c>
      <c r="P508">
        <f>Dataset_A!P508</f>
        <v>3</v>
      </c>
      <c r="Q508" t="str">
        <f t="shared" si="91"/>
        <v>REC-0507</v>
      </c>
      <c r="R508" s="62">
        <f t="shared" si="92"/>
        <v>40566.208333333336</v>
      </c>
      <c r="S508" t="str">
        <f t="shared" si="93"/>
        <v>Jan</v>
      </c>
      <c r="T508" t="str">
        <f>INDEX(Lookups!$B$39:$B$45,MATCH(H508,Lookups!$A$39:$A$45,0))</f>
        <v>Sun</v>
      </c>
      <c r="U508" t="str">
        <f t="shared" si="94"/>
        <v>Weekend</v>
      </c>
      <c r="V508" t="str">
        <f t="shared" si="95"/>
        <v>Non-Working Day</v>
      </c>
      <c r="W508" t="str">
        <f t="shared" si="96"/>
        <v>Spring</v>
      </c>
      <c r="X508" t="str">
        <f t="shared" si="97"/>
        <v>Cloudy/Mist</v>
      </c>
      <c r="Y508" t="str">
        <f t="shared" si="98"/>
        <v>Night</v>
      </c>
      <c r="Z508" t="str">
        <f t="shared" si="99"/>
        <v>Cold</v>
      </c>
      <c r="AA508" t="str">
        <f t="shared" si="100"/>
        <v>Medium</v>
      </c>
      <c r="AB508" t="str">
        <f t="shared" si="101"/>
        <v>Off-Peak</v>
      </c>
      <c r="AC508" s="63">
        <f t="shared" si="102"/>
        <v>0</v>
      </c>
      <c r="AD508" t="str">
        <f>IF(P508&gt;=Stats!$C$30,"High",IF(P508&lt;=Stats!$C$29,"Low","Normal"))</f>
        <v>Low</v>
      </c>
      <c r="AE508">
        <f t="shared" si="103"/>
        <v>1</v>
      </c>
    </row>
    <row r="509" spans="1:31" x14ac:dyDescent="0.2">
      <c r="A509">
        <f>Dataset_A!A509</f>
        <v>508</v>
      </c>
      <c r="B509" s="61">
        <f>Dataset_A!B509</f>
        <v>40566</v>
      </c>
      <c r="C509">
        <f>Dataset_A!C509</f>
        <v>1</v>
      </c>
      <c r="D509">
        <f>Dataset_A!D509</f>
        <v>0</v>
      </c>
      <c r="E509">
        <f>Dataset_A!E509</f>
        <v>1</v>
      </c>
      <c r="F509">
        <f>Dataset_A!F509</f>
        <v>6</v>
      </c>
      <c r="G509" t="b">
        <f>Dataset_A!G509</f>
        <v>0</v>
      </c>
      <c r="H509">
        <f>Dataset_A!H509</f>
        <v>0</v>
      </c>
      <c r="I509">
        <f>Dataset_A!I509</f>
        <v>2</v>
      </c>
      <c r="J509" s="55">
        <f>Dataset_A!J509</f>
        <v>0.04</v>
      </c>
      <c r="K509">
        <f>Dataset_A!K509</f>
        <v>7.5800000000000006E-2</v>
      </c>
      <c r="L509">
        <f>Dataset_A!L509</f>
        <v>0.56999999999999995</v>
      </c>
      <c r="M509">
        <f>Dataset_A!M509</f>
        <v>0.1045</v>
      </c>
      <c r="N509">
        <f>Dataset_A!N509</f>
        <v>0</v>
      </c>
      <c r="O509">
        <f>Dataset_A!O509</f>
        <v>1</v>
      </c>
      <c r="P509">
        <f>Dataset_A!P509</f>
        <v>1</v>
      </c>
      <c r="Q509" t="str">
        <f t="shared" si="91"/>
        <v>REC-0508</v>
      </c>
      <c r="R509" s="62">
        <f t="shared" si="92"/>
        <v>40566.25</v>
      </c>
      <c r="S509" t="str">
        <f t="shared" si="93"/>
        <v>Jan</v>
      </c>
      <c r="T509" t="str">
        <f>INDEX(Lookups!$B$39:$B$45,MATCH(H509,Lookups!$A$39:$A$45,0))</f>
        <v>Sun</v>
      </c>
      <c r="U509" t="str">
        <f t="shared" si="94"/>
        <v>Weekend</v>
      </c>
      <c r="V509" t="str">
        <f t="shared" si="95"/>
        <v>Non-Working Day</v>
      </c>
      <c r="W509" t="str">
        <f t="shared" si="96"/>
        <v>Spring</v>
      </c>
      <c r="X509" t="str">
        <f t="shared" si="97"/>
        <v>Cloudy/Mist</v>
      </c>
      <c r="Y509" t="str">
        <f t="shared" si="98"/>
        <v>Morning</v>
      </c>
      <c r="Z509" t="str">
        <f t="shared" si="99"/>
        <v>Cold</v>
      </c>
      <c r="AA509" t="str">
        <f t="shared" si="100"/>
        <v>Medium</v>
      </c>
      <c r="AB509" t="str">
        <f t="shared" si="101"/>
        <v>Off-Peak</v>
      </c>
      <c r="AC509" s="63">
        <f t="shared" si="102"/>
        <v>0</v>
      </c>
      <c r="AD509" t="str">
        <f>IF(P509&gt;=Stats!$C$30,"High",IF(P509&lt;=Stats!$C$29,"Low","Normal"))</f>
        <v>Low</v>
      </c>
      <c r="AE509">
        <f t="shared" si="103"/>
        <v>1</v>
      </c>
    </row>
    <row r="510" spans="1:31" x14ac:dyDescent="0.2">
      <c r="A510">
        <f>Dataset_A!A510</f>
        <v>509</v>
      </c>
      <c r="B510" s="61">
        <f>Dataset_A!B510</f>
        <v>40566</v>
      </c>
      <c r="C510">
        <f>Dataset_A!C510</f>
        <v>1</v>
      </c>
      <c r="D510">
        <f>Dataset_A!D510</f>
        <v>0</v>
      </c>
      <c r="E510">
        <f>Dataset_A!E510</f>
        <v>1</v>
      </c>
      <c r="F510">
        <f>Dataset_A!F510</f>
        <v>7</v>
      </c>
      <c r="G510" t="b">
        <f>Dataset_A!G510</f>
        <v>0</v>
      </c>
      <c r="H510">
        <f>Dataset_A!H510</f>
        <v>0</v>
      </c>
      <c r="I510">
        <f>Dataset_A!I510</f>
        <v>1</v>
      </c>
      <c r="J510" s="55">
        <f>Dataset_A!J510</f>
        <v>0.08</v>
      </c>
      <c r="K510">
        <f>Dataset_A!K510</f>
        <v>0.1061</v>
      </c>
      <c r="L510">
        <f>Dataset_A!L510</f>
        <v>0.57999999999999996</v>
      </c>
      <c r="M510">
        <f>Dataset_A!M510</f>
        <v>0.16420000000000001</v>
      </c>
      <c r="N510">
        <f>Dataset_A!N510</f>
        <v>1</v>
      </c>
      <c r="O510">
        <f>Dataset_A!O510</f>
        <v>1</v>
      </c>
      <c r="P510">
        <f>Dataset_A!P510</f>
        <v>2</v>
      </c>
      <c r="Q510" t="str">
        <f t="shared" si="91"/>
        <v>REC-0509</v>
      </c>
      <c r="R510" s="62">
        <f t="shared" si="92"/>
        <v>40566.291666666664</v>
      </c>
      <c r="S510" t="str">
        <f t="shared" si="93"/>
        <v>Jan</v>
      </c>
      <c r="T510" t="str">
        <f>INDEX(Lookups!$B$39:$B$45,MATCH(H510,Lookups!$A$39:$A$45,0))</f>
        <v>Sun</v>
      </c>
      <c r="U510" t="str">
        <f t="shared" si="94"/>
        <v>Weekend</v>
      </c>
      <c r="V510" t="str">
        <f t="shared" si="95"/>
        <v>Non-Working Day</v>
      </c>
      <c r="W510" t="str">
        <f t="shared" si="96"/>
        <v>Spring</v>
      </c>
      <c r="X510" t="str">
        <f t="shared" si="97"/>
        <v>Clear</v>
      </c>
      <c r="Y510" t="str">
        <f t="shared" si="98"/>
        <v>Morning</v>
      </c>
      <c r="Z510" t="str">
        <f t="shared" si="99"/>
        <v>Cold</v>
      </c>
      <c r="AA510" t="str">
        <f t="shared" si="100"/>
        <v>Medium</v>
      </c>
      <c r="AB510" t="str">
        <f t="shared" si="101"/>
        <v>Off-Peak</v>
      </c>
      <c r="AC510" s="63">
        <f t="shared" si="102"/>
        <v>0.5</v>
      </c>
      <c r="AD510" t="str">
        <f>IF(P510&gt;=Stats!$C$30,"High",IF(P510&lt;=Stats!$C$29,"Low","Normal"))</f>
        <v>Low</v>
      </c>
      <c r="AE510">
        <f t="shared" si="103"/>
        <v>1</v>
      </c>
    </row>
    <row r="511" spans="1:31" x14ac:dyDescent="0.2">
      <c r="A511">
        <f>Dataset_A!A511</f>
        <v>510</v>
      </c>
      <c r="B511" s="61">
        <f>Dataset_A!B511</f>
        <v>40566</v>
      </c>
      <c r="C511">
        <f>Dataset_A!C511</f>
        <v>1</v>
      </c>
      <c r="D511">
        <f>Dataset_A!D511</f>
        <v>0</v>
      </c>
      <c r="E511">
        <f>Dataset_A!E511</f>
        <v>1</v>
      </c>
      <c r="F511">
        <f>Dataset_A!F511</f>
        <v>8</v>
      </c>
      <c r="G511" t="b">
        <f>Dataset_A!G511</f>
        <v>0</v>
      </c>
      <c r="H511">
        <f>Dataset_A!H511</f>
        <v>0</v>
      </c>
      <c r="I511">
        <f>Dataset_A!I511</f>
        <v>1</v>
      </c>
      <c r="J511" s="55">
        <f>Dataset_A!J511</f>
        <v>0.06</v>
      </c>
      <c r="K511">
        <f>Dataset_A!K511</f>
        <v>7.5800000000000006E-2</v>
      </c>
      <c r="L511">
        <f>Dataset_A!L511</f>
        <v>0.62</v>
      </c>
      <c r="M511">
        <f>Dataset_A!M511</f>
        <v>0.16420000000000001</v>
      </c>
      <c r="N511">
        <f>Dataset_A!N511</f>
        <v>2</v>
      </c>
      <c r="O511">
        <f>Dataset_A!O511</f>
        <v>17</v>
      </c>
      <c r="P511">
        <f>Dataset_A!P511</f>
        <v>19</v>
      </c>
      <c r="Q511" t="str">
        <f t="shared" si="91"/>
        <v>REC-0510</v>
      </c>
      <c r="R511" s="62">
        <f t="shared" si="92"/>
        <v>40566.333333333336</v>
      </c>
      <c r="S511" t="str">
        <f t="shared" si="93"/>
        <v>Jan</v>
      </c>
      <c r="T511" t="str">
        <f>INDEX(Lookups!$B$39:$B$45,MATCH(H511,Lookups!$A$39:$A$45,0))</f>
        <v>Sun</v>
      </c>
      <c r="U511" t="str">
        <f t="shared" si="94"/>
        <v>Weekend</v>
      </c>
      <c r="V511" t="str">
        <f t="shared" si="95"/>
        <v>Non-Working Day</v>
      </c>
      <c r="W511" t="str">
        <f t="shared" si="96"/>
        <v>Spring</v>
      </c>
      <c r="X511" t="str">
        <f t="shared" si="97"/>
        <v>Clear</v>
      </c>
      <c r="Y511" t="str">
        <f t="shared" si="98"/>
        <v>Morning</v>
      </c>
      <c r="Z511" t="str">
        <f t="shared" si="99"/>
        <v>Cold</v>
      </c>
      <c r="AA511" t="str">
        <f t="shared" si="100"/>
        <v>Medium</v>
      </c>
      <c r="AB511" t="str">
        <f t="shared" si="101"/>
        <v>Off-Peak</v>
      </c>
      <c r="AC511" s="63">
        <f t="shared" si="102"/>
        <v>0.10526315789473684</v>
      </c>
      <c r="AD511" t="str">
        <f>IF(P511&gt;=Stats!$C$30,"High",IF(P511&lt;=Stats!$C$29,"Low","Normal"))</f>
        <v>Normal</v>
      </c>
      <c r="AE511">
        <f t="shared" si="103"/>
        <v>1</v>
      </c>
    </row>
    <row r="512" spans="1:31" x14ac:dyDescent="0.2">
      <c r="A512">
        <f>Dataset_A!A512</f>
        <v>511</v>
      </c>
      <c r="B512" s="61">
        <f>Dataset_A!B512</f>
        <v>40566</v>
      </c>
      <c r="C512">
        <f>Dataset_A!C512</f>
        <v>1</v>
      </c>
      <c r="D512">
        <f>Dataset_A!D512</f>
        <v>0</v>
      </c>
      <c r="E512">
        <f>Dataset_A!E512</f>
        <v>1</v>
      </c>
      <c r="F512">
        <f>Dataset_A!F512</f>
        <v>9</v>
      </c>
      <c r="G512" t="b">
        <f>Dataset_A!G512</f>
        <v>0</v>
      </c>
      <c r="H512">
        <f>Dataset_A!H512</f>
        <v>0</v>
      </c>
      <c r="I512">
        <f>Dataset_A!I512</f>
        <v>1</v>
      </c>
      <c r="J512" s="55">
        <f>Dataset_A!J512</f>
        <v>0.1</v>
      </c>
      <c r="K512">
        <f>Dataset_A!K512</f>
        <v>7.5800000000000006E-2</v>
      </c>
      <c r="L512">
        <f>Dataset_A!L512</f>
        <v>0.54</v>
      </c>
      <c r="M512">
        <f>Dataset_A!M512</f>
        <v>0.35820000000000002</v>
      </c>
      <c r="N512">
        <f>Dataset_A!N512</f>
        <v>3</v>
      </c>
      <c r="O512">
        <f>Dataset_A!O512</f>
        <v>25</v>
      </c>
      <c r="P512">
        <f>Dataset_A!P512</f>
        <v>28</v>
      </c>
      <c r="Q512" t="str">
        <f t="shared" si="91"/>
        <v>REC-0511</v>
      </c>
      <c r="R512" s="62">
        <f t="shared" si="92"/>
        <v>40566.375</v>
      </c>
      <c r="S512" t="str">
        <f t="shared" si="93"/>
        <v>Jan</v>
      </c>
      <c r="T512" t="str">
        <f>INDEX(Lookups!$B$39:$B$45,MATCH(H512,Lookups!$A$39:$A$45,0))</f>
        <v>Sun</v>
      </c>
      <c r="U512" t="str">
        <f t="shared" si="94"/>
        <v>Weekend</v>
      </c>
      <c r="V512" t="str">
        <f t="shared" si="95"/>
        <v>Non-Working Day</v>
      </c>
      <c r="W512" t="str">
        <f t="shared" si="96"/>
        <v>Spring</v>
      </c>
      <c r="X512" t="str">
        <f t="shared" si="97"/>
        <v>Clear</v>
      </c>
      <c r="Y512" t="str">
        <f t="shared" si="98"/>
        <v>Morning</v>
      </c>
      <c r="Z512" t="str">
        <f t="shared" si="99"/>
        <v>Cold</v>
      </c>
      <c r="AA512" t="str">
        <f t="shared" si="100"/>
        <v>Medium</v>
      </c>
      <c r="AB512" t="str">
        <f t="shared" si="101"/>
        <v>Off-Peak</v>
      </c>
      <c r="AC512" s="63">
        <f t="shared" si="102"/>
        <v>0.10714285714285714</v>
      </c>
      <c r="AD512" t="str">
        <f>IF(P512&gt;=Stats!$C$30,"High",IF(P512&lt;=Stats!$C$29,"Low","Normal"))</f>
        <v>Normal</v>
      </c>
      <c r="AE512">
        <f t="shared" si="103"/>
        <v>1</v>
      </c>
    </row>
    <row r="513" spans="1:31" x14ac:dyDescent="0.2">
      <c r="A513">
        <f>Dataset_A!A513</f>
        <v>512</v>
      </c>
      <c r="B513" s="61">
        <f>Dataset_A!B513</f>
        <v>40566</v>
      </c>
      <c r="C513">
        <f>Dataset_A!C513</f>
        <v>1</v>
      </c>
      <c r="D513">
        <f>Dataset_A!D513</f>
        <v>0</v>
      </c>
      <c r="E513">
        <f>Dataset_A!E513</f>
        <v>1</v>
      </c>
      <c r="F513">
        <f>Dataset_A!F513</f>
        <v>10</v>
      </c>
      <c r="G513" t="b">
        <f>Dataset_A!G513</f>
        <v>0</v>
      </c>
      <c r="H513">
        <f>Dataset_A!H513</f>
        <v>0</v>
      </c>
      <c r="I513">
        <f>Dataset_A!I513</f>
        <v>1</v>
      </c>
      <c r="J513" s="55">
        <f>Dataset_A!J513</f>
        <v>0.14000000000000001</v>
      </c>
      <c r="K513">
        <f>Dataset_A!K513</f>
        <v>0.1061</v>
      </c>
      <c r="L513">
        <f>Dataset_A!L513</f>
        <v>0.46</v>
      </c>
      <c r="M513">
        <f>Dataset_A!M513</f>
        <v>0.3881</v>
      </c>
      <c r="N513">
        <f>Dataset_A!N513</f>
        <v>7</v>
      </c>
      <c r="O513">
        <f>Dataset_A!O513</f>
        <v>51</v>
      </c>
      <c r="P513">
        <f>Dataset_A!P513</f>
        <v>58</v>
      </c>
      <c r="Q513" t="str">
        <f t="shared" si="91"/>
        <v>REC-0512</v>
      </c>
      <c r="R513" s="62">
        <f t="shared" si="92"/>
        <v>40566.416666666664</v>
      </c>
      <c r="S513" t="str">
        <f t="shared" si="93"/>
        <v>Jan</v>
      </c>
      <c r="T513" t="str">
        <f>INDEX(Lookups!$B$39:$B$45,MATCH(H513,Lookups!$A$39:$A$45,0))</f>
        <v>Sun</v>
      </c>
      <c r="U513" t="str">
        <f t="shared" si="94"/>
        <v>Weekend</v>
      </c>
      <c r="V513" t="str">
        <f t="shared" si="95"/>
        <v>Non-Working Day</v>
      </c>
      <c r="W513" t="str">
        <f t="shared" si="96"/>
        <v>Spring</v>
      </c>
      <c r="X513" t="str">
        <f t="shared" si="97"/>
        <v>Clear</v>
      </c>
      <c r="Y513" t="str">
        <f t="shared" si="98"/>
        <v>Morning</v>
      </c>
      <c r="Z513" t="str">
        <f t="shared" si="99"/>
        <v>Cold</v>
      </c>
      <c r="AA513" t="str">
        <f t="shared" si="100"/>
        <v>Low</v>
      </c>
      <c r="AB513" t="str">
        <f t="shared" si="101"/>
        <v>Off-Peak</v>
      </c>
      <c r="AC513" s="63">
        <f t="shared" si="102"/>
        <v>0.1206896551724138</v>
      </c>
      <c r="AD513" t="str">
        <f>IF(P513&gt;=Stats!$C$30,"High",IF(P513&lt;=Stats!$C$29,"Low","Normal"))</f>
        <v>Normal</v>
      </c>
      <c r="AE513">
        <f t="shared" si="103"/>
        <v>1</v>
      </c>
    </row>
    <row r="514" spans="1:31" x14ac:dyDescent="0.2">
      <c r="A514">
        <f>Dataset_A!A514</f>
        <v>513</v>
      </c>
      <c r="B514" s="61">
        <f>Dataset_A!B514</f>
        <v>40566</v>
      </c>
      <c r="C514">
        <f>Dataset_A!C514</f>
        <v>1</v>
      </c>
      <c r="D514">
        <f>Dataset_A!D514</f>
        <v>0</v>
      </c>
      <c r="E514">
        <f>Dataset_A!E514</f>
        <v>1</v>
      </c>
      <c r="F514">
        <f>Dataset_A!F514</f>
        <v>11</v>
      </c>
      <c r="G514" t="b">
        <f>Dataset_A!G514</f>
        <v>0</v>
      </c>
      <c r="H514">
        <f>Dataset_A!H514</f>
        <v>0</v>
      </c>
      <c r="I514">
        <f>Dataset_A!I514</f>
        <v>1</v>
      </c>
      <c r="J514" s="55">
        <f>Dataset_A!J514</f>
        <v>0.14000000000000001</v>
      </c>
      <c r="K514">
        <f>Dataset_A!K514</f>
        <v>0.13639999999999999</v>
      </c>
      <c r="L514">
        <f>Dataset_A!L514</f>
        <v>0.43</v>
      </c>
      <c r="M514">
        <f>Dataset_A!M514</f>
        <v>0.22389999999999999</v>
      </c>
      <c r="N514">
        <f>Dataset_A!N514</f>
        <v>22</v>
      </c>
      <c r="O514">
        <f>Dataset_A!O514</f>
        <v>77</v>
      </c>
      <c r="P514">
        <f>Dataset_A!P514</f>
        <v>99</v>
      </c>
      <c r="Q514" t="str">
        <f t="shared" ref="Q514:Q577" si="104">"REC-"&amp;TEXT(A514,"0000")</f>
        <v>REC-0513</v>
      </c>
      <c r="R514" s="62">
        <f t="shared" ref="R514:R577" si="105">B514+F514/24</f>
        <v>40566.458333333336</v>
      </c>
      <c r="S514" t="str">
        <f t="shared" ref="S514:S577" si="106">TEXT(B514,"mmm")</f>
        <v>Jan</v>
      </c>
      <c r="T514" t="str">
        <f>INDEX(Lookups!$B$39:$B$45,MATCH(H514,Lookups!$A$39:$A$45,0))</f>
        <v>Sun</v>
      </c>
      <c r="U514" t="str">
        <f t="shared" ref="U514:U577" si="107">IF(OR(H514=0,H514=6),"Weekend","Weekday")</f>
        <v>Weekend</v>
      </c>
      <c r="V514" t="str">
        <f t="shared" ref="V514:V577" si="108">IF(OR(U514="Weekend",G514=TRUE),"Non-Working Day","Working Day")</f>
        <v>Non-Working Day</v>
      </c>
      <c r="W514" t="str">
        <f t="shared" ref="W514:W577" si="109">VLOOKUP(C514,tbl_season,2,FALSE)</f>
        <v>Spring</v>
      </c>
      <c r="X514" t="str">
        <f t="shared" ref="X514:X577" si="110">VLOOKUP(I514,tbl_weather,2,FALSE)</f>
        <v>Clear</v>
      </c>
      <c r="Y514" t="str">
        <f t="shared" ref="Y514:Y577" si="111">INDEX(band_name,MATCH(F514,band_start,1))</f>
        <v>Morning</v>
      </c>
      <c r="Z514" t="str">
        <f t="shared" ref="Z514:Z577" si="112">INDEX(temp_band,MATCH(J514,temp_from,1))</f>
        <v>Cold</v>
      </c>
      <c r="AA514" t="str">
        <f t="shared" ref="AA514:AA577" si="113">INDEX(hum_band,MATCH(L514,hum_from,1))</f>
        <v>Low</v>
      </c>
      <c r="AB514" t="str">
        <f t="shared" ref="AB514:AB577" si="114">IF(AND(U514="Weekday",OR(AND(F514&gt;=7,F514&lt;=9),AND(F514&gt;=16,F514&lt;=19))),"Peak","Off-Peak")</f>
        <v>Off-Peak</v>
      </c>
      <c r="AC514" s="63">
        <f t="shared" ref="AC514:AC577" si="115">IF(P514=0,0,N514/P514)</f>
        <v>0.22222222222222221</v>
      </c>
      <c r="AD514" t="str">
        <f>IF(P514&gt;=Stats!$C$30,"High",IF(P514&lt;=Stats!$C$29,"Low","Normal"))</f>
        <v>High</v>
      </c>
      <c r="AE514">
        <f t="shared" ref="AE514:AE577" si="116">SUBTOTAL(103,A514)</f>
        <v>1</v>
      </c>
    </row>
    <row r="515" spans="1:31" x14ac:dyDescent="0.2">
      <c r="A515">
        <f>Dataset_A!A515</f>
        <v>514</v>
      </c>
      <c r="B515" s="61">
        <f>Dataset_A!B515</f>
        <v>40566</v>
      </c>
      <c r="C515">
        <f>Dataset_A!C515</f>
        <v>1</v>
      </c>
      <c r="D515">
        <f>Dataset_A!D515</f>
        <v>0</v>
      </c>
      <c r="E515">
        <f>Dataset_A!E515</f>
        <v>1</v>
      </c>
      <c r="F515">
        <f>Dataset_A!F515</f>
        <v>12</v>
      </c>
      <c r="G515" t="b">
        <f>Dataset_A!G515</f>
        <v>0</v>
      </c>
      <c r="H515">
        <f>Dataset_A!H515</f>
        <v>0</v>
      </c>
      <c r="I515">
        <f>Dataset_A!I515</f>
        <v>1</v>
      </c>
      <c r="J515" s="55">
        <f>Dataset_A!J515</f>
        <v>0.16</v>
      </c>
      <c r="K515">
        <f>Dataset_A!K515</f>
        <v>0.1212</v>
      </c>
      <c r="L515">
        <f>Dataset_A!L515</f>
        <v>0.37</v>
      </c>
      <c r="M515">
        <f>Dataset_A!M515</f>
        <v>0.4627</v>
      </c>
      <c r="N515">
        <f>Dataset_A!N515</f>
        <v>24</v>
      </c>
      <c r="O515">
        <f>Dataset_A!O515</f>
        <v>92</v>
      </c>
      <c r="P515">
        <f>Dataset_A!P515</f>
        <v>116</v>
      </c>
      <c r="Q515" t="str">
        <f t="shared" si="104"/>
        <v>REC-0514</v>
      </c>
      <c r="R515" s="62">
        <f t="shared" si="105"/>
        <v>40566.5</v>
      </c>
      <c r="S515" t="str">
        <f t="shared" si="106"/>
        <v>Jan</v>
      </c>
      <c r="T515" t="str">
        <f>INDEX(Lookups!$B$39:$B$45,MATCH(H515,Lookups!$A$39:$A$45,0))</f>
        <v>Sun</v>
      </c>
      <c r="U515" t="str">
        <f t="shared" si="107"/>
        <v>Weekend</v>
      </c>
      <c r="V515" t="str">
        <f t="shared" si="108"/>
        <v>Non-Working Day</v>
      </c>
      <c r="W515" t="str">
        <f t="shared" si="109"/>
        <v>Spring</v>
      </c>
      <c r="X515" t="str">
        <f t="shared" si="110"/>
        <v>Clear</v>
      </c>
      <c r="Y515" t="str">
        <f t="shared" si="111"/>
        <v>Afternoon</v>
      </c>
      <c r="Z515" t="str">
        <f t="shared" si="112"/>
        <v>Cold</v>
      </c>
      <c r="AA515" t="str">
        <f t="shared" si="113"/>
        <v>Low</v>
      </c>
      <c r="AB515" t="str">
        <f t="shared" si="114"/>
        <v>Off-Peak</v>
      </c>
      <c r="AC515" s="63">
        <f t="shared" si="115"/>
        <v>0.20689655172413793</v>
      </c>
      <c r="AD515" t="str">
        <f>IF(P515&gt;=Stats!$C$30,"High",IF(P515&lt;=Stats!$C$29,"Low","Normal"))</f>
        <v>High</v>
      </c>
      <c r="AE515">
        <f t="shared" si="116"/>
        <v>1</v>
      </c>
    </row>
    <row r="516" spans="1:31" x14ac:dyDescent="0.2">
      <c r="A516">
        <f>Dataset_A!A516</f>
        <v>515</v>
      </c>
      <c r="B516" s="61">
        <f>Dataset_A!B516</f>
        <v>40566</v>
      </c>
      <c r="C516">
        <f>Dataset_A!C516</f>
        <v>1</v>
      </c>
      <c r="D516">
        <f>Dataset_A!D516</f>
        <v>0</v>
      </c>
      <c r="E516">
        <f>Dataset_A!E516</f>
        <v>1</v>
      </c>
      <c r="F516">
        <f>Dataset_A!F516</f>
        <v>13</v>
      </c>
      <c r="G516" t="b">
        <f>Dataset_A!G516</f>
        <v>0</v>
      </c>
      <c r="H516">
        <f>Dataset_A!H516</f>
        <v>0</v>
      </c>
      <c r="I516">
        <f>Dataset_A!I516</f>
        <v>1</v>
      </c>
      <c r="J516" s="55">
        <f>Dataset_A!J516</f>
        <v>0.14000000000000001</v>
      </c>
      <c r="K516">
        <f>Dataset_A!K516</f>
        <v>0.1061</v>
      </c>
      <c r="L516">
        <f>Dataset_A!L516</f>
        <v>0.33</v>
      </c>
      <c r="M516">
        <f>Dataset_A!M516</f>
        <v>0.3881</v>
      </c>
      <c r="N516">
        <f>Dataset_A!N516</f>
        <v>12</v>
      </c>
      <c r="O516">
        <f>Dataset_A!O516</f>
        <v>75</v>
      </c>
      <c r="P516">
        <f>Dataset_A!P516</f>
        <v>87</v>
      </c>
      <c r="Q516" t="str">
        <f t="shared" si="104"/>
        <v>REC-0515</v>
      </c>
      <c r="R516" s="62">
        <f t="shared" si="105"/>
        <v>40566.541666666664</v>
      </c>
      <c r="S516" t="str">
        <f t="shared" si="106"/>
        <v>Jan</v>
      </c>
      <c r="T516" t="str">
        <f>INDEX(Lookups!$B$39:$B$45,MATCH(H516,Lookups!$A$39:$A$45,0))</f>
        <v>Sun</v>
      </c>
      <c r="U516" t="str">
        <f t="shared" si="107"/>
        <v>Weekend</v>
      </c>
      <c r="V516" t="str">
        <f t="shared" si="108"/>
        <v>Non-Working Day</v>
      </c>
      <c r="W516" t="str">
        <f t="shared" si="109"/>
        <v>Spring</v>
      </c>
      <c r="X516" t="str">
        <f t="shared" si="110"/>
        <v>Clear</v>
      </c>
      <c r="Y516" t="str">
        <f t="shared" si="111"/>
        <v>Afternoon</v>
      </c>
      <c r="Z516" t="str">
        <f t="shared" si="112"/>
        <v>Cold</v>
      </c>
      <c r="AA516" t="str">
        <f t="shared" si="113"/>
        <v>Low</v>
      </c>
      <c r="AB516" t="str">
        <f t="shared" si="114"/>
        <v>Off-Peak</v>
      </c>
      <c r="AC516" s="63">
        <f t="shared" si="115"/>
        <v>0.13793103448275862</v>
      </c>
      <c r="AD516" t="str">
        <f>IF(P516&gt;=Stats!$C$30,"High",IF(P516&lt;=Stats!$C$29,"Low","Normal"))</f>
        <v>High</v>
      </c>
      <c r="AE516">
        <f t="shared" si="116"/>
        <v>1</v>
      </c>
    </row>
    <row r="517" spans="1:31" x14ac:dyDescent="0.2">
      <c r="A517">
        <f>Dataset_A!A517</f>
        <v>516</v>
      </c>
      <c r="B517" s="61">
        <f>Dataset_A!B517</f>
        <v>40566</v>
      </c>
      <c r="C517">
        <f>Dataset_A!C517</f>
        <v>1</v>
      </c>
      <c r="D517">
        <f>Dataset_A!D517</f>
        <v>0</v>
      </c>
      <c r="E517">
        <f>Dataset_A!E517</f>
        <v>1</v>
      </c>
      <c r="F517">
        <f>Dataset_A!F517</f>
        <v>14</v>
      </c>
      <c r="G517" t="b">
        <f>Dataset_A!G517</f>
        <v>0</v>
      </c>
      <c r="H517">
        <f>Dataset_A!H517</f>
        <v>0</v>
      </c>
      <c r="I517">
        <f>Dataset_A!I517</f>
        <v>1</v>
      </c>
      <c r="J517" s="55">
        <f>Dataset_A!J517</f>
        <v>0.16</v>
      </c>
      <c r="K517">
        <f>Dataset_A!K517</f>
        <v>0.13639999999999999</v>
      </c>
      <c r="L517">
        <f>Dataset_A!L517</f>
        <v>0.28000000000000003</v>
      </c>
      <c r="M517">
        <f>Dataset_A!M517</f>
        <v>0.35820000000000002</v>
      </c>
      <c r="N517">
        <f>Dataset_A!N517</f>
        <v>17</v>
      </c>
      <c r="O517">
        <f>Dataset_A!O517</f>
        <v>93</v>
      </c>
      <c r="P517">
        <f>Dataset_A!P517</f>
        <v>110</v>
      </c>
      <c r="Q517" t="str">
        <f t="shared" si="104"/>
        <v>REC-0516</v>
      </c>
      <c r="R517" s="62">
        <f t="shared" si="105"/>
        <v>40566.583333333336</v>
      </c>
      <c r="S517" t="str">
        <f t="shared" si="106"/>
        <v>Jan</v>
      </c>
      <c r="T517" t="str">
        <f>INDEX(Lookups!$B$39:$B$45,MATCH(H517,Lookups!$A$39:$A$45,0))</f>
        <v>Sun</v>
      </c>
      <c r="U517" t="str">
        <f t="shared" si="107"/>
        <v>Weekend</v>
      </c>
      <c r="V517" t="str">
        <f t="shared" si="108"/>
        <v>Non-Working Day</v>
      </c>
      <c r="W517" t="str">
        <f t="shared" si="109"/>
        <v>Spring</v>
      </c>
      <c r="X517" t="str">
        <f t="shared" si="110"/>
        <v>Clear</v>
      </c>
      <c r="Y517" t="str">
        <f t="shared" si="111"/>
        <v>Afternoon</v>
      </c>
      <c r="Z517" t="str">
        <f t="shared" si="112"/>
        <v>Cold</v>
      </c>
      <c r="AA517" t="str">
        <f t="shared" si="113"/>
        <v>Low</v>
      </c>
      <c r="AB517" t="str">
        <f t="shared" si="114"/>
        <v>Off-Peak</v>
      </c>
      <c r="AC517" s="63">
        <f t="shared" si="115"/>
        <v>0.15454545454545454</v>
      </c>
      <c r="AD517" t="str">
        <f>IF(P517&gt;=Stats!$C$30,"High",IF(P517&lt;=Stats!$C$29,"Low","Normal"))</f>
        <v>High</v>
      </c>
      <c r="AE517">
        <f t="shared" si="116"/>
        <v>1</v>
      </c>
    </row>
    <row r="518" spans="1:31" x14ac:dyDescent="0.2">
      <c r="A518">
        <f>Dataset_A!A518</f>
        <v>517</v>
      </c>
      <c r="B518" s="61">
        <f>Dataset_A!B518</f>
        <v>40566</v>
      </c>
      <c r="C518">
        <f>Dataset_A!C518</f>
        <v>1</v>
      </c>
      <c r="D518">
        <f>Dataset_A!D518</f>
        <v>0</v>
      </c>
      <c r="E518">
        <f>Dataset_A!E518</f>
        <v>1</v>
      </c>
      <c r="F518">
        <f>Dataset_A!F518</f>
        <v>15</v>
      </c>
      <c r="G518" t="b">
        <f>Dataset_A!G518</f>
        <v>0</v>
      </c>
      <c r="H518">
        <f>Dataset_A!H518</f>
        <v>0</v>
      </c>
      <c r="I518">
        <f>Dataset_A!I518</f>
        <v>1</v>
      </c>
      <c r="J518" s="55">
        <f>Dataset_A!J518</f>
        <v>0.16</v>
      </c>
      <c r="K518">
        <f>Dataset_A!K518</f>
        <v>0.13639999999999999</v>
      </c>
      <c r="L518">
        <f>Dataset_A!L518</f>
        <v>0.28000000000000003</v>
      </c>
      <c r="M518">
        <f>Dataset_A!M518</f>
        <v>0.35820000000000002</v>
      </c>
      <c r="N518">
        <f>Dataset_A!N518</f>
        <v>13</v>
      </c>
      <c r="O518">
        <f>Dataset_A!O518</f>
        <v>64</v>
      </c>
      <c r="P518">
        <f>Dataset_A!P518</f>
        <v>77</v>
      </c>
      <c r="Q518" t="str">
        <f t="shared" si="104"/>
        <v>REC-0517</v>
      </c>
      <c r="R518" s="62">
        <f t="shared" si="105"/>
        <v>40566.625</v>
      </c>
      <c r="S518" t="str">
        <f t="shared" si="106"/>
        <v>Jan</v>
      </c>
      <c r="T518" t="str">
        <f>INDEX(Lookups!$B$39:$B$45,MATCH(H518,Lookups!$A$39:$A$45,0))</f>
        <v>Sun</v>
      </c>
      <c r="U518" t="str">
        <f t="shared" si="107"/>
        <v>Weekend</v>
      </c>
      <c r="V518" t="str">
        <f t="shared" si="108"/>
        <v>Non-Working Day</v>
      </c>
      <c r="W518" t="str">
        <f t="shared" si="109"/>
        <v>Spring</v>
      </c>
      <c r="X518" t="str">
        <f t="shared" si="110"/>
        <v>Clear</v>
      </c>
      <c r="Y518" t="str">
        <f t="shared" si="111"/>
        <v>Afternoon</v>
      </c>
      <c r="Z518" t="str">
        <f t="shared" si="112"/>
        <v>Cold</v>
      </c>
      <c r="AA518" t="str">
        <f t="shared" si="113"/>
        <v>Low</v>
      </c>
      <c r="AB518" t="str">
        <f t="shared" si="114"/>
        <v>Off-Peak</v>
      </c>
      <c r="AC518" s="63">
        <f t="shared" si="115"/>
        <v>0.16883116883116883</v>
      </c>
      <c r="AD518" t="str">
        <f>IF(P518&gt;=Stats!$C$30,"High",IF(P518&lt;=Stats!$C$29,"Low","Normal"))</f>
        <v>Normal</v>
      </c>
      <c r="AE518">
        <f t="shared" si="116"/>
        <v>1</v>
      </c>
    </row>
    <row r="519" spans="1:31" x14ac:dyDescent="0.2">
      <c r="A519">
        <f>Dataset_A!A519</f>
        <v>518</v>
      </c>
      <c r="B519" s="61">
        <f>Dataset_A!B519</f>
        <v>40566</v>
      </c>
      <c r="C519">
        <f>Dataset_A!C519</f>
        <v>1</v>
      </c>
      <c r="D519">
        <f>Dataset_A!D519</f>
        <v>0</v>
      </c>
      <c r="E519">
        <f>Dataset_A!E519</f>
        <v>1</v>
      </c>
      <c r="F519">
        <f>Dataset_A!F519</f>
        <v>16</v>
      </c>
      <c r="G519" t="b">
        <f>Dataset_A!G519</f>
        <v>0</v>
      </c>
      <c r="H519">
        <f>Dataset_A!H519</f>
        <v>0</v>
      </c>
      <c r="I519">
        <f>Dataset_A!I519</f>
        <v>1</v>
      </c>
      <c r="J519" s="55">
        <f>Dataset_A!J519</f>
        <v>0.16</v>
      </c>
      <c r="K519">
        <f>Dataset_A!K519</f>
        <v>0.13639999999999999</v>
      </c>
      <c r="L519">
        <f>Dataset_A!L519</f>
        <v>0.26</v>
      </c>
      <c r="M519">
        <f>Dataset_A!M519</f>
        <v>0.32840000000000003</v>
      </c>
      <c r="N519">
        <f>Dataset_A!N519</f>
        <v>9</v>
      </c>
      <c r="O519">
        <f>Dataset_A!O519</f>
        <v>56</v>
      </c>
      <c r="P519">
        <f>Dataset_A!P519</f>
        <v>65</v>
      </c>
      <c r="Q519" t="str">
        <f t="shared" si="104"/>
        <v>REC-0518</v>
      </c>
      <c r="R519" s="62">
        <f t="shared" si="105"/>
        <v>40566.666666666664</v>
      </c>
      <c r="S519" t="str">
        <f t="shared" si="106"/>
        <v>Jan</v>
      </c>
      <c r="T519" t="str">
        <f>INDEX(Lookups!$B$39:$B$45,MATCH(H519,Lookups!$A$39:$A$45,0))</f>
        <v>Sun</v>
      </c>
      <c r="U519" t="str">
        <f t="shared" si="107"/>
        <v>Weekend</v>
      </c>
      <c r="V519" t="str">
        <f t="shared" si="108"/>
        <v>Non-Working Day</v>
      </c>
      <c r="W519" t="str">
        <f t="shared" si="109"/>
        <v>Spring</v>
      </c>
      <c r="X519" t="str">
        <f t="shared" si="110"/>
        <v>Clear</v>
      </c>
      <c r="Y519" t="str">
        <f t="shared" si="111"/>
        <v>Afternoon</v>
      </c>
      <c r="Z519" t="str">
        <f t="shared" si="112"/>
        <v>Cold</v>
      </c>
      <c r="AA519" t="str">
        <f t="shared" si="113"/>
        <v>Low</v>
      </c>
      <c r="AB519" t="str">
        <f t="shared" si="114"/>
        <v>Off-Peak</v>
      </c>
      <c r="AC519" s="63">
        <f t="shared" si="115"/>
        <v>0.13846153846153847</v>
      </c>
      <c r="AD519" t="str">
        <f>IF(P519&gt;=Stats!$C$30,"High",IF(P519&lt;=Stats!$C$29,"Low","Normal"))</f>
        <v>Normal</v>
      </c>
      <c r="AE519">
        <f t="shared" si="116"/>
        <v>1</v>
      </c>
    </row>
    <row r="520" spans="1:31" x14ac:dyDescent="0.2">
      <c r="A520">
        <f>Dataset_A!A520</f>
        <v>519</v>
      </c>
      <c r="B520" s="61">
        <f>Dataset_A!B520</f>
        <v>40566</v>
      </c>
      <c r="C520">
        <f>Dataset_A!C520</f>
        <v>1</v>
      </c>
      <c r="D520">
        <f>Dataset_A!D520</f>
        <v>0</v>
      </c>
      <c r="E520">
        <f>Dataset_A!E520</f>
        <v>1</v>
      </c>
      <c r="F520">
        <f>Dataset_A!F520</f>
        <v>17</v>
      </c>
      <c r="G520" t="b">
        <f>Dataset_A!G520</f>
        <v>0</v>
      </c>
      <c r="H520">
        <f>Dataset_A!H520</f>
        <v>0</v>
      </c>
      <c r="I520">
        <f>Dataset_A!I520</f>
        <v>1</v>
      </c>
      <c r="J520" s="55">
        <f>Dataset_A!J520</f>
        <v>0.14000000000000001</v>
      </c>
      <c r="K520">
        <f>Dataset_A!K520</f>
        <v>0.1061</v>
      </c>
      <c r="L520">
        <f>Dataset_A!L520</f>
        <v>0.26</v>
      </c>
      <c r="M520">
        <f>Dataset_A!M520</f>
        <v>0.3881</v>
      </c>
      <c r="N520">
        <f>Dataset_A!N520</f>
        <v>5</v>
      </c>
      <c r="O520">
        <f>Dataset_A!O520</f>
        <v>50</v>
      </c>
      <c r="P520">
        <f>Dataset_A!P520</f>
        <v>55</v>
      </c>
      <c r="Q520" t="str">
        <f t="shared" si="104"/>
        <v>REC-0519</v>
      </c>
      <c r="R520" s="62">
        <f t="shared" si="105"/>
        <v>40566.708333333336</v>
      </c>
      <c r="S520" t="str">
        <f t="shared" si="106"/>
        <v>Jan</v>
      </c>
      <c r="T520" t="str">
        <f>INDEX(Lookups!$B$39:$B$45,MATCH(H520,Lookups!$A$39:$A$45,0))</f>
        <v>Sun</v>
      </c>
      <c r="U520" t="str">
        <f t="shared" si="107"/>
        <v>Weekend</v>
      </c>
      <c r="V520" t="str">
        <f t="shared" si="108"/>
        <v>Non-Working Day</v>
      </c>
      <c r="W520" t="str">
        <f t="shared" si="109"/>
        <v>Spring</v>
      </c>
      <c r="X520" t="str">
        <f t="shared" si="110"/>
        <v>Clear</v>
      </c>
      <c r="Y520" t="str">
        <f t="shared" si="111"/>
        <v>Evening</v>
      </c>
      <c r="Z520" t="str">
        <f t="shared" si="112"/>
        <v>Cold</v>
      </c>
      <c r="AA520" t="str">
        <f t="shared" si="113"/>
        <v>Low</v>
      </c>
      <c r="AB520" t="str">
        <f t="shared" si="114"/>
        <v>Off-Peak</v>
      </c>
      <c r="AC520" s="63">
        <f t="shared" si="115"/>
        <v>9.0909090909090912E-2</v>
      </c>
      <c r="AD520" t="str">
        <f>IF(P520&gt;=Stats!$C$30,"High",IF(P520&lt;=Stats!$C$29,"Low","Normal"))</f>
        <v>Normal</v>
      </c>
      <c r="AE520">
        <f t="shared" si="116"/>
        <v>1</v>
      </c>
    </row>
    <row r="521" spans="1:31" x14ac:dyDescent="0.2">
      <c r="A521">
        <f>Dataset_A!A521</f>
        <v>520</v>
      </c>
      <c r="B521" s="61">
        <f>Dataset_A!B521</f>
        <v>40566</v>
      </c>
      <c r="C521">
        <f>Dataset_A!C521</f>
        <v>1</v>
      </c>
      <c r="D521">
        <f>Dataset_A!D521</f>
        <v>0</v>
      </c>
      <c r="E521">
        <f>Dataset_A!E521</f>
        <v>1</v>
      </c>
      <c r="F521">
        <f>Dataset_A!F521</f>
        <v>18</v>
      </c>
      <c r="G521" t="b">
        <f>Dataset_A!G521</f>
        <v>0</v>
      </c>
      <c r="H521">
        <f>Dataset_A!H521</f>
        <v>0</v>
      </c>
      <c r="I521">
        <f>Dataset_A!I521</f>
        <v>1</v>
      </c>
      <c r="J521" s="55">
        <f>Dataset_A!J521</f>
        <v>0.12</v>
      </c>
      <c r="K521">
        <f>Dataset_A!K521</f>
        <v>0.1212</v>
      </c>
      <c r="L521">
        <f>Dataset_A!L521</f>
        <v>0.3</v>
      </c>
      <c r="M521">
        <f>Dataset_A!M521</f>
        <v>0.25369999999999998</v>
      </c>
      <c r="N521">
        <f>Dataset_A!N521</f>
        <v>5</v>
      </c>
      <c r="O521">
        <f>Dataset_A!O521</f>
        <v>44</v>
      </c>
      <c r="P521">
        <f>Dataset_A!P521</f>
        <v>49</v>
      </c>
      <c r="Q521" t="str">
        <f t="shared" si="104"/>
        <v>REC-0520</v>
      </c>
      <c r="R521" s="62">
        <f t="shared" si="105"/>
        <v>40566.75</v>
      </c>
      <c r="S521" t="str">
        <f t="shared" si="106"/>
        <v>Jan</v>
      </c>
      <c r="T521" t="str">
        <f>INDEX(Lookups!$B$39:$B$45,MATCH(H521,Lookups!$A$39:$A$45,0))</f>
        <v>Sun</v>
      </c>
      <c r="U521" t="str">
        <f t="shared" si="107"/>
        <v>Weekend</v>
      </c>
      <c r="V521" t="str">
        <f t="shared" si="108"/>
        <v>Non-Working Day</v>
      </c>
      <c r="W521" t="str">
        <f t="shared" si="109"/>
        <v>Spring</v>
      </c>
      <c r="X521" t="str">
        <f t="shared" si="110"/>
        <v>Clear</v>
      </c>
      <c r="Y521" t="str">
        <f t="shared" si="111"/>
        <v>Evening</v>
      </c>
      <c r="Z521" t="str">
        <f t="shared" si="112"/>
        <v>Cold</v>
      </c>
      <c r="AA521" t="str">
        <f t="shared" si="113"/>
        <v>Low</v>
      </c>
      <c r="AB521" t="str">
        <f t="shared" si="114"/>
        <v>Off-Peak</v>
      </c>
      <c r="AC521" s="63">
        <f t="shared" si="115"/>
        <v>0.10204081632653061</v>
      </c>
      <c r="AD521" t="str">
        <f>IF(P521&gt;=Stats!$C$30,"High",IF(P521&lt;=Stats!$C$29,"Low","Normal"))</f>
        <v>Normal</v>
      </c>
      <c r="AE521">
        <f t="shared" si="116"/>
        <v>1</v>
      </c>
    </row>
    <row r="522" spans="1:31" x14ac:dyDescent="0.2">
      <c r="A522">
        <f>Dataset_A!A522</f>
        <v>521</v>
      </c>
      <c r="B522" s="61">
        <f>Dataset_A!B522</f>
        <v>40566</v>
      </c>
      <c r="C522">
        <f>Dataset_A!C522</f>
        <v>1</v>
      </c>
      <c r="D522">
        <f>Dataset_A!D522</f>
        <v>0</v>
      </c>
      <c r="E522">
        <f>Dataset_A!E522</f>
        <v>1</v>
      </c>
      <c r="F522">
        <f>Dataset_A!F522</f>
        <v>19</v>
      </c>
      <c r="G522" t="b">
        <f>Dataset_A!G522</f>
        <v>0</v>
      </c>
      <c r="H522">
        <f>Dataset_A!H522</f>
        <v>0</v>
      </c>
      <c r="I522">
        <f>Dataset_A!I522</f>
        <v>1</v>
      </c>
      <c r="J522" s="55">
        <f>Dataset_A!J522</f>
        <v>0.12</v>
      </c>
      <c r="K522">
        <f>Dataset_A!K522</f>
        <v>0.1212</v>
      </c>
      <c r="L522">
        <f>Dataset_A!L522</f>
        <v>0.3</v>
      </c>
      <c r="M522">
        <f>Dataset_A!M522</f>
        <v>0.28360000000000002</v>
      </c>
      <c r="N522">
        <f>Dataset_A!N522</f>
        <v>5</v>
      </c>
      <c r="O522">
        <f>Dataset_A!O522</f>
        <v>45</v>
      </c>
      <c r="P522">
        <f>Dataset_A!P522</f>
        <v>50</v>
      </c>
      <c r="Q522" t="str">
        <f t="shared" si="104"/>
        <v>REC-0521</v>
      </c>
      <c r="R522" s="62">
        <f t="shared" si="105"/>
        <v>40566.791666666664</v>
      </c>
      <c r="S522" t="str">
        <f t="shared" si="106"/>
        <v>Jan</v>
      </c>
      <c r="T522" t="str">
        <f>INDEX(Lookups!$B$39:$B$45,MATCH(H522,Lookups!$A$39:$A$45,0))</f>
        <v>Sun</v>
      </c>
      <c r="U522" t="str">
        <f t="shared" si="107"/>
        <v>Weekend</v>
      </c>
      <c r="V522" t="str">
        <f t="shared" si="108"/>
        <v>Non-Working Day</v>
      </c>
      <c r="W522" t="str">
        <f t="shared" si="109"/>
        <v>Spring</v>
      </c>
      <c r="X522" t="str">
        <f t="shared" si="110"/>
        <v>Clear</v>
      </c>
      <c r="Y522" t="str">
        <f t="shared" si="111"/>
        <v>Evening</v>
      </c>
      <c r="Z522" t="str">
        <f t="shared" si="112"/>
        <v>Cold</v>
      </c>
      <c r="AA522" t="str">
        <f t="shared" si="113"/>
        <v>Low</v>
      </c>
      <c r="AB522" t="str">
        <f t="shared" si="114"/>
        <v>Off-Peak</v>
      </c>
      <c r="AC522" s="63">
        <f t="shared" si="115"/>
        <v>0.1</v>
      </c>
      <c r="AD522" t="str">
        <f>IF(P522&gt;=Stats!$C$30,"High",IF(P522&lt;=Stats!$C$29,"Low","Normal"))</f>
        <v>Normal</v>
      </c>
      <c r="AE522">
        <f t="shared" si="116"/>
        <v>1</v>
      </c>
    </row>
    <row r="523" spans="1:31" x14ac:dyDescent="0.2">
      <c r="A523">
        <f>Dataset_A!A523</f>
        <v>522</v>
      </c>
      <c r="B523" s="61">
        <f>Dataset_A!B523</f>
        <v>40566</v>
      </c>
      <c r="C523">
        <f>Dataset_A!C523</f>
        <v>1</v>
      </c>
      <c r="D523">
        <f>Dataset_A!D523</f>
        <v>0</v>
      </c>
      <c r="E523">
        <f>Dataset_A!E523</f>
        <v>1</v>
      </c>
      <c r="F523">
        <f>Dataset_A!F523</f>
        <v>20</v>
      </c>
      <c r="G523" t="b">
        <f>Dataset_A!G523</f>
        <v>0</v>
      </c>
      <c r="H523">
        <f>Dataset_A!H523</f>
        <v>0</v>
      </c>
      <c r="I523">
        <f>Dataset_A!I523</f>
        <v>1</v>
      </c>
      <c r="J523" s="55">
        <f>Dataset_A!J523</f>
        <v>0.1</v>
      </c>
      <c r="K523">
        <f>Dataset_A!K523</f>
        <v>0.1061</v>
      </c>
      <c r="L523">
        <f>Dataset_A!L523</f>
        <v>0.36</v>
      </c>
      <c r="M523">
        <f>Dataset_A!M523</f>
        <v>0.25369999999999998</v>
      </c>
      <c r="N523">
        <f>Dataset_A!N523</f>
        <v>4</v>
      </c>
      <c r="O523">
        <f>Dataset_A!O523</f>
        <v>31</v>
      </c>
      <c r="P523">
        <f>Dataset_A!P523</f>
        <v>35</v>
      </c>
      <c r="Q523" t="str">
        <f t="shared" si="104"/>
        <v>REC-0522</v>
      </c>
      <c r="R523" s="62">
        <f t="shared" si="105"/>
        <v>40566.833333333336</v>
      </c>
      <c r="S523" t="str">
        <f t="shared" si="106"/>
        <v>Jan</v>
      </c>
      <c r="T523" t="str">
        <f>INDEX(Lookups!$B$39:$B$45,MATCH(H523,Lookups!$A$39:$A$45,0))</f>
        <v>Sun</v>
      </c>
      <c r="U523" t="str">
        <f t="shared" si="107"/>
        <v>Weekend</v>
      </c>
      <c r="V523" t="str">
        <f t="shared" si="108"/>
        <v>Non-Working Day</v>
      </c>
      <c r="W523" t="str">
        <f t="shared" si="109"/>
        <v>Spring</v>
      </c>
      <c r="X523" t="str">
        <f t="shared" si="110"/>
        <v>Clear</v>
      </c>
      <c r="Y523" t="str">
        <f t="shared" si="111"/>
        <v>Evening</v>
      </c>
      <c r="Z523" t="str">
        <f t="shared" si="112"/>
        <v>Cold</v>
      </c>
      <c r="AA523" t="str">
        <f t="shared" si="113"/>
        <v>Low</v>
      </c>
      <c r="AB523" t="str">
        <f t="shared" si="114"/>
        <v>Off-Peak</v>
      </c>
      <c r="AC523" s="63">
        <f t="shared" si="115"/>
        <v>0.11428571428571428</v>
      </c>
      <c r="AD523" t="str">
        <f>IF(P523&gt;=Stats!$C$30,"High",IF(P523&lt;=Stats!$C$29,"Low","Normal"))</f>
        <v>Normal</v>
      </c>
      <c r="AE523">
        <f t="shared" si="116"/>
        <v>1</v>
      </c>
    </row>
    <row r="524" spans="1:31" x14ac:dyDescent="0.2">
      <c r="A524">
        <f>Dataset_A!A524</f>
        <v>523</v>
      </c>
      <c r="B524" s="61">
        <f>Dataset_A!B524</f>
        <v>40566</v>
      </c>
      <c r="C524">
        <f>Dataset_A!C524</f>
        <v>1</v>
      </c>
      <c r="D524">
        <f>Dataset_A!D524</f>
        <v>0</v>
      </c>
      <c r="E524">
        <f>Dataset_A!E524</f>
        <v>1</v>
      </c>
      <c r="F524">
        <f>Dataset_A!F524</f>
        <v>21</v>
      </c>
      <c r="G524" t="b">
        <f>Dataset_A!G524</f>
        <v>0</v>
      </c>
      <c r="H524">
        <f>Dataset_A!H524</f>
        <v>0</v>
      </c>
      <c r="I524">
        <f>Dataset_A!I524</f>
        <v>1</v>
      </c>
      <c r="J524" s="55">
        <f>Dataset_A!J524</f>
        <v>0.1</v>
      </c>
      <c r="K524">
        <f>Dataset_A!K524</f>
        <v>0.1061</v>
      </c>
      <c r="L524">
        <f>Dataset_A!L524</f>
        <v>0.36</v>
      </c>
      <c r="M524">
        <f>Dataset_A!M524</f>
        <v>0.19400000000000001</v>
      </c>
      <c r="N524">
        <f>Dataset_A!N524</f>
        <v>5</v>
      </c>
      <c r="O524">
        <f>Dataset_A!O524</f>
        <v>20</v>
      </c>
      <c r="P524">
        <f>Dataset_A!P524</f>
        <v>25</v>
      </c>
      <c r="Q524" t="str">
        <f t="shared" si="104"/>
        <v>REC-0523</v>
      </c>
      <c r="R524" s="62">
        <f t="shared" si="105"/>
        <v>40566.875</v>
      </c>
      <c r="S524" t="str">
        <f t="shared" si="106"/>
        <v>Jan</v>
      </c>
      <c r="T524" t="str">
        <f>INDEX(Lookups!$B$39:$B$45,MATCH(H524,Lookups!$A$39:$A$45,0))</f>
        <v>Sun</v>
      </c>
      <c r="U524" t="str">
        <f t="shared" si="107"/>
        <v>Weekend</v>
      </c>
      <c r="V524" t="str">
        <f t="shared" si="108"/>
        <v>Non-Working Day</v>
      </c>
      <c r="W524" t="str">
        <f t="shared" si="109"/>
        <v>Spring</v>
      </c>
      <c r="X524" t="str">
        <f t="shared" si="110"/>
        <v>Clear</v>
      </c>
      <c r="Y524" t="str">
        <f t="shared" si="111"/>
        <v>Late Evening</v>
      </c>
      <c r="Z524" t="str">
        <f t="shared" si="112"/>
        <v>Cold</v>
      </c>
      <c r="AA524" t="str">
        <f t="shared" si="113"/>
        <v>Low</v>
      </c>
      <c r="AB524" t="str">
        <f t="shared" si="114"/>
        <v>Off-Peak</v>
      </c>
      <c r="AC524" s="63">
        <f t="shared" si="115"/>
        <v>0.2</v>
      </c>
      <c r="AD524" t="str">
        <f>IF(P524&gt;=Stats!$C$30,"High",IF(P524&lt;=Stats!$C$29,"Low","Normal"))</f>
        <v>Normal</v>
      </c>
      <c r="AE524">
        <f t="shared" si="116"/>
        <v>1</v>
      </c>
    </row>
    <row r="525" spans="1:31" x14ac:dyDescent="0.2">
      <c r="A525">
        <f>Dataset_A!A525</f>
        <v>524</v>
      </c>
      <c r="B525" s="61">
        <f>Dataset_A!B525</f>
        <v>40566</v>
      </c>
      <c r="C525">
        <f>Dataset_A!C525</f>
        <v>1</v>
      </c>
      <c r="D525">
        <f>Dataset_A!D525</f>
        <v>0</v>
      </c>
      <c r="E525">
        <f>Dataset_A!E525</f>
        <v>1</v>
      </c>
      <c r="F525">
        <f>Dataset_A!F525</f>
        <v>22</v>
      </c>
      <c r="G525" t="b">
        <f>Dataset_A!G525</f>
        <v>0</v>
      </c>
      <c r="H525">
        <f>Dataset_A!H525</f>
        <v>0</v>
      </c>
      <c r="I525">
        <f>Dataset_A!I525</f>
        <v>1</v>
      </c>
      <c r="J525" s="55">
        <f>Dataset_A!J525</f>
        <v>0.08</v>
      </c>
      <c r="K525">
        <f>Dataset_A!K525</f>
        <v>9.0899999999999995E-2</v>
      </c>
      <c r="L525">
        <f>Dataset_A!L525</f>
        <v>0.38</v>
      </c>
      <c r="M525">
        <f>Dataset_A!M525</f>
        <v>0.19400000000000001</v>
      </c>
      <c r="N525">
        <f>Dataset_A!N525</f>
        <v>5</v>
      </c>
      <c r="O525">
        <f>Dataset_A!O525</f>
        <v>23</v>
      </c>
      <c r="P525">
        <f>Dataset_A!P525</f>
        <v>28</v>
      </c>
      <c r="Q525" t="str">
        <f t="shared" si="104"/>
        <v>REC-0524</v>
      </c>
      <c r="R525" s="62">
        <f t="shared" si="105"/>
        <v>40566.916666666664</v>
      </c>
      <c r="S525" t="str">
        <f t="shared" si="106"/>
        <v>Jan</v>
      </c>
      <c r="T525" t="str">
        <f>INDEX(Lookups!$B$39:$B$45,MATCH(H525,Lookups!$A$39:$A$45,0))</f>
        <v>Sun</v>
      </c>
      <c r="U525" t="str">
        <f t="shared" si="107"/>
        <v>Weekend</v>
      </c>
      <c r="V525" t="str">
        <f t="shared" si="108"/>
        <v>Non-Working Day</v>
      </c>
      <c r="W525" t="str">
        <f t="shared" si="109"/>
        <v>Spring</v>
      </c>
      <c r="X525" t="str">
        <f t="shared" si="110"/>
        <v>Clear</v>
      </c>
      <c r="Y525" t="str">
        <f t="shared" si="111"/>
        <v>Late Evening</v>
      </c>
      <c r="Z525" t="str">
        <f t="shared" si="112"/>
        <v>Cold</v>
      </c>
      <c r="AA525" t="str">
        <f t="shared" si="113"/>
        <v>Low</v>
      </c>
      <c r="AB525" t="str">
        <f t="shared" si="114"/>
        <v>Off-Peak</v>
      </c>
      <c r="AC525" s="63">
        <f t="shared" si="115"/>
        <v>0.17857142857142858</v>
      </c>
      <c r="AD525" t="str">
        <f>IF(P525&gt;=Stats!$C$30,"High",IF(P525&lt;=Stats!$C$29,"Low","Normal"))</f>
        <v>Normal</v>
      </c>
      <c r="AE525">
        <f t="shared" si="116"/>
        <v>1</v>
      </c>
    </row>
    <row r="526" spans="1:31" x14ac:dyDescent="0.2">
      <c r="A526">
        <f>Dataset_A!A526</f>
        <v>525</v>
      </c>
      <c r="B526" s="61">
        <f>Dataset_A!B526</f>
        <v>40566</v>
      </c>
      <c r="C526">
        <f>Dataset_A!C526</f>
        <v>1</v>
      </c>
      <c r="D526">
        <f>Dataset_A!D526</f>
        <v>0</v>
      </c>
      <c r="E526">
        <f>Dataset_A!E526</f>
        <v>1</v>
      </c>
      <c r="F526">
        <f>Dataset_A!F526</f>
        <v>23</v>
      </c>
      <c r="G526" t="b">
        <f>Dataset_A!G526</f>
        <v>0</v>
      </c>
      <c r="H526">
        <f>Dataset_A!H526</f>
        <v>0</v>
      </c>
      <c r="I526">
        <f>Dataset_A!I526</f>
        <v>1</v>
      </c>
      <c r="J526" s="55">
        <f>Dataset_A!J526</f>
        <v>0.06</v>
      </c>
      <c r="K526">
        <f>Dataset_A!K526</f>
        <v>6.0600000000000001E-2</v>
      </c>
      <c r="L526">
        <f>Dataset_A!L526</f>
        <v>0.41</v>
      </c>
      <c r="M526">
        <f>Dataset_A!M526</f>
        <v>0.22389999999999999</v>
      </c>
      <c r="N526">
        <f>Dataset_A!N526</f>
        <v>4</v>
      </c>
      <c r="O526">
        <f>Dataset_A!O526</f>
        <v>17</v>
      </c>
      <c r="P526">
        <f>Dataset_A!P526</f>
        <v>21</v>
      </c>
      <c r="Q526" t="str">
        <f t="shared" si="104"/>
        <v>REC-0525</v>
      </c>
      <c r="R526" s="62">
        <f t="shared" si="105"/>
        <v>40566.958333333336</v>
      </c>
      <c r="S526" t="str">
        <f t="shared" si="106"/>
        <v>Jan</v>
      </c>
      <c r="T526" t="str">
        <f>INDEX(Lookups!$B$39:$B$45,MATCH(H526,Lookups!$A$39:$A$45,0))</f>
        <v>Sun</v>
      </c>
      <c r="U526" t="str">
        <f t="shared" si="107"/>
        <v>Weekend</v>
      </c>
      <c r="V526" t="str">
        <f t="shared" si="108"/>
        <v>Non-Working Day</v>
      </c>
      <c r="W526" t="str">
        <f t="shared" si="109"/>
        <v>Spring</v>
      </c>
      <c r="X526" t="str">
        <f t="shared" si="110"/>
        <v>Clear</v>
      </c>
      <c r="Y526" t="str">
        <f t="shared" si="111"/>
        <v>Late Evening</v>
      </c>
      <c r="Z526" t="str">
        <f t="shared" si="112"/>
        <v>Cold</v>
      </c>
      <c r="AA526" t="str">
        <f t="shared" si="113"/>
        <v>Low</v>
      </c>
      <c r="AB526" t="str">
        <f t="shared" si="114"/>
        <v>Off-Peak</v>
      </c>
      <c r="AC526" s="63">
        <f t="shared" si="115"/>
        <v>0.19047619047619047</v>
      </c>
      <c r="AD526" t="str">
        <f>IF(P526&gt;=Stats!$C$30,"High",IF(P526&lt;=Stats!$C$29,"Low","Normal"))</f>
        <v>Normal</v>
      </c>
      <c r="AE526">
        <f t="shared" si="116"/>
        <v>1</v>
      </c>
    </row>
    <row r="527" spans="1:31" x14ac:dyDescent="0.2">
      <c r="A527">
        <f>Dataset_A!A527</f>
        <v>526</v>
      </c>
      <c r="B527" s="61">
        <f>Dataset_A!B527</f>
        <v>40567</v>
      </c>
      <c r="C527">
        <f>Dataset_A!C527</f>
        <v>1</v>
      </c>
      <c r="D527">
        <f>Dataset_A!D527</f>
        <v>0</v>
      </c>
      <c r="E527">
        <f>Dataset_A!E527</f>
        <v>1</v>
      </c>
      <c r="F527">
        <f>Dataset_A!F527</f>
        <v>0</v>
      </c>
      <c r="G527" t="b">
        <f>Dataset_A!G527</f>
        <v>0</v>
      </c>
      <c r="H527">
        <f>Dataset_A!H527</f>
        <v>1</v>
      </c>
      <c r="I527">
        <f>Dataset_A!I527</f>
        <v>1</v>
      </c>
      <c r="J527" s="55">
        <f>Dataset_A!J527</f>
        <v>0.06</v>
      </c>
      <c r="K527">
        <f>Dataset_A!K527</f>
        <v>6.0600000000000001E-2</v>
      </c>
      <c r="L527">
        <f>Dataset_A!L527</f>
        <v>0.41</v>
      </c>
      <c r="M527">
        <f>Dataset_A!M527</f>
        <v>0.19400000000000001</v>
      </c>
      <c r="N527">
        <f>Dataset_A!N527</f>
        <v>0</v>
      </c>
      <c r="O527">
        <f>Dataset_A!O527</f>
        <v>7</v>
      </c>
      <c r="P527">
        <f>Dataset_A!P527</f>
        <v>7</v>
      </c>
      <c r="Q527" t="str">
        <f t="shared" si="104"/>
        <v>REC-0526</v>
      </c>
      <c r="R527" s="62">
        <f t="shared" si="105"/>
        <v>40567</v>
      </c>
      <c r="S527" t="str">
        <f t="shared" si="106"/>
        <v>Jan</v>
      </c>
      <c r="T527" t="str">
        <f>INDEX(Lookups!$B$39:$B$45,MATCH(H527,Lookups!$A$39:$A$45,0))</f>
        <v>Mon</v>
      </c>
      <c r="U527" t="str">
        <f t="shared" si="107"/>
        <v>Weekday</v>
      </c>
      <c r="V527" t="str">
        <f t="shared" si="108"/>
        <v>Working Day</v>
      </c>
      <c r="W527" t="str">
        <f t="shared" si="109"/>
        <v>Spring</v>
      </c>
      <c r="X527" t="str">
        <f t="shared" si="110"/>
        <v>Clear</v>
      </c>
      <c r="Y527" t="str">
        <f t="shared" si="111"/>
        <v>Night</v>
      </c>
      <c r="Z527" t="str">
        <f t="shared" si="112"/>
        <v>Cold</v>
      </c>
      <c r="AA527" t="str">
        <f t="shared" si="113"/>
        <v>Low</v>
      </c>
      <c r="AB527" t="str">
        <f t="shared" si="114"/>
        <v>Off-Peak</v>
      </c>
      <c r="AC527" s="63">
        <f t="shared" si="115"/>
        <v>0</v>
      </c>
      <c r="AD527" t="str">
        <f>IF(P527&gt;=Stats!$C$30,"High",IF(P527&lt;=Stats!$C$29,"Low","Normal"))</f>
        <v>Low</v>
      </c>
      <c r="AE527">
        <f t="shared" si="116"/>
        <v>1</v>
      </c>
    </row>
    <row r="528" spans="1:31" x14ac:dyDescent="0.2">
      <c r="A528">
        <f>Dataset_A!A528</f>
        <v>527</v>
      </c>
      <c r="B528" s="61">
        <f>Dataset_A!B528</f>
        <v>40567</v>
      </c>
      <c r="C528">
        <f>Dataset_A!C528</f>
        <v>1</v>
      </c>
      <c r="D528">
        <f>Dataset_A!D528</f>
        <v>0</v>
      </c>
      <c r="E528">
        <f>Dataset_A!E528</f>
        <v>1</v>
      </c>
      <c r="F528">
        <f>Dataset_A!F528</f>
        <v>1</v>
      </c>
      <c r="G528" t="b">
        <f>Dataset_A!G528</f>
        <v>0</v>
      </c>
      <c r="H528">
        <f>Dataset_A!H528</f>
        <v>1</v>
      </c>
      <c r="I528">
        <f>Dataset_A!I528</f>
        <v>1</v>
      </c>
      <c r="J528" s="55">
        <f>Dataset_A!J528</f>
        <v>0.04</v>
      </c>
      <c r="K528">
        <f>Dataset_A!K528</f>
        <v>4.5499999999999999E-2</v>
      </c>
      <c r="L528">
        <f>Dataset_A!L528</f>
        <v>0.45</v>
      </c>
      <c r="M528">
        <f>Dataset_A!M528</f>
        <v>0.19400000000000001</v>
      </c>
      <c r="N528">
        <f>Dataset_A!N528</f>
        <v>0</v>
      </c>
      <c r="O528">
        <f>Dataset_A!O528</f>
        <v>1</v>
      </c>
      <c r="P528">
        <f>Dataset_A!P528</f>
        <v>1</v>
      </c>
      <c r="Q528" t="str">
        <f t="shared" si="104"/>
        <v>REC-0527</v>
      </c>
      <c r="R528" s="62">
        <f t="shared" si="105"/>
        <v>40567.041666666664</v>
      </c>
      <c r="S528" t="str">
        <f t="shared" si="106"/>
        <v>Jan</v>
      </c>
      <c r="T528" t="str">
        <f>INDEX(Lookups!$B$39:$B$45,MATCH(H528,Lookups!$A$39:$A$45,0))</f>
        <v>Mon</v>
      </c>
      <c r="U528" t="str">
        <f t="shared" si="107"/>
        <v>Weekday</v>
      </c>
      <c r="V528" t="str">
        <f t="shared" si="108"/>
        <v>Working Day</v>
      </c>
      <c r="W528" t="str">
        <f t="shared" si="109"/>
        <v>Spring</v>
      </c>
      <c r="X528" t="str">
        <f t="shared" si="110"/>
        <v>Clear</v>
      </c>
      <c r="Y528" t="str">
        <f t="shared" si="111"/>
        <v>Night</v>
      </c>
      <c r="Z528" t="str">
        <f t="shared" si="112"/>
        <v>Cold</v>
      </c>
      <c r="AA528" t="str">
        <f t="shared" si="113"/>
        <v>Low</v>
      </c>
      <c r="AB528" t="str">
        <f t="shared" si="114"/>
        <v>Off-Peak</v>
      </c>
      <c r="AC528" s="63">
        <f t="shared" si="115"/>
        <v>0</v>
      </c>
      <c r="AD528" t="str">
        <f>IF(P528&gt;=Stats!$C$30,"High",IF(P528&lt;=Stats!$C$29,"Low","Normal"))</f>
        <v>Low</v>
      </c>
      <c r="AE528">
        <f t="shared" si="116"/>
        <v>1</v>
      </c>
    </row>
    <row r="529" spans="1:31" x14ac:dyDescent="0.2">
      <c r="A529">
        <f>Dataset_A!A529</f>
        <v>528</v>
      </c>
      <c r="B529" s="61">
        <f>Dataset_A!B529</f>
        <v>40567</v>
      </c>
      <c r="C529">
        <f>Dataset_A!C529</f>
        <v>1</v>
      </c>
      <c r="D529">
        <f>Dataset_A!D529</f>
        <v>0</v>
      </c>
      <c r="E529">
        <f>Dataset_A!E529</f>
        <v>1</v>
      </c>
      <c r="F529">
        <f>Dataset_A!F529</f>
        <v>3</v>
      </c>
      <c r="G529" t="b">
        <f>Dataset_A!G529</f>
        <v>0</v>
      </c>
      <c r="H529">
        <f>Dataset_A!H529</f>
        <v>1</v>
      </c>
      <c r="I529">
        <f>Dataset_A!I529</f>
        <v>1</v>
      </c>
      <c r="J529" s="55">
        <f>Dataset_A!J529</f>
        <v>0.04</v>
      </c>
      <c r="K529">
        <f>Dataset_A!K529</f>
        <v>3.0300000000000001E-2</v>
      </c>
      <c r="L529">
        <f>Dataset_A!L529</f>
        <v>0.45</v>
      </c>
      <c r="M529">
        <f>Dataset_A!M529</f>
        <v>0.25369999999999998</v>
      </c>
      <c r="N529">
        <f>Dataset_A!N529</f>
        <v>0</v>
      </c>
      <c r="O529">
        <f>Dataset_A!O529</f>
        <v>1</v>
      </c>
      <c r="P529">
        <f>Dataset_A!P529</f>
        <v>1</v>
      </c>
      <c r="Q529" t="str">
        <f t="shared" si="104"/>
        <v>REC-0528</v>
      </c>
      <c r="R529" s="62">
        <f t="shared" si="105"/>
        <v>40567.125</v>
      </c>
      <c r="S529" t="str">
        <f t="shared" si="106"/>
        <v>Jan</v>
      </c>
      <c r="T529" t="str">
        <f>INDEX(Lookups!$B$39:$B$45,MATCH(H529,Lookups!$A$39:$A$45,0))</f>
        <v>Mon</v>
      </c>
      <c r="U529" t="str">
        <f t="shared" si="107"/>
        <v>Weekday</v>
      </c>
      <c r="V529" t="str">
        <f t="shared" si="108"/>
        <v>Working Day</v>
      </c>
      <c r="W529" t="str">
        <f t="shared" si="109"/>
        <v>Spring</v>
      </c>
      <c r="X529" t="str">
        <f t="shared" si="110"/>
        <v>Clear</v>
      </c>
      <c r="Y529" t="str">
        <f t="shared" si="111"/>
        <v>Night</v>
      </c>
      <c r="Z529" t="str">
        <f t="shared" si="112"/>
        <v>Cold</v>
      </c>
      <c r="AA529" t="str">
        <f t="shared" si="113"/>
        <v>Low</v>
      </c>
      <c r="AB529" t="str">
        <f t="shared" si="114"/>
        <v>Off-Peak</v>
      </c>
      <c r="AC529" s="63">
        <f t="shared" si="115"/>
        <v>0</v>
      </c>
      <c r="AD529" t="str">
        <f>IF(P529&gt;=Stats!$C$30,"High",IF(P529&lt;=Stats!$C$29,"Low","Normal"))</f>
        <v>Low</v>
      </c>
      <c r="AE529">
        <f t="shared" si="116"/>
        <v>1</v>
      </c>
    </row>
    <row r="530" spans="1:31" x14ac:dyDescent="0.2">
      <c r="A530">
        <f>Dataset_A!A530</f>
        <v>529</v>
      </c>
      <c r="B530" s="61">
        <f>Dataset_A!B530</f>
        <v>40567</v>
      </c>
      <c r="C530">
        <f>Dataset_A!C530</f>
        <v>1</v>
      </c>
      <c r="D530">
        <f>Dataset_A!D530</f>
        <v>0</v>
      </c>
      <c r="E530">
        <f>Dataset_A!E530</f>
        <v>1</v>
      </c>
      <c r="F530">
        <f>Dataset_A!F530</f>
        <v>4</v>
      </c>
      <c r="G530" t="b">
        <f>Dataset_A!G530</f>
        <v>0</v>
      </c>
      <c r="H530">
        <f>Dataset_A!H530</f>
        <v>1</v>
      </c>
      <c r="I530">
        <f>Dataset_A!I530</f>
        <v>1</v>
      </c>
      <c r="J530" s="55">
        <f>Dataset_A!J530</f>
        <v>0.02</v>
      </c>
      <c r="K530">
        <f>Dataset_A!K530</f>
        <v>6.0600000000000001E-2</v>
      </c>
      <c r="L530">
        <f>Dataset_A!L530</f>
        <v>0.48</v>
      </c>
      <c r="M530">
        <f>Dataset_A!M530</f>
        <v>0.1343</v>
      </c>
      <c r="N530">
        <f>Dataset_A!N530</f>
        <v>0</v>
      </c>
      <c r="O530">
        <f>Dataset_A!O530</f>
        <v>1</v>
      </c>
      <c r="P530">
        <f>Dataset_A!P530</f>
        <v>1</v>
      </c>
      <c r="Q530" t="str">
        <f t="shared" si="104"/>
        <v>REC-0529</v>
      </c>
      <c r="R530" s="62">
        <f t="shared" si="105"/>
        <v>40567.166666666664</v>
      </c>
      <c r="S530" t="str">
        <f t="shared" si="106"/>
        <v>Jan</v>
      </c>
      <c r="T530" t="str">
        <f>INDEX(Lookups!$B$39:$B$45,MATCH(H530,Lookups!$A$39:$A$45,0))</f>
        <v>Mon</v>
      </c>
      <c r="U530" t="str">
        <f t="shared" si="107"/>
        <v>Weekday</v>
      </c>
      <c r="V530" t="str">
        <f t="shared" si="108"/>
        <v>Working Day</v>
      </c>
      <c r="W530" t="str">
        <f t="shared" si="109"/>
        <v>Spring</v>
      </c>
      <c r="X530" t="str">
        <f t="shared" si="110"/>
        <v>Clear</v>
      </c>
      <c r="Y530" t="str">
        <f t="shared" si="111"/>
        <v>Night</v>
      </c>
      <c r="Z530" t="str">
        <f t="shared" si="112"/>
        <v>Cold</v>
      </c>
      <c r="AA530" t="str">
        <f t="shared" si="113"/>
        <v>Low</v>
      </c>
      <c r="AB530" t="str">
        <f t="shared" si="114"/>
        <v>Off-Peak</v>
      </c>
      <c r="AC530" s="63">
        <f t="shared" si="115"/>
        <v>0</v>
      </c>
      <c r="AD530" t="str">
        <f>IF(P530&gt;=Stats!$C$30,"High",IF(P530&lt;=Stats!$C$29,"Low","Normal"))</f>
        <v>Low</v>
      </c>
      <c r="AE530">
        <f t="shared" si="116"/>
        <v>1</v>
      </c>
    </row>
    <row r="531" spans="1:31" x14ac:dyDescent="0.2">
      <c r="A531">
        <f>Dataset_A!A531</f>
        <v>530</v>
      </c>
      <c r="B531" s="61">
        <f>Dataset_A!B531</f>
        <v>40567</v>
      </c>
      <c r="C531">
        <f>Dataset_A!C531</f>
        <v>1</v>
      </c>
      <c r="D531">
        <f>Dataset_A!D531</f>
        <v>0</v>
      </c>
      <c r="E531">
        <f>Dataset_A!E531</f>
        <v>1</v>
      </c>
      <c r="F531">
        <f>Dataset_A!F531</f>
        <v>5</v>
      </c>
      <c r="G531" t="b">
        <f>Dataset_A!G531</f>
        <v>0</v>
      </c>
      <c r="H531">
        <f>Dataset_A!H531</f>
        <v>1</v>
      </c>
      <c r="I531">
        <f>Dataset_A!I531</f>
        <v>1</v>
      </c>
      <c r="J531" s="55">
        <f>Dataset_A!J531</f>
        <v>0.02</v>
      </c>
      <c r="K531">
        <f>Dataset_A!K531</f>
        <v>6.0600000000000001E-2</v>
      </c>
      <c r="L531">
        <f>Dataset_A!L531</f>
        <v>0.48</v>
      </c>
      <c r="M531">
        <f>Dataset_A!M531</f>
        <v>0.1343</v>
      </c>
      <c r="N531">
        <f>Dataset_A!N531</f>
        <v>0</v>
      </c>
      <c r="O531">
        <f>Dataset_A!O531</f>
        <v>5</v>
      </c>
      <c r="P531">
        <f>Dataset_A!P531</f>
        <v>5</v>
      </c>
      <c r="Q531" t="str">
        <f t="shared" si="104"/>
        <v>REC-0530</v>
      </c>
      <c r="R531" s="62">
        <f t="shared" si="105"/>
        <v>40567.208333333336</v>
      </c>
      <c r="S531" t="str">
        <f t="shared" si="106"/>
        <v>Jan</v>
      </c>
      <c r="T531" t="str">
        <f>INDEX(Lookups!$B$39:$B$45,MATCH(H531,Lookups!$A$39:$A$45,0))</f>
        <v>Mon</v>
      </c>
      <c r="U531" t="str">
        <f t="shared" si="107"/>
        <v>Weekday</v>
      </c>
      <c r="V531" t="str">
        <f t="shared" si="108"/>
        <v>Working Day</v>
      </c>
      <c r="W531" t="str">
        <f t="shared" si="109"/>
        <v>Spring</v>
      </c>
      <c r="X531" t="str">
        <f t="shared" si="110"/>
        <v>Clear</v>
      </c>
      <c r="Y531" t="str">
        <f t="shared" si="111"/>
        <v>Night</v>
      </c>
      <c r="Z531" t="str">
        <f t="shared" si="112"/>
        <v>Cold</v>
      </c>
      <c r="AA531" t="str">
        <f t="shared" si="113"/>
        <v>Low</v>
      </c>
      <c r="AB531" t="str">
        <f t="shared" si="114"/>
        <v>Off-Peak</v>
      </c>
      <c r="AC531" s="63">
        <f t="shared" si="115"/>
        <v>0</v>
      </c>
      <c r="AD531" t="str">
        <f>IF(P531&gt;=Stats!$C$30,"High",IF(P531&lt;=Stats!$C$29,"Low","Normal"))</f>
        <v>Low</v>
      </c>
      <c r="AE531">
        <f t="shared" si="116"/>
        <v>1</v>
      </c>
    </row>
    <row r="532" spans="1:31" x14ac:dyDescent="0.2">
      <c r="A532">
        <f>Dataset_A!A532</f>
        <v>531</v>
      </c>
      <c r="B532" s="61">
        <f>Dataset_A!B532</f>
        <v>40567</v>
      </c>
      <c r="C532">
        <f>Dataset_A!C532</f>
        <v>1</v>
      </c>
      <c r="D532">
        <f>Dataset_A!D532</f>
        <v>0</v>
      </c>
      <c r="E532">
        <f>Dataset_A!E532</f>
        <v>1</v>
      </c>
      <c r="F532">
        <f>Dataset_A!F532</f>
        <v>6</v>
      </c>
      <c r="G532" t="b">
        <f>Dataset_A!G532</f>
        <v>0</v>
      </c>
      <c r="H532">
        <f>Dataset_A!H532</f>
        <v>1</v>
      </c>
      <c r="I532">
        <f>Dataset_A!I532</f>
        <v>1</v>
      </c>
      <c r="J532" s="55">
        <f>Dataset_A!J532</f>
        <v>0.02</v>
      </c>
      <c r="K532">
        <f>Dataset_A!K532</f>
        <v>7.5800000000000006E-2</v>
      </c>
      <c r="L532">
        <f>Dataset_A!L532</f>
        <v>0.48</v>
      </c>
      <c r="M532">
        <f>Dataset_A!M532</f>
        <v>8.9599999999999999E-2</v>
      </c>
      <c r="N532">
        <f>Dataset_A!N532</f>
        <v>0</v>
      </c>
      <c r="O532">
        <f>Dataset_A!O532</f>
        <v>15</v>
      </c>
      <c r="P532">
        <f>Dataset_A!P532</f>
        <v>15</v>
      </c>
      <c r="Q532" t="str">
        <f t="shared" si="104"/>
        <v>REC-0531</v>
      </c>
      <c r="R532" s="62">
        <f t="shared" si="105"/>
        <v>40567.25</v>
      </c>
      <c r="S532" t="str">
        <f t="shared" si="106"/>
        <v>Jan</v>
      </c>
      <c r="T532" t="str">
        <f>INDEX(Lookups!$B$39:$B$45,MATCH(H532,Lookups!$A$39:$A$45,0))</f>
        <v>Mon</v>
      </c>
      <c r="U532" t="str">
        <f t="shared" si="107"/>
        <v>Weekday</v>
      </c>
      <c r="V532" t="str">
        <f t="shared" si="108"/>
        <v>Working Day</v>
      </c>
      <c r="W532" t="str">
        <f t="shared" si="109"/>
        <v>Spring</v>
      </c>
      <c r="X532" t="str">
        <f t="shared" si="110"/>
        <v>Clear</v>
      </c>
      <c r="Y532" t="str">
        <f t="shared" si="111"/>
        <v>Morning</v>
      </c>
      <c r="Z532" t="str">
        <f t="shared" si="112"/>
        <v>Cold</v>
      </c>
      <c r="AA532" t="str">
        <f t="shared" si="113"/>
        <v>Low</v>
      </c>
      <c r="AB532" t="str">
        <f t="shared" si="114"/>
        <v>Off-Peak</v>
      </c>
      <c r="AC532" s="63">
        <f t="shared" si="115"/>
        <v>0</v>
      </c>
      <c r="AD532" t="str">
        <f>IF(P532&gt;=Stats!$C$30,"High",IF(P532&lt;=Stats!$C$29,"Low","Normal"))</f>
        <v>Low</v>
      </c>
      <c r="AE532">
        <f t="shared" si="116"/>
        <v>1</v>
      </c>
    </row>
    <row r="533" spans="1:31" x14ac:dyDescent="0.2">
      <c r="A533">
        <f>Dataset_A!A533</f>
        <v>532</v>
      </c>
      <c r="B533" s="61">
        <f>Dataset_A!B533</f>
        <v>40567</v>
      </c>
      <c r="C533">
        <f>Dataset_A!C533</f>
        <v>1</v>
      </c>
      <c r="D533">
        <f>Dataset_A!D533</f>
        <v>0</v>
      </c>
      <c r="E533">
        <f>Dataset_A!E533</f>
        <v>1</v>
      </c>
      <c r="F533">
        <f>Dataset_A!F533</f>
        <v>7</v>
      </c>
      <c r="G533" t="b">
        <f>Dataset_A!G533</f>
        <v>0</v>
      </c>
      <c r="H533">
        <f>Dataset_A!H533</f>
        <v>1</v>
      </c>
      <c r="I533">
        <f>Dataset_A!I533</f>
        <v>1</v>
      </c>
      <c r="J533" s="55">
        <f>Dataset_A!J533</f>
        <v>0.02</v>
      </c>
      <c r="K533">
        <f>Dataset_A!K533</f>
        <v>0.1212</v>
      </c>
      <c r="L533">
        <f>Dataset_A!L533</f>
        <v>0.48</v>
      </c>
      <c r="M533">
        <f>Dataset_A!M533</f>
        <v>0</v>
      </c>
      <c r="N533">
        <f>Dataset_A!N533</f>
        <v>5</v>
      </c>
      <c r="O533">
        <f>Dataset_A!O533</f>
        <v>79</v>
      </c>
      <c r="P533">
        <f>Dataset_A!P533</f>
        <v>84</v>
      </c>
      <c r="Q533" t="str">
        <f t="shared" si="104"/>
        <v>REC-0532</v>
      </c>
      <c r="R533" s="62">
        <f t="shared" si="105"/>
        <v>40567.291666666664</v>
      </c>
      <c r="S533" t="str">
        <f t="shared" si="106"/>
        <v>Jan</v>
      </c>
      <c r="T533" t="str">
        <f>INDEX(Lookups!$B$39:$B$45,MATCH(H533,Lookups!$A$39:$A$45,0))</f>
        <v>Mon</v>
      </c>
      <c r="U533" t="str">
        <f t="shared" si="107"/>
        <v>Weekday</v>
      </c>
      <c r="V533" t="str">
        <f t="shared" si="108"/>
        <v>Working Day</v>
      </c>
      <c r="W533" t="str">
        <f t="shared" si="109"/>
        <v>Spring</v>
      </c>
      <c r="X533" t="str">
        <f t="shared" si="110"/>
        <v>Clear</v>
      </c>
      <c r="Y533" t="str">
        <f t="shared" si="111"/>
        <v>Morning</v>
      </c>
      <c r="Z533" t="str">
        <f t="shared" si="112"/>
        <v>Cold</v>
      </c>
      <c r="AA533" t="str">
        <f t="shared" si="113"/>
        <v>Low</v>
      </c>
      <c r="AB533" t="str">
        <f t="shared" si="114"/>
        <v>Peak</v>
      </c>
      <c r="AC533" s="63">
        <f t="shared" si="115"/>
        <v>5.9523809523809521E-2</v>
      </c>
      <c r="AD533" t="str">
        <f>IF(P533&gt;=Stats!$C$30,"High",IF(P533&lt;=Stats!$C$29,"Low","Normal"))</f>
        <v>High</v>
      </c>
      <c r="AE533">
        <f t="shared" si="116"/>
        <v>1</v>
      </c>
    </row>
    <row r="534" spans="1:31" x14ac:dyDescent="0.2">
      <c r="A534">
        <f>Dataset_A!A534</f>
        <v>533</v>
      </c>
      <c r="B534" s="61">
        <f>Dataset_A!B534</f>
        <v>40567</v>
      </c>
      <c r="C534">
        <f>Dataset_A!C534</f>
        <v>1</v>
      </c>
      <c r="D534">
        <f>Dataset_A!D534</f>
        <v>0</v>
      </c>
      <c r="E534">
        <f>Dataset_A!E534</f>
        <v>1</v>
      </c>
      <c r="F534">
        <f>Dataset_A!F534</f>
        <v>8</v>
      </c>
      <c r="G534" t="b">
        <f>Dataset_A!G534</f>
        <v>0</v>
      </c>
      <c r="H534">
        <f>Dataset_A!H534</f>
        <v>1</v>
      </c>
      <c r="I534">
        <f>Dataset_A!I534</f>
        <v>1</v>
      </c>
      <c r="J534" s="55">
        <f>Dataset_A!J534</f>
        <v>0.04</v>
      </c>
      <c r="K534">
        <f>Dataset_A!K534</f>
        <v>0.13639999999999999</v>
      </c>
      <c r="L534">
        <f>Dataset_A!L534</f>
        <v>0.49</v>
      </c>
      <c r="M534">
        <f>Dataset_A!M534</f>
        <v>0</v>
      </c>
      <c r="N534">
        <f>Dataset_A!N534</f>
        <v>6</v>
      </c>
      <c r="O534">
        <f>Dataset_A!O534</f>
        <v>171</v>
      </c>
      <c r="P534">
        <f>Dataset_A!P534</f>
        <v>177</v>
      </c>
      <c r="Q534" t="str">
        <f t="shared" si="104"/>
        <v>REC-0533</v>
      </c>
      <c r="R534" s="62">
        <f t="shared" si="105"/>
        <v>40567.333333333336</v>
      </c>
      <c r="S534" t="str">
        <f t="shared" si="106"/>
        <v>Jan</v>
      </c>
      <c r="T534" t="str">
        <f>INDEX(Lookups!$B$39:$B$45,MATCH(H534,Lookups!$A$39:$A$45,0))</f>
        <v>Mon</v>
      </c>
      <c r="U534" t="str">
        <f t="shared" si="107"/>
        <v>Weekday</v>
      </c>
      <c r="V534" t="str">
        <f t="shared" si="108"/>
        <v>Working Day</v>
      </c>
      <c r="W534" t="str">
        <f t="shared" si="109"/>
        <v>Spring</v>
      </c>
      <c r="X534" t="str">
        <f t="shared" si="110"/>
        <v>Clear</v>
      </c>
      <c r="Y534" t="str">
        <f t="shared" si="111"/>
        <v>Morning</v>
      </c>
      <c r="Z534" t="str">
        <f t="shared" si="112"/>
        <v>Cold</v>
      </c>
      <c r="AA534" t="str">
        <f t="shared" si="113"/>
        <v>Low</v>
      </c>
      <c r="AB534" t="str">
        <f t="shared" si="114"/>
        <v>Peak</v>
      </c>
      <c r="AC534" s="63">
        <f t="shared" si="115"/>
        <v>3.3898305084745763E-2</v>
      </c>
      <c r="AD534" t="str">
        <f>IF(P534&gt;=Stats!$C$30,"High",IF(P534&lt;=Stats!$C$29,"Low","Normal"))</f>
        <v>High</v>
      </c>
      <c r="AE534">
        <f t="shared" si="116"/>
        <v>1</v>
      </c>
    </row>
    <row r="535" spans="1:31" x14ac:dyDescent="0.2">
      <c r="A535">
        <f>Dataset_A!A535</f>
        <v>534</v>
      </c>
      <c r="B535" s="61">
        <f>Dataset_A!B535</f>
        <v>40567</v>
      </c>
      <c r="C535">
        <f>Dataset_A!C535</f>
        <v>1</v>
      </c>
      <c r="D535">
        <f>Dataset_A!D535</f>
        <v>0</v>
      </c>
      <c r="E535">
        <f>Dataset_A!E535</f>
        <v>1</v>
      </c>
      <c r="F535">
        <f>Dataset_A!F535</f>
        <v>9</v>
      </c>
      <c r="G535" t="b">
        <f>Dataset_A!G535</f>
        <v>0</v>
      </c>
      <c r="H535">
        <f>Dataset_A!H535</f>
        <v>1</v>
      </c>
      <c r="I535">
        <f>Dataset_A!I535</f>
        <v>1</v>
      </c>
      <c r="J535" s="55">
        <f>Dataset_A!J535</f>
        <v>0.06</v>
      </c>
      <c r="K535">
        <f>Dataset_A!K535</f>
        <v>0.1515</v>
      </c>
      <c r="L535">
        <f>Dataset_A!L535</f>
        <v>0.41</v>
      </c>
      <c r="M535">
        <f>Dataset_A!M535</f>
        <v>0</v>
      </c>
      <c r="N535">
        <f>Dataset_A!N535</f>
        <v>4</v>
      </c>
      <c r="O535">
        <f>Dataset_A!O535</f>
        <v>98</v>
      </c>
      <c r="P535">
        <f>Dataset_A!P535</f>
        <v>102</v>
      </c>
      <c r="Q535" t="str">
        <f t="shared" si="104"/>
        <v>REC-0534</v>
      </c>
      <c r="R535" s="62">
        <f t="shared" si="105"/>
        <v>40567.375</v>
      </c>
      <c r="S535" t="str">
        <f t="shared" si="106"/>
        <v>Jan</v>
      </c>
      <c r="T535" t="str">
        <f>INDEX(Lookups!$B$39:$B$45,MATCH(H535,Lookups!$A$39:$A$45,0))</f>
        <v>Mon</v>
      </c>
      <c r="U535" t="str">
        <f t="shared" si="107"/>
        <v>Weekday</v>
      </c>
      <c r="V535" t="str">
        <f t="shared" si="108"/>
        <v>Working Day</v>
      </c>
      <c r="W535" t="str">
        <f t="shared" si="109"/>
        <v>Spring</v>
      </c>
      <c r="X535" t="str">
        <f t="shared" si="110"/>
        <v>Clear</v>
      </c>
      <c r="Y535" t="str">
        <f t="shared" si="111"/>
        <v>Morning</v>
      </c>
      <c r="Z535" t="str">
        <f t="shared" si="112"/>
        <v>Cold</v>
      </c>
      <c r="AA535" t="str">
        <f t="shared" si="113"/>
        <v>Low</v>
      </c>
      <c r="AB535" t="str">
        <f t="shared" si="114"/>
        <v>Peak</v>
      </c>
      <c r="AC535" s="63">
        <f t="shared" si="115"/>
        <v>3.9215686274509803E-2</v>
      </c>
      <c r="AD535" t="str">
        <f>IF(P535&gt;=Stats!$C$30,"High",IF(P535&lt;=Stats!$C$29,"Low","Normal"))</f>
        <v>High</v>
      </c>
      <c r="AE535">
        <f t="shared" si="116"/>
        <v>1</v>
      </c>
    </row>
    <row r="536" spans="1:31" x14ac:dyDescent="0.2">
      <c r="A536">
        <f>Dataset_A!A536</f>
        <v>535</v>
      </c>
      <c r="B536" s="61">
        <f>Dataset_A!B536</f>
        <v>40567</v>
      </c>
      <c r="C536">
        <f>Dataset_A!C536</f>
        <v>1</v>
      </c>
      <c r="D536">
        <f>Dataset_A!D536</f>
        <v>0</v>
      </c>
      <c r="E536">
        <f>Dataset_A!E536</f>
        <v>1</v>
      </c>
      <c r="F536">
        <f>Dataset_A!F536</f>
        <v>10</v>
      </c>
      <c r="G536" t="b">
        <f>Dataset_A!G536</f>
        <v>0</v>
      </c>
      <c r="H536">
        <f>Dataset_A!H536</f>
        <v>1</v>
      </c>
      <c r="I536">
        <f>Dataset_A!I536</f>
        <v>1</v>
      </c>
      <c r="J536" s="55">
        <f>Dataset_A!J536</f>
        <v>0.1</v>
      </c>
      <c r="K536">
        <f>Dataset_A!K536</f>
        <v>0.13639999999999999</v>
      </c>
      <c r="L536">
        <f>Dataset_A!L536</f>
        <v>0.42</v>
      </c>
      <c r="M536">
        <f>Dataset_A!M536</f>
        <v>0</v>
      </c>
      <c r="N536">
        <f>Dataset_A!N536</f>
        <v>6</v>
      </c>
      <c r="O536">
        <f>Dataset_A!O536</f>
        <v>34</v>
      </c>
      <c r="P536">
        <f>Dataset_A!P536</f>
        <v>40</v>
      </c>
      <c r="Q536" t="str">
        <f t="shared" si="104"/>
        <v>REC-0535</v>
      </c>
      <c r="R536" s="62">
        <f t="shared" si="105"/>
        <v>40567.416666666664</v>
      </c>
      <c r="S536" t="str">
        <f t="shared" si="106"/>
        <v>Jan</v>
      </c>
      <c r="T536" t="str">
        <f>INDEX(Lookups!$B$39:$B$45,MATCH(H536,Lookups!$A$39:$A$45,0))</f>
        <v>Mon</v>
      </c>
      <c r="U536" t="str">
        <f t="shared" si="107"/>
        <v>Weekday</v>
      </c>
      <c r="V536" t="str">
        <f t="shared" si="108"/>
        <v>Working Day</v>
      </c>
      <c r="W536" t="str">
        <f t="shared" si="109"/>
        <v>Spring</v>
      </c>
      <c r="X536" t="str">
        <f t="shared" si="110"/>
        <v>Clear</v>
      </c>
      <c r="Y536" t="str">
        <f t="shared" si="111"/>
        <v>Morning</v>
      </c>
      <c r="Z536" t="str">
        <f t="shared" si="112"/>
        <v>Cold</v>
      </c>
      <c r="AA536" t="str">
        <f t="shared" si="113"/>
        <v>Low</v>
      </c>
      <c r="AB536" t="str">
        <f t="shared" si="114"/>
        <v>Off-Peak</v>
      </c>
      <c r="AC536" s="63">
        <f t="shared" si="115"/>
        <v>0.15</v>
      </c>
      <c r="AD536" t="str">
        <f>IF(P536&gt;=Stats!$C$30,"High",IF(P536&lt;=Stats!$C$29,"Low","Normal"))</f>
        <v>Normal</v>
      </c>
      <c r="AE536">
        <f t="shared" si="116"/>
        <v>1</v>
      </c>
    </row>
    <row r="537" spans="1:31" x14ac:dyDescent="0.2">
      <c r="A537">
        <f>Dataset_A!A537</f>
        <v>536</v>
      </c>
      <c r="B537" s="61">
        <f>Dataset_A!B537</f>
        <v>40567</v>
      </c>
      <c r="C537">
        <f>Dataset_A!C537</f>
        <v>1</v>
      </c>
      <c r="D537">
        <f>Dataset_A!D537</f>
        <v>0</v>
      </c>
      <c r="E537">
        <f>Dataset_A!E537</f>
        <v>1</v>
      </c>
      <c r="F537">
        <f>Dataset_A!F537</f>
        <v>11</v>
      </c>
      <c r="G537" t="b">
        <f>Dataset_A!G537</f>
        <v>0</v>
      </c>
      <c r="H537">
        <f>Dataset_A!H537</f>
        <v>1</v>
      </c>
      <c r="I537">
        <f>Dataset_A!I537</f>
        <v>1</v>
      </c>
      <c r="J537" s="55">
        <f>Dataset_A!J537</f>
        <v>0.1</v>
      </c>
      <c r="K537">
        <f>Dataset_A!K537</f>
        <v>0.1212</v>
      </c>
      <c r="L537">
        <f>Dataset_A!L537</f>
        <v>0.46</v>
      </c>
      <c r="M537">
        <f>Dataset_A!M537</f>
        <v>0.1343</v>
      </c>
      <c r="N537">
        <f>Dataset_A!N537</f>
        <v>3</v>
      </c>
      <c r="O537">
        <f>Dataset_A!O537</f>
        <v>43</v>
      </c>
      <c r="P537">
        <f>Dataset_A!P537</f>
        <v>46</v>
      </c>
      <c r="Q537" t="str">
        <f t="shared" si="104"/>
        <v>REC-0536</v>
      </c>
      <c r="R537" s="62">
        <f t="shared" si="105"/>
        <v>40567.458333333336</v>
      </c>
      <c r="S537" t="str">
        <f t="shared" si="106"/>
        <v>Jan</v>
      </c>
      <c r="T537" t="str">
        <f>INDEX(Lookups!$B$39:$B$45,MATCH(H537,Lookups!$A$39:$A$45,0))</f>
        <v>Mon</v>
      </c>
      <c r="U537" t="str">
        <f t="shared" si="107"/>
        <v>Weekday</v>
      </c>
      <c r="V537" t="str">
        <f t="shared" si="108"/>
        <v>Working Day</v>
      </c>
      <c r="W537" t="str">
        <f t="shared" si="109"/>
        <v>Spring</v>
      </c>
      <c r="X537" t="str">
        <f t="shared" si="110"/>
        <v>Clear</v>
      </c>
      <c r="Y537" t="str">
        <f t="shared" si="111"/>
        <v>Morning</v>
      </c>
      <c r="Z537" t="str">
        <f t="shared" si="112"/>
        <v>Cold</v>
      </c>
      <c r="AA537" t="str">
        <f t="shared" si="113"/>
        <v>Low</v>
      </c>
      <c r="AB537" t="str">
        <f t="shared" si="114"/>
        <v>Off-Peak</v>
      </c>
      <c r="AC537" s="63">
        <f t="shared" si="115"/>
        <v>6.5217391304347824E-2</v>
      </c>
      <c r="AD537" t="str">
        <f>IF(P537&gt;=Stats!$C$30,"High",IF(P537&lt;=Stats!$C$29,"Low","Normal"))</f>
        <v>Normal</v>
      </c>
      <c r="AE537">
        <f t="shared" si="116"/>
        <v>1</v>
      </c>
    </row>
    <row r="538" spans="1:31" x14ac:dyDescent="0.2">
      <c r="A538">
        <f>Dataset_A!A538</f>
        <v>537</v>
      </c>
      <c r="B538" s="61">
        <f>Dataset_A!B538</f>
        <v>40567</v>
      </c>
      <c r="C538">
        <f>Dataset_A!C538</f>
        <v>1</v>
      </c>
      <c r="D538">
        <f>Dataset_A!D538</f>
        <v>0</v>
      </c>
      <c r="E538">
        <f>Dataset_A!E538</f>
        <v>1</v>
      </c>
      <c r="F538">
        <f>Dataset_A!F538</f>
        <v>12</v>
      </c>
      <c r="G538" t="b">
        <f>Dataset_A!G538</f>
        <v>0</v>
      </c>
      <c r="H538">
        <f>Dataset_A!H538</f>
        <v>1</v>
      </c>
      <c r="I538">
        <f>Dataset_A!I538</f>
        <v>2</v>
      </c>
      <c r="J538" s="55">
        <f>Dataset_A!J538</f>
        <v>0.12</v>
      </c>
      <c r="K538">
        <f>Dataset_A!K538</f>
        <v>0.13639999999999999</v>
      </c>
      <c r="L538">
        <f>Dataset_A!L538</f>
        <v>0.42</v>
      </c>
      <c r="M538">
        <f>Dataset_A!M538</f>
        <v>0.19400000000000001</v>
      </c>
      <c r="N538">
        <f>Dataset_A!N538</f>
        <v>11</v>
      </c>
      <c r="O538">
        <f>Dataset_A!O538</f>
        <v>52</v>
      </c>
      <c r="P538">
        <f>Dataset_A!P538</f>
        <v>63</v>
      </c>
      <c r="Q538" t="str">
        <f t="shared" si="104"/>
        <v>REC-0537</v>
      </c>
      <c r="R538" s="62">
        <f t="shared" si="105"/>
        <v>40567.5</v>
      </c>
      <c r="S538" t="str">
        <f t="shared" si="106"/>
        <v>Jan</v>
      </c>
      <c r="T538" t="str">
        <f>INDEX(Lookups!$B$39:$B$45,MATCH(H538,Lookups!$A$39:$A$45,0))</f>
        <v>Mon</v>
      </c>
      <c r="U538" t="str">
        <f t="shared" si="107"/>
        <v>Weekday</v>
      </c>
      <c r="V538" t="str">
        <f t="shared" si="108"/>
        <v>Working Day</v>
      </c>
      <c r="W538" t="str">
        <f t="shared" si="109"/>
        <v>Spring</v>
      </c>
      <c r="X538" t="str">
        <f t="shared" si="110"/>
        <v>Cloudy/Mist</v>
      </c>
      <c r="Y538" t="str">
        <f t="shared" si="111"/>
        <v>Afternoon</v>
      </c>
      <c r="Z538" t="str">
        <f t="shared" si="112"/>
        <v>Cold</v>
      </c>
      <c r="AA538" t="str">
        <f t="shared" si="113"/>
        <v>Low</v>
      </c>
      <c r="AB538" t="str">
        <f t="shared" si="114"/>
        <v>Off-Peak</v>
      </c>
      <c r="AC538" s="63">
        <f t="shared" si="115"/>
        <v>0.17460317460317459</v>
      </c>
      <c r="AD538" t="str">
        <f>IF(P538&gt;=Stats!$C$30,"High",IF(P538&lt;=Stats!$C$29,"Low","Normal"))</f>
        <v>Normal</v>
      </c>
      <c r="AE538">
        <f t="shared" si="116"/>
        <v>1</v>
      </c>
    </row>
    <row r="539" spans="1:31" x14ac:dyDescent="0.2">
      <c r="A539">
        <f>Dataset_A!A539</f>
        <v>538</v>
      </c>
      <c r="B539" s="61">
        <f>Dataset_A!B539</f>
        <v>40567</v>
      </c>
      <c r="C539">
        <f>Dataset_A!C539</f>
        <v>1</v>
      </c>
      <c r="D539">
        <f>Dataset_A!D539</f>
        <v>0</v>
      </c>
      <c r="E539">
        <f>Dataset_A!E539</f>
        <v>1</v>
      </c>
      <c r="F539">
        <f>Dataset_A!F539</f>
        <v>13</v>
      </c>
      <c r="G539" t="b">
        <f>Dataset_A!G539</f>
        <v>0</v>
      </c>
      <c r="H539">
        <f>Dataset_A!H539</f>
        <v>1</v>
      </c>
      <c r="I539">
        <f>Dataset_A!I539</f>
        <v>2</v>
      </c>
      <c r="J539" s="55">
        <f>Dataset_A!J539</f>
        <v>0.14000000000000001</v>
      </c>
      <c r="K539">
        <f>Dataset_A!K539</f>
        <v>0.13639999999999999</v>
      </c>
      <c r="L539">
        <f>Dataset_A!L539</f>
        <v>0.43</v>
      </c>
      <c r="M539">
        <f>Dataset_A!M539</f>
        <v>0.22389999999999999</v>
      </c>
      <c r="N539">
        <f>Dataset_A!N539</f>
        <v>6</v>
      </c>
      <c r="O539">
        <f>Dataset_A!O539</f>
        <v>54</v>
      </c>
      <c r="P539">
        <f>Dataset_A!P539</f>
        <v>60</v>
      </c>
      <c r="Q539" t="str">
        <f t="shared" si="104"/>
        <v>REC-0538</v>
      </c>
      <c r="R539" s="62">
        <f t="shared" si="105"/>
        <v>40567.541666666664</v>
      </c>
      <c r="S539" t="str">
        <f t="shared" si="106"/>
        <v>Jan</v>
      </c>
      <c r="T539" t="str">
        <f>INDEX(Lookups!$B$39:$B$45,MATCH(H539,Lookups!$A$39:$A$45,0))</f>
        <v>Mon</v>
      </c>
      <c r="U539" t="str">
        <f t="shared" si="107"/>
        <v>Weekday</v>
      </c>
      <c r="V539" t="str">
        <f t="shared" si="108"/>
        <v>Working Day</v>
      </c>
      <c r="W539" t="str">
        <f t="shared" si="109"/>
        <v>Spring</v>
      </c>
      <c r="X539" t="str">
        <f t="shared" si="110"/>
        <v>Cloudy/Mist</v>
      </c>
      <c r="Y539" t="str">
        <f t="shared" si="111"/>
        <v>Afternoon</v>
      </c>
      <c r="Z539" t="str">
        <f t="shared" si="112"/>
        <v>Cold</v>
      </c>
      <c r="AA539" t="str">
        <f t="shared" si="113"/>
        <v>Low</v>
      </c>
      <c r="AB539" t="str">
        <f t="shared" si="114"/>
        <v>Off-Peak</v>
      </c>
      <c r="AC539" s="63">
        <f t="shared" si="115"/>
        <v>0.1</v>
      </c>
      <c r="AD539" t="str">
        <f>IF(P539&gt;=Stats!$C$30,"High",IF(P539&lt;=Stats!$C$29,"Low","Normal"))</f>
        <v>Normal</v>
      </c>
      <c r="AE539">
        <f t="shared" si="116"/>
        <v>1</v>
      </c>
    </row>
    <row r="540" spans="1:31" x14ac:dyDescent="0.2">
      <c r="A540">
        <f>Dataset_A!A540</f>
        <v>539</v>
      </c>
      <c r="B540" s="61">
        <f>Dataset_A!B540</f>
        <v>40567</v>
      </c>
      <c r="C540">
        <f>Dataset_A!C540</f>
        <v>1</v>
      </c>
      <c r="D540">
        <f>Dataset_A!D540</f>
        <v>0</v>
      </c>
      <c r="E540">
        <f>Dataset_A!E540</f>
        <v>1</v>
      </c>
      <c r="F540">
        <f>Dataset_A!F540</f>
        <v>14</v>
      </c>
      <c r="G540" t="b">
        <f>Dataset_A!G540</f>
        <v>0</v>
      </c>
      <c r="H540">
        <f>Dataset_A!H540</f>
        <v>1</v>
      </c>
      <c r="I540">
        <f>Dataset_A!I540</f>
        <v>2</v>
      </c>
      <c r="J540" s="55">
        <f>Dataset_A!J540</f>
        <v>0.14000000000000001</v>
      </c>
      <c r="K540">
        <f>Dataset_A!K540</f>
        <v>0.13639999999999999</v>
      </c>
      <c r="L540">
        <f>Dataset_A!L540</f>
        <v>0.46</v>
      </c>
      <c r="M540">
        <f>Dataset_A!M540</f>
        <v>0.22389999999999999</v>
      </c>
      <c r="N540">
        <f>Dataset_A!N540</f>
        <v>2</v>
      </c>
      <c r="O540">
        <f>Dataset_A!O540</f>
        <v>43</v>
      </c>
      <c r="P540">
        <f>Dataset_A!P540</f>
        <v>45</v>
      </c>
      <c r="Q540" t="str">
        <f t="shared" si="104"/>
        <v>REC-0539</v>
      </c>
      <c r="R540" s="62">
        <f t="shared" si="105"/>
        <v>40567.583333333336</v>
      </c>
      <c r="S540" t="str">
        <f t="shared" si="106"/>
        <v>Jan</v>
      </c>
      <c r="T540" t="str">
        <f>INDEX(Lookups!$B$39:$B$45,MATCH(H540,Lookups!$A$39:$A$45,0))</f>
        <v>Mon</v>
      </c>
      <c r="U540" t="str">
        <f t="shared" si="107"/>
        <v>Weekday</v>
      </c>
      <c r="V540" t="str">
        <f t="shared" si="108"/>
        <v>Working Day</v>
      </c>
      <c r="W540" t="str">
        <f t="shared" si="109"/>
        <v>Spring</v>
      </c>
      <c r="X540" t="str">
        <f t="shared" si="110"/>
        <v>Cloudy/Mist</v>
      </c>
      <c r="Y540" t="str">
        <f t="shared" si="111"/>
        <v>Afternoon</v>
      </c>
      <c r="Z540" t="str">
        <f t="shared" si="112"/>
        <v>Cold</v>
      </c>
      <c r="AA540" t="str">
        <f t="shared" si="113"/>
        <v>Low</v>
      </c>
      <c r="AB540" t="str">
        <f t="shared" si="114"/>
        <v>Off-Peak</v>
      </c>
      <c r="AC540" s="63">
        <f t="shared" si="115"/>
        <v>4.4444444444444446E-2</v>
      </c>
      <c r="AD540" t="str">
        <f>IF(P540&gt;=Stats!$C$30,"High",IF(P540&lt;=Stats!$C$29,"Low","Normal"))</f>
        <v>Normal</v>
      </c>
      <c r="AE540">
        <f t="shared" si="116"/>
        <v>1</v>
      </c>
    </row>
    <row r="541" spans="1:31" x14ac:dyDescent="0.2">
      <c r="A541">
        <f>Dataset_A!A541</f>
        <v>540</v>
      </c>
      <c r="B541" s="61">
        <f>Dataset_A!B541</f>
        <v>40567</v>
      </c>
      <c r="C541">
        <f>Dataset_A!C541</f>
        <v>1</v>
      </c>
      <c r="D541">
        <f>Dataset_A!D541</f>
        <v>0</v>
      </c>
      <c r="E541">
        <f>Dataset_A!E541</f>
        <v>1</v>
      </c>
      <c r="F541">
        <f>Dataset_A!F541</f>
        <v>15</v>
      </c>
      <c r="G541" t="b">
        <f>Dataset_A!G541</f>
        <v>0</v>
      </c>
      <c r="H541">
        <f>Dataset_A!H541</f>
        <v>1</v>
      </c>
      <c r="I541">
        <f>Dataset_A!I541</f>
        <v>1</v>
      </c>
      <c r="J541" s="55">
        <f>Dataset_A!J541</f>
        <v>0.16</v>
      </c>
      <c r="K541">
        <f>Dataset_A!K541</f>
        <v>0.16669999999999999</v>
      </c>
      <c r="L541">
        <f>Dataset_A!L541</f>
        <v>0.4</v>
      </c>
      <c r="M541">
        <f>Dataset_A!M541</f>
        <v>0.16420000000000001</v>
      </c>
      <c r="N541">
        <f>Dataset_A!N541</f>
        <v>7</v>
      </c>
      <c r="O541">
        <f>Dataset_A!O541</f>
        <v>50</v>
      </c>
      <c r="P541">
        <f>Dataset_A!P541</f>
        <v>57</v>
      </c>
      <c r="Q541" t="str">
        <f t="shared" si="104"/>
        <v>REC-0540</v>
      </c>
      <c r="R541" s="62">
        <f t="shared" si="105"/>
        <v>40567.625</v>
      </c>
      <c r="S541" t="str">
        <f t="shared" si="106"/>
        <v>Jan</v>
      </c>
      <c r="T541" t="str">
        <f>INDEX(Lookups!$B$39:$B$45,MATCH(H541,Lookups!$A$39:$A$45,0))</f>
        <v>Mon</v>
      </c>
      <c r="U541" t="str">
        <f t="shared" si="107"/>
        <v>Weekday</v>
      </c>
      <c r="V541" t="str">
        <f t="shared" si="108"/>
        <v>Working Day</v>
      </c>
      <c r="W541" t="str">
        <f t="shared" si="109"/>
        <v>Spring</v>
      </c>
      <c r="X541" t="str">
        <f t="shared" si="110"/>
        <v>Clear</v>
      </c>
      <c r="Y541" t="str">
        <f t="shared" si="111"/>
        <v>Afternoon</v>
      </c>
      <c r="Z541" t="str">
        <f t="shared" si="112"/>
        <v>Cold</v>
      </c>
      <c r="AA541" t="str">
        <f t="shared" si="113"/>
        <v>Low</v>
      </c>
      <c r="AB541" t="str">
        <f t="shared" si="114"/>
        <v>Off-Peak</v>
      </c>
      <c r="AC541" s="63">
        <f t="shared" si="115"/>
        <v>0.12280701754385964</v>
      </c>
      <c r="AD541" t="str">
        <f>IF(P541&gt;=Stats!$C$30,"High",IF(P541&lt;=Stats!$C$29,"Low","Normal"))</f>
        <v>Normal</v>
      </c>
      <c r="AE541">
        <f t="shared" si="116"/>
        <v>1</v>
      </c>
    </row>
    <row r="542" spans="1:31" x14ac:dyDescent="0.2">
      <c r="A542">
        <f>Dataset_A!A542</f>
        <v>541</v>
      </c>
      <c r="B542" s="61">
        <f>Dataset_A!B542</f>
        <v>40567</v>
      </c>
      <c r="C542">
        <f>Dataset_A!C542</f>
        <v>1</v>
      </c>
      <c r="D542">
        <f>Dataset_A!D542</f>
        <v>0</v>
      </c>
      <c r="E542">
        <f>Dataset_A!E542</f>
        <v>1</v>
      </c>
      <c r="F542">
        <f>Dataset_A!F542</f>
        <v>16</v>
      </c>
      <c r="G542" t="b">
        <f>Dataset_A!G542</f>
        <v>0</v>
      </c>
      <c r="H542">
        <f>Dataset_A!H542</f>
        <v>1</v>
      </c>
      <c r="I542">
        <f>Dataset_A!I542</f>
        <v>1</v>
      </c>
      <c r="J542" s="55">
        <f>Dataset_A!J542</f>
        <v>0.16</v>
      </c>
      <c r="K542">
        <f>Dataset_A!K542</f>
        <v>0.1515</v>
      </c>
      <c r="L542">
        <f>Dataset_A!L542</f>
        <v>0.47</v>
      </c>
      <c r="M542">
        <f>Dataset_A!M542</f>
        <v>0.25369999999999998</v>
      </c>
      <c r="N542">
        <f>Dataset_A!N542</f>
        <v>4</v>
      </c>
      <c r="O542">
        <f>Dataset_A!O542</f>
        <v>66</v>
      </c>
      <c r="P542">
        <f>Dataset_A!P542</f>
        <v>70</v>
      </c>
      <c r="Q542" t="str">
        <f t="shared" si="104"/>
        <v>REC-0541</v>
      </c>
      <c r="R542" s="62">
        <f t="shared" si="105"/>
        <v>40567.666666666664</v>
      </c>
      <c r="S542" t="str">
        <f t="shared" si="106"/>
        <v>Jan</v>
      </c>
      <c r="T542" t="str">
        <f>INDEX(Lookups!$B$39:$B$45,MATCH(H542,Lookups!$A$39:$A$45,0))</f>
        <v>Mon</v>
      </c>
      <c r="U542" t="str">
        <f t="shared" si="107"/>
        <v>Weekday</v>
      </c>
      <c r="V542" t="str">
        <f t="shared" si="108"/>
        <v>Working Day</v>
      </c>
      <c r="W542" t="str">
        <f t="shared" si="109"/>
        <v>Spring</v>
      </c>
      <c r="X542" t="str">
        <f t="shared" si="110"/>
        <v>Clear</v>
      </c>
      <c r="Y542" t="str">
        <f t="shared" si="111"/>
        <v>Afternoon</v>
      </c>
      <c r="Z542" t="str">
        <f t="shared" si="112"/>
        <v>Cold</v>
      </c>
      <c r="AA542" t="str">
        <f t="shared" si="113"/>
        <v>Low</v>
      </c>
      <c r="AB542" t="str">
        <f t="shared" si="114"/>
        <v>Peak</v>
      </c>
      <c r="AC542" s="63">
        <f t="shared" si="115"/>
        <v>5.7142857142857141E-2</v>
      </c>
      <c r="AD542" t="str">
        <f>IF(P542&gt;=Stats!$C$30,"High",IF(P542&lt;=Stats!$C$29,"Low","Normal"))</f>
        <v>Normal</v>
      </c>
      <c r="AE542">
        <f t="shared" si="116"/>
        <v>1</v>
      </c>
    </row>
    <row r="543" spans="1:31" x14ac:dyDescent="0.2">
      <c r="A543">
        <f>Dataset_A!A543</f>
        <v>542</v>
      </c>
      <c r="B543" s="61">
        <f>Dataset_A!B543</f>
        <v>40567</v>
      </c>
      <c r="C543">
        <f>Dataset_A!C543</f>
        <v>1</v>
      </c>
      <c r="D543">
        <f>Dataset_A!D543</f>
        <v>0</v>
      </c>
      <c r="E543">
        <f>Dataset_A!E543</f>
        <v>1</v>
      </c>
      <c r="F543">
        <f>Dataset_A!F543</f>
        <v>17</v>
      </c>
      <c r="G543" t="b">
        <f>Dataset_A!G543</f>
        <v>0</v>
      </c>
      <c r="H543">
        <f>Dataset_A!H543</f>
        <v>1</v>
      </c>
      <c r="I543">
        <f>Dataset_A!I543</f>
        <v>1</v>
      </c>
      <c r="J543" s="55">
        <f>Dataset_A!J543</f>
        <v>0.14000000000000001</v>
      </c>
      <c r="K543">
        <f>Dataset_A!K543</f>
        <v>0.1212</v>
      </c>
      <c r="L543">
        <f>Dataset_A!L543</f>
        <v>0.5</v>
      </c>
      <c r="M543">
        <f>Dataset_A!M543</f>
        <v>0.25369999999999998</v>
      </c>
      <c r="N543">
        <f>Dataset_A!N543</f>
        <v>6</v>
      </c>
      <c r="O543">
        <f>Dataset_A!O543</f>
        <v>178</v>
      </c>
      <c r="P543">
        <f>Dataset_A!P543</f>
        <v>184</v>
      </c>
      <c r="Q543" t="str">
        <f t="shared" si="104"/>
        <v>REC-0542</v>
      </c>
      <c r="R543" s="62">
        <f t="shared" si="105"/>
        <v>40567.708333333336</v>
      </c>
      <c r="S543" t="str">
        <f t="shared" si="106"/>
        <v>Jan</v>
      </c>
      <c r="T543" t="str">
        <f>INDEX(Lookups!$B$39:$B$45,MATCH(H543,Lookups!$A$39:$A$45,0))</f>
        <v>Mon</v>
      </c>
      <c r="U543" t="str">
        <f t="shared" si="107"/>
        <v>Weekday</v>
      </c>
      <c r="V543" t="str">
        <f t="shared" si="108"/>
        <v>Working Day</v>
      </c>
      <c r="W543" t="str">
        <f t="shared" si="109"/>
        <v>Spring</v>
      </c>
      <c r="X543" t="str">
        <f t="shared" si="110"/>
        <v>Clear</v>
      </c>
      <c r="Y543" t="str">
        <f t="shared" si="111"/>
        <v>Evening</v>
      </c>
      <c r="Z543" t="str">
        <f t="shared" si="112"/>
        <v>Cold</v>
      </c>
      <c r="AA543" t="str">
        <f t="shared" si="113"/>
        <v>Medium</v>
      </c>
      <c r="AB543" t="str">
        <f t="shared" si="114"/>
        <v>Peak</v>
      </c>
      <c r="AC543" s="63">
        <f t="shared" si="115"/>
        <v>3.2608695652173912E-2</v>
      </c>
      <c r="AD543" t="str">
        <f>IF(P543&gt;=Stats!$C$30,"High",IF(P543&lt;=Stats!$C$29,"Low","Normal"))</f>
        <v>High</v>
      </c>
      <c r="AE543">
        <f t="shared" si="116"/>
        <v>1</v>
      </c>
    </row>
    <row r="544" spans="1:31" x14ac:dyDescent="0.2">
      <c r="A544">
        <f>Dataset_A!A544</f>
        <v>543</v>
      </c>
      <c r="B544" s="61">
        <f>Dataset_A!B544</f>
        <v>40567</v>
      </c>
      <c r="C544">
        <f>Dataset_A!C544</f>
        <v>1</v>
      </c>
      <c r="D544">
        <f>Dataset_A!D544</f>
        <v>0</v>
      </c>
      <c r="E544">
        <f>Dataset_A!E544</f>
        <v>1</v>
      </c>
      <c r="F544">
        <f>Dataset_A!F544</f>
        <v>18</v>
      </c>
      <c r="G544" t="b">
        <f>Dataset_A!G544</f>
        <v>0</v>
      </c>
      <c r="H544">
        <f>Dataset_A!H544</f>
        <v>1</v>
      </c>
      <c r="I544">
        <f>Dataset_A!I544</f>
        <v>1</v>
      </c>
      <c r="J544" s="55">
        <f>Dataset_A!J544</f>
        <v>0.14000000000000001</v>
      </c>
      <c r="K544">
        <f>Dataset_A!K544</f>
        <v>0.13639999999999999</v>
      </c>
      <c r="L544">
        <f>Dataset_A!L544</f>
        <v>0.59</v>
      </c>
      <c r="M544">
        <f>Dataset_A!M544</f>
        <v>0.19400000000000001</v>
      </c>
      <c r="N544">
        <f>Dataset_A!N544</f>
        <v>8</v>
      </c>
      <c r="O544">
        <f>Dataset_A!O544</f>
        <v>145</v>
      </c>
      <c r="P544">
        <f>Dataset_A!P544</f>
        <v>153</v>
      </c>
      <c r="Q544" t="str">
        <f t="shared" si="104"/>
        <v>REC-0543</v>
      </c>
      <c r="R544" s="62">
        <f t="shared" si="105"/>
        <v>40567.75</v>
      </c>
      <c r="S544" t="str">
        <f t="shared" si="106"/>
        <v>Jan</v>
      </c>
      <c r="T544" t="str">
        <f>INDEX(Lookups!$B$39:$B$45,MATCH(H544,Lookups!$A$39:$A$45,0))</f>
        <v>Mon</v>
      </c>
      <c r="U544" t="str">
        <f t="shared" si="107"/>
        <v>Weekday</v>
      </c>
      <c r="V544" t="str">
        <f t="shared" si="108"/>
        <v>Working Day</v>
      </c>
      <c r="W544" t="str">
        <f t="shared" si="109"/>
        <v>Spring</v>
      </c>
      <c r="X544" t="str">
        <f t="shared" si="110"/>
        <v>Clear</v>
      </c>
      <c r="Y544" t="str">
        <f t="shared" si="111"/>
        <v>Evening</v>
      </c>
      <c r="Z544" t="str">
        <f t="shared" si="112"/>
        <v>Cold</v>
      </c>
      <c r="AA544" t="str">
        <f t="shared" si="113"/>
        <v>Medium</v>
      </c>
      <c r="AB544" t="str">
        <f t="shared" si="114"/>
        <v>Peak</v>
      </c>
      <c r="AC544" s="63">
        <f t="shared" si="115"/>
        <v>5.2287581699346407E-2</v>
      </c>
      <c r="AD544" t="str">
        <f>IF(P544&gt;=Stats!$C$30,"High",IF(P544&lt;=Stats!$C$29,"Low","Normal"))</f>
        <v>High</v>
      </c>
      <c r="AE544">
        <f t="shared" si="116"/>
        <v>1</v>
      </c>
    </row>
    <row r="545" spans="1:31" x14ac:dyDescent="0.2">
      <c r="A545">
        <f>Dataset_A!A545</f>
        <v>544</v>
      </c>
      <c r="B545" s="61">
        <f>Dataset_A!B545</f>
        <v>40567</v>
      </c>
      <c r="C545">
        <f>Dataset_A!C545</f>
        <v>1</v>
      </c>
      <c r="D545">
        <f>Dataset_A!D545</f>
        <v>0</v>
      </c>
      <c r="E545">
        <f>Dataset_A!E545</f>
        <v>1</v>
      </c>
      <c r="F545">
        <f>Dataset_A!F545</f>
        <v>19</v>
      </c>
      <c r="G545" t="b">
        <f>Dataset_A!G545</f>
        <v>0</v>
      </c>
      <c r="H545">
        <f>Dataset_A!H545</f>
        <v>1</v>
      </c>
      <c r="I545">
        <f>Dataset_A!I545</f>
        <v>1</v>
      </c>
      <c r="J545" s="55">
        <f>Dataset_A!J545</f>
        <v>0.14000000000000001</v>
      </c>
      <c r="K545">
        <f>Dataset_A!K545</f>
        <v>0.1515</v>
      </c>
      <c r="L545">
        <f>Dataset_A!L545</f>
        <v>0.54</v>
      </c>
      <c r="M545">
        <f>Dataset_A!M545</f>
        <v>0.16420000000000001</v>
      </c>
      <c r="N545">
        <f>Dataset_A!N545</f>
        <v>5</v>
      </c>
      <c r="O545">
        <f>Dataset_A!O545</f>
        <v>101</v>
      </c>
      <c r="P545">
        <f>Dataset_A!P545</f>
        <v>106</v>
      </c>
      <c r="Q545" t="str">
        <f t="shared" si="104"/>
        <v>REC-0544</v>
      </c>
      <c r="R545" s="62">
        <f t="shared" si="105"/>
        <v>40567.791666666664</v>
      </c>
      <c r="S545" t="str">
        <f t="shared" si="106"/>
        <v>Jan</v>
      </c>
      <c r="T545" t="str">
        <f>INDEX(Lookups!$B$39:$B$45,MATCH(H545,Lookups!$A$39:$A$45,0))</f>
        <v>Mon</v>
      </c>
      <c r="U545" t="str">
        <f t="shared" si="107"/>
        <v>Weekday</v>
      </c>
      <c r="V545" t="str">
        <f t="shared" si="108"/>
        <v>Working Day</v>
      </c>
      <c r="W545" t="str">
        <f t="shared" si="109"/>
        <v>Spring</v>
      </c>
      <c r="X545" t="str">
        <f t="shared" si="110"/>
        <v>Clear</v>
      </c>
      <c r="Y545" t="str">
        <f t="shared" si="111"/>
        <v>Evening</v>
      </c>
      <c r="Z545" t="str">
        <f t="shared" si="112"/>
        <v>Cold</v>
      </c>
      <c r="AA545" t="str">
        <f t="shared" si="113"/>
        <v>Medium</v>
      </c>
      <c r="AB545" t="str">
        <f t="shared" si="114"/>
        <v>Peak</v>
      </c>
      <c r="AC545" s="63">
        <f t="shared" si="115"/>
        <v>4.716981132075472E-2</v>
      </c>
      <c r="AD545" t="str">
        <f>IF(P545&gt;=Stats!$C$30,"High",IF(P545&lt;=Stats!$C$29,"Low","Normal"))</f>
        <v>High</v>
      </c>
      <c r="AE545">
        <f t="shared" si="116"/>
        <v>1</v>
      </c>
    </row>
    <row r="546" spans="1:31" x14ac:dyDescent="0.2">
      <c r="A546">
        <f>Dataset_A!A546</f>
        <v>545</v>
      </c>
      <c r="B546" s="61">
        <f>Dataset_A!B546</f>
        <v>40567</v>
      </c>
      <c r="C546">
        <f>Dataset_A!C546</f>
        <v>1</v>
      </c>
      <c r="D546">
        <f>Dataset_A!D546</f>
        <v>0</v>
      </c>
      <c r="E546">
        <f>Dataset_A!E546</f>
        <v>1</v>
      </c>
      <c r="F546">
        <f>Dataset_A!F546</f>
        <v>20</v>
      </c>
      <c r="G546" t="b">
        <f>Dataset_A!G546</f>
        <v>0</v>
      </c>
      <c r="H546">
        <f>Dataset_A!H546</f>
        <v>1</v>
      </c>
      <c r="I546">
        <f>Dataset_A!I546</f>
        <v>1</v>
      </c>
      <c r="J546" s="55">
        <f>Dataset_A!J546</f>
        <v>0.14000000000000001</v>
      </c>
      <c r="K546">
        <f>Dataset_A!K546</f>
        <v>0.13639999999999999</v>
      </c>
      <c r="L546">
        <f>Dataset_A!L546</f>
        <v>0.59</v>
      </c>
      <c r="M546">
        <f>Dataset_A!M546</f>
        <v>0.19400000000000001</v>
      </c>
      <c r="N546">
        <f>Dataset_A!N546</f>
        <v>1</v>
      </c>
      <c r="O546">
        <f>Dataset_A!O546</f>
        <v>80</v>
      </c>
      <c r="P546">
        <f>Dataset_A!P546</f>
        <v>81</v>
      </c>
      <c r="Q546" t="str">
        <f t="shared" si="104"/>
        <v>REC-0545</v>
      </c>
      <c r="R546" s="62">
        <f t="shared" si="105"/>
        <v>40567.833333333336</v>
      </c>
      <c r="S546" t="str">
        <f t="shared" si="106"/>
        <v>Jan</v>
      </c>
      <c r="T546" t="str">
        <f>INDEX(Lookups!$B$39:$B$45,MATCH(H546,Lookups!$A$39:$A$45,0))</f>
        <v>Mon</v>
      </c>
      <c r="U546" t="str">
        <f t="shared" si="107"/>
        <v>Weekday</v>
      </c>
      <c r="V546" t="str">
        <f t="shared" si="108"/>
        <v>Working Day</v>
      </c>
      <c r="W546" t="str">
        <f t="shared" si="109"/>
        <v>Spring</v>
      </c>
      <c r="X546" t="str">
        <f t="shared" si="110"/>
        <v>Clear</v>
      </c>
      <c r="Y546" t="str">
        <f t="shared" si="111"/>
        <v>Evening</v>
      </c>
      <c r="Z546" t="str">
        <f t="shared" si="112"/>
        <v>Cold</v>
      </c>
      <c r="AA546" t="str">
        <f t="shared" si="113"/>
        <v>Medium</v>
      </c>
      <c r="AB546" t="str">
        <f t="shared" si="114"/>
        <v>Off-Peak</v>
      </c>
      <c r="AC546" s="63">
        <f t="shared" si="115"/>
        <v>1.2345679012345678E-2</v>
      </c>
      <c r="AD546" t="str">
        <f>IF(P546&gt;=Stats!$C$30,"High",IF(P546&lt;=Stats!$C$29,"Low","Normal"))</f>
        <v>Normal</v>
      </c>
      <c r="AE546">
        <f t="shared" si="116"/>
        <v>1</v>
      </c>
    </row>
    <row r="547" spans="1:31" x14ac:dyDescent="0.2">
      <c r="A547">
        <f>Dataset_A!A547</f>
        <v>546</v>
      </c>
      <c r="B547" s="61">
        <f>Dataset_A!B547</f>
        <v>40567</v>
      </c>
      <c r="C547">
        <f>Dataset_A!C547</f>
        <v>1</v>
      </c>
      <c r="D547">
        <f>Dataset_A!D547</f>
        <v>0</v>
      </c>
      <c r="E547">
        <f>Dataset_A!E547</f>
        <v>1</v>
      </c>
      <c r="F547">
        <f>Dataset_A!F547</f>
        <v>21</v>
      </c>
      <c r="G547" t="b">
        <f>Dataset_A!G547</f>
        <v>0</v>
      </c>
      <c r="H547">
        <f>Dataset_A!H547</f>
        <v>1</v>
      </c>
      <c r="I547">
        <f>Dataset_A!I547</f>
        <v>1</v>
      </c>
      <c r="J547" s="55">
        <f>Dataset_A!J547</f>
        <v>0.14000000000000001</v>
      </c>
      <c r="K547">
        <f>Dataset_A!K547</f>
        <v>0.1515</v>
      </c>
      <c r="L547">
        <f>Dataset_A!L547</f>
        <v>0.63</v>
      </c>
      <c r="M547">
        <f>Dataset_A!M547</f>
        <v>0.16420000000000001</v>
      </c>
      <c r="N547">
        <f>Dataset_A!N547</f>
        <v>6</v>
      </c>
      <c r="O547">
        <f>Dataset_A!O547</f>
        <v>53</v>
      </c>
      <c r="P547">
        <f>Dataset_A!P547</f>
        <v>59</v>
      </c>
      <c r="Q547" t="str">
        <f t="shared" si="104"/>
        <v>REC-0546</v>
      </c>
      <c r="R547" s="62">
        <f t="shared" si="105"/>
        <v>40567.875</v>
      </c>
      <c r="S547" t="str">
        <f t="shared" si="106"/>
        <v>Jan</v>
      </c>
      <c r="T547" t="str">
        <f>INDEX(Lookups!$B$39:$B$45,MATCH(H547,Lookups!$A$39:$A$45,0))</f>
        <v>Mon</v>
      </c>
      <c r="U547" t="str">
        <f t="shared" si="107"/>
        <v>Weekday</v>
      </c>
      <c r="V547" t="str">
        <f t="shared" si="108"/>
        <v>Working Day</v>
      </c>
      <c r="W547" t="str">
        <f t="shared" si="109"/>
        <v>Spring</v>
      </c>
      <c r="X547" t="str">
        <f t="shared" si="110"/>
        <v>Clear</v>
      </c>
      <c r="Y547" t="str">
        <f t="shared" si="111"/>
        <v>Late Evening</v>
      </c>
      <c r="Z547" t="str">
        <f t="shared" si="112"/>
        <v>Cold</v>
      </c>
      <c r="AA547" t="str">
        <f t="shared" si="113"/>
        <v>Medium</v>
      </c>
      <c r="AB547" t="str">
        <f t="shared" si="114"/>
        <v>Off-Peak</v>
      </c>
      <c r="AC547" s="63">
        <f t="shared" si="115"/>
        <v>0.10169491525423729</v>
      </c>
      <c r="AD547" t="str">
        <f>IF(P547&gt;=Stats!$C$30,"High",IF(P547&lt;=Stats!$C$29,"Low","Normal"))</f>
        <v>Normal</v>
      </c>
      <c r="AE547">
        <f t="shared" si="116"/>
        <v>1</v>
      </c>
    </row>
    <row r="548" spans="1:31" x14ac:dyDescent="0.2">
      <c r="A548">
        <f>Dataset_A!A548</f>
        <v>547</v>
      </c>
      <c r="B548" s="61">
        <f>Dataset_A!B548</f>
        <v>40567</v>
      </c>
      <c r="C548">
        <f>Dataset_A!C548</f>
        <v>1</v>
      </c>
      <c r="D548">
        <f>Dataset_A!D548</f>
        <v>0</v>
      </c>
      <c r="E548">
        <f>Dataset_A!E548</f>
        <v>1</v>
      </c>
      <c r="F548">
        <f>Dataset_A!F548</f>
        <v>22</v>
      </c>
      <c r="G548" t="b">
        <f>Dataset_A!G548</f>
        <v>0</v>
      </c>
      <c r="H548">
        <f>Dataset_A!H548</f>
        <v>1</v>
      </c>
      <c r="I548">
        <f>Dataset_A!I548</f>
        <v>2</v>
      </c>
      <c r="J548" s="55">
        <f>Dataset_A!J548</f>
        <v>0.14000000000000001</v>
      </c>
      <c r="K548">
        <f>Dataset_A!K548</f>
        <v>0.13639999999999999</v>
      </c>
      <c r="L548">
        <f>Dataset_A!L548</f>
        <v>0.63</v>
      </c>
      <c r="M548">
        <f>Dataset_A!M548</f>
        <v>0.22389999999999999</v>
      </c>
      <c r="N548">
        <f>Dataset_A!N548</f>
        <v>3</v>
      </c>
      <c r="O548">
        <f>Dataset_A!O548</f>
        <v>32</v>
      </c>
      <c r="P548">
        <f>Dataset_A!P548</f>
        <v>35</v>
      </c>
      <c r="Q548" t="str">
        <f t="shared" si="104"/>
        <v>REC-0547</v>
      </c>
      <c r="R548" s="62">
        <f t="shared" si="105"/>
        <v>40567.916666666664</v>
      </c>
      <c r="S548" t="str">
        <f t="shared" si="106"/>
        <v>Jan</v>
      </c>
      <c r="T548" t="str">
        <f>INDEX(Lookups!$B$39:$B$45,MATCH(H548,Lookups!$A$39:$A$45,0))</f>
        <v>Mon</v>
      </c>
      <c r="U548" t="str">
        <f t="shared" si="107"/>
        <v>Weekday</v>
      </c>
      <c r="V548" t="str">
        <f t="shared" si="108"/>
        <v>Working Day</v>
      </c>
      <c r="W548" t="str">
        <f t="shared" si="109"/>
        <v>Spring</v>
      </c>
      <c r="X548" t="str">
        <f t="shared" si="110"/>
        <v>Cloudy/Mist</v>
      </c>
      <c r="Y548" t="str">
        <f t="shared" si="111"/>
        <v>Late Evening</v>
      </c>
      <c r="Z548" t="str">
        <f t="shared" si="112"/>
        <v>Cold</v>
      </c>
      <c r="AA548" t="str">
        <f t="shared" si="113"/>
        <v>Medium</v>
      </c>
      <c r="AB548" t="str">
        <f t="shared" si="114"/>
        <v>Off-Peak</v>
      </c>
      <c r="AC548" s="63">
        <f t="shared" si="115"/>
        <v>8.5714285714285715E-2</v>
      </c>
      <c r="AD548" t="str">
        <f>IF(P548&gt;=Stats!$C$30,"High",IF(P548&lt;=Stats!$C$29,"Low","Normal"))</f>
        <v>Normal</v>
      </c>
      <c r="AE548">
        <f t="shared" si="116"/>
        <v>1</v>
      </c>
    </row>
    <row r="549" spans="1:31" x14ac:dyDescent="0.2">
      <c r="A549">
        <f>Dataset_A!A549</f>
        <v>548</v>
      </c>
      <c r="B549" s="61">
        <f>Dataset_A!B549</f>
        <v>40567</v>
      </c>
      <c r="C549">
        <f>Dataset_A!C549</f>
        <v>1</v>
      </c>
      <c r="D549">
        <f>Dataset_A!D549</f>
        <v>0</v>
      </c>
      <c r="E549">
        <f>Dataset_A!E549</f>
        <v>1</v>
      </c>
      <c r="F549">
        <f>Dataset_A!F549</f>
        <v>23</v>
      </c>
      <c r="G549" t="b">
        <f>Dataset_A!G549</f>
        <v>0</v>
      </c>
      <c r="H549">
        <f>Dataset_A!H549</f>
        <v>1</v>
      </c>
      <c r="I549">
        <f>Dataset_A!I549</f>
        <v>2</v>
      </c>
      <c r="J549" s="55">
        <f>Dataset_A!J549</f>
        <v>0.16</v>
      </c>
      <c r="K549">
        <f>Dataset_A!K549</f>
        <v>0.1515</v>
      </c>
      <c r="L549">
        <f>Dataset_A!L549</f>
        <v>0.64</v>
      </c>
      <c r="M549">
        <f>Dataset_A!M549</f>
        <v>0.25369999999999998</v>
      </c>
      <c r="N549">
        <f>Dataset_A!N549</f>
        <v>3</v>
      </c>
      <c r="O549">
        <f>Dataset_A!O549</f>
        <v>21</v>
      </c>
      <c r="P549">
        <f>Dataset_A!P549</f>
        <v>24</v>
      </c>
      <c r="Q549" t="str">
        <f t="shared" si="104"/>
        <v>REC-0548</v>
      </c>
      <c r="R549" s="62">
        <f t="shared" si="105"/>
        <v>40567.958333333336</v>
      </c>
      <c r="S549" t="str">
        <f t="shared" si="106"/>
        <v>Jan</v>
      </c>
      <c r="T549" t="str">
        <f>INDEX(Lookups!$B$39:$B$45,MATCH(H549,Lookups!$A$39:$A$45,0))</f>
        <v>Mon</v>
      </c>
      <c r="U549" t="str">
        <f t="shared" si="107"/>
        <v>Weekday</v>
      </c>
      <c r="V549" t="str">
        <f t="shared" si="108"/>
        <v>Working Day</v>
      </c>
      <c r="W549" t="str">
        <f t="shared" si="109"/>
        <v>Spring</v>
      </c>
      <c r="X549" t="str">
        <f t="shared" si="110"/>
        <v>Cloudy/Mist</v>
      </c>
      <c r="Y549" t="str">
        <f t="shared" si="111"/>
        <v>Late Evening</v>
      </c>
      <c r="Z549" t="str">
        <f t="shared" si="112"/>
        <v>Cold</v>
      </c>
      <c r="AA549" t="str">
        <f t="shared" si="113"/>
        <v>Medium</v>
      </c>
      <c r="AB549" t="str">
        <f t="shared" si="114"/>
        <v>Off-Peak</v>
      </c>
      <c r="AC549" s="63">
        <f t="shared" si="115"/>
        <v>0.125</v>
      </c>
      <c r="AD549" t="str">
        <f>IF(P549&gt;=Stats!$C$30,"High",IF(P549&lt;=Stats!$C$29,"Low","Normal"))</f>
        <v>Normal</v>
      </c>
      <c r="AE549">
        <f t="shared" si="116"/>
        <v>1</v>
      </c>
    </row>
    <row r="550" spans="1:31" x14ac:dyDescent="0.2">
      <c r="A550">
        <f>Dataset_A!A550</f>
        <v>549</v>
      </c>
      <c r="B550" s="61">
        <f>Dataset_A!B550</f>
        <v>40568</v>
      </c>
      <c r="C550">
        <f>Dataset_A!C550</f>
        <v>1</v>
      </c>
      <c r="D550">
        <f>Dataset_A!D550</f>
        <v>0</v>
      </c>
      <c r="E550">
        <f>Dataset_A!E550</f>
        <v>1</v>
      </c>
      <c r="F550">
        <f>Dataset_A!F550</f>
        <v>0</v>
      </c>
      <c r="G550" t="b">
        <f>Dataset_A!G550</f>
        <v>0</v>
      </c>
      <c r="H550">
        <f>Dataset_A!H550</f>
        <v>2</v>
      </c>
      <c r="I550">
        <f>Dataset_A!I550</f>
        <v>2</v>
      </c>
      <c r="J550" s="55">
        <f>Dataset_A!J550</f>
        <v>0.16</v>
      </c>
      <c r="K550">
        <f>Dataset_A!K550</f>
        <v>0.13639999999999999</v>
      </c>
      <c r="L550">
        <f>Dataset_A!L550</f>
        <v>0.69</v>
      </c>
      <c r="M550">
        <f>Dataset_A!M550</f>
        <v>0.28360000000000002</v>
      </c>
      <c r="N550">
        <f>Dataset_A!N550</f>
        <v>3</v>
      </c>
      <c r="O550">
        <f>Dataset_A!O550</f>
        <v>6</v>
      </c>
      <c r="P550">
        <f>Dataset_A!P550</f>
        <v>9</v>
      </c>
      <c r="Q550" t="str">
        <f t="shared" si="104"/>
        <v>REC-0549</v>
      </c>
      <c r="R550" s="62">
        <f t="shared" si="105"/>
        <v>40568</v>
      </c>
      <c r="S550" t="str">
        <f t="shared" si="106"/>
        <v>Jan</v>
      </c>
      <c r="T550" t="str">
        <f>INDEX(Lookups!$B$39:$B$45,MATCH(H550,Lookups!$A$39:$A$45,0))</f>
        <v>Tue</v>
      </c>
      <c r="U550" t="str">
        <f t="shared" si="107"/>
        <v>Weekday</v>
      </c>
      <c r="V550" t="str">
        <f t="shared" si="108"/>
        <v>Working Day</v>
      </c>
      <c r="W550" t="str">
        <f t="shared" si="109"/>
        <v>Spring</v>
      </c>
      <c r="X550" t="str">
        <f t="shared" si="110"/>
        <v>Cloudy/Mist</v>
      </c>
      <c r="Y550" t="str">
        <f t="shared" si="111"/>
        <v>Night</v>
      </c>
      <c r="Z550" t="str">
        <f t="shared" si="112"/>
        <v>Cold</v>
      </c>
      <c r="AA550" t="str">
        <f t="shared" si="113"/>
        <v>Medium</v>
      </c>
      <c r="AB550" t="str">
        <f t="shared" si="114"/>
        <v>Off-Peak</v>
      </c>
      <c r="AC550" s="63">
        <f t="shared" si="115"/>
        <v>0.33333333333333331</v>
      </c>
      <c r="AD550" t="str">
        <f>IF(P550&gt;=Stats!$C$30,"High",IF(P550&lt;=Stats!$C$29,"Low","Normal"))</f>
        <v>Low</v>
      </c>
      <c r="AE550">
        <f t="shared" si="116"/>
        <v>1</v>
      </c>
    </row>
    <row r="551" spans="1:31" x14ac:dyDescent="0.2">
      <c r="A551">
        <f>Dataset_A!A551</f>
        <v>550</v>
      </c>
      <c r="B551" s="61">
        <f>Dataset_A!B551</f>
        <v>40568</v>
      </c>
      <c r="C551">
        <f>Dataset_A!C551</f>
        <v>1</v>
      </c>
      <c r="D551">
        <f>Dataset_A!D551</f>
        <v>0</v>
      </c>
      <c r="E551">
        <f>Dataset_A!E551</f>
        <v>1</v>
      </c>
      <c r="F551">
        <f>Dataset_A!F551</f>
        <v>1</v>
      </c>
      <c r="G551" t="b">
        <f>Dataset_A!G551</f>
        <v>0</v>
      </c>
      <c r="H551">
        <f>Dataset_A!H551</f>
        <v>2</v>
      </c>
      <c r="I551">
        <f>Dataset_A!I551</f>
        <v>2</v>
      </c>
      <c r="J551" s="55">
        <f>Dataset_A!J551</f>
        <v>0.16</v>
      </c>
      <c r="K551">
        <f>Dataset_A!K551</f>
        <v>0.16669999999999999</v>
      </c>
      <c r="L551">
        <f>Dataset_A!L551</f>
        <v>0.69</v>
      </c>
      <c r="M551">
        <f>Dataset_A!M551</f>
        <v>0.16420000000000001</v>
      </c>
      <c r="N551">
        <f>Dataset_A!N551</f>
        <v>0</v>
      </c>
      <c r="O551">
        <f>Dataset_A!O551</f>
        <v>5</v>
      </c>
      <c r="P551">
        <f>Dataset_A!P551</f>
        <v>5</v>
      </c>
      <c r="Q551" t="str">
        <f t="shared" si="104"/>
        <v>REC-0550</v>
      </c>
      <c r="R551" s="62">
        <f t="shared" si="105"/>
        <v>40568.041666666664</v>
      </c>
      <c r="S551" t="str">
        <f t="shared" si="106"/>
        <v>Jan</v>
      </c>
      <c r="T551" t="str">
        <f>INDEX(Lookups!$B$39:$B$45,MATCH(H551,Lookups!$A$39:$A$45,0))</f>
        <v>Tue</v>
      </c>
      <c r="U551" t="str">
        <f t="shared" si="107"/>
        <v>Weekday</v>
      </c>
      <c r="V551" t="str">
        <f t="shared" si="108"/>
        <v>Working Day</v>
      </c>
      <c r="W551" t="str">
        <f t="shared" si="109"/>
        <v>Spring</v>
      </c>
      <c r="X551" t="str">
        <f t="shared" si="110"/>
        <v>Cloudy/Mist</v>
      </c>
      <c r="Y551" t="str">
        <f t="shared" si="111"/>
        <v>Night</v>
      </c>
      <c r="Z551" t="str">
        <f t="shared" si="112"/>
        <v>Cold</v>
      </c>
      <c r="AA551" t="str">
        <f t="shared" si="113"/>
        <v>Medium</v>
      </c>
      <c r="AB551" t="str">
        <f t="shared" si="114"/>
        <v>Off-Peak</v>
      </c>
      <c r="AC551" s="63">
        <f t="shared" si="115"/>
        <v>0</v>
      </c>
      <c r="AD551" t="str">
        <f>IF(P551&gt;=Stats!$C$30,"High",IF(P551&lt;=Stats!$C$29,"Low","Normal"))</f>
        <v>Low</v>
      </c>
      <c r="AE551">
        <f t="shared" si="116"/>
        <v>1</v>
      </c>
    </row>
    <row r="552" spans="1:31" x14ac:dyDescent="0.2">
      <c r="A552">
        <f>Dataset_A!A552</f>
        <v>551</v>
      </c>
      <c r="B552" s="61">
        <f>Dataset_A!B552</f>
        <v>40568</v>
      </c>
      <c r="C552">
        <f>Dataset_A!C552</f>
        <v>1</v>
      </c>
      <c r="D552">
        <f>Dataset_A!D552</f>
        <v>0</v>
      </c>
      <c r="E552">
        <f>Dataset_A!E552</f>
        <v>1</v>
      </c>
      <c r="F552">
        <f>Dataset_A!F552</f>
        <v>2</v>
      </c>
      <c r="G552" t="b">
        <f>Dataset_A!G552</f>
        <v>0</v>
      </c>
      <c r="H552">
        <f>Dataset_A!H552</f>
        <v>2</v>
      </c>
      <c r="I552">
        <f>Dataset_A!I552</f>
        <v>1</v>
      </c>
      <c r="J552" s="55">
        <f>Dataset_A!J552</f>
        <v>0.16</v>
      </c>
      <c r="K552">
        <f>Dataset_A!K552</f>
        <v>0.1515</v>
      </c>
      <c r="L552">
        <f>Dataset_A!L552</f>
        <v>0.69</v>
      </c>
      <c r="M552">
        <f>Dataset_A!M552</f>
        <v>0.22389999999999999</v>
      </c>
      <c r="N552">
        <f>Dataset_A!N552</f>
        <v>0</v>
      </c>
      <c r="O552">
        <f>Dataset_A!O552</f>
        <v>2</v>
      </c>
      <c r="P552">
        <f>Dataset_A!P552</f>
        <v>2</v>
      </c>
      <c r="Q552" t="str">
        <f t="shared" si="104"/>
        <v>REC-0551</v>
      </c>
      <c r="R552" s="62">
        <f t="shared" si="105"/>
        <v>40568.083333333336</v>
      </c>
      <c r="S552" t="str">
        <f t="shared" si="106"/>
        <v>Jan</v>
      </c>
      <c r="T552" t="str">
        <f>INDEX(Lookups!$B$39:$B$45,MATCH(H552,Lookups!$A$39:$A$45,0))</f>
        <v>Tue</v>
      </c>
      <c r="U552" t="str">
        <f t="shared" si="107"/>
        <v>Weekday</v>
      </c>
      <c r="V552" t="str">
        <f t="shared" si="108"/>
        <v>Working Day</v>
      </c>
      <c r="W552" t="str">
        <f t="shared" si="109"/>
        <v>Spring</v>
      </c>
      <c r="X552" t="str">
        <f t="shared" si="110"/>
        <v>Clear</v>
      </c>
      <c r="Y552" t="str">
        <f t="shared" si="111"/>
        <v>Night</v>
      </c>
      <c r="Z552" t="str">
        <f t="shared" si="112"/>
        <v>Cold</v>
      </c>
      <c r="AA552" t="str">
        <f t="shared" si="113"/>
        <v>Medium</v>
      </c>
      <c r="AB552" t="str">
        <f t="shared" si="114"/>
        <v>Off-Peak</v>
      </c>
      <c r="AC552" s="63">
        <f t="shared" si="115"/>
        <v>0</v>
      </c>
      <c r="AD552" t="str">
        <f>IF(P552&gt;=Stats!$C$30,"High",IF(P552&lt;=Stats!$C$29,"Low","Normal"))</f>
        <v>Low</v>
      </c>
      <c r="AE552">
        <f t="shared" si="116"/>
        <v>1</v>
      </c>
    </row>
    <row r="553" spans="1:31" x14ac:dyDescent="0.2">
      <c r="A553">
        <f>Dataset_A!A553</f>
        <v>552</v>
      </c>
      <c r="B553" s="61">
        <f>Dataset_A!B553</f>
        <v>40568</v>
      </c>
      <c r="C553">
        <f>Dataset_A!C553</f>
        <v>1</v>
      </c>
      <c r="D553">
        <f>Dataset_A!D553</f>
        <v>0</v>
      </c>
      <c r="E553">
        <f>Dataset_A!E553</f>
        <v>1</v>
      </c>
      <c r="F553">
        <f>Dataset_A!F553</f>
        <v>4</v>
      </c>
      <c r="G553" t="b">
        <f>Dataset_A!G553</f>
        <v>0</v>
      </c>
      <c r="H553">
        <f>Dataset_A!H553</f>
        <v>2</v>
      </c>
      <c r="I553">
        <f>Dataset_A!I553</f>
        <v>1</v>
      </c>
      <c r="J553" s="55">
        <f>Dataset_A!J553</f>
        <v>0.14000000000000001</v>
      </c>
      <c r="K553">
        <f>Dataset_A!K553</f>
        <v>0.16669999999999999</v>
      </c>
      <c r="L553">
        <f>Dataset_A!L553</f>
        <v>0.74</v>
      </c>
      <c r="M553">
        <f>Dataset_A!M553</f>
        <v>0.1045</v>
      </c>
      <c r="N553">
        <f>Dataset_A!N553</f>
        <v>0</v>
      </c>
      <c r="O553">
        <f>Dataset_A!O553</f>
        <v>1</v>
      </c>
      <c r="P553">
        <f>Dataset_A!P553</f>
        <v>1</v>
      </c>
      <c r="Q553" t="str">
        <f t="shared" si="104"/>
        <v>REC-0552</v>
      </c>
      <c r="R553" s="62">
        <f t="shared" si="105"/>
        <v>40568.166666666664</v>
      </c>
      <c r="S553" t="str">
        <f t="shared" si="106"/>
        <v>Jan</v>
      </c>
      <c r="T553" t="str">
        <f>INDEX(Lookups!$B$39:$B$45,MATCH(H553,Lookups!$A$39:$A$45,0))</f>
        <v>Tue</v>
      </c>
      <c r="U553" t="str">
        <f t="shared" si="107"/>
        <v>Weekday</v>
      </c>
      <c r="V553" t="str">
        <f t="shared" si="108"/>
        <v>Working Day</v>
      </c>
      <c r="W553" t="str">
        <f t="shared" si="109"/>
        <v>Spring</v>
      </c>
      <c r="X553" t="str">
        <f t="shared" si="110"/>
        <v>Clear</v>
      </c>
      <c r="Y553" t="str">
        <f t="shared" si="111"/>
        <v>Night</v>
      </c>
      <c r="Z553" t="str">
        <f t="shared" si="112"/>
        <v>Cold</v>
      </c>
      <c r="AA553" t="str">
        <f t="shared" si="113"/>
        <v>Medium</v>
      </c>
      <c r="AB553" t="str">
        <f t="shared" si="114"/>
        <v>Off-Peak</v>
      </c>
      <c r="AC553" s="63">
        <f t="shared" si="115"/>
        <v>0</v>
      </c>
      <c r="AD553" t="str">
        <f>IF(P553&gt;=Stats!$C$30,"High",IF(P553&lt;=Stats!$C$29,"Low","Normal"))</f>
        <v>Low</v>
      </c>
      <c r="AE553">
        <f t="shared" si="116"/>
        <v>1</v>
      </c>
    </row>
    <row r="554" spans="1:31" x14ac:dyDescent="0.2">
      <c r="A554">
        <f>Dataset_A!A554</f>
        <v>553</v>
      </c>
      <c r="B554" s="61">
        <f>Dataset_A!B554</f>
        <v>40568</v>
      </c>
      <c r="C554">
        <f>Dataset_A!C554</f>
        <v>1</v>
      </c>
      <c r="D554">
        <f>Dataset_A!D554</f>
        <v>0</v>
      </c>
      <c r="E554">
        <f>Dataset_A!E554</f>
        <v>1</v>
      </c>
      <c r="F554">
        <f>Dataset_A!F554</f>
        <v>5</v>
      </c>
      <c r="G554" t="b">
        <f>Dataset_A!G554</f>
        <v>0</v>
      </c>
      <c r="H554">
        <f>Dataset_A!H554</f>
        <v>2</v>
      </c>
      <c r="I554">
        <f>Dataset_A!I554</f>
        <v>1</v>
      </c>
      <c r="J554" s="55">
        <f>Dataset_A!J554</f>
        <v>0.14000000000000001</v>
      </c>
      <c r="K554">
        <f>Dataset_A!K554</f>
        <v>0.13639999999999999</v>
      </c>
      <c r="L554">
        <f>Dataset_A!L554</f>
        <v>0.74</v>
      </c>
      <c r="M554">
        <f>Dataset_A!M554</f>
        <v>0.22389999999999999</v>
      </c>
      <c r="N554">
        <f>Dataset_A!N554</f>
        <v>0</v>
      </c>
      <c r="O554">
        <f>Dataset_A!O554</f>
        <v>9</v>
      </c>
      <c r="P554">
        <f>Dataset_A!P554</f>
        <v>9</v>
      </c>
      <c r="Q554" t="str">
        <f t="shared" si="104"/>
        <v>REC-0553</v>
      </c>
      <c r="R554" s="62">
        <f t="shared" si="105"/>
        <v>40568.208333333336</v>
      </c>
      <c r="S554" t="str">
        <f t="shared" si="106"/>
        <v>Jan</v>
      </c>
      <c r="T554" t="str">
        <f>INDEX(Lookups!$B$39:$B$45,MATCH(H554,Lookups!$A$39:$A$45,0))</f>
        <v>Tue</v>
      </c>
      <c r="U554" t="str">
        <f t="shared" si="107"/>
        <v>Weekday</v>
      </c>
      <c r="V554" t="str">
        <f t="shared" si="108"/>
        <v>Working Day</v>
      </c>
      <c r="W554" t="str">
        <f t="shared" si="109"/>
        <v>Spring</v>
      </c>
      <c r="X554" t="str">
        <f t="shared" si="110"/>
        <v>Clear</v>
      </c>
      <c r="Y554" t="str">
        <f t="shared" si="111"/>
        <v>Night</v>
      </c>
      <c r="Z554" t="str">
        <f t="shared" si="112"/>
        <v>Cold</v>
      </c>
      <c r="AA554" t="str">
        <f t="shared" si="113"/>
        <v>Medium</v>
      </c>
      <c r="AB554" t="str">
        <f t="shared" si="114"/>
        <v>Off-Peak</v>
      </c>
      <c r="AC554" s="63">
        <f t="shared" si="115"/>
        <v>0</v>
      </c>
      <c r="AD554" t="str">
        <f>IF(P554&gt;=Stats!$C$30,"High",IF(P554&lt;=Stats!$C$29,"Low","Normal"))</f>
        <v>Low</v>
      </c>
      <c r="AE554">
        <f t="shared" si="116"/>
        <v>1</v>
      </c>
    </row>
    <row r="555" spans="1:31" x14ac:dyDescent="0.2">
      <c r="A555">
        <f>Dataset_A!A555</f>
        <v>554</v>
      </c>
      <c r="B555" s="61">
        <f>Dataset_A!B555</f>
        <v>40568</v>
      </c>
      <c r="C555">
        <f>Dataset_A!C555</f>
        <v>1</v>
      </c>
      <c r="D555">
        <f>Dataset_A!D555</f>
        <v>0</v>
      </c>
      <c r="E555">
        <f>Dataset_A!E555</f>
        <v>1</v>
      </c>
      <c r="F555">
        <f>Dataset_A!F555</f>
        <v>6</v>
      </c>
      <c r="G555" t="b">
        <f>Dataset_A!G555</f>
        <v>0</v>
      </c>
      <c r="H555">
        <f>Dataset_A!H555</f>
        <v>2</v>
      </c>
      <c r="I555">
        <f>Dataset_A!I555</f>
        <v>1</v>
      </c>
      <c r="J555" s="55">
        <f>Dataset_A!J555</f>
        <v>0.16</v>
      </c>
      <c r="K555">
        <f>Dataset_A!K555</f>
        <v>0.18179999999999999</v>
      </c>
      <c r="L555">
        <f>Dataset_A!L555</f>
        <v>0.74</v>
      </c>
      <c r="M555">
        <f>Dataset_A!M555</f>
        <v>0.1045</v>
      </c>
      <c r="N555">
        <f>Dataset_A!N555</f>
        <v>1</v>
      </c>
      <c r="O555">
        <f>Dataset_A!O555</f>
        <v>35</v>
      </c>
      <c r="P555">
        <f>Dataset_A!P555</f>
        <v>36</v>
      </c>
      <c r="Q555" t="str">
        <f t="shared" si="104"/>
        <v>REC-0554</v>
      </c>
      <c r="R555" s="62">
        <f t="shared" si="105"/>
        <v>40568.25</v>
      </c>
      <c r="S555" t="str">
        <f t="shared" si="106"/>
        <v>Jan</v>
      </c>
      <c r="T555" t="str">
        <f>INDEX(Lookups!$B$39:$B$45,MATCH(H555,Lookups!$A$39:$A$45,0))</f>
        <v>Tue</v>
      </c>
      <c r="U555" t="str">
        <f t="shared" si="107"/>
        <v>Weekday</v>
      </c>
      <c r="V555" t="str">
        <f t="shared" si="108"/>
        <v>Working Day</v>
      </c>
      <c r="W555" t="str">
        <f t="shared" si="109"/>
        <v>Spring</v>
      </c>
      <c r="X555" t="str">
        <f t="shared" si="110"/>
        <v>Clear</v>
      </c>
      <c r="Y555" t="str">
        <f t="shared" si="111"/>
        <v>Morning</v>
      </c>
      <c r="Z555" t="str">
        <f t="shared" si="112"/>
        <v>Cold</v>
      </c>
      <c r="AA555" t="str">
        <f t="shared" si="113"/>
        <v>Medium</v>
      </c>
      <c r="AB555" t="str">
        <f t="shared" si="114"/>
        <v>Off-Peak</v>
      </c>
      <c r="AC555" s="63">
        <f t="shared" si="115"/>
        <v>2.7777777777777776E-2</v>
      </c>
      <c r="AD555" t="str">
        <f>IF(P555&gt;=Stats!$C$30,"High",IF(P555&lt;=Stats!$C$29,"Low","Normal"))</f>
        <v>Normal</v>
      </c>
      <c r="AE555">
        <f t="shared" si="116"/>
        <v>1</v>
      </c>
    </row>
    <row r="556" spans="1:31" x14ac:dyDescent="0.2">
      <c r="A556">
        <f>Dataset_A!A556</f>
        <v>555</v>
      </c>
      <c r="B556" s="61">
        <f>Dataset_A!B556</f>
        <v>40568</v>
      </c>
      <c r="C556">
        <f>Dataset_A!C556</f>
        <v>1</v>
      </c>
      <c r="D556">
        <f>Dataset_A!D556</f>
        <v>0</v>
      </c>
      <c r="E556">
        <f>Dataset_A!E556</f>
        <v>1</v>
      </c>
      <c r="F556">
        <f>Dataset_A!F556</f>
        <v>7</v>
      </c>
      <c r="G556" t="b">
        <f>Dataset_A!G556</f>
        <v>0</v>
      </c>
      <c r="H556">
        <f>Dataset_A!H556</f>
        <v>2</v>
      </c>
      <c r="I556">
        <f>Dataset_A!I556</f>
        <v>1</v>
      </c>
      <c r="J556" s="55">
        <f>Dataset_A!J556</f>
        <v>0.16</v>
      </c>
      <c r="K556">
        <f>Dataset_A!K556</f>
        <v>0.1515</v>
      </c>
      <c r="L556">
        <f>Dataset_A!L556</f>
        <v>0.74</v>
      </c>
      <c r="M556">
        <f>Dataset_A!M556</f>
        <v>0.22389999999999999</v>
      </c>
      <c r="N556">
        <f>Dataset_A!N556</f>
        <v>5</v>
      </c>
      <c r="O556">
        <f>Dataset_A!O556</f>
        <v>103</v>
      </c>
      <c r="P556">
        <f>Dataset_A!P556</f>
        <v>108</v>
      </c>
      <c r="Q556" t="str">
        <f t="shared" si="104"/>
        <v>REC-0555</v>
      </c>
      <c r="R556" s="62">
        <f t="shared" si="105"/>
        <v>40568.291666666664</v>
      </c>
      <c r="S556" t="str">
        <f t="shared" si="106"/>
        <v>Jan</v>
      </c>
      <c r="T556" t="str">
        <f>INDEX(Lookups!$B$39:$B$45,MATCH(H556,Lookups!$A$39:$A$45,0))</f>
        <v>Tue</v>
      </c>
      <c r="U556" t="str">
        <f t="shared" si="107"/>
        <v>Weekday</v>
      </c>
      <c r="V556" t="str">
        <f t="shared" si="108"/>
        <v>Working Day</v>
      </c>
      <c r="W556" t="str">
        <f t="shared" si="109"/>
        <v>Spring</v>
      </c>
      <c r="X556" t="str">
        <f t="shared" si="110"/>
        <v>Clear</v>
      </c>
      <c r="Y556" t="str">
        <f t="shared" si="111"/>
        <v>Morning</v>
      </c>
      <c r="Z556" t="str">
        <f t="shared" si="112"/>
        <v>Cold</v>
      </c>
      <c r="AA556" t="str">
        <f t="shared" si="113"/>
        <v>Medium</v>
      </c>
      <c r="AB556" t="str">
        <f t="shared" si="114"/>
        <v>Peak</v>
      </c>
      <c r="AC556" s="63">
        <f t="shared" si="115"/>
        <v>4.6296296296296294E-2</v>
      </c>
      <c r="AD556" t="str">
        <f>IF(P556&gt;=Stats!$C$30,"High",IF(P556&lt;=Stats!$C$29,"Low","Normal"))</f>
        <v>High</v>
      </c>
      <c r="AE556">
        <f t="shared" si="116"/>
        <v>1</v>
      </c>
    </row>
    <row r="557" spans="1:31" x14ac:dyDescent="0.2">
      <c r="A557">
        <f>Dataset_A!A557</f>
        <v>556</v>
      </c>
      <c r="B557" s="61">
        <f>Dataset_A!B557</f>
        <v>40568</v>
      </c>
      <c r="C557">
        <f>Dataset_A!C557</f>
        <v>1</v>
      </c>
      <c r="D557">
        <f>Dataset_A!D557</f>
        <v>0</v>
      </c>
      <c r="E557">
        <f>Dataset_A!E557</f>
        <v>1</v>
      </c>
      <c r="F557">
        <f>Dataset_A!F557</f>
        <v>8</v>
      </c>
      <c r="G557" t="b">
        <f>Dataset_A!G557</f>
        <v>0</v>
      </c>
      <c r="H557">
        <f>Dataset_A!H557</f>
        <v>2</v>
      </c>
      <c r="I557">
        <f>Dataset_A!I557</f>
        <v>2</v>
      </c>
      <c r="J557" s="55">
        <f>Dataset_A!J557</f>
        <v>0.16</v>
      </c>
      <c r="K557">
        <f>Dataset_A!K557</f>
        <v>0.18179999999999999</v>
      </c>
      <c r="L557">
        <f>Dataset_A!L557</f>
        <v>0.74</v>
      </c>
      <c r="M557">
        <f>Dataset_A!M557</f>
        <v>0.1343</v>
      </c>
      <c r="N557">
        <f>Dataset_A!N557</f>
        <v>5</v>
      </c>
      <c r="O557">
        <f>Dataset_A!O557</f>
        <v>233</v>
      </c>
      <c r="P557">
        <f>Dataset_A!P557</f>
        <v>238</v>
      </c>
      <c r="Q557" t="str">
        <f t="shared" si="104"/>
        <v>REC-0556</v>
      </c>
      <c r="R557" s="62">
        <f t="shared" si="105"/>
        <v>40568.333333333336</v>
      </c>
      <c r="S557" t="str">
        <f t="shared" si="106"/>
        <v>Jan</v>
      </c>
      <c r="T557" t="str">
        <f>INDEX(Lookups!$B$39:$B$45,MATCH(H557,Lookups!$A$39:$A$45,0))</f>
        <v>Tue</v>
      </c>
      <c r="U557" t="str">
        <f t="shared" si="107"/>
        <v>Weekday</v>
      </c>
      <c r="V557" t="str">
        <f t="shared" si="108"/>
        <v>Working Day</v>
      </c>
      <c r="W557" t="str">
        <f t="shared" si="109"/>
        <v>Spring</v>
      </c>
      <c r="X557" t="str">
        <f t="shared" si="110"/>
        <v>Cloudy/Mist</v>
      </c>
      <c r="Y557" t="str">
        <f t="shared" si="111"/>
        <v>Morning</v>
      </c>
      <c r="Z557" t="str">
        <f t="shared" si="112"/>
        <v>Cold</v>
      </c>
      <c r="AA557" t="str">
        <f t="shared" si="113"/>
        <v>Medium</v>
      </c>
      <c r="AB557" t="str">
        <f t="shared" si="114"/>
        <v>Peak</v>
      </c>
      <c r="AC557" s="63">
        <f t="shared" si="115"/>
        <v>2.100840336134454E-2</v>
      </c>
      <c r="AD557" t="str">
        <f>IF(P557&gt;=Stats!$C$30,"High",IF(P557&lt;=Stats!$C$29,"Low","Normal"))</f>
        <v>High</v>
      </c>
      <c r="AE557">
        <f t="shared" si="116"/>
        <v>1</v>
      </c>
    </row>
    <row r="558" spans="1:31" x14ac:dyDescent="0.2">
      <c r="A558">
        <f>Dataset_A!A558</f>
        <v>557</v>
      </c>
      <c r="B558" s="61">
        <f>Dataset_A!B558</f>
        <v>40568</v>
      </c>
      <c r="C558">
        <f>Dataset_A!C558</f>
        <v>1</v>
      </c>
      <c r="D558">
        <f>Dataset_A!D558</f>
        <v>0</v>
      </c>
      <c r="E558">
        <f>Dataset_A!E558</f>
        <v>1</v>
      </c>
      <c r="F558">
        <f>Dataset_A!F558</f>
        <v>9</v>
      </c>
      <c r="G558" t="b">
        <f>Dataset_A!G558</f>
        <v>0</v>
      </c>
      <c r="H558">
        <f>Dataset_A!H558</f>
        <v>2</v>
      </c>
      <c r="I558">
        <f>Dataset_A!I558</f>
        <v>2</v>
      </c>
      <c r="J558" s="55">
        <f>Dataset_A!J558</f>
        <v>0.2</v>
      </c>
      <c r="K558">
        <f>Dataset_A!K558</f>
        <v>0.2273</v>
      </c>
      <c r="L558">
        <f>Dataset_A!L558</f>
        <v>0.64</v>
      </c>
      <c r="M558">
        <f>Dataset_A!M558</f>
        <v>8.9599999999999999E-2</v>
      </c>
      <c r="N558">
        <f>Dataset_A!N558</f>
        <v>10</v>
      </c>
      <c r="O558">
        <f>Dataset_A!O558</f>
        <v>134</v>
      </c>
      <c r="P558">
        <f>Dataset_A!P558</f>
        <v>144</v>
      </c>
      <c r="Q558" t="str">
        <f t="shared" si="104"/>
        <v>REC-0557</v>
      </c>
      <c r="R558" s="62">
        <f t="shared" si="105"/>
        <v>40568.375</v>
      </c>
      <c r="S558" t="str">
        <f t="shared" si="106"/>
        <v>Jan</v>
      </c>
      <c r="T558" t="str">
        <f>INDEX(Lookups!$B$39:$B$45,MATCH(H558,Lookups!$A$39:$A$45,0))</f>
        <v>Tue</v>
      </c>
      <c r="U558" t="str">
        <f t="shared" si="107"/>
        <v>Weekday</v>
      </c>
      <c r="V558" t="str">
        <f t="shared" si="108"/>
        <v>Working Day</v>
      </c>
      <c r="W558" t="str">
        <f t="shared" si="109"/>
        <v>Spring</v>
      </c>
      <c r="X558" t="str">
        <f t="shared" si="110"/>
        <v>Cloudy/Mist</v>
      </c>
      <c r="Y558" t="str">
        <f t="shared" si="111"/>
        <v>Morning</v>
      </c>
      <c r="Z558" t="str">
        <f t="shared" si="112"/>
        <v>Mild</v>
      </c>
      <c r="AA558" t="str">
        <f t="shared" si="113"/>
        <v>Medium</v>
      </c>
      <c r="AB558" t="str">
        <f t="shared" si="114"/>
        <v>Peak</v>
      </c>
      <c r="AC558" s="63">
        <f t="shared" si="115"/>
        <v>6.9444444444444448E-2</v>
      </c>
      <c r="AD558" t="str">
        <f>IF(P558&gt;=Stats!$C$30,"High",IF(P558&lt;=Stats!$C$29,"Low","Normal"))</f>
        <v>High</v>
      </c>
      <c r="AE558">
        <f t="shared" si="116"/>
        <v>1</v>
      </c>
    </row>
    <row r="559" spans="1:31" x14ac:dyDescent="0.2">
      <c r="A559">
        <f>Dataset_A!A559</f>
        <v>558</v>
      </c>
      <c r="B559" s="61">
        <f>Dataset_A!B559</f>
        <v>40568</v>
      </c>
      <c r="C559">
        <f>Dataset_A!C559</f>
        <v>1</v>
      </c>
      <c r="D559">
        <f>Dataset_A!D559</f>
        <v>0</v>
      </c>
      <c r="E559">
        <f>Dataset_A!E559</f>
        <v>1</v>
      </c>
      <c r="F559">
        <f>Dataset_A!F559</f>
        <v>10</v>
      </c>
      <c r="G559" t="b">
        <f>Dataset_A!G559</f>
        <v>0</v>
      </c>
      <c r="H559">
        <f>Dataset_A!H559</f>
        <v>2</v>
      </c>
      <c r="I559">
        <f>Dataset_A!I559</f>
        <v>2</v>
      </c>
      <c r="J559" s="55">
        <f>Dataset_A!J559</f>
        <v>0.22</v>
      </c>
      <c r="K559">
        <f>Dataset_A!K559</f>
        <v>0.2424</v>
      </c>
      <c r="L559">
        <f>Dataset_A!L559</f>
        <v>0.6</v>
      </c>
      <c r="M559">
        <f>Dataset_A!M559</f>
        <v>0.1045</v>
      </c>
      <c r="N559">
        <f>Dataset_A!N559</f>
        <v>6</v>
      </c>
      <c r="O559">
        <f>Dataset_A!O559</f>
        <v>49</v>
      </c>
      <c r="P559">
        <f>Dataset_A!P559</f>
        <v>55</v>
      </c>
      <c r="Q559" t="str">
        <f t="shared" si="104"/>
        <v>REC-0558</v>
      </c>
      <c r="R559" s="62">
        <f t="shared" si="105"/>
        <v>40568.416666666664</v>
      </c>
      <c r="S559" t="str">
        <f t="shared" si="106"/>
        <v>Jan</v>
      </c>
      <c r="T559" t="str">
        <f>INDEX(Lookups!$B$39:$B$45,MATCH(H559,Lookups!$A$39:$A$45,0))</f>
        <v>Tue</v>
      </c>
      <c r="U559" t="str">
        <f t="shared" si="107"/>
        <v>Weekday</v>
      </c>
      <c r="V559" t="str">
        <f t="shared" si="108"/>
        <v>Working Day</v>
      </c>
      <c r="W559" t="str">
        <f t="shared" si="109"/>
        <v>Spring</v>
      </c>
      <c r="X559" t="str">
        <f t="shared" si="110"/>
        <v>Cloudy/Mist</v>
      </c>
      <c r="Y559" t="str">
        <f t="shared" si="111"/>
        <v>Morning</v>
      </c>
      <c r="Z559" t="str">
        <f t="shared" si="112"/>
        <v>Mild</v>
      </c>
      <c r="AA559" t="str">
        <f t="shared" si="113"/>
        <v>Medium</v>
      </c>
      <c r="AB559" t="str">
        <f t="shared" si="114"/>
        <v>Off-Peak</v>
      </c>
      <c r="AC559" s="63">
        <f t="shared" si="115"/>
        <v>0.10909090909090909</v>
      </c>
      <c r="AD559" t="str">
        <f>IF(P559&gt;=Stats!$C$30,"High",IF(P559&lt;=Stats!$C$29,"Low","Normal"))</f>
        <v>Normal</v>
      </c>
      <c r="AE559">
        <f t="shared" si="116"/>
        <v>1</v>
      </c>
    </row>
    <row r="560" spans="1:31" x14ac:dyDescent="0.2">
      <c r="A560">
        <f>Dataset_A!A560</f>
        <v>559</v>
      </c>
      <c r="B560" s="61">
        <f>Dataset_A!B560</f>
        <v>40568</v>
      </c>
      <c r="C560">
        <f>Dataset_A!C560</f>
        <v>1</v>
      </c>
      <c r="D560">
        <f>Dataset_A!D560</f>
        <v>0</v>
      </c>
      <c r="E560">
        <f>Dataset_A!E560</f>
        <v>1</v>
      </c>
      <c r="F560">
        <f>Dataset_A!F560</f>
        <v>11</v>
      </c>
      <c r="G560" t="b">
        <f>Dataset_A!G560</f>
        <v>0</v>
      </c>
      <c r="H560">
        <f>Dataset_A!H560</f>
        <v>2</v>
      </c>
      <c r="I560">
        <f>Dataset_A!I560</f>
        <v>2</v>
      </c>
      <c r="J560" s="55">
        <f>Dataset_A!J560</f>
        <v>0.24</v>
      </c>
      <c r="K560">
        <f>Dataset_A!K560</f>
        <v>0.2424</v>
      </c>
      <c r="L560">
        <f>Dataset_A!L560</f>
        <v>0.6</v>
      </c>
      <c r="M560">
        <f>Dataset_A!M560</f>
        <v>0.1343</v>
      </c>
      <c r="N560">
        <f>Dataset_A!N560</f>
        <v>6</v>
      </c>
      <c r="O560">
        <f>Dataset_A!O560</f>
        <v>55</v>
      </c>
      <c r="P560">
        <f>Dataset_A!P560</f>
        <v>61</v>
      </c>
      <c r="Q560" t="str">
        <f t="shared" si="104"/>
        <v>REC-0559</v>
      </c>
      <c r="R560" s="62">
        <f t="shared" si="105"/>
        <v>40568.458333333336</v>
      </c>
      <c r="S560" t="str">
        <f t="shared" si="106"/>
        <v>Jan</v>
      </c>
      <c r="T560" t="str">
        <f>INDEX(Lookups!$B$39:$B$45,MATCH(H560,Lookups!$A$39:$A$45,0))</f>
        <v>Tue</v>
      </c>
      <c r="U560" t="str">
        <f t="shared" si="107"/>
        <v>Weekday</v>
      </c>
      <c r="V560" t="str">
        <f t="shared" si="108"/>
        <v>Working Day</v>
      </c>
      <c r="W560" t="str">
        <f t="shared" si="109"/>
        <v>Spring</v>
      </c>
      <c r="X560" t="str">
        <f t="shared" si="110"/>
        <v>Cloudy/Mist</v>
      </c>
      <c r="Y560" t="str">
        <f t="shared" si="111"/>
        <v>Morning</v>
      </c>
      <c r="Z560" t="str">
        <f t="shared" si="112"/>
        <v>Mild</v>
      </c>
      <c r="AA560" t="str">
        <f t="shared" si="113"/>
        <v>Medium</v>
      </c>
      <c r="AB560" t="str">
        <f t="shared" si="114"/>
        <v>Off-Peak</v>
      </c>
      <c r="AC560" s="63">
        <f t="shared" si="115"/>
        <v>9.8360655737704916E-2</v>
      </c>
      <c r="AD560" t="str">
        <f>IF(P560&gt;=Stats!$C$30,"High",IF(P560&lt;=Stats!$C$29,"Low","Normal"))</f>
        <v>Normal</v>
      </c>
      <c r="AE560">
        <f t="shared" si="116"/>
        <v>1</v>
      </c>
    </row>
    <row r="561" spans="1:31" x14ac:dyDescent="0.2">
      <c r="A561">
        <f>Dataset_A!A561</f>
        <v>560</v>
      </c>
      <c r="B561" s="61">
        <f>Dataset_A!B561</f>
        <v>40568</v>
      </c>
      <c r="C561">
        <f>Dataset_A!C561</f>
        <v>1</v>
      </c>
      <c r="D561">
        <f>Dataset_A!D561</f>
        <v>0</v>
      </c>
      <c r="E561">
        <f>Dataset_A!E561</f>
        <v>1</v>
      </c>
      <c r="F561">
        <f>Dataset_A!F561</f>
        <v>12</v>
      </c>
      <c r="G561" t="b">
        <f>Dataset_A!G561</f>
        <v>0</v>
      </c>
      <c r="H561">
        <f>Dataset_A!H561</f>
        <v>2</v>
      </c>
      <c r="I561">
        <f>Dataset_A!I561</f>
        <v>2</v>
      </c>
      <c r="J561" s="55">
        <f>Dataset_A!J561</f>
        <v>0.26</v>
      </c>
      <c r="K561">
        <f>Dataset_A!K561</f>
        <v>0.28789999999999999</v>
      </c>
      <c r="L561">
        <f>Dataset_A!L561</f>
        <v>0.56000000000000005</v>
      </c>
      <c r="M561">
        <f>Dataset_A!M561</f>
        <v>8.9599999999999999E-2</v>
      </c>
      <c r="N561">
        <f>Dataset_A!N561</f>
        <v>21</v>
      </c>
      <c r="O561">
        <f>Dataset_A!O561</f>
        <v>85</v>
      </c>
      <c r="P561">
        <f>Dataset_A!P561</f>
        <v>106</v>
      </c>
      <c r="Q561" t="str">
        <f t="shared" si="104"/>
        <v>REC-0560</v>
      </c>
      <c r="R561" s="62">
        <f t="shared" si="105"/>
        <v>40568.5</v>
      </c>
      <c r="S561" t="str">
        <f t="shared" si="106"/>
        <v>Jan</v>
      </c>
      <c r="T561" t="str">
        <f>INDEX(Lookups!$B$39:$B$45,MATCH(H561,Lookups!$A$39:$A$45,0))</f>
        <v>Tue</v>
      </c>
      <c r="U561" t="str">
        <f t="shared" si="107"/>
        <v>Weekday</v>
      </c>
      <c r="V561" t="str">
        <f t="shared" si="108"/>
        <v>Working Day</v>
      </c>
      <c r="W561" t="str">
        <f t="shared" si="109"/>
        <v>Spring</v>
      </c>
      <c r="X561" t="str">
        <f t="shared" si="110"/>
        <v>Cloudy/Mist</v>
      </c>
      <c r="Y561" t="str">
        <f t="shared" si="111"/>
        <v>Afternoon</v>
      </c>
      <c r="Z561" t="str">
        <f t="shared" si="112"/>
        <v>Mild</v>
      </c>
      <c r="AA561" t="str">
        <f t="shared" si="113"/>
        <v>Medium</v>
      </c>
      <c r="AB561" t="str">
        <f t="shared" si="114"/>
        <v>Off-Peak</v>
      </c>
      <c r="AC561" s="63">
        <f t="shared" si="115"/>
        <v>0.19811320754716982</v>
      </c>
      <c r="AD561" t="str">
        <f>IF(P561&gt;=Stats!$C$30,"High",IF(P561&lt;=Stats!$C$29,"Low","Normal"))</f>
        <v>High</v>
      </c>
      <c r="AE561">
        <f t="shared" si="116"/>
        <v>1</v>
      </c>
    </row>
    <row r="562" spans="1:31" x14ac:dyDescent="0.2">
      <c r="A562">
        <f>Dataset_A!A562</f>
        <v>561</v>
      </c>
      <c r="B562" s="61">
        <f>Dataset_A!B562</f>
        <v>40568</v>
      </c>
      <c r="C562">
        <f>Dataset_A!C562</f>
        <v>1</v>
      </c>
      <c r="D562">
        <f>Dataset_A!D562</f>
        <v>0</v>
      </c>
      <c r="E562">
        <f>Dataset_A!E562</f>
        <v>1</v>
      </c>
      <c r="F562">
        <f>Dataset_A!F562</f>
        <v>13</v>
      </c>
      <c r="G562" t="b">
        <f>Dataset_A!G562</f>
        <v>0</v>
      </c>
      <c r="H562">
        <f>Dataset_A!H562</f>
        <v>2</v>
      </c>
      <c r="I562">
        <f>Dataset_A!I562</f>
        <v>2</v>
      </c>
      <c r="J562" s="55">
        <f>Dataset_A!J562</f>
        <v>0.26</v>
      </c>
      <c r="K562">
        <f>Dataset_A!K562</f>
        <v>0.2727</v>
      </c>
      <c r="L562">
        <f>Dataset_A!L562</f>
        <v>0.56000000000000005</v>
      </c>
      <c r="M562">
        <f>Dataset_A!M562</f>
        <v>0.1343</v>
      </c>
      <c r="N562">
        <f>Dataset_A!N562</f>
        <v>21</v>
      </c>
      <c r="O562">
        <f>Dataset_A!O562</f>
        <v>72</v>
      </c>
      <c r="P562">
        <f>Dataset_A!P562</f>
        <v>93</v>
      </c>
      <c r="Q562" t="str">
        <f t="shared" si="104"/>
        <v>REC-0561</v>
      </c>
      <c r="R562" s="62">
        <f t="shared" si="105"/>
        <v>40568.541666666664</v>
      </c>
      <c r="S562" t="str">
        <f t="shared" si="106"/>
        <v>Jan</v>
      </c>
      <c r="T562" t="str">
        <f>INDEX(Lookups!$B$39:$B$45,MATCH(H562,Lookups!$A$39:$A$45,0))</f>
        <v>Tue</v>
      </c>
      <c r="U562" t="str">
        <f t="shared" si="107"/>
        <v>Weekday</v>
      </c>
      <c r="V562" t="str">
        <f t="shared" si="108"/>
        <v>Working Day</v>
      </c>
      <c r="W562" t="str">
        <f t="shared" si="109"/>
        <v>Spring</v>
      </c>
      <c r="X562" t="str">
        <f t="shared" si="110"/>
        <v>Cloudy/Mist</v>
      </c>
      <c r="Y562" t="str">
        <f t="shared" si="111"/>
        <v>Afternoon</v>
      </c>
      <c r="Z562" t="str">
        <f t="shared" si="112"/>
        <v>Mild</v>
      </c>
      <c r="AA562" t="str">
        <f t="shared" si="113"/>
        <v>Medium</v>
      </c>
      <c r="AB562" t="str">
        <f t="shared" si="114"/>
        <v>Off-Peak</v>
      </c>
      <c r="AC562" s="63">
        <f t="shared" si="115"/>
        <v>0.22580645161290322</v>
      </c>
      <c r="AD562" t="str">
        <f>IF(P562&gt;=Stats!$C$30,"High",IF(P562&lt;=Stats!$C$29,"Low","Normal"))</f>
        <v>High</v>
      </c>
      <c r="AE562">
        <f t="shared" si="116"/>
        <v>1</v>
      </c>
    </row>
    <row r="563" spans="1:31" x14ac:dyDescent="0.2">
      <c r="A563">
        <f>Dataset_A!A563</f>
        <v>562</v>
      </c>
      <c r="B563" s="61">
        <f>Dataset_A!B563</f>
        <v>40568</v>
      </c>
      <c r="C563">
        <f>Dataset_A!C563</f>
        <v>1</v>
      </c>
      <c r="D563">
        <f>Dataset_A!D563</f>
        <v>0</v>
      </c>
      <c r="E563">
        <f>Dataset_A!E563</f>
        <v>1</v>
      </c>
      <c r="F563">
        <f>Dataset_A!F563</f>
        <v>14</v>
      </c>
      <c r="G563" t="b">
        <f>Dataset_A!G563</f>
        <v>0</v>
      </c>
      <c r="H563">
        <f>Dataset_A!H563</f>
        <v>2</v>
      </c>
      <c r="I563">
        <f>Dataset_A!I563</f>
        <v>2</v>
      </c>
      <c r="J563" s="55">
        <f>Dataset_A!J563</f>
        <v>0.3</v>
      </c>
      <c r="K563">
        <f>Dataset_A!K563</f>
        <v>0.33329999999999999</v>
      </c>
      <c r="L563">
        <f>Dataset_A!L563</f>
        <v>0.45</v>
      </c>
      <c r="M563">
        <f>Dataset_A!M563</f>
        <v>0</v>
      </c>
      <c r="N563">
        <f>Dataset_A!N563</f>
        <v>11</v>
      </c>
      <c r="O563">
        <f>Dataset_A!O563</f>
        <v>57</v>
      </c>
      <c r="P563">
        <f>Dataset_A!P563</f>
        <v>68</v>
      </c>
      <c r="Q563" t="str">
        <f t="shared" si="104"/>
        <v>REC-0562</v>
      </c>
      <c r="R563" s="62">
        <f t="shared" si="105"/>
        <v>40568.583333333336</v>
      </c>
      <c r="S563" t="str">
        <f t="shared" si="106"/>
        <v>Jan</v>
      </c>
      <c r="T563" t="str">
        <f>INDEX(Lookups!$B$39:$B$45,MATCH(H563,Lookups!$A$39:$A$45,0))</f>
        <v>Tue</v>
      </c>
      <c r="U563" t="str">
        <f t="shared" si="107"/>
        <v>Weekday</v>
      </c>
      <c r="V563" t="str">
        <f t="shared" si="108"/>
        <v>Working Day</v>
      </c>
      <c r="W563" t="str">
        <f t="shared" si="109"/>
        <v>Spring</v>
      </c>
      <c r="X563" t="str">
        <f t="shared" si="110"/>
        <v>Cloudy/Mist</v>
      </c>
      <c r="Y563" t="str">
        <f t="shared" si="111"/>
        <v>Afternoon</v>
      </c>
      <c r="Z563" t="str">
        <f t="shared" si="112"/>
        <v>Warm</v>
      </c>
      <c r="AA563" t="str">
        <f t="shared" si="113"/>
        <v>Low</v>
      </c>
      <c r="AB563" t="str">
        <f t="shared" si="114"/>
        <v>Off-Peak</v>
      </c>
      <c r="AC563" s="63">
        <f t="shared" si="115"/>
        <v>0.16176470588235295</v>
      </c>
      <c r="AD563" t="str">
        <f>IF(P563&gt;=Stats!$C$30,"High",IF(P563&lt;=Stats!$C$29,"Low","Normal"))</f>
        <v>Normal</v>
      </c>
      <c r="AE563">
        <f t="shared" si="116"/>
        <v>1</v>
      </c>
    </row>
    <row r="564" spans="1:31" x14ac:dyDescent="0.2">
      <c r="A564">
        <f>Dataset_A!A564</f>
        <v>563</v>
      </c>
      <c r="B564" s="61">
        <f>Dataset_A!B564</f>
        <v>40568</v>
      </c>
      <c r="C564">
        <f>Dataset_A!C564</f>
        <v>1</v>
      </c>
      <c r="D564">
        <f>Dataset_A!D564</f>
        <v>0</v>
      </c>
      <c r="E564">
        <f>Dataset_A!E564</f>
        <v>1</v>
      </c>
      <c r="F564">
        <f>Dataset_A!F564</f>
        <v>15</v>
      </c>
      <c r="G564" t="b">
        <f>Dataset_A!G564</f>
        <v>0</v>
      </c>
      <c r="H564">
        <f>Dataset_A!H564</f>
        <v>2</v>
      </c>
      <c r="I564">
        <f>Dataset_A!I564</f>
        <v>2</v>
      </c>
      <c r="J564" s="55">
        <f>Dataset_A!J564</f>
        <v>0.32</v>
      </c>
      <c r="K564">
        <f>Dataset_A!K564</f>
        <v>0.34849999999999998</v>
      </c>
      <c r="L564">
        <f>Dataset_A!L564</f>
        <v>0.42</v>
      </c>
      <c r="M564">
        <f>Dataset_A!M564</f>
        <v>0</v>
      </c>
      <c r="N564">
        <f>Dataset_A!N564</f>
        <v>21</v>
      </c>
      <c r="O564">
        <f>Dataset_A!O564</f>
        <v>63</v>
      </c>
      <c r="P564">
        <f>Dataset_A!P564</f>
        <v>84</v>
      </c>
      <c r="Q564" t="str">
        <f t="shared" si="104"/>
        <v>REC-0563</v>
      </c>
      <c r="R564" s="62">
        <f t="shared" si="105"/>
        <v>40568.625</v>
      </c>
      <c r="S564" t="str">
        <f t="shared" si="106"/>
        <v>Jan</v>
      </c>
      <c r="T564" t="str">
        <f>INDEX(Lookups!$B$39:$B$45,MATCH(H564,Lookups!$A$39:$A$45,0))</f>
        <v>Tue</v>
      </c>
      <c r="U564" t="str">
        <f t="shared" si="107"/>
        <v>Weekday</v>
      </c>
      <c r="V564" t="str">
        <f t="shared" si="108"/>
        <v>Working Day</v>
      </c>
      <c r="W564" t="str">
        <f t="shared" si="109"/>
        <v>Spring</v>
      </c>
      <c r="X564" t="str">
        <f t="shared" si="110"/>
        <v>Cloudy/Mist</v>
      </c>
      <c r="Y564" t="str">
        <f t="shared" si="111"/>
        <v>Afternoon</v>
      </c>
      <c r="Z564" t="str">
        <f t="shared" si="112"/>
        <v>Warm</v>
      </c>
      <c r="AA564" t="str">
        <f t="shared" si="113"/>
        <v>Low</v>
      </c>
      <c r="AB564" t="str">
        <f t="shared" si="114"/>
        <v>Off-Peak</v>
      </c>
      <c r="AC564" s="63">
        <f t="shared" si="115"/>
        <v>0.25</v>
      </c>
      <c r="AD564" t="str">
        <f>IF(P564&gt;=Stats!$C$30,"High",IF(P564&lt;=Stats!$C$29,"Low","Normal"))</f>
        <v>High</v>
      </c>
      <c r="AE564">
        <f t="shared" si="116"/>
        <v>1</v>
      </c>
    </row>
    <row r="565" spans="1:31" x14ac:dyDescent="0.2">
      <c r="A565">
        <f>Dataset_A!A565</f>
        <v>564</v>
      </c>
      <c r="B565" s="61">
        <f>Dataset_A!B565</f>
        <v>40568</v>
      </c>
      <c r="C565">
        <f>Dataset_A!C565</f>
        <v>1</v>
      </c>
      <c r="D565">
        <f>Dataset_A!D565</f>
        <v>0</v>
      </c>
      <c r="E565">
        <f>Dataset_A!E565</f>
        <v>1</v>
      </c>
      <c r="F565">
        <f>Dataset_A!F565</f>
        <v>16</v>
      </c>
      <c r="G565" t="b">
        <f>Dataset_A!G565</f>
        <v>0</v>
      </c>
      <c r="H565">
        <f>Dataset_A!H565</f>
        <v>2</v>
      </c>
      <c r="I565">
        <f>Dataset_A!I565</f>
        <v>2</v>
      </c>
      <c r="J565" s="55">
        <f>Dataset_A!J565</f>
        <v>0.32</v>
      </c>
      <c r="K565">
        <f>Dataset_A!K565</f>
        <v>0.34849999999999998</v>
      </c>
      <c r="L565">
        <f>Dataset_A!L565</f>
        <v>0.42</v>
      </c>
      <c r="M565">
        <f>Dataset_A!M565</f>
        <v>0</v>
      </c>
      <c r="N565">
        <f>Dataset_A!N565</f>
        <v>14</v>
      </c>
      <c r="O565">
        <f>Dataset_A!O565</f>
        <v>102</v>
      </c>
      <c r="P565">
        <f>Dataset_A!P565</f>
        <v>116</v>
      </c>
      <c r="Q565" t="str">
        <f t="shared" si="104"/>
        <v>REC-0564</v>
      </c>
      <c r="R565" s="62">
        <f t="shared" si="105"/>
        <v>40568.666666666664</v>
      </c>
      <c r="S565" t="str">
        <f t="shared" si="106"/>
        <v>Jan</v>
      </c>
      <c r="T565" t="str">
        <f>INDEX(Lookups!$B$39:$B$45,MATCH(H565,Lookups!$A$39:$A$45,0))</f>
        <v>Tue</v>
      </c>
      <c r="U565" t="str">
        <f t="shared" si="107"/>
        <v>Weekday</v>
      </c>
      <c r="V565" t="str">
        <f t="shared" si="108"/>
        <v>Working Day</v>
      </c>
      <c r="W565" t="str">
        <f t="shared" si="109"/>
        <v>Spring</v>
      </c>
      <c r="X565" t="str">
        <f t="shared" si="110"/>
        <v>Cloudy/Mist</v>
      </c>
      <c r="Y565" t="str">
        <f t="shared" si="111"/>
        <v>Afternoon</v>
      </c>
      <c r="Z565" t="str">
        <f t="shared" si="112"/>
        <v>Warm</v>
      </c>
      <c r="AA565" t="str">
        <f t="shared" si="113"/>
        <v>Low</v>
      </c>
      <c r="AB565" t="str">
        <f t="shared" si="114"/>
        <v>Peak</v>
      </c>
      <c r="AC565" s="63">
        <f t="shared" si="115"/>
        <v>0.1206896551724138</v>
      </c>
      <c r="AD565" t="str">
        <f>IF(P565&gt;=Stats!$C$30,"High",IF(P565&lt;=Stats!$C$29,"Low","Normal"))</f>
        <v>High</v>
      </c>
      <c r="AE565">
        <f t="shared" si="116"/>
        <v>1</v>
      </c>
    </row>
    <row r="566" spans="1:31" x14ac:dyDescent="0.2">
      <c r="A566">
        <f>Dataset_A!A566</f>
        <v>565</v>
      </c>
      <c r="B566" s="61">
        <f>Dataset_A!B566</f>
        <v>40568</v>
      </c>
      <c r="C566">
        <f>Dataset_A!C566</f>
        <v>1</v>
      </c>
      <c r="D566">
        <f>Dataset_A!D566</f>
        <v>0</v>
      </c>
      <c r="E566">
        <f>Dataset_A!E566</f>
        <v>1</v>
      </c>
      <c r="F566">
        <f>Dataset_A!F566</f>
        <v>17</v>
      </c>
      <c r="G566" t="b">
        <f>Dataset_A!G566</f>
        <v>0</v>
      </c>
      <c r="H566">
        <f>Dataset_A!H566</f>
        <v>2</v>
      </c>
      <c r="I566">
        <f>Dataset_A!I566</f>
        <v>1</v>
      </c>
      <c r="J566" s="55">
        <f>Dataset_A!J566</f>
        <v>0.3</v>
      </c>
      <c r="K566">
        <f>Dataset_A!K566</f>
        <v>0.33329999999999999</v>
      </c>
      <c r="L566">
        <f>Dataset_A!L566</f>
        <v>0.45</v>
      </c>
      <c r="M566">
        <f>Dataset_A!M566</f>
        <v>0</v>
      </c>
      <c r="N566">
        <f>Dataset_A!N566</f>
        <v>14</v>
      </c>
      <c r="O566">
        <f>Dataset_A!O566</f>
        <v>208</v>
      </c>
      <c r="P566">
        <f>Dataset_A!P566</f>
        <v>222</v>
      </c>
      <c r="Q566" t="str">
        <f t="shared" si="104"/>
        <v>REC-0565</v>
      </c>
      <c r="R566" s="62">
        <f t="shared" si="105"/>
        <v>40568.708333333336</v>
      </c>
      <c r="S566" t="str">
        <f t="shared" si="106"/>
        <v>Jan</v>
      </c>
      <c r="T566" t="str">
        <f>INDEX(Lookups!$B$39:$B$45,MATCH(H566,Lookups!$A$39:$A$45,0))</f>
        <v>Tue</v>
      </c>
      <c r="U566" t="str">
        <f t="shared" si="107"/>
        <v>Weekday</v>
      </c>
      <c r="V566" t="str">
        <f t="shared" si="108"/>
        <v>Working Day</v>
      </c>
      <c r="W566" t="str">
        <f t="shared" si="109"/>
        <v>Spring</v>
      </c>
      <c r="X566" t="str">
        <f t="shared" si="110"/>
        <v>Clear</v>
      </c>
      <c r="Y566" t="str">
        <f t="shared" si="111"/>
        <v>Evening</v>
      </c>
      <c r="Z566" t="str">
        <f t="shared" si="112"/>
        <v>Warm</v>
      </c>
      <c r="AA566" t="str">
        <f t="shared" si="113"/>
        <v>Low</v>
      </c>
      <c r="AB566" t="str">
        <f t="shared" si="114"/>
        <v>Peak</v>
      </c>
      <c r="AC566" s="63">
        <f t="shared" si="115"/>
        <v>6.3063063063063057E-2</v>
      </c>
      <c r="AD566" t="str">
        <f>IF(P566&gt;=Stats!$C$30,"High",IF(P566&lt;=Stats!$C$29,"Low","Normal"))</f>
        <v>High</v>
      </c>
      <c r="AE566">
        <f t="shared" si="116"/>
        <v>1</v>
      </c>
    </row>
    <row r="567" spans="1:31" x14ac:dyDescent="0.2">
      <c r="A567">
        <f>Dataset_A!A567</f>
        <v>566</v>
      </c>
      <c r="B567" s="61">
        <f>Dataset_A!B567</f>
        <v>40568</v>
      </c>
      <c r="C567">
        <f>Dataset_A!C567</f>
        <v>1</v>
      </c>
      <c r="D567">
        <f>Dataset_A!D567</f>
        <v>0</v>
      </c>
      <c r="E567">
        <f>Dataset_A!E567</f>
        <v>1</v>
      </c>
      <c r="F567">
        <f>Dataset_A!F567</f>
        <v>18</v>
      </c>
      <c r="G567" t="b">
        <f>Dataset_A!G567</f>
        <v>0</v>
      </c>
      <c r="H567">
        <f>Dataset_A!H567</f>
        <v>2</v>
      </c>
      <c r="I567">
        <f>Dataset_A!I567</f>
        <v>2</v>
      </c>
      <c r="J567" s="55">
        <f>Dataset_A!J567</f>
        <v>0.3</v>
      </c>
      <c r="K567">
        <f>Dataset_A!K567</f>
        <v>0.31819999999999998</v>
      </c>
      <c r="L567">
        <f>Dataset_A!L567</f>
        <v>0.49</v>
      </c>
      <c r="M567">
        <f>Dataset_A!M567</f>
        <v>8.9599999999999999E-2</v>
      </c>
      <c r="N567">
        <f>Dataset_A!N567</f>
        <v>7</v>
      </c>
      <c r="O567">
        <f>Dataset_A!O567</f>
        <v>218</v>
      </c>
      <c r="P567">
        <f>Dataset_A!P567</f>
        <v>225</v>
      </c>
      <c r="Q567" t="str">
        <f t="shared" si="104"/>
        <v>REC-0566</v>
      </c>
      <c r="R567" s="62">
        <f t="shared" si="105"/>
        <v>40568.75</v>
      </c>
      <c r="S567" t="str">
        <f t="shared" si="106"/>
        <v>Jan</v>
      </c>
      <c r="T567" t="str">
        <f>INDEX(Lookups!$B$39:$B$45,MATCH(H567,Lookups!$A$39:$A$45,0))</f>
        <v>Tue</v>
      </c>
      <c r="U567" t="str">
        <f t="shared" si="107"/>
        <v>Weekday</v>
      </c>
      <c r="V567" t="str">
        <f t="shared" si="108"/>
        <v>Working Day</v>
      </c>
      <c r="W567" t="str">
        <f t="shared" si="109"/>
        <v>Spring</v>
      </c>
      <c r="X567" t="str">
        <f t="shared" si="110"/>
        <v>Cloudy/Mist</v>
      </c>
      <c r="Y567" t="str">
        <f t="shared" si="111"/>
        <v>Evening</v>
      </c>
      <c r="Z567" t="str">
        <f t="shared" si="112"/>
        <v>Warm</v>
      </c>
      <c r="AA567" t="str">
        <f t="shared" si="113"/>
        <v>Low</v>
      </c>
      <c r="AB567" t="str">
        <f t="shared" si="114"/>
        <v>Peak</v>
      </c>
      <c r="AC567" s="63">
        <f t="shared" si="115"/>
        <v>3.111111111111111E-2</v>
      </c>
      <c r="AD567" t="str">
        <f>IF(P567&gt;=Stats!$C$30,"High",IF(P567&lt;=Stats!$C$29,"Low","Normal"))</f>
        <v>High</v>
      </c>
      <c r="AE567">
        <f t="shared" si="116"/>
        <v>1</v>
      </c>
    </row>
    <row r="568" spans="1:31" x14ac:dyDescent="0.2">
      <c r="A568">
        <f>Dataset_A!A568</f>
        <v>567</v>
      </c>
      <c r="B568" s="61">
        <f>Dataset_A!B568</f>
        <v>40568</v>
      </c>
      <c r="C568">
        <f>Dataset_A!C568</f>
        <v>1</v>
      </c>
      <c r="D568">
        <f>Dataset_A!D568</f>
        <v>0</v>
      </c>
      <c r="E568">
        <f>Dataset_A!E568</f>
        <v>1</v>
      </c>
      <c r="F568">
        <f>Dataset_A!F568</f>
        <v>19</v>
      </c>
      <c r="G568" t="b">
        <f>Dataset_A!G568</f>
        <v>0</v>
      </c>
      <c r="H568">
        <f>Dataset_A!H568</f>
        <v>2</v>
      </c>
      <c r="I568">
        <f>Dataset_A!I568</f>
        <v>2</v>
      </c>
      <c r="J568" s="55">
        <f>Dataset_A!J568</f>
        <v>0.26</v>
      </c>
      <c r="K568">
        <f>Dataset_A!K568</f>
        <v>0.2576</v>
      </c>
      <c r="L568">
        <f>Dataset_A!L568</f>
        <v>0.65</v>
      </c>
      <c r="M568">
        <f>Dataset_A!M568</f>
        <v>0.16420000000000001</v>
      </c>
      <c r="N568">
        <f>Dataset_A!N568</f>
        <v>13</v>
      </c>
      <c r="O568">
        <f>Dataset_A!O568</f>
        <v>133</v>
      </c>
      <c r="P568">
        <f>Dataset_A!P568</f>
        <v>146</v>
      </c>
      <c r="Q568" t="str">
        <f t="shared" si="104"/>
        <v>REC-0567</v>
      </c>
      <c r="R568" s="62">
        <f t="shared" si="105"/>
        <v>40568.791666666664</v>
      </c>
      <c r="S568" t="str">
        <f t="shared" si="106"/>
        <v>Jan</v>
      </c>
      <c r="T568" t="str">
        <f>INDEX(Lookups!$B$39:$B$45,MATCH(H568,Lookups!$A$39:$A$45,0))</f>
        <v>Tue</v>
      </c>
      <c r="U568" t="str">
        <f t="shared" si="107"/>
        <v>Weekday</v>
      </c>
      <c r="V568" t="str">
        <f t="shared" si="108"/>
        <v>Working Day</v>
      </c>
      <c r="W568" t="str">
        <f t="shared" si="109"/>
        <v>Spring</v>
      </c>
      <c r="X568" t="str">
        <f t="shared" si="110"/>
        <v>Cloudy/Mist</v>
      </c>
      <c r="Y568" t="str">
        <f t="shared" si="111"/>
        <v>Evening</v>
      </c>
      <c r="Z568" t="str">
        <f t="shared" si="112"/>
        <v>Mild</v>
      </c>
      <c r="AA568" t="str">
        <f t="shared" si="113"/>
        <v>Medium</v>
      </c>
      <c r="AB568" t="str">
        <f t="shared" si="114"/>
        <v>Peak</v>
      </c>
      <c r="AC568" s="63">
        <f t="shared" si="115"/>
        <v>8.9041095890410954E-2</v>
      </c>
      <c r="AD568" t="str">
        <f>IF(P568&gt;=Stats!$C$30,"High",IF(P568&lt;=Stats!$C$29,"Low","Normal"))</f>
        <v>High</v>
      </c>
      <c r="AE568">
        <f t="shared" si="116"/>
        <v>1</v>
      </c>
    </row>
    <row r="569" spans="1:31" x14ac:dyDescent="0.2">
      <c r="A569">
        <f>Dataset_A!A569</f>
        <v>568</v>
      </c>
      <c r="B569" s="61">
        <f>Dataset_A!B569</f>
        <v>40568</v>
      </c>
      <c r="C569">
        <f>Dataset_A!C569</f>
        <v>1</v>
      </c>
      <c r="D569">
        <f>Dataset_A!D569</f>
        <v>0</v>
      </c>
      <c r="E569">
        <f>Dataset_A!E569</f>
        <v>1</v>
      </c>
      <c r="F569">
        <f>Dataset_A!F569</f>
        <v>20</v>
      </c>
      <c r="G569" t="b">
        <f>Dataset_A!G569</f>
        <v>0</v>
      </c>
      <c r="H569">
        <f>Dataset_A!H569</f>
        <v>2</v>
      </c>
      <c r="I569">
        <f>Dataset_A!I569</f>
        <v>1</v>
      </c>
      <c r="J569" s="55">
        <f>Dataset_A!J569</f>
        <v>0.24</v>
      </c>
      <c r="K569">
        <f>Dataset_A!K569</f>
        <v>0.2273</v>
      </c>
      <c r="L569">
        <f>Dataset_A!L569</f>
        <v>0.65</v>
      </c>
      <c r="M569">
        <f>Dataset_A!M569</f>
        <v>0.19400000000000001</v>
      </c>
      <c r="N569">
        <f>Dataset_A!N569</f>
        <v>16</v>
      </c>
      <c r="O569">
        <f>Dataset_A!O569</f>
        <v>103</v>
      </c>
      <c r="P569">
        <f>Dataset_A!P569</f>
        <v>119</v>
      </c>
      <c r="Q569" t="str">
        <f t="shared" si="104"/>
        <v>REC-0568</v>
      </c>
      <c r="R569" s="62">
        <f t="shared" si="105"/>
        <v>40568.833333333336</v>
      </c>
      <c r="S569" t="str">
        <f t="shared" si="106"/>
        <v>Jan</v>
      </c>
      <c r="T569" t="str">
        <f>INDEX(Lookups!$B$39:$B$45,MATCH(H569,Lookups!$A$39:$A$45,0))</f>
        <v>Tue</v>
      </c>
      <c r="U569" t="str">
        <f t="shared" si="107"/>
        <v>Weekday</v>
      </c>
      <c r="V569" t="str">
        <f t="shared" si="108"/>
        <v>Working Day</v>
      </c>
      <c r="W569" t="str">
        <f t="shared" si="109"/>
        <v>Spring</v>
      </c>
      <c r="X569" t="str">
        <f t="shared" si="110"/>
        <v>Clear</v>
      </c>
      <c r="Y569" t="str">
        <f t="shared" si="111"/>
        <v>Evening</v>
      </c>
      <c r="Z569" t="str">
        <f t="shared" si="112"/>
        <v>Mild</v>
      </c>
      <c r="AA569" t="str">
        <f t="shared" si="113"/>
        <v>Medium</v>
      </c>
      <c r="AB569" t="str">
        <f t="shared" si="114"/>
        <v>Off-Peak</v>
      </c>
      <c r="AC569" s="63">
        <f t="shared" si="115"/>
        <v>0.13445378151260504</v>
      </c>
      <c r="AD569" t="str">
        <f>IF(P569&gt;=Stats!$C$30,"High",IF(P569&lt;=Stats!$C$29,"Low","Normal"))</f>
        <v>High</v>
      </c>
      <c r="AE569">
        <f t="shared" si="116"/>
        <v>1</v>
      </c>
    </row>
    <row r="570" spans="1:31" x14ac:dyDescent="0.2">
      <c r="A570">
        <f>Dataset_A!A570</f>
        <v>569</v>
      </c>
      <c r="B570" s="61">
        <f>Dataset_A!B570</f>
        <v>40568</v>
      </c>
      <c r="C570">
        <f>Dataset_A!C570</f>
        <v>1</v>
      </c>
      <c r="D570">
        <f>Dataset_A!D570</f>
        <v>0</v>
      </c>
      <c r="E570">
        <f>Dataset_A!E570</f>
        <v>1</v>
      </c>
      <c r="F570">
        <f>Dataset_A!F570</f>
        <v>21</v>
      </c>
      <c r="G570" t="b">
        <f>Dataset_A!G570</f>
        <v>0</v>
      </c>
      <c r="H570">
        <f>Dataset_A!H570</f>
        <v>2</v>
      </c>
      <c r="I570">
        <f>Dataset_A!I570</f>
        <v>1</v>
      </c>
      <c r="J570" s="55">
        <f>Dataset_A!J570</f>
        <v>0.24</v>
      </c>
      <c r="K570">
        <f>Dataset_A!K570</f>
        <v>0.2273</v>
      </c>
      <c r="L570">
        <f>Dataset_A!L570</f>
        <v>0.65</v>
      </c>
      <c r="M570">
        <f>Dataset_A!M570</f>
        <v>0.19400000000000001</v>
      </c>
      <c r="N570">
        <f>Dataset_A!N570</f>
        <v>5</v>
      </c>
      <c r="O570">
        <f>Dataset_A!O570</f>
        <v>40</v>
      </c>
      <c r="P570">
        <f>Dataset_A!P570</f>
        <v>45</v>
      </c>
      <c r="Q570" t="str">
        <f t="shared" si="104"/>
        <v>REC-0569</v>
      </c>
      <c r="R570" s="62">
        <f t="shared" si="105"/>
        <v>40568.875</v>
      </c>
      <c r="S570" t="str">
        <f t="shared" si="106"/>
        <v>Jan</v>
      </c>
      <c r="T570" t="str">
        <f>INDEX(Lookups!$B$39:$B$45,MATCH(H570,Lookups!$A$39:$A$45,0))</f>
        <v>Tue</v>
      </c>
      <c r="U570" t="str">
        <f t="shared" si="107"/>
        <v>Weekday</v>
      </c>
      <c r="V570" t="str">
        <f t="shared" si="108"/>
        <v>Working Day</v>
      </c>
      <c r="W570" t="str">
        <f t="shared" si="109"/>
        <v>Spring</v>
      </c>
      <c r="X570" t="str">
        <f t="shared" si="110"/>
        <v>Clear</v>
      </c>
      <c r="Y570" t="str">
        <f t="shared" si="111"/>
        <v>Late Evening</v>
      </c>
      <c r="Z570" t="str">
        <f t="shared" si="112"/>
        <v>Mild</v>
      </c>
      <c r="AA570" t="str">
        <f t="shared" si="113"/>
        <v>Medium</v>
      </c>
      <c r="AB570" t="str">
        <f t="shared" si="114"/>
        <v>Off-Peak</v>
      </c>
      <c r="AC570" s="63">
        <f t="shared" si="115"/>
        <v>0.1111111111111111</v>
      </c>
      <c r="AD570" t="str">
        <f>IF(P570&gt;=Stats!$C$30,"High",IF(P570&lt;=Stats!$C$29,"Low","Normal"))</f>
        <v>Normal</v>
      </c>
      <c r="AE570">
        <f t="shared" si="116"/>
        <v>1</v>
      </c>
    </row>
    <row r="571" spans="1:31" x14ac:dyDescent="0.2">
      <c r="A571">
        <f>Dataset_A!A571</f>
        <v>570</v>
      </c>
      <c r="B571" s="61">
        <f>Dataset_A!B571</f>
        <v>40568</v>
      </c>
      <c r="C571">
        <f>Dataset_A!C571</f>
        <v>1</v>
      </c>
      <c r="D571">
        <f>Dataset_A!D571</f>
        <v>0</v>
      </c>
      <c r="E571">
        <f>Dataset_A!E571</f>
        <v>1</v>
      </c>
      <c r="F571">
        <f>Dataset_A!F571</f>
        <v>22</v>
      </c>
      <c r="G571" t="b">
        <f>Dataset_A!G571</f>
        <v>0</v>
      </c>
      <c r="H571">
        <f>Dataset_A!H571</f>
        <v>2</v>
      </c>
      <c r="I571">
        <f>Dataset_A!I571</f>
        <v>1</v>
      </c>
      <c r="J571" s="55">
        <f>Dataset_A!J571</f>
        <v>0.22</v>
      </c>
      <c r="K571">
        <f>Dataset_A!K571</f>
        <v>0.2273</v>
      </c>
      <c r="L571">
        <f>Dataset_A!L571</f>
        <v>0.64</v>
      </c>
      <c r="M571">
        <f>Dataset_A!M571</f>
        <v>0.16420000000000001</v>
      </c>
      <c r="N571">
        <f>Dataset_A!N571</f>
        <v>4</v>
      </c>
      <c r="O571">
        <f>Dataset_A!O571</f>
        <v>49</v>
      </c>
      <c r="P571">
        <f>Dataset_A!P571</f>
        <v>53</v>
      </c>
      <c r="Q571" t="str">
        <f t="shared" si="104"/>
        <v>REC-0570</v>
      </c>
      <c r="R571" s="62">
        <f t="shared" si="105"/>
        <v>40568.916666666664</v>
      </c>
      <c r="S571" t="str">
        <f t="shared" si="106"/>
        <v>Jan</v>
      </c>
      <c r="T571" t="str">
        <f>INDEX(Lookups!$B$39:$B$45,MATCH(H571,Lookups!$A$39:$A$45,0))</f>
        <v>Tue</v>
      </c>
      <c r="U571" t="str">
        <f t="shared" si="107"/>
        <v>Weekday</v>
      </c>
      <c r="V571" t="str">
        <f t="shared" si="108"/>
        <v>Working Day</v>
      </c>
      <c r="W571" t="str">
        <f t="shared" si="109"/>
        <v>Spring</v>
      </c>
      <c r="X571" t="str">
        <f t="shared" si="110"/>
        <v>Clear</v>
      </c>
      <c r="Y571" t="str">
        <f t="shared" si="111"/>
        <v>Late Evening</v>
      </c>
      <c r="Z571" t="str">
        <f t="shared" si="112"/>
        <v>Mild</v>
      </c>
      <c r="AA571" t="str">
        <f t="shared" si="113"/>
        <v>Medium</v>
      </c>
      <c r="AB571" t="str">
        <f t="shared" si="114"/>
        <v>Off-Peak</v>
      </c>
      <c r="AC571" s="63">
        <f t="shared" si="115"/>
        <v>7.5471698113207544E-2</v>
      </c>
      <c r="AD571" t="str">
        <f>IF(P571&gt;=Stats!$C$30,"High",IF(P571&lt;=Stats!$C$29,"Low","Normal"))</f>
        <v>Normal</v>
      </c>
      <c r="AE571">
        <f t="shared" si="116"/>
        <v>1</v>
      </c>
    </row>
    <row r="572" spans="1:31" x14ac:dyDescent="0.2">
      <c r="A572">
        <f>Dataset_A!A572</f>
        <v>571</v>
      </c>
      <c r="B572" s="61">
        <f>Dataset_A!B572</f>
        <v>40568</v>
      </c>
      <c r="C572">
        <f>Dataset_A!C572</f>
        <v>1</v>
      </c>
      <c r="D572">
        <f>Dataset_A!D572</f>
        <v>0</v>
      </c>
      <c r="E572">
        <f>Dataset_A!E572</f>
        <v>1</v>
      </c>
      <c r="F572">
        <f>Dataset_A!F572</f>
        <v>23</v>
      </c>
      <c r="G572" t="b">
        <f>Dataset_A!G572</f>
        <v>0</v>
      </c>
      <c r="H572">
        <f>Dataset_A!H572</f>
        <v>2</v>
      </c>
      <c r="I572">
        <f>Dataset_A!I572</f>
        <v>2</v>
      </c>
      <c r="J572" s="55">
        <f>Dataset_A!J572</f>
        <v>0.22</v>
      </c>
      <c r="K572">
        <f>Dataset_A!K572</f>
        <v>0.2273</v>
      </c>
      <c r="L572">
        <f>Dataset_A!L572</f>
        <v>0.64</v>
      </c>
      <c r="M572">
        <f>Dataset_A!M572</f>
        <v>0.16420000000000001</v>
      </c>
      <c r="N572">
        <f>Dataset_A!N572</f>
        <v>3</v>
      </c>
      <c r="O572">
        <f>Dataset_A!O572</f>
        <v>37</v>
      </c>
      <c r="P572">
        <f>Dataset_A!P572</f>
        <v>40</v>
      </c>
      <c r="Q572" t="str">
        <f t="shared" si="104"/>
        <v>REC-0571</v>
      </c>
      <c r="R572" s="62">
        <f t="shared" si="105"/>
        <v>40568.958333333336</v>
      </c>
      <c r="S572" t="str">
        <f t="shared" si="106"/>
        <v>Jan</v>
      </c>
      <c r="T572" t="str">
        <f>INDEX(Lookups!$B$39:$B$45,MATCH(H572,Lookups!$A$39:$A$45,0))</f>
        <v>Tue</v>
      </c>
      <c r="U572" t="str">
        <f t="shared" si="107"/>
        <v>Weekday</v>
      </c>
      <c r="V572" t="str">
        <f t="shared" si="108"/>
        <v>Working Day</v>
      </c>
      <c r="W572" t="str">
        <f t="shared" si="109"/>
        <v>Spring</v>
      </c>
      <c r="X572" t="str">
        <f t="shared" si="110"/>
        <v>Cloudy/Mist</v>
      </c>
      <c r="Y572" t="str">
        <f t="shared" si="111"/>
        <v>Late Evening</v>
      </c>
      <c r="Z572" t="str">
        <f t="shared" si="112"/>
        <v>Mild</v>
      </c>
      <c r="AA572" t="str">
        <f t="shared" si="113"/>
        <v>Medium</v>
      </c>
      <c r="AB572" t="str">
        <f t="shared" si="114"/>
        <v>Off-Peak</v>
      </c>
      <c r="AC572" s="63">
        <f t="shared" si="115"/>
        <v>7.4999999999999997E-2</v>
      </c>
      <c r="AD572" t="str">
        <f>IF(P572&gt;=Stats!$C$30,"High",IF(P572&lt;=Stats!$C$29,"Low","Normal"))</f>
        <v>Normal</v>
      </c>
      <c r="AE572">
        <f t="shared" si="116"/>
        <v>1</v>
      </c>
    </row>
    <row r="573" spans="1:31" x14ac:dyDescent="0.2">
      <c r="A573">
        <f>Dataset_A!A573</f>
        <v>572</v>
      </c>
      <c r="B573" s="61">
        <f>Dataset_A!B573</f>
        <v>40569</v>
      </c>
      <c r="C573">
        <f>Dataset_A!C573</f>
        <v>1</v>
      </c>
      <c r="D573">
        <f>Dataset_A!D573</f>
        <v>0</v>
      </c>
      <c r="E573">
        <f>Dataset_A!E573</f>
        <v>1</v>
      </c>
      <c r="F573">
        <f>Dataset_A!F573</f>
        <v>0</v>
      </c>
      <c r="G573" t="b">
        <f>Dataset_A!G573</f>
        <v>0</v>
      </c>
      <c r="H573">
        <f>Dataset_A!H573</f>
        <v>3</v>
      </c>
      <c r="I573">
        <f>Dataset_A!I573</f>
        <v>2</v>
      </c>
      <c r="J573" s="55">
        <f>Dataset_A!J573</f>
        <v>0.22</v>
      </c>
      <c r="K573">
        <f>Dataset_A!K573</f>
        <v>0.2273</v>
      </c>
      <c r="L573">
        <f>Dataset_A!L573</f>
        <v>0.69</v>
      </c>
      <c r="M573">
        <f>Dataset_A!M573</f>
        <v>0.1343</v>
      </c>
      <c r="N573">
        <f>Dataset_A!N573</f>
        <v>3</v>
      </c>
      <c r="O573">
        <f>Dataset_A!O573</f>
        <v>14</v>
      </c>
      <c r="P573">
        <f>Dataset_A!P573</f>
        <v>17</v>
      </c>
      <c r="Q573" t="str">
        <f t="shared" si="104"/>
        <v>REC-0572</v>
      </c>
      <c r="R573" s="62">
        <f t="shared" si="105"/>
        <v>40569</v>
      </c>
      <c r="S573" t="str">
        <f t="shared" si="106"/>
        <v>Jan</v>
      </c>
      <c r="T573" t="str">
        <f>INDEX(Lookups!$B$39:$B$45,MATCH(H573,Lookups!$A$39:$A$45,0))</f>
        <v>Wed</v>
      </c>
      <c r="U573" t="str">
        <f t="shared" si="107"/>
        <v>Weekday</v>
      </c>
      <c r="V573" t="str">
        <f t="shared" si="108"/>
        <v>Working Day</v>
      </c>
      <c r="W573" t="str">
        <f t="shared" si="109"/>
        <v>Spring</v>
      </c>
      <c r="X573" t="str">
        <f t="shared" si="110"/>
        <v>Cloudy/Mist</v>
      </c>
      <c r="Y573" t="str">
        <f t="shared" si="111"/>
        <v>Night</v>
      </c>
      <c r="Z573" t="str">
        <f t="shared" si="112"/>
        <v>Mild</v>
      </c>
      <c r="AA573" t="str">
        <f t="shared" si="113"/>
        <v>Medium</v>
      </c>
      <c r="AB573" t="str">
        <f t="shared" si="114"/>
        <v>Off-Peak</v>
      </c>
      <c r="AC573" s="63">
        <f t="shared" si="115"/>
        <v>0.17647058823529413</v>
      </c>
      <c r="AD573" t="str">
        <f>IF(P573&gt;=Stats!$C$30,"High",IF(P573&lt;=Stats!$C$29,"Low","Normal"))</f>
        <v>Normal</v>
      </c>
      <c r="AE573">
        <f t="shared" si="116"/>
        <v>1</v>
      </c>
    </row>
    <row r="574" spans="1:31" x14ac:dyDescent="0.2">
      <c r="A574">
        <f>Dataset_A!A574</f>
        <v>573</v>
      </c>
      <c r="B574" s="61">
        <f>Dataset_A!B574</f>
        <v>40569</v>
      </c>
      <c r="C574">
        <f>Dataset_A!C574</f>
        <v>1</v>
      </c>
      <c r="D574">
        <f>Dataset_A!D574</f>
        <v>0</v>
      </c>
      <c r="E574">
        <f>Dataset_A!E574</f>
        <v>1</v>
      </c>
      <c r="F574">
        <f>Dataset_A!F574</f>
        <v>1</v>
      </c>
      <c r="G574" t="b">
        <f>Dataset_A!G574</f>
        <v>0</v>
      </c>
      <c r="H574">
        <f>Dataset_A!H574</f>
        <v>3</v>
      </c>
      <c r="I574">
        <f>Dataset_A!I574</f>
        <v>2</v>
      </c>
      <c r="J574" s="55">
        <f>Dataset_A!J574</f>
        <v>0.24</v>
      </c>
      <c r="K574">
        <f>Dataset_A!K574</f>
        <v>0.2424</v>
      </c>
      <c r="L574">
        <f>Dataset_A!L574</f>
        <v>0.65</v>
      </c>
      <c r="M574">
        <f>Dataset_A!M574</f>
        <v>0.1343</v>
      </c>
      <c r="N574">
        <f>Dataset_A!N574</f>
        <v>0</v>
      </c>
      <c r="O574">
        <f>Dataset_A!O574</f>
        <v>5</v>
      </c>
      <c r="P574">
        <f>Dataset_A!P574</f>
        <v>5</v>
      </c>
      <c r="Q574" t="str">
        <f t="shared" si="104"/>
        <v>REC-0573</v>
      </c>
      <c r="R574" s="62">
        <f t="shared" si="105"/>
        <v>40569.041666666664</v>
      </c>
      <c r="S574" t="str">
        <f t="shared" si="106"/>
        <v>Jan</v>
      </c>
      <c r="T574" t="str">
        <f>INDEX(Lookups!$B$39:$B$45,MATCH(H574,Lookups!$A$39:$A$45,0))</f>
        <v>Wed</v>
      </c>
      <c r="U574" t="str">
        <f t="shared" si="107"/>
        <v>Weekday</v>
      </c>
      <c r="V574" t="str">
        <f t="shared" si="108"/>
        <v>Working Day</v>
      </c>
      <c r="W574" t="str">
        <f t="shared" si="109"/>
        <v>Spring</v>
      </c>
      <c r="X574" t="str">
        <f t="shared" si="110"/>
        <v>Cloudy/Mist</v>
      </c>
      <c r="Y574" t="str">
        <f t="shared" si="111"/>
        <v>Night</v>
      </c>
      <c r="Z574" t="str">
        <f t="shared" si="112"/>
        <v>Mild</v>
      </c>
      <c r="AA574" t="str">
        <f t="shared" si="113"/>
        <v>Medium</v>
      </c>
      <c r="AB574" t="str">
        <f t="shared" si="114"/>
        <v>Off-Peak</v>
      </c>
      <c r="AC574" s="63">
        <f t="shared" si="115"/>
        <v>0</v>
      </c>
      <c r="AD574" t="str">
        <f>IF(P574&gt;=Stats!$C$30,"High",IF(P574&lt;=Stats!$C$29,"Low","Normal"))</f>
        <v>Low</v>
      </c>
      <c r="AE574">
        <f t="shared" si="116"/>
        <v>1</v>
      </c>
    </row>
    <row r="575" spans="1:31" x14ac:dyDescent="0.2">
      <c r="A575">
        <f>Dataset_A!A575</f>
        <v>574</v>
      </c>
      <c r="B575" s="61">
        <f>Dataset_A!B575</f>
        <v>40569</v>
      </c>
      <c r="C575">
        <f>Dataset_A!C575</f>
        <v>1</v>
      </c>
      <c r="D575">
        <f>Dataset_A!D575</f>
        <v>0</v>
      </c>
      <c r="E575">
        <f>Dataset_A!E575</f>
        <v>1</v>
      </c>
      <c r="F575">
        <f>Dataset_A!F575</f>
        <v>2</v>
      </c>
      <c r="G575" t="b">
        <f>Dataset_A!G575</f>
        <v>0</v>
      </c>
      <c r="H575">
        <f>Dataset_A!H575</f>
        <v>3</v>
      </c>
      <c r="I575">
        <f>Dataset_A!I575</f>
        <v>3</v>
      </c>
      <c r="J575" s="55">
        <f>Dataset_A!J575</f>
        <v>0.22</v>
      </c>
      <c r="K575">
        <f>Dataset_A!K575</f>
        <v>0.2273</v>
      </c>
      <c r="L575">
        <f>Dataset_A!L575</f>
        <v>0.69</v>
      </c>
      <c r="M575">
        <f>Dataset_A!M575</f>
        <v>0.19400000000000001</v>
      </c>
      <c r="N575">
        <f>Dataset_A!N575</f>
        <v>3</v>
      </c>
      <c r="O575">
        <f>Dataset_A!O575</f>
        <v>7</v>
      </c>
      <c r="P575">
        <f>Dataset_A!P575</f>
        <v>10</v>
      </c>
      <c r="Q575" t="str">
        <f t="shared" si="104"/>
        <v>REC-0574</v>
      </c>
      <c r="R575" s="62">
        <f t="shared" si="105"/>
        <v>40569.083333333336</v>
      </c>
      <c r="S575" t="str">
        <f t="shared" si="106"/>
        <v>Jan</v>
      </c>
      <c r="T575" t="str">
        <f>INDEX(Lookups!$B$39:$B$45,MATCH(H575,Lookups!$A$39:$A$45,0))</f>
        <v>Wed</v>
      </c>
      <c r="U575" t="str">
        <f t="shared" si="107"/>
        <v>Weekday</v>
      </c>
      <c r="V575" t="str">
        <f t="shared" si="108"/>
        <v>Working Day</v>
      </c>
      <c r="W575" t="str">
        <f t="shared" si="109"/>
        <v>Spring</v>
      </c>
      <c r="X575" t="str">
        <f t="shared" si="110"/>
        <v>Light Rain/Snow</v>
      </c>
      <c r="Y575" t="str">
        <f t="shared" si="111"/>
        <v>Night</v>
      </c>
      <c r="Z575" t="str">
        <f t="shared" si="112"/>
        <v>Mild</v>
      </c>
      <c r="AA575" t="str">
        <f t="shared" si="113"/>
        <v>Medium</v>
      </c>
      <c r="AB575" t="str">
        <f t="shared" si="114"/>
        <v>Off-Peak</v>
      </c>
      <c r="AC575" s="63">
        <f t="shared" si="115"/>
        <v>0.3</v>
      </c>
      <c r="AD575" t="str">
        <f>IF(P575&gt;=Stats!$C$30,"High",IF(P575&lt;=Stats!$C$29,"Low","Normal"))</f>
        <v>Low</v>
      </c>
      <c r="AE575">
        <f t="shared" si="116"/>
        <v>1</v>
      </c>
    </row>
    <row r="576" spans="1:31" x14ac:dyDescent="0.2">
      <c r="A576">
        <f>Dataset_A!A576</f>
        <v>575</v>
      </c>
      <c r="B576" s="61">
        <f>Dataset_A!B576</f>
        <v>40569</v>
      </c>
      <c r="C576">
        <f>Dataset_A!C576</f>
        <v>1</v>
      </c>
      <c r="D576">
        <f>Dataset_A!D576</f>
        <v>0</v>
      </c>
      <c r="E576">
        <f>Dataset_A!E576</f>
        <v>1</v>
      </c>
      <c r="F576">
        <f>Dataset_A!F576</f>
        <v>5</v>
      </c>
      <c r="G576" t="b">
        <f>Dataset_A!G576</f>
        <v>0</v>
      </c>
      <c r="H576">
        <f>Dataset_A!H576</f>
        <v>3</v>
      </c>
      <c r="I576">
        <f>Dataset_A!I576</f>
        <v>3</v>
      </c>
      <c r="J576" s="55">
        <f>Dataset_A!J576</f>
        <v>0.2</v>
      </c>
      <c r="K576">
        <f>Dataset_A!K576</f>
        <v>0.18179999999999999</v>
      </c>
      <c r="L576">
        <f>Dataset_A!L576</f>
        <v>0.86</v>
      </c>
      <c r="M576">
        <f>Dataset_A!M576</f>
        <v>0.28360000000000002</v>
      </c>
      <c r="N576">
        <f>Dataset_A!N576</f>
        <v>0</v>
      </c>
      <c r="O576">
        <f>Dataset_A!O576</f>
        <v>1</v>
      </c>
      <c r="P576">
        <f>Dataset_A!P576</f>
        <v>1</v>
      </c>
      <c r="Q576" t="str">
        <f t="shared" si="104"/>
        <v>REC-0575</v>
      </c>
      <c r="R576" s="62">
        <f t="shared" si="105"/>
        <v>40569.208333333336</v>
      </c>
      <c r="S576" t="str">
        <f t="shared" si="106"/>
        <v>Jan</v>
      </c>
      <c r="T576" t="str">
        <f>INDEX(Lookups!$B$39:$B$45,MATCH(H576,Lookups!$A$39:$A$45,0))</f>
        <v>Wed</v>
      </c>
      <c r="U576" t="str">
        <f t="shared" si="107"/>
        <v>Weekday</v>
      </c>
      <c r="V576" t="str">
        <f t="shared" si="108"/>
        <v>Working Day</v>
      </c>
      <c r="W576" t="str">
        <f t="shared" si="109"/>
        <v>Spring</v>
      </c>
      <c r="X576" t="str">
        <f t="shared" si="110"/>
        <v>Light Rain/Snow</v>
      </c>
      <c r="Y576" t="str">
        <f t="shared" si="111"/>
        <v>Night</v>
      </c>
      <c r="Z576" t="str">
        <f t="shared" si="112"/>
        <v>Mild</v>
      </c>
      <c r="AA576" t="str">
        <f t="shared" si="113"/>
        <v>High</v>
      </c>
      <c r="AB576" t="str">
        <f t="shared" si="114"/>
        <v>Off-Peak</v>
      </c>
      <c r="AC576" s="63">
        <f t="shared" si="115"/>
        <v>0</v>
      </c>
      <c r="AD576" t="str">
        <f>IF(P576&gt;=Stats!$C$30,"High",IF(P576&lt;=Stats!$C$29,"Low","Normal"))</f>
        <v>Low</v>
      </c>
      <c r="AE576">
        <f t="shared" si="116"/>
        <v>1</v>
      </c>
    </row>
    <row r="577" spans="1:31" x14ac:dyDescent="0.2">
      <c r="A577">
        <f>Dataset_A!A577</f>
        <v>576</v>
      </c>
      <c r="B577" s="61">
        <f>Dataset_A!B577</f>
        <v>40569</v>
      </c>
      <c r="C577">
        <f>Dataset_A!C577</f>
        <v>1</v>
      </c>
      <c r="D577">
        <f>Dataset_A!D577</f>
        <v>0</v>
      </c>
      <c r="E577">
        <f>Dataset_A!E577</f>
        <v>1</v>
      </c>
      <c r="F577">
        <f>Dataset_A!F577</f>
        <v>6</v>
      </c>
      <c r="G577" t="b">
        <f>Dataset_A!G577</f>
        <v>0</v>
      </c>
      <c r="H577">
        <f>Dataset_A!H577</f>
        <v>3</v>
      </c>
      <c r="I577">
        <f>Dataset_A!I577</f>
        <v>3</v>
      </c>
      <c r="J577" s="55">
        <f>Dataset_A!J577</f>
        <v>0.2</v>
      </c>
      <c r="K577">
        <f>Dataset_A!K577</f>
        <v>0.18179999999999999</v>
      </c>
      <c r="L577">
        <f>Dataset_A!L577</f>
        <v>0.86</v>
      </c>
      <c r="M577">
        <f>Dataset_A!M577</f>
        <v>0.28360000000000002</v>
      </c>
      <c r="N577">
        <f>Dataset_A!N577</f>
        <v>0</v>
      </c>
      <c r="O577">
        <f>Dataset_A!O577</f>
        <v>8</v>
      </c>
      <c r="P577">
        <f>Dataset_A!P577</f>
        <v>8</v>
      </c>
      <c r="Q577" t="str">
        <f t="shared" si="104"/>
        <v>REC-0576</v>
      </c>
      <c r="R577" s="62">
        <f t="shared" si="105"/>
        <v>40569.25</v>
      </c>
      <c r="S577" t="str">
        <f t="shared" si="106"/>
        <v>Jan</v>
      </c>
      <c r="T577" t="str">
        <f>INDEX(Lookups!$B$39:$B$45,MATCH(H577,Lookups!$A$39:$A$45,0))</f>
        <v>Wed</v>
      </c>
      <c r="U577" t="str">
        <f t="shared" si="107"/>
        <v>Weekday</v>
      </c>
      <c r="V577" t="str">
        <f t="shared" si="108"/>
        <v>Working Day</v>
      </c>
      <c r="W577" t="str">
        <f t="shared" si="109"/>
        <v>Spring</v>
      </c>
      <c r="X577" t="str">
        <f t="shared" si="110"/>
        <v>Light Rain/Snow</v>
      </c>
      <c r="Y577" t="str">
        <f t="shared" si="111"/>
        <v>Morning</v>
      </c>
      <c r="Z577" t="str">
        <f t="shared" si="112"/>
        <v>Mild</v>
      </c>
      <c r="AA577" t="str">
        <f t="shared" si="113"/>
        <v>High</v>
      </c>
      <c r="AB577" t="str">
        <f t="shared" si="114"/>
        <v>Off-Peak</v>
      </c>
      <c r="AC577" s="63">
        <f t="shared" si="115"/>
        <v>0</v>
      </c>
      <c r="AD577" t="str">
        <f>IF(P577&gt;=Stats!$C$30,"High",IF(P577&lt;=Stats!$C$29,"Low","Normal"))</f>
        <v>Low</v>
      </c>
      <c r="AE577">
        <f t="shared" si="116"/>
        <v>1</v>
      </c>
    </row>
    <row r="578" spans="1:31" x14ac:dyDescent="0.2">
      <c r="A578">
        <f>Dataset_A!A578</f>
        <v>577</v>
      </c>
      <c r="B578" s="61">
        <f>Dataset_A!B578</f>
        <v>40569</v>
      </c>
      <c r="C578">
        <f>Dataset_A!C578</f>
        <v>1</v>
      </c>
      <c r="D578">
        <f>Dataset_A!D578</f>
        <v>0</v>
      </c>
      <c r="E578">
        <f>Dataset_A!E578</f>
        <v>1</v>
      </c>
      <c r="F578">
        <f>Dataset_A!F578</f>
        <v>7</v>
      </c>
      <c r="G578" t="b">
        <f>Dataset_A!G578</f>
        <v>0</v>
      </c>
      <c r="H578">
        <f>Dataset_A!H578</f>
        <v>3</v>
      </c>
      <c r="I578">
        <f>Dataset_A!I578</f>
        <v>3</v>
      </c>
      <c r="J578" s="55">
        <f>Dataset_A!J578</f>
        <v>0.22</v>
      </c>
      <c r="K578">
        <f>Dataset_A!K578</f>
        <v>0.21210000000000001</v>
      </c>
      <c r="L578">
        <f>Dataset_A!L578</f>
        <v>0.87</v>
      </c>
      <c r="M578">
        <f>Dataset_A!M578</f>
        <v>0.29849999999999999</v>
      </c>
      <c r="N578">
        <f>Dataset_A!N578</f>
        <v>1</v>
      </c>
      <c r="O578">
        <f>Dataset_A!O578</f>
        <v>29</v>
      </c>
      <c r="P578">
        <f>Dataset_A!P578</f>
        <v>30</v>
      </c>
      <c r="Q578" t="str">
        <f t="shared" ref="Q578:Q641" si="117">"REC-"&amp;TEXT(A578,"0000")</f>
        <v>REC-0577</v>
      </c>
      <c r="R578" s="62">
        <f t="shared" ref="R578:R641" si="118">B578+F578/24</f>
        <v>40569.291666666664</v>
      </c>
      <c r="S578" t="str">
        <f t="shared" ref="S578:S641" si="119">TEXT(B578,"mmm")</f>
        <v>Jan</v>
      </c>
      <c r="T578" t="str">
        <f>INDEX(Lookups!$B$39:$B$45,MATCH(H578,Lookups!$A$39:$A$45,0))</f>
        <v>Wed</v>
      </c>
      <c r="U578" t="str">
        <f t="shared" ref="U578:U641" si="120">IF(OR(H578=0,H578=6),"Weekend","Weekday")</f>
        <v>Weekday</v>
      </c>
      <c r="V578" t="str">
        <f t="shared" ref="V578:V641" si="121">IF(OR(U578="Weekend",G578=TRUE),"Non-Working Day","Working Day")</f>
        <v>Working Day</v>
      </c>
      <c r="W578" t="str">
        <f t="shared" ref="W578:W641" si="122">VLOOKUP(C578,tbl_season,2,FALSE)</f>
        <v>Spring</v>
      </c>
      <c r="X578" t="str">
        <f t="shared" ref="X578:X641" si="123">VLOOKUP(I578,tbl_weather,2,FALSE)</f>
        <v>Light Rain/Snow</v>
      </c>
      <c r="Y578" t="str">
        <f t="shared" ref="Y578:Y641" si="124">INDEX(band_name,MATCH(F578,band_start,1))</f>
        <v>Morning</v>
      </c>
      <c r="Z578" t="str">
        <f t="shared" ref="Z578:Z641" si="125">INDEX(temp_band,MATCH(J578,temp_from,1))</f>
        <v>Mild</v>
      </c>
      <c r="AA578" t="str">
        <f t="shared" ref="AA578:AA641" si="126">INDEX(hum_band,MATCH(L578,hum_from,1))</f>
        <v>High</v>
      </c>
      <c r="AB578" t="str">
        <f t="shared" ref="AB578:AB641" si="127">IF(AND(U578="Weekday",OR(AND(F578&gt;=7,F578&lt;=9),AND(F578&gt;=16,F578&lt;=19))),"Peak","Off-Peak")</f>
        <v>Peak</v>
      </c>
      <c r="AC578" s="63">
        <f t="shared" ref="AC578:AC641" si="128">IF(P578=0,0,N578/P578)</f>
        <v>3.3333333333333333E-2</v>
      </c>
      <c r="AD578" t="str">
        <f>IF(P578&gt;=Stats!$C$30,"High",IF(P578&lt;=Stats!$C$29,"Low","Normal"))</f>
        <v>Normal</v>
      </c>
      <c r="AE578">
        <f t="shared" ref="AE578:AE641" si="129">SUBTOTAL(103,A578)</f>
        <v>1</v>
      </c>
    </row>
    <row r="579" spans="1:31" x14ac:dyDescent="0.2">
      <c r="A579">
        <f>Dataset_A!A579</f>
        <v>578</v>
      </c>
      <c r="B579" s="61">
        <f>Dataset_A!B579</f>
        <v>40569</v>
      </c>
      <c r="C579">
        <f>Dataset_A!C579</f>
        <v>1</v>
      </c>
      <c r="D579">
        <f>Dataset_A!D579</f>
        <v>0</v>
      </c>
      <c r="E579">
        <f>Dataset_A!E579</f>
        <v>1</v>
      </c>
      <c r="F579">
        <f>Dataset_A!F579</f>
        <v>8</v>
      </c>
      <c r="G579" t="b">
        <f>Dataset_A!G579</f>
        <v>0</v>
      </c>
      <c r="H579">
        <f>Dataset_A!H579</f>
        <v>3</v>
      </c>
      <c r="I579">
        <f>Dataset_A!I579</f>
        <v>3</v>
      </c>
      <c r="J579" s="55">
        <f>Dataset_A!J579</f>
        <v>0.22</v>
      </c>
      <c r="K579">
        <f>Dataset_A!K579</f>
        <v>0.21210000000000001</v>
      </c>
      <c r="L579">
        <f>Dataset_A!L579</f>
        <v>0.87</v>
      </c>
      <c r="M579">
        <f>Dataset_A!M579</f>
        <v>0.29849999999999999</v>
      </c>
      <c r="N579">
        <f>Dataset_A!N579</f>
        <v>3</v>
      </c>
      <c r="O579">
        <f>Dataset_A!O579</f>
        <v>69</v>
      </c>
      <c r="P579">
        <f>Dataset_A!P579</f>
        <v>72</v>
      </c>
      <c r="Q579" t="str">
        <f t="shared" si="117"/>
        <v>REC-0578</v>
      </c>
      <c r="R579" s="62">
        <f t="shared" si="118"/>
        <v>40569.333333333336</v>
      </c>
      <c r="S579" t="str">
        <f t="shared" si="119"/>
        <v>Jan</v>
      </c>
      <c r="T579" t="str">
        <f>INDEX(Lookups!$B$39:$B$45,MATCH(H579,Lookups!$A$39:$A$45,0))</f>
        <v>Wed</v>
      </c>
      <c r="U579" t="str">
        <f t="shared" si="120"/>
        <v>Weekday</v>
      </c>
      <c r="V579" t="str">
        <f t="shared" si="121"/>
        <v>Working Day</v>
      </c>
      <c r="W579" t="str">
        <f t="shared" si="122"/>
        <v>Spring</v>
      </c>
      <c r="X579" t="str">
        <f t="shared" si="123"/>
        <v>Light Rain/Snow</v>
      </c>
      <c r="Y579" t="str">
        <f t="shared" si="124"/>
        <v>Morning</v>
      </c>
      <c r="Z579" t="str">
        <f t="shared" si="125"/>
        <v>Mild</v>
      </c>
      <c r="AA579" t="str">
        <f t="shared" si="126"/>
        <v>High</v>
      </c>
      <c r="AB579" t="str">
        <f t="shared" si="127"/>
        <v>Peak</v>
      </c>
      <c r="AC579" s="63">
        <f t="shared" si="128"/>
        <v>4.1666666666666664E-2</v>
      </c>
      <c r="AD579" t="str">
        <f>IF(P579&gt;=Stats!$C$30,"High",IF(P579&lt;=Stats!$C$29,"Low","Normal"))</f>
        <v>Normal</v>
      </c>
      <c r="AE579">
        <f t="shared" si="129"/>
        <v>1</v>
      </c>
    </row>
    <row r="580" spans="1:31" x14ac:dyDescent="0.2">
      <c r="A580">
        <f>Dataset_A!A580</f>
        <v>579</v>
      </c>
      <c r="B580" s="61">
        <f>Dataset_A!B580</f>
        <v>40569</v>
      </c>
      <c r="C580">
        <f>Dataset_A!C580</f>
        <v>1</v>
      </c>
      <c r="D580">
        <f>Dataset_A!D580</f>
        <v>0</v>
      </c>
      <c r="E580">
        <f>Dataset_A!E580</f>
        <v>1</v>
      </c>
      <c r="F580">
        <f>Dataset_A!F580</f>
        <v>9</v>
      </c>
      <c r="G580" t="b">
        <f>Dataset_A!G580</f>
        <v>0</v>
      </c>
      <c r="H580">
        <f>Dataset_A!H580</f>
        <v>3</v>
      </c>
      <c r="I580">
        <f>Dataset_A!I580</f>
        <v>3</v>
      </c>
      <c r="J580" s="55">
        <f>Dataset_A!J580</f>
        <v>0.22</v>
      </c>
      <c r="K580">
        <f>Dataset_A!K580</f>
        <v>0.21210000000000001</v>
      </c>
      <c r="L580">
        <f>Dataset_A!L580</f>
        <v>0.87</v>
      </c>
      <c r="M580">
        <f>Dataset_A!M580</f>
        <v>0.29849999999999999</v>
      </c>
      <c r="N580">
        <f>Dataset_A!N580</f>
        <v>3</v>
      </c>
      <c r="O580">
        <f>Dataset_A!O580</f>
        <v>55</v>
      </c>
      <c r="P580">
        <f>Dataset_A!P580</f>
        <v>58</v>
      </c>
      <c r="Q580" t="str">
        <f t="shared" si="117"/>
        <v>REC-0579</v>
      </c>
      <c r="R580" s="62">
        <f t="shared" si="118"/>
        <v>40569.375</v>
      </c>
      <c r="S580" t="str">
        <f t="shared" si="119"/>
        <v>Jan</v>
      </c>
      <c r="T580" t="str">
        <f>INDEX(Lookups!$B$39:$B$45,MATCH(H580,Lookups!$A$39:$A$45,0))</f>
        <v>Wed</v>
      </c>
      <c r="U580" t="str">
        <f t="shared" si="120"/>
        <v>Weekday</v>
      </c>
      <c r="V580" t="str">
        <f t="shared" si="121"/>
        <v>Working Day</v>
      </c>
      <c r="W580" t="str">
        <f t="shared" si="122"/>
        <v>Spring</v>
      </c>
      <c r="X580" t="str">
        <f t="shared" si="123"/>
        <v>Light Rain/Snow</v>
      </c>
      <c r="Y580" t="str">
        <f t="shared" si="124"/>
        <v>Morning</v>
      </c>
      <c r="Z580" t="str">
        <f t="shared" si="125"/>
        <v>Mild</v>
      </c>
      <c r="AA580" t="str">
        <f t="shared" si="126"/>
        <v>High</v>
      </c>
      <c r="AB580" t="str">
        <f t="shared" si="127"/>
        <v>Peak</v>
      </c>
      <c r="AC580" s="63">
        <f t="shared" si="128"/>
        <v>5.1724137931034482E-2</v>
      </c>
      <c r="AD580" t="str">
        <f>IF(P580&gt;=Stats!$C$30,"High",IF(P580&lt;=Stats!$C$29,"Low","Normal"))</f>
        <v>Normal</v>
      </c>
      <c r="AE580">
        <f t="shared" si="129"/>
        <v>1</v>
      </c>
    </row>
    <row r="581" spans="1:31" x14ac:dyDescent="0.2">
      <c r="A581">
        <f>Dataset_A!A581</f>
        <v>580</v>
      </c>
      <c r="B581" s="61">
        <f>Dataset_A!B581</f>
        <v>40569</v>
      </c>
      <c r="C581">
        <f>Dataset_A!C581</f>
        <v>1</v>
      </c>
      <c r="D581">
        <f>Dataset_A!D581</f>
        <v>0</v>
      </c>
      <c r="E581">
        <f>Dataset_A!E581</f>
        <v>1</v>
      </c>
      <c r="F581">
        <f>Dataset_A!F581</f>
        <v>10</v>
      </c>
      <c r="G581" t="b">
        <f>Dataset_A!G581</f>
        <v>0</v>
      </c>
      <c r="H581">
        <f>Dataset_A!H581</f>
        <v>3</v>
      </c>
      <c r="I581">
        <f>Dataset_A!I581</f>
        <v>3</v>
      </c>
      <c r="J581" s="55">
        <f>Dataset_A!J581</f>
        <v>0.22</v>
      </c>
      <c r="K581">
        <f>Dataset_A!K581</f>
        <v>0.21210000000000001</v>
      </c>
      <c r="L581">
        <f>Dataset_A!L581</f>
        <v>0.93</v>
      </c>
      <c r="M581">
        <f>Dataset_A!M581</f>
        <v>0.28360000000000002</v>
      </c>
      <c r="N581">
        <f>Dataset_A!N581</f>
        <v>2</v>
      </c>
      <c r="O581">
        <f>Dataset_A!O581</f>
        <v>26</v>
      </c>
      <c r="P581">
        <f>Dataset_A!P581</f>
        <v>28</v>
      </c>
      <c r="Q581" t="str">
        <f t="shared" si="117"/>
        <v>REC-0580</v>
      </c>
      <c r="R581" s="62">
        <f t="shared" si="118"/>
        <v>40569.416666666664</v>
      </c>
      <c r="S581" t="str">
        <f t="shared" si="119"/>
        <v>Jan</v>
      </c>
      <c r="T581" t="str">
        <f>INDEX(Lookups!$B$39:$B$45,MATCH(H581,Lookups!$A$39:$A$45,0))</f>
        <v>Wed</v>
      </c>
      <c r="U581" t="str">
        <f t="shared" si="120"/>
        <v>Weekday</v>
      </c>
      <c r="V581" t="str">
        <f t="shared" si="121"/>
        <v>Working Day</v>
      </c>
      <c r="W581" t="str">
        <f t="shared" si="122"/>
        <v>Spring</v>
      </c>
      <c r="X581" t="str">
        <f t="shared" si="123"/>
        <v>Light Rain/Snow</v>
      </c>
      <c r="Y581" t="str">
        <f t="shared" si="124"/>
        <v>Morning</v>
      </c>
      <c r="Z581" t="str">
        <f t="shared" si="125"/>
        <v>Mild</v>
      </c>
      <c r="AA581" t="str">
        <f t="shared" si="126"/>
        <v>High</v>
      </c>
      <c r="AB581" t="str">
        <f t="shared" si="127"/>
        <v>Off-Peak</v>
      </c>
      <c r="AC581" s="63">
        <f t="shared" si="128"/>
        <v>7.1428571428571425E-2</v>
      </c>
      <c r="AD581" t="str">
        <f>IF(P581&gt;=Stats!$C$30,"High",IF(P581&lt;=Stats!$C$29,"Low","Normal"))</f>
        <v>Normal</v>
      </c>
      <c r="AE581">
        <f t="shared" si="129"/>
        <v>1</v>
      </c>
    </row>
    <row r="582" spans="1:31" x14ac:dyDescent="0.2">
      <c r="A582">
        <f>Dataset_A!A582</f>
        <v>581</v>
      </c>
      <c r="B582" s="61">
        <f>Dataset_A!B582</f>
        <v>40569</v>
      </c>
      <c r="C582">
        <f>Dataset_A!C582</f>
        <v>1</v>
      </c>
      <c r="D582">
        <f>Dataset_A!D582</f>
        <v>0</v>
      </c>
      <c r="E582">
        <f>Dataset_A!E582</f>
        <v>1</v>
      </c>
      <c r="F582">
        <f>Dataset_A!F582</f>
        <v>11</v>
      </c>
      <c r="G582" t="b">
        <f>Dataset_A!G582</f>
        <v>0</v>
      </c>
      <c r="H582">
        <f>Dataset_A!H582</f>
        <v>3</v>
      </c>
      <c r="I582">
        <f>Dataset_A!I582</f>
        <v>3</v>
      </c>
      <c r="J582" s="55">
        <f>Dataset_A!J582</f>
        <v>0.22</v>
      </c>
      <c r="K582">
        <f>Dataset_A!K582</f>
        <v>0.19700000000000001</v>
      </c>
      <c r="L582">
        <f>Dataset_A!L582</f>
        <v>0.93</v>
      </c>
      <c r="M582">
        <f>Dataset_A!M582</f>
        <v>0.32840000000000003</v>
      </c>
      <c r="N582">
        <f>Dataset_A!N582</f>
        <v>6</v>
      </c>
      <c r="O582">
        <f>Dataset_A!O582</f>
        <v>35</v>
      </c>
      <c r="P582">
        <f>Dataset_A!P582</f>
        <v>41</v>
      </c>
      <c r="Q582" t="str">
        <f t="shared" si="117"/>
        <v>REC-0581</v>
      </c>
      <c r="R582" s="62">
        <f t="shared" si="118"/>
        <v>40569.458333333336</v>
      </c>
      <c r="S582" t="str">
        <f t="shared" si="119"/>
        <v>Jan</v>
      </c>
      <c r="T582" t="str">
        <f>INDEX(Lookups!$B$39:$B$45,MATCH(H582,Lookups!$A$39:$A$45,0))</f>
        <v>Wed</v>
      </c>
      <c r="U582" t="str">
        <f t="shared" si="120"/>
        <v>Weekday</v>
      </c>
      <c r="V582" t="str">
        <f t="shared" si="121"/>
        <v>Working Day</v>
      </c>
      <c r="W582" t="str">
        <f t="shared" si="122"/>
        <v>Spring</v>
      </c>
      <c r="X582" t="str">
        <f t="shared" si="123"/>
        <v>Light Rain/Snow</v>
      </c>
      <c r="Y582" t="str">
        <f t="shared" si="124"/>
        <v>Morning</v>
      </c>
      <c r="Z582" t="str">
        <f t="shared" si="125"/>
        <v>Mild</v>
      </c>
      <c r="AA582" t="str">
        <f t="shared" si="126"/>
        <v>High</v>
      </c>
      <c r="AB582" t="str">
        <f t="shared" si="127"/>
        <v>Off-Peak</v>
      </c>
      <c r="AC582" s="63">
        <f t="shared" si="128"/>
        <v>0.14634146341463414</v>
      </c>
      <c r="AD582" t="str">
        <f>IF(P582&gt;=Stats!$C$30,"High",IF(P582&lt;=Stats!$C$29,"Low","Normal"))</f>
        <v>Normal</v>
      </c>
      <c r="AE582">
        <f t="shared" si="129"/>
        <v>1</v>
      </c>
    </row>
    <row r="583" spans="1:31" x14ac:dyDescent="0.2">
      <c r="A583">
        <f>Dataset_A!A583</f>
        <v>582</v>
      </c>
      <c r="B583" s="61">
        <f>Dataset_A!B583</f>
        <v>40569</v>
      </c>
      <c r="C583">
        <f>Dataset_A!C583</f>
        <v>1</v>
      </c>
      <c r="D583">
        <f>Dataset_A!D583</f>
        <v>0</v>
      </c>
      <c r="E583">
        <f>Dataset_A!E583</f>
        <v>1</v>
      </c>
      <c r="F583">
        <f>Dataset_A!F583</f>
        <v>12</v>
      </c>
      <c r="G583" t="b">
        <f>Dataset_A!G583</f>
        <v>0</v>
      </c>
      <c r="H583">
        <f>Dataset_A!H583</f>
        <v>3</v>
      </c>
      <c r="I583">
        <f>Dataset_A!I583</f>
        <v>3</v>
      </c>
      <c r="J583" s="55">
        <f>Dataset_A!J583</f>
        <v>0.22</v>
      </c>
      <c r="K583">
        <f>Dataset_A!K583</f>
        <v>0.19700000000000001</v>
      </c>
      <c r="L583">
        <f>Dataset_A!L583</f>
        <v>0.93</v>
      </c>
      <c r="M583">
        <f>Dataset_A!M583</f>
        <v>0.32840000000000003</v>
      </c>
      <c r="N583">
        <f>Dataset_A!N583</f>
        <v>7</v>
      </c>
      <c r="O583">
        <f>Dataset_A!O583</f>
        <v>41</v>
      </c>
      <c r="P583">
        <f>Dataset_A!P583</f>
        <v>48</v>
      </c>
      <c r="Q583" t="str">
        <f t="shared" si="117"/>
        <v>REC-0582</v>
      </c>
      <c r="R583" s="62">
        <f t="shared" si="118"/>
        <v>40569.5</v>
      </c>
      <c r="S583" t="str">
        <f t="shared" si="119"/>
        <v>Jan</v>
      </c>
      <c r="T583" t="str">
        <f>INDEX(Lookups!$B$39:$B$45,MATCH(H583,Lookups!$A$39:$A$45,0))</f>
        <v>Wed</v>
      </c>
      <c r="U583" t="str">
        <f t="shared" si="120"/>
        <v>Weekday</v>
      </c>
      <c r="V583" t="str">
        <f t="shared" si="121"/>
        <v>Working Day</v>
      </c>
      <c r="W583" t="str">
        <f t="shared" si="122"/>
        <v>Spring</v>
      </c>
      <c r="X583" t="str">
        <f t="shared" si="123"/>
        <v>Light Rain/Snow</v>
      </c>
      <c r="Y583" t="str">
        <f t="shared" si="124"/>
        <v>Afternoon</v>
      </c>
      <c r="Z583" t="str">
        <f t="shared" si="125"/>
        <v>Mild</v>
      </c>
      <c r="AA583" t="str">
        <f t="shared" si="126"/>
        <v>High</v>
      </c>
      <c r="AB583" t="str">
        <f t="shared" si="127"/>
        <v>Off-Peak</v>
      </c>
      <c r="AC583" s="63">
        <f t="shared" si="128"/>
        <v>0.14583333333333334</v>
      </c>
      <c r="AD583" t="str">
        <f>IF(P583&gt;=Stats!$C$30,"High",IF(P583&lt;=Stats!$C$29,"Low","Normal"))</f>
        <v>Normal</v>
      </c>
      <c r="AE583">
        <f t="shared" si="129"/>
        <v>1</v>
      </c>
    </row>
    <row r="584" spans="1:31" x14ac:dyDescent="0.2">
      <c r="A584">
        <f>Dataset_A!A584</f>
        <v>583</v>
      </c>
      <c r="B584" s="61">
        <f>Dataset_A!B584</f>
        <v>40569</v>
      </c>
      <c r="C584">
        <f>Dataset_A!C584</f>
        <v>1</v>
      </c>
      <c r="D584">
        <f>Dataset_A!D584</f>
        <v>0</v>
      </c>
      <c r="E584">
        <f>Dataset_A!E584</f>
        <v>1</v>
      </c>
      <c r="F584">
        <f>Dataset_A!F584</f>
        <v>13</v>
      </c>
      <c r="G584" t="b">
        <f>Dataset_A!G584</f>
        <v>0</v>
      </c>
      <c r="H584">
        <f>Dataset_A!H584</f>
        <v>3</v>
      </c>
      <c r="I584">
        <f>Dataset_A!I584</f>
        <v>3</v>
      </c>
      <c r="J584" s="55">
        <f>Dataset_A!J584</f>
        <v>0.22</v>
      </c>
      <c r="K584">
        <f>Dataset_A!K584</f>
        <v>0.19700000000000001</v>
      </c>
      <c r="L584">
        <f>Dataset_A!L584</f>
        <v>0.93</v>
      </c>
      <c r="M584">
        <f>Dataset_A!M584</f>
        <v>0.32840000000000003</v>
      </c>
      <c r="N584">
        <f>Dataset_A!N584</f>
        <v>4</v>
      </c>
      <c r="O584">
        <f>Dataset_A!O584</f>
        <v>43</v>
      </c>
      <c r="P584">
        <f>Dataset_A!P584</f>
        <v>47</v>
      </c>
      <c r="Q584" t="str">
        <f t="shared" si="117"/>
        <v>REC-0583</v>
      </c>
      <c r="R584" s="62">
        <f t="shared" si="118"/>
        <v>40569.541666666664</v>
      </c>
      <c r="S584" t="str">
        <f t="shared" si="119"/>
        <v>Jan</v>
      </c>
      <c r="T584" t="str">
        <f>INDEX(Lookups!$B$39:$B$45,MATCH(H584,Lookups!$A$39:$A$45,0))</f>
        <v>Wed</v>
      </c>
      <c r="U584" t="str">
        <f t="shared" si="120"/>
        <v>Weekday</v>
      </c>
      <c r="V584" t="str">
        <f t="shared" si="121"/>
        <v>Working Day</v>
      </c>
      <c r="W584" t="str">
        <f t="shared" si="122"/>
        <v>Spring</v>
      </c>
      <c r="X584" t="str">
        <f t="shared" si="123"/>
        <v>Light Rain/Snow</v>
      </c>
      <c r="Y584" t="str">
        <f t="shared" si="124"/>
        <v>Afternoon</v>
      </c>
      <c r="Z584" t="str">
        <f t="shared" si="125"/>
        <v>Mild</v>
      </c>
      <c r="AA584" t="str">
        <f t="shared" si="126"/>
        <v>High</v>
      </c>
      <c r="AB584" t="str">
        <f t="shared" si="127"/>
        <v>Off-Peak</v>
      </c>
      <c r="AC584" s="63">
        <f t="shared" si="128"/>
        <v>8.5106382978723402E-2</v>
      </c>
      <c r="AD584" t="str">
        <f>IF(P584&gt;=Stats!$C$30,"High",IF(P584&lt;=Stats!$C$29,"Low","Normal"))</f>
        <v>Normal</v>
      </c>
      <c r="AE584">
        <f t="shared" si="129"/>
        <v>1</v>
      </c>
    </row>
    <row r="585" spans="1:31" x14ac:dyDescent="0.2">
      <c r="A585">
        <f>Dataset_A!A585</f>
        <v>584</v>
      </c>
      <c r="B585" s="61">
        <f>Dataset_A!B585</f>
        <v>40569</v>
      </c>
      <c r="C585">
        <f>Dataset_A!C585</f>
        <v>1</v>
      </c>
      <c r="D585">
        <f>Dataset_A!D585</f>
        <v>0</v>
      </c>
      <c r="E585">
        <f>Dataset_A!E585</f>
        <v>1</v>
      </c>
      <c r="F585">
        <f>Dataset_A!F585</f>
        <v>14</v>
      </c>
      <c r="G585" t="b">
        <f>Dataset_A!G585</f>
        <v>0</v>
      </c>
      <c r="H585">
        <f>Dataset_A!H585</f>
        <v>3</v>
      </c>
      <c r="I585">
        <f>Dataset_A!I585</f>
        <v>3</v>
      </c>
      <c r="J585" s="55">
        <f>Dataset_A!J585</f>
        <v>0.22</v>
      </c>
      <c r="K585">
        <f>Dataset_A!K585</f>
        <v>0.19700000000000001</v>
      </c>
      <c r="L585">
        <f>Dataset_A!L585</f>
        <v>0.93</v>
      </c>
      <c r="M585">
        <f>Dataset_A!M585</f>
        <v>0.35820000000000002</v>
      </c>
      <c r="N585">
        <f>Dataset_A!N585</f>
        <v>0</v>
      </c>
      <c r="O585">
        <f>Dataset_A!O585</f>
        <v>36</v>
      </c>
      <c r="P585">
        <f>Dataset_A!P585</f>
        <v>36</v>
      </c>
      <c r="Q585" t="str">
        <f t="shared" si="117"/>
        <v>REC-0584</v>
      </c>
      <c r="R585" s="62">
        <f t="shared" si="118"/>
        <v>40569.583333333336</v>
      </c>
      <c r="S585" t="str">
        <f t="shared" si="119"/>
        <v>Jan</v>
      </c>
      <c r="T585" t="str">
        <f>INDEX(Lookups!$B$39:$B$45,MATCH(H585,Lookups!$A$39:$A$45,0))</f>
        <v>Wed</v>
      </c>
      <c r="U585" t="str">
        <f t="shared" si="120"/>
        <v>Weekday</v>
      </c>
      <c r="V585" t="str">
        <f t="shared" si="121"/>
        <v>Working Day</v>
      </c>
      <c r="W585" t="str">
        <f t="shared" si="122"/>
        <v>Spring</v>
      </c>
      <c r="X585" t="str">
        <f t="shared" si="123"/>
        <v>Light Rain/Snow</v>
      </c>
      <c r="Y585" t="str">
        <f t="shared" si="124"/>
        <v>Afternoon</v>
      </c>
      <c r="Z585" t="str">
        <f t="shared" si="125"/>
        <v>Mild</v>
      </c>
      <c r="AA585" t="str">
        <f t="shared" si="126"/>
        <v>High</v>
      </c>
      <c r="AB585" t="str">
        <f t="shared" si="127"/>
        <v>Off-Peak</v>
      </c>
      <c r="AC585" s="63">
        <f t="shared" si="128"/>
        <v>0</v>
      </c>
      <c r="AD585" t="str">
        <f>IF(P585&gt;=Stats!$C$30,"High",IF(P585&lt;=Stats!$C$29,"Low","Normal"))</f>
        <v>Normal</v>
      </c>
      <c r="AE585">
        <f t="shared" si="129"/>
        <v>1</v>
      </c>
    </row>
    <row r="586" spans="1:31" x14ac:dyDescent="0.2">
      <c r="A586">
        <f>Dataset_A!A586</f>
        <v>585</v>
      </c>
      <c r="B586" s="61">
        <f>Dataset_A!B586</f>
        <v>40569</v>
      </c>
      <c r="C586">
        <f>Dataset_A!C586</f>
        <v>1</v>
      </c>
      <c r="D586">
        <f>Dataset_A!D586</f>
        <v>0</v>
      </c>
      <c r="E586">
        <f>Dataset_A!E586</f>
        <v>1</v>
      </c>
      <c r="F586">
        <f>Dataset_A!F586</f>
        <v>15</v>
      </c>
      <c r="G586" t="b">
        <f>Dataset_A!G586</f>
        <v>0</v>
      </c>
      <c r="H586">
        <f>Dataset_A!H586</f>
        <v>3</v>
      </c>
      <c r="I586">
        <f>Dataset_A!I586</f>
        <v>3</v>
      </c>
      <c r="J586" s="55">
        <f>Dataset_A!J586</f>
        <v>0.22</v>
      </c>
      <c r="K586">
        <f>Dataset_A!K586</f>
        <v>0.18179999999999999</v>
      </c>
      <c r="L586">
        <f>Dataset_A!L586</f>
        <v>0.93</v>
      </c>
      <c r="M586">
        <f>Dataset_A!M586</f>
        <v>0.4627</v>
      </c>
      <c r="N586">
        <f>Dataset_A!N586</f>
        <v>1</v>
      </c>
      <c r="O586">
        <f>Dataset_A!O586</f>
        <v>42</v>
      </c>
      <c r="P586">
        <f>Dataset_A!P586</f>
        <v>43</v>
      </c>
      <c r="Q586" t="str">
        <f t="shared" si="117"/>
        <v>REC-0585</v>
      </c>
      <c r="R586" s="62">
        <f t="shared" si="118"/>
        <v>40569.625</v>
      </c>
      <c r="S586" t="str">
        <f t="shared" si="119"/>
        <v>Jan</v>
      </c>
      <c r="T586" t="str">
        <f>INDEX(Lookups!$B$39:$B$45,MATCH(H586,Lookups!$A$39:$A$45,0))</f>
        <v>Wed</v>
      </c>
      <c r="U586" t="str">
        <f t="shared" si="120"/>
        <v>Weekday</v>
      </c>
      <c r="V586" t="str">
        <f t="shared" si="121"/>
        <v>Working Day</v>
      </c>
      <c r="W586" t="str">
        <f t="shared" si="122"/>
        <v>Spring</v>
      </c>
      <c r="X586" t="str">
        <f t="shared" si="123"/>
        <v>Light Rain/Snow</v>
      </c>
      <c r="Y586" t="str">
        <f t="shared" si="124"/>
        <v>Afternoon</v>
      </c>
      <c r="Z586" t="str">
        <f t="shared" si="125"/>
        <v>Mild</v>
      </c>
      <c r="AA586" t="str">
        <f t="shared" si="126"/>
        <v>High</v>
      </c>
      <c r="AB586" t="str">
        <f t="shared" si="127"/>
        <v>Off-Peak</v>
      </c>
      <c r="AC586" s="63">
        <f t="shared" si="128"/>
        <v>2.3255813953488372E-2</v>
      </c>
      <c r="AD586" t="str">
        <f>IF(P586&gt;=Stats!$C$30,"High",IF(P586&lt;=Stats!$C$29,"Low","Normal"))</f>
        <v>Normal</v>
      </c>
      <c r="AE586">
        <f t="shared" si="129"/>
        <v>1</v>
      </c>
    </row>
    <row r="587" spans="1:31" x14ac:dyDescent="0.2">
      <c r="A587">
        <f>Dataset_A!A587</f>
        <v>586</v>
      </c>
      <c r="B587" s="61">
        <f>Dataset_A!B587</f>
        <v>40569</v>
      </c>
      <c r="C587">
        <f>Dataset_A!C587</f>
        <v>1</v>
      </c>
      <c r="D587">
        <f>Dataset_A!D587</f>
        <v>0</v>
      </c>
      <c r="E587">
        <f>Dataset_A!E587</f>
        <v>1</v>
      </c>
      <c r="F587">
        <f>Dataset_A!F587</f>
        <v>16</v>
      </c>
      <c r="G587" t="b">
        <f>Dataset_A!G587</f>
        <v>0</v>
      </c>
      <c r="H587">
        <f>Dataset_A!H587</f>
        <v>3</v>
      </c>
      <c r="I587">
        <f>Dataset_A!I587</f>
        <v>4</v>
      </c>
      <c r="J587" s="55">
        <f>Dataset_A!J587</f>
        <v>0.22</v>
      </c>
      <c r="K587">
        <f>Dataset_A!K587</f>
        <v>0.19700000000000001</v>
      </c>
      <c r="L587">
        <f>Dataset_A!L587</f>
        <v>0.93</v>
      </c>
      <c r="M587">
        <f>Dataset_A!M587</f>
        <v>0.32840000000000003</v>
      </c>
      <c r="N587">
        <f>Dataset_A!N587</f>
        <v>1</v>
      </c>
      <c r="O587">
        <f>Dataset_A!O587</f>
        <v>35</v>
      </c>
      <c r="P587">
        <f>Dataset_A!P587</f>
        <v>36</v>
      </c>
      <c r="Q587" t="str">
        <f t="shared" si="117"/>
        <v>REC-0586</v>
      </c>
      <c r="R587" s="62">
        <f t="shared" si="118"/>
        <v>40569.666666666664</v>
      </c>
      <c r="S587" t="str">
        <f t="shared" si="119"/>
        <v>Jan</v>
      </c>
      <c r="T587" t="str">
        <f>INDEX(Lookups!$B$39:$B$45,MATCH(H587,Lookups!$A$39:$A$45,0))</f>
        <v>Wed</v>
      </c>
      <c r="U587" t="str">
        <f t="shared" si="120"/>
        <v>Weekday</v>
      </c>
      <c r="V587" t="str">
        <f t="shared" si="121"/>
        <v>Working Day</v>
      </c>
      <c r="W587" t="str">
        <f t="shared" si="122"/>
        <v>Spring</v>
      </c>
      <c r="X587" t="str">
        <f t="shared" si="123"/>
        <v>Heavy Rain</v>
      </c>
      <c r="Y587" t="str">
        <f t="shared" si="124"/>
        <v>Afternoon</v>
      </c>
      <c r="Z587" t="str">
        <f t="shared" si="125"/>
        <v>Mild</v>
      </c>
      <c r="AA587" t="str">
        <f t="shared" si="126"/>
        <v>High</v>
      </c>
      <c r="AB587" t="str">
        <f t="shared" si="127"/>
        <v>Peak</v>
      </c>
      <c r="AC587" s="63">
        <f t="shared" si="128"/>
        <v>2.7777777777777776E-2</v>
      </c>
      <c r="AD587" t="str">
        <f>IF(P587&gt;=Stats!$C$30,"High",IF(P587&lt;=Stats!$C$29,"Low","Normal"))</f>
        <v>Normal</v>
      </c>
      <c r="AE587">
        <f t="shared" si="129"/>
        <v>1</v>
      </c>
    </row>
    <row r="588" spans="1:31" x14ac:dyDescent="0.2">
      <c r="A588">
        <f>Dataset_A!A588</f>
        <v>587</v>
      </c>
      <c r="B588" s="61">
        <f>Dataset_A!B588</f>
        <v>40569</v>
      </c>
      <c r="C588">
        <f>Dataset_A!C588</f>
        <v>1</v>
      </c>
      <c r="D588">
        <f>Dataset_A!D588</f>
        <v>0</v>
      </c>
      <c r="E588">
        <f>Dataset_A!E588</f>
        <v>1</v>
      </c>
      <c r="F588">
        <f>Dataset_A!F588</f>
        <v>17</v>
      </c>
      <c r="G588" t="b">
        <f>Dataset_A!G588</f>
        <v>0</v>
      </c>
      <c r="H588">
        <f>Dataset_A!H588</f>
        <v>3</v>
      </c>
      <c r="I588">
        <f>Dataset_A!I588</f>
        <v>3</v>
      </c>
      <c r="J588" s="55">
        <f>Dataset_A!J588</f>
        <v>0.2</v>
      </c>
      <c r="K588">
        <f>Dataset_A!K588</f>
        <v>0.18179999999999999</v>
      </c>
      <c r="L588">
        <f>Dataset_A!L588</f>
        <v>0.93</v>
      </c>
      <c r="M588">
        <f>Dataset_A!M588</f>
        <v>0.35820000000000002</v>
      </c>
      <c r="N588">
        <f>Dataset_A!N588</f>
        <v>0</v>
      </c>
      <c r="O588">
        <f>Dataset_A!O588</f>
        <v>26</v>
      </c>
      <c r="P588">
        <f>Dataset_A!P588</f>
        <v>26</v>
      </c>
      <c r="Q588" t="str">
        <f t="shared" si="117"/>
        <v>REC-0587</v>
      </c>
      <c r="R588" s="62">
        <f t="shared" si="118"/>
        <v>40569.708333333336</v>
      </c>
      <c r="S588" t="str">
        <f t="shared" si="119"/>
        <v>Jan</v>
      </c>
      <c r="T588" t="str">
        <f>INDEX(Lookups!$B$39:$B$45,MATCH(H588,Lookups!$A$39:$A$45,0))</f>
        <v>Wed</v>
      </c>
      <c r="U588" t="str">
        <f t="shared" si="120"/>
        <v>Weekday</v>
      </c>
      <c r="V588" t="str">
        <f t="shared" si="121"/>
        <v>Working Day</v>
      </c>
      <c r="W588" t="str">
        <f t="shared" si="122"/>
        <v>Spring</v>
      </c>
      <c r="X588" t="str">
        <f t="shared" si="123"/>
        <v>Light Rain/Snow</v>
      </c>
      <c r="Y588" t="str">
        <f t="shared" si="124"/>
        <v>Evening</v>
      </c>
      <c r="Z588" t="str">
        <f t="shared" si="125"/>
        <v>Mild</v>
      </c>
      <c r="AA588" t="str">
        <f t="shared" si="126"/>
        <v>High</v>
      </c>
      <c r="AB588" t="str">
        <f t="shared" si="127"/>
        <v>Peak</v>
      </c>
      <c r="AC588" s="63">
        <f t="shared" si="128"/>
        <v>0</v>
      </c>
      <c r="AD588" t="str">
        <f>IF(P588&gt;=Stats!$C$30,"High",IF(P588&lt;=Stats!$C$29,"Low","Normal"))</f>
        <v>Normal</v>
      </c>
      <c r="AE588">
        <f t="shared" si="129"/>
        <v>1</v>
      </c>
    </row>
    <row r="589" spans="1:31" x14ac:dyDescent="0.2">
      <c r="A589">
        <f>Dataset_A!A589</f>
        <v>588</v>
      </c>
      <c r="B589" s="61">
        <f>Dataset_A!B589</f>
        <v>40570</v>
      </c>
      <c r="C589">
        <f>Dataset_A!C589</f>
        <v>1</v>
      </c>
      <c r="D589">
        <f>Dataset_A!D589</f>
        <v>0</v>
      </c>
      <c r="E589">
        <f>Dataset_A!E589</f>
        <v>1</v>
      </c>
      <c r="F589">
        <f>Dataset_A!F589</f>
        <v>16</v>
      </c>
      <c r="G589" t="b">
        <f>Dataset_A!G589</f>
        <v>0</v>
      </c>
      <c r="H589">
        <f>Dataset_A!H589</f>
        <v>4</v>
      </c>
      <c r="I589">
        <f>Dataset_A!I589</f>
        <v>1</v>
      </c>
      <c r="J589" s="55">
        <f>Dataset_A!J589</f>
        <v>0.22</v>
      </c>
      <c r="K589">
        <f>Dataset_A!K589</f>
        <v>0.2273</v>
      </c>
      <c r="L589">
        <f>Dataset_A!L589</f>
        <v>0.55000000000000004</v>
      </c>
      <c r="M589">
        <f>Dataset_A!M589</f>
        <v>0.19400000000000001</v>
      </c>
      <c r="N589">
        <f>Dataset_A!N589</f>
        <v>1</v>
      </c>
      <c r="O589">
        <f>Dataset_A!O589</f>
        <v>23</v>
      </c>
      <c r="P589">
        <f>Dataset_A!P589</f>
        <v>24</v>
      </c>
      <c r="Q589" t="str">
        <f t="shared" si="117"/>
        <v>REC-0588</v>
      </c>
      <c r="R589" s="62">
        <f t="shared" si="118"/>
        <v>40570.666666666664</v>
      </c>
      <c r="S589" t="str">
        <f t="shared" si="119"/>
        <v>Jan</v>
      </c>
      <c r="T589" t="str">
        <f>INDEX(Lookups!$B$39:$B$45,MATCH(H589,Lookups!$A$39:$A$45,0))</f>
        <v>Thu</v>
      </c>
      <c r="U589" t="str">
        <f t="shared" si="120"/>
        <v>Weekday</v>
      </c>
      <c r="V589" t="str">
        <f t="shared" si="121"/>
        <v>Working Day</v>
      </c>
      <c r="W589" t="str">
        <f t="shared" si="122"/>
        <v>Spring</v>
      </c>
      <c r="X589" t="str">
        <f t="shared" si="123"/>
        <v>Clear</v>
      </c>
      <c r="Y589" t="str">
        <f t="shared" si="124"/>
        <v>Afternoon</v>
      </c>
      <c r="Z589" t="str">
        <f t="shared" si="125"/>
        <v>Mild</v>
      </c>
      <c r="AA589" t="str">
        <f t="shared" si="126"/>
        <v>Medium</v>
      </c>
      <c r="AB589" t="str">
        <f t="shared" si="127"/>
        <v>Peak</v>
      </c>
      <c r="AC589" s="63">
        <f t="shared" si="128"/>
        <v>4.1666666666666664E-2</v>
      </c>
      <c r="AD589" t="str">
        <f>IF(P589&gt;=Stats!$C$30,"High",IF(P589&lt;=Stats!$C$29,"Low","Normal"))</f>
        <v>Normal</v>
      </c>
      <c r="AE589">
        <f t="shared" si="129"/>
        <v>1</v>
      </c>
    </row>
    <row r="590" spans="1:31" x14ac:dyDescent="0.2">
      <c r="A590">
        <f>Dataset_A!A590</f>
        <v>589</v>
      </c>
      <c r="B590" s="61">
        <f>Dataset_A!B590</f>
        <v>40570</v>
      </c>
      <c r="C590">
        <f>Dataset_A!C590</f>
        <v>1</v>
      </c>
      <c r="D590">
        <f>Dataset_A!D590</f>
        <v>0</v>
      </c>
      <c r="E590">
        <f>Dataset_A!E590</f>
        <v>1</v>
      </c>
      <c r="F590">
        <f>Dataset_A!F590</f>
        <v>17</v>
      </c>
      <c r="G590" t="b">
        <f>Dataset_A!G590</f>
        <v>0</v>
      </c>
      <c r="H590">
        <f>Dataset_A!H590</f>
        <v>4</v>
      </c>
      <c r="I590">
        <f>Dataset_A!I590</f>
        <v>1</v>
      </c>
      <c r="J590" s="55">
        <f>Dataset_A!J590</f>
        <v>0.22</v>
      </c>
      <c r="K590">
        <f>Dataset_A!K590</f>
        <v>0.2424</v>
      </c>
      <c r="L590">
        <f>Dataset_A!L590</f>
        <v>0.55000000000000004</v>
      </c>
      <c r="M590">
        <f>Dataset_A!M590</f>
        <v>0.1045</v>
      </c>
      <c r="N590">
        <f>Dataset_A!N590</f>
        <v>2</v>
      </c>
      <c r="O590">
        <f>Dataset_A!O590</f>
        <v>82</v>
      </c>
      <c r="P590">
        <f>Dataset_A!P590</f>
        <v>84</v>
      </c>
      <c r="Q590" t="str">
        <f t="shared" si="117"/>
        <v>REC-0589</v>
      </c>
      <c r="R590" s="62">
        <f t="shared" si="118"/>
        <v>40570.708333333336</v>
      </c>
      <c r="S590" t="str">
        <f t="shared" si="119"/>
        <v>Jan</v>
      </c>
      <c r="T590" t="str">
        <f>INDEX(Lookups!$B$39:$B$45,MATCH(H590,Lookups!$A$39:$A$45,0))</f>
        <v>Thu</v>
      </c>
      <c r="U590" t="str">
        <f t="shared" si="120"/>
        <v>Weekday</v>
      </c>
      <c r="V590" t="str">
        <f t="shared" si="121"/>
        <v>Working Day</v>
      </c>
      <c r="W590" t="str">
        <f t="shared" si="122"/>
        <v>Spring</v>
      </c>
      <c r="X590" t="str">
        <f t="shared" si="123"/>
        <v>Clear</v>
      </c>
      <c r="Y590" t="str">
        <f t="shared" si="124"/>
        <v>Evening</v>
      </c>
      <c r="Z590" t="str">
        <f t="shared" si="125"/>
        <v>Mild</v>
      </c>
      <c r="AA590" t="str">
        <f t="shared" si="126"/>
        <v>Medium</v>
      </c>
      <c r="AB590" t="str">
        <f t="shared" si="127"/>
        <v>Peak</v>
      </c>
      <c r="AC590" s="63">
        <f t="shared" si="128"/>
        <v>2.3809523809523808E-2</v>
      </c>
      <c r="AD590" t="str">
        <f>IF(P590&gt;=Stats!$C$30,"High",IF(P590&lt;=Stats!$C$29,"Low","Normal"))</f>
        <v>High</v>
      </c>
      <c r="AE590">
        <f t="shared" si="129"/>
        <v>1</v>
      </c>
    </row>
    <row r="591" spans="1:31" x14ac:dyDescent="0.2">
      <c r="A591">
        <f>Dataset_A!A591</f>
        <v>590</v>
      </c>
      <c r="B591" s="61">
        <f>Dataset_A!B591</f>
        <v>40570</v>
      </c>
      <c r="C591">
        <f>Dataset_A!C591</f>
        <v>1</v>
      </c>
      <c r="D591">
        <f>Dataset_A!D591</f>
        <v>0</v>
      </c>
      <c r="E591">
        <f>Dataset_A!E591</f>
        <v>1</v>
      </c>
      <c r="F591">
        <f>Dataset_A!F591</f>
        <v>18</v>
      </c>
      <c r="G591" t="b">
        <f>Dataset_A!G591</f>
        <v>0</v>
      </c>
      <c r="H591">
        <f>Dataset_A!H591</f>
        <v>4</v>
      </c>
      <c r="I591">
        <f>Dataset_A!I591</f>
        <v>1</v>
      </c>
      <c r="J591" s="55">
        <f>Dataset_A!J591</f>
        <v>0.2</v>
      </c>
      <c r="K591">
        <f>Dataset_A!K591</f>
        <v>0.2273</v>
      </c>
      <c r="L591">
        <f>Dataset_A!L591</f>
        <v>0.69</v>
      </c>
      <c r="M591">
        <f>Dataset_A!M591</f>
        <v>8.9599999999999999E-2</v>
      </c>
      <c r="N591">
        <f>Dataset_A!N591</f>
        <v>3</v>
      </c>
      <c r="O591">
        <f>Dataset_A!O591</f>
        <v>101</v>
      </c>
      <c r="P591">
        <f>Dataset_A!P591</f>
        <v>104</v>
      </c>
      <c r="Q591" t="str">
        <f t="shared" si="117"/>
        <v>REC-0590</v>
      </c>
      <c r="R591" s="62">
        <f t="shared" si="118"/>
        <v>40570.75</v>
      </c>
      <c r="S591" t="str">
        <f t="shared" si="119"/>
        <v>Jan</v>
      </c>
      <c r="T591" t="str">
        <f>INDEX(Lookups!$B$39:$B$45,MATCH(H591,Lookups!$A$39:$A$45,0))</f>
        <v>Thu</v>
      </c>
      <c r="U591" t="str">
        <f t="shared" si="120"/>
        <v>Weekday</v>
      </c>
      <c r="V591" t="str">
        <f t="shared" si="121"/>
        <v>Working Day</v>
      </c>
      <c r="W591" t="str">
        <f t="shared" si="122"/>
        <v>Spring</v>
      </c>
      <c r="X591" t="str">
        <f t="shared" si="123"/>
        <v>Clear</v>
      </c>
      <c r="Y591" t="str">
        <f t="shared" si="124"/>
        <v>Evening</v>
      </c>
      <c r="Z591" t="str">
        <f t="shared" si="125"/>
        <v>Mild</v>
      </c>
      <c r="AA591" t="str">
        <f t="shared" si="126"/>
        <v>Medium</v>
      </c>
      <c r="AB591" t="str">
        <f t="shared" si="127"/>
        <v>Peak</v>
      </c>
      <c r="AC591" s="63">
        <f t="shared" si="128"/>
        <v>2.8846153846153848E-2</v>
      </c>
      <c r="AD591" t="str">
        <f>IF(P591&gt;=Stats!$C$30,"High",IF(P591&lt;=Stats!$C$29,"Low","Normal"))</f>
        <v>High</v>
      </c>
      <c r="AE591">
        <f t="shared" si="129"/>
        <v>1</v>
      </c>
    </row>
    <row r="592" spans="1:31" x14ac:dyDescent="0.2">
      <c r="A592">
        <f>Dataset_A!A592</f>
        <v>591</v>
      </c>
      <c r="B592" s="61">
        <f>Dataset_A!B592</f>
        <v>40570</v>
      </c>
      <c r="C592">
        <f>Dataset_A!C592</f>
        <v>1</v>
      </c>
      <c r="D592">
        <f>Dataset_A!D592</f>
        <v>0</v>
      </c>
      <c r="E592">
        <f>Dataset_A!E592</f>
        <v>1</v>
      </c>
      <c r="F592">
        <f>Dataset_A!F592</f>
        <v>19</v>
      </c>
      <c r="G592" t="b">
        <f>Dataset_A!G592</f>
        <v>0</v>
      </c>
      <c r="H592">
        <f>Dataset_A!H592</f>
        <v>4</v>
      </c>
      <c r="I592">
        <f>Dataset_A!I592</f>
        <v>1</v>
      </c>
      <c r="J592" s="55">
        <f>Dataset_A!J592</f>
        <v>0.2</v>
      </c>
      <c r="K592">
        <f>Dataset_A!K592</f>
        <v>0.2273</v>
      </c>
      <c r="L592">
        <f>Dataset_A!L592</f>
        <v>0.69</v>
      </c>
      <c r="M592">
        <f>Dataset_A!M592</f>
        <v>8.9599999999999999E-2</v>
      </c>
      <c r="N592">
        <f>Dataset_A!N592</f>
        <v>3</v>
      </c>
      <c r="O592">
        <f>Dataset_A!O592</f>
        <v>76</v>
      </c>
      <c r="P592">
        <f>Dataset_A!P592</f>
        <v>79</v>
      </c>
      <c r="Q592" t="str">
        <f t="shared" si="117"/>
        <v>REC-0591</v>
      </c>
      <c r="R592" s="62">
        <f t="shared" si="118"/>
        <v>40570.791666666664</v>
      </c>
      <c r="S592" t="str">
        <f t="shared" si="119"/>
        <v>Jan</v>
      </c>
      <c r="T592" t="str">
        <f>INDEX(Lookups!$B$39:$B$45,MATCH(H592,Lookups!$A$39:$A$45,0))</f>
        <v>Thu</v>
      </c>
      <c r="U592" t="str">
        <f t="shared" si="120"/>
        <v>Weekday</v>
      </c>
      <c r="V592" t="str">
        <f t="shared" si="121"/>
        <v>Working Day</v>
      </c>
      <c r="W592" t="str">
        <f t="shared" si="122"/>
        <v>Spring</v>
      </c>
      <c r="X592" t="str">
        <f t="shared" si="123"/>
        <v>Clear</v>
      </c>
      <c r="Y592" t="str">
        <f t="shared" si="124"/>
        <v>Evening</v>
      </c>
      <c r="Z592" t="str">
        <f t="shared" si="125"/>
        <v>Mild</v>
      </c>
      <c r="AA592" t="str">
        <f t="shared" si="126"/>
        <v>Medium</v>
      </c>
      <c r="AB592" t="str">
        <f t="shared" si="127"/>
        <v>Peak</v>
      </c>
      <c r="AC592" s="63">
        <f t="shared" si="128"/>
        <v>3.7974683544303799E-2</v>
      </c>
      <c r="AD592" t="str">
        <f>IF(P592&gt;=Stats!$C$30,"High",IF(P592&lt;=Stats!$C$29,"Low","Normal"))</f>
        <v>Normal</v>
      </c>
      <c r="AE592">
        <f t="shared" si="129"/>
        <v>1</v>
      </c>
    </row>
    <row r="593" spans="1:31" x14ac:dyDescent="0.2">
      <c r="A593">
        <f>Dataset_A!A593</f>
        <v>592</v>
      </c>
      <c r="B593" s="61">
        <f>Dataset_A!B593</f>
        <v>40570</v>
      </c>
      <c r="C593">
        <f>Dataset_A!C593</f>
        <v>1</v>
      </c>
      <c r="D593">
        <f>Dataset_A!D593</f>
        <v>0</v>
      </c>
      <c r="E593">
        <f>Dataset_A!E593</f>
        <v>1</v>
      </c>
      <c r="F593">
        <f>Dataset_A!F593</f>
        <v>20</v>
      </c>
      <c r="G593" t="b">
        <f>Dataset_A!G593</f>
        <v>0</v>
      </c>
      <c r="H593">
        <f>Dataset_A!H593</f>
        <v>4</v>
      </c>
      <c r="I593">
        <f>Dataset_A!I593</f>
        <v>1</v>
      </c>
      <c r="J593" s="55">
        <f>Dataset_A!J593</f>
        <v>0.18</v>
      </c>
      <c r="K593">
        <f>Dataset_A!K593</f>
        <v>0.21210000000000001</v>
      </c>
      <c r="L593">
        <f>Dataset_A!L593</f>
        <v>0.74</v>
      </c>
      <c r="M593">
        <f>Dataset_A!M593</f>
        <v>8.9599999999999999E-2</v>
      </c>
      <c r="N593">
        <f>Dataset_A!N593</f>
        <v>4</v>
      </c>
      <c r="O593">
        <f>Dataset_A!O593</f>
        <v>55</v>
      </c>
      <c r="P593">
        <f>Dataset_A!P593</f>
        <v>59</v>
      </c>
      <c r="Q593" t="str">
        <f t="shared" si="117"/>
        <v>REC-0592</v>
      </c>
      <c r="R593" s="62">
        <f t="shared" si="118"/>
        <v>40570.833333333336</v>
      </c>
      <c r="S593" t="str">
        <f t="shared" si="119"/>
        <v>Jan</v>
      </c>
      <c r="T593" t="str">
        <f>INDEX(Lookups!$B$39:$B$45,MATCH(H593,Lookups!$A$39:$A$45,0))</f>
        <v>Thu</v>
      </c>
      <c r="U593" t="str">
        <f t="shared" si="120"/>
        <v>Weekday</v>
      </c>
      <c r="V593" t="str">
        <f t="shared" si="121"/>
        <v>Working Day</v>
      </c>
      <c r="W593" t="str">
        <f t="shared" si="122"/>
        <v>Spring</v>
      </c>
      <c r="X593" t="str">
        <f t="shared" si="123"/>
        <v>Clear</v>
      </c>
      <c r="Y593" t="str">
        <f t="shared" si="124"/>
        <v>Evening</v>
      </c>
      <c r="Z593" t="str">
        <f t="shared" si="125"/>
        <v>Cold</v>
      </c>
      <c r="AA593" t="str">
        <f t="shared" si="126"/>
        <v>Medium</v>
      </c>
      <c r="AB593" t="str">
        <f t="shared" si="127"/>
        <v>Off-Peak</v>
      </c>
      <c r="AC593" s="63">
        <f t="shared" si="128"/>
        <v>6.7796610169491525E-2</v>
      </c>
      <c r="AD593" t="str">
        <f>IF(P593&gt;=Stats!$C$30,"High",IF(P593&lt;=Stats!$C$29,"Low","Normal"))</f>
        <v>Normal</v>
      </c>
      <c r="AE593">
        <f t="shared" si="129"/>
        <v>1</v>
      </c>
    </row>
    <row r="594" spans="1:31" x14ac:dyDescent="0.2">
      <c r="A594">
        <f>Dataset_A!A594</f>
        <v>593</v>
      </c>
      <c r="B594" s="61">
        <f>Dataset_A!B594</f>
        <v>40570</v>
      </c>
      <c r="C594">
        <f>Dataset_A!C594</f>
        <v>1</v>
      </c>
      <c r="D594">
        <f>Dataset_A!D594</f>
        <v>0</v>
      </c>
      <c r="E594">
        <f>Dataset_A!E594</f>
        <v>1</v>
      </c>
      <c r="F594">
        <f>Dataset_A!F594</f>
        <v>21</v>
      </c>
      <c r="G594" t="b">
        <f>Dataset_A!G594</f>
        <v>0</v>
      </c>
      <c r="H594">
        <f>Dataset_A!H594</f>
        <v>4</v>
      </c>
      <c r="I594">
        <f>Dataset_A!I594</f>
        <v>1</v>
      </c>
      <c r="J594" s="55">
        <f>Dataset_A!J594</f>
        <v>0.18</v>
      </c>
      <c r="K594">
        <f>Dataset_A!K594</f>
        <v>0.21210000000000001</v>
      </c>
      <c r="L594">
        <f>Dataset_A!L594</f>
        <v>0.74</v>
      </c>
      <c r="M594">
        <f>Dataset_A!M594</f>
        <v>8.9599999999999999E-2</v>
      </c>
      <c r="N594">
        <f>Dataset_A!N594</f>
        <v>2</v>
      </c>
      <c r="O594">
        <f>Dataset_A!O594</f>
        <v>36</v>
      </c>
      <c r="P594">
        <f>Dataset_A!P594</f>
        <v>38</v>
      </c>
      <c r="Q594" t="str">
        <f t="shared" si="117"/>
        <v>REC-0593</v>
      </c>
      <c r="R594" s="62">
        <f t="shared" si="118"/>
        <v>40570.875</v>
      </c>
      <c r="S594" t="str">
        <f t="shared" si="119"/>
        <v>Jan</v>
      </c>
      <c r="T594" t="str">
        <f>INDEX(Lookups!$B$39:$B$45,MATCH(H594,Lookups!$A$39:$A$45,0))</f>
        <v>Thu</v>
      </c>
      <c r="U594" t="str">
        <f t="shared" si="120"/>
        <v>Weekday</v>
      </c>
      <c r="V594" t="str">
        <f t="shared" si="121"/>
        <v>Working Day</v>
      </c>
      <c r="W594" t="str">
        <f t="shared" si="122"/>
        <v>Spring</v>
      </c>
      <c r="X594" t="str">
        <f t="shared" si="123"/>
        <v>Clear</v>
      </c>
      <c r="Y594" t="str">
        <f t="shared" si="124"/>
        <v>Late Evening</v>
      </c>
      <c r="Z594" t="str">
        <f t="shared" si="125"/>
        <v>Cold</v>
      </c>
      <c r="AA594" t="str">
        <f t="shared" si="126"/>
        <v>Medium</v>
      </c>
      <c r="AB594" t="str">
        <f t="shared" si="127"/>
        <v>Off-Peak</v>
      </c>
      <c r="AC594" s="63">
        <f t="shared" si="128"/>
        <v>5.2631578947368418E-2</v>
      </c>
      <c r="AD594" t="str">
        <f>IF(P594&gt;=Stats!$C$30,"High",IF(P594&lt;=Stats!$C$29,"Low","Normal"))</f>
        <v>Normal</v>
      </c>
      <c r="AE594">
        <f t="shared" si="129"/>
        <v>1</v>
      </c>
    </row>
    <row r="595" spans="1:31" x14ac:dyDescent="0.2">
      <c r="A595">
        <f>Dataset_A!A595</f>
        <v>594</v>
      </c>
      <c r="B595" s="61">
        <f>Dataset_A!B595</f>
        <v>40570</v>
      </c>
      <c r="C595">
        <f>Dataset_A!C595</f>
        <v>1</v>
      </c>
      <c r="D595">
        <f>Dataset_A!D595</f>
        <v>0</v>
      </c>
      <c r="E595">
        <f>Dataset_A!E595</f>
        <v>1</v>
      </c>
      <c r="F595">
        <f>Dataset_A!F595</f>
        <v>22</v>
      </c>
      <c r="G595" t="b">
        <f>Dataset_A!G595</f>
        <v>0</v>
      </c>
      <c r="H595">
        <f>Dataset_A!H595</f>
        <v>4</v>
      </c>
      <c r="I595">
        <f>Dataset_A!I595</f>
        <v>1</v>
      </c>
      <c r="J595" s="55">
        <f>Dataset_A!J595</f>
        <v>0.18</v>
      </c>
      <c r="K595">
        <f>Dataset_A!K595</f>
        <v>0.21210000000000001</v>
      </c>
      <c r="L595">
        <f>Dataset_A!L595</f>
        <v>0.74</v>
      </c>
      <c r="M595">
        <f>Dataset_A!M595</f>
        <v>8.9599999999999999E-2</v>
      </c>
      <c r="N595">
        <f>Dataset_A!N595</f>
        <v>0</v>
      </c>
      <c r="O595">
        <f>Dataset_A!O595</f>
        <v>27</v>
      </c>
      <c r="P595">
        <f>Dataset_A!P595</f>
        <v>27</v>
      </c>
      <c r="Q595" t="str">
        <f t="shared" si="117"/>
        <v>REC-0594</v>
      </c>
      <c r="R595" s="62">
        <f t="shared" si="118"/>
        <v>40570.916666666664</v>
      </c>
      <c r="S595" t="str">
        <f t="shared" si="119"/>
        <v>Jan</v>
      </c>
      <c r="T595" t="str">
        <f>INDEX(Lookups!$B$39:$B$45,MATCH(H595,Lookups!$A$39:$A$45,0))</f>
        <v>Thu</v>
      </c>
      <c r="U595" t="str">
        <f t="shared" si="120"/>
        <v>Weekday</v>
      </c>
      <c r="V595" t="str">
        <f t="shared" si="121"/>
        <v>Working Day</v>
      </c>
      <c r="W595" t="str">
        <f t="shared" si="122"/>
        <v>Spring</v>
      </c>
      <c r="X595" t="str">
        <f t="shared" si="123"/>
        <v>Clear</v>
      </c>
      <c r="Y595" t="str">
        <f t="shared" si="124"/>
        <v>Late Evening</v>
      </c>
      <c r="Z595" t="str">
        <f t="shared" si="125"/>
        <v>Cold</v>
      </c>
      <c r="AA595" t="str">
        <f t="shared" si="126"/>
        <v>Medium</v>
      </c>
      <c r="AB595" t="str">
        <f t="shared" si="127"/>
        <v>Off-Peak</v>
      </c>
      <c r="AC595" s="63">
        <f t="shared" si="128"/>
        <v>0</v>
      </c>
      <c r="AD595" t="str">
        <f>IF(P595&gt;=Stats!$C$30,"High",IF(P595&lt;=Stats!$C$29,"Low","Normal"))</f>
        <v>Normal</v>
      </c>
      <c r="AE595">
        <f t="shared" si="129"/>
        <v>1</v>
      </c>
    </row>
    <row r="596" spans="1:31" x14ac:dyDescent="0.2">
      <c r="A596">
        <f>Dataset_A!A596</f>
        <v>595</v>
      </c>
      <c r="B596" s="61">
        <f>Dataset_A!B596</f>
        <v>40570</v>
      </c>
      <c r="C596">
        <f>Dataset_A!C596</f>
        <v>1</v>
      </c>
      <c r="D596">
        <f>Dataset_A!D596</f>
        <v>0</v>
      </c>
      <c r="E596">
        <f>Dataset_A!E596</f>
        <v>1</v>
      </c>
      <c r="F596">
        <f>Dataset_A!F596</f>
        <v>23</v>
      </c>
      <c r="G596" t="b">
        <f>Dataset_A!G596</f>
        <v>0</v>
      </c>
      <c r="H596">
        <f>Dataset_A!H596</f>
        <v>4</v>
      </c>
      <c r="I596">
        <f>Dataset_A!I596</f>
        <v>1</v>
      </c>
      <c r="J596" s="55">
        <f>Dataset_A!J596</f>
        <v>0.18</v>
      </c>
      <c r="K596">
        <f>Dataset_A!K596</f>
        <v>0.19700000000000001</v>
      </c>
      <c r="L596">
        <f>Dataset_A!L596</f>
        <v>0.8</v>
      </c>
      <c r="M596">
        <f>Dataset_A!M596</f>
        <v>0.16420000000000001</v>
      </c>
      <c r="N596">
        <f>Dataset_A!N596</f>
        <v>0</v>
      </c>
      <c r="O596">
        <f>Dataset_A!O596</f>
        <v>16</v>
      </c>
      <c r="P596">
        <f>Dataset_A!P596</f>
        <v>16</v>
      </c>
      <c r="Q596" t="str">
        <f t="shared" si="117"/>
        <v>REC-0595</v>
      </c>
      <c r="R596" s="62">
        <f t="shared" si="118"/>
        <v>40570.958333333336</v>
      </c>
      <c r="S596" t="str">
        <f t="shared" si="119"/>
        <v>Jan</v>
      </c>
      <c r="T596" t="str">
        <f>INDEX(Lookups!$B$39:$B$45,MATCH(H596,Lookups!$A$39:$A$45,0))</f>
        <v>Thu</v>
      </c>
      <c r="U596" t="str">
        <f t="shared" si="120"/>
        <v>Weekday</v>
      </c>
      <c r="V596" t="str">
        <f t="shared" si="121"/>
        <v>Working Day</v>
      </c>
      <c r="W596" t="str">
        <f t="shared" si="122"/>
        <v>Spring</v>
      </c>
      <c r="X596" t="str">
        <f t="shared" si="123"/>
        <v>Clear</v>
      </c>
      <c r="Y596" t="str">
        <f t="shared" si="124"/>
        <v>Late Evening</v>
      </c>
      <c r="Z596" t="str">
        <f t="shared" si="125"/>
        <v>Cold</v>
      </c>
      <c r="AA596" t="str">
        <f t="shared" si="126"/>
        <v>High</v>
      </c>
      <c r="AB596" t="str">
        <f t="shared" si="127"/>
        <v>Off-Peak</v>
      </c>
      <c r="AC596" s="63">
        <f t="shared" si="128"/>
        <v>0</v>
      </c>
      <c r="AD596" t="str">
        <f>IF(P596&gt;=Stats!$C$30,"High",IF(P596&lt;=Stats!$C$29,"Low","Normal"))</f>
        <v>Low</v>
      </c>
      <c r="AE596">
        <f t="shared" si="129"/>
        <v>1</v>
      </c>
    </row>
    <row r="597" spans="1:31" x14ac:dyDescent="0.2">
      <c r="A597">
        <f>Dataset_A!A597</f>
        <v>596</v>
      </c>
      <c r="B597" s="61">
        <f>Dataset_A!B597</f>
        <v>40571</v>
      </c>
      <c r="C597">
        <f>Dataset_A!C597</f>
        <v>1</v>
      </c>
      <c r="D597">
        <f>Dataset_A!D597</f>
        <v>0</v>
      </c>
      <c r="E597">
        <f>Dataset_A!E597</f>
        <v>1</v>
      </c>
      <c r="F597">
        <f>Dataset_A!F597</f>
        <v>0</v>
      </c>
      <c r="G597" t="b">
        <f>Dataset_A!G597</f>
        <v>0</v>
      </c>
      <c r="H597">
        <f>Dataset_A!H597</f>
        <v>5</v>
      </c>
      <c r="I597">
        <f>Dataset_A!I597</f>
        <v>2</v>
      </c>
      <c r="J597" s="55">
        <f>Dataset_A!J597</f>
        <v>0.2</v>
      </c>
      <c r="K597">
        <f>Dataset_A!K597</f>
        <v>0.21210000000000001</v>
      </c>
      <c r="L597">
        <f>Dataset_A!L597</f>
        <v>0.75</v>
      </c>
      <c r="M597">
        <f>Dataset_A!M597</f>
        <v>0.1343</v>
      </c>
      <c r="N597">
        <f>Dataset_A!N597</f>
        <v>0</v>
      </c>
      <c r="O597">
        <f>Dataset_A!O597</f>
        <v>9</v>
      </c>
      <c r="P597">
        <f>Dataset_A!P597</f>
        <v>9</v>
      </c>
      <c r="Q597" t="str">
        <f t="shared" si="117"/>
        <v>REC-0596</v>
      </c>
      <c r="R597" s="62">
        <f t="shared" si="118"/>
        <v>40571</v>
      </c>
      <c r="S597" t="str">
        <f t="shared" si="119"/>
        <v>Jan</v>
      </c>
      <c r="T597" t="str">
        <f>INDEX(Lookups!$B$39:$B$45,MATCH(H597,Lookups!$A$39:$A$45,0))</f>
        <v>Fri</v>
      </c>
      <c r="U597" t="str">
        <f t="shared" si="120"/>
        <v>Weekday</v>
      </c>
      <c r="V597" t="str">
        <f t="shared" si="121"/>
        <v>Working Day</v>
      </c>
      <c r="W597" t="str">
        <f t="shared" si="122"/>
        <v>Spring</v>
      </c>
      <c r="X597" t="str">
        <f t="shared" si="123"/>
        <v>Cloudy/Mist</v>
      </c>
      <c r="Y597" t="str">
        <f t="shared" si="124"/>
        <v>Night</v>
      </c>
      <c r="Z597" t="str">
        <f t="shared" si="125"/>
        <v>Mild</v>
      </c>
      <c r="AA597" t="str">
        <f t="shared" si="126"/>
        <v>High</v>
      </c>
      <c r="AB597" t="str">
        <f t="shared" si="127"/>
        <v>Off-Peak</v>
      </c>
      <c r="AC597" s="63">
        <f t="shared" si="128"/>
        <v>0</v>
      </c>
      <c r="AD597" t="str">
        <f>IF(P597&gt;=Stats!$C$30,"High",IF(P597&lt;=Stats!$C$29,"Low","Normal"))</f>
        <v>Low</v>
      </c>
      <c r="AE597">
        <f t="shared" si="129"/>
        <v>1</v>
      </c>
    </row>
    <row r="598" spans="1:31" x14ac:dyDescent="0.2">
      <c r="A598">
        <f>Dataset_A!A598</f>
        <v>597</v>
      </c>
      <c r="B598" s="61">
        <f>Dataset_A!B598</f>
        <v>40571</v>
      </c>
      <c r="C598">
        <f>Dataset_A!C598</f>
        <v>1</v>
      </c>
      <c r="D598">
        <f>Dataset_A!D598</f>
        <v>0</v>
      </c>
      <c r="E598">
        <f>Dataset_A!E598</f>
        <v>1</v>
      </c>
      <c r="F598">
        <f>Dataset_A!F598</f>
        <v>1</v>
      </c>
      <c r="G598" t="b">
        <f>Dataset_A!G598</f>
        <v>0</v>
      </c>
      <c r="H598">
        <f>Dataset_A!H598</f>
        <v>5</v>
      </c>
      <c r="I598">
        <f>Dataset_A!I598</f>
        <v>2</v>
      </c>
      <c r="J598" s="55">
        <f>Dataset_A!J598</f>
        <v>0.2</v>
      </c>
      <c r="K598">
        <f>Dataset_A!K598</f>
        <v>0.21210000000000001</v>
      </c>
      <c r="L598">
        <f>Dataset_A!L598</f>
        <v>0.75</v>
      </c>
      <c r="M598">
        <f>Dataset_A!M598</f>
        <v>0.1343</v>
      </c>
      <c r="N598">
        <f>Dataset_A!N598</f>
        <v>1</v>
      </c>
      <c r="O598">
        <f>Dataset_A!O598</f>
        <v>2</v>
      </c>
      <c r="P598">
        <f>Dataset_A!P598</f>
        <v>3</v>
      </c>
      <c r="Q598" t="str">
        <f t="shared" si="117"/>
        <v>REC-0597</v>
      </c>
      <c r="R598" s="62">
        <f t="shared" si="118"/>
        <v>40571.041666666664</v>
      </c>
      <c r="S598" t="str">
        <f t="shared" si="119"/>
        <v>Jan</v>
      </c>
      <c r="T598" t="str">
        <f>INDEX(Lookups!$B$39:$B$45,MATCH(H598,Lookups!$A$39:$A$45,0))</f>
        <v>Fri</v>
      </c>
      <c r="U598" t="str">
        <f t="shared" si="120"/>
        <v>Weekday</v>
      </c>
      <c r="V598" t="str">
        <f t="shared" si="121"/>
        <v>Working Day</v>
      </c>
      <c r="W598" t="str">
        <f t="shared" si="122"/>
        <v>Spring</v>
      </c>
      <c r="X598" t="str">
        <f t="shared" si="123"/>
        <v>Cloudy/Mist</v>
      </c>
      <c r="Y598" t="str">
        <f t="shared" si="124"/>
        <v>Night</v>
      </c>
      <c r="Z598" t="str">
        <f t="shared" si="125"/>
        <v>Mild</v>
      </c>
      <c r="AA598" t="str">
        <f t="shared" si="126"/>
        <v>High</v>
      </c>
      <c r="AB598" t="str">
        <f t="shared" si="127"/>
        <v>Off-Peak</v>
      </c>
      <c r="AC598" s="63">
        <f t="shared" si="128"/>
        <v>0.33333333333333331</v>
      </c>
      <c r="AD598" t="str">
        <f>IF(P598&gt;=Stats!$C$30,"High",IF(P598&lt;=Stats!$C$29,"Low","Normal"))</f>
        <v>Low</v>
      </c>
      <c r="AE598">
        <f t="shared" si="129"/>
        <v>1</v>
      </c>
    </row>
    <row r="599" spans="1:31" x14ac:dyDescent="0.2">
      <c r="A599">
        <f>Dataset_A!A599</f>
        <v>598</v>
      </c>
      <c r="B599" s="61">
        <f>Dataset_A!B599</f>
        <v>40571</v>
      </c>
      <c r="C599">
        <f>Dataset_A!C599</f>
        <v>1</v>
      </c>
      <c r="D599">
        <f>Dataset_A!D599</f>
        <v>0</v>
      </c>
      <c r="E599">
        <f>Dataset_A!E599</f>
        <v>1</v>
      </c>
      <c r="F599">
        <f>Dataset_A!F599</f>
        <v>2</v>
      </c>
      <c r="G599" t="b">
        <f>Dataset_A!G599</f>
        <v>0</v>
      </c>
      <c r="H599">
        <f>Dataset_A!H599</f>
        <v>5</v>
      </c>
      <c r="I599">
        <f>Dataset_A!I599</f>
        <v>2</v>
      </c>
      <c r="J599" s="55">
        <f>Dataset_A!J599</f>
        <v>0.2</v>
      </c>
      <c r="K599">
        <f>Dataset_A!K599</f>
        <v>0.21210000000000001</v>
      </c>
      <c r="L599">
        <f>Dataset_A!L599</f>
        <v>0.75</v>
      </c>
      <c r="M599">
        <f>Dataset_A!M599</f>
        <v>0.16420000000000001</v>
      </c>
      <c r="N599">
        <f>Dataset_A!N599</f>
        <v>0</v>
      </c>
      <c r="O599">
        <f>Dataset_A!O599</f>
        <v>2</v>
      </c>
      <c r="P599">
        <f>Dataset_A!P599</f>
        <v>2</v>
      </c>
      <c r="Q599" t="str">
        <f t="shared" si="117"/>
        <v>REC-0598</v>
      </c>
      <c r="R599" s="62">
        <f t="shared" si="118"/>
        <v>40571.083333333336</v>
      </c>
      <c r="S599" t="str">
        <f t="shared" si="119"/>
        <v>Jan</v>
      </c>
      <c r="T599" t="str">
        <f>INDEX(Lookups!$B$39:$B$45,MATCH(H599,Lookups!$A$39:$A$45,0))</f>
        <v>Fri</v>
      </c>
      <c r="U599" t="str">
        <f t="shared" si="120"/>
        <v>Weekday</v>
      </c>
      <c r="V599" t="str">
        <f t="shared" si="121"/>
        <v>Working Day</v>
      </c>
      <c r="W599" t="str">
        <f t="shared" si="122"/>
        <v>Spring</v>
      </c>
      <c r="X599" t="str">
        <f t="shared" si="123"/>
        <v>Cloudy/Mist</v>
      </c>
      <c r="Y599" t="str">
        <f t="shared" si="124"/>
        <v>Night</v>
      </c>
      <c r="Z599" t="str">
        <f t="shared" si="125"/>
        <v>Mild</v>
      </c>
      <c r="AA599" t="str">
        <f t="shared" si="126"/>
        <v>High</v>
      </c>
      <c r="AB599" t="str">
        <f t="shared" si="127"/>
        <v>Off-Peak</v>
      </c>
      <c r="AC599" s="63">
        <f t="shared" si="128"/>
        <v>0</v>
      </c>
      <c r="AD599" t="str">
        <f>IF(P599&gt;=Stats!$C$30,"High",IF(P599&lt;=Stats!$C$29,"Low","Normal"))</f>
        <v>Low</v>
      </c>
      <c r="AE599">
        <f t="shared" si="129"/>
        <v>1</v>
      </c>
    </row>
    <row r="600" spans="1:31" x14ac:dyDescent="0.2">
      <c r="A600">
        <f>Dataset_A!A600</f>
        <v>599</v>
      </c>
      <c r="B600" s="61">
        <f>Dataset_A!B600</f>
        <v>40571</v>
      </c>
      <c r="C600">
        <f>Dataset_A!C600</f>
        <v>1</v>
      </c>
      <c r="D600">
        <f>Dataset_A!D600</f>
        <v>0</v>
      </c>
      <c r="E600">
        <f>Dataset_A!E600</f>
        <v>1</v>
      </c>
      <c r="F600">
        <f>Dataset_A!F600</f>
        <v>3</v>
      </c>
      <c r="G600" t="b">
        <f>Dataset_A!G600</f>
        <v>0</v>
      </c>
      <c r="H600">
        <f>Dataset_A!H600</f>
        <v>5</v>
      </c>
      <c r="I600">
        <f>Dataset_A!I600</f>
        <v>2</v>
      </c>
      <c r="J600" s="55">
        <f>Dataset_A!J600</f>
        <v>0.2</v>
      </c>
      <c r="K600">
        <f>Dataset_A!K600</f>
        <v>0.2273</v>
      </c>
      <c r="L600">
        <f>Dataset_A!L600</f>
        <v>0.75</v>
      </c>
      <c r="M600">
        <f>Dataset_A!M600</f>
        <v>0.1045</v>
      </c>
      <c r="N600">
        <f>Dataset_A!N600</f>
        <v>1</v>
      </c>
      <c r="O600">
        <f>Dataset_A!O600</f>
        <v>0</v>
      </c>
      <c r="P600">
        <f>Dataset_A!P600</f>
        <v>1</v>
      </c>
      <c r="Q600" t="str">
        <f t="shared" si="117"/>
        <v>REC-0599</v>
      </c>
      <c r="R600" s="62">
        <f t="shared" si="118"/>
        <v>40571.125</v>
      </c>
      <c r="S600" t="str">
        <f t="shared" si="119"/>
        <v>Jan</v>
      </c>
      <c r="T600" t="str">
        <f>INDEX(Lookups!$B$39:$B$45,MATCH(H600,Lookups!$A$39:$A$45,0))</f>
        <v>Fri</v>
      </c>
      <c r="U600" t="str">
        <f t="shared" si="120"/>
        <v>Weekday</v>
      </c>
      <c r="V600" t="str">
        <f t="shared" si="121"/>
        <v>Working Day</v>
      </c>
      <c r="W600" t="str">
        <f t="shared" si="122"/>
        <v>Spring</v>
      </c>
      <c r="X600" t="str">
        <f t="shared" si="123"/>
        <v>Cloudy/Mist</v>
      </c>
      <c r="Y600" t="str">
        <f t="shared" si="124"/>
        <v>Night</v>
      </c>
      <c r="Z600" t="str">
        <f t="shared" si="125"/>
        <v>Mild</v>
      </c>
      <c r="AA600" t="str">
        <f t="shared" si="126"/>
        <v>High</v>
      </c>
      <c r="AB600" t="str">
        <f t="shared" si="127"/>
        <v>Off-Peak</v>
      </c>
      <c r="AC600" s="63">
        <f t="shared" si="128"/>
        <v>1</v>
      </c>
      <c r="AD600" t="str">
        <f>IF(P600&gt;=Stats!$C$30,"High",IF(P600&lt;=Stats!$C$29,"Low","Normal"))</f>
        <v>Low</v>
      </c>
      <c r="AE600">
        <f t="shared" si="129"/>
        <v>1</v>
      </c>
    </row>
    <row r="601" spans="1:31" x14ac:dyDescent="0.2">
      <c r="A601">
        <f>Dataset_A!A601</f>
        <v>600</v>
      </c>
      <c r="B601" s="61">
        <f>Dataset_A!B601</f>
        <v>40571</v>
      </c>
      <c r="C601">
        <f>Dataset_A!C601</f>
        <v>1</v>
      </c>
      <c r="D601">
        <f>Dataset_A!D601</f>
        <v>0</v>
      </c>
      <c r="E601">
        <f>Dataset_A!E601</f>
        <v>1</v>
      </c>
      <c r="F601">
        <f>Dataset_A!F601</f>
        <v>5</v>
      </c>
      <c r="G601" t="b">
        <f>Dataset_A!G601</f>
        <v>0</v>
      </c>
      <c r="H601">
        <f>Dataset_A!H601</f>
        <v>5</v>
      </c>
      <c r="I601">
        <f>Dataset_A!I601</f>
        <v>2</v>
      </c>
      <c r="J601" s="55">
        <f>Dataset_A!J601</f>
        <v>0.18</v>
      </c>
      <c r="K601">
        <f>Dataset_A!K601</f>
        <v>0.21210000000000001</v>
      </c>
      <c r="L601">
        <f>Dataset_A!L601</f>
        <v>0.8</v>
      </c>
      <c r="M601">
        <f>Dataset_A!M601</f>
        <v>0.1045</v>
      </c>
      <c r="N601">
        <f>Dataset_A!N601</f>
        <v>0</v>
      </c>
      <c r="O601">
        <f>Dataset_A!O601</f>
        <v>4</v>
      </c>
      <c r="P601">
        <f>Dataset_A!P601</f>
        <v>4</v>
      </c>
      <c r="Q601" t="str">
        <f t="shared" si="117"/>
        <v>REC-0600</v>
      </c>
      <c r="R601" s="62">
        <f t="shared" si="118"/>
        <v>40571.208333333336</v>
      </c>
      <c r="S601" t="str">
        <f t="shared" si="119"/>
        <v>Jan</v>
      </c>
      <c r="T601" t="str">
        <f>INDEX(Lookups!$B$39:$B$45,MATCH(H601,Lookups!$A$39:$A$45,0))</f>
        <v>Fri</v>
      </c>
      <c r="U601" t="str">
        <f t="shared" si="120"/>
        <v>Weekday</v>
      </c>
      <c r="V601" t="str">
        <f t="shared" si="121"/>
        <v>Working Day</v>
      </c>
      <c r="W601" t="str">
        <f t="shared" si="122"/>
        <v>Spring</v>
      </c>
      <c r="X601" t="str">
        <f t="shared" si="123"/>
        <v>Cloudy/Mist</v>
      </c>
      <c r="Y601" t="str">
        <f t="shared" si="124"/>
        <v>Night</v>
      </c>
      <c r="Z601" t="str">
        <f t="shared" si="125"/>
        <v>Cold</v>
      </c>
      <c r="AA601" t="str">
        <f t="shared" si="126"/>
        <v>High</v>
      </c>
      <c r="AB601" t="str">
        <f t="shared" si="127"/>
        <v>Off-Peak</v>
      </c>
      <c r="AC601" s="63">
        <f t="shared" si="128"/>
        <v>0</v>
      </c>
      <c r="AD601" t="str">
        <f>IF(P601&gt;=Stats!$C$30,"High",IF(P601&lt;=Stats!$C$29,"Low","Normal"))</f>
        <v>Low</v>
      </c>
      <c r="AE601">
        <f t="shared" si="129"/>
        <v>1</v>
      </c>
    </row>
    <row r="602" spans="1:31" x14ac:dyDescent="0.2">
      <c r="A602">
        <f>Dataset_A!A602</f>
        <v>601</v>
      </c>
      <c r="B602" s="61">
        <f>Dataset_A!B602</f>
        <v>40571</v>
      </c>
      <c r="C602">
        <f>Dataset_A!C602</f>
        <v>1</v>
      </c>
      <c r="D602">
        <f>Dataset_A!D602</f>
        <v>0</v>
      </c>
      <c r="E602">
        <f>Dataset_A!E602</f>
        <v>1</v>
      </c>
      <c r="F602">
        <f>Dataset_A!F602</f>
        <v>6</v>
      </c>
      <c r="G602" t="b">
        <f>Dataset_A!G602</f>
        <v>0</v>
      </c>
      <c r="H602">
        <f>Dataset_A!H602</f>
        <v>5</v>
      </c>
      <c r="I602">
        <f>Dataset_A!I602</f>
        <v>2</v>
      </c>
      <c r="J602" s="55">
        <f>Dataset_A!J602</f>
        <v>0.18</v>
      </c>
      <c r="K602">
        <f>Dataset_A!K602</f>
        <v>0.19700000000000001</v>
      </c>
      <c r="L602">
        <f>Dataset_A!L602</f>
        <v>0.8</v>
      </c>
      <c r="M602">
        <f>Dataset_A!M602</f>
        <v>0.1343</v>
      </c>
      <c r="N602">
        <f>Dataset_A!N602</f>
        <v>0</v>
      </c>
      <c r="O602">
        <f>Dataset_A!O602</f>
        <v>16</v>
      </c>
      <c r="P602">
        <f>Dataset_A!P602</f>
        <v>16</v>
      </c>
      <c r="Q602" t="str">
        <f t="shared" si="117"/>
        <v>REC-0601</v>
      </c>
      <c r="R602" s="62">
        <f t="shared" si="118"/>
        <v>40571.25</v>
      </c>
      <c r="S602" t="str">
        <f t="shared" si="119"/>
        <v>Jan</v>
      </c>
      <c r="T602" t="str">
        <f>INDEX(Lookups!$B$39:$B$45,MATCH(H602,Lookups!$A$39:$A$45,0))</f>
        <v>Fri</v>
      </c>
      <c r="U602" t="str">
        <f t="shared" si="120"/>
        <v>Weekday</v>
      </c>
      <c r="V602" t="str">
        <f t="shared" si="121"/>
        <v>Working Day</v>
      </c>
      <c r="W602" t="str">
        <f t="shared" si="122"/>
        <v>Spring</v>
      </c>
      <c r="X602" t="str">
        <f t="shared" si="123"/>
        <v>Cloudy/Mist</v>
      </c>
      <c r="Y602" t="str">
        <f t="shared" si="124"/>
        <v>Morning</v>
      </c>
      <c r="Z602" t="str">
        <f t="shared" si="125"/>
        <v>Cold</v>
      </c>
      <c r="AA602" t="str">
        <f t="shared" si="126"/>
        <v>High</v>
      </c>
      <c r="AB602" t="str">
        <f t="shared" si="127"/>
        <v>Off-Peak</v>
      </c>
      <c r="AC602" s="63">
        <f t="shared" si="128"/>
        <v>0</v>
      </c>
      <c r="AD602" t="str">
        <f>IF(P602&gt;=Stats!$C$30,"High",IF(P602&lt;=Stats!$C$29,"Low","Normal"))</f>
        <v>Low</v>
      </c>
      <c r="AE602">
        <f t="shared" si="129"/>
        <v>1</v>
      </c>
    </row>
    <row r="603" spans="1:31" x14ac:dyDescent="0.2">
      <c r="A603">
        <f>Dataset_A!A603</f>
        <v>602</v>
      </c>
      <c r="B603" s="61">
        <f>Dataset_A!B603</f>
        <v>40571</v>
      </c>
      <c r="C603">
        <f>Dataset_A!C603</f>
        <v>1</v>
      </c>
      <c r="D603">
        <f>Dataset_A!D603</f>
        <v>0</v>
      </c>
      <c r="E603">
        <f>Dataset_A!E603</f>
        <v>1</v>
      </c>
      <c r="F603">
        <f>Dataset_A!F603</f>
        <v>7</v>
      </c>
      <c r="G603" t="b">
        <f>Dataset_A!G603</f>
        <v>0</v>
      </c>
      <c r="H603">
        <f>Dataset_A!H603</f>
        <v>5</v>
      </c>
      <c r="I603">
        <f>Dataset_A!I603</f>
        <v>2</v>
      </c>
      <c r="J603" s="55">
        <f>Dataset_A!J603</f>
        <v>0.16</v>
      </c>
      <c r="K603">
        <f>Dataset_A!K603</f>
        <v>0.19700000000000001</v>
      </c>
      <c r="L603">
        <f>Dataset_A!L603</f>
        <v>0.86</v>
      </c>
      <c r="M603">
        <f>Dataset_A!M603</f>
        <v>8.9599999999999999E-2</v>
      </c>
      <c r="N603">
        <f>Dataset_A!N603</f>
        <v>2</v>
      </c>
      <c r="O603">
        <f>Dataset_A!O603</f>
        <v>58</v>
      </c>
      <c r="P603">
        <f>Dataset_A!P603</f>
        <v>60</v>
      </c>
      <c r="Q603" t="str">
        <f t="shared" si="117"/>
        <v>REC-0602</v>
      </c>
      <c r="R603" s="62">
        <f t="shared" si="118"/>
        <v>40571.291666666664</v>
      </c>
      <c r="S603" t="str">
        <f t="shared" si="119"/>
        <v>Jan</v>
      </c>
      <c r="T603" t="str">
        <f>INDEX(Lookups!$B$39:$B$45,MATCH(H603,Lookups!$A$39:$A$45,0))</f>
        <v>Fri</v>
      </c>
      <c r="U603" t="str">
        <f t="shared" si="120"/>
        <v>Weekday</v>
      </c>
      <c r="V603" t="str">
        <f t="shared" si="121"/>
        <v>Working Day</v>
      </c>
      <c r="W603" t="str">
        <f t="shared" si="122"/>
        <v>Spring</v>
      </c>
      <c r="X603" t="str">
        <f t="shared" si="123"/>
        <v>Cloudy/Mist</v>
      </c>
      <c r="Y603" t="str">
        <f t="shared" si="124"/>
        <v>Morning</v>
      </c>
      <c r="Z603" t="str">
        <f t="shared" si="125"/>
        <v>Cold</v>
      </c>
      <c r="AA603" t="str">
        <f t="shared" si="126"/>
        <v>High</v>
      </c>
      <c r="AB603" t="str">
        <f t="shared" si="127"/>
        <v>Peak</v>
      </c>
      <c r="AC603" s="63">
        <f t="shared" si="128"/>
        <v>3.3333333333333333E-2</v>
      </c>
      <c r="AD603" t="str">
        <f>IF(P603&gt;=Stats!$C$30,"High",IF(P603&lt;=Stats!$C$29,"Low","Normal"))</f>
        <v>Normal</v>
      </c>
      <c r="AE603">
        <f t="shared" si="129"/>
        <v>1</v>
      </c>
    </row>
    <row r="604" spans="1:31" x14ac:dyDescent="0.2">
      <c r="A604">
        <f>Dataset_A!A604</f>
        <v>603</v>
      </c>
      <c r="B604" s="61">
        <f>Dataset_A!B604</f>
        <v>40571</v>
      </c>
      <c r="C604">
        <f>Dataset_A!C604</f>
        <v>1</v>
      </c>
      <c r="D604">
        <f>Dataset_A!D604</f>
        <v>0</v>
      </c>
      <c r="E604">
        <f>Dataset_A!E604</f>
        <v>1</v>
      </c>
      <c r="F604">
        <f>Dataset_A!F604</f>
        <v>8</v>
      </c>
      <c r="G604" t="b">
        <f>Dataset_A!G604</f>
        <v>0</v>
      </c>
      <c r="H604">
        <f>Dataset_A!H604</f>
        <v>5</v>
      </c>
      <c r="I604">
        <f>Dataset_A!I604</f>
        <v>2</v>
      </c>
      <c r="J604" s="55">
        <f>Dataset_A!J604</f>
        <v>0.16</v>
      </c>
      <c r="K604">
        <f>Dataset_A!K604</f>
        <v>0.19700000000000001</v>
      </c>
      <c r="L604">
        <f>Dataset_A!L604</f>
        <v>0.86</v>
      </c>
      <c r="M604">
        <f>Dataset_A!M604</f>
        <v>8.9599999999999999E-2</v>
      </c>
      <c r="N604">
        <f>Dataset_A!N604</f>
        <v>2</v>
      </c>
      <c r="O604">
        <f>Dataset_A!O604</f>
        <v>155</v>
      </c>
      <c r="P604">
        <f>Dataset_A!P604</f>
        <v>157</v>
      </c>
      <c r="Q604" t="str">
        <f t="shared" si="117"/>
        <v>REC-0603</v>
      </c>
      <c r="R604" s="62">
        <f t="shared" si="118"/>
        <v>40571.333333333336</v>
      </c>
      <c r="S604" t="str">
        <f t="shared" si="119"/>
        <v>Jan</v>
      </c>
      <c r="T604" t="str">
        <f>INDEX(Lookups!$B$39:$B$45,MATCH(H604,Lookups!$A$39:$A$45,0))</f>
        <v>Fri</v>
      </c>
      <c r="U604" t="str">
        <f t="shared" si="120"/>
        <v>Weekday</v>
      </c>
      <c r="V604" t="str">
        <f t="shared" si="121"/>
        <v>Working Day</v>
      </c>
      <c r="W604" t="str">
        <f t="shared" si="122"/>
        <v>Spring</v>
      </c>
      <c r="X604" t="str">
        <f t="shared" si="123"/>
        <v>Cloudy/Mist</v>
      </c>
      <c r="Y604" t="str">
        <f t="shared" si="124"/>
        <v>Morning</v>
      </c>
      <c r="Z604" t="str">
        <f t="shared" si="125"/>
        <v>Cold</v>
      </c>
      <c r="AA604" t="str">
        <f t="shared" si="126"/>
        <v>High</v>
      </c>
      <c r="AB604" t="str">
        <f t="shared" si="127"/>
        <v>Peak</v>
      </c>
      <c r="AC604" s="63">
        <f t="shared" si="128"/>
        <v>1.2738853503184714E-2</v>
      </c>
      <c r="AD604" t="str">
        <f>IF(P604&gt;=Stats!$C$30,"High",IF(P604&lt;=Stats!$C$29,"Low","Normal"))</f>
        <v>High</v>
      </c>
      <c r="AE604">
        <f t="shared" si="129"/>
        <v>1</v>
      </c>
    </row>
    <row r="605" spans="1:31" x14ac:dyDescent="0.2">
      <c r="A605">
        <f>Dataset_A!A605</f>
        <v>604</v>
      </c>
      <c r="B605" s="61">
        <f>Dataset_A!B605</f>
        <v>40571</v>
      </c>
      <c r="C605">
        <f>Dataset_A!C605</f>
        <v>1</v>
      </c>
      <c r="D605">
        <f>Dataset_A!D605</f>
        <v>0</v>
      </c>
      <c r="E605">
        <f>Dataset_A!E605</f>
        <v>1</v>
      </c>
      <c r="F605">
        <f>Dataset_A!F605</f>
        <v>9</v>
      </c>
      <c r="G605" t="b">
        <f>Dataset_A!G605</f>
        <v>0</v>
      </c>
      <c r="H605">
        <f>Dataset_A!H605</f>
        <v>5</v>
      </c>
      <c r="I605">
        <f>Dataset_A!I605</f>
        <v>3</v>
      </c>
      <c r="J605" s="55">
        <f>Dataset_A!J605</f>
        <v>0.18</v>
      </c>
      <c r="K605">
        <f>Dataset_A!K605</f>
        <v>0.21210000000000001</v>
      </c>
      <c r="L605">
        <f>Dataset_A!L605</f>
        <v>0.86</v>
      </c>
      <c r="M605">
        <f>Dataset_A!M605</f>
        <v>8.9599999999999999E-2</v>
      </c>
      <c r="N605">
        <f>Dataset_A!N605</f>
        <v>6</v>
      </c>
      <c r="O605">
        <f>Dataset_A!O605</f>
        <v>95</v>
      </c>
      <c r="P605">
        <f>Dataset_A!P605</f>
        <v>101</v>
      </c>
      <c r="Q605" t="str">
        <f t="shared" si="117"/>
        <v>REC-0604</v>
      </c>
      <c r="R605" s="62">
        <f t="shared" si="118"/>
        <v>40571.375</v>
      </c>
      <c r="S605" t="str">
        <f t="shared" si="119"/>
        <v>Jan</v>
      </c>
      <c r="T605" t="str">
        <f>INDEX(Lookups!$B$39:$B$45,MATCH(H605,Lookups!$A$39:$A$45,0))</f>
        <v>Fri</v>
      </c>
      <c r="U605" t="str">
        <f t="shared" si="120"/>
        <v>Weekday</v>
      </c>
      <c r="V605" t="str">
        <f t="shared" si="121"/>
        <v>Working Day</v>
      </c>
      <c r="W605" t="str">
        <f t="shared" si="122"/>
        <v>Spring</v>
      </c>
      <c r="X605" t="str">
        <f t="shared" si="123"/>
        <v>Light Rain/Snow</v>
      </c>
      <c r="Y605" t="str">
        <f t="shared" si="124"/>
        <v>Morning</v>
      </c>
      <c r="Z605" t="str">
        <f t="shared" si="125"/>
        <v>Cold</v>
      </c>
      <c r="AA605" t="str">
        <f t="shared" si="126"/>
        <v>High</v>
      </c>
      <c r="AB605" t="str">
        <f t="shared" si="127"/>
        <v>Peak</v>
      </c>
      <c r="AC605" s="63">
        <f t="shared" si="128"/>
        <v>5.9405940594059403E-2</v>
      </c>
      <c r="AD605" t="str">
        <f>IF(P605&gt;=Stats!$C$30,"High",IF(P605&lt;=Stats!$C$29,"Low","Normal"))</f>
        <v>High</v>
      </c>
      <c r="AE605">
        <f t="shared" si="129"/>
        <v>1</v>
      </c>
    </row>
    <row r="606" spans="1:31" x14ac:dyDescent="0.2">
      <c r="A606">
        <f>Dataset_A!A606</f>
        <v>605</v>
      </c>
      <c r="B606" s="61">
        <f>Dataset_A!B606</f>
        <v>40571</v>
      </c>
      <c r="C606">
        <f>Dataset_A!C606</f>
        <v>1</v>
      </c>
      <c r="D606">
        <f>Dataset_A!D606</f>
        <v>0</v>
      </c>
      <c r="E606">
        <f>Dataset_A!E606</f>
        <v>1</v>
      </c>
      <c r="F606">
        <f>Dataset_A!F606</f>
        <v>10</v>
      </c>
      <c r="G606" t="b">
        <f>Dataset_A!G606</f>
        <v>0</v>
      </c>
      <c r="H606">
        <f>Dataset_A!H606</f>
        <v>5</v>
      </c>
      <c r="I606">
        <f>Dataset_A!I606</f>
        <v>3</v>
      </c>
      <c r="J606" s="55">
        <f>Dataset_A!J606</f>
        <v>0.18</v>
      </c>
      <c r="K606">
        <f>Dataset_A!K606</f>
        <v>0.21210000000000001</v>
      </c>
      <c r="L606">
        <f>Dataset_A!L606</f>
        <v>0.86</v>
      </c>
      <c r="M606">
        <f>Dataset_A!M606</f>
        <v>0.1045</v>
      </c>
      <c r="N606">
        <f>Dataset_A!N606</f>
        <v>0</v>
      </c>
      <c r="O606">
        <f>Dataset_A!O606</f>
        <v>49</v>
      </c>
      <c r="P606">
        <f>Dataset_A!P606</f>
        <v>49</v>
      </c>
      <c r="Q606" t="str">
        <f t="shared" si="117"/>
        <v>REC-0605</v>
      </c>
      <c r="R606" s="62">
        <f t="shared" si="118"/>
        <v>40571.416666666664</v>
      </c>
      <c r="S606" t="str">
        <f t="shared" si="119"/>
        <v>Jan</v>
      </c>
      <c r="T606" t="str">
        <f>INDEX(Lookups!$B$39:$B$45,MATCH(H606,Lookups!$A$39:$A$45,0))</f>
        <v>Fri</v>
      </c>
      <c r="U606" t="str">
        <f t="shared" si="120"/>
        <v>Weekday</v>
      </c>
      <c r="V606" t="str">
        <f t="shared" si="121"/>
        <v>Working Day</v>
      </c>
      <c r="W606" t="str">
        <f t="shared" si="122"/>
        <v>Spring</v>
      </c>
      <c r="X606" t="str">
        <f t="shared" si="123"/>
        <v>Light Rain/Snow</v>
      </c>
      <c r="Y606" t="str">
        <f t="shared" si="124"/>
        <v>Morning</v>
      </c>
      <c r="Z606" t="str">
        <f t="shared" si="125"/>
        <v>Cold</v>
      </c>
      <c r="AA606" t="str">
        <f t="shared" si="126"/>
        <v>High</v>
      </c>
      <c r="AB606" t="str">
        <f t="shared" si="127"/>
        <v>Off-Peak</v>
      </c>
      <c r="AC606" s="63">
        <f t="shared" si="128"/>
        <v>0</v>
      </c>
      <c r="AD606" t="str">
        <f>IF(P606&gt;=Stats!$C$30,"High",IF(P606&lt;=Stats!$C$29,"Low","Normal"))</f>
        <v>Normal</v>
      </c>
      <c r="AE606">
        <f t="shared" si="129"/>
        <v>1</v>
      </c>
    </row>
    <row r="607" spans="1:31" x14ac:dyDescent="0.2">
      <c r="A607">
        <f>Dataset_A!A607</f>
        <v>606</v>
      </c>
      <c r="B607" s="61">
        <f>Dataset_A!B607</f>
        <v>40571</v>
      </c>
      <c r="C607">
        <f>Dataset_A!C607</f>
        <v>1</v>
      </c>
      <c r="D607">
        <f>Dataset_A!D607</f>
        <v>0</v>
      </c>
      <c r="E607">
        <f>Dataset_A!E607</f>
        <v>1</v>
      </c>
      <c r="F607">
        <f>Dataset_A!F607</f>
        <v>11</v>
      </c>
      <c r="G607" t="b">
        <f>Dataset_A!G607</f>
        <v>0</v>
      </c>
      <c r="H607">
        <f>Dataset_A!H607</f>
        <v>5</v>
      </c>
      <c r="I607">
        <f>Dataset_A!I607</f>
        <v>3</v>
      </c>
      <c r="J607" s="55">
        <f>Dataset_A!J607</f>
        <v>0.18</v>
      </c>
      <c r="K607">
        <f>Dataset_A!K607</f>
        <v>0.21210000000000001</v>
      </c>
      <c r="L607">
        <f>Dataset_A!L607</f>
        <v>0.93</v>
      </c>
      <c r="M607">
        <f>Dataset_A!M607</f>
        <v>0.1045</v>
      </c>
      <c r="N607">
        <f>Dataset_A!N607</f>
        <v>0</v>
      </c>
      <c r="O607">
        <f>Dataset_A!O607</f>
        <v>30</v>
      </c>
      <c r="P607">
        <f>Dataset_A!P607</f>
        <v>30</v>
      </c>
      <c r="Q607" t="str">
        <f t="shared" si="117"/>
        <v>REC-0606</v>
      </c>
      <c r="R607" s="62">
        <f t="shared" si="118"/>
        <v>40571.458333333336</v>
      </c>
      <c r="S607" t="str">
        <f t="shared" si="119"/>
        <v>Jan</v>
      </c>
      <c r="T607" t="str">
        <f>INDEX(Lookups!$B$39:$B$45,MATCH(H607,Lookups!$A$39:$A$45,0))</f>
        <v>Fri</v>
      </c>
      <c r="U607" t="str">
        <f t="shared" si="120"/>
        <v>Weekday</v>
      </c>
      <c r="V607" t="str">
        <f t="shared" si="121"/>
        <v>Working Day</v>
      </c>
      <c r="W607" t="str">
        <f t="shared" si="122"/>
        <v>Spring</v>
      </c>
      <c r="X607" t="str">
        <f t="shared" si="123"/>
        <v>Light Rain/Snow</v>
      </c>
      <c r="Y607" t="str">
        <f t="shared" si="124"/>
        <v>Morning</v>
      </c>
      <c r="Z607" t="str">
        <f t="shared" si="125"/>
        <v>Cold</v>
      </c>
      <c r="AA607" t="str">
        <f t="shared" si="126"/>
        <v>High</v>
      </c>
      <c r="AB607" t="str">
        <f t="shared" si="127"/>
        <v>Off-Peak</v>
      </c>
      <c r="AC607" s="63">
        <f t="shared" si="128"/>
        <v>0</v>
      </c>
      <c r="AD607" t="str">
        <f>IF(P607&gt;=Stats!$C$30,"High",IF(P607&lt;=Stats!$C$29,"Low","Normal"))</f>
        <v>Normal</v>
      </c>
      <c r="AE607">
        <f t="shared" si="129"/>
        <v>1</v>
      </c>
    </row>
    <row r="608" spans="1:31" x14ac:dyDescent="0.2">
      <c r="A608">
        <f>Dataset_A!A608</f>
        <v>607</v>
      </c>
      <c r="B608" s="61">
        <f>Dataset_A!B608</f>
        <v>40571</v>
      </c>
      <c r="C608">
        <f>Dataset_A!C608</f>
        <v>1</v>
      </c>
      <c r="D608">
        <f>Dataset_A!D608</f>
        <v>0</v>
      </c>
      <c r="E608">
        <f>Dataset_A!E608</f>
        <v>1</v>
      </c>
      <c r="F608">
        <f>Dataset_A!F608</f>
        <v>12</v>
      </c>
      <c r="G608" t="b">
        <f>Dataset_A!G608</f>
        <v>0</v>
      </c>
      <c r="H608">
        <f>Dataset_A!H608</f>
        <v>5</v>
      </c>
      <c r="I608">
        <f>Dataset_A!I608</f>
        <v>3</v>
      </c>
      <c r="J608" s="55">
        <f>Dataset_A!J608</f>
        <v>0.18</v>
      </c>
      <c r="K608">
        <f>Dataset_A!K608</f>
        <v>0.21210000000000001</v>
      </c>
      <c r="L608">
        <f>Dataset_A!L608</f>
        <v>0.93</v>
      </c>
      <c r="M608">
        <f>Dataset_A!M608</f>
        <v>0.1045</v>
      </c>
      <c r="N608">
        <f>Dataset_A!N608</f>
        <v>1</v>
      </c>
      <c r="O608">
        <f>Dataset_A!O608</f>
        <v>28</v>
      </c>
      <c r="P608">
        <f>Dataset_A!P608</f>
        <v>29</v>
      </c>
      <c r="Q608" t="str">
        <f t="shared" si="117"/>
        <v>REC-0607</v>
      </c>
      <c r="R608" s="62">
        <f t="shared" si="118"/>
        <v>40571.5</v>
      </c>
      <c r="S608" t="str">
        <f t="shared" si="119"/>
        <v>Jan</v>
      </c>
      <c r="T608" t="str">
        <f>INDEX(Lookups!$B$39:$B$45,MATCH(H608,Lookups!$A$39:$A$45,0))</f>
        <v>Fri</v>
      </c>
      <c r="U608" t="str">
        <f t="shared" si="120"/>
        <v>Weekday</v>
      </c>
      <c r="V608" t="str">
        <f t="shared" si="121"/>
        <v>Working Day</v>
      </c>
      <c r="W608" t="str">
        <f t="shared" si="122"/>
        <v>Spring</v>
      </c>
      <c r="X608" t="str">
        <f t="shared" si="123"/>
        <v>Light Rain/Snow</v>
      </c>
      <c r="Y608" t="str">
        <f t="shared" si="124"/>
        <v>Afternoon</v>
      </c>
      <c r="Z608" t="str">
        <f t="shared" si="125"/>
        <v>Cold</v>
      </c>
      <c r="AA608" t="str">
        <f t="shared" si="126"/>
        <v>High</v>
      </c>
      <c r="AB608" t="str">
        <f t="shared" si="127"/>
        <v>Off-Peak</v>
      </c>
      <c r="AC608" s="63">
        <f t="shared" si="128"/>
        <v>3.4482758620689655E-2</v>
      </c>
      <c r="AD608" t="str">
        <f>IF(P608&gt;=Stats!$C$30,"High",IF(P608&lt;=Stats!$C$29,"Low","Normal"))</f>
        <v>Normal</v>
      </c>
      <c r="AE608">
        <f t="shared" si="129"/>
        <v>1</v>
      </c>
    </row>
    <row r="609" spans="1:31" x14ac:dyDescent="0.2">
      <c r="A609">
        <f>Dataset_A!A609</f>
        <v>608</v>
      </c>
      <c r="B609" s="61">
        <f>Dataset_A!B609</f>
        <v>40571</v>
      </c>
      <c r="C609">
        <f>Dataset_A!C609</f>
        <v>1</v>
      </c>
      <c r="D609">
        <f>Dataset_A!D609</f>
        <v>0</v>
      </c>
      <c r="E609">
        <f>Dataset_A!E609</f>
        <v>1</v>
      </c>
      <c r="F609">
        <f>Dataset_A!F609</f>
        <v>13</v>
      </c>
      <c r="G609" t="b">
        <f>Dataset_A!G609</f>
        <v>0</v>
      </c>
      <c r="H609">
        <f>Dataset_A!H609</f>
        <v>5</v>
      </c>
      <c r="I609">
        <f>Dataset_A!I609</f>
        <v>3</v>
      </c>
      <c r="J609" s="55">
        <f>Dataset_A!J609</f>
        <v>0.18</v>
      </c>
      <c r="K609">
        <f>Dataset_A!K609</f>
        <v>0.21210000000000001</v>
      </c>
      <c r="L609">
        <f>Dataset_A!L609</f>
        <v>0.93</v>
      </c>
      <c r="M609">
        <f>Dataset_A!M609</f>
        <v>0.1045</v>
      </c>
      <c r="N609">
        <f>Dataset_A!N609</f>
        <v>0</v>
      </c>
      <c r="O609">
        <f>Dataset_A!O609</f>
        <v>31</v>
      </c>
      <c r="P609">
        <f>Dataset_A!P609</f>
        <v>31</v>
      </c>
      <c r="Q609" t="str">
        <f t="shared" si="117"/>
        <v>REC-0608</v>
      </c>
      <c r="R609" s="62">
        <f t="shared" si="118"/>
        <v>40571.541666666664</v>
      </c>
      <c r="S609" t="str">
        <f t="shared" si="119"/>
        <v>Jan</v>
      </c>
      <c r="T609" t="str">
        <f>INDEX(Lookups!$B$39:$B$45,MATCH(H609,Lookups!$A$39:$A$45,0))</f>
        <v>Fri</v>
      </c>
      <c r="U609" t="str">
        <f t="shared" si="120"/>
        <v>Weekday</v>
      </c>
      <c r="V609" t="str">
        <f t="shared" si="121"/>
        <v>Working Day</v>
      </c>
      <c r="W609" t="str">
        <f t="shared" si="122"/>
        <v>Spring</v>
      </c>
      <c r="X609" t="str">
        <f t="shared" si="123"/>
        <v>Light Rain/Snow</v>
      </c>
      <c r="Y609" t="str">
        <f t="shared" si="124"/>
        <v>Afternoon</v>
      </c>
      <c r="Z609" t="str">
        <f t="shared" si="125"/>
        <v>Cold</v>
      </c>
      <c r="AA609" t="str">
        <f t="shared" si="126"/>
        <v>High</v>
      </c>
      <c r="AB609" t="str">
        <f t="shared" si="127"/>
        <v>Off-Peak</v>
      </c>
      <c r="AC609" s="63">
        <f t="shared" si="128"/>
        <v>0</v>
      </c>
      <c r="AD609" t="str">
        <f>IF(P609&gt;=Stats!$C$30,"High",IF(P609&lt;=Stats!$C$29,"Low","Normal"))</f>
        <v>Normal</v>
      </c>
      <c r="AE609">
        <f t="shared" si="129"/>
        <v>1</v>
      </c>
    </row>
    <row r="610" spans="1:31" x14ac:dyDescent="0.2">
      <c r="A610">
        <f>Dataset_A!A610</f>
        <v>609</v>
      </c>
      <c r="B610" s="61">
        <f>Dataset_A!B610</f>
        <v>40571</v>
      </c>
      <c r="C610">
        <f>Dataset_A!C610</f>
        <v>1</v>
      </c>
      <c r="D610">
        <f>Dataset_A!D610</f>
        <v>0</v>
      </c>
      <c r="E610">
        <f>Dataset_A!E610</f>
        <v>1</v>
      </c>
      <c r="F610">
        <f>Dataset_A!F610</f>
        <v>14</v>
      </c>
      <c r="G610" t="b">
        <f>Dataset_A!G610</f>
        <v>0</v>
      </c>
      <c r="H610">
        <f>Dataset_A!H610</f>
        <v>5</v>
      </c>
      <c r="I610">
        <f>Dataset_A!I610</f>
        <v>3</v>
      </c>
      <c r="J610" s="55">
        <f>Dataset_A!J610</f>
        <v>0.22</v>
      </c>
      <c r="K610">
        <f>Dataset_A!K610</f>
        <v>0.2727</v>
      </c>
      <c r="L610">
        <f>Dataset_A!L610</f>
        <v>0.8</v>
      </c>
      <c r="M610">
        <f>Dataset_A!M610</f>
        <v>0</v>
      </c>
      <c r="N610">
        <f>Dataset_A!N610</f>
        <v>2</v>
      </c>
      <c r="O610">
        <f>Dataset_A!O610</f>
        <v>36</v>
      </c>
      <c r="P610">
        <f>Dataset_A!P610</f>
        <v>38</v>
      </c>
      <c r="Q610" t="str">
        <f t="shared" si="117"/>
        <v>REC-0609</v>
      </c>
      <c r="R610" s="62">
        <f t="shared" si="118"/>
        <v>40571.583333333336</v>
      </c>
      <c r="S610" t="str">
        <f t="shared" si="119"/>
        <v>Jan</v>
      </c>
      <c r="T610" t="str">
        <f>INDEX(Lookups!$B$39:$B$45,MATCH(H610,Lookups!$A$39:$A$45,0))</f>
        <v>Fri</v>
      </c>
      <c r="U610" t="str">
        <f t="shared" si="120"/>
        <v>Weekday</v>
      </c>
      <c r="V610" t="str">
        <f t="shared" si="121"/>
        <v>Working Day</v>
      </c>
      <c r="W610" t="str">
        <f t="shared" si="122"/>
        <v>Spring</v>
      </c>
      <c r="X610" t="str">
        <f t="shared" si="123"/>
        <v>Light Rain/Snow</v>
      </c>
      <c r="Y610" t="str">
        <f t="shared" si="124"/>
        <v>Afternoon</v>
      </c>
      <c r="Z610" t="str">
        <f t="shared" si="125"/>
        <v>Mild</v>
      </c>
      <c r="AA610" t="str">
        <f t="shared" si="126"/>
        <v>High</v>
      </c>
      <c r="AB610" t="str">
        <f t="shared" si="127"/>
        <v>Off-Peak</v>
      </c>
      <c r="AC610" s="63">
        <f t="shared" si="128"/>
        <v>5.2631578947368418E-2</v>
      </c>
      <c r="AD610" t="str">
        <f>IF(P610&gt;=Stats!$C$30,"High",IF(P610&lt;=Stats!$C$29,"Low","Normal"))</f>
        <v>Normal</v>
      </c>
      <c r="AE610">
        <f t="shared" si="129"/>
        <v>1</v>
      </c>
    </row>
    <row r="611" spans="1:31" x14ac:dyDescent="0.2">
      <c r="A611">
        <f>Dataset_A!A611</f>
        <v>610</v>
      </c>
      <c r="B611" s="61">
        <f>Dataset_A!B611</f>
        <v>40571</v>
      </c>
      <c r="C611">
        <f>Dataset_A!C611</f>
        <v>1</v>
      </c>
      <c r="D611">
        <f>Dataset_A!D611</f>
        <v>0</v>
      </c>
      <c r="E611">
        <f>Dataset_A!E611</f>
        <v>1</v>
      </c>
      <c r="F611">
        <f>Dataset_A!F611</f>
        <v>15</v>
      </c>
      <c r="G611" t="b">
        <f>Dataset_A!G611</f>
        <v>0</v>
      </c>
      <c r="H611">
        <f>Dataset_A!H611</f>
        <v>5</v>
      </c>
      <c r="I611">
        <f>Dataset_A!I611</f>
        <v>2</v>
      </c>
      <c r="J611" s="55">
        <f>Dataset_A!J611</f>
        <v>0.2</v>
      </c>
      <c r="K611">
        <f>Dataset_A!K611</f>
        <v>0.2576</v>
      </c>
      <c r="L611">
        <f>Dataset_A!L611</f>
        <v>0.86</v>
      </c>
      <c r="M611">
        <f>Dataset_A!M611</f>
        <v>0</v>
      </c>
      <c r="N611">
        <f>Dataset_A!N611</f>
        <v>1</v>
      </c>
      <c r="O611">
        <f>Dataset_A!O611</f>
        <v>40</v>
      </c>
      <c r="P611">
        <f>Dataset_A!P611</f>
        <v>41</v>
      </c>
      <c r="Q611" t="str">
        <f t="shared" si="117"/>
        <v>REC-0610</v>
      </c>
      <c r="R611" s="62">
        <f t="shared" si="118"/>
        <v>40571.625</v>
      </c>
      <c r="S611" t="str">
        <f t="shared" si="119"/>
        <v>Jan</v>
      </c>
      <c r="T611" t="str">
        <f>INDEX(Lookups!$B$39:$B$45,MATCH(H611,Lookups!$A$39:$A$45,0))</f>
        <v>Fri</v>
      </c>
      <c r="U611" t="str">
        <f t="shared" si="120"/>
        <v>Weekday</v>
      </c>
      <c r="V611" t="str">
        <f t="shared" si="121"/>
        <v>Working Day</v>
      </c>
      <c r="W611" t="str">
        <f t="shared" si="122"/>
        <v>Spring</v>
      </c>
      <c r="X611" t="str">
        <f t="shared" si="123"/>
        <v>Cloudy/Mist</v>
      </c>
      <c r="Y611" t="str">
        <f t="shared" si="124"/>
        <v>Afternoon</v>
      </c>
      <c r="Z611" t="str">
        <f t="shared" si="125"/>
        <v>Mild</v>
      </c>
      <c r="AA611" t="str">
        <f t="shared" si="126"/>
        <v>High</v>
      </c>
      <c r="AB611" t="str">
        <f t="shared" si="127"/>
        <v>Off-Peak</v>
      </c>
      <c r="AC611" s="63">
        <f t="shared" si="128"/>
        <v>2.4390243902439025E-2</v>
      </c>
      <c r="AD611" t="str">
        <f>IF(P611&gt;=Stats!$C$30,"High",IF(P611&lt;=Stats!$C$29,"Low","Normal"))</f>
        <v>Normal</v>
      </c>
      <c r="AE611">
        <f t="shared" si="129"/>
        <v>1</v>
      </c>
    </row>
    <row r="612" spans="1:31" x14ac:dyDescent="0.2">
      <c r="A612">
        <f>Dataset_3!A2</f>
        <v>611</v>
      </c>
      <c r="B612" s="61">
        <f>Dataset_3!B2</f>
        <v>40571</v>
      </c>
      <c r="C612">
        <f>Dataset_3!C2</f>
        <v>1</v>
      </c>
      <c r="D612">
        <f>Dataset_3!D2</f>
        <v>0</v>
      </c>
      <c r="E612">
        <f>Dataset_3!E2</f>
        <v>1</v>
      </c>
      <c r="F612">
        <f>Dataset_3!F2</f>
        <v>16</v>
      </c>
      <c r="G612" t="b">
        <f>Dataset_3!G2</f>
        <v>0</v>
      </c>
      <c r="H612">
        <f>Dataset_3!H2</f>
        <v>5</v>
      </c>
      <c r="I612">
        <f>Dataset_3!I2</f>
        <v>1</v>
      </c>
      <c r="J612" s="55">
        <f>Dataset_3!J2</f>
        <v>0.22</v>
      </c>
      <c r="K612">
        <f>Dataset_3!K2</f>
        <v>0.2727</v>
      </c>
      <c r="L612">
        <f>Dataset_3!L2</f>
        <v>0.8</v>
      </c>
      <c r="M612">
        <f>Dataset_3!M2</f>
        <v>0</v>
      </c>
      <c r="N612">
        <f>Dataset_3!N2</f>
        <v>10</v>
      </c>
      <c r="O612">
        <f>Dataset_3!O2</f>
        <v>70</v>
      </c>
      <c r="P612">
        <f>Dataset_3!P2</f>
        <v>80</v>
      </c>
      <c r="Q612" t="str">
        <f t="shared" si="117"/>
        <v>REC-0611</v>
      </c>
      <c r="R612" s="62">
        <f t="shared" si="118"/>
        <v>40571.666666666664</v>
      </c>
      <c r="S612" t="str">
        <f t="shared" si="119"/>
        <v>Jan</v>
      </c>
      <c r="T612" t="str">
        <f>INDEX(Lookups!$B$39:$B$45,MATCH(H612,Lookups!$A$39:$A$45,0))</f>
        <v>Fri</v>
      </c>
      <c r="U612" t="str">
        <f t="shared" si="120"/>
        <v>Weekday</v>
      </c>
      <c r="V612" t="str">
        <f t="shared" si="121"/>
        <v>Working Day</v>
      </c>
      <c r="W612" t="str">
        <f t="shared" si="122"/>
        <v>Spring</v>
      </c>
      <c r="X612" t="str">
        <f t="shared" si="123"/>
        <v>Clear</v>
      </c>
      <c r="Y612" t="str">
        <f t="shared" si="124"/>
        <v>Afternoon</v>
      </c>
      <c r="Z612" t="str">
        <f t="shared" si="125"/>
        <v>Mild</v>
      </c>
      <c r="AA612" t="str">
        <f t="shared" si="126"/>
        <v>High</v>
      </c>
      <c r="AB612" t="str">
        <f t="shared" si="127"/>
        <v>Peak</v>
      </c>
      <c r="AC612" s="63">
        <f t="shared" si="128"/>
        <v>0.125</v>
      </c>
      <c r="AD612" t="str">
        <f>IF(P612&gt;=Stats!$C$30,"High",IF(P612&lt;=Stats!$C$29,"Low","Normal"))</f>
        <v>Normal</v>
      </c>
      <c r="AE612">
        <f t="shared" si="129"/>
        <v>1</v>
      </c>
    </row>
    <row r="613" spans="1:31" x14ac:dyDescent="0.2">
      <c r="A613">
        <f>Dataset_3!A3</f>
        <v>612</v>
      </c>
      <c r="B613" s="61">
        <f>Dataset_3!B3</f>
        <v>40571</v>
      </c>
      <c r="C613">
        <f>Dataset_3!C3</f>
        <v>1</v>
      </c>
      <c r="D613">
        <f>Dataset_3!D3</f>
        <v>0</v>
      </c>
      <c r="E613">
        <f>Dataset_3!E3</f>
        <v>1</v>
      </c>
      <c r="F613">
        <f>Dataset_3!F3</f>
        <v>17</v>
      </c>
      <c r="G613" t="b">
        <f>Dataset_3!G3</f>
        <v>0</v>
      </c>
      <c r="H613">
        <f>Dataset_3!H3</f>
        <v>5</v>
      </c>
      <c r="I613">
        <f>Dataset_3!I3</f>
        <v>1</v>
      </c>
      <c r="J613" s="55">
        <f>Dataset_3!J3</f>
        <v>0.24</v>
      </c>
      <c r="K613">
        <f>Dataset_3!K3</f>
        <v>0.2424</v>
      </c>
      <c r="L613">
        <f>Dataset_3!L3</f>
        <v>0.75</v>
      </c>
      <c r="M613">
        <f>Dataset_3!M3</f>
        <v>0.1343</v>
      </c>
      <c r="N613">
        <f>Dataset_3!N3</f>
        <v>2</v>
      </c>
      <c r="O613">
        <f>Dataset_3!O3</f>
        <v>147</v>
      </c>
      <c r="P613">
        <f>Dataset_3!P3</f>
        <v>149</v>
      </c>
      <c r="Q613" t="str">
        <f t="shared" si="117"/>
        <v>REC-0612</v>
      </c>
      <c r="R613" s="62">
        <f t="shared" si="118"/>
        <v>40571.708333333336</v>
      </c>
      <c r="S613" t="str">
        <f t="shared" si="119"/>
        <v>Jan</v>
      </c>
      <c r="T613" t="str">
        <f>INDEX(Lookups!$B$39:$B$45,MATCH(H613,Lookups!$A$39:$A$45,0))</f>
        <v>Fri</v>
      </c>
      <c r="U613" t="str">
        <f t="shared" si="120"/>
        <v>Weekday</v>
      </c>
      <c r="V613" t="str">
        <f t="shared" si="121"/>
        <v>Working Day</v>
      </c>
      <c r="W613" t="str">
        <f t="shared" si="122"/>
        <v>Spring</v>
      </c>
      <c r="X613" t="str">
        <f t="shared" si="123"/>
        <v>Clear</v>
      </c>
      <c r="Y613" t="str">
        <f t="shared" si="124"/>
        <v>Evening</v>
      </c>
      <c r="Z613" t="str">
        <f t="shared" si="125"/>
        <v>Mild</v>
      </c>
      <c r="AA613" t="str">
        <f t="shared" si="126"/>
        <v>High</v>
      </c>
      <c r="AB613" t="str">
        <f t="shared" si="127"/>
        <v>Peak</v>
      </c>
      <c r="AC613" s="63">
        <f t="shared" si="128"/>
        <v>1.3422818791946308E-2</v>
      </c>
      <c r="AD613" t="str">
        <f>IF(P613&gt;=Stats!$C$30,"High",IF(P613&lt;=Stats!$C$29,"Low","Normal"))</f>
        <v>High</v>
      </c>
      <c r="AE613">
        <f t="shared" si="129"/>
        <v>1</v>
      </c>
    </row>
    <row r="614" spans="1:31" x14ac:dyDescent="0.2">
      <c r="A614">
        <f>Dataset_3!A4</f>
        <v>613</v>
      </c>
      <c r="B614" s="61">
        <f>Dataset_3!B4</f>
        <v>40571</v>
      </c>
      <c r="C614">
        <f>Dataset_3!C4</f>
        <v>1</v>
      </c>
      <c r="D614">
        <f>Dataset_3!D4</f>
        <v>0</v>
      </c>
      <c r="E614">
        <f>Dataset_3!E4</f>
        <v>1</v>
      </c>
      <c r="F614">
        <f>Dataset_3!F4</f>
        <v>18</v>
      </c>
      <c r="G614" t="b">
        <f>Dataset_3!G4</f>
        <v>0</v>
      </c>
      <c r="H614">
        <f>Dataset_3!H4</f>
        <v>5</v>
      </c>
      <c r="I614">
        <f>Dataset_3!I4</f>
        <v>1</v>
      </c>
      <c r="J614" s="55">
        <f>Dataset_3!J4</f>
        <v>0.24</v>
      </c>
      <c r="K614">
        <f>Dataset_3!K4</f>
        <v>0.2273</v>
      </c>
      <c r="L614">
        <f>Dataset_3!L4</f>
        <v>0.75</v>
      </c>
      <c r="M614">
        <f>Dataset_3!M4</f>
        <v>0.19400000000000001</v>
      </c>
      <c r="N614">
        <f>Dataset_3!N4</f>
        <v>2</v>
      </c>
      <c r="O614">
        <f>Dataset_3!O4</f>
        <v>107</v>
      </c>
      <c r="P614">
        <f>Dataset_3!P4</f>
        <v>109</v>
      </c>
      <c r="Q614" t="str">
        <f t="shared" si="117"/>
        <v>REC-0613</v>
      </c>
      <c r="R614" s="62">
        <f t="shared" si="118"/>
        <v>40571.75</v>
      </c>
      <c r="S614" t="str">
        <f t="shared" si="119"/>
        <v>Jan</v>
      </c>
      <c r="T614" t="str">
        <f>INDEX(Lookups!$B$39:$B$45,MATCH(H614,Lookups!$A$39:$A$45,0))</f>
        <v>Fri</v>
      </c>
      <c r="U614" t="str">
        <f t="shared" si="120"/>
        <v>Weekday</v>
      </c>
      <c r="V614" t="str">
        <f t="shared" si="121"/>
        <v>Working Day</v>
      </c>
      <c r="W614" t="str">
        <f t="shared" si="122"/>
        <v>Spring</v>
      </c>
      <c r="X614" t="str">
        <f t="shared" si="123"/>
        <v>Clear</v>
      </c>
      <c r="Y614" t="str">
        <f t="shared" si="124"/>
        <v>Evening</v>
      </c>
      <c r="Z614" t="str">
        <f t="shared" si="125"/>
        <v>Mild</v>
      </c>
      <c r="AA614" t="str">
        <f t="shared" si="126"/>
        <v>High</v>
      </c>
      <c r="AB614" t="str">
        <f t="shared" si="127"/>
        <v>Peak</v>
      </c>
      <c r="AC614" s="63">
        <f t="shared" si="128"/>
        <v>1.834862385321101E-2</v>
      </c>
      <c r="AD614" t="str">
        <f>IF(P614&gt;=Stats!$C$30,"High",IF(P614&lt;=Stats!$C$29,"Low","Normal"))</f>
        <v>High</v>
      </c>
      <c r="AE614">
        <f t="shared" si="129"/>
        <v>1</v>
      </c>
    </row>
    <row r="615" spans="1:31" x14ac:dyDescent="0.2">
      <c r="A615">
        <f>Dataset_3!A5</f>
        <v>614</v>
      </c>
      <c r="B615" s="61">
        <f>Dataset_3!B5</f>
        <v>40571</v>
      </c>
      <c r="C615">
        <f>Dataset_3!C5</f>
        <v>1</v>
      </c>
      <c r="D615">
        <f>Dataset_3!D5</f>
        <v>0</v>
      </c>
      <c r="E615">
        <f>Dataset_3!E5</f>
        <v>1</v>
      </c>
      <c r="F615">
        <f>Dataset_3!F5</f>
        <v>19</v>
      </c>
      <c r="G615" t="b">
        <f>Dataset_3!G5</f>
        <v>0</v>
      </c>
      <c r="H615">
        <f>Dataset_3!H5</f>
        <v>5</v>
      </c>
      <c r="I615">
        <f>Dataset_3!I5</f>
        <v>2</v>
      </c>
      <c r="J615" s="55">
        <f>Dataset_3!J5</f>
        <v>0.24</v>
      </c>
      <c r="K615">
        <f>Dataset_3!K5</f>
        <v>0.2424</v>
      </c>
      <c r="L615">
        <f>Dataset_3!L5</f>
        <v>0.75</v>
      </c>
      <c r="M615">
        <f>Dataset_3!M5</f>
        <v>0.1343</v>
      </c>
      <c r="N615">
        <f>Dataset_3!N5</f>
        <v>5</v>
      </c>
      <c r="O615">
        <f>Dataset_3!O5</f>
        <v>84</v>
      </c>
      <c r="P615">
        <f>Dataset_3!P5</f>
        <v>89</v>
      </c>
      <c r="Q615" t="str">
        <f t="shared" si="117"/>
        <v>REC-0614</v>
      </c>
      <c r="R615" s="62">
        <f t="shared" si="118"/>
        <v>40571.791666666664</v>
      </c>
      <c r="S615" t="str">
        <f t="shared" si="119"/>
        <v>Jan</v>
      </c>
      <c r="T615" t="str">
        <f>INDEX(Lookups!$B$39:$B$45,MATCH(H615,Lookups!$A$39:$A$45,0))</f>
        <v>Fri</v>
      </c>
      <c r="U615" t="str">
        <f t="shared" si="120"/>
        <v>Weekday</v>
      </c>
      <c r="V615" t="str">
        <f t="shared" si="121"/>
        <v>Working Day</v>
      </c>
      <c r="W615" t="str">
        <f t="shared" si="122"/>
        <v>Spring</v>
      </c>
      <c r="X615" t="str">
        <f t="shared" si="123"/>
        <v>Cloudy/Mist</v>
      </c>
      <c r="Y615" t="str">
        <f t="shared" si="124"/>
        <v>Evening</v>
      </c>
      <c r="Z615" t="str">
        <f t="shared" si="125"/>
        <v>Mild</v>
      </c>
      <c r="AA615" t="str">
        <f t="shared" si="126"/>
        <v>High</v>
      </c>
      <c r="AB615" t="str">
        <f t="shared" si="127"/>
        <v>Peak</v>
      </c>
      <c r="AC615" s="63">
        <f t="shared" si="128"/>
        <v>5.6179775280898875E-2</v>
      </c>
      <c r="AD615" t="str">
        <f>IF(P615&gt;=Stats!$C$30,"High",IF(P615&lt;=Stats!$C$29,"Low","Normal"))</f>
        <v>High</v>
      </c>
      <c r="AE615">
        <f t="shared" si="129"/>
        <v>1</v>
      </c>
    </row>
    <row r="616" spans="1:31" x14ac:dyDescent="0.2">
      <c r="A616">
        <f>Dataset_3!A6</f>
        <v>615</v>
      </c>
      <c r="B616" s="61">
        <f>Dataset_3!B6</f>
        <v>40571</v>
      </c>
      <c r="C616">
        <f>Dataset_3!C6</f>
        <v>1</v>
      </c>
      <c r="D616">
        <f>Dataset_3!D6</f>
        <v>0</v>
      </c>
      <c r="E616">
        <f>Dataset_3!E6</f>
        <v>1</v>
      </c>
      <c r="F616">
        <f>Dataset_3!F6</f>
        <v>20</v>
      </c>
      <c r="G616" t="b">
        <f>Dataset_3!G6</f>
        <v>0</v>
      </c>
      <c r="H616">
        <f>Dataset_3!H6</f>
        <v>5</v>
      </c>
      <c r="I616">
        <f>Dataset_3!I6</f>
        <v>2</v>
      </c>
      <c r="J616" s="55">
        <f>Dataset_3!J6</f>
        <v>0.24</v>
      </c>
      <c r="K616">
        <f>Dataset_3!K6</f>
        <v>0.2273</v>
      </c>
      <c r="L616">
        <f>Dataset_3!L6</f>
        <v>0.7</v>
      </c>
      <c r="M616">
        <f>Dataset_3!M6</f>
        <v>0.19400000000000001</v>
      </c>
      <c r="N616">
        <f>Dataset_3!N6</f>
        <v>1</v>
      </c>
      <c r="O616">
        <f>Dataset_3!O6</f>
        <v>61</v>
      </c>
      <c r="P616">
        <f>Dataset_3!P6</f>
        <v>62</v>
      </c>
      <c r="Q616" t="str">
        <f t="shared" si="117"/>
        <v>REC-0615</v>
      </c>
      <c r="R616" s="62">
        <f t="shared" si="118"/>
        <v>40571.833333333336</v>
      </c>
      <c r="S616" t="str">
        <f t="shared" si="119"/>
        <v>Jan</v>
      </c>
      <c r="T616" t="str">
        <f>INDEX(Lookups!$B$39:$B$45,MATCH(H616,Lookups!$A$39:$A$45,0))</f>
        <v>Fri</v>
      </c>
      <c r="U616" t="str">
        <f t="shared" si="120"/>
        <v>Weekday</v>
      </c>
      <c r="V616" t="str">
        <f t="shared" si="121"/>
        <v>Working Day</v>
      </c>
      <c r="W616" t="str">
        <f t="shared" si="122"/>
        <v>Spring</v>
      </c>
      <c r="X616" t="str">
        <f t="shared" si="123"/>
        <v>Cloudy/Mist</v>
      </c>
      <c r="Y616" t="str">
        <f t="shared" si="124"/>
        <v>Evening</v>
      </c>
      <c r="Z616" t="str">
        <f t="shared" si="125"/>
        <v>Mild</v>
      </c>
      <c r="AA616" t="str">
        <f t="shared" si="126"/>
        <v>Medium</v>
      </c>
      <c r="AB616" t="str">
        <f t="shared" si="127"/>
        <v>Off-Peak</v>
      </c>
      <c r="AC616" s="63">
        <f t="shared" si="128"/>
        <v>1.6129032258064516E-2</v>
      </c>
      <c r="AD616" t="str">
        <f>IF(P616&gt;=Stats!$C$30,"High",IF(P616&lt;=Stats!$C$29,"Low","Normal"))</f>
        <v>Normal</v>
      </c>
      <c r="AE616">
        <f t="shared" si="129"/>
        <v>1</v>
      </c>
    </row>
    <row r="617" spans="1:31" x14ac:dyDescent="0.2">
      <c r="A617">
        <f>Dataset_3!A7</f>
        <v>616</v>
      </c>
      <c r="B617" s="61">
        <f>Dataset_3!B7</f>
        <v>40571</v>
      </c>
      <c r="C617">
        <f>Dataset_3!C7</f>
        <v>1</v>
      </c>
      <c r="D617">
        <f>Dataset_3!D7</f>
        <v>0</v>
      </c>
      <c r="E617">
        <f>Dataset_3!E7</f>
        <v>1</v>
      </c>
      <c r="F617">
        <f>Dataset_3!F7</f>
        <v>21</v>
      </c>
      <c r="G617" t="b">
        <f>Dataset_3!G7</f>
        <v>0</v>
      </c>
      <c r="H617">
        <f>Dataset_3!H7</f>
        <v>5</v>
      </c>
      <c r="I617">
        <f>Dataset_3!I7</f>
        <v>2</v>
      </c>
      <c r="J617" s="55">
        <f>Dataset_3!J7</f>
        <v>0.22</v>
      </c>
      <c r="K617">
        <f>Dataset_3!K7</f>
        <v>0.2273</v>
      </c>
      <c r="L617">
        <f>Dataset_3!L7</f>
        <v>0.75</v>
      </c>
      <c r="M617">
        <f>Dataset_3!M7</f>
        <v>0.1343</v>
      </c>
      <c r="N617">
        <f>Dataset_3!N7</f>
        <v>1</v>
      </c>
      <c r="O617">
        <f>Dataset_3!O7</f>
        <v>57</v>
      </c>
      <c r="P617">
        <f>Dataset_3!P7</f>
        <v>58</v>
      </c>
      <c r="Q617" t="str">
        <f t="shared" si="117"/>
        <v>REC-0616</v>
      </c>
      <c r="R617" s="62">
        <f t="shared" si="118"/>
        <v>40571.875</v>
      </c>
      <c r="S617" t="str">
        <f t="shared" si="119"/>
        <v>Jan</v>
      </c>
      <c r="T617" t="str">
        <f>INDEX(Lookups!$B$39:$B$45,MATCH(H617,Lookups!$A$39:$A$45,0))</f>
        <v>Fri</v>
      </c>
      <c r="U617" t="str">
        <f t="shared" si="120"/>
        <v>Weekday</v>
      </c>
      <c r="V617" t="str">
        <f t="shared" si="121"/>
        <v>Working Day</v>
      </c>
      <c r="W617" t="str">
        <f t="shared" si="122"/>
        <v>Spring</v>
      </c>
      <c r="X617" t="str">
        <f t="shared" si="123"/>
        <v>Cloudy/Mist</v>
      </c>
      <c r="Y617" t="str">
        <f t="shared" si="124"/>
        <v>Late Evening</v>
      </c>
      <c r="Z617" t="str">
        <f t="shared" si="125"/>
        <v>Mild</v>
      </c>
      <c r="AA617" t="str">
        <f t="shared" si="126"/>
        <v>High</v>
      </c>
      <c r="AB617" t="str">
        <f t="shared" si="127"/>
        <v>Off-Peak</v>
      </c>
      <c r="AC617" s="63">
        <f t="shared" si="128"/>
        <v>1.7241379310344827E-2</v>
      </c>
      <c r="AD617" t="str">
        <f>IF(P617&gt;=Stats!$C$30,"High",IF(P617&lt;=Stats!$C$29,"Low","Normal"))</f>
        <v>Normal</v>
      </c>
      <c r="AE617">
        <f t="shared" si="129"/>
        <v>1</v>
      </c>
    </row>
    <row r="618" spans="1:31" x14ac:dyDescent="0.2">
      <c r="A618">
        <f>Dataset_3!A8</f>
        <v>617</v>
      </c>
      <c r="B618" s="61">
        <f>Dataset_3!B8</f>
        <v>40571</v>
      </c>
      <c r="C618">
        <f>Dataset_3!C8</f>
        <v>1</v>
      </c>
      <c r="D618">
        <f>Dataset_3!D8</f>
        <v>0</v>
      </c>
      <c r="E618">
        <f>Dataset_3!E8</f>
        <v>1</v>
      </c>
      <c r="F618">
        <f>Dataset_3!F8</f>
        <v>22</v>
      </c>
      <c r="G618" t="b">
        <f>Dataset_3!G8</f>
        <v>0</v>
      </c>
      <c r="H618">
        <f>Dataset_3!H8</f>
        <v>5</v>
      </c>
      <c r="I618">
        <f>Dataset_3!I8</f>
        <v>1</v>
      </c>
      <c r="J618" s="55">
        <f>Dataset_3!J8</f>
        <v>0.24</v>
      </c>
      <c r="K618">
        <f>Dataset_3!K8</f>
        <v>0.21210000000000001</v>
      </c>
      <c r="L618">
        <f>Dataset_3!L8</f>
        <v>0.65</v>
      </c>
      <c r="M618">
        <f>Dataset_3!M8</f>
        <v>0.35820000000000002</v>
      </c>
      <c r="N618">
        <f>Dataset_3!N8</f>
        <v>0</v>
      </c>
      <c r="O618">
        <f>Dataset_3!O8</f>
        <v>26</v>
      </c>
      <c r="P618">
        <f>Dataset_3!P8</f>
        <v>26</v>
      </c>
      <c r="Q618" t="str">
        <f t="shared" si="117"/>
        <v>REC-0617</v>
      </c>
      <c r="R618" s="62">
        <f t="shared" si="118"/>
        <v>40571.916666666664</v>
      </c>
      <c r="S618" t="str">
        <f t="shared" si="119"/>
        <v>Jan</v>
      </c>
      <c r="T618" t="str">
        <f>INDEX(Lookups!$B$39:$B$45,MATCH(H618,Lookups!$A$39:$A$45,0))</f>
        <v>Fri</v>
      </c>
      <c r="U618" t="str">
        <f t="shared" si="120"/>
        <v>Weekday</v>
      </c>
      <c r="V618" t="str">
        <f t="shared" si="121"/>
        <v>Working Day</v>
      </c>
      <c r="W618" t="str">
        <f t="shared" si="122"/>
        <v>Spring</v>
      </c>
      <c r="X618" t="str">
        <f t="shared" si="123"/>
        <v>Clear</v>
      </c>
      <c r="Y618" t="str">
        <f t="shared" si="124"/>
        <v>Late Evening</v>
      </c>
      <c r="Z618" t="str">
        <f t="shared" si="125"/>
        <v>Mild</v>
      </c>
      <c r="AA618" t="str">
        <f t="shared" si="126"/>
        <v>Medium</v>
      </c>
      <c r="AB618" t="str">
        <f t="shared" si="127"/>
        <v>Off-Peak</v>
      </c>
      <c r="AC618" s="63">
        <f t="shared" si="128"/>
        <v>0</v>
      </c>
      <c r="AD618" t="str">
        <f>IF(P618&gt;=Stats!$C$30,"High",IF(P618&lt;=Stats!$C$29,"Low","Normal"))</f>
        <v>Normal</v>
      </c>
      <c r="AE618">
        <f t="shared" si="129"/>
        <v>1</v>
      </c>
    </row>
    <row r="619" spans="1:31" x14ac:dyDescent="0.2">
      <c r="A619">
        <f>Dataset_3!A9</f>
        <v>618</v>
      </c>
      <c r="B619" s="61">
        <f>Dataset_3!B9</f>
        <v>40571</v>
      </c>
      <c r="C619">
        <f>Dataset_3!C9</f>
        <v>1</v>
      </c>
      <c r="D619">
        <f>Dataset_3!D9</f>
        <v>0</v>
      </c>
      <c r="E619">
        <f>Dataset_3!E9</f>
        <v>1</v>
      </c>
      <c r="F619">
        <f>Dataset_3!F9</f>
        <v>23</v>
      </c>
      <c r="G619" t="b">
        <f>Dataset_3!G9</f>
        <v>0</v>
      </c>
      <c r="H619">
        <f>Dataset_3!H9</f>
        <v>5</v>
      </c>
      <c r="I619">
        <f>Dataset_3!I9</f>
        <v>1</v>
      </c>
      <c r="J619" s="55">
        <f>Dataset_3!J9</f>
        <v>0.24</v>
      </c>
      <c r="K619">
        <f>Dataset_3!K9</f>
        <v>0.2273</v>
      </c>
      <c r="L619">
        <f>Dataset_3!L9</f>
        <v>0.6</v>
      </c>
      <c r="M619">
        <f>Dataset_3!M9</f>
        <v>0.22389999999999999</v>
      </c>
      <c r="N619">
        <f>Dataset_3!N9</f>
        <v>1</v>
      </c>
      <c r="O619">
        <f>Dataset_3!O9</f>
        <v>22</v>
      </c>
      <c r="P619">
        <f>Dataset_3!P9</f>
        <v>23</v>
      </c>
      <c r="Q619" t="str">
        <f t="shared" si="117"/>
        <v>REC-0618</v>
      </c>
      <c r="R619" s="62">
        <f t="shared" si="118"/>
        <v>40571.958333333336</v>
      </c>
      <c r="S619" t="str">
        <f t="shared" si="119"/>
        <v>Jan</v>
      </c>
      <c r="T619" t="str">
        <f>INDEX(Lookups!$B$39:$B$45,MATCH(H619,Lookups!$A$39:$A$45,0))</f>
        <v>Fri</v>
      </c>
      <c r="U619" t="str">
        <f t="shared" si="120"/>
        <v>Weekday</v>
      </c>
      <c r="V619" t="str">
        <f t="shared" si="121"/>
        <v>Working Day</v>
      </c>
      <c r="W619" t="str">
        <f t="shared" si="122"/>
        <v>Spring</v>
      </c>
      <c r="X619" t="str">
        <f t="shared" si="123"/>
        <v>Clear</v>
      </c>
      <c r="Y619" t="str">
        <f t="shared" si="124"/>
        <v>Late Evening</v>
      </c>
      <c r="Z619" t="str">
        <f t="shared" si="125"/>
        <v>Mild</v>
      </c>
      <c r="AA619" t="str">
        <f t="shared" si="126"/>
        <v>Medium</v>
      </c>
      <c r="AB619" t="str">
        <f t="shared" si="127"/>
        <v>Off-Peak</v>
      </c>
      <c r="AC619" s="63">
        <f t="shared" si="128"/>
        <v>4.3478260869565216E-2</v>
      </c>
      <c r="AD619" t="str">
        <f>IF(P619&gt;=Stats!$C$30,"High",IF(P619&lt;=Stats!$C$29,"Low","Normal"))</f>
        <v>Normal</v>
      </c>
      <c r="AE619">
        <f t="shared" si="129"/>
        <v>1</v>
      </c>
    </row>
    <row r="620" spans="1:31" x14ac:dyDescent="0.2">
      <c r="A620">
        <f>Dataset_3!A10</f>
        <v>619</v>
      </c>
      <c r="B620" s="61">
        <f>Dataset_3!B10</f>
        <v>40572</v>
      </c>
      <c r="C620">
        <f>Dataset_3!C10</f>
        <v>1</v>
      </c>
      <c r="D620">
        <f>Dataset_3!D10</f>
        <v>0</v>
      </c>
      <c r="E620">
        <f>Dataset_3!E10</f>
        <v>1</v>
      </c>
      <c r="F620">
        <f>Dataset_3!F10</f>
        <v>0</v>
      </c>
      <c r="G620" t="b">
        <f>Dataset_3!G10</f>
        <v>0</v>
      </c>
      <c r="H620">
        <f>Dataset_3!H10</f>
        <v>6</v>
      </c>
      <c r="I620">
        <f>Dataset_3!I10</f>
        <v>1</v>
      </c>
      <c r="J620" s="55">
        <f>Dataset_3!J10</f>
        <v>0.22</v>
      </c>
      <c r="K620">
        <f>Dataset_3!K10</f>
        <v>0.19700000000000001</v>
      </c>
      <c r="L620">
        <f>Dataset_3!L10</f>
        <v>0.64</v>
      </c>
      <c r="M620">
        <f>Dataset_3!M10</f>
        <v>0.35820000000000002</v>
      </c>
      <c r="N620">
        <f>Dataset_3!N10</f>
        <v>2</v>
      </c>
      <c r="O620">
        <f>Dataset_3!O10</f>
        <v>26</v>
      </c>
      <c r="P620">
        <f>Dataset_3!P10</f>
        <v>28</v>
      </c>
      <c r="Q620" t="str">
        <f t="shared" si="117"/>
        <v>REC-0619</v>
      </c>
      <c r="R620" s="62">
        <f t="shared" si="118"/>
        <v>40572</v>
      </c>
      <c r="S620" t="str">
        <f t="shared" si="119"/>
        <v>Jan</v>
      </c>
      <c r="T620" t="str">
        <f>INDEX(Lookups!$B$39:$B$45,MATCH(H620,Lookups!$A$39:$A$45,0))</f>
        <v>Sat</v>
      </c>
      <c r="U620" t="str">
        <f t="shared" si="120"/>
        <v>Weekend</v>
      </c>
      <c r="V620" t="str">
        <f t="shared" si="121"/>
        <v>Non-Working Day</v>
      </c>
      <c r="W620" t="str">
        <f t="shared" si="122"/>
        <v>Spring</v>
      </c>
      <c r="X620" t="str">
        <f t="shared" si="123"/>
        <v>Clear</v>
      </c>
      <c r="Y620" t="str">
        <f t="shared" si="124"/>
        <v>Night</v>
      </c>
      <c r="Z620" t="str">
        <f t="shared" si="125"/>
        <v>Mild</v>
      </c>
      <c r="AA620" t="str">
        <f t="shared" si="126"/>
        <v>Medium</v>
      </c>
      <c r="AB620" t="str">
        <f t="shared" si="127"/>
        <v>Off-Peak</v>
      </c>
      <c r="AC620" s="63">
        <f t="shared" si="128"/>
        <v>7.1428571428571425E-2</v>
      </c>
      <c r="AD620" t="str">
        <f>IF(P620&gt;=Stats!$C$30,"High",IF(P620&lt;=Stats!$C$29,"Low","Normal"))</f>
        <v>Normal</v>
      </c>
      <c r="AE620">
        <f t="shared" si="129"/>
        <v>1</v>
      </c>
    </row>
    <row r="621" spans="1:31" x14ac:dyDescent="0.2">
      <c r="A621">
        <f>Dataset_3!A11</f>
        <v>620</v>
      </c>
      <c r="B621" s="61">
        <f>Dataset_3!B11</f>
        <v>40572</v>
      </c>
      <c r="C621">
        <f>Dataset_3!C11</f>
        <v>1</v>
      </c>
      <c r="D621">
        <f>Dataset_3!D11</f>
        <v>0</v>
      </c>
      <c r="E621">
        <f>Dataset_3!E11</f>
        <v>1</v>
      </c>
      <c r="F621">
        <f>Dataset_3!F11</f>
        <v>1</v>
      </c>
      <c r="G621" t="b">
        <f>Dataset_3!G11</f>
        <v>0</v>
      </c>
      <c r="H621">
        <f>Dataset_3!H11</f>
        <v>6</v>
      </c>
      <c r="I621">
        <f>Dataset_3!I11</f>
        <v>1</v>
      </c>
      <c r="J621" s="55">
        <f>Dataset_3!J11</f>
        <v>0.22</v>
      </c>
      <c r="K621">
        <f>Dataset_3!K11</f>
        <v>0.2273</v>
      </c>
      <c r="L621">
        <f>Dataset_3!L11</f>
        <v>0.64</v>
      </c>
      <c r="M621">
        <f>Dataset_3!M11</f>
        <v>0.19400000000000001</v>
      </c>
      <c r="N621">
        <f>Dataset_3!N11</f>
        <v>0</v>
      </c>
      <c r="O621">
        <f>Dataset_3!O11</f>
        <v>20</v>
      </c>
      <c r="P621">
        <f>Dataset_3!P11</f>
        <v>20</v>
      </c>
      <c r="Q621" t="str">
        <f t="shared" si="117"/>
        <v>REC-0620</v>
      </c>
      <c r="R621" s="62">
        <f t="shared" si="118"/>
        <v>40572.041666666664</v>
      </c>
      <c r="S621" t="str">
        <f t="shared" si="119"/>
        <v>Jan</v>
      </c>
      <c r="T621" t="str">
        <f>INDEX(Lookups!$B$39:$B$45,MATCH(H621,Lookups!$A$39:$A$45,0))</f>
        <v>Sat</v>
      </c>
      <c r="U621" t="str">
        <f t="shared" si="120"/>
        <v>Weekend</v>
      </c>
      <c r="V621" t="str">
        <f t="shared" si="121"/>
        <v>Non-Working Day</v>
      </c>
      <c r="W621" t="str">
        <f t="shared" si="122"/>
        <v>Spring</v>
      </c>
      <c r="X621" t="str">
        <f t="shared" si="123"/>
        <v>Clear</v>
      </c>
      <c r="Y621" t="str">
        <f t="shared" si="124"/>
        <v>Night</v>
      </c>
      <c r="Z621" t="str">
        <f t="shared" si="125"/>
        <v>Mild</v>
      </c>
      <c r="AA621" t="str">
        <f t="shared" si="126"/>
        <v>Medium</v>
      </c>
      <c r="AB621" t="str">
        <f t="shared" si="127"/>
        <v>Off-Peak</v>
      </c>
      <c r="AC621" s="63">
        <f t="shared" si="128"/>
        <v>0</v>
      </c>
      <c r="AD621" t="str">
        <f>IF(P621&gt;=Stats!$C$30,"High",IF(P621&lt;=Stats!$C$29,"Low","Normal"))</f>
        <v>Normal</v>
      </c>
      <c r="AE621">
        <f t="shared" si="129"/>
        <v>1</v>
      </c>
    </row>
    <row r="622" spans="1:31" x14ac:dyDescent="0.2">
      <c r="A622">
        <f>Dataset_3!A12</f>
        <v>621</v>
      </c>
      <c r="B622" s="61">
        <f>Dataset_3!B12</f>
        <v>40572</v>
      </c>
      <c r="C622">
        <f>Dataset_3!C12</f>
        <v>1</v>
      </c>
      <c r="D622">
        <f>Dataset_3!D12</f>
        <v>0</v>
      </c>
      <c r="E622">
        <f>Dataset_3!E12</f>
        <v>1</v>
      </c>
      <c r="F622">
        <f>Dataset_3!F12</f>
        <v>2</v>
      </c>
      <c r="G622" t="b">
        <f>Dataset_3!G12</f>
        <v>0</v>
      </c>
      <c r="H622">
        <f>Dataset_3!H12</f>
        <v>6</v>
      </c>
      <c r="I622">
        <f>Dataset_3!I12</f>
        <v>1</v>
      </c>
      <c r="J622" s="55">
        <f>Dataset_3!J12</f>
        <v>0.22</v>
      </c>
      <c r="K622">
        <f>Dataset_3!K12</f>
        <v>0.2273</v>
      </c>
      <c r="L622">
        <f>Dataset_3!L12</f>
        <v>0.64</v>
      </c>
      <c r="M622">
        <f>Dataset_3!M12</f>
        <v>0.16420000000000001</v>
      </c>
      <c r="N622">
        <f>Dataset_3!N12</f>
        <v>0</v>
      </c>
      <c r="O622">
        <f>Dataset_3!O12</f>
        <v>15</v>
      </c>
      <c r="P622">
        <f>Dataset_3!P12</f>
        <v>15</v>
      </c>
      <c r="Q622" t="str">
        <f t="shared" si="117"/>
        <v>REC-0621</v>
      </c>
      <c r="R622" s="62">
        <f t="shared" si="118"/>
        <v>40572.083333333336</v>
      </c>
      <c r="S622" t="str">
        <f t="shared" si="119"/>
        <v>Jan</v>
      </c>
      <c r="T622" t="str">
        <f>INDEX(Lookups!$B$39:$B$45,MATCH(H622,Lookups!$A$39:$A$45,0))</f>
        <v>Sat</v>
      </c>
      <c r="U622" t="str">
        <f t="shared" si="120"/>
        <v>Weekend</v>
      </c>
      <c r="V622" t="str">
        <f t="shared" si="121"/>
        <v>Non-Working Day</v>
      </c>
      <c r="W622" t="str">
        <f t="shared" si="122"/>
        <v>Spring</v>
      </c>
      <c r="X622" t="str">
        <f t="shared" si="123"/>
        <v>Clear</v>
      </c>
      <c r="Y622" t="str">
        <f t="shared" si="124"/>
        <v>Night</v>
      </c>
      <c r="Z622" t="str">
        <f t="shared" si="125"/>
        <v>Mild</v>
      </c>
      <c r="AA622" t="str">
        <f t="shared" si="126"/>
        <v>Medium</v>
      </c>
      <c r="AB622" t="str">
        <f t="shared" si="127"/>
        <v>Off-Peak</v>
      </c>
      <c r="AC622" s="63">
        <f t="shared" si="128"/>
        <v>0</v>
      </c>
      <c r="AD622" t="str">
        <f>IF(P622&gt;=Stats!$C$30,"High",IF(P622&lt;=Stats!$C$29,"Low","Normal"))</f>
        <v>Low</v>
      </c>
      <c r="AE622">
        <f t="shared" si="129"/>
        <v>1</v>
      </c>
    </row>
    <row r="623" spans="1:31" x14ac:dyDescent="0.2">
      <c r="A623">
        <f>Dataset_3!A13</f>
        <v>622</v>
      </c>
      <c r="B623" s="61">
        <f>Dataset_3!B13</f>
        <v>40572</v>
      </c>
      <c r="C623">
        <f>Dataset_3!C13</f>
        <v>1</v>
      </c>
      <c r="D623">
        <f>Dataset_3!D13</f>
        <v>0</v>
      </c>
      <c r="E623">
        <f>Dataset_3!E13</f>
        <v>1</v>
      </c>
      <c r="F623">
        <f>Dataset_3!F13</f>
        <v>3</v>
      </c>
      <c r="G623" t="b">
        <f>Dataset_3!G13</f>
        <v>0</v>
      </c>
      <c r="H623">
        <f>Dataset_3!H13</f>
        <v>6</v>
      </c>
      <c r="I623">
        <f>Dataset_3!I13</f>
        <v>1</v>
      </c>
      <c r="J623" s="55">
        <f>Dataset_3!J13</f>
        <v>0.2</v>
      </c>
      <c r="K623">
        <f>Dataset_3!K13</f>
        <v>0.21210000000000001</v>
      </c>
      <c r="L623">
        <f>Dataset_3!L13</f>
        <v>0.64</v>
      </c>
      <c r="M623">
        <f>Dataset_3!M13</f>
        <v>0.1343</v>
      </c>
      <c r="N623">
        <f>Dataset_3!N13</f>
        <v>3</v>
      </c>
      <c r="O623">
        <f>Dataset_3!O13</f>
        <v>5</v>
      </c>
      <c r="P623">
        <f>Dataset_3!P13</f>
        <v>8</v>
      </c>
      <c r="Q623" t="str">
        <f t="shared" si="117"/>
        <v>REC-0622</v>
      </c>
      <c r="R623" s="62">
        <f t="shared" si="118"/>
        <v>40572.125</v>
      </c>
      <c r="S623" t="str">
        <f t="shared" si="119"/>
        <v>Jan</v>
      </c>
      <c r="T623" t="str">
        <f>INDEX(Lookups!$B$39:$B$45,MATCH(H623,Lookups!$A$39:$A$45,0))</f>
        <v>Sat</v>
      </c>
      <c r="U623" t="str">
        <f t="shared" si="120"/>
        <v>Weekend</v>
      </c>
      <c r="V623" t="str">
        <f t="shared" si="121"/>
        <v>Non-Working Day</v>
      </c>
      <c r="W623" t="str">
        <f t="shared" si="122"/>
        <v>Spring</v>
      </c>
      <c r="X623" t="str">
        <f t="shared" si="123"/>
        <v>Clear</v>
      </c>
      <c r="Y623" t="str">
        <f t="shared" si="124"/>
        <v>Night</v>
      </c>
      <c r="Z623" t="str">
        <f t="shared" si="125"/>
        <v>Mild</v>
      </c>
      <c r="AA623" t="str">
        <f t="shared" si="126"/>
        <v>Medium</v>
      </c>
      <c r="AB623" t="str">
        <f t="shared" si="127"/>
        <v>Off-Peak</v>
      </c>
      <c r="AC623" s="63">
        <f t="shared" si="128"/>
        <v>0.375</v>
      </c>
      <c r="AD623" t="str">
        <f>IF(P623&gt;=Stats!$C$30,"High",IF(P623&lt;=Stats!$C$29,"Low","Normal"))</f>
        <v>Low</v>
      </c>
      <c r="AE623">
        <f t="shared" si="129"/>
        <v>1</v>
      </c>
    </row>
    <row r="624" spans="1:31" x14ac:dyDescent="0.2">
      <c r="A624">
        <f>Dataset_3!A14</f>
        <v>623</v>
      </c>
      <c r="B624" s="61">
        <f>Dataset_3!B14</f>
        <v>40572</v>
      </c>
      <c r="C624">
        <f>Dataset_3!C14</f>
        <v>1</v>
      </c>
      <c r="D624">
        <f>Dataset_3!D14</f>
        <v>0</v>
      </c>
      <c r="E624">
        <f>Dataset_3!E14</f>
        <v>1</v>
      </c>
      <c r="F624">
        <f>Dataset_3!F14</f>
        <v>4</v>
      </c>
      <c r="G624" t="b">
        <f>Dataset_3!G14</f>
        <v>0</v>
      </c>
      <c r="H624">
        <f>Dataset_3!H14</f>
        <v>6</v>
      </c>
      <c r="I624">
        <f>Dataset_3!I14</f>
        <v>1</v>
      </c>
      <c r="J624" s="55">
        <f>Dataset_3!J14</f>
        <v>0.16</v>
      </c>
      <c r="K624">
        <f>Dataset_3!K14</f>
        <v>0.18179999999999999</v>
      </c>
      <c r="L624">
        <f>Dataset_3!L14</f>
        <v>0.69</v>
      </c>
      <c r="M624">
        <f>Dataset_3!M14</f>
        <v>0.1045</v>
      </c>
      <c r="N624">
        <f>Dataset_3!N14</f>
        <v>1</v>
      </c>
      <c r="O624">
        <f>Dataset_3!O14</f>
        <v>2</v>
      </c>
      <c r="P624">
        <f>Dataset_3!P14</f>
        <v>3</v>
      </c>
      <c r="Q624" t="str">
        <f t="shared" si="117"/>
        <v>REC-0623</v>
      </c>
      <c r="R624" s="62">
        <f t="shared" si="118"/>
        <v>40572.166666666664</v>
      </c>
      <c r="S624" t="str">
        <f t="shared" si="119"/>
        <v>Jan</v>
      </c>
      <c r="T624" t="str">
        <f>INDEX(Lookups!$B$39:$B$45,MATCH(H624,Lookups!$A$39:$A$45,0))</f>
        <v>Sat</v>
      </c>
      <c r="U624" t="str">
        <f t="shared" si="120"/>
        <v>Weekend</v>
      </c>
      <c r="V624" t="str">
        <f t="shared" si="121"/>
        <v>Non-Working Day</v>
      </c>
      <c r="W624" t="str">
        <f t="shared" si="122"/>
        <v>Spring</v>
      </c>
      <c r="X624" t="str">
        <f t="shared" si="123"/>
        <v>Clear</v>
      </c>
      <c r="Y624" t="str">
        <f t="shared" si="124"/>
        <v>Night</v>
      </c>
      <c r="Z624" t="str">
        <f t="shared" si="125"/>
        <v>Cold</v>
      </c>
      <c r="AA624" t="str">
        <f t="shared" si="126"/>
        <v>Medium</v>
      </c>
      <c r="AB624" t="str">
        <f t="shared" si="127"/>
        <v>Off-Peak</v>
      </c>
      <c r="AC624" s="63">
        <f t="shared" si="128"/>
        <v>0.33333333333333331</v>
      </c>
      <c r="AD624" t="str">
        <f>IF(P624&gt;=Stats!$C$30,"High",IF(P624&lt;=Stats!$C$29,"Low","Normal"))</f>
        <v>Low</v>
      </c>
      <c r="AE624">
        <f t="shared" si="129"/>
        <v>1</v>
      </c>
    </row>
    <row r="625" spans="1:31" x14ac:dyDescent="0.2">
      <c r="A625">
        <f>Dataset_3!A15</f>
        <v>624</v>
      </c>
      <c r="B625" s="61">
        <f>Dataset_3!B15</f>
        <v>40572</v>
      </c>
      <c r="C625">
        <f>Dataset_3!C15</f>
        <v>1</v>
      </c>
      <c r="D625">
        <f>Dataset_3!D15</f>
        <v>0</v>
      </c>
      <c r="E625">
        <f>Dataset_3!E15</f>
        <v>1</v>
      </c>
      <c r="F625">
        <f>Dataset_3!F15</f>
        <v>6</v>
      </c>
      <c r="G625" t="b">
        <f>Dataset_3!G15</f>
        <v>0</v>
      </c>
      <c r="H625">
        <f>Dataset_3!H15</f>
        <v>6</v>
      </c>
      <c r="I625">
        <f>Dataset_3!I15</f>
        <v>1</v>
      </c>
      <c r="J625" s="55">
        <f>Dataset_3!J15</f>
        <v>0.16</v>
      </c>
      <c r="K625">
        <f>Dataset_3!K15</f>
        <v>0.18179999999999999</v>
      </c>
      <c r="L625">
        <f>Dataset_3!L15</f>
        <v>0.64</v>
      </c>
      <c r="M625">
        <f>Dataset_3!M15</f>
        <v>0.1343</v>
      </c>
      <c r="N625">
        <f>Dataset_3!N15</f>
        <v>0</v>
      </c>
      <c r="O625">
        <f>Dataset_3!O15</f>
        <v>2</v>
      </c>
      <c r="P625">
        <f>Dataset_3!P15</f>
        <v>2</v>
      </c>
      <c r="Q625" t="str">
        <f t="shared" si="117"/>
        <v>REC-0624</v>
      </c>
      <c r="R625" s="62">
        <f t="shared" si="118"/>
        <v>40572.25</v>
      </c>
      <c r="S625" t="str">
        <f t="shared" si="119"/>
        <v>Jan</v>
      </c>
      <c r="T625" t="str">
        <f>INDEX(Lookups!$B$39:$B$45,MATCH(H625,Lookups!$A$39:$A$45,0))</f>
        <v>Sat</v>
      </c>
      <c r="U625" t="str">
        <f t="shared" si="120"/>
        <v>Weekend</v>
      </c>
      <c r="V625" t="str">
        <f t="shared" si="121"/>
        <v>Non-Working Day</v>
      </c>
      <c r="W625" t="str">
        <f t="shared" si="122"/>
        <v>Spring</v>
      </c>
      <c r="X625" t="str">
        <f t="shared" si="123"/>
        <v>Clear</v>
      </c>
      <c r="Y625" t="str">
        <f t="shared" si="124"/>
        <v>Morning</v>
      </c>
      <c r="Z625" t="str">
        <f t="shared" si="125"/>
        <v>Cold</v>
      </c>
      <c r="AA625" t="str">
        <f t="shared" si="126"/>
        <v>Medium</v>
      </c>
      <c r="AB625" t="str">
        <f t="shared" si="127"/>
        <v>Off-Peak</v>
      </c>
      <c r="AC625" s="63">
        <f t="shared" si="128"/>
        <v>0</v>
      </c>
      <c r="AD625" t="str">
        <f>IF(P625&gt;=Stats!$C$30,"High",IF(P625&lt;=Stats!$C$29,"Low","Normal"))</f>
        <v>Low</v>
      </c>
      <c r="AE625">
        <f t="shared" si="129"/>
        <v>1</v>
      </c>
    </row>
    <row r="626" spans="1:31" x14ac:dyDescent="0.2">
      <c r="A626">
        <f>Dataset_3!A16</f>
        <v>625</v>
      </c>
      <c r="B626" s="61">
        <f>Dataset_3!B16</f>
        <v>40572</v>
      </c>
      <c r="C626">
        <f>Dataset_3!C16</f>
        <v>1</v>
      </c>
      <c r="D626">
        <f>Dataset_3!D16</f>
        <v>0</v>
      </c>
      <c r="E626">
        <f>Dataset_3!E16</f>
        <v>1</v>
      </c>
      <c r="F626">
        <f>Dataset_3!F16</f>
        <v>7</v>
      </c>
      <c r="G626" t="b">
        <f>Dataset_3!G16</f>
        <v>0</v>
      </c>
      <c r="H626">
        <f>Dataset_3!H16</f>
        <v>6</v>
      </c>
      <c r="I626">
        <f>Dataset_3!I16</f>
        <v>1</v>
      </c>
      <c r="J626" s="55">
        <f>Dataset_3!J16</f>
        <v>0.16</v>
      </c>
      <c r="K626">
        <f>Dataset_3!K16</f>
        <v>0.18179999999999999</v>
      </c>
      <c r="L626">
        <f>Dataset_3!L16</f>
        <v>0.59</v>
      </c>
      <c r="M626">
        <f>Dataset_3!M16</f>
        <v>0.1045</v>
      </c>
      <c r="N626">
        <f>Dataset_3!N16</f>
        <v>1</v>
      </c>
      <c r="O626">
        <f>Dataset_3!O16</f>
        <v>4</v>
      </c>
      <c r="P626">
        <f>Dataset_3!P16</f>
        <v>5</v>
      </c>
      <c r="Q626" t="str">
        <f t="shared" si="117"/>
        <v>REC-0625</v>
      </c>
      <c r="R626" s="62">
        <f t="shared" si="118"/>
        <v>40572.291666666664</v>
      </c>
      <c r="S626" t="str">
        <f t="shared" si="119"/>
        <v>Jan</v>
      </c>
      <c r="T626" t="str">
        <f>INDEX(Lookups!$B$39:$B$45,MATCH(H626,Lookups!$A$39:$A$45,0))</f>
        <v>Sat</v>
      </c>
      <c r="U626" t="str">
        <f t="shared" si="120"/>
        <v>Weekend</v>
      </c>
      <c r="V626" t="str">
        <f t="shared" si="121"/>
        <v>Non-Working Day</v>
      </c>
      <c r="W626" t="str">
        <f t="shared" si="122"/>
        <v>Spring</v>
      </c>
      <c r="X626" t="str">
        <f t="shared" si="123"/>
        <v>Clear</v>
      </c>
      <c r="Y626" t="str">
        <f t="shared" si="124"/>
        <v>Morning</v>
      </c>
      <c r="Z626" t="str">
        <f t="shared" si="125"/>
        <v>Cold</v>
      </c>
      <c r="AA626" t="str">
        <f t="shared" si="126"/>
        <v>Medium</v>
      </c>
      <c r="AB626" t="str">
        <f t="shared" si="127"/>
        <v>Off-Peak</v>
      </c>
      <c r="AC626" s="63">
        <f t="shared" si="128"/>
        <v>0.2</v>
      </c>
      <c r="AD626" t="str">
        <f>IF(P626&gt;=Stats!$C$30,"High",IF(P626&lt;=Stats!$C$29,"Low","Normal"))</f>
        <v>Low</v>
      </c>
      <c r="AE626">
        <f t="shared" si="129"/>
        <v>1</v>
      </c>
    </row>
    <row r="627" spans="1:31" x14ac:dyDescent="0.2">
      <c r="A627">
        <f>Dataset_3!A17</f>
        <v>626</v>
      </c>
      <c r="B627" s="61">
        <f>Dataset_3!B17</f>
        <v>40572</v>
      </c>
      <c r="C627">
        <f>Dataset_3!C17</f>
        <v>1</v>
      </c>
      <c r="D627">
        <f>Dataset_3!D17</f>
        <v>0</v>
      </c>
      <c r="E627">
        <f>Dataset_3!E17</f>
        <v>1</v>
      </c>
      <c r="F627">
        <f>Dataset_3!F17</f>
        <v>8</v>
      </c>
      <c r="G627" t="b">
        <f>Dataset_3!G17</f>
        <v>0</v>
      </c>
      <c r="H627">
        <f>Dataset_3!H17</f>
        <v>6</v>
      </c>
      <c r="I627">
        <f>Dataset_3!I17</f>
        <v>1</v>
      </c>
      <c r="J627" s="55">
        <f>Dataset_3!J17</f>
        <v>0.18</v>
      </c>
      <c r="K627">
        <f>Dataset_3!K17</f>
        <v>0.19700000000000001</v>
      </c>
      <c r="L627">
        <f>Dataset_3!L17</f>
        <v>0.55000000000000004</v>
      </c>
      <c r="M627">
        <f>Dataset_3!M17</f>
        <v>0.16420000000000001</v>
      </c>
      <c r="N627">
        <f>Dataset_3!N17</f>
        <v>3</v>
      </c>
      <c r="O627">
        <f>Dataset_3!O17</f>
        <v>31</v>
      </c>
      <c r="P627">
        <f>Dataset_3!P17</f>
        <v>34</v>
      </c>
      <c r="Q627" t="str">
        <f t="shared" si="117"/>
        <v>REC-0626</v>
      </c>
      <c r="R627" s="62">
        <f t="shared" si="118"/>
        <v>40572.333333333336</v>
      </c>
      <c r="S627" t="str">
        <f t="shared" si="119"/>
        <v>Jan</v>
      </c>
      <c r="T627" t="str">
        <f>INDEX(Lookups!$B$39:$B$45,MATCH(H627,Lookups!$A$39:$A$45,0))</f>
        <v>Sat</v>
      </c>
      <c r="U627" t="str">
        <f t="shared" si="120"/>
        <v>Weekend</v>
      </c>
      <c r="V627" t="str">
        <f t="shared" si="121"/>
        <v>Non-Working Day</v>
      </c>
      <c r="W627" t="str">
        <f t="shared" si="122"/>
        <v>Spring</v>
      </c>
      <c r="X627" t="str">
        <f t="shared" si="123"/>
        <v>Clear</v>
      </c>
      <c r="Y627" t="str">
        <f t="shared" si="124"/>
        <v>Morning</v>
      </c>
      <c r="Z627" t="str">
        <f t="shared" si="125"/>
        <v>Cold</v>
      </c>
      <c r="AA627" t="str">
        <f t="shared" si="126"/>
        <v>Medium</v>
      </c>
      <c r="AB627" t="str">
        <f t="shared" si="127"/>
        <v>Off-Peak</v>
      </c>
      <c r="AC627" s="63">
        <f t="shared" si="128"/>
        <v>8.8235294117647065E-2</v>
      </c>
      <c r="AD627" t="str">
        <f>IF(P627&gt;=Stats!$C$30,"High",IF(P627&lt;=Stats!$C$29,"Low","Normal"))</f>
        <v>Normal</v>
      </c>
      <c r="AE627">
        <f t="shared" si="129"/>
        <v>1</v>
      </c>
    </row>
    <row r="628" spans="1:31" x14ac:dyDescent="0.2">
      <c r="A628">
        <f>Dataset_3!A18</f>
        <v>627</v>
      </c>
      <c r="B628" s="61">
        <f>Dataset_3!B18</f>
        <v>40572</v>
      </c>
      <c r="C628">
        <f>Dataset_3!C18</f>
        <v>1</v>
      </c>
      <c r="D628">
        <f>Dataset_3!D18</f>
        <v>0</v>
      </c>
      <c r="E628">
        <f>Dataset_3!E18</f>
        <v>1</v>
      </c>
      <c r="F628">
        <f>Dataset_3!F18</f>
        <v>9</v>
      </c>
      <c r="G628" t="b">
        <f>Dataset_3!G18</f>
        <v>0</v>
      </c>
      <c r="H628">
        <f>Dataset_3!H18</f>
        <v>6</v>
      </c>
      <c r="I628">
        <f>Dataset_3!I18</f>
        <v>1</v>
      </c>
      <c r="J628" s="55">
        <f>Dataset_3!J18</f>
        <v>0.18</v>
      </c>
      <c r="K628">
        <f>Dataset_3!K18</f>
        <v>0.21210000000000001</v>
      </c>
      <c r="L628">
        <f>Dataset_3!L18</f>
        <v>0.59</v>
      </c>
      <c r="M628">
        <f>Dataset_3!M18</f>
        <v>8.9599999999999999E-2</v>
      </c>
      <c r="N628">
        <f>Dataset_3!N18</f>
        <v>0</v>
      </c>
      <c r="O628">
        <f>Dataset_3!O18</f>
        <v>34</v>
      </c>
      <c r="P628">
        <f>Dataset_3!P18</f>
        <v>34</v>
      </c>
      <c r="Q628" t="str">
        <f t="shared" si="117"/>
        <v>REC-0627</v>
      </c>
      <c r="R628" s="62">
        <f t="shared" si="118"/>
        <v>40572.375</v>
      </c>
      <c r="S628" t="str">
        <f t="shared" si="119"/>
        <v>Jan</v>
      </c>
      <c r="T628" t="str">
        <f>INDEX(Lookups!$B$39:$B$45,MATCH(H628,Lookups!$A$39:$A$45,0))</f>
        <v>Sat</v>
      </c>
      <c r="U628" t="str">
        <f t="shared" si="120"/>
        <v>Weekend</v>
      </c>
      <c r="V628" t="str">
        <f t="shared" si="121"/>
        <v>Non-Working Day</v>
      </c>
      <c r="W628" t="str">
        <f t="shared" si="122"/>
        <v>Spring</v>
      </c>
      <c r="X628" t="str">
        <f t="shared" si="123"/>
        <v>Clear</v>
      </c>
      <c r="Y628" t="str">
        <f t="shared" si="124"/>
        <v>Morning</v>
      </c>
      <c r="Z628" t="str">
        <f t="shared" si="125"/>
        <v>Cold</v>
      </c>
      <c r="AA628" t="str">
        <f t="shared" si="126"/>
        <v>Medium</v>
      </c>
      <c r="AB628" t="str">
        <f t="shared" si="127"/>
        <v>Off-Peak</v>
      </c>
      <c r="AC628" s="63">
        <f t="shared" si="128"/>
        <v>0</v>
      </c>
      <c r="AD628" t="str">
        <f>IF(P628&gt;=Stats!$C$30,"High",IF(P628&lt;=Stats!$C$29,"Low","Normal"))</f>
        <v>Normal</v>
      </c>
      <c r="AE628">
        <f t="shared" si="129"/>
        <v>1</v>
      </c>
    </row>
    <row r="629" spans="1:31" x14ac:dyDescent="0.2">
      <c r="A629">
        <f>Dataset_3!A19</f>
        <v>628</v>
      </c>
      <c r="B629" s="61">
        <f>Dataset_3!B19</f>
        <v>40572</v>
      </c>
      <c r="C629">
        <f>Dataset_3!C19</f>
        <v>1</v>
      </c>
      <c r="D629">
        <f>Dataset_3!D19</f>
        <v>0</v>
      </c>
      <c r="E629">
        <f>Dataset_3!E19</f>
        <v>1</v>
      </c>
      <c r="F629">
        <f>Dataset_3!F19</f>
        <v>10</v>
      </c>
      <c r="G629" t="b">
        <f>Dataset_3!G19</f>
        <v>0</v>
      </c>
      <c r="H629">
        <f>Dataset_3!H19</f>
        <v>6</v>
      </c>
      <c r="I629">
        <f>Dataset_3!I19</f>
        <v>2</v>
      </c>
      <c r="J629" s="55">
        <f>Dataset_3!J19</f>
        <v>0.18</v>
      </c>
      <c r="K629">
        <f>Dataset_3!K19</f>
        <v>0.21210000000000001</v>
      </c>
      <c r="L629">
        <f>Dataset_3!L19</f>
        <v>0.64</v>
      </c>
      <c r="M629">
        <f>Dataset_3!M19</f>
        <v>0.1045</v>
      </c>
      <c r="N629">
        <f>Dataset_3!N19</f>
        <v>4</v>
      </c>
      <c r="O629">
        <f>Dataset_3!O19</f>
        <v>51</v>
      </c>
      <c r="P629">
        <f>Dataset_3!P19</f>
        <v>55</v>
      </c>
      <c r="Q629" t="str">
        <f t="shared" si="117"/>
        <v>REC-0628</v>
      </c>
      <c r="R629" s="62">
        <f t="shared" si="118"/>
        <v>40572.416666666664</v>
      </c>
      <c r="S629" t="str">
        <f t="shared" si="119"/>
        <v>Jan</v>
      </c>
      <c r="T629" t="str">
        <f>INDEX(Lookups!$B$39:$B$45,MATCH(H629,Lookups!$A$39:$A$45,0))</f>
        <v>Sat</v>
      </c>
      <c r="U629" t="str">
        <f t="shared" si="120"/>
        <v>Weekend</v>
      </c>
      <c r="V629" t="str">
        <f t="shared" si="121"/>
        <v>Non-Working Day</v>
      </c>
      <c r="W629" t="str">
        <f t="shared" si="122"/>
        <v>Spring</v>
      </c>
      <c r="X629" t="str">
        <f t="shared" si="123"/>
        <v>Cloudy/Mist</v>
      </c>
      <c r="Y629" t="str">
        <f t="shared" si="124"/>
        <v>Morning</v>
      </c>
      <c r="Z629" t="str">
        <f t="shared" si="125"/>
        <v>Cold</v>
      </c>
      <c r="AA629" t="str">
        <f t="shared" si="126"/>
        <v>Medium</v>
      </c>
      <c r="AB629" t="str">
        <f t="shared" si="127"/>
        <v>Off-Peak</v>
      </c>
      <c r="AC629" s="63">
        <f t="shared" si="128"/>
        <v>7.2727272727272724E-2</v>
      </c>
      <c r="AD629" t="str">
        <f>IF(P629&gt;=Stats!$C$30,"High",IF(P629&lt;=Stats!$C$29,"Low","Normal"))</f>
        <v>Normal</v>
      </c>
      <c r="AE629">
        <f t="shared" si="129"/>
        <v>1</v>
      </c>
    </row>
    <row r="630" spans="1:31" x14ac:dyDescent="0.2">
      <c r="A630">
        <f>Dataset_3!A20</f>
        <v>629</v>
      </c>
      <c r="B630" s="61">
        <f>Dataset_3!B20</f>
        <v>40572</v>
      </c>
      <c r="C630">
        <f>Dataset_3!C20</f>
        <v>1</v>
      </c>
      <c r="D630">
        <f>Dataset_3!D20</f>
        <v>0</v>
      </c>
      <c r="E630">
        <f>Dataset_3!E20</f>
        <v>1</v>
      </c>
      <c r="F630">
        <f>Dataset_3!F20</f>
        <v>11</v>
      </c>
      <c r="G630" t="b">
        <f>Dataset_3!G20</f>
        <v>0</v>
      </c>
      <c r="H630">
        <f>Dataset_3!H20</f>
        <v>6</v>
      </c>
      <c r="I630">
        <f>Dataset_3!I20</f>
        <v>2</v>
      </c>
      <c r="J630" s="55">
        <f>Dataset_3!J20</f>
        <v>0.18</v>
      </c>
      <c r="K630">
        <f>Dataset_3!K20</f>
        <v>0.19700000000000001</v>
      </c>
      <c r="L630">
        <f>Dataset_3!L20</f>
        <v>0.64</v>
      </c>
      <c r="M630">
        <f>Dataset_3!M20</f>
        <v>0.1343</v>
      </c>
      <c r="N630">
        <f>Dataset_3!N20</f>
        <v>4</v>
      </c>
      <c r="O630">
        <f>Dataset_3!O20</f>
        <v>60</v>
      </c>
      <c r="P630">
        <f>Dataset_3!P20</f>
        <v>64</v>
      </c>
      <c r="Q630" t="str">
        <f t="shared" si="117"/>
        <v>REC-0629</v>
      </c>
      <c r="R630" s="62">
        <f t="shared" si="118"/>
        <v>40572.458333333336</v>
      </c>
      <c r="S630" t="str">
        <f t="shared" si="119"/>
        <v>Jan</v>
      </c>
      <c r="T630" t="str">
        <f>INDEX(Lookups!$B$39:$B$45,MATCH(H630,Lookups!$A$39:$A$45,0))</f>
        <v>Sat</v>
      </c>
      <c r="U630" t="str">
        <f t="shared" si="120"/>
        <v>Weekend</v>
      </c>
      <c r="V630" t="str">
        <f t="shared" si="121"/>
        <v>Non-Working Day</v>
      </c>
      <c r="W630" t="str">
        <f t="shared" si="122"/>
        <v>Spring</v>
      </c>
      <c r="X630" t="str">
        <f t="shared" si="123"/>
        <v>Cloudy/Mist</v>
      </c>
      <c r="Y630" t="str">
        <f t="shared" si="124"/>
        <v>Morning</v>
      </c>
      <c r="Z630" t="str">
        <f t="shared" si="125"/>
        <v>Cold</v>
      </c>
      <c r="AA630" t="str">
        <f t="shared" si="126"/>
        <v>Medium</v>
      </c>
      <c r="AB630" t="str">
        <f t="shared" si="127"/>
        <v>Off-Peak</v>
      </c>
      <c r="AC630" s="63">
        <f t="shared" si="128"/>
        <v>6.25E-2</v>
      </c>
      <c r="AD630" t="str">
        <f>IF(P630&gt;=Stats!$C$30,"High",IF(P630&lt;=Stats!$C$29,"Low","Normal"))</f>
        <v>Normal</v>
      </c>
      <c r="AE630">
        <f t="shared" si="129"/>
        <v>1</v>
      </c>
    </row>
    <row r="631" spans="1:31" x14ac:dyDescent="0.2">
      <c r="A631">
        <f>Dataset_3!A21</f>
        <v>630</v>
      </c>
      <c r="B631" s="61">
        <f>Dataset_3!B21</f>
        <v>40572</v>
      </c>
      <c r="C631">
        <f>Dataset_3!C21</f>
        <v>1</v>
      </c>
      <c r="D631">
        <f>Dataset_3!D21</f>
        <v>0</v>
      </c>
      <c r="E631">
        <f>Dataset_3!E21</f>
        <v>1</v>
      </c>
      <c r="F631">
        <f>Dataset_3!F21</f>
        <v>12</v>
      </c>
      <c r="G631" t="b">
        <f>Dataset_3!G21</f>
        <v>0</v>
      </c>
      <c r="H631">
        <f>Dataset_3!H21</f>
        <v>6</v>
      </c>
      <c r="I631">
        <f>Dataset_3!I21</f>
        <v>2</v>
      </c>
      <c r="J631" s="55">
        <f>Dataset_3!J21</f>
        <v>0.2</v>
      </c>
      <c r="K631">
        <f>Dataset_3!K21</f>
        <v>0.19700000000000001</v>
      </c>
      <c r="L631">
        <f>Dataset_3!L21</f>
        <v>0.59</v>
      </c>
      <c r="M631">
        <f>Dataset_3!M21</f>
        <v>0.19400000000000001</v>
      </c>
      <c r="N631">
        <f>Dataset_3!N21</f>
        <v>12</v>
      </c>
      <c r="O631">
        <f>Dataset_3!O21</f>
        <v>66</v>
      </c>
      <c r="P631">
        <f>Dataset_3!P21</f>
        <v>78</v>
      </c>
      <c r="Q631" t="str">
        <f t="shared" si="117"/>
        <v>REC-0630</v>
      </c>
      <c r="R631" s="62">
        <f t="shared" si="118"/>
        <v>40572.5</v>
      </c>
      <c r="S631" t="str">
        <f t="shared" si="119"/>
        <v>Jan</v>
      </c>
      <c r="T631" t="str">
        <f>INDEX(Lookups!$B$39:$B$45,MATCH(H631,Lookups!$A$39:$A$45,0))</f>
        <v>Sat</v>
      </c>
      <c r="U631" t="str">
        <f t="shared" si="120"/>
        <v>Weekend</v>
      </c>
      <c r="V631" t="str">
        <f t="shared" si="121"/>
        <v>Non-Working Day</v>
      </c>
      <c r="W631" t="str">
        <f t="shared" si="122"/>
        <v>Spring</v>
      </c>
      <c r="X631" t="str">
        <f t="shared" si="123"/>
        <v>Cloudy/Mist</v>
      </c>
      <c r="Y631" t="str">
        <f t="shared" si="124"/>
        <v>Afternoon</v>
      </c>
      <c r="Z631" t="str">
        <f t="shared" si="125"/>
        <v>Mild</v>
      </c>
      <c r="AA631" t="str">
        <f t="shared" si="126"/>
        <v>Medium</v>
      </c>
      <c r="AB631" t="str">
        <f t="shared" si="127"/>
        <v>Off-Peak</v>
      </c>
      <c r="AC631" s="63">
        <f t="shared" si="128"/>
        <v>0.15384615384615385</v>
      </c>
      <c r="AD631" t="str">
        <f>IF(P631&gt;=Stats!$C$30,"High",IF(P631&lt;=Stats!$C$29,"Low","Normal"))</f>
        <v>Normal</v>
      </c>
      <c r="AE631">
        <f t="shared" si="129"/>
        <v>1</v>
      </c>
    </row>
    <row r="632" spans="1:31" x14ac:dyDescent="0.2">
      <c r="A632">
        <f>Dataset_3!A22</f>
        <v>631</v>
      </c>
      <c r="B632" s="61">
        <f>Dataset_3!B22</f>
        <v>40572</v>
      </c>
      <c r="C632">
        <f>Dataset_3!C22</f>
        <v>1</v>
      </c>
      <c r="D632">
        <f>Dataset_3!D22</f>
        <v>0</v>
      </c>
      <c r="E632">
        <f>Dataset_3!E22</f>
        <v>1</v>
      </c>
      <c r="F632">
        <f>Dataset_3!F22</f>
        <v>13</v>
      </c>
      <c r="G632" t="b">
        <f>Dataset_3!G22</f>
        <v>0</v>
      </c>
      <c r="H632">
        <f>Dataset_3!H22</f>
        <v>6</v>
      </c>
      <c r="I632">
        <f>Dataset_3!I22</f>
        <v>2</v>
      </c>
      <c r="J632" s="55">
        <f>Dataset_3!J22</f>
        <v>0.22</v>
      </c>
      <c r="K632">
        <f>Dataset_3!K22</f>
        <v>0.2273</v>
      </c>
      <c r="L632">
        <f>Dataset_3!L22</f>
        <v>0.55000000000000004</v>
      </c>
      <c r="M632">
        <f>Dataset_3!M22</f>
        <v>0.16420000000000001</v>
      </c>
      <c r="N632">
        <f>Dataset_3!N22</f>
        <v>9</v>
      </c>
      <c r="O632">
        <f>Dataset_3!O22</f>
        <v>56</v>
      </c>
      <c r="P632">
        <f>Dataset_3!P22</f>
        <v>65</v>
      </c>
      <c r="Q632" t="str">
        <f t="shared" si="117"/>
        <v>REC-0631</v>
      </c>
      <c r="R632" s="62">
        <f t="shared" si="118"/>
        <v>40572.541666666664</v>
      </c>
      <c r="S632" t="str">
        <f t="shared" si="119"/>
        <v>Jan</v>
      </c>
      <c r="T632" t="str">
        <f>INDEX(Lookups!$B$39:$B$45,MATCH(H632,Lookups!$A$39:$A$45,0))</f>
        <v>Sat</v>
      </c>
      <c r="U632" t="str">
        <f t="shared" si="120"/>
        <v>Weekend</v>
      </c>
      <c r="V632" t="str">
        <f t="shared" si="121"/>
        <v>Non-Working Day</v>
      </c>
      <c r="W632" t="str">
        <f t="shared" si="122"/>
        <v>Spring</v>
      </c>
      <c r="X632" t="str">
        <f t="shared" si="123"/>
        <v>Cloudy/Mist</v>
      </c>
      <c r="Y632" t="str">
        <f t="shared" si="124"/>
        <v>Afternoon</v>
      </c>
      <c r="Z632" t="str">
        <f t="shared" si="125"/>
        <v>Mild</v>
      </c>
      <c r="AA632" t="str">
        <f t="shared" si="126"/>
        <v>Medium</v>
      </c>
      <c r="AB632" t="str">
        <f t="shared" si="127"/>
        <v>Off-Peak</v>
      </c>
      <c r="AC632" s="63">
        <f t="shared" si="128"/>
        <v>0.13846153846153847</v>
      </c>
      <c r="AD632" t="str">
        <f>IF(P632&gt;=Stats!$C$30,"High",IF(P632&lt;=Stats!$C$29,"Low","Normal"))</f>
        <v>Normal</v>
      </c>
      <c r="AE632">
        <f t="shared" si="129"/>
        <v>1</v>
      </c>
    </row>
    <row r="633" spans="1:31" x14ac:dyDescent="0.2">
      <c r="A633">
        <f>Dataset_3!A23</f>
        <v>632</v>
      </c>
      <c r="B633" s="61">
        <f>Dataset_3!B23</f>
        <v>40572</v>
      </c>
      <c r="C633">
        <f>Dataset_3!C23</f>
        <v>1</v>
      </c>
      <c r="D633">
        <f>Dataset_3!D23</f>
        <v>0</v>
      </c>
      <c r="E633">
        <f>Dataset_3!E23</f>
        <v>1</v>
      </c>
      <c r="F633">
        <f>Dataset_3!F23</f>
        <v>14</v>
      </c>
      <c r="G633" t="b">
        <f>Dataset_3!G23</f>
        <v>0</v>
      </c>
      <c r="H633">
        <f>Dataset_3!H23</f>
        <v>6</v>
      </c>
      <c r="I633">
        <f>Dataset_3!I23</f>
        <v>2</v>
      </c>
      <c r="J633" s="55">
        <f>Dataset_3!J23</f>
        <v>0.22</v>
      </c>
      <c r="K633">
        <f>Dataset_3!K23</f>
        <v>0.2273</v>
      </c>
      <c r="L633">
        <f>Dataset_3!L23</f>
        <v>0.6</v>
      </c>
      <c r="M633">
        <f>Dataset_3!M23</f>
        <v>0.1343</v>
      </c>
      <c r="N633">
        <f>Dataset_3!N23</f>
        <v>10</v>
      </c>
      <c r="O633">
        <f>Dataset_3!O23</f>
        <v>89</v>
      </c>
      <c r="P633">
        <f>Dataset_3!P23</f>
        <v>99</v>
      </c>
      <c r="Q633" t="str">
        <f t="shared" si="117"/>
        <v>REC-0632</v>
      </c>
      <c r="R633" s="62">
        <f t="shared" si="118"/>
        <v>40572.583333333336</v>
      </c>
      <c r="S633" t="str">
        <f t="shared" si="119"/>
        <v>Jan</v>
      </c>
      <c r="T633" t="str">
        <f>INDEX(Lookups!$B$39:$B$45,MATCH(H633,Lookups!$A$39:$A$45,0))</f>
        <v>Sat</v>
      </c>
      <c r="U633" t="str">
        <f t="shared" si="120"/>
        <v>Weekend</v>
      </c>
      <c r="V633" t="str">
        <f t="shared" si="121"/>
        <v>Non-Working Day</v>
      </c>
      <c r="W633" t="str">
        <f t="shared" si="122"/>
        <v>Spring</v>
      </c>
      <c r="X633" t="str">
        <f t="shared" si="123"/>
        <v>Cloudy/Mist</v>
      </c>
      <c r="Y633" t="str">
        <f t="shared" si="124"/>
        <v>Afternoon</v>
      </c>
      <c r="Z633" t="str">
        <f t="shared" si="125"/>
        <v>Mild</v>
      </c>
      <c r="AA633" t="str">
        <f t="shared" si="126"/>
        <v>Medium</v>
      </c>
      <c r="AB633" t="str">
        <f t="shared" si="127"/>
        <v>Off-Peak</v>
      </c>
      <c r="AC633" s="63">
        <f t="shared" si="128"/>
        <v>0.10101010101010101</v>
      </c>
      <c r="AD633" t="str">
        <f>IF(P633&gt;=Stats!$C$30,"High",IF(P633&lt;=Stats!$C$29,"Low","Normal"))</f>
        <v>High</v>
      </c>
      <c r="AE633">
        <f t="shared" si="129"/>
        <v>1</v>
      </c>
    </row>
    <row r="634" spans="1:31" x14ac:dyDescent="0.2">
      <c r="A634">
        <f>Dataset_3!A24</f>
        <v>633</v>
      </c>
      <c r="B634" s="61">
        <f>Dataset_3!B24</f>
        <v>40572</v>
      </c>
      <c r="C634">
        <f>Dataset_3!C24</f>
        <v>1</v>
      </c>
      <c r="D634">
        <f>Dataset_3!D24</f>
        <v>0</v>
      </c>
      <c r="E634">
        <f>Dataset_3!E24</f>
        <v>1</v>
      </c>
      <c r="F634">
        <f>Dataset_3!F24</f>
        <v>15</v>
      </c>
      <c r="G634" t="b">
        <f>Dataset_3!G24</f>
        <v>0</v>
      </c>
      <c r="H634">
        <f>Dataset_3!H24</f>
        <v>6</v>
      </c>
      <c r="I634">
        <f>Dataset_3!I24</f>
        <v>1</v>
      </c>
      <c r="J634" s="55">
        <f>Dataset_3!J24</f>
        <v>0.22</v>
      </c>
      <c r="K634">
        <f>Dataset_3!K24</f>
        <v>0.21210000000000001</v>
      </c>
      <c r="L634">
        <f>Dataset_3!L24</f>
        <v>0.69</v>
      </c>
      <c r="M634">
        <f>Dataset_3!M24</f>
        <v>0.25369999999999998</v>
      </c>
      <c r="N634">
        <f>Dataset_3!N24</f>
        <v>22</v>
      </c>
      <c r="O634">
        <f>Dataset_3!O24</f>
        <v>98</v>
      </c>
      <c r="P634">
        <f>Dataset_3!P24</f>
        <v>120</v>
      </c>
      <c r="Q634" t="str">
        <f t="shared" si="117"/>
        <v>REC-0633</v>
      </c>
      <c r="R634" s="62">
        <f t="shared" si="118"/>
        <v>40572.625</v>
      </c>
      <c r="S634" t="str">
        <f t="shared" si="119"/>
        <v>Jan</v>
      </c>
      <c r="T634" t="str">
        <f>INDEX(Lookups!$B$39:$B$45,MATCH(H634,Lookups!$A$39:$A$45,0))</f>
        <v>Sat</v>
      </c>
      <c r="U634" t="str">
        <f t="shared" si="120"/>
        <v>Weekend</v>
      </c>
      <c r="V634" t="str">
        <f t="shared" si="121"/>
        <v>Non-Working Day</v>
      </c>
      <c r="W634" t="str">
        <f t="shared" si="122"/>
        <v>Spring</v>
      </c>
      <c r="X634" t="str">
        <f t="shared" si="123"/>
        <v>Clear</v>
      </c>
      <c r="Y634" t="str">
        <f t="shared" si="124"/>
        <v>Afternoon</v>
      </c>
      <c r="Z634" t="str">
        <f t="shared" si="125"/>
        <v>Mild</v>
      </c>
      <c r="AA634" t="str">
        <f t="shared" si="126"/>
        <v>Medium</v>
      </c>
      <c r="AB634" t="str">
        <f t="shared" si="127"/>
        <v>Off-Peak</v>
      </c>
      <c r="AC634" s="63">
        <f t="shared" si="128"/>
        <v>0.18333333333333332</v>
      </c>
      <c r="AD634" t="str">
        <f>IF(P634&gt;=Stats!$C$30,"High",IF(P634&lt;=Stats!$C$29,"Low","Normal"))</f>
        <v>High</v>
      </c>
      <c r="AE634">
        <f t="shared" si="129"/>
        <v>1</v>
      </c>
    </row>
    <row r="635" spans="1:31" x14ac:dyDescent="0.2">
      <c r="A635">
        <f>Dataset_3!A25</f>
        <v>634</v>
      </c>
      <c r="B635" s="61">
        <f>Dataset_3!B25</f>
        <v>40572</v>
      </c>
      <c r="C635">
        <f>Dataset_3!C25</f>
        <v>1</v>
      </c>
      <c r="D635">
        <f>Dataset_3!D25</f>
        <v>0</v>
      </c>
      <c r="E635">
        <f>Dataset_3!E25</f>
        <v>1</v>
      </c>
      <c r="F635">
        <f>Dataset_3!F25</f>
        <v>16</v>
      </c>
      <c r="G635" t="b">
        <f>Dataset_3!G25</f>
        <v>0</v>
      </c>
      <c r="H635">
        <f>Dataset_3!H25</f>
        <v>6</v>
      </c>
      <c r="I635">
        <f>Dataset_3!I25</f>
        <v>1</v>
      </c>
      <c r="J635" s="55">
        <f>Dataset_3!J25</f>
        <v>0.24</v>
      </c>
      <c r="K635">
        <f>Dataset_3!K25</f>
        <v>0.2424</v>
      </c>
      <c r="L635">
        <f>Dataset_3!L25</f>
        <v>0.6</v>
      </c>
      <c r="M635">
        <f>Dataset_3!M25</f>
        <v>0.16420000000000001</v>
      </c>
      <c r="N635">
        <f>Dataset_3!N25</f>
        <v>19</v>
      </c>
      <c r="O635">
        <f>Dataset_3!O25</f>
        <v>88</v>
      </c>
      <c r="P635">
        <f>Dataset_3!P25</f>
        <v>107</v>
      </c>
      <c r="Q635" t="str">
        <f t="shared" si="117"/>
        <v>REC-0634</v>
      </c>
      <c r="R635" s="62">
        <f t="shared" si="118"/>
        <v>40572.666666666664</v>
      </c>
      <c r="S635" t="str">
        <f t="shared" si="119"/>
        <v>Jan</v>
      </c>
      <c r="T635" t="str">
        <f>INDEX(Lookups!$B$39:$B$45,MATCH(H635,Lookups!$A$39:$A$45,0))</f>
        <v>Sat</v>
      </c>
      <c r="U635" t="str">
        <f t="shared" si="120"/>
        <v>Weekend</v>
      </c>
      <c r="V635" t="str">
        <f t="shared" si="121"/>
        <v>Non-Working Day</v>
      </c>
      <c r="W635" t="str">
        <f t="shared" si="122"/>
        <v>Spring</v>
      </c>
      <c r="X635" t="str">
        <f t="shared" si="123"/>
        <v>Clear</v>
      </c>
      <c r="Y635" t="str">
        <f t="shared" si="124"/>
        <v>Afternoon</v>
      </c>
      <c r="Z635" t="str">
        <f t="shared" si="125"/>
        <v>Mild</v>
      </c>
      <c r="AA635" t="str">
        <f t="shared" si="126"/>
        <v>Medium</v>
      </c>
      <c r="AB635" t="str">
        <f t="shared" si="127"/>
        <v>Off-Peak</v>
      </c>
      <c r="AC635" s="63">
        <f t="shared" si="128"/>
        <v>0.17757009345794392</v>
      </c>
      <c r="AD635" t="str">
        <f>IF(P635&gt;=Stats!$C$30,"High",IF(P635&lt;=Stats!$C$29,"Low","Normal"))</f>
        <v>High</v>
      </c>
      <c r="AE635">
        <f t="shared" si="129"/>
        <v>1</v>
      </c>
    </row>
    <row r="636" spans="1:31" x14ac:dyDescent="0.2">
      <c r="A636">
        <f>Dataset_3!A26</f>
        <v>635</v>
      </c>
      <c r="B636" s="61">
        <f>Dataset_3!B26</f>
        <v>40572</v>
      </c>
      <c r="C636">
        <f>Dataset_3!C26</f>
        <v>1</v>
      </c>
      <c r="D636">
        <f>Dataset_3!D26</f>
        <v>0</v>
      </c>
      <c r="E636">
        <f>Dataset_3!E26</f>
        <v>1</v>
      </c>
      <c r="F636">
        <f>Dataset_3!F26</f>
        <v>17</v>
      </c>
      <c r="G636" t="b">
        <f>Dataset_3!G26</f>
        <v>0</v>
      </c>
      <c r="H636">
        <f>Dataset_3!H26</f>
        <v>6</v>
      </c>
      <c r="I636">
        <f>Dataset_3!I26</f>
        <v>1</v>
      </c>
      <c r="J636" s="55">
        <f>Dataset_3!J26</f>
        <v>0.24</v>
      </c>
      <c r="K636">
        <f>Dataset_3!K26</f>
        <v>0.28789999999999999</v>
      </c>
      <c r="L636">
        <f>Dataset_3!L26</f>
        <v>0.6</v>
      </c>
      <c r="M636">
        <f>Dataset_3!M26</f>
        <v>0</v>
      </c>
      <c r="N636">
        <f>Dataset_3!N26</f>
        <v>9</v>
      </c>
      <c r="O636">
        <f>Dataset_3!O26</f>
        <v>82</v>
      </c>
      <c r="P636">
        <f>Dataset_3!P26</f>
        <v>91</v>
      </c>
      <c r="Q636" t="str">
        <f t="shared" si="117"/>
        <v>REC-0635</v>
      </c>
      <c r="R636" s="62">
        <f t="shared" si="118"/>
        <v>40572.708333333336</v>
      </c>
      <c r="S636" t="str">
        <f t="shared" si="119"/>
        <v>Jan</v>
      </c>
      <c r="T636" t="str">
        <f>INDEX(Lookups!$B$39:$B$45,MATCH(H636,Lookups!$A$39:$A$45,0))</f>
        <v>Sat</v>
      </c>
      <c r="U636" t="str">
        <f t="shared" si="120"/>
        <v>Weekend</v>
      </c>
      <c r="V636" t="str">
        <f t="shared" si="121"/>
        <v>Non-Working Day</v>
      </c>
      <c r="W636" t="str">
        <f t="shared" si="122"/>
        <v>Spring</v>
      </c>
      <c r="X636" t="str">
        <f t="shared" si="123"/>
        <v>Clear</v>
      </c>
      <c r="Y636" t="str">
        <f t="shared" si="124"/>
        <v>Evening</v>
      </c>
      <c r="Z636" t="str">
        <f t="shared" si="125"/>
        <v>Mild</v>
      </c>
      <c r="AA636" t="str">
        <f t="shared" si="126"/>
        <v>Medium</v>
      </c>
      <c r="AB636" t="str">
        <f t="shared" si="127"/>
        <v>Off-Peak</v>
      </c>
      <c r="AC636" s="63">
        <f t="shared" si="128"/>
        <v>9.8901098901098897E-2</v>
      </c>
      <c r="AD636" t="str">
        <f>IF(P636&gt;=Stats!$C$30,"High",IF(P636&lt;=Stats!$C$29,"Low","Normal"))</f>
        <v>High</v>
      </c>
      <c r="AE636">
        <f t="shared" si="129"/>
        <v>1</v>
      </c>
    </row>
    <row r="637" spans="1:31" x14ac:dyDescent="0.2">
      <c r="A637">
        <f>Dataset_3!A27</f>
        <v>636</v>
      </c>
      <c r="B637" s="61">
        <f>Dataset_3!B27</f>
        <v>40572</v>
      </c>
      <c r="C637">
        <f>Dataset_3!C27</f>
        <v>1</v>
      </c>
      <c r="D637">
        <f>Dataset_3!D27</f>
        <v>0</v>
      </c>
      <c r="E637">
        <f>Dataset_3!E27</f>
        <v>1</v>
      </c>
      <c r="F637">
        <f>Dataset_3!F27</f>
        <v>18</v>
      </c>
      <c r="G637" t="b">
        <f>Dataset_3!G27</f>
        <v>0</v>
      </c>
      <c r="H637">
        <f>Dataset_3!H27</f>
        <v>6</v>
      </c>
      <c r="I637">
        <f>Dataset_3!I27</f>
        <v>1</v>
      </c>
      <c r="J637" s="55">
        <f>Dataset_3!J27</f>
        <v>0.22</v>
      </c>
      <c r="K637">
        <f>Dataset_3!K27</f>
        <v>0.2273</v>
      </c>
      <c r="L637">
        <f>Dataset_3!L27</f>
        <v>0.69</v>
      </c>
      <c r="M637">
        <f>Dataset_3!M27</f>
        <v>0.1343</v>
      </c>
      <c r="N637">
        <f>Dataset_3!N27</f>
        <v>9</v>
      </c>
      <c r="O637">
        <f>Dataset_3!O27</f>
        <v>59</v>
      </c>
      <c r="P637">
        <f>Dataset_3!P27</f>
        <v>68</v>
      </c>
      <c r="Q637" t="str">
        <f t="shared" si="117"/>
        <v>REC-0636</v>
      </c>
      <c r="R637" s="62">
        <f t="shared" si="118"/>
        <v>40572.75</v>
      </c>
      <c r="S637" t="str">
        <f t="shared" si="119"/>
        <v>Jan</v>
      </c>
      <c r="T637" t="str">
        <f>INDEX(Lookups!$B$39:$B$45,MATCH(H637,Lookups!$A$39:$A$45,0))</f>
        <v>Sat</v>
      </c>
      <c r="U637" t="str">
        <f t="shared" si="120"/>
        <v>Weekend</v>
      </c>
      <c r="V637" t="str">
        <f t="shared" si="121"/>
        <v>Non-Working Day</v>
      </c>
      <c r="W637" t="str">
        <f t="shared" si="122"/>
        <v>Spring</v>
      </c>
      <c r="X637" t="str">
        <f t="shared" si="123"/>
        <v>Clear</v>
      </c>
      <c r="Y637" t="str">
        <f t="shared" si="124"/>
        <v>Evening</v>
      </c>
      <c r="Z637" t="str">
        <f t="shared" si="125"/>
        <v>Mild</v>
      </c>
      <c r="AA637" t="str">
        <f t="shared" si="126"/>
        <v>Medium</v>
      </c>
      <c r="AB637" t="str">
        <f t="shared" si="127"/>
        <v>Off-Peak</v>
      </c>
      <c r="AC637" s="63">
        <f t="shared" si="128"/>
        <v>0.13235294117647059</v>
      </c>
      <c r="AD637" t="str">
        <f>IF(P637&gt;=Stats!$C$30,"High",IF(P637&lt;=Stats!$C$29,"Low","Normal"))</f>
        <v>Normal</v>
      </c>
      <c r="AE637">
        <f t="shared" si="129"/>
        <v>1</v>
      </c>
    </row>
    <row r="638" spans="1:31" x14ac:dyDescent="0.2">
      <c r="A638">
        <f>Dataset_3!A28</f>
        <v>637</v>
      </c>
      <c r="B638" s="61">
        <f>Dataset_3!B28</f>
        <v>40572</v>
      </c>
      <c r="C638">
        <f>Dataset_3!C28</f>
        <v>1</v>
      </c>
      <c r="D638">
        <f>Dataset_3!D28</f>
        <v>0</v>
      </c>
      <c r="E638">
        <f>Dataset_3!E28</f>
        <v>1</v>
      </c>
      <c r="F638">
        <f>Dataset_3!F28</f>
        <v>19</v>
      </c>
      <c r="G638" t="b">
        <f>Dataset_3!G28</f>
        <v>0</v>
      </c>
      <c r="H638">
        <f>Dataset_3!H28</f>
        <v>6</v>
      </c>
      <c r="I638">
        <f>Dataset_3!I28</f>
        <v>2</v>
      </c>
      <c r="J638" s="55">
        <f>Dataset_3!J28</f>
        <v>0.22</v>
      </c>
      <c r="K638">
        <f>Dataset_3!K28</f>
        <v>0.21210000000000001</v>
      </c>
      <c r="L638">
        <f>Dataset_3!L28</f>
        <v>0.69</v>
      </c>
      <c r="M638">
        <f>Dataset_3!M28</f>
        <v>0.25369999999999998</v>
      </c>
      <c r="N638">
        <f>Dataset_3!N28</f>
        <v>6</v>
      </c>
      <c r="O638">
        <f>Dataset_3!O28</f>
        <v>52</v>
      </c>
      <c r="P638">
        <f>Dataset_3!P28</f>
        <v>58</v>
      </c>
      <c r="Q638" t="str">
        <f t="shared" si="117"/>
        <v>REC-0637</v>
      </c>
      <c r="R638" s="62">
        <f t="shared" si="118"/>
        <v>40572.791666666664</v>
      </c>
      <c r="S638" t="str">
        <f t="shared" si="119"/>
        <v>Jan</v>
      </c>
      <c r="T638" t="str">
        <f>INDEX(Lookups!$B$39:$B$45,MATCH(H638,Lookups!$A$39:$A$45,0))</f>
        <v>Sat</v>
      </c>
      <c r="U638" t="str">
        <f t="shared" si="120"/>
        <v>Weekend</v>
      </c>
      <c r="V638" t="str">
        <f t="shared" si="121"/>
        <v>Non-Working Day</v>
      </c>
      <c r="W638" t="str">
        <f t="shared" si="122"/>
        <v>Spring</v>
      </c>
      <c r="X638" t="str">
        <f t="shared" si="123"/>
        <v>Cloudy/Mist</v>
      </c>
      <c r="Y638" t="str">
        <f t="shared" si="124"/>
        <v>Evening</v>
      </c>
      <c r="Z638" t="str">
        <f t="shared" si="125"/>
        <v>Mild</v>
      </c>
      <c r="AA638" t="str">
        <f t="shared" si="126"/>
        <v>Medium</v>
      </c>
      <c r="AB638" t="str">
        <f t="shared" si="127"/>
        <v>Off-Peak</v>
      </c>
      <c r="AC638" s="63">
        <f t="shared" si="128"/>
        <v>0.10344827586206896</v>
      </c>
      <c r="AD638" t="str">
        <f>IF(P638&gt;=Stats!$C$30,"High",IF(P638&lt;=Stats!$C$29,"Low","Normal"))</f>
        <v>Normal</v>
      </c>
      <c r="AE638">
        <f t="shared" si="129"/>
        <v>1</v>
      </c>
    </row>
    <row r="639" spans="1:31" x14ac:dyDescent="0.2">
      <c r="A639">
        <f>Dataset_3!A29</f>
        <v>638</v>
      </c>
      <c r="B639" s="61">
        <f>Dataset_3!B29</f>
        <v>40572</v>
      </c>
      <c r="C639">
        <f>Dataset_3!C29</f>
        <v>1</v>
      </c>
      <c r="D639">
        <f>Dataset_3!D29</f>
        <v>0</v>
      </c>
      <c r="E639">
        <f>Dataset_3!E29</f>
        <v>1</v>
      </c>
      <c r="F639">
        <f>Dataset_3!F29</f>
        <v>20</v>
      </c>
      <c r="G639" t="b">
        <f>Dataset_3!G29</f>
        <v>0</v>
      </c>
      <c r="H639">
        <f>Dataset_3!H29</f>
        <v>6</v>
      </c>
      <c r="I639">
        <f>Dataset_3!I29</f>
        <v>1</v>
      </c>
      <c r="J639" s="55">
        <f>Dataset_3!J29</f>
        <v>0.18</v>
      </c>
      <c r="K639">
        <f>Dataset_3!K29</f>
        <v>0.21210000000000001</v>
      </c>
      <c r="L639">
        <f>Dataset_3!L29</f>
        <v>0.74</v>
      </c>
      <c r="M639">
        <f>Dataset_3!M29</f>
        <v>8.9599999999999999E-2</v>
      </c>
      <c r="N639">
        <f>Dataset_3!N29</f>
        <v>1</v>
      </c>
      <c r="O639">
        <f>Dataset_3!O29</f>
        <v>42</v>
      </c>
      <c r="P639">
        <f>Dataset_3!P29</f>
        <v>43</v>
      </c>
      <c r="Q639" t="str">
        <f t="shared" si="117"/>
        <v>REC-0638</v>
      </c>
      <c r="R639" s="62">
        <f t="shared" si="118"/>
        <v>40572.833333333336</v>
      </c>
      <c r="S639" t="str">
        <f t="shared" si="119"/>
        <v>Jan</v>
      </c>
      <c r="T639" t="str">
        <f>INDEX(Lookups!$B$39:$B$45,MATCH(H639,Lookups!$A$39:$A$45,0))</f>
        <v>Sat</v>
      </c>
      <c r="U639" t="str">
        <f t="shared" si="120"/>
        <v>Weekend</v>
      </c>
      <c r="V639" t="str">
        <f t="shared" si="121"/>
        <v>Non-Working Day</v>
      </c>
      <c r="W639" t="str">
        <f t="shared" si="122"/>
        <v>Spring</v>
      </c>
      <c r="X639" t="str">
        <f t="shared" si="123"/>
        <v>Clear</v>
      </c>
      <c r="Y639" t="str">
        <f t="shared" si="124"/>
        <v>Evening</v>
      </c>
      <c r="Z639" t="str">
        <f t="shared" si="125"/>
        <v>Cold</v>
      </c>
      <c r="AA639" t="str">
        <f t="shared" si="126"/>
        <v>Medium</v>
      </c>
      <c r="AB639" t="str">
        <f t="shared" si="127"/>
        <v>Off-Peak</v>
      </c>
      <c r="AC639" s="63">
        <f t="shared" si="128"/>
        <v>2.3255813953488372E-2</v>
      </c>
      <c r="AD639" t="str">
        <f>IF(P639&gt;=Stats!$C$30,"High",IF(P639&lt;=Stats!$C$29,"Low","Normal"))</f>
        <v>Normal</v>
      </c>
      <c r="AE639">
        <f t="shared" si="129"/>
        <v>1</v>
      </c>
    </row>
    <row r="640" spans="1:31" x14ac:dyDescent="0.2">
      <c r="A640">
        <f>Dataset_3!A30</f>
        <v>639</v>
      </c>
      <c r="B640" s="61">
        <f>Dataset_3!B30</f>
        <v>40572</v>
      </c>
      <c r="C640">
        <f>Dataset_3!C30</f>
        <v>1</v>
      </c>
      <c r="D640">
        <f>Dataset_3!D30</f>
        <v>0</v>
      </c>
      <c r="E640">
        <f>Dataset_3!E30</f>
        <v>1</v>
      </c>
      <c r="F640">
        <f>Dataset_3!F30</f>
        <v>21</v>
      </c>
      <c r="G640" t="b">
        <f>Dataset_3!G30</f>
        <v>0</v>
      </c>
      <c r="H640">
        <f>Dataset_3!H30</f>
        <v>6</v>
      </c>
      <c r="I640">
        <f>Dataset_3!I30</f>
        <v>1</v>
      </c>
      <c r="J640" s="55">
        <f>Dataset_3!J30</f>
        <v>0.18</v>
      </c>
      <c r="K640">
        <f>Dataset_3!K30</f>
        <v>0.21210000000000001</v>
      </c>
      <c r="L640">
        <f>Dataset_3!L30</f>
        <v>0.74</v>
      </c>
      <c r="M640">
        <f>Dataset_3!M30</f>
        <v>8.9599999999999999E-2</v>
      </c>
      <c r="N640">
        <f>Dataset_3!N30</f>
        <v>1</v>
      </c>
      <c r="O640">
        <f>Dataset_3!O30</f>
        <v>35</v>
      </c>
      <c r="P640">
        <f>Dataset_3!P30</f>
        <v>36</v>
      </c>
      <c r="Q640" t="str">
        <f t="shared" si="117"/>
        <v>REC-0639</v>
      </c>
      <c r="R640" s="62">
        <f t="shared" si="118"/>
        <v>40572.875</v>
      </c>
      <c r="S640" t="str">
        <f t="shared" si="119"/>
        <v>Jan</v>
      </c>
      <c r="T640" t="str">
        <f>INDEX(Lookups!$B$39:$B$45,MATCH(H640,Lookups!$A$39:$A$45,0))</f>
        <v>Sat</v>
      </c>
      <c r="U640" t="str">
        <f t="shared" si="120"/>
        <v>Weekend</v>
      </c>
      <c r="V640" t="str">
        <f t="shared" si="121"/>
        <v>Non-Working Day</v>
      </c>
      <c r="W640" t="str">
        <f t="shared" si="122"/>
        <v>Spring</v>
      </c>
      <c r="X640" t="str">
        <f t="shared" si="123"/>
        <v>Clear</v>
      </c>
      <c r="Y640" t="str">
        <f t="shared" si="124"/>
        <v>Late Evening</v>
      </c>
      <c r="Z640" t="str">
        <f t="shared" si="125"/>
        <v>Cold</v>
      </c>
      <c r="AA640" t="str">
        <f t="shared" si="126"/>
        <v>Medium</v>
      </c>
      <c r="AB640" t="str">
        <f t="shared" si="127"/>
        <v>Off-Peak</v>
      </c>
      <c r="AC640" s="63">
        <f t="shared" si="128"/>
        <v>2.7777777777777776E-2</v>
      </c>
      <c r="AD640" t="str">
        <f>IF(P640&gt;=Stats!$C$30,"High",IF(P640&lt;=Stats!$C$29,"Low","Normal"))</f>
        <v>Normal</v>
      </c>
      <c r="AE640">
        <f t="shared" si="129"/>
        <v>1</v>
      </c>
    </row>
    <row r="641" spans="1:31" x14ac:dyDescent="0.2">
      <c r="A641">
        <f>Dataset_3!A31</f>
        <v>640</v>
      </c>
      <c r="B641" s="61">
        <f>Dataset_3!B31</f>
        <v>40572</v>
      </c>
      <c r="C641">
        <f>Dataset_3!C31</f>
        <v>1</v>
      </c>
      <c r="D641">
        <f>Dataset_3!D31</f>
        <v>0</v>
      </c>
      <c r="E641">
        <f>Dataset_3!E31</f>
        <v>1</v>
      </c>
      <c r="F641">
        <f>Dataset_3!F31</f>
        <v>22</v>
      </c>
      <c r="G641" t="b">
        <f>Dataset_3!G31</f>
        <v>0</v>
      </c>
      <c r="H641">
        <f>Dataset_3!H31</f>
        <v>6</v>
      </c>
      <c r="I641">
        <f>Dataset_3!I31</f>
        <v>1</v>
      </c>
      <c r="J641" s="55">
        <f>Dataset_3!J31</f>
        <v>0.16</v>
      </c>
      <c r="K641">
        <f>Dataset_3!K31</f>
        <v>0.19700000000000001</v>
      </c>
      <c r="L641">
        <f>Dataset_3!L31</f>
        <v>0.8</v>
      </c>
      <c r="M641">
        <f>Dataset_3!M31</f>
        <v>8.9599999999999999E-2</v>
      </c>
      <c r="N641">
        <f>Dataset_3!N31</f>
        <v>4</v>
      </c>
      <c r="O641">
        <f>Dataset_3!O31</f>
        <v>28</v>
      </c>
      <c r="P641">
        <f>Dataset_3!P31</f>
        <v>32</v>
      </c>
      <c r="Q641" t="str">
        <f t="shared" si="117"/>
        <v>REC-0640</v>
      </c>
      <c r="R641" s="62">
        <f t="shared" si="118"/>
        <v>40572.916666666664</v>
      </c>
      <c r="S641" t="str">
        <f t="shared" si="119"/>
        <v>Jan</v>
      </c>
      <c r="T641" t="str">
        <f>INDEX(Lookups!$B$39:$B$45,MATCH(H641,Lookups!$A$39:$A$45,0))</f>
        <v>Sat</v>
      </c>
      <c r="U641" t="str">
        <f t="shared" si="120"/>
        <v>Weekend</v>
      </c>
      <c r="V641" t="str">
        <f t="shared" si="121"/>
        <v>Non-Working Day</v>
      </c>
      <c r="W641" t="str">
        <f t="shared" si="122"/>
        <v>Spring</v>
      </c>
      <c r="X641" t="str">
        <f t="shared" si="123"/>
        <v>Clear</v>
      </c>
      <c r="Y641" t="str">
        <f t="shared" si="124"/>
        <v>Late Evening</v>
      </c>
      <c r="Z641" t="str">
        <f t="shared" si="125"/>
        <v>Cold</v>
      </c>
      <c r="AA641" t="str">
        <f t="shared" si="126"/>
        <v>High</v>
      </c>
      <c r="AB641" t="str">
        <f t="shared" si="127"/>
        <v>Off-Peak</v>
      </c>
      <c r="AC641" s="63">
        <f t="shared" si="128"/>
        <v>0.125</v>
      </c>
      <c r="AD641" t="str">
        <f>IF(P641&gt;=Stats!$C$30,"High",IF(P641&lt;=Stats!$C$29,"Low","Normal"))</f>
        <v>Normal</v>
      </c>
      <c r="AE641">
        <f t="shared" si="129"/>
        <v>1</v>
      </c>
    </row>
    <row r="642" spans="1:31" x14ac:dyDescent="0.2">
      <c r="A642">
        <f>Dataset_3!A32</f>
        <v>641</v>
      </c>
      <c r="B642" s="61">
        <f>Dataset_3!B32</f>
        <v>40572</v>
      </c>
      <c r="C642">
        <f>Dataset_3!C32</f>
        <v>1</v>
      </c>
      <c r="D642">
        <f>Dataset_3!D32</f>
        <v>0</v>
      </c>
      <c r="E642">
        <f>Dataset_3!E32</f>
        <v>1</v>
      </c>
      <c r="F642">
        <f>Dataset_3!F32</f>
        <v>23</v>
      </c>
      <c r="G642" t="b">
        <f>Dataset_3!G32</f>
        <v>0</v>
      </c>
      <c r="H642">
        <f>Dataset_3!H32</f>
        <v>6</v>
      </c>
      <c r="I642">
        <f>Dataset_3!I32</f>
        <v>1</v>
      </c>
      <c r="J642" s="55">
        <f>Dataset_3!J32</f>
        <v>0.16</v>
      </c>
      <c r="K642">
        <f>Dataset_3!K32</f>
        <v>0.19700000000000001</v>
      </c>
      <c r="L642">
        <f>Dataset_3!L32</f>
        <v>0.8</v>
      </c>
      <c r="M642">
        <f>Dataset_3!M32</f>
        <v>8.9599999999999999E-2</v>
      </c>
      <c r="N642">
        <f>Dataset_3!N32</f>
        <v>3</v>
      </c>
      <c r="O642">
        <f>Dataset_3!O32</f>
        <v>30</v>
      </c>
      <c r="P642">
        <f>Dataset_3!P32</f>
        <v>33</v>
      </c>
      <c r="Q642" t="str">
        <f t="shared" ref="Q642:Q705" si="130">"REC-"&amp;TEXT(A642,"0000")</f>
        <v>REC-0641</v>
      </c>
      <c r="R642" s="62">
        <f t="shared" ref="R642:R705" si="131">B642+F642/24</f>
        <v>40572.958333333336</v>
      </c>
      <c r="S642" t="str">
        <f t="shared" ref="S642:S705" si="132">TEXT(B642,"mmm")</f>
        <v>Jan</v>
      </c>
      <c r="T642" t="str">
        <f>INDEX(Lookups!$B$39:$B$45,MATCH(H642,Lookups!$A$39:$A$45,0))</f>
        <v>Sat</v>
      </c>
      <c r="U642" t="str">
        <f t="shared" ref="U642:U705" si="133">IF(OR(H642=0,H642=6),"Weekend","Weekday")</f>
        <v>Weekend</v>
      </c>
      <c r="V642" t="str">
        <f t="shared" ref="V642:V705" si="134">IF(OR(U642="Weekend",G642=TRUE),"Non-Working Day","Working Day")</f>
        <v>Non-Working Day</v>
      </c>
      <c r="W642" t="str">
        <f t="shared" ref="W642:W705" si="135">VLOOKUP(C642,tbl_season,2,FALSE)</f>
        <v>Spring</v>
      </c>
      <c r="X642" t="str">
        <f t="shared" ref="X642:X705" si="136">VLOOKUP(I642,tbl_weather,2,FALSE)</f>
        <v>Clear</v>
      </c>
      <c r="Y642" t="str">
        <f t="shared" ref="Y642:Y705" si="137">INDEX(band_name,MATCH(F642,band_start,1))</f>
        <v>Late Evening</v>
      </c>
      <c r="Z642" t="str">
        <f t="shared" ref="Z642:Z705" si="138">INDEX(temp_band,MATCH(J642,temp_from,1))</f>
        <v>Cold</v>
      </c>
      <c r="AA642" t="str">
        <f t="shared" ref="AA642:AA705" si="139">INDEX(hum_band,MATCH(L642,hum_from,1))</f>
        <v>High</v>
      </c>
      <c r="AB642" t="str">
        <f t="shared" ref="AB642:AB705" si="140">IF(AND(U642="Weekday",OR(AND(F642&gt;=7,F642&lt;=9),AND(F642&gt;=16,F642&lt;=19))),"Peak","Off-Peak")</f>
        <v>Off-Peak</v>
      </c>
      <c r="AC642" s="63">
        <f t="shared" ref="AC642:AC705" si="141">IF(P642=0,0,N642/P642)</f>
        <v>9.0909090909090912E-2</v>
      </c>
      <c r="AD642" t="str">
        <f>IF(P642&gt;=Stats!$C$30,"High",IF(P642&lt;=Stats!$C$29,"Low","Normal"))</f>
        <v>Normal</v>
      </c>
      <c r="AE642">
        <f t="shared" ref="AE642:AE705" si="142">SUBTOTAL(103,A642)</f>
        <v>1</v>
      </c>
    </row>
    <row r="643" spans="1:31" x14ac:dyDescent="0.2">
      <c r="A643">
        <f>Dataset_3!A33</f>
        <v>642</v>
      </c>
      <c r="B643" s="61">
        <f>Dataset_3!B33</f>
        <v>40573</v>
      </c>
      <c r="C643">
        <f>Dataset_3!C33</f>
        <v>1</v>
      </c>
      <c r="D643">
        <f>Dataset_3!D33</f>
        <v>0</v>
      </c>
      <c r="E643">
        <f>Dataset_3!E33</f>
        <v>1</v>
      </c>
      <c r="F643">
        <f>Dataset_3!F33</f>
        <v>0</v>
      </c>
      <c r="G643" t="b">
        <f>Dataset_3!G33</f>
        <v>0</v>
      </c>
      <c r="H643">
        <f>Dataset_3!H33</f>
        <v>0</v>
      </c>
      <c r="I643">
        <f>Dataset_3!I33</f>
        <v>1</v>
      </c>
      <c r="J643" s="55">
        <f>Dataset_3!J33</f>
        <v>0.16</v>
      </c>
      <c r="K643">
        <f>Dataset_3!K33</f>
        <v>0.18179999999999999</v>
      </c>
      <c r="L643">
        <f>Dataset_3!L33</f>
        <v>0.8</v>
      </c>
      <c r="M643">
        <f>Dataset_3!M33</f>
        <v>0.1045</v>
      </c>
      <c r="N643">
        <f>Dataset_3!N33</f>
        <v>0</v>
      </c>
      <c r="O643">
        <f>Dataset_3!O33</f>
        <v>33</v>
      </c>
      <c r="P643">
        <f>Dataset_3!P33</f>
        <v>33</v>
      </c>
      <c r="Q643" t="str">
        <f t="shared" si="130"/>
        <v>REC-0642</v>
      </c>
      <c r="R643" s="62">
        <f t="shared" si="131"/>
        <v>40573</v>
      </c>
      <c r="S643" t="str">
        <f t="shared" si="132"/>
        <v>Jan</v>
      </c>
      <c r="T643" t="str">
        <f>INDEX(Lookups!$B$39:$B$45,MATCH(H643,Lookups!$A$39:$A$45,0))</f>
        <v>Sun</v>
      </c>
      <c r="U643" t="str">
        <f t="shared" si="133"/>
        <v>Weekend</v>
      </c>
      <c r="V643" t="str">
        <f t="shared" si="134"/>
        <v>Non-Working Day</v>
      </c>
      <c r="W643" t="str">
        <f t="shared" si="135"/>
        <v>Spring</v>
      </c>
      <c r="X643" t="str">
        <f t="shared" si="136"/>
        <v>Clear</v>
      </c>
      <c r="Y643" t="str">
        <f t="shared" si="137"/>
        <v>Night</v>
      </c>
      <c r="Z643" t="str">
        <f t="shared" si="138"/>
        <v>Cold</v>
      </c>
      <c r="AA643" t="str">
        <f t="shared" si="139"/>
        <v>High</v>
      </c>
      <c r="AB643" t="str">
        <f t="shared" si="140"/>
        <v>Off-Peak</v>
      </c>
      <c r="AC643" s="63">
        <f t="shared" si="141"/>
        <v>0</v>
      </c>
      <c r="AD643" t="str">
        <f>IF(P643&gt;=Stats!$C$30,"High",IF(P643&lt;=Stats!$C$29,"Low","Normal"))</f>
        <v>Normal</v>
      </c>
      <c r="AE643">
        <f t="shared" si="142"/>
        <v>1</v>
      </c>
    </row>
    <row r="644" spans="1:31" x14ac:dyDescent="0.2">
      <c r="A644">
        <f>Dataset_3!A34</f>
        <v>643</v>
      </c>
      <c r="B644" s="61">
        <f>Dataset_3!B34</f>
        <v>40573</v>
      </c>
      <c r="C644">
        <f>Dataset_3!C34</f>
        <v>1</v>
      </c>
      <c r="D644">
        <f>Dataset_3!D34</f>
        <v>0</v>
      </c>
      <c r="E644">
        <f>Dataset_3!E34</f>
        <v>1</v>
      </c>
      <c r="F644">
        <f>Dataset_3!F34</f>
        <v>1</v>
      </c>
      <c r="G644" t="b">
        <f>Dataset_3!G34</f>
        <v>0</v>
      </c>
      <c r="H644">
        <f>Dataset_3!H34</f>
        <v>0</v>
      </c>
      <c r="I644">
        <f>Dataset_3!I34</f>
        <v>1</v>
      </c>
      <c r="J644" s="55">
        <f>Dataset_3!J34</f>
        <v>0.14000000000000001</v>
      </c>
      <c r="K644">
        <f>Dataset_3!K34</f>
        <v>0.21210000000000001</v>
      </c>
      <c r="L644">
        <f>Dataset_3!L34</f>
        <v>0.8</v>
      </c>
      <c r="M644">
        <f>Dataset_3!M34</f>
        <v>0</v>
      </c>
      <c r="N644">
        <f>Dataset_3!N34</f>
        <v>7</v>
      </c>
      <c r="O644">
        <f>Dataset_3!O34</f>
        <v>22</v>
      </c>
      <c r="P644">
        <f>Dataset_3!P34</f>
        <v>29</v>
      </c>
      <c r="Q644" t="str">
        <f t="shared" si="130"/>
        <v>REC-0643</v>
      </c>
      <c r="R644" s="62">
        <f t="shared" si="131"/>
        <v>40573.041666666664</v>
      </c>
      <c r="S644" t="str">
        <f t="shared" si="132"/>
        <v>Jan</v>
      </c>
      <c r="T644" t="str">
        <f>INDEX(Lookups!$B$39:$B$45,MATCH(H644,Lookups!$A$39:$A$45,0))</f>
        <v>Sun</v>
      </c>
      <c r="U644" t="str">
        <f t="shared" si="133"/>
        <v>Weekend</v>
      </c>
      <c r="V644" t="str">
        <f t="shared" si="134"/>
        <v>Non-Working Day</v>
      </c>
      <c r="W644" t="str">
        <f t="shared" si="135"/>
        <v>Spring</v>
      </c>
      <c r="X644" t="str">
        <f t="shared" si="136"/>
        <v>Clear</v>
      </c>
      <c r="Y644" t="str">
        <f t="shared" si="137"/>
        <v>Night</v>
      </c>
      <c r="Z644" t="str">
        <f t="shared" si="138"/>
        <v>Cold</v>
      </c>
      <c r="AA644" t="str">
        <f t="shared" si="139"/>
        <v>High</v>
      </c>
      <c r="AB644" t="str">
        <f t="shared" si="140"/>
        <v>Off-Peak</v>
      </c>
      <c r="AC644" s="63">
        <f t="shared" si="141"/>
        <v>0.2413793103448276</v>
      </c>
      <c r="AD644" t="str">
        <f>IF(P644&gt;=Stats!$C$30,"High",IF(P644&lt;=Stats!$C$29,"Low","Normal"))</f>
        <v>Normal</v>
      </c>
      <c r="AE644">
        <f t="shared" si="142"/>
        <v>1</v>
      </c>
    </row>
    <row r="645" spans="1:31" x14ac:dyDescent="0.2">
      <c r="A645">
        <f>Dataset_3!A35</f>
        <v>644</v>
      </c>
      <c r="B645" s="61">
        <f>Dataset_3!B35</f>
        <v>40573</v>
      </c>
      <c r="C645">
        <f>Dataset_3!C35</f>
        <v>1</v>
      </c>
      <c r="D645">
        <f>Dataset_3!D35</f>
        <v>0</v>
      </c>
      <c r="E645">
        <f>Dataset_3!E35</f>
        <v>1</v>
      </c>
      <c r="F645">
        <f>Dataset_3!F35</f>
        <v>2</v>
      </c>
      <c r="G645" t="b">
        <f>Dataset_3!G35</f>
        <v>0</v>
      </c>
      <c r="H645">
        <f>Dataset_3!H35</f>
        <v>0</v>
      </c>
      <c r="I645">
        <f>Dataset_3!I35</f>
        <v>1</v>
      </c>
      <c r="J645" s="55">
        <f>Dataset_3!J35</f>
        <v>0.16</v>
      </c>
      <c r="K645">
        <f>Dataset_3!K35</f>
        <v>0.2273</v>
      </c>
      <c r="L645">
        <f>Dataset_3!L35</f>
        <v>0.8</v>
      </c>
      <c r="M645">
        <f>Dataset_3!M35</f>
        <v>0</v>
      </c>
      <c r="N645">
        <f>Dataset_3!N35</f>
        <v>1</v>
      </c>
      <c r="O645">
        <f>Dataset_3!O35</f>
        <v>10</v>
      </c>
      <c r="P645">
        <f>Dataset_3!P35</f>
        <v>11</v>
      </c>
      <c r="Q645" t="str">
        <f t="shared" si="130"/>
        <v>REC-0644</v>
      </c>
      <c r="R645" s="62">
        <f t="shared" si="131"/>
        <v>40573.083333333336</v>
      </c>
      <c r="S645" t="str">
        <f t="shared" si="132"/>
        <v>Jan</v>
      </c>
      <c r="T645" t="str">
        <f>INDEX(Lookups!$B$39:$B$45,MATCH(H645,Lookups!$A$39:$A$45,0))</f>
        <v>Sun</v>
      </c>
      <c r="U645" t="str">
        <f t="shared" si="133"/>
        <v>Weekend</v>
      </c>
      <c r="V645" t="str">
        <f t="shared" si="134"/>
        <v>Non-Working Day</v>
      </c>
      <c r="W645" t="str">
        <f t="shared" si="135"/>
        <v>Spring</v>
      </c>
      <c r="X645" t="str">
        <f t="shared" si="136"/>
        <v>Clear</v>
      </c>
      <c r="Y645" t="str">
        <f t="shared" si="137"/>
        <v>Night</v>
      </c>
      <c r="Z645" t="str">
        <f t="shared" si="138"/>
        <v>Cold</v>
      </c>
      <c r="AA645" t="str">
        <f t="shared" si="139"/>
        <v>High</v>
      </c>
      <c r="AB645" t="str">
        <f t="shared" si="140"/>
        <v>Off-Peak</v>
      </c>
      <c r="AC645" s="63">
        <f t="shared" si="141"/>
        <v>9.0909090909090912E-2</v>
      </c>
      <c r="AD645" t="str">
        <f>IF(P645&gt;=Stats!$C$30,"High",IF(P645&lt;=Stats!$C$29,"Low","Normal"))</f>
        <v>Low</v>
      </c>
      <c r="AE645">
        <f t="shared" si="142"/>
        <v>1</v>
      </c>
    </row>
    <row r="646" spans="1:31" x14ac:dyDescent="0.2">
      <c r="A646">
        <f>Dataset_3!A36</f>
        <v>645</v>
      </c>
      <c r="B646" s="61">
        <f>Dataset_3!B36</f>
        <v>40573</v>
      </c>
      <c r="C646">
        <f>Dataset_3!C36</f>
        <v>1</v>
      </c>
      <c r="D646">
        <f>Dataset_3!D36</f>
        <v>0</v>
      </c>
      <c r="E646">
        <f>Dataset_3!E36</f>
        <v>1</v>
      </c>
      <c r="F646">
        <f>Dataset_3!F36</f>
        <v>3</v>
      </c>
      <c r="G646" t="b">
        <f>Dataset_3!G36</f>
        <v>0</v>
      </c>
      <c r="H646">
        <f>Dataset_3!H36</f>
        <v>0</v>
      </c>
      <c r="I646">
        <f>Dataset_3!I36</f>
        <v>1</v>
      </c>
      <c r="J646" s="55">
        <f>Dataset_3!J36</f>
        <v>0.14000000000000001</v>
      </c>
      <c r="K646">
        <f>Dataset_3!K36</f>
        <v>0.21210000000000001</v>
      </c>
      <c r="L646">
        <f>Dataset_3!L36</f>
        <v>0.93</v>
      </c>
      <c r="M646">
        <f>Dataset_3!M36</f>
        <v>0</v>
      </c>
      <c r="N646">
        <f>Dataset_3!N36</f>
        <v>1</v>
      </c>
      <c r="O646">
        <f>Dataset_3!O36</f>
        <v>7</v>
      </c>
      <c r="P646">
        <f>Dataset_3!P36</f>
        <v>8</v>
      </c>
      <c r="Q646" t="str">
        <f t="shared" si="130"/>
        <v>REC-0645</v>
      </c>
      <c r="R646" s="62">
        <f t="shared" si="131"/>
        <v>40573.125</v>
      </c>
      <c r="S646" t="str">
        <f t="shared" si="132"/>
        <v>Jan</v>
      </c>
      <c r="T646" t="str">
        <f>INDEX(Lookups!$B$39:$B$45,MATCH(H646,Lookups!$A$39:$A$45,0))</f>
        <v>Sun</v>
      </c>
      <c r="U646" t="str">
        <f t="shared" si="133"/>
        <v>Weekend</v>
      </c>
      <c r="V646" t="str">
        <f t="shared" si="134"/>
        <v>Non-Working Day</v>
      </c>
      <c r="W646" t="str">
        <f t="shared" si="135"/>
        <v>Spring</v>
      </c>
      <c r="X646" t="str">
        <f t="shared" si="136"/>
        <v>Clear</v>
      </c>
      <c r="Y646" t="str">
        <f t="shared" si="137"/>
        <v>Night</v>
      </c>
      <c r="Z646" t="str">
        <f t="shared" si="138"/>
        <v>Cold</v>
      </c>
      <c r="AA646" t="str">
        <f t="shared" si="139"/>
        <v>High</v>
      </c>
      <c r="AB646" t="str">
        <f t="shared" si="140"/>
        <v>Off-Peak</v>
      </c>
      <c r="AC646" s="63">
        <f t="shared" si="141"/>
        <v>0.125</v>
      </c>
      <c r="AD646" t="str">
        <f>IF(P646&gt;=Stats!$C$30,"High",IF(P646&lt;=Stats!$C$29,"Low","Normal"))</f>
        <v>Low</v>
      </c>
      <c r="AE646">
        <f t="shared" si="142"/>
        <v>1</v>
      </c>
    </row>
    <row r="647" spans="1:31" x14ac:dyDescent="0.2">
      <c r="A647">
        <f>Dataset_3!A37</f>
        <v>646</v>
      </c>
      <c r="B647" s="61">
        <f>Dataset_3!B37</f>
        <v>40573</v>
      </c>
      <c r="C647">
        <f>Dataset_3!C37</f>
        <v>1</v>
      </c>
      <c r="D647">
        <f>Dataset_3!D37</f>
        <v>0</v>
      </c>
      <c r="E647">
        <f>Dataset_3!E37</f>
        <v>1</v>
      </c>
      <c r="F647">
        <f>Dataset_3!F37</f>
        <v>4</v>
      </c>
      <c r="G647" t="b">
        <f>Dataset_3!G37</f>
        <v>0</v>
      </c>
      <c r="H647">
        <f>Dataset_3!H37</f>
        <v>0</v>
      </c>
      <c r="I647">
        <f>Dataset_3!I37</f>
        <v>1</v>
      </c>
      <c r="J647" s="55">
        <f>Dataset_3!J37</f>
        <v>0.14000000000000001</v>
      </c>
      <c r="K647">
        <f>Dataset_3!K37</f>
        <v>0.21210000000000001</v>
      </c>
      <c r="L647">
        <f>Dataset_3!L37</f>
        <v>0.93</v>
      </c>
      <c r="M647">
        <f>Dataset_3!M37</f>
        <v>0</v>
      </c>
      <c r="N647">
        <f>Dataset_3!N37</f>
        <v>0</v>
      </c>
      <c r="O647">
        <f>Dataset_3!O37</f>
        <v>1</v>
      </c>
      <c r="P647">
        <f>Dataset_3!P37</f>
        <v>1</v>
      </c>
      <c r="Q647" t="str">
        <f t="shared" si="130"/>
        <v>REC-0646</v>
      </c>
      <c r="R647" s="62">
        <f t="shared" si="131"/>
        <v>40573.166666666664</v>
      </c>
      <c r="S647" t="str">
        <f t="shared" si="132"/>
        <v>Jan</v>
      </c>
      <c r="T647" t="str">
        <f>INDEX(Lookups!$B$39:$B$45,MATCH(H647,Lookups!$A$39:$A$45,0))</f>
        <v>Sun</v>
      </c>
      <c r="U647" t="str">
        <f t="shared" si="133"/>
        <v>Weekend</v>
      </c>
      <c r="V647" t="str">
        <f t="shared" si="134"/>
        <v>Non-Working Day</v>
      </c>
      <c r="W647" t="str">
        <f t="shared" si="135"/>
        <v>Spring</v>
      </c>
      <c r="X647" t="str">
        <f t="shared" si="136"/>
        <v>Clear</v>
      </c>
      <c r="Y647" t="str">
        <f t="shared" si="137"/>
        <v>Night</v>
      </c>
      <c r="Z647" t="str">
        <f t="shared" si="138"/>
        <v>Cold</v>
      </c>
      <c r="AA647" t="str">
        <f t="shared" si="139"/>
        <v>High</v>
      </c>
      <c r="AB647" t="str">
        <f t="shared" si="140"/>
        <v>Off-Peak</v>
      </c>
      <c r="AC647" s="63">
        <f t="shared" si="141"/>
        <v>0</v>
      </c>
      <c r="AD647" t="str">
        <f>IF(P647&gt;=Stats!$C$30,"High",IF(P647&lt;=Stats!$C$29,"Low","Normal"))</f>
        <v>Low</v>
      </c>
      <c r="AE647">
        <f t="shared" si="142"/>
        <v>1</v>
      </c>
    </row>
    <row r="648" spans="1:31" x14ac:dyDescent="0.2">
      <c r="A648">
        <f>Dataset_3!A38</f>
        <v>647</v>
      </c>
      <c r="B648" s="61">
        <f>Dataset_3!B38</f>
        <v>40573</v>
      </c>
      <c r="C648">
        <f>Dataset_3!C38</f>
        <v>1</v>
      </c>
      <c r="D648">
        <f>Dataset_3!D38</f>
        <v>0</v>
      </c>
      <c r="E648">
        <f>Dataset_3!E38</f>
        <v>1</v>
      </c>
      <c r="F648">
        <f>Dataset_3!F38</f>
        <v>5</v>
      </c>
      <c r="G648" t="b">
        <f>Dataset_3!G38</f>
        <v>0</v>
      </c>
      <c r="H648">
        <f>Dataset_3!H38</f>
        <v>0</v>
      </c>
      <c r="I648">
        <f>Dataset_3!I38</f>
        <v>1</v>
      </c>
      <c r="J648" s="55">
        <f>Dataset_3!J38</f>
        <v>0.14000000000000001</v>
      </c>
      <c r="K648">
        <f>Dataset_3!K38</f>
        <v>0.21210000000000001</v>
      </c>
      <c r="L648">
        <f>Dataset_3!L38</f>
        <v>0.86</v>
      </c>
      <c r="M648">
        <f>Dataset_3!M38</f>
        <v>0</v>
      </c>
      <c r="N648">
        <f>Dataset_3!N38</f>
        <v>0</v>
      </c>
      <c r="O648">
        <f>Dataset_3!O38</f>
        <v>3</v>
      </c>
      <c r="P648">
        <f>Dataset_3!P38</f>
        <v>3</v>
      </c>
      <c r="Q648" t="str">
        <f t="shared" si="130"/>
        <v>REC-0647</v>
      </c>
      <c r="R648" s="62">
        <f t="shared" si="131"/>
        <v>40573.208333333336</v>
      </c>
      <c r="S648" t="str">
        <f t="shared" si="132"/>
        <v>Jan</v>
      </c>
      <c r="T648" t="str">
        <f>INDEX(Lookups!$B$39:$B$45,MATCH(H648,Lookups!$A$39:$A$45,0))</f>
        <v>Sun</v>
      </c>
      <c r="U648" t="str">
        <f t="shared" si="133"/>
        <v>Weekend</v>
      </c>
      <c r="V648" t="str">
        <f t="shared" si="134"/>
        <v>Non-Working Day</v>
      </c>
      <c r="W648" t="str">
        <f t="shared" si="135"/>
        <v>Spring</v>
      </c>
      <c r="X648" t="str">
        <f t="shared" si="136"/>
        <v>Clear</v>
      </c>
      <c r="Y648" t="str">
        <f t="shared" si="137"/>
        <v>Night</v>
      </c>
      <c r="Z648" t="str">
        <f t="shared" si="138"/>
        <v>Cold</v>
      </c>
      <c r="AA648" t="str">
        <f t="shared" si="139"/>
        <v>High</v>
      </c>
      <c r="AB648" t="str">
        <f t="shared" si="140"/>
        <v>Off-Peak</v>
      </c>
      <c r="AC648" s="63">
        <f t="shared" si="141"/>
        <v>0</v>
      </c>
      <c r="AD648" t="str">
        <f>IF(P648&gt;=Stats!$C$30,"High",IF(P648&lt;=Stats!$C$29,"Low","Normal"))</f>
        <v>Low</v>
      </c>
      <c r="AE648">
        <f t="shared" si="142"/>
        <v>1</v>
      </c>
    </row>
    <row r="649" spans="1:31" x14ac:dyDescent="0.2">
      <c r="A649">
        <f>Dataset_3!A39</f>
        <v>648</v>
      </c>
      <c r="B649" s="61">
        <f>Dataset_3!B39</f>
        <v>40573</v>
      </c>
      <c r="C649">
        <f>Dataset_3!C39</f>
        <v>1</v>
      </c>
      <c r="D649">
        <f>Dataset_3!D39</f>
        <v>0</v>
      </c>
      <c r="E649">
        <f>Dataset_3!E39</f>
        <v>1</v>
      </c>
      <c r="F649">
        <f>Dataset_3!F39</f>
        <v>7</v>
      </c>
      <c r="G649" t="b">
        <f>Dataset_3!G39</f>
        <v>0</v>
      </c>
      <c r="H649">
        <f>Dataset_3!H39</f>
        <v>0</v>
      </c>
      <c r="I649">
        <f>Dataset_3!I39</f>
        <v>1</v>
      </c>
      <c r="J649" s="55">
        <f>Dataset_3!J39</f>
        <v>0.14000000000000001</v>
      </c>
      <c r="K649">
        <f>Dataset_3!K39</f>
        <v>0.21210000000000001</v>
      </c>
      <c r="L649">
        <f>Dataset_3!L39</f>
        <v>0.86</v>
      </c>
      <c r="M649">
        <f>Dataset_3!M39</f>
        <v>0</v>
      </c>
      <c r="N649">
        <f>Dataset_3!N39</f>
        <v>0</v>
      </c>
      <c r="O649">
        <f>Dataset_3!O39</f>
        <v>3</v>
      </c>
      <c r="P649">
        <f>Dataset_3!P39</f>
        <v>3</v>
      </c>
      <c r="Q649" t="str">
        <f t="shared" si="130"/>
        <v>REC-0648</v>
      </c>
      <c r="R649" s="62">
        <f t="shared" si="131"/>
        <v>40573.291666666664</v>
      </c>
      <c r="S649" t="str">
        <f t="shared" si="132"/>
        <v>Jan</v>
      </c>
      <c r="T649" t="str">
        <f>INDEX(Lookups!$B$39:$B$45,MATCH(H649,Lookups!$A$39:$A$45,0))</f>
        <v>Sun</v>
      </c>
      <c r="U649" t="str">
        <f t="shared" si="133"/>
        <v>Weekend</v>
      </c>
      <c r="V649" t="str">
        <f t="shared" si="134"/>
        <v>Non-Working Day</v>
      </c>
      <c r="W649" t="str">
        <f t="shared" si="135"/>
        <v>Spring</v>
      </c>
      <c r="X649" t="str">
        <f t="shared" si="136"/>
        <v>Clear</v>
      </c>
      <c r="Y649" t="str">
        <f t="shared" si="137"/>
        <v>Morning</v>
      </c>
      <c r="Z649" t="str">
        <f t="shared" si="138"/>
        <v>Cold</v>
      </c>
      <c r="AA649" t="str">
        <f t="shared" si="139"/>
        <v>High</v>
      </c>
      <c r="AB649" t="str">
        <f t="shared" si="140"/>
        <v>Off-Peak</v>
      </c>
      <c r="AC649" s="63">
        <f t="shared" si="141"/>
        <v>0</v>
      </c>
      <c r="AD649" t="str">
        <f>IF(P649&gt;=Stats!$C$30,"High",IF(P649&lt;=Stats!$C$29,"Low","Normal"))</f>
        <v>Low</v>
      </c>
      <c r="AE649">
        <f t="shared" si="142"/>
        <v>1</v>
      </c>
    </row>
    <row r="650" spans="1:31" x14ac:dyDescent="0.2">
      <c r="A650">
        <f>Dataset_3!A40</f>
        <v>649</v>
      </c>
      <c r="B650" s="61">
        <f>Dataset_3!B40</f>
        <v>40573</v>
      </c>
      <c r="C650">
        <f>Dataset_3!C40</f>
        <v>1</v>
      </c>
      <c r="D650">
        <f>Dataset_3!D40</f>
        <v>0</v>
      </c>
      <c r="E650">
        <f>Dataset_3!E40</f>
        <v>1</v>
      </c>
      <c r="F650">
        <f>Dataset_3!F40</f>
        <v>8</v>
      </c>
      <c r="G650" t="b">
        <f>Dataset_3!G40</f>
        <v>0</v>
      </c>
      <c r="H650">
        <f>Dataset_3!H40</f>
        <v>0</v>
      </c>
      <c r="I650">
        <f>Dataset_3!I40</f>
        <v>2</v>
      </c>
      <c r="J650" s="55">
        <f>Dataset_3!J40</f>
        <v>0.14000000000000001</v>
      </c>
      <c r="K650">
        <f>Dataset_3!K40</f>
        <v>0.21210000000000001</v>
      </c>
      <c r="L650">
        <f>Dataset_3!L40</f>
        <v>0.86</v>
      </c>
      <c r="M650">
        <f>Dataset_3!M40</f>
        <v>0</v>
      </c>
      <c r="N650">
        <f>Dataset_3!N40</f>
        <v>1</v>
      </c>
      <c r="O650">
        <f>Dataset_3!O40</f>
        <v>11</v>
      </c>
      <c r="P650">
        <f>Dataset_3!P40</f>
        <v>12</v>
      </c>
      <c r="Q650" t="str">
        <f t="shared" si="130"/>
        <v>REC-0649</v>
      </c>
      <c r="R650" s="62">
        <f t="shared" si="131"/>
        <v>40573.333333333336</v>
      </c>
      <c r="S650" t="str">
        <f t="shared" si="132"/>
        <v>Jan</v>
      </c>
      <c r="T650" t="str">
        <f>INDEX(Lookups!$B$39:$B$45,MATCH(H650,Lookups!$A$39:$A$45,0))</f>
        <v>Sun</v>
      </c>
      <c r="U650" t="str">
        <f t="shared" si="133"/>
        <v>Weekend</v>
      </c>
      <c r="V650" t="str">
        <f t="shared" si="134"/>
        <v>Non-Working Day</v>
      </c>
      <c r="W650" t="str">
        <f t="shared" si="135"/>
        <v>Spring</v>
      </c>
      <c r="X650" t="str">
        <f t="shared" si="136"/>
        <v>Cloudy/Mist</v>
      </c>
      <c r="Y650" t="str">
        <f t="shared" si="137"/>
        <v>Morning</v>
      </c>
      <c r="Z650" t="str">
        <f t="shared" si="138"/>
        <v>Cold</v>
      </c>
      <c r="AA650" t="str">
        <f t="shared" si="139"/>
        <v>High</v>
      </c>
      <c r="AB650" t="str">
        <f t="shared" si="140"/>
        <v>Off-Peak</v>
      </c>
      <c r="AC650" s="63">
        <f t="shared" si="141"/>
        <v>8.3333333333333329E-2</v>
      </c>
      <c r="AD650" t="str">
        <f>IF(P650&gt;=Stats!$C$30,"High",IF(P650&lt;=Stats!$C$29,"Low","Normal"))</f>
        <v>Low</v>
      </c>
      <c r="AE650">
        <f t="shared" si="142"/>
        <v>1</v>
      </c>
    </row>
    <row r="651" spans="1:31" x14ac:dyDescent="0.2">
      <c r="A651">
        <f>Dataset_3!A41</f>
        <v>650</v>
      </c>
      <c r="B651" s="61">
        <f>Dataset_3!B41</f>
        <v>40573</v>
      </c>
      <c r="C651">
        <f>Dataset_3!C41</f>
        <v>1</v>
      </c>
      <c r="D651">
        <f>Dataset_3!D41</f>
        <v>0</v>
      </c>
      <c r="E651">
        <f>Dataset_3!E41</f>
        <v>1</v>
      </c>
      <c r="F651">
        <f>Dataset_3!F41</f>
        <v>9</v>
      </c>
      <c r="G651" t="b">
        <f>Dataset_3!G41</f>
        <v>0</v>
      </c>
      <c r="H651">
        <f>Dataset_3!H41</f>
        <v>0</v>
      </c>
      <c r="I651">
        <f>Dataset_3!I41</f>
        <v>2</v>
      </c>
      <c r="J651" s="55">
        <f>Dataset_3!J41</f>
        <v>0.16</v>
      </c>
      <c r="K651">
        <f>Dataset_3!K41</f>
        <v>0.2273</v>
      </c>
      <c r="L651">
        <f>Dataset_3!L41</f>
        <v>0.8</v>
      </c>
      <c r="M651">
        <f>Dataset_3!M41</f>
        <v>0</v>
      </c>
      <c r="N651">
        <f>Dataset_3!N41</f>
        <v>4</v>
      </c>
      <c r="O651">
        <f>Dataset_3!O41</f>
        <v>34</v>
      </c>
      <c r="P651">
        <f>Dataset_3!P41</f>
        <v>38</v>
      </c>
      <c r="Q651" t="str">
        <f t="shared" si="130"/>
        <v>REC-0650</v>
      </c>
      <c r="R651" s="62">
        <f t="shared" si="131"/>
        <v>40573.375</v>
      </c>
      <c r="S651" t="str">
        <f t="shared" si="132"/>
        <v>Jan</v>
      </c>
      <c r="T651" t="str">
        <f>INDEX(Lookups!$B$39:$B$45,MATCH(H651,Lookups!$A$39:$A$45,0))</f>
        <v>Sun</v>
      </c>
      <c r="U651" t="str">
        <f t="shared" si="133"/>
        <v>Weekend</v>
      </c>
      <c r="V651" t="str">
        <f t="shared" si="134"/>
        <v>Non-Working Day</v>
      </c>
      <c r="W651" t="str">
        <f t="shared" si="135"/>
        <v>Spring</v>
      </c>
      <c r="X651" t="str">
        <f t="shared" si="136"/>
        <v>Cloudy/Mist</v>
      </c>
      <c r="Y651" t="str">
        <f t="shared" si="137"/>
        <v>Morning</v>
      </c>
      <c r="Z651" t="str">
        <f t="shared" si="138"/>
        <v>Cold</v>
      </c>
      <c r="AA651" t="str">
        <f t="shared" si="139"/>
        <v>High</v>
      </c>
      <c r="AB651" t="str">
        <f t="shared" si="140"/>
        <v>Off-Peak</v>
      </c>
      <c r="AC651" s="63">
        <f t="shared" si="141"/>
        <v>0.10526315789473684</v>
      </c>
      <c r="AD651" t="str">
        <f>IF(P651&gt;=Stats!$C$30,"High",IF(P651&lt;=Stats!$C$29,"Low","Normal"))</f>
        <v>Normal</v>
      </c>
      <c r="AE651">
        <f t="shared" si="142"/>
        <v>1</v>
      </c>
    </row>
    <row r="652" spans="1:31" x14ac:dyDescent="0.2">
      <c r="A652">
        <f>Dataset_3!A42</f>
        <v>651</v>
      </c>
      <c r="B652" s="61">
        <f>Dataset_3!B42</f>
        <v>40573</v>
      </c>
      <c r="C652">
        <f>Dataset_3!C42</f>
        <v>1</v>
      </c>
      <c r="D652">
        <f>Dataset_3!D42</f>
        <v>0</v>
      </c>
      <c r="E652">
        <f>Dataset_3!E42</f>
        <v>1</v>
      </c>
      <c r="F652">
        <f>Dataset_3!F42</f>
        <v>10</v>
      </c>
      <c r="G652" t="b">
        <f>Dataset_3!G42</f>
        <v>0</v>
      </c>
      <c r="H652">
        <f>Dataset_3!H42</f>
        <v>0</v>
      </c>
      <c r="I652">
        <f>Dataset_3!I42</f>
        <v>2</v>
      </c>
      <c r="J652" s="55">
        <f>Dataset_3!J42</f>
        <v>0.18</v>
      </c>
      <c r="K652">
        <f>Dataset_3!K42</f>
        <v>0.2424</v>
      </c>
      <c r="L652">
        <f>Dataset_3!L42</f>
        <v>0.8</v>
      </c>
      <c r="M652">
        <f>Dataset_3!M42</f>
        <v>0</v>
      </c>
      <c r="N652">
        <f>Dataset_3!N42</f>
        <v>7</v>
      </c>
      <c r="O652">
        <f>Dataset_3!O42</f>
        <v>57</v>
      </c>
      <c r="P652">
        <f>Dataset_3!P42</f>
        <v>64</v>
      </c>
      <c r="Q652" t="str">
        <f t="shared" si="130"/>
        <v>REC-0651</v>
      </c>
      <c r="R652" s="62">
        <f t="shared" si="131"/>
        <v>40573.416666666664</v>
      </c>
      <c r="S652" t="str">
        <f t="shared" si="132"/>
        <v>Jan</v>
      </c>
      <c r="T652" t="str">
        <f>INDEX(Lookups!$B$39:$B$45,MATCH(H652,Lookups!$A$39:$A$45,0))</f>
        <v>Sun</v>
      </c>
      <c r="U652" t="str">
        <f t="shared" si="133"/>
        <v>Weekend</v>
      </c>
      <c r="V652" t="str">
        <f t="shared" si="134"/>
        <v>Non-Working Day</v>
      </c>
      <c r="W652" t="str">
        <f t="shared" si="135"/>
        <v>Spring</v>
      </c>
      <c r="X652" t="str">
        <f t="shared" si="136"/>
        <v>Cloudy/Mist</v>
      </c>
      <c r="Y652" t="str">
        <f t="shared" si="137"/>
        <v>Morning</v>
      </c>
      <c r="Z652" t="str">
        <f t="shared" si="138"/>
        <v>Cold</v>
      </c>
      <c r="AA652" t="str">
        <f t="shared" si="139"/>
        <v>High</v>
      </c>
      <c r="AB652" t="str">
        <f t="shared" si="140"/>
        <v>Off-Peak</v>
      </c>
      <c r="AC652" s="63">
        <f t="shared" si="141"/>
        <v>0.109375</v>
      </c>
      <c r="AD652" t="str">
        <f>IF(P652&gt;=Stats!$C$30,"High",IF(P652&lt;=Stats!$C$29,"Low","Normal"))</f>
        <v>Normal</v>
      </c>
      <c r="AE652">
        <f t="shared" si="142"/>
        <v>1</v>
      </c>
    </row>
    <row r="653" spans="1:31" x14ac:dyDescent="0.2">
      <c r="A653">
        <f>Dataset_3!A43</f>
        <v>652</v>
      </c>
      <c r="B653" s="61">
        <f>Dataset_3!B43</f>
        <v>40573</v>
      </c>
      <c r="C653">
        <f>Dataset_3!C43</f>
        <v>1</v>
      </c>
      <c r="D653">
        <f>Dataset_3!D43</f>
        <v>0</v>
      </c>
      <c r="E653">
        <f>Dataset_3!E43</f>
        <v>1</v>
      </c>
      <c r="F653">
        <f>Dataset_3!F43</f>
        <v>11</v>
      </c>
      <c r="G653" t="b">
        <f>Dataset_3!G43</f>
        <v>0</v>
      </c>
      <c r="H653">
        <f>Dataset_3!H43</f>
        <v>0</v>
      </c>
      <c r="I653">
        <f>Dataset_3!I43</f>
        <v>1</v>
      </c>
      <c r="J653" s="55">
        <f>Dataset_3!J43</f>
        <v>0.22</v>
      </c>
      <c r="K653">
        <f>Dataset_3!K43</f>
        <v>0.2727</v>
      </c>
      <c r="L653">
        <f>Dataset_3!L43</f>
        <v>0.75</v>
      </c>
      <c r="M653">
        <f>Dataset_3!M43</f>
        <v>0</v>
      </c>
      <c r="N653">
        <f>Dataset_3!N43</f>
        <v>9</v>
      </c>
      <c r="O653">
        <f>Dataset_3!O43</f>
        <v>50</v>
      </c>
      <c r="P653">
        <f>Dataset_3!P43</f>
        <v>59</v>
      </c>
      <c r="Q653" t="str">
        <f t="shared" si="130"/>
        <v>REC-0652</v>
      </c>
      <c r="R653" s="62">
        <f t="shared" si="131"/>
        <v>40573.458333333336</v>
      </c>
      <c r="S653" t="str">
        <f t="shared" si="132"/>
        <v>Jan</v>
      </c>
      <c r="T653" t="str">
        <f>INDEX(Lookups!$B$39:$B$45,MATCH(H653,Lookups!$A$39:$A$45,0))</f>
        <v>Sun</v>
      </c>
      <c r="U653" t="str">
        <f t="shared" si="133"/>
        <v>Weekend</v>
      </c>
      <c r="V653" t="str">
        <f t="shared" si="134"/>
        <v>Non-Working Day</v>
      </c>
      <c r="W653" t="str">
        <f t="shared" si="135"/>
        <v>Spring</v>
      </c>
      <c r="X653" t="str">
        <f t="shared" si="136"/>
        <v>Clear</v>
      </c>
      <c r="Y653" t="str">
        <f t="shared" si="137"/>
        <v>Morning</v>
      </c>
      <c r="Z653" t="str">
        <f t="shared" si="138"/>
        <v>Mild</v>
      </c>
      <c r="AA653" t="str">
        <f t="shared" si="139"/>
        <v>High</v>
      </c>
      <c r="AB653" t="str">
        <f t="shared" si="140"/>
        <v>Off-Peak</v>
      </c>
      <c r="AC653" s="63">
        <f t="shared" si="141"/>
        <v>0.15254237288135594</v>
      </c>
      <c r="AD653" t="str">
        <f>IF(P653&gt;=Stats!$C$30,"High",IF(P653&lt;=Stats!$C$29,"Low","Normal"))</f>
        <v>Normal</v>
      </c>
      <c r="AE653">
        <f t="shared" si="142"/>
        <v>1</v>
      </c>
    </row>
    <row r="654" spans="1:31" x14ac:dyDescent="0.2">
      <c r="A654">
        <f>Dataset_3!A44</f>
        <v>653</v>
      </c>
      <c r="B654" s="61">
        <f>Dataset_3!B44</f>
        <v>40573</v>
      </c>
      <c r="C654">
        <f>Dataset_3!C44</f>
        <v>1</v>
      </c>
      <c r="D654">
        <f>Dataset_3!D44</f>
        <v>0</v>
      </c>
      <c r="E654">
        <f>Dataset_3!E44</f>
        <v>1</v>
      </c>
      <c r="F654">
        <f>Dataset_3!F44</f>
        <v>12</v>
      </c>
      <c r="G654" t="b">
        <f>Dataset_3!G44</f>
        <v>0</v>
      </c>
      <c r="H654">
        <f>Dataset_3!H44</f>
        <v>0</v>
      </c>
      <c r="I654">
        <f>Dataset_3!I44</f>
        <v>1</v>
      </c>
      <c r="J654" s="55">
        <f>Dataset_3!J44</f>
        <v>0.3</v>
      </c>
      <c r="K654">
        <f>Dataset_3!K44</f>
        <v>0.31819999999999998</v>
      </c>
      <c r="L654">
        <f>Dataset_3!L44</f>
        <v>0.52</v>
      </c>
      <c r="M654">
        <f>Dataset_3!M44</f>
        <v>0.1045</v>
      </c>
      <c r="N654">
        <f>Dataset_3!N44</f>
        <v>10</v>
      </c>
      <c r="O654">
        <f>Dataset_3!O44</f>
        <v>87</v>
      </c>
      <c r="P654">
        <f>Dataset_3!P44</f>
        <v>97</v>
      </c>
      <c r="Q654" t="str">
        <f t="shared" si="130"/>
        <v>REC-0653</v>
      </c>
      <c r="R654" s="62">
        <f t="shared" si="131"/>
        <v>40573.5</v>
      </c>
      <c r="S654" t="str">
        <f t="shared" si="132"/>
        <v>Jan</v>
      </c>
      <c r="T654" t="str">
        <f>INDEX(Lookups!$B$39:$B$45,MATCH(H654,Lookups!$A$39:$A$45,0))</f>
        <v>Sun</v>
      </c>
      <c r="U654" t="str">
        <f t="shared" si="133"/>
        <v>Weekend</v>
      </c>
      <c r="V654" t="str">
        <f t="shared" si="134"/>
        <v>Non-Working Day</v>
      </c>
      <c r="W654" t="str">
        <f t="shared" si="135"/>
        <v>Spring</v>
      </c>
      <c r="X654" t="str">
        <f t="shared" si="136"/>
        <v>Clear</v>
      </c>
      <c r="Y654" t="str">
        <f t="shared" si="137"/>
        <v>Afternoon</v>
      </c>
      <c r="Z654" t="str">
        <f t="shared" si="138"/>
        <v>Warm</v>
      </c>
      <c r="AA654" t="str">
        <f t="shared" si="139"/>
        <v>Medium</v>
      </c>
      <c r="AB654" t="str">
        <f t="shared" si="140"/>
        <v>Off-Peak</v>
      </c>
      <c r="AC654" s="63">
        <f t="shared" si="141"/>
        <v>0.10309278350515463</v>
      </c>
      <c r="AD654" t="str">
        <f>IF(P654&gt;=Stats!$C$30,"High",IF(P654&lt;=Stats!$C$29,"Low","Normal"))</f>
        <v>High</v>
      </c>
      <c r="AE654">
        <f t="shared" si="142"/>
        <v>1</v>
      </c>
    </row>
    <row r="655" spans="1:31" x14ac:dyDescent="0.2">
      <c r="A655">
        <f>Dataset_3!A45</f>
        <v>654</v>
      </c>
      <c r="B655" s="61">
        <f>Dataset_3!B45</f>
        <v>40573</v>
      </c>
      <c r="C655">
        <f>Dataset_3!C45</f>
        <v>1</v>
      </c>
      <c r="D655">
        <f>Dataset_3!D45</f>
        <v>0</v>
      </c>
      <c r="E655">
        <f>Dataset_3!E45</f>
        <v>1</v>
      </c>
      <c r="F655">
        <f>Dataset_3!F45</f>
        <v>13</v>
      </c>
      <c r="G655" t="b">
        <f>Dataset_3!G45</f>
        <v>0</v>
      </c>
      <c r="H655">
        <f>Dataset_3!H45</f>
        <v>0</v>
      </c>
      <c r="I655">
        <f>Dataset_3!I45</f>
        <v>1</v>
      </c>
      <c r="J655" s="55">
        <f>Dataset_3!J45</f>
        <v>0.28000000000000003</v>
      </c>
      <c r="K655">
        <f>Dataset_3!K45</f>
        <v>0.28789999999999999</v>
      </c>
      <c r="L655">
        <f>Dataset_3!L45</f>
        <v>0.61</v>
      </c>
      <c r="M655">
        <f>Dataset_3!M45</f>
        <v>0.1045</v>
      </c>
      <c r="N655">
        <f>Dataset_3!N45</f>
        <v>13</v>
      </c>
      <c r="O655">
        <f>Dataset_3!O45</f>
        <v>71</v>
      </c>
      <c r="P655">
        <f>Dataset_3!P45</f>
        <v>84</v>
      </c>
      <c r="Q655" t="str">
        <f t="shared" si="130"/>
        <v>REC-0654</v>
      </c>
      <c r="R655" s="62">
        <f t="shared" si="131"/>
        <v>40573.541666666664</v>
      </c>
      <c r="S655" t="str">
        <f t="shared" si="132"/>
        <v>Jan</v>
      </c>
      <c r="T655" t="str">
        <f>INDEX(Lookups!$B$39:$B$45,MATCH(H655,Lookups!$A$39:$A$45,0))</f>
        <v>Sun</v>
      </c>
      <c r="U655" t="str">
        <f t="shared" si="133"/>
        <v>Weekend</v>
      </c>
      <c r="V655" t="str">
        <f t="shared" si="134"/>
        <v>Non-Working Day</v>
      </c>
      <c r="W655" t="str">
        <f t="shared" si="135"/>
        <v>Spring</v>
      </c>
      <c r="X655" t="str">
        <f t="shared" si="136"/>
        <v>Clear</v>
      </c>
      <c r="Y655" t="str">
        <f t="shared" si="137"/>
        <v>Afternoon</v>
      </c>
      <c r="Z655" t="str">
        <f t="shared" si="138"/>
        <v>Mild</v>
      </c>
      <c r="AA655" t="str">
        <f t="shared" si="139"/>
        <v>Medium</v>
      </c>
      <c r="AB655" t="str">
        <f t="shared" si="140"/>
        <v>Off-Peak</v>
      </c>
      <c r="AC655" s="63">
        <f t="shared" si="141"/>
        <v>0.15476190476190477</v>
      </c>
      <c r="AD655" t="str">
        <f>IF(P655&gt;=Stats!$C$30,"High",IF(P655&lt;=Stats!$C$29,"Low","Normal"))</f>
        <v>High</v>
      </c>
      <c r="AE655">
        <f t="shared" si="142"/>
        <v>1</v>
      </c>
    </row>
    <row r="656" spans="1:31" x14ac:dyDescent="0.2">
      <c r="A656">
        <f>Dataset_3!A46</f>
        <v>655</v>
      </c>
      <c r="B656" s="61">
        <f>Dataset_3!B46</f>
        <v>40573</v>
      </c>
      <c r="C656">
        <f>Dataset_3!C46</f>
        <v>1</v>
      </c>
      <c r="D656">
        <f>Dataset_3!D46</f>
        <v>0</v>
      </c>
      <c r="E656">
        <f>Dataset_3!E46</f>
        <v>1</v>
      </c>
      <c r="F656">
        <f>Dataset_3!F46</f>
        <v>14</v>
      </c>
      <c r="G656" t="b">
        <f>Dataset_3!G46</f>
        <v>0</v>
      </c>
      <c r="H656">
        <f>Dataset_3!H46</f>
        <v>0</v>
      </c>
      <c r="I656">
        <f>Dataset_3!I46</f>
        <v>1</v>
      </c>
      <c r="J656" s="55">
        <f>Dataset_3!J46</f>
        <v>0.28000000000000003</v>
      </c>
      <c r="K656">
        <f>Dataset_3!K46</f>
        <v>0.30299999999999999</v>
      </c>
      <c r="L656">
        <f>Dataset_3!L46</f>
        <v>0.61</v>
      </c>
      <c r="M656">
        <f>Dataset_3!M46</f>
        <v>8.9599999999999999E-2</v>
      </c>
      <c r="N656">
        <f>Dataset_3!N46</f>
        <v>18</v>
      </c>
      <c r="O656">
        <f>Dataset_3!O46</f>
        <v>104</v>
      </c>
      <c r="P656">
        <f>Dataset_3!P46</f>
        <v>122</v>
      </c>
      <c r="Q656" t="str">
        <f t="shared" si="130"/>
        <v>REC-0655</v>
      </c>
      <c r="R656" s="62">
        <f t="shared" si="131"/>
        <v>40573.583333333336</v>
      </c>
      <c r="S656" t="str">
        <f t="shared" si="132"/>
        <v>Jan</v>
      </c>
      <c r="T656" t="str">
        <f>INDEX(Lookups!$B$39:$B$45,MATCH(H656,Lookups!$A$39:$A$45,0))</f>
        <v>Sun</v>
      </c>
      <c r="U656" t="str">
        <f t="shared" si="133"/>
        <v>Weekend</v>
      </c>
      <c r="V656" t="str">
        <f t="shared" si="134"/>
        <v>Non-Working Day</v>
      </c>
      <c r="W656" t="str">
        <f t="shared" si="135"/>
        <v>Spring</v>
      </c>
      <c r="X656" t="str">
        <f t="shared" si="136"/>
        <v>Clear</v>
      </c>
      <c r="Y656" t="str">
        <f t="shared" si="137"/>
        <v>Afternoon</v>
      </c>
      <c r="Z656" t="str">
        <f t="shared" si="138"/>
        <v>Mild</v>
      </c>
      <c r="AA656" t="str">
        <f t="shared" si="139"/>
        <v>Medium</v>
      </c>
      <c r="AB656" t="str">
        <f t="shared" si="140"/>
        <v>Off-Peak</v>
      </c>
      <c r="AC656" s="63">
        <f t="shared" si="141"/>
        <v>0.14754098360655737</v>
      </c>
      <c r="AD656" t="str">
        <f>IF(P656&gt;=Stats!$C$30,"High",IF(P656&lt;=Stats!$C$29,"Low","Normal"))</f>
        <v>High</v>
      </c>
      <c r="AE656">
        <f t="shared" si="142"/>
        <v>1</v>
      </c>
    </row>
    <row r="657" spans="1:31" x14ac:dyDescent="0.2">
      <c r="A657">
        <f>Dataset_3!A47</f>
        <v>656</v>
      </c>
      <c r="B657" s="61">
        <f>Dataset_3!B47</f>
        <v>40573</v>
      </c>
      <c r="C657">
        <f>Dataset_3!C47</f>
        <v>1</v>
      </c>
      <c r="D657">
        <f>Dataset_3!D47</f>
        <v>0</v>
      </c>
      <c r="E657">
        <f>Dataset_3!E47</f>
        <v>1</v>
      </c>
      <c r="F657">
        <f>Dataset_3!F47</f>
        <v>15</v>
      </c>
      <c r="G657" t="b">
        <f>Dataset_3!G47</f>
        <v>0</v>
      </c>
      <c r="H657">
        <f>Dataset_3!H47</f>
        <v>0</v>
      </c>
      <c r="I657">
        <f>Dataset_3!I47</f>
        <v>1</v>
      </c>
      <c r="J657" s="55">
        <f>Dataset_3!J47</f>
        <v>0.3</v>
      </c>
      <c r="K657">
        <f>Dataset_3!K47</f>
        <v>0.33329999999999999</v>
      </c>
      <c r="L657">
        <f>Dataset_3!L47</f>
        <v>0.56000000000000005</v>
      </c>
      <c r="M657">
        <f>Dataset_3!M47</f>
        <v>0</v>
      </c>
      <c r="N657">
        <f>Dataset_3!N47</f>
        <v>14</v>
      </c>
      <c r="O657">
        <f>Dataset_3!O47</f>
        <v>95</v>
      </c>
      <c r="P657">
        <f>Dataset_3!P47</f>
        <v>109</v>
      </c>
      <c r="Q657" t="str">
        <f t="shared" si="130"/>
        <v>REC-0656</v>
      </c>
      <c r="R657" s="62">
        <f t="shared" si="131"/>
        <v>40573.625</v>
      </c>
      <c r="S657" t="str">
        <f t="shared" si="132"/>
        <v>Jan</v>
      </c>
      <c r="T657" t="str">
        <f>INDEX(Lookups!$B$39:$B$45,MATCH(H657,Lookups!$A$39:$A$45,0))</f>
        <v>Sun</v>
      </c>
      <c r="U657" t="str">
        <f t="shared" si="133"/>
        <v>Weekend</v>
      </c>
      <c r="V657" t="str">
        <f t="shared" si="134"/>
        <v>Non-Working Day</v>
      </c>
      <c r="W657" t="str">
        <f t="shared" si="135"/>
        <v>Spring</v>
      </c>
      <c r="X657" t="str">
        <f t="shared" si="136"/>
        <v>Clear</v>
      </c>
      <c r="Y657" t="str">
        <f t="shared" si="137"/>
        <v>Afternoon</v>
      </c>
      <c r="Z657" t="str">
        <f t="shared" si="138"/>
        <v>Warm</v>
      </c>
      <c r="AA657" t="str">
        <f t="shared" si="139"/>
        <v>Medium</v>
      </c>
      <c r="AB657" t="str">
        <f t="shared" si="140"/>
        <v>Off-Peak</v>
      </c>
      <c r="AC657" s="63">
        <f t="shared" si="141"/>
        <v>0.12844036697247707</v>
      </c>
      <c r="AD657" t="str">
        <f>IF(P657&gt;=Stats!$C$30,"High",IF(P657&lt;=Stats!$C$29,"Low","Normal"))</f>
        <v>High</v>
      </c>
      <c r="AE657">
        <f t="shared" si="142"/>
        <v>1</v>
      </c>
    </row>
    <row r="658" spans="1:31" x14ac:dyDescent="0.2">
      <c r="A658">
        <f>Dataset_3!A48</f>
        <v>657</v>
      </c>
      <c r="B658" s="61">
        <f>Dataset_3!B48</f>
        <v>40573</v>
      </c>
      <c r="C658">
        <f>Dataset_3!C48</f>
        <v>1</v>
      </c>
      <c r="D658">
        <f>Dataset_3!D48</f>
        <v>0</v>
      </c>
      <c r="E658">
        <f>Dataset_3!E48</f>
        <v>1</v>
      </c>
      <c r="F658">
        <f>Dataset_3!F48</f>
        <v>16</v>
      </c>
      <c r="G658" t="b">
        <f>Dataset_3!G48</f>
        <v>0</v>
      </c>
      <c r="H658">
        <f>Dataset_3!H48</f>
        <v>0</v>
      </c>
      <c r="I658">
        <f>Dataset_3!I48</f>
        <v>1</v>
      </c>
      <c r="J658" s="55">
        <f>Dataset_3!J48</f>
        <v>0.3</v>
      </c>
      <c r="K658">
        <f>Dataset_3!K48</f>
        <v>0.33329999999999999</v>
      </c>
      <c r="L658">
        <f>Dataset_3!L48</f>
        <v>0.56000000000000005</v>
      </c>
      <c r="M658">
        <f>Dataset_3!M48</f>
        <v>0</v>
      </c>
      <c r="N658">
        <f>Dataset_3!N48</f>
        <v>19</v>
      </c>
      <c r="O658">
        <f>Dataset_3!O48</f>
        <v>104</v>
      </c>
      <c r="P658">
        <f>Dataset_3!P48</f>
        <v>123</v>
      </c>
      <c r="Q658" t="str">
        <f t="shared" si="130"/>
        <v>REC-0657</v>
      </c>
      <c r="R658" s="62">
        <f t="shared" si="131"/>
        <v>40573.666666666664</v>
      </c>
      <c r="S658" t="str">
        <f t="shared" si="132"/>
        <v>Jan</v>
      </c>
      <c r="T658" t="str">
        <f>INDEX(Lookups!$B$39:$B$45,MATCH(H658,Lookups!$A$39:$A$45,0))</f>
        <v>Sun</v>
      </c>
      <c r="U658" t="str">
        <f t="shared" si="133"/>
        <v>Weekend</v>
      </c>
      <c r="V658" t="str">
        <f t="shared" si="134"/>
        <v>Non-Working Day</v>
      </c>
      <c r="W658" t="str">
        <f t="shared" si="135"/>
        <v>Spring</v>
      </c>
      <c r="X658" t="str">
        <f t="shared" si="136"/>
        <v>Clear</v>
      </c>
      <c r="Y658" t="str">
        <f t="shared" si="137"/>
        <v>Afternoon</v>
      </c>
      <c r="Z658" t="str">
        <f t="shared" si="138"/>
        <v>Warm</v>
      </c>
      <c r="AA658" t="str">
        <f t="shared" si="139"/>
        <v>Medium</v>
      </c>
      <c r="AB658" t="str">
        <f t="shared" si="140"/>
        <v>Off-Peak</v>
      </c>
      <c r="AC658" s="63">
        <f t="shared" si="141"/>
        <v>0.15447154471544716</v>
      </c>
      <c r="AD658" t="str">
        <f>IF(P658&gt;=Stats!$C$30,"High",IF(P658&lt;=Stats!$C$29,"Low","Normal"))</f>
        <v>High</v>
      </c>
      <c r="AE658">
        <f t="shared" si="142"/>
        <v>1</v>
      </c>
    </row>
    <row r="659" spans="1:31" x14ac:dyDescent="0.2">
      <c r="A659">
        <f>Dataset_3!A49</f>
        <v>658</v>
      </c>
      <c r="B659" s="61">
        <f>Dataset_3!B49</f>
        <v>40573</v>
      </c>
      <c r="C659">
        <f>Dataset_3!C49</f>
        <v>1</v>
      </c>
      <c r="D659">
        <f>Dataset_3!D49</f>
        <v>0</v>
      </c>
      <c r="E659">
        <f>Dataset_3!E49</f>
        <v>1</v>
      </c>
      <c r="F659">
        <f>Dataset_3!F49</f>
        <v>17</v>
      </c>
      <c r="G659" t="b">
        <f>Dataset_3!G49</f>
        <v>0</v>
      </c>
      <c r="H659">
        <f>Dataset_3!H49</f>
        <v>0</v>
      </c>
      <c r="I659">
        <f>Dataset_3!I49</f>
        <v>1</v>
      </c>
      <c r="J659" s="55">
        <f>Dataset_3!J49</f>
        <v>0.3</v>
      </c>
      <c r="K659">
        <f>Dataset_3!K49</f>
        <v>0.28789999999999999</v>
      </c>
      <c r="L659">
        <f>Dataset_3!L49</f>
        <v>0.56000000000000005</v>
      </c>
      <c r="M659">
        <f>Dataset_3!M49</f>
        <v>0.19400000000000001</v>
      </c>
      <c r="N659">
        <f>Dataset_3!N49</f>
        <v>6</v>
      </c>
      <c r="O659">
        <f>Dataset_3!O49</f>
        <v>71</v>
      </c>
      <c r="P659">
        <f>Dataset_3!P49</f>
        <v>77</v>
      </c>
      <c r="Q659" t="str">
        <f t="shared" si="130"/>
        <v>REC-0658</v>
      </c>
      <c r="R659" s="62">
        <f t="shared" si="131"/>
        <v>40573.708333333336</v>
      </c>
      <c r="S659" t="str">
        <f t="shared" si="132"/>
        <v>Jan</v>
      </c>
      <c r="T659" t="str">
        <f>INDEX(Lookups!$B$39:$B$45,MATCH(H659,Lookups!$A$39:$A$45,0))</f>
        <v>Sun</v>
      </c>
      <c r="U659" t="str">
        <f t="shared" si="133"/>
        <v>Weekend</v>
      </c>
      <c r="V659" t="str">
        <f t="shared" si="134"/>
        <v>Non-Working Day</v>
      </c>
      <c r="W659" t="str">
        <f t="shared" si="135"/>
        <v>Spring</v>
      </c>
      <c r="X659" t="str">
        <f t="shared" si="136"/>
        <v>Clear</v>
      </c>
      <c r="Y659" t="str">
        <f t="shared" si="137"/>
        <v>Evening</v>
      </c>
      <c r="Z659" t="str">
        <f t="shared" si="138"/>
        <v>Warm</v>
      </c>
      <c r="AA659" t="str">
        <f t="shared" si="139"/>
        <v>Medium</v>
      </c>
      <c r="AB659" t="str">
        <f t="shared" si="140"/>
        <v>Off-Peak</v>
      </c>
      <c r="AC659" s="63">
        <f t="shared" si="141"/>
        <v>7.792207792207792E-2</v>
      </c>
      <c r="AD659" t="str">
        <f>IF(P659&gt;=Stats!$C$30,"High",IF(P659&lt;=Stats!$C$29,"Low","Normal"))</f>
        <v>Normal</v>
      </c>
      <c r="AE659">
        <f t="shared" si="142"/>
        <v>1</v>
      </c>
    </row>
    <row r="660" spans="1:31" x14ac:dyDescent="0.2">
      <c r="A660">
        <f>Dataset_3!A50</f>
        <v>659</v>
      </c>
      <c r="B660" s="61">
        <f>Dataset_3!B50</f>
        <v>40573</v>
      </c>
      <c r="C660">
        <f>Dataset_3!C50</f>
        <v>1</v>
      </c>
      <c r="D660">
        <f>Dataset_3!D50</f>
        <v>0</v>
      </c>
      <c r="E660">
        <f>Dataset_3!E50</f>
        <v>1</v>
      </c>
      <c r="F660">
        <f>Dataset_3!F50</f>
        <v>18</v>
      </c>
      <c r="G660" t="b">
        <f>Dataset_3!G50</f>
        <v>0</v>
      </c>
      <c r="H660">
        <f>Dataset_3!H50</f>
        <v>0</v>
      </c>
      <c r="I660">
        <f>Dataset_3!I50</f>
        <v>1</v>
      </c>
      <c r="J660" s="55">
        <f>Dataset_3!J50</f>
        <v>0.26</v>
      </c>
      <c r="K660">
        <f>Dataset_3!K50</f>
        <v>0.2576</v>
      </c>
      <c r="L660">
        <f>Dataset_3!L50</f>
        <v>0.65</v>
      </c>
      <c r="M660">
        <f>Dataset_3!M50</f>
        <v>0.16420000000000001</v>
      </c>
      <c r="N660">
        <f>Dataset_3!N50</f>
        <v>8</v>
      </c>
      <c r="O660">
        <f>Dataset_3!O50</f>
        <v>57</v>
      </c>
      <c r="P660">
        <f>Dataset_3!P50</f>
        <v>65</v>
      </c>
      <c r="Q660" t="str">
        <f t="shared" si="130"/>
        <v>REC-0659</v>
      </c>
      <c r="R660" s="62">
        <f t="shared" si="131"/>
        <v>40573.75</v>
      </c>
      <c r="S660" t="str">
        <f t="shared" si="132"/>
        <v>Jan</v>
      </c>
      <c r="T660" t="str">
        <f>INDEX(Lookups!$B$39:$B$45,MATCH(H660,Lookups!$A$39:$A$45,0))</f>
        <v>Sun</v>
      </c>
      <c r="U660" t="str">
        <f t="shared" si="133"/>
        <v>Weekend</v>
      </c>
      <c r="V660" t="str">
        <f t="shared" si="134"/>
        <v>Non-Working Day</v>
      </c>
      <c r="W660" t="str">
        <f t="shared" si="135"/>
        <v>Spring</v>
      </c>
      <c r="X660" t="str">
        <f t="shared" si="136"/>
        <v>Clear</v>
      </c>
      <c r="Y660" t="str">
        <f t="shared" si="137"/>
        <v>Evening</v>
      </c>
      <c r="Z660" t="str">
        <f t="shared" si="138"/>
        <v>Mild</v>
      </c>
      <c r="AA660" t="str">
        <f t="shared" si="139"/>
        <v>Medium</v>
      </c>
      <c r="AB660" t="str">
        <f t="shared" si="140"/>
        <v>Off-Peak</v>
      </c>
      <c r="AC660" s="63">
        <f t="shared" si="141"/>
        <v>0.12307692307692308</v>
      </c>
      <c r="AD660" t="str">
        <f>IF(P660&gt;=Stats!$C$30,"High",IF(P660&lt;=Stats!$C$29,"Low","Normal"))</f>
        <v>Normal</v>
      </c>
      <c r="AE660">
        <f t="shared" si="142"/>
        <v>1</v>
      </c>
    </row>
    <row r="661" spans="1:31" x14ac:dyDescent="0.2">
      <c r="A661">
        <f>Dataset_3!A51</f>
        <v>660</v>
      </c>
      <c r="B661" s="61">
        <f>Dataset_3!B51</f>
        <v>40573</v>
      </c>
      <c r="C661">
        <f>Dataset_3!C51</f>
        <v>1</v>
      </c>
      <c r="D661">
        <f>Dataset_3!D51</f>
        <v>0</v>
      </c>
      <c r="E661">
        <f>Dataset_3!E51</f>
        <v>1</v>
      </c>
      <c r="F661">
        <f>Dataset_3!F51</f>
        <v>19</v>
      </c>
      <c r="G661" t="b">
        <f>Dataset_3!G51</f>
        <v>0</v>
      </c>
      <c r="H661">
        <f>Dataset_3!H51</f>
        <v>0</v>
      </c>
      <c r="I661">
        <f>Dataset_3!I51</f>
        <v>1</v>
      </c>
      <c r="J661" s="55">
        <f>Dataset_3!J51</f>
        <v>0.26</v>
      </c>
      <c r="K661">
        <f>Dataset_3!K51</f>
        <v>0.2576</v>
      </c>
      <c r="L661">
        <f>Dataset_3!L51</f>
        <v>0.65</v>
      </c>
      <c r="M661">
        <f>Dataset_3!M51</f>
        <v>0.19400000000000001</v>
      </c>
      <c r="N661">
        <f>Dataset_3!N51</f>
        <v>9</v>
      </c>
      <c r="O661">
        <f>Dataset_3!O51</f>
        <v>46</v>
      </c>
      <c r="P661">
        <f>Dataset_3!P51</f>
        <v>55</v>
      </c>
      <c r="Q661" t="str">
        <f t="shared" si="130"/>
        <v>REC-0660</v>
      </c>
      <c r="R661" s="62">
        <f t="shared" si="131"/>
        <v>40573.791666666664</v>
      </c>
      <c r="S661" t="str">
        <f t="shared" si="132"/>
        <v>Jan</v>
      </c>
      <c r="T661" t="str">
        <f>INDEX(Lookups!$B$39:$B$45,MATCH(H661,Lookups!$A$39:$A$45,0))</f>
        <v>Sun</v>
      </c>
      <c r="U661" t="str">
        <f t="shared" si="133"/>
        <v>Weekend</v>
      </c>
      <c r="V661" t="str">
        <f t="shared" si="134"/>
        <v>Non-Working Day</v>
      </c>
      <c r="W661" t="str">
        <f t="shared" si="135"/>
        <v>Spring</v>
      </c>
      <c r="X661" t="str">
        <f t="shared" si="136"/>
        <v>Clear</v>
      </c>
      <c r="Y661" t="str">
        <f t="shared" si="137"/>
        <v>Evening</v>
      </c>
      <c r="Z661" t="str">
        <f t="shared" si="138"/>
        <v>Mild</v>
      </c>
      <c r="AA661" t="str">
        <f t="shared" si="139"/>
        <v>Medium</v>
      </c>
      <c r="AB661" t="str">
        <f t="shared" si="140"/>
        <v>Off-Peak</v>
      </c>
      <c r="AC661" s="63">
        <f t="shared" si="141"/>
        <v>0.16363636363636364</v>
      </c>
      <c r="AD661" t="str">
        <f>IF(P661&gt;=Stats!$C$30,"High",IF(P661&lt;=Stats!$C$29,"Low","Normal"))</f>
        <v>Normal</v>
      </c>
      <c r="AE661">
        <f t="shared" si="142"/>
        <v>1</v>
      </c>
    </row>
    <row r="662" spans="1:31" x14ac:dyDescent="0.2">
      <c r="A662">
        <f>Dataset_3!A52</f>
        <v>661</v>
      </c>
      <c r="B662" s="61">
        <f>Dataset_3!B52</f>
        <v>40573</v>
      </c>
      <c r="C662">
        <f>Dataset_3!C52</f>
        <v>1</v>
      </c>
      <c r="D662">
        <f>Dataset_3!D52</f>
        <v>0</v>
      </c>
      <c r="E662">
        <f>Dataset_3!E52</f>
        <v>1</v>
      </c>
      <c r="F662">
        <f>Dataset_3!F52</f>
        <v>20</v>
      </c>
      <c r="G662" t="b">
        <f>Dataset_3!G52</f>
        <v>0</v>
      </c>
      <c r="H662">
        <f>Dataset_3!H52</f>
        <v>0</v>
      </c>
      <c r="I662">
        <f>Dataset_3!I52</f>
        <v>2</v>
      </c>
      <c r="J662" s="55">
        <f>Dataset_3!J52</f>
        <v>0.26</v>
      </c>
      <c r="K662">
        <f>Dataset_3!K52</f>
        <v>0.2727</v>
      </c>
      <c r="L662">
        <f>Dataset_3!L52</f>
        <v>0.65</v>
      </c>
      <c r="M662">
        <f>Dataset_3!M52</f>
        <v>0.1045</v>
      </c>
      <c r="N662">
        <f>Dataset_3!N52</f>
        <v>3</v>
      </c>
      <c r="O662">
        <f>Dataset_3!O52</f>
        <v>30</v>
      </c>
      <c r="P662">
        <f>Dataset_3!P52</f>
        <v>33</v>
      </c>
      <c r="Q662" t="str">
        <f t="shared" si="130"/>
        <v>REC-0661</v>
      </c>
      <c r="R662" s="62">
        <f t="shared" si="131"/>
        <v>40573.833333333336</v>
      </c>
      <c r="S662" t="str">
        <f t="shared" si="132"/>
        <v>Jan</v>
      </c>
      <c r="T662" t="str">
        <f>INDEX(Lookups!$B$39:$B$45,MATCH(H662,Lookups!$A$39:$A$45,0))</f>
        <v>Sun</v>
      </c>
      <c r="U662" t="str">
        <f t="shared" si="133"/>
        <v>Weekend</v>
      </c>
      <c r="V662" t="str">
        <f t="shared" si="134"/>
        <v>Non-Working Day</v>
      </c>
      <c r="W662" t="str">
        <f t="shared" si="135"/>
        <v>Spring</v>
      </c>
      <c r="X662" t="str">
        <f t="shared" si="136"/>
        <v>Cloudy/Mist</v>
      </c>
      <c r="Y662" t="str">
        <f t="shared" si="137"/>
        <v>Evening</v>
      </c>
      <c r="Z662" t="str">
        <f t="shared" si="138"/>
        <v>Mild</v>
      </c>
      <c r="AA662" t="str">
        <f t="shared" si="139"/>
        <v>Medium</v>
      </c>
      <c r="AB662" t="str">
        <f t="shared" si="140"/>
        <v>Off-Peak</v>
      </c>
      <c r="AC662" s="63">
        <f t="shared" si="141"/>
        <v>9.0909090909090912E-2</v>
      </c>
      <c r="AD662" t="str">
        <f>IF(P662&gt;=Stats!$C$30,"High",IF(P662&lt;=Stats!$C$29,"Low","Normal"))</f>
        <v>Normal</v>
      </c>
      <c r="AE662">
        <f t="shared" si="142"/>
        <v>1</v>
      </c>
    </row>
    <row r="663" spans="1:31" x14ac:dyDescent="0.2">
      <c r="A663">
        <f>Dataset_3!A53</f>
        <v>662</v>
      </c>
      <c r="B663" s="61">
        <f>Dataset_3!B53</f>
        <v>40573</v>
      </c>
      <c r="C663">
        <f>Dataset_3!C53</f>
        <v>1</v>
      </c>
      <c r="D663">
        <f>Dataset_3!D53</f>
        <v>0</v>
      </c>
      <c r="E663">
        <f>Dataset_3!E53</f>
        <v>1</v>
      </c>
      <c r="F663">
        <f>Dataset_3!F53</f>
        <v>21</v>
      </c>
      <c r="G663" t="b">
        <f>Dataset_3!G53</f>
        <v>0</v>
      </c>
      <c r="H663">
        <f>Dataset_3!H53</f>
        <v>0</v>
      </c>
      <c r="I663">
        <f>Dataset_3!I53</f>
        <v>2</v>
      </c>
      <c r="J663" s="55">
        <f>Dataset_3!J53</f>
        <v>0.24</v>
      </c>
      <c r="K663">
        <f>Dataset_3!K53</f>
        <v>0.2424</v>
      </c>
      <c r="L663">
        <f>Dataset_3!L53</f>
        <v>0.7</v>
      </c>
      <c r="M663">
        <f>Dataset_3!M53</f>
        <v>0.16420000000000001</v>
      </c>
      <c r="N663">
        <f>Dataset_3!N53</f>
        <v>3</v>
      </c>
      <c r="O663">
        <f>Dataset_3!O53</f>
        <v>25</v>
      </c>
      <c r="P663">
        <f>Dataset_3!P53</f>
        <v>28</v>
      </c>
      <c r="Q663" t="str">
        <f t="shared" si="130"/>
        <v>REC-0662</v>
      </c>
      <c r="R663" s="62">
        <f t="shared" si="131"/>
        <v>40573.875</v>
      </c>
      <c r="S663" t="str">
        <f t="shared" si="132"/>
        <v>Jan</v>
      </c>
      <c r="T663" t="str">
        <f>INDEX(Lookups!$B$39:$B$45,MATCH(H663,Lookups!$A$39:$A$45,0))</f>
        <v>Sun</v>
      </c>
      <c r="U663" t="str">
        <f t="shared" si="133"/>
        <v>Weekend</v>
      </c>
      <c r="V663" t="str">
        <f t="shared" si="134"/>
        <v>Non-Working Day</v>
      </c>
      <c r="W663" t="str">
        <f t="shared" si="135"/>
        <v>Spring</v>
      </c>
      <c r="X663" t="str">
        <f t="shared" si="136"/>
        <v>Cloudy/Mist</v>
      </c>
      <c r="Y663" t="str">
        <f t="shared" si="137"/>
        <v>Late Evening</v>
      </c>
      <c r="Z663" t="str">
        <f t="shared" si="138"/>
        <v>Mild</v>
      </c>
      <c r="AA663" t="str">
        <f t="shared" si="139"/>
        <v>Medium</v>
      </c>
      <c r="AB663" t="str">
        <f t="shared" si="140"/>
        <v>Off-Peak</v>
      </c>
      <c r="AC663" s="63">
        <f t="shared" si="141"/>
        <v>0.10714285714285714</v>
      </c>
      <c r="AD663" t="str">
        <f>IF(P663&gt;=Stats!$C$30,"High",IF(P663&lt;=Stats!$C$29,"Low","Normal"))</f>
        <v>Normal</v>
      </c>
      <c r="AE663">
        <f t="shared" si="142"/>
        <v>1</v>
      </c>
    </row>
    <row r="664" spans="1:31" x14ac:dyDescent="0.2">
      <c r="A664">
        <f>Dataset_3!A54</f>
        <v>663</v>
      </c>
      <c r="B664" s="61">
        <f>Dataset_3!B54</f>
        <v>40573</v>
      </c>
      <c r="C664">
        <f>Dataset_3!C54</f>
        <v>1</v>
      </c>
      <c r="D664">
        <f>Dataset_3!D54</f>
        <v>0</v>
      </c>
      <c r="E664">
        <f>Dataset_3!E54</f>
        <v>1</v>
      </c>
      <c r="F664">
        <f>Dataset_3!F54</f>
        <v>22</v>
      </c>
      <c r="G664" t="b">
        <f>Dataset_3!G54</f>
        <v>0</v>
      </c>
      <c r="H664">
        <f>Dataset_3!H54</f>
        <v>0</v>
      </c>
      <c r="I664">
        <f>Dataset_3!I54</f>
        <v>2</v>
      </c>
      <c r="J664" s="55">
        <f>Dataset_3!J54</f>
        <v>0.24</v>
      </c>
      <c r="K664">
        <f>Dataset_3!K54</f>
        <v>0.2273</v>
      </c>
      <c r="L664">
        <f>Dataset_3!L54</f>
        <v>0.7</v>
      </c>
      <c r="M664">
        <f>Dataset_3!M54</f>
        <v>0.19400000000000001</v>
      </c>
      <c r="N664">
        <f>Dataset_3!N54</f>
        <v>2</v>
      </c>
      <c r="O664">
        <f>Dataset_3!O54</f>
        <v>19</v>
      </c>
      <c r="P664">
        <f>Dataset_3!P54</f>
        <v>21</v>
      </c>
      <c r="Q664" t="str">
        <f t="shared" si="130"/>
        <v>REC-0663</v>
      </c>
      <c r="R664" s="62">
        <f t="shared" si="131"/>
        <v>40573.916666666664</v>
      </c>
      <c r="S664" t="str">
        <f t="shared" si="132"/>
        <v>Jan</v>
      </c>
      <c r="T664" t="str">
        <f>INDEX(Lookups!$B$39:$B$45,MATCH(H664,Lookups!$A$39:$A$45,0))</f>
        <v>Sun</v>
      </c>
      <c r="U664" t="str">
        <f t="shared" si="133"/>
        <v>Weekend</v>
      </c>
      <c r="V664" t="str">
        <f t="shared" si="134"/>
        <v>Non-Working Day</v>
      </c>
      <c r="W664" t="str">
        <f t="shared" si="135"/>
        <v>Spring</v>
      </c>
      <c r="X664" t="str">
        <f t="shared" si="136"/>
        <v>Cloudy/Mist</v>
      </c>
      <c r="Y664" t="str">
        <f t="shared" si="137"/>
        <v>Late Evening</v>
      </c>
      <c r="Z664" t="str">
        <f t="shared" si="138"/>
        <v>Mild</v>
      </c>
      <c r="AA664" t="str">
        <f t="shared" si="139"/>
        <v>Medium</v>
      </c>
      <c r="AB664" t="str">
        <f t="shared" si="140"/>
        <v>Off-Peak</v>
      </c>
      <c r="AC664" s="63">
        <f t="shared" si="141"/>
        <v>9.5238095238095233E-2</v>
      </c>
      <c r="AD664" t="str">
        <f>IF(P664&gt;=Stats!$C$30,"High",IF(P664&lt;=Stats!$C$29,"Low","Normal"))</f>
        <v>Normal</v>
      </c>
      <c r="AE664">
        <f t="shared" si="142"/>
        <v>1</v>
      </c>
    </row>
    <row r="665" spans="1:31" x14ac:dyDescent="0.2">
      <c r="A665">
        <f>Dataset_3!A55</f>
        <v>664</v>
      </c>
      <c r="B665" s="61">
        <f>Dataset_3!B55</f>
        <v>40573</v>
      </c>
      <c r="C665">
        <f>Dataset_3!C55</f>
        <v>1</v>
      </c>
      <c r="D665">
        <f>Dataset_3!D55</f>
        <v>0</v>
      </c>
      <c r="E665">
        <f>Dataset_3!E55</f>
        <v>1</v>
      </c>
      <c r="F665">
        <f>Dataset_3!F55</f>
        <v>23</v>
      </c>
      <c r="G665" t="b">
        <f>Dataset_3!G55</f>
        <v>0</v>
      </c>
      <c r="H665">
        <f>Dataset_3!H55</f>
        <v>0</v>
      </c>
      <c r="I665">
        <f>Dataset_3!I55</f>
        <v>2</v>
      </c>
      <c r="J665" s="55">
        <f>Dataset_3!J55</f>
        <v>0.24</v>
      </c>
      <c r="K665">
        <f>Dataset_3!K55</f>
        <v>0.21210000000000001</v>
      </c>
      <c r="L665">
        <f>Dataset_3!L55</f>
        <v>0.65</v>
      </c>
      <c r="M665">
        <f>Dataset_3!M55</f>
        <v>0.28360000000000002</v>
      </c>
      <c r="N665">
        <f>Dataset_3!N55</f>
        <v>5</v>
      </c>
      <c r="O665">
        <f>Dataset_3!O55</f>
        <v>16</v>
      </c>
      <c r="P665">
        <f>Dataset_3!P55</f>
        <v>21</v>
      </c>
      <c r="Q665" t="str">
        <f t="shared" si="130"/>
        <v>REC-0664</v>
      </c>
      <c r="R665" s="62">
        <f t="shared" si="131"/>
        <v>40573.958333333336</v>
      </c>
      <c r="S665" t="str">
        <f t="shared" si="132"/>
        <v>Jan</v>
      </c>
      <c r="T665" t="str">
        <f>INDEX(Lookups!$B$39:$B$45,MATCH(H665,Lookups!$A$39:$A$45,0))</f>
        <v>Sun</v>
      </c>
      <c r="U665" t="str">
        <f t="shared" si="133"/>
        <v>Weekend</v>
      </c>
      <c r="V665" t="str">
        <f t="shared" si="134"/>
        <v>Non-Working Day</v>
      </c>
      <c r="W665" t="str">
        <f t="shared" si="135"/>
        <v>Spring</v>
      </c>
      <c r="X665" t="str">
        <f t="shared" si="136"/>
        <v>Cloudy/Mist</v>
      </c>
      <c r="Y665" t="str">
        <f t="shared" si="137"/>
        <v>Late Evening</v>
      </c>
      <c r="Z665" t="str">
        <f t="shared" si="138"/>
        <v>Mild</v>
      </c>
      <c r="AA665" t="str">
        <f t="shared" si="139"/>
        <v>Medium</v>
      </c>
      <c r="AB665" t="str">
        <f t="shared" si="140"/>
        <v>Off-Peak</v>
      </c>
      <c r="AC665" s="63">
        <f t="shared" si="141"/>
        <v>0.23809523809523808</v>
      </c>
      <c r="AD665" t="str">
        <f>IF(P665&gt;=Stats!$C$30,"High",IF(P665&lt;=Stats!$C$29,"Low","Normal"))</f>
        <v>Normal</v>
      </c>
      <c r="AE665">
        <f t="shared" si="142"/>
        <v>1</v>
      </c>
    </row>
    <row r="666" spans="1:31" x14ac:dyDescent="0.2">
      <c r="A666">
        <f>Dataset_3!A56</f>
        <v>665</v>
      </c>
      <c r="B666" s="61">
        <f>Dataset_3!B56</f>
        <v>40574</v>
      </c>
      <c r="C666">
        <f>Dataset_3!C56</f>
        <v>1</v>
      </c>
      <c r="D666">
        <f>Dataset_3!D56</f>
        <v>0</v>
      </c>
      <c r="E666">
        <f>Dataset_3!E56</f>
        <v>1</v>
      </c>
      <c r="F666">
        <f>Dataset_3!F56</f>
        <v>0</v>
      </c>
      <c r="G666" t="b">
        <f>Dataset_3!G56</f>
        <v>0</v>
      </c>
      <c r="H666">
        <f>Dataset_3!H56</f>
        <v>1</v>
      </c>
      <c r="I666">
        <f>Dataset_3!I56</f>
        <v>2</v>
      </c>
      <c r="J666" s="55">
        <f>Dataset_3!J56</f>
        <v>0.24</v>
      </c>
      <c r="K666">
        <f>Dataset_3!K56</f>
        <v>0.2273</v>
      </c>
      <c r="L666">
        <f>Dataset_3!L56</f>
        <v>0.65</v>
      </c>
      <c r="M666">
        <f>Dataset_3!M56</f>
        <v>0.22389999999999999</v>
      </c>
      <c r="N666">
        <f>Dataset_3!N56</f>
        <v>1</v>
      </c>
      <c r="O666">
        <f>Dataset_3!O56</f>
        <v>6</v>
      </c>
      <c r="P666">
        <f>Dataset_3!P56</f>
        <v>7</v>
      </c>
      <c r="Q666" t="str">
        <f t="shared" si="130"/>
        <v>REC-0665</v>
      </c>
      <c r="R666" s="62">
        <f t="shared" si="131"/>
        <v>40574</v>
      </c>
      <c r="S666" t="str">
        <f t="shared" si="132"/>
        <v>Jan</v>
      </c>
      <c r="T666" t="str">
        <f>INDEX(Lookups!$B$39:$B$45,MATCH(H666,Lookups!$A$39:$A$45,0))</f>
        <v>Mon</v>
      </c>
      <c r="U666" t="str">
        <f t="shared" si="133"/>
        <v>Weekday</v>
      </c>
      <c r="V666" t="str">
        <f t="shared" si="134"/>
        <v>Working Day</v>
      </c>
      <c r="W666" t="str">
        <f t="shared" si="135"/>
        <v>Spring</v>
      </c>
      <c r="X666" t="str">
        <f t="shared" si="136"/>
        <v>Cloudy/Mist</v>
      </c>
      <c r="Y666" t="str">
        <f t="shared" si="137"/>
        <v>Night</v>
      </c>
      <c r="Z666" t="str">
        <f t="shared" si="138"/>
        <v>Mild</v>
      </c>
      <c r="AA666" t="str">
        <f t="shared" si="139"/>
        <v>Medium</v>
      </c>
      <c r="AB666" t="str">
        <f t="shared" si="140"/>
        <v>Off-Peak</v>
      </c>
      <c r="AC666" s="63">
        <f t="shared" si="141"/>
        <v>0.14285714285714285</v>
      </c>
      <c r="AD666" t="str">
        <f>IF(P666&gt;=Stats!$C$30,"High",IF(P666&lt;=Stats!$C$29,"Low","Normal"))</f>
        <v>Low</v>
      </c>
      <c r="AE666">
        <f t="shared" si="142"/>
        <v>1</v>
      </c>
    </row>
    <row r="667" spans="1:31" x14ac:dyDescent="0.2">
      <c r="A667">
        <f>Dataset_3!A57</f>
        <v>666</v>
      </c>
      <c r="B667" s="61">
        <f>Dataset_3!B57</f>
        <v>40574</v>
      </c>
      <c r="C667">
        <f>Dataset_3!C57</f>
        <v>1</v>
      </c>
      <c r="D667">
        <f>Dataset_3!D57</f>
        <v>0</v>
      </c>
      <c r="E667">
        <f>Dataset_3!E57</f>
        <v>1</v>
      </c>
      <c r="F667">
        <f>Dataset_3!F57</f>
        <v>1</v>
      </c>
      <c r="G667" t="b">
        <f>Dataset_3!G57</f>
        <v>0</v>
      </c>
      <c r="H667">
        <f>Dataset_3!H57</f>
        <v>1</v>
      </c>
      <c r="I667">
        <f>Dataset_3!I57</f>
        <v>1</v>
      </c>
      <c r="J667" s="55">
        <f>Dataset_3!J57</f>
        <v>0.22</v>
      </c>
      <c r="K667">
        <f>Dataset_3!K57</f>
        <v>0.21210000000000001</v>
      </c>
      <c r="L667">
        <f>Dataset_3!L57</f>
        <v>0.64</v>
      </c>
      <c r="M667">
        <f>Dataset_3!M57</f>
        <v>0.25369999999999998</v>
      </c>
      <c r="N667">
        <f>Dataset_3!N57</f>
        <v>2</v>
      </c>
      <c r="O667">
        <f>Dataset_3!O57</f>
        <v>5</v>
      </c>
      <c r="P667">
        <f>Dataset_3!P57</f>
        <v>7</v>
      </c>
      <c r="Q667" t="str">
        <f t="shared" si="130"/>
        <v>REC-0666</v>
      </c>
      <c r="R667" s="62">
        <f t="shared" si="131"/>
        <v>40574.041666666664</v>
      </c>
      <c r="S667" t="str">
        <f t="shared" si="132"/>
        <v>Jan</v>
      </c>
      <c r="T667" t="str">
        <f>INDEX(Lookups!$B$39:$B$45,MATCH(H667,Lookups!$A$39:$A$45,0))</f>
        <v>Mon</v>
      </c>
      <c r="U667" t="str">
        <f t="shared" si="133"/>
        <v>Weekday</v>
      </c>
      <c r="V667" t="str">
        <f t="shared" si="134"/>
        <v>Working Day</v>
      </c>
      <c r="W667" t="str">
        <f t="shared" si="135"/>
        <v>Spring</v>
      </c>
      <c r="X667" t="str">
        <f t="shared" si="136"/>
        <v>Clear</v>
      </c>
      <c r="Y667" t="str">
        <f t="shared" si="137"/>
        <v>Night</v>
      </c>
      <c r="Z667" t="str">
        <f t="shared" si="138"/>
        <v>Mild</v>
      </c>
      <c r="AA667" t="str">
        <f t="shared" si="139"/>
        <v>Medium</v>
      </c>
      <c r="AB667" t="str">
        <f t="shared" si="140"/>
        <v>Off-Peak</v>
      </c>
      <c r="AC667" s="63">
        <f t="shared" si="141"/>
        <v>0.2857142857142857</v>
      </c>
      <c r="AD667" t="str">
        <f>IF(P667&gt;=Stats!$C$30,"High",IF(P667&lt;=Stats!$C$29,"Low","Normal"))</f>
        <v>Low</v>
      </c>
      <c r="AE667">
        <f t="shared" si="142"/>
        <v>1</v>
      </c>
    </row>
    <row r="668" spans="1:31" x14ac:dyDescent="0.2">
      <c r="A668">
        <f>Dataset_3!A58</f>
        <v>667</v>
      </c>
      <c r="B668" s="61">
        <f>Dataset_3!B58</f>
        <v>40574</v>
      </c>
      <c r="C668">
        <f>Dataset_3!C58</f>
        <v>1</v>
      </c>
      <c r="D668">
        <f>Dataset_3!D58</f>
        <v>0</v>
      </c>
      <c r="E668">
        <f>Dataset_3!E58</f>
        <v>1</v>
      </c>
      <c r="F668">
        <f>Dataset_3!F58</f>
        <v>2</v>
      </c>
      <c r="G668" t="b">
        <f>Dataset_3!G58</f>
        <v>0</v>
      </c>
      <c r="H668">
        <f>Dataset_3!H58</f>
        <v>1</v>
      </c>
      <c r="I668">
        <f>Dataset_3!I58</f>
        <v>1</v>
      </c>
      <c r="J668" s="55">
        <f>Dataset_3!J58</f>
        <v>0.22</v>
      </c>
      <c r="K668">
        <f>Dataset_3!K58</f>
        <v>0.2273</v>
      </c>
      <c r="L668">
        <f>Dataset_3!L58</f>
        <v>0.64</v>
      </c>
      <c r="M668">
        <f>Dataset_3!M58</f>
        <v>0.19400000000000001</v>
      </c>
      <c r="N668">
        <f>Dataset_3!N58</f>
        <v>0</v>
      </c>
      <c r="O668">
        <f>Dataset_3!O58</f>
        <v>1</v>
      </c>
      <c r="P668">
        <f>Dataset_3!P58</f>
        <v>1</v>
      </c>
      <c r="Q668" t="str">
        <f t="shared" si="130"/>
        <v>REC-0667</v>
      </c>
      <c r="R668" s="62">
        <f t="shared" si="131"/>
        <v>40574.083333333336</v>
      </c>
      <c r="S668" t="str">
        <f t="shared" si="132"/>
        <v>Jan</v>
      </c>
      <c r="T668" t="str">
        <f>INDEX(Lookups!$B$39:$B$45,MATCH(H668,Lookups!$A$39:$A$45,0))</f>
        <v>Mon</v>
      </c>
      <c r="U668" t="str">
        <f t="shared" si="133"/>
        <v>Weekday</v>
      </c>
      <c r="V668" t="str">
        <f t="shared" si="134"/>
        <v>Working Day</v>
      </c>
      <c r="W668" t="str">
        <f t="shared" si="135"/>
        <v>Spring</v>
      </c>
      <c r="X668" t="str">
        <f t="shared" si="136"/>
        <v>Clear</v>
      </c>
      <c r="Y668" t="str">
        <f t="shared" si="137"/>
        <v>Night</v>
      </c>
      <c r="Z668" t="str">
        <f t="shared" si="138"/>
        <v>Mild</v>
      </c>
      <c r="AA668" t="str">
        <f t="shared" si="139"/>
        <v>Medium</v>
      </c>
      <c r="AB668" t="str">
        <f t="shared" si="140"/>
        <v>Off-Peak</v>
      </c>
      <c r="AC668" s="63">
        <f t="shared" si="141"/>
        <v>0</v>
      </c>
      <c r="AD668" t="str">
        <f>IF(P668&gt;=Stats!$C$30,"High",IF(P668&lt;=Stats!$C$29,"Low","Normal"))</f>
        <v>Low</v>
      </c>
      <c r="AE668">
        <f t="shared" si="142"/>
        <v>1</v>
      </c>
    </row>
    <row r="669" spans="1:31" x14ac:dyDescent="0.2">
      <c r="A669">
        <f>Dataset_3!A59</f>
        <v>668</v>
      </c>
      <c r="B669" s="61">
        <f>Dataset_3!B59</f>
        <v>40574</v>
      </c>
      <c r="C669">
        <f>Dataset_3!C59</f>
        <v>1</v>
      </c>
      <c r="D669">
        <f>Dataset_3!D59</f>
        <v>0</v>
      </c>
      <c r="E669">
        <f>Dataset_3!E59</f>
        <v>1</v>
      </c>
      <c r="F669">
        <f>Dataset_3!F59</f>
        <v>3</v>
      </c>
      <c r="G669" t="b">
        <f>Dataset_3!G59</f>
        <v>0</v>
      </c>
      <c r="H669">
        <f>Dataset_3!H59</f>
        <v>1</v>
      </c>
      <c r="I669">
        <f>Dataset_3!I59</f>
        <v>1</v>
      </c>
      <c r="J669" s="55">
        <f>Dataset_3!J59</f>
        <v>0.22</v>
      </c>
      <c r="K669">
        <f>Dataset_3!K59</f>
        <v>0.2273</v>
      </c>
      <c r="L669">
        <f>Dataset_3!L59</f>
        <v>0.64</v>
      </c>
      <c r="M669">
        <f>Dataset_3!M59</f>
        <v>0.19400000000000001</v>
      </c>
      <c r="N669">
        <f>Dataset_3!N59</f>
        <v>0</v>
      </c>
      <c r="O669">
        <f>Dataset_3!O59</f>
        <v>2</v>
      </c>
      <c r="P669">
        <f>Dataset_3!P59</f>
        <v>2</v>
      </c>
      <c r="Q669" t="str">
        <f t="shared" si="130"/>
        <v>REC-0668</v>
      </c>
      <c r="R669" s="62">
        <f t="shared" si="131"/>
        <v>40574.125</v>
      </c>
      <c r="S669" t="str">
        <f t="shared" si="132"/>
        <v>Jan</v>
      </c>
      <c r="T669" t="str">
        <f>INDEX(Lookups!$B$39:$B$45,MATCH(H669,Lookups!$A$39:$A$45,0))</f>
        <v>Mon</v>
      </c>
      <c r="U669" t="str">
        <f t="shared" si="133"/>
        <v>Weekday</v>
      </c>
      <c r="V669" t="str">
        <f t="shared" si="134"/>
        <v>Working Day</v>
      </c>
      <c r="W669" t="str">
        <f t="shared" si="135"/>
        <v>Spring</v>
      </c>
      <c r="X669" t="str">
        <f t="shared" si="136"/>
        <v>Clear</v>
      </c>
      <c r="Y669" t="str">
        <f t="shared" si="137"/>
        <v>Night</v>
      </c>
      <c r="Z669" t="str">
        <f t="shared" si="138"/>
        <v>Mild</v>
      </c>
      <c r="AA669" t="str">
        <f t="shared" si="139"/>
        <v>Medium</v>
      </c>
      <c r="AB669" t="str">
        <f t="shared" si="140"/>
        <v>Off-Peak</v>
      </c>
      <c r="AC669" s="63">
        <f t="shared" si="141"/>
        <v>0</v>
      </c>
      <c r="AD669" t="str">
        <f>IF(P669&gt;=Stats!$C$30,"High",IF(P669&lt;=Stats!$C$29,"Low","Normal"))</f>
        <v>Low</v>
      </c>
      <c r="AE669">
        <f t="shared" si="142"/>
        <v>1</v>
      </c>
    </row>
    <row r="670" spans="1:31" x14ac:dyDescent="0.2">
      <c r="A670">
        <f>Dataset_3!A60</f>
        <v>669</v>
      </c>
      <c r="B670" s="61">
        <f>Dataset_3!B60</f>
        <v>40574</v>
      </c>
      <c r="C670">
        <f>Dataset_3!C60</f>
        <v>1</v>
      </c>
      <c r="D670">
        <f>Dataset_3!D60</f>
        <v>0</v>
      </c>
      <c r="E670">
        <f>Dataset_3!E60</f>
        <v>1</v>
      </c>
      <c r="F670">
        <f>Dataset_3!F60</f>
        <v>4</v>
      </c>
      <c r="G670" t="b">
        <f>Dataset_3!G60</f>
        <v>0</v>
      </c>
      <c r="H670">
        <f>Dataset_3!H60</f>
        <v>1</v>
      </c>
      <c r="I670">
        <f>Dataset_3!I60</f>
        <v>1</v>
      </c>
      <c r="J670" s="55">
        <f>Dataset_3!J60</f>
        <v>0.2</v>
      </c>
      <c r="K670">
        <f>Dataset_3!K60</f>
        <v>0.19700000000000001</v>
      </c>
      <c r="L670">
        <f>Dataset_3!L60</f>
        <v>0.59</v>
      </c>
      <c r="M670">
        <f>Dataset_3!M60</f>
        <v>0.22389999999999999</v>
      </c>
      <c r="N670">
        <f>Dataset_3!N60</f>
        <v>0</v>
      </c>
      <c r="O670">
        <f>Dataset_3!O60</f>
        <v>2</v>
      </c>
      <c r="P670">
        <f>Dataset_3!P60</f>
        <v>2</v>
      </c>
      <c r="Q670" t="str">
        <f t="shared" si="130"/>
        <v>REC-0669</v>
      </c>
      <c r="R670" s="62">
        <f t="shared" si="131"/>
        <v>40574.166666666664</v>
      </c>
      <c r="S670" t="str">
        <f t="shared" si="132"/>
        <v>Jan</v>
      </c>
      <c r="T670" t="str">
        <f>INDEX(Lookups!$B$39:$B$45,MATCH(H670,Lookups!$A$39:$A$45,0))</f>
        <v>Mon</v>
      </c>
      <c r="U670" t="str">
        <f t="shared" si="133"/>
        <v>Weekday</v>
      </c>
      <c r="V670" t="str">
        <f t="shared" si="134"/>
        <v>Working Day</v>
      </c>
      <c r="W670" t="str">
        <f t="shared" si="135"/>
        <v>Spring</v>
      </c>
      <c r="X670" t="str">
        <f t="shared" si="136"/>
        <v>Clear</v>
      </c>
      <c r="Y670" t="str">
        <f t="shared" si="137"/>
        <v>Night</v>
      </c>
      <c r="Z670" t="str">
        <f t="shared" si="138"/>
        <v>Mild</v>
      </c>
      <c r="AA670" t="str">
        <f t="shared" si="139"/>
        <v>Medium</v>
      </c>
      <c r="AB670" t="str">
        <f t="shared" si="140"/>
        <v>Off-Peak</v>
      </c>
      <c r="AC670" s="63">
        <f t="shared" si="141"/>
        <v>0</v>
      </c>
      <c r="AD670" t="str">
        <f>IF(P670&gt;=Stats!$C$30,"High",IF(P670&lt;=Stats!$C$29,"Low","Normal"))</f>
        <v>Low</v>
      </c>
      <c r="AE670">
        <f t="shared" si="142"/>
        <v>1</v>
      </c>
    </row>
    <row r="671" spans="1:31" x14ac:dyDescent="0.2">
      <c r="A671">
        <f>Dataset_3!A61</f>
        <v>670</v>
      </c>
      <c r="B671" s="61">
        <f>Dataset_3!B61</f>
        <v>40574</v>
      </c>
      <c r="C671">
        <f>Dataset_3!C61</f>
        <v>1</v>
      </c>
      <c r="D671">
        <f>Dataset_3!D61</f>
        <v>0</v>
      </c>
      <c r="E671">
        <f>Dataset_3!E61</f>
        <v>1</v>
      </c>
      <c r="F671">
        <f>Dataset_3!F61</f>
        <v>5</v>
      </c>
      <c r="G671" t="b">
        <f>Dataset_3!G61</f>
        <v>0</v>
      </c>
      <c r="H671">
        <f>Dataset_3!H61</f>
        <v>1</v>
      </c>
      <c r="I671">
        <f>Dataset_3!I61</f>
        <v>1</v>
      </c>
      <c r="J671" s="55">
        <f>Dataset_3!J61</f>
        <v>0.18</v>
      </c>
      <c r="K671">
        <f>Dataset_3!K61</f>
        <v>0.16669999999999999</v>
      </c>
      <c r="L671">
        <f>Dataset_3!L61</f>
        <v>0.64</v>
      </c>
      <c r="M671">
        <f>Dataset_3!M61</f>
        <v>0.28360000000000002</v>
      </c>
      <c r="N671">
        <f>Dataset_3!N61</f>
        <v>0</v>
      </c>
      <c r="O671">
        <f>Dataset_3!O61</f>
        <v>8</v>
      </c>
      <c r="P671">
        <f>Dataset_3!P61</f>
        <v>8</v>
      </c>
      <c r="Q671" t="str">
        <f t="shared" si="130"/>
        <v>REC-0670</v>
      </c>
      <c r="R671" s="62">
        <f t="shared" si="131"/>
        <v>40574.208333333336</v>
      </c>
      <c r="S671" t="str">
        <f t="shared" si="132"/>
        <v>Jan</v>
      </c>
      <c r="T671" t="str">
        <f>INDEX(Lookups!$B$39:$B$45,MATCH(H671,Lookups!$A$39:$A$45,0))</f>
        <v>Mon</v>
      </c>
      <c r="U671" t="str">
        <f t="shared" si="133"/>
        <v>Weekday</v>
      </c>
      <c r="V671" t="str">
        <f t="shared" si="134"/>
        <v>Working Day</v>
      </c>
      <c r="W671" t="str">
        <f t="shared" si="135"/>
        <v>Spring</v>
      </c>
      <c r="X671" t="str">
        <f t="shared" si="136"/>
        <v>Clear</v>
      </c>
      <c r="Y671" t="str">
        <f t="shared" si="137"/>
        <v>Night</v>
      </c>
      <c r="Z671" t="str">
        <f t="shared" si="138"/>
        <v>Cold</v>
      </c>
      <c r="AA671" t="str">
        <f t="shared" si="139"/>
        <v>Medium</v>
      </c>
      <c r="AB671" t="str">
        <f t="shared" si="140"/>
        <v>Off-Peak</v>
      </c>
      <c r="AC671" s="63">
        <f t="shared" si="141"/>
        <v>0</v>
      </c>
      <c r="AD671" t="str">
        <f>IF(P671&gt;=Stats!$C$30,"High",IF(P671&lt;=Stats!$C$29,"Low","Normal"))</f>
        <v>Low</v>
      </c>
      <c r="AE671">
        <f t="shared" si="142"/>
        <v>1</v>
      </c>
    </row>
    <row r="672" spans="1:31" x14ac:dyDescent="0.2">
      <c r="A672">
        <f>Dataset_3!A62</f>
        <v>671</v>
      </c>
      <c r="B672" s="61">
        <f>Dataset_3!B62</f>
        <v>40574</v>
      </c>
      <c r="C672">
        <f>Dataset_3!C62</f>
        <v>1</v>
      </c>
      <c r="D672">
        <f>Dataset_3!D62</f>
        <v>0</v>
      </c>
      <c r="E672">
        <f>Dataset_3!E62</f>
        <v>1</v>
      </c>
      <c r="F672">
        <f>Dataset_3!F62</f>
        <v>6</v>
      </c>
      <c r="G672" t="b">
        <f>Dataset_3!G62</f>
        <v>0</v>
      </c>
      <c r="H672">
        <f>Dataset_3!H62</f>
        <v>1</v>
      </c>
      <c r="I672">
        <f>Dataset_3!I62</f>
        <v>1</v>
      </c>
      <c r="J672" s="55">
        <f>Dataset_3!J62</f>
        <v>0.16</v>
      </c>
      <c r="K672">
        <f>Dataset_3!K62</f>
        <v>0.13639999999999999</v>
      </c>
      <c r="L672">
        <f>Dataset_3!L62</f>
        <v>0.69</v>
      </c>
      <c r="M672">
        <f>Dataset_3!M62</f>
        <v>0.32840000000000003</v>
      </c>
      <c r="N672">
        <f>Dataset_3!N62</f>
        <v>0</v>
      </c>
      <c r="O672">
        <f>Dataset_3!O62</f>
        <v>37</v>
      </c>
      <c r="P672">
        <f>Dataset_3!P62</f>
        <v>37</v>
      </c>
      <c r="Q672" t="str">
        <f t="shared" si="130"/>
        <v>REC-0671</v>
      </c>
      <c r="R672" s="62">
        <f t="shared" si="131"/>
        <v>40574.25</v>
      </c>
      <c r="S672" t="str">
        <f t="shared" si="132"/>
        <v>Jan</v>
      </c>
      <c r="T672" t="str">
        <f>INDEX(Lookups!$B$39:$B$45,MATCH(H672,Lookups!$A$39:$A$45,0))</f>
        <v>Mon</v>
      </c>
      <c r="U672" t="str">
        <f t="shared" si="133"/>
        <v>Weekday</v>
      </c>
      <c r="V672" t="str">
        <f t="shared" si="134"/>
        <v>Working Day</v>
      </c>
      <c r="W672" t="str">
        <f t="shared" si="135"/>
        <v>Spring</v>
      </c>
      <c r="X672" t="str">
        <f t="shared" si="136"/>
        <v>Clear</v>
      </c>
      <c r="Y672" t="str">
        <f t="shared" si="137"/>
        <v>Morning</v>
      </c>
      <c r="Z672" t="str">
        <f t="shared" si="138"/>
        <v>Cold</v>
      </c>
      <c r="AA672" t="str">
        <f t="shared" si="139"/>
        <v>Medium</v>
      </c>
      <c r="AB672" t="str">
        <f t="shared" si="140"/>
        <v>Off-Peak</v>
      </c>
      <c r="AC672" s="63">
        <f t="shared" si="141"/>
        <v>0</v>
      </c>
      <c r="AD672" t="str">
        <f>IF(P672&gt;=Stats!$C$30,"High",IF(P672&lt;=Stats!$C$29,"Low","Normal"))</f>
        <v>Normal</v>
      </c>
      <c r="AE672">
        <f t="shared" si="142"/>
        <v>1</v>
      </c>
    </row>
    <row r="673" spans="1:31" x14ac:dyDescent="0.2">
      <c r="A673">
        <f>Dataset_3!A63</f>
        <v>672</v>
      </c>
      <c r="B673" s="61">
        <f>Dataset_3!B63</f>
        <v>40574</v>
      </c>
      <c r="C673">
        <f>Dataset_3!C63</f>
        <v>1</v>
      </c>
      <c r="D673">
        <f>Dataset_3!D63</f>
        <v>0</v>
      </c>
      <c r="E673">
        <f>Dataset_3!E63</f>
        <v>1</v>
      </c>
      <c r="F673">
        <f>Dataset_3!F63</f>
        <v>7</v>
      </c>
      <c r="G673" t="b">
        <f>Dataset_3!G63</f>
        <v>0</v>
      </c>
      <c r="H673">
        <f>Dataset_3!H63</f>
        <v>1</v>
      </c>
      <c r="I673">
        <f>Dataset_3!I63</f>
        <v>2</v>
      </c>
      <c r="J673" s="55">
        <f>Dataset_3!J63</f>
        <v>0.16</v>
      </c>
      <c r="K673">
        <f>Dataset_3!K63</f>
        <v>0.13639999999999999</v>
      </c>
      <c r="L673">
        <f>Dataset_3!L63</f>
        <v>0.64</v>
      </c>
      <c r="M673">
        <f>Dataset_3!M63</f>
        <v>0.28360000000000002</v>
      </c>
      <c r="N673">
        <f>Dataset_3!N63</f>
        <v>1</v>
      </c>
      <c r="O673">
        <f>Dataset_3!O63</f>
        <v>71</v>
      </c>
      <c r="P673">
        <f>Dataset_3!P63</f>
        <v>72</v>
      </c>
      <c r="Q673" t="str">
        <f t="shared" si="130"/>
        <v>REC-0672</v>
      </c>
      <c r="R673" s="62">
        <f t="shared" si="131"/>
        <v>40574.291666666664</v>
      </c>
      <c r="S673" t="str">
        <f t="shared" si="132"/>
        <v>Jan</v>
      </c>
      <c r="T673" t="str">
        <f>INDEX(Lookups!$B$39:$B$45,MATCH(H673,Lookups!$A$39:$A$45,0))</f>
        <v>Mon</v>
      </c>
      <c r="U673" t="str">
        <f t="shared" si="133"/>
        <v>Weekday</v>
      </c>
      <c r="V673" t="str">
        <f t="shared" si="134"/>
        <v>Working Day</v>
      </c>
      <c r="W673" t="str">
        <f t="shared" si="135"/>
        <v>Spring</v>
      </c>
      <c r="X673" t="str">
        <f t="shared" si="136"/>
        <v>Cloudy/Mist</v>
      </c>
      <c r="Y673" t="str">
        <f t="shared" si="137"/>
        <v>Morning</v>
      </c>
      <c r="Z673" t="str">
        <f t="shared" si="138"/>
        <v>Cold</v>
      </c>
      <c r="AA673" t="str">
        <f t="shared" si="139"/>
        <v>Medium</v>
      </c>
      <c r="AB673" t="str">
        <f t="shared" si="140"/>
        <v>Peak</v>
      </c>
      <c r="AC673" s="63">
        <f t="shared" si="141"/>
        <v>1.3888888888888888E-2</v>
      </c>
      <c r="AD673" t="str">
        <f>IF(P673&gt;=Stats!$C$30,"High",IF(P673&lt;=Stats!$C$29,"Low","Normal"))</f>
        <v>Normal</v>
      </c>
      <c r="AE673">
        <f t="shared" si="142"/>
        <v>1</v>
      </c>
    </row>
    <row r="674" spans="1:31" x14ac:dyDescent="0.2">
      <c r="A674">
        <f>Dataset_3!A64</f>
        <v>673</v>
      </c>
      <c r="B674" s="61">
        <f>Dataset_3!B64</f>
        <v>40574</v>
      </c>
      <c r="C674">
        <f>Dataset_3!C64</f>
        <v>1</v>
      </c>
      <c r="D674">
        <f>Dataset_3!D64</f>
        <v>0</v>
      </c>
      <c r="E674">
        <f>Dataset_3!E64</f>
        <v>1</v>
      </c>
      <c r="F674">
        <f>Dataset_3!F64</f>
        <v>8</v>
      </c>
      <c r="G674" t="b">
        <f>Dataset_3!G64</f>
        <v>0</v>
      </c>
      <c r="H674">
        <f>Dataset_3!H64</f>
        <v>1</v>
      </c>
      <c r="I674">
        <f>Dataset_3!I64</f>
        <v>2</v>
      </c>
      <c r="J674" s="55">
        <f>Dataset_3!J64</f>
        <v>0.16</v>
      </c>
      <c r="K674">
        <f>Dataset_3!K64</f>
        <v>0.13639999999999999</v>
      </c>
      <c r="L674">
        <f>Dataset_3!L64</f>
        <v>0.59</v>
      </c>
      <c r="M674">
        <f>Dataset_3!M64</f>
        <v>0.28360000000000002</v>
      </c>
      <c r="N674">
        <f>Dataset_3!N64</f>
        <v>3</v>
      </c>
      <c r="O674">
        <f>Dataset_3!O64</f>
        <v>182</v>
      </c>
      <c r="P674">
        <f>Dataset_3!P64</f>
        <v>185</v>
      </c>
      <c r="Q674" t="str">
        <f t="shared" si="130"/>
        <v>REC-0673</v>
      </c>
      <c r="R674" s="62">
        <f t="shared" si="131"/>
        <v>40574.333333333336</v>
      </c>
      <c r="S674" t="str">
        <f t="shared" si="132"/>
        <v>Jan</v>
      </c>
      <c r="T674" t="str">
        <f>INDEX(Lookups!$B$39:$B$45,MATCH(H674,Lookups!$A$39:$A$45,0))</f>
        <v>Mon</v>
      </c>
      <c r="U674" t="str">
        <f t="shared" si="133"/>
        <v>Weekday</v>
      </c>
      <c r="V674" t="str">
        <f t="shared" si="134"/>
        <v>Working Day</v>
      </c>
      <c r="W674" t="str">
        <f t="shared" si="135"/>
        <v>Spring</v>
      </c>
      <c r="X674" t="str">
        <f t="shared" si="136"/>
        <v>Cloudy/Mist</v>
      </c>
      <c r="Y674" t="str">
        <f t="shared" si="137"/>
        <v>Morning</v>
      </c>
      <c r="Z674" t="str">
        <f t="shared" si="138"/>
        <v>Cold</v>
      </c>
      <c r="AA674" t="str">
        <f t="shared" si="139"/>
        <v>Medium</v>
      </c>
      <c r="AB674" t="str">
        <f t="shared" si="140"/>
        <v>Peak</v>
      </c>
      <c r="AC674" s="63">
        <f t="shared" si="141"/>
        <v>1.6216216216216217E-2</v>
      </c>
      <c r="AD674" t="str">
        <f>IF(P674&gt;=Stats!$C$30,"High",IF(P674&lt;=Stats!$C$29,"Low","Normal"))</f>
        <v>High</v>
      </c>
      <c r="AE674">
        <f t="shared" si="142"/>
        <v>1</v>
      </c>
    </row>
    <row r="675" spans="1:31" x14ac:dyDescent="0.2">
      <c r="A675">
        <f>Dataset_3!A65</f>
        <v>674</v>
      </c>
      <c r="B675" s="61">
        <f>Dataset_3!B65</f>
        <v>40574</v>
      </c>
      <c r="C675">
        <f>Dataset_3!C65</f>
        <v>1</v>
      </c>
      <c r="D675">
        <f>Dataset_3!D65</f>
        <v>0</v>
      </c>
      <c r="E675">
        <f>Dataset_3!E65</f>
        <v>1</v>
      </c>
      <c r="F675">
        <f>Dataset_3!F65</f>
        <v>9</v>
      </c>
      <c r="G675" t="b">
        <f>Dataset_3!G65</f>
        <v>0</v>
      </c>
      <c r="H675">
        <f>Dataset_3!H65</f>
        <v>1</v>
      </c>
      <c r="I675">
        <f>Dataset_3!I65</f>
        <v>2</v>
      </c>
      <c r="J675" s="55">
        <f>Dataset_3!J65</f>
        <v>0.16</v>
      </c>
      <c r="K675">
        <f>Dataset_3!K65</f>
        <v>0.13639999999999999</v>
      </c>
      <c r="L675">
        <f>Dataset_3!L65</f>
        <v>0.59</v>
      </c>
      <c r="M675">
        <f>Dataset_3!M65</f>
        <v>0.29849999999999999</v>
      </c>
      <c r="N675">
        <f>Dataset_3!N65</f>
        <v>0</v>
      </c>
      <c r="O675">
        <f>Dataset_3!O65</f>
        <v>112</v>
      </c>
      <c r="P675">
        <f>Dataset_3!P65</f>
        <v>112</v>
      </c>
      <c r="Q675" t="str">
        <f t="shared" si="130"/>
        <v>REC-0674</v>
      </c>
      <c r="R675" s="62">
        <f t="shared" si="131"/>
        <v>40574.375</v>
      </c>
      <c r="S675" t="str">
        <f t="shared" si="132"/>
        <v>Jan</v>
      </c>
      <c r="T675" t="str">
        <f>INDEX(Lookups!$B$39:$B$45,MATCH(H675,Lookups!$A$39:$A$45,0))</f>
        <v>Mon</v>
      </c>
      <c r="U675" t="str">
        <f t="shared" si="133"/>
        <v>Weekday</v>
      </c>
      <c r="V675" t="str">
        <f t="shared" si="134"/>
        <v>Working Day</v>
      </c>
      <c r="W675" t="str">
        <f t="shared" si="135"/>
        <v>Spring</v>
      </c>
      <c r="X675" t="str">
        <f t="shared" si="136"/>
        <v>Cloudy/Mist</v>
      </c>
      <c r="Y675" t="str">
        <f t="shared" si="137"/>
        <v>Morning</v>
      </c>
      <c r="Z675" t="str">
        <f t="shared" si="138"/>
        <v>Cold</v>
      </c>
      <c r="AA675" t="str">
        <f t="shared" si="139"/>
        <v>Medium</v>
      </c>
      <c r="AB675" t="str">
        <f t="shared" si="140"/>
        <v>Peak</v>
      </c>
      <c r="AC675" s="63">
        <f t="shared" si="141"/>
        <v>0</v>
      </c>
      <c r="AD675" t="str">
        <f>IF(P675&gt;=Stats!$C$30,"High",IF(P675&lt;=Stats!$C$29,"Low","Normal"))</f>
        <v>High</v>
      </c>
      <c r="AE675">
        <f t="shared" si="142"/>
        <v>1</v>
      </c>
    </row>
    <row r="676" spans="1:31" x14ac:dyDescent="0.2">
      <c r="A676">
        <f>Dataset_3!A66</f>
        <v>675</v>
      </c>
      <c r="B676" s="61">
        <f>Dataset_3!B66</f>
        <v>40574</v>
      </c>
      <c r="C676">
        <f>Dataset_3!C66</f>
        <v>1</v>
      </c>
      <c r="D676">
        <f>Dataset_3!D66</f>
        <v>0</v>
      </c>
      <c r="E676">
        <f>Dataset_3!E66</f>
        <v>1</v>
      </c>
      <c r="F676">
        <f>Dataset_3!F66</f>
        <v>10</v>
      </c>
      <c r="G676" t="b">
        <f>Dataset_3!G66</f>
        <v>0</v>
      </c>
      <c r="H676">
        <f>Dataset_3!H66</f>
        <v>1</v>
      </c>
      <c r="I676">
        <f>Dataset_3!I66</f>
        <v>2</v>
      </c>
      <c r="J676" s="55">
        <f>Dataset_3!J66</f>
        <v>0.16</v>
      </c>
      <c r="K676">
        <f>Dataset_3!K66</f>
        <v>0.1515</v>
      </c>
      <c r="L676">
        <f>Dataset_3!L66</f>
        <v>0.59</v>
      </c>
      <c r="M676">
        <f>Dataset_3!M66</f>
        <v>0.19400000000000001</v>
      </c>
      <c r="N676">
        <f>Dataset_3!N66</f>
        <v>1</v>
      </c>
      <c r="O676">
        <f>Dataset_3!O66</f>
        <v>68</v>
      </c>
      <c r="P676">
        <f>Dataset_3!P66</f>
        <v>69</v>
      </c>
      <c r="Q676" t="str">
        <f t="shared" si="130"/>
        <v>REC-0675</v>
      </c>
      <c r="R676" s="62">
        <f t="shared" si="131"/>
        <v>40574.416666666664</v>
      </c>
      <c r="S676" t="str">
        <f t="shared" si="132"/>
        <v>Jan</v>
      </c>
      <c r="T676" t="str">
        <f>INDEX(Lookups!$B$39:$B$45,MATCH(H676,Lookups!$A$39:$A$45,0))</f>
        <v>Mon</v>
      </c>
      <c r="U676" t="str">
        <f t="shared" si="133"/>
        <v>Weekday</v>
      </c>
      <c r="V676" t="str">
        <f t="shared" si="134"/>
        <v>Working Day</v>
      </c>
      <c r="W676" t="str">
        <f t="shared" si="135"/>
        <v>Spring</v>
      </c>
      <c r="X676" t="str">
        <f t="shared" si="136"/>
        <v>Cloudy/Mist</v>
      </c>
      <c r="Y676" t="str">
        <f t="shared" si="137"/>
        <v>Morning</v>
      </c>
      <c r="Z676" t="str">
        <f t="shared" si="138"/>
        <v>Cold</v>
      </c>
      <c r="AA676" t="str">
        <f t="shared" si="139"/>
        <v>Medium</v>
      </c>
      <c r="AB676" t="str">
        <f t="shared" si="140"/>
        <v>Off-Peak</v>
      </c>
      <c r="AC676" s="63">
        <f t="shared" si="141"/>
        <v>1.4492753623188406E-2</v>
      </c>
      <c r="AD676" t="str">
        <f>IF(P676&gt;=Stats!$C$30,"High",IF(P676&lt;=Stats!$C$29,"Low","Normal"))</f>
        <v>Normal</v>
      </c>
      <c r="AE676">
        <f t="shared" si="142"/>
        <v>1</v>
      </c>
    </row>
    <row r="677" spans="1:31" x14ac:dyDescent="0.2">
      <c r="A677">
        <f>Dataset_3!A67</f>
        <v>676</v>
      </c>
      <c r="B677" s="61">
        <f>Dataset_3!B67</f>
        <v>40574</v>
      </c>
      <c r="C677">
        <f>Dataset_3!C67</f>
        <v>1</v>
      </c>
      <c r="D677">
        <f>Dataset_3!D67</f>
        <v>0</v>
      </c>
      <c r="E677">
        <f>Dataset_3!E67</f>
        <v>1</v>
      </c>
      <c r="F677">
        <f>Dataset_3!F67</f>
        <v>11</v>
      </c>
      <c r="G677" t="b">
        <f>Dataset_3!G67</f>
        <v>0</v>
      </c>
      <c r="H677">
        <f>Dataset_3!H67</f>
        <v>1</v>
      </c>
      <c r="I677">
        <f>Dataset_3!I67</f>
        <v>2</v>
      </c>
      <c r="J677" s="55">
        <f>Dataset_3!J67</f>
        <v>0.16</v>
      </c>
      <c r="K677">
        <f>Dataset_3!K67</f>
        <v>0.1515</v>
      </c>
      <c r="L677">
        <f>Dataset_3!L67</f>
        <v>0.59</v>
      </c>
      <c r="M677">
        <f>Dataset_3!M67</f>
        <v>0.19400000000000001</v>
      </c>
      <c r="N677">
        <f>Dataset_3!N67</f>
        <v>2</v>
      </c>
      <c r="O677">
        <f>Dataset_3!O67</f>
        <v>46</v>
      </c>
      <c r="P677">
        <f>Dataset_3!P67</f>
        <v>48</v>
      </c>
      <c r="Q677" t="str">
        <f t="shared" si="130"/>
        <v>REC-0676</v>
      </c>
      <c r="R677" s="62">
        <f t="shared" si="131"/>
        <v>40574.458333333336</v>
      </c>
      <c r="S677" t="str">
        <f t="shared" si="132"/>
        <v>Jan</v>
      </c>
      <c r="T677" t="str">
        <f>INDEX(Lookups!$B$39:$B$45,MATCH(H677,Lookups!$A$39:$A$45,0))</f>
        <v>Mon</v>
      </c>
      <c r="U677" t="str">
        <f t="shared" si="133"/>
        <v>Weekday</v>
      </c>
      <c r="V677" t="str">
        <f t="shared" si="134"/>
        <v>Working Day</v>
      </c>
      <c r="W677" t="str">
        <f t="shared" si="135"/>
        <v>Spring</v>
      </c>
      <c r="X677" t="str">
        <f t="shared" si="136"/>
        <v>Cloudy/Mist</v>
      </c>
      <c r="Y677" t="str">
        <f t="shared" si="137"/>
        <v>Morning</v>
      </c>
      <c r="Z677" t="str">
        <f t="shared" si="138"/>
        <v>Cold</v>
      </c>
      <c r="AA677" t="str">
        <f t="shared" si="139"/>
        <v>Medium</v>
      </c>
      <c r="AB677" t="str">
        <f t="shared" si="140"/>
        <v>Off-Peak</v>
      </c>
      <c r="AC677" s="63">
        <f t="shared" si="141"/>
        <v>4.1666666666666664E-2</v>
      </c>
      <c r="AD677" t="str">
        <f>IF(P677&gt;=Stats!$C$30,"High",IF(P677&lt;=Stats!$C$29,"Low","Normal"))</f>
        <v>Normal</v>
      </c>
      <c r="AE677">
        <f t="shared" si="142"/>
        <v>1</v>
      </c>
    </row>
    <row r="678" spans="1:31" x14ac:dyDescent="0.2">
      <c r="A678">
        <f>Dataset_3!A68</f>
        <v>677</v>
      </c>
      <c r="B678" s="61">
        <f>Dataset_3!B68</f>
        <v>40574</v>
      </c>
      <c r="C678">
        <f>Dataset_3!C68</f>
        <v>1</v>
      </c>
      <c r="D678">
        <f>Dataset_3!D68</f>
        <v>0</v>
      </c>
      <c r="E678">
        <f>Dataset_3!E68</f>
        <v>1</v>
      </c>
      <c r="F678">
        <f>Dataset_3!F68</f>
        <v>12</v>
      </c>
      <c r="G678" t="b">
        <f>Dataset_3!G68</f>
        <v>0</v>
      </c>
      <c r="H678">
        <f>Dataset_3!H68</f>
        <v>1</v>
      </c>
      <c r="I678">
        <f>Dataset_3!I68</f>
        <v>2</v>
      </c>
      <c r="J678" s="55">
        <f>Dataset_3!J68</f>
        <v>0.18</v>
      </c>
      <c r="K678">
        <f>Dataset_3!K68</f>
        <v>0.21210000000000001</v>
      </c>
      <c r="L678">
        <f>Dataset_3!L68</f>
        <v>0.55000000000000004</v>
      </c>
      <c r="M678">
        <f>Dataset_3!M68</f>
        <v>0.1045</v>
      </c>
      <c r="N678">
        <f>Dataset_3!N68</f>
        <v>6</v>
      </c>
      <c r="O678">
        <f>Dataset_3!O68</f>
        <v>62</v>
      </c>
      <c r="P678">
        <f>Dataset_3!P68</f>
        <v>68</v>
      </c>
      <c r="Q678" t="str">
        <f t="shared" si="130"/>
        <v>REC-0677</v>
      </c>
      <c r="R678" s="62">
        <f t="shared" si="131"/>
        <v>40574.5</v>
      </c>
      <c r="S678" t="str">
        <f t="shared" si="132"/>
        <v>Jan</v>
      </c>
      <c r="T678" t="str">
        <f>INDEX(Lookups!$B$39:$B$45,MATCH(H678,Lookups!$A$39:$A$45,0))</f>
        <v>Mon</v>
      </c>
      <c r="U678" t="str">
        <f t="shared" si="133"/>
        <v>Weekday</v>
      </c>
      <c r="V678" t="str">
        <f t="shared" si="134"/>
        <v>Working Day</v>
      </c>
      <c r="W678" t="str">
        <f t="shared" si="135"/>
        <v>Spring</v>
      </c>
      <c r="X678" t="str">
        <f t="shared" si="136"/>
        <v>Cloudy/Mist</v>
      </c>
      <c r="Y678" t="str">
        <f t="shared" si="137"/>
        <v>Afternoon</v>
      </c>
      <c r="Z678" t="str">
        <f t="shared" si="138"/>
        <v>Cold</v>
      </c>
      <c r="AA678" t="str">
        <f t="shared" si="139"/>
        <v>Medium</v>
      </c>
      <c r="AB678" t="str">
        <f t="shared" si="140"/>
        <v>Off-Peak</v>
      </c>
      <c r="AC678" s="63">
        <f t="shared" si="141"/>
        <v>8.8235294117647065E-2</v>
      </c>
      <c r="AD678" t="str">
        <f>IF(P678&gt;=Stats!$C$30,"High",IF(P678&lt;=Stats!$C$29,"Low","Normal"))</f>
        <v>Normal</v>
      </c>
      <c r="AE678">
        <f t="shared" si="142"/>
        <v>1</v>
      </c>
    </row>
    <row r="679" spans="1:31" x14ac:dyDescent="0.2">
      <c r="A679">
        <f>Dataset_3!A69</f>
        <v>678</v>
      </c>
      <c r="B679" s="61">
        <f>Dataset_3!B69</f>
        <v>40574</v>
      </c>
      <c r="C679">
        <f>Dataset_3!C69</f>
        <v>1</v>
      </c>
      <c r="D679">
        <f>Dataset_3!D69</f>
        <v>0</v>
      </c>
      <c r="E679">
        <f>Dataset_3!E69</f>
        <v>1</v>
      </c>
      <c r="F679">
        <f>Dataset_3!F69</f>
        <v>13</v>
      </c>
      <c r="G679" t="b">
        <f>Dataset_3!G69</f>
        <v>0</v>
      </c>
      <c r="H679">
        <f>Dataset_3!H69</f>
        <v>1</v>
      </c>
      <c r="I679">
        <f>Dataset_3!I69</f>
        <v>2</v>
      </c>
      <c r="J679" s="55">
        <f>Dataset_3!J69</f>
        <v>0.16</v>
      </c>
      <c r="K679">
        <f>Dataset_3!K69</f>
        <v>0.2273</v>
      </c>
      <c r="L679">
        <f>Dataset_3!L69</f>
        <v>0.59</v>
      </c>
      <c r="M679">
        <f>Dataset_3!M69</f>
        <v>0</v>
      </c>
      <c r="N679">
        <f>Dataset_3!N69</f>
        <v>2</v>
      </c>
      <c r="O679">
        <f>Dataset_3!O69</f>
        <v>52</v>
      </c>
      <c r="P679">
        <f>Dataset_3!P69</f>
        <v>54</v>
      </c>
      <c r="Q679" t="str">
        <f t="shared" si="130"/>
        <v>REC-0678</v>
      </c>
      <c r="R679" s="62">
        <f t="shared" si="131"/>
        <v>40574.541666666664</v>
      </c>
      <c r="S679" t="str">
        <f t="shared" si="132"/>
        <v>Jan</v>
      </c>
      <c r="T679" t="str">
        <f>INDEX(Lookups!$B$39:$B$45,MATCH(H679,Lookups!$A$39:$A$45,0))</f>
        <v>Mon</v>
      </c>
      <c r="U679" t="str">
        <f t="shared" si="133"/>
        <v>Weekday</v>
      </c>
      <c r="V679" t="str">
        <f t="shared" si="134"/>
        <v>Working Day</v>
      </c>
      <c r="W679" t="str">
        <f t="shared" si="135"/>
        <v>Spring</v>
      </c>
      <c r="X679" t="str">
        <f t="shared" si="136"/>
        <v>Cloudy/Mist</v>
      </c>
      <c r="Y679" t="str">
        <f t="shared" si="137"/>
        <v>Afternoon</v>
      </c>
      <c r="Z679" t="str">
        <f t="shared" si="138"/>
        <v>Cold</v>
      </c>
      <c r="AA679" t="str">
        <f t="shared" si="139"/>
        <v>Medium</v>
      </c>
      <c r="AB679" t="str">
        <f t="shared" si="140"/>
        <v>Off-Peak</v>
      </c>
      <c r="AC679" s="63">
        <f t="shared" si="141"/>
        <v>3.7037037037037035E-2</v>
      </c>
      <c r="AD679" t="str">
        <f>IF(P679&gt;=Stats!$C$30,"High",IF(P679&lt;=Stats!$C$29,"Low","Normal"))</f>
        <v>Normal</v>
      </c>
      <c r="AE679">
        <f t="shared" si="142"/>
        <v>1</v>
      </c>
    </row>
    <row r="680" spans="1:31" x14ac:dyDescent="0.2">
      <c r="A680">
        <f>Dataset_3!A70</f>
        <v>679</v>
      </c>
      <c r="B680" s="61">
        <f>Dataset_3!B70</f>
        <v>40574</v>
      </c>
      <c r="C680">
        <f>Dataset_3!C70</f>
        <v>1</v>
      </c>
      <c r="D680">
        <f>Dataset_3!D70</f>
        <v>0</v>
      </c>
      <c r="E680">
        <f>Dataset_3!E70</f>
        <v>1</v>
      </c>
      <c r="F680">
        <f>Dataset_3!F70</f>
        <v>14</v>
      </c>
      <c r="G680" t="b">
        <f>Dataset_3!G70</f>
        <v>0</v>
      </c>
      <c r="H680">
        <f>Dataset_3!H70</f>
        <v>1</v>
      </c>
      <c r="I680">
        <f>Dataset_3!I70</f>
        <v>2</v>
      </c>
      <c r="J680" s="55">
        <f>Dataset_3!J70</f>
        <v>0.18</v>
      </c>
      <c r="K680">
        <f>Dataset_3!K70</f>
        <v>0.19700000000000001</v>
      </c>
      <c r="L680">
        <f>Dataset_3!L70</f>
        <v>0.55000000000000004</v>
      </c>
      <c r="M680">
        <f>Dataset_3!M70</f>
        <v>0.1343</v>
      </c>
      <c r="N680">
        <f>Dataset_3!N70</f>
        <v>1</v>
      </c>
      <c r="O680">
        <f>Dataset_3!O70</f>
        <v>85</v>
      </c>
      <c r="P680">
        <f>Dataset_3!P70</f>
        <v>86</v>
      </c>
      <c r="Q680" t="str">
        <f t="shared" si="130"/>
        <v>REC-0679</v>
      </c>
      <c r="R680" s="62">
        <f t="shared" si="131"/>
        <v>40574.583333333336</v>
      </c>
      <c r="S680" t="str">
        <f t="shared" si="132"/>
        <v>Jan</v>
      </c>
      <c r="T680" t="str">
        <f>INDEX(Lookups!$B$39:$B$45,MATCH(H680,Lookups!$A$39:$A$45,0))</f>
        <v>Mon</v>
      </c>
      <c r="U680" t="str">
        <f t="shared" si="133"/>
        <v>Weekday</v>
      </c>
      <c r="V680" t="str">
        <f t="shared" si="134"/>
        <v>Working Day</v>
      </c>
      <c r="W680" t="str">
        <f t="shared" si="135"/>
        <v>Spring</v>
      </c>
      <c r="X680" t="str">
        <f t="shared" si="136"/>
        <v>Cloudy/Mist</v>
      </c>
      <c r="Y680" t="str">
        <f t="shared" si="137"/>
        <v>Afternoon</v>
      </c>
      <c r="Z680" t="str">
        <f t="shared" si="138"/>
        <v>Cold</v>
      </c>
      <c r="AA680" t="str">
        <f t="shared" si="139"/>
        <v>Medium</v>
      </c>
      <c r="AB680" t="str">
        <f t="shared" si="140"/>
        <v>Off-Peak</v>
      </c>
      <c r="AC680" s="63">
        <f t="shared" si="141"/>
        <v>1.1627906976744186E-2</v>
      </c>
      <c r="AD680" t="str">
        <f>IF(P680&gt;=Stats!$C$30,"High",IF(P680&lt;=Stats!$C$29,"Low","Normal"))</f>
        <v>High</v>
      </c>
      <c r="AE680">
        <f t="shared" si="142"/>
        <v>1</v>
      </c>
    </row>
    <row r="681" spans="1:31" x14ac:dyDescent="0.2">
      <c r="A681">
        <f>Dataset_3!A71</f>
        <v>680</v>
      </c>
      <c r="B681" s="61">
        <f>Dataset_3!B71</f>
        <v>40574</v>
      </c>
      <c r="C681">
        <f>Dataset_3!C71</f>
        <v>1</v>
      </c>
      <c r="D681">
        <f>Dataset_3!D71</f>
        <v>0</v>
      </c>
      <c r="E681">
        <f>Dataset_3!E71</f>
        <v>1</v>
      </c>
      <c r="F681">
        <f>Dataset_3!F71</f>
        <v>15</v>
      </c>
      <c r="G681" t="b">
        <f>Dataset_3!G71</f>
        <v>0</v>
      </c>
      <c r="H681">
        <f>Dataset_3!H71</f>
        <v>1</v>
      </c>
      <c r="I681">
        <f>Dataset_3!I71</f>
        <v>2</v>
      </c>
      <c r="J681" s="55">
        <f>Dataset_3!J71</f>
        <v>0.16</v>
      </c>
      <c r="K681">
        <f>Dataset_3!K71</f>
        <v>0.18179999999999999</v>
      </c>
      <c r="L681">
        <f>Dataset_3!L71</f>
        <v>0.59</v>
      </c>
      <c r="M681">
        <f>Dataset_3!M71</f>
        <v>0.1343</v>
      </c>
      <c r="N681">
        <f>Dataset_3!N71</f>
        <v>3</v>
      </c>
      <c r="O681">
        <f>Dataset_3!O71</f>
        <v>41</v>
      </c>
      <c r="P681">
        <f>Dataset_3!P71</f>
        <v>44</v>
      </c>
      <c r="Q681" t="str">
        <f t="shared" si="130"/>
        <v>REC-0680</v>
      </c>
      <c r="R681" s="62">
        <f t="shared" si="131"/>
        <v>40574.625</v>
      </c>
      <c r="S681" t="str">
        <f t="shared" si="132"/>
        <v>Jan</v>
      </c>
      <c r="T681" t="str">
        <f>INDEX(Lookups!$B$39:$B$45,MATCH(H681,Lookups!$A$39:$A$45,0))</f>
        <v>Mon</v>
      </c>
      <c r="U681" t="str">
        <f t="shared" si="133"/>
        <v>Weekday</v>
      </c>
      <c r="V681" t="str">
        <f t="shared" si="134"/>
        <v>Working Day</v>
      </c>
      <c r="W681" t="str">
        <f t="shared" si="135"/>
        <v>Spring</v>
      </c>
      <c r="X681" t="str">
        <f t="shared" si="136"/>
        <v>Cloudy/Mist</v>
      </c>
      <c r="Y681" t="str">
        <f t="shared" si="137"/>
        <v>Afternoon</v>
      </c>
      <c r="Z681" t="str">
        <f t="shared" si="138"/>
        <v>Cold</v>
      </c>
      <c r="AA681" t="str">
        <f t="shared" si="139"/>
        <v>Medium</v>
      </c>
      <c r="AB681" t="str">
        <f t="shared" si="140"/>
        <v>Off-Peak</v>
      </c>
      <c r="AC681" s="63">
        <f t="shared" si="141"/>
        <v>6.8181818181818177E-2</v>
      </c>
      <c r="AD681" t="str">
        <f>IF(P681&gt;=Stats!$C$30,"High",IF(P681&lt;=Stats!$C$29,"Low","Normal"))</f>
        <v>Normal</v>
      </c>
      <c r="AE681">
        <f t="shared" si="142"/>
        <v>1</v>
      </c>
    </row>
    <row r="682" spans="1:31" x14ac:dyDescent="0.2">
      <c r="A682">
        <f>Dataset_3!A72</f>
        <v>681</v>
      </c>
      <c r="B682" s="61">
        <f>Dataset_3!B72</f>
        <v>40574</v>
      </c>
      <c r="C682">
        <f>Dataset_3!C72</f>
        <v>1</v>
      </c>
      <c r="D682">
        <f>Dataset_3!D72</f>
        <v>0</v>
      </c>
      <c r="E682">
        <f>Dataset_3!E72</f>
        <v>1</v>
      </c>
      <c r="F682">
        <f>Dataset_3!F72</f>
        <v>16</v>
      </c>
      <c r="G682" t="b">
        <f>Dataset_3!G72</f>
        <v>0</v>
      </c>
      <c r="H682">
        <f>Dataset_3!H72</f>
        <v>1</v>
      </c>
      <c r="I682">
        <f>Dataset_3!I72</f>
        <v>2</v>
      </c>
      <c r="J682" s="55">
        <f>Dataset_3!J72</f>
        <v>0.16</v>
      </c>
      <c r="K682">
        <f>Dataset_3!K72</f>
        <v>0.18179999999999999</v>
      </c>
      <c r="L682">
        <f>Dataset_3!L72</f>
        <v>0.56000000000000005</v>
      </c>
      <c r="M682">
        <f>Dataset_3!M72</f>
        <v>0.19400000000000001</v>
      </c>
      <c r="N682">
        <f>Dataset_3!N72</f>
        <v>3</v>
      </c>
      <c r="O682">
        <f>Dataset_3!O72</f>
        <v>83</v>
      </c>
      <c r="P682">
        <f>Dataset_3!P72</f>
        <v>86</v>
      </c>
      <c r="Q682" t="str">
        <f t="shared" si="130"/>
        <v>REC-0681</v>
      </c>
      <c r="R682" s="62">
        <f t="shared" si="131"/>
        <v>40574.666666666664</v>
      </c>
      <c r="S682" t="str">
        <f t="shared" si="132"/>
        <v>Jan</v>
      </c>
      <c r="T682" t="str">
        <f>INDEX(Lookups!$B$39:$B$45,MATCH(H682,Lookups!$A$39:$A$45,0))</f>
        <v>Mon</v>
      </c>
      <c r="U682" t="str">
        <f t="shared" si="133"/>
        <v>Weekday</v>
      </c>
      <c r="V682" t="str">
        <f t="shared" si="134"/>
        <v>Working Day</v>
      </c>
      <c r="W682" t="str">
        <f t="shared" si="135"/>
        <v>Spring</v>
      </c>
      <c r="X682" t="str">
        <f t="shared" si="136"/>
        <v>Cloudy/Mist</v>
      </c>
      <c r="Y682" t="str">
        <f t="shared" si="137"/>
        <v>Afternoon</v>
      </c>
      <c r="Z682" t="str">
        <f t="shared" si="138"/>
        <v>Cold</v>
      </c>
      <c r="AA682" t="str">
        <f t="shared" si="139"/>
        <v>Medium</v>
      </c>
      <c r="AB682" t="str">
        <f t="shared" si="140"/>
        <v>Peak</v>
      </c>
      <c r="AC682" s="63">
        <f t="shared" si="141"/>
        <v>3.4883720930232558E-2</v>
      </c>
      <c r="AD682" t="str">
        <f>IF(P682&gt;=Stats!$C$30,"High",IF(P682&lt;=Stats!$C$29,"Low","Normal"))</f>
        <v>High</v>
      </c>
      <c r="AE682">
        <f t="shared" si="142"/>
        <v>1</v>
      </c>
    </row>
    <row r="683" spans="1:31" x14ac:dyDescent="0.2">
      <c r="A683">
        <f>Dataset_3!A73</f>
        <v>682</v>
      </c>
      <c r="B683" s="61">
        <f>Dataset_3!B73</f>
        <v>40574</v>
      </c>
      <c r="C683">
        <f>Dataset_3!C73</f>
        <v>1</v>
      </c>
      <c r="D683">
        <f>Dataset_3!D73</f>
        <v>0</v>
      </c>
      <c r="E683">
        <f>Dataset_3!E73</f>
        <v>1</v>
      </c>
      <c r="F683">
        <f>Dataset_3!F73</f>
        <v>17</v>
      </c>
      <c r="G683" t="b">
        <f>Dataset_3!G73</f>
        <v>0</v>
      </c>
      <c r="H683">
        <f>Dataset_3!H73</f>
        <v>1</v>
      </c>
      <c r="I683">
        <f>Dataset_3!I73</f>
        <v>2</v>
      </c>
      <c r="J683" s="55">
        <f>Dataset_3!J73</f>
        <v>0.16</v>
      </c>
      <c r="K683">
        <f>Dataset_3!K73</f>
        <v>0.1515</v>
      </c>
      <c r="L683">
        <f>Dataset_3!L73</f>
        <v>0.59</v>
      </c>
      <c r="M683">
        <f>Dataset_3!M73</f>
        <v>0.19400000000000001</v>
      </c>
      <c r="N683">
        <f>Dataset_3!N73</f>
        <v>6</v>
      </c>
      <c r="O683">
        <f>Dataset_3!O73</f>
        <v>155</v>
      </c>
      <c r="P683">
        <f>Dataset_3!P73</f>
        <v>161</v>
      </c>
      <c r="Q683" t="str">
        <f t="shared" si="130"/>
        <v>REC-0682</v>
      </c>
      <c r="R683" s="62">
        <f t="shared" si="131"/>
        <v>40574.708333333336</v>
      </c>
      <c r="S683" t="str">
        <f t="shared" si="132"/>
        <v>Jan</v>
      </c>
      <c r="T683" t="str">
        <f>INDEX(Lookups!$B$39:$B$45,MATCH(H683,Lookups!$A$39:$A$45,0))</f>
        <v>Mon</v>
      </c>
      <c r="U683" t="str">
        <f t="shared" si="133"/>
        <v>Weekday</v>
      </c>
      <c r="V683" t="str">
        <f t="shared" si="134"/>
        <v>Working Day</v>
      </c>
      <c r="W683" t="str">
        <f t="shared" si="135"/>
        <v>Spring</v>
      </c>
      <c r="X683" t="str">
        <f t="shared" si="136"/>
        <v>Cloudy/Mist</v>
      </c>
      <c r="Y683" t="str">
        <f t="shared" si="137"/>
        <v>Evening</v>
      </c>
      <c r="Z683" t="str">
        <f t="shared" si="138"/>
        <v>Cold</v>
      </c>
      <c r="AA683" t="str">
        <f t="shared" si="139"/>
        <v>Medium</v>
      </c>
      <c r="AB683" t="str">
        <f t="shared" si="140"/>
        <v>Peak</v>
      </c>
      <c r="AC683" s="63">
        <f t="shared" si="141"/>
        <v>3.7267080745341616E-2</v>
      </c>
      <c r="AD683" t="str">
        <f>IF(P683&gt;=Stats!$C$30,"High",IF(P683&lt;=Stats!$C$29,"Low","Normal"))</f>
        <v>High</v>
      </c>
      <c r="AE683">
        <f t="shared" si="142"/>
        <v>1</v>
      </c>
    </row>
    <row r="684" spans="1:31" x14ac:dyDescent="0.2">
      <c r="A684">
        <f>Dataset_3!A74</f>
        <v>683</v>
      </c>
      <c r="B684" s="61">
        <f>Dataset_3!B74</f>
        <v>40574</v>
      </c>
      <c r="C684">
        <f>Dataset_3!C74</f>
        <v>1</v>
      </c>
      <c r="D684">
        <f>Dataset_3!D74</f>
        <v>0</v>
      </c>
      <c r="E684">
        <f>Dataset_3!E74</f>
        <v>1</v>
      </c>
      <c r="F684">
        <f>Dataset_3!F74</f>
        <v>18</v>
      </c>
      <c r="G684" t="b">
        <f>Dataset_3!G74</f>
        <v>0</v>
      </c>
      <c r="H684">
        <f>Dataset_3!H74</f>
        <v>1</v>
      </c>
      <c r="I684">
        <f>Dataset_3!I74</f>
        <v>2</v>
      </c>
      <c r="J684" s="55">
        <f>Dataset_3!J74</f>
        <v>0.16</v>
      </c>
      <c r="K684">
        <f>Dataset_3!K74</f>
        <v>0.1515</v>
      </c>
      <c r="L684">
        <f>Dataset_3!L74</f>
        <v>0.55000000000000004</v>
      </c>
      <c r="M684">
        <f>Dataset_3!M74</f>
        <v>0.22389999999999999</v>
      </c>
      <c r="N684">
        <f>Dataset_3!N74</f>
        <v>3</v>
      </c>
      <c r="O684">
        <f>Dataset_3!O74</f>
        <v>153</v>
      </c>
      <c r="P684">
        <f>Dataset_3!P74</f>
        <v>156</v>
      </c>
      <c r="Q684" t="str">
        <f t="shared" si="130"/>
        <v>REC-0683</v>
      </c>
      <c r="R684" s="62">
        <f t="shared" si="131"/>
        <v>40574.75</v>
      </c>
      <c r="S684" t="str">
        <f t="shared" si="132"/>
        <v>Jan</v>
      </c>
      <c r="T684" t="str">
        <f>INDEX(Lookups!$B$39:$B$45,MATCH(H684,Lookups!$A$39:$A$45,0))</f>
        <v>Mon</v>
      </c>
      <c r="U684" t="str">
        <f t="shared" si="133"/>
        <v>Weekday</v>
      </c>
      <c r="V684" t="str">
        <f t="shared" si="134"/>
        <v>Working Day</v>
      </c>
      <c r="W684" t="str">
        <f t="shared" si="135"/>
        <v>Spring</v>
      </c>
      <c r="X684" t="str">
        <f t="shared" si="136"/>
        <v>Cloudy/Mist</v>
      </c>
      <c r="Y684" t="str">
        <f t="shared" si="137"/>
        <v>Evening</v>
      </c>
      <c r="Z684" t="str">
        <f t="shared" si="138"/>
        <v>Cold</v>
      </c>
      <c r="AA684" t="str">
        <f t="shared" si="139"/>
        <v>Medium</v>
      </c>
      <c r="AB684" t="str">
        <f t="shared" si="140"/>
        <v>Peak</v>
      </c>
      <c r="AC684" s="63">
        <f t="shared" si="141"/>
        <v>1.9230769230769232E-2</v>
      </c>
      <c r="AD684" t="str">
        <f>IF(P684&gt;=Stats!$C$30,"High",IF(P684&lt;=Stats!$C$29,"Low","Normal"))</f>
        <v>High</v>
      </c>
      <c r="AE684">
        <f t="shared" si="142"/>
        <v>1</v>
      </c>
    </row>
    <row r="685" spans="1:31" x14ac:dyDescent="0.2">
      <c r="A685">
        <f>Dataset_3!A75</f>
        <v>684</v>
      </c>
      <c r="B685" s="61">
        <f>Dataset_3!B75</f>
        <v>40574</v>
      </c>
      <c r="C685">
        <f>Dataset_3!C75</f>
        <v>1</v>
      </c>
      <c r="D685">
        <f>Dataset_3!D75</f>
        <v>0</v>
      </c>
      <c r="E685">
        <f>Dataset_3!E75</f>
        <v>1</v>
      </c>
      <c r="F685">
        <f>Dataset_3!F75</f>
        <v>19</v>
      </c>
      <c r="G685" t="b">
        <f>Dataset_3!G75</f>
        <v>0</v>
      </c>
      <c r="H685">
        <f>Dataset_3!H75</f>
        <v>1</v>
      </c>
      <c r="I685">
        <f>Dataset_3!I75</f>
        <v>1</v>
      </c>
      <c r="J685" s="55">
        <f>Dataset_3!J75</f>
        <v>0.3</v>
      </c>
      <c r="K685">
        <f>Dataset_3!K75</f>
        <v>0.31819999999999998</v>
      </c>
      <c r="L685">
        <f>Dataset_3!L75</f>
        <v>0.61</v>
      </c>
      <c r="M685">
        <f>Dataset_3!M75</f>
        <v>0.1045</v>
      </c>
      <c r="N685">
        <f>Dataset_3!N75</f>
        <v>3</v>
      </c>
      <c r="O685">
        <f>Dataset_3!O75</f>
        <v>108</v>
      </c>
      <c r="P685">
        <f>Dataset_3!P75</f>
        <v>111</v>
      </c>
      <c r="Q685" t="str">
        <f t="shared" si="130"/>
        <v>REC-0684</v>
      </c>
      <c r="R685" s="62">
        <f t="shared" si="131"/>
        <v>40574.791666666664</v>
      </c>
      <c r="S685" t="str">
        <f t="shared" si="132"/>
        <v>Jan</v>
      </c>
      <c r="T685" t="str">
        <f>INDEX(Lookups!$B$39:$B$45,MATCH(H685,Lookups!$A$39:$A$45,0))</f>
        <v>Mon</v>
      </c>
      <c r="U685" t="str">
        <f t="shared" si="133"/>
        <v>Weekday</v>
      </c>
      <c r="V685" t="str">
        <f t="shared" si="134"/>
        <v>Working Day</v>
      </c>
      <c r="W685" t="str">
        <f t="shared" si="135"/>
        <v>Spring</v>
      </c>
      <c r="X685" t="str">
        <f t="shared" si="136"/>
        <v>Clear</v>
      </c>
      <c r="Y685" t="str">
        <f t="shared" si="137"/>
        <v>Evening</v>
      </c>
      <c r="Z685" t="str">
        <f t="shared" si="138"/>
        <v>Warm</v>
      </c>
      <c r="AA685" t="str">
        <f t="shared" si="139"/>
        <v>Medium</v>
      </c>
      <c r="AB685" t="str">
        <f t="shared" si="140"/>
        <v>Peak</v>
      </c>
      <c r="AC685" s="63">
        <f t="shared" si="141"/>
        <v>2.7027027027027029E-2</v>
      </c>
      <c r="AD685" t="str">
        <f>IF(P685&gt;=Stats!$C$30,"High",IF(P685&lt;=Stats!$C$29,"Low","Normal"))</f>
        <v>High</v>
      </c>
      <c r="AE685">
        <f t="shared" si="142"/>
        <v>1</v>
      </c>
    </row>
    <row r="686" spans="1:31" x14ac:dyDescent="0.2">
      <c r="A686">
        <f>Dataset_3!A76</f>
        <v>685</v>
      </c>
      <c r="B686" s="61">
        <f>Dataset_3!B76</f>
        <v>40574</v>
      </c>
      <c r="C686">
        <f>Dataset_3!C76</f>
        <v>1</v>
      </c>
      <c r="D686">
        <f>Dataset_3!D76</f>
        <v>0</v>
      </c>
      <c r="E686">
        <f>Dataset_3!E76</f>
        <v>1</v>
      </c>
      <c r="F686">
        <f>Dataset_3!F76</f>
        <v>20</v>
      </c>
      <c r="G686" t="b">
        <f>Dataset_3!G76</f>
        <v>0</v>
      </c>
      <c r="H686">
        <f>Dataset_3!H76</f>
        <v>1</v>
      </c>
      <c r="I686">
        <f>Dataset_3!I76</f>
        <v>3</v>
      </c>
      <c r="J686" s="55">
        <f>Dataset_3!J76</f>
        <v>0.16</v>
      </c>
      <c r="K686">
        <f>Dataset_3!K76</f>
        <v>0.16669999999999999</v>
      </c>
      <c r="L686">
        <f>Dataset_3!L76</f>
        <v>0.59</v>
      </c>
      <c r="M686">
        <f>Dataset_3!M76</f>
        <v>0.16420000000000001</v>
      </c>
      <c r="N686">
        <f>Dataset_3!N76</f>
        <v>0</v>
      </c>
      <c r="O686">
        <f>Dataset_3!O76</f>
        <v>78</v>
      </c>
      <c r="P686">
        <f>Dataset_3!P76</f>
        <v>78</v>
      </c>
      <c r="Q686" t="str">
        <f t="shared" si="130"/>
        <v>REC-0685</v>
      </c>
      <c r="R686" s="62">
        <f t="shared" si="131"/>
        <v>40574.833333333336</v>
      </c>
      <c r="S686" t="str">
        <f t="shared" si="132"/>
        <v>Jan</v>
      </c>
      <c r="T686" t="str">
        <f>INDEX(Lookups!$B$39:$B$45,MATCH(H686,Lookups!$A$39:$A$45,0))</f>
        <v>Mon</v>
      </c>
      <c r="U686" t="str">
        <f t="shared" si="133"/>
        <v>Weekday</v>
      </c>
      <c r="V686" t="str">
        <f t="shared" si="134"/>
        <v>Working Day</v>
      </c>
      <c r="W686" t="str">
        <f t="shared" si="135"/>
        <v>Spring</v>
      </c>
      <c r="X686" t="str">
        <f t="shared" si="136"/>
        <v>Light Rain/Snow</v>
      </c>
      <c r="Y686" t="str">
        <f t="shared" si="137"/>
        <v>Evening</v>
      </c>
      <c r="Z686" t="str">
        <f t="shared" si="138"/>
        <v>Cold</v>
      </c>
      <c r="AA686" t="str">
        <f t="shared" si="139"/>
        <v>Medium</v>
      </c>
      <c r="AB686" t="str">
        <f t="shared" si="140"/>
        <v>Off-Peak</v>
      </c>
      <c r="AC686" s="63">
        <f t="shared" si="141"/>
        <v>0</v>
      </c>
      <c r="AD686" t="str">
        <f>IF(P686&gt;=Stats!$C$30,"High",IF(P686&lt;=Stats!$C$29,"Low","Normal"))</f>
        <v>Normal</v>
      </c>
      <c r="AE686">
        <f t="shared" si="142"/>
        <v>1</v>
      </c>
    </row>
    <row r="687" spans="1:31" x14ac:dyDescent="0.2">
      <c r="A687">
        <f>Dataset_3!A77</f>
        <v>686</v>
      </c>
      <c r="B687" s="61">
        <f>Dataset_3!B77</f>
        <v>40574</v>
      </c>
      <c r="C687">
        <f>Dataset_3!C77</f>
        <v>1</v>
      </c>
      <c r="D687">
        <f>Dataset_3!D77</f>
        <v>0</v>
      </c>
      <c r="E687">
        <f>Dataset_3!E77</f>
        <v>1</v>
      </c>
      <c r="F687">
        <f>Dataset_3!F77</f>
        <v>21</v>
      </c>
      <c r="G687" t="b">
        <f>Dataset_3!G77</f>
        <v>0</v>
      </c>
      <c r="H687">
        <f>Dataset_3!H77</f>
        <v>1</v>
      </c>
      <c r="I687">
        <f>Dataset_3!I77</f>
        <v>3</v>
      </c>
      <c r="J687" s="55">
        <f>Dataset_3!J77</f>
        <v>0.16</v>
      </c>
      <c r="K687">
        <f>Dataset_3!K77</f>
        <v>0.19700000000000001</v>
      </c>
      <c r="L687">
        <f>Dataset_3!L77</f>
        <v>0.59</v>
      </c>
      <c r="M687">
        <f>Dataset_3!M77</f>
        <v>8.9599999999999999E-2</v>
      </c>
      <c r="N687">
        <f>Dataset_3!N77</f>
        <v>3</v>
      </c>
      <c r="O687">
        <f>Dataset_3!O77</f>
        <v>53</v>
      </c>
      <c r="P687">
        <f>Dataset_3!P77</f>
        <v>56</v>
      </c>
      <c r="Q687" t="str">
        <f t="shared" si="130"/>
        <v>REC-0686</v>
      </c>
      <c r="R687" s="62">
        <f t="shared" si="131"/>
        <v>40574.875</v>
      </c>
      <c r="S687" t="str">
        <f t="shared" si="132"/>
        <v>Jan</v>
      </c>
      <c r="T687" t="str">
        <f>INDEX(Lookups!$B$39:$B$45,MATCH(H687,Lookups!$A$39:$A$45,0))</f>
        <v>Mon</v>
      </c>
      <c r="U687" t="str">
        <f t="shared" si="133"/>
        <v>Weekday</v>
      </c>
      <c r="V687" t="str">
        <f t="shared" si="134"/>
        <v>Working Day</v>
      </c>
      <c r="W687" t="str">
        <f t="shared" si="135"/>
        <v>Spring</v>
      </c>
      <c r="X687" t="str">
        <f t="shared" si="136"/>
        <v>Light Rain/Snow</v>
      </c>
      <c r="Y687" t="str">
        <f t="shared" si="137"/>
        <v>Late Evening</v>
      </c>
      <c r="Z687" t="str">
        <f t="shared" si="138"/>
        <v>Cold</v>
      </c>
      <c r="AA687" t="str">
        <f t="shared" si="139"/>
        <v>Medium</v>
      </c>
      <c r="AB687" t="str">
        <f t="shared" si="140"/>
        <v>Off-Peak</v>
      </c>
      <c r="AC687" s="63">
        <f t="shared" si="141"/>
        <v>5.3571428571428568E-2</v>
      </c>
      <c r="AD687" t="str">
        <f>IF(P687&gt;=Stats!$C$30,"High",IF(P687&lt;=Stats!$C$29,"Low","Normal"))</f>
        <v>Normal</v>
      </c>
      <c r="AE687">
        <f t="shared" si="142"/>
        <v>1</v>
      </c>
    </row>
    <row r="688" spans="1:31" x14ac:dyDescent="0.2">
      <c r="A688">
        <f>Dataset_3!A78</f>
        <v>687</v>
      </c>
      <c r="B688" s="61">
        <f>Dataset_3!B78</f>
        <v>40574</v>
      </c>
      <c r="C688">
        <f>Dataset_3!C78</f>
        <v>1</v>
      </c>
      <c r="D688">
        <f>Dataset_3!D78</f>
        <v>0</v>
      </c>
      <c r="E688">
        <f>Dataset_3!E78</f>
        <v>1</v>
      </c>
      <c r="F688">
        <f>Dataset_3!F78</f>
        <v>22</v>
      </c>
      <c r="G688" t="b">
        <f>Dataset_3!G78</f>
        <v>0</v>
      </c>
      <c r="H688">
        <f>Dataset_3!H78</f>
        <v>1</v>
      </c>
      <c r="I688">
        <f>Dataset_3!I78</f>
        <v>2</v>
      </c>
      <c r="J688" s="55">
        <f>Dataset_3!J78</f>
        <v>0.16</v>
      </c>
      <c r="K688">
        <f>Dataset_3!K78</f>
        <v>0.18179999999999999</v>
      </c>
      <c r="L688">
        <f>Dataset_3!L78</f>
        <v>0.59</v>
      </c>
      <c r="M688">
        <f>Dataset_3!M78</f>
        <v>0.1045</v>
      </c>
      <c r="N688">
        <f>Dataset_3!N78</f>
        <v>0</v>
      </c>
      <c r="O688">
        <f>Dataset_3!O78</f>
        <v>34</v>
      </c>
      <c r="P688">
        <f>Dataset_3!P78</f>
        <v>34</v>
      </c>
      <c r="Q688" t="str">
        <f t="shared" si="130"/>
        <v>REC-0687</v>
      </c>
      <c r="R688" s="62">
        <f t="shared" si="131"/>
        <v>40574.916666666664</v>
      </c>
      <c r="S688" t="str">
        <f t="shared" si="132"/>
        <v>Jan</v>
      </c>
      <c r="T688" t="str">
        <f>INDEX(Lookups!$B$39:$B$45,MATCH(H688,Lookups!$A$39:$A$45,0))</f>
        <v>Mon</v>
      </c>
      <c r="U688" t="str">
        <f t="shared" si="133"/>
        <v>Weekday</v>
      </c>
      <c r="V688" t="str">
        <f t="shared" si="134"/>
        <v>Working Day</v>
      </c>
      <c r="W688" t="str">
        <f t="shared" si="135"/>
        <v>Spring</v>
      </c>
      <c r="X688" t="str">
        <f t="shared" si="136"/>
        <v>Cloudy/Mist</v>
      </c>
      <c r="Y688" t="str">
        <f t="shared" si="137"/>
        <v>Late Evening</v>
      </c>
      <c r="Z688" t="str">
        <f t="shared" si="138"/>
        <v>Cold</v>
      </c>
      <c r="AA688" t="str">
        <f t="shared" si="139"/>
        <v>Medium</v>
      </c>
      <c r="AB688" t="str">
        <f t="shared" si="140"/>
        <v>Off-Peak</v>
      </c>
      <c r="AC688" s="63">
        <f t="shared" si="141"/>
        <v>0</v>
      </c>
      <c r="AD688" t="str">
        <f>IF(P688&gt;=Stats!$C$30,"High",IF(P688&lt;=Stats!$C$29,"Low","Normal"))</f>
        <v>Normal</v>
      </c>
      <c r="AE688">
        <f t="shared" si="142"/>
        <v>1</v>
      </c>
    </row>
    <row r="689" spans="1:31" x14ac:dyDescent="0.2">
      <c r="A689">
        <f>Dataset_3!A79</f>
        <v>688</v>
      </c>
      <c r="B689" s="61">
        <f>Dataset_3!B79</f>
        <v>40574</v>
      </c>
      <c r="C689">
        <f>Dataset_3!C79</f>
        <v>1</v>
      </c>
      <c r="D689">
        <f>Dataset_3!D79</f>
        <v>0</v>
      </c>
      <c r="E689">
        <f>Dataset_3!E79</f>
        <v>1</v>
      </c>
      <c r="F689">
        <f>Dataset_3!F79</f>
        <v>23</v>
      </c>
      <c r="G689" t="b">
        <f>Dataset_3!G79</f>
        <v>0</v>
      </c>
      <c r="H689">
        <f>Dataset_3!H79</f>
        <v>1</v>
      </c>
      <c r="I689">
        <f>Dataset_3!I79</f>
        <v>2</v>
      </c>
      <c r="J689" s="55">
        <f>Dataset_3!J79</f>
        <v>0.16</v>
      </c>
      <c r="K689">
        <f>Dataset_3!K79</f>
        <v>0.19700000000000001</v>
      </c>
      <c r="L689">
        <f>Dataset_3!L79</f>
        <v>0.64</v>
      </c>
      <c r="M689">
        <f>Dataset_3!M79</f>
        <v>8.9599999999999999E-2</v>
      </c>
      <c r="N689">
        <f>Dataset_3!N79</f>
        <v>2</v>
      </c>
      <c r="O689">
        <f>Dataset_3!O79</f>
        <v>15</v>
      </c>
      <c r="P689">
        <f>Dataset_3!P79</f>
        <v>17</v>
      </c>
      <c r="Q689" t="str">
        <f t="shared" si="130"/>
        <v>REC-0688</v>
      </c>
      <c r="R689" s="62">
        <f t="shared" si="131"/>
        <v>40574.958333333336</v>
      </c>
      <c r="S689" t="str">
        <f t="shared" si="132"/>
        <v>Jan</v>
      </c>
      <c r="T689" t="str">
        <f>INDEX(Lookups!$B$39:$B$45,MATCH(H689,Lookups!$A$39:$A$45,0))</f>
        <v>Mon</v>
      </c>
      <c r="U689" t="str">
        <f t="shared" si="133"/>
        <v>Weekday</v>
      </c>
      <c r="V689" t="str">
        <f t="shared" si="134"/>
        <v>Working Day</v>
      </c>
      <c r="W689" t="str">
        <f t="shared" si="135"/>
        <v>Spring</v>
      </c>
      <c r="X689" t="str">
        <f t="shared" si="136"/>
        <v>Cloudy/Mist</v>
      </c>
      <c r="Y689" t="str">
        <f t="shared" si="137"/>
        <v>Late Evening</v>
      </c>
      <c r="Z689" t="str">
        <f t="shared" si="138"/>
        <v>Cold</v>
      </c>
      <c r="AA689" t="str">
        <f t="shared" si="139"/>
        <v>Medium</v>
      </c>
      <c r="AB689" t="str">
        <f t="shared" si="140"/>
        <v>Off-Peak</v>
      </c>
      <c r="AC689" s="63">
        <f t="shared" si="141"/>
        <v>0.11764705882352941</v>
      </c>
      <c r="AD689" t="str">
        <f>IF(P689&gt;=Stats!$C$30,"High",IF(P689&lt;=Stats!$C$29,"Low","Normal"))</f>
        <v>Normal</v>
      </c>
      <c r="AE689">
        <f t="shared" si="142"/>
        <v>1</v>
      </c>
    </row>
    <row r="690" spans="1:31" x14ac:dyDescent="0.2">
      <c r="A690">
        <f>Dataset_3!A80</f>
        <v>689</v>
      </c>
      <c r="B690" s="61">
        <f>Dataset_3!B80</f>
        <v>40575</v>
      </c>
      <c r="C690">
        <f>Dataset_3!C80</f>
        <v>1</v>
      </c>
      <c r="D690">
        <f>Dataset_3!D80</f>
        <v>0</v>
      </c>
      <c r="E690">
        <f>Dataset_3!E80</f>
        <v>2</v>
      </c>
      <c r="F690">
        <f>Dataset_3!F80</f>
        <v>0</v>
      </c>
      <c r="G690" t="b">
        <f>Dataset_3!G80</f>
        <v>0</v>
      </c>
      <c r="H690">
        <f>Dataset_3!H80</f>
        <v>2</v>
      </c>
      <c r="I690">
        <f>Dataset_3!I80</f>
        <v>2</v>
      </c>
      <c r="J690" s="55">
        <f>Dataset_3!J80</f>
        <v>0.16</v>
      </c>
      <c r="K690">
        <f>Dataset_3!K80</f>
        <v>0.18179999999999999</v>
      </c>
      <c r="L690">
        <f>Dataset_3!L80</f>
        <v>0.64</v>
      </c>
      <c r="M690">
        <f>Dataset_3!M80</f>
        <v>0.1045</v>
      </c>
      <c r="N690">
        <f>Dataset_3!N80</f>
        <v>2</v>
      </c>
      <c r="O690">
        <f>Dataset_3!O80</f>
        <v>6</v>
      </c>
      <c r="P690">
        <f>Dataset_3!P80</f>
        <v>8</v>
      </c>
      <c r="Q690" t="str">
        <f t="shared" si="130"/>
        <v>REC-0689</v>
      </c>
      <c r="R690" s="62">
        <f t="shared" si="131"/>
        <v>40575</v>
      </c>
      <c r="S690" t="str">
        <f t="shared" si="132"/>
        <v>Feb</v>
      </c>
      <c r="T690" t="str">
        <f>INDEX(Lookups!$B$39:$B$45,MATCH(H690,Lookups!$A$39:$A$45,0))</f>
        <v>Tue</v>
      </c>
      <c r="U690" t="str">
        <f t="shared" si="133"/>
        <v>Weekday</v>
      </c>
      <c r="V690" t="str">
        <f t="shared" si="134"/>
        <v>Working Day</v>
      </c>
      <c r="W690" t="str">
        <f t="shared" si="135"/>
        <v>Spring</v>
      </c>
      <c r="X690" t="str">
        <f t="shared" si="136"/>
        <v>Cloudy/Mist</v>
      </c>
      <c r="Y690" t="str">
        <f t="shared" si="137"/>
        <v>Night</v>
      </c>
      <c r="Z690" t="str">
        <f t="shared" si="138"/>
        <v>Cold</v>
      </c>
      <c r="AA690" t="str">
        <f t="shared" si="139"/>
        <v>Medium</v>
      </c>
      <c r="AB690" t="str">
        <f t="shared" si="140"/>
        <v>Off-Peak</v>
      </c>
      <c r="AC690" s="63">
        <f t="shared" si="141"/>
        <v>0.25</v>
      </c>
      <c r="AD690" t="str">
        <f>IF(P690&gt;=Stats!$C$30,"High",IF(P690&lt;=Stats!$C$29,"Low","Normal"))</f>
        <v>Low</v>
      </c>
      <c r="AE690">
        <f t="shared" si="142"/>
        <v>1</v>
      </c>
    </row>
    <row r="691" spans="1:31" x14ac:dyDescent="0.2">
      <c r="A691">
        <f>Dataset_3!A81</f>
        <v>690</v>
      </c>
      <c r="B691" s="61">
        <f>Dataset_3!B81</f>
        <v>40575</v>
      </c>
      <c r="C691">
        <f>Dataset_3!C81</f>
        <v>1</v>
      </c>
      <c r="D691">
        <f>Dataset_3!D81</f>
        <v>0</v>
      </c>
      <c r="E691">
        <f>Dataset_3!E81</f>
        <v>2</v>
      </c>
      <c r="F691">
        <f>Dataset_3!F81</f>
        <v>1</v>
      </c>
      <c r="G691" t="b">
        <f>Dataset_3!G81</f>
        <v>0</v>
      </c>
      <c r="H691">
        <f>Dataset_3!H81</f>
        <v>2</v>
      </c>
      <c r="I691">
        <f>Dataset_3!I81</f>
        <v>2</v>
      </c>
      <c r="J691" s="55">
        <f>Dataset_3!J81</f>
        <v>0.16</v>
      </c>
      <c r="K691">
        <f>Dataset_3!K81</f>
        <v>0.18179999999999999</v>
      </c>
      <c r="L691">
        <f>Dataset_3!L81</f>
        <v>0.69</v>
      </c>
      <c r="M691">
        <f>Dataset_3!M81</f>
        <v>0.1045</v>
      </c>
      <c r="N691">
        <f>Dataset_3!N81</f>
        <v>0</v>
      </c>
      <c r="O691">
        <f>Dataset_3!O81</f>
        <v>3</v>
      </c>
      <c r="P691">
        <f>Dataset_3!P81</f>
        <v>3</v>
      </c>
      <c r="Q691" t="str">
        <f t="shared" si="130"/>
        <v>REC-0690</v>
      </c>
      <c r="R691" s="62">
        <f t="shared" si="131"/>
        <v>40575.041666666664</v>
      </c>
      <c r="S691" t="str">
        <f t="shared" si="132"/>
        <v>Feb</v>
      </c>
      <c r="T691" t="str">
        <f>INDEX(Lookups!$B$39:$B$45,MATCH(H691,Lookups!$A$39:$A$45,0))</f>
        <v>Tue</v>
      </c>
      <c r="U691" t="str">
        <f t="shared" si="133"/>
        <v>Weekday</v>
      </c>
      <c r="V691" t="str">
        <f t="shared" si="134"/>
        <v>Working Day</v>
      </c>
      <c r="W691" t="str">
        <f t="shared" si="135"/>
        <v>Spring</v>
      </c>
      <c r="X691" t="str">
        <f t="shared" si="136"/>
        <v>Cloudy/Mist</v>
      </c>
      <c r="Y691" t="str">
        <f t="shared" si="137"/>
        <v>Night</v>
      </c>
      <c r="Z691" t="str">
        <f t="shared" si="138"/>
        <v>Cold</v>
      </c>
      <c r="AA691" t="str">
        <f t="shared" si="139"/>
        <v>Medium</v>
      </c>
      <c r="AB691" t="str">
        <f t="shared" si="140"/>
        <v>Off-Peak</v>
      </c>
      <c r="AC691" s="63">
        <f t="shared" si="141"/>
        <v>0</v>
      </c>
      <c r="AD691" t="str">
        <f>IF(P691&gt;=Stats!$C$30,"High",IF(P691&lt;=Stats!$C$29,"Low","Normal"))</f>
        <v>Low</v>
      </c>
      <c r="AE691">
        <f t="shared" si="142"/>
        <v>1</v>
      </c>
    </row>
    <row r="692" spans="1:31" x14ac:dyDescent="0.2">
      <c r="A692">
        <f>Dataset_3!A82</f>
        <v>691</v>
      </c>
      <c r="B692" s="61">
        <f>Dataset_3!B82</f>
        <v>40575</v>
      </c>
      <c r="C692">
        <f>Dataset_3!C82</f>
        <v>1</v>
      </c>
      <c r="D692">
        <f>Dataset_3!D82</f>
        <v>0</v>
      </c>
      <c r="E692">
        <f>Dataset_3!E82</f>
        <v>2</v>
      </c>
      <c r="F692">
        <f>Dataset_3!F82</f>
        <v>2</v>
      </c>
      <c r="G692" t="b">
        <f>Dataset_3!G82</f>
        <v>0</v>
      </c>
      <c r="H692">
        <f>Dataset_3!H82</f>
        <v>2</v>
      </c>
      <c r="I692">
        <f>Dataset_3!I82</f>
        <v>2</v>
      </c>
      <c r="J692" s="55">
        <f>Dataset_3!J82</f>
        <v>0.16</v>
      </c>
      <c r="K692">
        <f>Dataset_3!K82</f>
        <v>0.2273</v>
      </c>
      <c r="L692">
        <f>Dataset_3!L82</f>
        <v>0.69</v>
      </c>
      <c r="M692">
        <f>Dataset_3!M82</f>
        <v>0</v>
      </c>
      <c r="N692">
        <f>Dataset_3!N82</f>
        <v>0</v>
      </c>
      <c r="O692">
        <f>Dataset_3!O82</f>
        <v>2</v>
      </c>
      <c r="P692">
        <f>Dataset_3!P82</f>
        <v>2</v>
      </c>
      <c r="Q692" t="str">
        <f t="shared" si="130"/>
        <v>REC-0691</v>
      </c>
      <c r="R692" s="62">
        <f t="shared" si="131"/>
        <v>40575.083333333336</v>
      </c>
      <c r="S692" t="str">
        <f t="shared" si="132"/>
        <v>Feb</v>
      </c>
      <c r="T692" t="str">
        <f>INDEX(Lookups!$B$39:$B$45,MATCH(H692,Lookups!$A$39:$A$45,0))</f>
        <v>Tue</v>
      </c>
      <c r="U692" t="str">
        <f t="shared" si="133"/>
        <v>Weekday</v>
      </c>
      <c r="V692" t="str">
        <f t="shared" si="134"/>
        <v>Working Day</v>
      </c>
      <c r="W692" t="str">
        <f t="shared" si="135"/>
        <v>Spring</v>
      </c>
      <c r="X692" t="str">
        <f t="shared" si="136"/>
        <v>Cloudy/Mist</v>
      </c>
      <c r="Y692" t="str">
        <f t="shared" si="137"/>
        <v>Night</v>
      </c>
      <c r="Z692" t="str">
        <f t="shared" si="138"/>
        <v>Cold</v>
      </c>
      <c r="AA692" t="str">
        <f t="shared" si="139"/>
        <v>Medium</v>
      </c>
      <c r="AB692" t="str">
        <f t="shared" si="140"/>
        <v>Off-Peak</v>
      </c>
      <c r="AC692" s="63">
        <f t="shared" si="141"/>
        <v>0</v>
      </c>
      <c r="AD692" t="str">
        <f>IF(P692&gt;=Stats!$C$30,"High",IF(P692&lt;=Stats!$C$29,"Low","Normal"))</f>
        <v>Low</v>
      </c>
      <c r="AE692">
        <f t="shared" si="142"/>
        <v>1</v>
      </c>
    </row>
    <row r="693" spans="1:31" x14ac:dyDescent="0.2">
      <c r="A693">
        <f>Dataset_3!A83</f>
        <v>692</v>
      </c>
      <c r="B693" s="61">
        <f>Dataset_3!B83</f>
        <v>40575</v>
      </c>
      <c r="C693">
        <f>Dataset_3!C83</f>
        <v>1</v>
      </c>
      <c r="D693">
        <f>Dataset_3!D83</f>
        <v>0</v>
      </c>
      <c r="E693">
        <f>Dataset_3!E83</f>
        <v>2</v>
      </c>
      <c r="F693">
        <f>Dataset_3!F83</f>
        <v>3</v>
      </c>
      <c r="G693" t="b">
        <f>Dataset_3!G83</f>
        <v>0</v>
      </c>
      <c r="H693">
        <f>Dataset_3!H83</f>
        <v>2</v>
      </c>
      <c r="I693">
        <f>Dataset_3!I83</f>
        <v>2</v>
      </c>
      <c r="J693" s="55">
        <f>Dataset_3!J83</f>
        <v>0.16</v>
      </c>
      <c r="K693">
        <f>Dataset_3!K83</f>
        <v>0.2273</v>
      </c>
      <c r="L693">
        <f>Dataset_3!L83</f>
        <v>0.69</v>
      </c>
      <c r="M693">
        <f>Dataset_3!M83</f>
        <v>0</v>
      </c>
      <c r="N693">
        <f>Dataset_3!N83</f>
        <v>0</v>
      </c>
      <c r="O693">
        <f>Dataset_3!O83</f>
        <v>2</v>
      </c>
      <c r="P693">
        <f>Dataset_3!P83</f>
        <v>2</v>
      </c>
      <c r="Q693" t="str">
        <f t="shared" si="130"/>
        <v>REC-0692</v>
      </c>
      <c r="R693" s="62">
        <f t="shared" si="131"/>
        <v>40575.125</v>
      </c>
      <c r="S693" t="str">
        <f t="shared" si="132"/>
        <v>Feb</v>
      </c>
      <c r="T693" t="str">
        <f>INDEX(Lookups!$B$39:$B$45,MATCH(H693,Lookups!$A$39:$A$45,0))</f>
        <v>Tue</v>
      </c>
      <c r="U693" t="str">
        <f t="shared" si="133"/>
        <v>Weekday</v>
      </c>
      <c r="V693" t="str">
        <f t="shared" si="134"/>
        <v>Working Day</v>
      </c>
      <c r="W693" t="str">
        <f t="shared" si="135"/>
        <v>Spring</v>
      </c>
      <c r="X693" t="str">
        <f t="shared" si="136"/>
        <v>Cloudy/Mist</v>
      </c>
      <c r="Y693" t="str">
        <f t="shared" si="137"/>
        <v>Night</v>
      </c>
      <c r="Z693" t="str">
        <f t="shared" si="138"/>
        <v>Cold</v>
      </c>
      <c r="AA693" t="str">
        <f t="shared" si="139"/>
        <v>Medium</v>
      </c>
      <c r="AB693" t="str">
        <f t="shared" si="140"/>
        <v>Off-Peak</v>
      </c>
      <c r="AC693" s="63">
        <f t="shared" si="141"/>
        <v>0</v>
      </c>
      <c r="AD693" t="str">
        <f>IF(P693&gt;=Stats!$C$30,"High",IF(P693&lt;=Stats!$C$29,"Low","Normal"))</f>
        <v>Low</v>
      </c>
      <c r="AE693">
        <f t="shared" si="142"/>
        <v>1</v>
      </c>
    </row>
    <row r="694" spans="1:31" x14ac:dyDescent="0.2">
      <c r="A694">
        <f>Dataset_3!A84</f>
        <v>693</v>
      </c>
      <c r="B694" s="61">
        <f>Dataset_3!B84</f>
        <v>40575</v>
      </c>
      <c r="C694">
        <f>Dataset_3!C84</f>
        <v>1</v>
      </c>
      <c r="D694">
        <f>Dataset_3!D84</f>
        <v>0</v>
      </c>
      <c r="E694">
        <f>Dataset_3!E84</f>
        <v>2</v>
      </c>
      <c r="F694">
        <f>Dataset_3!F84</f>
        <v>5</v>
      </c>
      <c r="G694" t="b">
        <f>Dataset_3!G84</f>
        <v>0</v>
      </c>
      <c r="H694">
        <f>Dataset_3!H84</f>
        <v>2</v>
      </c>
      <c r="I694">
        <f>Dataset_3!I84</f>
        <v>3</v>
      </c>
      <c r="J694" s="55">
        <f>Dataset_3!J84</f>
        <v>0.14000000000000001</v>
      </c>
      <c r="K694">
        <f>Dataset_3!K84</f>
        <v>0.21210000000000001</v>
      </c>
      <c r="L694">
        <f>Dataset_3!L84</f>
        <v>0.93</v>
      </c>
      <c r="M694">
        <f>Dataset_3!M84</f>
        <v>0</v>
      </c>
      <c r="N694">
        <f>Dataset_3!N84</f>
        <v>0</v>
      </c>
      <c r="O694">
        <f>Dataset_3!O84</f>
        <v>3</v>
      </c>
      <c r="P694">
        <f>Dataset_3!P84</f>
        <v>3</v>
      </c>
      <c r="Q694" t="str">
        <f t="shared" si="130"/>
        <v>REC-0693</v>
      </c>
      <c r="R694" s="62">
        <f t="shared" si="131"/>
        <v>40575.208333333336</v>
      </c>
      <c r="S694" t="str">
        <f t="shared" si="132"/>
        <v>Feb</v>
      </c>
      <c r="T694" t="str">
        <f>INDEX(Lookups!$B$39:$B$45,MATCH(H694,Lookups!$A$39:$A$45,0))</f>
        <v>Tue</v>
      </c>
      <c r="U694" t="str">
        <f t="shared" si="133"/>
        <v>Weekday</v>
      </c>
      <c r="V694" t="str">
        <f t="shared" si="134"/>
        <v>Working Day</v>
      </c>
      <c r="W694" t="str">
        <f t="shared" si="135"/>
        <v>Spring</v>
      </c>
      <c r="X694" t="str">
        <f t="shared" si="136"/>
        <v>Light Rain/Snow</v>
      </c>
      <c r="Y694" t="str">
        <f t="shared" si="137"/>
        <v>Night</v>
      </c>
      <c r="Z694" t="str">
        <f t="shared" si="138"/>
        <v>Cold</v>
      </c>
      <c r="AA694" t="str">
        <f t="shared" si="139"/>
        <v>High</v>
      </c>
      <c r="AB694" t="str">
        <f t="shared" si="140"/>
        <v>Off-Peak</v>
      </c>
      <c r="AC694" s="63">
        <f t="shared" si="141"/>
        <v>0</v>
      </c>
      <c r="AD694" t="str">
        <f>IF(P694&gt;=Stats!$C$30,"High",IF(P694&lt;=Stats!$C$29,"Low","Normal"))</f>
        <v>Low</v>
      </c>
      <c r="AE694">
        <f t="shared" si="142"/>
        <v>1</v>
      </c>
    </row>
    <row r="695" spans="1:31" x14ac:dyDescent="0.2">
      <c r="A695">
        <f>Dataset_3!A85</f>
        <v>694</v>
      </c>
      <c r="B695" s="61">
        <f>Dataset_3!B85</f>
        <v>40575</v>
      </c>
      <c r="C695">
        <f>Dataset_3!C85</f>
        <v>1</v>
      </c>
      <c r="D695">
        <f>Dataset_3!D85</f>
        <v>0</v>
      </c>
      <c r="E695">
        <f>Dataset_3!E85</f>
        <v>2</v>
      </c>
      <c r="F695">
        <f>Dataset_3!F85</f>
        <v>6</v>
      </c>
      <c r="G695" t="b">
        <f>Dataset_3!G85</f>
        <v>0</v>
      </c>
      <c r="H695">
        <f>Dataset_3!H85</f>
        <v>2</v>
      </c>
      <c r="I695">
        <f>Dataset_3!I85</f>
        <v>3</v>
      </c>
      <c r="J695" s="55">
        <f>Dataset_3!J85</f>
        <v>0.14000000000000001</v>
      </c>
      <c r="K695">
        <f>Dataset_3!K85</f>
        <v>0.21210000000000001</v>
      </c>
      <c r="L695">
        <f>Dataset_3!L85</f>
        <v>0.93</v>
      </c>
      <c r="M695">
        <f>Dataset_3!M85</f>
        <v>0</v>
      </c>
      <c r="N695">
        <f>Dataset_3!N85</f>
        <v>0</v>
      </c>
      <c r="O695">
        <f>Dataset_3!O85</f>
        <v>22</v>
      </c>
      <c r="P695">
        <f>Dataset_3!P85</f>
        <v>22</v>
      </c>
      <c r="Q695" t="str">
        <f t="shared" si="130"/>
        <v>REC-0694</v>
      </c>
      <c r="R695" s="62">
        <f t="shared" si="131"/>
        <v>40575.25</v>
      </c>
      <c r="S695" t="str">
        <f t="shared" si="132"/>
        <v>Feb</v>
      </c>
      <c r="T695" t="str">
        <f>INDEX(Lookups!$B$39:$B$45,MATCH(H695,Lookups!$A$39:$A$45,0))</f>
        <v>Tue</v>
      </c>
      <c r="U695" t="str">
        <f t="shared" si="133"/>
        <v>Weekday</v>
      </c>
      <c r="V695" t="str">
        <f t="shared" si="134"/>
        <v>Working Day</v>
      </c>
      <c r="W695" t="str">
        <f t="shared" si="135"/>
        <v>Spring</v>
      </c>
      <c r="X695" t="str">
        <f t="shared" si="136"/>
        <v>Light Rain/Snow</v>
      </c>
      <c r="Y695" t="str">
        <f t="shared" si="137"/>
        <v>Morning</v>
      </c>
      <c r="Z695" t="str">
        <f t="shared" si="138"/>
        <v>Cold</v>
      </c>
      <c r="AA695" t="str">
        <f t="shared" si="139"/>
        <v>High</v>
      </c>
      <c r="AB695" t="str">
        <f t="shared" si="140"/>
        <v>Off-Peak</v>
      </c>
      <c r="AC695" s="63">
        <f t="shared" si="141"/>
        <v>0</v>
      </c>
      <c r="AD695" t="str">
        <f>IF(P695&gt;=Stats!$C$30,"High",IF(P695&lt;=Stats!$C$29,"Low","Normal"))</f>
        <v>Normal</v>
      </c>
      <c r="AE695">
        <f t="shared" si="142"/>
        <v>1</v>
      </c>
    </row>
    <row r="696" spans="1:31" x14ac:dyDescent="0.2">
      <c r="A696">
        <f>Dataset_3!A86</f>
        <v>695</v>
      </c>
      <c r="B696" s="61">
        <f>Dataset_3!B86</f>
        <v>40575</v>
      </c>
      <c r="C696">
        <f>Dataset_3!C86</f>
        <v>1</v>
      </c>
      <c r="D696">
        <f>Dataset_3!D86</f>
        <v>0</v>
      </c>
      <c r="E696">
        <f>Dataset_3!E86</f>
        <v>2</v>
      </c>
      <c r="F696">
        <f>Dataset_3!F86</f>
        <v>7</v>
      </c>
      <c r="G696" t="b">
        <f>Dataset_3!G86</f>
        <v>0</v>
      </c>
      <c r="H696">
        <f>Dataset_3!H86</f>
        <v>2</v>
      </c>
      <c r="I696">
        <f>Dataset_3!I86</f>
        <v>3</v>
      </c>
      <c r="J696" s="55">
        <f>Dataset_3!J86</f>
        <v>0.16</v>
      </c>
      <c r="K696">
        <f>Dataset_3!K86</f>
        <v>0.2273</v>
      </c>
      <c r="L696">
        <f>Dataset_3!L86</f>
        <v>0.93</v>
      </c>
      <c r="M696">
        <f>Dataset_3!M86</f>
        <v>0</v>
      </c>
      <c r="N696">
        <f>Dataset_3!N86</f>
        <v>0</v>
      </c>
      <c r="O696">
        <f>Dataset_3!O86</f>
        <v>52</v>
      </c>
      <c r="P696">
        <f>Dataset_3!P86</f>
        <v>52</v>
      </c>
      <c r="Q696" t="str">
        <f t="shared" si="130"/>
        <v>REC-0695</v>
      </c>
      <c r="R696" s="62">
        <f t="shared" si="131"/>
        <v>40575.291666666664</v>
      </c>
      <c r="S696" t="str">
        <f t="shared" si="132"/>
        <v>Feb</v>
      </c>
      <c r="T696" t="str">
        <f>INDEX(Lookups!$B$39:$B$45,MATCH(H696,Lookups!$A$39:$A$45,0))</f>
        <v>Tue</v>
      </c>
      <c r="U696" t="str">
        <f t="shared" si="133"/>
        <v>Weekday</v>
      </c>
      <c r="V696" t="str">
        <f t="shared" si="134"/>
        <v>Working Day</v>
      </c>
      <c r="W696" t="str">
        <f t="shared" si="135"/>
        <v>Spring</v>
      </c>
      <c r="X696" t="str">
        <f t="shared" si="136"/>
        <v>Light Rain/Snow</v>
      </c>
      <c r="Y696" t="str">
        <f t="shared" si="137"/>
        <v>Morning</v>
      </c>
      <c r="Z696" t="str">
        <f t="shared" si="138"/>
        <v>Cold</v>
      </c>
      <c r="AA696" t="str">
        <f t="shared" si="139"/>
        <v>High</v>
      </c>
      <c r="AB696" t="str">
        <f t="shared" si="140"/>
        <v>Peak</v>
      </c>
      <c r="AC696" s="63">
        <f t="shared" si="141"/>
        <v>0</v>
      </c>
      <c r="AD696" t="str">
        <f>IF(P696&gt;=Stats!$C$30,"High",IF(P696&lt;=Stats!$C$29,"Low","Normal"))</f>
        <v>Normal</v>
      </c>
      <c r="AE696">
        <f t="shared" si="142"/>
        <v>1</v>
      </c>
    </row>
    <row r="697" spans="1:31" x14ac:dyDescent="0.2">
      <c r="A697">
        <f>Dataset_3!A87</f>
        <v>696</v>
      </c>
      <c r="B697" s="61">
        <f>Dataset_3!B87</f>
        <v>40575</v>
      </c>
      <c r="C697">
        <f>Dataset_3!C87</f>
        <v>1</v>
      </c>
      <c r="D697">
        <f>Dataset_3!D87</f>
        <v>0</v>
      </c>
      <c r="E697">
        <f>Dataset_3!E87</f>
        <v>2</v>
      </c>
      <c r="F697">
        <f>Dataset_3!F87</f>
        <v>8</v>
      </c>
      <c r="G697" t="b">
        <f>Dataset_3!G87</f>
        <v>0</v>
      </c>
      <c r="H697">
        <f>Dataset_3!H87</f>
        <v>2</v>
      </c>
      <c r="I697">
        <f>Dataset_3!I87</f>
        <v>3</v>
      </c>
      <c r="J697" s="55">
        <f>Dataset_3!J87</f>
        <v>0.16</v>
      </c>
      <c r="K697">
        <f>Dataset_3!K87</f>
        <v>0.2273</v>
      </c>
      <c r="L697">
        <f>Dataset_3!L87</f>
        <v>0.93</v>
      </c>
      <c r="M697">
        <f>Dataset_3!M87</f>
        <v>0</v>
      </c>
      <c r="N697">
        <f>Dataset_3!N87</f>
        <v>3</v>
      </c>
      <c r="O697">
        <f>Dataset_3!O87</f>
        <v>132</v>
      </c>
      <c r="P697">
        <f>Dataset_3!P87</f>
        <v>135</v>
      </c>
      <c r="Q697" t="str">
        <f t="shared" si="130"/>
        <v>REC-0696</v>
      </c>
      <c r="R697" s="62">
        <f t="shared" si="131"/>
        <v>40575.333333333336</v>
      </c>
      <c r="S697" t="str">
        <f t="shared" si="132"/>
        <v>Feb</v>
      </c>
      <c r="T697" t="str">
        <f>INDEX(Lookups!$B$39:$B$45,MATCH(H697,Lookups!$A$39:$A$45,0))</f>
        <v>Tue</v>
      </c>
      <c r="U697" t="str">
        <f t="shared" si="133"/>
        <v>Weekday</v>
      </c>
      <c r="V697" t="str">
        <f t="shared" si="134"/>
        <v>Working Day</v>
      </c>
      <c r="W697" t="str">
        <f t="shared" si="135"/>
        <v>Spring</v>
      </c>
      <c r="X697" t="str">
        <f t="shared" si="136"/>
        <v>Light Rain/Snow</v>
      </c>
      <c r="Y697" t="str">
        <f t="shared" si="137"/>
        <v>Morning</v>
      </c>
      <c r="Z697" t="str">
        <f t="shared" si="138"/>
        <v>Cold</v>
      </c>
      <c r="AA697" t="str">
        <f t="shared" si="139"/>
        <v>High</v>
      </c>
      <c r="AB697" t="str">
        <f t="shared" si="140"/>
        <v>Peak</v>
      </c>
      <c r="AC697" s="63">
        <f t="shared" si="141"/>
        <v>2.2222222222222223E-2</v>
      </c>
      <c r="AD697" t="str">
        <f>IF(P697&gt;=Stats!$C$30,"High",IF(P697&lt;=Stats!$C$29,"Low","Normal"))</f>
        <v>High</v>
      </c>
      <c r="AE697">
        <f t="shared" si="142"/>
        <v>1</v>
      </c>
    </row>
    <row r="698" spans="1:31" x14ac:dyDescent="0.2">
      <c r="A698">
        <f>Dataset_3!A88</f>
        <v>697</v>
      </c>
      <c r="B698" s="61">
        <f>Dataset_3!B88</f>
        <v>40575</v>
      </c>
      <c r="C698">
        <f>Dataset_3!C88</f>
        <v>1</v>
      </c>
      <c r="D698">
        <f>Dataset_3!D88</f>
        <v>0</v>
      </c>
      <c r="E698">
        <f>Dataset_3!E88</f>
        <v>2</v>
      </c>
      <c r="F698">
        <f>Dataset_3!F88</f>
        <v>9</v>
      </c>
      <c r="G698" t="b">
        <f>Dataset_3!G88</f>
        <v>0</v>
      </c>
      <c r="H698">
        <f>Dataset_3!H88</f>
        <v>2</v>
      </c>
      <c r="I698">
        <f>Dataset_3!I88</f>
        <v>2</v>
      </c>
      <c r="J698" s="55">
        <f>Dataset_3!J88</f>
        <v>0.16</v>
      </c>
      <c r="K698">
        <f>Dataset_3!K88</f>
        <v>0.2273</v>
      </c>
      <c r="L698">
        <f>Dataset_3!L88</f>
        <v>0.93</v>
      </c>
      <c r="M698">
        <f>Dataset_3!M88</f>
        <v>0</v>
      </c>
      <c r="N698">
        <f>Dataset_3!N88</f>
        <v>2</v>
      </c>
      <c r="O698">
        <f>Dataset_3!O88</f>
        <v>114</v>
      </c>
      <c r="P698">
        <f>Dataset_3!P88</f>
        <v>116</v>
      </c>
      <c r="Q698" t="str">
        <f t="shared" si="130"/>
        <v>REC-0697</v>
      </c>
      <c r="R698" s="62">
        <f t="shared" si="131"/>
        <v>40575.375</v>
      </c>
      <c r="S698" t="str">
        <f t="shared" si="132"/>
        <v>Feb</v>
      </c>
      <c r="T698" t="str">
        <f>INDEX(Lookups!$B$39:$B$45,MATCH(H698,Lookups!$A$39:$A$45,0))</f>
        <v>Tue</v>
      </c>
      <c r="U698" t="str">
        <f t="shared" si="133"/>
        <v>Weekday</v>
      </c>
      <c r="V698" t="str">
        <f t="shared" si="134"/>
        <v>Working Day</v>
      </c>
      <c r="W698" t="str">
        <f t="shared" si="135"/>
        <v>Spring</v>
      </c>
      <c r="X698" t="str">
        <f t="shared" si="136"/>
        <v>Cloudy/Mist</v>
      </c>
      <c r="Y698" t="str">
        <f t="shared" si="137"/>
        <v>Morning</v>
      </c>
      <c r="Z698" t="str">
        <f t="shared" si="138"/>
        <v>Cold</v>
      </c>
      <c r="AA698" t="str">
        <f t="shared" si="139"/>
        <v>High</v>
      </c>
      <c r="AB698" t="str">
        <f t="shared" si="140"/>
        <v>Peak</v>
      </c>
      <c r="AC698" s="63">
        <f t="shared" si="141"/>
        <v>1.7241379310344827E-2</v>
      </c>
      <c r="AD698" t="str">
        <f>IF(P698&gt;=Stats!$C$30,"High",IF(P698&lt;=Stats!$C$29,"Low","Normal"))</f>
        <v>High</v>
      </c>
      <c r="AE698">
        <f t="shared" si="142"/>
        <v>1</v>
      </c>
    </row>
    <row r="699" spans="1:31" x14ac:dyDescent="0.2">
      <c r="A699">
        <f>Dataset_3!A89</f>
        <v>698</v>
      </c>
      <c r="B699" s="61">
        <f>Dataset_3!B89</f>
        <v>40575</v>
      </c>
      <c r="C699">
        <f>Dataset_3!C89</f>
        <v>1</v>
      </c>
      <c r="D699">
        <f>Dataset_3!D89</f>
        <v>0</v>
      </c>
      <c r="E699">
        <f>Dataset_3!E89</f>
        <v>2</v>
      </c>
      <c r="F699">
        <f>Dataset_3!F89</f>
        <v>10</v>
      </c>
      <c r="G699" t="b">
        <f>Dataset_3!G89</f>
        <v>0</v>
      </c>
      <c r="H699">
        <f>Dataset_3!H89</f>
        <v>2</v>
      </c>
      <c r="I699">
        <f>Dataset_3!I89</f>
        <v>2</v>
      </c>
      <c r="J699" s="55">
        <f>Dataset_3!J89</f>
        <v>0.16</v>
      </c>
      <c r="K699">
        <f>Dataset_3!K89</f>
        <v>0.2273</v>
      </c>
      <c r="L699">
        <f>Dataset_3!L89</f>
        <v>0.93</v>
      </c>
      <c r="M699">
        <f>Dataset_3!M89</f>
        <v>0</v>
      </c>
      <c r="N699">
        <f>Dataset_3!N89</f>
        <v>0</v>
      </c>
      <c r="O699">
        <f>Dataset_3!O89</f>
        <v>47</v>
      </c>
      <c r="P699">
        <f>Dataset_3!P89</f>
        <v>47</v>
      </c>
      <c r="Q699" t="str">
        <f t="shared" si="130"/>
        <v>REC-0698</v>
      </c>
      <c r="R699" s="62">
        <f t="shared" si="131"/>
        <v>40575.416666666664</v>
      </c>
      <c r="S699" t="str">
        <f t="shared" si="132"/>
        <v>Feb</v>
      </c>
      <c r="T699" t="str">
        <f>INDEX(Lookups!$B$39:$B$45,MATCH(H699,Lookups!$A$39:$A$45,0))</f>
        <v>Tue</v>
      </c>
      <c r="U699" t="str">
        <f t="shared" si="133"/>
        <v>Weekday</v>
      </c>
      <c r="V699" t="str">
        <f t="shared" si="134"/>
        <v>Working Day</v>
      </c>
      <c r="W699" t="str">
        <f t="shared" si="135"/>
        <v>Spring</v>
      </c>
      <c r="X699" t="str">
        <f t="shared" si="136"/>
        <v>Cloudy/Mist</v>
      </c>
      <c r="Y699" t="str">
        <f t="shared" si="137"/>
        <v>Morning</v>
      </c>
      <c r="Z699" t="str">
        <f t="shared" si="138"/>
        <v>Cold</v>
      </c>
      <c r="AA699" t="str">
        <f t="shared" si="139"/>
        <v>High</v>
      </c>
      <c r="AB699" t="str">
        <f t="shared" si="140"/>
        <v>Off-Peak</v>
      </c>
      <c r="AC699" s="63">
        <f t="shared" si="141"/>
        <v>0</v>
      </c>
      <c r="AD699" t="str">
        <f>IF(P699&gt;=Stats!$C$30,"High",IF(P699&lt;=Stats!$C$29,"Low","Normal"))</f>
        <v>Normal</v>
      </c>
      <c r="AE699">
        <f t="shared" si="142"/>
        <v>1</v>
      </c>
    </row>
    <row r="700" spans="1:31" x14ac:dyDescent="0.2">
      <c r="A700">
        <f>Dataset_3!A90</f>
        <v>699</v>
      </c>
      <c r="B700" s="61">
        <f>Dataset_3!B90</f>
        <v>40575</v>
      </c>
      <c r="C700">
        <f>Dataset_3!C90</f>
        <v>1</v>
      </c>
      <c r="D700">
        <f>Dataset_3!D90</f>
        <v>0</v>
      </c>
      <c r="E700">
        <f>Dataset_3!E90</f>
        <v>2</v>
      </c>
      <c r="F700">
        <f>Dataset_3!F90</f>
        <v>11</v>
      </c>
      <c r="G700" t="b">
        <f>Dataset_3!G90</f>
        <v>0</v>
      </c>
      <c r="H700">
        <f>Dataset_3!H90</f>
        <v>2</v>
      </c>
      <c r="I700">
        <f>Dataset_3!I90</f>
        <v>2</v>
      </c>
      <c r="J700" s="55">
        <f>Dataset_3!J90</f>
        <v>0.18</v>
      </c>
      <c r="K700">
        <f>Dataset_3!K90</f>
        <v>0.2424</v>
      </c>
      <c r="L700">
        <f>Dataset_3!L90</f>
        <v>0.86</v>
      </c>
      <c r="M700">
        <f>Dataset_3!M90</f>
        <v>0</v>
      </c>
      <c r="N700">
        <f>Dataset_3!N90</f>
        <v>2</v>
      </c>
      <c r="O700">
        <f>Dataset_3!O90</f>
        <v>49</v>
      </c>
      <c r="P700">
        <f>Dataset_3!P90</f>
        <v>51</v>
      </c>
      <c r="Q700" t="str">
        <f t="shared" si="130"/>
        <v>REC-0699</v>
      </c>
      <c r="R700" s="62">
        <f t="shared" si="131"/>
        <v>40575.458333333336</v>
      </c>
      <c r="S700" t="str">
        <f t="shared" si="132"/>
        <v>Feb</v>
      </c>
      <c r="T700" t="str">
        <f>INDEX(Lookups!$B$39:$B$45,MATCH(H700,Lookups!$A$39:$A$45,0))</f>
        <v>Tue</v>
      </c>
      <c r="U700" t="str">
        <f t="shared" si="133"/>
        <v>Weekday</v>
      </c>
      <c r="V700" t="str">
        <f t="shared" si="134"/>
        <v>Working Day</v>
      </c>
      <c r="W700" t="str">
        <f t="shared" si="135"/>
        <v>Spring</v>
      </c>
      <c r="X700" t="str">
        <f t="shared" si="136"/>
        <v>Cloudy/Mist</v>
      </c>
      <c r="Y700" t="str">
        <f t="shared" si="137"/>
        <v>Morning</v>
      </c>
      <c r="Z700" t="str">
        <f t="shared" si="138"/>
        <v>Cold</v>
      </c>
      <c r="AA700" t="str">
        <f t="shared" si="139"/>
        <v>High</v>
      </c>
      <c r="AB700" t="str">
        <f t="shared" si="140"/>
        <v>Off-Peak</v>
      </c>
      <c r="AC700" s="63">
        <f t="shared" si="141"/>
        <v>3.9215686274509803E-2</v>
      </c>
      <c r="AD700" t="str">
        <f>IF(P700&gt;=Stats!$C$30,"High",IF(P700&lt;=Stats!$C$29,"Low","Normal"))</f>
        <v>Normal</v>
      </c>
      <c r="AE700">
        <f t="shared" si="142"/>
        <v>1</v>
      </c>
    </row>
    <row r="701" spans="1:31" x14ac:dyDescent="0.2">
      <c r="A701">
        <f>Dataset_3!A91</f>
        <v>700</v>
      </c>
      <c r="B701" s="61">
        <f>Dataset_3!B91</f>
        <v>40575</v>
      </c>
      <c r="C701">
        <f>Dataset_3!C91</f>
        <v>1</v>
      </c>
      <c r="D701">
        <f>Dataset_3!D91</f>
        <v>0</v>
      </c>
      <c r="E701">
        <f>Dataset_3!E91</f>
        <v>2</v>
      </c>
      <c r="F701">
        <f>Dataset_3!F91</f>
        <v>12</v>
      </c>
      <c r="G701" t="b">
        <f>Dataset_3!G91</f>
        <v>0</v>
      </c>
      <c r="H701">
        <f>Dataset_3!H91</f>
        <v>2</v>
      </c>
      <c r="I701">
        <f>Dataset_3!I91</f>
        <v>2</v>
      </c>
      <c r="J701" s="55">
        <f>Dataset_3!J91</f>
        <v>0.2</v>
      </c>
      <c r="K701">
        <f>Dataset_3!K91</f>
        <v>0.2576</v>
      </c>
      <c r="L701">
        <f>Dataset_3!L91</f>
        <v>0.86</v>
      </c>
      <c r="M701">
        <f>Dataset_3!M91</f>
        <v>0</v>
      </c>
      <c r="N701">
        <f>Dataset_3!N91</f>
        <v>2</v>
      </c>
      <c r="O701">
        <f>Dataset_3!O91</f>
        <v>53</v>
      </c>
      <c r="P701">
        <f>Dataset_3!P91</f>
        <v>55</v>
      </c>
      <c r="Q701" t="str">
        <f t="shared" si="130"/>
        <v>REC-0700</v>
      </c>
      <c r="R701" s="62">
        <f t="shared" si="131"/>
        <v>40575.5</v>
      </c>
      <c r="S701" t="str">
        <f t="shared" si="132"/>
        <v>Feb</v>
      </c>
      <c r="T701" t="str">
        <f>INDEX(Lookups!$B$39:$B$45,MATCH(H701,Lookups!$A$39:$A$45,0))</f>
        <v>Tue</v>
      </c>
      <c r="U701" t="str">
        <f t="shared" si="133"/>
        <v>Weekday</v>
      </c>
      <c r="V701" t="str">
        <f t="shared" si="134"/>
        <v>Working Day</v>
      </c>
      <c r="W701" t="str">
        <f t="shared" si="135"/>
        <v>Spring</v>
      </c>
      <c r="X701" t="str">
        <f t="shared" si="136"/>
        <v>Cloudy/Mist</v>
      </c>
      <c r="Y701" t="str">
        <f t="shared" si="137"/>
        <v>Afternoon</v>
      </c>
      <c r="Z701" t="str">
        <f t="shared" si="138"/>
        <v>Mild</v>
      </c>
      <c r="AA701" t="str">
        <f t="shared" si="139"/>
        <v>High</v>
      </c>
      <c r="AB701" t="str">
        <f t="shared" si="140"/>
        <v>Off-Peak</v>
      </c>
      <c r="AC701" s="63">
        <f t="shared" si="141"/>
        <v>3.6363636363636362E-2</v>
      </c>
      <c r="AD701" t="str">
        <f>IF(P701&gt;=Stats!$C$30,"High",IF(P701&lt;=Stats!$C$29,"Low","Normal"))</f>
        <v>Normal</v>
      </c>
      <c r="AE701">
        <f t="shared" si="142"/>
        <v>1</v>
      </c>
    </row>
    <row r="702" spans="1:31" x14ac:dyDescent="0.2">
      <c r="A702">
        <f>Dataset_3!A92</f>
        <v>701</v>
      </c>
      <c r="B702" s="61">
        <f>Dataset_3!B92</f>
        <v>40575</v>
      </c>
      <c r="C702">
        <f>Dataset_3!C92</f>
        <v>1</v>
      </c>
      <c r="D702">
        <f>Dataset_3!D92</f>
        <v>0</v>
      </c>
      <c r="E702">
        <f>Dataset_3!E92</f>
        <v>2</v>
      </c>
      <c r="F702">
        <f>Dataset_3!F92</f>
        <v>13</v>
      </c>
      <c r="G702" t="b">
        <f>Dataset_3!G92</f>
        <v>0</v>
      </c>
      <c r="H702">
        <f>Dataset_3!H92</f>
        <v>2</v>
      </c>
      <c r="I702">
        <f>Dataset_3!I92</f>
        <v>2</v>
      </c>
      <c r="J702" s="55">
        <f>Dataset_3!J92</f>
        <v>0.2</v>
      </c>
      <c r="K702">
        <f>Dataset_3!K92</f>
        <v>0.2576</v>
      </c>
      <c r="L702">
        <f>Dataset_3!L92</f>
        <v>0.86</v>
      </c>
      <c r="M702">
        <f>Dataset_3!M92</f>
        <v>0</v>
      </c>
      <c r="N702">
        <f>Dataset_3!N92</f>
        <v>3</v>
      </c>
      <c r="O702">
        <f>Dataset_3!O92</f>
        <v>49</v>
      </c>
      <c r="P702">
        <f>Dataset_3!P92</f>
        <v>52</v>
      </c>
      <c r="Q702" t="str">
        <f t="shared" si="130"/>
        <v>REC-0701</v>
      </c>
      <c r="R702" s="62">
        <f t="shared" si="131"/>
        <v>40575.541666666664</v>
      </c>
      <c r="S702" t="str">
        <f t="shared" si="132"/>
        <v>Feb</v>
      </c>
      <c r="T702" t="str">
        <f>INDEX(Lookups!$B$39:$B$45,MATCH(H702,Lookups!$A$39:$A$45,0))</f>
        <v>Tue</v>
      </c>
      <c r="U702" t="str">
        <f t="shared" si="133"/>
        <v>Weekday</v>
      </c>
      <c r="V702" t="str">
        <f t="shared" si="134"/>
        <v>Working Day</v>
      </c>
      <c r="W702" t="str">
        <f t="shared" si="135"/>
        <v>Spring</v>
      </c>
      <c r="X702" t="str">
        <f t="shared" si="136"/>
        <v>Cloudy/Mist</v>
      </c>
      <c r="Y702" t="str">
        <f t="shared" si="137"/>
        <v>Afternoon</v>
      </c>
      <c r="Z702" t="str">
        <f t="shared" si="138"/>
        <v>Mild</v>
      </c>
      <c r="AA702" t="str">
        <f t="shared" si="139"/>
        <v>High</v>
      </c>
      <c r="AB702" t="str">
        <f t="shared" si="140"/>
        <v>Off-Peak</v>
      </c>
      <c r="AC702" s="63">
        <f t="shared" si="141"/>
        <v>5.7692307692307696E-2</v>
      </c>
      <c r="AD702" t="str">
        <f>IF(P702&gt;=Stats!$C$30,"High",IF(P702&lt;=Stats!$C$29,"Low","Normal"))</f>
        <v>Normal</v>
      </c>
      <c r="AE702">
        <f t="shared" si="142"/>
        <v>1</v>
      </c>
    </row>
    <row r="703" spans="1:31" x14ac:dyDescent="0.2">
      <c r="A703">
        <f>Dataset_3!A93</f>
        <v>702</v>
      </c>
      <c r="B703" s="61">
        <f>Dataset_3!B93</f>
        <v>40575</v>
      </c>
      <c r="C703">
        <f>Dataset_3!C93</f>
        <v>1</v>
      </c>
      <c r="D703">
        <f>Dataset_3!D93</f>
        <v>0</v>
      </c>
      <c r="E703">
        <f>Dataset_3!E93</f>
        <v>2</v>
      </c>
      <c r="F703">
        <f>Dataset_3!F93</f>
        <v>14</v>
      </c>
      <c r="G703" t="b">
        <f>Dataset_3!G93</f>
        <v>0</v>
      </c>
      <c r="H703">
        <f>Dataset_3!H93</f>
        <v>2</v>
      </c>
      <c r="I703">
        <f>Dataset_3!I93</f>
        <v>2</v>
      </c>
      <c r="J703" s="55">
        <f>Dataset_3!J93</f>
        <v>0.22</v>
      </c>
      <c r="K703">
        <f>Dataset_3!K93</f>
        <v>0.2576</v>
      </c>
      <c r="L703">
        <f>Dataset_3!L93</f>
        <v>0.8</v>
      </c>
      <c r="M703">
        <f>Dataset_3!M93</f>
        <v>8.9599999999999999E-2</v>
      </c>
      <c r="N703">
        <f>Dataset_3!N93</f>
        <v>5</v>
      </c>
      <c r="O703">
        <f>Dataset_3!O93</f>
        <v>49</v>
      </c>
      <c r="P703">
        <f>Dataset_3!P93</f>
        <v>54</v>
      </c>
      <c r="Q703" t="str">
        <f t="shared" si="130"/>
        <v>REC-0702</v>
      </c>
      <c r="R703" s="62">
        <f t="shared" si="131"/>
        <v>40575.583333333336</v>
      </c>
      <c r="S703" t="str">
        <f t="shared" si="132"/>
        <v>Feb</v>
      </c>
      <c r="T703" t="str">
        <f>INDEX(Lookups!$B$39:$B$45,MATCH(H703,Lookups!$A$39:$A$45,0))</f>
        <v>Tue</v>
      </c>
      <c r="U703" t="str">
        <f t="shared" si="133"/>
        <v>Weekday</v>
      </c>
      <c r="V703" t="str">
        <f t="shared" si="134"/>
        <v>Working Day</v>
      </c>
      <c r="W703" t="str">
        <f t="shared" si="135"/>
        <v>Spring</v>
      </c>
      <c r="X703" t="str">
        <f t="shared" si="136"/>
        <v>Cloudy/Mist</v>
      </c>
      <c r="Y703" t="str">
        <f t="shared" si="137"/>
        <v>Afternoon</v>
      </c>
      <c r="Z703" t="str">
        <f t="shared" si="138"/>
        <v>Mild</v>
      </c>
      <c r="AA703" t="str">
        <f t="shared" si="139"/>
        <v>High</v>
      </c>
      <c r="AB703" t="str">
        <f t="shared" si="140"/>
        <v>Off-Peak</v>
      </c>
      <c r="AC703" s="63">
        <f t="shared" si="141"/>
        <v>9.2592592592592587E-2</v>
      </c>
      <c r="AD703" t="str">
        <f>IF(P703&gt;=Stats!$C$30,"High",IF(P703&lt;=Stats!$C$29,"Low","Normal"))</f>
        <v>Normal</v>
      </c>
      <c r="AE703">
        <f t="shared" si="142"/>
        <v>1</v>
      </c>
    </row>
    <row r="704" spans="1:31" x14ac:dyDescent="0.2">
      <c r="A704">
        <f>Dataset_3!A94</f>
        <v>703</v>
      </c>
      <c r="B704" s="61">
        <f>Dataset_3!B94</f>
        <v>40575</v>
      </c>
      <c r="C704">
        <f>Dataset_3!C94</f>
        <v>1</v>
      </c>
      <c r="D704">
        <f>Dataset_3!D94</f>
        <v>0</v>
      </c>
      <c r="E704">
        <f>Dataset_3!E94</f>
        <v>2</v>
      </c>
      <c r="F704">
        <f>Dataset_3!F94</f>
        <v>15</v>
      </c>
      <c r="G704" t="b">
        <f>Dataset_3!G94</f>
        <v>0</v>
      </c>
      <c r="H704">
        <f>Dataset_3!H94</f>
        <v>2</v>
      </c>
      <c r="I704">
        <f>Dataset_3!I94</f>
        <v>2</v>
      </c>
      <c r="J704" s="55">
        <f>Dataset_3!J94</f>
        <v>0.24</v>
      </c>
      <c r="K704">
        <f>Dataset_3!K94</f>
        <v>0.28789999999999999</v>
      </c>
      <c r="L704">
        <f>Dataset_3!L94</f>
        <v>0.75</v>
      </c>
      <c r="M704">
        <f>Dataset_3!M94</f>
        <v>0</v>
      </c>
      <c r="N704">
        <f>Dataset_3!N94</f>
        <v>7</v>
      </c>
      <c r="O704">
        <f>Dataset_3!O94</f>
        <v>45</v>
      </c>
      <c r="P704">
        <f>Dataset_3!P94</f>
        <v>52</v>
      </c>
      <c r="Q704" t="str">
        <f t="shared" si="130"/>
        <v>REC-0703</v>
      </c>
      <c r="R704" s="62">
        <f t="shared" si="131"/>
        <v>40575.625</v>
      </c>
      <c r="S704" t="str">
        <f t="shared" si="132"/>
        <v>Feb</v>
      </c>
      <c r="T704" t="str">
        <f>INDEX(Lookups!$B$39:$B$45,MATCH(H704,Lookups!$A$39:$A$45,0))</f>
        <v>Tue</v>
      </c>
      <c r="U704" t="str">
        <f t="shared" si="133"/>
        <v>Weekday</v>
      </c>
      <c r="V704" t="str">
        <f t="shared" si="134"/>
        <v>Working Day</v>
      </c>
      <c r="W704" t="str">
        <f t="shared" si="135"/>
        <v>Spring</v>
      </c>
      <c r="X704" t="str">
        <f t="shared" si="136"/>
        <v>Cloudy/Mist</v>
      </c>
      <c r="Y704" t="str">
        <f t="shared" si="137"/>
        <v>Afternoon</v>
      </c>
      <c r="Z704" t="str">
        <f t="shared" si="138"/>
        <v>Mild</v>
      </c>
      <c r="AA704" t="str">
        <f t="shared" si="139"/>
        <v>High</v>
      </c>
      <c r="AB704" t="str">
        <f t="shared" si="140"/>
        <v>Off-Peak</v>
      </c>
      <c r="AC704" s="63">
        <f t="shared" si="141"/>
        <v>0.13461538461538461</v>
      </c>
      <c r="AD704" t="str">
        <f>IF(P704&gt;=Stats!$C$30,"High",IF(P704&lt;=Stats!$C$29,"Low","Normal"))</f>
        <v>Normal</v>
      </c>
      <c r="AE704">
        <f t="shared" si="142"/>
        <v>1</v>
      </c>
    </row>
    <row r="705" spans="1:31" x14ac:dyDescent="0.2">
      <c r="A705">
        <f>Dataset_3!A95</f>
        <v>704</v>
      </c>
      <c r="B705" s="61">
        <f>Dataset_3!B95</f>
        <v>40575</v>
      </c>
      <c r="C705">
        <f>Dataset_3!C95</f>
        <v>1</v>
      </c>
      <c r="D705">
        <f>Dataset_3!D95</f>
        <v>0</v>
      </c>
      <c r="E705">
        <f>Dataset_3!E95</f>
        <v>2</v>
      </c>
      <c r="F705">
        <f>Dataset_3!F95</f>
        <v>16</v>
      </c>
      <c r="G705" t="b">
        <f>Dataset_3!G95</f>
        <v>0</v>
      </c>
      <c r="H705">
        <f>Dataset_3!H95</f>
        <v>2</v>
      </c>
      <c r="I705">
        <f>Dataset_3!I95</f>
        <v>2</v>
      </c>
      <c r="J705" s="55">
        <f>Dataset_3!J95</f>
        <v>0.24</v>
      </c>
      <c r="K705">
        <f>Dataset_3!K95</f>
        <v>0.2424</v>
      </c>
      <c r="L705">
        <f>Dataset_3!L95</f>
        <v>0.75</v>
      </c>
      <c r="M705">
        <f>Dataset_3!M95</f>
        <v>0.1343</v>
      </c>
      <c r="N705">
        <f>Dataset_3!N95</f>
        <v>3</v>
      </c>
      <c r="O705">
        <f>Dataset_3!O95</f>
        <v>61</v>
      </c>
      <c r="P705">
        <f>Dataset_3!P95</f>
        <v>64</v>
      </c>
      <c r="Q705" t="str">
        <f t="shared" si="130"/>
        <v>REC-0704</v>
      </c>
      <c r="R705" s="62">
        <f t="shared" si="131"/>
        <v>40575.666666666664</v>
      </c>
      <c r="S705" t="str">
        <f t="shared" si="132"/>
        <v>Feb</v>
      </c>
      <c r="T705" t="str">
        <f>INDEX(Lookups!$B$39:$B$45,MATCH(H705,Lookups!$A$39:$A$45,0))</f>
        <v>Tue</v>
      </c>
      <c r="U705" t="str">
        <f t="shared" si="133"/>
        <v>Weekday</v>
      </c>
      <c r="V705" t="str">
        <f t="shared" si="134"/>
        <v>Working Day</v>
      </c>
      <c r="W705" t="str">
        <f t="shared" si="135"/>
        <v>Spring</v>
      </c>
      <c r="X705" t="str">
        <f t="shared" si="136"/>
        <v>Cloudy/Mist</v>
      </c>
      <c r="Y705" t="str">
        <f t="shared" si="137"/>
        <v>Afternoon</v>
      </c>
      <c r="Z705" t="str">
        <f t="shared" si="138"/>
        <v>Mild</v>
      </c>
      <c r="AA705" t="str">
        <f t="shared" si="139"/>
        <v>High</v>
      </c>
      <c r="AB705" t="str">
        <f t="shared" si="140"/>
        <v>Peak</v>
      </c>
      <c r="AC705" s="63">
        <f t="shared" si="141"/>
        <v>4.6875E-2</v>
      </c>
      <c r="AD705" t="str">
        <f>IF(P705&gt;=Stats!$C$30,"High",IF(P705&lt;=Stats!$C$29,"Low","Normal"))</f>
        <v>Normal</v>
      </c>
      <c r="AE705">
        <f t="shared" si="142"/>
        <v>1</v>
      </c>
    </row>
    <row r="706" spans="1:31" x14ac:dyDescent="0.2">
      <c r="A706">
        <f>Dataset_3!A96</f>
        <v>705</v>
      </c>
      <c r="B706" s="61">
        <f>Dataset_3!B96</f>
        <v>40575</v>
      </c>
      <c r="C706">
        <f>Dataset_3!C96</f>
        <v>1</v>
      </c>
      <c r="D706">
        <f>Dataset_3!D96</f>
        <v>0</v>
      </c>
      <c r="E706">
        <f>Dataset_3!E96</f>
        <v>2</v>
      </c>
      <c r="F706">
        <f>Dataset_3!F96</f>
        <v>17</v>
      </c>
      <c r="G706" t="b">
        <f>Dataset_3!G96</f>
        <v>0</v>
      </c>
      <c r="H706">
        <f>Dataset_3!H96</f>
        <v>2</v>
      </c>
      <c r="I706">
        <f>Dataset_3!I96</f>
        <v>2</v>
      </c>
      <c r="J706" s="55">
        <f>Dataset_3!J96</f>
        <v>0.24</v>
      </c>
      <c r="K706">
        <f>Dataset_3!K96</f>
        <v>0.28789999999999999</v>
      </c>
      <c r="L706">
        <f>Dataset_3!L96</f>
        <v>0.75</v>
      </c>
      <c r="M706">
        <f>Dataset_3!M96</f>
        <v>0</v>
      </c>
      <c r="N706">
        <f>Dataset_3!N96</f>
        <v>4</v>
      </c>
      <c r="O706">
        <f>Dataset_3!O96</f>
        <v>172</v>
      </c>
      <c r="P706">
        <f>Dataset_3!P96</f>
        <v>176</v>
      </c>
      <c r="Q706" t="str">
        <f t="shared" ref="Q706:Q769" si="143">"REC-"&amp;TEXT(A706,"0000")</f>
        <v>REC-0705</v>
      </c>
      <c r="R706" s="62">
        <f t="shared" ref="R706:R769" si="144">B706+F706/24</f>
        <v>40575.708333333336</v>
      </c>
      <c r="S706" t="str">
        <f t="shared" ref="S706:S769" si="145">TEXT(B706,"mmm")</f>
        <v>Feb</v>
      </c>
      <c r="T706" t="str">
        <f>INDEX(Lookups!$B$39:$B$45,MATCH(H706,Lookups!$A$39:$A$45,0))</f>
        <v>Tue</v>
      </c>
      <c r="U706" t="str">
        <f t="shared" ref="U706:U769" si="146">IF(OR(H706=0,H706=6),"Weekend","Weekday")</f>
        <v>Weekday</v>
      </c>
      <c r="V706" t="str">
        <f t="shared" ref="V706:V769" si="147">IF(OR(U706="Weekend",G706=TRUE),"Non-Working Day","Working Day")</f>
        <v>Working Day</v>
      </c>
      <c r="W706" t="str">
        <f t="shared" ref="W706:W769" si="148">VLOOKUP(C706,tbl_season,2,FALSE)</f>
        <v>Spring</v>
      </c>
      <c r="X706" t="str">
        <f t="shared" ref="X706:X769" si="149">VLOOKUP(I706,tbl_weather,2,FALSE)</f>
        <v>Cloudy/Mist</v>
      </c>
      <c r="Y706" t="str">
        <f t="shared" ref="Y706:Y769" si="150">INDEX(band_name,MATCH(F706,band_start,1))</f>
        <v>Evening</v>
      </c>
      <c r="Z706" t="str">
        <f t="shared" ref="Z706:Z769" si="151">INDEX(temp_band,MATCH(J706,temp_from,1))</f>
        <v>Mild</v>
      </c>
      <c r="AA706" t="str">
        <f t="shared" ref="AA706:AA769" si="152">INDEX(hum_band,MATCH(L706,hum_from,1))</f>
        <v>High</v>
      </c>
      <c r="AB706" t="str">
        <f t="shared" ref="AB706:AB769" si="153">IF(AND(U706="Weekday",OR(AND(F706&gt;=7,F706&lt;=9),AND(F706&gt;=16,F706&lt;=19))),"Peak","Off-Peak")</f>
        <v>Peak</v>
      </c>
      <c r="AC706" s="63">
        <f t="shared" ref="AC706:AC769" si="154">IF(P706=0,0,N706/P706)</f>
        <v>2.2727272727272728E-2</v>
      </c>
      <c r="AD706" t="str">
        <f>IF(P706&gt;=Stats!$C$30,"High",IF(P706&lt;=Stats!$C$29,"Low","Normal"))</f>
        <v>High</v>
      </c>
      <c r="AE706">
        <f t="shared" ref="AE706:AE769" si="155">SUBTOTAL(103,A706)</f>
        <v>1</v>
      </c>
    </row>
    <row r="707" spans="1:31" x14ac:dyDescent="0.2">
      <c r="A707">
        <f>Dataset_3!A97</f>
        <v>706</v>
      </c>
      <c r="B707" s="61">
        <f>Dataset_3!B97</f>
        <v>40575</v>
      </c>
      <c r="C707">
        <f>Dataset_3!C97</f>
        <v>1</v>
      </c>
      <c r="D707">
        <f>Dataset_3!D97</f>
        <v>0</v>
      </c>
      <c r="E707">
        <f>Dataset_3!E97</f>
        <v>2</v>
      </c>
      <c r="F707">
        <f>Dataset_3!F97</f>
        <v>18</v>
      </c>
      <c r="G707" t="b">
        <f>Dataset_3!G97</f>
        <v>0</v>
      </c>
      <c r="H707">
        <f>Dataset_3!H97</f>
        <v>2</v>
      </c>
      <c r="I707">
        <f>Dataset_3!I97</f>
        <v>2</v>
      </c>
      <c r="J707" s="55">
        <f>Dataset_3!J97</f>
        <v>0.24</v>
      </c>
      <c r="K707">
        <f>Dataset_3!K97</f>
        <v>0.2576</v>
      </c>
      <c r="L707">
        <f>Dataset_3!L97</f>
        <v>0.81</v>
      </c>
      <c r="M707">
        <f>Dataset_3!M97</f>
        <v>0.1045</v>
      </c>
      <c r="N707">
        <f>Dataset_3!N97</f>
        <v>3</v>
      </c>
      <c r="O707">
        <f>Dataset_3!O97</f>
        <v>165</v>
      </c>
      <c r="P707">
        <f>Dataset_3!P97</f>
        <v>168</v>
      </c>
      <c r="Q707" t="str">
        <f t="shared" si="143"/>
        <v>REC-0706</v>
      </c>
      <c r="R707" s="62">
        <f t="shared" si="144"/>
        <v>40575.75</v>
      </c>
      <c r="S707" t="str">
        <f t="shared" si="145"/>
        <v>Feb</v>
      </c>
      <c r="T707" t="str">
        <f>INDEX(Lookups!$B$39:$B$45,MATCH(H707,Lookups!$A$39:$A$45,0))</f>
        <v>Tue</v>
      </c>
      <c r="U707" t="str">
        <f t="shared" si="146"/>
        <v>Weekday</v>
      </c>
      <c r="V707" t="str">
        <f t="shared" si="147"/>
        <v>Working Day</v>
      </c>
      <c r="W707" t="str">
        <f t="shared" si="148"/>
        <v>Spring</v>
      </c>
      <c r="X707" t="str">
        <f t="shared" si="149"/>
        <v>Cloudy/Mist</v>
      </c>
      <c r="Y707" t="str">
        <f t="shared" si="150"/>
        <v>Evening</v>
      </c>
      <c r="Z707" t="str">
        <f t="shared" si="151"/>
        <v>Mild</v>
      </c>
      <c r="AA707" t="str">
        <f t="shared" si="152"/>
        <v>High</v>
      </c>
      <c r="AB707" t="str">
        <f t="shared" si="153"/>
        <v>Peak</v>
      </c>
      <c r="AC707" s="63">
        <f t="shared" si="154"/>
        <v>1.7857142857142856E-2</v>
      </c>
      <c r="AD707" t="str">
        <f>IF(P707&gt;=Stats!$C$30,"High",IF(P707&lt;=Stats!$C$29,"Low","Normal"))</f>
        <v>High</v>
      </c>
      <c r="AE707">
        <f t="shared" si="155"/>
        <v>1</v>
      </c>
    </row>
    <row r="708" spans="1:31" x14ac:dyDescent="0.2">
      <c r="A708">
        <f>Dataset_3!A98</f>
        <v>707</v>
      </c>
      <c r="B708" s="61">
        <f>Dataset_3!B98</f>
        <v>40575</v>
      </c>
      <c r="C708">
        <f>Dataset_3!C98</f>
        <v>1</v>
      </c>
      <c r="D708">
        <f>Dataset_3!D98</f>
        <v>0</v>
      </c>
      <c r="E708">
        <f>Dataset_3!E98</f>
        <v>2</v>
      </c>
      <c r="F708">
        <f>Dataset_3!F98</f>
        <v>19</v>
      </c>
      <c r="G708" t="b">
        <f>Dataset_3!G98</f>
        <v>0</v>
      </c>
      <c r="H708">
        <f>Dataset_3!H98</f>
        <v>2</v>
      </c>
      <c r="I708">
        <f>Dataset_3!I98</f>
        <v>2</v>
      </c>
      <c r="J708" s="55">
        <f>Dataset_3!J98</f>
        <v>0.24</v>
      </c>
      <c r="K708">
        <f>Dataset_3!K98</f>
        <v>0.2424</v>
      </c>
      <c r="L708">
        <f>Dataset_3!L98</f>
        <v>0.81</v>
      </c>
      <c r="M708">
        <f>Dataset_3!M98</f>
        <v>0.1343</v>
      </c>
      <c r="N708">
        <f>Dataset_3!N98</f>
        <v>3</v>
      </c>
      <c r="O708">
        <f>Dataset_3!O98</f>
        <v>105</v>
      </c>
      <c r="P708">
        <f>Dataset_3!P98</f>
        <v>108</v>
      </c>
      <c r="Q708" t="str">
        <f t="shared" si="143"/>
        <v>REC-0707</v>
      </c>
      <c r="R708" s="62">
        <f t="shared" si="144"/>
        <v>40575.791666666664</v>
      </c>
      <c r="S708" t="str">
        <f t="shared" si="145"/>
        <v>Feb</v>
      </c>
      <c r="T708" t="str">
        <f>INDEX(Lookups!$B$39:$B$45,MATCH(H708,Lookups!$A$39:$A$45,0))</f>
        <v>Tue</v>
      </c>
      <c r="U708" t="str">
        <f t="shared" si="146"/>
        <v>Weekday</v>
      </c>
      <c r="V708" t="str">
        <f t="shared" si="147"/>
        <v>Working Day</v>
      </c>
      <c r="W708" t="str">
        <f t="shared" si="148"/>
        <v>Spring</v>
      </c>
      <c r="X708" t="str">
        <f t="shared" si="149"/>
        <v>Cloudy/Mist</v>
      </c>
      <c r="Y708" t="str">
        <f t="shared" si="150"/>
        <v>Evening</v>
      </c>
      <c r="Z708" t="str">
        <f t="shared" si="151"/>
        <v>Mild</v>
      </c>
      <c r="AA708" t="str">
        <f t="shared" si="152"/>
        <v>High</v>
      </c>
      <c r="AB708" t="str">
        <f t="shared" si="153"/>
        <v>Peak</v>
      </c>
      <c r="AC708" s="63">
        <f t="shared" si="154"/>
        <v>2.7777777777777776E-2</v>
      </c>
      <c r="AD708" t="str">
        <f>IF(P708&gt;=Stats!$C$30,"High",IF(P708&lt;=Stats!$C$29,"Low","Normal"))</f>
        <v>High</v>
      </c>
      <c r="AE708">
        <f t="shared" si="155"/>
        <v>1</v>
      </c>
    </row>
    <row r="709" spans="1:31" x14ac:dyDescent="0.2">
      <c r="A709">
        <f>Dataset_3!A99</f>
        <v>708</v>
      </c>
      <c r="B709" s="61">
        <f>Dataset_3!B99</f>
        <v>40575</v>
      </c>
      <c r="C709">
        <f>Dataset_3!C99</f>
        <v>1</v>
      </c>
      <c r="D709">
        <f>Dataset_3!D99</f>
        <v>0</v>
      </c>
      <c r="E709">
        <f>Dataset_3!E99</f>
        <v>2</v>
      </c>
      <c r="F709">
        <f>Dataset_3!F99</f>
        <v>20</v>
      </c>
      <c r="G709" t="b">
        <f>Dataset_3!G99</f>
        <v>0</v>
      </c>
      <c r="H709">
        <f>Dataset_3!H99</f>
        <v>2</v>
      </c>
      <c r="I709">
        <f>Dataset_3!I99</f>
        <v>2</v>
      </c>
      <c r="J709" s="55">
        <f>Dataset_3!J99</f>
        <v>0.22</v>
      </c>
      <c r="K709">
        <f>Dataset_3!K99</f>
        <v>0.2273</v>
      </c>
      <c r="L709">
        <f>Dataset_3!L99</f>
        <v>0.87</v>
      </c>
      <c r="M709">
        <f>Dataset_3!M99</f>
        <v>0.1343</v>
      </c>
      <c r="N709">
        <f>Dataset_3!N99</f>
        <v>5</v>
      </c>
      <c r="O709">
        <f>Dataset_3!O99</f>
        <v>69</v>
      </c>
      <c r="P709">
        <f>Dataset_3!P99</f>
        <v>74</v>
      </c>
      <c r="Q709" t="str">
        <f t="shared" si="143"/>
        <v>REC-0708</v>
      </c>
      <c r="R709" s="62">
        <f t="shared" si="144"/>
        <v>40575.833333333336</v>
      </c>
      <c r="S709" t="str">
        <f t="shared" si="145"/>
        <v>Feb</v>
      </c>
      <c r="T709" t="str">
        <f>INDEX(Lookups!$B$39:$B$45,MATCH(H709,Lookups!$A$39:$A$45,0))</f>
        <v>Tue</v>
      </c>
      <c r="U709" t="str">
        <f t="shared" si="146"/>
        <v>Weekday</v>
      </c>
      <c r="V709" t="str">
        <f t="shared" si="147"/>
        <v>Working Day</v>
      </c>
      <c r="W709" t="str">
        <f t="shared" si="148"/>
        <v>Spring</v>
      </c>
      <c r="X709" t="str">
        <f t="shared" si="149"/>
        <v>Cloudy/Mist</v>
      </c>
      <c r="Y709" t="str">
        <f t="shared" si="150"/>
        <v>Evening</v>
      </c>
      <c r="Z709" t="str">
        <f t="shared" si="151"/>
        <v>Mild</v>
      </c>
      <c r="AA709" t="str">
        <f t="shared" si="152"/>
        <v>High</v>
      </c>
      <c r="AB709" t="str">
        <f t="shared" si="153"/>
        <v>Off-Peak</v>
      </c>
      <c r="AC709" s="63">
        <f t="shared" si="154"/>
        <v>6.7567567567567571E-2</v>
      </c>
      <c r="AD709" t="str">
        <f>IF(P709&gt;=Stats!$C$30,"High",IF(P709&lt;=Stats!$C$29,"Low","Normal"))</f>
        <v>Normal</v>
      </c>
      <c r="AE709">
        <f t="shared" si="155"/>
        <v>1</v>
      </c>
    </row>
    <row r="710" spans="1:31" x14ac:dyDescent="0.2">
      <c r="A710">
        <f>Dataset_3!A100</f>
        <v>709</v>
      </c>
      <c r="B710" s="61">
        <f>Dataset_3!B100</f>
        <v>40575</v>
      </c>
      <c r="C710">
        <f>Dataset_3!C100</f>
        <v>1</v>
      </c>
      <c r="D710">
        <f>Dataset_3!D100</f>
        <v>0</v>
      </c>
      <c r="E710">
        <f>Dataset_3!E100</f>
        <v>2</v>
      </c>
      <c r="F710">
        <f>Dataset_3!F100</f>
        <v>21</v>
      </c>
      <c r="G710" t="b">
        <f>Dataset_3!G100</f>
        <v>0</v>
      </c>
      <c r="H710">
        <f>Dataset_3!H100</f>
        <v>2</v>
      </c>
      <c r="I710">
        <f>Dataset_3!I100</f>
        <v>2</v>
      </c>
      <c r="J710" s="55">
        <f>Dataset_3!J100</f>
        <v>0.22</v>
      </c>
      <c r="K710">
        <f>Dataset_3!K100</f>
        <v>0.2273</v>
      </c>
      <c r="L710">
        <f>Dataset_3!L100</f>
        <v>0.87</v>
      </c>
      <c r="M710">
        <f>Dataset_3!M100</f>
        <v>0.1343</v>
      </c>
      <c r="N710">
        <f>Dataset_3!N100</f>
        <v>0</v>
      </c>
      <c r="O710">
        <f>Dataset_3!O100</f>
        <v>64</v>
      </c>
      <c r="P710">
        <f>Dataset_3!P100</f>
        <v>64</v>
      </c>
      <c r="Q710" t="str">
        <f t="shared" si="143"/>
        <v>REC-0709</v>
      </c>
      <c r="R710" s="62">
        <f t="shared" si="144"/>
        <v>40575.875</v>
      </c>
      <c r="S710" t="str">
        <f t="shared" si="145"/>
        <v>Feb</v>
      </c>
      <c r="T710" t="str">
        <f>INDEX(Lookups!$B$39:$B$45,MATCH(H710,Lookups!$A$39:$A$45,0))</f>
        <v>Tue</v>
      </c>
      <c r="U710" t="str">
        <f t="shared" si="146"/>
        <v>Weekday</v>
      </c>
      <c r="V710" t="str">
        <f t="shared" si="147"/>
        <v>Working Day</v>
      </c>
      <c r="W710" t="str">
        <f t="shared" si="148"/>
        <v>Spring</v>
      </c>
      <c r="X710" t="str">
        <f t="shared" si="149"/>
        <v>Cloudy/Mist</v>
      </c>
      <c r="Y710" t="str">
        <f t="shared" si="150"/>
        <v>Late Evening</v>
      </c>
      <c r="Z710" t="str">
        <f t="shared" si="151"/>
        <v>Mild</v>
      </c>
      <c r="AA710" t="str">
        <f t="shared" si="152"/>
        <v>High</v>
      </c>
      <c r="AB710" t="str">
        <f t="shared" si="153"/>
        <v>Off-Peak</v>
      </c>
      <c r="AC710" s="63">
        <f t="shared" si="154"/>
        <v>0</v>
      </c>
      <c r="AD710" t="str">
        <f>IF(P710&gt;=Stats!$C$30,"High",IF(P710&lt;=Stats!$C$29,"Low","Normal"))</f>
        <v>Normal</v>
      </c>
      <c r="AE710">
        <f t="shared" si="155"/>
        <v>1</v>
      </c>
    </row>
    <row r="711" spans="1:31" x14ac:dyDescent="0.2">
      <c r="A711">
        <f>Dataset_3!A101</f>
        <v>710</v>
      </c>
      <c r="B711" s="61">
        <f>Dataset_3!B101</f>
        <v>40575</v>
      </c>
      <c r="C711">
        <f>Dataset_3!C101</f>
        <v>1</v>
      </c>
      <c r="D711">
        <f>Dataset_3!D101</f>
        <v>0</v>
      </c>
      <c r="E711">
        <f>Dataset_3!E101</f>
        <v>2</v>
      </c>
      <c r="F711">
        <f>Dataset_3!F101</f>
        <v>22</v>
      </c>
      <c r="G711" t="b">
        <f>Dataset_3!G101</f>
        <v>0</v>
      </c>
      <c r="H711">
        <f>Dataset_3!H101</f>
        <v>2</v>
      </c>
      <c r="I711">
        <f>Dataset_3!I101</f>
        <v>2</v>
      </c>
      <c r="J711" s="55">
        <f>Dataset_3!J101</f>
        <v>0.22</v>
      </c>
      <c r="K711">
        <f>Dataset_3!K101</f>
        <v>0.2576</v>
      </c>
      <c r="L711">
        <f>Dataset_3!L101</f>
        <v>0.87</v>
      </c>
      <c r="M711">
        <f>Dataset_3!M101</f>
        <v>8.9599999999999999E-2</v>
      </c>
      <c r="N711">
        <f>Dataset_3!N101</f>
        <v>2</v>
      </c>
      <c r="O711">
        <f>Dataset_3!O101</f>
        <v>34</v>
      </c>
      <c r="P711">
        <f>Dataset_3!P101</f>
        <v>36</v>
      </c>
      <c r="Q711" t="str">
        <f t="shared" si="143"/>
        <v>REC-0710</v>
      </c>
      <c r="R711" s="62">
        <f t="shared" si="144"/>
        <v>40575.916666666664</v>
      </c>
      <c r="S711" t="str">
        <f t="shared" si="145"/>
        <v>Feb</v>
      </c>
      <c r="T711" t="str">
        <f>INDEX(Lookups!$B$39:$B$45,MATCH(H711,Lookups!$A$39:$A$45,0))</f>
        <v>Tue</v>
      </c>
      <c r="U711" t="str">
        <f t="shared" si="146"/>
        <v>Weekday</v>
      </c>
      <c r="V711" t="str">
        <f t="shared" si="147"/>
        <v>Working Day</v>
      </c>
      <c r="W711" t="str">
        <f t="shared" si="148"/>
        <v>Spring</v>
      </c>
      <c r="X711" t="str">
        <f t="shared" si="149"/>
        <v>Cloudy/Mist</v>
      </c>
      <c r="Y711" t="str">
        <f t="shared" si="150"/>
        <v>Late Evening</v>
      </c>
      <c r="Z711" t="str">
        <f t="shared" si="151"/>
        <v>Mild</v>
      </c>
      <c r="AA711" t="str">
        <f t="shared" si="152"/>
        <v>High</v>
      </c>
      <c r="AB711" t="str">
        <f t="shared" si="153"/>
        <v>Off-Peak</v>
      </c>
      <c r="AC711" s="63">
        <f t="shared" si="154"/>
        <v>5.5555555555555552E-2</v>
      </c>
      <c r="AD711" t="str">
        <f>IF(P711&gt;=Stats!$C$30,"High",IF(P711&lt;=Stats!$C$29,"Low","Normal"))</f>
        <v>Normal</v>
      </c>
      <c r="AE711">
        <f t="shared" si="155"/>
        <v>1</v>
      </c>
    </row>
    <row r="712" spans="1:31" x14ac:dyDescent="0.2">
      <c r="A712">
        <f>Dataset_3!A102</f>
        <v>711</v>
      </c>
      <c r="B712" s="61">
        <f>Dataset_3!B102</f>
        <v>40575</v>
      </c>
      <c r="C712">
        <f>Dataset_3!C102</f>
        <v>1</v>
      </c>
      <c r="D712">
        <f>Dataset_3!D102</f>
        <v>0</v>
      </c>
      <c r="E712">
        <f>Dataset_3!E102</f>
        <v>2</v>
      </c>
      <c r="F712">
        <f>Dataset_3!F102</f>
        <v>23</v>
      </c>
      <c r="G712" t="b">
        <f>Dataset_3!G102</f>
        <v>0</v>
      </c>
      <c r="H712">
        <f>Dataset_3!H102</f>
        <v>2</v>
      </c>
      <c r="I712">
        <f>Dataset_3!I102</f>
        <v>3</v>
      </c>
      <c r="J712" s="55">
        <f>Dataset_3!J102</f>
        <v>0.2</v>
      </c>
      <c r="K712">
        <f>Dataset_3!K102</f>
        <v>0.19700000000000001</v>
      </c>
      <c r="L712">
        <f>Dataset_3!L102</f>
        <v>0.93</v>
      </c>
      <c r="M712">
        <f>Dataset_3!M102</f>
        <v>0.19400000000000001</v>
      </c>
      <c r="N712">
        <f>Dataset_3!N102</f>
        <v>1</v>
      </c>
      <c r="O712">
        <f>Dataset_3!O102</f>
        <v>15</v>
      </c>
      <c r="P712">
        <f>Dataset_3!P102</f>
        <v>16</v>
      </c>
      <c r="Q712" t="str">
        <f t="shared" si="143"/>
        <v>REC-0711</v>
      </c>
      <c r="R712" s="62">
        <f t="shared" si="144"/>
        <v>40575.958333333336</v>
      </c>
      <c r="S712" t="str">
        <f t="shared" si="145"/>
        <v>Feb</v>
      </c>
      <c r="T712" t="str">
        <f>INDEX(Lookups!$B$39:$B$45,MATCH(H712,Lookups!$A$39:$A$45,0))</f>
        <v>Tue</v>
      </c>
      <c r="U712" t="str">
        <f t="shared" si="146"/>
        <v>Weekday</v>
      </c>
      <c r="V712" t="str">
        <f t="shared" si="147"/>
        <v>Working Day</v>
      </c>
      <c r="W712" t="str">
        <f t="shared" si="148"/>
        <v>Spring</v>
      </c>
      <c r="X712" t="str">
        <f t="shared" si="149"/>
        <v>Light Rain/Snow</v>
      </c>
      <c r="Y712" t="str">
        <f t="shared" si="150"/>
        <v>Late Evening</v>
      </c>
      <c r="Z712" t="str">
        <f t="shared" si="151"/>
        <v>Mild</v>
      </c>
      <c r="AA712" t="str">
        <f t="shared" si="152"/>
        <v>High</v>
      </c>
      <c r="AB712" t="str">
        <f t="shared" si="153"/>
        <v>Off-Peak</v>
      </c>
      <c r="AC712" s="63">
        <f t="shared" si="154"/>
        <v>6.25E-2</v>
      </c>
      <c r="AD712" t="str">
        <f>IF(P712&gt;=Stats!$C$30,"High",IF(P712&lt;=Stats!$C$29,"Low","Normal"))</f>
        <v>Low</v>
      </c>
      <c r="AE712">
        <f t="shared" si="155"/>
        <v>1</v>
      </c>
    </row>
    <row r="713" spans="1:31" x14ac:dyDescent="0.2">
      <c r="A713">
        <f>Dataset_3!A103</f>
        <v>712</v>
      </c>
      <c r="B713" s="61">
        <f>Dataset_3!B103</f>
        <v>40576</v>
      </c>
      <c r="C713">
        <f>Dataset_3!C103</f>
        <v>1</v>
      </c>
      <c r="D713">
        <f>Dataset_3!D103</f>
        <v>0</v>
      </c>
      <c r="E713">
        <f>Dataset_3!E103</f>
        <v>2</v>
      </c>
      <c r="F713">
        <f>Dataset_3!F103</f>
        <v>0</v>
      </c>
      <c r="G713" t="b">
        <f>Dataset_3!G103</f>
        <v>0</v>
      </c>
      <c r="H713">
        <f>Dataset_3!H103</f>
        <v>3</v>
      </c>
      <c r="I713">
        <f>Dataset_3!I103</f>
        <v>3</v>
      </c>
      <c r="J713" s="55">
        <f>Dataset_3!J103</f>
        <v>0.22</v>
      </c>
      <c r="K713">
        <f>Dataset_3!K103</f>
        <v>0.2424</v>
      </c>
      <c r="L713">
        <f>Dataset_3!L103</f>
        <v>0.93</v>
      </c>
      <c r="M713">
        <f>Dataset_3!M103</f>
        <v>0.1045</v>
      </c>
      <c r="N713">
        <f>Dataset_3!N103</f>
        <v>0</v>
      </c>
      <c r="O713">
        <f>Dataset_3!O103</f>
        <v>2</v>
      </c>
      <c r="P713">
        <f>Dataset_3!P103</f>
        <v>2</v>
      </c>
      <c r="Q713" t="str">
        <f t="shared" si="143"/>
        <v>REC-0712</v>
      </c>
      <c r="R713" s="62">
        <f t="shared" si="144"/>
        <v>40576</v>
      </c>
      <c r="S713" t="str">
        <f t="shared" si="145"/>
        <v>Feb</v>
      </c>
      <c r="T713" t="str">
        <f>INDEX(Lookups!$B$39:$B$45,MATCH(H713,Lookups!$A$39:$A$45,0))</f>
        <v>Wed</v>
      </c>
      <c r="U713" t="str">
        <f t="shared" si="146"/>
        <v>Weekday</v>
      </c>
      <c r="V713" t="str">
        <f t="shared" si="147"/>
        <v>Working Day</v>
      </c>
      <c r="W713" t="str">
        <f t="shared" si="148"/>
        <v>Spring</v>
      </c>
      <c r="X713" t="str">
        <f t="shared" si="149"/>
        <v>Light Rain/Snow</v>
      </c>
      <c r="Y713" t="str">
        <f t="shared" si="150"/>
        <v>Night</v>
      </c>
      <c r="Z713" t="str">
        <f t="shared" si="151"/>
        <v>Mild</v>
      </c>
      <c r="AA713" t="str">
        <f t="shared" si="152"/>
        <v>High</v>
      </c>
      <c r="AB713" t="str">
        <f t="shared" si="153"/>
        <v>Off-Peak</v>
      </c>
      <c r="AC713" s="63">
        <f t="shared" si="154"/>
        <v>0</v>
      </c>
      <c r="AD713" t="str">
        <f>IF(P713&gt;=Stats!$C$30,"High",IF(P713&lt;=Stats!$C$29,"Low","Normal"))</f>
        <v>Low</v>
      </c>
      <c r="AE713">
        <f t="shared" si="155"/>
        <v>1</v>
      </c>
    </row>
    <row r="714" spans="1:31" x14ac:dyDescent="0.2">
      <c r="A714">
        <f>Dataset_3!A104</f>
        <v>713</v>
      </c>
      <c r="B714" s="61">
        <f>Dataset_3!B104</f>
        <v>40576</v>
      </c>
      <c r="C714">
        <f>Dataset_3!C104</f>
        <v>1</v>
      </c>
      <c r="D714">
        <f>Dataset_3!D104</f>
        <v>0</v>
      </c>
      <c r="E714">
        <f>Dataset_3!E104</f>
        <v>2</v>
      </c>
      <c r="F714">
        <f>Dataset_3!F104</f>
        <v>1</v>
      </c>
      <c r="G714" t="b">
        <f>Dataset_3!G104</f>
        <v>0</v>
      </c>
      <c r="H714">
        <f>Dataset_3!H104</f>
        <v>3</v>
      </c>
      <c r="I714">
        <f>Dataset_3!I104</f>
        <v>3</v>
      </c>
      <c r="J714" s="55">
        <f>Dataset_3!J104</f>
        <v>0.22</v>
      </c>
      <c r="K714">
        <f>Dataset_3!K104</f>
        <v>0.2273</v>
      </c>
      <c r="L714">
        <f>Dataset_3!L104</f>
        <v>0.93</v>
      </c>
      <c r="M714">
        <f>Dataset_3!M104</f>
        <v>0.19400000000000001</v>
      </c>
      <c r="N714">
        <f>Dataset_3!N104</f>
        <v>0</v>
      </c>
      <c r="O714">
        <f>Dataset_3!O104</f>
        <v>3</v>
      </c>
      <c r="P714">
        <f>Dataset_3!P104</f>
        <v>3</v>
      </c>
      <c r="Q714" t="str">
        <f t="shared" si="143"/>
        <v>REC-0713</v>
      </c>
      <c r="R714" s="62">
        <f t="shared" si="144"/>
        <v>40576.041666666664</v>
      </c>
      <c r="S714" t="str">
        <f t="shared" si="145"/>
        <v>Feb</v>
      </c>
      <c r="T714" t="str">
        <f>INDEX(Lookups!$B$39:$B$45,MATCH(H714,Lookups!$A$39:$A$45,0))</f>
        <v>Wed</v>
      </c>
      <c r="U714" t="str">
        <f t="shared" si="146"/>
        <v>Weekday</v>
      </c>
      <c r="V714" t="str">
        <f t="shared" si="147"/>
        <v>Working Day</v>
      </c>
      <c r="W714" t="str">
        <f t="shared" si="148"/>
        <v>Spring</v>
      </c>
      <c r="X714" t="str">
        <f t="shared" si="149"/>
        <v>Light Rain/Snow</v>
      </c>
      <c r="Y714" t="str">
        <f t="shared" si="150"/>
        <v>Night</v>
      </c>
      <c r="Z714" t="str">
        <f t="shared" si="151"/>
        <v>Mild</v>
      </c>
      <c r="AA714" t="str">
        <f t="shared" si="152"/>
        <v>High</v>
      </c>
      <c r="AB714" t="str">
        <f t="shared" si="153"/>
        <v>Off-Peak</v>
      </c>
      <c r="AC714" s="63">
        <f t="shared" si="154"/>
        <v>0</v>
      </c>
      <c r="AD714" t="str">
        <f>IF(P714&gt;=Stats!$C$30,"High",IF(P714&lt;=Stats!$C$29,"Low","Normal"))</f>
        <v>Low</v>
      </c>
      <c r="AE714">
        <f t="shared" si="155"/>
        <v>1</v>
      </c>
    </row>
    <row r="715" spans="1:31" x14ac:dyDescent="0.2">
      <c r="A715">
        <f>Dataset_3!A105</f>
        <v>714</v>
      </c>
      <c r="B715" s="61">
        <f>Dataset_3!B105</f>
        <v>40576</v>
      </c>
      <c r="C715">
        <f>Dataset_3!C105</f>
        <v>1</v>
      </c>
      <c r="D715">
        <f>Dataset_3!D105</f>
        <v>0</v>
      </c>
      <c r="E715">
        <f>Dataset_3!E105</f>
        <v>2</v>
      </c>
      <c r="F715">
        <f>Dataset_3!F105</f>
        <v>2</v>
      </c>
      <c r="G715" t="b">
        <f>Dataset_3!G105</f>
        <v>0</v>
      </c>
      <c r="H715">
        <f>Dataset_3!H105</f>
        <v>3</v>
      </c>
      <c r="I715">
        <f>Dataset_3!I105</f>
        <v>3</v>
      </c>
      <c r="J715" s="55">
        <f>Dataset_3!J105</f>
        <v>0.22</v>
      </c>
      <c r="K715">
        <f>Dataset_3!K105</f>
        <v>0.2273</v>
      </c>
      <c r="L715">
        <f>Dataset_3!L105</f>
        <v>0.93</v>
      </c>
      <c r="M715">
        <f>Dataset_3!M105</f>
        <v>0.1343</v>
      </c>
      <c r="N715">
        <f>Dataset_3!N105</f>
        <v>4</v>
      </c>
      <c r="O715">
        <f>Dataset_3!O105</f>
        <v>0</v>
      </c>
      <c r="P715">
        <f>Dataset_3!P105</f>
        <v>4</v>
      </c>
      <c r="Q715" t="str">
        <f t="shared" si="143"/>
        <v>REC-0714</v>
      </c>
      <c r="R715" s="62">
        <f t="shared" si="144"/>
        <v>40576.083333333336</v>
      </c>
      <c r="S715" t="str">
        <f t="shared" si="145"/>
        <v>Feb</v>
      </c>
      <c r="T715" t="str">
        <f>INDEX(Lookups!$B$39:$B$45,MATCH(H715,Lookups!$A$39:$A$45,0))</f>
        <v>Wed</v>
      </c>
      <c r="U715" t="str">
        <f t="shared" si="146"/>
        <v>Weekday</v>
      </c>
      <c r="V715" t="str">
        <f t="shared" si="147"/>
        <v>Working Day</v>
      </c>
      <c r="W715" t="str">
        <f t="shared" si="148"/>
        <v>Spring</v>
      </c>
      <c r="X715" t="str">
        <f t="shared" si="149"/>
        <v>Light Rain/Snow</v>
      </c>
      <c r="Y715" t="str">
        <f t="shared" si="150"/>
        <v>Night</v>
      </c>
      <c r="Z715" t="str">
        <f t="shared" si="151"/>
        <v>Mild</v>
      </c>
      <c r="AA715" t="str">
        <f t="shared" si="152"/>
        <v>High</v>
      </c>
      <c r="AB715" t="str">
        <f t="shared" si="153"/>
        <v>Off-Peak</v>
      </c>
      <c r="AC715" s="63">
        <f t="shared" si="154"/>
        <v>1</v>
      </c>
      <c r="AD715" t="str">
        <f>IF(P715&gt;=Stats!$C$30,"High",IF(P715&lt;=Stats!$C$29,"Low","Normal"))</f>
        <v>Low</v>
      </c>
      <c r="AE715">
        <f t="shared" si="155"/>
        <v>1</v>
      </c>
    </row>
    <row r="716" spans="1:31" x14ac:dyDescent="0.2">
      <c r="A716">
        <f>Dataset_3!A106</f>
        <v>715</v>
      </c>
      <c r="B716" s="61">
        <f>Dataset_3!B106</f>
        <v>40576</v>
      </c>
      <c r="C716">
        <f>Dataset_3!C106</f>
        <v>1</v>
      </c>
      <c r="D716">
        <f>Dataset_3!D106</f>
        <v>0</v>
      </c>
      <c r="E716">
        <f>Dataset_3!E106</f>
        <v>2</v>
      </c>
      <c r="F716">
        <f>Dataset_3!F106</f>
        <v>3</v>
      </c>
      <c r="G716" t="b">
        <f>Dataset_3!G106</f>
        <v>0</v>
      </c>
      <c r="H716">
        <f>Dataset_3!H106</f>
        <v>3</v>
      </c>
      <c r="I716">
        <f>Dataset_3!I106</f>
        <v>3</v>
      </c>
      <c r="J716" s="55">
        <f>Dataset_3!J106</f>
        <v>0.22</v>
      </c>
      <c r="K716">
        <f>Dataset_3!K106</f>
        <v>0.2273</v>
      </c>
      <c r="L716">
        <f>Dataset_3!L106</f>
        <v>0.93</v>
      </c>
      <c r="M716">
        <f>Dataset_3!M106</f>
        <v>0.1343</v>
      </c>
      <c r="N716">
        <f>Dataset_3!N106</f>
        <v>0</v>
      </c>
      <c r="O716">
        <f>Dataset_3!O106</f>
        <v>1</v>
      </c>
      <c r="P716">
        <f>Dataset_3!P106</f>
        <v>1</v>
      </c>
      <c r="Q716" t="str">
        <f t="shared" si="143"/>
        <v>REC-0715</v>
      </c>
      <c r="R716" s="62">
        <f t="shared" si="144"/>
        <v>40576.125</v>
      </c>
      <c r="S716" t="str">
        <f t="shared" si="145"/>
        <v>Feb</v>
      </c>
      <c r="T716" t="str">
        <f>INDEX(Lookups!$B$39:$B$45,MATCH(H716,Lookups!$A$39:$A$45,0))</f>
        <v>Wed</v>
      </c>
      <c r="U716" t="str">
        <f t="shared" si="146"/>
        <v>Weekday</v>
      </c>
      <c r="V716" t="str">
        <f t="shared" si="147"/>
        <v>Working Day</v>
      </c>
      <c r="W716" t="str">
        <f t="shared" si="148"/>
        <v>Spring</v>
      </c>
      <c r="X716" t="str">
        <f t="shared" si="149"/>
        <v>Light Rain/Snow</v>
      </c>
      <c r="Y716" t="str">
        <f t="shared" si="150"/>
        <v>Night</v>
      </c>
      <c r="Z716" t="str">
        <f t="shared" si="151"/>
        <v>Mild</v>
      </c>
      <c r="AA716" t="str">
        <f t="shared" si="152"/>
        <v>High</v>
      </c>
      <c r="AB716" t="str">
        <f t="shared" si="153"/>
        <v>Off-Peak</v>
      </c>
      <c r="AC716" s="63">
        <f t="shared" si="154"/>
        <v>0</v>
      </c>
      <c r="AD716" t="str">
        <f>IF(P716&gt;=Stats!$C$30,"High",IF(P716&lt;=Stats!$C$29,"Low","Normal"))</f>
        <v>Low</v>
      </c>
      <c r="AE716">
        <f t="shared" si="155"/>
        <v>1</v>
      </c>
    </row>
    <row r="717" spans="1:31" x14ac:dyDescent="0.2">
      <c r="A717">
        <f>Dataset_3!A107</f>
        <v>716</v>
      </c>
      <c r="B717" s="61">
        <f>Dataset_3!B107</f>
        <v>40576</v>
      </c>
      <c r="C717">
        <f>Dataset_3!C107</f>
        <v>1</v>
      </c>
      <c r="D717">
        <f>Dataset_3!D107</f>
        <v>0</v>
      </c>
      <c r="E717">
        <f>Dataset_3!E107</f>
        <v>2</v>
      </c>
      <c r="F717">
        <f>Dataset_3!F107</f>
        <v>4</v>
      </c>
      <c r="G717" t="b">
        <f>Dataset_3!G107</f>
        <v>0</v>
      </c>
      <c r="H717">
        <f>Dataset_3!H107</f>
        <v>3</v>
      </c>
      <c r="I717">
        <f>Dataset_3!I107</f>
        <v>3</v>
      </c>
      <c r="J717" s="55">
        <f>Dataset_3!J107</f>
        <v>0.22</v>
      </c>
      <c r="K717">
        <f>Dataset_3!K107</f>
        <v>0.21210000000000001</v>
      </c>
      <c r="L717">
        <f>Dataset_3!L107</f>
        <v>0.93</v>
      </c>
      <c r="M717">
        <f>Dataset_3!M107</f>
        <v>0.28360000000000002</v>
      </c>
      <c r="N717">
        <f>Dataset_3!N107</f>
        <v>0</v>
      </c>
      <c r="O717">
        <f>Dataset_3!O107</f>
        <v>1</v>
      </c>
      <c r="P717">
        <f>Dataset_3!P107</f>
        <v>1</v>
      </c>
      <c r="Q717" t="str">
        <f t="shared" si="143"/>
        <v>REC-0716</v>
      </c>
      <c r="R717" s="62">
        <f t="shared" si="144"/>
        <v>40576.166666666664</v>
      </c>
      <c r="S717" t="str">
        <f t="shared" si="145"/>
        <v>Feb</v>
      </c>
      <c r="T717" t="str">
        <f>INDEX(Lookups!$B$39:$B$45,MATCH(H717,Lookups!$A$39:$A$45,0))</f>
        <v>Wed</v>
      </c>
      <c r="U717" t="str">
        <f t="shared" si="146"/>
        <v>Weekday</v>
      </c>
      <c r="V717" t="str">
        <f t="shared" si="147"/>
        <v>Working Day</v>
      </c>
      <c r="W717" t="str">
        <f t="shared" si="148"/>
        <v>Spring</v>
      </c>
      <c r="X717" t="str">
        <f t="shared" si="149"/>
        <v>Light Rain/Snow</v>
      </c>
      <c r="Y717" t="str">
        <f t="shared" si="150"/>
        <v>Night</v>
      </c>
      <c r="Z717" t="str">
        <f t="shared" si="151"/>
        <v>Mild</v>
      </c>
      <c r="AA717" t="str">
        <f t="shared" si="152"/>
        <v>High</v>
      </c>
      <c r="AB717" t="str">
        <f t="shared" si="153"/>
        <v>Off-Peak</v>
      </c>
      <c r="AC717" s="63">
        <f t="shared" si="154"/>
        <v>0</v>
      </c>
      <c r="AD717" t="str">
        <f>IF(P717&gt;=Stats!$C$30,"High",IF(P717&lt;=Stats!$C$29,"Low","Normal"))</f>
        <v>Low</v>
      </c>
      <c r="AE717">
        <f t="shared" si="155"/>
        <v>1</v>
      </c>
    </row>
    <row r="718" spans="1:31" x14ac:dyDescent="0.2">
      <c r="A718">
        <f>Dataset_3!A108</f>
        <v>717</v>
      </c>
      <c r="B718" s="61">
        <f>Dataset_3!B108</f>
        <v>40576</v>
      </c>
      <c r="C718">
        <f>Dataset_3!C108</f>
        <v>1</v>
      </c>
      <c r="D718">
        <f>Dataset_3!D108</f>
        <v>0</v>
      </c>
      <c r="E718">
        <f>Dataset_3!E108</f>
        <v>2</v>
      </c>
      <c r="F718">
        <f>Dataset_3!F108</f>
        <v>5</v>
      </c>
      <c r="G718" t="b">
        <f>Dataset_3!G108</f>
        <v>0</v>
      </c>
      <c r="H718">
        <f>Dataset_3!H108</f>
        <v>3</v>
      </c>
      <c r="I718">
        <f>Dataset_3!I108</f>
        <v>3</v>
      </c>
      <c r="J718" s="55">
        <f>Dataset_3!J108</f>
        <v>0.22</v>
      </c>
      <c r="K718">
        <f>Dataset_3!K108</f>
        <v>0.2424</v>
      </c>
      <c r="L718">
        <f>Dataset_3!L108</f>
        <v>0.93</v>
      </c>
      <c r="M718">
        <f>Dataset_3!M108</f>
        <v>0.1045</v>
      </c>
      <c r="N718">
        <f>Dataset_3!N108</f>
        <v>0</v>
      </c>
      <c r="O718">
        <f>Dataset_3!O108</f>
        <v>3</v>
      </c>
      <c r="P718">
        <f>Dataset_3!P108</f>
        <v>3</v>
      </c>
      <c r="Q718" t="str">
        <f t="shared" si="143"/>
        <v>REC-0717</v>
      </c>
      <c r="R718" s="62">
        <f t="shared" si="144"/>
        <v>40576.208333333336</v>
      </c>
      <c r="S718" t="str">
        <f t="shared" si="145"/>
        <v>Feb</v>
      </c>
      <c r="T718" t="str">
        <f>INDEX(Lookups!$B$39:$B$45,MATCH(H718,Lookups!$A$39:$A$45,0))</f>
        <v>Wed</v>
      </c>
      <c r="U718" t="str">
        <f t="shared" si="146"/>
        <v>Weekday</v>
      </c>
      <c r="V718" t="str">
        <f t="shared" si="147"/>
        <v>Working Day</v>
      </c>
      <c r="W718" t="str">
        <f t="shared" si="148"/>
        <v>Spring</v>
      </c>
      <c r="X718" t="str">
        <f t="shared" si="149"/>
        <v>Light Rain/Snow</v>
      </c>
      <c r="Y718" t="str">
        <f t="shared" si="150"/>
        <v>Night</v>
      </c>
      <c r="Z718" t="str">
        <f t="shared" si="151"/>
        <v>Mild</v>
      </c>
      <c r="AA718" t="str">
        <f t="shared" si="152"/>
        <v>High</v>
      </c>
      <c r="AB718" t="str">
        <f t="shared" si="153"/>
        <v>Off-Peak</v>
      </c>
      <c r="AC718" s="63">
        <f t="shared" si="154"/>
        <v>0</v>
      </c>
      <c r="AD718" t="str">
        <f>IF(P718&gt;=Stats!$C$30,"High",IF(P718&lt;=Stats!$C$29,"Low","Normal"))</f>
        <v>Low</v>
      </c>
      <c r="AE718">
        <f t="shared" si="155"/>
        <v>1</v>
      </c>
    </row>
    <row r="719" spans="1:31" x14ac:dyDescent="0.2">
      <c r="A719">
        <f>Dataset_3!A109</f>
        <v>718</v>
      </c>
      <c r="B719" s="61">
        <f>Dataset_3!B109</f>
        <v>40576</v>
      </c>
      <c r="C719">
        <f>Dataset_3!C109</f>
        <v>1</v>
      </c>
      <c r="D719">
        <f>Dataset_3!D109</f>
        <v>0</v>
      </c>
      <c r="E719">
        <f>Dataset_3!E109</f>
        <v>2</v>
      </c>
      <c r="F719">
        <f>Dataset_3!F109</f>
        <v>6</v>
      </c>
      <c r="G719" t="b">
        <f>Dataset_3!G109</f>
        <v>0</v>
      </c>
      <c r="H719">
        <f>Dataset_3!H109</f>
        <v>3</v>
      </c>
      <c r="I719">
        <f>Dataset_3!I109</f>
        <v>3</v>
      </c>
      <c r="J719" s="55">
        <f>Dataset_3!J109</f>
        <v>0.22</v>
      </c>
      <c r="K719">
        <f>Dataset_3!K109</f>
        <v>0.2424</v>
      </c>
      <c r="L719">
        <f>Dataset_3!L109</f>
        <v>0.93</v>
      </c>
      <c r="M719">
        <f>Dataset_3!M109</f>
        <v>0.1045</v>
      </c>
      <c r="N719">
        <f>Dataset_3!N109</f>
        <v>1</v>
      </c>
      <c r="O719">
        <f>Dataset_3!O109</f>
        <v>17</v>
      </c>
      <c r="P719">
        <f>Dataset_3!P109</f>
        <v>18</v>
      </c>
      <c r="Q719" t="str">
        <f t="shared" si="143"/>
        <v>REC-0718</v>
      </c>
      <c r="R719" s="62">
        <f t="shared" si="144"/>
        <v>40576.25</v>
      </c>
      <c r="S719" t="str">
        <f t="shared" si="145"/>
        <v>Feb</v>
      </c>
      <c r="T719" t="str">
        <f>INDEX(Lookups!$B$39:$B$45,MATCH(H719,Lookups!$A$39:$A$45,0))</f>
        <v>Wed</v>
      </c>
      <c r="U719" t="str">
        <f t="shared" si="146"/>
        <v>Weekday</v>
      </c>
      <c r="V719" t="str">
        <f t="shared" si="147"/>
        <v>Working Day</v>
      </c>
      <c r="W719" t="str">
        <f t="shared" si="148"/>
        <v>Spring</v>
      </c>
      <c r="X719" t="str">
        <f t="shared" si="149"/>
        <v>Light Rain/Snow</v>
      </c>
      <c r="Y719" t="str">
        <f t="shared" si="150"/>
        <v>Morning</v>
      </c>
      <c r="Z719" t="str">
        <f t="shared" si="151"/>
        <v>Mild</v>
      </c>
      <c r="AA719" t="str">
        <f t="shared" si="152"/>
        <v>High</v>
      </c>
      <c r="AB719" t="str">
        <f t="shared" si="153"/>
        <v>Off-Peak</v>
      </c>
      <c r="AC719" s="63">
        <f t="shared" si="154"/>
        <v>5.5555555555555552E-2</v>
      </c>
      <c r="AD719" t="str">
        <f>IF(P719&gt;=Stats!$C$30,"High",IF(P719&lt;=Stats!$C$29,"Low","Normal"))</f>
        <v>Normal</v>
      </c>
      <c r="AE719">
        <f t="shared" si="155"/>
        <v>1</v>
      </c>
    </row>
    <row r="720" spans="1:31" x14ac:dyDescent="0.2">
      <c r="A720">
        <f>Dataset_3!A110</f>
        <v>719</v>
      </c>
      <c r="B720" s="61">
        <f>Dataset_3!B110</f>
        <v>40576</v>
      </c>
      <c r="C720">
        <f>Dataset_3!C110</f>
        <v>1</v>
      </c>
      <c r="D720">
        <f>Dataset_3!D110</f>
        <v>0</v>
      </c>
      <c r="E720">
        <f>Dataset_3!E110</f>
        <v>2</v>
      </c>
      <c r="F720">
        <f>Dataset_3!F110</f>
        <v>7</v>
      </c>
      <c r="G720" t="b">
        <f>Dataset_3!G110</f>
        <v>0</v>
      </c>
      <c r="H720">
        <f>Dataset_3!H110</f>
        <v>3</v>
      </c>
      <c r="I720">
        <f>Dataset_3!I110</f>
        <v>3</v>
      </c>
      <c r="J720" s="55">
        <f>Dataset_3!J110</f>
        <v>0.22</v>
      </c>
      <c r="K720">
        <f>Dataset_3!K110</f>
        <v>0.21210000000000001</v>
      </c>
      <c r="L720">
        <f>Dataset_3!L110</f>
        <v>0.93</v>
      </c>
      <c r="M720">
        <f>Dataset_3!M110</f>
        <v>0.22389999999999999</v>
      </c>
      <c r="N720">
        <f>Dataset_3!N110</f>
        <v>1</v>
      </c>
      <c r="O720">
        <f>Dataset_3!O110</f>
        <v>48</v>
      </c>
      <c r="P720">
        <f>Dataset_3!P110</f>
        <v>49</v>
      </c>
      <c r="Q720" t="str">
        <f t="shared" si="143"/>
        <v>REC-0719</v>
      </c>
      <c r="R720" s="62">
        <f t="shared" si="144"/>
        <v>40576.291666666664</v>
      </c>
      <c r="S720" t="str">
        <f t="shared" si="145"/>
        <v>Feb</v>
      </c>
      <c r="T720" t="str">
        <f>INDEX(Lookups!$B$39:$B$45,MATCH(H720,Lookups!$A$39:$A$45,0))</f>
        <v>Wed</v>
      </c>
      <c r="U720" t="str">
        <f t="shared" si="146"/>
        <v>Weekday</v>
      </c>
      <c r="V720" t="str">
        <f t="shared" si="147"/>
        <v>Working Day</v>
      </c>
      <c r="W720" t="str">
        <f t="shared" si="148"/>
        <v>Spring</v>
      </c>
      <c r="X720" t="str">
        <f t="shared" si="149"/>
        <v>Light Rain/Snow</v>
      </c>
      <c r="Y720" t="str">
        <f t="shared" si="150"/>
        <v>Morning</v>
      </c>
      <c r="Z720" t="str">
        <f t="shared" si="151"/>
        <v>Mild</v>
      </c>
      <c r="AA720" t="str">
        <f t="shared" si="152"/>
        <v>High</v>
      </c>
      <c r="AB720" t="str">
        <f t="shared" si="153"/>
        <v>Peak</v>
      </c>
      <c r="AC720" s="63">
        <f t="shared" si="154"/>
        <v>2.0408163265306121E-2</v>
      </c>
      <c r="AD720" t="str">
        <f>IF(P720&gt;=Stats!$C$30,"High",IF(P720&lt;=Stats!$C$29,"Low","Normal"))</f>
        <v>Normal</v>
      </c>
      <c r="AE720">
        <f t="shared" si="155"/>
        <v>1</v>
      </c>
    </row>
    <row r="721" spans="1:31" x14ac:dyDescent="0.2">
      <c r="A721">
        <f>Dataset_3!A111</f>
        <v>720</v>
      </c>
      <c r="B721" s="61">
        <f>Dataset_3!B111</f>
        <v>40576</v>
      </c>
      <c r="C721">
        <f>Dataset_3!C111</f>
        <v>1</v>
      </c>
      <c r="D721">
        <f>Dataset_3!D111</f>
        <v>0</v>
      </c>
      <c r="E721">
        <f>Dataset_3!E111</f>
        <v>2</v>
      </c>
      <c r="F721">
        <f>Dataset_3!F111</f>
        <v>8</v>
      </c>
      <c r="G721" t="b">
        <f>Dataset_3!G111</f>
        <v>0</v>
      </c>
      <c r="H721">
        <f>Dataset_3!H111</f>
        <v>3</v>
      </c>
      <c r="I721">
        <f>Dataset_3!I111</f>
        <v>3</v>
      </c>
      <c r="J721" s="55">
        <f>Dataset_3!J111</f>
        <v>0.22</v>
      </c>
      <c r="K721">
        <f>Dataset_3!K111</f>
        <v>0.21210000000000001</v>
      </c>
      <c r="L721">
        <f>Dataset_3!L111</f>
        <v>0.93</v>
      </c>
      <c r="M721">
        <f>Dataset_3!M111</f>
        <v>0.22389999999999999</v>
      </c>
      <c r="N721">
        <f>Dataset_3!N111</f>
        <v>1</v>
      </c>
      <c r="O721">
        <f>Dataset_3!O111</f>
        <v>154</v>
      </c>
      <c r="P721">
        <f>Dataset_3!P111</f>
        <v>155</v>
      </c>
      <c r="Q721" t="str">
        <f t="shared" si="143"/>
        <v>REC-0720</v>
      </c>
      <c r="R721" s="62">
        <f t="shared" si="144"/>
        <v>40576.333333333336</v>
      </c>
      <c r="S721" t="str">
        <f t="shared" si="145"/>
        <v>Feb</v>
      </c>
      <c r="T721" t="str">
        <f>INDEX(Lookups!$B$39:$B$45,MATCH(H721,Lookups!$A$39:$A$45,0))</f>
        <v>Wed</v>
      </c>
      <c r="U721" t="str">
        <f t="shared" si="146"/>
        <v>Weekday</v>
      </c>
      <c r="V721" t="str">
        <f t="shared" si="147"/>
        <v>Working Day</v>
      </c>
      <c r="W721" t="str">
        <f t="shared" si="148"/>
        <v>Spring</v>
      </c>
      <c r="X721" t="str">
        <f t="shared" si="149"/>
        <v>Light Rain/Snow</v>
      </c>
      <c r="Y721" t="str">
        <f t="shared" si="150"/>
        <v>Morning</v>
      </c>
      <c r="Z721" t="str">
        <f t="shared" si="151"/>
        <v>Mild</v>
      </c>
      <c r="AA721" t="str">
        <f t="shared" si="152"/>
        <v>High</v>
      </c>
      <c r="AB721" t="str">
        <f t="shared" si="153"/>
        <v>Peak</v>
      </c>
      <c r="AC721" s="63">
        <f t="shared" si="154"/>
        <v>6.4516129032258064E-3</v>
      </c>
      <c r="AD721" t="str">
        <f>IF(P721&gt;=Stats!$C$30,"High",IF(P721&lt;=Stats!$C$29,"Low","Normal"))</f>
        <v>High</v>
      </c>
      <c r="AE721">
        <f t="shared" si="155"/>
        <v>1</v>
      </c>
    </row>
    <row r="722" spans="1:31" x14ac:dyDescent="0.2">
      <c r="A722">
        <f>Dataset_3!A112</f>
        <v>721</v>
      </c>
      <c r="B722" s="61">
        <f>Dataset_3!B112</f>
        <v>40576</v>
      </c>
      <c r="C722">
        <f>Dataset_3!C112</f>
        <v>1</v>
      </c>
      <c r="D722">
        <f>Dataset_3!D112</f>
        <v>0</v>
      </c>
      <c r="E722">
        <f>Dataset_3!E112</f>
        <v>2</v>
      </c>
      <c r="F722">
        <f>Dataset_3!F112</f>
        <v>9</v>
      </c>
      <c r="G722" t="b">
        <f>Dataset_3!G112</f>
        <v>0</v>
      </c>
      <c r="H722">
        <f>Dataset_3!H112</f>
        <v>3</v>
      </c>
      <c r="I722">
        <f>Dataset_3!I112</f>
        <v>2</v>
      </c>
      <c r="J722" s="55">
        <f>Dataset_3!J112</f>
        <v>0.24</v>
      </c>
      <c r="K722">
        <f>Dataset_3!K112</f>
        <v>0.2576</v>
      </c>
      <c r="L722">
        <f>Dataset_3!L112</f>
        <v>0.93</v>
      </c>
      <c r="M722">
        <f>Dataset_3!M112</f>
        <v>8.9599999999999999E-2</v>
      </c>
      <c r="N722">
        <f>Dataset_3!N112</f>
        <v>4</v>
      </c>
      <c r="O722">
        <f>Dataset_3!O112</f>
        <v>119</v>
      </c>
      <c r="P722">
        <f>Dataset_3!P112</f>
        <v>123</v>
      </c>
      <c r="Q722" t="str">
        <f t="shared" si="143"/>
        <v>REC-0721</v>
      </c>
      <c r="R722" s="62">
        <f t="shared" si="144"/>
        <v>40576.375</v>
      </c>
      <c r="S722" t="str">
        <f t="shared" si="145"/>
        <v>Feb</v>
      </c>
      <c r="T722" t="str">
        <f>INDEX(Lookups!$B$39:$B$45,MATCH(H722,Lookups!$A$39:$A$45,0))</f>
        <v>Wed</v>
      </c>
      <c r="U722" t="str">
        <f t="shared" si="146"/>
        <v>Weekday</v>
      </c>
      <c r="V722" t="str">
        <f t="shared" si="147"/>
        <v>Working Day</v>
      </c>
      <c r="W722" t="str">
        <f t="shared" si="148"/>
        <v>Spring</v>
      </c>
      <c r="X722" t="str">
        <f t="shared" si="149"/>
        <v>Cloudy/Mist</v>
      </c>
      <c r="Y722" t="str">
        <f t="shared" si="150"/>
        <v>Morning</v>
      </c>
      <c r="Z722" t="str">
        <f t="shared" si="151"/>
        <v>Mild</v>
      </c>
      <c r="AA722" t="str">
        <f t="shared" si="152"/>
        <v>High</v>
      </c>
      <c r="AB722" t="str">
        <f t="shared" si="153"/>
        <v>Peak</v>
      </c>
      <c r="AC722" s="63">
        <f t="shared" si="154"/>
        <v>3.2520325203252036E-2</v>
      </c>
      <c r="AD722" t="str">
        <f>IF(P722&gt;=Stats!$C$30,"High",IF(P722&lt;=Stats!$C$29,"Low","Normal"))</f>
        <v>High</v>
      </c>
      <c r="AE722">
        <f t="shared" si="155"/>
        <v>1</v>
      </c>
    </row>
    <row r="723" spans="1:31" x14ac:dyDescent="0.2">
      <c r="A723">
        <f>Dataset_3!A113</f>
        <v>722</v>
      </c>
      <c r="B723" s="61">
        <f>Dataset_3!B113</f>
        <v>40576</v>
      </c>
      <c r="C723">
        <f>Dataset_3!C113</f>
        <v>1</v>
      </c>
      <c r="D723">
        <f>Dataset_3!D113</f>
        <v>0</v>
      </c>
      <c r="E723">
        <f>Dataset_3!E113</f>
        <v>2</v>
      </c>
      <c r="F723">
        <f>Dataset_3!F113</f>
        <v>10</v>
      </c>
      <c r="G723" t="b">
        <f>Dataset_3!G113</f>
        <v>0</v>
      </c>
      <c r="H723">
        <f>Dataset_3!H113</f>
        <v>3</v>
      </c>
      <c r="I723">
        <f>Dataset_3!I113</f>
        <v>2</v>
      </c>
      <c r="J723" s="55">
        <f>Dataset_3!J113</f>
        <v>0.22</v>
      </c>
      <c r="K723">
        <f>Dataset_3!K113</f>
        <v>0.2727</v>
      </c>
      <c r="L723">
        <f>Dataset_3!L113</f>
        <v>1</v>
      </c>
      <c r="M723">
        <f>Dataset_3!M113</f>
        <v>0</v>
      </c>
      <c r="N723">
        <f>Dataset_3!N113</f>
        <v>2</v>
      </c>
      <c r="O723">
        <f>Dataset_3!O113</f>
        <v>59</v>
      </c>
      <c r="P723">
        <f>Dataset_3!P113</f>
        <v>61</v>
      </c>
      <c r="Q723" t="str">
        <f t="shared" si="143"/>
        <v>REC-0722</v>
      </c>
      <c r="R723" s="62">
        <f t="shared" si="144"/>
        <v>40576.416666666664</v>
      </c>
      <c r="S723" t="str">
        <f t="shared" si="145"/>
        <v>Feb</v>
      </c>
      <c r="T723" t="str">
        <f>INDEX(Lookups!$B$39:$B$45,MATCH(H723,Lookups!$A$39:$A$45,0))</f>
        <v>Wed</v>
      </c>
      <c r="U723" t="str">
        <f t="shared" si="146"/>
        <v>Weekday</v>
      </c>
      <c r="V723" t="str">
        <f t="shared" si="147"/>
        <v>Working Day</v>
      </c>
      <c r="W723" t="str">
        <f t="shared" si="148"/>
        <v>Spring</v>
      </c>
      <c r="X723" t="str">
        <f t="shared" si="149"/>
        <v>Cloudy/Mist</v>
      </c>
      <c r="Y723" t="str">
        <f t="shared" si="150"/>
        <v>Morning</v>
      </c>
      <c r="Z723" t="str">
        <f t="shared" si="151"/>
        <v>Mild</v>
      </c>
      <c r="AA723" t="str">
        <f t="shared" si="152"/>
        <v>High</v>
      </c>
      <c r="AB723" t="str">
        <f t="shared" si="153"/>
        <v>Off-Peak</v>
      </c>
      <c r="AC723" s="63">
        <f t="shared" si="154"/>
        <v>3.2786885245901641E-2</v>
      </c>
      <c r="AD723" t="str">
        <f>IF(P723&gt;=Stats!$C$30,"High",IF(P723&lt;=Stats!$C$29,"Low","Normal"))</f>
        <v>Normal</v>
      </c>
      <c r="AE723">
        <f t="shared" si="155"/>
        <v>1</v>
      </c>
    </row>
    <row r="724" spans="1:31" x14ac:dyDescent="0.2">
      <c r="A724">
        <f>Dataset_3!A114</f>
        <v>723</v>
      </c>
      <c r="B724" s="61">
        <f>Dataset_3!B114</f>
        <v>40576</v>
      </c>
      <c r="C724">
        <f>Dataset_3!C114</f>
        <v>1</v>
      </c>
      <c r="D724">
        <f>Dataset_3!D114</f>
        <v>0</v>
      </c>
      <c r="E724">
        <f>Dataset_3!E114</f>
        <v>2</v>
      </c>
      <c r="F724">
        <f>Dataset_3!F114</f>
        <v>11</v>
      </c>
      <c r="G724" t="b">
        <f>Dataset_3!G114</f>
        <v>0</v>
      </c>
      <c r="H724">
        <f>Dataset_3!H114</f>
        <v>3</v>
      </c>
      <c r="I724">
        <f>Dataset_3!I114</f>
        <v>2</v>
      </c>
      <c r="J724" s="55">
        <f>Dataset_3!J114</f>
        <v>0.24</v>
      </c>
      <c r="K724">
        <f>Dataset_3!K114</f>
        <v>0.2273</v>
      </c>
      <c r="L724">
        <f>Dataset_3!L114</f>
        <v>0.93</v>
      </c>
      <c r="M724">
        <f>Dataset_3!M114</f>
        <v>0.19400000000000001</v>
      </c>
      <c r="N724">
        <f>Dataset_3!N114</f>
        <v>5</v>
      </c>
      <c r="O724">
        <f>Dataset_3!O114</f>
        <v>47</v>
      </c>
      <c r="P724">
        <f>Dataset_3!P114</f>
        <v>52</v>
      </c>
      <c r="Q724" t="str">
        <f t="shared" si="143"/>
        <v>REC-0723</v>
      </c>
      <c r="R724" s="62">
        <f t="shared" si="144"/>
        <v>40576.458333333336</v>
      </c>
      <c r="S724" t="str">
        <f t="shared" si="145"/>
        <v>Feb</v>
      </c>
      <c r="T724" t="str">
        <f>INDEX(Lookups!$B$39:$B$45,MATCH(H724,Lookups!$A$39:$A$45,0))</f>
        <v>Wed</v>
      </c>
      <c r="U724" t="str">
        <f t="shared" si="146"/>
        <v>Weekday</v>
      </c>
      <c r="V724" t="str">
        <f t="shared" si="147"/>
        <v>Working Day</v>
      </c>
      <c r="W724" t="str">
        <f t="shared" si="148"/>
        <v>Spring</v>
      </c>
      <c r="X724" t="str">
        <f t="shared" si="149"/>
        <v>Cloudy/Mist</v>
      </c>
      <c r="Y724" t="str">
        <f t="shared" si="150"/>
        <v>Morning</v>
      </c>
      <c r="Z724" t="str">
        <f t="shared" si="151"/>
        <v>Mild</v>
      </c>
      <c r="AA724" t="str">
        <f t="shared" si="152"/>
        <v>High</v>
      </c>
      <c r="AB724" t="str">
        <f t="shared" si="153"/>
        <v>Off-Peak</v>
      </c>
      <c r="AC724" s="63">
        <f t="shared" si="154"/>
        <v>9.6153846153846159E-2</v>
      </c>
      <c r="AD724" t="str">
        <f>IF(P724&gt;=Stats!$C$30,"High",IF(P724&lt;=Stats!$C$29,"Low","Normal"))</f>
        <v>Normal</v>
      </c>
      <c r="AE724">
        <f t="shared" si="155"/>
        <v>1</v>
      </c>
    </row>
    <row r="725" spans="1:31" x14ac:dyDescent="0.2">
      <c r="A725">
        <f>Dataset_3!A115</f>
        <v>724</v>
      </c>
      <c r="B725" s="61">
        <f>Dataset_3!B115</f>
        <v>40576</v>
      </c>
      <c r="C725">
        <f>Dataset_3!C115</f>
        <v>1</v>
      </c>
      <c r="D725">
        <f>Dataset_3!D115</f>
        <v>0</v>
      </c>
      <c r="E725">
        <f>Dataset_3!E115</f>
        <v>2</v>
      </c>
      <c r="F725">
        <f>Dataset_3!F115</f>
        <v>12</v>
      </c>
      <c r="G725" t="b">
        <f>Dataset_3!G115</f>
        <v>0</v>
      </c>
      <c r="H725">
        <f>Dataset_3!H115</f>
        <v>3</v>
      </c>
      <c r="I725">
        <f>Dataset_3!I115</f>
        <v>2</v>
      </c>
      <c r="J725" s="55">
        <f>Dataset_3!J115</f>
        <v>0.24</v>
      </c>
      <c r="K725">
        <f>Dataset_3!K115</f>
        <v>0.2273</v>
      </c>
      <c r="L725">
        <f>Dataset_3!L115</f>
        <v>0.93</v>
      </c>
      <c r="M725">
        <f>Dataset_3!M115</f>
        <v>0.22389999999999999</v>
      </c>
      <c r="N725">
        <f>Dataset_3!N115</f>
        <v>3</v>
      </c>
      <c r="O725">
        <f>Dataset_3!O115</f>
        <v>61</v>
      </c>
      <c r="P725">
        <f>Dataset_3!P115</f>
        <v>64</v>
      </c>
      <c r="Q725" t="str">
        <f t="shared" si="143"/>
        <v>REC-0724</v>
      </c>
      <c r="R725" s="62">
        <f t="shared" si="144"/>
        <v>40576.5</v>
      </c>
      <c r="S725" t="str">
        <f t="shared" si="145"/>
        <v>Feb</v>
      </c>
      <c r="T725" t="str">
        <f>INDEX(Lookups!$B$39:$B$45,MATCH(H725,Lookups!$A$39:$A$45,0))</f>
        <v>Wed</v>
      </c>
      <c r="U725" t="str">
        <f t="shared" si="146"/>
        <v>Weekday</v>
      </c>
      <c r="V725" t="str">
        <f t="shared" si="147"/>
        <v>Working Day</v>
      </c>
      <c r="W725" t="str">
        <f t="shared" si="148"/>
        <v>Spring</v>
      </c>
      <c r="X725" t="str">
        <f t="shared" si="149"/>
        <v>Cloudy/Mist</v>
      </c>
      <c r="Y725" t="str">
        <f t="shared" si="150"/>
        <v>Afternoon</v>
      </c>
      <c r="Z725" t="str">
        <f t="shared" si="151"/>
        <v>Mild</v>
      </c>
      <c r="AA725" t="str">
        <f t="shared" si="152"/>
        <v>High</v>
      </c>
      <c r="AB725" t="str">
        <f t="shared" si="153"/>
        <v>Off-Peak</v>
      </c>
      <c r="AC725" s="63">
        <f t="shared" si="154"/>
        <v>4.6875E-2</v>
      </c>
      <c r="AD725" t="str">
        <f>IF(P725&gt;=Stats!$C$30,"High",IF(P725&lt;=Stats!$C$29,"Low","Normal"))</f>
        <v>Normal</v>
      </c>
      <c r="AE725">
        <f t="shared" si="155"/>
        <v>1</v>
      </c>
    </row>
    <row r="726" spans="1:31" x14ac:dyDescent="0.2">
      <c r="A726">
        <f>Dataset_3!A116</f>
        <v>725</v>
      </c>
      <c r="B726" s="61">
        <f>Dataset_3!B116</f>
        <v>40576</v>
      </c>
      <c r="C726">
        <f>Dataset_3!C116</f>
        <v>1</v>
      </c>
      <c r="D726">
        <f>Dataset_3!D116</f>
        <v>0</v>
      </c>
      <c r="E726">
        <f>Dataset_3!E116</f>
        <v>2</v>
      </c>
      <c r="F726">
        <f>Dataset_3!F116</f>
        <v>13</v>
      </c>
      <c r="G726" t="b">
        <f>Dataset_3!G116</f>
        <v>0</v>
      </c>
      <c r="H726">
        <f>Dataset_3!H116</f>
        <v>3</v>
      </c>
      <c r="I726">
        <f>Dataset_3!I116</f>
        <v>1</v>
      </c>
      <c r="J726" s="55">
        <f>Dataset_3!J116</f>
        <v>0.34</v>
      </c>
      <c r="K726">
        <f>Dataset_3!K116</f>
        <v>0.33329999999999999</v>
      </c>
      <c r="L726">
        <f>Dataset_3!L116</f>
        <v>0.93</v>
      </c>
      <c r="M726">
        <f>Dataset_3!M116</f>
        <v>0.16420000000000001</v>
      </c>
      <c r="N726">
        <f>Dataset_3!N116</f>
        <v>1</v>
      </c>
      <c r="O726">
        <f>Dataset_3!O116</f>
        <v>74</v>
      </c>
      <c r="P726">
        <f>Dataset_3!P116</f>
        <v>75</v>
      </c>
      <c r="Q726" t="str">
        <f t="shared" si="143"/>
        <v>REC-0725</v>
      </c>
      <c r="R726" s="62">
        <f t="shared" si="144"/>
        <v>40576.541666666664</v>
      </c>
      <c r="S726" t="str">
        <f t="shared" si="145"/>
        <v>Feb</v>
      </c>
      <c r="T726" t="str">
        <f>INDEX(Lookups!$B$39:$B$45,MATCH(H726,Lookups!$A$39:$A$45,0))</f>
        <v>Wed</v>
      </c>
      <c r="U726" t="str">
        <f t="shared" si="146"/>
        <v>Weekday</v>
      </c>
      <c r="V726" t="str">
        <f t="shared" si="147"/>
        <v>Working Day</v>
      </c>
      <c r="W726" t="str">
        <f t="shared" si="148"/>
        <v>Spring</v>
      </c>
      <c r="X726" t="str">
        <f t="shared" si="149"/>
        <v>Clear</v>
      </c>
      <c r="Y726" t="str">
        <f t="shared" si="150"/>
        <v>Afternoon</v>
      </c>
      <c r="Z726" t="str">
        <f t="shared" si="151"/>
        <v>Warm</v>
      </c>
      <c r="AA726" t="str">
        <f t="shared" si="152"/>
        <v>High</v>
      </c>
      <c r="AB726" t="str">
        <f t="shared" si="153"/>
        <v>Off-Peak</v>
      </c>
      <c r="AC726" s="63">
        <f t="shared" si="154"/>
        <v>1.3333333333333334E-2</v>
      </c>
      <c r="AD726" t="str">
        <f>IF(P726&gt;=Stats!$C$30,"High",IF(P726&lt;=Stats!$C$29,"Low","Normal"))</f>
        <v>Normal</v>
      </c>
      <c r="AE726">
        <f t="shared" si="155"/>
        <v>1</v>
      </c>
    </row>
    <row r="727" spans="1:31" x14ac:dyDescent="0.2">
      <c r="A727">
        <f>Dataset_3!A117</f>
        <v>726</v>
      </c>
      <c r="B727" s="61">
        <f>Dataset_3!B117</f>
        <v>40576</v>
      </c>
      <c r="C727">
        <f>Dataset_3!C117</f>
        <v>1</v>
      </c>
      <c r="D727">
        <f>Dataset_3!D117</f>
        <v>0</v>
      </c>
      <c r="E727">
        <f>Dataset_3!E117</f>
        <v>2</v>
      </c>
      <c r="F727">
        <f>Dataset_3!F117</f>
        <v>14</v>
      </c>
      <c r="G727" t="b">
        <f>Dataset_3!G117</f>
        <v>0</v>
      </c>
      <c r="H727">
        <f>Dataset_3!H117</f>
        <v>3</v>
      </c>
      <c r="I727">
        <f>Dataset_3!I117</f>
        <v>1</v>
      </c>
      <c r="J727" s="55">
        <f>Dataset_3!J117</f>
        <v>0.38</v>
      </c>
      <c r="K727">
        <f>Dataset_3!K117</f>
        <v>0.39389999999999997</v>
      </c>
      <c r="L727">
        <f>Dataset_3!L117</f>
        <v>0.82</v>
      </c>
      <c r="M727">
        <f>Dataset_3!M117</f>
        <v>0.3881</v>
      </c>
      <c r="N727">
        <f>Dataset_3!N117</f>
        <v>2</v>
      </c>
      <c r="O727">
        <f>Dataset_3!O117</f>
        <v>61</v>
      </c>
      <c r="P727">
        <f>Dataset_3!P117</f>
        <v>63</v>
      </c>
      <c r="Q727" t="str">
        <f t="shared" si="143"/>
        <v>REC-0726</v>
      </c>
      <c r="R727" s="62">
        <f t="shared" si="144"/>
        <v>40576.583333333336</v>
      </c>
      <c r="S727" t="str">
        <f t="shared" si="145"/>
        <v>Feb</v>
      </c>
      <c r="T727" t="str">
        <f>INDEX(Lookups!$B$39:$B$45,MATCH(H727,Lookups!$A$39:$A$45,0))</f>
        <v>Wed</v>
      </c>
      <c r="U727" t="str">
        <f t="shared" si="146"/>
        <v>Weekday</v>
      </c>
      <c r="V727" t="str">
        <f t="shared" si="147"/>
        <v>Working Day</v>
      </c>
      <c r="W727" t="str">
        <f t="shared" si="148"/>
        <v>Spring</v>
      </c>
      <c r="X727" t="str">
        <f t="shared" si="149"/>
        <v>Clear</v>
      </c>
      <c r="Y727" t="str">
        <f t="shared" si="150"/>
        <v>Afternoon</v>
      </c>
      <c r="Z727" t="str">
        <f t="shared" si="151"/>
        <v>Warm</v>
      </c>
      <c r="AA727" t="str">
        <f t="shared" si="152"/>
        <v>High</v>
      </c>
      <c r="AB727" t="str">
        <f t="shared" si="153"/>
        <v>Off-Peak</v>
      </c>
      <c r="AC727" s="63">
        <f t="shared" si="154"/>
        <v>3.1746031746031744E-2</v>
      </c>
      <c r="AD727" t="str">
        <f>IF(P727&gt;=Stats!$C$30,"High",IF(P727&lt;=Stats!$C$29,"Low","Normal"))</f>
        <v>Normal</v>
      </c>
      <c r="AE727">
        <f t="shared" si="155"/>
        <v>1</v>
      </c>
    </row>
    <row r="728" spans="1:31" x14ac:dyDescent="0.2">
      <c r="A728">
        <f>Dataset_3!A118</f>
        <v>727</v>
      </c>
      <c r="B728" s="61">
        <f>Dataset_3!B118</f>
        <v>40576</v>
      </c>
      <c r="C728">
        <f>Dataset_3!C118</f>
        <v>1</v>
      </c>
      <c r="D728">
        <f>Dataset_3!D118</f>
        <v>0</v>
      </c>
      <c r="E728">
        <f>Dataset_3!E118</f>
        <v>2</v>
      </c>
      <c r="F728">
        <f>Dataset_3!F118</f>
        <v>15</v>
      </c>
      <c r="G728" t="b">
        <f>Dataset_3!G118</f>
        <v>0</v>
      </c>
      <c r="H728">
        <f>Dataset_3!H118</f>
        <v>3</v>
      </c>
      <c r="I728">
        <f>Dataset_3!I118</f>
        <v>1</v>
      </c>
      <c r="J728" s="55">
        <f>Dataset_3!J118</f>
        <v>0.38</v>
      </c>
      <c r="K728">
        <f>Dataset_3!K118</f>
        <v>0.39389999999999997</v>
      </c>
      <c r="L728">
        <f>Dataset_3!L118</f>
        <v>0.76</v>
      </c>
      <c r="M728">
        <f>Dataset_3!M118</f>
        <v>0.32840000000000003</v>
      </c>
      <c r="N728">
        <f>Dataset_3!N118</f>
        <v>10</v>
      </c>
      <c r="O728">
        <f>Dataset_3!O118</f>
        <v>66</v>
      </c>
      <c r="P728">
        <f>Dataset_3!P118</f>
        <v>76</v>
      </c>
      <c r="Q728" t="str">
        <f t="shared" si="143"/>
        <v>REC-0727</v>
      </c>
      <c r="R728" s="62">
        <f t="shared" si="144"/>
        <v>40576.625</v>
      </c>
      <c r="S728" t="str">
        <f t="shared" si="145"/>
        <v>Feb</v>
      </c>
      <c r="T728" t="str">
        <f>INDEX(Lookups!$B$39:$B$45,MATCH(H728,Lookups!$A$39:$A$45,0))</f>
        <v>Wed</v>
      </c>
      <c r="U728" t="str">
        <f t="shared" si="146"/>
        <v>Weekday</v>
      </c>
      <c r="V728" t="str">
        <f t="shared" si="147"/>
        <v>Working Day</v>
      </c>
      <c r="W728" t="str">
        <f t="shared" si="148"/>
        <v>Spring</v>
      </c>
      <c r="X728" t="str">
        <f t="shared" si="149"/>
        <v>Clear</v>
      </c>
      <c r="Y728" t="str">
        <f t="shared" si="150"/>
        <v>Afternoon</v>
      </c>
      <c r="Z728" t="str">
        <f t="shared" si="151"/>
        <v>Warm</v>
      </c>
      <c r="AA728" t="str">
        <f t="shared" si="152"/>
        <v>High</v>
      </c>
      <c r="AB728" t="str">
        <f t="shared" si="153"/>
        <v>Off-Peak</v>
      </c>
      <c r="AC728" s="63">
        <f t="shared" si="154"/>
        <v>0.13157894736842105</v>
      </c>
      <c r="AD728" t="str">
        <f>IF(P728&gt;=Stats!$C$30,"High",IF(P728&lt;=Stats!$C$29,"Low","Normal"))</f>
        <v>Normal</v>
      </c>
      <c r="AE728">
        <f t="shared" si="155"/>
        <v>1</v>
      </c>
    </row>
    <row r="729" spans="1:31" x14ac:dyDescent="0.2">
      <c r="A729">
        <f>Dataset_3!A119</f>
        <v>728</v>
      </c>
      <c r="B729" s="61">
        <f>Dataset_3!B119</f>
        <v>40576</v>
      </c>
      <c r="C729">
        <f>Dataset_3!C119</f>
        <v>1</v>
      </c>
      <c r="D729">
        <f>Dataset_3!D119</f>
        <v>0</v>
      </c>
      <c r="E729">
        <f>Dataset_3!E119</f>
        <v>2</v>
      </c>
      <c r="F729">
        <f>Dataset_3!F119</f>
        <v>16</v>
      </c>
      <c r="G729" t="b">
        <f>Dataset_3!G119</f>
        <v>0</v>
      </c>
      <c r="H729">
        <f>Dataset_3!H119</f>
        <v>3</v>
      </c>
      <c r="I729">
        <f>Dataset_3!I119</f>
        <v>1</v>
      </c>
      <c r="J729" s="55">
        <f>Dataset_3!J119</f>
        <v>0.36</v>
      </c>
      <c r="K729">
        <f>Dataset_3!K119</f>
        <v>0.33329999999999999</v>
      </c>
      <c r="L729">
        <f>Dataset_3!L119</f>
        <v>0.71</v>
      </c>
      <c r="M729">
        <f>Dataset_3!M119</f>
        <v>0.29849999999999999</v>
      </c>
      <c r="N729">
        <f>Dataset_3!N119</f>
        <v>8</v>
      </c>
      <c r="O729">
        <f>Dataset_3!O119</f>
        <v>95</v>
      </c>
      <c r="P729">
        <f>Dataset_3!P119</f>
        <v>103</v>
      </c>
      <c r="Q729" t="str">
        <f t="shared" si="143"/>
        <v>REC-0728</v>
      </c>
      <c r="R729" s="62">
        <f t="shared" si="144"/>
        <v>40576.666666666664</v>
      </c>
      <c r="S729" t="str">
        <f t="shared" si="145"/>
        <v>Feb</v>
      </c>
      <c r="T729" t="str">
        <f>INDEX(Lookups!$B$39:$B$45,MATCH(H729,Lookups!$A$39:$A$45,0))</f>
        <v>Wed</v>
      </c>
      <c r="U729" t="str">
        <f t="shared" si="146"/>
        <v>Weekday</v>
      </c>
      <c r="V729" t="str">
        <f t="shared" si="147"/>
        <v>Working Day</v>
      </c>
      <c r="W729" t="str">
        <f t="shared" si="148"/>
        <v>Spring</v>
      </c>
      <c r="X729" t="str">
        <f t="shared" si="149"/>
        <v>Clear</v>
      </c>
      <c r="Y729" t="str">
        <f t="shared" si="150"/>
        <v>Afternoon</v>
      </c>
      <c r="Z729" t="str">
        <f t="shared" si="151"/>
        <v>Warm</v>
      </c>
      <c r="AA729" t="str">
        <f t="shared" si="152"/>
        <v>Medium</v>
      </c>
      <c r="AB729" t="str">
        <f t="shared" si="153"/>
        <v>Peak</v>
      </c>
      <c r="AC729" s="63">
        <f t="shared" si="154"/>
        <v>7.7669902912621352E-2</v>
      </c>
      <c r="AD729" t="str">
        <f>IF(P729&gt;=Stats!$C$30,"High",IF(P729&lt;=Stats!$C$29,"Low","Normal"))</f>
        <v>High</v>
      </c>
      <c r="AE729">
        <f t="shared" si="155"/>
        <v>1</v>
      </c>
    </row>
    <row r="730" spans="1:31" x14ac:dyDescent="0.2">
      <c r="A730">
        <f>Dataset_3!A120</f>
        <v>729</v>
      </c>
      <c r="B730" s="61">
        <f>Dataset_3!B120</f>
        <v>40576</v>
      </c>
      <c r="C730">
        <f>Dataset_3!C120</f>
        <v>1</v>
      </c>
      <c r="D730">
        <f>Dataset_3!D120</f>
        <v>0</v>
      </c>
      <c r="E730">
        <f>Dataset_3!E120</f>
        <v>2</v>
      </c>
      <c r="F730">
        <f>Dataset_3!F120</f>
        <v>17</v>
      </c>
      <c r="G730" t="b">
        <f>Dataset_3!G120</f>
        <v>0</v>
      </c>
      <c r="H730">
        <f>Dataset_3!H120</f>
        <v>3</v>
      </c>
      <c r="I730">
        <f>Dataset_3!I120</f>
        <v>1</v>
      </c>
      <c r="J730" s="55">
        <f>Dataset_3!J120</f>
        <v>0.36</v>
      </c>
      <c r="K730">
        <f>Dataset_3!K120</f>
        <v>0.31819999999999998</v>
      </c>
      <c r="L730">
        <f>Dataset_3!L120</f>
        <v>0.53</v>
      </c>
      <c r="M730">
        <f>Dataset_3!M120</f>
        <v>0.52239999999999998</v>
      </c>
      <c r="N730">
        <f>Dataset_3!N120</f>
        <v>7</v>
      </c>
      <c r="O730">
        <f>Dataset_3!O120</f>
        <v>183</v>
      </c>
      <c r="P730">
        <f>Dataset_3!P120</f>
        <v>190</v>
      </c>
      <c r="Q730" t="str">
        <f t="shared" si="143"/>
        <v>REC-0729</v>
      </c>
      <c r="R730" s="62">
        <f t="shared" si="144"/>
        <v>40576.708333333336</v>
      </c>
      <c r="S730" t="str">
        <f t="shared" si="145"/>
        <v>Feb</v>
      </c>
      <c r="T730" t="str">
        <f>INDEX(Lookups!$B$39:$B$45,MATCH(H730,Lookups!$A$39:$A$45,0))</f>
        <v>Wed</v>
      </c>
      <c r="U730" t="str">
        <f t="shared" si="146"/>
        <v>Weekday</v>
      </c>
      <c r="V730" t="str">
        <f t="shared" si="147"/>
        <v>Working Day</v>
      </c>
      <c r="W730" t="str">
        <f t="shared" si="148"/>
        <v>Spring</v>
      </c>
      <c r="X730" t="str">
        <f t="shared" si="149"/>
        <v>Clear</v>
      </c>
      <c r="Y730" t="str">
        <f t="shared" si="150"/>
        <v>Evening</v>
      </c>
      <c r="Z730" t="str">
        <f t="shared" si="151"/>
        <v>Warm</v>
      </c>
      <c r="AA730" t="str">
        <f t="shared" si="152"/>
        <v>Medium</v>
      </c>
      <c r="AB730" t="str">
        <f t="shared" si="153"/>
        <v>Peak</v>
      </c>
      <c r="AC730" s="63">
        <f t="shared" si="154"/>
        <v>3.6842105263157891E-2</v>
      </c>
      <c r="AD730" t="str">
        <f>IF(P730&gt;=Stats!$C$30,"High",IF(P730&lt;=Stats!$C$29,"Low","Normal"))</f>
        <v>High</v>
      </c>
      <c r="AE730">
        <f t="shared" si="155"/>
        <v>1</v>
      </c>
    </row>
    <row r="731" spans="1:31" x14ac:dyDescent="0.2">
      <c r="A731">
        <f>Dataset_3!A121</f>
        <v>730</v>
      </c>
      <c r="B731" s="61">
        <f>Dataset_3!B121</f>
        <v>40576</v>
      </c>
      <c r="C731">
        <f>Dataset_3!C121</f>
        <v>1</v>
      </c>
      <c r="D731">
        <f>Dataset_3!D121</f>
        <v>0</v>
      </c>
      <c r="E731">
        <f>Dataset_3!E121</f>
        <v>2</v>
      </c>
      <c r="F731">
        <f>Dataset_3!F121</f>
        <v>18</v>
      </c>
      <c r="G731" t="b">
        <f>Dataset_3!G121</f>
        <v>0</v>
      </c>
      <c r="H731">
        <f>Dataset_3!H121</f>
        <v>3</v>
      </c>
      <c r="I731">
        <f>Dataset_3!I121</f>
        <v>1</v>
      </c>
      <c r="J731" s="55">
        <f>Dataset_3!J121</f>
        <v>0.34</v>
      </c>
      <c r="K731">
        <f>Dataset_3!K121</f>
        <v>0.28789999999999999</v>
      </c>
      <c r="L731">
        <f>Dataset_3!L121</f>
        <v>0.42</v>
      </c>
      <c r="M731">
        <f>Dataset_3!M121</f>
        <v>0.55220000000000002</v>
      </c>
      <c r="N731">
        <f>Dataset_3!N121</f>
        <v>7</v>
      </c>
      <c r="O731">
        <f>Dataset_3!O121</f>
        <v>175</v>
      </c>
      <c r="P731">
        <f>Dataset_3!P121</f>
        <v>182</v>
      </c>
      <c r="Q731" t="str">
        <f t="shared" si="143"/>
        <v>REC-0730</v>
      </c>
      <c r="R731" s="62">
        <f t="shared" si="144"/>
        <v>40576.75</v>
      </c>
      <c r="S731" t="str">
        <f t="shared" si="145"/>
        <v>Feb</v>
      </c>
      <c r="T731" t="str">
        <f>INDEX(Lookups!$B$39:$B$45,MATCH(H731,Lookups!$A$39:$A$45,0))</f>
        <v>Wed</v>
      </c>
      <c r="U731" t="str">
        <f t="shared" si="146"/>
        <v>Weekday</v>
      </c>
      <c r="V731" t="str">
        <f t="shared" si="147"/>
        <v>Working Day</v>
      </c>
      <c r="W731" t="str">
        <f t="shared" si="148"/>
        <v>Spring</v>
      </c>
      <c r="X731" t="str">
        <f t="shared" si="149"/>
        <v>Clear</v>
      </c>
      <c r="Y731" t="str">
        <f t="shared" si="150"/>
        <v>Evening</v>
      </c>
      <c r="Z731" t="str">
        <f t="shared" si="151"/>
        <v>Warm</v>
      </c>
      <c r="AA731" t="str">
        <f t="shared" si="152"/>
        <v>Low</v>
      </c>
      <c r="AB731" t="str">
        <f t="shared" si="153"/>
        <v>Peak</v>
      </c>
      <c r="AC731" s="63">
        <f t="shared" si="154"/>
        <v>3.8461538461538464E-2</v>
      </c>
      <c r="AD731" t="str">
        <f>IF(P731&gt;=Stats!$C$30,"High",IF(P731&lt;=Stats!$C$29,"Low","Normal"))</f>
        <v>High</v>
      </c>
      <c r="AE731">
        <f t="shared" si="155"/>
        <v>1</v>
      </c>
    </row>
    <row r="732" spans="1:31" x14ac:dyDescent="0.2">
      <c r="A732">
        <f>Dataset_3!A122</f>
        <v>731</v>
      </c>
      <c r="B732" s="61">
        <f>Dataset_3!B122</f>
        <v>40576</v>
      </c>
      <c r="C732">
        <f>Dataset_3!C122</f>
        <v>1</v>
      </c>
      <c r="D732">
        <f>Dataset_3!D122</f>
        <v>0</v>
      </c>
      <c r="E732">
        <f>Dataset_3!E122</f>
        <v>2</v>
      </c>
      <c r="F732">
        <f>Dataset_3!F122</f>
        <v>19</v>
      </c>
      <c r="G732" t="b">
        <f>Dataset_3!G122</f>
        <v>0</v>
      </c>
      <c r="H732">
        <f>Dataset_3!H122</f>
        <v>3</v>
      </c>
      <c r="I732">
        <f>Dataset_3!I122</f>
        <v>1</v>
      </c>
      <c r="J732" s="55">
        <f>Dataset_3!J122</f>
        <v>0.28000000000000003</v>
      </c>
      <c r="K732">
        <f>Dataset_3!K122</f>
        <v>0.2424</v>
      </c>
      <c r="L732">
        <f>Dataset_3!L122</f>
        <v>0.45</v>
      </c>
      <c r="M732">
        <f>Dataset_3!M122</f>
        <v>0.49249999999999999</v>
      </c>
      <c r="N732">
        <f>Dataset_3!N122</f>
        <v>3</v>
      </c>
      <c r="O732">
        <f>Dataset_3!O122</f>
        <v>88</v>
      </c>
      <c r="P732">
        <f>Dataset_3!P122</f>
        <v>91</v>
      </c>
      <c r="Q732" t="str">
        <f t="shared" si="143"/>
        <v>REC-0731</v>
      </c>
      <c r="R732" s="62">
        <f t="shared" si="144"/>
        <v>40576.791666666664</v>
      </c>
      <c r="S732" t="str">
        <f t="shared" si="145"/>
        <v>Feb</v>
      </c>
      <c r="T732" t="str">
        <f>INDEX(Lookups!$B$39:$B$45,MATCH(H732,Lookups!$A$39:$A$45,0))</f>
        <v>Wed</v>
      </c>
      <c r="U732" t="str">
        <f t="shared" si="146"/>
        <v>Weekday</v>
      </c>
      <c r="V732" t="str">
        <f t="shared" si="147"/>
        <v>Working Day</v>
      </c>
      <c r="W732" t="str">
        <f t="shared" si="148"/>
        <v>Spring</v>
      </c>
      <c r="X732" t="str">
        <f t="shared" si="149"/>
        <v>Clear</v>
      </c>
      <c r="Y732" t="str">
        <f t="shared" si="150"/>
        <v>Evening</v>
      </c>
      <c r="Z732" t="str">
        <f t="shared" si="151"/>
        <v>Mild</v>
      </c>
      <c r="AA732" t="str">
        <f t="shared" si="152"/>
        <v>Low</v>
      </c>
      <c r="AB732" t="str">
        <f t="shared" si="153"/>
        <v>Peak</v>
      </c>
      <c r="AC732" s="63">
        <f t="shared" si="154"/>
        <v>3.2967032967032968E-2</v>
      </c>
      <c r="AD732" t="str">
        <f>IF(P732&gt;=Stats!$C$30,"High",IF(P732&lt;=Stats!$C$29,"Low","Normal"))</f>
        <v>High</v>
      </c>
      <c r="AE732">
        <f t="shared" si="155"/>
        <v>1</v>
      </c>
    </row>
    <row r="733" spans="1:31" x14ac:dyDescent="0.2">
      <c r="A733">
        <f>Dataset_3!A123</f>
        <v>732</v>
      </c>
      <c r="B733" s="61">
        <f>Dataset_3!B123</f>
        <v>40576</v>
      </c>
      <c r="C733">
        <f>Dataset_3!C123</f>
        <v>1</v>
      </c>
      <c r="D733">
        <f>Dataset_3!D123</f>
        <v>0</v>
      </c>
      <c r="E733">
        <f>Dataset_3!E123</f>
        <v>2</v>
      </c>
      <c r="F733">
        <f>Dataset_3!F123</f>
        <v>20</v>
      </c>
      <c r="G733" t="b">
        <f>Dataset_3!G123</f>
        <v>0</v>
      </c>
      <c r="H733">
        <f>Dataset_3!H123</f>
        <v>3</v>
      </c>
      <c r="I733">
        <f>Dataset_3!I123</f>
        <v>1</v>
      </c>
      <c r="J733" s="55">
        <f>Dataset_3!J123</f>
        <v>0.24</v>
      </c>
      <c r="K733">
        <f>Dataset_3!K123</f>
        <v>0.19700000000000001</v>
      </c>
      <c r="L733">
        <f>Dataset_3!L123</f>
        <v>0.48</v>
      </c>
      <c r="M733">
        <f>Dataset_3!M123</f>
        <v>0.55220000000000002</v>
      </c>
      <c r="N733">
        <f>Dataset_3!N123</f>
        <v>4</v>
      </c>
      <c r="O733">
        <f>Dataset_3!O123</f>
        <v>71</v>
      </c>
      <c r="P733">
        <f>Dataset_3!P123</f>
        <v>75</v>
      </c>
      <c r="Q733" t="str">
        <f t="shared" si="143"/>
        <v>REC-0732</v>
      </c>
      <c r="R733" s="62">
        <f t="shared" si="144"/>
        <v>40576.833333333336</v>
      </c>
      <c r="S733" t="str">
        <f t="shared" si="145"/>
        <v>Feb</v>
      </c>
      <c r="T733" t="str">
        <f>INDEX(Lookups!$B$39:$B$45,MATCH(H733,Lookups!$A$39:$A$45,0))</f>
        <v>Wed</v>
      </c>
      <c r="U733" t="str">
        <f t="shared" si="146"/>
        <v>Weekday</v>
      </c>
      <c r="V733" t="str">
        <f t="shared" si="147"/>
        <v>Working Day</v>
      </c>
      <c r="W733" t="str">
        <f t="shared" si="148"/>
        <v>Spring</v>
      </c>
      <c r="X733" t="str">
        <f t="shared" si="149"/>
        <v>Clear</v>
      </c>
      <c r="Y733" t="str">
        <f t="shared" si="150"/>
        <v>Evening</v>
      </c>
      <c r="Z733" t="str">
        <f t="shared" si="151"/>
        <v>Mild</v>
      </c>
      <c r="AA733" t="str">
        <f t="shared" si="152"/>
        <v>Low</v>
      </c>
      <c r="AB733" t="str">
        <f t="shared" si="153"/>
        <v>Off-Peak</v>
      </c>
      <c r="AC733" s="63">
        <f t="shared" si="154"/>
        <v>5.3333333333333337E-2</v>
      </c>
      <c r="AD733" t="str">
        <f>IF(P733&gt;=Stats!$C$30,"High",IF(P733&lt;=Stats!$C$29,"Low","Normal"))</f>
        <v>Normal</v>
      </c>
      <c r="AE733">
        <f t="shared" si="155"/>
        <v>1</v>
      </c>
    </row>
    <row r="734" spans="1:31" x14ac:dyDescent="0.2">
      <c r="A734">
        <f>Dataset_3!A124</f>
        <v>733</v>
      </c>
      <c r="B734" s="61">
        <f>Dataset_3!B124</f>
        <v>40576</v>
      </c>
      <c r="C734">
        <f>Dataset_3!C124</f>
        <v>1</v>
      </c>
      <c r="D734">
        <f>Dataset_3!D124</f>
        <v>0</v>
      </c>
      <c r="E734">
        <f>Dataset_3!E124</f>
        <v>2</v>
      </c>
      <c r="F734">
        <f>Dataset_3!F124</f>
        <v>21</v>
      </c>
      <c r="G734" t="b">
        <f>Dataset_3!G124</f>
        <v>0</v>
      </c>
      <c r="H734">
        <f>Dataset_3!H124</f>
        <v>3</v>
      </c>
      <c r="I734">
        <f>Dataset_3!I124</f>
        <v>1</v>
      </c>
      <c r="J734" s="55">
        <f>Dataset_3!J124</f>
        <v>0.22</v>
      </c>
      <c r="K734">
        <f>Dataset_3!K124</f>
        <v>0.19700000000000001</v>
      </c>
      <c r="L734">
        <f>Dataset_3!L124</f>
        <v>0.47</v>
      </c>
      <c r="M734">
        <f>Dataset_3!M124</f>
        <v>0.32840000000000003</v>
      </c>
      <c r="N734">
        <f>Dataset_3!N124</f>
        <v>1</v>
      </c>
      <c r="O734">
        <f>Dataset_3!O124</f>
        <v>62</v>
      </c>
      <c r="P734">
        <f>Dataset_3!P124</f>
        <v>63</v>
      </c>
      <c r="Q734" t="str">
        <f t="shared" si="143"/>
        <v>REC-0733</v>
      </c>
      <c r="R734" s="62">
        <f t="shared" si="144"/>
        <v>40576.875</v>
      </c>
      <c r="S734" t="str">
        <f t="shared" si="145"/>
        <v>Feb</v>
      </c>
      <c r="T734" t="str">
        <f>INDEX(Lookups!$B$39:$B$45,MATCH(H734,Lookups!$A$39:$A$45,0))</f>
        <v>Wed</v>
      </c>
      <c r="U734" t="str">
        <f t="shared" si="146"/>
        <v>Weekday</v>
      </c>
      <c r="V734" t="str">
        <f t="shared" si="147"/>
        <v>Working Day</v>
      </c>
      <c r="W734" t="str">
        <f t="shared" si="148"/>
        <v>Spring</v>
      </c>
      <c r="X734" t="str">
        <f t="shared" si="149"/>
        <v>Clear</v>
      </c>
      <c r="Y734" t="str">
        <f t="shared" si="150"/>
        <v>Late Evening</v>
      </c>
      <c r="Z734" t="str">
        <f t="shared" si="151"/>
        <v>Mild</v>
      </c>
      <c r="AA734" t="str">
        <f t="shared" si="152"/>
        <v>Low</v>
      </c>
      <c r="AB734" t="str">
        <f t="shared" si="153"/>
        <v>Off-Peak</v>
      </c>
      <c r="AC734" s="63">
        <f t="shared" si="154"/>
        <v>1.5873015873015872E-2</v>
      </c>
      <c r="AD734" t="str">
        <f>IF(P734&gt;=Stats!$C$30,"High",IF(P734&lt;=Stats!$C$29,"Low","Normal"))</f>
        <v>Normal</v>
      </c>
      <c r="AE734">
        <f t="shared" si="155"/>
        <v>1</v>
      </c>
    </row>
    <row r="735" spans="1:31" x14ac:dyDescent="0.2">
      <c r="A735">
        <f>Dataset_3!A125</f>
        <v>734</v>
      </c>
      <c r="B735" s="61">
        <f>Dataset_3!B125</f>
        <v>40576</v>
      </c>
      <c r="C735">
        <f>Dataset_3!C125</f>
        <v>1</v>
      </c>
      <c r="D735">
        <f>Dataset_3!D125</f>
        <v>0</v>
      </c>
      <c r="E735">
        <f>Dataset_3!E125</f>
        <v>2</v>
      </c>
      <c r="F735">
        <f>Dataset_3!F125</f>
        <v>22</v>
      </c>
      <c r="G735" t="b">
        <f>Dataset_3!G125</f>
        <v>0</v>
      </c>
      <c r="H735">
        <f>Dataset_3!H125</f>
        <v>3</v>
      </c>
      <c r="I735">
        <f>Dataset_3!I125</f>
        <v>1</v>
      </c>
      <c r="J735" s="55">
        <f>Dataset_3!J125</f>
        <v>0.22</v>
      </c>
      <c r="K735">
        <f>Dataset_3!K125</f>
        <v>0.21210000000000001</v>
      </c>
      <c r="L735">
        <f>Dataset_3!L125</f>
        <v>0.44</v>
      </c>
      <c r="M735">
        <f>Dataset_3!M125</f>
        <v>0.25369999999999998</v>
      </c>
      <c r="N735">
        <f>Dataset_3!N125</f>
        <v>5</v>
      </c>
      <c r="O735">
        <f>Dataset_3!O125</f>
        <v>35</v>
      </c>
      <c r="P735">
        <f>Dataset_3!P125</f>
        <v>40</v>
      </c>
      <c r="Q735" t="str">
        <f t="shared" si="143"/>
        <v>REC-0734</v>
      </c>
      <c r="R735" s="62">
        <f t="shared" si="144"/>
        <v>40576.916666666664</v>
      </c>
      <c r="S735" t="str">
        <f t="shared" si="145"/>
        <v>Feb</v>
      </c>
      <c r="T735" t="str">
        <f>INDEX(Lookups!$B$39:$B$45,MATCH(H735,Lookups!$A$39:$A$45,0))</f>
        <v>Wed</v>
      </c>
      <c r="U735" t="str">
        <f t="shared" si="146"/>
        <v>Weekday</v>
      </c>
      <c r="V735" t="str">
        <f t="shared" si="147"/>
        <v>Working Day</v>
      </c>
      <c r="W735" t="str">
        <f t="shared" si="148"/>
        <v>Spring</v>
      </c>
      <c r="X735" t="str">
        <f t="shared" si="149"/>
        <v>Clear</v>
      </c>
      <c r="Y735" t="str">
        <f t="shared" si="150"/>
        <v>Late Evening</v>
      </c>
      <c r="Z735" t="str">
        <f t="shared" si="151"/>
        <v>Mild</v>
      </c>
      <c r="AA735" t="str">
        <f t="shared" si="152"/>
        <v>Low</v>
      </c>
      <c r="AB735" t="str">
        <f t="shared" si="153"/>
        <v>Off-Peak</v>
      </c>
      <c r="AC735" s="63">
        <f t="shared" si="154"/>
        <v>0.125</v>
      </c>
      <c r="AD735" t="str">
        <f>IF(P735&gt;=Stats!$C$30,"High",IF(P735&lt;=Stats!$C$29,"Low","Normal"))</f>
        <v>Normal</v>
      </c>
      <c r="AE735">
        <f t="shared" si="155"/>
        <v>1</v>
      </c>
    </row>
    <row r="736" spans="1:31" x14ac:dyDescent="0.2">
      <c r="A736">
        <f>Dataset_3!A126</f>
        <v>735</v>
      </c>
      <c r="B736" s="61">
        <f>Dataset_3!B126</f>
        <v>40576</v>
      </c>
      <c r="C736">
        <f>Dataset_3!C126</f>
        <v>1</v>
      </c>
      <c r="D736">
        <f>Dataset_3!D126</f>
        <v>0</v>
      </c>
      <c r="E736">
        <f>Dataset_3!E126</f>
        <v>2</v>
      </c>
      <c r="F736">
        <f>Dataset_3!F126</f>
        <v>23</v>
      </c>
      <c r="G736" t="b">
        <f>Dataset_3!G126</f>
        <v>0</v>
      </c>
      <c r="H736">
        <f>Dataset_3!H126</f>
        <v>3</v>
      </c>
      <c r="I736">
        <f>Dataset_3!I126</f>
        <v>1</v>
      </c>
      <c r="J736" s="55">
        <f>Dataset_3!J126</f>
        <v>0.2</v>
      </c>
      <c r="K736">
        <f>Dataset_3!K126</f>
        <v>0.16669999999999999</v>
      </c>
      <c r="L736">
        <f>Dataset_3!L126</f>
        <v>0.44</v>
      </c>
      <c r="M736">
        <f>Dataset_3!M126</f>
        <v>0.44779999999999998</v>
      </c>
      <c r="N736">
        <f>Dataset_3!N126</f>
        <v>3</v>
      </c>
      <c r="O736">
        <f>Dataset_3!O126</f>
        <v>29</v>
      </c>
      <c r="P736">
        <f>Dataset_3!P126</f>
        <v>32</v>
      </c>
      <c r="Q736" t="str">
        <f t="shared" si="143"/>
        <v>REC-0735</v>
      </c>
      <c r="R736" s="62">
        <f t="shared" si="144"/>
        <v>40576.958333333336</v>
      </c>
      <c r="S736" t="str">
        <f t="shared" si="145"/>
        <v>Feb</v>
      </c>
      <c r="T736" t="str">
        <f>INDEX(Lookups!$B$39:$B$45,MATCH(H736,Lookups!$A$39:$A$45,0))</f>
        <v>Wed</v>
      </c>
      <c r="U736" t="str">
        <f t="shared" si="146"/>
        <v>Weekday</v>
      </c>
      <c r="V736" t="str">
        <f t="shared" si="147"/>
        <v>Working Day</v>
      </c>
      <c r="W736" t="str">
        <f t="shared" si="148"/>
        <v>Spring</v>
      </c>
      <c r="X736" t="str">
        <f t="shared" si="149"/>
        <v>Clear</v>
      </c>
      <c r="Y736" t="str">
        <f t="shared" si="150"/>
        <v>Late Evening</v>
      </c>
      <c r="Z736" t="str">
        <f t="shared" si="151"/>
        <v>Mild</v>
      </c>
      <c r="AA736" t="str">
        <f t="shared" si="152"/>
        <v>Low</v>
      </c>
      <c r="AB736" t="str">
        <f t="shared" si="153"/>
        <v>Off-Peak</v>
      </c>
      <c r="AC736" s="63">
        <f t="shared" si="154"/>
        <v>9.375E-2</v>
      </c>
      <c r="AD736" t="str">
        <f>IF(P736&gt;=Stats!$C$30,"High",IF(P736&lt;=Stats!$C$29,"Low","Normal"))</f>
        <v>Normal</v>
      </c>
      <c r="AE736">
        <f t="shared" si="155"/>
        <v>1</v>
      </c>
    </row>
    <row r="737" spans="1:31" x14ac:dyDescent="0.2">
      <c r="A737">
        <f>Dataset_3!A127</f>
        <v>736</v>
      </c>
      <c r="B737" s="61">
        <f>Dataset_3!B127</f>
        <v>40577</v>
      </c>
      <c r="C737">
        <f>Dataset_3!C127</f>
        <v>1</v>
      </c>
      <c r="D737">
        <f>Dataset_3!D127</f>
        <v>0</v>
      </c>
      <c r="E737">
        <f>Dataset_3!E127</f>
        <v>2</v>
      </c>
      <c r="F737">
        <f>Dataset_3!F127</f>
        <v>0</v>
      </c>
      <c r="G737" t="b">
        <f>Dataset_3!G127</f>
        <v>0</v>
      </c>
      <c r="H737">
        <f>Dataset_3!H127</f>
        <v>4</v>
      </c>
      <c r="I737">
        <f>Dataset_3!I127</f>
        <v>1</v>
      </c>
      <c r="J737" s="55">
        <f>Dataset_3!J127</f>
        <v>0.2</v>
      </c>
      <c r="K737">
        <f>Dataset_3!K127</f>
        <v>0.16669999999999999</v>
      </c>
      <c r="L737">
        <f>Dataset_3!L127</f>
        <v>0.4</v>
      </c>
      <c r="M737">
        <f>Dataset_3!M127</f>
        <v>0.44779999999999998</v>
      </c>
      <c r="N737">
        <f>Dataset_3!N127</f>
        <v>1</v>
      </c>
      <c r="O737">
        <f>Dataset_3!O127</f>
        <v>11</v>
      </c>
      <c r="P737">
        <f>Dataset_3!P127</f>
        <v>12</v>
      </c>
      <c r="Q737" t="str">
        <f t="shared" si="143"/>
        <v>REC-0736</v>
      </c>
      <c r="R737" s="62">
        <f t="shared" si="144"/>
        <v>40577</v>
      </c>
      <c r="S737" t="str">
        <f t="shared" si="145"/>
        <v>Feb</v>
      </c>
      <c r="T737" t="str">
        <f>INDEX(Lookups!$B$39:$B$45,MATCH(H737,Lookups!$A$39:$A$45,0))</f>
        <v>Thu</v>
      </c>
      <c r="U737" t="str">
        <f t="shared" si="146"/>
        <v>Weekday</v>
      </c>
      <c r="V737" t="str">
        <f t="shared" si="147"/>
        <v>Working Day</v>
      </c>
      <c r="W737" t="str">
        <f t="shared" si="148"/>
        <v>Spring</v>
      </c>
      <c r="X737" t="str">
        <f t="shared" si="149"/>
        <v>Clear</v>
      </c>
      <c r="Y737" t="str">
        <f t="shared" si="150"/>
        <v>Night</v>
      </c>
      <c r="Z737" t="str">
        <f t="shared" si="151"/>
        <v>Mild</v>
      </c>
      <c r="AA737" t="str">
        <f t="shared" si="152"/>
        <v>Low</v>
      </c>
      <c r="AB737" t="str">
        <f t="shared" si="153"/>
        <v>Off-Peak</v>
      </c>
      <c r="AC737" s="63">
        <f t="shared" si="154"/>
        <v>8.3333333333333329E-2</v>
      </c>
      <c r="AD737" t="str">
        <f>IF(P737&gt;=Stats!$C$30,"High",IF(P737&lt;=Stats!$C$29,"Low","Normal"))</f>
        <v>Low</v>
      </c>
      <c r="AE737">
        <f t="shared" si="155"/>
        <v>1</v>
      </c>
    </row>
    <row r="738" spans="1:31" x14ac:dyDescent="0.2">
      <c r="A738">
        <f>Dataset_3!A128</f>
        <v>737</v>
      </c>
      <c r="B738" s="61">
        <f>Dataset_3!B128</f>
        <v>40577</v>
      </c>
      <c r="C738">
        <f>Dataset_3!C128</f>
        <v>1</v>
      </c>
      <c r="D738">
        <f>Dataset_3!D128</f>
        <v>0</v>
      </c>
      <c r="E738">
        <f>Dataset_3!E128</f>
        <v>2</v>
      </c>
      <c r="F738">
        <f>Dataset_3!F128</f>
        <v>1</v>
      </c>
      <c r="G738" t="b">
        <f>Dataset_3!G128</f>
        <v>0</v>
      </c>
      <c r="H738">
        <f>Dataset_3!H128</f>
        <v>4</v>
      </c>
      <c r="I738">
        <f>Dataset_3!I128</f>
        <v>1</v>
      </c>
      <c r="J738" s="55">
        <f>Dataset_3!J128</f>
        <v>0.2</v>
      </c>
      <c r="K738">
        <f>Dataset_3!K128</f>
        <v>0.1515</v>
      </c>
      <c r="L738">
        <f>Dataset_3!L128</f>
        <v>0.44</v>
      </c>
      <c r="M738">
        <f>Dataset_3!M128</f>
        <v>0.52239999999999998</v>
      </c>
      <c r="N738">
        <f>Dataset_3!N128</f>
        <v>0</v>
      </c>
      <c r="O738">
        <f>Dataset_3!O128</f>
        <v>5</v>
      </c>
      <c r="P738">
        <f>Dataset_3!P128</f>
        <v>5</v>
      </c>
      <c r="Q738" t="str">
        <f t="shared" si="143"/>
        <v>REC-0737</v>
      </c>
      <c r="R738" s="62">
        <f t="shared" si="144"/>
        <v>40577.041666666664</v>
      </c>
      <c r="S738" t="str">
        <f t="shared" si="145"/>
        <v>Feb</v>
      </c>
      <c r="T738" t="str">
        <f>INDEX(Lookups!$B$39:$B$45,MATCH(H738,Lookups!$A$39:$A$45,0))</f>
        <v>Thu</v>
      </c>
      <c r="U738" t="str">
        <f t="shared" si="146"/>
        <v>Weekday</v>
      </c>
      <c r="V738" t="str">
        <f t="shared" si="147"/>
        <v>Working Day</v>
      </c>
      <c r="W738" t="str">
        <f t="shared" si="148"/>
        <v>Spring</v>
      </c>
      <c r="X738" t="str">
        <f t="shared" si="149"/>
        <v>Clear</v>
      </c>
      <c r="Y738" t="str">
        <f t="shared" si="150"/>
        <v>Night</v>
      </c>
      <c r="Z738" t="str">
        <f t="shared" si="151"/>
        <v>Mild</v>
      </c>
      <c r="AA738" t="str">
        <f t="shared" si="152"/>
        <v>Low</v>
      </c>
      <c r="AB738" t="str">
        <f t="shared" si="153"/>
        <v>Off-Peak</v>
      </c>
      <c r="AC738" s="63">
        <f t="shared" si="154"/>
        <v>0</v>
      </c>
      <c r="AD738" t="str">
        <f>IF(P738&gt;=Stats!$C$30,"High",IF(P738&lt;=Stats!$C$29,"Low","Normal"))</f>
        <v>Low</v>
      </c>
      <c r="AE738">
        <f t="shared" si="155"/>
        <v>1</v>
      </c>
    </row>
    <row r="739" spans="1:31" x14ac:dyDescent="0.2">
      <c r="A739">
        <f>Dataset_3!A129</f>
        <v>738</v>
      </c>
      <c r="B739" s="61">
        <f>Dataset_3!B129</f>
        <v>40577</v>
      </c>
      <c r="C739">
        <f>Dataset_3!C129</f>
        <v>1</v>
      </c>
      <c r="D739">
        <f>Dataset_3!D129</f>
        <v>0</v>
      </c>
      <c r="E739">
        <f>Dataset_3!E129</f>
        <v>2</v>
      </c>
      <c r="F739">
        <f>Dataset_3!F129</f>
        <v>2</v>
      </c>
      <c r="G739" t="b">
        <f>Dataset_3!G129</f>
        <v>0</v>
      </c>
      <c r="H739">
        <f>Dataset_3!H129</f>
        <v>4</v>
      </c>
      <c r="I739">
        <f>Dataset_3!I129</f>
        <v>1</v>
      </c>
      <c r="J739" s="55">
        <f>Dataset_3!J129</f>
        <v>0.18</v>
      </c>
      <c r="K739">
        <f>Dataset_3!K129</f>
        <v>0.16669999999999999</v>
      </c>
      <c r="L739">
        <f>Dataset_3!L129</f>
        <v>0.43</v>
      </c>
      <c r="M739">
        <f>Dataset_3!M129</f>
        <v>0.25369999999999998</v>
      </c>
      <c r="N739">
        <f>Dataset_3!N129</f>
        <v>0</v>
      </c>
      <c r="O739">
        <f>Dataset_3!O129</f>
        <v>2</v>
      </c>
      <c r="P739">
        <f>Dataset_3!P129</f>
        <v>2</v>
      </c>
      <c r="Q739" t="str">
        <f t="shared" si="143"/>
        <v>REC-0738</v>
      </c>
      <c r="R739" s="62">
        <f t="shared" si="144"/>
        <v>40577.083333333336</v>
      </c>
      <c r="S739" t="str">
        <f t="shared" si="145"/>
        <v>Feb</v>
      </c>
      <c r="T739" t="str">
        <f>INDEX(Lookups!$B$39:$B$45,MATCH(H739,Lookups!$A$39:$A$45,0))</f>
        <v>Thu</v>
      </c>
      <c r="U739" t="str">
        <f t="shared" si="146"/>
        <v>Weekday</v>
      </c>
      <c r="V739" t="str">
        <f t="shared" si="147"/>
        <v>Working Day</v>
      </c>
      <c r="W739" t="str">
        <f t="shared" si="148"/>
        <v>Spring</v>
      </c>
      <c r="X739" t="str">
        <f t="shared" si="149"/>
        <v>Clear</v>
      </c>
      <c r="Y739" t="str">
        <f t="shared" si="150"/>
        <v>Night</v>
      </c>
      <c r="Z739" t="str">
        <f t="shared" si="151"/>
        <v>Cold</v>
      </c>
      <c r="AA739" t="str">
        <f t="shared" si="152"/>
        <v>Low</v>
      </c>
      <c r="AB739" t="str">
        <f t="shared" si="153"/>
        <v>Off-Peak</v>
      </c>
      <c r="AC739" s="63">
        <f t="shared" si="154"/>
        <v>0</v>
      </c>
      <c r="AD739" t="str">
        <f>IF(P739&gt;=Stats!$C$30,"High",IF(P739&lt;=Stats!$C$29,"Low","Normal"))</f>
        <v>Low</v>
      </c>
      <c r="AE739">
        <f t="shared" si="155"/>
        <v>1</v>
      </c>
    </row>
    <row r="740" spans="1:31" x14ac:dyDescent="0.2">
      <c r="A740">
        <f>Dataset_3!A130</f>
        <v>739</v>
      </c>
      <c r="B740" s="61">
        <f>Dataset_3!B130</f>
        <v>40577</v>
      </c>
      <c r="C740">
        <f>Dataset_3!C130</f>
        <v>1</v>
      </c>
      <c r="D740">
        <f>Dataset_3!D130</f>
        <v>0</v>
      </c>
      <c r="E740">
        <f>Dataset_3!E130</f>
        <v>2</v>
      </c>
      <c r="F740">
        <f>Dataset_3!F130</f>
        <v>3</v>
      </c>
      <c r="G740" t="b">
        <f>Dataset_3!G130</f>
        <v>0</v>
      </c>
      <c r="H740">
        <f>Dataset_3!H130</f>
        <v>4</v>
      </c>
      <c r="I740">
        <f>Dataset_3!I130</f>
        <v>1</v>
      </c>
      <c r="J740" s="55">
        <f>Dataset_3!J130</f>
        <v>0.18</v>
      </c>
      <c r="K740">
        <f>Dataset_3!K130</f>
        <v>0.16669999999999999</v>
      </c>
      <c r="L740">
        <f>Dataset_3!L130</f>
        <v>0.43</v>
      </c>
      <c r="M740">
        <f>Dataset_3!M130</f>
        <v>0.25369999999999998</v>
      </c>
      <c r="N740">
        <f>Dataset_3!N130</f>
        <v>0</v>
      </c>
      <c r="O740">
        <f>Dataset_3!O130</f>
        <v>1</v>
      </c>
      <c r="P740">
        <f>Dataset_3!P130</f>
        <v>1</v>
      </c>
      <c r="Q740" t="str">
        <f t="shared" si="143"/>
        <v>REC-0739</v>
      </c>
      <c r="R740" s="62">
        <f t="shared" si="144"/>
        <v>40577.125</v>
      </c>
      <c r="S740" t="str">
        <f t="shared" si="145"/>
        <v>Feb</v>
      </c>
      <c r="T740" t="str">
        <f>INDEX(Lookups!$B$39:$B$45,MATCH(H740,Lookups!$A$39:$A$45,0))</f>
        <v>Thu</v>
      </c>
      <c r="U740" t="str">
        <f t="shared" si="146"/>
        <v>Weekday</v>
      </c>
      <c r="V740" t="str">
        <f t="shared" si="147"/>
        <v>Working Day</v>
      </c>
      <c r="W740" t="str">
        <f t="shared" si="148"/>
        <v>Spring</v>
      </c>
      <c r="X740" t="str">
        <f t="shared" si="149"/>
        <v>Clear</v>
      </c>
      <c r="Y740" t="str">
        <f t="shared" si="150"/>
        <v>Night</v>
      </c>
      <c r="Z740" t="str">
        <f t="shared" si="151"/>
        <v>Cold</v>
      </c>
      <c r="AA740" t="str">
        <f t="shared" si="152"/>
        <v>Low</v>
      </c>
      <c r="AB740" t="str">
        <f t="shared" si="153"/>
        <v>Off-Peak</v>
      </c>
      <c r="AC740" s="63">
        <f t="shared" si="154"/>
        <v>0</v>
      </c>
      <c r="AD740" t="str">
        <f>IF(P740&gt;=Stats!$C$30,"High",IF(P740&lt;=Stats!$C$29,"Low","Normal"))</f>
        <v>Low</v>
      </c>
      <c r="AE740">
        <f t="shared" si="155"/>
        <v>1</v>
      </c>
    </row>
    <row r="741" spans="1:31" x14ac:dyDescent="0.2">
      <c r="A741">
        <f>Dataset_3!A131</f>
        <v>740</v>
      </c>
      <c r="B741" s="61">
        <f>Dataset_3!B131</f>
        <v>40577</v>
      </c>
      <c r="C741">
        <f>Dataset_3!C131</f>
        <v>1</v>
      </c>
      <c r="D741">
        <f>Dataset_3!D131</f>
        <v>0</v>
      </c>
      <c r="E741">
        <f>Dataset_3!E131</f>
        <v>2</v>
      </c>
      <c r="F741">
        <f>Dataset_3!F131</f>
        <v>5</v>
      </c>
      <c r="G741" t="b">
        <f>Dataset_3!G131</f>
        <v>0</v>
      </c>
      <c r="H741">
        <f>Dataset_3!H131</f>
        <v>4</v>
      </c>
      <c r="I741">
        <f>Dataset_3!I131</f>
        <v>1</v>
      </c>
      <c r="J741" s="55">
        <f>Dataset_3!J131</f>
        <v>0.16</v>
      </c>
      <c r="K741">
        <f>Dataset_3!K131</f>
        <v>0.13639999999999999</v>
      </c>
      <c r="L741">
        <f>Dataset_3!L131</f>
        <v>0.5</v>
      </c>
      <c r="M741">
        <f>Dataset_3!M131</f>
        <v>0.29849999999999999</v>
      </c>
      <c r="N741">
        <f>Dataset_3!N131</f>
        <v>0</v>
      </c>
      <c r="O741">
        <f>Dataset_3!O131</f>
        <v>2</v>
      </c>
      <c r="P741">
        <f>Dataset_3!P131</f>
        <v>2</v>
      </c>
      <c r="Q741" t="str">
        <f t="shared" si="143"/>
        <v>REC-0740</v>
      </c>
      <c r="R741" s="62">
        <f t="shared" si="144"/>
        <v>40577.208333333336</v>
      </c>
      <c r="S741" t="str">
        <f t="shared" si="145"/>
        <v>Feb</v>
      </c>
      <c r="T741" t="str">
        <f>INDEX(Lookups!$B$39:$B$45,MATCH(H741,Lookups!$A$39:$A$45,0))</f>
        <v>Thu</v>
      </c>
      <c r="U741" t="str">
        <f t="shared" si="146"/>
        <v>Weekday</v>
      </c>
      <c r="V741" t="str">
        <f t="shared" si="147"/>
        <v>Working Day</v>
      </c>
      <c r="W741" t="str">
        <f t="shared" si="148"/>
        <v>Spring</v>
      </c>
      <c r="X741" t="str">
        <f t="shared" si="149"/>
        <v>Clear</v>
      </c>
      <c r="Y741" t="str">
        <f t="shared" si="150"/>
        <v>Night</v>
      </c>
      <c r="Z741" t="str">
        <f t="shared" si="151"/>
        <v>Cold</v>
      </c>
      <c r="AA741" t="str">
        <f t="shared" si="152"/>
        <v>Medium</v>
      </c>
      <c r="AB741" t="str">
        <f t="shared" si="153"/>
        <v>Off-Peak</v>
      </c>
      <c r="AC741" s="63">
        <f t="shared" si="154"/>
        <v>0</v>
      </c>
      <c r="AD741" t="str">
        <f>IF(P741&gt;=Stats!$C$30,"High",IF(P741&lt;=Stats!$C$29,"Low","Normal"))</f>
        <v>Low</v>
      </c>
      <c r="AE741">
        <f t="shared" si="155"/>
        <v>1</v>
      </c>
    </row>
    <row r="742" spans="1:31" x14ac:dyDescent="0.2">
      <c r="A742">
        <f>Dataset_3!A132</f>
        <v>741</v>
      </c>
      <c r="B742" s="61">
        <f>Dataset_3!B132</f>
        <v>40577</v>
      </c>
      <c r="C742">
        <f>Dataset_3!C132</f>
        <v>1</v>
      </c>
      <c r="D742">
        <f>Dataset_3!D132</f>
        <v>0</v>
      </c>
      <c r="E742">
        <f>Dataset_3!E132</f>
        <v>2</v>
      </c>
      <c r="F742">
        <f>Dataset_3!F132</f>
        <v>6</v>
      </c>
      <c r="G742" t="b">
        <f>Dataset_3!G132</f>
        <v>0</v>
      </c>
      <c r="H742">
        <f>Dataset_3!H132</f>
        <v>4</v>
      </c>
      <c r="I742">
        <f>Dataset_3!I132</f>
        <v>1</v>
      </c>
      <c r="J742" s="55">
        <f>Dataset_3!J132</f>
        <v>0.16</v>
      </c>
      <c r="K742">
        <f>Dataset_3!K132</f>
        <v>0.13639999999999999</v>
      </c>
      <c r="L742">
        <f>Dataset_3!L132</f>
        <v>0.43</v>
      </c>
      <c r="M742">
        <f>Dataset_3!M132</f>
        <v>0.35820000000000002</v>
      </c>
      <c r="N742">
        <f>Dataset_3!N132</f>
        <v>0</v>
      </c>
      <c r="O742">
        <f>Dataset_3!O132</f>
        <v>39</v>
      </c>
      <c r="P742">
        <f>Dataset_3!P132</f>
        <v>39</v>
      </c>
      <c r="Q742" t="str">
        <f t="shared" si="143"/>
        <v>REC-0741</v>
      </c>
      <c r="R742" s="62">
        <f t="shared" si="144"/>
        <v>40577.25</v>
      </c>
      <c r="S742" t="str">
        <f t="shared" si="145"/>
        <v>Feb</v>
      </c>
      <c r="T742" t="str">
        <f>INDEX(Lookups!$B$39:$B$45,MATCH(H742,Lookups!$A$39:$A$45,0))</f>
        <v>Thu</v>
      </c>
      <c r="U742" t="str">
        <f t="shared" si="146"/>
        <v>Weekday</v>
      </c>
      <c r="V742" t="str">
        <f t="shared" si="147"/>
        <v>Working Day</v>
      </c>
      <c r="W742" t="str">
        <f t="shared" si="148"/>
        <v>Spring</v>
      </c>
      <c r="X742" t="str">
        <f t="shared" si="149"/>
        <v>Clear</v>
      </c>
      <c r="Y742" t="str">
        <f t="shared" si="150"/>
        <v>Morning</v>
      </c>
      <c r="Z742" t="str">
        <f t="shared" si="151"/>
        <v>Cold</v>
      </c>
      <c r="AA742" t="str">
        <f t="shared" si="152"/>
        <v>Low</v>
      </c>
      <c r="AB742" t="str">
        <f t="shared" si="153"/>
        <v>Off-Peak</v>
      </c>
      <c r="AC742" s="63">
        <f t="shared" si="154"/>
        <v>0</v>
      </c>
      <c r="AD742" t="str">
        <f>IF(P742&gt;=Stats!$C$30,"High",IF(P742&lt;=Stats!$C$29,"Low","Normal"))</f>
        <v>Normal</v>
      </c>
      <c r="AE742">
        <f t="shared" si="155"/>
        <v>1</v>
      </c>
    </row>
    <row r="743" spans="1:31" x14ac:dyDescent="0.2">
      <c r="A743">
        <f>Dataset_3!A133</f>
        <v>742</v>
      </c>
      <c r="B743" s="61">
        <f>Dataset_3!B133</f>
        <v>40577</v>
      </c>
      <c r="C743">
        <f>Dataset_3!C133</f>
        <v>1</v>
      </c>
      <c r="D743">
        <f>Dataset_3!D133</f>
        <v>0</v>
      </c>
      <c r="E743">
        <f>Dataset_3!E133</f>
        <v>2</v>
      </c>
      <c r="F743">
        <f>Dataset_3!F133</f>
        <v>7</v>
      </c>
      <c r="G743" t="b">
        <f>Dataset_3!G133</f>
        <v>0</v>
      </c>
      <c r="H743">
        <f>Dataset_3!H133</f>
        <v>4</v>
      </c>
      <c r="I743">
        <f>Dataset_3!I133</f>
        <v>1</v>
      </c>
      <c r="J743" s="55">
        <f>Dataset_3!J133</f>
        <v>0.14000000000000001</v>
      </c>
      <c r="K743">
        <f>Dataset_3!K133</f>
        <v>0.1212</v>
      </c>
      <c r="L743">
        <f>Dataset_3!L133</f>
        <v>0.5</v>
      </c>
      <c r="M743">
        <f>Dataset_3!M133</f>
        <v>0.32840000000000003</v>
      </c>
      <c r="N743">
        <f>Dataset_3!N133</f>
        <v>1</v>
      </c>
      <c r="O743">
        <f>Dataset_3!O133</f>
        <v>86</v>
      </c>
      <c r="P743">
        <f>Dataset_3!P133</f>
        <v>87</v>
      </c>
      <c r="Q743" t="str">
        <f t="shared" si="143"/>
        <v>REC-0742</v>
      </c>
      <c r="R743" s="62">
        <f t="shared" si="144"/>
        <v>40577.291666666664</v>
      </c>
      <c r="S743" t="str">
        <f t="shared" si="145"/>
        <v>Feb</v>
      </c>
      <c r="T743" t="str">
        <f>INDEX(Lookups!$B$39:$B$45,MATCH(H743,Lookups!$A$39:$A$45,0))</f>
        <v>Thu</v>
      </c>
      <c r="U743" t="str">
        <f t="shared" si="146"/>
        <v>Weekday</v>
      </c>
      <c r="V743" t="str">
        <f t="shared" si="147"/>
        <v>Working Day</v>
      </c>
      <c r="W743" t="str">
        <f t="shared" si="148"/>
        <v>Spring</v>
      </c>
      <c r="X743" t="str">
        <f t="shared" si="149"/>
        <v>Clear</v>
      </c>
      <c r="Y743" t="str">
        <f t="shared" si="150"/>
        <v>Morning</v>
      </c>
      <c r="Z743" t="str">
        <f t="shared" si="151"/>
        <v>Cold</v>
      </c>
      <c r="AA743" t="str">
        <f t="shared" si="152"/>
        <v>Medium</v>
      </c>
      <c r="AB743" t="str">
        <f t="shared" si="153"/>
        <v>Peak</v>
      </c>
      <c r="AC743" s="63">
        <f t="shared" si="154"/>
        <v>1.1494252873563218E-2</v>
      </c>
      <c r="AD743" t="str">
        <f>IF(P743&gt;=Stats!$C$30,"High",IF(P743&lt;=Stats!$C$29,"Low","Normal"))</f>
        <v>High</v>
      </c>
      <c r="AE743">
        <f t="shared" si="155"/>
        <v>1</v>
      </c>
    </row>
    <row r="744" spans="1:31" x14ac:dyDescent="0.2">
      <c r="A744">
        <f>Dataset_3!A134</f>
        <v>743</v>
      </c>
      <c r="B744" s="61">
        <f>Dataset_3!B134</f>
        <v>40577</v>
      </c>
      <c r="C744">
        <f>Dataset_3!C134</f>
        <v>1</v>
      </c>
      <c r="D744">
        <f>Dataset_3!D134</f>
        <v>0</v>
      </c>
      <c r="E744">
        <f>Dataset_3!E134</f>
        <v>2</v>
      </c>
      <c r="F744">
        <f>Dataset_3!F134</f>
        <v>8</v>
      </c>
      <c r="G744" t="b">
        <f>Dataset_3!G134</f>
        <v>0</v>
      </c>
      <c r="H744">
        <f>Dataset_3!H134</f>
        <v>4</v>
      </c>
      <c r="I744">
        <f>Dataset_3!I134</f>
        <v>1</v>
      </c>
      <c r="J744" s="55">
        <f>Dataset_3!J134</f>
        <v>0.14000000000000001</v>
      </c>
      <c r="K744">
        <f>Dataset_3!K134</f>
        <v>0.1212</v>
      </c>
      <c r="L744">
        <f>Dataset_3!L134</f>
        <v>0.5</v>
      </c>
      <c r="M744">
        <f>Dataset_3!M134</f>
        <v>0.35820000000000002</v>
      </c>
      <c r="N744">
        <f>Dataset_3!N134</f>
        <v>4</v>
      </c>
      <c r="O744">
        <f>Dataset_3!O134</f>
        <v>184</v>
      </c>
      <c r="P744">
        <f>Dataset_3!P134</f>
        <v>188</v>
      </c>
      <c r="Q744" t="str">
        <f t="shared" si="143"/>
        <v>REC-0743</v>
      </c>
      <c r="R744" s="62">
        <f t="shared" si="144"/>
        <v>40577.333333333336</v>
      </c>
      <c r="S744" t="str">
        <f t="shared" si="145"/>
        <v>Feb</v>
      </c>
      <c r="T744" t="str">
        <f>INDEX(Lookups!$B$39:$B$45,MATCH(H744,Lookups!$A$39:$A$45,0))</f>
        <v>Thu</v>
      </c>
      <c r="U744" t="str">
        <f t="shared" si="146"/>
        <v>Weekday</v>
      </c>
      <c r="V744" t="str">
        <f t="shared" si="147"/>
        <v>Working Day</v>
      </c>
      <c r="W744" t="str">
        <f t="shared" si="148"/>
        <v>Spring</v>
      </c>
      <c r="X744" t="str">
        <f t="shared" si="149"/>
        <v>Clear</v>
      </c>
      <c r="Y744" t="str">
        <f t="shared" si="150"/>
        <v>Morning</v>
      </c>
      <c r="Z744" t="str">
        <f t="shared" si="151"/>
        <v>Cold</v>
      </c>
      <c r="AA744" t="str">
        <f t="shared" si="152"/>
        <v>Medium</v>
      </c>
      <c r="AB744" t="str">
        <f t="shared" si="153"/>
        <v>Peak</v>
      </c>
      <c r="AC744" s="63">
        <f t="shared" si="154"/>
        <v>2.1276595744680851E-2</v>
      </c>
      <c r="AD744" t="str">
        <f>IF(P744&gt;=Stats!$C$30,"High",IF(P744&lt;=Stats!$C$29,"Low","Normal"))</f>
        <v>High</v>
      </c>
      <c r="AE744">
        <f t="shared" si="155"/>
        <v>1</v>
      </c>
    </row>
    <row r="745" spans="1:31" x14ac:dyDescent="0.2">
      <c r="A745">
        <f>Dataset_3!A135</f>
        <v>744</v>
      </c>
      <c r="B745" s="61">
        <f>Dataset_3!B135</f>
        <v>40577</v>
      </c>
      <c r="C745">
        <f>Dataset_3!C135</f>
        <v>1</v>
      </c>
      <c r="D745">
        <f>Dataset_3!D135</f>
        <v>0</v>
      </c>
      <c r="E745">
        <f>Dataset_3!E135</f>
        <v>2</v>
      </c>
      <c r="F745">
        <f>Dataset_3!F135</f>
        <v>9</v>
      </c>
      <c r="G745" t="b">
        <f>Dataset_3!G135</f>
        <v>0</v>
      </c>
      <c r="H745">
        <f>Dataset_3!H135</f>
        <v>4</v>
      </c>
      <c r="I745">
        <f>Dataset_3!I135</f>
        <v>1</v>
      </c>
      <c r="J745" s="55">
        <f>Dataset_3!J135</f>
        <v>0.16</v>
      </c>
      <c r="K745">
        <f>Dataset_3!K135</f>
        <v>0.13639999999999999</v>
      </c>
      <c r="L745">
        <f>Dataset_3!L135</f>
        <v>0.47</v>
      </c>
      <c r="M745">
        <f>Dataset_3!M135</f>
        <v>0.29849999999999999</v>
      </c>
      <c r="N745">
        <f>Dataset_3!N135</f>
        <v>6</v>
      </c>
      <c r="O745">
        <f>Dataset_3!O135</f>
        <v>127</v>
      </c>
      <c r="P745">
        <f>Dataset_3!P135</f>
        <v>133</v>
      </c>
      <c r="Q745" t="str">
        <f t="shared" si="143"/>
        <v>REC-0744</v>
      </c>
      <c r="R745" s="62">
        <f t="shared" si="144"/>
        <v>40577.375</v>
      </c>
      <c r="S745" t="str">
        <f t="shared" si="145"/>
        <v>Feb</v>
      </c>
      <c r="T745" t="str">
        <f>INDEX(Lookups!$B$39:$B$45,MATCH(H745,Lookups!$A$39:$A$45,0))</f>
        <v>Thu</v>
      </c>
      <c r="U745" t="str">
        <f t="shared" si="146"/>
        <v>Weekday</v>
      </c>
      <c r="V745" t="str">
        <f t="shared" si="147"/>
        <v>Working Day</v>
      </c>
      <c r="W745" t="str">
        <f t="shared" si="148"/>
        <v>Spring</v>
      </c>
      <c r="X745" t="str">
        <f t="shared" si="149"/>
        <v>Clear</v>
      </c>
      <c r="Y745" t="str">
        <f t="shared" si="150"/>
        <v>Morning</v>
      </c>
      <c r="Z745" t="str">
        <f t="shared" si="151"/>
        <v>Cold</v>
      </c>
      <c r="AA745" t="str">
        <f t="shared" si="152"/>
        <v>Low</v>
      </c>
      <c r="AB745" t="str">
        <f t="shared" si="153"/>
        <v>Peak</v>
      </c>
      <c r="AC745" s="63">
        <f t="shared" si="154"/>
        <v>4.5112781954887216E-2</v>
      </c>
      <c r="AD745" t="str">
        <f>IF(P745&gt;=Stats!$C$30,"High",IF(P745&lt;=Stats!$C$29,"Low","Normal"))</f>
        <v>High</v>
      </c>
      <c r="AE745">
        <f t="shared" si="155"/>
        <v>1</v>
      </c>
    </row>
    <row r="746" spans="1:31" x14ac:dyDescent="0.2">
      <c r="A746">
        <f>Dataset_3!A136</f>
        <v>745</v>
      </c>
      <c r="B746" s="61">
        <f>Dataset_3!B136</f>
        <v>40577</v>
      </c>
      <c r="C746">
        <f>Dataset_3!C136</f>
        <v>1</v>
      </c>
      <c r="D746">
        <f>Dataset_3!D136</f>
        <v>0</v>
      </c>
      <c r="E746">
        <f>Dataset_3!E136</f>
        <v>2</v>
      </c>
      <c r="F746">
        <f>Dataset_3!F136</f>
        <v>10</v>
      </c>
      <c r="G746" t="b">
        <f>Dataset_3!G136</f>
        <v>0</v>
      </c>
      <c r="H746">
        <f>Dataset_3!H136</f>
        <v>4</v>
      </c>
      <c r="I746">
        <f>Dataset_3!I136</f>
        <v>1</v>
      </c>
      <c r="J746" s="55">
        <f>Dataset_3!J136</f>
        <v>0.18</v>
      </c>
      <c r="K746">
        <f>Dataset_3!K136</f>
        <v>0.1515</v>
      </c>
      <c r="L746">
        <f>Dataset_3!L136</f>
        <v>0.43</v>
      </c>
      <c r="M746">
        <f>Dataset_3!M136</f>
        <v>0.32840000000000003</v>
      </c>
      <c r="N746">
        <f>Dataset_3!N136</f>
        <v>2</v>
      </c>
      <c r="O746">
        <f>Dataset_3!O136</f>
        <v>50</v>
      </c>
      <c r="P746">
        <f>Dataset_3!P136</f>
        <v>52</v>
      </c>
      <c r="Q746" t="str">
        <f t="shared" si="143"/>
        <v>REC-0745</v>
      </c>
      <c r="R746" s="62">
        <f t="shared" si="144"/>
        <v>40577.416666666664</v>
      </c>
      <c r="S746" t="str">
        <f t="shared" si="145"/>
        <v>Feb</v>
      </c>
      <c r="T746" t="str">
        <f>INDEX(Lookups!$B$39:$B$45,MATCH(H746,Lookups!$A$39:$A$45,0))</f>
        <v>Thu</v>
      </c>
      <c r="U746" t="str">
        <f t="shared" si="146"/>
        <v>Weekday</v>
      </c>
      <c r="V746" t="str">
        <f t="shared" si="147"/>
        <v>Working Day</v>
      </c>
      <c r="W746" t="str">
        <f t="shared" si="148"/>
        <v>Spring</v>
      </c>
      <c r="X746" t="str">
        <f t="shared" si="149"/>
        <v>Clear</v>
      </c>
      <c r="Y746" t="str">
        <f t="shared" si="150"/>
        <v>Morning</v>
      </c>
      <c r="Z746" t="str">
        <f t="shared" si="151"/>
        <v>Cold</v>
      </c>
      <c r="AA746" t="str">
        <f t="shared" si="152"/>
        <v>Low</v>
      </c>
      <c r="AB746" t="str">
        <f t="shared" si="153"/>
        <v>Off-Peak</v>
      </c>
      <c r="AC746" s="63">
        <f t="shared" si="154"/>
        <v>3.8461538461538464E-2</v>
      </c>
      <c r="AD746" t="str">
        <f>IF(P746&gt;=Stats!$C$30,"High",IF(P746&lt;=Stats!$C$29,"Low","Normal"))</f>
        <v>Normal</v>
      </c>
      <c r="AE746">
        <f t="shared" si="155"/>
        <v>1</v>
      </c>
    </row>
    <row r="747" spans="1:31" x14ac:dyDescent="0.2">
      <c r="A747">
        <f>Dataset_3!A137</f>
        <v>746</v>
      </c>
      <c r="B747" s="61">
        <f>Dataset_3!B137</f>
        <v>40577</v>
      </c>
      <c r="C747">
        <f>Dataset_3!C137</f>
        <v>1</v>
      </c>
      <c r="D747">
        <f>Dataset_3!D137</f>
        <v>0</v>
      </c>
      <c r="E747">
        <f>Dataset_3!E137</f>
        <v>2</v>
      </c>
      <c r="F747">
        <f>Dataset_3!F137</f>
        <v>11</v>
      </c>
      <c r="G747" t="b">
        <f>Dataset_3!G137</f>
        <v>0</v>
      </c>
      <c r="H747">
        <f>Dataset_3!H137</f>
        <v>4</v>
      </c>
      <c r="I747">
        <f>Dataset_3!I137</f>
        <v>1</v>
      </c>
      <c r="J747" s="55">
        <f>Dataset_3!J137</f>
        <v>0.18</v>
      </c>
      <c r="K747">
        <f>Dataset_3!K137</f>
        <v>0.13639999999999999</v>
      </c>
      <c r="L747">
        <f>Dataset_3!L137</f>
        <v>0.43</v>
      </c>
      <c r="M747">
        <f>Dataset_3!M137</f>
        <v>0.44779999999999998</v>
      </c>
      <c r="N747">
        <f>Dataset_3!N137</f>
        <v>9</v>
      </c>
      <c r="O747">
        <f>Dataset_3!O137</f>
        <v>55</v>
      </c>
      <c r="P747">
        <f>Dataset_3!P137</f>
        <v>64</v>
      </c>
      <c r="Q747" t="str">
        <f t="shared" si="143"/>
        <v>REC-0746</v>
      </c>
      <c r="R747" s="62">
        <f t="shared" si="144"/>
        <v>40577.458333333336</v>
      </c>
      <c r="S747" t="str">
        <f t="shared" si="145"/>
        <v>Feb</v>
      </c>
      <c r="T747" t="str">
        <f>INDEX(Lookups!$B$39:$B$45,MATCH(H747,Lookups!$A$39:$A$45,0))</f>
        <v>Thu</v>
      </c>
      <c r="U747" t="str">
        <f t="shared" si="146"/>
        <v>Weekday</v>
      </c>
      <c r="V747" t="str">
        <f t="shared" si="147"/>
        <v>Working Day</v>
      </c>
      <c r="W747" t="str">
        <f t="shared" si="148"/>
        <v>Spring</v>
      </c>
      <c r="X747" t="str">
        <f t="shared" si="149"/>
        <v>Clear</v>
      </c>
      <c r="Y747" t="str">
        <f t="shared" si="150"/>
        <v>Morning</v>
      </c>
      <c r="Z747" t="str">
        <f t="shared" si="151"/>
        <v>Cold</v>
      </c>
      <c r="AA747" t="str">
        <f t="shared" si="152"/>
        <v>Low</v>
      </c>
      <c r="AB747" t="str">
        <f t="shared" si="153"/>
        <v>Off-Peak</v>
      </c>
      <c r="AC747" s="63">
        <f t="shared" si="154"/>
        <v>0.140625</v>
      </c>
      <c r="AD747" t="str">
        <f>IF(P747&gt;=Stats!$C$30,"High",IF(P747&lt;=Stats!$C$29,"Low","Normal"))</f>
        <v>Normal</v>
      </c>
      <c r="AE747">
        <f t="shared" si="155"/>
        <v>1</v>
      </c>
    </row>
    <row r="748" spans="1:31" x14ac:dyDescent="0.2">
      <c r="A748">
        <f>Dataset_3!A138</f>
        <v>747</v>
      </c>
      <c r="B748" s="61">
        <f>Dataset_3!B138</f>
        <v>40577</v>
      </c>
      <c r="C748">
        <f>Dataset_3!C138</f>
        <v>1</v>
      </c>
      <c r="D748">
        <f>Dataset_3!D138</f>
        <v>0</v>
      </c>
      <c r="E748">
        <f>Dataset_3!E138</f>
        <v>2</v>
      </c>
      <c r="F748">
        <f>Dataset_3!F138</f>
        <v>12</v>
      </c>
      <c r="G748" t="b">
        <f>Dataset_3!G138</f>
        <v>0</v>
      </c>
      <c r="H748">
        <f>Dataset_3!H138</f>
        <v>4</v>
      </c>
      <c r="I748">
        <f>Dataset_3!I138</f>
        <v>1</v>
      </c>
      <c r="J748" s="55">
        <f>Dataset_3!J138</f>
        <v>0.2</v>
      </c>
      <c r="K748">
        <f>Dataset_3!K138</f>
        <v>0.18179999999999999</v>
      </c>
      <c r="L748">
        <f>Dataset_3!L138</f>
        <v>0.4</v>
      </c>
      <c r="M748">
        <f>Dataset_3!M138</f>
        <v>0.35820000000000002</v>
      </c>
      <c r="N748">
        <f>Dataset_3!N138</f>
        <v>2</v>
      </c>
      <c r="O748">
        <f>Dataset_3!O138</f>
        <v>67</v>
      </c>
      <c r="P748">
        <f>Dataset_3!P138</f>
        <v>69</v>
      </c>
      <c r="Q748" t="str">
        <f t="shared" si="143"/>
        <v>REC-0747</v>
      </c>
      <c r="R748" s="62">
        <f t="shared" si="144"/>
        <v>40577.5</v>
      </c>
      <c r="S748" t="str">
        <f t="shared" si="145"/>
        <v>Feb</v>
      </c>
      <c r="T748" t="str">
        <f>INDEX(Lookups!$B$39:$B$45,MATCH(H748,Lookups!$A$39:$A$45,0))</f>
        <v>Thu</v>
      </c>
      <c r="U748" t="str">
        <f t="shared" si="146"/>
        <v>Weekday</v>
      </c>
      <c r="V748" t="str">
        <f t="shared" si="147"/>
        <v>Working Day</v>
      </c>
      <c r="W748" t="str">
        <f t="shared" si="148"/>
        <v>Spring</v>
      </c>
      <c r="X748" t="str">
        <f t="shared" si="149"/>
        <v>Clear</v>
      </c>
      <c r="Y748" t="str">
        <f t="shared" si="150"/>
        <v>Afternoon</v>
      </c>
      <c r="Z748" t="str">
        <f t="shared" si="151"/>
        <v>Mild</v>
      </c>
      <c r="AA748" t="str">
        <f t="shared" si="152"/>
        <v>Low</v>
      </c>
      <c r="AB748" t="str">
        <f t="shared" si="153"/>
        <v>Off-Peak</v>
      </c>
      <c r="AC748" s="63">
        <f t="shared" si="154"/>
        <v>2.8985507246376812E-2</v>
      </c>
      <c r="AD748" t="str">
        <f>IF(P748&gt;=Stats!$C$30,"High",IF(P748&lt;=Stats!$C$29,"Low","Normal"))</f>
        <v>Normal</v>
      </c>
      <c r="AE748">
        <f t="shared" si="155"/>
        <v>1</v>
      </c>
    </row>
    <row r="749" spans="1:31" x14ac:dyDescent="0.2">
      <c r="A749">
        <f>Dataset_3!A139</f>
        <v>748</v>
      </c>
      <c r="B749" s="61">
        <f>Dataset_3!B139</f>
        <v>40577</v>
      </c>
      <c r="C749">
        <f>Dataset_3!C139</f>
        <v>1</v>
      </c>
      <c r="D749">
        <f>Dataset_3!D139</f>
        <v>0</v>
      </c>
      <c r="E749">
        <f>Dataset_3!E139</f>
        <v>2</v>
      </c>
      <c r="F749">
        <f>Dataset_3!F139</f>
        <v>13</v>
      </c>
      <c r="G749" t="b">
        <f>Dataset_3!G139</f>
        <v>0</v>
      </c>
      <c r="H749">
        <f>Dataset_3!H139</f>
        <v>4</v>
      </c>
      <c r="I749">
        <f>Dataset_3!I139</f>
        <v>1</v>
      </c>
      <c r="J749" s="55">
        <f>Dataset_3!J139</f>
        <v>0.2</v>
      </c>
      <c r="K749">
        <f>Dataset_3!K139</f>
        <v>0.16669999999999999</v>
      </c>
      <c r="L749">
        <f>Dataset_3!L139</f>
        <v>0.4</v>
      </c>
      <c r="M749">
        <f>Dataset_3!M139</f>
        <v>0.41789999999999999</v>
      </c>
      <c r="N749">
        <f>Dataset_3!N139</f>
        <v>4</v>
      </c>
      <c r="O749">
        <f>Dataset_3!O139</f>
        <v>47</v>
      </c>
      <c r="P749">
        <f>Dataset_3!P139</f>
        <v>51</v>
      </c>
      <c r="Q749" t="str">
        <f t="shared" si="143"/>
        <v>REC-0748</v>
      </c>
      <c r="R749" s="62">
        <f t="shared" si="144"/>
        <v>40577.541666666664</v>
      </c>
      <c r="S749" t="str">
        <f t="shared" si="145"/>
        <v>Feb</v>
      </c>
      <c r="T749" t="str">
        <f>INDEX(Lookups!$B$39:$B$45,MATCH(H749,Lookups!$A$39:$A$45,0))</f>
        <v>Thu</v>
      </c>
      <c r="U749" t="str">
        <f t="shared" si="146"/>
        <v>Weekday</v>
      </c>
      <c r="V749" t="str">
        <f t="shared" si="147"/>
        <v>Working Day</v>
      </c>
      <c r="W749" t="str">
        <f t="shared" si="148"/>
        <v>Spring</v>
      </c>
      <c r="X749" t="str">
        <f t="shared" si="149"/>
        <v>Clear</v>
      </c>
      <c r="Y749" t="str">
        <f t="shared" si="150"/>
        <v>Afternoon</v>
      </c>
      <c r="Z749" t="str">
        <f t="shared" si="151"/>
        <v>Mild</v>
      </c>
      <c r="AA749" t="str">
        <f t="shared" si="152"/>
        <v>Low</v>
      </c>
      <c r="AB749" t="str">
        <f t="shared" si="153"/>
        <v>Off-Peak</v>
      </c>
      <c r="AC749" s="63">
        <f t="shared" si="154"/>
        <v>7.8431372549019607E-2</v>
      </c>
      <c r="AD749" t="str">
        <f>IF(P749&gt;=Stats!$C$30,"High",IF(P749&lt;=Stats!$C$29,"Low","Normal"))</f>
        <v>Normal</v>
      </c>
      <c r="AE749">
        <f t="shared" si="155"/>
        <v>1</v>
      </c>
    </row>
    <row r="750" spans="1:31" x14ac:dyDescent="0.2">
      <c r="A750">
        <f>Dataset_3!A140</f>
        <v>749</v>
      </c>
      <c r="B750" s="61">
        <f>Dataset_3!B140</f>
        <v>40577</v>
      </c>
      <c r="C750">
        <f>Dataset_3!C140</f>
        <v>1</v>
      </c>
      <c r="D750">
        <f>Dataset_3!D140</f>
        <v>0</v>
      </c>
      <c r="E750">
        <f>Dataset_3!E140</f>
        <v>2</v>
      </c>
      <c r="F750">
        <f>Dataset_3!F140</f>
        <v>14</v>
      </c>
      <c r="G750" t="b">
        <f>Dataset_3!G140</f>
        <v>0</v>
      </c>
      <c r="H750">
        <f>Dataset_3!H140</f>
        <v>4</v>
      </c>
      <c r="I750">
        <f>Dataset_3!I140</f>
        <v>1</v>
      </c>
      <c r="J750" s="55">
        <f>Dataset_3!J140</f>
        <v>0.22</v>
      </c>
      <c r="K750">
        <f>Dataset_3!K140</f>
        <v>0.19700000000000001</v>
      </c>
      <c r="L750">
        <f>Dataset_3!L140</f>
        <v>0.37</v>
      </c>
      <c r="M750">
        <f>Dataset_3!M140</f>
        <v>0.3881</v>
      </c>
      <c r="N750">
        <f>Dataset_3!N140</f>
        <v>4</v>
      </c>
      <c r="O750">
        <f>Dataset_3!O140</f>
        <v>43</v>
      </c>
      <c r="P750">
        <f>Dataset_3!P140</f>
        <v>47</v>
      </c>
      <c r="Q750" t="str">
        <f t="shared" si="143"/>
        <v>REC-0749</v>
      </c>
      <c r="R750" s="62">
        <f t="shared" si="144"/>
        <v>40577.583333333336</v>
      </c>
      <c r="S750" t="str">
        <f t="shared" si="145"/>
        <v>Feb</v>
      </c>
      <c r="T750" t="str">
        <f>INDEX(Lookups!$B$39:$B$45,MATCH(H750,Lookups!$A$39:$A$45,0))</f>
        <v>Thu</v>
      </c>
      <c r="U750" t="str">
        <f t="shared" si="146"/>
        <v>Weekday</v>
      </c>
      <c r="V750" t="str">
        <f t="shared" si="147"/>
        <v>Working Day</v>
      </c>
      <c r="W750" t="str">
        <f t="shared" si="148"/>
        <v>Spring</v>
      </c>
      <c r="X750" t="str">
        <f t="shared" si="149"/>
        <v>Clear</v>
      </c>
      <c r="Y750" t="str">
        <f t="shared" si="150"/>
        <v>Afternoon</v>
      </c>
      <c r="Z750" t="str">
        <f t="shared" si="151"/>
        <v>Mild</v>
      </c>
      <c r="AA750" t="str">
        <f t="shared" si="152"/>
        <v>Low</v>
      </c>
      <c r="AB750" t="str">
        <f t="shared" si="153"/>
        <v>Off-Peak</v>
      </c>
      <c r="AC750" s="63">
        <f t="shared" si="154"/>
        <v>8.5106382978723402E-2</v>
      </c>
      <c r="AD750" t="str">
        <f>IF(P750&gt;=Stats!$C$30,"High",IF(P750&lt;=Stats!$C$29,"Low","Normal"))</f>
        <v>Normal</v>
      </c>
      <c r="AE750">
        <f t="shared" si="155"/>
        <v>1</v>
      </c>
    </row>
    <row r="751" spans="1:31" x14ac:dyDescent="0.2">
      <c r="A751">
        <f>Dataset_3!A141</f>
        <v>750</v>
      </c>
      <c r="B751" s="61">
        <f>Dataset_3!B141</f>
        <v>40577</v>
      </c>
      <c r="C751">
        <f>Dataset_3!C141</f>
        <v>1</v>
      </c>
      <c r="D751">
        <f>Dataset_3!D141</f>
        <v>0</v>
      </c>
      <c r="E751">
        <f>Dataset_3!E141</f>
        <v>2</v>
      </c>
      <c r="F751">
        <f>Dataset_3!F141</f>
        <v>15</v>
      </c>
      <c r="G751" t="b">
        <f>Dataset_3!G141</f>
        <v>0</v>
      </c>
      <c r="H751">
        <f>Dataset_3!H141</f>
        <v>4</v>
      </c>
      <c r="I751">
        <f>Dataset_3!I141</f>
        <v>1</v>
      </c>
      <c r="J751" s="55">
        <f>Dataset_3!J141</f>
        <v>0.22</v>
      </c>
      <c r="K751">
        <f>Dataset_3!K141</f>
        <v>0.19700000000000001</v>
      </c>
      <c r="L751">
        <f>Dataset_3!L141</f>
        <v>0.37</v>
      </c>
      <c r="M751">
        <f>Dataset_3!M141</f>
        <v>0.32840000000000003</v>
      </c>
      <c r="N751">
        <f>Dataset_3!N141</f>
        <v>4</v>
      </c>
      <c r="O751">
        <f>Dataset_3!O141</f>
        <v>56</v>
      </c>
      <c r="P751">
        <f>Dataset_3!P141</f>
        <v>60</v>
      </c>
      <c r="Q751" t="str">
        <f t="shared" si="143"/>
        <v>REC-0750</v>
      </c>
      <c r="R751" s="62">
        <f t="shared" si="144"/>
        <v>40577.625</v>
      </c>
      <c r="S751" t="str">
        <f t="shared" si="145"/>
        <v>Feb</v>
      </c>
      <c r="T751" t="str">
        <f>INDEX(Lookups!$B$39:$B$45,MATCH(H751,Lookups!$A$39:$A$45,0))</f>
        <v>Thu</v>
      </c>
      <c r="U751" t="str">
        <f t="shared" si="146"/>
        <v>Weekday</v>
      </c>
      <c r="V751" t="str">
        <f t="shared" si="147"/>
        <v>Working Day</v>
      </c>
      <c r="W751" t="str">
        <f t="shared" si="148"/>
        <v>Spring</v>
      </c>
      <c r="X751" t="str">
        <f t="shared" si="149"/>
        <v>Clear</v>
      </c>
      <c r="Y751" t="str">
        <f t="shared" si="150"/>
        <v>Afternoon</v>
      </c>
      <c r="Z751" t="str">
        <f t="shared" si="151"/>
        <v>Mild</v>
      </c>
      <c r="AA751" t="str">
        <f t="shared" si="152"/>
        <v>Low</v>
      </c>
      <c r="AB751" t="str">
        <f t="shared" si="153"/>
        <v>Off-Peak</v>
      </c>
      <c r="AC751" s="63">
        <f t="shared" si="154"/>
        <v>6.6666666666666666E-2</v>
      </c>
      <c r="AD751" t="str">
        <f>IF(P751&gt;=Stats!$C$30,"High",IF(P751&lt;=Stats!$C$29,"Low","Normal"))</f>
        <v>Normal</v>
      </c>
      <c r="AE751">
        <f t="shared" si="155"/>
        <v>1</v>
      </c>
    </row>
    <row r="752" spans="1:31" x14ac:dyDescent="0.2">
      <c r="A752">
        <f>Dataset_3!A142</f>
        <v>751</v>
      </c>
      <c r="B752" s="61">
        <f>Dataset_3!B142</f>
        <v>40577</v>
      </c>
      <c r="C752">
        <f>Dataset_3!C142</f>
        <v>1</v>
      </c>
      <c r="D752">
        <f>Dataset_3!D142</f>
        <v>0</v>
      </c>
      <c r="E752">
        <f>Dataset_3!E142</f>
        <v>2</v>
      </c>
      <c r="F752">
        <f>Dataset_3!F142</f>
        <v>16</v>
      </c>
      <c r="G752" t="b">
        <f>Dataset_3!G142</f>
        <v>0</v>
      </c>
      <c r="H752">
        <f>Dataset_3!H142</f>
        <v>4</v>
      </c>
      <c r="I752">
        <f>Dataset_3!I142</f>
        <v>1</v>
      </c>
      <c r="J752" s="55">
        <f>Dataset_3!J142</f>
        <v>0.22</v>
      </c>
      <c r="K752">
        <f>Dataset_3!K142</f>
        <v>0.21210000000000001</v>
      </c>
      <c r="L752">
        <f>Dataset_3!L142</f>
        <v>0.37</v>
      </c>
      <c r="M752">
        <f>Dataset_3!M142</f>
        <v>0.25369999999999998</v>
      </c>
      <c r="N752">
        <f>Dataset_3!N142</f>
        <v>5</v>
      </c>
      <c r="O752">
        <f>Dataset_3!O142</f>
        <v>73</v>
      </c>
      <c r="P752">
        <f>Dataset_3!P142</f>
        <v>78</v>
      </c>
      <c r="Q752" t="str">
        <f t="shared" si="143"/>
        <v>REC-0751</v>
      </c>
      <c r="R752" s="62">
        <f t="shared" si="144"/>
        <v>40577.666666666664</v>
      </c>
      <c r="S752" t="str">
        <f t="shared" si="145"/>
        <v>Feb</v>
      </c>
      <c r="T752" t="str">
        <f>INDEX(Lookups!$B$39:$B$45,MATCH(H752,Lookups!$A$39:$A$45,0))</f>
        <v>Thu</v>
      </c>
      <c r="U752" t="str">
        <f t="shared" si="146"/>
        <v>Weekday</v>
      </c>
      <c r="V752" t="str">
        <f t="shared" si="147"/>
        <v>Working Day</v>
      </c>
      <c r="W752" t="str">
        <f t="shared" si="148"/>
        <v>Spring</v>
      </c>
      <c r="X752" t="str">
        <f t="shared" si="149"/>
        <v>Clear</v>
      </c>
      <c r="Y752" t="str">
        <f t="shared" si="150"/>
        <v>Afternoon</v>
      </c>
      <c r="Z752" t="str">
        <f t="shared" si="151"/>
        <v>Mild</v>
      </c>
      <c r="AA752" t="str">
        <f t="shared" si="152"/>
        <v>Low</v>
      </c>
      <c r="AB752" t="str">
        <f t="shared" si="153"/>
        <v>Peak</v>
      </c>
      <c r="AC752" s="63">
        <f t="shared" si="154"/>
        <v>6.4102564102564097E-2</v>
      </c>
      <c r="AD752" t="str">
        <f>IF(P752&gt;=Stats!$C$30,"High",IF(P752&lt;=Stats!$C$29,"Low","Normal"))</f>
        <v>Normal</v>
      </c>
      <c r="AE752">
        <f t="shared" si="155"/>
        <v>1</v>
      </c>
    </row>
    <row r="753" spans="1:31" x14ac:dyDescent="0.2">
      <c r="A753">
        <f>Dataset_3!A143</f>
        <v>752</v>
      </c>
      <c r="B753" s="61">
        <f>Dataset_3!B143</f>
        <v>40577</v>
      </c>
      <c r="C753">
        <f>Dataset_3!C143</f>
        <v>1</v>
      </c>
      <c r="D753">
        <f>Dataset_3!D143</f>
        <v>0</v>
      </c>
      <c r="E753">
        <f>Dataset_3!E143</f>
        <v>2</v>
      </c>
      <c r="F753">
        <f>Dataset_3!F143</f>
        <v>17</v>
      </c>
      <c r="G753" t="b">
        <f>Dataset_3!G143</f>
        <v>0</v>
      </c>
      <c r="H753">
        <f>Dataset_3!H143</f>
        <v>4</v>
      </c>
      <c r="I753">
        <f>Dataset_3!I143</f>
        <v>1</v>
      </c>
      <c r="J753" s="55">
        <f>Dataset_3!J143</f>
        <v>0.2</v>
      </c>
      <c r="K753">
        <f>Dataset_3!K143</f>
        <v>0.19700000000000001</v>
      </c>
      <c r="L753">
        <f>Dataset_3!L143</f>
        <v>0.4</v>
      </c>
      <c r="M753">
        <f>Dataset_3!M143</f>
        <v>0.19400000000000001</v>
      </c>
      <c r="N753">
        <f>Dataset_3!N143</f>
        <v>5</v>
      </c>
      <c r="O753">
        <f>Dataset_3!O143</f>
        <v>170</v>
      </c>
      <c r="P753">
        <f>Dataset_3!P143</f>
        <v>175</v>
      </c>
      <c r="Q753" t="str">
        <f t="shared" si="143"/>
        <v>REC-0752</v>
      </c>
      <c r="R753" s="62">
        <f t="shared" si="144"/>
        <v>40577.708333333336</v>
      </c>
      <c r="S753" t="str">
        <f t="shared" si="145"/>
        <v>Feb</v>
      </c>
      <c r="T753" t="str">
        <f>INDEX(Lookups!$B$39:$B$45,MATCH(H753,Lookups!$A$39:$A$45,0))</f>
        <v>Thu</v>
      </c>
      <c r="U753" t="str">
        <f t="shared" si="146"/>
        <v>Weekday</v>
      </c>
      <c r="V753" t="str">
        <f t="shared" si="147"/>
        <v>Working Day</v>
      </c>
      <c r="W753" t="str">
        <f t="shared" si="148"/>
        <v>Spring</v>
      </c>
      <c r="X753" t="str">
        <f t="shared" si="149"/>
        <v>Clear</v>
      </c>
      <c r="Y753" t="str">
        <f t="shared" si="150"/>
        <v>Evening</v>
      </c>
      <c r="Z753" t="str">
        <f t="shared" si="151"/>
        <v>Mild</v>
      </c>
      <c r="AA753" t="str">
        <f t="shared" si="152"/>
        <v>Low</v>
      </c>
      <c r="AB753" t="str">
        <f t="shared" si="153"/>
        <v>Peak</v>
      </c>
      <c r="AC753" s="63">
        <f t="shared" si="154"/>
        <v>2.8571428571428571E-2</v>
      </c>
      <c r="AD753" t="str">
        <f>IF(P753&gt;=Stats!$C$30,"High",IF(P753&lt;=Stats!$C$29,"Low","Normal"))</f>
        <v>High</v>
      </c>
      <c r="AE753">
        <f t="shared" si="155"/>
        <v>1</v>
      </c>
    </row>
    <row r="754" spans="1:31" x14ac:dyDescent="0.2">
      <c r="A754">
        <f>Dataset_3!A144</f>
        <v>753</v>
      </c>
      <c r="B754" s="61">
        <f>Dataset_3!B144</f>
        <v>40577</v>
      </c>
      <c r="C754">
        <f>Dataset_3!C144</f>
        <v>1</v>
      </c>
      <c r="D754">
        <f>Dataset_3!D144</f>
        <v>0</v>
      </c>
      <c r="E754">
        <f>Dataset_3!E144</f>
        <v>2</v>
      </c>
      <c r="F754">
        <f>Dataset_3!F144</f>
        <v>18</v>
      </c>
      <c r="G754" t="b">
        <f>Dataset_3!G144</f>
        <v>0</v>
      </c>
      <c r="H754">
        <f>Dataset_3!H144</f>
        <v>4</v>
      </c>
      <c r="I754">
        <f>Dataset_3!I144</f>
        <v>1</v>
      </c>
      <c r="J754" s="55">
        <f>Dataset_3!J144</f>
        <v>0.2</v>
      </c>
      <c r="K754">
        <f>Dataset_3!K144</f>
        <v>0.21210000000000001</v>
      </c>
      <c r="L754">
        <f>Dataset_3!L144</f>
        <v>0.4</v>
      </c>
      <c r="M754">
        <f>Dataset_3!M144</f>
        <v>0.16420000000000001</v>
      </c>
      <c r="N754">
        <f>Dataset_3!N144</f>
        <v>2</v>
      </c>
      <c r="O754">
        <f>Dataset_3!O144</f>
        <v>145</v>
      </c>
      <c r="P754">
        <f>Dataset_3!P144</f>
        <v>147</v>
      </c>
      <c r="Q754" t="str">
        <f t="shared" si="143"/>
        <v>REC-0753</v>
      </c>
      <c r="R754" s="62">
        <f t="shared" si="144"/>
        <v>40577.75</v>
      </c>
      <c r="S754" t="str">
        <f t="shared" si="145"/>
        <v>Feb</v>
      </c>
      <c r="T754" t="str">
        <f>INDEX(Lookups!$B$39:$B$45,MATCH(H754,Lookups!$A$39:$A$45,0))</f>
        <v>Thu</v>
      </c>
      <c r="U754" t="str">
        <f t="shared" si="146"/>
        <v>Weekday</v>
      </c>
      <c r="V754" t="str">
        <f t="shared" si="147"/>
        <v>Working Day</v>
      </c>
      <c r="W754" t="str">
        <f t="shared" si="148"/>
        <v>Spring</v>
      </c>
      <c r="X754" t="str">
        <f t="shared" si="149"/>
        <v>Clear</v>
      </c>
      <c r="Y754" t="str">
        <f t="shared" si="150"/>
        <v>Evening</v>
      </c>
      <c r="Z754" t="str">
        <f t="shared" si="151"/>
        <v>Mild</v>
      </c>
      <c r="AA754" t="str">
        <f t="shared" si="152"/>
        <v>Low</v>
      </c>
      <c r="AB754" t="str">
        <f t="shared" si="153"/>
        <v>Peak</v>
      </c>
      <c r="AC754" s="63">
        <f t="shared" si="154"/>
        <v>1.3605442176870748E-2</v>
      </c>
      <c r="AD754" t="str">
        <f>IF(P754&gt;=Stats!$C$30,"High",IF(P754&lt;=Stats!$C$29,"Low","Normal"))</f>
        <v>High</v>
      </c>
      <c r="AE754">
        <f t="shared" si="155"/>
        <v>1</v>
      </c>
    </row>
    <row r="755" spans="1:31" x14ac:dyDescent="0.2">
      <c r="A755">
        <f>Dataset_3!A145</f>
        <v>754</v>
      </c>
      <c r="B755" s="61">
        <f>Dataset_3!B145</f>
        <v>40577</v>
      </c>
      <c r="C755">
        <f>Dataset_3!C145</f>
        <v>1</v>
      </c>
      <c r="D755">
        <f>Dataset_3!D145</f>
        <v>0</v>
      </c>
      <c r="E755">
        <f>Dataset_3!E145</f>
        <v>2</v>
      </c>
      <c r="F755">
        <f>Dataset_3!F145</f>
        <v>19</v>
      </c>
      <c r="G755" t="b">
        <f>Dataset_3!G145</f>
        <v>0</v>
      </c>
      <c r="H755">
        <f>Dataset_3!H145</f>
        <v>4</v>
      </c>
      <c r="I755">
        <f>Dataset_3!I145</f>
        <v>1</v>
      </c>
      <c r="J755" s="55">
        <f>Dataset_3!J145</f>
        <v>0.2</v>
      </c>
      <c r="K755">
        <f>Dataset_3!K145</f>
        <v>0.2576</v>
      </c>
      <c r="L755">
        <f>Dataset_3!L145</f>
        <v>0.4</v>
      </c>
      <c r="M755">
        <f>Dataset_3!M145</f>
        <v>0</v>
      </c>
      <c r="N755">
        <f>Dataset_3!N145</f>
        <v>4</v>
      </c>
      <c r="O755">
        <f>Dataset_3!O145</f>
        <v>92</v>
      </c>
      <c r="P755">
        <f>Dataset_3!P145</f>
        <v>96</v>
      </c>
      <c r="Q755" t="str">
        <f t="shared" si="143"/>
        <v>REC-0754</v>
      </c>
      <c r="R755" s="62">
        <f t="shared" si="144"/>
        <v>40577.791666666664</v>
      </c>
      <c r="S755" t="str">
        <f t="shared" si="145"/>
        <v>Feb</v>
      </c>
      <c r="T755" t="str">
        <f>INDEX(Lookups!$B$39:$B$45,MATCH(H755,Lookups!$A$39:$A$45,0))</f>
        <v>Thu</v>
      </c>
      <c r="U755" t="str">
        <f t="shared" si="146"/>
        <v>Weekday</v>
      </c>
      <c r="V755" t="str">
        <f t="shared" si="147"/>
        <v>Working Day</v>
      </c>
      <c r="W755" t="str">
        <f t="shared" si="148"/>
        <v>Spring</v>
      </c>
      <c r="X755" t="str">
        <f t="shared" si="149"/>
        <v>Clear</v>
      </c>
      <c r="Y755" t="str">
        <f t="shared" si="150"/>
        <v>Evening</v>
      </c>
      <c r="Z755" t="str">
        <f t="shared" si="151"/>
        <v>Mild</v>
      </c>
      <c r="AA755" t="str">
        <f t="shared" si="152"/>
        <v>Low</v>
      </c>
      <c r="AB755" t="str">
        <f t="shared" si="153"/>
        <v>Peak</v>
      </c>
      <c r="AC755" s="63">
        <f t="shared" si="154"/>
        <v>4.1666666666666664E-2</v>
      </c>
      <c r="AD755" t="str">
        <f>IF(P755&gt;=Stats!$C$30,"High",IF(P755&lt;=Stats!$C$29,"Low","Normal"))</f>
        <v>High</v>
      </c>
      <c r="AE755">
        <f t="shared" si="155"/>
        <v>1</v>
      </c>
    </row>
    <row r="756" spans="1:31" x14ac:dyDescent="0.2">
      <c r="A756">
        <f>Dataset_3!A146</f>
        <v>755</v>
      </c>
      <c r="B756" s="61">
        <f>Dataset_3!B146</f>
        <v>40577</v>
      </c>
      <c r="C756">
        <f>Dataset_3!C146</f>
        <v>1</v>
      </c>
      <c r="D756">
        <f>Dataset_3!D146</f>
        <v>0</v>
      </c>
      <c r="E756">
        <f>Dataset_3!E146</f>
        <v>2</v>
      </c>
      <c r="F756">
        <f>Dataset_3!F146</f>
        <v>20</v>
      </c>
      <c r="G756" t="b">
        <f>Dataset_3!G146</f>
        <v>0</v>
      </c>
      <c r="H756">
        <f>Dataset_3!H146</f>
        <v>4</v>
      </c>
      <c r="I756">
        <f>Dataset_3!I146</f>
        <v>1</v>
      </c>
      <c r="J756" s="55">
        <f>Dataset_3!J146</f>
        <v>0.2</v>
      </c>
      <c r="K756">
        <f>Dataset_3!K146</f>
        <v>0.2273</v>
      </c>
      <c r="L756">
        <f>Dataset_3!L146</f>
        <v>0.47</v>
      </c>
      <c r="M756">
        <f>Dataset_3!M146</f>
        <v>8.9599999999999999E-2</v>
      </c>
      <c r="N756">
        <f>Dataset_3!N146</f>
        <v>1</v>
      </c>
      <c r="O756">
        <f>Dataset_3!O146</f>
        <v>108</v>
      </c>
      <c r="P756">
        <f>Dataset_3!P146</f>
        <v>109</v>
      </c>
      <c r="Q756" t="str">
        <f t="shared" si="143"/>
        <v>REC-0755</v>
      </c>
      <c r="R756" s="62">
        <f t="shared" si="144"/>
        <v>40577.833333333336</v>
      </c>
      <c r="S756" t="str">
        <f t="shared" si="145"/>
        <v>Feb</v>
      </c>
      <c r="T756" t="str">
        <f>INDEX(Lookups!$B$39:$B$45,MATCH(H756,Lookups!$A$39:$A$45,0))</f>
        <v>Thu</v>
      </c>
      <c r="U756" t="str">
        <f t="shared" si="146"/>
        <v>Weekday</v>
      </c>
      <c r="V756" t="str">
        <f t="shared" si="147"/>
        <v>Working Day</v>
      </c>
      <c r="W756" t="str">
        <f t="shared" si="148"/>
        <v>Spring</v>
      </c>
      <c r="X756" t="str">
        <f t="shared" si="149"/>
        <v>Clear</v>
      </c>
      <c r="Y756" t="str">
        <f t="shared" si="150"/>
        <v>Evening</v>
      </c>
      <c r="Z756" t="str">
        <f t="shared" si="151"/>
        <v>Mild</v>
      </c>
      <c r="AA756" t="str">
        <f t="shared" si="152"/>
        <v>Low</v>
      </c>
      <c r="AB756" t="str">
        <f t="shared" si="153"/>
        <v>Off-Peak</v>
      </c>
      <c r="AC756" s="63">
        <f t="shared" si="154"/>
        <v>9.1743119266055051E-3</v>
      </c>
      <c r="AD756" t="str">
        <f>IF(P756&gt;=Stats!$C$30,"High",IF(P756&lt;=Stats!$C$29,"Low","Normal"))</f>
        <v>High</v>
      </c>
      <c r="AE756">
        <f t="shared" si="155"/>
        <v>1</v>
      </c>
    </row>
    <row r="757" spans="1:31" x14ac:dyDescent="0.2">
      <c r="A757">
        <f>Dataset_3!A147</f>
        <v>756</v>
      </c>
      <c r="B757" s="61">
        <f>Dataset_3!B147</f>
        <v>40577</v>
      </c>
      <c r="C757">
        <f>Dataset_3!C147</f>
        <v>1</v>
      </c>
      <c r="D757">
        <f>Dataset_3!D147</f>
        <v>0</v>
      </c>
      <c r="E757">
        <f>Dataset_3!E147</f>
        <v>2</v>
      </c>
      <c r="F757">
        <f>Dataset_3!F147</f>
        <v>21</v>
      </c>
      <c r="G757" t="b">
        <f>Dataset_3!G147</f>
        <v>0</v>
      </c>
      <c r="H757">
        <f>Dataset_3!H147</f>
        <v>4</v>
      </c>
      <c r="I757">
        <f>Dataset_3!I147</f>
        <v>1</v>
      </c>
      <c r="J757" s="55">
        <f>Dataset_3!J147</f>
        <v>0.18</v>
      </c>
      <c r="K757">
        <f>Dataset_3!K147</f>
        <v>0.21210000000000001</v>
      </c>
      <c r="L757">
        <f>Dataset_3!L147</f>
        <v>0.55000000000000004</v>
      </c>
      <c r="M757">
        <f>Dataset_3!M147</f>
        <v>0.1045</v>
      </c>
      <c r="N757">
        <f>Dataset_3!N147</f>
        <v>1</v>
      </c>
      <c r="O757">
        <f>Dataset_3!O147</f>
        <v>53</v>
      </c>
      <c r="P757">
        <f>Dataset_3!P147</f>
        <v>54</v>
      </c>
      <c r="Q757" t="str">
        <f t="shared" si="143"/>
        <v>REC-0756</v>
      </c>
      <c r="R757" s="62">
        <f t="shared" si="144"/>
        <v>40577.875</v>
      </c>
      <c r="S757" t="str">
        <f t="shared" si="145"/>
        <v>Feb</v>
      </c>
      <c r="T757" t="str">
        <f>INDEX(Lookups!$B$39:$B$45,MATCH(H757,Lookups!$A$39:$A$45,0))</f>
        <v>Thu</v>
      </c>
      <c r="U757" t="str">
        <f t="shared" si="146"/>
        <v>Weekday</v>
      </c>
      <c r="V757" t="str">
        <f t="shared" si="147"/>
        <v>Working Day</v>
      </c>
      <c r="W757" t="str">
        <f t="shared" si="148"/>
        <v>Spring</v>
      </c>
      <c r="X757" t="str">
        <f t="shared" si="149"/>
        <v>Clear</v>
      </c>
      <c r="Y757" t="str">
        <f t="shared" si="150"/>
        <v>Late Evening</v>
      </c>
      <c r="Z757" t="str">
        <f t="shared" si="151"/>
        <v>Cold</v>
      </c>
      <c r="AA757" t="str">
        <f t="shared" si="152"/>
        <v>Medium</v>
      </c>
      <c r="AB757" t="str">
        <f t="shared" si="153"/>
        <v>Off-Peak</v>
      </c>
      <c r="AC757" s="63">
        <f t="shared" si="154"/>
        <v>1.8518518518518517E-2</v>
      </c>
      <c r="AD757" t="str">
        <f>IF(P757&gt;=Stats!$C$30,"High",IF(P757&lt;=Stats!$C$29,"Low","Normal"))</f>
        <v>Normal</v>
      </c>
      <c r="AE757">
        <f t="shared" si="155"/>
        <v>1</v>
      </c>
    </row>
    <row r="758" spans="1:31" x14ac:dyDescent="0.2">
      <c r="A758">
        <f>Dataset_3!A148</f>
        <v>757</v>
      </c>
      <c r="B758" s="61">
        <f>Dataset_3!B148</f>
        <v>40577</v>
      </c>
      <c r="C758">
        <f>Dataset_3!C148</f>
        <v>1</v>
      </c>
      <c r="D758">
        <f>Dataset_3!D148</f>
        <v>0</v>
      </c>
      <c r="E758">
        <f>Dataset_3!E148</f>
        <v>2</v>
      </c>
      <c r="F758">
        <f>Dataset_3!F148</f>
        <v>22</v>
      </c>
      <c r="G758" t="b">
        <f>Dataset_3!G148</f>
        <v>0</v>
      </c>
      <c r="H758">
        <f>Dataset_3!H148</f>
        <v>4</v>
      </c>
      <c r="I758">
        <f>Dataset_3!I148</f>
        <v>1</v>
      </c>
      <c r="J758" s="55">
        <f>Dataset_3!J148</f>
        <v>0.18</v>
      </c>
      <c r="K758">
        <f>Dataset_3!K148</f>
        <v>0.21210000000000001</v>
      </c>
      <c r="L758">
        <f>Dataset_3!L148</f>
        <v>0.51</v>
      </c>
      <c r="M758">
        <f>Dataset_3!M148</f>
        <v>8.9599999999999999E-2</v>
      </c>
      <c r="N758">
        <f>Dataset_3!N148</f>
        <v>2</v>
      </c>
      <c r="O758">
        <f>Dataset_3!O148</f>
        <v>39</v>
      </c>
      <c r="P758">
        <f>Dataset_3!P148</f>
        <v>41</v>
      </c>
      <c r="Q758" t="str">
        <f t="shared" si="143"/>
        <v>REC-0757</v>
      </c>
      <c r="R758" s="62">
        <f t="shared" si="144"/>
        <v>40577.916666666664</v>
      </c>
      <c r="S758" t="str">
        <f t="shared" si="145"/>
        <v>Feb</v>
      </c>
      <c r="T758" t="str">
        <f>INDEX(Lookups!$B$39:$B$45,MATCH(H758,Lookups!$A$39:$A$45,0))</f>
        <v>Thu</v>
      </c>
      <c r="U758" t="str">
        <f t="shared" si="146"/>
        <v>Weekday</v>
      </c>
      <c r="V758" t="str">
        <f t="shared" si="147"/>
        <v>Working Day</v>
      </c>
      <c r="W758" t="str">
        <f t="shared" si="148"/>
        <v>Spring</v>
      </c>
      <c r="X758" t="str">
        <f t="shared" si="149"/>
        <v>Clear</v>
      </c>
      <c r="Y758" t="str">
        <f t="shared" si="150"/>
        <v>Late Evening</v>
      </c>
      <c r="Z758" t="str">
        <f t="shared" si="151"/>
        <v>Cold</v>
      </c>
      <c r="AA758" t="str">
        <f t="shared" si="152"/>
        <v>Medium</v>
      </c>
      <c r="AB758" t="str">
        <f t="shared" si="153"/>
        <v>Off-Peak</v>
      </c>
      <c r="AC758" s="63">
        <f t="shared" si="154"/>
        <v>4.878048780487805E-2</v>
      </c>
      <c r="AD758" t="str">
        <f>IF(P758&gt;=Stats!$C$30,"High",IF(P758&lt;=Stats!$C$29,"Low","Normal"))</f>
        <v>Normal</v>
      </c>
      <c r="AE758">
        <f t="shared" si="155"/>
        <v>1</v>
      </c>
    </row>
    <row r="759" spans="1:31" x14ac:dyDescent="0.2">
      <c r="A759">
        <f>Dataset_3!A149</f>
        <v>758</v>
      </c>
      <c r="B759" s="61">
        <f>Dataset_3!B149</f>
        <v>40577</v>
      </c>
      <c r="C759">
        <f>Dataset_3!C149</f>
        <v>1</v>
      </c>
      <c r="D759">
        <f>Dataset_3!D149</f>
        <v>0</v>
      </c>
      <c r="E759">
        <f>Dataset_3!E149</f>
        <v>2</v>
      </c>
      <c r="F759">
        <f>Dataset_3!F149</f>
        <v>23</v>
      </c>
      <c r="G759" t="b">
        <f>Dataset_3!G149</f>
        <v>0</v>
      </c>
      <c r="H759">
        <f>Dataset_3!H149</f>
        <v>4</v>
      </c>
      <c r="I759">
        <f>Dataset_3!I149</f>
        <v>1</v>
      </c>
      <c r="J759" s="55">
        <f>Dataset_3!J149</f>
        <v>0.2</v>
      </c>
      <c r="K759">
        <f>Dataset_3!K149</f>
        <v>0.2273</v>
      </c>
      <c r="L759">
        <f>Dataset_3!L149</f>
        <v>0.47</v>
      </c>
      <c r="M759">
        <f>Dataset_3!M149</f>
        <v>0.1045</v>
      </c>
      <c r="N759">
        <f>Dataset_3!N149</f>
        <v>4</v>
      </c>
      <c r="O759">
        <f>Dataset_3!O149</f>
        <v>34</v>
      </c>
      <c r="P759">
        <f>Dataset_3!P149</f>
        <v>38</v>
      </c>
      <c r="Q759" t="str">
        <f t="shared" si="143"/>
        <v>REC-0758</v>
      </c>
      <c r="R759" s="62">
        <f t="shared" si="144"/>
        <v>40577.958333333336</v>
      </c>
      <c r="S759" t="str">
        <f t="shared" si="145"/>
        <v>Feb</v>
      </c>
      <c r="T759" t="str">
        <f>INDEX(Lookups!$B$39:$B$45,MATCH(H759,Lookups!$A$39:$A$45,0))</f>
        <v>Thu</v>
      </c>
      <c r="U759" t="str">
        <f t="shared" si="146"/>
        <v>Weekday</v>
      </c>
      <c r="V759" t="str">
        <f t="shared" si="147"/>
        <v>Working Day</v>
      </c>
      <c r="W759" t="str">
        <f t="shared" si="148"/>
        <v>Spring</v>
      </c>
      <c r="X759" t="str">
        <f t="shared" si="149"/>
        <v>Clear</v>
      </c>
      <c r="Y759" t="str">
        <f t="shared" si="150"/>
        <v>Late Evening</v>
      </c>
      <c r="Z759" t="str">
        <f t="shared" si="151"/>
        <v>Mild</v>
      </c>
      <c r="AA759" t="str">
        <f t="shared" si="152"/>
        <v>Low</v>
      </c>
      <c r="AB759" t="str">
        <f t="shared" si="153"/>
        <v>Off-Peak</v>
      </c>
      <c r="AC759" s="63">
        <f t="shared" si="154"/>
        <v>0.10526315789473684</v>
      </c>
      <c r="AD759" t="str">
        <f>IF(P759&gt;=Stats!$C$30,"High",IF(P759&lt;=Stats!$C$29,"Low","Normal"))</f>
        <v>Normal</v>
      </c>
      <c r="AE759">
        <f t="shared" si="155"/>
        <v>1</v>
      </c>
    </row>
    <row r="760" spans="1:31" x14ac:dyDescent="0.2">
      <c r="A760">
        <f>Dataset_3!A150</f>
        <v>759</v>
      </c>
      <c r="B760" s="61">
        <f>Dataset_3!B150</f>
        <v>40578</v>
      </c>
      <c r="C760">
        <f>Dataset_3!C150</f>
        <v>1</v>
      </c>
      <c r="D760">
        <f>Dataset_3!D150</f>
        <v>0</v>
      </c>
      <c r="E760">
        <f>Dataset_3!E150</f>
        <v>2</v>
      </c>
      <c r="F760">
        <f>Dataset_3!F150</f>
        <v>0</v>
      </c>
      <c r="G760" t="b">
        <f>Dataset_3!G150</f>
        <v>0</v>
      </c>
      <c r="H760">
        <f>Dataset_3!H150</f>
        <v>5</v>
      </c>
      <c r="I760">
        <f>Dataset_3!I150</f>
        <v>2</v>
      </c>
      <c r="J760" s="55">
        <f>Dataset_3!J150</f>
        <v>0.2</v>
      </c>
      <c r="K760">
        <f>Dataset_3!K150</f>
        <v>0.2576</v>
      </c>
      <c r="L760">
        <f>Dataset_3!L150</f>
        <v>0.44</v>
      </c>
      <c r="M760">
        <f>Dataset_3!M150</f>
        <v>0</v>
      </c>
      <c r="N760">
        <f>Dataset_3!N150</f>
        <v>3</v>
      </c>
      <c r="O760">
        <f>Dataset_3!O150</f>
        <v>10</v>
      </c>
      <c r="P760">
        <f>Dataset_3!P150</f>
        <v>13</v>
      </c>
      <c r="Q760" t="str">
        <f t="shared" si="143"/>
        <v>REC-0759</v>
      </c>
      <c r="R760" s="62">
        <f t="shared" si="144"/>
        <v>40578</v>
      </c>
      <c r="S760" t="str">
        <f t="shared" si="145"/>
        <v>Feb</v>
      </c>
      <c r="T760" t="str">
        <f>INDEX(Lookups!$B$39:$B$45,MATCH(H760,Lookups!$A$39:$A$45,0))</f>
        <v>Fri</v>
      </c>
      <c r="U760" t="str">
        <f t="shared" si="146"/>
        <v>Weekday</v>
      </c>
      <c r="V760" t="str">
        <f t="shared" si="147"/>
        <v>Working Day</v>
      </c>
      <c r="W760" t="str">
        <f t="shared" si="148"/>
        <v>Spring</v>
      </c>
      <c r="X760" t="str">
        <f t="shared" si="149"/>
        <v>Cloudy/Mist</v>
      </c>
      <c r="Y760" t="str">
        <f t="shared" si="150"/>
        <v>Night</v>
      </c>
      <c r="Z760" t="str">
        <f t="shared" si="151"/>
        <v>Mild</v>
      </c>
      <c r="AA760" t="str">
        <f t="shared" si="152"/>
        <v>Low</v>
      </c>
      <c r="AB760" t="str">
        <f t="shared" si="153"/>
        <v>Off-Peak</v>
      </c>
      <c r="AC760" s="63">
        <f t="shared" si="154"/>
        <v>0.23076923076923078</v>
      </c>
      <c r="AD760" t="str">
        <f>IF(P760&gt;=Stats!$C$30,"High",IF(P760&lt;=Stats!$C$29,"Low","Normal"))</f>
        <v>Low</v>
      </c>
      <c r="AE760">
        <f t="shared" si="155"/>
        <v>1</v>
      </c>
    </row>
    <row r="761" spans="1:31" x14ac:dyDescent="0.2">
      <c r="A761">
        <f>Dataset_3!A151</f>
        <v>760</v>
      </c>
      <c r="B761" s="61">
        <f>Dataset_3!B151</f>
        <v>40578</v>
      </c>
      <c r="C761">
        <f>Dataset_3!C151</f>
        <v>1</v>
      </c>
      <c r="D761">
        <f>Dataset_3!D151</f>
        <v>0</v>
      </c>
      <c r="E761">
        <f>Dataset_3!E151</f>
        <v>2</v>
      </c>
      <c r="F761">
        <f>Dataset_3!F151</f>
        <v>1</v>
      </c>
      <c r="G761" t="b">
        <f>Dataset_3!G151</f>
        <v>0</v>
      </c>
      <c r="H761">
        <f>Dataset_3!H151</f>
        <v>5</v>
      </c>
      <c r="I761">
        <f>Dataset_3!I151</f>
        <v>2</v>
      </c>
      <c r="J761" s="55">
        <f>Dataset_3!J151</f>
        <v>0.16</v>
      </c>
      <c r="K761">
        <f>Dataset_3!K151</f>
        <v>0.2273</v>
      </c>
      <c r="L761">
        <f>Dataset_3!L151</f>
        <v>0.59</v>
      </c>
      <c r="M761">
        <f>Dataset_3!M151</f>
        <v>0</v>
      </c>
      <c r="N761">
        <f>Dataset_3!N151</f>
        <v>0</v>
      </c>
      <c r="O761">
        <f>Dataset_3!O151</f>
        <v>7</v>
      </c>
      <c r="P761">
        <f>Dataset_3!P151</f>
        <v>7</v>
      </c>
      <c r="Q761" t="str">
        <f t="shared" si="143"/>
        <v>REC-0760</v>
      </c>
      <c r="R761" s="62">
        <f t="shared" si="144"/>
        <v>40578.041666666664</v>
      </c>
      <c r="S761" t="str">
        <f t="shared" si="145"/>
        <v>Feb</v>
      </c>
      <c r="T761" t="str">
        <f>INDEX(Lookups!$B$39:$B$45,MATCH(H761,Lookups!$A$39:$A$45,0))</f>
        <v>Fri</v>
      </c>
      <c r="U761" t="str">
        <f t="shared" si="146"/>
        <v>Weekday</v>
      </c>
      <c r="V761" t="str">
        <f t="shared" si="147"/>
        <v>Working Day</v>
      </c>
      <c r="W761" t="str">
        <f t="shared" si="148"/>
        <v>Spring</v>
      </c>
      <c r="X761" t="str">
        <f t="shared" si="149"/>
        <v>Cloudy/Mist</v>
      </c>
      <c r="Y761" t="str">
        <f t="shared" si="150"/>
        <v>Night</v>
      </c>
      <c r="Z761" t="str">
        <f t="shared" si="151"/>
        <v>Cold</v>
      </c>
      <c r="AA761" t="str">
        <f t="shared" si="152"/>
        <v>Medium</v>
      </c>
      <c r="AB761" t="str">
        <f t="shared" si="153"/>
        <v>Off-Peak</v>
      </c>
      <c r="AC761" s="63">
        <f t="shared" si="154"/>
        <v>0</v>
      </c>
      <c r="AD761" t="str">
        <f>IF(P761&gt;=Stats!$C$30,"High",IF(P761&lt;=Stats!$C$29,"Low","Normal"))</f>
        <v>Low</v>
      </c>
      <c r="AE761">
        <f t="shared" si="155"/>
        <v>1</v>
      </c>
    </row>
    <row r="762" spans="1:31" x14ac:dyDescent="0.2">
      <c r="A762">
        <f>Dataset_3!A152</f>
        <v>761</v>
      </c>
      <c r="B762" s="61">
        <f>Dataset_3!B152</f>
        <v>40578</v>
      </c>
      <c r="C762">
        <f>Dataset_3!C152</f>
        <v>1</v>
      </c>
      <c r="D762">
        <f>Dataset_3!D152</f>
        <v>0</v>
      </c>
      <c r="E762">
        <f>Dataset_3!E152</f>
        <v>2</v>
      </c>
      <c r="F762">
        <f>Dataset_3!F152</f>
        <v>2</v>
      </c>
      <c r="G762" t="b">
        <f>Dataset_3!G152</f>
        <v>0</v>
      </c>
      <c r="H762">
        <f>Dataset_3!H152</f>
        <v>5</v>
      </c>
      <c r="I762">
        <f>Dataset_3!I152</f>
        <v>2</v>
      </c>
      <c r="J762" s="55">
        <f>Dataset_3!J152</f>
        <v>0.14000000000000001</v>
      </c>
      <c r="K762">
        <f>Dataset_3!K152</f>
        <v>0.16669999999999999</v>
      </c>
      <c r="L762">
        <f>Dataset_3!L152</f>
        <v>0.63</v>
      </c>
      <c r="M762">
        <f>Dataset_3!M152</f>
        <v>0.1045</v>
      </c>
      <c r="N762">
        <f>Dataset_3!N152</f>
        <v>0</v>
      </c>
      <c r="O762">
        <f>Dataset_3!O152</f>
        <v>1</v>
      </c>
      <c r="P762">
        <f>Dataset_3!P152</f>
        <v>1</v>
      </c>
      <c r="Q762" t="str">
        <f t="shared" si="143"/>
        <v>REC-0761</v>
      </c>
      <c r="R762" s="62">
        <f t="shared" si="144"/>
        <v>40578.083333333336</v>
      </c>
      <c r="S762" t="str">
        <f t="shared" si="145"/>
        <v>Feb</v>
      </c>
      <c r="T762" t="str">
        <f>INDEX(Lookups!$B$39:$B$45,MATCH(H762,Lookups!$A$39:$A$45,0))</f>
        <v>Fri</v>
      </c>
      <c r="U762" t="str">
        <f t="shared" si="146"/>
        <v>Weekday</v>
      </c>
      <c r="V762" t="str">
        <f t="shared" si="147"/>
        <v>Working Day</v>
      </c>
      <c r="W762" t="str">
        <f t="shared" si="148"/>
        <v>Spring</v>
      </c>
      <c r="X762" t="str">
        <f t="shared" si="149"/>
        <v>Cloudy/Mist</v>
      </c>
      <c r="Y762" t="str">
        <f t="shared" si="150"/>
        <v>Night</v>
      </c>
      <c r="Z762" t="str">
        <f t="shared" si="151"/>
        <v>Cold</v>
      </c>
      <c r="AA762" t="str">
        <f t="shared" si="152"/>
        <v>Medium</v>
      </c>
      <c r="AB762" t="str">
        <f t="shared" si="153"/>
        <v>Off-Peak</v>
      </c>
      <c r="AC762" s="63">
        <f t="shared" si="154"/>
        <v>0</v>
      </c>
      <c r="AD762" t="str">
        <f>IF(P762&gt;=Stats!$C$30,"High",IF(P762&lt;=Stats!$C$29,"Low","Normal"))</f>
        <v>Low</v>
      </c>
      <c r="AE762">
        <f t="shared" si="155"/>
        <v>1</v>
      </c>
    </row>
    <row r="763" spans="1:31" x14ac:dyDescent="0.2">
      <c r="A763">
        <f>Dataset_3!A153</f>
        <v>762</v>
      </c>
      <c r="B763" s="61">
        <f>Dataset_3!B153</f>
        <v>40578</v>
      </c>
      <c r="C763">
        <f>Dataset_3!C153</f>
        <v>1</v>
      </c>
      <c r="D763">
        <f>Dataset_3!D153</f>
        <v>0</v>
      </c>
      <c r="E763">
        <f>Dataset_3!E153</f>
        <v>2</v>
      </c>
      <c r="F763">
        <f>Dataset_3!F153</f>
        <v>3</v>
      </c>
      <c r="G763" t="b">
        <f>Dataset_3!G153</f>
        <v>0</v>
      </c>
      <c r="H763">
        <f>Dataset_3!H153</f>
        <v>5</v>
      </c>
      <c r="I763">
        <f>Dataset_3!I153</f>
        <v>2</v>
      </c>
      <c r="J763" s="55">
        <f>Dataset_3!J153</f>
        <v>0.14000000000000001</v>
      </c>
      <c r="K763">
        <f>Dataset_3!K153</f>
        <v>0.16669999999999999</v>
      </c>
      <c r="L763">
        <f>Dataset_3!L153</f>
        <v>0.63</v>
      </c>
      <c r="M763">
        <f>Dataset_3!M153</f>
        <v>0.1045</v>
      </c>
      <c r="N763">
        <f>Dataset_3!N153</f>
        <v>0</v>
      </c>
      <c r="O763">
        <f>Dataset_3!O153</f>
        <v>1</v>
      </c>
      <c r="P763">
        <f>Dataset_3!P153</f>
        <v>1</v>
      </c>
      <c r="Q763" t="str">
        <f t="shared" si="143"/>
        <v>REC-0762</v>
      </c>
      <c r="R763" s="62">
        <f t="shared" si="144"/>
        <v>40578.125</v>
      </c>
      <c r="S763" t="str">
        <f t="shared" si="145"/>
        <v>Feb</v>
      </c>
      <c r="T763" t="str">
        <f>INDEX(Lookups!$B$39:$B$45,MATCH(H763,Lookups!$A$39:$A$45,0))</f>
        <v>Fri</v>
      </c>
      <c r="U763" t="str">
        <f t="shared" si="146"/>
        <v>Weekday</v>
      </c>
      <c r="V763" t="str">
        <f t="shared" si="147"/>
        <v>Working Day</v>
      </c>
      <c r="W763" t="str">
        <f t="shared" si="148"/>
        <v>Spring</v>
      </c>
      <c r="X763" t="str">
        <f t="shared" si="149"/>
        <v>Cloudy/Mist</v>
      </c>
      <c r="Y763" t="str">
        <f t="shared" si="150"/>
        <v>Night</v>
      </c>
      <c r="Z763" t="str">
        <f t="shared" si="151"/>
        <v>Cold</v>
      </c>
      <c r="AA763" t="str">
        <f t="shared" si="152"/>
        <v>Medium</v>
      </c>
      <c r="AB763" t="str">
        <f t="shared" si="153"/>
        <v>Off-Peak</v>
      </c>
      <c r="AC763" s="63">
        <f t="shared" si="154"/>
        <v>0</v>
      </c>
      <c r="AD763" t="str">
        <f>IF(P763&gt;=Stats!$C$30,"High",IF(P763&lt;=Stats!$C$29,"Low","Normal"))</f>
        <v>Low</v>
      </c>
      <c r="AE763">
        <f t="shared" si="155"/>
        <v>1</v>
      </c>
    </row>
    <row r="764" spans="1:31" x14ac:dyDescent="0.2">
      <c r="A764">
        <f>Dataset_3!A154</f>
        <v>763</v>
      </c>
      <c r="B764" s="61">
        <f>Dataset_3!B154</f>
        <v>40578</v>
      </c>
      <c r="C764">
        <f>Dataset_3!C154</f>
        <v>1</v>
      </c>
      <c r="D764">
        <f>Dataset_3!D154</f>
        <v>0</v>
      </c>
      <c r="E764">
        <f>Dataset_3!E154</f>
        <v>2</v>
      </c>
      <c r="F764">
        <f>Dataset_3!F154</f>
        <v>5</v>
      </c>
      <c r="G764" t="b">
        <f>Dataset_3!G154</f>
        <v>0</v>
      </c>
      <c r="H764">
        <f>Dataset_3!H154</f>
        <v>5</v>
      </c>
      <c r="I764">
        <f>Dataset_3!I154</f>
        <v>2</v>
      </c>
      <c r="J764" s="55">
        <f>Dataset_3!J154</f>
        <v>0.14000000000000001</v>
      </c>
      <c r="K764">
        <f>Dataset_3!K154</f>
        <v>0.1515</v>
      </c>
      <c r="L764">
        <f>Dataset_3!L154</f>
        <v>0.63</v>
      </c>
      <c r="M764">
        <f>Dataset_3!M154</f>
        <v>0.1343</v>
      </c>
      <c r="N764">
        <f>Dataset_3!N154</f>
        <v>0</v>
      </c>
      <c r="O764">
        <f>Dataset_3!O154</f>
        <v>7</v>
      </c>
      <c r="P764">
        <f>Dataset_3!P154</f>
        <v>7</v>
      </c>
      <c r="Q764" t="str">
        <f t="shared" si="143"/>
        <v>REC-0763</v>
      </c>
      <c r="R764" s="62">
        <f t="shared" si="144"/>
        <v>40578.208333333336</v>
      </c>
      <c r="S764" t="str">
        <f t="shared" si="145"/>
        <v>Feb</v>
      </c>
      <c r="T764" t="str">
        <f>INDEX(Lookups!$B$39:$B$45,MATCH(H764,Lookups!$A$39:$A$45,0))</f>
        <v>Fri</v>
      </c>
      <c r="U764" t="str">
        <f t="shared" si="146"/>
        <v>Weekday</v>
      </c>
      <c r="V764" t="str">
        <f t="shared" si="147"/>
        <v>Working Day</v>
      </c>
      <c r="W764" t="str">
        <f t="shared" si="148"/>
        <v>Spring</v>
      </c>
      <c r="X764" t="str">
        <f t="shared" si="149"/>
        <v>Cloudy/Mist</v>
      </c>
      <c r="Y764" t="str">
        <f t="shared" si="150"/>
        <v>Night</v>
      </c>
      <c r="Z764" t="str">
        <f t="shared" si="151"/>
        <v>Cold</v>
      </c>
      <c r="AA764" t="str">
        <f t="shared" si="152"/>
        <v>Medium</v>
      </c>
      <c r="AB764" t="str">
        <f t="shared" si="153"/>
        <v>Off-Peak</v>
      </c>
      <c r="AC764" s="63">
        <f t="shared" si="154"/>
        <v>0</v>
      </c>
      <c r="AD764" t="str">
        <f>IF(P764&gt;=Stats!$C$30,"High",IF(P764&lt;=Stats!$C$29,"Low","Normal"))</f>
        <v>Low</v>
      </c>
      <c r="AE764">
        <f t="shared" si="155"/>
        <v>1</v>
      </c>
    </row>
    <row r="765" spans="1:31" x14ac:dyDescent="0.2">
      <c r="A765">
        <f>Dataset_3!A155</f>
        <v>764</v>
      </c>
      <c r="B765" s="61">
        <f>Dataset_3!B155</f>
        <v>40578</v>
      </c>
      <c r="C765">
        <f>Dataset_3!C155</f>
        <v>1</v>
      </c>
      <c r="D765">
        <f>Dataset_3!D155</f>
        <v>0</v>
      </c>
      <c r="E765">
        <f>Dataset_3!E155</f>
        <v>2</v>
      </c>
      <c r="F765">
        <f>Dataset_3!F155</f>
        <v>6</v>
      </c>
      <c r="G765" t="b">
        <f>Dataset_3!G155</f>
        <v>0</v>
      </c>
      <c r="H765">
        <f>Dataset_3!H155</f>
        <v>5</v>
      </c>
      <c r="I765">
        <f>Dataset_3!I155</f>
        <v>2</v>
      </c>
      <c r="J765" s="55">
        <f>Dataset_3!J155</f>
        <v>0.16</v>
      </c>
      <c r="K765">
        <f>Dataset_3!K155</f>
        <v>0.2273</v>
      </c>
      <c r="L765">
        <f>Dataset_3!L155</f>
        <v>0.55000000000000004</v>
      </c>
      <c r="M765">
        <f>Dataset_3!M155</f>
        <v>0</v>
      </c>
      <c r="N765">
        <f>Dataset_3!N155</f>
        <v>2</v>
      </c>
      <c r="O765">
        <f>Dataset_3!O155</f>
        <v>26</v>
      </c>
      <c r="P765">
        <f>Dataset_3!P155</f>
        <v>28</v>
      </c>
      <c r="Q765" t="str">
        <f t="shared" si="143"/>
        <v>REC-0764</v>
      </c>
      <c r="R765" s="62">
        <f t="shared" si="144"/>
        <v>40578.25</v>
      </c>
      <c r="S765" t="str">
        <f t="shared" si="145"/>
        <v>Feb</v>
      </c>
      <c r="T765" t="str">
        <f>INDEX(Lookups!$B$39:$B$45,MATCH(H765,Lookups!$A$39:$A$45,0))</f>
        <v>Fri</v>
      </c>
      <c r="U765" t="str">
        <f t="shared" si="146"/>
        <v>Weekday</v>
      </c>
      <c r="V765" t="str">
        <f t="shared" si="147"/>
        <v>Working Day</v>
      </c>
      <c r="W765" t="str">
        <f t="shared" si="148"/>
        <v>Spring</v>
      </c>
      <c r="X765" t="str">
        <f t="shared" si="149"/>
        <v>Cloudy/Mist</v>
      </c>
      <c r="Y765" t="str">
        <f t="shared" si="150"/>
        <v>Morning</v>
      </c>
      <c r="Z765" t="str">
        <f t="shared" si="151"/>
        <v>Cold</v>
      </c>
      <c r="AA765" t="str">
        <f t="shared" si="152"/>
        <v>Medium</v>
      </c>
      <c r="AB765" t="str">
        <f t="shared" si="153"/>
        <v>Off-Peak</v>
      </c>
      <c r="AC765" s="63">
        <f t="shared" si="154"/>
        <v>7.1428571428571425E-2</v>
      </c>
      <c r="AD765" t="str">
        <f>IF(P765&gt;=Stats!$C$30,"High",IF(P765&lt;=Stats!$C$29,"Low","Normal"))</f>
        <v>Normal</v>
      </c>
      <c r="AE765">
        <f t="shared" si="155"/>
        <v>1</v>
      </c>
    </row>
    <row r="766" spans="1:31" x14ac:dyDescent="0.2">
      <c r="A766">
        <f>Dataset_3!A156</f>
        <v>765</v>
      </c>
      <c r="B766" s="61">
        <f>Dataset_3!B156</f>
        <v>40578</v>
      </c>
      <c r="C766">
        <f>Dataset_3!C156</f>
        <v>1</v>
      </c>
      <c r="D766">
        <f>Dataset_3!D156</f>
        <v>0</v>
      </c>
      <c r="E766">
        <f>Dataset_3!E156</f>
        <v>2</v>
      </c>
      <c r="F766">
        <f>Dataset_3!F156</f>
        <v>7</v>
      </c>
      <c r="G766" t="b">
        <f>Dataset_3!G156</f>
        <v>0</v>
      </c>
      <c r="H766">
        <f>Dataset_3!H156</f>
        <v>5</v>
      </c>
      <c r="I766">
        <f>Dataset_3!I156</f>
        <v>1</v>
      </c>
      <c r="J766" s="55">
        <f>Dataset_3!J156</f>
        <v>0.14000000000000001</v>
      </c>
      <c r="K766">
        <f>Dataset_3!K156</f>
        <v>0.21210000000000001</v>
      </c>
      <c r="L766">
        <f>Dataset_3!L156</f>
        <v>0.59</v>
      </c>
      <c r="M766">
        <f>Dataset_3!M156</f>
        <v>0</v>
      </c>
      <c r="N766">
        <f>Dataset_3!N156</f>
        <v>0</v>
      </c>
      <c r="O766">
        <f>Dataset_3!O156</f>
        <v>87</v>
      </c>
      <c r="P766">
        <f>Dataset_3!P156</f>
        <v>87</v>
      </c>
      <c r="Q766" t="str">
        <f t="shared" si="143"/>
        <v>REC-0765</v>
      </c>
      <c r="R766" s="62">
        <f t="shared" si="144"/>
        <v>40578.291666666664</v>
      </c>
      <c r="S766" t="str">
        <f t="shared" si="145"/>
        <v>Feb</v>
      </c>
      <c r="T766" t="str">
        <f>INDEX(Lookups!$B$39:$B$45,MATCH(H766,Lookups!$A$39:$A$45,0))</f>
        <v>Fri</v>
      </c>
      <c r="U766" t="str">
        <f t="shared" si="146"/>
        <v>Weekday</v>
      </c>
      <c r="V766" t="str">
        <f t="shared" si="147"/>
        <v>Working Day</v>
      </c>
      <c r="W766" t="str">
        <f t="shared" si="148"/>
        <v>Spring</v>
      </c>
      <c r="X766" t="str">
        <f t="shared" si="149"/>
        <v>Clear</v>
      </c>
      <c r="Y766" t="str">
        <f t="shared" si="150"/>
        <v>Morning</v>
      </c>
      <c r="Z766" t="str">
        <f t="shared" si="151"/>
        <v>Cold</v>
      </c>
      <c r="AA766" t="str">
        <f t="shared" si="152"/>
        <v>Medium</v>
      </c>
      <c r="AB766" t="str">
        <f t="shared" si="153"/>
        <v>Peak</v>
      </c>
      <c r="AC766" s="63">
        <f t="shared" si="154"/>
        <v>0</v>
      </c>
      <c r="AD766" t="str">
        <f>IF(P766&gt;=Stats!$C$30,"High",IF(P766&lt;=Stats!$C$29,"Low","Normal"))</f>
        <v>High</v>
      </c>
      <c r="AE766">
        <f t="shared" si="155"/>
        <v>1</v>
      </c>
    </row>
    <row r="767" spans="1:31" x14ac:dyDescent="0.2">
      <c r="A767">
        <f>Dataset_3!A157</f>
        <v>766</v>
      </c>
      <c r="B767" s="61">
        <f>Dataset_3!B157</f>
        <v>40578</v>
      </c>
      <c r="C767">
        <f>Dataset_3!C157</f>
        <v>1</v>
      </c>
      <c r="D767">
        <f>Dataset_3!D157</f>
        <v>0</v>
      </c>
      <c r="E767">
        <f>Dataset_3!E157</f>
        <v>2</v>
      </c>
      <c r="F767">
        <f>Dataset_3!F157</f>
        <v>8</v>
      </c>
      <c r="G767" t="b">
        <f>Dataset_3!G157</f>
        <v>0</v>
      </c>
      <c r="H767">
        <f>Dataset_3!H157</f>
        <v>5</v>
      </c>
      <c r="I767">
        <f>Dataset_3!I157</f>
        <v>1</v>
      </c>
      <c r="J767" s="55">
        <f>Dataset_3!J157</f>
        <v>0.14000000000000001</v>
      </c>
      <c r="K767">
        <f>Dataset_3!K157</f>
        <v>0.1515</v>
      </c>
      <c r="L767">
        <f>Dataset_3!L157</f>
        <v>0.74</v>
      </c>
      <c r="M767">
        <f>Dataset_3!M157</f>
        <v>0.1343</v>
      </c>
      <c r="N767">
        <f>Dataset_3!N157</f>
        <v>3</v>
      </c>
      <c r="O767">
        <f>Dataset_3!O157</f>
        <v>217</v>
      </c>
      <c r="P767">
        <f>Dataset_3!P157</f>
        <v>220</v>
      </c>
      <c r="Q767" t="str">
        <f t="shared" si="143"/>
        <v>REC-0766</v>
      </c>
      <c r="R767" s="62">
        <f t="shared" si="144"/>
        <v>40578.333333333336</v>
      </c>
      <c r="S767" t="str">
        <f t="shared" si="145"/>
        <v>Feb</v>
      </c>
      <c r="T767" t="str">
        <f>INDEX(Lookups!$B$39:$B$45,MATCH(H767,Lookups!$A$39:$A$45,0))</f>
        <v>Fri</v>
      </c>
      <c r="U767" t="str">
        <f t="shared" si="146"/>
        <v>Weekday</v>
      </c>
      <c r="V767" t="str">
        <f t="shared" si="147"/>
        <v>Working Day</v>
      </c>
      <c r="W767" t="str">
        <f t="shared" si="148"/>
        <v>Spring</v>
      </c>
      <c r="X767" t="str">
        <f t="shared" si="149"/>
        <v>Clear</v>
      </c>
      <c r="Y767" t="str">
        <f t="shared" si="150"/>
        <v>Morning</v>
      </c>
      <c r="Z767" t="str">
        <f t="shared" si="151"/>
        <v>Cold</v>
      </c>
      <c r="AA767" t="str">
        <f t="shared" si="152"/>
        <v>Medium</v>
      </c>
      <c r="AB767" t="str">
        <f t="shared" si="153"/>
        <v>Peak</v>
      </c>
      <c r="AC767" s="63">
        <f t="shared" si="154"/>
        <v>1.3636363636363636E-2</v>
      </c>
      <c r="AD767" t="str">
        <f>IF(P767&gt;=Stats!$C$30,"High",IF(P767&lt;=Stats!$C$29,"Low","Normal"))</f>
        <v>High</v>
      </c>
      <c r="AE767">
        <f t="shared" si="155"/>
        <v>1</v>
      </c>
    </row>
    <row r="768" spans="1:31" x14ac:dyDescent="0.2">
      <c r="A768">
        <f>Dataset_3!A158</f>
        <v>767</v>
      </c>
      <c r="B768" s="61">
        <f>Dataset_3!B158</f>
        <v>40578</v>
      </c>
      <c r="C768">
        <f>Dataset_3!C158</f>
        <v>1</v>
      </c>
      <c r="D768">
        <f>Dataset_3!D158</f>
        <v>0</v>
      </c>
      <c r="E768">
        <f>Dataset_3!E158</f>
        <v>2</v>
      </c>
      <c r="F768">
        <f>Dataset_3!F158</f>
        <v>9</v>
      </c>
      <c r="G768" t="b">
        <f>Dataset_3!G158</f>
        <v>0</v>
      </c>
      <c r="H768">
        <f>Dataset_3!H158</f>
        <v>5</v>
      </c>
      <c r="I768">
        <f>Dataset_3!I158</f>
        <v>2</v>
      </c>
      <c r="J768" s="55">
        <f>Dataset_3!J158</f>
        <v>0.16</v>
      </c>
      <c r="K768">
        <f>Dataset_3!K158</f>
        <v>0.18179999999999999</v>
      </c>
      <c r="L768">
        <f>Dataset_3!L158</f>
        <v>0.8</v>
      </c>
      <c r="M768">
        <f>Dataset_3!M158</f>
        <v>0.1343</v>
      </c>
      <c r="N768">
        <f>Dataset_3!N158</f>
        <v>3</v>
      </c>
      <c r="O768">
        <f>Dataset_3!O158</f>
        <v>124</v>
      </c>
      <c r="P768">
        <f>Dataset_3!P158</f>
        <v>127</v>
      </c>
      <c r="Q768" t="str">
        <f t="shared" si="143"/>
        <v>REC-0767</v>
      </c>
      <c r="R768" s="62">
        <f t="shared" si="144"/>
        <v>40578.375</v>
      </c>
      <c r="S768" t="str">
        <f t="shared" si="145"/>
        <v>Feb</v>
      </c>
      <c r="T768" t="str">
        <f>INDEX(Lookups!$B$39:$B$45,MATCH(H768,Lookups!$A$39:$A$45,0))</f>
        <v>Fri</v>
      </c>
      <c r="U768" t="str">
        <f t="shared" si="146"/>
        <v>Weekday</v>
      </c>
      <c r="V768" t="str">
        <f t="shared" si="147"/>
        <v>Working Day</v>
      </c>
      <c r="W768" t="str">
        <f t="shared" si="148"/>
        <v>Spring</v>
      </c>
      <c r="X768" t="str">
        <f t="shared" si="149"/>
        <v>Cloudy/Mist</v>
      </c>
      <c r="Y768" t="str">
        <f t="shared" si="150"/>
        <v>Morning</v>
      </c>
      <c r="Z768" t="str">
        <f t="shared" si="151"/>
        <v>Cold</v>
      </c>
      <c r="AA768" t="str">
        <f t="shared" si="152"/>
        <v>High</v>
      </c>
      <c r="AB768" t="str">
        <f t="shared" si="153"/>
        <v>Peak</v>
      </c>
      <c r="AC768" s="63">
        <f t="shared" si="154"/>
        <v>2.3622047244094488E-2</v>
      </c>
      <c r="AD768" t="str">
        <f>IF(P768&gt;=Stats!$C$30,"High",IF(P768&lt;=Stats!$C$29,"Low","Normal"))</f>
        <v>High</v>
      </c>
      <c r="AE768">
        <f t="shared" si="155"/>
        <v>1</v>
      </c>
    </row>
    <row r="769" spans="1:31" x14ac:dyDescent="0.2">
      <c r="A769">
        <f>Dataset_3!A159</f>
        <v>768</v>
      </c>
      <c r="B769" s="61">
        <f>Dataset_3!B159</f>
        <v>40578</v>
      </c>
      <c r="C769">
        <f>Dataset_3!C159</f>
        <v>1</v>
      </c>
      <c r="D769">
        <f>Dataset_3!D159</f>
        <v>0</v>
      </c>
      <c r="E769">
        <f>Dataset_3!E159</f>
        <v>2</v>
      </c>
      <c r="F769">
        <f>Dataset_3!F159</f>
        <v>10</v>
      </c>
      <c r="G769" t="b">
        <f>Dataset_3!G159</f>
        <v>0</v>
      </c>
      <c r="H769">
        <f>Dataset_3!H159</f>
        <v>5</v>
      </c>
      <c r="I769">
        <f>Dataset_3!I159</f>
        <v>2</v>
      </c>
      <c r="J769" s="55">
        <f>Dataset_3!J159</f>
        <v>0.2</v>
      </c>
      <c r="K769">
        <f>Dataset_3!K159</f>
        <v>0.21210000000000001</v>
      </c>
      <c r="L769">
        <f>Dataset_3!L159</f>
        <v>0.51</v>
      </c>
      <c r="M769">
        <f>Dataset_3!M159</f>
        <v>0.1343</v>
      </c>
      <c r="N769">
        <f>Dataset_3!N159</f>
        <v>5</v>
      </c>
      <c r="O769">
        <f>Dataset_3!O159</f>
        <v>46</v>
      </c>
      <c r="P769">
        <f>Dataset_3!P159</f>
        <v>51</v>
      </c>
      <c r="Q769" t="str">
        <f t="shared" si="143"/>
        <v>REC-0768</v>
      </c>
      <c r="R769" s="62">
        <f t="shared" si="144"/>
        <v>40578.416666666664</v>
      </c>
      <c r="S769" t="str">
        <f t="shared" si="145"/>
        <v>Feb</v>
      </c>
      <c r="T769" t="str">
        <f>INDEX(Lookups!$B$39:$B$45,MATCH(H769,Lookups!$A$39:$A$45,0))</f>
        <v>Fri</v>
      </c>
      <c r="U769" t="str">
        <f t="shared" si="146"/>
        <v>Weekday</v>
      </c>
      <c r="V769" t="str">
        <f t="shared" si="147"/>
        <v>Working Day</v>
      </c>
      <c r="W769" t="str">
        <f t="shared" si="148"/>
        <v>Spring</v>
      </c>
      <c r="X769" t="str">
        <f t="shared" si="149"/>
        <v>Cloudy/Mist</v>
      </c>
      <c r="Y769" t="str">
        <f t="shared" si="150"/>
        <v>Morning</v>
      </c>
      <c r="Z769" t="str">
        <f t="shared" si="151"/>
        <v>Mild</v>
      </c>
      <c r="AA769" t="str">
        <f t="shared" si="152"/>
        <v>Medium</v>
      </c>
      <c r="AB769" t="str">
        <f t="shared" si="153"/>
        <v>Off-Peak</v>
      </c>
      <c r="AC769" s="63">
        <f t="shared" si="154"/>
        <v>9.8039215686274508E-2</v>
      </c>
      <c r="AD769" t="str">
        <f>IF(P769&gt;=Stats!$C$30,"High",IF(P769&lt;=Stats!$C$29,"Low","Normal"))</f>
        <v>Normal</v>
      </c>
      <c r="AE769">
        <f t="shared" si="155"/>
        <v>1</v>
      </c>
    </row>
    <row r="770" spans="1:31" x14ac:dyDescent="0.2">
      <c r="A770">
        <f>Dataset_3!A160</f>
        <v>769</v>
      </c>
      <c r="B770" s="61">
        <f>Dataset_3!B160</f>
        <v>40578</v>
      </c>
      <c r="C770">
        <f>Dataset_3!C160</f>
        <v>1</v>
      </c>
      <c r="D770">
        <f>Dataset_3!D160</f>
        <v>0</v>
      </c>
      <c r="E770">
        <f>Dataset_3!E160</f>
        <v>2</v>
      </c>
      <c r="F770">
        <f>Dataset_3!F160</f>
        <v>11</v>
      </c>
      <c r="G770" t="b">
        <f>Dataset_3!G160</f>
        <v>0</v>
      </c>
      <c r="H770">
        <f>Dataset_3!H160</f>
        <v>5</v>
      </c>
      <c r="I770">
        <f>Dataset_3!I160</f>
        <v>1</v>
      </c>
      <c r="J770" s="55">
        <f>Dataset_3!J160</f>
        <v>0.22</v>
      </c>
      <c r="K770">
        <f>Dataset_3!K160</f>
        <v>0.2273</v>
      </c>
      <c r="L770">
        <f>Dataset_3!L160</f>
        <v>0.51</v>
      </c>
      <c r="M770">
        <f>Dataset_3!M160</f>
        <v>0.16420000000000001</v>
      </c>
      <c r="N770">
        <f>Dataset_3!N160</f>
        <v>3</v>
      </c>
      <c r="O770">
        <f>Dataset_3!O160</f>
        <v>61</v>
      </c>
      <c r="P770">
        <f>Dataset_3!P160</f>
        <v>64</v>
      </c>
      <c r="Q770" t="str">
        <f t="shared" ref="Q770:Q833" si="156">"REC-"&amp;TEXT(A770,"0000")</f>
        <v>REC-0769</v>
      </c>
      <c r="R770" s="62">
        <f t="shared" ref="R770:R833" si="157">B770+F770/24</f>
        <v>40578.458333333336</v>
      </c>
      <c r="S770" t="str">
        <f t="shared" ref="S770:S833" si="158">TEXT(B770,"mmm")</f>
        <v>Feb</v>
      </c>
      <c r="T770" t="str">
        <f>INDEX(Lookups!$B$39:$B$45,MATCH(H770,Lookups!$A$39:$A$45,0))</f>
        <v>Fri</v>
      </c>
      <c r="U770" t="str">
        <f t="shared" ref="U770:U833" si="159">IF(OR(H770=0,H770=6),"Weekend","Weekday")</f>
        <v>Weekday</v>
      </c>
      <c r="V770" t="str">
        <f t="shared" ref="V770:V833" si="160">IF(OR(U770="Weekend",G770=TRUE),"Non-Working Day","Working Day")</f>
        <v>Working Day</v>
      </c>
      <c r="W770" t="str">
        <f t="shared" ref="W770:W833" si="161">VLOOKUP(C770,tbl_season,2,FALSE)</f>
        <v>Spring</v>
      </c>
      <c r="X770" t="str">
        <f t="shared" ref="X770:X833" si="162">VLOOKUP(I770,tbl_weather,2,FALSE)</f>
        <v>Clear</v>
      </c>
      <c r="Y770" t="str">
        <f t="shared" ref="Y770:Y833" si="163">INDEX(band_name,MATCH(F770,band_start,1))</f>
        <v>Morning</v>
      </c>
      <c r="Z770" t="str">
        <f t="shared" ref="Z770:Z833" si="164">INDEX(temp_band,MATCH(J770,temp_from,1))</f>
        <v>Mild</v>
      </c>
      <c r="AA770" t="str">
        <f t="shared" ref="AA770:AA833" si="165">INDEX(hum_band,MATCH(L770,hum_from,1))</f>
        <v>Medium</v>
      </c>
      <c r="AB770" t="str">
        <f t="shared" ref="AB770:AB833" si="166">IF(AND(U770="Weekday",OR(AND(F770&gt;=7,F770&lt;=9),AND(F770&gt;=16,F770&lt;=19))),"Peak","Off-Peak")</f>
        <v>Off-Peak</v>
      </c>
      <c r="AC770" s="63">
        <f t="shared" ref="AC770:AC833" si="167">IF(P770=0,0,N770/P770)</f>
        <v>4.6875E-2</v>
      </c>
      <c r="AD770" t="str">
        <f>IF(P770&gt;=Stats!$C$30,"High",IF(P770&lt;=Stats!$C$29,"Low","Normal"))</f>
        <v>Normal</v>
      </c>
      <c r="AE770">
        <f t="shared" ref="AE770:AE833" si="168">SUBTOTAL(103,A770)</f>
        <v>1</v>
      </c>
    </row>
    <row r="771" spans="1:31" x14ac:dyDescent="0.2">
      <c r="A771">
        <f>Dataset_3!A161</f>
        <v>770</v>
      </c>
      <c r="B771" s="61">
        <f>Dataset_3!B161</f>
        <v>40578</v>
      </c>
      <c r="C771">
        <f>Dataset_3!C161</f>
        <v>1</v>
      </c>
      <c r="D771">
        <f>Dataset_3!D161</f>
        <v>0</v>
      </c>
      <c r="E771">
        <f>Dataset_3!E161</f>
        <v>2</v>
      </c>
      <c r="F771">
        <f>Dataset_3!F161</f>
        <v>12</v>
      </c>
      <c r="G771" t="b">
        <f>Dataset_3!G161</f>
        <v>0</v>
      </c>
      <c r="H771">
        <f>Dataset_3!H161</f>
        <v>5</v>
      </c>
      <c r="I771">
        <f>Dataset_3!I161</f>
        <v>2</v>
      </c>
      <c r="J771" s="55">
        <f>Dataset_3!J161</f>
        <v>0.24</v>
      </c>
      <c r="K771">
        <f>Dataset_3!K161</f>
        <v>0.2424</v>
      </c>
      <c r="L771">
        <f>Dataset_3!L161</f>
        <v>0.48</v>
      </c>
      <c r="M771">
        <f>Dataset_3!M161</f>
        <v>0.16420000000000001</v>
      </c>
      <c r="N771">
        <f>Dataset_3!N161</f>
        <v>8</v>
      </c>
      <c r="O771">
        <f>Dataset_3!O161</f>
        <v>78</v>
      </c>
      <c r="P771">
        <f>Dataset_3!P161</f>
        <v>86</v>
      </c>
      <c r="Q771" t="str">
        <f t="shared" si="156"/>
        <v>REC-0770</v>
      </c>
      <c r="R771" s="62">
        <f t="shared" si="157"/>
        <v>40578.5</v>
      </c>
      <c r="S771" t="str">
        <f t="shared" si="158"/>
        <v>Feb</v>
      </c>
      <c r="T771" t="str">
        <f>INDEX(Lookups!$B$39:$B$45,MATCH(H771,Lookups!$A$39:$A$45,0))</f>
        <v>Fri</v>
      </c>
      <c r="U771" t="str">
        <f t="shared" si="159"/>
        <v>Weekday</v>
      </c>
      <c r="V771" t="str">
        <f t="shared" si="160"/>
        <v>Working Day</v>
      </c>
      <c r="W771" t="str">
        <f t="shared" si="161"/>
        <v>Spring</v>
      </c>
      <c r="X771" t="str">
        <f t="shared" si="162"/>
        <v>Cloudy/Mist</v>
      </c>
      <c r="Y771" t="str">
        <f t="shared" si="163"/>
        <v>Afternoon</v>
      </c>
      <c r="Z771" t="str">
        <f t="shared" si="164"/>
        <v>Mild</v>
      </c>
      <c r="AA771" t="str">
        <f t="shared" si="165"/>
        <v>Low</v>
      </c>
      <c r="AB771" t="str">
        <f t="shared" si="166"/>
        <v>Off-Peak</v>
      </c>
      <c r="AC771" s="63">
        <f t="shared" si="167"/>
        <v>9.3023255813953487E-2</v>
      </c>
      <c r="AD771" t="str">
        <f>IF(P771&gt;=Stats!$C$30,"High",IF(P771&lt;=Stats!$C$29,"Low","Normal"))</f>
        <v>High</v>
      </c>
      <c r="AE771">
        <f t="shared" si="168"/>
        <v>1</v>
      </c>
    </row>
    <row r="772" spans="1:31" x14ac:dyDescent="0.2">
      <c r="A772">
        <f>Dataset_3!A162</f>
        <v>771</v>
      </c>
      <c r="B772" s="61">
        <f>Dataset_3!B162</f>
        <v>40578</v>
      </c>
      <c r="C772">
        <f>Dataset_3!C162</f>
        <v>1</v>
      </c>
      <c r="D772">
        <f>Dataset_3!D162</f>
        <v>0</v>
      </c>
      <c r="E772">
        <f>Dataset_3!E162</f>
        <v>2</v>
      </c>
      <c r="F772">
        <f>Dataset_3!F162</f>
        <v>13</v>
      </c>
      <c r="G772" t="b">
        <f>Dataset_3!G162</f>
        <v>0</v>
      </c>
      <c r="H772">
        <f>Dataset_3!H162</f>
        <v>5</v>
      </c>
      <c r="I772">
        <f>Dataset_3!I162</f>
        <v>2</v>
      </c>
      <c r="J772" s="55">
        <f>Dataset_3!J162</f>
        <v>0.26</v>
      </c>
      <c r="K772">
        <f>Dataset_3!K162</f>
        <v>0.2576</v>
      </c>
      <c r="L772">
        <f>Dataset_3!L162</f>
        <v>0.5</v>
      </c>
      <c r="M772">
        <f>Dataset_3!M162</f>
        <v>0.22389999999999999</v>
      </c>
      <c r="N772">
        <f>Dataset_3!N162</f>
        <v>9</v>
      </c>
      <c r="O772">
        <f>Dataset_3!O162</f>
        <v>73</v>
      </c>
      <c r="P772">
        <f>Dataset_3!P162</f>
        <v>82</v>
      </c>
      <c r="Q772" t="str">
        <f t="shared" si="156"/>
        <v>REC-0771</v>
      </c>
      <c r="R772" s="62">
        <f t="shared" si="157"/>
        <v>40578.541666666664</v>
      </c>
      <c r="S772" t="str">
        <f t="shared" si="158"/>
        <v>Feb</v>
      </c>
      <c r="T772" t="str">
        <f>INDEX(Lookups!$B$39:$B$45,MATCH(H772,Lookups!$A$39:$A$45,0))</f>
        <v>Fri</v>
      </c>
      <c r="U772" t="str">
        <f t="shared" si="159"/>
        <v>Weekday</v>
      </c>
      <c r="V772" t="str">
        <f t="shared" si="160"/>
        <v>Working Day</v>
      </c>
      <c r="W772" t="str">
        <f t="shared" si="161"/>
        <v>Spring</v>
      </c>
      <c r="X772" t="str">
        <f t="shared" si="162"/>
        <v>Cloudy/Mist</v>
      </c>
      <c r="Y772" t="str">
        <f t="shared" si="163"/>
        <v>Afternoon</v>
      </c>
      <c r="Z772" t="str">
        <f t="shared" si="164"/>
        <v>Mild</v>
      </c>
      <c r="AA772" t="str">
        <f t="shared" si="165"/>
        <v>Medium</v>
      </c>
      <c r="AB772" t="str">
        <f t="shared" si="166"/>
        <v>Off-Peak</v>
      </c>
      <c r="AC772" s="63">
        <f t="shared" si="167"/>
        <v>0.10975609756097561</v>
      </c>
      <c r="AD772" t="str">
        <f>IF(P772&gt;=Stats!$C$30,"High",IF(P772&lt;=Stats!$C$29,"Low","Normal"))</f>
        <v>Normal</v>
      </c>
      <c r="AE772">
        <f t="shared" si="168"/>
        <v>1</v>
      </c>
    </row>
    <row r="773" spans="1:31" x14ac:dyDescent="0.2">
      <c r="A773">
        <f>Dataset_3!A163</f>
        <v>772</v>
      </c>
      <c r="B773" s="61">
        <f>Dataset_3!B163</f>
        <v>40578</v>
      </c>
      <c r="C773">
        <f>Dataset_3!C163</f>
        <v>1</v>
      </c>
      <c r="D773">
        <f>Dataset_3!D163</f>
        <v>0</v>
      </c>
      <c r="E773">
        <f>Dataset_3!E163</f>
        <v>2</v>
      </c>
      <c r="F773">
        <f>Dataset_3!F163</f>
        <v>14</v>
      </c>
      <c r="G773" t="b">
        <f>Dataset_3!G163</f>
        <v>0</v>
      </c>
      <c r="H773">
        <f>Dataset_3!H163</f>
        <v>5</v>
      </c>
      <c r="I773">
        <f>Dataset_3!I163</f>
        <v>2</v>
      </c>
      <c r="J773" s="55">
        <f>Dataset_3!J163</f>
        <v>0.28000000000000003</v>
      </c>
      <c r="K773">
        <f>Dataset_3!K163</f>
        <v>0.2727</v>
      </c>
      <c r="L773">
        <f>Dataset_3!L163</f>
        <v>0.45</v>
      </c>
      <c r="M773">
        <f>Dataset_3!M163</f>
        <v>0.16420000000000001</v>
      </c>
      <c r="N773">
        <f>Dataset_3!N163</f>
        <v>15</v>
      </c>
      <c r="O773">
        <f>Dataset_3!O163</f>
        <v>76</v>
      </c>
      <c r="P773">
        <f>Dataset_3!P163</f>
        <v>91</v>
      </c>
      <c r="Q773" t="str">
        <f t="shared" si="156"/>
        <v>REC-0772</v>
      </c>
      <c r="R773" s="62">
        <f t="shared" si="157"/>
        <v>40578.583333333336</v>
      </c>
      <c r="S773" t="str">
        <f t="shared" si="158"/>
        <v>Feb</v>
      </c>
      <c r="T773" t="str">
        <f>INDEX(Lookups!$B$39:$B$45,MATCH(H773,Lookups!$A$39:$A$45,0))</f>
        <v>Fri</v>
      </c>
      <c r="U773" t="str">
        <f t="shared" si="159"/>
        <v>Weekday</v>
      </c>
      <c r="V773" t="str">
        <f t="shared" si="160"/>
        <v>Working Day</v>
      </c>
      <c r="W773" t="str">
        <f t="shared" si="161"/>
        <v>Spring</v>
      </c>
      <c r="X773" t="str">
        <f t="shared" si="162"/>
        <v>Cloudy/Mist</v>
      </c>
      <c r="Y773" t="str">
        <f t="shared" si="163"/>
        <v>Afternoon</v>
      </c>
      <c r="Z773" t="str">
        <f t="shared" si="164"/>
        <v>Mild</v>
      </c>
      <c r="AA773" t="str">
        <f t="shared" si="165"/>
        <v>Low</v>
      </c>
      <c r="AB773" t="str">
        <f t="shared" si="166"/>
        <v>Off-Peak</v>
      </c>
      <c r="AC773" s="63">
        <f t="shared" si="167"/>
        <v>0.16483516483516483</v>
      </c>
      <c r="AD773" t="str">
        <f>IF(P773&gt;=Stats!$C$30,"High",IF(P773&lt;=Stats!$C$29,"Low","Normal"))</f>
        <v>High</v>
      </c>
      <c r="AE773">
        <f t="shared" si="168"/>
        <v>1</v>
      </c>
    </row>
    <row r="774" spans="1:31" x14ac:dyDescent="0.2">
      <c r="A774">
        <f>Dataset_3!A164</f>
        <v>773</v>
      </c>
      <c r="B774" s="61">
        <f>Dataset_3!B164</f>
        <v>40578</v>
      </c>
      <c r="C774">
        <f>Dataset_3!C164</f>
        <v>1</v>
      </c>
      <c r="D774">
        <f>Dataset_3!D164</f>
        <v>0</v>
      </c>
      <c r="E774">
        <f>Dataset_3!E164</f>
        <v>2</v>
      </c>
      <c r="F774">
        <f>Dataset_3!F164</f>
        <v>15</v>
      </c>
      <c r="G774" t="b">
        <f>Dataset_3!G164</f>
        <v>0</v>
      </c>
      <c r="H774">
        <f>Dataset_3!H164</f>
        <v>5</v>
      </c>
      <c r="I774">
        <f>Dataset_3!I164</f>
        <v>2</v>
      </c>
      <c r="J774" s="55">
        <f>Dataset_3!J164</f>
        <v>0.28000000000000003</v>
      </c>
      <c r="K774">
        <f>Dataset_3!K164</f>
        <v>0.2727</v>
      </c>
      <c r="L774">
        <f>Dataset_3!L164</f>
        <v>0.48</v>
      </c>
      <c r="M774">
        <f>Dataset_3!M164</f>
        <v>0.25369999999999998</v>
      </c>
      <c r="N774">
        <f>Dataset_3!N164</f>
        <v>9</v>
      </c>
      <c r="O774">
        <f>Dataset_3!O164</f>
        <v>81</v>
      </c>
      <c r="P774">
        <f>Dataset_3!P164</f>
        <v>90</v>
      </c>
      <c r="Q774" t="str">
        <f t="shared" si="156"/>
        <v>REC-0773</v>
      </c>
      <c r="R774" s="62">
        <f t="shared" si="157"/>
        <v>40578.625</v>
      </c>
      <c r="S774" t="str">
        <f t="shared" si="158"/>
        <v>Feb</v>
      </c>
      <c r="T774" t="str">
        <f>INDEX(Lookups!$B$39:$B$45,MATCH(H774,Lookups!$A$39:$A$45,0))</f>
        <v>Fri</v>
      </c>
      <c r="U774" t="str">
        <f t="shared" si="159"/>
        <v>Weekday</v>
      </c>
      <c r="V774" t="str">
        <f t="shared" si="160"/>
        <v>Working Day</v>
      </c>
      <c r="W774" t="str">
        <f t="shared" si="161"/>
        <v>Spring</v>
      </c>
      <c r="X774" t="str">
        <f t="shared" si="162"/>
        <v>Cloudy/Mist</v>
      </c>
      <c r="Y774" t="str">
        <f t="shared" si="163"/>
        <v>Afternoon</v>
      </c>
      <c r="Z774" t="str">
        <f t="shared" si="164"/>
        <v>Mild</v>
      </c>
      <c r="AA774" t="str">
        <f t="shared" si="165"/>
        <v>Low</v>
      </c>
      <c r="AB774" t="str">
        <f t="shared" si="166"/>
        <v>Off-Peak</v>
      </c>
      <c r="AC774" s="63">
        <f t="shared" si="167"/>
        <v>0.1</v>
      </c>
      <c r="AD774" t="str">
        <f>IF(P774&gt;=Stats!$C$30,"High",IF(P774&lt;=Stats!$C$29,"Low","Normal"))</f>
        <v>High</v>
      </c>
      <c r="AE774">
        <f t="shared" si="168"/>
        <v>1</v>
      </c>
    </row>
    <row r="775" spans="1:31" x14ac:dyDescent="0.2">
      <c r="A775">
        <f>Dataset_3!A165</f>
        <v>774</v>
      </c>
      <c r="B775" s="61">
        <f>Dataset_3!B165</f>
        <v>40578</v>
      </c>
      <c r="C775">
        <f>Dataset_3!C165</f>
        <v>1</v>
      </c>
      <c r="D775">
        <f>Dataset_3!D165</f>
        <v>0</v>
      </c>
      <c r="E775">
        <f>Dataset_3!E165</f>
        <v>2</v>
      </c>
      <c r="F775">
        <f>Dataset_3!F165</f>
        <v>16</v>
      </c>
      <c r="G775" t="b">
        <f>Dataset_3!G165</f>
        <v>0</v>
      </c>
      <c r="H775">
        <f>Dataset_3!H165</f>
        <v>5</v>
      </c>
      <c r="I775">
        <f>Dataset_3!I165</f>
        <v>2</v>
      </c>
      <c r="J775" s="55">
        <f>Dataset_3!J165</f>
        <v>0.3</v>
      </c>
      <c r="K775">
        <f>Dataset_3!K165</f>
        <v>0.28789999999999999</v>
      </c>
      <c r="L775">
        <f>Dataset_3!L165</f>
        <v>0.42</v>
      </c>
      <c r="M775">
        <f>Dataset_3!M165</f>
        <v>0.22389999999999999</v>
      </c>
      <c r="N775">
        <f>Dataset_3!N165</f>
        <v>8</v>
      </c>
      <c r="O775">
        <f>Dataset_3!O165</f>
        <v>91</v>
      </c>
      <c r="P775">
        <f>Dataset_3!P165</f>
        <v>99</v>
      </c>
      <c r="Q775" t="str">
        <f t="shared" si="156"/>
        <v>REC-0774</v>
      </c>
      <c r="R775" s="62">
        <f t="shared" si="157"/>
        <v>40578.666666666664</v>
      </c>
      <c r="S775" t="str">
        <f t="shared" si="158"/>
        <v>Feb</v>
      </c>
      <c r="T775" t="str">
        <f>INDEX(Lookups!$B$39:$B$45,MATCH(H775,Lookups!$A$39:$A$45,0))</f>
        <v>Fri</v>
      </c>
      <c r="U775" t="str">
        <f t="shared" si="159"/>
        <v>Weekday</v>
      </c>
      <c r="V775" t="str">
        <f t="shared" si="160"/>
        <v>Working Day</v>
      </c>
      <c r="W775" t="str">
        <f t="shared" si="161"/>
        <v>Spring</v>
      </c>
      <c r="X775" t="str">
        <f t="shared" si="162"/>
        <v>Cloudy/Mist</v>
      </c>
      <c r="Y775" t="str">
        <f t="shared" si="163"/>
        <v>Afternoon</v>
      </c>
      <c r="Z775" t="str">
        <f t="shared" si="164"/>
        <v>Warm</v>
      </c>
      <c r="AA775" t="str">
        <f t="shared" si="165"/>
        <v>Low</v>
      </c>
      <c r="AB775" t="str">
        <f t="shared" si="166"/>
        <v>Peak</v>
      </c>
      <c r="AC775" s="63">
        <f t="shared" si="167"/>
        <v>8.0808080808080815E-2</v>
      </c>
      <c r="AD775" t="str">
        <f>IF(P775&gt;=Stats!$C$30,"High",IF(P775&lt;=Stats!$C$29,"Low","Normal"))</f>
        <v>High</v>
      </c>
      <c r="AE775">
        <f t="shared" si="168"/>
        <v>1</v>
      </c>
    </row>
    <row r="776" spans="1:31" x14ac:dyDescent="0.2">
      <c r="A776">
        <f>Dataset_3!A166</f>
        <v>775</v>
      </c>
      <c r="B776" s="61">
        <f>Dataset_3!B166</f>
        <v>40578</v>
      </c>
      <c r="C776">
        <f>Dataset_3!C166</f>
        <v>1</v>
      </c>
      <c r="D776">
        <f>Dataset_3!D166</f>
        <v>0</v>
      </c>
      <c r="E776">
        <f>Dataset_3!E166</f>
        <v>2</v>
      </c>
      <c r="F776">
        <f>Dataset_3!F166</f>
        <v>17</v>
      </c>
      <c r="G776" t="b">
        <f>Dataset_3!G166</f>
        <v>0</v>
      </c>
      <c r="H776">
        <f>Dataset_3!H166</f>
        <v>5</v>
      </c>
      <c r="I776">
        <f>Dataset_3!I166</f>
        <v>2</v>
      </c>
      <c r="J776" s="55">
        <f>Dataset_3!J166</f>
        <v>0.26</v>
      </c>
      <c r="K776">
        <f>Dataset_3!K166</f>
        <v>0.2727</v>
      </c>
      <c r="L776">
        <f>Dataset_3!L166</f>
        <v>0.56000000000000005</v>
      </c>
      <c r="M776">
        <f>Dataset_3!M166</f>
        <v>0.1343</v>
      </c>
      <c r="N776">
        <f>Dataset_3!N166</f>
        <v>10</v>
      </c>
      <c r="O776">
        <f>Dataset_3!O166</f>
        <v>195</v>
      </c>
      <c r="P776">
        <f>Dataset_3!P166</f>
        <v>205</v>
      </c>
      <c r="Q776" t="str">
        <f t="shared" si="156"/>
        <v>REC-0775</v>
      </c>
      <c r="R776" s="62">
        <f t="shared" si="157"/>
        <v>40578.708333333336</v>
      </c>
      <c r="S776" t="str">
        <f t="shared" si="158"/>
        <v>Feb</v>
      </c>
      <c r="T776" t="str">
        <f>INDEX(Lookups!$B$39:$B$45,MATCH(H776,Lookups!$A$39:$A$45,0))</f>
        <v>Fri</v>
      </c>
      <c r="U776" t="str">
        <f t="shared" si="159"/>
        <v>Weekday</v>
      </c>
      <c r="V776" t="str">
        <f t="shared" si="160"/>
        <v>Working Day</v>
      </c>
      <c r="W776" t="str">
        <f t="shared" si="161"/>
        <v>Spring</v>
      </c>
      <c r="X776" t="str">
        <f t="shared" si="162"/>
        <v>Cloudy/Mist</v>
      </c>
      <c r="Y776" t="str">
        <f t="shared" si="163"/>
        <v>Evening</v>
      </c>
      <c r="Z776" t="str">
        <f t="shared" si="164"/>
        <v>Mild</v>
      </c>
      <c r="AA776" t="str">
        <f t="shared" si="165"/>
        <v>Medium</v>
      </c>
      <c r="AB776" t="str">
        <f t="shared" si="166"/>
        <v>Peak</v>
      </c>
      <c r="AC776" s="63">
        <f t="shared" si="167"/>
        <v>4.878048780487805E-2</v>
      </c>
      <c r="AD776" t="str">
        <f>IF(P776&gt;=Stats!$C$30,"High",IF(P776&lt;=Stats!$C$29,"Low","Normal"))</f>
        <v>High</v>
      </c>
      <c r="AE776">
        <f t="shared" si="168"/>
        <v>1</v>
      </c>
    </row>
    <row r="777" spans="1:31" x14ac:dyDescent="0.2">
      <c r="A777">
        <f>Dataset_3!A167</f>
        <v>776</v>
      </c>
      <c r="B777" s="61">
        <f>Dataset_3!B167</f>
        <v>40578</v>
      </c>
      <c r="C777">
        <f>Dataset_3!C167</f>
        <v>1</v>
      </c>
      <c r="D777">
        <f>Dataset_3!D167</f>
        <v>0</v>
      </c>
      <c r="E777">
        <f>Dataset_3!E167</f>
        <v>2</v>
      </c>
      <c r="F777">
        <f>Dataset_3!F167</f>
        <v>18</v>
      </c>
      <c r="G777" t="b">
        <f>Dataset_3!G167</f>
        <v>0</v>
      </c>
      <c r="H777">
        <f>Dataset_3!H167</f>
        <v>5</v>
      </c>
      <c r="I777">
        <f>Dataset_3!I167</f>
        <v>2</v>
      </c>
      <c r="J777" s="55">
        <f>Dataset_3!J167</f>
        <v>0.24</v>
      </c>
      <c r="K777">
        <f>Dataset_3!K167</f>
        <v>0.2576</v>
      </c>
      <c r="L777">
        <f>Dataset_3!L167</f>
        <v>0.6</v>
      </c>
      <c r="M777">
        <f>Dataset_3!M167</f>
        <v>0.1045</v>
      </c>
      <c r="N777">
        <f>Dataset_3!N167</f>
        <v>3</v>
      </c>
      <c r="O777">
        <f>Dataset_3!O167</f>
        <v>152</v>
      </c>
      <c r="P777">
        <f>Dataset_3!P167</f>
        <v>155</v>
      </c>
      <c r="Q777" t="str">
        <f t="shared" si="156"/>
        <v>REC-0776</v>
      </c>
      <c r="R777" s="62">
        <f t="shared" si="157"/>
        <v>40578.75</v>
      </c>
      <c r="S777" t="str">
        <f t="shared" si="158"/>
        <v>Feb</v>
      </c>
      <c r="T777" t="str">
        <f>INDEX(Lookups!$B$39:$B$45,MATCH(H777,Lookups!$A$39:$A$45,0))</f>
        <v>Fri</v>
      </c>
      <c r="U777" t="str">
        <f t="shared" si="159"/>
        <v>Weekday</v>
      </c>
      <c r="V777" t="str">
        <f t="shared" si="160"/>
        <v>Working Day</v>
      </c>
      <c r="W777" t="str">
        <f t="shared" si="161"/>
        <v>Spring</v>
      </c>
      <c r="X777" t="str">
        <f t="shared" si="162"/>
        <v>Cloudy/Mist</v>
      </c>
      <c r="Y777" t="str">
        <f t="shared" si="163"/>
        <v>Evening</v>
      </c>
      <c r="Z777" t="str">
        <f t="shared" si="164"/>
        <v>Mild</v>
      </c>
      <c r="AA777" t="str">
        <f t="shared" si="165"/>
        <v>Medium</v>
      </c>
      <c r="AB777" t="str">
        <f t="shared" si="166"/>
        <v>Peak</v>
      </c>
      <c r="AC777" s="63">
        <f t="shared" si="167"/>
        <v>1.935483870967742E-2</v>
      </c>
      <c r="AD777" t="str">
        <f>IF(P777&gt;=Stats!$C$30,"High",IF(P777&lt;=Stats!$C$29,"Low","Normal"))</f>
        <v>High</v>
      </c>
      <c r="AE777">
        <f t="shared" si="168"/>
        <v>1</v>
      </c>
    </row>
    <row r="778" spans="1:31" x14ac:dyDescent="0.2">
      <c r="A778">
        <f>Dataset_3!A168</f>
        <v>777</v>
      </c>
      <c r="B778" s="61">
        <f>Dataset_3!B168</f>
        <v>40578</v>
      </c>
      <c r="C778">
        <f>Dataset_3!C168</f>
        <v>1</v>
      </c>
      <c r="D778">
        <f>Dataset_3!D168</f>
        <v>0</v>
      </c>
      <c r="E778">
        <f>Dataset_3!E168</f>
        <v>2</v>
      </c>
      <c r="F778">
        <f>Dataset_3!F168</f>
        <v>19</v>
      </c>
      <c r="G778" t="b">
        <f>Dataset_3!G168</f>
        <v>0</v>
      </c>
      <c r="H778">
        <f>Dataset_3!H168</f>
        <v>5</v>
      </c>
      <c r="I778">
        <f>Dataset_3!I168</f>
        <v>2</v>
      </c>
      <c r="J778" s="55">
        <f>Dataset_3!J168</f>
        <v>0.24</v>
      </c>
      <c r="K778">
        <f>Dataset_3!K168</f>
        <v>0.2424</v>
      </c>
      <c r="L778">
        <f>Dataset_3!L168</f>
        <v>0.65</v>
      </c>
      <c r="M778">
        <f>Dataset_3!M168</f>
        <v>0.1343</v>
      </c>
      <c r="N778">
        <f>Dataset_3!N168</f>
        <v>1</v>
      </c>
      <c r="O778">
        <f>Dataset_3!O168</f>
        <v>102</v>
      </c>
      <c r="P778">
        <f>Dataset_3!P168</f>
        <v>103</v>
      </c>
      <c r="Q778" t="str">
        <f t="shared" si="156"/>
        <v>REC-0777</v>
      </c>
      <c r="R778" s="62">
        <f t="shared" si="157"/>
        <v>40578.791666666664</v>
      </c>
      <c r="S778" t="str">
        <f t="shared" si="158"/>
        <v>Feb</v>
      </c>
      <c r="T778" t="str">
        <f>INDEX(Lookups!$B$39:$B$45,MATCH(H778,Lookups!$A$39:$A$45,0))</f>
        <v>Fri</v>
      </c>
      <c r="U778" t="str">
        <f t="shared" si="159"/>
        <v>Weekday</v>
      </c>
      <c r="V778" t="str">
        <f t="shared" si="160"/>
        <v>Working Day</v>
      </c>
      <c r="W778" t="str">
        <f t="shared" si="161"/>
        <v>Spring</v>
      </c>
      <c r="X778" t="str">
        <f t="shared" si="162"/>
        <v>Cloudy/Mist</v>
      </c>
      <c r="Y778" t="str">
        <f t="shared" si="163"/>
        <v>Evening</v>
      </c>
      <c r="Z778" t="str">
        <f t="shared" si="164"/>
        <v>Mild</v>
      </c>
      <c r="AA778" t="str">
        <f t="shared" si="165"/>
        <v>Medium</v>
      </c>
      <c r="AB778" t="str">
        <f t="shared" si="166"/>
        <v>Peak</v>
      </c>
      <c r="AC778" s="63">
        <f t="shared" si="167"/>
        <v>9.7087378640776691E-3</v>
      </c>
      <c r="AD778" t="str">
        <f>IF(P778&gt;=Stats!$C$30,"High",IF(P778&lt;=Stats!$C$29,"Low","Normal"))</f>
        <v>High</v>
      </c>
      <c r="AE778">
        <f t="shared" si="168"/>
        <v>1</v>
      </c>
    </row>
    <row r="779" spans="1:31" x14ac:dyDescent="0.2">
      <c r="A779">
        <f>Dataset_3!A169</f>
        <v>778</v>
      </c>
      <c r="B779" s="61">
        <f>Dataset_3!B169</f>
        <v>40578</v>
      </c>
      <c r="C779">
        <f>Dataset_3!C169</f>
        <v>1</v>
      </c>
      <c r="D779">
        <f>Dataset_3!D169</f>
        <v>0</v>
      </c>
      <c r="E779">
        <f>Dataset_3!E169</f>
        <v>2</v>
      </c>
      <c r="F779">
        <f>Dataset_3!F169</f>
        <v>20</v>
      </c>
      <c r="G779" t="b">
        <f>Dataset_3!G169</f>
        <v>0</v>
      </c>
      <c r="H779">
        <f>Dataset_3!H169</f>
        <v>5</v>
      </c>
      <c r="I779">
        <f>Dataset_3!I169</f>
        <v>2</v>
      </c>
      <c r="J779" s="55">
        <f>Dataset_3!J169</f>
        <v>0.24</v>
      </c>
      <c r="K779">
        <f>Dataset_3!K169</f>
        <v>0.2424</v>
      </c>
      <c r="L779">
        <f>Dataset_3!L169</f>
        <v>0.65</v>
      </c>
      <c r="M779">
        <f>Dataset_3!M169</f>
        <v>0.16420000000000001</v>
      </c>
      <c r="N779">
        <f>Dataset_3!N169</f>
        <v>2</v>
      </c>
      <c r="O779">
        <f>Dataset_3!O169</f>
        <v>69</v>
      </c>
      <c r="P779">
        <f>Dataset_3!P169</f>
        <v>71</v>
      </c>
      <c r="Q779" t="str">
        <f t="shared" si="156"/>
        <v>REC-0778</v>
      </c>
      <c r="R779" s="62">
        <f t="shared" si="157"/>
        <v>40578.833333333336</v>
      </c>
      <c r="S779" t="str">
        <f t="shared" si="158"/>
        <v>Feb</v>
      </c>
      <c r="T779" t="str">
        <f>INDEX(Lookups!$B$39:$B$45,MATCH(H779,Lookups!$A$39:$A$45,0))</f>
        <v>Fri</v>
      </c>
      <c r="U779" t="str">
        <f t="shared" si="159"/>
        <v>Weekday</v>
      </c>
      <c r="V779" t="str">
        <f t="shared" si="160"/>
        <v>Working Day</v>
      </c>
      <c r="W779" t="str">
        <f t="shared" si="161"/>
        <v>Spring</v>
      </c>
      <c r="X779" t="str">
        <f t="shared" si="162"/>
        <v>Cloudy/Mist</v>
      </c>
      <c r="Y779" t="str">
        <f t="shared" si="163"/>
        <v>Evening</v>
      </c>
      <c r="Z779" t="str">
        <f t="shared" si="164"/>
        <v>Mild</v>
      </c>
      <c r="AA779" t="str">
        <f t="shared" si="165"/>
        <v>Medium</v>
      </c>
      <c r="AB779" t="str">
        <f t="shared" si="166"/>
        <v>Off-Peak</v>
      </c>
      <c r="AC779" s="63">
        <f t="shared" si="167"/>
        <v>2.8169014084507043E-2</v>
      </c>
      <c r="AD779" t="str">
        <f>IF(P779&gt;=Stats!$C$30,"High",IF(P779&lt;=Stats!$C$29,"Low","Normal"))</f>
        <v>Normal</v>
      </c>
      <c r="AE779">
        <f t="shared" si="168"/>
        <v>1</v>
      </c>
    </row>
    <row r="780" spans="1:31" x14ac:dyDescent="0.2">
      <c r="A780">
        <f>Dataset_3!A170</f>
        <v>779</v>
      </c>
      <c r="B780" s="61">
        <f>Dataset_3!B170</f>
        <v>40578</v>
      </c>
      <c r="C780">
        <f>Dataset_3!C170</f>
        <v>1</v>
      </c>
      <c r="D780">
        <f>Dataset_3!D170</f>
        <v>0</v>
      </c>
      <c r="E780">
        <f>Dataset_3!E170</f>
        <v>2</v>
      </c>
      <c r="F780">
        <f>Dataset_3!F170</f>
        <v>21</v>
      </c>
      <c r="G780" t="b">
        <f>Dataset_3!G170</f>
        <v>0</v>
      </c>
      <c r="H780">
        <f>Dataset_3!H170</f>
        <v>5</v>
      </c>
      <c r="I780">
        <f>Dataset_3!I170</f>
        <v>2</v>
      </c>
      <c r="J780" s="55">
        <f>Dataset_3!J170</f>
        <v>0.24</v>
      </c>
      <c r="K780">
        <f>Dataset_3!K170</f>
        <v>0.2424</v>
      </c>
      <c r="L780">
        <f>Dataset_3!L170</f>
        <v>0.7</v>
      </c>
      <c r="M780">
        <f>Dataset_3!M170</f>
        <v>0.16420000000000001</v>
      </c>
      <c r="N780">
        <f>Dataset_3!N170</f>
        <v>2</v>
      </c>
      <c r="O780">
        <f>Dataset_3!O170</f>
        <v>41</v>
      </c>
      <c r="P780">
        <f>Dataset_3!P170</f>
        <v>43</v>
      </c>
      <c r="Q780" t="str">
        <f t="shared" si="156"/>
        <v>REC-0779</v>
      </c>
      <c r="R780" s="62">
        <f t="shared" si="157"/>
        <v>40578.875</v>
      </c>
      <c r="S780" t="str">
        <f t="shared" si="158"/>
        <v>Feb</v>
      </c>
      <c r="T780" t="str">
        <f>INDEX(Lookups!$B$39:$B$45,MATCH(H780,Lookups!$A$39:$A$45,0))</f>
        <v>Fri</v>
      </c>
      <c r="U780" t="str">
        <f t="shared" si="159"/>
        <v>Weekday</v>
      </c>
      <c r="V780" t="str">
        <f t="shared" si="160"/>
        <v>Working Day</v>
      </c>
      <c r="W780" t="str">
        <f t="shared" si="161"/>
        <v>Spring</v>
      </c>
      <c r="X780" t="str">
        <f t="shared" si="162"/>
        <v>Cloudy/Mist</v>
      </c>
      <c r="Y780" t="str">
        <f t="shared" si="163"/>
        <v>Late Evening</v>
      </c>
      <c r="Z780" t="str">
        <f t="shared" si="164"/>
        <v>Mild</v>
      </c>
      <c r="AA780" t="str">
        <f t="shared" si="165"/>
        <v>Medium</v>
      </c>
      <c r="AB780" t="str">
        <f t="shared" si="166"/>
        <v>Off-Peak</v>
      </c>
      <c r="AC780" s="63">
        <f t="shared" si="167"/>
        <v>4.6511627906976744E-2</v>
      </c>
      <c r="AD780" t="str">
        <f>IF(P780&gt;=Stats!$C$30,"High",IF(P780&lt;=Stats!$C$29,"Low","Normal"))</f>
        <v>Normal</v>
      </c>
      <c r="AE780">
        <f t="shared" si="168"/>
        <v>1</v>
      </c>
    </row>
    <row r="781" spans="1:31" x14ac:dyDescent="0.2">
      <c r="A781">
        <f>Dataset_3!A171</f>
        <v>780</v>
      </c>
      <c r="B781" s="61">
        <f>Dataset_3!B171</f>
        <v>40578</v>
      </c>
      <c r="C781">
        <f>Dataset_3!C171</f>
        <v>1</v>
      </c>
      <c r="D781">
        <f>Dataset_3!D171</f>
        <v>0</v>
      </c>
      <c r="E781">
        <f>Dataset_3!E171</f>
        <v>2</v>
      </c>
      <c r="F781">
        <f>Dataset_3!F171</f>
        <v>22</v>
      </c>
      <c r="G781" t="b">
        <f>Dataset_3!G171</f>
        <v>0</v>
      </c>
      <c r="H781">
        <f>Dataset_3!H171</f>
        <v>5</v>
      </c>
      <c r="I781">
        <f>Dataset_3!I171</f>
        <v>2</v>
      </c>
      <c r="J781" s="55">
        <f>Dataset_3!J171</f>
        <v>0.24</v>
      </c>
      <c r="K781">
        <f>Dataset_3!K171</f>
        <v>0.2424</v>
      </c>
      <c r="L781">
        <f>Dataset_3!L171</f>
        <v>0.65</v>
      </c>
      <c r="M781">
        <f>Dataset_3!M171</f>
        <v>0.16420000000000001</v>
      </c>
      <c r="N781">
        <f>Dataset_3!N171</f>
        <v>1</v>
      </c>
      <c r="O781">
        <f>Dataset_3!O171</f>
        <v>45</v>
      </c>
      <c r="P781">
        <f>Dataset_3!P171</f>
        <v>46</v>
      </c>
      <c r="Q781" t="str">
        <f t="shared" si="156"/>
        <v>REC-0780</v>
      </c>
      <c r="R781" s="62">
        <f t="shared" si="157"/>
        <v>40578.916666666664</v>
      </c>
      <c r="S781" t="str">
        <f t="shared" si="158"/>
        <v>Feb</v>
      </c>
      <c r="T781" t="str">
        <f>INDEX(Lookups!$B$39:$B$45,MATCH(H781,Lookups!$A$39:$A$45,0))</f>
        <v>Fri</v>
      </c>
      <c r="U781" t="str">
        <f t="shared" si="159"/>
        <v>Weekday</v>
      </c>
      <c r="V781" t="str">
        <f t="shared" si="160"/>
        <v>Working Day</v>
      </c>
      <c r="W781" t="str">
        <f t="shared" si="161"/>
        <v>Spring</v>
      </c>
      <c r="X781" t="str">
        <f t="shared" si="162"/>
        <v>Cloudy/Mist</v>
      </c>
      <c r="Y781" t="str">
        <f t="shared" si="163"/>
        <v>Late Evening</v>
      </c>
      <c r="Z781" t="str">
        <f t="shared" si="164"/>
        <v>Mild</v>
      </c>
      <c r="AA781" t="str">
        <f t="shared" si="165"/>
        <v>Medium</v>
      </c>
      <c r="AB781" t="str">
        <f t="shared" si="166"/>
        <v>Off-Peak</v>
      </c>
      <c r="AC781" s="63">
        <f t="shared" si="167"/>
        <v>2.1739130434782608E-2</v>
      </c>
      <c r="AD781" t="str">
        <f>IF(P781&gt;=Stats!$C$30,"High",IF(P781&lt;=Stats!$C$29,"Low","Normal"))</f>
        <v>Normal</v>
      </c>
      <c r="AE781">
        <f t="shared" si="168"/>
        <v>1</v>
      </c>
    </row>
    <row r="782" spans="1:31" x14ac:dyDescent="0.2">
      <c r="A782">
        <f>Dataset_3!A172</f>
        <v>781</v>
      </c>
      <c r="B782" s="61">
        <f>Dataset_3!B172</f>
        <v>40578</v>
      </c>
      <c r="C782">
        <f>Dataset_3!C172</f>
        <v>1</v>
      </c>
      <c r="D782">
        <f>Dataset_3!D172</f>
        <v>0</v>
      </c>
      <c r="E782">
        <f>Dataset_3!E172</f>
        <v>2</v>
      </c>
      <c r="F782">
        <f>Dataset_3!F172</f>
        <v>23</v>
      </c>
      <c r="G782" t="b">
        <f>Dataset_3!G172</f>
        <v>0</v>
      </c>
      <c r="H782">
        <f>Dataset_3!H172</f>
        <v>5</v>
      </c>
      <c r="I782">
        <f>Dataset_3!I172</f>
        <v>2</v>
      </c>
      <c r="J782" s="55">
        <f>Dataset_3!J172</f>
        <v>0.24</v>
      </c>
      <c r="K782">
        <f>Dataset_3!K172</f>
        <v>0.2424</v>
      </c>
      <c r="L782">
        <f>Dataset_3!L172</f>
        <v>0.7</v>
      </c>
      <c r="M782">
        <f>Dataset_3!M172</f>
        <v>0.1343</v>
      </c>
      <c r="N782">
        <f>Dataset_3!N172</f>
        <v>1</v>
      </c>
      <c r="O782">
        <f>Dataset_3!O172</f>
        <v>30</v>
      </c>
      <c r="P782">
        <f>Dataset_3!P172</f>
        <v>31</v>
      </c>
      <c r="Q782" t="str">
        <f t="shared" si="156"/>
        <v>REC-0781</v>
      </c>
      <c r="R782" s="62">
        <f t="shared" si="157"/>
        <v>40578.958333333336</v>
      </c>
      <c r="S782" t="str">
        <f t="shared" si="158"/>
        <v>Feb</v>
      </c>
      <c r="T782" t="str">
        <f>INDEX(Lookups!$B$39:$B$45,MATCH(H782,Lookups!$A$39:$A$45,0))</f>
        <v>Fri</v>
      </c>
      <c r="U782" t="str">
        <f t="shared" si="159"/>
        <v>Weekday</v>
      </c>
      <c r="V782" t="str">
        <f t="shared" si="160"/>
        <v>Working Day</v>
      </c>
      <c r="W782" t="str">
        <f t="shared" si="161"/>
        <v>Spring</v>
      </c>
      <c r="X782" t="str">
        <f t="shared" si="162"/>
        <v>Cloudy/Mist</v>
      </c>
      <c r="Y782" t="str">
        <f t="shared" si="163"/>
        <v>Late Evening</v>
      </c>
      <c r="Z782" t="str">
        <f t="shared" si="164"/>
        <v>Mild</v>
      </c>
      <c r="AA782" t="str">
        <f t="shared" si="165"/>
        <v>Medium</v>
      </c>
      <c r="AB782" t="str">
        <f t="shared" si="166"/>
        <v>Off-Peak</v>
      </c>
      <c r="AC782" s="63">
        <f t="shared" si="167"/>
        <v>3.2258064516129031E-2</v>
      </c>
      <c r="AD782" t="str">
        <f>IF(P782&gt;=Stats!$C$30,"High",IF(P782&lt;=Stats!$C$29,"Low","Normal"))</f>
        <v>Normal</v>
      </c>
      <c r="AE782">
        <f t="shared" si="168"/>
        <v>1</v>
      </c>
    </row>
    <row r="783" spans="1:31" x14ac:dyDescent="0.2">
      <c r="A783">
        <f>Dataset_3!A173</f>
        <v>782</v>
      </c>
      <c r="B783" s="61">
        <f>Dataset_3!B173</f>
        <v>40579</v>
      </c>
      <c r="C783">
        <f>Dataset_3!C173</f>
        <v>1</v>
      </c>
      <c r="D783">
        <f>Dataset_3!D173</f>
        <v>0</v>
      </c>
      <c r="E783">
        <f>Dataset_3!E173</f>
        <v>2</v>
      </c>
      <c r="F783">
        <f>Dataset_3!F173</f>
        <v>0</v>
      </c>
      <c r="G783" t="b">
        <f>Dataset_3!G173</f>
        <v>0</v>
      </c>
      <c r="H783">
        <f>Dataset_3!H173</f>
        <v>6</v>
      </c>
      <c r="I783">
        <f>Dataset_3!I173</f>
        <v>2</v>
      </c>
      <c r="J783" s="55">
        <f>Dataset_3!J173</f>
        <v>0.24</v>
      </c>
      <c r="K783">
        <f>Dataset_3!K173</f>
        <v>0.2424</v>
      </c>
      <c r="L783">
        <f>Dataset_3!L173</f>
        <v>0.7</v>
      </c>
      <c r="M783">
        <f>Dataset_3!M173</f>
        <v>0.16420000000000001</v>
      </c>
      <c r="N783">
        <f>Dataset_3!N173</f>
        <v>3</v>
      </c>
      <c r="O783">
        <f>Dataset_3!O173</f>
        <v>36</v>
      </c>
      <c r="P783">
        <f>Dataset_3!P173</f>
        <v>39</v>
      </c>
      <c r="Q783" t="str">
        <f t="shared" si="156"/>
        <v>REC-0782</v>
      </c>
      <c r="R783" s="62">
        <f t="shared" si="157"/>
        <v>40579</v>
      </c>
      <c r="S783" t="str">
        <f t="shared" si="158"/>
        <v>Feb</v>
      </c>
      <c r="T783" t="str">
        <f>INDEX(Lookups!$B$39:$B$45,MATCH(H783,Lookups!$A$39:$A$45,0))</f>
        <v>Sat</v>
      </c>
      <c r="U783" t="str">
        <f t="shared" si="159"/>
        <v>Weekend</v>
      </c>
      <c r="V783" t="str">
        <f t="shared" si="160"/>
        <v>Non-Working Day</v>
      </c>
      <c r="W783" t="str">
        <f t="shared" si="161"/>
        <v>Spring</v>
      </c>
      <c r="X783" t="str">
        <f t="shared" si="162"/>
        <v>Cloudy/Mist</v>
      </c>
      <c r="Y783" t="str">
        <f t="shared" si="163"/>
        <v>Night</v>
      </c>
      <c r="Z783" t="str">
        <f t="shared" si="164"/>
        <v>Mild</v>
      </c>
      <c r="AA783" t="str">
        <f t="shared" si="165"/>
        <v>Medium</v>
      </c>
      <c r="AB783" t="str">
        <f t="shared" si="166"/>
        <v>Off-Peak</v>
      </c>
      <c r="AC783" s="63">
        <f t="shared" si="167"/>
        <v>7.6923076923076927E-2</v>
      </c>
      <c r="AD783" t="str">
        <f>IF(P783&gt;=Stats!$C$30,"High",IF(P783&lt;=Stats!$C$29,"Low","Normal"))</f>
        <v>Normal</v>
      </c>
      <c r="AE783">
        <f t="shared" si="168"/>
        <v>1</v>
      </c>
    </row>
    <row r="784" spans="1:31" x14ac:dyDescent="0.2">
      <c r="A784">
        <f>Dataset_3!A174</f>
        <v>783</v>
      </c>
      <c r="B784" s="61">
        <f>Dataset_3!B174</f>
        <v>40579</v>
      </c>
      <c r="C784">
        <f>Dataset_3!C174</f>
        <v>1</v>
      </c>
      <c r="D784">
        <f>Dataset_3!D174</f>
        <v>0</v>
      </c>
      <c r="E784">
        <f>Dataset_3!E174</f>
        <v>2</v>
      </c>
      <c r="F784">
        <f>Dataset_3!F174</f>
        <v>1</v>
      </c>
      <c r="G784" t="b">
        <f>Dataset_3!G174</f>
        <v>0</v>
      </c>
      <c r="H784">
        <f>Dataset_3!H174</f>
        <v>6</v>
      </c>
      <c r="I784">
        <f>Dataset_3!I174</f>
        <v>2</v>
      </c>
      <c r="J784" s="55">
        <f>Dataset_3!J174</f>
        <v>0.24</v>
      </c>
      <c r="K784">
        <f>Dataset_3!K174</f>
        <v>0.2424</v>
      </c>
      <c r="L784">
        <f>Dataset_3!L174</f>
        <v>0.65</v>
      </c>
      <c r="M784">
        <f>Dataset_3!M174</f>
        <v>0.16420000000000001</v>
      </c>
      <c r="N784">
        <f>Dataset_3!N174</f>
        <v>1</v>
      </c>
      <c r="O784">
        <f>Dataset_3!O174</f>
        <v>17</v>
      </c>
      <c r="P784">
        <f>Dataset_3!P174</f>
        <v>18</v>
      </c>
      <c r="Q784" t="str">
        <f t="shared" si="156"/>
        <v>REC-0783</v>
      </c>
      <c r="R784" s="62">
        <f t="shared" si="157"/>
        <v>40579.041666666664</v>
      </c>
      <c r="S784" t="str">
        <f t="shared" si="158"/>
        <v>Feb</v>
      </c>
      <c r="T784" t="str">
        <f>INDEX(Lookups!$B$39:$B$45,MATCH(H784,Lookups!$A$39:$A$45,0))</f>
        <v>Sat</v>
      </c>
      <c r="U784" t="str">
        <f t="shared" si="159"/>
        <v>Weekend</v>
      </c>
      <c r="V784" t="str">
        <f t="shared" si="160"/>
        <v>Non-Working Day</v>
      </c>
      <c r="W784" t="str">
        <f t="shared" si="161"/>
        <v>Spring</v>
      </c>
      <c r="X784" t="str">
        <f t="shared" si="162"/>
        <v>Cloudy/Mist</v>
      </c>
      <c r="Y784" t="str">
        <f t="shared" si="163"/>
        <v>Night</v>
      </c>
      <c r="Z784" t="str">
        <f t="shared" si="164"/>
        <v>Mild</v>
      </c>
      <c r="AA784" t="str">
        <f t="shared" si="165"/>
        <v>Medium</v>
      </c>
      <c r="AB784" t="str">
        <f t="shared" si="166"/>
        <v>Off-Peak</v>
      </c>
      <c r="AC784" s="63">
        <f t="shared" si="167"/>
        <v>5.5555555555555552E-2</v>
      </c>
      <c r="AD784" t="str">
        <f>IF(P784&gt;=Stats!$C$30,"High",IF(P784&lt;=Stats!$C$29,"Low","Normal"))</f>
        <v>Normal</v>
      </c>
      <c r="AE784">
        <f t="shared" si="168"/>
        <v>1</v>
      </c>
    </row>
    <row r="785" spans="1:31" x14ac:dyDescent="0.2">
      <c r="A785">
        <f>Dataset_3!A175</f>
        <v>784</v>
      </c>
      <c r="B785" s="61">
        <f>Dataset_3!B175</f>
        <v>40579</v>
      </c>
      <c r="C785">
        <f>Dataset_3!C175</f>
        <v>1</v>
      </c>
      <c r="D785">
        <f>Dataset_3!D175</f>
        <v>0</v>
      </c>
      <c r="E785">
        <f>Dataset_3!E175</f>
        <v>2</v>
      </c>
      <c r="F785">
        <f>Dataset_3!F175</f>
        <v>2</v>
      </c>
      <c r="G785" t="b">
        <f>Dataset_3!G175</f>
        <v>0</v>
      </c>
      <c r="H785">
        <f>Dataset_3!H175</f>
        <v>6</v>
      </c>
      <c r="I785">
        <f>Dataset_3!I175</f>
        <v>2</v>
      </c>
      <c r="J785" s="55">
        <f>Dataset_3!J175</f>
        <v>0.24</v>
      </c>
      <c r="K785">
        <f>Dataset_3!K175</f>
        <v>0.2424</v>
      </c>
      <c r="L785">
        <f>Dataset_3!L175</f>
        <v>0.75</v>
      </c>
      <c r="M785">
        <f>Dataset_3!M175</f>
        <v>0.16420000000000001</v>
      </c>
      <c r="N785">
        <f>Dataset_3!N175</f>
        <v>5</v>
      </c>
      <c r="O785">
        <f>Dataset_3!O175</f>
        <v>12</v>
      </c>
      <c r="P785">
        <f>Dataset_3!P175</f>
        <v>17</v>
      </c>
      <c r="Q785" t="str">
        <f t="shared" si="156"/>
        <v>REC-0784</v>
      </c>
      <c r="R785" s="62">
        <f t="shared" si="157"/>
        <v>40579.083333333336</v>
      </c>
      <c r="S785" t="str">
        <f t="shared" si="158"/>
        <v>Feb</v>
      </c>
      <c r="T785" t="str">
        <f>INDEX(Lookups!$B$39:$B$45,MATCH(H785,Lookups!$A$39:$A$45,0))</f>
        <v>Sat</v>
      </c>
      <c r="U785" t="str">
        <f t="shared" si="159"/>
        <v>Weekend</v>
      </c>
      <c r="V785" t="str">
        <f t="shared" si="160"/>
        <v>Non-Working Day</v>
      </c>
      <c r="W785" t="str">
        <f t="shared" si="161"/>
        <v>Spring</v>
      </c>
      <c r="X785" t="str">
        <f t="shared" si="162"/>
        <v>Cloudy/Mist</v>
      </c>
      <c r="Y785" t="str">
        <f t="shared" si="163"/>
        <v>Night</v>
      </c>
      <c r="Z785" t="str">
        <f t="shared" si="164"/>
        <v>Mild</v>
      </c>
      <c r="AA785" t="str">
        <f t="shared" si="165"/>
        <v>High</v>
      </c>
      <c r="AB785" t="str">
        <f t="shared" si="166"/>
        <v>Off-Peak</v>
      </c>
      <c r="AC785" s="63">
        <f t="shared" si="167"/>
        <v>0.29411764705882354</v>
      </c>
      <c r="AD785" t="str">
        <f>IF(P785&gt;=Stats!$C$30,"High",IF(P785&lt;=Stats!$C$29,"Low","Normal"))</f>
        <v>Normal</v>
      </c>
      <c r="AE785">
        <f t="shared" si="168"/>
        <v>1</v>
      </c>
    </row>
    <row r="786" spans="1:31" x14ac:dyDescent="0.2">
      <c r="A786">
        <f>Dataset_3!A176</f>
        <v>785</v>
      </c>
      <c r="B786" s="61">
        <f>Dataset_3!B176</f>
        <v>40579</v>
      </c>
      <c r="C786">
        <f>Dataset_3!C176</f>
        <v>1</v>
      </c>
      <c r="D786">
        <f>Dataset_3!D176</f>
        <v>0</v>
      </c>
      <c r="E786">
        <f>Dataset_3!E176</f>
        <v>2</v>
      </c>
      <c r="F786">
        <f>Dataset_3!F176</f>
        <v>3</v>
      </c>
      <c r="G786" t="b">
        <f>Dataset_3!G176</f>
        <v>0</v>
      </c>
      <c r="H786">
        <f>Dataset_3!H176</f>
        <v>6</v>
      </c>
      <c r="I786">
        <f>Dataset_3!I176</f>
        <v>2</v>
      </c>
      <c r="J786" s="55">
        <f>Dataset_3!J176</f>
        <v>0.24</v>
      </c>
      <c r="K786">
        <f>Dataset_3!K176</f>
        <v>0.2424</v>
      </c>
      <c r="L786">
        <f>Dataset_3!L176</f>
        <v>0.75</v>
      </c>
      <c r="M786">
        <f>Dataset_3!M176</f>
        <v>0.16420000000000001</v>
      </c>
      <c r="N786">
        <f>Dataset_3!N176</f>
        <v>1</v>
      </c>
      <c r="O786">
        <f>Dataset_3!O176</f>
        <v>10</v>
      </c>
      <c r="P786">
        <f>Dataset_3!P176</f>
        <v>11</v>
      </c>
      <c r="Q786" t="str">
        <f t="shared" si="156"/>
        <v>REC-0785</v>
      </c>
      <c r="R786" s="62">
        <f t="shared" si="157"/>
        <v>40579.125</v>
      </c>
      <c r="S786" t="str">
        <f t="shared" si="158"/>
        <v>Feb</v>
      </c>
      <c r="T786" t="str">
        <f>INDEX(Lookups!$B$39:$B$45,MATCH(H786,Lookups!$A$39:$A$45,0))</f>
        <v>Sat</v>
      </c>
      <c r="U786" t="str">
        <f t="shared" si="159"/>
        <v>Weekend</v>
      </c>
      <c r="V786" t="str">
        <f t="shared" si="160"/>
        <v>Non-Working Day</v>
      </c>
      <c r="W786" t="str">
        <f t="shared" si="161"/>
        <v>Spring</v>
      </c>
      <c r="X786" t="str">
        <f t="shared" si="162"/>
        <v>Cloudy/Mist</v>
      </c>
      <c r="Y786" t="str">
        <f t="shared" si="163"/>
        <v>Night</v>
      </c>
      <c r="Z786" t="str">
        <f t="shared" si="164"/>
        <v>Mild</v>
      </c>
      <c r="AA786" t="str">
        <f t="shared" si="165"/>
        <v>High</v>
      </c>
      <c r="AB786" t="str">
        <f t="shared" si="166"/>
        <v>Off-Peak</v>
      </c>
      <c r="AC786" s="63">
        <f t="shared" si="167"/>
        <v>9.0909090909090912E-2</v>
      </c>
      <c r="AD786" t="str">
        <f>IF(P786&gt;=Stats!$C$30,"High",IF(P786&lt;=Stats!$C$29,"Low","Normal"))</f>
        <v>Low</v>
      </c>
      <c r="AE786">
        <f t="shared" si="168"/>
        <v>1</v>
      </c>
    </row>
    <row r="787" spans="1:31" x14ac:dyDescent="0.2">
      <c r="A787">
        <f>Dataset_3!A177</f>
        <v>786</v>
      </c>
      <c r="B787" s="61">
        <f>Dataset_3!B177</f>
        <v>40579</v>
      </c>
      <c r="C787">
        <f>Dataset_3!C177</f>
        <v>1</v>
      </c>
      <c r="D787">
        <f>Dataset_3!D177</f>
        <v>0</v>
      </c>
      <c r="E787">
        <f>Dataset_3!E177</f>
        <v>2</v>
      </c>
      <c r="F787">
        <f>Dataset_3!F177</f>
        <v>4</v>
      </c>
      <c r="G787" t="b">
        <f>Dataset_3!G177</f>
        <v>0</v>
      </c>
      <c r="H787">
        <f>Dataset_3!H177</f>
        <v>6</v>
      </c>
      <c r="I787">
        <f>Dataset_3!I177</f>
        <v>3</v>
      </c>
      <c r="J787" s="55">
        <f>Dataset_3!J177</f>
        <v>0.22</v>
      </c>
      <c r="K787">
        <f>Dataset_3!K177</f>
        <v>0.2273</v>
      </c>
      <c r="L787">
        <f>Dataset_3!L177</f>
        <v>0.93</v>
      </c>
      <c r="M787">
        <f>Dataset_3!M177</f>
        <v>0.1343</v>
      </c>
      <c r="N787">
        <f>Dataset_3!N177</f>
        <v>0</v>
      </c>
      <c r="O787">
        <f>Dataset_3!O177</f>
        <v>8</v>
      </c>
      <c r="P787">
        <f>Dataset_3!P177</f>
        <v>8</v>
      </c>
      <c r="Q787" t="str">
        <f t="shared" si="156"/>
        <v>REC-0786</v>
      </c>
      <c r="R787" s="62">
        <f t="shared" si="157"/>
        <v>40579.166666666664</v>
      </c>
      <c r="S787" t="str">
        <f t="shared" si="158"/>
        <v>Feb</v>
      </c>
      <c r="T787" t="str">
        <f>INDEX(Lookups!$B$39:$B$45,MATCH(H787,Lookups!$A$39:$A$45,0))</f>
        <v>Sat</v>
      </c>
      <c r="U787" t="str">
        <f t="shared" si="159"/>
        <v>Weekend</v>
      </c>
      <c r="V787" t="str">
        <f t="shared" si="160"/>
        <v>Non-Working Day</v>
      </c>
      <c r="W787" t="str">
        <f t="shared" si="161"/>
        <v>Spring</v>
      </c>
      <c r="X787" t="str">
        <f t="shared" si="162"/>
        <v>Light Rain/Snow</v>
      </c>
      <c r="Y787" t="str">
        <f t="shared" si="163"/>
        <v>Night</v>
      </c>
      <c r="Z787" t="str">
        <f t="shared" si="164"/>
        <v>Mild</v>
      </c>
      <c r="AA787" t="str">
        <f t="shared" si="165"/>
        <v>High</v>
      </c>
      <c r="AB787" t="str">
        <f t="shared" si="166"/>
        <v>Off-Peak</v>
      </c>
      <c r="AC787" s="63">
        <f t="shared" si="167"/>
        <v>0</v>
      </c>
      <c r="AD787" t="str">
        <f>IF(P787&gt;=Stats!$C$30,"High",IF(P787&lt;=Stats!$C$29,"Low","Normal"))</f>
        <v>Low</v>
      </c>
      <c r="AE787">
        <f t="shared" si="168"/>
        <v>1</v>
      </c>
    </row>
    <row r="788" spans="1:31" x14ac:dyDescent="0.2">
      <c r="A788">
        <f>Dataset_3!A178</f>
        <v>787</v>
      </c>
      <c r="B788" s="61">
        <f>Dataset_3!B178</f>
        <v>40579</v>
      </c>
      <c r="C788">
        <f>Dataset_3!C178</f>
        <v>1</v>
      </c>
      <c r="D788">
        <f>Dataset_3!D178</f>
        <v>0</v>
      </c>
      <c r="E788">
        <f>Dataset_3!E178</f>
        <v>2</v>
      </c>
      <c r="F788">
        <f>Dataset_3!F178</f>
        <v>5</v>
      </c>
      <c r="G788" t="b">
        <f>Dataset_3!G178</f>
        <v>0</v>
      </c>
      <c r="H788">
        <f>Dataset_3!H178</f>
        <v>6</v>
      </c>
      <c r="I788">
        <f>Dataset_3!I178</f>
        <v>3</v>
      </c>
      <c r="J788" s="55">
        <f>Dataset_3!J178</f>
        <v>0.2</v>
      </c>
      <c r="K788">
        <f>Dataset_3!K178</f>
        <v>0.2273</v>
      </c>
      <c r="L788">
        <f>Dataset_3!L178</f>
        <v>1</v>
      </c>
      <c r="M788">
        <f>Dataset_3!M178</f>
        <v>8.9599999999999999E-2</v>
      </c>
      <c r="N788">
        <f>Dataset_3!N178</f>
        <v>0</v>
      </c>
      <c r="O788">
        <f>Dataset_3!O178</f>
        <v>9</v>
      </c>
      <c r="P788">
        <f>Dataset_3!P178</f>
        <v>9</v>
      </c>
      <c r="Q788" t="str">
        <f t="shared" si="156"/>
        <v>REC-0787</v>
      </c>
      <c r="R788" s="62">
        <f t="shared" si="157"/>
        <v>40579.208333333336</v>
      </c>
      <c r="S788" t="str">
        <f t="shared" si="158"/>
        <v>Feb</v>
      </c>
      <c r="T788" t="str">
        <f>INDEX(Lookups!$B$39:$B$45,MATCH(H788,Lookups!$A$39:$A$45,0))</f>
        <v>Sat</v>
      </c>
      <c r="U788" t="str">
        <f t="shared" si="159"/>
        <v>Weekend</v>
      </c>
      <c r="V788" t="str">
        <f t="shared" si="160"/>
        <v>Non-Working Day</v>
      </c>
      <c r="W788" t="str">
        <f t="shared" si="161"/>
        <v>Spring</v>
      </c>
      <c r="X788" t="str">
        <f t="shared" si="162"/>
        <v>Light Rain/Snow</v>
      </c>
      <c r="Y788" t="str">
        <f t="shared" si="163"/>
        <v>Night</v>
      </c>
      <c r="Z788" t="str">
        <f t="shared" si="164"/>
        <v>Mild</v>
      </c>
      <c r="AA788" t="str">
        <f t="shared" si="165"/>
        <v>High</v>
      </c>
      <c r="AB788" t="str">
        <f t="shared" si="166"/>
        <v>Off-Peak</v>
      </c>
      <c r="AC788" s="63">
        <f t="shared" si="167"/>
        <v>0</v>
      </c>
      <c r="AD788" t="str">
        <f>IF(P788&gt;=Stats!$C$30,"High",IF(P788&lt;=Stats!$C$29,"Low","Normal"))</f>
        <v>Low</v>
      </c>
      <c r="AE788">
        <f t="shared" si="168"/>
        <v>1</v>
      </c>
    </row>
    <row r="789" spans="1:31" x14ac:dyDescent="0.2">
      <c r="A789">
        <f>Dataset_3!A179</f>
        <v>788</v>
      </c>
      <c r="B789" s="61">
        <f>Dataset_3!B179</f>
        <v>40579</v>
      </c>
      <c r="C789">
        <f>Dataset_3!C179</f>
        <v>1</v>
      </c>
      <c r="D789">
        <f>Dataset_3!D179</f>
        <v>0</v>
      </c>
      <c r="E789">
        <f>Dataset_3!E179</f>
        <v>2</v>
      </c>
      <c r="F789">
        <f>Dataset_3!F179</f>
        <v>6</v>
      </c>
      <c r="G789" t="b">
        <f>Dataset_3!G179</f>
        <v>0</v>
      </c>
      <c r="H789">
        <f>Dataset_3!H179</f>
        <v>6</v>
      </c>
      <c r="I789">
        <f>Dataset_3!I179</f>
        <v>3</v>
      </c>
      <c r="J789" s="55">
        <f>Dataset_3!J179</f>
        <v>0.2</v>
      </c>
      <c r="K789">
        <f>Dataset_3!K179</f>
        <v>0.2576</v>
      </c>
      <c r="L789">
        <f>Dataset_3!L179</f>
        <v>1</v>
      </c>
      <c r="M789">
        <f>Dataset_3!M179</f>
        <v>0</v>
      </c>
      <c r="N789">
        <f>Dataset_3!N179</f>
        <v>0</v>
      </c>
      <c r="O789">
        <f>Dataset_3!O179</f>
        <v>4</v>
      </c>
      <c r="P789">
        <f>Dataset_3!P179</f>
        <v>4</v>
      </c>
      <c r="Q789" t="str">
        <f t="shared" si="156"/>
        <v>REC-0788</v>
      </c>
      <c r="R789" s="62">
        <f t="shared" si="157"/>
        <v>40579.25</v>
      </c>
      <c r="S789" t="str">
        <f t="shared" si="158"/>
        <v>Feb</v>
      </c>
      <c r="T789" t="str">
        <f>INDEX(Lookups!$B$39:$B$45,MATCH(H789,Lookups!$A$39:$A$45,0))</f>
        <v>Sat</v>
      </c>
      <c r="U789" t="str">
        <f t="shared" si="159"/>
        <v>Weekend</v>
      </c>
      <c r="V789" t="str">
        <f t="shared" si="160"/>
        <v>Non-Working Day</v>
      </c>
      <c r="W789" t="str">
        <f t="shared" si="161"/>
        <v>Spring</v>
      </c>
      <c r="X789" t="str">
        <f t="shared" si="162"/>
        <v>Light Rain/Snow</v>
      </c>
      <c r="Y789" t="str">
        <f t="shared" si="163"/>
        <v>Morning</v>
      </c>
      <c r="Z789" t="str">
        <f t="shared" si="164"/>
        <v>Mild</v>
      </c>
      <c r="AA789" t="str">
        <f t="shared" si="165"/>
        <v>High</v>
      </c>
      <c r="AB789" t="str">
        <f t="shared" si="166"/>
        <v>Off-Peak</v>
      </c>
      <c r="AC789" s="63">
        <f t="shared" si="167"/>
        <v>0</v>
      </c>
      <c r="AD789" t="str">
        <f>IF(P789&gt;=Stats!$C$30,"High",IF(P789&lt;=Stats!$C$29,"Low","Normal"))</f>
        <v>Low</v>
      </c>
      <c r="AE789">
        <f t="shared" si="168"/>
        <v>1</v>
      </c>
    </row>
    <row r="790" spans="1:31" x14ac:dyDescent="0.2">
      <c r="A790">
        <f>Dataset_3!A180</f>
        <v>789</v>
      </c>
      <c r="B790" s="61">
        <f>Dataset_3!B180</f>
        <v>40579</v>
      </c>
      <c r="C790">
        <f>Dataset_3!C180</f>
        <v>1</v>
      </c>
      <c r="D790">
        <f>Dataset_3!D180</f>
        <v>0</v>
      </c>
      <c r="E790">
        <f>Dataset_3!E180</f>
        <v>2</v>
      </c>
      <c r="F790">
        <f>Dataset_3!F180</f>
        <v>7</v>
      </c>
      <c r="G790" t="b">
        <f>Dataset_3!G180</f>
        <v>0</v>
      </c>
      <c r="H790">
        <f>Dataset_3!H180</f>
        <v>6</v>
      </c>
      <c r="I790">
        <f>Dataset_3!I180</f>
        <v>3</v>
      </c>
      <c r="J790" s="55">
        <f>Dataset_3!J180</f>
        <v>0.22</v>
      </c>
      <c r="K790">
        <f>Dataset_3!K180</f>
        <v>0.2576</v>
      </c>
      <c r="L790">
        <f>Dataset_3!L180</f>
        <v>0.93</v>
      </c>
      <c r="M790">
        <f>Dataset_3!M180</f>
        <v>8.9599999999999999E-2</v>
      </c>
      <c r="N790">
        <f>Dataset_3!N180</f>
        <v>0</v>
      </c>
      <c r="O790">
        <f>Dataset_3!O180</f>
        <v>4</v>
      </c>
      <c r="P790">
        <f>Dataset_3!P180</f>
        <v>4</v>
      </c>
      <c r="Q790" t="str">
        <f t="shared" si="156"/>
        <v>REC-0789</v>
      </c>
      <c r="R790" s="62">
        <f t="shared" si="157"/>
        <v>40579.291666666664</v>
      </c>
      <c r="S790" t="str">
        <f t="shared" si="158"/>
        <v>Feb</v>
      </c>
      <c r="T790" t="str">
        <f>INDEX(Lookups!$B$39:$B$45,MATCH(H790,Lookups!$A$39:$A$45,0))</f>
        <v>Sat</v>
      </c>
      <c r="U790" t="str">
        <f t="shared" si="159"/>
        <v>Weekend</v>
      </c>
      <c r="V790" t="str">
        <f t="shared" si="160"/>
        <v>Non-Working Day</v>
      </c>
      <c r="W790" t="str">
        <f t="shared" si="161"/>
        <v>Spring</v>
      </c>
      <c r="X790" t="str">
        <f t="shared" si="162"/>
        <v>Light Rain/Snow</v>
      </c>
      <c r="Y790" t="str">
        <f t="shared" si="163"/>
        <v>Morning</v>
      </c>
      <c r="Z790" t="str">
        <f t="shared" si="164"/>
        <v>Mild</v>
      </c>
      <c r="AA790" t="str">
        <f t="shared" si="165"/>
        <v>High</v>
      </c>
      <c r="AB790" t="str">
        <f t="shared" si="166"/>
        <v>Off-Peak</v>
      </c>
      <c r="AC790" s="63">
        <f t="shared" si="167"/>
        <v>0</v>
      </c>
      <c r="AD790" t="str">
        <f>IF(P790&gt;=Stats!$C$30,"High",IF(P790&lt;=Stats!$C$29,"Low","Normal"))</f>
        <v>Low</v>
      </c>
      <c r="AE790">
        <f t="shared" si="168"/>
        <v>1</v>
      </c>
    </row>
    <row r="791" spans="1:31" x14ac:dyDescent="0.2">
      <c r="A791">
        <f>Dataset_3!A181</f>
        <v>790</v>
      </c>
      <c r="B791" s="61">
        <f>Dataset_3!B181</f>
        <v>40579</v>
      </c>
      <c r="C791">
        <f>Dataset_3!C181</f>
        <v>1</v>
      </c>
      <c r="D791">
        <f>Dataset_3!D181</f>
        <v>0</v>
      </c>
      <c r="E791">
        <f>Dataset_3!E181</f>
        <v>2</v>
      </c>
      <c r="F791">
        <f>Dataset_3!F181</f>
        <v>8</v>
      </c>
      <c r="G791" t="b">
        <f>Dataset_3!G181</f>
        <v>0</v>
      </c>
      <c r="H791">
        <f>Dataset_3!H181</f>
        <v>6</v>
      </c>
      <c r="I791">
        <f>Dataset_3!I181</f>
        <v>3</v>
      </c>
      <c r="J791" s="55">
        <f>Dataset_3!J181</f>
        <v>0.2</v>
      </c>
      <c r="K791">
        <f>Dataset_3!K181</f>
        <v>0.2273</v>
      </c>
      <c r="L791">
        <f>Dataset_3!L181</f>
        <v>1</v>
      </c>
      <c r="M791">
        <f>Dataset_3!M181</f>
        <v>8.9599999999999999E-2</v>
      </c>
      <c r="N791">
        <f>Dataset_3!N181</f>
        <v>0</v>
      </c>
      <c r="O791">
        <f>Dataset_3!O181</f>
        <v>10</v>
      </c>
      <c r="P791">
        <f>Dataset_3!P181</f>
        <v>10</v>
      </c>
      <c r="Q791" t="str">
        <f t="shared" si="156"/>
        <v>REC-0790</v>
      </c>
      <c r="R791" s="62">
        <f t="shared" si="157"/>
        <v>40579.333333333336</v>
      </c>
      <c r="S791" t="str">
        <f t="shared" si="158"/>
        <v>Feb</v>
      </c>
      <c r="T791" t="str">
        <f>INDEX(Lookups!$B$39:$B$45,MATCH(H791,Lookups!$A$39:$A$45,0))</f>
        <v>Sat</v>
      </c>
      <c r="U791" t="str">
        <f t="shared" si="159"/>
        <v>Weekend</v>
      </c>
      <c r="V791" t="str">
        <f t="shared" si="160"/>
        <v>Non-Working Day</v>
      </c>
      <c r="W791" t="str">
        <f t="shared" si="161"/>
        <v>Spring</v>
      </c>
      <c r="X791" t="str">
        <f t="shared" si="162"/>
        <v>Light Rain/Snow</v>
      </c>
      <c r="Y791" t="str">
        <f t="shared" si="163"/>
        <v>Morning</v>
      </c>
      <c r="Z791" t="str">
        <f t="shared" si="164"/>
        <v>Mild</v>
      </c>
      <c r="AA791" t="str">
        <f t="shared" si="165"/>
        <v>High</v>
      </c>
      <c r="AB791" t="str">
        <f t="shared" si="166"/>
        <v>Off-Peak</v>
      </c>
      <c r="AC791" s="63">
        <f t="shared" si="167"/>
        <v>0</v>
      </c>
      <c r="AD791" t="str">
        <f>IF(P791&gt;=Stats!$C$30,"High",IF(P791&lt;=Stats!$C$29,"Low","Normal"))</f>
        <v>Low</v>
      </c>
      <c r="AE791">
        <f t="shared" si="168"/>
        <v>1</v>
      </c>
    </row>
    <row r="792" spans="1:31" x14ac:dyDescent="0.2">
      <c r="A792">
        <f>Dataset_3!A182</f>
        <v>791</v>
      </c>
      <c r="B792" s="61">
        <f>Dataset_3!B182</f>
        <v>40579</v>
      </c>
      <c r="C792">
        <f>Dataset_3!C182</f>
        <v>1</v>
      </c>
      <c r="D792">
        <f>Dataset_3!D182</f>
        <v>0</v>
      </c>
      <c r="E792">
        <f>Dataset_3!E182</f>
        <v>2</v>
      </c>
      <c r="F792">
        <f>Dataset_3!F182</f>
        <v>9</v>
      </c>
      <c r="G792" t="b">
        <f>Dataset_3!G182</f>
        <v>0</v>
      </c>
      <c r="H792">
        <f>Dataset_3!H182</f>
        <v>6</v>
      </c>
      <c r="I792">
        <f>Dataset_3!I182</f>
        <v>3</v>
      </c>
      <c r="J792" s="55">
        <f>Dataset_3!J182</f>
        <v>0.2</v>
      </c>
      <c r="K792">
        <f>Dataset_3!K182</f>
        <v>0.2273</v>
      </c>
      <c r="L792">
        <f>Dataset_3!L182</f>
        <v>1</v>
      </c>
      <c r="M792">
        <f>Dataset_3!M182</f>
        <v>8.9599999999999999E-2</v>
      </c>
      <c r="N792">
        <f>Dataset_3!N182</f>
        <v>3</v>
      </c>
      <c r="O792">
        <f>Dataset_3!O182</f>
        <v>17</v>
      </c>
      <c r="P792">
        <f>Dataset_3!P182</f>
        <v>20</v>
      </c>
      <c r="Q792" t="str">
        <f t="shared" si="156"/>
        <v>REC-0791</v>
      </c>
      <c r="R792" s="62">
        <f t="shared" si="157"/>
        <v>40579.375</v>
      </c>
      <c r="S792" t="str">
        <f t="shared" si="158"/>
        <v>Feb</v>
      </c>
      <c r="T792" t="str">
        <f>INDEX(Lookups!$B$39:$B$45,MATCH(H792,Lookups!$A$39:$A$45,0))</f>
        <v>Sat</v>
      </c>
      <c r="U792" t="str">
        <f t="shared" si="159"/>
        <v>Weekend</v>
      </c>
      <c r="V792" t="str">
        <f t="shared" si="160"/>
        <v>Non-Working Day</v>
      </c>
      <c r="W792" t="str">
        <f t="shared" si="161"/>
        <v>Spring</v>
      </c>
      <c r="X792" t="str">
        <f t="shared" si="162"/>
        <v>Light Rain/Snow</v>
      </c>
      <c r="Y792" t="str">
        <f t="shared" si="163"/>
        <v>Morning</v>
      </c>
      <c r="Z792" t="str">
        <f t="shared" si="164"/>
        <v>Mild</v>
      </c>
      <c r="AA792" t="str">
        <f t="shared" si="165"/>
        <v>High</v>
      </c>
      <c r="AB792" t="str">
        <f t="shared" si="166"/>
        <v>Off-Peak</v>
      </c>
      <c r="AC792" s="63">
        <f t="shared" si="167"/>
        <v>0.15</v>
      </c>
      <c r="AD792" t="str">
        <f>IF(P792&gt;=Stats!$C$30,"High",IF(P792&lt;=Stats!$C$29,"Low","Normal"))</f>
        <v>Normal</v>
      </c>
      <c r="AE792">
        <f t="shared" si="168"/>
        <v>1</v>
      </c>
    </row>
    <row r="793" spans="1:31" x14ac:dyDescent="0.2">
      <c r="A793">
        <f>Dataset_3!A183</f>
        <v>792</v>
      </c>
      <c r="B793" s="61">
        <f>Dataset_3!B183</f>
        <v>40579</v>
      </c>
      <c r="C793">
        <f>Dataset_3!C183</f>
        <v>1</v>
      </c>
      <c r="D793">
        <f>Dataset_3!D183</f>
        <v>0</v>
      </c>
      <c r="E793">
        <f>Dataset_3!E183</f>
        <v>2</v>
      </c>
      <c r="F793">
        <f>Dataset_3!F183</f>
        <v>10</v>
      </c>
      <c r="G793" t="b">
        <f>Dataset_3!G183</f>
        <v>0</v>
      </c>
      <c r="H793">
        <f>Dataset_3!H183</f>
        <v>6</v>
      </c>
      <c r="I793">
        <f>Dataset_3!I183</f>
        <v>3</v>
      </c>
      <c r="J793" s="55">
        <f>Dataset_3!J183</f>
        <v>0.2</v>
      </c>
      <c r="K793">
        <f>Dataset_3!K183</f>
        <v>0.21210000000000001</v>
      </c>
      <c r="L793">
        <f>Dataset_3!L183</f>
        <v>1</v>
      </c>
      <c r="M793">
        <f>Dataset_3!M183</f>
        <v>0.1343</v>
      </c>
      <c r="N793">
        <f>Dataset_3!N183</f>
        <v>3</v>
      </c>
      <c r="O793">
        <f>Dataset_3!O183</f>
        <v>31</v>
      </c>
      <c r="P793">
        <f>Dataset_3!P183</f>
        <v>34</v>
      </c>
      <c r="Q793" t="str">
        <f t="shared" si="156"/>
        <v>REC-0792</v>
      </c>
      <c r="R793" s="62">
        <f t="shared" si="157"/>
        <v>40579.416666666664</v>
      </c>
      <c r="S793" t="str">
        <f t="shared" si="158"/>
        <v>Feb</v>
      </c>
      <c r="T793" t="str">
        <f>INDEX(Lookups!$B$39:$B$45,MATCH(H793,Lookups!$A$39:$A$45,0))</f>
        <v>Sat</v>
      </c>
      <c r="U793" t="str">
        <f t="shared" si="159"/>
        <v>Weekend</v>
      </c>
      <c r="V793" t="str">
        <f t="shared" si="160"/>
        <v>Non-Working Day</v>
      </c>
      <c r="W793" t="str">
        <f t="shared" si="161"/>
        <v>Spring</v>
      </c>
      <c r="X793" t="str">
        <f t="shared" si="162"/>
        <v>Light Rain/Snow</v>
      </c>
      <c r="Y793" t="str">
        <f t="shared" si="163"/>
        <v>Morning</v>
      </c>
      <c r="Z793" t="str">
        <f t="shared" si="164"/>
        <v>Mild</v>
      </c>
      <c r="AA793" t="str">
        <f t="shared" si="165"/>
        <v>High</v>
      </c>
      <c r="AB793" t="str">
        <f t="shared" si="166"/>
        <v>Off-Peak</v>
      </c>
      <c r="AC793" s="63">
        <f t="shared" si="167"/>
        <v>8.8235294117647065E-2</v>
      </c>
      <c r="AD793" t="str">
        <f>IF(P793&gt;=Stats!$C$30,"High",IF(P793&lt;=Stats!$C$29,"Low","Normal"))</f>
        <v>Normal</v>
      </c>
      <c r="AE793">
        <f t="shared" si="168"/>
        <v>1</v>
      </c>
    </row>
    <row r="794" spans="1:31" x14ac:dyDescent="0.2">
      <c r="A794">
        <f>Dataset_3!A184</f>
        <v>793</v>
      </c>
      <c r="B794" s="61">
        <f>Dataset_3!B184</f>
        <v>40579</v>
      </c>
      <c r="C794">
        <f>Dataset_3!C184</f>
        <v>1</v>
      </c>
      <c r="D794">
        <f>Dataset_3!D184</f>
        <v>0</v>
      </c>
      <c r="E794">
        <f>Dataset_3!E184</f>
        <v>2</v>
      </c>
      <c r="F794">
        <f>Dataset_3!F184</f>
        <v>11</v>
      </c>
      <c r="G794" t="b">
        <f>Dataset_3!G184</f>
        <v>0</v>
      </c>
      <c r="H794">
        <f>Dataset_3!H184</f>
        <v>6</v>
      </c>
      <c r="I794">
        <f>Dataset_3!I184</f>
        <v>3</v>
      </c>
      <c r="J794" s="55">
        <f>Dataset_3!J184</f>
        <v>0.22</v>
      </c>
      <c r="K794">
        <f>Dataset_3!K184</f>
        <v>0.2273</v>
      </c>
      <c r="L794">
        <f>Dataset_3!L184</f>
        <v>1</v>
      </c>
      <c r="M794">
        <f>Dataset_3!M184</f>
        <v>0.1343</v>
      </c>
      <c r="N794">
        <f>Dataset_3!N184</f>
        <v>1</v>
      </c>
      <c r="O794">
        <f>Dataset_3!O184</f>
        <v>46</v>
      </c>
      <c r="P794">
        <f>Dataset_3!P184</f>
        <v>47</v>
      </c>
      <c r="Q794" t="str">
        <f t="shared" si="156"/>
        <v>REC-0793</v>
      </c>
      <c r="R794" s="62">
        <f t="shared" si="157"/>
        <v>40579.458333333336</v>
      </c>
      <c r="S794" t="str">
        <f t="shared" si="158"/>
        <v>Feb</v>
      </c>
      <c r="T794" t="str">
        <f>INDEX(Lookups!$B$39:$B$45,MATCH(H794,Lookups!$A$39:$A$45,0))</f>
        <v>Sat</v>
      </c>
      <c r="U794" t="str">
        <f t="shared" si="159"/>
        <v>Weekend</v>
      </c>
      <c r="V794" t="str">
        <f t="shared" si="160"/>
        <v>Non-Working Day</v>
      </c>
      <c r="W794" t="str">
        <f t="shared" si="161"/>
        <v>Spring</v>
      </c>
      <c r="X794" t="str">
        <f t="shared" si="162"/>
        <v>Light Rain/Snow</v>
      </c>
      <c r="Y794" t="str">
        <f t="shared" si="163"/>
        <v>Morning</v>
      </c>
      <c r="Z794" t="str">
        <f t="shared" si="164"/>
        <v>Mild</v>
      </c>
      <c r="AA794" t="str">
        <f t="shared" si="165"/>
        <v>High</v>
      </c>
      <c r="AB794" t="str">
        <f t="shared" si="166"/>
        <v>Off-Peak</v>
      </c>
      <c r="AC794" s="63">
        <f t="shared" si="167"/>
        <v>2.1276595744680851E-2</v>
      </c>
      <c r="AD794" t="str">
        <f>IF(P794&gt;=Stats!$C$30,"High",IF(P794&lt;=Stats!$C$29,"Low","Normal"))</f>
        <v>Normal</v>
      </c>
      <c r="AE794">
        <f t="shared" si="168"/>
        <v>1</v>
      </c>
    </row>
    <row r="795" spans="1:31" x14ac:dyDescent="0.2">
      <c r="A795">
        <f>Dataset_3!A185</f>
        <v>794</v>
      </c>
      <c r="B795" s="61">
        <f>Dataset_3!B185</f>
        <v>40579</v>
      </c>
      <c r="C795">
        <f>Dataset_3!C185</f>
        <v>1</v>
      </c>
      <c r="D795">
        <f>Dataset_3!D185</f>
        <v>0</v>
      </c>
      <c r="E795">
        <f>Dataset_3!E185</f>
        <v>2</v>
      </c>
      <c r="F795">
        <f>Dataset_3!F185</f>
        <v>12</v>
      </c>
      <c r="G795" t="b">
        <f>Dataset_3!G185</f>
        <v>0</v>
      </c>
      <c r="H795">
        <f>Dataset_3!H185</f>
        <v>6</v>
      </c>
      <c r="I795">
        <f>Dataset_3!I185</f>
        <v>3</v>
      </c>
      <c r="J795" s="55">
        <f>Dataset_3!J185</f>
        <v>0.22</v>
      </c>
      <c r="K795">
        <f>Dataset_3!K185</f>
        <v>0.2273</v>
      </c>
      <c r="L795">
        <f>Dataset_3!L185</f>
        <v>1</v>
      </c>
      <c r="M795">
        <f>Dataset_3!M185</f>
        <v>0.16420000000000001</v>
      </c>
      <c r="N795">
        <f>Dataset_3!N185</f>
        <v>10</v>
      </c>
      <c r="O795">
        <f>Dataset_3!O185</f>
        <v>42</v>
      </c>
      <c r="P795">
        <f>Dataset_3!P185</f>
        <v>52</v>
      </c>
      <c r="Q795" t="str">
        <f t="shared" si="156"/>
        <v>REC-0794</v>
      </c>
      <c r="R795" s="62">
        <f t="shared" si="157"/>
        <v>40579.5</v>
      </c>
      <c r="S795" t="str">
        <f t="shared" si="158"/>
        <v>Feb</v>
      </c>
      <c r="T795" t="str">
        <f>INDEX(Lookups!$B$39:$B$45,MATCH(H795,Lookups!$A$39:$A$45,0))</f>
        <v>Sat</v>
      </c>
      <c r="U795" t="str">
        <f t="shared" si="159"/>
        <v>Weekend</v>
      </c>
      <c r="V795" t="str">
        <f t="shared" si="160"/>
        <v>Non-Working Day</v>
      </c>
      <c r="W795" t="str">
        <f t="shared" si="161"/>
        <v>Spring</v>
      </c>
      <c r="X795" t="str">
        <f t="shared" si="162"/>
        <v>Light Rain/Snow</v>
      </c>
      <c r="Y795" t="str">
        <f t="shared" si="163"/>
        <v>Afternoon</v>
      </c>
      <c r="Z795" t="str">
        <f t="shared" si="164"/>
        <v>Mild</v>
      </c>
      <c r="AA795" t="str">
        <f t="shared" si="165"/>
        <v>High</v>
      </c>
      <c r="AB795" t="str">
        <f t="shared" si="166"/>
        <v>Off-Peak</v>
      </c>
      <c r="AC795" s="63">
        <f t="shared" si="167"/>
        <v>0.19230769230769232</v>
      </c>
      <c r="AD795" t="str">
        <f>IF(P795&gt;=Stats!$C$30,"High",IF(P795&lt;=Stats!$C$29,"Low","Normal"))</f>
        <v>Normal</v>
      </c>
      <c r="AE795">
        <f t="shared" si="168"/>
        <v>1</v>
      </c>
    </row>
    <row r="796" spans="1:31" x14ac:dyDescent="0.2">
      <c r="A796">
        <f>Dataset_3!A186</f>
        <v>795</v>
      </c>
      <c r="B796" s="61">
        <f>Dataset_3!B186</f>
        <v>40579</v>
      </c>
      <c r="C796">
        <f>Dataset_3!C186</f>
        <v>1</v>
      </c>
      <c r="D796">
        <f>Dataset_3!D186</f>
        <v>0</v>
      </c>
      <c r="E796">
        <f>Dataset_3!E186</f>
        <v>2</v>
      </c>
      <c r="F796">
        <f>Dataset_3!F186</f>
        <v>13</v>
      </c>
      <c r="G796" t="b">
        <f>Dataset_3!G186</f>
        <v>0</v>
      </c>
      <c r="H796">
        <f>Dataset_3!H186</f>
        <v>6</v>
      </c>
      <c r="I796">
        <f>Dataset_3!I186</f>
        <v>3</v>
      </c>
      <c r="J796" s="55">
        <f>Dataset_3!J186</f>
        <v>0.22</v>
      </c>
      <c r="K796">
        <f>Dataset_3!K186</f>
        <v>0.2273</v>
      </c>
      <c r="L796">
        <f>Dataset_3!L186</f>
        <v>1</v>
      </c>
      <c r="M796">
        <f>Dataset_3!M186</f>
        <v>0.16420000000000001</v>
      </c>
      <c r="N796">
        <f>Dataset_3!N186</f>
        <v>10</v>
      </c>
      <c r="O796">
        <f>Dataset_3!O186</f>
        <v>62</v>
      </c>
      <c r="P796">
        <f>Dataset_3!P186</f>
        <v>72</v>
      </c>
      <c r="Q796" t="str">
        <f t="shared" si="156"/>
        <v>REC-0795</v>
      </c>
      <c r="R796" s="62">
        <f t="shared" si="157"/>
        <v>40579.541666666664</v>
      </c>
      <c r="S796" t="str">
        <f t="shared" si="158"/>
        <v>Feb</v>
      </c>
      <c r="T796" t="str">
        <f>INDEX(Lookups!$B$39:$B$45,MATCH(H796,Lookups!$A$39:$A$45,0))</f>
        <v>Sat</v>
      </c>
      <c r="U796" t="str">
        <f t="shared" si="159"/>
        <v>Weekend</v>
      </c>
      <c r="V796" t="str">
        <f t="shared" si="160"/>
        <v>Non-Working Day</v>
      </c>
      <c r="W796" t="str">
        <f t="shared" si="161"/>
        <v>Spring</v>
      </c>
      <c r="X796" t="str">
        <f t="shared" si="162"/>
        <v>Light Rain/Snow</v>
      </c>
      <c r="Y796" t="str">
        <f t="shared" si="163"/>
        <v>Afternoon</v>
      </c>
      <c r="Z796" t="str">
        <f t="shared" si="164"/>
        <v>Mild</v>
      </c>
      <c r="AA796" t="str">
        <f t="shared" si="165"/>
        <v>High</v>
      </c>
      <c r="AB796" t="str">
        <f t="shared" si="166"/>
        <v>Off-Peak</v>
      </c>
      <c r="AC796" s="63">
        <f t="shared" si="167"/>
        <v>0.1388888888888889</v>
      </c>
      <c r="AD796" t="str">
        <f>IF(P796&gt;=Stats!$C$30,"High",IF(P796&lt;=Stats!$C$29,"Low","Normal"))</f>
        <v>Normal</v>
      </c>
      <c r="AE796">
        <f t="shared" si="168"/>
        <v>1</v>
      </c>
    </row>
    <row r="797" spans="1:31" x14ac:dyDescent="0.2">
      <c r="A797">
        <f>Dataset_3!A187</f>
        <v>796</v>
      </c>
      <c r="B797" s="61">
        <f>Dataset_3!B187</f>
        <v>40579</v>
      </c>
      <c r="C797">
        <f>Dataset_3!C187</f>
        <v>1</v>
      </c>
      <c r="D797">
        <f>Dataset_3!D187</f>
        <v>0</v>
      </c>
      <c r="E797">
        <f>Dataset_3!E187</f>
        <v>2</v>
      </c>
      <c r="F797">
        <f>Dataset_3!F187</f>
        <v>14</v>
      </c>
      <c r="G797" t="b">
        <f>Dataset_3!G187</f>
        <v>0</v>
      </c>
      <c r="H797">
        <f>Dataset_3!H187</f>
        <v>6</v>
      </c>
      <c r="I797">
        <f>Dataset_3!I187</f>
        <v>3</v>
      </c>
      <c r="J797" s="55">
        <f>Dataset_3!J187</f>
        <v>0.22</v>
      </c>
      <c r="K797">
        <f>Dataset_3!K187</f>
        <v>0.2727</v>
      </c>
      <c r="L797">
        <f>Dataset_3!L187</f>
        <v>1</v>
      </c>
      <c r="M797">
        <f>Dataset_3!M187</f>
        <v>0</v>
      </c>
      <c r="N797">
        <f>Dataset_3!N187</f>
        <v>5</v>
      </c>
      <c r="O797">
        <f>Dataset_3!O187</f>
        <v>50</v>
      </c>
      <c r="P797">
        <f>Dataset_3!P187</f>
        <v>55</v>
      </c>
      <c r="Q797" t="str">
        <f t="shared" si="156"/>
        <v>REC-0796</v>
      </c>
      <c r="R797" s="62">
        <f t="shared" si="157"/>
        <v>40579.583333333336</v>
      </c>
      <c r="S797" t="str">
        <f t="shared" si="158"/>
        <v>Feb</v>
      </c>
      <c r="T797" t="str">
        <f>INDEX(Lookups!$B$39:$B$45,MATCH(H797,Lookups!$A$39:$A$45,0))</f>
        <v>Sat</v>
      </c>
      <c r="U797" t="str">
        <f t="shared" si="159"/>
        <v>Weekend</v>
      </c>
      <c r="V797" t="str">
        <f t="shared" si="160"/>
        <v>Non-Working Day</v>
      </c>
      <c r="W797" t="str">
        <f t="shared" si="161"/>
        <v>Spring</v>
      </c>
      <c r="X797" t="str">
        <f t="shared" si="162"/>
        <v>Light Rain/Snow</v>
      </c>
      <c r="Y797" t="str">
        <f t="shared" si="163"/>
        <v>Afternoon</v>
      </c>
      <c r="Z797" t="str">
        <f t="shared" si="164"/>
        <v>Mild</v>
      </c>
      <c r="AA797" t="str">
        <f t="shared" si="165"/>
        <v>High</v>
      </c>
      <c r="AB797" t="str">
        <f t="shared" si="166"/>
        <v>Off-Peak</v>
      </c>
      <c r="AC797" s="63">
        <f t="shared" si="167"/>
        <v>9.0909090909090912E-2</v>
      </c>
      <c r="AD797" t="str">
        <f>IF(P797&gt;=Stats!$C$30,"High",IF(P797&lt;=Stats!$C$29,"Low","Normal"))</f>
        <v>Normal</v>
      </c>
      <c r="AE797">
        <f t="shared" si="168"/>
        <v>1</v>
      </c>
    </row>
    <row r="798" spans="1:31" x14ac:dyDescent="0.2">
      <c r="A798">
        <f>Dataset_3!A188</f>
        <v>797</v>
      </c>
      <c r="B798" s="61">
        <f>Dataset_3!B188</f>
        <v>40579</v>
      </c>
      <c r="C798">
        <f>Dataset_3!C188</f>
        <v>1</v>
      </c>
      <c r="D798">
        <f>Dataset_3!D188</f>
        <v>0</v>
      </c>
      <c r="E798">
        <f>Dataset_3!E188</f>
        <v>2</v>
      </c>
      <c r="F798">
        <f>Dataset_3!F188</f>
        <v>15</v>
      </c>
      <c r="G798" t="b">
        <f>Dataset_3!G188</f>
        <v>0</v>
      </c>
      <c r="H798">
        <f>Dataset_3!H188</f>
        <v>6</v>
      </c>
      <c r="I798">
        <f>Dataset_3!I188</f>
        <v>3</v>
      </c>
      <c r="J798" s="55">
        <f>Dataset_3!J188</f>
        <v>0.22</v>
      </c>
      <c r="K798">
        <f>Dataset_3!K188</f>
        <v>0.2727</v>
      </c>
      <c r="L798">
        <f>Dataset_3!L188</f>
        <v>1</v>
      </c>
      <c r="M798">
        <f>Dataset_3!M188</f>
        <v>0</v>
      </c>
      <c r="N798">
        <f>Dataset_3!N188</f>
        <v>11</v>
      </c>
      <c r="O798">
        <f>Dataset_3!O188</f>
        <v>49</v>
      </c>
      <c r="P798">
        <f>Dataset_3!P188</f>
        <v>60</v>
      </c>
      <c r="Q798" t="str">
        <f t="shared" si="156"/>
        <v>REC-0797</v>
      </c>
      <c r="R798" s="62">
        <f t="shared" si="157"/>
        <v>40579.625</v>
      </c>
      <c r="S798" t="str">
        <f t="shared" si="158"/>
        <v>Feb</v>
      </c>
      <c r="T798" t="str">
        <f>INDEX(Lookups!$B$39:$B$45,MATCH(H798,Lookups!$A$39:$A$45,0))</f>
        <v>Sat</v>
      </c>
      <c r="U798" t="str">
        <f t="shared" si="159"/>
        <v>Weekend</v>
      </c>
      <c r="V798" t="str">
        <f t="shared" si="160"/>
        <v>Non-Working Day</v>
      </c>
      <c r="W798" t="str">
        <f t="shared" si="161"/>
        <v>Spring</v>
      </c>
      <c r="X798" t="str">
        <f t="shared" si="162"/>
        <v>Light Rain/Snow</v>
      </c>
      <c r="Y798" t="str">
        <f t="shared" si="163"/>
        <v>Afternoon</v>
      </c>
      <c r="Z798" t="str">
        <f t="shared" si="164"/>
        <v>Mild</v>
      </c>
      <c r="AA798" t="str">
        <f t="shared" si="165"/>
        <v>High</v>
      </c>
      <c r="AB798" t="str">
        <f t="shared" si="166"/>
        <v>Off-Peak</v>
      </c>
      <c r="AC798" s="63">
        <f t="shared" si="167"/>
        <v>0.18333333333333332</v>
      </c>
      <c r="AD798" t="str">
        <f>IF(P798&gt;=Stats!$C$30,"High",IF(P798&lt;=Stats!$C$29,"Low","Normal"))</f>
        <v>Normal</v>
      </c>
      <c r="AE798">
        <f t="shared" si="168"/>
        <v>1</v>
      </c>
    </row>
    <row r="799" spans="1:31" x14ac:dyDescent="0.2">
      <c r="A799">
        <f>Dataset_3!A189</f>
        <v>798</v>
      </c>
      <c r="B799" s="61">
        <f>Dataset_3!B189</f>
        <v>40579</v>
      </c>
      <c r="C799">
        <f>Dataset_3!C189</f>
        <v>1</v>
      </c>
      <c r="D799">
        <f>Dataset_3!D189</f>
        <v>0</v>
      </c>
      <c r="E799">
        <f>Dataset_3!E189</f>
        <v>2</v>
      </c>
      <c r="F799">
        <f>Dataset_3!F189</f>
        <v>16</v>
      </c>
      <c r="G799" t="b">
        <f>Dataset_3!G189</f>
        <v>0</v>
      </c>
      <c r="H799">
        <f>Dataset_3!H189</f>
        <v>6</v>
      </c>
      <c r="I799">
        <f>Dataset_3!I189</f>
        <v>3</v>
      </c>
      <c r="J799" s="55">
        <f>Dataset_3!J189</f>
        <v>0.22</v>
      </c>
      <c r="K799">
        <f>Dataset_3!K189</f>
        <v>0.2273</v>
      </c>
      <c r="L799">
        <f>Dataset_3!L189</f>
        <v>1</v>
      </c>
      <c r="M799">
        <f>Dataset_3!M189</f>
        <v>0.1343</v>
      </c>
      <c r="N799">
        <f>Dataset_3!N189</f>
        <v>8</v>
      </c>
      <c r="O799">
        <f>Dataset_3!O189</f>
        <v>63</v>
      </c>
      <c r="P799">
        <f>Dataset_3!P189</f>
        <v>71</v>
      </c>
      <c r="Q799" t="str">
        <f t="shared" si="156"/>
        <v>REC-0798</v>
      </c>
      <c r="R799" s="62">
        <f t="shared" si="157"/>
        <v>40579.666666666664</v>
      </c>
      <c r="S799" t="str">
        <f t="shared" si="158"/>
        <v>Feb</v>
      </c>
      <c r="T799" t="str">
        <f>INDEX(Lookups!$B$39:$B$45,MATCH(H799,Lookups!$A$39:$A$45,0))</f>
        <v>Sat</v>
      </c>
      <c r="U799" t="str">
        <f t="shared" si="159"/>
        <v>Weekend</v>
      </c>
      <c r="V799" t="str">
        <f t="shared" si="160"/>
        <v>Non-Working Day</v>
      </c>
      <c r="W799" t="str">
        <f t="shared" si="161"/>
        <v>Spring</v>
      </c>
      <c r="X799" t="str">
        <f t="shared" si="162"/>
        <v>Light Rain/Snow</v>
      </c>
      <c r="Y799" t="str">
        <f t="shared" si="163"/>
        <v>Afternoon</v>
      </c>
      <c r="Z799" t="str">
        <f t="shared" si="164"/>
        <v>Mild</v>
      </c>
      <c r="AA799" t="str">
        <f t="shared" si="165"/>
        <v>High</v>
      </c>
      <c r="AB799" t="str">
        <f t="shared" si="166"/>
        <v>Off-Peak</v>
      </c>
      <c r="AC799" s="63">
        <f t="shared" si="167"/>
        <v>0.11267605633802817</v>
      </c>
      <c r="AD799" t="str">
        <f>IF(P799&gt;=Stats!$C$30,"High",IF(P799&lt;=Stats!$C$29,"Low","Normal"))</f>
        <v>Normal</v>
      </c>
      <c r="AE799">
        <f t="shared" si="168"/>
        <v>1</v>
      </c>
    </row>
    <row r="800" spans="1:31" x14ac:dyDescent="0.2">
      <c r="A800">
        <f>Dataset_3!A190</f>
        <v>799</v>
      </c>
      <c r="B800" s="61">
        <f>Dataset_3!B190</f>
        <v>40579</v>
      </c>
      <c r="C800">
        <f>Dataset_3!C190</f>
        <v>1</v>
      </c>
      <c r="D800">
        <f>Dataset_3!D190</f>
        <v>0</v>
      </c>
      <c r="E800">
        <f>Dataset_3!E190</f>
        <v>2</v>
      </c>
      <c r="F800">
        <f>Dataset_3!F190</f>
        <v>17</v>
      </c>
      <c r="G800" t="b">
        <f>Dataset_3!G190</f>
        <v>0</v>
      </c>
      <c r="H800">
        <f>Dataset_3!H190</f>
        <v>6</v>
      </c>
      <c r="I800">
        <f>Dataset_3!I190</f>
        <v>2</v>
      </c>
      <c r="J800" s="55">
        <f>Dataset_3!J190</f>
        <v>0.24</v>
      </c>
      <c r="K800">
        <f>Dataset_3!K190</f>
        <v>0.21210000000000001</v>
      </c>
      <c r="L800">
        <f>Dataset_3!L190</f>
        <v>1</v>
      </c>
      <c r="M800">
        <f>Dataset_3!M190</f>
        <v>0.28360000000000002</v>
      </c>
      <c r="N800">
        <f>Dataset_3!N190</f>
        <v>14</v>
      </c>
      <c r="O800">
        <f>Dataset_3!O190</f>
        <v>64</v>
      </c>
      <c r="P800">
        <f>Dataset_3!P190</f>
        <v>78</v>
      </c>
      <c r="Q800" t="str">
        <f t="shared" si="156"/>
        <v>REC-0799</v>
      </c>
      <c r="R800" s="62">
        <f t="shared" si="157"/>
        <v>40579.708333333336</v>
      </c>
      <c r="S800" t="str">
        <f t="shared" si="158"/>
        <v>Feb</v>
      </c>
      <c r="T800" t="str">
        <f>INDEX(Lookups!$B$39:$B$45,MATCH(H800,Lookups!$A$39:$A$45,0))</f>
        <v>Sat</v>
      </c>
      <c r="U800" t="str">
        <f t="shared" si="159"/>
        <v>Weekend</v>
      </c>
      <c r="V800" t="str">
        <f t="shared" si="160"/>
        <v>Non-Working Day</v>
      </c>
      <c r="W800" t="str">
        <f t="shared" si="161"/>
        <v>Spring</v>
      </c>
      <c r="X800" t="str">
        <f t="shared" si="162"/>
        <v>Cloudy/Mist</v>
      </c>
      <c r="Y800" t="str">
        <f t="shared" si="163"/>
        <v>Evening</v>
      </c>
      <c r="Z800" t="str">
        <f t="shared" si="164"/>
        <v>Mild</v>
      </c>
      <c r="AA800" t="str">
        <f t="shared" si="165"/>
        <v>High</v>
      </c>
      <c r="AB800" t="str">
        <f t="shared" si="166"/>
        <v>Off-Peak</v>
      </c>
      <c r="AC800" s="63">
        <f t="shared" si="167"/>
        <v>0.17948717948717949</v>
      </c>
      <c r="AD800" t="str">
        <f>IF(P800&gt;=Stats!$C$30,"High",IF(P800&lt;=Stats!$C$29,"Low","Normal"))</f>
        <v>Normal</v>
      </c>
      <c r="AE800">
        <f t="shared" si="168"/>
        <v>1</v>
      </c>
    </row>
    <row r="801" spans="1:31" x14ac:dyDescent="0.2">
      <c r="A801">
        <f>Dataset_3!A191</f>
        <v>800</v>
      </c>
      <c r="B801" s="61">
        <f>Dataset_3!B191</f>
        <v>40579</v>
      </c>
      <c r="C801">
        <f>Dataset_3!C191</f>
        <v>1</v>
      </c>
      <c r="D801">
        <f>Dataset_3!D191</f>
        <v>0</v>
      </c>
      <c r="E801">
        <f>Dataset_3!E191</f>
        <v>2</v>
      </c>
      <c r="F801">
        <f>Dataset_3!F191</f>
        <v>18</v>
      </c>
      <c r="G801" t="b">
        <f>Dataset_3!G191</f>
        <v>0</v>
      </c>
      <c r="H801">
        <f>Dataset_3!H191</f>
        <v>6</v>
      </c>
      <c r="I801">
        <f>Dataset_3!I191</f>
        <v>2</v>
      </c>
      <c r="J801" s="55">
        <f>Dataset_3!J191</f>
        <v>0.28000000000000003</v>
      </c>
      <c r="K801">
        <f>Dataset_3!K191</f>
        <v>0.2424</v>
      </c>
      <c r="L801">
        <f>Dataset_3!L191</f>
        <v>0.93</v>
      </c>
      <c r="M801">
        <f>Dataset_3!M191</f>
        <v>0.44779999999999998</v>
      </c>
      <c r="N801">
        <f>Dataset_3!N191</f>
        <v>2</v>
      </c>
      <c r="O801">
        <f>Dataset_3!O191</f>
        <v>81</v>
      </c>
      <c r="P801">
        <f>Dataset_3!P191</f>
        <v>83</v>
      </c>
      <c r="Q801" t="str">
        <f t="shared" si="156"/>
        <v>REC-0800</v>
      </c>
      <c r="R801" s="62">
        <f t="shared" si="157"/>
        <v>40579.75</v>
      </c>
      <c r="S801" t="str">
        <f t="shared" si="158"/>
        <v>Feb</v>
      </c>
      <c r="T801" t="str">
        <f>INDEX(Lookups!$B$39:$B$45,MATCH(H801,Lookups!$A$39:$A$45,0))</f>
        <v>Sat</v>
      </c>
      <c r="U801" t="str">
        <f t="shared" si="159"/>
        <v>Weekend</v>
      </c>
      <c r="V801" t="str">
        <f t="shared" si="160"/>
        <v>Non-Working Day</v>
      </c>
      <c r="W801" t="str">
        <f t="shared" si="161"/>
        <v>Spring</v>
      </c>
      <c r="X801" t="str">
        <f t="shared" si="162"/>
        <v>Cloudy/Mist</v>
      </c>
      <c r="Y801" t="str">
        <f t="shared" si="163"/>
        <v>Evening</v>
      </c>
      <c r="Z801" t="str">
        <f t="shared" si="164"/>
        <v>Mild</v>
      </c>
      <c r="AA801" t="str">
        <f t="shared" si="165"/>
        <v>High</v>
      </c>
      <c r="AB801" t="str">
        <f t="shared" si="166"/>
        <v>Off-Peak</v>
      </c>
      <c r="AC801" s="63">
        <f t="shared" si="167"/>
        <v>2.4096385542168676E-2</v>
      </c>
      <c r="AD801" t="str">
        <f>IF(P801&gt;=Stats!$C$30,"High",IF(P801&lt;=Stats!$C$29,"Low","Normal"))</f>
        <v>High</v>
      </c>
      <c r="AE801">
        <f t="shared" si="168"/>
        <v>1</v>
      </c>
    </row>
    <row r="802" spans="1:31" x14ac:dyDescent="0.2">
      <c r="A802">
        <f>Dataset_3!A192</f>
        <v>801</v>
      </c>
      <c r="B802" s="61">
        <f>Dataset_3!B192</f>
        <v>40579</v>
      </c>
      <c r="C802">
        <f>Dataset_3!C192</f>
        <v>1</v>
      </c>
      <c r="D802">
        <f>Dataset_3!D192</f>
        <v>0</v>
      </c>
      <c r="E802">
        <f>Dataset_3!E192</f>
        <v>2</v>
      </c>
      <c r="F802">
        <f>Dataset_3!F192</f>
        <v>19</v>
      </c>
      <c r="G802" t="b">
        <f>Dataset_3!G192</f>
        <v>0</v>
      </c>
      <c r="H802">
        <f>Dataset_3!H192</f>
        <v>6</v>
      </c>
      <c r="I802">
        <f>Dataset_3!I192</f>
        <v>2</v>
      </c>
      <c r="J802" s="55">
        <f>Dataset_3!J192</f>
        <v>0.28000000000000003</v>
      </c>
      <c r="K802">
        <f>Dataset_3!K192</f>
        <v>0.2424</v>
      </c>
      <c r="L802">
        <f>Dataset_3!L192</f>
        <v>0.93</v>
      </c>
      <c r="M802">
        <f>Dataset_3!M192</f>
        <v>0.44779999999999998</v>
      </c>
      <c r="N802">
        <f>Dataset_3!N192</f>
        <v>6</v>
      </c>
      <c r="O802">
        <f>Dataset_3!O192</f>
        <v>78</v>
      </c>
      <c r="P802">
        <f>Dataset_3!P192</f>
        <v>84</v>
      </c>
      <c r="Q802" t="str">
        <f t="shared" si="156"/>
        <v>REC-0801</v>
      </c>
      <c r="R802" s="62">
        <f t="shared" si="157"/>
        <v>40579.791666666664</v>
      </c>
      <c r="S802" t="str">
        <f t="shared" si="158"/>
        <v>Feb</v>
      </c>
      <c r="T802" t="str">
        <f>INDEX(Lookups!$B$39:$B$45,MATCH(H802,Lookups!$A$39:$A$45,0))</f>
        <v>Sat</v>
      </c>
      <c r="U802" t="str">
        <f t="shared" si="159"/>
        <v>Weekend</v>
      </c>
      <c r="V802" t="str">
        <f t="shared" si="160"/>
        <v>Non-Working Day</v>
      </c>
      <c r="W802" t="str">
        <f t="shared" si="161"/>
        <v>Spring</v>
      </c>
      <c r="X802" t="str">
        <f t="shared" si="162"/>
        <v>Cloudy/Mist</v>
      </c>
      <c r="Y802" t="str">
        <f t="shared" si="163"/>
        <v>Evening</v>
      </c>
      <c r="Z802" t="str">
        <f t="shared" si="164"/>
        <v>Mild</v>
      </c>
      <c r="AA802" t="str">
        <f t="shared" si="165"/>
        <v>High</v>
      </c>
      <c r="AB802" t="str">
        <f t="shared" si="166"/>
        <v>Off-Peak</v>
      </c>
      <c r="AC802" s="63">
        <f t="shared" si="167"/>
        <v>7.1428571428571425E-2</v>
      </c>
      <c r="AD802" t="str">
        <f>IF(P802&gt;=Stats!$C$30,"High",IF(P802&lt;=Stats!$C$29,"Low","Normal"))</f>
        <v>High</v>
      </c>
      <c r="AE802">
        <f t="shared" si="168"/>
        <v>1</v>
      </c>
    </row>
    <row r="803" spans="1:31" x14ac:dyDescent="0.2">
      <c r="A803">
        <f>Dataset_3!A193</f>
        <v>802</v>
      </c>
      <c r="B803" s="61">
        <f>Dataset_3!B193</f>
        <v>40579</v>
      </c>
      <c r="C803">
        <f>Dataset_3!C193</f>
        <v>1</v>
      </c>
      <c r="D803">
        <f>Dataset_3!D193</f>
        <v>0</v>
      </c>
      <c r="E803">
        <f>Dataset_3!E193</f>
        <v>2</v>
      </c>
      <c r="F803">
        <f>Dataset_3!F193</f>
        <v>20</v>
      </c>
      <c r="G803" t="b">
        <f>Dataset_3!G193</f>
        <v>0</v>
      </c>
      <c r="H803">
        <f>Dataset_3!H193</f>
        <v>6</v>
      </c>
      <c r="I803">
        <f>Dataset_3!I193</f>
        <v>1</v>
      </c>
      <c r="J803" s="55">
        <f>Dataset_3!J193</f>
        <v>0.3</v>
      </c>
      <c r="K803">
        <f>Dataset_3!K193</f>
        <v>0.28789999999999999</v>
      </c>
      <c r="L803">
        <f>Dataset_3!L193</f>
        <v>0.87</v>
      </c>
      <c r="M803">
        <f>Dataset_3!M193</f>
        <v>0.25369999999999998</v>
      </c>
      <c r="N803">
        <f>Dataset_3!N193</f>
        <v>5</v>
      </c>
      <c r="O803">
        <f>Dataset_3!O193</f>
        <v>64</v>
      </c>
      <c r="P803">
        <f>Dataset_3!P193</f>
        <v>69</v>
      </c>
      <c r="Q803" t="str">
        <f t="shared" si="156"/>
        <v>REC-0802</v>
      </c>
      <c r="R803" s="62">
        <f t="shared" si="157"/>
        <v>40579.833333333336</v>
      </c>
      <c r="S803" t="str">
        <f t="shared" si="158"/>
        <v>Feb</v>
      </c>
      <c r="T803" t="str">
        <f>INDEX(Lookups!$B$39:$B$45,MATCH(H803,Lookups!$A$39:$A$45,0))</f>
        <v>Sat</v>
      </c>
      <c r="U803" t="str">
        <f t="shared" si="159"/>
        <v>Weekend</v>
      </c>
      <c r="V803" t="str">
        <f t="shared" si="160"/>
        <v>Non-Working Day</v>
      </c>
      <c r="W803" t="str">
        <f t="shared" si="161"/>
        <v>Spring</v>
      </c>
      <c r="X803" t="str">
        <f t="shared" si="162"/>
        <v>Clear</v>
      </c>
      <c r="Y803" t="str">
        <f t="shared" si="163"/>
        <v>Evening</v>
      </c>
      <c r="Z803" t="str">
        <f t="shared" si="164"/>
        <v>Warm</v>
      </c>
      <c r="AA803" t="str">
        <f t="shared" si="165"/>
        <v>High</v>
      </c>
      <c r="AB803" t="str">
        <f t="shared" si="166"/>
        <v>Off-Peak</v>
      </c>
      <c r="AC803" s="63">
        <f t="shared" si="167"/>
        <v>7.2463768115942032E-2</v>
      </c>
      <c r="AD803" t="str">
        <f>IF(P803&gt;=Stats!$C$30,"High",IF(P803&lt;=Stats!$C$29,"Low","Normal"))</f>
        <v>Normal</v>
      </c>
      <c r="AE803">
        <f t="shared" si="168"/>
        <v>1</v>
      </c>
    </row>
    <row r="804" spans="1:31" x14ac:dyDescent="0.2">
      <c r="A804">
        <f>Dataset_3!A194</f>
        <v>803</v>
      </c>
      <c r="B804" s="61">
        <f>Dataset_3!B194</f>
        <v>40579</v>
      </c>
      <c r="C804">
        <f>Dataset_3!C194</f>
        <v>1</v>
      </c>
      <c r="D804">
        <f>Dataset_3!D194</f>
        <v>0</v>
      </c>
      <c r="E804">
        <f>Dataset_3!E194</f>
        <v>2</v>
      </c>
      <c r="F804">
        <f>Dataset_3!F194</f>
        <v>21</v>
      </c>
      <c r="G804" t="b">
        <f>Dataset_3!G194</f>
        <v>0</v>
      </c>
      <c r="H804">
        <f>Dataset_3!H194</f>
        <v>6</v>
      </c>
      <c r="I804">
        <f>Dataset_3!I194</f>
        <v>1</v>
      </c>
      <c r="J804" s="55">
        <f>Dataset_3!J194</f>
        <v>0.26</v>
      </c>
      <c r="K804">
        <f>Dataset_3!K194</f>
        <v>0.2576</v>
      </c>
      <c r="L804">
        <f>Dataset_3!L194</f>
        <v>1</v>
      </c>
      <c r="M804">
        <f>Dataset_3!M194</f>
        <v>0.19400000000000001</v>
      </c>
      <c r="N804">
        <f>Dataset_3!N194</f>
        <v>3</v>
      </c>
      <c r="O804">
        <f>Dataset_3!O194</f>
        <v>53</v>
      </c>
      <c r="P804">
        <f>Dataset_3!P194</f>
        <v>56</v>
      </c>
      <c r="Q804" t="str">
        <f t="shared" si="156"/>
        <v>REC-0803</v>
      </c>
      <c r="R804" s="62">
        <f t="shared" si="157"/>
        <v>40579.875</v>
      </c>
      <c r="S804" t="str">
        <f t="shared" si="158"/>
        <v>Feb</v>
      </c>
      <c r="T804" t="str">
        <f>INDEX(Lookups!$B$39:$B$45,MATCH(H804,Lookups!$A$39:$A$45,0))</f>
        <v>Sat</v>
      </c>
      <c r="U804" t="str">
        <f t="shared" si="159"/>
        <v>Weekend</v>
      </c>
      <c r="V804" t="str">
        <f t="shared" si="160"/>
        <v>Non-Working Day</v>
      </c>
      <c r="W804" t="str">
        <f t="shared" si="161"/>
        <v>Spring</v>
      </c>
      <c r="X804" t="str">
        <f t="shared" si="162"/>
        <v>Clear</v>
      </c>
      <c r="Y804" t="str">
        <f t="shared" si="163"/>
        <v>Late Evening</v>
      </c>
      <c r="Z804" t="str">
        <f t="shared" si="164"/>
        <v>Mild</v>
      </c>
      <c r="AA804" t="str">
        <f t="shared" si="165"/>
        <v>High</v>
      </c>
      <c r="AB804" t="str">
        <f t="shared" si="166"/>
        <v>Off-Peak</v>
      </c>
      <c r="AC804" s="63">
        <f t="shared" si="167"/>
        <v>5.3571428571428568E-2</v>
      </c>
      <c r="AD804" t="str">
        <f>IF(P804&gt;=Stats!$C$30,"High",IF(P804&lt;=Stats!$C$29,"Low","Normal"))</f>
        <v>Normal</v>
      </c>
      <c r="AE804">
        <f t="shared" si="168"/>
        <v>1</v>
      </c>
    </row>
    <row r="805" spans="1:31" x14ac:dyDescent="0.2">
      <c r="A805">
        <f>Dataset_3!A195</f>
        <v>804</v>
      </c>
      <c r="B805" s="61">
        <f>Dataset_3!B195</f>
        <v>40579</v>
      </c>
      <c r="C805">
        <f>Dataset_3!C195</f>
        <v>1</v>
      </c>
      <c r="D805">
        <f>Dataset_3!D195</f>
        <v>0</v>
      </c>
      <c r="E805">
        <f>Dataset_3!E195</f>
        <v>2</v>
      </c>
      <c r="F805">
        <f>Dataset_3!F195</f>
        <v>22</v>
      </c>
      <c r="G805" t="b">
        <f>Dataset_3!G195</f>
        <v>0</v>
      </c>
      <c r="H805">
        <f>Dataset_3!H195</f>
        <v>6</v>
      </c>
      <c r="I805">
        <f>Dataset_3!I195</f>
        <v>1</v>
      </c>
      <c r="J805" s="55">
        <f>Dataset_3!J195</f>
        <v>0.26</v>
      </c>
      <c r="K805">
        <f>Dataset_3!K195</f>
        <v>0.2727</v>
      </c>
      <c r="L805">
        <f>Dataset_3!L195</f>
        <v>0.93</v>
      </c>
      <c r="M805">
        <f>Dataset_3!M195</f>
        <v>0.1343</v>
      </c>
      <c r="N805">
        <f>Dataset_3!N195</f>
        <v>2</v>
      </c>
      <c r="O805">
        <f>Dataset_3!O195</f>
        <v>43</v>
      </c>
      <c r="P805">
        <f>Dataset_3!P195</f>
        <v>45</v>
      </c>
      <c r="Q805" t="str">
        <f t="shared" si="156"/>
        <v>REC-0804</v>
      </c>
      <c r="R805" s="62">
        <f t="shared" si="157"/>
        <v>40579.916666666664</v>
      </c>
      <c r="S805" t="str">
        <f t="shared" si="158"/>
        <v>Feb</v>
      </c>
      <c r="T805" t="str">
        <f>INDEX(Lookups!$B$39:$B$45,MATCH(H805,Lookups!$A$39:$A$45,0))</f>
        <v>Sat</v>
      </c>
      <c r="U805" t="str">
        <f t="shared" si="159"/>
        <v>Weekend</v>
      </c>
      <c r="V805" t="str">
        <f t="shared" si="160"/>
        <v>Non-Working Day</v>
      </c>
      <c r="W805" t="str">
        <f t="shared" si="161"/>
        <v>Spring</v>
      </c>
      <c r="X805" t="str">
        <f t="shared" si="162"/>
        <v>Clear</v>
      </c>
      <c r="Y805" t="str">
        <f t="shared" si="163"/>
        <v>Late Evening</v>
      </c>
      <c r="Z805" t="str">
        <f t="shared" si="164"/>
        <v>Mild</v>
      </c>
      <c r="AA805" t="str">
        <f t="shared" si="165"/>
        <v>High</v>
      </c>
      <c r="AB805" t="str">
        <f t="shared" si="166"/>
        <v>Off-Peak</v>
      </c>
      <c r="AC805" s="63">
        <f t="shared" si="167"/>
        <v>4.4444444444444446E-2</v>
      </c>
      <c r="AD805" t="str">
        <f>IF(P805&gt;=Stats!$C$30,"High",IF(P805&lt;=Stats!$C$29,"Low","Normal"))</f>
        <v>Normal</v>
      </c>
      <c r="AE805">
        <f t="shared" si="168"/>
        <v>1</v>
      </c>
    </row>
    <row r="806" spans="1:31" x14ac:dyDescent="0.2">
      <c r="A806">
        <f>Dataset_3!A196</f>
        <v>805</v>
      </c>
      <c r="B806" s="61">
        <f>Dataset_3!B196</f>
        <v>40579</v>
      </c>
      <c r="C806">
        <f>Dataset_3!C196</f>
        <v>1</v>
      </c>
      <c r="D806">
        <f>Dataset_3!D196</f>
        <v>0</v>
      </c>
      <c r="E806">
        <f>Dataset_3!E196</f>
        <v>2</v>
      </c>
      <c r="F806">
        <f>Dataset_3!F196</f>
        <v>23</v>
      </c>
      <c r="G806" t="b">
        <f>Dataset_3!G196</f>
        <v>0</v>
      </c>
      <c r="H806">
        <f>Dataset_3!H196</f>
        <v>6</v>
      </c>
      <c r="I806">
        <f>Dataset_3!I196</f>
        <v>1</v>
      </c>
      <c r="J806" s="55">
        <f>Dataset_3!J196</f>
        <v>0.26</v>
      </c>
      <c r="K806">
        <f>Dataset_3!K196</f>
        <v>0.2576</v>
      </c>
      <c r="L806">
        <f>Dataset_3!L196</f>
        <v>0.93</v>
      </c>
      <c r="M806">
        <f>Dataset_3!M196</f>
        <v>0.22389999999999999</v>
      </c>
      <c r="N806">
        <f>Dataset_3!N196</f>
        <v>7</v>
      </c>
      <c r="O806">
        <f>Dataset_3!O196</f>
        <v>52</v>
      </c>
      <c r="P806">
        <f>Dataset_3!P196</f>
        <v>59</v>
      </c>
      <c r="Q806" t="str">
        <f t="shared" si="156"/>
        <v>REC-0805</v>
      </c>
      <c r="R806" s="62">
        <f t="shared" si="157"/>
        <v>40579.958333333336</v>
      </c>
      <c r="S806" t="str">
        <f t="shared" si="158"/>
        <v>Feb</v>
      </c>
      <c r="T806" t="str">
        <f>INDEX(Lookups!$B$39:$B$45,MATCH(H806,Lookups!$A$39:$A$45,0))</f>
        <v>Sat</v>
      </c>
      <c r="U806" t="str">
        <f t="shared" si="159"/>
        <v>Weekend</v>
      </c>
      <c r="V806" t="str">
        <f t="shared" si="160"/>
        <v>Non-Working Day</v>
      </c>
      <c r="W806" t="str">
        <f t="shared" si="161"/>
        <v>Spring</v>
      </c>
      <c r="X806" t="str">
        <f t="shared" si="162"/>
        <v>Clear</v>
      </c>
      <c r="Y806" t="str">
        <f t="shared" si="163"/>
        <v>Late Evening</v>
      </c>
      <c r="Z806" t="str">
        <f t="shared" si="164"/>
        <v>Mild</v>
      </c>
      <c r="AA806" t="str">
        <f t="shared" si="165"/>
        <v>High</v>
      </c>
      <c r="AB806" t="str">
        <f t="shared" si="166"/>
        <v>Off-Peak</v>
      </c>
      <c r="AC806" s="63">
        <f t="shared" si="167"/>
        <v>0.11864406779661017</v>
      </c>
      <c r="AD806" t="str">
        <f>IF(P806&gt;=Stats!$C$30,"High",IF(P806&lt;=Stats!$C$29,"Low","Normal"))</f>
        <v>Normal</v>
      </c>
      <c r="AE806">
        <f t="shared" si="168"/>
        <v>1</v>
      </c>
    </row>
    <row r="807" spans="1:31" x14ac:dyDescent="0.2">
      <c r="A807">
        <f>Dataset_3!A197</f>
        <v>806</v>
      </c>
      <c r="B807" s="61">
        <f>Dataset_3!B197</f>
        <v>40580</v>
      </c>
      <c r="C807">
        <f>Dataset_3!C197</f>
        <v>1</v>
      </c>
      <c r="D807">
        <f>Dataset_3!D197</f>
        <v>0</v>
      </c>
      <c r="E807">
        <f>Dataset_3!E197</f>
        <v>2</v>
      </c>
      <c r="F807">
        <f>Dataset_3!F197</f>
        <v>0</v>
      </c>
      <c r="G807" t="b">
        <f>Dataset_3!G197</f>
        <v>0</v>
      </c>
      <c r="H807">
        <f>Dataset_3!H197</f>
        <v>0</v>
      </c>
      <c r="I807">
        <f>Dataset_3!I197</f>
        <v>1</v>
      </c>
      <c r="J807" s="55">
        <f>Dataset_3!J197</f>
        <v>0.26</v>
      </c>
      <c r="K807">
        <f>Dataset_3!K197</f>
        <v>0.2576</v>
      </c>
      <c r="L807">
        <f>Dataset_3!L197</f>
        <v>0.7</v>
      </c>
      <c r="M807">
        <f>Dataset_3!M197</f>
        <v>0.19400000000000001</v>
      </c>
      <c r="N807">
        <f>Dataset_3!N197</f>
        <v>2</v>
      </c>
      <c r="O807">
        <f>Dataset_3!O197</f>
        <v>37</v>
      </c>
      <c r="P807">
        <f>Dataset_3!P197</f>
        <v>39</v>
      </c>
      <c r="Q807" t="str">
        <f t="shared" si="156"/>
        <v>REC-0806</v>
      </c>
      <c r="R807" s="62">
        <f t="shared" si="157"/>
        <v>40580</v>
      </c>
      <c r="S807" t="str">
        <f t="shared" si="158"/>
        <v>Feb</v>
      </c>
      <c r="T807" t="str">
        <f>INDEX(Lookups!$B$39:$B$45,MATCH(H807,Lookups!$A$39:$A$45,0))</f>
        <v>Sun</v>
      </c>
      <c r="U807" t="str">
        <f t="shared" si="159"/>
        <v>Weekend</v>
      </c>
      <c r="V807" t="str">
        <f t="shared" si="160"/>
        <v>Non-Working Day</v>
      </c>
      <c r="W807" t="str">
        <f t="shared" si="161"/>
        <v>Spring</v>
      </c>
      <c r="X807" t="str">
        <f t="shared" si="162"/>
        <v>Clear</v>
      </c>
      <c r="Y807" t="str">
        <f t="shared" si="163"/>
        <v>Night</v>
      </c>
      <c r="Z807" t="str">
        <f t="shared" si="164"/>
        <v>Mild</v>
      </c>
      <c r="AA807" t="str">
        <f t="shared" si="165"/>
        <v>Medium</v>
      </c>
      <c r="AB807" t="str">
        <f t="shared" si="166"/>
        <v>Off-Peak</v>
      </c>
      <c r="AC807" s="63">
        <f t="shared" si="167"/>
        <v>5.128205128205128E-2</v>
      </c>
      <c r="AD807" t="str">
        <f>IF(P807&gt;=Stats!$C$30,"High",IF(P807&lt;=Stats!$C$29,"Low","Normal"))</f>
        <v>Normal</v>
      </c>
      <c r="AE807">
        <f t="shared" si="168"/>
        <v>1</v>
      </c>
    </row>
    <row r="808" spans="1:31" x14ac:dyDescent="0.2">
      <c r="A808">
        <f>Dataset_3!A198</f>
        <v>807</v>
      </c>
      <c r="B808" s="61">
        <f>Dataset_3!B198</f>
        <v>40580</v>
      </c>
      <c r="C808">
        <f>Dataset_3!C198</f>
        <v>1</v>
      </c>
      <c r="D808">
        <f>Dataset_3!D198</f>
        <v>0</v>
      </c>
      <c r="E808">
        <f>Dataset_3!E198</f>
        <v>2</v>
      </c>
      <c r="F808">
        <f>Dataset_3!F198</f>
        <v>1</v>
      </c>
      <c r="G808" t="b">
        <f>Dataset_3!G198</f>
        <v>0</v>
      </c>
      <c r="H808">
        <f>Dataset_3!H198</f>
        <v>0</v>
      </c>
      <c r="I808">
        <f>Dataset_3!I198</f>
        <v>1</v>
      </c>
      <c r="J808" s="55">
        <f>Dataset_3!J198</f>
        <v>0.26</v>
      </c>
      <c r="K808">
        <f>Dataset_3!K198</f>
        <v>0.2273</v>
      </c>
      <c r="L808">
        <f>Dataset_3!L198</f>
        <v>0.65</v>
      </c>
      <c r="M808">
        <f>Dataset_3!M198</f>
        <v>0.41789999999999999</v>
      </c>
      <c r="N808">
        <f>Dataset_3!N198</f>
        <v>4</v>
      </c>
      <c r="O808">
        <f>Dataset_3!O198</f>
        <v>40</v>
      </c>
      <c r="P808">
        <f>Dataset_3!P198</f>
        <v>44</v>
      </c>
      <c r="Q808" t="str">
        <f t="shared" si="156"/>
        <v>REC-0807</v>
      </c>
      <c r="R808" s="62">
        <f t="shared" si="157"/>
        <v>40580.041666666664</v>
      </c>
      <c r="S808" t="str">
        <f t="shared" si="158"/>
        <v>Feb</v>
      </c>
      <c r="T808" t="str">
        <f>INDEX(Lookups!$B$39:$B$45,MATCH(H808,Lookups!$A$39:$A$45,0))</f>
        <v>Sun</v>
      </c>
      <c r="U808" t="str">
        <f t="shared" si="159"/>
        <v>Weekend</v>
      </c>
      <c r="V808" t="str">
        <f t="shared" si="160"/>
        <v>Non-Working Day</v>
      </c>
      <c r="W808" t="str">
        <f t="shared" si="161"/>
        <v>Spring</v>
      </c>
      <c r="X808" t="str">
        <f t="shared" si="162"/>
        <v>Clear</v>
      </c>
      <c r="Y808" t="str">
        <f t="shared" si="163"/>
        <v>Night</v>
      </c>
      <c r="Z808" t="str">
        <f t="shared" si="164"/>
        <v>Mild</v>
      </c>
      <c r="AA808" t="str">
        <f t="shared" si="165"/>
        <v>Medium</v>
      </c>
      <c r="AB808" t="str">
        <f t="shared" si="166"/>
        <v>Off-Peak</v>
      </c>
      <c r="AC808" s="63">
        <f t="shared" si="167"/>
        <v>9.0909090909090912E-2</v>
      </c>
      <c r="AD808" t="str">
        <f>IF(P808&gt;=Stats!$C$30,"High",IF(P808&lt;=Stats!$C$29,"Low","Normal"))</f>
        <v>Normal</v>
      </c>
      <c r="AE808">
        <f t="shared" si="168"/>
        <v>1</v>
      </c>
    </row>
    <row r="809" spans="1:31" x14ac:dyDescent="0.2">
      <c r="A809">
        <f>Dataset_3!A199</f>
        <v>808</v>
      </c>
      <c r="B809" s="61">
        <f>Dataset_3!B199</f>
        <v>40580</v>
      </c>
      <c r="C809">
        <f>Dataset_3!C199</f>
        <v>1</v>
      </c>
      <c r="D809">
        <f>Dataset_3!D199</f>
        <v>0</v>
      </c>
      <c r="E809">
        <f>Dataset_3!E199</f>
        <v>2</v>
      </c>
      <c r="F809">
        <f>Dataset_3!F199</f>
        <v>2</v>
      </c>
      <c r="G809" t="b">
        <f>Dataset_3!G199</f>
        <v>0</v>
      </c>
      <c r="H809">
        <f>Dataset_3!H199</f>
        <v>0</v>
      </c>
      <c r="I809">
        <f>Dataset_3!I199</f>
        <v>1</v>
      </c>
      <c r="J809" s="55">
        <f>Dataset_3!J199</f>
        <v>0.26</v>
      </c>
      <c r="K809">
        <f>Dataset_3!K199</f>
        <v>0.2273</v>
      </c>
      <c r="L809">
        <f>Dataset_3!L199</f>
        <v>0.6</v>
      </c>
      <c r="M809">
        <f>Dataset_3!M199</f>
        <v>0.32840000000000003</v>
      </c>
      <c r="N809">
        <f>Dataset_3!N199</f>
        <v>0</v>
      </c>
      <c r="O809">
        <f>Dataset_3!O199</f>
        <v>20</v>
      </c>
      <c r="P809">
        <f>Dataset_3!P199</f>
        <v>20</v>
      </c>
      <c r="Q809" t="str">
        <f t="shared" si="156"/>
        <v>REC-0808</v>
      </c>
      <c r="R809" s="62">
        <f t="shared" si="157"/>
        <v>40580.083333333336</v>
      </c>
      <c r="S809" t="str">
        <f t="shared" si="158"/>
        <v>Feb</v>
      </c>
      <c r="T809" t="str">
        <f>INDEX(Lookups!$B$39:$B$45,MATCH(H809,Lookups!$A$39:$A$45,0))</f>
        <v>Sun</v>
      </c>
      <c r="U809" t="str">
        <f t="shared" si="159"/>
        <v>Weekend</v>
      </c>
      <c r="V809" t="str">
        <f t="shared" si="160"/>
        <v>Non-Working Day</v>
      </c>
      <c r="W809" t="str">
        <f t="shared" si="161"/>
        <v>Spring</v>
      </c>
      <c r="X809" t="str">
        <f t="shared" si="162"/>
        <v>Clear</v>
      </c>
      <c r="Y809" t="str">
        <f t="shared" si="163"/>
        <v>Night</v>
      </c>
      <c r="Z809" t="str">
        <f t="shared" si="164"/>
        <v>Mild</v>
      </c>
      <c r="AA809" t="str">
        <f t="shared" si="165"/>
        <v>Medium</v>
      </c>
      <c r="AB809" t="str">
        <f t="shared" si="166"/>
        <v>Off-Peak</v>
      </c>
      <c r="AC809" s="63">
        <f t="shared" si="167"/>
        <v>0</v>
      </c>
      <c r="AD809" t="str">
        <f>IF(P809&gt;=Stats!$C$30,"High",IF(P809&lt;=Stats!$C$29,"Low","Normal"))</f>
        <v>Normal</v>
      </c>
      <c r="AE809">
        <f t="shared" si="168"/>
        <v>1</v>
      </c>
    </row>
    <row r="810" spans="1:31" x14ac:dyDescent="0.2">
      <c r="A810">
        <f>Dataset_3!A200</f>
        <v>809</v>
      </c>
      <c r="B810" s="61">
        <f>Dataset_3!B200</f>
        <v>40580</v>
      </c>
      <c r="C810">
        <f>Dataset_3!C200</f>
        <v>1</v>
      </c>
      <c r="D810">
        <f>Dataset_3!D200</f>
        <v>0</v>
      </c>
      <c r="E810">
        <f>Dataset_3!E200</f>
        <v>2</v>
      </c>
      <c r="F810">
        <f>Dataset_3!F200</f>
        <v>3</v>
      </c>
      <c r="G810" t="b">
        <f>Dataset_3!G200</f>
        <v>0</v>
      </c>
      <c r="H810">
        <f>Dataset_3!H200</f>
        <v>0</v>
      </c>
      <c r="I810">
        <f>Dataset_3!I200</f>
        <v>1</v>
      </c>
      <c r="J810" s="55">
        <f>Dataset_3!J200</f>
        <v>0.26</v>
      </c>
      <c r="K810">
        <f>Dataset_3!K200</f>
        <v>0.28789999999999999</v>
      </c>
      <c r="L810">
        <f>Dataset_3!L200</f>
        <v>0.6</v>
      </c>
      <c r="M810">
        <f>Dataset_3!M200</f>
        <v>8.9599999999999999E-2</v>
      </c>
      <c r="N810">
        <f>Dataset_3!N200</f>
        <v>3</v>
      </c>
      <c r="O810">
        <f>Dataset_3!O200</f>
        <v>10</v>
      </c>
      <c r="P810">
        <f>Dataset_3!P200</f>
        <v>13</v>
      </c>
      <c r="Q810" t="str">
        <f t="shared" si="156"/>
        <v>REC-0809</v>
      </c>
      <c r="R810" s="62">
        <f t="shared" si="157"/>
        <v>40580.125</v>
      </c>
      <c r="S810" t="str">
        <f t="shared" si="158"/>
        <v>Feb</v>
      </c>
      <c r="T810" t="str">
        <f>INDEX(Lookups!$B$39:$B$45,MATCH(H810,Lookups!$A$39:$A$45,0))</f>
        <v>Sun</v>
      </c>
      <c r="U810" t="str">
        <f t="shared" si="159"/>
        <v>Weekend</v>
      </c>
      <c r="V810" t="str">
        <f t="shared" si="160"/>
        <v>Non-Working Day</v>
      </c>
      <c r="W810" t="str">
        <f t="shared" si="161"/>
        <v>Spring</v>
      </c>
      <c r="X810" t="str">
        <f t="shared" si="162"/>
        <v>Clear</v>
      </c>
      <c r="Y810" t="str">
        <f t="shared" si="163"/>
        <v>Night</v>
      </c>
      <c r="Z810" t="str">
        <f t="shared" si="164"/>
        <v>Mild</v>
      </c>
      <c r="AA810" t="str">
        <f t="shared" si="165"/>
        <v>Medium</v>
      </c>
      <c r="AB810" t="str">
        <f t="shared" si="166"/>
        <v>Off-Peak</v>
      </c>
      <c r="AC810" s="63">
        <f t="shared" si="167"/>
        <v>0.23076923076923078</v>
      </c>
      <c r="AD810" t="str">
        <f>IF(P810&gt;=Stats!$C$30,"High",IF(P810&lt;=Stats!$C$29,"Low","Normal"))</f>
        <v>Low</v>
      </c>
      <c r="AE810">
        <f t="shared" si="168"/>
        <v>1</v>
      </c>
    </row>
    <row r="811" spans="1:31" x14ac:dyDescent="0.2">
      <c r="A811">
        <f>Dataset_3!A201</f>
        <v>810</v>
      </c>
      <c r="B811" s="61">
        <f>Dataset_3!B201</f>
        <v>40580</v>
      </c>
      <c r="C811">
        <f>Dataset_3!C201</f>
        <v>1</v>
      </c>
      <c r="D811">
        <f>Dataset_3!D201</f>
        <v>0</v>
      </c>
      <c r="E811">
        <f>Dataset_3!E201</f>
        <v>2</v>
      </c>
      <c r="F811">
        <f>Dataset_3!F201</f>
        <v>4</v>
      </c>
      <c r="G811" t="b">
        <f>Dataset_3!G201</f>
        <v>0</v>
      </c>
      <c r="H811">
        <f>Dataset_3!H201</f>
        <v>0</v>
      </c>
      <c r="I811">
        <f>Dataset_3!I201</f>
        <v>1</v>
      </c>
      <c r="J811" s="55">
        <f>Dataset_3!J201</f>
        <v>0.26</v>
      </c>
      <c r="K811">
        <f>Dataset_3!K201</f>
        <v>0.2273</v>
      </c>
      <c r="L811">
        <f>Dataset_3!L201</f>
        <v>0.6</v>
      </c>
      <c r="M811">
        <f>Dataset_3!M201</f>
        <v>0.35820000000000002</v>
      </c>
      <c r="N811">
        <f>Dataset_3!N201</f>
        <v>0</v>
      </c>
      <c r="O811">
        <f>Dataset_3!O201</f>
        <v>2</v>
      </c>
      <c r="P811">
        <f>Dataset_3!P201</f>
        <v>2</v>
      </c>
      <c r="Q811" t="str">
        <f t="shared" si="156"/>
        <v>REC-0810</v>
      </c>
      <c r="R811" s="62">
        <f t="shared" si="157"/>
        <v>40580.166666666664</v>
      </c>
      <c r="S811" t="str">
        <f t="shared" si="158"/>
        <v>Feb</v>
      </c>
      <c r="T811" t="str">
        <f>INDEX(Lookups!$B$39:$B$45,MATCH(H811,Lookups!$A$39:$A$45,0))</f>
        <v>Sun</v>
      </c>
      <c r="U811" t="str">
        <f t="shared" si="159"/>
        <v>Weekend</v>
      </c>
      <c r="V811" t="str">
        <f t="shared" si="160"/>
        <v>Non-Working Day</v>
      </c>
      <c r="W811" t="str">
        <f t="shared" si="161"/>
        <v>Spring</v>
      </c>
      <c r="X811" t="str">
        <f t="shared" si="162"/>
        <v>Clear</v>
      </c>
      <c r="Y811" t="str">
        <f t="shared" si="163"/>
        <v>Night</v>
      </c>
      <c r="Z811" t="str">
        <f t="shared" si="164"/>
        <v>Mild</v>
      </c>
      <c r="AA811" t="str">
        <f t="shared" si="165"/>
        <v>Medium</v>
      </c>
      <c r="AB811" t="str">
        <f t="shared" si="166"/>
        <v>Off-Peak</v>
      </c>
      <c r="AC811" s="63">
        <f t="shared" si="167"/>
        <v>0</v>
      </c>
      <c r="AD811" t="str">
        <f>IF(P811&gt;=Stats!$C$30,"High",IF(P811&lt;=Stats!$C$29,"Low","Normal"))</f>
        <v>Low</v>
      </c>
      <c r="AE811">
        <f t="shared" si="168"/>
        <v>1</v>
      </c>
    </row>
    <row r="812" spans="1:31" x14ac:dyDescent="0.2">
      <c r="A812">
        <f>Dataset_3!A202</f>
        <v>811</v>
      </c>
      <c r="B812" s="61">
        <f>Dataset_3!B202</f>
        <v>40580</v>
      </c>
      <c r="C812">
        <f>Dataset_3!C202</f>
        <v>1</v>
      </c>
      <c r="D812">
        <f>Dataset_3!D202</f>
        <v>0</v>
      </c>
      <c r="E812">
        <f>Dataset_3!E202</f>
        <v>2</v>
      </c>
      <c r="F812">
        <f>Dataset_3!F202</f>
        <v>5</v>
      </c>
      <c r="G812" t="b">
        <f>Dataset_3!G202</f>
        <v>0</v>
      </c>
      <c r="H812">
        <f>Dataset_3!H202</f>
        <v>0</v>
      </c>
      <c r="I812">
        <f>Dataset_3!I202</f>
        <v>1</v>
      </c>
      <c r="J812" s="55">
        <f>Dataset_3!J202</f>
        <v>0.26</v>
      </c>
      <c r="K812">
        <f>Dataset_3!K202</f>
        <v>0.2576</v>
      </c>
      <c r="L812">
        <f>Dataset_3!L202</f>
        <v>0.6</v>
      </c>
      <c r="M812">
        <f>Dataset_3!M202</f>
        <v>0.22389999999999999</v>
      </c>
      <c r="N812">
        <f>Dataset_3!N202</f>
        <v>0</v>
      </c>
      <c r="O812">
        <f>Dataset_3!O202</f>
        <v>1</v>
      </c>
      <c r="P812">
        <f>Dataset_3!P202</f>
        <v>1</v>
      </c>
      <c r="Q812" t="str">
        <f t="shared" si="156"/>
        <v>REC-0811</v>
      </c>
      <c r="R812" s="62">
        <f t="shared" si="157"/>
        <v>40580.208333333336</v>
      </c>
      <c r="S812" t="str">
        <f t="shared" si="158"/>
        <v>Feb</v>
      </c>
      <c r="T812" t="str">
        <f>INDEX(Lookups!$B$39:$B$45,MATCH(H812,Lookups!$A$39:$A$45,0))</f>
        <v>Sun</v>
      </c>
      <c r="U812" t="str">
        <f t="shared" si="159"/>
        <v>Weekend</v>
      </c>
      <c r="V812" t="str">
        <f t="shared" si="160"/>
        <v>Non-Working Day</v>
      </c>
      <c r="W812" t="str">
        <f t="shared" si="161"/>
        <v>Spring</v>
      </c>
      <c r="X812" t="str">
        <f t="shared" si="162"/>
        <v>Clear</v>
      </c>
      <c r="Y812" t="str">
        <f t="shared" si="163"/>
        <v>Night</v>
      </c>
      <c r="Z812" t="str">
        <f t="shared" si="164"/>
        <v>Mild</v>
      </c>
      <c r="AA812" t="str">
        <f t="shared" si="165"/>
        <v>Medium</v>
      </c>
      <c r="AB812" t="str">
        <f t="shared" si="166"/>
        <v>Off-Peak</v>
      </c>
      <c r="AC812" s="63">
        <f t="shared" si="167"/>
        <v>0</v>
      </c>
      <c r="AD812" t="str">
        <f>IF(P812&gt;=Stats!$C$30,"High",IF(P812&lt;=Stats!$C$29,"Low","Normal"))</f>
        <v>Low</v>
      </c>
      <c r="AE812">
        <f t="shared" si="168"/>
        <v>1</v>
      </c>
    </row>
    <row r="813" spans="1:31" x14ac:dyDescent="0.2">
      <c r="A813">
        <f>Dataset_3!A203</f>
        <v>812</v>
      </c>
      <c r="B813" s="61">
        <f>Dataset_3!B203</f>
        <v>40580</v>
      </c>
      <c r="C813">
        <f>Dataset_3!C203</f>
        <v>1</v>
      </c>
      <c r="D813">
        <f>Dataset_3!D203</f>
        <v>0</v>
      </c>
      <c r="E813">
        <f>Dataset_3!E203</f>
        <v>2</v>
      </c>
      <c r="F813">
        <f>Dataset_3!F203</f>
        <v>6</v>
      </c>
      <c r="G813" t="b">
        <f>Dataset_3!G203</f>
        <v>0</v>
      </c>
      <c r="H813">
        <f>Dataset_3!H203</f>
        <v>0</v>
      </c>
      <c r="I813">
        <f>Dataset_3!I203</f>
        <v>1</v>
      </c>
      <c r="J813" s="55">
        <f>Dataset_3!J203</f>
        <v>0.26</v>
      </c>
      <c r="K813">
        <f>Dataset_3!K203</f>
        <v>0.2576</v>
      </c>
      <c r="L813">
        <f>Dataset_3!L203</f>
        <v>0.6</v>
      </c>
      <c r="M813">
        <f>Dataset_3!M203</f>
        <v>0.22389999999999999</v>
      </c>
      <c r="N813">
        <f>Dataset_3!N203</f>
        <v>0</v>
      </c>
      <c r="O813">
        <f>Dataset_3!O203</f>
        <v>1</v>
      </c>
      <c r="P813">
        <f>Dataset_3!P203</f>
        <v>1</v>
      </c>
      <c r="Q813" t="str">
        <f t="shared" si="156"/>
        <v>REC-0812</v>
      </c>
      <c r="R813" s="62">
        <f t="shared" si="157"/>
        <v>40580.25</v>
      </c>
      <c r="S813" t="str">
        <f t="shared" si="158"/>
        <v>Feb</v>
      </c>
      <c r="T813" t="str">
        <f>INDEX(Lookups!$B$39:$B$45,MATCH(H813,Lookups!$A$39:$A$45,0))</f>
        <v>Sun</v>
      </c>
      <c r="U813" t="str">
        <f t="shared" si="159"/>
        <v>Weekend</v>
      </c>
      <c r="V813" t="str">
        <f t="shared" si="160"/>
        <v>Non-Working Day</v>
      </c>
      <c r="W813" t="str">
        <f t="shared" si="161"/>
        <v>Spring</v>
      </c>
      <c r="X813" t="str">
        <f t="shared" si="162"/>
        <v>Clear</v>
      </c>
      <c r="Y813" t="str">
        <f t="shared" si="163"/>
        <v>Morning</v>
      </c>
      <c r="Z813" t="str">
        <f t="shared" si="164"/>
        <v>Mild</v>
      </c>
      <c r="AA813" t="str">
        <f t="shared" si="165"/>
        <v>Medium</v>
      </c>
      <c r="AB813" t="str">
        <f t="shared" si="166"/>
        <v>Off-Peak</v>
      </c>
      <c r="AC813" s="63">
        <f t="shared" si="167"/>
        <v>0</v>
      </c>
      <c r="AD813" t="str">
        <f>IF(P813&gt;=Stats!$C$30,"High",IF(P813&lt;=Stats!$C$29,"Low","Normal"))</f>
        <v>Low</v>
      </c>
      <c r="AE813">
        <f t="shared" si="168"/>
        <v>1</v>
      </c>
    </row>
    <row r="814" spans="1:31" x14ac:dyDescent="0.2">
      <c r="A814">
        <f>Dataset_3!A204</f>
        <v>813</v>
      </c>
      <c r="B814" s="61">
        <f>Dataset_3!B204</f>
        <v>40580</v>
      </c>
      <c r="C814">
        <f>Dataset_3!C204</f>
        <v>1</v>
      </c>
      <c r="D814">
        <f>Dataset_3!D204</f>
        <v>0</v>
      </c>
      <c r="E814">
        <f>Dataset_3!E204</f>
        <v>2</v>
      </c>
      <c r="F814">
        <f>Dataset_3!F204</f>
        <v>7</v>
      </c>
      <c r="G814" t="b">
        <f>Dataset_3!G204</f>
        <v>0</v>
      </c>
      <c r="H814">
        <f>Dataset_3!H204</f>
        <v>0</v>
      </c>
      <c r="I814">
        <f>Dataset_3!I204</f>
        <v>1</v>
      </c>
      <c r="J814" s="55">
        <f>Dataset_3!J204</f>
        <v>0.24</v>
      </c>
      <c r="K814">
        <f>Dataset_3!K204</f>
        <v>0.2424</v>
      </c>
      <c r="L814">
        <f>Dataset_3!L204</f>
        <v>0.65</v>
      </c>
      <c r="M814">
        <f>Dataset_3!M204</f>
        <v>0.16420000000000001</v>
      </c>
      <c r="N814">
        <f>Dataset_3!N204</f>
        <v>0</v>
      </c>
      <c r="O814">
        <f>Dataset_3!O204</f>
        <v>8</v>
      </c>
      <c r="P814">
        <f>Dataset_3!P204</f>
        <v>8</v>
      </c>
      <c r="Q814" t="str">
        <f t="shared" si="156"/>
        <v>REC-0813</v>
      </c>
      <c r="R814" s="62">
        <f t="shared" si="157"/>
        <v>40580.291666666664</v>
      </c>
      <c r="S814" t="str">
        <f t="shared" si="158"/>
        <v>Feb</v>
      </c>
      <c r="T814" t="str">
        <f>INDEX(Lookups!$B$39:$B$45,MATCH(H814,Lookups!$A$39:$A$45,0))</f>
        <v>Sun</v>
      </c>
      <c r="U814" t="str">
        <f t="shared" si="159"/>
        <v>Weekend</v>
      </c>
      <c r="V814" t="str">
        <f t="shared" si="160"/>
        <v>Non-Working Day</v>
      </c>
      <c r="W814" t="str">
        <f t="shared" si="161"/>
        <v>Spring</v>
      </c>
      <c r="X814" t="str">
        <f t="shared" si="162"/>
        <v>Clear</v>
      </c>
      <c r="Y814" t="str">
        <f t="shared" si="163"/>
        <v>Morning</v>
      </c>
      <c r="Z814" t="str">
        <f t="shared" si="164"/>
        <v>Mild</v>
      </c>
      <c r="AA814" t="str">
        <f t="shared" si="165"/>
        <v>Medium</v>
      </c>
      <c r="AB814" t="str">
        <f t="shared" si="166"/>
        <v>Off-Peak</v>
      </c>
      <c r="AC814" s="63">
        <f t="shared" si="167"/>
        <v>0</v>
      </c>
      <c r="AD814" t="str">
        <f>IF(P814&gt;=Stats!$C$30,"High",IF(P814&lt;=Stats!$C$29,"Low","Normal"))</f>
        <v>Low</v>
      </c>
      <c r="AE814">
        <f t="shared" si="168"/>
        <v>1</v>
      </c>
    </row>
    <row r="815" spans="1:31" x14ac:dyDescent="0.2">
      <c r="A815">
        <f>Dataset_3!A205</f>
        <v>814</v>
      </c>
      <c r="B815" s="61">
        <f>Dataset_3!B205</f>
        <v>40580</v>
      </c>
      <c r="C815">
        <f>Dataset_3!C205</f>
        <v>1</v>
      </c>
      <c r="D815">
        <f>Dataset_3!D205</f>
        <v>0</v>
      </c>
      <c r="E815">
        <f>Dataset_3!E205</f>
        <v>2</v>
      </c>
      <c r="F815">
        <f>Dataset_3!F205</f>
        <v>8</v>
      </c>
      <c r="G815" t="b">
        <f>Dataset_3!G205</f>
        <v>0</v>
      </c>
      <c r="H815">
        <f>Dataset_3!H205</f>
        <v>0</v>
      </c>
      <c r="I815">
        <f>Dataset_3!I205</f>
        <v>1</v>
      </c>
      <c r="J815" s="55">
        <f>Dataset_3!J205</f>
        <v>0.24</v>
      </c>
      <c r="K815">
        <f>Dataset_3!K205</f>
        <v>0.2576</v>
      </c>
      <c r="L815">
        <f>Dataset_3!L205</f>
        <v>0.65</v>
      </c>
      <c r="M815">
        <f>Dataset_3!M205</f>
        <v>0.1045</v>
      </c>
      <c r="N815">
        <f>Dataset_3!N205</f>
        <v>2</v>
      </c>
      <c r="O815">
        <f>Dataset_3!O205</f>
        <v>21</v>
      </c>
      <c r="P815">
        <f>Dataset_3!P205</f>
        <v>23</v>
      </c>
      <c r="Q815" t="str">
        <f t="shared" si="156"/>
        <v>REC-0814</v>
      </c>
      <c r="R815" s="62">
        <f t="shared" si="157"/>
        <v>40580.333333333336</v>
      </c>
      <c r="S815" t="str">
        <f t="shared" si="158"/>
        <v>Feb</v>
      </c>
      <c r="T815" t="str">
        <f>INDEX(Lookups!$B$39:$B$45,MATCH(H815,Lookups!$A$39:$A$45,0))</f>
        <v>Sun</v>
      </c>
      <c r="U815" t="str">
        <f t="shared" si="159"/>
        <v>Weekend</v>
      </c>
      <c r="V815" t="str">
        <f t="shared" si="160"/>
        <v>Non-Working Day</v>
      </c>
      <c r="W815" t="str">
        <f t="shared" si="161"/>
        <v>Spring</v>
      </c>
      <c r="X815" t="str">
        <f t="shared" si="162"/>
        <v>Clear</v>
      </c>
      <c r="Y815" t="str">
        <f t="shared" si="163"/>
        <v>Morning</v>
      </c>
      <c r="Z815" t="str">
        <f t="shared" si="164"/>
        <v>Mild</v>
      </c>
      <c r="AA815" t="str">
        <f t="shared" si="165"/>
        <v>Medium</v>
      </c>
      <c r="AB815" t="str">
        <f t="shared" si="166"/>
        <v>Off-Peak</v>
      </c>
      <c r="AC815" s="63">
        <f t="shared" si="167"/>
        <v>8.6956521739130432E-2</v>
      </c>
      <c r="AD815" t="str">
        <f>IF(P815&gt;=Stats!$C$30,"High",IF(P815&lt;=Stats!$C$29,"Low","Normal"))</f>
        <v>Normal</v>
      </c>
      <c r="AE815">
        <f t="shared" si="168"/>
        <v>1</v>
      </c>
    </row>
    <row r="816" spans="1:31" x14ac:dyDescent="0.2">
      <c r="A816">
        <f>Dataset_3!A206</f>
        <v>815</v>
      </c>
      <c r="B816" s="61">
        <f>Dataset_3!B206</f>
        <v>40580</v>
      </c>
      <c r="C816">
        <f>Dataset_3!C206</f>
        <v>1</v>
      </c>
      <c r="D816">
        <f>Dataset_3!D206</f>
        <v>0</v>
      </c>
      <c r="E816">
        <f>Dataset_3!E206</f>
        <v>2</v>
      </c>
      <c r="F816">
        <f>Dataset_3!F206</f>
        <v>9</v>
      </c>
      <c r="G816" t="b">
        <f>Dataset_3!G206</f>
        <v>0</v>
      </c>
      <c r="H816">
        <f>Dataset_3!H206</f>
        <v>0</v>
      </c>
      <c r="I816">
        <f>Dataset_3!I206</f>
        <v>1</v>
      </c>
      <c r="J816" s="55">
        <f>Dataset_3!J206</f>
        <v>0.28000000000000003</v>
      </c>
      <c r="K816">
        <f>Dataset_3!K206</f>
        <v>0.28789999999999999</v>
      </c>
      <c r="L816">
        <f>Dataset_3!L206</f>
        <v>0.56000000000000005</v>
      </c>
      <c r="M816">
        <f>Dataset_3!M206</f>
        <v>0.1045</v>
      </c>
      <c r="N816">
        <f>Dataset_3!N206</f>
        <v>7</v>
      </c>
      <c r="O816">
        <f>Dataset_3!O206</f>
        <v>38</v>
      </c>
      <c r="P816">
        <f>Dataset_3!P206</f>
        <v>45</v>
      </c>
      <c r="Q816" t="str">
        <f t="shared" si="156"/>
        <v>REC-0815</v>
      </c>
      <c r="R816" s="62">
        <f t="shared" si="157"/>
        <v>40580.375</v>
      </c>
      <c r="S816" t="str">
        <f t="shared" si="158"/>
        <v>Feb</v>
      </c>
      <c r="T816" t="str">
        <f>INDEX(Lookups!$B$39:$B$45,MATCH(H816,Lookups!$A$39:$A$45,0))</f>
        <v>Sun</v>
      </c>
      <c r="U816" t="str">
        <f t="shared" si="159"/>
        <v>Weekend</v>
      </c>
      <c r="V816" t="str">
        <f t="shared" si="160"/>
        <v>Non-Working Day</v>
      </c>
      <c r="W816" t="str">
        <f t="shared" si="161"/>
        <v>Spring</v>
      </c>
      <c r="X816" t="str">
        <f t="shared" si="162"/>
        <v>Clear</v>
      </c>
      <c r="Y816" t="str">
        <f t="shared" si="163"/>
        <v>Morning</v>
      </c>
      <c r="Z816" t="str">
        <f t="shared" si="164"/>
        <v>Mild</v>
      </c>
      <c r="AA816" t="str">
        <f t="shared" si="165"/>
        <v>Medium</v>
      </c>
      <c r="AB816" t="str">
        <f t="shared" si="166"/>
        <v>Off-Peak</v>
      </c>
      <c r="AC816" s="63">
        <f t="shared" si="167"/>
        <v>0.15555555555555556</v>
      </c>
      <c r="AD816" t="str">
        <f>IF(P816&gt;=Stats!$C$30,"High",IF(P816&lt;=Stats!$C$29,"Low","Normal"))</f>
        <v>Normal</v>
      </c>
      <c r="AE816">
        <f t="shared" si="168"/>
        <v>1</v>
      </c>
    </row>
    <row r="817" spans="1:31" x14ac:dyDescent="0.2">
      <c r="A817">
        <f>Dataset_3!A207</f>
        <v>816</v>
      </c>
      <c r="B817" s="61">
        <f>Dataset_3!B207</f>
        <v>40580</v>
      </c>
      <c r="C817">
        <f>Dataset_3!C207</f>
        <v>1</v>
      </c>
      <c r="D817">
        <f>Dataset_3!D207</f>
        <v>0</v>
      </c>
      <c r="E817">
        <f>Dataset_3!E207</f>
        <v>2</v>
      </c>
      <c r="F817">
        <f>Dataset_3!F207</f>
        <v>10</v>
      </c>
      <c r="G817" t="b">
        <f>Dataset_3!G207</f>
        <v>0</v>
      </c>
      <c r="H817">
        <f>Dataset_3!H207</f>
        <v>0</v>
      </c>
      <c r="I817">
        <f>Dataset_3!I207</f>
        <v>1</v>
      </c>
      <c r="J817" s="55">
        <f>Dataset_3!J207</f>
        <v>0.3</v>
      </c>
      <c r="K817">
        <f>Dataset_3!K207</f>
        <v>0.28789999999999999</v>
      </c>
      <c r="L817">
        <f>Dataset_3!L207</f>
        <v>0.52</v>
      </c>
      <c r="M817">
        <f>Dataset_3!M207</f>
        <v>0.25369999999999998</v>
      </c>
      <c r="N817">
        <f>Dataset_3!N207</f>
        <v>15</v>
      </c>
      <c r="O817">
        <f>Dataset_3!O207</f>
        <v>74</v>
      </c>
      <c r="P817">
        <f>Dataset_3!P207</f>
        <v>89</v>
      </c>
      <c r="Q817" t="str">
        <f t="shared" si="156"/>
        <v>REC-0816</v>
      </c>
      <c r="R817" s="62">
        <f t="shared" si="157"/>
        <v>40580.416666666664</v>
      </c>
      <c r="S817" t="str">
        <f t="shared" si="158"/>
        <v>Feb</v>
      </c>
      <c r="T817" t="str">
        <f>INDEX(Lookups!$B$39:$B$45,MATCH(H817,Lookups!$A$39:$A$45,0))</f>
        <v>Sun</v>
      </c>
      <c r="U817" t="str">
        <f t="shared" si="159"/>
        <v>Weekend</v>
      </c>
      <c r="V817" t="str">
        <f t="shared" si="160"/>
        <v>Non-Working Day</v>
      </c>
      <c r="W817" t="str">
        <f t="shared" si="161"/>
        <v>Spring</v>
      </c>
      <c r="X817" t="str">
        <f t="shared" si="162"/>
        <v>Clear</v>
      </c>
      <c r="Y817" t="str">
        <f t="shared" si="163"/>
        <v>Morning</v>
      </c>
      <c r="Z817" t="str">
        <f t="shared" si="164"/>
        <v>Warm</v>
      </c>
      <c r="AA817" t="str">
        <f t="shared" si="165"/>
        <v>Medium</v>
      </c>
      <c r="AB817" t="str">
        <f t="shared" si="166"/>
        <v>Off-Peak</v>
      </c>
      <c r="AC817" s="63">
        <f t="shared" si="167"/>
        <v>0.16853932584269662</v>
      </c>
      <c r="AD817" t="str">
        <f>IF(P817&gt;=Stats!$C$30,"High",IF(P817&lt;=Stats!$C$29,"Low","Normal"))</f>
        <v>High</v>
      </c>
      <c r="AE817">
        <f t="shared" si="168"/>
        <v>1</v>
      </c>
    </row>
    <row r="818" spans="1:31" x14ac:dyDescent="0.2">
      <c r="A818">
        <f>Dataset_3!A208</f>
        <v>817</v>
      </c>
      <c r="B818" s="61">
        <f>Dataset_3!B208</f>
        <v>40580</v>
      </c>
      <c r="C818">
        <f>Dataset_3!C208</f>
        <v>1</v>
      </c>
      <c r="D818">
        <f>Dataset_3!D208</f>
        <v>0</v>
      </c>
      <c r="E818">
        <f>Dataset_3!E208</f>
        <v>2</v>
      </c>
      <c r="F818">
        <f>Dataset_3!F208</f>
        <v>11</v>
      </c>
      <c r="G818" t="b">
        <f>Dataset_3!G208</f>
        <v>0</v>
      </c>
      <c r="H818">
        <f>Dataset_3!H208</f>
        <v>0</v>
      </c>
      <c r="I818">
        <f>Dataset_3!I208</f>
        <v>1</v>
      </c>
      <c r="J818" s="55">
        <f>Dataset_3!J208</f>
        <v>0.32</v>
      </c>
      <c r="K818">
        <f>Dataset_3!K208</f>
        <v>0.30299999999999999</v>
      </c>
      <c r="L818">
        <f>Dataset_3!L208</f>
        <v>0.49</v>
      </c>
      <c r="M818">
        <f>Dataset_3!M208</f>
        <v>0.25369999999999998</v>
      </c>
      <c r="N818">
        <f>Dataset_3!N208</f>
        <v>28</v>
      </c>
      <c r="O818">
        <f>Dataset_3!O208</f>
        <v>89</v>
      </c>
      <c r="P818">
        <f>Dataset_3!P208</f>
        <v>117</v>
      </c>
      <c r="Q818" t="str">
        <f t="shared" si="156"/>
        <v>REC-0817</v>
      </c>
      <c r="R818" s="62">
        <f t="shared" si="157"/>
        <v>40580.458333333336</v>
      </c>
      <c r="S818" t="str">
        <f t="shared" si="158"/>
        <v>Feb</v>
      </c>
      <c r="T818" t="str">
        <f>INDEX(Lookups!$B$39:$B$45,MATCH(H818,Lookups!$A$39:$A$45,0))</f>
        <v>Sun</v>
      </c>
      <c r="U818" t="str">
        <f t="shared" si="159"/>
        <v>Weekend</v>
      </c>
      <c r="V818" t="str">
        <f t="shared" si="160"/>
        <v>Non-Working Day</v>
      </c>
      <c r="W818" t="str">
        <f t="shared" si="161"/>
        <v>Spring</v>
      </c>
      <c r="X818" t="str">
        <f t="shared" si="162"/>
        <v>Clear</v>
      </c>
      <c r="Y818" t="str">
        <f t="shared" si="163"/>
        <v>Morning</v>
      </c>
      <c r="Z818" t="str">
        <f t="shared" si="164"/>
        <v>Warm</v>
      </c>
      <c r="AA818" t="str">
        <f t="shared" si="165"/>
        <v>Low</v>
      </c>
      <c r="AB818" t="str">
        <f t="shared" si="166"/>
        <v>Off-Peak</v>
      </c>
      <c r="AC818" s="63">
        <f t="shared" si="167"/>
        <v>0.23931623931623933</v>
      </c>
      <c r="AD818" t="str">
        <f>IF(P818&gt;=Stats!$C$30,"High",IF(P818&lt;=Stats!$C$29,"Low","Normal"))</f>
        <v>High</v>
      </c>
      <c r="AE818">
        <f t="shared" si="168"/>
        <v>1</v>
      </c>
    </row>
    <row r="819" spans="1:31" x14ac:dyDescent="0.2">
      <c r="A819">
        <f>Dataset_3!A209</f>
        <v>818</v>
      </c>
      <c r="B819" s="61">
        <f>Dataset_3!B209</f>
        <v>40580</v>
      </c>
      <c r="C819">
        <f>Dataset_3!C209</f>
        <v>1</v>
      </c>
      <c r="D819">
        <f>Dataset_3!D209</f>
        <v>0</v>
      </c>
      <c r="E819">
        <f>Dataset_3!E209</f>
        <v>2</v>
      </c>
      <c r="F819">
        <f>Dataset_3!F209</f>
        <v>12</v>
      </c>
      <c r="G819" t="b">
        <f>Dataset_3!G209</f>
        <v>0</v>
      </c>
      <c r="H819">
        <f>Dataset_3!H209</f>
        <v>0</v>
      </c>
      <c r="I819">
        <f>Dataset_3!I209</f>
        <v>1</v>
      </c>
      <c r="J819" s="55">
        <f>Dataset_3!J209</f>
        <v>0.34</v>
      </c>
      <c r="K819">
        <f>Dataset_3!K209</f>
        <v>0.33329999999999999</v>
      </c>
      <c r="L819">
        <f>Dataset_3!L209</f>
        <v>0.46</v>
      </c>
      <c r="M819">
        <f>Dataset_3!M209</f>
        <v>0</v>
      </c>
      <c r="N819">
        <f>Dataset_3!N209</f>
        <v>48</v>
      </c>
      <c r="O819">
        <f>Dataset_3!O209</f>
        <v>126</v>
      </c>
      <c r="P819">
        <f>Dataset_3!P209</f>
        <v>174</v>
      </c>
      <c r="Q819" t="str">
        <f t="shared" si="156"/>
        <v>REC-0818</v>
      </c>
      <c r="R819" s="62">
        <f t="shared" si="157"/>
        <v>40580.5</v>
      </c>
      <c r="S819" t="str">
        <f t="shared" si="158"/>
        <v>Feb</v>
      </c>
      <c r="T819" t="str">
        <f>INDEX(Lookups!$B$39:$B$45,MATCH(H819,Lookups!$A$39:$A$45,0))</f>
        <v>Sun</v>
      </c>
      <c r="U819" t="str">
        <f t="shared" si="159"/>
        <v>Weekend</v>
      </c>
      <c r="V819" t="str">
        <f t="shared" si="160"/>
        <v>Non-Working Day</v>
      </c>
      <c r="W819" t="str">
        <f t="shared" si="161"/>
        <v>Spring</v>
      </c>
      <c r="X819" t="str">
        <f t="shared" si="162"/>
        <v>Clear</v>
      </c>
      <c r="Y819" t="str">
        <f t="shared" si="163"/>
        <v>Afternoon</v>
      </c>
      <c r="Z819" t="str">
        <f t="shared" si="164"/>
        <v>Warm</v>
      </c>
      <c r="AA819" t="str">
        <f t="shared" si="165"/>
        <v>Low</v>
      </c>
      <c r="AB819" t="str">
        <f t="shared" si="166"/>
        <v>Off-Peak</v>
      </c>
      <c r="AC819" s="63">
        <f t="shared" si="167"/>
        <v>0.27586206896551724</v>
      </c>
      <c r="AD819" t="str">
        <f>IF(P819&gt;=Stats!$C$30,"High",IF(P819&lt;=Stats!$C$29,"Low","Normal"))</f>
        <v>High</v>
      </c>
      <c r="AE819">
        <f t="shared" si="168"/>
        <v>1</v>
      </c>
    </row>
    <row r="820" spans="1:31" x14ac:dyDescent="0.2">
      <c r="A820">
        <f>Dataset_3!A210</f>
        <v>819</v>
      </c>
      <c r="B820" s="61">
        <f>Dataset_3!B210</f>
        <v>40580</v>
      </c>
      <c r="C820">
        <f>Dataset_3!C210</f>
        <v>1</v>
      </c>
      <c r="D820">
        <f>Dataset_3!D210</f>
        <v>0</v>
      </c>
      <c r="E820">
        <f>Dataset_3!E210</f>
        <v>2</v>
      </c>
      <c r="F820">
        <f>Dataset_3!F210</f>
        <v>13</v>
      </c>
      <c r="G820" t="b">
        <f>Dataset_3!G210</f>
        <v>0</v>
      </c>
      <c r="H820">
        <f>Dataset_3!H210</f>
        <v>0</v>
      </c>
      <c r="I820">
        <f>Dataset_3!I210</f>
        <v>1</v>
      </c>
      <c r="J820" s="55">
        <f>Dataset_3!J210</f>
        <v>0.34</v>
      </c>
      <c r="K820">
        <f>Dataset_3!K210</f>
        <v>0.36359999999999998</v>
      </c>
      <c r="L820">
        <f>Dataset_3!L210</f>
        <v>0.46</v>
      </c>
      <c r="M820">
        <f>Dataset_3!M210</f>
        <v>0</v>
      </c>
      <c r="N820">
        <f>Dataset_3!N210</f>
        <v>47</v>
      </c>
      <c r="O820">
        <f>Dataset_3!O210</f>
        <v>135</v>
      </c>
      <c r="P820">
        <f>Dataset_3!P210</f>
        <v>182</v>
      </c>
      <c r="Q820" t="str">
        <f t="shared" si="156"/>
        <v>REC-0819</v>
      </c>
      <c r="R820" s="62">
        <f t="shared" si="157"/>
        <v>40580.541666666664</v>
      </c>
      <c r="S820" t="str">
        <f t="shared" si="158"/>
        <v>Feb</v>
      </c>
      <c r="T820" t="str">
        <f>INDEX(Lookups!$B$39:$B$45,MATCH(H820,Lookups!$A$39:$A$45,0))</f>
        <v>Sun</v>
      </c>
      <c r="U820" t="str">
        <f t="shared" si="159"/>
        <v>Weekend</v>
      </c>
      <c r="V820" t="str">
        <f t="shared" si="160"/>
        <v>Non-Working Day</v>
      </c>
      <c r="W820" t="str">
        <f t="shared" si="161"/>
        <v>Spring</v>
      </c>
      <c r="X820" t="str">
        <f t="shared" si="162"/>
        <v>Clear</v>
      </c>
      <c r="Y820" t="str">
        <f t="shared" si="163"/>
        <v>Afternoon</v>
      </c>
      <c r="Z820" t="str">
        <f t="shared" si="164"/>
        <v>Warm</v>
      </c>
      <c r="AA820" t="str">
        <f t="shared" si="165"/>
        <v>Low</v>
      </c>
      <c r="AB820" t="str">
        <f t="shared" si="166"/>
        <v>Off-Peak</v>
      </c>
      <c r="AC820" s="63">
        <f t="shared" si="167"/>
        <v>0.25824175824175827</v>
      </c>
      <c r="AD820" t="str">
        <f>IF(P820&gt;=Stats!$C$30,"High",IF(P820&lt;=Stats!$C$29,"Low","Normal"))</f>
        <v>High</v>
      </c>
      <c r="AE820">
        <f t="shared" si="168"/>
        <v>1</v>
      </c>
    </row>
    <row r="821" spans="1:31" x14ac:dyDescent="0.2">
      <c r="A821">
        <f>Dataset_3!A211</f>
        <v>820</v>
      </c>
      <c r="B821" s="61">
        <f>Dataset_3!B211</f>
        <v>40580</v>
      </c>
      <c r="C821">
        <f>Dataset_3!C211</f>
        <v>1</v>
      </c>
      <c r="D821">
        <f>Dataset_3!D211</f>
        <v>0</v>
      </c>
      <c r="E821">
        <f>Dataset_3!E211</f>
        <v>2</v>
      </c>
      <c r="F821">
        <f>Dataset_3!F211</f>
        <v>14</v>
      </c>
      <c r="G821" t="b">
        <f>Dataset_3!G211</f>
        <v>0</v>
      </c>
      <c r="H821">
        <f>Dataset_3!H211</f>
        <v>0</v>
      </c>
      <c r="I821">
        <f>Dataset_3!I211</f>
        <v>1</v>
      </c>
      <c r="J821" s="55">
        <f>Dataset_3!J211</f>
        <v>0.34</v>
      </c>
      <c r="K821">
        <f>Dataset_3!K211</f>
        <v>0.34849999999999998</v>
      </c>
      <c r="L821">
        <f>Dataset_3!L211</f>
        <v>0.46</v>
      </c>
      <c r="M821">
        <f>Dataset_3!M211</f>
        <v>8.9599999999999999E-2</v>
      </c>
      <c r="N821">
        <f>Dataset_3!N211</f>
        <v>47</v>
      </c>
      <c r="O821">
        <f>Dataset_3!O211</f>
        <v>114</v>
      </c>
      <c r="P821">
        <f>Dataset_3!P211</f>
        <v>161</v>
      </c>
      <c r="Q821" t="str">
        <f t="shared" si="156"/>
        <v>REC-0820</v>
      </c>
      <c r="R821" s="62">
        <f t="shared" si="157"/>
        <v>40580.583333333336</v>
      </c>
      <c r="S821" t="str">
        <f t="shared" si="158"/>
        <v>Feb</v>
      </c>
      <c r="T821" t="str">
        <f>INDEX(Lookups!$B$39:$B$45,MATCH(H821,Lookups!$A$39:$A$45,0))</f>
        <v>Sun</v>
      </c>
      <c r="U821" t="str">
        <f t="shared" si="159"/>
        <v>Weekend</v>
      </c>
      <c r="V821" t="str">
        <f t="shared" si="160"/>
        <v>Non-Working Day</v>
      </c>
      <c r="W821" t="str">
        <f t="shared" si="161"/>
        <v>Spring</v>
      </c>
      <c r="X821" t="str">
        <f t="shared" si="162"/>
        <v>Clear</v>
      </c>
      <c r="Y821" t="str">
        <f t="shared" si="163"/>
        <v>Afternoon</v>
      </c>
      <c r="Z821" t="str">
        <f t="shared" si="164"/>
        <v>Warm</v>
      </c>
      <c r="AA821" t="str">
        <f t="shared" si="165"/>
        <v>Low</v>
      </c>
      <c r="AB821" t="str">
        <f t="shared" si="166"/>
        <v>Off-Peak</v>
      </c>
      <c r="AC821" s="63">
        <f t="shared" si="167"/>
        <v>0.29192546583850931</v>
      </c>
      <c r="AD821" t="str">
        <f>IF(P821&gt;=Stats!$C$30,"High",IF(P821&lt;=Stats!$C$29,"Low","Normal"))</f>
        <v>High</v>
      </c>
      <c r="AE821">
        <f t="shared" si="168"/>
        <v>1</v>
      </c>
    </row>
    <row r="822" spans="1:31" x14ac:dyDescent="0.2">
      <c r="A822">
        <f>Dataset_3!A212</f>
        <v>821</v>
      </c>
      <c r="B822" s="61">
        <f>Dataset_3!B212</f>
        <v>40580</v>
      </c>
      <c r="C822">
        <f>Dataset_3!C212</f>
        <v>1</v>
      </c>
      <c r="D822">
        <f>Dataset_3!D212</f>
        <v>0</v>
      </c>
      <c r="E822">
        <f>Dataset_3!E212</f>
        <v>2</v>
      </c>
      <c r="F822">
        <f>Dataset_3!F212</f>
        <v>15</v>
      </c>
      <c r="G822" t="b">
        <f>Dataset_3!G212</f>
        <v>0</v>
      </c>
      <c r="H822">
        <f>Dataset_3!H212</f>
        <v>0</v>
      </c>
      <c r="I822">
        <f>Dataset_3!I212</f>
        <v>1</v>
      </c>
      <c r="J822" s="55">
        <f>Dataset_3!J212</f>
        <v>0.34</v>
      </c>
      <c r="K822">
        <f>Dataset_3!K212</f>
        <v>0.34849999999999998</v>
      </c>
      <c r="L822">
        <f>Dataset_3!L212</f>
        <v>0.46</v>
      </c>
      <c r="M822">
        <f>Dataset_3!M212</f>
        <v>8.9599999999999999E-2</v>
      </c>
      <c r="N822">
        <f>Dataset_3!N212</f>
        <v>52</v>
      </c>
      <c r="O822">
        <f>Dataset_3!O212</f>
        <v>130</v>
      </c>
      <c r="P822">
        <f>Dataset_3!P212</f>
        <v>182</v>
      </c>
      <c r="Q822" t="str">
        <f t="shared" si="156"/>
        <v>REC-0821</v>
      </c>
      <c r="R822" s="62">
        <f t="shared" si="157"/>
        <v>40580.625</v>
      </c>
      <c r="S822" t="str">
        <f t="shared" si="158"/>
        <v>Feb</v>
      </c>
      <c r="T822" t="str">
        <f>INDEX(Lookups!$B$39:$B$45,MATCH(H822,Lookups!$A$39:$A$45,0))</f>
        <v>Sun</v>
      </c>
      <c r="U822" t="str">
        <f t="shared" si="159"/>
        <v>Weekend</v>
      </c>
      <c r="V822" t="str">
        <f t="shared" si="160"/>
        <v>Non-Working Day</v>
      </c>
      <c r="W822" t="str">
        <f t="shared" si="161"/>
        <v>Spring</v>
      </c>
      <c r="X822" t="str">
        <f t="shared" si="162"/>
        <v>Clear</v>
      </c>
      <c r="Y822" t="str">
        <f t="shared" si="163"/>
        <v>Afternoon</v>
      </c>
      <c r="Z822" t="str">
        <f t="shared" si="164"/>
        <v>Warm</v>
      </c>
      <c r="AA822" t="str">
        <f t="shared" si="165"/>
        <v>Low</v>
      </c>
      <c r="AB822" t="str">
        <f t="shared" si="166"/>
        <v>Off-Peak</v>
      </c>
      <c r="AC822" s="63">
        <f t="shared" si="167"/>
        <v>0.2857142857142857</v>
      </c>
      <c r="AD822" t="str">
        <f>IF(P822&gt;=Stats!$C$30,"High",IF(P822&lt;=Stats!$C$29,"Low","Normal"))</f>
        <v>High</v>
      </c>
      <c r="AE822">
        <f t="shared" si="168"/>
        <v>1</v>
      </c>
    </row>
    <row r="823" spans="1:31" x14ac:dyDescent="0.2">
      <c r="A823">
        <f>Dataset_3!A213</f>
        <v>822</v>
      </c>
      <c r="B823" s="61">
        <f>Dataset_3!B213</f>
        <v>40580</v>
      </c>
      <c r="C823">
        <f>Dataset_3!C213</f>
        <v>1</v>
      </c>
      <c r="D823">
        <f>Dataset_3!D213</f>
        <v>0</v>
      </c>
      <c r="E823">
        <f>Dataset_3!E213</f>
        <v>2</v>
      </c>
      <c r="F823">
        <f>Dataset_3!F213</f>
        <v>16</v>
      </c>
      <c r="G823" t="b">
        <f>Dataset_3!G213</f>
        <v>0</v>
      </c>
      <c r="H823">
        <f>Dataset_3!H213</f>
        <v>0</v>
      </c>
      <c r="I823">
        <f>Dataset_3!I213</f>
        <v>1</v>
      </c>
      <c r="J823" s="55">
        <f>Dataset_3!J213</f>
        <v>0.34</v>
      </c>
      <c r="K823">
        <f>Dataset_3!K213</f>
        <v>0.34849999999999998</v>
      </c>
      <c r="L823">
        <f>Dataset_3!L213</f>
        <v>0.49</v>
      </c>
      <c r="M823">
        <f>Dataset_3!M213</f>
        <v>0.1045</v>
      </c>
      <c r="N823">
        <f>Dataset_3!N213</f>
        <v>42</v>
      </c>
      <c r="O823">
        <f>Dataset_3!O213</f>
        <v>115</v>
      </c>
      <c r="P823">
        <f>Dataset_3!P213</f>
        <v>157</v>
      </c>
      <c r="Q823" t="str">
        <f t="shared" si="156"/>
        <v>REC-0822</v>
      </c>
      <c r="R823" s="62">
        <f t="shared" si="157"/>
        <v>40580.666666666664</v>
      </c>
      <c r="S823" t="str">
        <f t="shared" si="158"/>
        <v>Feb</v>
      </c>
      <c r="T823" t="str">
        <f>INDEX(Lookups!$B$39:$B$45,MATCH(H823,Lookups!$A$39:$A$45,0))</f>
        <v>Sun</v>
      </c>
      <c r="U823" t="str">
        <f t="shared" si="159"/>
        <v>Weekend</v>
      </c>
      <c r="V823" t="str">
        <f t="shared" si="160"/>
        <v>Non-Working Day</v>
      </c>
      <c r="W823" t="str">
        <f t="shared" si="161"/>
        <v>Spring</v>
      </c>
      <c r="X823" t="str">
        <f t="shared" si="162"/>
        <v>Clear</v>
      </c>
      <c r="Y823" t="str">
        <f t="shared" si="163"/>
        <v>Afternoon</v>
      </c>
      <c r="Z823" t="str">
        <f t="shared" si="164"/>
        <v>Warm</v>
      </c>
      <c r="AA823" t="str">
        <f t="shared" si="165"/>
        <v>Low</v>
      </c>
      <c r="AB823" t="str">
        <f t="shared" si="166"/>
        <v>Off-Peak</v>
      </c>
      <c r="AC823" s="63">
        <f t="shared" si="167"/>
        <v>0.26751592356687898</v>
      </c>
      <c r="AD823" t="str">
        <f>IF(P823&gt;=Stats!$C$30,"High",IF(P823&lt;=Stats!$C$29,"Low","Normal"))</f>
        <v>High</v>
      </c>
      <c r="AE823">
        <f t="shared" si="168"/>
        <v>1</v>
      </c>
    </row>
    <row r="824" spans="1:31" x14ac:dyDescent="0.2">
      <c r="A824">
        <f>Dataset_3!A214</f>
        <v>823</v>
      </c>
      <c r="B824" s="61">
        <f>Dataset_3!B214</f>
        <v>40580</v>
      </c>
      <c r="C824">
        <f>Dataset_3!C214</f>
        <v>1</v>
      </c>
      <c r="D824">
        <f>Dataset_3!D214</f>
        <v>0</v>
      </c>
      <c r="E824">
        <f>Dataset_3!E214</f>
        <v>2</v>
      </c>
      <c r="F824">
        <f>Dataset_3!F214</f>
        <v>17</v>
      </c>
      <c r="G824" t="b">
        <f>Dataset_3!G214</f>
        <v>0</v>
      </c>
      <c r="H824">
        <f>Dataset_3!H214</f>
        <v>0</v>
      </c>
      <c r="I824">
        <f>Dataset_3!I214</f>
        <v>1</v>
      </c>
      <c r="J824" s="55">
        <f>Dataset_3!J214</f>
        <v>0.34</v>
      </c>
      <c r="K824">
        <f>Dataset_3!K214</f>
        <v>0.36359999999999998</v>
      </c>
      <c r="L824">
        <f>Dataset_3!L214</f>
        <v>0.46</v>
      </c>
      <c r="M824">
        <f>Dataset_3!M214</f>
        <v>0</v>
      </c>
      <c r="N824">
        <f>Dataset_3!N214</f>
        <v>24</v>
      </c>
      <c r="O824">
        <f>Dataset_3!O214</f>
        <v>97</v>
      </c>
      <c r="P824">
        <f>Dataset_3!P214</f>
        <v>121</v>
      </c>
      <c r="Q824" t="str">
        <f t="shared" si="156"/>
        <v>REC-0823</v>
      </c>
      <c r="R824" s="62">
        <f t="shared" si="157"/>
        <v>40580.708333333336</v>
      </c>
      <c r="S824" t="str">
        <f t="shared" si="158"/>
        <v>Feb</v>
      </c>
      <c r="T824" t="str">
        <f>INDEX(Lookups!$B$39:$B$45,MATCH(H824,Lookups!$A$39:$A$45,0))</f>
        <v>Sun</v>
      </c>
      <c r="U824" t="str">
        <f t="shared" si="159"/>
        <v>Weekend</v>
      </c>
      <c r="V824" t="str">
        <f t="shared" si="160"/>
        <v>Non-Working Day</v>
      </c>
      <c r="W824" t="str">
        <f t="shared" si="161"/>
        <v>Spring</v>
      </c>
      <c r="X824" t="str">
        <f t="shared" si="162"/>
        <v>Clear</v>
      </c>
      <c r="Y824" t="str">
        <f t="shared" si="163"/>
        <v>Evening</v>
      </c>
      <c r="Z824" t="str">
        <f t="shared" si="164"/>
        <v>Warm</v>
      </c>
      <c r="AA824" t="str">
        <f t="shared" si="165"/>
        <v>Low</v>
      </c>
      <c r="AB824" t="str">
        <f t="shared" si="166"/>
        <v>Off-Peak</v>
      </c>
      <c r="AC824" s="63">
        <f t="shared" si="167"/>
        <v>0.19834710743801653</v>
      </c>
      <c r="AD824" t="str">
        <f>IF(P824&gt;=Stats!$C$30,"High",IF(P824&lt;=Stats!$C$29,"Low","Normal"))</f>
        <v>High</v>
      </c>
      <c r="AE824">
        <f t="shared" si="168"/>
        <v>1</v>
      </c>
    </row>
    <row r="825" spans="1:31" x14ac:dyDescent="0.2">
      <c r="A825">
        <f>Dataset_3!A215</f>
        <v>824</v>
      </c>
      <c r="B825" s="61">
        <f>Dataset_3!B215</f>
        <v>40580</v>
      </c>
      <c r="C825">
        <f>Dataset_3!C215</f>
        <v>1</v>
      </c>
      <c r="D825">
        <f>Dataset_3!D215</f>
        <v>0</v>
      </c>
      <c r="E825">
        <f>Dataset_3!E215</f>
        <v>2</v>
      </c>
      <c r="F825">
        <f>Dataset_3!F215</f>
        <v>18</v>
      </c>
      <c r="G825" t="b">
        <f>Dataset_3!G215</f>
        <v>0</v>
      </c>
      <c r="H825">
        <f>Dataset_3!H215</f>
        <v>0</v>
      </c>
      <c r="I825">
        <f>Dataset_3!I215</f>
        <v>1</v>
      </c>
      <c r="J825" s="55">
        <f>Dataset_3!J215</f>
        <v>0.3</v>
      </c>
      <c r="K825">
        <f>Dataset_3!K215</f>
        <v>0.30299999999999999</v>
      </c>
      <c r="L825">
        <f>Dataset_3!L215</f>
        <v>0.56000000000000005</v>
      </c>
      <c r="M825">
        <f>Dataset_3!M215</f>
        <v>0.16420000000000001</v>
      </c>
      <c r="N825">
        <f>Dataset_3!N215</f>
        <v>13</v>
      </c>
      <c r="O825">
        <f>Dataset_3!O215</f>
        <v>65</v>
      </c>
      <c r="P825">
        <f>Dataset_3!P215</f>
        <v>78</v>
      </c>
      <c r="Q825" t="str">
        <f t="shared" si="156"/>
        <v>REC-0824</v>
      </c>
      <c r="R825" s="62">
        <f t="shared" si="157"/>
        <v>40580.75</v>
      </c>
      <c r="S825" t="str">
        <f t="shared" si="158"/>
        <v>Feb</v>
      </c>
      <c r="T825" t="str">
        <f>INDEX(Lookups!$B$39:$B$45,MATCH(H825,Lookups!$A$39:$A$45,0))</f>
        <v>Sun</v>
      </c>
      <c r="U825" t="str">
        <f t="shared" si="159"/>
        <v>Weekend</v>
      </c>
      <c r="V825" t="str">
        <f t="shared" si="160"/>
        <v>Non-Working Day</v>
      </c>
      <c r="W825" t="str">
        <f t="shared" si="161"/>
        <v>Spring</v>
      </c>
      <c r="X825" t="str">
        <f t="shared" si="162"/>
        <v>Clear</v>
      </c>
      <c r="Y825" t="str">
        <f t="shared" si="163"/>
        <v>Evening</v>
      </c>
      <c r="Z825" t="str">
        <f t="shared" si="164"/>
        <v>Warm</v>
      </c>
      <c r="AA825" t="str">
        <f t="shared" si="165"/>
        <v>Medium</v>
      </c>
      <c r="AB825" t="str">
        <f t="shared" si="166"/>
        <v>Off-Peak</v>
      </c>
      <c r="AC825" s="63">
        <f t="shared" si="167"/>
        <v>0.16666666666666666</v>
      </c>
      <c r="AD825" t="str">
        <f>IF(P825&gt;=Stats!$C$30,"High",IF(P825&lt;=Stats!$C$29,"Low","Normal"))</f>
        <v>Normal</v>
      </c>
      <c r="AE825">
        <f t="shared" si="168"/>
        <v>1</v>
      </c>
    </row>
    <row r="826" spans="1:31" x14ac:dyDescent="0.2">
      <c r="A826">
        <f>Dataset_3!A216</f>
        <v>825</v>
      </c>
      <c r="B826" s="61">
        <f>Dataset_3!B216</f>
        <v>40580</v>
      </c>
      <c r="C826">
        <f>Dataset_3!C216</f>
        <v>1</v>
      </c>
      <c r="D826">
        <f>Dataset_3!D216</f>
        <v>0</v>
      </c>
      <c r="E826">
        <f>Dataset_3!E216</f>
        <v>2</v>
      </c>
      <c r="F826">
        <f>Dataset_3!F216</f>
        <v>19</v>
      </c>
      <c r="G826" t="b">
        <f>Dataset_3!G216</f>
        <v>0</v>
      </c>
      <c r="H826">
        <f>Dataset_3!H216</f>
        <v>0</v>
      </c>
      <c r="I826">
        <f>Dataset_3!I216</f>
        <v>1</v>
      </c>
      <c r="J826" s="55">
        <f>Dataset_3!J216</f>
        <v>0.28000000000000003</v>
      </c>
      <c r="K826">
        <f>Dataset_3!K216</f>
        <v>0.28789999999999999</v>
      </c>
      <c r="L826">
        <f>Dataset_3!L216</f>
        <v>0.61</v>
      </c>
      <c r="M826">
        <f>Dataset_3!M216</f>
        <v>0.1343</v>
      </c>
      <c r="N826">
        <f>Dataset_3!N216</f>
        <v>1</v>
      </c>
      <c r="O826">
        <f>Dataset_3!O216</f>
        <v>20</v>
      </c>
      <c r="P826">
        <f>Dataset_3!P216</f>
        <v>21</v>
      </c>
      <c r="Q826" t="str">
        <f t="shared" si="156"/>
        <v>REC-0825</v>
      </c>
      <c r="R826" s="62">
        <f t="shared" si="157"/>
        <v>40580.791666666664</v>
      </c>
      <c r="S826" t="str">
        <f t="shared" si="158"/>
        <v>Feb</v>
      </c>
      <c r="T826" t="str">
        <f>INDEX(Lookups!$B$39:$B$45,MATCH(H826,Lookups!$A$39:$A$45,0))</f>
        <v>Sun</v>
      </c>
      <c r="U826" t="str">
        <f t="shared" si="159"/>
        <v>Weekend</v>
      </c>
      <c r="V826" t="str">
        <f t="shared" si="160"/>
        <v>Non-Working Day</v>
      </c>
      <c r="W826" t="str">
        <f t="shared" si="161"/>
        <v>Spring</v>
      </c>
      <c r="X826" t="str">
        <f t="shared" si="162"/>
        <v>Clear</v>
      </c>
      <c r="Y826" t="str">
        <f t="shared" si="163"/>
        <v>Evening</v>
      </c>
      <c r="Z826" t="str">
        <f t="shared" si="164"/>
        <v>Mild</v>
      </c>
      <c r="AA826" t="str">
        <f t="shared" si="165"/>
        <v>Medium</v>
      </c>
      <c r="AB826" t="str">
        <f t="shared" si="166"/>
        <v>Off-Peak</v>
      </c>
      <c r="AC826" s="63">
        <f t="shared" si="167"/>
        <v>4.7619047619047616E-2</v>
      </c>
      <c r="AD826" t="str">
        <f>IF(P826&gt;=Stats!$C$30,"High",IF(P826&lt;=Stats!$C$29,"Low","Normal"))</f>
        <v>Normal</v>
      </c>
      <c r="AE826">
        <f t="shared" si="168"/>
        <v>1</v>
      </c>
    </row>
    <row r="827" spans="1:31" x14ac:dyDescent="0.2">
      <c r="A827">
        <f>Dataset_3!A217</f>
        <v>826</v>
      </c>
      <c r="B827" s="61">
        <f>Dataset_3!B217</f>
        <v>40580</v>
      </c>
      <c r="C827">
        <f>Dataset_3!C217</f>
        <v>1</v>
      </c>
      <c r="D827">
        <f>Dataset_3!D217</f>
        <v>0</v>
      </c>
      <c r="E827">
        <f>Dataset_3!E217</f>
        <v>2</v>
      </c>
      <c r="F827">
        <f>Dataset_3!F217</f>
        <v>20</v>
      </c>
      <c r="G827" t="b">
        <f>Dataset_3!G217</f>
        <v>0</v>
      </c>
      <c r="H827">
        <f>Dataset_3!H217</f>
        <v>0</v>
      </c>
      <c r="I827">
        <f>Dataset_3!I217</f>
        <v>1</v>
      </c>
      <c r="J827" s="55">
        <f>Dataset_3!J217</f>
        <v>0.28000000000000003</v>
      </c>
      <c r="K827">
        <f>Dataset_3!K217</f>
        <v>0.28789999999999999</v>
      </c>
      <c r="L827">
        <f>Dataset_3!L217</f>
        <v>0.61</v>
      </c>
      <c r="M827">
        <f>Dataset_3!M217</f>
        <v>0.1045</v>
      </c>
      <c r="N827">
        <f>Dataset_3!N217</f>
        <v>5</v>
      </c>
      <c r="O827">
        <f>Dataset_3!O217</f>
        <v>21</v>
      </c>
      <c r="P827">
        <f>Dataset_3!P217</f>
        <v>26</v>
      </c>
      <c r="Q827" t="str">
        <f t="shared" si="156"/>
        <v>REC-0826</v>
      </c>
      <c r="R827" s="62">
        <f t="shared" si="157"/>
        <v>40580.833333333336</v>
      </c>
      <c r="S827" t="str">
        <f t="shared" si="158"/>
        <v>Feb</v>
      </c>
      <c r="T827" t="str">
        <f>INDEX(Lookups!$B$39:$B$45,MATCH(H827,Lookups!$A$39:$A$45,0))</f>
        <v>Sun</v>
      </c>
      <c r="U827" t="str">
        <f t="shared" si="159"/>
        <v>Weekend</v>
      </c>
      <c r="V827" t="str">
        <f t="shared" si="160"/>
        <v>Non-Working Day</v>
      </c>
      <c r="W827" t="str">
        <f t="shared" si="161"/>
        <v>Spring</v>
      </c>
      <c r="X827" t="str">
        <f t="shared" si="162"/>
        <v>Clear</v>
      </c>
      <c r="Y827" t="str">
        <f t="shared" si="163"/>
        <v>Evening</v>
      </c>
      <c r="Z827" t="str">
        <f t="shared" si="164"/>
        <v>Mild</v>
      </c>
      <c r="AA827" t="str">
        <f t="shared" si="165"/>
        <v>Medium</v>
      </c>
      <c r="AB827" t="str">
        <f t="shared" si="166"/>
        <v>Off-Peak</v>
      </c>
      <c r="AC827" s="63">
        <f t="shared" si="167"/>
        <v>0.19230769230769232</v>
      </c>
      <c r="AD827" t="str">
        <f>IF(P827&gt;=Stats!$C$30,"High",IF(P827&lt;=Stats!$C$29,"Low","Normal"))</f>
        <v>Normal</v>
      </c>
      <c r="AE827">
        <f t="shared" si="168"/>
        <v>1</v>
      </c>
    </row>
    <row r="828" spans="1:31" x14ac:dyDescent="0.2">
      <c r="A828">
        <f>Dataset_3!A218</f>
        <v>827</v>
      </c>
      <c r="B828" s="61">
        <f>Dataset_3!B218</f>
        <v>40580</v>
      </c>
      <c r="C828">
        <f>Dataset_3!C218</f>
        <v>1</v>
      </c>
      <c r="D828">
        <f>Dataset_3!D218</f>
        <v>0</v>
      </c>
      <c r="E828">
        <f>Dataset_3!E218</f>
        <v>2</v>
      </c>
      <c r="F828">
        <f>Dataset_3!F218</f>
        <v>21</v>
      </c>
      <c r="G828" t="b">
        <f>Dataset_3!G218</f>
        <v>0</v>
      </c>
      <c r="H828">
        <f>Dataset_3!H218</f>
        <v>0</v>
      </c>
      <c r="I828">
        <f>Dataset_3!I218</f>
        <v>1</v>
      </c>
      <c r="J828" s="55">
        <f>Dataset_3!J218</f>
        <v>0.26</v>
      </c>
      <c r="K828">
        <f>Dataset_3!K218</f>
        <v>0.30299999999999999</v>
      </c>
      <c r="L828">
        <f>Dataset_3!L218</f>
        <v>0.6</v>
      </c>
      <c r="M828">
        <f>Dataset_3!M218</f>
        <v>0</v>
      </c>
      <c r="N828">
        <f>Dataset_3!N218</f>
        <v>5</v>
      </c>
      <c r="O828">
        <f>Dataset_3!O218</f>
        <v>22</v>
      </c>
      <c r="P828">
        <f>Dataset_3!P218</f>
        <v>27</v>
      </c>
      <c r="Q828" t="str">
        <f t="shared" si="156"/>
        <v>REC-0827</v>
      </c>
      <c r="R828" s="62">
        <f t="shared" si="157"/>
        <v>40580.875</v>
      </c>
      <c r="S828" t="str">
        <f t="shared" si="158"/>
        <v>Feb</v>
      </c>
      <c r="T828" t="str">
        <f>INDEX(Lookups!$B$39:$B$45,MATCH(H828,Lookups!$A$39:$A$45,0))</f>
        <v>Sun</v>
      </c>
      <c r="U828" t="str">
        <f t="shared" si="159"/>
        <v>Weekend</v>
      </c>
      <c r="V828" t="str">
        <f t="shared" si="160"/>
        <v>Non-Working Day</v>
      </c>
      <c r="W828" t="str">
        <f t="shared" si="161"/>
        <v>Spring</v>
      </c>
      <c r="X828" t="str">
        <f t="shared" si="162"/>
        <v>Clear</v>
      </c>
      <c r="Y828" t="str">
        <f t="shared" si="163"/>
        <v>Late Evening</v>
      </c>
      <c r="Z828" t="str">
        <f t="shared" si="164"/>
        <v>Mild</v>
      </c>
      <c r="AA828" t="str">
        <f t="shared" si="165"/>
        <v>Medium</v>
      </c>
      <c r="AB828" t="str">
        <f t="shared" si="166"/>
        <v>Off-Peak</v>
      </c>
      <c r="AC828" s="63">
        <f t="shared" si="167"/>
        <v>0.18518518518518517</v>
      </c>
      <c r="AD828" t="str">
        <f>IF(P828&gt;=Stats!$C$30,"High",IF(P828&lt;=Stats!$C$29,"Low","Normal"))</f>
        <v>Normal</v>
      </c>
      <c r="AE828">
        <f t="shared" si="168"/>
        <v>1</v>
      </c>
    </row>
    <row r="829" spans="1:31" x14ac:dyDescent="0.2">
      <c r="A829">
        <f>Dataset_3!A219</f>
        <v>828</v>
      </c>
      <c r="B829" s="61">
        <f>Dataset_3!B219</f>
        <v>40580</v>
      </c>
      <c r="C829">
        <f>Dataset_3!C219</f>
        <v>1</v>
      </c>
      <c r="D829">
        <f>Dataset_3!D219</f>
        <v>0</v>
      </c>
      <c r="E829">
        <f>Dataset_3!E219</f>
        <v>2</v>
      </c>
      <c r="F829">
        <f>Dataset_3!F219</f>
        <v>22</v>
      </c>
      <c r="G829" t="b">
        <f>Dataset_3!G219</f>
        <v>0</v>
      </c>
      <c r="H829">
        <f>Dataset_3!H219</f>
        <v>0</v>
      </c>
      <c r="I829">
        <f>Dataset_3!I219</f>
        <v>1</v>
      </c>
      <c r="J829" s="55">
        <f>Dataset_3!J219</f>
        <v>0.26</v>
      </c>
      <c r="K829">
        <f>Dataset_3!K219</f>
        <v>0.30299999999999999</v>
      </c>
      <c r="L829">
        <f>Dataset_3!L219</f>
        <v>0.6</v>
      </c>
      <c r="M829">
        <f>Dataset_3!M219</f>
        <v>0</v>
      </c>
      <c r="N829">
        <f>Dataset_3!N219</f>
        <v>5</v>
      </c>
      <c r="O829">
        <f>Dataset_3!O219</f>
        <v>57</v>
      </c>
      <c r="P829">
        <f>Dataset_3!P219</f>
        <v>62</v>
      </c>
      <c r="Q829" t="str">
        <f t="shared" si="156"/>
        <v>REC-0828</v>
      </c>
      <c r="R829" s="62">
        <f t="shared" si="157"/>
        <v>40580.916666666664</v>
      </c>
      <c r="S829" t="str">
        <f t="shared" si="158"/>
        <v>Feb</v>
      </c>
      <c r="T829" t="str">
        <f>INDEX(Lookups!$B$39:$B$45,MATCH(H829,Lookups!$A$39:$A$45,0))</f>
        <v>Sun</v>
      </c>
      <c r="U829" t="str">
        <f t="shared" si="159"/>
        <v>Weekend</v>
      </c>
      <c r="V829" t="str">
        <f t="shared" si="160"/>
        <v>Non-Working Day</v>
      </c>
      <c r="W829" t="str">
        <f t="shared" si="161"/>
        <v>Spring</v>
      </c>
      <c r="X829" t="str">
        <f t="shared" si="162"/>
        <v>Clear</v>
      </c>
      <c r="Y829" t="str">
        <f t="shared" si="163"/>
        <v>Late Evening</v>
      </c>
      <c r="Z829" t="str">
        <f t="shared" si="164"/>
        <v>Mild</v>
      </c>
      <c r="AA829" t="str">
        <f t="shared" si="165"/>
        <v>Medium</v>
      </c>
      <c r="AB829" t="str">
        <f t="shared" si="166"/>
        <v>Off-Peak</v>
      </c>
      <c r="AC829" s="63">
        <f t="shared" si="167"/>
        <v>8.0645161290322578E-2</v>
      </c>
      <c r="AD829" t="str">
        <f>IF(P829&gt;=Stats!$C$30,"High",IF(P829&lt;=Stats!$C$29,"Low","Normal"))</f>
        <v>Normal</v>
      </c>
      <c r="AE829">
        <f t="shared" si="168"/>
        <v>1</v>
      </c>
    </row>
    <row r="830" spans="1:31" x14ac:dyDescent="0.2">
      <c r="A830">
        <f>Dataset_3!A220</f>
        <v>829</v>
      </c>
      <c r="B830" s="61">
        <f>Dataset_3!B220</f>
        <v>40580</v>
      </c>
      <c r="C830">
        <f>Dataset_3!C220</f>
        <v>1</v>
      </c>
      <c r="D830">
        <f>Dataset_3!D220</f>
        <v>0</v>
      </c>
      <c r="E830">
        <f>Dataset_3!E220</f>
        <v>2</v>
      </c>
      <c r="F830">
        <f>Dataset_3!F220</f>
        <v>23</v>
      </c>
      <c r="G830" t="b">
        <f>Dataset_3!G220</f>
        <v>0</v>
      </c>
      <c r="H830">
        <f>Dataset_3!H220</f>
        <v>0</v>
      </c>
      <c r="I830">
        <f>Dataset_3!I220</f>
        <v>1</v>
      </c>
      <c r="J830" s="55">
        <f>Dataset_3!J220</f>
        <v>0.24</v>
      </c>
      <c r="K830">
        <f>Dataset_3!K220</f>
        <v>0.28789999999999999</v>
      </c>
      <c r="L830">
        <f>Dataset_3!L220</f>
        <v>0.65</v>
      </c>
      <c r="M830">
        <f>Dataset_3!M220</f>
        <v>0</v>
      </c>
      <c r="N830">
        <f>Dataset_3!N220</f>
        <v>4</v>
      </c>
      <c r="O830">
        <f>Dataset_3!O220</f>
        <v>26</v>
      </c>
      <c r="P830">
        <f>Dataset_3!P220</f>
        <v>30</v>
      </c>
      <c r="Q830" t="str">
        <f t="shared" si="156"/>
        <v>REC-0829</v>
      </c>
      <c r="R830" s="62">
        <f t="shared" si="157"/>
        <v>40580.958333333336</v>
      </c>
      <c r="S830" t="str">
        <f t="shared" si="158"/>
        <v>Feb</v>
      </c>
      <c r="T830" t="str">
        <f>INDEX(Lookups!$B$39:$B$45,MATCH(H830,Lookups!$A$39:$A$45,0))</f>
        <v>Sun</v>
      </c>
      <c r="U830" t="str">
        <f t="shared" si="159"/>
        <v>Weekend</v>
      </c>
      <c r="V830" t="str">
        <f t="shared" si="160"/>
        <v>Non-Working Day</v>
      </c>
      <c r="W830" t="str">
        <f t="shared" si="161"/>
        <v>Spring</v>
      </c>
      <c r="X830" t="str">
        <f t="shared" si="162"/>
        <v>Clear</v>
      </c>
      <c r="Y830" t="str">
        <f t="shared" si="163"/>
        <v>Late Evening</v>
      </c>
      <c r="Z830" t="str">
        <f t="shared" si="164"/>
        <v>Mild</v>
      </c>
      <c r="AA830" t="str">
        <f t="shared" si="165"/>
        <v>Medium</v>
      </c>
      <c r="AB830" t="str">
        <f t="shared" si="166"/>
        <v>Off-Peak</v>
      </c>
      <c r="AC830" s="63">
        <f t="shared" si="167"/>
        <v>0.13333333333333333</v>
      </c>
      <c r="AD830" t="str">
        <f>IF(P830&gt;=Stats!$C$30,"High",IF(P830&lt;=Stats!$C$29,"Low","Normal"))</f>
        <v>Normal</v>
      </c>
      <c r="AE830">
        <f t="shared" si="168"/>
        <v>1</v>
      </c>
    </row>
    <row r="831" spans="1:31" x14ac:dyDescent="0.2">
      <c r="A831">
        <f>Dataset_3!A221</f>
        <v>830</v>
      </c>
      <c r="B831" s="61">
        <f>Dataset_3!B221</f>
        <v>40581</v>
      </c>
      <c r="C831">
        <f>Dataset_3!C221</f>
        <v>1</v>
      </c>
      <c r="D831">
        <f>Dataset_3!D221</f>
        <v>0</v>
      </c>
      <c r="E831">
        <f>Dataset_3!E221</f>
        <v>2</v>
      </c>
      <c r="F831">
        <f>Dataset_3!F221</f>
        <v>0</v>
      </c>
      <c r="G831" t="b">
        <f>Dataset_3!G221</f>
        <v>0</v>
      </c>
      <c r="H831">
        <f>Dataset_3!H221</f>
        <v>1</v>
      </c>
      <c r="I831">
        <f>Dataset_3!I221</f>
        <v>1</v>
      </c>
      <c r="J831" s="55">
        <f>Dataset_3!J221</f>
        <v>0.24</v>
      </c>
      <c r="K831">
        <f>Dataset_3!K221</f>
        <v>0.28789999999999999</v>
      </c>
      <c r="L831">
        <f>Dataset_3!L221</f>
        <v>0.65</v>
      </c>
      <c r="M831">
        <f>Dataset_3!M221</f>
        <v>0</v>
      </c>
      <c r="N831">
        <f>Dataset_3!N221</f>
        <v>1</v>
      </c>
      <c r="O831">
        <f>Dataset_3!O221</f>
        <v>14</v>
      </c>
      <c r="P831">
        <f>Dataset_3!P221</f>
        <v>15</v>
      </c>
      <c r="Q831" t="str">
        <f t="shared" si="156"/>
        <v>REC-0830</v>
      </c>
      <c r="R831" s="62">
        <f t="shared" si="157"/>
        <v>40581</v>
      </c>
      <c r="S831" t="str">
        <f t="shared" si="158"/>
        <v>Feb</v>
      </c>
      <c r="T831" t="str">
        <f>INDEX(Lookups!$B$39:$B$45,MATCH(H831,Lookups!$A$39:$A$45,0))</f>
        <v>Mon</v>
      </c>
      <c r="U831" t="str">
        <f t="shared" si="159"/>
        <v>Weekday</v>
      </c>
      <c r="V831" t="str">
        <f t="shared" si="160"/>
        <v>Working Day</v>
      </c>
      <c r="W831" t="str">
        <f t="shared" si="161"/>
        <v>Spring</v>
      </c>
      <c r="X831" t="str">
        <f t="shared" si="162"/>
        <v>Clear</v>
      </c>
      <c r="Y831" t="str">
        <f t="shared" si="163"/>
        <v>Night</v>
      </c>
      <c r="Z831" t="str">
        <f t="shared" si="164"/>
        <v>Mild</v>
      </c>
      <c r="AA831" t="str">
        <f t="shared" si="165"/>
        <v>Medium</v>
      </c>
      <c r="AB831" t="str">
        <f t="shared" si="166"/>
        <v>Off-Peak</v>
      </c>
      <c r="AC831" s="63">
        <f t="shared" si="167"/>
        <v>6.6666666666666666E-2</v>
      </c>
      <c r="AD831" t="str">
        <f>IF(P831&gt;=Stats!$C$30,"High",IF(P831&lt;=Stats!$C$29,"Low","Normal"))</f>
        <v>Low</v>
      </c>
      <c r="AE831">
        <f t="shared" si="168"/>
        <v>1</v>
      </c>
    </row>
    <row r="832" spans="1:31" x14ac:dyDescent="0.2">
      <c r="A832">
        <f>Dataset_3!A222</f>
        <v>831</v>
      </c>
      <c r="B832" s="61">
        <f>Dataset_3!B222</f>
        <v>40581</v>
      </c>
      <c r="C832">
        <f>Dataset_3!C222</f>
        <v>1</v>
      </c>
      <c r="D832">
        <f>Dataset_3!D222</f>
        <v>0</v>
      </c>
      <c r="E832">
        <f>Dataset_3!E222</f>
        <v>2</v>
      </c>
      <c r="F832">
        <f>Dataset_3!F222</f>
        <v>1</v>
      </c>
      <c r="G832" t="b">
        <f>Dataset_3!G222</f>
        <v>0</v>
      </c>
      <c r="H832">
        <f>Dataset_3!H222</f>
        <v>1</v>
      </c>
      <c r="I832">
        <f>Dataset_3!I222</f>
        <v>1</v>
      </c>
      <c r="J832" s="55">
        <f>Dataset_3!J222</f>
        <v>0.22</v>
      </c>
      <c r="K832">
        <f>Dataset_3!K222</f>
        <v>0.2727</v>
      </c>
      <c r="L832">
        <f>Dataset_3!L222</f>
        <v>0.75</v>
      </c>
      <c r="M832">
        <f>Dataset_3!M222</f>
        <v>0</v>
      </c>
      <c r="N832">
        <f>Dataset_3!N222</f>
        <v>1</v>
      </c>
      <c r="O832">
        <f>Dataset_3!O222</f>
        <v>4</v>
      </c>
      <c r="P832">
        <f>Dataset_3!P222</f>
        <v>5</v>
      </c>
      <c r="Q832" t="str">
        <f t="shared" si="156"/>
        <v>REC-0831</v>
      </c>
      <c r="R832" s="62">
        <f t="shared" si="157"/>
        <v>40581.041666666664</v>
      </c>
      <c r="S832" t="str">
        <f t="shared" si="158"/>
        <v>Feb</v>
      </c>
      <c r="T832" t="str">
        <f>INDEX(Lookups!$B$39:$B$45,MATCH(H832,Lookups!$A$39:$A$45,0))</f>
        <v>Mon</v>
      </c>
      <c r="U832" t="str">
        <f t="shared" si="159"/>
        <v>Weekday</v>
      </c>
      <c r="V832" t="str">
        <f t="shared" si="160"/>
        <v>Working Day</v>
      </c>
      <c r="W832" t="str">
        <f t="shared" si="161"/>
        <v>Spring</v>
      </c>
      <c r="X832" t="str">
        <f t="shared" si="162"/>
        <v>Clear</v>
      </c>
      <c r="Y832" t="str">
        <f t="shared" si="163"/>
        <v>Night</v>
      </c>
      <c r="Z832" t="str">
        <f t="shared" si="164"/>
        <v>Mild</v>
      </c>
      <c r="AA832" t="str">
        <f t="shared" si="165"/>
        <v>High</v>
      </c>
      <c r="AB832" t="str">
        <f t="shared" si="166"/>
        <v>Off-Peak</v>
      </c>
      <c r="AC832" s="63">
        <f t="shared" si="167"/>
        <v>0.2</v>
      </c>
      <c r="AD832" t="str">
        <f>IF(P832&gt;=Stats!$C$30,"High",IF(P832&lt;=Stats!$C$29,"Low","Normal"))</f>
        <v>Low</v>
      </c>
      <c r="AE832">
        <f t="shared" si="168"/>
        <v>1</v>
      </c>
    </row>
    <row r="833" spans="1:31" x14ac:dyDescent="0.2">
      <c r="A833">
        <f>Dataset_3!A223</f>
        <v>832</v>
      </c>
      <c r="B833" s="61">
        <f>Dataset_3!B223</f>
        <v>40581</v>
      </c>
      <c r="C833">
        <f>Dataset_3!C223</f>
        <v>1</v>
      </c>
      <c r="D833">
        <f>Dataset_3!D223</f>
        <v>0</v>
      </c>
      <c r="E833">
        <f>Dataset_3!E223</f>
        <v>2</v>
      </c>
      <c r="F833">
        <f>Dataset_3!F223</f>
        <v>2</v>
      </c>
      <c r="G833" t="b">
        <f>Dataset_3!G223</f>
        <v>0</v>
      </c>
      <c r="H833">
        <f>Dataset_3!H223</f>
        <v>1</v>
      </c>
      <c r="I833">
        <f>Dataset_3!I223</f>
        <v>1</v>
      </c>
      <c r="J833" s="55">
        <f>Dataset_3!J223</f>
        <v>0.2</v>
      </c>
      <c r="K833">
        <f>Dataset_3!K223</f>
        <v>0.2576</v>
      </c>
      <c r="L833">
        <f>Dataset_3!L223</f>
        <v>0.8</v>
      </c>
      <c r="M833">
        <f>Dataset_3!M223</f>
        <v>0</v>
      </c>
      <c r="N833">
        <f>Dataset_3!N223</f>
        <v>0</v>
      </c>
      <c r="O833">
        <f>Dataset_3!O223</f>
        <v>3</v>
      </c>
      <c r="P833">
        <f>Dataset_3!P223</f>
        <v>3</v>
      </c>
      <c r="Q833" t="str">
        <f t="shared" si="156"/>
        <v>REC-0832</v>
      </c>
      <c r="R833" s="62">
        <f t="shared" si="157"/>
        <v>40581.083333333336</v>
      </c>
      <c r="S833" t="str">
        <f t="shared" si="158"/>
        <v>Feb</v>
      </c>
      <c r="T833" t="str">
        <f>INDEX(Lookups!$B$39:$B$45,MATCH(H833,Lookups!$A$39:$A$45,0))</f>
        <v>Mon</v>
      </c>
      <c r="U833" t="str">
        <f t="shared" si="159"/>
        <v>Weekday</v>
      </c>
      <c r="V833" t="str">
        <f t="shared" si="160"/>
        <v>Working Day</v>
      </c>
      <c r="W833" t="str">
        <f t="shared" si="161"/>
        <v>Spring</v>
      </c>
      <c r="X833" t="str">
        <f t="shared" si="162"/>
        <v>Clear</v>
      </c>
      <c r="Y833" t="str">
        <f t="shared" si="163"/>
        <v>Night</v>
      </c>
      <c r="Z833" t="str">
        <f t="shared" si="164"/>
        <v>Mild</v>
      </c>
      <c r="AA833" t="str">
        <f t="shared" si="165"/>
        <v>High</v>
      </c>
      <c r="AB833" t="str">
        <f t="shared" si="166"/>
        <v>Off-Peak</v>
      </c>
      <c r="AC833" s="63">
        <f t="shared" si="167"/>
        <v>0</v>
      </c>
      <c r="AD833" t="str">
        <f>IF(P833&gt;=Stats!$C$30,"High",IF(P833&lt;=Stats!$C$29,"Low","Normal"))</f>
        <v>Low</v>
      </c>
      <c r="AE833">
        <f t="shared" si="168"/>
        <v>1</v>
      </c>
    </row>
    <row r="834" spans="1:31" x14ac:dyDescent="0.2">
      <c r="A834">
        <f>Dataset_3!A224</f>
        <v>833</v>
      </c>
      <c r="B834" s="61">
        <f>Dataset_3!B224</f>
        <v>40581</v>
      </c>
      <c r="C834">
        <f>Dataset_3!C224</f>
        <v>1</v>
      </c>
      <c r="D834">
        <f>Dataset_3!D224</f>
        <v>0</v>
      </c>
      <c r="E834">
        <f>Dataset_3!E224</f>
        <v>2</v>
      </c>
      <c r="F834">
        <f>Dataset_3!F224</f>
        <v>3</v>
      </c>
      <c r="G834" t="b">
        <f>Dataset_3!G224</f>
        <v>0</v>
      </c>
      <c r="H834">
        <f>Dataset_3!H224</f>
        <v>1</v>
      </c>
      <c r="I834">
        <f>Dataset_3!I224</f>
        <v>1</v>
      </c>
      <c r="J834" s="55">
        <f>Dataset_3!J224</f>
        <v>0.2</v>
      </c>
      <c r="K834">
        <f>Dataset_3!K224</f>
        <v>0.2576</v>
      </c>
      <c r="L834">
        <f>Dataset_3!L224</f>
        <v>0.86</v>
      </c>
      <c r="M834">
        <f>Dataset_3!M224</f>
        <v>0</v>
      </c>
      <c r="N834">
        <f>Dataset_3!N224</f>
        <v>0</v>
      </c>
      <c r="O834">
        <f>Dataset_3!O224</f>
        <v>1</v>
      </c>
      <c r="P834">
        <f>Dataset_3!P224</f>
        <v>1</v>
      </c>
      <c r="Q834" t="str">
        <f t="shared" ref="Q834:Q897" si="169">"REC-"&amp;TEXT(A834,"0000")</f>
        <v>REC-0833</v>
      </c>
      <c r="R834" s="62">
        <f t="shared" ref="R834:R897" si="170">B834+F834/24</f>
        <v>40581.125</v>
      </c>
      <c r="S834" t="str">
        <f t="shared" ref="S834:S897" si="171">TEXT(B834,"mmm")</f>
        <v>Feb</v>
      </c>
      <c r="T834" t="str">
        <f>INDEX(Lookups!$B$39:$B$45,MATCH(H834,Lookups!$A$39:$A$45,0))</f>
        <v>Mon</v>
      </c>
      <c r="U834" t="str">
        <f t="shared" ref="U834:U897" si="172">IF(OR(H834=0,H834=6),"Weekend","Weekday")</f>
        <v>Weekday</v>
      </c>
      <c r="V834" t="str">
        <f t="shared" ref="V834:V897" si="173">IF(OR(U834="Weekend",G834=TRUE),"Non-Working Day","Working Day")</f>
        <v>Working Day</v>
      </c>
      <c r="W834" t="str">
        <f t="shared" ref="W834:W897" si="174">VLOOKUP(C834,tbl_season,2,FALSE)</f>
        <v>Spring</v>
      </c>
      <c r="X834" t="str">
        <f t="shared" ref="X834:X897" si="175">VLOOKUP(I834,tbl_weather,2,FALSE)</f>
        <v>Clear</v>
      </c>
      <c r="Y834" t="str">
        <f t="shared" ref="Y834:Y897" si="176">INDEX(band_name,MATCH(F834,band_start,1))</f>
        <v>Night</v>
      </c>
      <c r="Z834" t="str">
        <f t="shared" ref="Z834:Z897" si="177">INDEX(temp_band,MATCH(J834,temp_from,1))</f>
        <v>Mild</v>
      </c>
      <c r="AA834" t="str">
        <f t="shared" ref="AA834:AA897" si="178">INDEX(hum_band,MATCH(L834,hum_from,1))</f>
        <v>High</v>
      </c>
      <c r="AB834" t="str">
        <f t="shared" ref="AB834:AB897" si="179">IF(AND(U834="Weekday",OR(AND(F834&gt;=7,F834&lt;=9),AND(F834&gt;=16,F834&lt;=19))),"Peak","Off-Peak")</f>
        <v>Off-Peak</v>
      </c>
      <c r="AC834" s="63">
        <f t="shared" ref="AC834:AC897" si="180">IF(P834=0,0,N834/P834)</f>
        <v>0</v>
      </c>
      <c r="AD834" t="str">
        <f>IF(P834&gt;=Stats!$C$30,"High",IF(P834&lt;=Stats!$C$29,"Low","Normal"))</f>
        <v>Low</v>
      </c>
      <c r="AE834">
        <f t="shared" ref="AE834:AE897" si="181">SUBTOTAL(103,A834)</f>
        <v>1</v>
      </c>
    </row>
    <row r="835" spans="1:31" x14ac:dyDescent="0.2">
      <c r="A835">
        <f>Dataset_3!A225</f>
        <v>834</v>
      </c>
      <c r="B835" s="61">
        <f>Dataset_3!B225</f>
        <v>40581</v>
      </c>
      <c r="C835">
        <f>Dataset_3!C225</f>
        <v>1</v>
      </c>
      <c r="D835">
        <f>Dataset_3!D225</f>
        <v>0</v>
      </c>
      <c r="E835">
        <f>Dataset_3!E225</f>
        <v>2</v>
      </c>
      <c r="F835">
        <f>Dataset_3!F225</f>
        <v>4</v>
      </c>
      <c r="G835" t="b">
        <f>Dataset_3!G225</f>
        <v>0</v>
      </c>
      <c r="H835">
        <f>Dataset_3!H225</f>
        <v>1</v>
      </c>
      <c r="I835">
        <f>Dataset_3!I225</f>
        <v>1</v>
      </c>
      <c r="J835" s="55">
        <f>Dataset_3!J225</f>
        <v>0.2</v>
      </c>
      <c r="K835">
        <f>Dataset_3!K225</f>
        <v>0.2576</v>
      </c>
      <c r="L835">
        <f>Dataset_3!L225</f>
        <v>0.86</v>
      </c>
      <c r="M835">
        <f>Dataset_3!M225</f>
        <v>0</v>
      </c>
      <c r="N835">
        <f>Dataset_3!N225</f>
        <v>1</v>
      </c>
      <c r="O835">
        <f>Dataset_3!O225</f>
        <v>1</v>
      </c>
      <c r="P835">
        <f>Dataset_3!P225</f>
        <v>2</v>
      </c>
      <c r="Q835" t="str">
        <f t="shared" si="169"/>
        <v>REC-0834</v>
      </c>
      <c r="R835" s="62">
        <f t="shared" si="170"/>
        <v>40581.166666666664</v>
      </c>
      <c r="S835" t="str">
        <f t="shared" si="171"/>
        <v>Feb</v>
      </c>
      <c r="T835" t="str">
        <f>INDEX(Lookups!$B$39:$B$45,MATCH(H835,Lookups!$A$39:$A$45,0))</f>
        <v>Mon</v>
      </c>
      <c r="U835" t="str">
        <f t="shared" si="172"/>
        <v>Weekday</v>
      </c>
      <c r="V835" t="str">
        <f t="shared" si="173"/>
        <v>Working Day</v>
      </c>
      <c r="W835" t="str">
        <f t="shared" si="174"/>
        <v>Spring</v>
      </c>
      <c r="X835" t="str">
        <f t="shared" si="175"/>
        <v>Clear</v>
      </c>
      <c r="Y835" t="str">
        <f t="shared" si="176"/>
        <v>Night</v>
      </c>
      <c r="Z835" t="str">
        <f t="shared" si="177"/>
        <v>Mild</v>
      </c>
      <c r="AA835" t="str">
        <f t="shared" si="178"/>
        <v>High</v>
      </c>
      <c r="AB835" t="str">
        <f t="shared" si="179"/>
        <v>Off-Peak</v>
      </c>
      <c r="AC835" s="63">
        <f t="shared" si="180"/>
        <v>0.5</v>
      </c>
      <c r="AD835" t="str">
        <f>IF(P835&gt;=Stats!$C$30,"High",IF(P835&lt;=Stats!$C$29,"Low","Normal"))</f>
        <v>Low</v>
      </c>
      <c r="AE835">
        <f t="shared" si="181"/>
        <v>1</v>
      </c>
    </row>
    <row r="836" spans="1:31" x14ac:dyDescent="0.2">
      <c r="A836">
        <f>Dataset_3!A226</f>
        <v>835</v>
      </c>
      <c r="B836" s="61">
        <f>Dataset_3!B226</f>
        <v>40581</v>
      </c>
      <c r="C836">
        <f>Dataset_3!C226</f>
        <v>1</v>
      </c>
      <c r="D836">
        <f>Dataset_3!D226</f>
        <v>0</v>
      </c>
      <c r="E836">
        <f>Dataset_3!E226</f>
        <v>2</v>
      </c>
      <c r="F836">
        <f>Dataset_3!F226</f>
        <v>5</v>
      </c>
      <c r="G836" t="b">
        <f>Dataset_3!G226</f>
        <v>0</v>
      </c>
      <c r="H836">
        <f>Dataset_3!H226</f>
        <v>1</v>
      </c>
      <c r="I836">
        <f>Dataset_3!I226</f>
        <v>1</v>
      </c>
      <c r="J836" s="55">
        <f>Dataset_3!J226</f>
        <v>0.2</v>
      </c>
      <c r="K836">
        <f>Dataset_3!K226</f>
        <v>0.2576</v>
      </c>
      <c r="L836">
        <f>Dataset_3!L226</f>
        <v>0.86</v>
      </c>
      <c r="M836">
        <f>Dataset_3!M226</f>
        <v>0</v>
      </c>
      <c r="N836">
        <f>Dataset_3!N226</f>
        <v>1</v>
      </c>
      <c r="O836">
        <f>Dataset_3!O226</f>
        <v>9</v>
      </c>
      <c r="P836">
        <f>Dataset_3!P226</f>
        <v>10</v>
      </c>
      <c r="Q836" t="str">
        <f t="shared" si="169"/>
        <v>REC-0835</v>
      </c>
      <c r="R836" s="62">
        <f t="shared" si="170"/>
        <v>40581.208333333336</v>
      </c>
      <c r="S836" t="str">
        <f t="shared" si="171"/>
        <v>Feb</v>
      </c>
      <c r="T836" t="str">
        <f>INDEX(Lookups!$B$39:$B$45,MATCH(H836,Lookups!$A$39:$A$45,0))</f>
        <v>Mon</v>
      </c>
      <c r="U836" t="str">
        <f t="shared" si="172"/>
        <v>Weekday</v>
      </c>
      <c r="V836" t="str">
        <f t="shared" si="173"/>
        <v>Working Day</v>
      </c>
      <c r="W836" t="str">
        <f t="shared" si="174"/>
        <v>Spring</v>
      </c>
      <c r="X836" t="str">
        <f t="shared" si="175"/>
        <v>Clear</v>
      </c>
      <c r="Y836" t="str">
        <f t="shared" si="176"/>
        <v>Night</v>
      </c>
      <c r="Z836" t="str">
        <f t="shared" si="177"/>
        <v>Mild</v>
      </c>
      <c r="AA836" t="str">
        <f t="shared" si="178"/>
        <v>High</v>
      </c>
      <c r="AB836" t="str">
        <f t="shared" si="179"/>
        <v>Off-Peak</v>
      </c>
      <c r="AC836" s="63">
        <f t="shared" si="180"/>
        <v>0.1</v>
      </c>
      <c r="AD836" t="str">
        <f>IF(P836&gt;=Stats!$C$30,"High",IF(P836&lt;=Stats!$C$29,"Low","Normal"))</f>
        <v>Low</v>
      </c>
      <c r="AE836">
        <f t="shared" si="181"/>
        <v>1</v>
      </c>
    </row>
    <row r="837" spans="1:31" x14ac:dyDescent="0.2">
      <c r="A837">
        <f>Dataset_3!A227</f>
        <v>836</v>
      </c>
      <c r="B837" s="61">
        <f>Dataset_3!B227</f>
        <v>40581</v>
      </c>
      <c r="C837">
        <f>Dataset_3!C227</f>
        <v>1</v>
      </c>
      <c r="D837">
        <f>Dataset_3!D227</f>
        <v>0</v>
      </c>
      <c r="E837">
        <f>Dataset_3!E227</f>
        <v>2</v>
      </c>
      <c r="F837">
        <f>Dataset_3!F227</f>
        <v>6</v>
      </c>
      <c r="G837" t="b">
        <f>Dataset_3!G227</f>
        <v>0</v>
      </c>
      <c r="H837">
        <f>Dataset_3!H227</f>
        <v>1</v>
      </c>
      <c r="I837">
        <f>Dataset_3!I227</f>
        <v>1</v>
      </c>
      <c r="J837" s="55">
        <f>Dataset_3!J227</f>
        <v>0.18</v>
      </c>
      <c r="K837">
        <f>Dataset_3!K227</f>
        <v>0.2424</v>
      </c>
      <c r="L837">
        <f>Dataset_3!L227</f>
        <v>0.93</v>
      </c>
      <c r="M837">
        <f>Dataset_3!M227</f>
        <v>0</v>
      </c>
      <c r="N837">
        <f>Dataset_3!N227</f>
        <v>1</v>
      </c>
      <c r="O837">
        <f>Dataset_3!O227</f>
        <v>29</v>
      </c>
      <c r="P837">
        <f>Dataset_3!P227</f>
        <v>30</v>
      </c>
      <c r="Q837" t="str">
        <f t="shared" si="169"/>
        <v>REC-0836</v>
      </c>
      <c r="R837" s="62">
        <f t="shared" si="170"/>
        <v>40581.25</v>
      </c>
      <c r="S837" t="str">
        <f t="shared" si="171"/>
        <v>Feb</v>
      </c>
      <c r="T837" t="str">
        <f>INDEX(Lookups!$B$39:$B$45,MATCH(H837,Lookups!$A$39:$A$45,0))</f>
        <v>Mon</v>
      </c>
      <c r="U837" t="str">
        <f t="shared" si="172"/>
        <v>Weekday</v>
      </c>
      <c r="V837" t="str">
        <f t="shared" si="173"/>
        <v>Working Day</v>
      </c>
      <c r="W837" t="str">
        <f t="shared" si="174"/>
        <v>Spring</v>
      </c>
      <c r="X837" t="str">
        <f t="shared" si="175"/>
        <v>Clear</v>
      </c>
      <c r="Y837" t="str">
        <f t="shared" si="176"/>
        <v>Morning</v>
      </c>
      <c r="Z837" t="str">
        <f t="shared" si="177"/>
        <v>Cold</v>
      </c>
      <c r="AA837" t="str">
        <f t="shared" si="178"/>
        <v>High</v>
      </c>
      <c r="AB837" t="str">
        <f t="shared" si="179"/>
        <v>Off-Peak</v>
      </c>
      <c r="AC837" s="63">
        <f t="shared" si="180"/>
        <v>3.3333333333333333E-2</v>
      </c>
      <c r="AD837" t="str">
        <f>IF(P837&gt;=Stats!$C$30,"High",IF(P837&lt;=Stats!$C$29,"Low","Normal"))</f>
        <v>Normal</v>
      </c>
      <c r="AE837">
        <f t="shared" si="181"/>
        <v>1</v>
      </c>
    </row>
    <row r="838" spans="1:31" x14ac:dyDescent="0.2">
      <c r="A838">
        <f>Dataset_3!A228</f>
        <v>837</v>
      </c>
      <c r="B838" s="61">
        <f>Dataset_3!B228</f>
        <v>40581</v>
      </c>
      <c r="C838">
        <f>Dataset_3!C228</f>
        <v>1</v>
      </c>
      <c r="D838">
        <f>Dataset_3!D228</f>
        <v>0</v>
      </c>
      <c r="E838">
        <f>Dataset_3!E228</f>
        <v>2</v>
      </c>
      <c r="F838">
        <f>Dataset_3!F228</f>
        <v>7</v>
      </c>
      <c r="G838" t="b">
        <f>Dataset_3!G228</f>
        <v>0</v>
      </c>
      <c r="H838">
        <f>Dataset_3!H228</f>
        <v>1</v>
      </c>
      <c r="I838">
        <f>Dataset_3!I228</f>
        <v>1</v>
      </c>
      <c r="J838" s="55">
        <f>Dataset_3!J228</f>
        <v>0.18</v>
      </c>
      <c r="K838">
        <f>Dataset_3!K228</f>
        <v>0.2424</v>
      </c>
      <c r="L838">
        <f>Dataset_3!L228</f>
        <v>0.86</v>
      </c>
      <c r="M838">
        <f>Dataset_3!M228</f>
        <v>0</v>
      </c>
      <c r="N838">
        <f>Dataset_3!N228</f>
        <v>6</v>
      </c>
      <c r="O838">
        <f>Dataset_3!O228</f>
        <v>89</v>
      </c>
      <c r="P838">
        <f>Dataset_3!P228</f>
        <v>95</v>
      </c>
      <c r="Q838" t="str">
        <f t="shared" si="169"/>
        <v>REC-0837</v>
      </c>
      <c r="R838" s="62">
        <f t="shared" si="170"/>
        <v>40581.291666666664</v>
      </c>
      <c r="S838" t="str">
        <f t="shared" si="171"/>
        <v>Feb</v>
      </c>
      <c r="T838" t="str">
        <f>INDEX(Lookups!$B$39:$B$45,MATCH(H838,Lookups!$A$39:$A$45,0))</f>
        <v>Mon</v>
      </c>
      <c r="U838" t="str">
        <f t="shared" si="172"/>
        <v>Weekday</v>
      </c>
      <c r="V838" t="str">
        <f t="shared" si="173"/>
        <v>Working Day</v>
      </c>
      <c r="W838" t="str">
        <f t="shared" si="174"/>
        <v>Spring</v>
      </c>
      <c r="X838" t="str">
        <f t="shared" si="175"/>
        <v>Clear</v>
      </c>
      <c r="Y838" t="str">
        <f t="shared" si="176"/>
        <v>Morning</v>
      </c>
      <c r="Z838" t="str">
        <f t="shared" si="177"/>
        <v>Cold</v>
      </c>
      <c r="AA838" t="str">
        <f t="shared" si="178"/>
        <v>High</v>
      </c>
      <c r="AB838" t="str">
        <f t="shared" si="179"/>
        <v>Peak</v>
      </c>
      <c r="AC838" s="63">
        <f t="shared" si="180"/>
        <v>6.3157894736842107E-2</v>
      </c>
      <c r="AD838" t="str">
        <f>IF(P838&gt;=Stats!$C$30,"High",IF(P838&lt;=Stats!$C$29,"Low","Normal"))</f>
        <v>High</v>
      </c>
      <c r="AE838">
        <f t="shared" si="181"/>
        <v>1</v>
      </c>
    </row>
    <row r="839" spans="1:31" x14ac:dyDescent="0.2">
      <c r="A839">
        <f>Dataset_3!A229</f>
        <v>838</v>
      </c>
      <c r="B839" s="61">
        <f>Dataset_3!B229</f>
        <v>40581</v>
      </c>
      <c r="C839">
        <f>Dataset_3!C229</f>
        <v>1</v>
      </c>
      <c r="D839">
        <f>Dataset_3!D229</f>
        <v>0</v>
      </c>
      <c r="E839">
        <f>Dataset_3!E229</f>
        <v>2</v>
      </c>
      <c r="F839">
        <f>Dataset_3!F229</f>
        <v>8</v>
      </c>
      <c r="G839" t="b">
        <f>Dataset_3!G229</f>
        <v>0</v>
      </c>
      <c r="H839">
        <f>Dataset_3!H229</f>
        <v>1</v>
      </c>
      <c r="I839">
        <f>Dataset_3!I229</f>
        <v>2</v>
      </c>
      <c r="J839" s="55">
        <f>Dataset_3!J229</f>
        <v>0.16</v>
      </c>
      <c r="K839">
        <f>Dataset_3!K229</f>
        <v>0.2273</v>
      </c>
      <c r="L839">
        <f>Dataset_3!L229</f>
        <v>1</v>
      </c>
      <c r="M839">
        <f>Dataset_3!M229</f>
        <v>0</v>
      </c>
      <c r="N839">
        <f>Dataset_3!N229</f>
        <v>7</v>
      </c>
      <c r="O839">
        <f>Dataset_3!O229</f>
        <v>223</v>
      </c>
      <c r="P839">
        <f>Dataset_3!P229</f>
        <v>230</v>
      </c>
      <c r="Q839" t="str">
        <f t="shared" si="169"/>
        <v>REC-0838</v>
      </c>
      <c r="R839" s="62">
        <f t="shared" si="170"/>
        <v>40581.333333333336</v>
      </c>
      <c r="S839" t="str">
        <f t="shared" si="171"/>
        <v>Feb</v>
      </c>
      <c r="T839" t="str">
        <f>INDEX(Lookups!$B$39:$B$45,MATCH(H839,Lookups!$A$39:$A$45,0))</f>
        <v>Mon</v>
      </c>
      <c r="U839" t="str">
        <f t="shared" si="172"/>
        <v>Weekday</v>
      </c>
      <c r="V839" t="str">
        <f t="shared" si="173"/>
        <v>Working Day</v>
      </c>
      <c r="W839" t="str">
        <f t="shared" si="174"/>
        <v>Spring</v>
      </c>
      <c r="X839" t="str">
        <f t="shared" si="175"/>
        <v>Cloudy/Mist</v>
      </c>
      <c r="Y839" t="str">
        <f t="shared" si="176"/>
        <v>Morning</v>
      </c>
      <c r="Z839" t="str">
        <f t="shared" si="177"/>
        <v>Cold</v>
      </c>
      <c r="AA839" t="str">
        <f t="shared" si="178"/>
        <v>High</v>
      </c>
      <c r="AB839" t="str">
        <f t="shared" si="179"/>
        <v>Peak</v>
      </c>
      <c r="AC839" s="63">
        <f t="shared" si="180"/>
        <v>3.0434782608695653E-2</v>
      </c>
      <c r="AD839" t="str">
        <f>IF(P839&gt;=Stats!$C$30,"High",IF(P839&lt;=Stats!$C$29,"Low","Normal"))</f>
        <v>High</v>
      </c>
      <c r="AE839">
        <f t="shared" si="181"/>
        <v>1</v>
      </c>
    </row>
    <row r="840" spans="1:31" x14ac:dyDescent="0.2">
      <c r="A840">
        <f>Dataset_3!A230</f>
        <v>839</v>
      </c>
      <c r="B840" s="61">
        <f>Dataset_3!B230</f>
        <v>40581</v>
      </c>
      <c r="C840">
        <f>Dataset_3!C230</f>
        <v>1</v>
      </c>
      <c r="D840">
        <f>Dataset_3!D230</f>
        <v>0</v>
      </c>
      <c r="E840">
        <f>Dataset_3!E230</f>
        <v>2</v>
      </c>
      <c r="F840">
        <f>Dataset_3!F230</f>
        <v>9</v>
      </c>
      <c r="G840" t="b">
        <f>Dataset_3!G230</f>
        <v>0</v>
      </c>
      <c r="H840">
        <f>Dataset_3!H230</f>
        <v>1</v>
      </c>
      <c r="I840">
        <f>Dataset_3!I230</f>
        <v>1</v>
      </c>
      <c r="J840" s="55">
        <f>Dataset_3!J230</f>
        <v>0.22</v>
      </c>
      <c r="K840">
        <f>Dataset_3!K230</f>
        <v>0.2727</v>
      </c>
      <c r="L840">
        <f>Dataset_3!L230</f>
        <v>0.8</v>
      </c>
      <c r="M840">
        <f>Dataset_3!M230</f>
        <v>0</v>
      </c>
      <c r="N840">
        <f>Dataset_3!N230</f>
        <v>3</v>
      </c>
      <c r="O840">
        <f>Dataset_3!O230</f>
        <v>115</v>
      </c>
      <c r="P840">
        <f>Dataset_3!P230</f>
        <v>118</v>
      </c>
      <c r="Q840" t="str">
        <f t="shared" si="169"/>
        <v>REC-0839</v>
      </c>
      <c r="R840" s="62">
        <f t="shared" si="170"/>
        <v>40581.375</v>
      </c>
      <c r="S840" t="str">
        <f t="shared" si="171"/>
        <v>Feb</v>
      </c>
      <c r="T840" t="str">
        <f>INDEX(Lookups!$B$39:$B$45,MATCH(H840,Lookups!$A$39:$A$45,0))</f>
        <v>Mon</v>
      </c>
      <c r="U840" t="str">
        <f t="shared" si="172"/>
        <v>Weekday</v>
      </c>
      <c r="V840" t="str">
        <f t="shared" si="173"/>
        <v>Working Day</v>
      </c>
      <c r="W840" t="str">
        <f t="shared" si="174"/>
        <v>Spring</v>
      </c>
      <c r="X840" t="str">
        <f t="shared" si="175"/>
        <v>Clear</v>
      </c>
      <c r="Y840" t="str">
        <f t="shared" si="176"/>
        <v>Morning</v>
      </c>
      <c r="Z840" t="str">
        <f t="shared" si="177"/>
        <v>Mild</v>
      </c>
      <c r="AA840" t="str">
        <f t="shared" si="178"/>
        <v>High</v>
      </c>
      <c r="AB840" t="str">
        <f t="shared" si="179"/>
        <v>Peak</v>
      </c>
      <c r="AC840" s="63">
        <f t="shared" si="180"/>
        <v>2.5423728813559324E-2</v>
      </c>
      <c r="AD840" t="str">
        <f>IF(P840&gt;=Stats!$C$30,"High",IF(P840&lt;=Stats!$C$29,"Low","Normal"))</f>
        <v>High</v>
      </c>
      <c r="AE840">
        <f t="shared" si="181"/>
        <v>1</v>
      </c>
    </row>
    <row r="841" spans="1:31" x14ac:dyDescent="0.2">
      <c r="A841">
        <f>Dataset_3!A231</f>
        <v>840</v>
      </c>
      <c r="B841" s="61">
        <f>Dataset_3!B231</f>
        <v>40581</v>
      </c>
      <c r="C841">
        <f>Dataset_3!C231</f>
        <v>1</v>
      </c>
      <c r="D841">
        <f>Dataset_3!D231</f>
        <v>0</v>
      </c>
      <c r="E841">
        <f>Dataset_3!E231</f>
        <v>2</v>
      </c>
      <c r="F841">
        <f>Dataset_3!F231</f>
        <v>10</v>
      </c>
      <c r="G841" t="b">
        <f>Dataset_3!G231</f>
        <v>0</v>
      </c>
      <c r="H841">
        <f>Dataset_3!H231</f>
        <v>1</v>
      </c>
      <c r="I841">
        <f>Dataset_3!I231</f>
        <v>1</v>
      </c>
      <c r="J841" s="55">
        <f>Dataset_3!J231</f>
        <v>0.24</v>
      </c>
      <c r="K841">
        <f>Dataset_3!K231</f>
        <v>0.2576</v>
      </c>
      <c r="L841">
        <f>Dataset_3!L231</f>
        <v>0.75</v>
      </c>
      <c r="M841">
        <f>Dataset_3!M231</f>
        <v>0.1045</v>
      </c>
      <c r="N841">
        <f>Dataset_3!N231</f>
        <v>6</v>
      </c>
      <c r="O841">
        <f>Dataset_3!O231</f>
        <v>49</v>
      </c>
      <c r="P841">
        <f>Dataset_3!P231</f>
        <v>55</v>
      </c>
      <c r="Q841" t="str">
        <f t="shared" si="169"/>
        <v>REC-0840</v>
      </c>
      <c r="R841" s="62">
        <f t="shared" si="170"/>
        <v>40581.416666666664</v>
      </c>
      <c r="S841" t="str">
        <f t="shared" si="171"/>
        <v>Feb</v>
      </c>
      <c r="T841" t="str">
        <f>INDEX(Lookups!$B$39:$B$45,MATCH(H841,Lookups!$A$39:$A$45,0))</f>
        <v>Mon</v>
      </c>
      <c r="U841" t="str">
        <f t="shared" si="172"/>
        <v>Weekday</v>
      </c>
      <c r="V841" t="str">
        <f t="shared" si="173"/>
        <v>Working Day</v>
      </c>
      <c r="W841" t="str">
        <f t="shared" si="174"/>
        <v>Spring</v>
      </c>
      <c r="X841" t="str">
        <f t="shared" si="175"/>
        <v>Clear</v>
      </c>
      <c r="Y841" t="str">
        <f t="shared" si="176"/>
        <v>Morning</v>
      </c>
      <c r="Z841" t="str">
        <f t="shared" si="177"/>
        <v>Mild</v>
      </c>
      <c r="AA841" t="str">
        <f t="shared" si="178"/>
        <v>High</v>
      </c>
      <c r="AB841" t="str">
        <f t="shared" si="179"/>
        <v>Off-Peak</v>
      </c>
      <c r="AC841" s="63">
        <f t="shared" si="180"/>
        <v>0.10909090909090909</v>
      </c>
      <c r="AD841" t="str">
        <f>IF(P841&gt;=Stats!$C$30,"High",IF(P841&lt;=Stats!$C$29,"Low","Normal"))</f>
        <v>Normal</v>
      </c>
      <c r="AE841">
        <f t="shared" si="181"/>
        <v>1</v>
      </c>
    </row>
    <row r="842" spans="1:31" x14ac:dyDescent="0.2">
      <c r="A842">
        <f>Dataset_3!A232</f>
        <v>841</v>
      </c>
      <c r="B842" s="61">
        <f>Dataset_3!B232</f>
        <v>40581</v>
      </c>
      <c r="C842">
        <f>Dataset_3!C232</f>
        <v>1</v>
      </c>
      <c r="D842">
        <f>Dataset_3!D232</f>
        <v>0</v>
      </c>
      <c r="E842">
        <f>Dataset_3!E232</f>
        <v>2</v>
      </c>
      <c r="F842">
        <f>Dataset_3!F232</f>
        <v>11</v>
      </c>
      <c r="G842" t="b">
        <f>Dataset_3!G232</f>
        <v>0</v>
      </c>
      <c r="H842">
        <f>Dataset_3!H232</f>
        <v>1</v>
      </c>
      <c r="I842">
        <f>Dataset_3!I232</f>
        <v>1</v>
      </c>
      <c r="J842" s="55">
        <f>Dataset_3!J232</f>
        <v>0.3</v>
      </c>
      <c r="K842">
        <f>Dataset_3!K232</f>
        <v>0.31819999999999998</v>
      </c>
      <c r="L842">
        <f>Dataset_3!L232</f>
        <v>0.65</v>
      </c>
      <c r="M842">
        <f>Dataset_3!M232</f>
        <v>8.9599999999999999E-2</v>
      </c>
      <c r="N842">
        <f>Dataset_3!N232</f>
        <v>11</v>
      </c>
      <c r="O842">
        <f>Dataset_3!O232</f>
        <v>36</v>
      </c>
      <c r="P842">
        <f>Dataset_3!P232</f>
        <v>47</v>
      </c>
      <c r="Q842" t="str">
        <f t="shared" si="169"/>
        <v>REC-0841</v>
      </c>
      <c r="R842" s="62">
        <f t="shared" si="170"/>
        <v>40581.458333333336</v>
      </c>
      <c r="S842" t="str">
        <f t="shared" si="171"/>
        <v>Feb</v>
      </c>
      <c r="T842" t="str">
        <f>INDEX(Lookups!$B$39:$B$45,MATCH(H842,Lookups!$A$39:$A$45,0))</f>
        <v>Mon</v>
      </c>
      <c r="U842" t="str">
        <f t="shared" si="172"/>
        <v>Weekday</v>
      </c>
      <c r="V842" t="str">
        <f t="shared" si="173"/>
        <v>Working Day</v>
      </c>
      <c r="W842" t="str">
        <f t="shared" si="174"/>
        <v>Spring</v>
      </c>
      <c r="X842" t="str">
        <f t="shared" si="175"/>
        <v>Clear</v>
      </c>
      <c r="Y842" t="str">
        <f t="shared" si="176"/>
        <v>Morning</v>
      </c>
      <c r="Z842" t="str">
        <f t="shared" si="177"/>
        <v>Warm</v>
      </c>
      <c r="AA842" t="str">
        <f t="shared" si="178"/>
        <v>Medium</v>
      </c>
      <c r="AB842" t="str">
        <f t="shared" si="179"/>
        <v>Off-Peak</v>
      </c>
      <c r="AC842" s="63">
        <f t="shared" si="180"/>
        <v>0.23404255319148937</v>
      </c>
      <c r="AD842" t="str">
        <f>IF(P842&gt;=Stats!$C$30,"High",IF(P842&lt;=Stats!$C$29,"Low","Normal"))</f>
        <v>Normal</v>
      </c>
      <c r="AE842">
        <f t="shared" si="181"/>
        <v>1</v>
      </c>
    </row>
    <row r="843" spans="1:31" x14ac:dyDescent="0.2">
      <c r="A843">
        <f>Dataset_3!A233</f>
        <v>842</v>
      </c>
      <c r="B843" s="61">
        <f>Dataset_3!B233</f>
        <v>40581</v>
      </c>
      <c r="C843">
        <f>Dataset_3!C233</f>
        <v>1</v>
      </c>
      <c r="D843">
        <f>Dataset_3!D233</f>
        <v>0</v>
      </c>
      <c r="E843">
        <f>Dataset_3!E233</f>
        <v>2</v>
      </c>
      <c r="F843">
        <f>Dataset_3!F233</f>
        <v>12</v>
      </c>
      <c r="G843" t="b">
        <f>Dataset_3!G233</f>
        <v>0</v>
      </c>
      <c r="H843">
        <f>Dataset_3!H233</f>
        <v>1</v>
      </c>
      <c r="I843">
        <f>Dataset_3!I233</f>
        <v>2</v>
      </c>
      <c r="J843" s="55">
        <f>Dataset_3!J233</f>
        <v>0.32</v>
      </c>
      <c r="K843">
        <f>Dataset_3!K233</f>
        <v>0.34849999999999998</v>
      </c>
      <c r="L843">
        <f>Dataset_3!L233</f>
        <v>0.62</v>
      </c>
      <c r="M843">
        <f>Dataset_3!M233</f>
        <v>0</v>
      </c>
      <c r="N843">
        <f>Dataset_3!N233</f>
        <v>7</v>
      </c>
      <c r="O843">
        <f>Dataset_3!O233</f>
        <v>59</v>
      </c>
      <c r="P843">
        <f>Dataset_3!P233</f>
        <v>66</v>
      </c>
      <c r="Q843" t="str">
        <f t="shared" si="169"/>
        <v>REC-0842</v>
      </c>
      <c r="R843" s="62">
        <f t="shared" si="170"/>
        <v>40581.5</v>
      </c>
      <c r="S843" t="str">
        <f t="shared" si="171"/>
        <v>Feb</v>
      </c>
      <c r="T843" t="str">
        <f>INDEX(Lookups!$B$39:$B$45,MATCH(H843,Lookups!$A$39:$A$45,0))</f>
        <v>Mon</v>
      </c>
      <c r="U843" t="str">
        <f t="shared" si="172"/>
        <v>Weekday</v>
      </c>
      <c r="V843" t="str">
        <f t="shared" si="173"/>
        <v>Working Day</v>
      </c>
      <c r="W843" t="str">
        <f t="shared" si="174"/>
        <v>Spring</v>
      </c>
      <c r="X843" t="str">
        <f t="shared" si="175"/>
        <v>Cloudy/Mist</v>
      </c>
      <c r="Y843" t="str">
        <f t="shared" si="176"/>
        <v>Afternoon</v>
      </c>
      <c r="Z843" t="str">
        <f t="shared" si="177"/>
        <v>Warm</v>
      </c>
      <c r="AA843" t="str">
        <f t="shared" si="178"/>
        <v>Medium</v>
      </c>
      <c r="AB843" t="str">
        <f t="shared" si="179"/>
        <v>Off-Peak</v>
      </c>
      <c r="AC843" s="63">
        <f t="shared" si="180"/>
        <v>0.10606060606060606</v>
      </c>
      <c r="AD843" t="str">
        <f>IF(P843&gt;=Stats!$C$30,"High",IF(P843&lt;=Stats!$C$29,"Low","Normal"))</f>
        <v>Normal</v>
      </c>
      <c r="AE843">
        <f t="shared" si="181"/>
        <v>1</v>
      </c>
    </row>
    <row r="844" spans="1:31" x14ac:dyDescent="0.2">
      <c r="A844">
        <f>Dataset_3!A234</f>
        <v>843</v>
      </c>
      <c r="B844" s="61">
        <f>Dataset_3!B234</f>
        <v>40581</v>
      </c>
      <c r="C844">
        <f>Dataset_3!C234</f>
        <v>1</v>
      </c>
      <c r="D844">
        <f>Dataset_3!D234</f>
        <v>0</v>
      </c>
      <c r="E844">
        <f>Dataset_3!E234</f>
        <v>2</v>
      </c>
      <c r="F844">
        <f>Dataset_3!F234</f>
        <v>13</v>
      </c>
      <c r="G844" t="b">
        <f>Dataset_3!G234</f>
        <v>0</v>
      </c>
      <c r="H844">
        <f>Dataset_3!H234</f>
        <v>1</v>
      </c>
      <c r="I844">
        <f>Dataset_3!I234</f>
        <v>2</v>
      </c>
      <c r="J844" s="55">
        <f>Dataset_3!J234</f>
        <v>0.36</v>
      </c>
      <c r="K844">
        <f>Dataset_3!K234</f>
        <v>0.36359999999999998</v>
      </c>
      <c r="L844">
        <f>Dataset_3!L234</f>
        <v>0.56999999999999995</v>
      </c>
      <c r="M844">
        <f>Dataset_3!M234</f>
        <v>8.9599999999999999E-2</v>
      </c>
      <c r="N844">
        <f>Dataset_3!N234</f>
        <v>10</v>
      </c>
      <c r="O844">
        <f>Dataset_3!O234</f>
        <v>54</v>
      </c>
      <c r="P844">
        <f>Dataset_3!P234</f>
        <v>64</v>
      </c>
      <c r="Q844" t="str">
        <f t="shared" si="169"/>
        <v>REC-0843</v>
      </c>
      <c r="R844" s="62">
        <f t="shared" si="170"/>
        <v>40581.541666666664</v>
      </c>
      <c r="S844" t="str">
        <f t="shared" si="171"/>
        <v>Feb</v>
      </c>
      <c r="T844" t="str">
        <f>INDEX(Lookups!$B$39:$B$45,MATCH(H844,Lookups!$A$39:$A$45,0))</f>
        <v>Mon</v>
      </c>
      <c r="U844" t="str">
        <f t="shared" si="172"/>
        <v>Weekday</v>
      </c>
      <c r="V844" t="str">
        <f t="shared" si="173"/>
        <v>Working Day</v>
      </c>
      <c r="W844" t="str">
        <f t="shared" si="174"/>
        <v>Spring</v>
      </c>
      <c r="X844" t="str">
        <f t="shared" si="175"/>
        <v>Cloudy/Mist</v>
      </c>
      <c r="Y844" t="str">
        <f t="shared" si="176"/>
        <v>Afternoon</v>
      </c>
      <c r="Z844" t="str">
        <f t="shared" si="177"/>
        <v>Warm</v>
      </c>
      <c r="AA844" t="str">
        <f t="shared" si="178"/>
        <v>Medium</v>
      </c>
      <c r="AB844" t="str">
        <f t="shared" si="179"/>
        <v>Off-Peak</v>
      </c>
      <c r="AC844" s="63">
        <f t="shared" si="180"/>
        <v>0.15625</v>
      </c>
      <c r="AD844" t="str">
        <f>IF(P844&gt;=Stats!$C$30,"High",IF(P844&lt;=Stats!$C$29,"Low","Normal"))</f>
        <v>Normal</v>
      </c>
      <c r="AE844">
        <f t="shared" si="181"/>
        <v>1</v>
      </c>
    </row>
    <row r="845" spans="1:31" x14ac:dyDescent="0.2">
      <c r="A845">
        <f>Dataset_3!A235</f>
        <v>844</v>
      </c>
      <c r="B845" s="61">
        <f>Dataset_3!B235</f>
        <v>40581</v>
      </c>
      <c r="C845">
        <f>Dataset_3!C235</f>
        <v>1</v>
      </c>
      <c r="D845">
        <f>Dataset_3!D235</f>
        <v>0</v>
      </c>
      <c r="E845">
        <f>Dataset_3!E235</f>
        <v>2</v>
      </c>
      <c r="F845">
        <f>Dataset_3!F235</f>
        <v>14</v>
      </c>
      <c r="G845" t="b">
        <f>Dataset_3!G235</f>
        <v>0</v>
      </c>
      <c r="H845">
        <f>Dataset_3!H235</f>
        <v>1</v>
      </c>
      <c r="I845">
        <f>Dataset_3!I235</f>
        <v>2</v>
      </c>
      <c r="J845" s="55">
        <f>Dataset_3!J235</f>
        <v>0.36</v>
      </c>
      <c r="K845">
        <f>Dataset_3!K235</f>
        <v>0.36359999999999998</v>
      </c>
      <c r="L845">
        <f>Dataset_3!L235</f>
        <v>0.56999999999999995</v>
      </c>
      <c r="M845">
        <f>Dataset_3!M235</f>
        <v>8.9599999999999999E-2</v>
      </c>
      <c r="N845">
        <f>Dataset_3!N235</f>
        <v>8</v>
      </c>
      <c r="O845">
        <f>Dataset_3!O235</f>
        <v>52</v>
      </c>
      <c r="P845">
        <f>Dataset_3!P235</f>
        <v>60</v>
      </c>
      <c r="Q845" t="str">
        <f t="shared" si="169"/>
        <v>REC-0844</v>
      </c>
      <c r="R845" s="62">
        <f t="shared" si="170"/>
        <v>40581.583333333336</v>
      </c>
      <c r="S845" t="str">
        <f t="shared" si="171"/>
        <v>Feb</v>
      </c>
      <c r="T845" t="str">
        <f>INDEX(Lookups!$B$39:$B$45,MATCH(H845,Lookups!$A$39:$A$45,0))</f>
        <v>Mon</v>
      </c>
      <c r="U845" t="str">
        <f t="shared" si="172"/>
        <v>Weekday</v>
      </c>
      <c r="V845" t="str">
        <f t="shared" si="173"/>
        <v>Working Day</v>
      </c>
      <c r="W845" t="str">
        <f t="shared" si="174"/>
        <v>Spring</v>
      </c>
      <c r="X845" t="str">
        <f t="shared" si="175"/>
        <v>Cloudy/Mist</v>
      </c>
      <c r="Y845" t="str">
        <f t="shared" si="176"/>
        <v>Afternoon</v>
      </c>
      <c r="Z845" t="str">
        <f t="shared" si="177"/>
        <v>Warm</v>
      </c>
      <c r="AA845" t="str">
        <f t="shared" si="178"/>
        <v>Medium</v>
      </c>
      <c r="AB845" t="str">
        <f t="shared" si="179"/>
        <v>Off-Peak</v>
      </c>
      <c r="AC845" s="63">
        <f t="shared" si="180"/>
        <v>0.13333333333333333</v>
      </c>
      <c r="AD845" t="str">
        <f>IF(P845&gt;=Stats!$C$30,"High",IF(P845&lt;=Stats!$C$29,"Low","Normal"))</f>
        <v>Normal</v>
      </c>
      <c r="AE845">
        <f t="shared" si="181"/>
        <v>1</v>
      </c>
    </row>
    <row r="846" spans="1:31" x14ac:dyDescent="0.2">
      <c r="A846">
        <f>Dataset_3!A236</f>
        <v>845</v>
      </c>
      <c r="B846" s="61">
        <f>Dataset_3!B236</f>
        <v>40581</v>
      </c>
      <c r="C846">
        <f>Dataset_3!C236</f>
        <v>1</v>
      </c>
      <c r="D846">
        <f>Dataset_3!D236</f>
        <v>0</v>
      </c>
      <c r="E846">
        <f>Dataset_3!E236</f>
        <v>2</v>
      </c>
      <c r="F846">
        <f>Dataset_3!F236</f>
        <v>15</v>
      </c>
      <c r="G846" t="b">
        <f>Dataset_3!G236</f>
        <v>0</v>
      </c>
      <c r="H846">
        <f>Dataset_3!H236</f>
        <v>1</v>
      </c>
      <c r="I846">
        <f>Dataset_3!I236</f>
        <v>2</v>
      </c>
      <c r="J846" s="55">
        <f>Dataset_3!J236</f>
        <v>0.38</v>
      </c>
      <c r="K846">
        <f>Dataset_3!K236</f>
        <v>0.39389999999999997</v>
      </c>
      <c r="L846">
        <f>Dataset_3!L236</f>
        <v>0.54</v>
      </c>
      <c r="M846">
        <f>Dataset_3!M236</f>
        <v>8.9599999999999999E-2</v>
      </c>
      <c r="N846">
        <f>Dataset_3!N236</f>
        <v>4</v>
      </c>
      <c r="O846">
        <f>Dataset_3!O236</f>
        <v>46</v>
      </c>
      <c r="P846">
        <f>Dataset_3!P236</f>
        <v>50</v>
      </c>
      <c r="Q846" t="str">
        <f t="shared" si="169"/>
        <v>REC-0845</v>
      </c>
      <c r="R846" s="62">
        <f t="shared" si="170"/>
        <v>40581.625</v>
      </c>
      <c r="S846" t="str">
        <f t="shared" si="171"/>
        <v>Feb</v>
      </c>
      <c r="T846" t="str">
        <f>INDEX(Lookups!$B$39:$B$45,MATCH(H846,Lookups!$A$39:$A$45,0))</f>
        <v>Mon</v>
      </c>
      <c r="U846" t="str">
        <f t="shared" si="172"/>
        <v>Weekday</v>
      </c>
      <c r="V846" t="str">
        <f t="shared" si="173"/>
        <v>Working Day</v>
      </c>
      <c r="W846" t="str">
        <f t="shared" si="174"/>
        <v>Spring</v>
      </c>
      <c r="X846" t="str">
        <f t="shared" si="175"/>
        <v>Cloudy/Mist</v>
      </c>
      <c r="Y846" t="str">
        <f t="shared" si="176"/>
        <v>Afternoon</v>
      </c>
      <c r="Z846" t="str">
        <f t="shared" si="177"/>
        <v>Warm</v>
      </c>
      <c r="AA846" t="str">
        <f t="shared" si="178"/>
        <v>Medium</v>
      </c>
      <c r="AB846" t="str">
        <f t="shared" si="179"/>
        <v>Off-Peak</v>
      </c>
      <c r="AC846" s="63">
        <f t="shared" si="180"/>
        <v>0.08</v>
      </c>
      <c r="AD846" t="str">
        <f>IF(P846&gt;=Stats!$C$30,"High",IF(P846&lt;=Stats!$C$29,"Low","Normal"))</f>
        <v>Normal</v>
      </c>
      <c r="AE846">
        <f t="shared" si="181"/>
        <v>1</v>
      </c>
    </row>
    <row r="847" spans="1:31" x14ac:dyDescent="0.2">
      <c r="A847">
        <f>Dataset_3!A237</f>
        <v>846</v>
      </c>
      <c r="B847" s="61">
        <f>Dataset_3!B237</f>
        <v>40581</v>
      </c>
      <c r="C847">
        <f>Dataset_3!C237</f>
        <v>1</v>
      </c>
      <c r="D847">
        <f>Dataset_3!D237</f>
        <v>0</v>
      </c>
      <c r="E847">
        <f>Dataset_3!E237</f>
        <v>2</v>
      </c>
      <c r="F847">
        <f>Dataset_3!F237</f>
        <v>16</v>
      </c>
      <c r="G847" t="b">
        <f>Dataset_3!G237</f>
        <v>0</v>
      </c>
      <c r="H847">
        <f>Dataset_3!H237</f>
        <v>1</v>
      </c>
      <c r="I847">
        <f>Dataset_3!I237</f>
        <v>2</v>
      </c>
      <c r="J847" s="55">
        <f>Dataset_3!J237</f>
        <v>0.36</v>
      </c>
      <c r="K847">
        <f>Dataset_3!K237</f>
        <v>0.34849999999999998</v>
      </c>
      <c r="L847">
        <f>Dataset_3!L237</f>
        <v>0.56999999999999995</v>
      </c>
      <c r="M847">
        <f>Dataset_3!M237</f>
        <v>0.1343</v>
      </c>
      <c r="N847">
        <f>Dataset_3!N237</f>
        <v>16</v>
      </c>
      <c r="O847">
        <f>Dataset_3!O237</f>
        <v>98</v>
      </c>
      <c r="P847">
        <f>Dataset_3!P237</f>
        <v>114</v>
      </c>
      <c r="Q847" t="str">
        <f t="shared" si="169"/>
        <v>REC-0846</v>
      </c>
      <c r="R847" s="62">
        <f t="shared" si="170"/>
        <v>40581.666666666664</v>
      </c>
      <c r="S847" t="str">
        <f t="shared" si="171"/>
        <v>Feb</v>
      </c>
      <c r="T847" t="str">
        <f>INDEX(Lookups!$B$39:$B$45,MATCH(H847,Lookups!$A$39:$A$45,0))</f>
        <v>Mon</v>
      </c>
      <c r="U847" t="str">
        <f t="shared" si="172"/>
        <v>Weekday</v>
      </c>
      <c r="V847" t="str">
        <f t="shared" si="173"/>
        <v>Working Day</v>
      </c>
      <c r="W847" t="str">
        <f t="shared" si="174"/>
        <v>Spring</v>
      </c>
      <c r="X847" t="str">
        <f t="shared" si="175"/>
        <v>Cloudy/Mist</v>
      </c>
      <c r="Y847" t="str">
        <f t="shared" si="176"/>
        <v>Afternoon</v>
      </c>
      <c r="Z847" t="str">
        <f t="shared" si="177"/>
        <v>Warm</v>
      </c>
      <c r="AA847" t="str">
        <f t="shared" si="178"/>
        <v>Medium</v>
      </c>
      <c r="AB847" t="str">
        <f t="shared" si="179"/>
        <v>Peak</v>
      </c>
      <c r="AC847" s="63">
        <f t="shared" si="180"/>
        <v>0.14035087719298245</v>
      </c>
      <c r="AD847" t="str">
        <f>IF(P847&gt;=Stats!$C$30,"High",IF(P847&lt;=Stats!$C$29,"Low","Normal"))</f>
        <v>High</v>
      </c>
      <c r="AE847">
        <f t="shared" si="181"/>
        <v>1</v>
      </c>
    </row>
    <row r="848" spans="1:31" x14ac:dyDescent="0.2">
      <c r="A848">
        <f>Dataset_3!A238</f>
        <v>847</v>
      </c>
      <c r="B848" s="61">
        <f>Dataset_3!B238</f>
        <v>40581</v>
      </c>
      <c r="C848">
        <f>Dataset_3!C238</f>
        <v>1</v>
      </c>
      <c r="D848">
        <f>Dataset_3!D238</f>
        <v>0</v>
      </c>
      <c r="E848">
        <f>Dataset_3!E238</f>
        <v>2</v>
      </c>
      <c r="F848">
        <f>Dataset_3!F238</f>
        <v>17</v>
      </c>
      <c r="G848" t="b">
        <f>Dataset_3!G238</f>
        <v>0</v>
      </c>
      <c r="H848">
        <f>Dataset_3!H238</f>
        <v>1</v>
      </c>
      <c r="I848">
        <f>Dataset_3!I238</f>
        <v>2</v>
      </c>
      <c r="J848" s="55">
        <f>Dataset_3!J238</f>
        <v>0.32</v>
      </c>
      <c r="K848">
        <f>Dataset_3!K238</f>
        <v>0.31819999999999998</v>
      </c>
      <c r="L848">
        <f>Dataset_3!L238</f>
        <v>0.7</v>
      </c>
      <c r="M848">
        <f>Dataset_3!M238</f>
        <v>0.16420000000000001</v>
      </c>
      <c r="N848">
        <f>Dataset_3!N238</f>
        <v>9</v>
      </c>
      <c r="O848">
        <f>Dataset_3!O238</f>
        <v>207</v>
      </c>
      <c r="P848">
        <f>Dataset_3!P238</f>
        <v>216</v>
      </c>
      <c r="Q848" t="str">
        <f t="shared" si="169"/>
        <v>REC-0847</v>
      </c>
      <c r="R848" s="62">
        <f t="shared" si="170"/>
        <v>40581.708333333336</v>
      </c>
      <c r="S848" t="str">
        <f t="shared" si="171"/>
        <v>Feb</v>
      </c>
      <c r="T848" t="str">
        <f>INDEX(Lookups!$B$39:$B$45,MATCH(H848,Lookups!$A$39:$A$45,0))</f>
        <v>Mon</v>
      </c>
      <c r="U848" t="str">
        <f t="shared" si="172"/>
        <v>Weekday</v>
      </c>
      <c r="V848" t="str">
        <f t="shared" si="173"/>
        <v>Working Day</v>
      </c>
      <c r="W848" t="str">
        <f t="shared" si="174"/>
        <v>Spring</v>
      </c>
      <c r="X848" t="str">
        <f t="shared" si="175"/>
        <v>Cloudy/Mist</v>
      </c>
      <c r="Y848" t="str">
        <f t="shared" si="176"/>
        <v>Evening</v>
      </c>
      <c r="Z848" t="str">
        <f t="shared" si="177"/>
        <v>Warm</v>
      </c>
      <c r="AA848" t="str">
        <f t="shared" si="178"/>
        <v>Medium</v>
      </c>
      <c r="AB848" t="str">
        <f t="shared" si="179"/>
        <v>Peak</v>
      </c>
      <c r="AC848" s="63">
        <f t="shared" si="180"/>
        <v>4.1666666666666664E-2</v>
      </c>
      <c r="AD848" t="str">
        <f>IF(P848&gt;=Stats!$C$30,"High",IF(P848&lt;=Stats!$C$29,"Low","Normal"))</f>
        <v>High</v>
      </c>
      <c r="AE848">
        <f t="shared" si="181"/>
        <v>1</v>
      </c>
    </row>
    <row r="849" spans="1:31" x14ac:dyDescent="0.2">
      <c r="A849">
        <f>Dataset_3!A239</f>
        <v>848</v>
      </c>
      <c r="B849" s="61">
        <f>Dataset_3!B239</f>
        <v>40581</v>
      </c>
      <c r="C849">
        <f>Dataset_3!C239</f>
        <v>1</v>
      </c>
      <c r="D849">
        <f>Dataset_3!D239</f>
        <v>0</v>
      </c>
      <c r="E849">
        <f>Dataset_3!E239</f>
        <v>2</v>
      </c>
      <c r="F849">
        <f>Dataset_3!F239</f>
        <v>18</v>
      </c>
      <c r="G849" t="b">
        <f>Dataset_3!G239</f>
        <v>0</v>
      </c>
      <c r="H849">
        <f>Dataset_3!H239</f>
        <v>1</v>
      </c>
      <c r="I849">
        <f>Dataset_3!I239</f>
        <v>2</v>
      </c>
      <c r="J849" s="55">
        <f>Dataset_3!J239</f>
        <v>0.34</v>
      </c>
      <c r="K849">
        <f>Dataset_3!K239</f>
        <v>0.33329999999999999</v>
      </c>
      <c r="L849">
        <f>Dataset_3!L239</f>
        <v>0.66</v>
      </c>
      <c r="M849">
        <f>Dataset_3!M239</f>
        <v>0.1343</v>
      </c>
      <c r="N849">
        <f>Dataset_3!N239</f>
        <v>5</v>
      </c>
      <c r="O849">
        <f>Dataset_3!O239</f>
        <v>170</v>
      </c>
      <c r="P849">
        <f>Dataset_3!P239</f>
        <v>175</v>
      </c>
      <c r="Q849" t="str">
        <f t="shared" si="169"/>
        <v>REC-0848</v>
      </c>
      <c r="R849" s="62">
        <f t="shared" si="170"/>
        <v>40581.75</v>
      </c>
      <c r="S849" t="str">
        <f t="shared" si="171"/>
        <v>Feb</v>
      </c>
      <c r="T849" t="str">
        <f>INDEX(Lookups!$B$39:$B$45,MATCH(H849,Lookups!$A$39:$A$45,0))</f>
        <v>Mon</v>
      </c>
      <c r="U849" t="str">
        <f t="shared" si="172"/>
        <v>Weekday</v>
      </c>
      <c r="V849" t="str">
        <f t="shared" si="173"/>
        <v>Working Day</v>
      </c>
      <c r="W849" t="str">
        <f t="shared" si="174"/>
        <v>Spring</v>
      </c>
      <c r="X849" t="str">
        <f t="shared" si="175"/>
        <v>Cloudy/Mist</v>
      </c>
      <c r="Y849" t="str">
        <f t="shared" si="176"/>
        <v>Evening</v>
      </c>
      <c r="Z849" t="str">
        <f t="shared" si="177"/>
        <v>Warm</v>
      </c>
      <c r="AA849" t="str">
        <f t="shared" si="178"/>
        <v>Medium</v>
      </c>
      <c r="AB849" t="str">
        <f t="shared" si="179"/>
        <v>Peak</v>
      </c>
      <c r="AC849" s="63">
        <f t="shared" si="180"/>
        <v>2.8571428571428571E-2</v>
      </c>
      <c r="AD849" t="str">
        <f>IF(P849&gt;=Stats!$C$30,"High",IF(P849&lt;=Stats!$C$29,"Low","Normal"))</f>
        <v>High</v>
      </c>
      <c r="AE849">
        <f t="shared" si="181"/>
        <v>1</v>
      </c>
    </row>
    <row r="850" spans="1:31" x14ac:dyDescent="0.2">
      <c r="A850">
        <f>Dataset_3!A240</f>
        <v>849</v>
      </c>
      <c r="B850" s="61">
        <f>Dataset_3!B240</f>
        <v>40581</v>
      </c>
      <c r="C850">
        <f>Dataset_3!C240</f>
        <v>1</v>
      </c>
      <c r="D850">
        <f>Dataset_3!D240</f>
        <v>0</v>
      </c>
      <c r="E850">
        <f>Dataset_3!E240</f>
        <v>2</v>
      </c>
      <c r="F850">
        <f>Dataset_3!F240</f>
        <v>19</v>
      </c>
      <c r="G850" t="b">
        <f>Dataset_3!G240</f>
        <v>0</v>
      </c>
      <c r="H850">
        <f>Dataset_3!H240</f>
        <v>1</v>
      </c>
      <c r="I850">
        <f>Dataset_3!I240</f>
        <v>2</v>
      </c>
      <c r="J850" s="55">
        <f>Dataset_3!J240</f>
        <v>0.32</v>
      </c>
      <c r="K850">
        <f>Dataset_3!K240</f>
        <v>0.34849999999999998</v>
      </c>
      <c r="L850">
        <f>Dataset_3!L240</f>
        <v>0.7</v>
      </c>
      <c r="M850">
        <f>Dataset_3!M240</f>
        <v>0</v>
      </c>
      <c r="N850">
        <f>Dataset_3!N240</f>
        <v>5</v>
      </c>
      <c r="O850">
        <f>Dataset_3!O240</f>
        <v>123</v>
      </c>
      <c r="P850">
        <f>Dataset_3!P240</f>
        <v>128</v>
      </c>
      <c r="Q850" t="str">
        <f t="shared" si="169"/>
        <v>REC-0849</v>
      </c>
      <c r="R850" s="62">
        <f t="shared" si="170"/>
        <v>40581.791666666664</v>
      </c>
      <c r="S850" t="str">
        <f t="shared" si="171"/>
        <v>Feb</v>
      </c>
      <c r="T850" t="str">
        <f>INDEX(Lookups!$B$39:$B$45,MATCH(H850,Lookups!$A$39:$A$45,0))</f>
        <v>Mon</v>
      </c>
      <c r="U850" t="str">
        <f t="shared" si="172"/>
        <v>Weekday</v>
      </c>
      <c r="V850" t="str">
        <f t="shared" si="173"/>
        <v>Working Day</v>
      </c>
      <c r="W850" t="str">
        <f t="shared" si="174"/>
        <v>Spring</v>
      </c>
      <c r="X850" t="str">
        <f t="shared" si="175"/>
        <v>Cloudy/Mist</v>
      </c>
      <c r="Y850" t="str">
        <f t="shared" si="176"/>
        <v>Evening</v>
      </c>
      <c r="Z850" t="str">
        <f t="shared" si="177"/>
        <v>Warm</v>
      </c>
      <c r="AA850" t="str">
        <f t="shared" si="178"/>
        <v>Medium</v>
      </c>
      <c r="AB850" t="str">
        <f t="shared" si="179"/>
        <v>Peak</v>
      </c>
      <c r="AC850" s="63">
        <f t="shared" si="180"/>
        <v>3.90625E-2</v>
      </c>
      <c r="AD850" t="str">
        <f>IF(P850&gt;=Stats!$C$30,"High",IF(P850&lt;=Stats!$C$29,"Low","Normal"))</f>
        <v>High</v>
      </c>
      <c r="AE850">
        <f t="shared" si="181"/>
        <v>1</v>
      </c>
    </row>
    <row r="851" spans="1:31" x14ac:dyDescent="0.2">
      <c r="A851">
        <f>Dataset_3!A241</f>
        <v>850</v>
      </c>
      <c r="B851" s="61">
        <f>Dataset_3!B241</f>
        <v>40581</v>
      </c>
      <c r="C851">
        <f>Dataset_3!C241</f>
        <v>1</v>
      </c>
      <c r="D851">
        <f>Dataset_3!D241</f>
        <v>0</v>
      </c>
      <c r="E851">
        <f>Dataset_3!E241</f>
        <v>2</v>
      </c>
      <c r="F851">
        <f>Dataset_3!F241</f>
        <v>20</v>
      </c>
      <c r="G851" t="b">
        <f>Dataset_3!G241</f>
        <v>0</v>
      </c>
      <c r="H851">
        <f>Dataset_3!H241</f>
        <v>1</v>
      </c>
      <c r="I851">
        <f>Dataset_3!I241</f>
        <v>2</v>
      </c>
      <c r="J851" s="55">
        <f>Dataset_3!J241</f>
        <v>0.32</v>
      </c>
      <c r="K851">
        <f>Dataset_3!K241</f>
        <v>0.33329999999999999</v>
      </c>
      <c r="L851">
        <f>Dataset_3!L241</f>
        <v>0.7</v>
      </c>
      <c r="M851">
        <f>Dataset_3!M241</f>
        <v>0.1045</v>
      </c>
      <c r="N851">
        <f>Dataset_3!N241</f>
        <v>6</v>
      </c>
      <c r="O851">
        <f>Dataset_3!O241</f>
        <v>82</v>
      </c>
      <c r="P851">
        <f>Dataset_3!P241</f>
        <v>88</v>
      </c>
      <c r="Q851" t="str">
        <f t="shared" si="169"/>
        <v>REC-0850</v>
      </c>
      <c r="R851" s="62">
        <f t="shared" si="170"/>
        <v>40581.833333333336</v>
      </c>
      <c r="S851" t="str">
        <f t="shared" si="171"/>
        <v>Feb</v>
      </c>
      <c r="T851" t="str">
        <f>INDEX(Lookups!$B$39:$B$45,MATCH(H851,Lookups!$A$39:$A$45,0))</f>
        <v>Mon</v>
      </c>
      <c r="U851" t="str">
        <f t="shared" si="172"/>
        <v>Weekday</v>
      </c>
      <c r="V851" t="str">
        <f t="shared" si="173"/>
        <v>Working Day</v>
      </c>
      <c r="W851" t="str">
        <f t="shared" si="174"/>
        <v>Spring</v>
      </c>
      <c r="X851" t="str">
        <f t="shared" si="175"/>
        <v>Cloudy/Mist</v>
      </c>
      <c r="Y851" t="str">
        <f t="shared" si="176"/>
        <v>Evening</v>
      </c>
      <c r="Z851" t="str">
        <f t="shared" si="177"/>
        <v>Warm</v>
      </c>
      <c r="AA851" t="str">
        <f t="shared" si="178"/>
        <v>Medium</v>
      </c>
      <c r="AB851" t="str">
        <f t="shared" si="179"/>
        <v>Off-Peak</v>
      </c>
      <c r="AC851" s="63">
        <f t="shared" si="180"/>
        <v>6.8181818181818177E-2</v>
      </c>
      <c r="AD851" t="str">
        <f>IF(P851&gt;=Stats!$C$30,"High",IF(P851&lt;=Stats!$C$29,"Low","Normal"))</f>
        <v>High</v>
      </c>
      <c r="AE851">
        <f t="shared" si="181"/>
        <v>1</v>
      </c>
    </row>
    <row r="852" spans="1:31" x14ac:dyDescent="0.2">
      <c r="A852">
        <f>Dataset_3!A242</f>
        <v>851</v>
      </c>
      <c r="B852" s="61">
        <f>Dataset_3!B242</f>
        <v>40581</v>
      </c>
      <c r="C852">
        <f>Dataset_3!C242</f>
        <v>1</v>
      </c>
      <c r="D852">
        <f>Dataset_3!D242</f>
        <v>0</v>
      </c>
      <c r="E852">
        <f>Dataset_3!E242</f>
        <v>2</v>
      </c>
      <c r="F852">
        <f>Dataset_3!F242</f>
        <v>21</v>
      </c>
      <c r="G852" t="b">
        <f>Dataset_3!G242</f>
        <v>0</v>
      </c>
      <c r="H852">
        <f>Dataset_3!H242</f>
        <v>1</v>
      </c>
      <c r="I852">
        <f>Dataset_3!I242</f>
        <v>1</v>
      </c>
      <c r="J852" s="55">
        <f>Dataset_3!J242</f>
        <v>0.32</v>
      </c>
      <c r="K852">
        <f>Dataset_3!K242</f>
        <v>0.34849999999999998</v>
      </c>
      <c r="L852">
        <f>Dataset_3!L242</f>
        <v>0.7</v>
      </c>
      <c r="M852">
        <f>Dataset_3!M242</f>
        <v>0</v>
      </c>
      <c r="N852">
        <f>Dataset_3!N242</f>
        <v>3</v>
      </c>
      <c r="O852">
        <f>Dataset_3!O242</f>
        <v>75</v>
      </c>
      <c r="P852">
        <f>Dataset_3!P242</f>
        <v>78</v>
      </c>
      <c r="Q852" t="str">
        <f t="shared" si="169"/>
        <v>REC-0851</v>
      </c>
      <c r="R852" s="62">
        <f t="shared" si="170"/>
        <v>40581.875</v>
      </c>
      <c r="S852" t="str">
        <f t="shared" si="171"/>
        <v>Feb</v>
      </c>
      <c r="T852" t="str">
        <f>INDEX(Lookups!$B$39:$B$45,MATCH(H852,Lookups!$A$39:$A$45,0))</f>
        <v>Mon</v>
      </c>
      <c r="U852" t="str">
        <f t="shared" si="172"/>
        <v>Weekday</v>
      </c>
      <c r="V852" t="str">
        <f t="shared" si="173"/>
        <v>Working Day</v>
      </c>
      <c r="W852" t="str">
        <f t="shared" si="174"/>
        <v>Spring</v>
      </c>
      <c r="X852" t="str">
        <f t="shared" si="175"/>
        <v>Clear</v>
      </c>
      <c r="Y852" t="str">
        <f t="shared" si="176"/>
        <v>Late Evening</v>
      </c>
      <c r="Z852" t="str">
        <f t="shared" si="177"/>
        <v>Warm</v>
      </c>
      <c r="AA852" t="str">
        <f t="shared" si="178"/>
        <v>Medium</v>
      </c>
      <c r="AB852" t="str">
        <f t="shared" si="179"/>
        <v>Off-Peak</v>
      </c>
      <c r="AC852" s="63">
        <f t="shared" si="180"/>
        <v>3.8461538461538464E-2</v>
      </c>
      <c r="AD852" t="str">
        <f>IF(P852&gt;=Stats!$C$30,"High",IF(P852&lt;=Stats!$C$29,"Low","Normal"))</f>
        <v>Normal</v>
      </c>
      <c r="AE852">
        <f t="shared" si="181"/>
        <v>1</v>
      </c>
    </row>
    <row r="853" spans="1:31" x14ac:dyDescent="0.2">
      <c r="A853">
        <f>Dataset_3!A243</f>
        <v>852</v>
      </c>
      <c r="B853" s="61">
        <f>Dataset_3!B243</f>
        <v>40581</v>
      </c>
      <c r="C853">
        <f>Dataset_3!C243</f>
        <v>1</v>
      </c>
      <c r="D853">
        <f>Dataset_3!D243</f>
        <v>0</v>
      </c>
      <c r="E853">
        <f>Dataset_3!E243</f>
        <v>2</v>
      </c>
      <c r="F853">
        <f>Dataset_3!F243</f>
        <v>22</v>
      </c>
      <c r="G853" t="b">
        <f>Dataset_3!G243</f>
        <v>0</v>
      </c>
      <c r="H853">
        <f>Dataset_3!H243</f>
        <v>1</v>
      </c>
      <c r="I853">
        <f>Dataset_3!I243</f>
        <v>1</v>
      </c>
      <c r="J853" s="55">
        <f>Dataset_3!J243</f>
        <v>0.28000000000000003</v>
      </c>
      <c r="K853">
        <f>Dataset_3!K243</f>
        <v>0.30299999999999999</v>
      </c>
      <c r="L853">
        <f>Dataset_3!L243</f>
        <v>0.81</v>
      </c>
      <c r="M853">
        <f>Dataset_3!M243</f>
        <v>8.9599999999999999E-2</v>
      </c>
      <c r="N853">
        <f>Dataset_3!N243</f>
        <v>3</v>
      </c>
      <c r="O853">
        <f>Dataset_3!O243</f>
        <v>34</v>
      </c>
      <c r="P853">
        <f>Dataset_3!P243</f>
        <v>37</v>
      </c>
      <c r="Q853" t="str">
        <f t="shared" si="169"/>
        <v>REC-0852</v>
      </c>
      <c r="R853" s="62">
        <f t="shared" si="170"/>
        <v>40581.916666666664</v>
      </c>
      <c r="S853" t="str">
        <f t="shared" si="171"/>
        <v>Feb</v>
      </c>
      <c r="T853" t="str">
        <f>INDEX(Lookups!$B$39:$B$45,MATCH(H853,Lookups!$A$39:$A$45,0))</f>
        <v>Mon</v>
      </c>
      <c r="U853" t="str">
        <f t="shared" si="172"/>
        <v>Weekday</v>
      </c>
      <c r="V853" t="str">
        <f t="shared" si="173"/>
        <v>Working Day</v>
      </c>
      <c r="W853" t="str">
        <f t="shared" si="174"/>
        <v>Spring</v>
      </c>
      <c r="X853" t="str">
        <f t="shared" si="175"/>
        <v>Clear</v>
      </c>
      <c r="Y853" t="str">
        <f t="shared" si="176"/>
        <v>Late Evening</v>
      </c>
      <c r="Z853" t="str">
        <f t="shared" si="177"/>
        <v>Mild</v>
      </c>
      <c r="AA853" t="str">
        <f t="shared" si="178"/>
        <v>High</v>
      </c>
      <c r="AB853" t="str">
        <f t="shared" si="179"/>
        <v>Off-Peak</v>
      </c>
      <c r="AC853" s="63">
        <f t="shared" si="180"/>
        <v>8.1081081081081086E-2</v>
      </c>
      <c r="AD853" t="str">
        <f>IF(P853&gt;=Stats!$C$30,"High",IF(P853&lt;=Stats!$C$29,"Low","Normal"))</f>
        <v>Normal</v>
      </c>
      <c r="AE853">
        <f t="shared" si="181"/>
        <v>1</v>
      </c>
    </row>
    <row r="854" spans="1:31" x14ac:dyDescent="0.2">
      <c r="A854">
        <f>Dataset_3!A244</f>
        <v>853</v>
      </c>
      <c r="B854" s="61">
        <f>Dataset_3!B244</f>
        <v>40581</v>
      </c>
      <c r="C854">
        <f>Dataset_3!C244</f>
        <v>1</v>
      </c>
      <c r="D854">
        <f>Dataset_3!D244</f>
        <v>0</v>
      </c>
      <c r="E854">
        <f>Dataset_3!E244</f>
        <v>2</v>
      </c>
      <c r="F854">
        <f>Dataset_3!F244</f>
        <v>23</v>
      </c>
      <c r="G854" t="b">
        <f>Dataset_3!G244</f>
        <v>0</v>
      </c>
      <c r="H854">
        <f>Dataset_3!H244</f>
        <v>1</v>
      </c>
      <c r="I854">
        <f>Dataset_3!I244</f>
        <v>2</v>
      </c>
      <c r="J854" s="55">
        <f>Dataset_3!J244</f>
        <v>0.3</v>
      </c>
      <c r="K854">
        <f>Dataset_3!K244</f>
        <v>0.33329999999999999</v>
      </c>
      <c r="L854">
        <f>Dataset_3!L244</f>
        <v>0.81</v>
      </c>
      <c r="M854">
        <f>Dataset_3!M244</f>
        <v>0</v>
      </c>
      <c r="N854">
        <f>Dataset_3!N244</f>
        <v>6</v>
      </c>
      <c r="O854">
        <f>Dataset_3!O244</f>
        <v>19</v>
      </c>
      <c r="P854">
        <f>Dataset_3!P244</f>
        <v>25</v>
      </c>
      <c r="Q854" t="str">
        <f t="shared" si="169"/>
        <v>REC-0853</v>
      </c>
      <c r="R854" s="62">
        <f t="shared" si="170"/>
        <v>40581.958333333336</v>
      </c>
      <c r="S854" t="str">
        <f t="shared" si="171"/>
        <v>Feb</v>
      </c>
      <c r="T854" t="str">
        <f>INDEX(Lookups!$B$39:$B$45,MATCH(H854,Lookups!$A$39:$A$45,0))</f>
        <v>Mon</v>
      </c>
      <c r="U854" t="str">
        <f t="shared" si="172"/>
        <v>Weekday</v>
      </c>
      <c r="V854" t="str">
        <f t="shared" si="173"/>
        <v>Working Day</v>
      </c>
      <c r="W854" t="str">
        <f t="shared" si="174"/>
        <v>Spring</v>
      </c>
      <c r="X854" t="str">
        <f t="shared" si="175"/>
        <v>Cloudy/Mist</v>
      </c>
      <c r="Y854" t="str">
        <f t="shared" si="176"/>
        <v>Late Evening</v>
      </c>
      <c r="Z854" t="str">
        <f t="shared" si="177"/>
        <v>Warm</v>
      </c>
      <c r="AA854" t="str">
        <f t="shared" si="178"/>
        <v>High</v>
      </c>
      <c r="AB854" t="str">
        <f t="shared" si="179"/>
        <v>Off-Peak</v>
      </c>
      <c r="AC854" s="63">
        <f t="shared" si="180"/>
        <v>0.24</v>
      </c>
      <c r="AD854" t="str">
        <f>IF(P854&gt;=Stats!$C$30,"High",IF(P854&lt;=Stats!$C$29,"Low","Normal"))</f>
        <v>Normal</v>
      </c>
      <c r="AE854">
        <f t="shared" si="181"/>
        <v>1</v>
      </c>
    </row>
    <row r="855" spans="1:31" x14ac:dyDescent="0.2">
      <c r="A855">
        <f>Dataset_3!A245</f>
        <v>854</v>
      </c>
      <c r="B855" s="61">
        <f>Dataset_3!B245</f>
        <v>40582</v>
      </c>
      <c r="C855">
        <f>Dataset_3!C245</f>
        <v>1</v>
      </c>
      <c r="D855">
        <f>Dataset_3!D245</f>
        <v>0</v>
      </c>
      <c r="E855">
        <f>Dataset_3!E245</f>
        <v>2</v>
      </c>
      <c r="F855">
        <f>Dataset_3!F245</f>
        <v>0</v>
      </c>
      <c r="G855" t="b">
        <f>Dataset_3!G245</f>
        <v>0</v>
      </c>
      <c r="H855">
        <f>Dataset_3!H245</f>
        <v>2</v>
      </c>
      <c r="I855">
        <f>Dataset_3!I245</f>
        <v>2</v>
      </c>
      <c r="J855" s="55">
        <f>Dataset_3!J245</f>
        <v>0.28000000000000003</v>
      </c>
      <c r="K855">
        <f>Dataset_3!K245</f>
        <v>0.31819999999999998</v>
      </c>
      <c r="L855">
        <f>Dataset_3!L245</f>
        <v>0.87</v>
      </c>
      <c r="M855">
        <f>Dataset_3!M245</f>
        <v>0</v>
      </c>
      <c r="N855">
        <f>Dataset_3!N245</f>
        <v>4</v>
      </c>
      <c r="O855">
        <f>Dataset_3!O245</f>
        <v>6</v>
      </c>
      <c r="P855">
        <f>Dataset_3!P245</f>
        <v>10</v>
      </c>
      <c r="Q855" t="str">
        <f t="shared" si="169"/>
        <v>REC-0854</v>
      </c>
      <c r="R855" s="62">
        <f t="shared" si="170"/>
        <v>40582</v>
      </c>
      <c r="S855" t="str">
        <f t="shared" si="171"/>
        <v>Feb</v>
      </c>
      <c r="T855" t="str">
        <f>INDEX(Lookups!$B$39:$B$45,MATCH(H855,Lookups!$A$39:$A$45,0))</f>
        <v>Tue</v>
      </c>
      <c r="U855" t="str">
        <f t="shared" si="172"/>
        <v>Weekday</v>
      </c>
      <c r="V855" t="str">
        <f t="shared" si="173"/>
        <v>Working Day</v>
      </c>
      <c r="W855" t="str">
        <f t="shared" si="174"/>
        <v>Spring</v>
      </c>
      <c r="X855" t="str">
        <f t="shared" si="175"/>
        <v>Cloudy/Mist</v>
      </c>
      <c r="Y855" t="str">
        <f t="shared" si="176"/>
        <v>Night</v>
      </c>
      <c r="Z855" t="str">
        <f t="shared" si="177"/>
        <v>Mild</v>
      </c>
      <c r="AA855" t="str">
        <f t="shared" si="178"/>
        <v>High</v>
      </c>
      <c r="AB855" t="str">
        <f t="shared" si="179"/>
        <v>Off-Peak</v>
      </c>
      <c r="AC855" s="63">
        <f t="shared" si="180"/>
        <v>0.4</v>
      </c>
      <c r="AD855" t="str">
        <f>IF(P855&gt;=Stats!$C$30,"High",IF(P855&lt;=Stats!$C$29,"Low","Normal"))</f>
        <v>Low</v>
      </c>
      <c r="AE855">
        <f t="shared" si="181"/>
        <v>1</v>
      </c>
    </row>
    <row r="856" spans="1:31" x14ac:dyDescent="0.2">
      <c r="A856">
        <f>Dataset_3!A246</f>
        <v>855</v>
      </c>
      <c r="B856" s="61">
        <f>Dataset_3!B246</f>
        <v>40582</v>
      </c>
      <c r="C856">
        <f>Dataset_3!C246</f>
        <v>1</v>
      </c>
      <c r="D856">
        <f>Dataset_3!D246</f>
        <v>0</v>
      </c>
      <c r="E856">
        <f>Dataset_3!E246</f>
        <v>2</v>
      </c>
      <c r="F856">
        <f>Dataset_3!F246</f>
        <v>1</v>
      </c>
      <c r="G856" t="b">
        <f>Dataset_3!G246</f>
        <v>0</v>
      </c>
      <c r="H856">
        <f>Dataset_3!H246</f>
        <v>2</v>
      </c>
      <c r="I856">
        <f>Dataset_3!I246</f>
        <v>2</v>
      </c>
      <c r="J856" s="55">
        <f>Dataset_3!J246</f>
        <v>0.28000000000000003</v>
      </c>
      <c r="K856">
        <f>Dataset_3!K246</f>
        <v>0.31819999999999998</v>
      </c>
      <c r="L856">
        <f>Dataset_3!L246</f>
        <v>0.87</v>
      </c>
      <c r="M856">
        <f>Dataset_3!M246</f>
        <v>0</v>
      </c>
      <c r="N856">
        <f>Dataset_3!N246</f>
        <v>0</v>
      </c>
      <c r="O856">
        <f>Dataset_3!O246</f>
        <v>4</v>
      </c>
      <c r="P856">
        <f>Dataset_3!P246</f>
        <v>4</v>
      </c>
      <c r="Q856" t="str">
        <f t="shared" si="169"/>
        <v>REC-0855</v>
      </c>
      <c r="R856" s="62">
        <f t="shared" si="170"/>
        <v>40582.041666666664</v>
      </c>
      <c r="S856" t="str">
        <f t="shared" si="171"/>
        <v>Feb</v>
      </c>
      <c r="T856" t="str">
        <f>INDEX(Lookups!$B$39:$B$45,MATCH(H856,Lookups!$A$39:$A$45,0))</f>
        <v>Tue</v>
      </c>
      <c r="U856" t="str">
        <f t="shared" si="172"/>
        <v>Weekday</v>
      </c>
      <c r="V856" t="str">
        <f t="shared" si="173"/>
        <v>Working Day</v>
      </c>
      <c r="W856" t="str">
        <f t="shared" si="174"/>
        <v>Spring</v>
      </c>
      <c r="X856" t="str">
        <f t="shared" si="175"/>
        <v>Cloudy/Mist</v>
      </c>
      <c r="Y856" t="str">
        <f t="shared" si="176"/>
        <v>Night</v>
      </c>
      <c r="Z856" t="str">
        <f t="shared" si="177"/>
        <v>Mild</v>
      </c>
      <c r="AA856" t="str">
        <f t="shared" si="178"/>
        <v>High</v>
      </c>
      <c r="AB856" t="str">
        <f t="shared" si="179"/>
        <v>Off-Peak</v>
      </c>
      <c r="AC856" s="63">
        <f t="shared" si="180"/>
        <v>0</v>
      </c>
      <c r="AD856" t="str">
        <f>IF(P856&gt;=Stats!$C$30,"High",IF(P856&lt;=Stats!$C$29,"Low","Normal"))</f>
        <v>Low</v>
      </c>
      <c r="AE856">
        <f t="shared" si="181"/>
        <v>1</v>
      </c>
    </row>
    <row r="857" spans="1:31" x14ac:dyDescent="0.2">
      <c r="A857">
        <f>Dataset_3!A247</f>
        <v>856</v>
      </c>
      <c r="B857" s="61">
        <f>Dataset_3!B247</f>
        <v>40582</v>
      </c>
      <c r="C857">
        <f>Dataset_3!C247</f>
        <v>1</v>
      </c>
      <c r="D857">
        <f>Dataset_3!D247</f>
        <v>0</v>
      </c>
      <c r="E857">
        <f>Dataset_3!E247</f>
        <v>2</v>
      </c>
      <c r="F857">
        <f>Dataset_3!F247</f>
        <v>2</v>
      </c>
      <c r="G857" t="b">
        <f>Dataset_3!G247</f>
        <v>0</v>
      </c>
      <c r="H857">
        <f>Dataset_3!H247</f>
        <v>2</v>
      </c>
      <c r="I857">
        <f>Dataset_3!I247</f>
        <v>2</v>
      </c>
      <c r="J857" s="55">
        <f>Dataset_3!J247</f>
        <v>0.26</v>
      </c>
      <c r="K857">
        <f>Dataset_3!K247</f>
        <v>0.2727</v>
      </c>
      <c r="L857">
        <f>Dataset_3!L247</f>
        <v>0.93</v>
      </c>
      <c r="M857">
        <f>Dataset_3!M247</f>
        <v>0.1045</v>
      </c>
      <c r="N857">
        <f>Dataset_3!N247</f>
        <v>1</v>
      </c>
      <c r="O857">
        <f>Dataset_3!O247</f>
        <v>1</v>
      </c>
      <c r="P857">
        <f>Dataset_3!P247</f>
        <v>2</v>
      </c>
      <c r="Q857" t="str">
        <f t="shared" si="169"/>
        <v>REC-0856</v>
      </c>
      <c r="R857" s="62">
        <f t="shared" si="170"/>
        <v>40582.083333333336</v>
      </c>
      <c r="S857" t="str">
        <f t="shared" si="171"/>
        <v>Feb</v>
      </c>
      <c r="T857" t="str">
        <f>INDEX(Lookups!$B$39:$B$45,MATCH(H857,Lookups!$A$39:$A$45,0))</f>
        <v>Tue</v>
      </c>
      <c r="U857" t="str">
        <f t="shared" si="172"/>
        <v>Weekday</v>
      </c>
      <c r="V857" t="str">
        <f t="shared" si="173"/>
        <v>Working Day</v>
      </c>
      <c r="W857" t="str">
        <f t="shared" si="174"/>
        <v>Spring</v>
      </c>
      <c r="X857" t="str">
        <f t="shared" si="175"/>
        <v>Cloudy/Mist</v>
      </c>
      <c r="Y857" t="str">
        <f t="shared" si="176"/>
        <v>Night</v>
      </c>
      <c r="Z857" t="str">
        <f t="shared" si="177"/>
        <v>Mild</v>
      </c>
      <c r="AA857" t="str">
        <f t="shared" si="178"/>
        <v>High</v>
      </c>
      <c r="AB857" t="str">
        <f t="shared" si="179"/>
        <v>Off-Peak</v>
      </c>
      <c r="AC857" s="63">
        <f t="shared" si="180"/>
        <v>0.5</v>
      </c>
      <c r="AD857" t="str">
        <f>IF(P857&gt;=Stats!$C$30,"High",IF(P857&lt;=Stats!$C$29,"Low","Normal"))</f>
        <v>Low</v>
      </c>
      <c r="AE857">
        <f t="shared" si="181"/>
        <v>1</v>
      </c>
    </row>
    <row r="858" spans="1:31" x14ac:dyDescent="0.2">
      <c r="A858">
        <f>Dataset_3!A248</f>
        <v>857</v>
      </c>
      <c r="B858" s="61">
        <f>Dataset_3!B248</f>
        <v>40582</v>
      </c>
      <c r="C858">
        <f>Dataset_3!C248</f>
        <v>1</v>
      </c>
      <c r="D858">
        <f>Dataset_3!D248</f>
        <v>0</v>
      </c>
      <c r="E858">
        <f>Dataset_3!E248</f>
        <v>2</v>
      </c>
      <c r="F858">
        <f>Dataset_3!F248</f>
        <v>3</v>
      </c>
      <c r="G858" t="b">
        <f>Dataset_3!G248</f>
        <v>0</v>
      </c>
      <c r="H858">
        <f>Dataset_3!H248</f>
        <v>2</v>
      </c>
      <c r="I858">
        <f>Dataset_3!I248</f>
        <v>3</v>
      </c>
      <c r="J858" s="55">
        <f>Dataset_3!J248</f>
        <v>0.28000000000000003</v>
      </c>
      <c r="K858">
        <f>Dataset_3!K248</f>
        <v>0.2727</v>
      </c>
      <c r="L858">
        <f>Dataset_3!L248</f>
        <v>0.93</v>
      </c>
      <c r="M858">
        <f>Dataset_3!M248</f>
        <v>0.16420000000000001</v>
      </c>
      <c r="N858">
        <f>Dataset_3!N248</f>
        <v>0</v>
      </c>
      <c r="O858">
        <f>Dataset_3!O248</f>
        <v>1</v>
      </c>
      <c r="P858">
        <f>Dataset_3!P248</f>
        <v>1</v>
      </c>
      <c r="Q858" t="str">
        <f t="shared" si="169"/>
        <v>REC-0857</v>
      </c>
      <c r="R858" s="62">
        <f t="shared" si="170"/>
        <v>40582.125</v>
      </c>
      <c r="S858" t="str">
        <f t="shared" si="171"/>
        <v>Feb</v>
      </c>
      <c r="T858" t="str">
        <f>INDEX(Lookups!$B$39:$B$45,MATCH(H858,Lookups!$A$39:$A$45,0))</f>
        <v>Tue</v>
      </c>
      <c r="U858" t="str">
        <f t="shared" si="172"/>
        <v>Weekday</v>
      </c>
      <c r="V858" t="str">
        <f t="shared" si="173"/>
        <v>Working Day</v>
      </c>
      <c r="W858" t="str">
        <f t="shared" si="174"/>
        <v>Spring</v>
      </c>
      <c r="X858" t="str">
        <f t="shared" si="175"/>
        <v>Light Rain/Snow</v>
      </c>
      <c r="Y858" t="str">
        <f t="shared" si="176"/>
        <v>Night</v>
      </c>
      <c r="Z858" t="str">
        <f t="shared" si="177"/>
        <v>Mild</v>
      </c>
      <c r="AA858" t="str">
        <f t="shared" si="178"/>
        <v>High</v>
      </c>
      <c r="AB858" t="str">
        <f t="shared" si="179"/>
        <v>Off-Peak</v>
      </c>
      <c r="AC858" s="63">
        <f t="shared" si="180"/>
        <v>0</v>
      </c>
      <c r="AD858" t="str">
        <f>IF(P858&gt;=Stats!$C$30,"High",IF(P858&lt;=Stats!$C$29,"Low","Normal"))</f>
        <v>Low</v>
      </c>
      <c r="AE858">
        <f t="shared" si="181"/>
        <v>1</v>
      </c>
    </row>
    <row r="859" spans="1:31" x14ac:dyDescent="0.2">
      <c r="A859">
        <f>Dataset_3!A249</f>
        <v>858</v>
      </c>
      <c r="B859" s="61">
        <f>Dataset_3!B249</f>
        <v>40582</v>
      </c>
      <c r="C859">
        <f>Dataset_3!C249</f>
        <v>1</v>
      </c>
      <c r="D859">
        <f>Dataset_3!D249</f>
        <v>0</v>
      </c>
      <c r="E859">
        <f>Dataset_3!E249</f>
        <v>2</v>
      </c>
      <c r="F859">
        <f>Dataset_3!F249</f>
        <v>4</v>
      </c>
      <c r="G859" t="b">
        <f>Dataset_3!G249</f>
        <v>0</v>
      </c>
      <c r="H859">
        <f>Dataset_3!H249</f>
        <v>2</v>
      </c>
      <c r="I859">
        <f>Dataset_3!I249</f>
        <v>1</v>
      </c>
      <c r="J859" s="55">
        <f>Dataset_3!J249</f>
        <v>0.26</v>
      </c>
      <c r="K859">
        <f>Dataset_3!K249</f>
        <v>0.2576</v>
      </c>
      <c r="L859">
        <f>Dataset_3!L249</f>
        <v>0.93</v>
      </c>
      <c r="M859">
        <f>Dataset_3!M249</f>
        <v>0.16420000000000001</v>
      </c>
      <c r="N859">
        <f>Dataset_3!N249</f>
        <v>0</v>
      </c>
      <c r="O859">
        <f>Dataset_3!O249</f>
        <v>3</v>
      </c>
      <c r="P859">
        <f>Dataset_3!P249</f>
        <v>3</v>
      </c>
      <c r="Q859" t="str">
        <f t="shared" si="169"/>
        <v>REC-0858</v>
      </c>
      <c r="R859" s="62">
        <f t="shared" si="170"/>
        <v>40582.166666666664</v>
      </c>
      <c r="S859" t="str">
        <f t="shared" si="171"/>
        <v>Feb</v>
      </c>
      <c r="T859" t="str">
        <f>INDEX(Lookups!$B$39:$B$45,MATCH(H859,Lookups!$A$39:$A$45,0))</f>
        <v>Tue</v>
      </c>
      <c r="U859" t="str">
        <f t="shared" si="172"/>
        <v>Weekday</v>
      </c>
      <c r="V859" t="str">
        <f t="shared" si="173"/>
        <v>Working Day</v>
      </c>
      <c r="W859" t="str">
        <f t="shared" si="174"/>
        <v>Spring</v>
      </c>
      <c r="X859" t="str">
        <f t="shared" si="175"/>
        <v>Clear</v>
      </c>
      <c r="Y859" t="str">
        <f t="shared" si="176"/>
        <v>Night</v>
      </c>
      <c r="Z859" t="str">
        <f t="shared" si="177"/>
        <v>Mild</v>
      </c>
      <c r="AA859" t="str">
        <f t="shared" si="178"/>
        <v>High</v>
      </c>
      <c r="AB859" t="str">
        <f t="shared" si="179"/>
        <v>Off-Peak</v>
      </c>
      <c r="AC859" s="63">
        <f t="shared" si="180"/>
        <v>0</v>
      </c>
      <c r="AD859" t="str">
        <f>IF(P859&gt;=Stats!$C$30,"High",IF(P859&lt;=Stats!$C$29,"Low","Normal"))</f>
        <v>Low</v>
      </c>
      <c r="AE859">
        <f t="shared" si="181"/>
        <v>1</v>
      </c>
    </row>
    <row r="860" spans="1:31" x14ac:dyDescent="0.2">
      <c r="A860">
        <f>Dataset_3!A250</f>
        <v>859</v>
      </c>
      <c r="B860" s="61">
        <f>Dataset_3!B250</f>
        <v>40582</v>
      </c>
      <c r="C860">
        <f>Dataset_3!C250</f>
        <v>1</v>
      </c>
      <c r="D860">
        <f>Dataset_3!D250</f>
        <v>0</v>
      </c>
      <c r="E860">
        <f>Dataset_3!E250</f>
        <v>2</v>
      </c>
      <c r="F860">
        <f>Dataset_3!F250</f>
        <v>5</v>
      </c>
      <c r="G860" t="b">
        <f>Dataset_3!G250</f>
        <v>0</v>
      </c>
      <c r="H860">
        <f>Dataset_3!H250</f>
        <v>2</v>
      </c>
      <c r="I860">
        <f>Dataset_3!I250</f>
        <v>1</v>
      </c>
      <c r="J860" s="55">
        <f>Dataset_3!J250</f>
        <v>0.26</v>
      </c>
      <c r="K860">
        <f>Dataset_3!K250</f>
        <v>0.2273</v>
      </c>
      <c r="L860">
        <f>Dataset_3!L250</f>
        <v>0.81</v>
      </c>
      <c r="M860">
        <f>Dataset_3!M250</f>
        <v>0.32840000000000003</v>
      </c>
      <c r="N860">
        <f>Dataset_3!N250</f>
        <v>0</v>
      </c>
      <c r="O860">
        <f>Dataset_3!O250</f>
        <v>2</v>
      </c>
      <c r="P860">
        <f>Dataset_3!P250</f>
        <v>2</v>
      </c>
      <c r="Q860" t="str">
        <f t="shared" si="169"/>
        <v>REC-0859</v>
      </c>
      <c r="R860" s="62">
        <f t="shared" si="170"/>
        <v>40582.208333333336</v>
      </c>
      <c r="S860" t="str">
        <f t="shared" si="171"/>
        <v>Feb</v>
      </c>
      <c r="T860" t="str">
        <f>INDEX(Lookups!$B$39:$B$45,MATCH(H860,Lookups!$A$39:$A$45,0))</f>
        <v>Tue</v>
      </c>
      <c r="U860" t="str">
        <f t="shared" si="172"/>
        <v>Weekday</v>
      </c>
      <c r="V860" t="str">
        <f t="shared" si="173"/>
        <v>Working Day</v>
      </c>
      <c r="W860" t="str">
        <f t="shared" si="174"/>
        <v>Spring</v>
      </c>
      <c r="X860" t="str">
        <f t="shared" si="175"/>
        <v>Clear</v>
      </c>
      <c r="Y860" t="str">
        <f t="shared" si="176"/>
        <v>Night</v>
      </c>
      <c r="Z860" t="str">
        <f t="shared" si="177"/>
        <v>Mild</v>
      </c>
      <c r="AA860" t="str">
        <f t="shared" si="178"/>
        <v>High</v>
      </c>
      <c r="AB860" t="str">
        <f t="shared" si="179"/>
        <v>Off-Peak</v>
      </c>
      <c r="AC860" s="63">
        <f t="shared" si="180"/>
        <v>0</v>
      </c>
      <c r="AD860" t="str">
        <f>IF(P860&gt;=Stats!$C$30,"High",IF(P860&lt;=Stats!$C$29,"Low","Normal"))</f>
        <v>Low</v>
      </c>
      <c r="AE860">
        <f t="shared" si="181"/>
        <v>1</v>
      </c>
    </row>
    <row r="861" spans="1:31" x14ac:dyDescent="0.2">
      <c r="A861">
        <f>Dataset_3!A251</f>
        <v>860</v>
      </c>
      <c r="B861" s="61">
        <f>Dataset_3!B251</f>
        <v>40582</v>
      </c>
      <c r="C861">
        <f>Dataset_3!C251</f>
        <v>1</v>
      </c>
      <c r="D861">
        <f>Dataset_3!D251</f>
        <v>0</v>
      </c>
      <c r="E861">
        <f>Dataset_3!E251</f>
        <v>2</v>
      </c>
      <c r="F861">
        <f>Dataset_3!F251</f>
        <v>6</v>
      </c>
      <c r="G861" t="b">
        <f>Dataset_3!G251</f>
        <v>0</v>
      </c>
      <c r="H861">
        <f>Dataset_3!H251</f>
        <v>2</v>
      </c>
      <c r="I861">
        <f>Dataset_3!I251</f>
        <v>1</v>
      </c>
      <c r="J861" s="55">
        <f>Dataset_3!J251</f>
        <v>0.26</v>
      </c>
      <c r="K861">
        <f>Dataset_3!K251</f>
        <v>0.2273</v>
      </c>
      <c r="L861">
        <f>Dataset_3!L251</f>
        <v>0.7</v>
      </c>
      <c r="M861">
        <f>Dataset_3!M251</f>
        <v>0.32840000000000003</v>
      </c>
      <c r="N861">
        <f>Dataset_3!N251</f>
        <v>0</v>
      </c>
      <c r="O861">
        <f>Dataset_3!O251</f>
        <v>39</v>
      </c>
      <c r="P861">
        <f>Dataset_3!P251</f>
        <v>39</v>
      </c>
      <c r="Q861" t="str">
        <f t="shared" si="169"/>
        <v>REC-0860</v>
      </c>
      <c r="R861" s="62">
        <f t="shared" si="170"/>
        <v>40582.25</v>
      </c>
      <c r="S861" t="str">
        <f t="shared" si="171"/>
        <v>Feb</v>
      </c>
      <c r="T861" t="str">
        <f>INDEX(Lookups!$B$39:$B$45,MATCH(H861,Lookups!$A$39:$A$45,0))</f>
        <v>Tue</v>
      </c>
      <c r="U861" t="str">
        <f t="shared" si="172"/>
        <v>Weekday</v>
      </c>
      <c r="V861" t="str">
        <f t="shared" si="173"/>
        <v>Working Day</v>
      </c>
      <c r="W861" t="str">
        <f t="shared" si="174"/>
        <v>Spring</v>
      </c>
      <c r="X861" t="str">
        <f t="shared" si="175"/>
        <v>Clear</v>
      </c>
      <c r="Y861" t="str">
        <f t="shared" si="176"/>
        <v>Morning</v>
      </c>
      <c r="Z861" t="str">
        <f t="shared" si="177"/>
        <v>Mild</v>
      </c>
      <c r="AA861" t="str">
        <f t="shared" si="178"/>
        <v>Medium</v>
      </c>
      <c r="AB861" t="str">
        <f t="shared" si="179"/>
        <v>Off-Peak</v>
      </c>
      <c r="AC861" s="63">
        <f t="shared" si="180"/>
        <v>0</v>
      </c>
      <c r="AD861" t="str">
        <f>IF(P861&gt;=Stats!$C$30,"High",IF(P861&lt;=Stats!$C$29,"Low","Normal"))</f>
        <v>Normal</v>
      </c>
      <c r="AE861">
        <f t="shared" si="181"/>
        <v>1</v>
      </c>
    </row>
    <row r="862" spans="1:31" x14ac:dyDescent="0.2">
      <c r="A862">
        <f>Dataset_3!A252</f>
        <v>861</v>
      </c>
      <c r="B862" s="61">
        <f>Dataset_3!B252</f>
        <v>40582</v>
      </c>
      <c r="C862">
        <f>Dataset_3!C252</f>
        <v>1</v>
      </c>
      <c r="D862">
        <f>Dataset_3!D252</f>
        <v>0</v>
      </c>
      <c r="E862">
        <f>Dataset_3!E252</f>
        <v>2</v>
      </c>
      <c r="F862">
        <f>Dataset_3!F252</f>
        <v>7</v>
      </c>
      <c r="G862" t="b">
        <f>Dataset_3!G252</f>
        <v>0</v>
      </c>
      <c r="H862">
        <f>Dataset_3!H252</f>
        <v>2</v>
      </c>
      <c r="I862">
        <f>Dataset_3!I252</f>
        <v>1</v>
      </c>
      <c r="J862" s="55">
        <f>Dataset_3!J252</f>
        <v>0.24</v>
      </c>
      <c r="K862">
        <f>Dataset_3!K252</f>
        <v>0.19700000000000001</v>
      </c>
      <c r="L862">
        <f>Dataset_3!L252</f>
        <v>0.65</v>
      </c>
      <c r="M862">
        <f>Dataset_3!M252</f>
        <v>0.41789999999999999</v>
      </c>
      <c r="N862">
        <f>Dataset_3!N252</f>
        <v>3</v>
      </c>
      <c r="O862">
        <f>Dataset_3!O252</f>
        <v>97</v>
      </c>
      <c r="P862">
        <f>Dataset_3!P252</f>
        <v>100</v>
      </c>
      <c r="Q862" t="str">
        <f t="shared" si="169"/>
        <v>REC-0861</v>
      </c>
      <c r="R862" s="62">
        <f t="shared" si="170"/>
        <v>40582.291666666664</v>
      </c>
      <c r="S862" t="str">
        <f t="shared" si="171"/>
        <v>Feb</v>
      </c>
      <c r="T862" t="str">
        <f>INDEX(Lookups!$B$39:$B$45,MATCH(H862,Lookups!$A$39:$A$45,0))</f>
        <v>Tue</v>
      </c>
      <c r="U862" t="str">
        <f t="shared" si="172"/>
        <v>Weekday</v>
      </c>
      <c r="V862" t="str">
        <f t="shared" si="173"/>
        <v>Working Day</v>
      </c>
      <c r="W862" t="str">
        <f t="shared" si="174"/>
        <v>Spring</v>
      </c>
      <c r="X862" t="str">
        <f t="shared" si="175"/>
        <v>Clear</v>
      </c>
      <c r="Y862" t="str">
        <f t="shared" si="176"/>
        <v>Morning</v>
      </c>
      <c r="Z862" t="str">
        <f t="shared" si="177"/>
        <v>Mild</v>
      </c>
      <c r="AA862" t="str">
        <f t="shared" si="178"/>
        <v>Medium</v>
      </c>
      <c r="AB862" t="str">
        <f t="shared" si="179"/>
        <v>Peak</v>
      </c>
      <c r="AC862" s="63">
        <f t="shared" si="180"/>
        <v>0.03</v>
      </c>
      <c r="AD862" t="str">
        <f>IF(P862&gt;=Stats!$C$30,"High",IF(P862&lt;=Stats!$C$29,"Low","Normal"))</f>
        <v>High</v>
      </c>
      <c r="AE862">
        <f t="shared" si="181"/>
        <v>1</v>
      </c>
    </row>
    <row r="863" spans="1:31" x14ac:dyDescent="0.2">
      <c r="A863">
        <f>Dataset_3!A253</f>
        <v>862</v>
      </c>
      <c r="B863" s="61">
        <f>Dataset_3!B253</f>
        <v>40582</v>
      </c>
      <c r="C863">
        <f>Dataset_3!C253</f>
        <v>1</v>
      </c>
      <c r="D863">
        <f>Dataset_3!D253</f>
        <v>0</v>
      </c>
      <c r="E863">
        <f>Dataset_3!E253</f>
        <v>2</v>
      </c>
      <c r="F863">
        <f>Dataset_3!F253</f>
        <v>8</v>
      </c>
      <c r="G863" t="b">
        <f>Dataset_3!G253</f>
        <v>0</v>
      </c>
      <c r="H863">
        <f>Dataset_3!H253</f>
        <v>2</v>
      </c>
      <c r="I863">
        <f>Dataset_3!I253</f>
        <v>1</v>
      </c>
      <c r="J863" s="55">
        <f>Dataset_3!J253</f>
        <v>0.24</v>
      </c>
      <c r="K863">
        <f>Dataset_3!K253</f>
        <v>0.19700000000000001</v>
      </c>
      <c r="L863">
        <f>Dataset_3!L253</f>
        <v>0.56000000000000005</v>
      </c>
      <c r="M863">
        <f>Dataset_3!M253</f>
        <v>0.49249999999999999</v>
      </c>
      <c r="N863">
        <f>Dataset_3!N253</f>
        <v>7</v>
      </c>
      <c r="O863">
        <f>Dataset_3!O253</f>
        <v>236</v>
      </c>
      <c r="P863">
        <f>Dataset_3!P253</f>
        <v>243</v>
      </c>
      <c r="Q863" t="str">
        <f t="shared" si="169"/>
        <v>REC-0862</v>
      </c>
      <c r="R863" s="62">
        <f t="shared" si="170"/>
        <v>40582.333333333336</v>
      </c>
      <c r="S863" t="str">
        <f t="shared" si="171"/>
        <v>Feb</v>
      </c>
      <c r="T863" t="str">
        <f>INDEX(Lookups!$B$39:$B$45,MATCH(H863,Lookups!$A$39:$A$45,0))</f>
        <v>Tue</v>
      </c>
      <c r="U863" t="str">
        <f t="shared" si="172"/>
        <v>Weekday</v>
      </c>
      <c r="V863" t="str">
        <f t="shared" si="173"/>
        <v>Working Day</v>
      </c>
      <c r="W863" t="str">
        <f t="shared" si="174"/>
        <v>Spring</v>
      </c>
      <c r="X863" t="str">
        <f t="shared" si="175"/>
        <v>Clear</v>
      </c>
      <c r="Y863" t="str">
        <f t="shared" si="176"/>
        <v>Morning</v>
      </c>
      <c r="Z863" t="str">
        <f t="shared" si="177"/>
        <v>Mild</v>
      </c>
      <c r="AA863" t="str">
        <f t="shared" si="178"/>
        <v>Medium</v>
      </c>
      <c r="AB863" t="str">
        <f t="shared" si="179"/>
        <v>Peak</v>
      </c>
      <c r="AC863" s="63">
        <f t="shared" si="180"/>
        <v>2.8806584362139918E-2</v>
      </c>
      <c r="AD863" t="str">
        <f>IF(P863&gt;=Stats!$C$30,"High",IF(P863&lt;=Stats!$C$29,"Low","Normal"))</f>
        <v>High</v>
      </c>
      <c r="AE863">
        <f t="shared" si="181"/>
        <v>1</v>
      </c>
    </row>
    <row r="864" spans="1:31" x14ac:dyDescent="0.2">
      <c r="A864">
        <f>Dataset_3!A254</f>
        <v>863</v>
      </c>
      <c r="B864" s="61">
        <f>Dataset_3!B254</f>
        <v>40582</v>
      </c>
      <c r="C864">
        <f>Dataset_3!C254</f>
        <v>1</v>
      </c>
      <c r="D864">
        <f>Dataset_3!D254</f>
        <v>0</v>
      </c>
      <c r="E864">
        <f>Dataset_3!E254</f>
        <v>2</v>
      </c>
      <c r="F864">
        <f>Dataset_3!F254</f>
        <v>9</v>
      </c>
      <c r="G864" t="b">
        <f>Dataset_3!G254</f>
        <v>0</v>
      </c>
      <c r="H864">
        <f>Dataset_3!H254</f>
        <v>2</v>
      </c>
      <c r="I864">
        <f>Dataset_3!I254</f>
        <v>1</v>
      </c>
      <c r="J864" s="55">
        <f>Dataset_3!J254</f>
        <v>0.24</v>
      </c>
      <c r="K864">
        <f>Dataset_3!K254</f>
        <v>0.19700000000000001</v>
      </c>
      <c r="L864">
        <f>Dataset_3!L254</f>
        <v>0.52</v>
      </c>
      <c r="M864">
        <f>Dataset_3!M254</f>
        <v>0.49249999999999999</v>
      </c>
      <c r="N864">
        <f>Dataset_3!N254</f>
        <v>7</v>
      </c>
      <c r="O864">
        <f>Dataset_3!O254</f>
        <v>128</v>
      </c>
      <c r="P864">
        <f>Dataset_3!P254</f>
        <v>135</v>
      </c>
      <c r="Q864" t="str">
        <f t="shared" si="169"/>
        <v>REC-0863</v>
      </c>
      <c r="R864" s="62">
        <f t="shared" si="170"/>
        <v>40582.375</v>
      </c>
      <c r="S864" t="str">
        <f t="shared" si="171"/>
        <v>Feb</v>
      </c>
      <c r="T864" t="str">
        <f>INDEX(Lookups!$B$39:$B$45,MATCH(H864,Lookups!$A$39:$A$45,0))</f>
        <v>Tue</v>
      </c>
      <c r="U864" t="str">
        <f t="shared" si="172"/>
        <v>Weekday</v>
      </c>
      <c r="V864" t="str">
        <f t="shared" si="173"/>
        <v>Working Day</v>
      </c>
      <c r="W864" t="str">
        <f t="shared" si="174"/>
        <v>Spring</v>
      </c>
      <c r="X864" t="str">
        <f t="shared" si="175"/>
        <v>Clear</v>
      </c>
      <c r="Y864" t="str">
        <f t="shared" si="176"/>
        <v>Morning</v>
      </c>
      <c r="Z864" t="str">
        <f t="shared" si="177"/>
        <v>Mild</v>
      </c>
      <c r="AA864" t="str">
        <f t="shared" si="178"/>
        <v>Medium</v>
      </c>
      <c r="AB864" t="str">
        <f t="shared" si="179"/>
        <v>Peak</v>
      </c>
      <c r="AC864" s="63">
        <f t="shared" si="180"/>
        <v>5.185185185185185E-2</v>
      </c>
      <c r="AD864" t="str">
        <f>IF(P864&gt;=Stats!$C$30,"High",IF(P864&lt;=Stats!$C$29,"Low","Normal"))</f>
        <v>High</v>
      </c>
      <c r="AE864">
        <f t="shared" si="181"/>
        <v>1</v>
      </c>
    </row>
    <row r="865" spans="1:31" x14ac:dyDescent="0.2">
      <c r="A865">
        <f>Dataset_3!A255</f>
        <v>864</v>
      </c>
      <c r="B865" s="61">
        <f>Dataset_3!B255</f>
        <v>40582</v>
      </c>
      <c r="C865">
        <f>Dataset_3!C255</f>
        <v>1</v>
      </c>
      <c r="D865">
        <f>Dataset_3!D255</f>
        <v>0</v>
      </c>
      <c r="E865">
        <f>Dataset_3!E255</f>
        <v>2</v>
      </c>
      <c r="F865">
        <f>Dataset_3!F255</f>
        <v>10</v>
      </c>
      <c r="G865" t="b">
        <f>Dataset_3!G255</f>
        <v>0</v>
      </c>
      <c r="H865">
        <f>Dataset_3!H255</f>
        <v>2</v>
      </c>
      <c r="I865">
        <f>Dataset_3!I255</f>
        <v>1</v>
      </c>
      <c r="J865" s="55">
        <f>Dataset_3!J255</f>
        <v>0.22</v>
      </c>
      <c r="K865">
        <f>Dataset_3!K255</f>
        <v>0.18179999999999999</v>
      </c>
      <c r="L865">
        <f>Dataset_3!L255</f>
        <v>0.47</v>
      </c>
      <c r="M865">
        <f>Dataset_3!M255</f>
        <v>0.55220000000000002</v>
      </c>
      <c r="N865">
        <f>Dataset_3!N255</f>
        <v>4</v>
      </c>
      <c r="O865">
        <f>Dataset_3!O255</f>
        <v>44</v>
      </c>
      <c r="P865">
        <f>Dataset_3!P255</f>
        <v>48</v>
      </c>
      <c r="Q865" t="str">
        <f t="shared" si="169"/>
        <v>REC-0864</v>
      </c>
      <c r="R865" s="62">
        <f t="shared" si="170"/>
        <v>40582.416666666664</v>
      </c>
      <c r="S865" t="str">
        <f t="shared" si="171"/>
        <v>Feb</v>
      </c>
      <c r="T865" t="str">
        <f>INDEX(Lookups!$B$39:$B$45,MATCH(H865,Lookups!$A$39:$A$45,0))</f>
        <v>Tue</v>
      </c>
      <c r="U865" t="str">
        <f t="shared" si="172"/>
        <v>Weekday</v>
      </c>
      <c r="V865" t="str">
        <f t="shared" si="173"/>
        <v>Working Day</v>
      </c>
      <c r="W865" t="str">
        <f t="shared" si="174"/>
        <v>Spring</v>
      </c>
      <c r="X865" t="str">
        <f t="shared" si="175"/>
        <v>Clear</v>
      </c>
      <c r="Y865" t="str">
        <f t="shared" si="176"/>
        <v>Morning</v>
      </c>
      <c r="Z865" t="str">
        <f t="shared" si="177"/>
        <v>Mild</v>
      </c>
      <c r="AA865" t="str">
        <f t="shared" si="178"/>
        <v>Low</v>
      </c>
      <c r="AB865" t="str">
        <f t="shared" si="179"/>
        <v>Off-Peak</v>
      </c>
      <c r="AC865" s="63">
        <f t="shared" si="180"/>
        <v>8.3333333333333329E-2</v>
      </c>
      <c r="AD865" t="str">
        <f>IF(P865&gt;=Stats!$C$30,"High",IF(P865&lt;=Stats!$C$29,"Low","Normal"))</f>
        <v>Normal</v>
      </c>
      <c r="AE865">
        <f t="shared" si="181"/>
        <v>1</v>
      </c>
    </row>
    <row r="866" spans="1:31" x14ac:dyDescent="0.2">
      <c r="A866">
        <f>Dataset_3!A256</f>
        <v>865</v>
      </c>
      <c r="B866" s="61">
        <f>Dataset_3!B256</f>
        <v>40582</v>
      </c>
      <c r="C866">
        <f>Dataset_3!C256</f>
        <v>1</v>
      </c>
      <c r="D866">
        <f>Dataset_3!D256</f>
        <v>0</v>
      </c>
      <c r="E866">
        <f>Dataset_3!E256</f>
        <v>2</v>
      </c>
      <c r="F866">
        <f>Dataset_3!F256</f>
        <v>11</v>
      </c>
      <c r="G866" t="b">
        <f>Dataset_3!G256</f>
        <v>0</v>
      </c>
      <c r="H866">
        <f>Dataset_3!H256</f>
        <v>2</v>
      </c>
      <c r="I866">
        <f>Dataset_3!I256</f>
        <v>1</v>
      </c>
      <c r="J866" s="55">
        <f>Dataset_3!J256</f>
        <v>0.22</v>
      </c>
      <c r="K866">
        <f>Dataset_3!K256</f>
        <v>0.18179999999999999</v>
      </c>
      <c r="L866">
        <f>Dataset_3!L256</f>
        <v>0.47</v>
      </c>
      <c r="M866">
        <f>Dataset_3!M256</f>
        <v>0.4627</v>
      </c>
      <c r="N866">
        <f>Dataset_3!N256</f>
        <v>1</v>
      </c>
      <c r="O866">
        <f>Dataset_3!O256</f>
        <v>49</v>
      </c>
      <c r="P866">
        <f>Dataset_3!P256</f>
        <v>50</v>
      </c>
      <c r="Q866" t="str">
        <f t="shared" si="169"/>
        <v>REC-0865</v>
      </c>
      <c r="R866" s="62">
        <f t="shared" si="170"/>
        <v>40582.458333333336</v>
      </c>
      <c r="S866" t="str">
        <f t="shared" si="171"/>
        <v>Feb</v>
      </c>
      <c r="T866" t="str">
        <f>INDEX(Lookups!$B$39:$B$45,MATCH(H866,Lookups!$A$39:$A$45,0))</f>
        <v>Tue</v>
      </c>
      <c r="U866" t="str">
        <f t="shared" si="172"/>
        <v>Weekday</v>
      </c>
      <c r="V866" t="str">
        <f t="shared" si="173"/>
        <v>Working Day</v>
      </c>
      <c r="W866" t="str">
        <f t="shared" si="174"/>
        <v>Spring</v>
      </c>
      <c r="X866" t="str">
        <f t="shared" si="175"/>
        <v>Clear</v>
      </c>
      <c r="Y866" t="str">
        <f t="shared" si="176"/>
        <v>Morning</v>
      </c>
      <c r="Z866" t="str">
        <f t="shared" si="177"/>
        <v>Mild</v>
      </c>
      <c r="AA866" t="str">
        <f t="shared" si="178"/>
        <v>Low</v>
      </c>
      <c r="AB866" t="str">
        <f t="shared" si="179"/>
        <v>Off-Peak</v>
      </c>
      <c r="AC866" s="63">
        <f t="shared" si="180"/>
        <v>0.02</v>
      </c>
      <c r="AD866" t="str">
        <f>IF(P866&gt;=Stats!$C$30,"High",IF(P866&lt;=Stats!$C$29,"Low","Normal"))</f>
        <v>Normal</v>
      </c>
      <c r="AE866">
        <f t="shared" si="181"/>
        <v>1</v>
      </c>
    </row>
    <row r="867" spans="1:31" x14ac:dyDescent="0.2">
      <c r="A867">
        <f>Dataset_3!A257</f>
        <v>866</v>
      </c>
      <c r="B867" s="61">
        <f>Dataset_3!B257</f>
        <v>40582</v>
      </c>
      <c r="C867">
        <f>Dataset_3!C257</f>
        <v>1</v>
      </c>
      <c r="D867">
        <f>Dataset_3!D257</f>
        <v>0</v>
      </c>
      <c r="E867">
        <f>Dataset_3!E257</f>
        <v>2</v>
      </c>
      <c r="F867">
        <f>Dataset_3!F257</f>
        <v>12</v>
      </c>
      <c r="G867" t="b">
        <f>Dataset_3!G257</f>
        <v>0</v>
      </c>
      <c r="H867">
        <f>Dataset_3!H257</f>
        <v>2</v>
      </c>
      <c r="I867">
        <f>Dataset_3!I257</f>
        <v>1</v>
      </c>
      <c r="J867" s="55">
        <f>Dataset_3!J257</f>
        <v>0.24</v>
      </c>
      <c r="K867">
        <f>Dataset_3!K257</f>
        <v>0.19700000000000001</v>
      </c>
      <c r="L867">
        <f>Dataset_3!L257</f>
        <v>0.38</v>
      </c>
      <c r="M867">
        <f>Dataset_3!M257</f>
        <v>0.49249999999999999</v>
      </c>
      <c r="N867">
        <f>Dataset_3!N257</f>
        <v>2</v>
      </c>
      <c r="O867">
        <f>Dataset_3!O257</f>
        <v>63</v>
      </c>
      <c r="P867">
        <f>Dataset_3!P257</f>
        <v>65</v>
      </c>
      <c r="Q867" t="str">
        <f t="shared" si="169"/>
        <v>REC-0866</v>
      </c>
      <c r="R867" s="62">
        <f t="shared" si="170"/>
        <v>40582.5</v>
      </c>
      <c r="S867" t="str">
        <f t="shared" si="171"/>
        <v>Feb</v>
      </c>
      <c r="T867" t="str">
        <f>INDEX(Lookups!$B$39:$B$45,MATCH(H867,Lookups!$A$39:$A$45,0))</f>
        <v>Tue</v>
      </c>
      <c r="U867" t="str">
        <f t="shared" si="172"/>
        <v>Weekday</v>
      </c>
      <c r="V867" t="str">
        <f t="shared" si="173"/>
        <v>Working Day</v>
      </c>
      <c r="W867" t="str">
        <f t="shared" si="174"/>
        <v>Spring</v>
      </c>
      <c r="X867" t="str">
        <f t="shared" si="175"/>
        <v>Clear</v>
      </c>
      <c r="Y867" t="str">
        <f t="shared" si="176"/>
        <v>Afternoon</v>
      </c>
      <c r="Z867" t="str">
        <f t="shared" si="177"/>
        <v>Mild</v>
      </c>
      <c r="AA867" t="str">
        <f t="shared" si="178"/>
        <v>Low</v>
      </c>
      <c r="AB867" t="str">
        <f t="shared" si="179"/>
        <v>Off-Peak</v>
      </c>
      <c r="AC867" s="63">
        <f t="shared" si="180"/>
        <v>3.0769230769230771E-2</v>
      </c>
      <c r="AD867" t="str">
        <f>IF(P867&gt;=Stats!$C$30,"High",IF(P867&lt;=Stats!$C$29,"Low","Normal"))</f>
        <v>Normal</v>
      </c>
      <c r="AE867">
        <f t="shared" si="181"/>
        <v>1</v>
      </c>
    </row>
    <row r="868" spans="1:31" x14ac:dyDescent="0.2">
      <c r="A868">
        <f>Dataset_3!A258</f>
        <v>867</v>
      </c>
      <c r="B868" s="61">
        <f>Dataset_3!B258</f>
        <v>40582</v>
      </c>
      <c r="C868">
        <f>Dataset_3!C258</f>
        <v>1</v>
      </c>
      <c r="D868">
        <f>Dataset_3!D258</f>
        <v>0</v>
      </c>
      <c r="E868">
        <f>Dataset_3!E258</f>
        <v>2</v>
      </c>
      <c r="F868">
        <f>Dataset_3!F258</f>
        <v>13</v>
      </c>
      <c r="G868" t="b">
        <f>Dataset_3!G258</f>
        <v>0</v>
      </c>
      <c r="H868">
        <f>Dataset_3!H258</f>
        <v>2</v>
      </c>
      <c r="I868">
        <f>Dataset_3!I258</f>
        <v>2</v>
      </c>
      <c r="J868" s="55">
        <f>Dataset_3!J258</f>
        <v>0.24</v>
      </c>
      <c r="K868">
        <f>Dataset_3!K258</f>
        <v>0.19700000000000001</v>
      </c>
      <c r="L868">
        <f>Dataset_3!L258</f>
        <v>0.32</v>
      </c>
      <c r="M868">
        <f>Dataset_3!M258</f>
        <v>0.44779999999999998</v>
      </c>
      <c r="N868">
        <f>Dataset_3!N258</f>
        <v>2</v>
      </c>
      <c r="O868">
        <f>Dataset_3!O258</f>
        <v>48</v>
      </c>
      <c r="P868">
        <f>Dataset_3!P258</f>
        <v>50</v>
      </c>
      <c r="Q868" t="str">
        <f t="shared" si="169"/>
        <v>REC-0867</v>
      </c>
      <c r="R868" s="62">
        <f t="shared" si="170"/>
        <v>40582.541666666664</v>
      </c>
      <c r="S868" t="str">
        <f t="shared" si="171"/>
        <v>Feb</v>
      </c>
      <c r="T868" t="str">
        <f>INDEX(Lookups!$B$39:$B$45,MATCH(H868,Lookups!$A$39:$A$45,0))</f>
        <v>Tue</v>
      </c>
      <c r="U868" t="str">
        <f t="shared" si="172"/>
        <v>Weekday</v>
      </c>
      <c r="V868" t="str">
        <f t="shared" si="173"/>
        <v>Working Day</v>
      </c>
      <c r="W868" t="str">
        <f t="shared" si="174"/>
        <v>Spring</v>
      </c>
      <c r="X868" t="str">
        <f t="shared" si="175"/>
        <v>Cloudy/Mist</v>
      </c>
      <c r="Y868" t="str">
        <f t="shared" si="176"/>
        <v>Afternoon</v>
      </c>
      <c r="Z868" t="str">
        <f t="shared" si="177"/>
        <v>Mild</v>
      </c>
      <c r="AA868" t="str">
        <f t="shared" si="178"/>
        <v>Low</v>
      </c>
      <c r="AB868" t="str">
        <f t="shared" si="179"/>
        <v>Off-Peak</v>
      </c>
      <c r="AC868" s="63">
        <f t="shared" si="180"/>
        <v>0.04</v>
      </c>
      <c r="AD868" t="str">
        <f>IF(P868&gt;=Stats!$C$30,"High",IF(P868&lt;=Stats!$C$29,"Low","Normal"))</f>
        <v>Normal</v>
      </c>
      <c r="AE868">
        <f t="shared" si="181"/>
        <v>1</v>
      </c>
    </row>
    <row r="869" spans="1:31" x14ac:dyDescent="0.2">
      <c r="A869">
        <f>Dataset_3!A259</f>
        <v>868</v>
      </c>
      <c r="B869" s="61">
        <f>Dataset_3!B259</f>
        <v>40582</v>
      </c>
      <c r="C869">
        <f>Dataset_3!C259</f>
        <v>1</v>
      </c>
      <c r="D869">
        <f>Dataset_3!D259</f>
        <v>0</v>
      </c>
      <c r="E869">
        <f>Dataset_3!E259</f>
        <v>2</v>
      </c>
      <c r="F869">
        <f>Dataset_3!F259</f>
        <v>14</v>
      </c>
      <c r="G869" t="b">
        <f>Dataset_3!G259</f>
        <v>0</v>
      </c>
      <c r="H869">
        <f>Dataset_3!H259</f>
        <v>2</v>
      </c>
      <c r="I869">
        <f>Dataset_3!I259</f>
        <v>1</v>
      </c>
      <c r="J869" s="55">
        <f>Dataset_3!J259</f>
        <v>0.22</v>
      </c>
      <c r="K869">
        <f>Dataset_3!K259</f>
        <v>0.19700000000000001</v>
      </c>
      <c r="L869">
        <f>Dataset_3!L259</f>
        <v>0.37</v>
      </c>
      <c r="M869">
        <f>Dataset_3!M259</f>
        <v>0.41789999999999999</v>
      </c>
      <c r="N869">
        <f>Dataset_3!N259</f>
        <v>3</v>
      </c>
      <c r="O869">
        <f>Dataset_3!O259</f>
        <v>61</v>
      </c>
      <c r="P869">
        <f>Dataset_3!P259</f>
        <v>64</v>
      </c>
      <c r="Q869" t="str">
        <f t="shared" si="169"/>
        <v>REC-0868</v>
      </c>
      <c r="R869" s="62">
        <f t="shared" si="170"/>
        <v>40582.583333333336</v>
      </c>
      <c r="S869" t="str">
        <f t="shared" si="171"/>
        <v>Feb</v>
      </c>
      <c r="T869" t="str">
        <f>INDEX(Lookups!$B$39:$B$45,MATCH(H869,Lookups!$A$39:$A$45,0))</f>
        <v>Tue</v>
      </c>
      <c r="U869" t="str">
        <f t="shared" si="172"/>
        <v>Weekday</v>
      </c>
      <c r="V869" t="str">
        <f t="shared" si="173"/>
        <v>Working Day</v>
      </c>
      <c r="W869" t="str">
        <f t="shared" si="174"/>
        <v>Spring</v>
      </c>
      <c r="X869" t="str">
        <f t="shared" si="175"/>
        <v>Clear</v>
      </c>
      <c r="Y869" t="str">
        <f t="shared" si="176"/>
        <v>Afternoon</v>
      </c>
      <c r="Z869" t="str">
        <f t="shared" si="177"/>
        <v>Mild</v>
      </c>
      <c r="AA869" t="str">
        <f t="shared" si="178"/>
        <v>Low</v>
      </c>
      <c r="AB869" t="str">
        <f t="shared" si="179"/>
        <v>Off-Peak</v>
      </c>
      <c r="AC869" s="63">
        <f t="shared" si="180"/>
        <v>4.6875E-2</v>
      </c>
      <c r="AD869" t="str">
        <f>IF(P869&gt;=Stats!$C$30,"High",IF(P869&lt;=Stats!$C$29,"Low","Normal"))</f>
        <v>Normal</v>
      </c>
      <c r="AE869">
        <f t="shared" si="181"/>
        <v>1</v>
      </c>
    </row>
    <row r="870" spans="1:31" x14ac:dyDescent="0.2">
      <c r="A870">
        <f>Dataset_3!A260</f>
        <v>869</v>
      </c>
      <c r="B870" s="61">
        <f>Dataset_3!B260</f>
        <v>40582</v>
      </c>
      <c r="C870">
        <f>Dataset_3!C260</f>
        <v>1</v>
      </c>
      <c r="D870">
        <f>Dataset_3!D260</f>
        <v>0</v>
      </c>
      <c r="E870">
        <f>Dataset_3!E260</f>
        <v>2</v>
      </c>
      <c r="F870">
        <f>Dataset_3!F260</f>
        <v>15</v>
      </c>
      <c r="G870" t="b">
        <f>Dataset_3!G260</f>
        <v>0</v>
      </c>
      <c r="H870">
        <f>Dataset_3!H260</f>
        <v>2</v>
      </c>
      <c r="I870">
        <f>Dataset_3!I260</f>
        <v>1</v>
      </c>
      <c r="J870" s="55">
        <f>Dataset_3!J260</f>
        <v>0.22</v>
      </c>
      <c r="K870">
        <f>Dataset_3!K260</f>
        <v>0.19700000000000001</v>
      </c>
      <c r="L870">
        <f>Dataset_3!L260</f>
        <v>0.35</v>
      </c>
      <c r="M870">
        <f>Dataset_3!M260</f>
        <v>0.3881</v>
      </c>
      <c r="N870">
        <f>Dataset_3!N260</f>
        <v>6</v>
      </c>
      <c r="O870">
        <f>Dataset_3!O260</f>
        <v>45</v>
      </c>
      <c r="P870">
        <f>Dataset_3!P260</f>
        <v>51</v>
      </c>
      <c r="Q870" t="str">
        <f t="shared" si="169"/>
        <v>REC-0869</v>
      </c>
      <c r="R870" s="62">
        <f t="shared" si="170"/>
        <v>40582.625</v>
      </c>
      <c r="S870" t="str">
        <f t="shared" si="171"/>
        <v>Feb</v>
      </c>
      <c r="T870" t="str">
        <f>INDEX(Lookups!$B$39:$B$45,MATCH(H870,Lookups!$A$39:$A$45,0))</f>
        <v>Tue</v>
      </c>
      <c r="U870" t="str">
        <f t="shared" si="172"/>
        <v>Weekday</v>
      </c>
      <c r="V870" t="str">
        <f t="shared" si="173"/>
        <v>Working Day</v>
      </c>
      <c r="W870" t="str">
        <f t="shared" si="174"/>
        <v>Spring</v>
      </c>
      <c r="X870" t="str">
        <f t="shared" si="175"/>
        <v>Clear</v>
      </c>
      <c r="Y870" t="str">
        <f t="shared" si="176"/>
        <v>Afternoon</v>
      </c>
      <c r="Z870" t="str">
        <f t="shared" si="177"/>
        <v>Mild</v>
      </c>
      <c r="AA870" t="str">
        <f t="shared" si="178"/>
        <v>Low</v>
      </c>
      <c r="AB870" t="str">
        <f t="shared" si="179"/>
        <v>Off-Peak</v>
      </c>
      <c r="AC870" s="63">
        <f t="shared" si="180"/>
        <v>0.11764705882352941</v>
      </c>
      <c r="AD870" t="str">
        <f>IF(P870&gt;=Stats!$C$30,"High",IF(P870&lt;=Stats!$C$29,"Low","Normal"))</f>
        <v>Normal</v>
      </c>
      <c r="AE870">
        <f t="shared" si="181"/>
        <v>1</v>
      </c>
    </row>
    <row r="871" spans="1:31" x14ac:dyDescent="0.2">
      <c r="A871">
        <f>Dataset_3!A261</f>
        <v>870</v>
      </c>
      <c r="B871" s="61">
        <f>Dataset_3!B261</f>
        <v>40582</v>
      </c>
      <c r="C871">
        <f>Dataset_3!C261</f>
        <v>1</v>
      </c>
      <c r="D871">
        <f>Dataset_3!D261</f>
        <v>0</v>
      </c>
      <c r="E871">
        <f>Dataset_3!E261</f>
        <v>2</v>
      </c>
      <c r="F871">
        <f>Dataset_3!F261</f>
        <v>16</v>
      </c>
      <c r="G871" t="b">
        <f>Dataset_3!G261</f>
        <v>0</v>
      </c>
      <c r="H871">
        <f>Dataset_3!H261</f>
        <v>2</v>
      </c>
      <c r="I871">
        <f>Dataset_3!I261</f>
        <v>1</v>
      </c>
      <c r="J871" s="55">
        <f>Dataset_3!J261</f>
        <v>0.22</v>
      </c>
      <c r="K871">
        <f>Dataset_3!K261</f>
        <v>0.18179999999999999</v>
      </c>
      <c r="L871">
        <f>Dataset_3!L261</f>
        <v>0.35</v>
      </c>
      <c r="M871">
        <f>Dataset_3!M261</f>
        <v>0.52239999999999998</v>
      </c>
      <c r="N871">
        <f>Dataset_3!N261</f>
        <v>4</v>
      </c>
      <c r="O871">
        <f>Dataset_3!O261</f>
        <v>79</v>
      </c>
      <c r="P871">
        <f>Dataset_3!P261</f>
        <v>83</v>
      </c>
      <c r="Q871" t="str">
        <f t="shared" si="169"/>
        <v>REC-0870</v>
      </c>
      <c r="R871" s="62">
        <f t="shared" si="170"/>
        <v>40582.666666666664</v>
      </c>
      <c r="S871" t="str">
        <f t="shared" si="171"/>
        <v>Feb</v>
      </c>
      <c r="T871" t="str">
        <f>INDEX(Lookups!$B$39:$B$45,MATCH(H871,Lookups!$A$39:$A$45,0))</f>
        <v>Tue</v>
      </c>
      <c r="U871" t="str">
        <f t="shared" si="172"/>
        <v>Weekday</v>
      </c>
      <c r="V871" t="str">
        <f t="shared" si="173"/>
        <v>Working Day</v>
      </c>
      <c r="W871" t="str">
        <f t="shared" si="174"/>
        <v>Spring</v>
      </c>
      <c r="X871" t="str">
        <f t="shared" si="175"/>
        <v>Clear</v>
      </c>
      <c r="Y871" t="str">
        <f t="shared" si="176"/>
        <v>Afternoon</v>
      </c>
      <c r="Z871" t="str">
        <f t="shared" si="177"/>
        <v>Mild</v>
      </c>
      <c r="AA871" t="str">
        <f t="shared" si="178"/>
        <v>Low</v>
      </c>
      <c r="AB871" t="str">
        <f t="shared" si="179"/>
        <v>Peak</v>
      </c>
      <c r="AC871" s="63">
        <f t="shared" si="180"/>
        <v>4.8192771084337352E-2</v>
      </c>
      <c r="AD871" t="str">
        <f>IF(P871&gt;=Stats!$C$30,"High",IF(P871&lt;=Stats!$C$29,"Low","Normal"))</f>
        <v>High</v>
      </c>
      <c r="AE871">
        <f t="shared" si="181"/>
        <v>1</v>
      </c>
    </row>
    <row r="872" spans="1:31" x14ac:dyDescent="0.2">
      <c r="A872">
        <f>Dataset_3!A262</f>
        <v>871</v>
      </c>
      <c r="B872" s="61">
        <f>Dataset_3!B262</f>
        <v>40582</v>
      </c>
      <c r="C872">
        <f>Dataset_3!C262</f>
        <v>1</v>
      </c>
      <c r="D872">
        <f>Dataset_3!D262</f>
        <v>0</v>
      </c>
      <c r="E872">
        <f>Dataset_3!E262</f>
        <v>2</v>
      </c>
      <c r="F872">
        <f>Dataset_3!F262</f>
        <v>17</v>
      </c>
      <c r="G872" t="b">
        <f>Dataset_3!G262</f>
        <v>0</v>
      </c>
      <c r="H872">
        <f>Dataset_3!H262</f>
        <v>2</v>
      </c>
      <c r="I872">
        <f>Dataset_3!I262</f>
        <v>1</v>
      </c>
      <c r="J872" s="55">
        <f>Dataset_3!J262</f>
        <v>0.22</v>
      </c>
      <c r="K872">
        <f>Dataset_3!K262</f>
        <v>0.18179999999999999</v>
      </c>
      <c r="L872">
        <f>Dataset_3!L262</f>
        <v>0.32</v>
      </c>
      <c r="M872">
        <f>Dataset_3!M262</f>
        <v>0.58209999999999995</v>
      </c>
      <c r="N872">
        <f>Dataset_3!N262</f>
        <v>4</v>
      </c>
      <c r="O872">
        <f>Dataset_3!O262</f>
        <v>172</v>
      </c>
      <c r="P872">
        <f>Dataset_3!P262</f>
        <v>176</v>
      </c>
      <c r="Q872" t="str">
        <f t="shared" si="169"/>
        <v>REC-0871</v>
      </c>
      <c r="R872" s="62">
        <f t="shared" si="170"/>
        <v>40582.708333333336</v>
      </c>
      <c r="S872" t="str">
        <f t="shared" si="171"/>
        <v>Feb</v>
      </c>
      <c r="T872" t="str">
        <f>INDEX(Lookups!$B$39:$B$45,MATCH(H872,Lookups!$A$39:$A$45,0))</f>
        <v>Tue</v>
      </c>
      <c r="U872" t="str">
        <f t="shared" si="172"/>
        <v>Weekday</v>
      </c>
      <c r="V872" t="str">
        <f t="shared" si="173"/>
        <v>Working Day</v>
      </c>
      <c r="W872" t="str">
        <f t="shared" si="174"/>
        <v>Spring</v>
      </c>
      <c r="X872" t="str">
        <f t="shared" si="175"/>
        <v>Clear</v>
      </c>
      <c r="Y872" t="str">
        <f t="shared" si="176"/>
        <v>Evening</v>
      </c>
      <c r="Z872" t="str">
        <f t="shared" si="177"/>
        <v>Mild</v>
      </c>
      <c r="AA872" t="str">
        <f t="shared" si="178"/>
        <v>Low</v>
      </c>
      <c r="AB872" t="str">
        <f t="shared" si="179"/>
        <v>Peak</v>
      </c>
      <c r="AC872" s="63">
        <f t="shared" si="180"/>
        <v>2.2727272727272728E-2</v>
      </c>
      <c r="AD872" t="str">
        <f>IF(P872&gt;=Stats!$C$30,"High",IF(P872&lt;=Stats!$C$29,"Low","Normal"))</f>
        <v>High</v>
      </c>
      <c r="AE872">
        <f t="shared" si="181"/>
        <v>1</v>
      </c>
    </row>
    <row r="873" spans="1:31" x14ac:dyDescent="0.2">
      <c r="A873">
        <f>Dataset_3!A263</f>
        <v>872</v>
      </c>
      <c r="B873" s="61">
        <f>Dataset_3!B263</f>
        <v>40582</v>
      </c>
      <c r="C873">
        <f>Dataset_3!C263</f>
        <v>1</v>
      </c>
      <c r="D873">
        <f>Dataset_3!D263</f>
        <v>0</v>
      </c>
      <c r="E873">
        <f>Dataset_3!E263</f>
        <v>2</v>
      </c>
      <c r="F873">
        <f>Dataset_3!F263</f>
        <v>18</v>
      </c>
      <c r="G873" t="b">
        <f>Dataset_3!G263</f>
        <v>0</v>
      </c>
      <c r="H873">
        <f>Dataset_3!H263</f>
        <v>2</v>
      </c>
      <c r="I873">
        <f>Dataset_3!I263</f>
        <v>1</v>
      </c>
      <c r="J873" s="55">
        <f>Dataset_3!J263</f>
        <v>0.2</v>
      </c>
      <c r="K873">
        <f>Dataset_3!K263</f>
        <v>0.18179999999999999</v>
      </c>
      <c r="L873">
        <f>Dataset_3!L263</f>
        <v>0.32</v>
      </c>
      <c r="M873">
        <f>Dataset_3!M263</f>
        <v>0.3881</v>
      </c>
      <c r="N873">
        <f>Dataset_3!N263</f>
        <v>1</v>
      </c>
      <c r="O873">
        <f>Dataset_3!O263</f>
        <v>151</v>
      </c>
      <c r="P873">
        <f>Dataset_3!P263</f>
        <v>152</v>
      </c>
      <c r="Q873" t="str">
        <f t="shared" si="169"/>
        <v>REC-0872</v>
      </c>
      <c r="R873" s="62">
        <f t="shared" si="170"/>
        <v>40582.75</v>
      </c>
      <c r="S873" t="str">
        <f t="shared" si="171"/>
        <v>Feb</v>
      </c>
      <c r="T873" t="str">
        <f>INDEX(Lookups!$B$39:$B$45,MATCH(H873,Lookups!$A$39:$A$45,0))</f>
        <v>Tue</v>
      </c>
      <c r="U873" t="str">
        <f t="shared" si="172"/>
        <v>Weekday</v>
      </c>
      <c r="V873" t="str">
        <f t="shared" si="173"/>
        <v>Working Day</v>
      </c>
      <c r="W873" t="str">
        <f t="shared" si="174"/>
        <v>Spring</v>
      </c>
      <c r="X873" t="str">
        <f t="shared" si="175"/>
        <v>Clear</v>
      </c>
      <c r="Y873" t="str">
        <f t="shared" si="176"/>
        <v>Evening</v>
      </c>
      <c r="Z873" t="str">
        <f t="shared" si="177"/>
        <v>Mild</v>
      </c>
      <c r="AA873" t="str">
        <f t="shared" si="178"/>
        <v>Low</v>
      </c>
      <c r="AB873" t="str">
        <f t="shared" si="179"/>
        <v>Peak</v>
      </c>
      <c r="AC873" s="63">
        <f t="shared" si="180"/>
        <v>6.5789473684210523E-3</v>
      </c>
      <c r="AD873" t="str">
        <f>IF(P873&gt;=Stats!$C$30,"High",IF(P873&lt;=Stats!$C$29,"Low","Normal"))</f>
        <v>High</v>
      </c>
      <c r="AE873">
        <f t="shared" si="181"/>
        <v>1</v>
      </c>
    </row>
    <row r="874" spans="1:31" x14ac:dyDescent="0.2">
      <c r="A874">
        <f>Dataset_3!A264</f>
        <v>873</v>
      </c>
      <c r="B874" s="61">
        <f>Dataset_3!B264</f>
        <v>40582</v>
      </c>
      <c r="C874">
        <f>Dataset_3!C264</f>
        <v>1</v>
      </c>
      <c r="D874">
        <f>Dataset_3!D264</f>
        <v>0</v>
      </c>
      <c r="E874">
        <f>Dataset_3!E264</f>
        <v>2</v>
      </c>
      <c r="F874">
        <f>Dataset_3!F264</f>
        <v>19</v>
      </c>
      <c r="G874" t="b">
        <f>Dataset_3!G264</f>
        <v>0</v>
      </c>
      <c r="H874">
        <f>Dataset_3!H264</f>
        <v>2</v>
      </c>
      <c r="I874">
        <f>Dataset_3!I264</f>
        <v>1</v>
      </c>
      <c r="J874" s="55">
        <f>Dataset_3!J264</f>
        <v>0.16</v>
      </c>
      <c r="K874">
        <f>Dataset_3!K264</f>
        <v>0.1212</v>
      </c>
      <c r="L874">
        <f>Dataset_3!L264</f>
        <v>0.4</v>
      </c>
      <c r="M874">
        <f>Dataset_3!M264</f>
        <v>0.4627</v>
      </c>
      <c r="N874">
        <f>Dataset_3!N264</f>
        <v>1</v>
      </c>
      <c r="O874">
        <f>Dataset_3!O264</f>
        <v>100</v>
      </c>
      <c r="P874">
        <f>Dataset_3!P264</f>
        <v>101</v>
      </c>
      <c r="Q874" t="str">
        <f t="shared" si="169"/>
        <v>REC-0873</v>
      </c>
      <c r="R874" s="62">
        <f t="shared" si="170"/>
        <v>40582.791666666664</v>
      </c>
      <c r="S874" t="str">
        <f t="shared" si="171"/>
        <v>Feb</v>
      </c>
      <c r="T874" t="str">
        <f>INDEX(Lookups!$B$39:$B$45,MATCH(H874,Lookups!$A$39:$A$45,0))</f>
        <v>Tue</v>
      </c>
      <c r="U874" t="str">
        <f t="shared" si="172"/>
        <v>Weekday</v>
      </c>
      <c r="V874" t="str">
        <f t="shared" si="173"/>
        <v>Working Day</v>
      </c>
      <c r="W874" t="str">
        <f t="shared" si="174"/>
        <v>Spring</v>
      </c>
      <c r="X874" t="str">
        <f t="shared" si="175"/>
        <v>Clear</v>
      </c>
      <c r="Y874" t="str">
        <f t="shared" si="176"/>
        <v>Evening</v>
      </c>
      <c r="Z874" t="str">
        <f t="shared" si="177"/>
        <v>Cold</v>
      </c>
      <c r="AA874" t="str">
        <f t="shared" si="178"/>
        <v>Low</v>
      </c>
      <c r="AB874" t="str">
        <f t="shared" si="179"/>
        <v>Peak</v>
      </c>
      <c r="AC874" s="63">
        <f t="shared" si="180"/>
        <v>9.9009900990099011E-3</v>
      </c>
      <c r="AD874" t="str">
        <f>IF(P874&gt;=Stats!$C$30,"High",IF(P874&lt;=Stats!$C$29,"Low","Normal"))</f>
        <v>High</v>
      </c>
      <c r="AE874">
        <f t="shared" si="181"/>
        <v>1</v>
      </c>
    </row>
    <row r="875" spans="1:31" x14ac:dyDescent="0.2">
      <c r="A875">
        <f>Dataset_3!A265</f>
        <v>874</v>
      </c>
      <c r="B875" s="61">
        <f>Dataset_3!B265</f>
        <v>40582</v>
      </c>
      <c r="C875">
        <f>Dataset_3!C265</f>
        <v>1</v>
      </c>
      <c r="D875">
        <f>Dataset_3!D265</f>
        <v>0</v>
      </c>
      <c r="E875">
        <f>Dataset_3!E265</f>
        <v>2</v>
      </c>
      <c r="F875">
        <f>Dataset_3!F265</f>
        <v>20</v>
      </c>
      <c r="G875" t="b">
        <f>Dataset_3!G265</f>
        <v>0</v>
      </c>
      <c r="H875">
        <f>Dataset_3!H265</f>
        <v>2</v>
      </c>
      <c r="I875">
        <f>Dataset_3!I265</f>
        <v>1</v>
      </c>
      <c r="J875" s="55">
        <f>Dataset_3!J265</f>
        <v>0.16</v>
      </c>
      <c r="K875">
        <f>Dataset_3!K265</f>
        <v>0.13639999999999999</v>
      </c>
      <c r="L875">
        <f>Dataset_3!L265</f>
        <v>0.4</v>
      </c>
      <c r="M875">
        <f>Dataset_3!M265</f>
        <v>0.32840000000000003</v>
      </c>
      <c r="N875">
        <f>Dataset_3!N265</f>
        <v>3</v>
      </c>
      <c r="O875">
        <f>Dataset_3!O265</f>
        <v>53</v>
      </c>
      <c r="P875">
        <f>Dataset_3!P265</f>
        <v>56</v>
      </c>
      <c r="Q875" t="str">
        <f t="shared" si="169"/>
        <v>REC-0874</v>
      </c>
      <c r="R875" s="62">
        <f t="shared" si="170"/>
        <v>40582.833333333336</v>
      </c>
      <c r="S875" t="str">
        <f t="shared" si="171"/>
        <v>Feb</v>
      </c>
      <c r="T875" t="str">
        <f>INDEX(Lookups!$B$39:$B$45,MATCH(H875,Lookups!$A$39:$A$45,0))</f>
        <v>Tue</v>
      </c>
      <c r="U875" t="str">
        <f t="shared" si="172"/>
        <v>Weekday</v>
      </c>
      <c r="V875" t="str">
        <f t="shared" si="173"/>
        <v>Working Day</v>
      </c>
      <c r="W875" t="str">
        <f t="shared" si="174"/>
        <v>Spring</v>
      </c>
      <c r="X875" t="str">
        <f t="shared" si="175"/>
        <v>Clear</v>
      </c>
      <c r="Y875" t="str">
        <f t="shared" si="176"/>
        <v>Evening</v>
      </c>
      <c r="Z875" t="str">
        <f t="shared" si="177"/>
        <v>Cold</v>
      </c>
      <c r="AA875" t="str">
        <f t="shared" si="178"/>
        <v>Low</v>
      </c>
      <c r="AB875" t="str">
        <f t="shared" si="179"/>
        <v>Off-Peak</v>
      </c>
      <c r="AC875" s="63">
        <f t="shared" si="180"/>
        <v>5.3571428571428568E-2</v>
      </c>
      <c r="AD875" t="str">
        <f>IF(P875&gt;=Stats!$C$30,"High",IF(P875&lt;=Stats!$C$29,"Low","Normal"))</f>
        <v>Normal</v>
      </c>
      <c r="AE875">
        <f t="shared" si="181"/>
        <v>1</v>
      </c>
    </row>
    <row r="876" spans="1:31" x14ac:dyDescent="0.2">
      <c r="A876">
        <f>Dataset_3!A266</f>
        <v>875</v>
      </c>
      <c r="B876" s="61">
        <f>Dataset_3!B266</f>
        <v>40582</v>
      </c>
      <c r="C876">
        <f>Dataset_3!C266</f>
        <v>1</v>
      </c>
      <c r="D876">
        <f>Dataset_3!D266</f>
        <v>0</v>
      </c>
      <c r="E876">
        <f>Dataset_3!E266</f>
        <v>2</v>
      </c>
      <c r="F876">
        <f>Dataset_3!F266</f>
        <v>21</v>
      </c>
      <c r="G876" t="b">
        <f>Dataset_3!G266</f>
        <v>0</v>
      </c>
      <c r="H876">
        <f>Dataset_3!H266</f>
        <v>2</v>
      </c>
      <c r="I876">
        <f>Dataset_3!I266</f>
        <v>1</v>
      </c>
      <c r="J876" s="55">
        <f>Dataset_3!J266</f>
        <v>0.14000000000000001</v>
      </c>
      <c r="K876">
        <f>Dataset_3!K266</f>
        <v>0.1061</v>
      </c>
      <c r="L876">
        <f>Dataset_3!L266</f>
        <v>0.33</v>
      </c>
      <c r="M876">
        <f>Dataset_3!M266</f>
        <v>0.4627</v>
      </c>
      <c r="N876">
        <f>Dataset_3!N266</f>
        <v>8</v>
      </c>
      <c r="O876">
        <f>Dataset_3!O266</f>
        <v>46</v>
      </c>
      <c r="P876">
        <f>Dataset_3!P266</f>
        <v>54</v>
      </c>
      <c r="Q876" t="str">
        <f t="shared" si="169"/>
        <v>REC-0875</v>
      </c>
      <c r="R876" s="62">
        <f t="shared" si="170"/>
        <v>40582.875</v>
      </c>
      <c r="S876" t="str">
        <f t="shared" si="171"/>
        <v>Feb</v>
      </c>
      <c r="T876" t="str">
        <f>INDEX(Lookups!$B$39:$B$45,MATCH(H876,Lookups!$A$39:$A$45,0))</f>
        <v>Tue</v>
      </c>
      <c r="U876" t="str">
        <f t="shared" si="172"/>
        <v>Weekday</v>
      </c>
      <c r="V876" t="str">
        <f t="shared" si="173"/>
        <v>Working Day</v>
      </c>
      <c r="W876" t="str">
        <f t="shared" si="174"/>
        <v>Spring</v>
      </c>
      <c r="X876" t="str">
        <f t="shared" si="175"/>
        <v>Clear</v>
      </c>
      <c r="Y876" t="str">
        <f t="shared" si="176"/>
        <v>Late Evening</v>
      </c>
      <c r="Z876" t="str">
        <f t="shared" si="177"/>
        <v>Cold</v>
      </c>
      <c r="AA876" t="str">
        <f t="shared" si="178"/>
        <v>Low</v>
      </c>
      <c r="AB876" t="str">
        <f t="shared" si="179"/>
        <v>Off-Peak</v>
      </c>
      <c r="AC876" s="63">
        <f t="shared" si="180"/>
        <v>0.14814814814814814</v>
      </c>
      <c r="AD876" t="str">
        <f>IF(P876&gt;=Stats!$C$30,"High",IF(P876&lt;=Stats!$C$29,"Low","Normal"))</f>
        <v>Normal</v>
      </c>
      <c r="AE876">
        <f t="shared" si="181"/>
        <v>1</v>
      </c>
    </row>
    <row r="877" spans="1:31" x14ac:dyDescent="0.2">
      <c r="A877">
        <f>Dataset_3!A267</f>
        <v>876</v>
      </c>
      <c r="B877" s="61">
        <f>Dataset_3!B267</f>
        <v>40582</v>
      </c>
      <c r="C877">
        <f>Dataset_3!C267</f>
        <v>1</v>
      </c>
      <c r="D877">
        <f>Dataset_3!D267</f>
        <v>0</v>
      </c>
      <c r="E877">
        <f>Dataset_3!E267</f>
        <v>2</v>
      </c>
      <c r="F877">
        <f>Dataset_3!F267</f>
        <v>22</v>
      </c>
      <c r="G877" t="b">
        <f>Dataset_3!G267</f>
        <v>0</v>
      </c>
      <c r="H877">
        <f>Dataset_3!H267</f>
        <v>2</v>
      </c>
      <c r="I877">
        <f>Dataset_3!I267</f>
        <v>1</v>
      </c>
      <c r="J877" s="55">
        <f>Dataset_3!J267</f>
        <v>0.12</v>
      </c>
      <c r="K877">
        <f>Dataset_3!K267</f>
        <v>0.1061</v>
      </c>
      <c r="L877">
        <f>Dataset_3!L267</f>
        <v>0.33</v>
      </c>
      <c r="M877">
        <f>Dataset_3!M267</f>
        <v>0.35820000000000002</v>
      </c>
      <c r="N877">
        <f>Dataset_3!N267</f>
        <v>0</v>
      </c>
      <c r="O877">
        <f>Dataset_3!O267</f>
        <v>29</v>
      </c>
      <c r="P877">
        <f>Dataset_3!P267</f>
        <v>29</v>
      </c>
      <c r="Q877" t="str">
        <f t="shared" si="169"/>
        <v>REC-0876</v>
      </c>
      <c r="R877" s="62">
        <f t="shared" si="170"/>
        <v>40582.916666666664</v>
      </c>
      <c r="S877" t="str">
        <f t="shared" si="171"/>
        <v>Feb</v>
      </c>
      <c r="T877" t="str">
        <f>INDEX(Lookups!$B$39:$B$45,MATCH(H877,Lookups!$A$39:$A$45,0))</f>
        <v>Tue</v>
      </c>
      <c r="U877" t="str">
        <f t="shared" si="172"/>
        <v>Weekday</v>
      </c>
      <c r="V877" t="str">
        <f t="shared" si="173"/>
        <v>Working Day</v>
      </c>
      <c r="W877" t="str">
        <f t="shared" si="174"/>
        <v>Spring</v>
      </c>
      <c r="X877" t="str">
        <f t="shared" si="175"/>
        <v>Clear</v>
      </c>
      <c r="Y877" t="str">
        <f t="shared" si="176"/>
        <v>Late Evening</v>
      </c>
      <c r="Z877" t="str">
        <f t="shared" si="177"/>
        <v>Cold</v>
      </c>
      <c r="AA877" t="str">
        <f t="shared" si="178"/>
        <v>Low</v>
      </c>
      <c r="AB877" t="str">
        <f t="shared" si="179"/>
        <v>Off-Peak</v>
      </c>
      <c r="AC877" s="63">
        <f t="shared" si="180"/>
        <v>0</v>
      </c>
      <c r="AD877" t="str">
        <f>IF(P877&gt;=Stats!$C$30,"High",IF(P877&lt;=Stats!$C$29,"Low","Normal"))</f>
        <v>Normal</v>
      </c>
      <c r="AE877">
        <f t="shared" si="181"/>
        <v>1</v>
      </c>
    </row>
    <row r="878" spans="1:31" x14ac:dyDescent="0.2">
      <c r="A878">
        <f>Dataset_3!A268</f>
        <v>877</v>
      </c>
      <c r="B878" s="61">
        <f>Dataset_3!B268</f>
        <v>40582</v>
      </c>
      <c r="C878">
        <f>Dataset_3!C268</f>
        <v>1</v>
      </c>
      <c r="D878">
        <f>Dataset_3!D268</f>
        <v>0</v>
      </c>
      <c r="E878">
        <f>Dataset_3!E268</f>
        <v>2</v>
      </c>
      <c r="F878">
        <f>Dataset_3!F268</f>
        <v>23</v>
      </c>
      <c r="G878" t="b">
        <f>Dataset_3!G268</f>
        <v>0</v>
      </c>
      <c r="H878">
        <f>Dataset_3!H268</f>
        <v>2</v>
      </c>
      <c r="I878">
        <f>Dataset_3!I268</f>
        <v>1</v>
      </c>
      <c r="J878" s="55">
        <f>Dataset_3!J268</f>
        <v>0.12</v>
      </c>
      <c r="K878">
        <f>Dataset_3!K268</f>
        <v>0.1061</v>
      </c>
      <c r="L878">
        <f>Dataset_3!L268</f>
        <v>0.33</v>
      </c>
      <c r="M878">
        <f>Dataset_3!M268</f>
        <v>0.32840000000000003</v>
      </c>
      <c r="N878">
        <f>Dataset_3!N268</f>
        <v>3</v>
      </c>
      <c r="O878">
        <f>Dataset_3!O268</f>
        <v>9</v>
      </c>
      <c r="P878">
        <f>Dataset_3!P268</f>
        <v>12</v>
      </c>
      <c r="Q878" t="str">
        <f t="shared" si="169"/>
        <v>REC-0877</v>
      </c>
      <c r="R878" s="62">
        <f t="shared" si="170"/>
        <v>40582.958333333336</v>
      </c>
      <c r="S878" t="str">
        <f t="shared" si="171"/>
        <v>Feb</v>
      </c>
      <c r="T878" t="str">
        <f>INDEX(Lookups!$B$39:$B$45,MATCH(H878,Lookups!$A$39:$A$45,0))</f>
        <v>Tue</v>
      </c>
      <c r="U878" t="str">
        <f t="shared" si="172"/>
        <v>Weekday</v>
      </c>
      <c r="V878" t="str">
        <f t="shared" si="173"/>
        <v>Working Day</v>
      </c>
      <c r="W878" t="str">
        <f t="shared" si="174"/>
        <v>Spring</v>
      </c>
      <c r="X878" t="str">
        <f t="shared" si="175"/>
        <v>Clear</v>
      </c>
      <c r="Y878" t="str">
        <f t="shared" si="176"/>
        <v>Late Evening</v>
      </c>
      <c r="Z878" t="str">
        <f t="shared" si="177"/>
        <v>Cold</v>
      </c>
      <c r="AA878" t="str">
        <f t="shared" si="178"/>
        <v>Low</v>
      </c>
      <c r="AB878" t="str">
        <f t="shared" si="179"/>
        <v>Off-Peak</v>
      </c>
      <c r="AC878" s="63">
        <f t="shared" si="180"/>
        <v>0.25</v>
      </c>
      <c r="AD878" t="str">
        <f>IF(P878&gt;=Stats!$C$30,"High",IF(P878&lt;=Stats!$C$29,"Low","Normal"))</f>
        <v>Low</v>
      </c>
      <c r="AE878">
        <f t="shared" si="181"/>
        <v>1</v>
      </c>
    </row>
    <row r="879" spans="1:31" x14ac:dyDescent="0.2">
      <c r="A879">
        <f>Dataset_3!A269</f>
        <v>878</v>
      </c>
      <c r="B879" s="61">
        <f>Dataset_3!B269</f>
        <v>40583</v>
      </c>
      <c r="C879">
        <f>Dataset_3!C269</f>
        <v>1</v>
      </c>
      <c r="D879">
        <f>Dataset_3!D269</f>
        <v>0</v>
      </c>
      <c r="E879">
        <f>Dataset_3!E269</f>
        <v>2</v>
      </c>
      <c r="F879">
        <f>Dataset_3!F269</f>
        <v>0</v>
      </c>
      <c r="G879" t="b">
        <f>Dataset_3!G269</f>
        <v>0</v>
      </c>
      <c r="H879">
        <f>Dataset_3!H269</f>
        <v>3</v>
      </c>
      <c r="I879">
        <f>Dataset_3!I269</f>
        <v>1</v>
      </c>
      <c r="J879" s="55">
        <f>Dataset_3!J269</f>
        <v>0.1</v>
      </c>
      <c r="K879">
        <f>Dataset_3!K269</f>
        <v>7.5800000000000006E-2</v>
      </c>
      <c r="L879">
        <f>Dataset_3!L269</f>
        <v>0.36</v>
      </c>
      <c r="M879">
        <f>Dataset_3!M269</f>
        <v>0.35820000000000002</v>
      </c>
      <c r="N879">
        <f>Dataset_3!N269</f>
        <v>0</v>
      </c>
      <c r="O879">
        <f>Dataset_3!O269</f>
        <v>17</v>
      </c>
      <c r="P879">
        <f>Dataset_3!P269</f>
        <v>17</v>
      </c>
      <c r="Q879" t="str">
        <f t="shared" si="169"/>
        <v>REC-0878</v>
      </c>
      <c r="R879" s="62">
        <f t="shared" si="170"/>
        <v>40583</v>
      </c>
      <c r="S879" t="str">
        <f t="shared" si="171"/>
        <v>Feb</v>
      </c>
      <c r="T879" t="str">
        <f>INDEX(Lookups!$B$39:$B$45,MATCH(H879,Lookups!$A$39:$A$45,0))</f>
        <v>Wed</v>
      </c>
      <c r="U879" t="str">
        <f t="shared" si="172"/>
        <v>Weekday</v>
      </c>
      <c r="V879" t="str">
        <f t="shared" si="173"/>
        <v>Working Day</v>
      </c>
      <c r="W879" t="str">
        <f t="shared" si="174"/>
        <v>Spring</v>
      </c>
      <c r="X879" t="str">
        <f t="shared" si="175"/>
        <v>Clear</v>
      </c>
      <c r="Y879" t="str">
        <f t="shared" si="176"/>
        <v>Night</v>
      </c>
      <c r="Z879" t="str">
        <f t="shared" si="177"/>
        <v>Cold</v>
      </c>
      <c r="AA879" t="str">
        <f t="shared" si="178"/>
        <v>Low</v>
      </c>
      <c r="AB879" t="str">
        <f t="shared" si="179"/>
        <v>Off-Peak</v>
      </c>
      <c r="AC879" s="63">
        <f t="shared" si="180"/>
        <v>0</v>
      </c>
      <c r="AD879" t="str">
        <f>IF(P879&gt;=Stats!$C$30,"High",IF(P879&lt;=Stats!$C$29,"Low","Normal"))</f>
        <v>Normal</v>
      </c>
      <c r="AE879">
        <f t="shared" si="181"/>
        <v>1</v>
      </c>
    </row>
    <row r="880" spans="1:31" x14ac:dyDescent="0.2">
      <c r="A880">
        <f>Dataset_3!A270</f>
        <v>879</v>
      </c>
      <c r="B880" s="61">
        <f>Dataset_3!B270</f>
        <v>40583</v>
      </c>
      <c r="C880">
        <f>Dataset_3!C270</f>
        <v>1</v>
      </c>
      <c r="D880">
        <f>Dataset_3!D270</f>
        <v>0</v>
      </c>
      <c r="E880">
        <f>Dataset_3!E270</f>
        <v>2</v>
      </c>
      <c r="F880">
        <f>Dataset_3!F270</f>
        <v>1</v>
      </c>
      <c r="G880" t="b">
        <f>Dataset_3!G270</f>
        <v>0</v>
      </c>
      <c r="H880">
        <f>Dataset_3!H270</f>
        <v>3</v>
      </c>
      <c r="I880">
        <f>Dataset_3!I270</f>
        <v>1</v>
      </c>
      <c r="J880" s="55">
        <f>Dataset_3!J270</f>
        <v>0.1</v>
      </c>
      <c r="K880">
        <f>Dataset_3!K270</f>
        <v>0.1061</v>
      </c>
      <c r="L880">
        <f>Dataset_3!L270</f>
        <v>0.36</v>
      </c>
      <c r="M880">
        <f>Dataset_3!M270</f>
        <v>0.22389999999999999</v>
      </c>
      <c r="N880">
        <f>Dataset_3!N270</f>
        <v>0</v>
      </c>
      <c r="O880">
        <f>Dataset_3!O270</f>
        <v>7</v>
      </c>
      <c r="P880">
        <f>Dataset_3!P270</f>
        <v>7</v>
      </c>
      <c r="Q880" t="str">
        <f t="shared" si="169"/>
        <v>REC-0879</v>
      </c>
      <c r="R880" s="62">
        <f t="shared" si="170"/>
        <v>40583.041666666664</v>
      </c>
      <c r="S880" t="str">
        <f t="shared" si="171"/>
        <v>Feb</v>
      </c>
      <c r="T880" t="str">
        <f>INDEX(Lookups!$B$39:$B$45,MATCH(H880,Lookups!$A$39:$A$45,0))</f>
        <v>Wed</v>
      </c>
      <c r="U880" t="str">
        <f t="shared" si="172"/>
        <v>Weekday</v>
      </c>
      <c r="V880" t="str">
        <f t="shared" si="173"/>
        <v>Working Day</v>
      </c>
      <c r="W880" t="str">
        <f t="shared" si="174"/>
        <v>Spring</v>
      </c>
      <c r="X880" t="str">
        <f t="shared" si="175"/>
        <v>Clear</v>
      </c>
      <c r="Y880" t="str">
        <f t="shared" si="176"/>
        <v>Night</v>
      </c>
      <c r="Z880" t="str">
        <f t="shared" si="177"/>
        <v>Cold</v>
      </c>
      <c r="AA880" t="str">
        <f t="shared" si="178"/>
        <v>Low</v>
      </c>
      <c r="AB880" t="str">
        <f t="shared" si="179"/>
        <v>Off-Peak</v>
      </c>
      <c r="AC880" s="63">
        <f t="shared" si="180"/>
        <v>0</v>
      </c>
      <c r="AD880" t="str">
        <f>IF(P880&gt;=Stats!$C$30,"High",IF(P880&lt;=Stats!$C$29,"Low","Normal"))</f>
        <v>Low</v>
      </c>
      <c r="AE880">
        <f t="shared" si="181"/>
        <v>1</v>
      </c>
    </row>
    <row r="881" spans="1:31" x14ac:dyDescent="0.2">
      <c r="A881">
        <f>Dataset_3!A271</f>
        <v>880</v>
      </c>
      <c r="B881" s="61">
        <f>Dataset_3!B271</f>
        <v>40583</v>
      </c>
      <c r="C881">
        <f>Dataset_3!C271</f>
        <v>1</v>
      </c>
      <c r="D881">
        <f>Dataset_3!D271</f>
        <v>0</v>
      </c>
      <c r="E881">
        <f>Dataset_3!E271</f>
        <v>2</v>
      </c>
      <c r="F881">
        <f>Dataset_3!F271</f>
        <v>2</v>
      </c>
      <c r="G881" t="b">
        <f>Dataset_3!G271</f>
        <v>0</v>
      </c>
      <c r="H881">
        <f>Dataset_3!H271</f>
        <v>3</v>
      </c>
      <c r="I881">
        <f>Dataset_3!I271</f>
        <v>1</v>
      </c>
      <c r="J881" s="55">
        <f>Dataset_3!J271</f>
        <v>0.08</v>
      </c>
      <c r="K881">
        <f>Dataset_3!K271</f>
        <v>7.5800000000000006E-2</v>
      </c>
      <c r="L881">
        <f>Dataset_3!L271</f>
        <v>0.38</v>
      </c>
      <c r="M881">
        <f>Dataset_3!M271</f>
        <v>0.28360000000000002</v>
      </c>
      <c r="N881">
        <f>Dataset_3!N271</f>
        <v>1</v>
      </c>
      <c r="O881">
        <f>Dataset_3!O271</f>
        <v>2</v>
      </c>
      <c r="P881">
        <f>Dataset_3!P271</f>
        <v>3</v>
      </c>
      <c r="Q881" t="str">
        <f t="shared" si="169"/>
        <v>REC-0880</v>
      </c>
      <c r="R881" s="62">
        <f t="shared" si="170"/>
        <v>40583.083333333336</v>
      </c>
      <c r="S881" t="str">
        <f t="shared" si="171"/>
        <v>Feb</v>
      </c>
      <c r="T881" t="str">
        <f>INDEX(Lookups!$B$39:$B$45,MATCH(H881,Lookups!$A$39:$A$45,0))</f>
        <v>Wed</v>
      </c>
      <c r="U881" t="str">
        <f t="shared" si="172"/>
        <v>Weekday</v>
      </c>
      <c r="V881" t="str">
        <f t="shared" si="173"/>
        <v>Working Day</v>
      </c>
      <c r="W881" t="str">
        <f t="shared" si="174"/>
        <v>Spring</v>
      </c>
      <c r="X881" t="str">
        <f t="shared" si="175"/>
        <v>Clear</v>
      </c>
      <c r="Y881" t="str">
        <f t="shared" si="176"/>
        <v>Night</v>
      </c>
      <c r="Z881" t="str">
        <f t="shared" si="177"/>
        <v>Cold</v>
      </c>
      <c r="AA881" t="str">
        <f t="shared" si="178"/>
        <v>Low</v>
      </c>
      <c r="AB881" t="str">
        <f t="shared" si="179"/>
        <v>Off-Peak</v>
      </c>
      <c r="AC881" s="63">
        <f t="shared" si="180"/>
        <v>0.33333333333333331</v>
      </c>
      <c r="AD881" t="str">
        <f>IF(P881&gt;=Stats!$C$30,"High",IF(P881&lt;=Stats!$C$29,"Low","Normal"))</f>
        <v>Low</v>
      </c>
      <c r="AE881">
        <f t="shared" si="181"/>
        <v>1</v>
      </c>
    </row>
    <row r="882" spans="1:31" x14ac:dyDescent="0.2">
      <c r="A882">
        <f>Dataset_3!A272</f>
        <v>881</v>
      </c>
      <c r="B882" s="61">
        <f>Dataset_3!B272</f>
        <v>40583</v>
      </c>
      <c r="C882">
        <f>Dataset_3!C272</f>
        <v>1</v>
      </c>
      <c r="D882">
        <f>Dataset_3!D272</f>
        <v>0</v>
      </c>
      <c r="E882">
        <f>Dataset_3!E272</f>
        <v>2</v>
      </c>
      <c r="F882">
        <f>Dataset_3!F272</f>
        <v>3</v>
      </c>
      <c r="G882" t="b">
        <f>Dataset_3!G272</f>
        <v>0</v>
      </c>
      <c r="H882">
        <f>Dataset_3!H272</f>
        <v>3</v>
      </c>
      <c r="I882">
        <f>Dataset_3!I272</f>
        <v>1</v>
      </c>
      <c r="J882" s="55">
        <f>Dataset_3!J272</f>
        <v>0.06</v>
      </c>
      <c r="K882">
        <f>Dataset_3!K272</f>
        <v>7.5800000000000006E-2</v>
      </c>
      <c r="L882">
        <f>Dataset_3!L272</f>
        <v>0.45</v>
      </c>
      <c r="M882">
        <f>Dataset_3!M272</f>
        <v>0.1343</v>
      </c>
      <c r="N882">
        <f>Dataset_3!N272</f>
        <v>0</v>
      </c>
      <c r="O882">
        <f>Dataset_3!O272</f>
        <v>2</v>
      </c>
      <c r="P882">
        <f>Dataset_3!P272</f>
        <v>2</v>
      </c>
      <c r="Q882" t="str">
        <f t="shared" si="169"/>
        <v>REC-0881</v>
      </c>
      <c r="R882" s="62">
        <f t="shared" si="170"/>
        <v>40583.125</v>
      </c>
      <c r="S882" t="str">
        <f t="shared" si="171"/>
        <v>Feb</v>
      </c>
      <c r="T882" t="str">
        <f>INDEX(Lookups!$B$39:$B$45,MATCH(H882,Lookups!$A$39:$A$45,0))</f>
        <v>Wed</v>
      </c>
      <c r="U882" t="str">
        <f t="shared" si="172"/>
        <v>Weekday</v>
      </c>
      <c r="V882" t="str">
        <f t="shared" si="173"/>
        <v>Working Day</v>
      </c>
      <c r="W882" t="str">
        <f t="shared" si="174"/>
        <v>Spring</v>
      </c>
      <c r="X882" t="str">
        <f t="shared" si="175"/>
        <v>Clear</v>
      </c>
      <c r="Y882" t="str">
        <f t="shared" si="176"/>
        <v>Night</v>
      </c>
      <c r="Z882" t="str">
        <f t="shared" si="177"/>
        <v>Cold</v>
      </c>
      <c r="AA882" t="str">
        <f t="shared" si="178"/>
        <v>Low</v>
      </c>
      <c r="AB882" t="str">
        <f t="shared" si="179"/>
        <v>Off-Peak</v>
      </c>
      <c r="AC882" s="63">
        <f t="shared" si="180"/>
        <v>0</v>
      </c>
      <c r="AD882" t="str">
        <f>IF(P882&gt;=Stats!$C$30,"High",IF(P882&lt;=Stats!$C$29,"Low","Normal"))</f>
        <v>Low</v>
      </c>
      <c r="AE882">
        <f t="shared" si="181"/>
        <v>1</v>
      </c>
    </row>
    <row r="883" spans="1:31" x14ac:dyDescent="0.2">
      <c r="A883">
        <f>Dataset_3!A273</f>
        <v>882</v>
      </c>
      <c r="B883" s="61">
        <f>Dataset_3!B273</f>
        <v>40583</v>
      </c>
      <c r="C883">
        <f>Dataset_3!C273</f>
        <v>1</v>
      </c>
      <c r="D883">
        <f>Dataset_3!D273</f>
        <v>0</v>
      </c>
      <c r="E883">
        <f>Dataset_3!E273</f>
        <v>2</v>
      </c>
      <c r="F883">
        <f>Dataset_3!F273</f>
        <v>5</v>
      </c>
      <c r="G883" t="b">
        <f>Dataset_3!G273</f>
        <v>0</v>
      </c>
      <c r="H883">
        <f>Dataset_3!H273</f>
        <v>3</v>
      </c>
      <c r="I883">
        <f>Dataset_3!I273</f>
        <v>1</v>
      </c>
      <c r="J883" s="55">
        <f>Dataset_3!J273</f>
        <v>0.06</v>
      </c>
      <c r="K883">
        <f>Dataset_3!K273</f>
        <v>0.1061</v>
      </c>
      <c r="L883">
        <f>Dataset_3!L273</f>
        <v>0.45</v>
      </c>
      <c r="M883">
        <f>Dataset_3!M273</f>
        <v>0.1045</v>
      </c>
      <c r="N883">
        <f>Dataset_3!N273</f>
        <v>0</v>
      </c>
      <c r="O883">
        <f>Dataset_3!O273</f>
        <v>7</v>
      </c>
      <c r="P883">
        <f>Dataset_3!P273</f>
        <v>7</v>
      </c>
      <c r="Q883" t="str">
        <f t="shared" si="169"/>
        <v>REC-0882</v>
      </c>
      <c r="R883" s="62">
        <f t="shared" si="170"/>
        <v>40583.208333333336</v>
      </c>
      <c r="S883" t="str">
        <f t="shared" si="171"/>
        <v>Feb</v>
      </c>
      <c r="T883" t="str">
        <f>INDEX(Lookups!$B$39:$B$45,MATCH(H883,Lookups!$A$39:$A$45,0))</f>
        <v>Wed</v>
      </c>
      <c r="U883" t="str">
        <f t="shared" si="172"/>
        <v>Weekday</v>
      </c>
      <c r="V883" t="str">
        <f t="shared" si="173"/>
        <v>Working Day</v>
      </c>
      <c r="W883" t="str">
        <f t="shared" si="174"/>
        <v>Spring</v>
      </c>
      <c r="X883" t="str">
        <f t="shared" si="175"/>
        <v>Clear</v>
      </c>
      <c r="Y883" t="str">
        <f t="shared" si="176"/>
        <v>Night</v>
      </c>
      <c r="Z883" t="str">
        <f t="shared" si="177"/>
        <v>Cold</v>
      </c>
      <c r="AA883" t="str">
        <f t="shared" si="178"/>
        <v>Low</v>
      </c>
      <c r="AB883" t="str">
        <f t="shared" si="179"/>
        <v>Off-Peak</v>
      </c>
      <c r="AC883" s="63">
        <f t="shared" si="180"/>
        <v>0</v>
      </c>
      <c r="AD883" t="str">
        <f>IF(P883&gt;=Stats!$C$30,"High",IF(P883&lt;=Stats!$C$29,"Low","Normal"))</f>
        <v>Low</v>
      </c>
      <c r="AE883">
        <f t="shared" si="181"/>
        <v>1</v>
      </c>
    </row>
    <row r="884" spans="1:31" x14ac:dyDescent="0.2">
      <c r="A884">
        <f>Dataset_3!A274</f>
        <v>883</v>
      </c>
      <c r="B884" s="61">
        <f>Dataset_3!B274</f>
        <v>40583</v>
      </c>
      <c r="C884">
        <f>Dataset_3!C274</f>
        <v>1</v>
      </c>
      <c r="D884">
        <f>Dataset_3!D274</f>
        <v>0</v>
      </c>
      <c r="E884">
        <f>Dataset_3!E274</f>
        <v>2</v>
      </c>
      <c r="F884">
        <f>Dataset_3!F274</f>
        <v>6</v>
      </c>
      <c r="G884" t="b">
        <f>Dataset_3!G274</f>
        <v>0</v>
      </c>
      <c r="H884">
        <f>Dataset_3!H274</f>
        <v>3</v>
      </c>
      <c r="I884">
        <f>Dataset_3!I274</f>
        <v>1</v>
      </c>
      <c r="J884" s="55">
        <f>Dataset_3!J274</f>
        <v>0.06</v>
      </c>
      <c r="K884">
        <f>Dataset_3!K274</f>
        <v>0.1515</v>
      </c>
      <c r="L884">
        <f>Dataset_3!L274</f>
        <v>0.45</v>
      </c>
      <c r="M884">
        <f>Dataset_3!M274</f>
        <v>0</v>
      </c>
      <c r="N884">
        <f>Dataset_3!N274</f>
        <v>0</v>
      </c>
      <c r="O884">
        <f>Dataset_3!O274</f>
        <v>43</v>
      </c>
      <c r="P884">
        <f>Dataset_3!P274</f>
        <v>43</v>
      </c>
      <c r="Q884" t="str">
        <f t="shared" si="169"/>
        <v>REC-0883</v>
      </c>
      <c r="R884" s="62">
        <f t="shared" si="170"/>
        <v>40583.25</v>
      </c>
      <c r="S884" t="str">
        <f t="shared" si="171"/>
        <v>Feb</v>
      </c>
      <c r="T884" t="str">
        <f>INDEX(Lookups!$B$39:$B$45,MATCH(H884,Lookups!$A$39:$A$45,0))</f>
        <v>Wed</v>
      </c>
      <c r="U884" t="str">
        <f t="shared" si="172"/>
        <v>Weekday</v>
      </c>
      <c r="V884" t="str">
        <f t="shared" si="173"/>
        <v>Working Day</v>
      </c>
      <c r="W884" t="str">
        <f t="shared" si="174"/>
        <v>Spring</v>
      </c>
      <c r="X884" t="str">
        <f t="shared" si="175"/>
        <v>Clear</v>
      </c>
      <c r="Y884" t="str">
        <f t="shared" si="176"/>
        <v>Morning</v>
      </c>
      <c r="Z884" t="str">
        <f t="shared" si="177"/>
        <v>Cold</v>
      </c>
      <c r="AA884" t="str">
        <f t="shared" si="178"/>
        <v>Low</v>
      </c>
      <c r="AB884" t="str">
        <f t="shared" si="179"/>
        <v>Off-Peak</v>
      </c>
      <c r="AC884" s="63">
        <f t="shared" si="180"/>
        <v>0</v>
      </c>
      <c r="AD884" t="str">
        <f>IF(P884&gt;=Stats!$C$30,"High",IF(P884&lt;=Stats!$C$29,"Low","Normal"))</f>
        <v>Normal</v>
      </c>
      <c r="AE884">
        <f t="shared" si="181"/>
        <v>1</v>
      </c>
    </row>
    <row r="885" spans="1:31" x14ac:dyDescent="0.2">
      <c r="A885">
        <f>Dataset_3!A275</f>
        <v>884</v>
      </c>
      <c r="B885" s="61">
        <f>Dataset_3!B275</f>
        <v>40583</v>
      </c>
      <c r="C885">
        <f>Dataset_3!C275</f>
        <v>1</v>
      </c>
      <c r="D885">
        <f>Dataset_3!D275</f>
        <v>0</v>
      </c>
      <c r="E885">
        <f>Dataset_3!E275</f>
        <v>2</v>
      </c>
      <c r="F885">
        <f>Dataset_3!F275</f>
        <v>7</v>
      </c>
      <c r="G885" t="b">
        <f>Dataset_3!G275</f>
        <v>0</v>
      </c>
      <c r="H885">
        <f>Dataset_3!H275</f>
        <v>3</v>
      </c>
      <c r="I885">
        <f>Dataset_3!I275</f>
        <v>1</v>
      </c>
      <c r="J885" s="55">
        <f>Dataset_3!J275</f>
        <v>0.06</v>
      </c>
      <c r="K885">
        <f>Dataset_3!K275</f>
        <v>0.1061</v>
      </c>
      <c r="L885">
        <f>Dataset_3!L275</f>
        <v>0.49</v>
      </c>
      <c r="M885">
        <f>Dataset_3!M275</f>
        <v>0.1045</v>
      </c>
      <c r="N885">
        <f>Dataset_3!N275</f>
        <v>4</v>
      </c>
      <c r="O885">
        <f>Dataset_3!O275</f>
        <v>95</v>
      </c>
      <c r="P885">
        <f>Dataset_3!P275</f>
        <v>99</v>
      </c>
      <c r="Q885" t="str">
        <f t="shared" si="169"/>
        <v>REC-0884</v>
      </c>
      <c r="R885" s="62">
        <f t="shared" si="170"/>
        <v>40583.291666666664</v>
      </c>
      <c r="S885" t="str">
        <f t="shared" si="171"/>
        <v>Feb</v>
      </c>
      <c r="T885" t="str">
        <f>INDEX(Lookups!$B$39:$B$45,MATCH(H885,Lookups!$A$39:$A$45,0))</f>
        <v>Wed</v>
      </c>
      <c r="U885" t="str">
        <f t="shared" si="172"/>
        <v>Weekday</v>
      </c>
      <c r="V885" t="str">
        <f t="shared" si="173"/>
        <v>Working Day</v>
      </c>
      <c r="W885" t="str">
        <f t="shared" si="174"/>
        <v>Spring</v>
      </c>
      <c r="X885" t="str">
        <f t="shared" si="175"/>
        <v>Clear</v>
      </c>
      <c r="Y885" t="str">
        <f t="shared" si="176"/>
        <v>Morning</v>
      </c>
      <c r="Z885" t="str">
        <f t="shared" si="177"/>
        <v>Cold</v>
      </c>
      <c r="AA885" t="str">
        <f t="shared" si="178"/>
        <v>Low</v>
      </c>
      <c r="AB885" t="str">
        <f t="shared" si="179"/>
        <v>Peak</v>
      </c>
      <c r="AC885" s="63">
        <f t="shared" si="180"/>
        <v>4.0404040404040407E-2</v>
      </c>
      <c r="AD885" t="str">
        <f>IF(P885&gt;=Stats!$C$30,"High",IF(P885&lt;=Stats!$C$29,"Low","Normal"))</f>
        <v>High</v>
      </c>
      <c r="AE885">
        <f t="shared" si="181"/>
        <v>1</v>
      </c>
    </row>
    <row r="886" spans="1:31" x14ac:dyDescent="0.2">
      <c r="A886">
        <f>Dataset_3!A276</f>
        <v>885</v>
      </c>
      <c r="B886" s="61">
        <f>Dataset_3!B276</f>
        <v>40583</v>
      </c>
      <c r="C886">
        <f>Dataset_3!C276</f>
        <v>1</v>
      </c>
      <c r="D886">
        <f>Dataset_3!D276</f>
        <v>0</v>
      </c>
      <c r="E886">
        <f>Dataset_3!E276</f>
        <v>2</v>
      </c>
      <c r="F886">
        <f>Dataset_3!F276</f>
        <v>8</v>
      </c>
      <c r="G886" t="b">
        <f>Dataset_3!G276</f>
        <v>0</v>
      </c>
      <c r="H886">
        <f>Dataset_3!H276</f>
        <v>3</v>
      </c>
      <c r="I886">
        <f>Dataset_3!I276</f>
        <v>1</v>
      </c>
      <c r="J886" s="55">
        <f>Dataset_3!J276</f>
        <v>0.1</v>
      </c>
      <c r="K886">
        <f>Dataset_3!K276</f>
        <v>0.13639999999999999</v>
      </c>
      <c r="L886">
        <f>Dataset_3!L276</f>
        <v>0.42</v>
      </c>
      <c r="M886">
        <f>Dataset_3!M276</f>
        <v>0</v>
      </c>
      <c r="N886">
        <f>Dataset_3!N276</f>
        <v>1</v>
      </c>
      <c r="O886">
        <f>Dataset_3!O276</f>
        <v>198</v>
      </c>
      <c r="P886">
        <f>Dataset_3!P276</f>
        <v>199</v>
      </c>
      <c r="Q886" t="str">
        <f t="shared" si="169"/>
        <v>REC-0885</v>
      </c>
      <c r="R886" s="62">
        <f t="shared" si="170"/>
        <v>40583.333333333336</v>
      </c>
      <c r="S886" t="str">
        <f t="shared" si="171"/>
        <v>Feb</v>
      </c>
      <c r="T886" t="str">
        <f>INDEX(Lookups!$B$39:$B$45,MATCH(H886,Lookups!$A$39:$A$45,0))</f>
        <v>Wed</v>
      </c>
      <c r="U886" t="str">
        <f t="shared" si="172"/>
        <v>Weekday</v>
      </c>
      <c r="V886" t="str">
        <f t="shared" si="173"/>
        <v>Working Day</v>
      </c>
      <c r="W886" t="str">
        <f t="shared" si="174"/>
        <v>Spring</v>
      </c>
      <c r="X886" t="str">
        <f t="shared" si="175"/>
        <v>Clear</v>
      </c>
      <c r="Y886" t="str">
        <f t="shared" si="176"/>
        <v>Morning</v>
      </c>
      <c r="Z886" t="str">
        <f t="shared" si="177"/>
        <v>Cold</v>
      </c>
      <c r="AA886" t="str">
        <f t="shared" si="178"/>
        <v>Low</v>
      </c>
      <c r="AB886" t="str">
        <f t="shared" si="179"/>
        <v>Peak</v>
      </c>
      <c r="AC886" s="63">
        <f t="shared" si="180"/>
        <v>5.0251256281407036E-3</v>
      </c>
      <c r="AD886" t="str">
        <f>IF(P886&gt;=Stats!$C$30,"High",IF(P886&lt;=Stats!$C$29,"Low","Normal"))</f>
        <v>High</v>
      </c>
      <c r="AE886">
        <f t="shared" si="181"/>
        <v>1</v>
      </c>
    </row>
    <row r="887" spans="1:31" x14ac:dyDescent="0.2">
      <c r="A887">
        <f>Dataset_3!A277</f>
        <v>886</v>
      </c>
      <c r="B887" s="61">
        <f>Dataset_3!B277</f>
        <v>40583</v>
      </c>
      <c r="C887">
        <f>Dataset_3!C277</f>
        <v>1</v>
      </c>
      <c r="D887">
        <f>Dataset_3!D277</f>
        <v>0</v>
      </c>
      <c r="E887">
        <f>Dataset_3!E277</f>
        <v>2</v>
      </c>
      <c r="F887">
        <f>Dataset_3!F277</f>
        <v>9</v>
      </c>
      <c r="G887" t="b">
        <f>Dataset_3!G277</f>
        <v>0</v>
      </c>
      <c r="H887">
        <f>Dataset_3!H277</f>
        <v>3</v>
      </c>
      <c r="I887">
        <f>Dataset_3!I277</f>
        <v>1</v>
      </c>
      <c r="J887" s="55">
        <f>Dataset_3!J277</f>
        <v>0.12</v>
      </c>
      <c r="K887">
        <f>Dataset_3!K277</f>
        <v>0.13639999999999999</v>
      </c>
      <c r="L887">
        <f>Dataset_3!L277</f>
        <v>0.39</v>
      </c>
      <c r="M887">
        <f>Dataset_3!M277</f>
        <v>0.16420000000000001</v>
      </c>
      <c r="N887">
        <f>Dataset_3!N277</f>
        <v>4</v>
      </c>
      <c r="O887">
        <f>Dataset_3!O277</f>
        <v>119</v>
      </c>
      <c r="P887">
        <f>Dataset_3!P277</f>
        <v>123</v>
      </c>
      <c r="Q887" t="str">
        <f t="shared" si="169"/>
        <v>REC-0886</v>
      </c>
      <c r="R887" s="62">
        <f t="shared" si="170"/>
        <v>40583.375</v>
      </c>
      <c r="S887" t="str">
        <f t="shared" si="171"/>
        <v>Feb</v>
      </c>
      <c r="T887" t="str">
        <f>INDEX(Lookups!$B$39:$B$45,MATCH(H887,Lookups!$A$39:$A$45,0))</f>
        <v>Wed</v>
      </c>
      <c r="U887" t="str">
        <f t="shared" si="172"/>
        <v>Weekday</v>
      </c>
      <c r="V887" t="str">
        <f t="shared" si="173"/>
        <v>Working Day</v>
      </c>
      <c r="W887" t="str">
        <f t="shared" si="174"/>
        <v>Spring</v>
      </c>
      <c r="X887" t="str">
        <f t="shared" si="175"/>
        <v>Clear</v>
      </c>
      <c r="Y887" t="str">
        <f t="shared" si="176"/>
        <v>Morning</v>
      </c>
      <c r="Z887" t="str">
        <f t="shared" si="177"/>
        <v>Cold</v>
      </c>
      <c r="AA887" t="str">
        <f t="shared" si="178"/>
        <v>Low</v>
      </c>
      <c r="AB887" t="str">
        <f t="shared" si="179"/>
        <v>Peak</v>
      </c>
      <c r="AC887" s="63">
        <f t="shared" si="180"/>
        <v>3.2520325203252036E-2</v>
      </c>
      <c r="AD887" t="str">
        <f>IF(P887&gt;=Stats!$C$30,"High",IF(P887&lt;=Stats!$C$29,"Low","Normal"))</f>
        <v>High</v>
      </c>
      <c r="AE887">
        <f t="shared" si="181"/>
        <v>1</v>
      </c>
    </row>
    <row r="888" spans="1:31" x14ac:dyDescent="0.2">
      <c r="A888">
        <f>Dataset_3!A278</f>
        <v>887</v>
      </c>
      <c r="B888" s="61">
        <f>Dataset_3!B278</f>
        <v>40583</v>
      </c>
      <c r="C888">
        <f>Dataset_3!C278</f>
        <v>1</v>
      </c>
      <c r="D888">
        <f>Dataset_3!D278</f>
        <v>0</v>
      </c>
      <c r="E888">
        <f>Dataset_3!E278</f>
        <v>2</v>
      </c>
      <c r="F888">
        <f>Dataset_3!F278</f>
        <v>10</v>
      </c>
      <c r="G888" t="b">
        <f>Dataset_3!G278</f>
        <v>0</v>
      </c>
      <c r="H888">
        <f>Dataset_3!H278</f>
        <v>3</v>
      </c>
      <c r="I888">
        <f>Dataset_3!I278</f>
        <v>1</v>
      </c>
      <c r="J888" s="55">
        <f>Dataset_3!J278</f>
        <v>0.14000000000000001</v>
      </c>
      <c r="K888">
        <f>Dataset_3!K278</f>
        <v>0.18179999999999999</v>
      </c>
      <c r="L888">
        <f>Dataset_3!L278</f>
        <v>0.36</v>
      </c>
      <c r="M888">
        <f>Dataset_3!M278</f>
        <v>0</v>
      </c>
      <c r="N888">
        <f>Dataset_3!N278</f>
        <v>8</v>
      </c>
      <c r="O888">
        <f>Dataset_3!O278</f>
        <v>51</v>
      </c>
      <c r="P888">
        <f>Dataset_3!P278</f>
        <v>59</v>
      </c>
      <c r="Q888" t="str">
        <f t="shared" si="169"/>
        <v>REC-0887</v>
      </c>
      <c r="R888" s="62">
        <f t="shared" si="170"/>
        <v>40583.416666666664</v>
      </c>
      <c r="S888" t="str">
        <f t="shared" si="171"/>
        <v>Feb</v>
      </c>
      <c r="T888" t="str">
        <f>INDEX(Lookups!$B$39:$B$45,MATCH(H888,Lookups!$A$39:$A$45,0))</f>
        <v>Wed</v>
      </c>
      <c r="U888" t="str">
        <f t="shared" si="172"/>
        <v>Weekday</v>
      </c>
      <c r="V888" t="str">
        <f t="shared" si="173"/>
        <v>Working Day</v>
      </c>
      <c r="W888" t="str">
        <f t="shared" si="174"/>
        <v>Spring</v>
      </c>
      <c r="X888" t="str">
        <f t="shared" si="175"/>
        <v>Clear</v>
      </c>
      <c r="Y888" t="str">
        <f t="shared" si="176"/>
        <v>Morning</v>
      </c>
      <c r="Z888" t="str">
        <f t="shared" si="177"/>
        <v>Cold</v>
      </c>
      <c r="AA888" t="str">
        <f t="shared" si="178"/>
        <v>Low</v>
      </c>
      <c r="AB888" t="str">
        <f t="shared" si="179"/>
        <v>Off-Peak</v>
      </c>
      <c r="AC888" s="63">
        <f t="shared" si="180"/>
        <v>0.13559322033898305</v>
      </c>
      <c r="AD888" t="str">
        <f>IF(P888&gt;=Stats!$C$30,"High",IF(P888&lt;=Stats!$C$29,"Low","Normal"))</f>
        <v>Normal</v>
      </c>
      <c r="AE888">
        <f t="shared" si="181"/>
        <v>1</v>
      </c>
    </row>
    <row r="889" spans="1:31" x14ac:dyDescent="0.2">
      <c r="A889">
        <f>Dataset_3!A279</f>
        <v>888</v>
      </c>
      <c r="B889" s="61">
        <f>Dataset_3!B279</f>
        <v>40583</v>
      </c>
      <c r="C889">
        <f>Dataset_3!C279</f>
        <v>1</v>
      </c>
      <c r="D889">
        <f>Dataset_3!D279</f>
        <v>0</v>
      </c>
      <c r="E889">
        <f>Dataset_3!E279</f>
        <v>2</v>
      </c>
      <c r="F889">
        <f>Dataset_3!F279</f>
        <v>11</v>
      </c>
      <c r="G889" t="b">
        <f>Dataset_3!G279</f>
        <v>0</v>
      </c>
      <c r="H889">
        <f>Dataset_3!H279</f>
        <v>3</v>
      </c>
      <c r="I889">
        <f>Dataset_3!I279</f>
        <v>2</v>
      </c>
      <c r="J889" s="55">
        <f>Dataset_3!J279</f>
        <v>0.14000000000000001</v>
      </c>
      <c r="K889">
        <f>Dataset_3!K279</f>
        <v>0.1515</v>
      </c>
      <c r="L889">
        <f>Dataset_3!L279</f>
        <v>0.43</v>
      </c>
      <c r="M889">
        <f>Dataset_3!M279</f>
        <v>0.16420000000000001</v>
      </c>
      <c r="N889">
        <f>Dataset_3!N279</f>
        <v>1</v>
      </c>
      <c r="O889">
        <f>Dataset_3!O279</f>
        <v>40</v>
      </c>
      <c r="P889">
        <f>Dataset_3!P279</f>
        <v>41</v>
      </c>
      <c r="Q889" t="str">
        <f t="shared" si="169"/>
        <v>REC-0888</v>
      </c>
      <c r="R889" s="62">
        <f t="shared" si="170"/>
        <v>40583.458333333336</v>
      </c>
      <c r="S889" t="str">
        <f t="shared" si="171"/>
        <v>Feb</v>
      </c>
      <c r="T889" t="str">
        <f>INDEX(Lookups!$B$39:$B$45,MATCH(H889,Lookups!$A$39:$A$45,0))</f>
        <v>Wed</v>
      </c>
      <c r="U889" t="str">
        <f t="shared" si="172"/>
        <v>Weekday</v>
      </c>
      <c r="V889" t="str">
        <f t="shared" si="173"/>
        <v>Working Day</v>
      </c>
      <c r="W889" t="str">
        <f t="shared" si="174"/>
        <v>Spring</v>
      </c>
      <c r="X889" t="str">
        <f t="shared" si="175"/>
        <v>Cloudy/Mist</v>
      </c>
      <c r="Y889" t="str">
        <f t="shared" si="176"/>
        <v>Morning</v>
      </c>
      <c r="Z889" t="str">
        <f t="shared" si="177"/>
        <v>Cold</v>
      </c>
      <c r="AA889" t="str">
        <f t="shared" si="178"/>
        <v>Low</v>
      </c>
      <c r="AB889" t="str">
        <f t="shared" si="179"/>
        <v>Off-Peak</v>
      </c>
      <c r="AC889" s="63">
        <f t="shared" si="180"/>
        <v>2.4390243902439025E-2</v>
      </c>
      <c r="AD889" t="str">
        <f>IF(P889&gt;=Stats!$C$30,"High",IF(P889&lt;=Stats!$C$29,"Low","Normal"))</f>
        <v>Normal</v>
      </c>
      <c r="AE889">
        <f t="shared" si="181"/>
        <v>1</v>
      </c>
    </row>
    <row r="890" spans="1:31" x14ac:dyDescent="0.2">
      <c r="A890">
        <f>Dataset_3!A280</f>
        <v>889</v>
      </c>
      <c r="B890" s="61">
        <f>Dataset_3!B280</f>
        <v>40583</v>
      </c>
      <c r="C890">
        <f>Dataset_3!C280</f>
        <v>1</v>
      </c>
      <c r="D890">
        <f>Dataset_3!D280</f>
        <v>0</v>
      </c>
      <c r="E890">
        <f>Dataset_3!E280</f>
        <v>2</v>
      </c>
      <c r="F890">
        <f>Dataset_3!F280</f>
        <v>12</v>
      </c>
      <c r="G890" t="b">
        <f>Dataset_3!G280</f>
        <v>0</v>
      </c>
      <c r="H890">
        <f>Dataset_3!H280</f>
        <v>3</v>
      </c>
      <c r="I890">
        <f>Dataset_3!I280</f>
        <v>2</v>
      </c>
      <c r="J890" s="55">
        <f>Dataset_3!J280</f>
        <v>0.18</v>
      </c>
      <c r="K890">
        <f>Dataset_3!K280</f>
        <v>0.18179999999999999</v>
      </c>
      <c r="L890">
        <f>Dataset_3!L280</f>
        <v>0.4</v>
      </c>
      <c r="M890">
        <f>Dataset_3!M280</f>
        <v>0.22389999999999999</v>
      </c>
      <c r="N890">
        <f>Dataset_3!N280</f>
        <v>4</v>
      </c>
      <c r="O890">
        <f>Dataset_3!O280</f>
        <v>57</v>
      </c>
      <c r="P890">
        <f>Dataset_3!P280</f>
        <v>61</v>
      </c>
      <c r="Q890" t="str">
        <f t="shared" si="169"/>
        <v>REC-0889</v>
      </c>
      <c r="R890" s="62">
        <f t="shared" si="170"/>
        <v>40583.5</v>
      </c>
      <c r="S890" t="str">
        <f t="shared" si="171"/>
        <v>Feb</v>
      </c>
      <c r="T890" t="str">
        <f>INDEX(Lookups!$B$39:$B$45,MATCH(H890,Lookups!$A$39:$A$45,0))</f>
        <v>Wed</v>
      </c>
      <c r="U890" t="str">
        <f t="shared" si="172"/>
        <v>Weekday</v>
      </c>
      <c r="V890" t="str">
        <f t="shared" si="173"/>
        <v>Working Day</v>
      </c>
      <c r="W890" t="str">
        <f t="shared" si="174"/>
        <v>Spring</v>
      </c>
      <c r="X890" t="str">
        <f t="shared" si="175"/>
        <v>Cloudy/Mist</v>
      </c>
      <c r="Y890" t="str">
        <f t="shared" si="176"/>
        <v>Afternoon</v>
      </c>
      <c r="Z890" t="str">
        <f t="shared" si="177"/>
        <v>Cold</v>
      </c>
      <c r="AA890" t="str">
        <f t="shared" si="178"/>
        <v>Low</v>
      </c>
      <c r="AB890" t="str">
        <f t="shared" si="179"/>
        <v>Off-Peak</v>
      </c>
      <c r="AC890" s="63">
        <f t="shared" si="180"/>
        <v>6.5573770491803282E-2</v>
      </c>
      <c r="AD890" t="str">
        <f>IF(P890&gt;=Stats!$C$30,"High",IF(P890&lt;=Stats!$C$29,"Low","Normal"))</f>
        <v>Normal</v>
      </c>
      <c r="AE890">
        <f t="shared" si="181"/>
        <v>1</v>
      </c>
    </row>
    <row r="891" spans="1:31" x14ac:dyDescent="0.2">
      <c r="A891">
        <f>Dataset_3!A281</f>
        <v>890</v>
      </c>
      <c r="B891" s="61">
        <f>Dataset_3!B281</f>
        <v>40583</v>
      </c>
      <c r="C891">
        <f>Dataset_3!C281</f>
        <v>1</v>
      </c>
      <c r="D891">
        <f>Dataset_3!D281</f>
        <v>0</v>
      </c>
      <c r="E891">
        <f>Dataset_3!E281</f>
        <v>2</v>
      </c>
      <c r="F891">
        <f>Dataset_3!F281</f>
        <v>13</v>
      </c>
      <c r="G891" t="b">
        <f>Dataset_3!G281</f>
        <v>0</v>
      </c>
      <c r="H891">
        <f>Dataset_3!H281</f>
        <v>3</v>
      </c>
      <c r="I891">
        <f>Dataset_3!I281</f>
        <v>1</v>
      </c>
      <c r="J891" s="55">
        <f>Dataset_3!J281</f>
        <v>0.18</v>
      </c>
      <c r="K891">
        <f>Dataset_3!K281</f>
        <v>0.16669999999999999</v>
      </c>
      <c r="L891">
        <f>Dataset_3!L281</f>
        <v>0.4</v>
      </c>
      <c r="M891">
        <f>Dataset_3!M281</f>
        <v>0.25369999999999998</v>
      </c>
      <c r="N891">
        <f>Dataset_3!N281</f>
        <v>2</v>
      </c>
      <c r="O891">
        <f>Dataset_3!O281</f>
        <v>67</v>
      </c>
      <c r="P891">
        <f>Dataset_3!P281</f>
        <v>69</v>
      </c>
      <c r="Q891" t="str">
        <f t="shared" si="169"/>
        <v>REC-0890</v>
      </c>
      <c r="R891" s="62">
        <f t="shared" si="170"/>
        <v>40583.541666666664</v>
      </c>
      <c r="S891" t="str">
        <f t="shared" si="171"/>
        <v>Feb</v>
      </c>
      <c r="T891" t="str">
        <f>INDEX(Lookups!$B$39:$B$45,MATCH(H891,Lookups!$A$39:$A$45,0))</f>
        <v>Wed</v>
      </c>
      <c r="U891" t="str">
        <f t="shared" si="172"/>
        <v>Weekday</v>
      </c>
      <c r="V891" t="str">
        <f t="shared" si="173"/>
        <v>Working Day</v>
      </c>
      <c r="W891" t="str">
        <f t="shared" si="174"/>
        <v>Spring</v>
      </c>
      <c r="X891" t="str">
        <f t="shared" si="175"/>
        <v>Clear</v>
      </c>
      <c r="Y891" t="str">
        <f t="shared" si="176"/>
        <v>Afternoon</v>
      </c>
      <c r="Z891" t="str">
        <f t="shared" si="177"/>
        <v>Cold</v>
      </c>
      <c r="AA891" t="str">
        <f t="shared" si="178"/>
        <v>Low</v>
      </c>
      <c r="AB891" t="str">
        <f t="shared" si="179"/>
        <v>Off-Peak</v>
      </c>
      <c r="AC891" s="63">
        <f t="shared" si="180"/>
        <v>2.8985507246376812E-2</v>
      </c>
      <c r="AD891" t="str">
        <f>IF(P891&gt;=Stats!$C$30,"High",IF(P891&lt;=Stats!$C$29,"Low","Normal"))</f>
        <v>Normal</v>
      </c>
      <c r="AE891">
        <f t="shared" si="181"/>
        <v>1</v>
      </c>
    </row>
    <row r="892" spans="1:31" x14ac:dyDescent="0.2">
      <c r="A892">
        <f>Dataset_3!A282</f>
        <v>891</v>
      </c>
      <c r="B892" s="61">
        <f>Dataset_3!B282</f>
        <v>40583</v>
      </c>
      <c r="C892">
        <f>Dataset_3!C282</f>
        <v>1</v>
      </c>
      <c r="D892">
        <f>Dataset_3!D282</f>
        <v>0</v>
      </c>
      <c r="E892">
        <f>Dataset_3!E282</f>
        <v>2</v>
      </c>
      <c r="F892">
        <f>Dataset_3!F282</f>
        <v>14</v>
      </c>
      <c r="G892" t="b">
        <f>Dataset_3!G282</f>
        <v>0</v>
      </c>
      <c r="H892">
        <f>Dataset_3!H282</f>
        <v>3</v>
      </c>
      <c r="I892">
        <f>Dataset_3!I282</f>
        <v>1</v>
      </c>
      <c r="J892" s="55">
        <f>Dataset_3!J282</f>
        <v>0.2</v>
      </c>
      <c r="K892">
        <f>Dataset_3!K282</f>
        <v>0.18179999999999999</v>
      </c>
      <c r="L892">
        <f>Dataset_3!L282</f>
        <v>0.34</v>
      </c>
      <c r="M892">
        <f>Dataset_3!M282</f>
        <v>0.29849999999999999</v>
      </c>
      <c r="N892">
        <f>Dataset_3!N282</f>
        <v>2</v>
      </c>
      <c r="O892">
        <f>Dataset_3!O282</f>
        <v>56</v>
      </c>
      <c r="P892">
        <f>Dataset_3!P282</f>
        <v>58</v>
      </c>
      <c r="Q892" t="str">
        <f t="shared" si="169"/>
        <v>REC-0891</v>
      </c>
      <c r="R892" s="62">
        <f t="shared" si="170"/>
        <v>40583.583333333336</v>
      </c>
      <c r="S892" t="str">
        <f t="shared" si="171"/>
        <v>Feb</v>
      </c>
      <c r="T892" t="str">
        <f>INDEX(Lookups!$B$39:$B$45,MATCH(H892,Lookups!$A$39:$A$45,0))</f>
        <v>Wed</v>
      </c>
      <c r="U892" t="str">
        <f t="shared" si="172"/>
        <v>Weekday</v>
      </c>
      <c r="V892" t="str">
        <f t="shared" si="173"/>
        <v>Working Day</v>
      </c>
      <c r="W892" t="str">
        <f t="shared" si="174"/>
        <v>Spring</v>
      </c>
      <c r="X892" t="str">
        <f t="shared" si="175"/>
        <v>Clear</v>
      </c>
      <c r="Y892" t="str">
        <f t="shared" si="176"/>
        <v>Afternoon</v>
      </c>
      <c r="Z892" t="str">
        <f t="shared" si="177"/>
        <v>Mild</v>
      </c>
      <c r="AA892" t="str">
        <f t="shared" si="178"/>
        <v>Low</v>
      </c>
      <c r="AB892" t="str">
        <f t="shared" si="179"/>
        <v>Off-Peak</v>
      </c>
      <c r="AC892" s="63">
        <f t="shared" si="180"/>
        <v>3.4482758620689655E-2</v>
      </c>
      <c r="AD892" t="str">
        <f>IF(P892&gt;=Stats!$C$30,"High",IF(P892&lt;=Stats!$C$29,"Low","Normal"))</f>
        <v>Normal</v>
      </c>
      <c r="AE892">
        <f t="shared" si="181"/>
        <v>1</v>
      </c>
    </row>
    <row r="893" spans="1:31" x14ac:dyDescent="0.2">
      <c r="A893">
        <f>Dataset_3!A283</f>
        <v>892</v>
      </c>
      <c r="B893" s="61">
        <f>Dataset_3!B283</f>
        <v>40583</v>
      </c>
      <c r="C893">
        <f>Dataset_3!C283</f>
        <v>1</v>
      </c>
      <c r="D893">
        <f>Dataset_3!D283</f>
        <v>0</v>
      </c>
      <c r="E893">
        <f>Dataset_3!E283</f>
        <v>2</v>
      </c>
      <c r="F893">
        <f>Dataset_3!F283</f>
        <v>15</v>
      </c>
      <c r="G893" t="b">
        <f>Dataset_3!G283</f>
        <v>0</v>
      </c>
      <c r="H893">
        <f>Dataset_3!H283</f>
        <v>3</v>
      </c>
      <c r="I893">
        <f>Dataset_3!I283</f>
        <v>2</v>
      </c>
      <c r="J893" s="55">
        <f>Dataset_3!J283</f>
        <v>0.2</v>
      </c>
      <c r="K893">
        <f>Dataset_3!K283</f>
        <v>0.18179999999999999</v>
      </c>
      <c r="L893">
        <f>Dataset_3!L283</f>
        <v>0.34</v>
      </c>
      <c r="M893">
        <f>Dataset_3!M283</f>
        <v>0.28360000000000002</v>
      </c>
      <c r="N893">
        <f>Dataset_3!N283</f>
        <v>3</v>
      </c>
      <c r="O893">
        <f>Dataset_3!O283</f>
        <v>61</v>
      </c>
      <c r="P893">
        <f>Dataset_3!P283</f>
        <v>64</v>
      </c>
      <c r="Q893" t="str">
        <f t="shared" si="169"/>
        <v>REC-0892</v>
      </c>
      <c r="R893" s="62">
        <f t="shared" si="170"/>
        <v>40583.625</v>
      </c>
      <c r="S893" t="str">
        <f t="shared" si="171"/>
        <v>Feb</v>
      </c>
      <c r="T893" t="str">
        <f>INDEX(Lookups!$B$39:$B$45,MATCH(H893,Lookups!$A$39:$A$45,0))</f>
        <v>Wed</v>
      </c>
      <c r="U893" t="str">
        <f t="shared" si="172"/>
        <v>Weekday</v>
      </c>
      <c r="V893" t="str">
        <f t="shared" si="173"/>
        <v>Working Day</v>
      </c>
      <c r="W893" t="str">
        <f t="shared" si="174"/>
        <v>Spring</v>
      </c>
      <c r="X893" t="str">
        <f t="shared" si="175"/>
        <v>Cloudy/Mist</v>
      </c>
      <c r="Y893" t="str">
        <f t="shared" si="176"/>
        <v>Afternoon</v>
      </c>
      <c r="Z893" t="str">
        <f t="shared" si="177"/>
        <v>Mild</v>
      </c>
      <c r="AA893" t="str">
        <f t="shared" si="178"/>
        <v>Low</v>
      </c>
      <c r="AB893" t="str">
        <f t="shared" si="179"/>
        <v>Off-Peak</v>
      </c>
      <c r="AC893" s="63">
        <f t="shared" si="180"/>
        <v>4.6875E-2</v>
      </c>
      <c r="AD893" t="str">
        <f>IF(P893&gt;=Stats!$C$30,"High",IF(P893&lt;=Stats!$C$29,"Low","Normal"))</f>
        <v>Normal</v>
      </c>
      <c r="AE893">
        <f t="shared" si="181"/>
        <v>1</v>
      </c>
    </row>
    <row r="894" spans="1:31" x14ac:dyDescent="0.2">
      <c r="A894">
        <f>Dataset_3!A284</f>
        <v>893</v>
      </c>
      <c r="B894" s="61">
        <f>Dataset_3!B284</f>
        <v>40583</v>
      </c>
      <c r="C894">
        <f>Dataset_3!C284</f>
        <v>1</v>
      </c>
      <c r="D894">
        <f>Dataset_3!D284</f>
        <v>0</v>
      </c>
      <c r="E894">
        <f>Dataset_3!E284</f>
        <v>2</v>
      </c>
      <c r="F894">
        <f>Dataset_3!F284</f>
        <v>16</v>
      </c>
      <c r="G894" t="b">
        <f>Dataset_3!G284</f>
        <v>0</v>
      </c>
      <c r="H894">
        <f>Dataset_3!H284</f>
        <v>3</v>
      </c>
      <c r="I894">
        <f>Dataset_3!I284</f>
        <v>2</v>
      </c>
      <c r="J894" s="55">
        <f>Dataset_3!J284</f>
        <v>0.2</v>
      </c>
      <c r="K894">
        <f>Dataset_3!K284</f>
        <v>0.19700000000000001</v>
      </c>
      <c r="L894">
        <f>Dataset_3!L284</f>
        <v>0.37</v>
      </c>
      <c r="M894">
        <f>Dataset_3!M284</f>
        <v>0.25369999999999998</v>
      </c>
      <c r="N894">
        <f>Dataset_3!N284</f>
        <v>7</v>
      </c>
      <c r="O894">
        <f>Dataset_3!O284</f>
        <v>72</v>
      </c>
      <c r="P894">
        <f>Dataset_3!P284</f>
        <v>79</v>
      </c>
      <c r="Q894" t="str">
        <f t="shared" si="169"/>
        <v>REC-0893</v>
      </c>
      <c r="R894" s="62">
        <f t="shared" si="170"/>
        <v>40583.666666666664</v>
      </c>
      <c r="S894" t="str">
        <f t="shared" si="171"/>
        <v>Feb</v>
      </c>
      <c r="T894" t="str">
        <f>INDEX(Lookups!$B$39:$B$45,MATCH(H894,Lookups!$A$39:$A$45,0))</f>
        <v>Wed</v>
      </c>
      <c r="U894" t="str">
        <f t="shared" si="172"/>
        <v>Weekday</v>
      </c>
      <c r="V894" t="str">
        <f t="shared" si="173"/>
        <v>Working Day</v>
      </c>
      <c r="W894" t="str">
        <f t="shared" si="174"/>
        <v>Spring</v>
      </c>
      <c r="X894" t="str">
        <f t="shared" si="175"/>
        <v>Cloudy/Mist</v>
      </c>
      <c r="Y894" t="str">
        <f t="shared" si="176"/>
        <v>Afternoon</v>
      </c>
      <c r="Z894" t="str">
        <f t="shared" si="177"/>
        <v>Mild</v>
      </c>
      <c r="AA894" t="str">
        <f t="shared" si="178"/>
        <v>Low</v>
      </c>
      <c r="AB894" t="str">
        <f t="shared" si="179"/>
        <v>Peak</v>
      </c>
      <c r="AC894" s="63">
        <f t="shared" si="180"/>
        <v>8.8607594936708861E-2</v>
      </c>
      <c r="AD894" t="str">
        <f>IF(P894&gt;=Stats!$C$30,"High",IF(P894&lt;=Stats!$C$29,"Low","Normal"))</f>
        <v>Normal</v>
      </c>
      <c r="AE894">
        <f t="shared" si="181"/>
        <v>1</v>
      </c>
    </row>
    <row r="895" spans="1:31" x14ac:dyDescent="0.2">
      <c r="A895">
        <f>Dataset_3!A285</f>
        <v>894</v>
      </c>
      <c r="B895" s="61">
        <f>Dataset_3!B285</f>
        <v>40583</v>
      </c>
      <c r="C895">
        <f>Dataset_3!C285</f>
        <v>1</v>
      </c>
      <c r="D895">
        <f>Dataset_3!D285</f>
        <v>0</v>
      </c>
      <c r="E895">
        <f>Dataset_3!E285</f>
        <v>2</v>
      </c>
      <c r="F895">
        <f>Dataset_3!F285</f>
        <v>17</v>
      </c>
      <c r="G895" t="b">
        <f>Dataset_3!G285</f>
        <v>0</v>
      </c>
      <c r="H895">
        <f>Dataset_3!H285</f>
        <v>3</v>
      </c>
      <c r="I895">
        <f>Dataset_3!I285</f>
        <v>2</v>
      </c>
      <c r="J895" s="55">
        <f>Dataset_3!J285</f>
        <v>0.2</v>
      </c>
      <c r="K895">
        <f>Dataset_3!K285</f>
        <v>0.19700000000000001</v>
      </c>
      <c r="L895">
        <f>Dataset_3!L285</f>
        <v>0.34</v>
      </c>
      <c r="M895">
        <f>Dataset_3!M285</f>
        <v>0.25369999999999998</v>
      </c>
      <c r="N895">
        <f>Dataset_3!N285</f>
        <v>9</v>
      </c>
      <c r="O895">
        <f>Dataset_3!O285</f>
        <v>157</v>
      </c>
      <c r="P895">
        <f>Dataset_3!P285</f>
        <v>166</v>
      </c>
      <c r="Q895" t="str">
        <f t="shared" si="169"/>
        <v>REC-0894</v>
      </c>
      <c r="R895" s="62">
        <f t="shared" si="170"/>
        <v>40583.708333333336</v>
      </c>
      <c r="S895" t="str">
        <f t="shared" si="171"/>
        <v>Feb</v>
      </c>
      <c r="T895" t="str">
        <f>INDEX(Lookups!$B$39:$B$45,MATCH(H895,Lookups!$A$39:$A$45,0))</f>
        <v>Wed</v>
      </c>
      <c r="U895" t="str">
        <f t="shared" si="172"/>
        <v>Weekday</v>
      </c>
      <c r="V895" t="str">
        <f t="shared" si="173"/>
        <v>Working Day</v>
      </c>
      <c r="W895" t="str">
        <f t="shared" si="174"/>
        <v>Spring</v>
      </c>
      <c r="X895" t="str">
        <f t="shared" si="175"/>
        <v>Cloudy/Mist</v>
      </c>
      <c r="Y895" t="str">
        <f t="shared" si="176"/>
        <v>Evening</v>
      </c>
      <c r="Z895" t="str">
        <f t="shared" si="177"/>
        <v>Mild</v>
      </c>
      <c r="AA895" t="str">
        <f t="shared" si="178"/>
        <v>Low</v>
      </c>
      <c r="AB895" t="str">
        <f t="shared" si="179"/>
        <v>Peak</v>
      </c>
      <c r="AC895" s="63">
        <f t="shared" si="180"/>
        <v>5.4216867469879519E-2</v>
      </c>
      <c r="AD895" t="str">
        <f>IF(P895&gt;=Stats!$C$30,"High",IF(P895&lt;=Stats!$C$29,"Low","Normal"))</f>
        <v>High</v>
      </c>
      <c r="AE895">
        <f t="shared" si="181"/>
        <v>1</v>
      </c>
    </row>
    <row r="896" spans="1:31" x14ac:dyDescent="0.2">
      <c r="A896">
        <f>Dataset_3!A286</f>
        <v>895</v>
      </c>
      <c r="B896" s="61">
        <f>Dataset_3!B286</f>
        <v>40583</v>
      </c>
      <c r="C896">
        <f>Dataset_3!C286</f>
        <v>1</v>
      </c>
      <c r="D896">
        <f>Dataset_3!D286</f>
        <v>0</v>
      </c>
      <c r="E896">
        <f>Dataset_3!E286</f>
        <v>2</v>
      </c>
      <c r="F896">
        <f>Dataset_3!F286</f>
        <v>18</v>
      </c>
      <c r="G896" t="b">
        <f>Dataset_3!G286</f>
        <v>0</v>
      </c>
      <c r="H896">
        <f>Dataset_3!H286</f>
        <v>3</v>
      </c>
      <c r="I896">
        <f>Dataset_3!I286</f>
        <v>2</v>
      </c>
      <c r="J896" s="55">
        <f>Dataset_3!J286</f>
        <v>0.18</v>
      </c>
      <c r="K896">
        <f>Dataset_3!K286</f>
        <v>0.16669999999999999</v>
      </c>
      <c r="L896">
        <f>Dataset_3!L286</f>
        <v>0.47</v>
      </c>
      <c r="M896">
        <f>Dataset_3!M286</f>
        <v>0.29849999999999999</v>
      </c>
      <c r="N896">
        <f>Dataset_3!N286</f>
        <v>2</v>
      </c>
      <c r="O896">
        <f>Dataset_3!O286</f>
        <v>168</v>
      </c>
      <c r="P896">
        <f>Dataset_3!P286</f>
        <v>170</v>
      </c>
      <c r="Q896" t="str">
        <f t="shared" si="169"/>
        <v>REC-0895</v>
      </c>
      <c r="R896" s="62">
        <f t="shared" si="170"/>
        <v>40583.75</v>
      </c>
      <c r="S896" t="str">
        <f t="shared" si="171"/>
        <v>Feb</v>
      </c>
      <c r="T896" t="str">
        <f>INDEX(Lookups!$B$39:$B$45,MATCH(H896,Lookups!$A$39:$A$45,0))</f>
        <v>Wed</v>
      </c>
      <c r="U896" t="str">
        <f t="shared" si="172"/>
        <v>Weekday</v>
      </c>
      <c r="V896" t="str">
        <f t="shared" si="173"/>
        <v>Working Day</v>
      </c>
      <c r="W896" t="str">
        <f t="shared" si="174"/>
        <v>Spring</v>
      </c>
      <c r="X896" t="str">
        <f t="shared" si="175"/>
        <v>Cloudy/Mist</v>
      </c>
      <c r="Y896" t="str">
        <f t="shared" si="176"/>
        <v>Evening</v>
      </c>
      <c r="Z896" t="str">
        <f t="shared" si="177"/>
        <v>Cold</v>
      </c>
      <c r="AA896" t="str">
        <f t="shared" si="178"/>
        <v>Low</v>
      </c>
      <c r="AB896" t="str">
        <f t="shared" si="179"/>
        <v>Peak</v>
      </c>
      <c r="AC896" s="63">
        <f t="shared" si="180"/>
        <v>1.1764705882352941E-2</v>
      </c>
      <c r="AD896" t="str">
        <f>IF(P896&gt;=Stats!$C$30,"High",IF(P896&lt;=Stats!$C$29,"Low","Normal"))</f>
        <v>High</v>
      </c>
      <c r="AE896">
        <f t="shared" si="181"/>
        <v>1</v>
      </c>
    </row>
    <row r="897" spans="1:31" x14ac:dyDescent="0.2">
      <c r="A897">
        <f>Dataset_3!A287</f>
        <v>896</v>
      </c>
      <c r="B897" s="61">
        <f>Dataset_3!B287</f>
        <v>40583</v>
      </c>
      <c r="C897">
        <f>Dataset_3!C287</f>
        <v>1</v>
      </c>
      <c r="D897">
        <f>Dataset_3!D287</f>
        <v>0</v>
      </c>
      <c r="E897">
        <f>Dataset_3!E287</f>
        <v>2</v>
      </c>
      <c r="F897">
        <f>Dataset_3!F287</f>
        <v>19</v>
      </c>
      <c r="G897" t="b">
        <f>Dataset_3!G287</f>
        <v>0</v>
      </c>
      <c r="H897">
        <f>Dataset_3!H287</f>
        <v>3</v>
      </c>
      <c r="I897">
        <f>Dataset_3!I287</f>
        <v>3</v>
      </c>
      <c r="J897" s="55">
        <f>Dataset_3!J287</f>
        <v>0.14000000000000001</v>
      </c>
      <c r="K897">
        <f>Dataset_3!K287</f>
        <v>0.1212</v>
      </c>
      <c r="L897">
        <f>Dataset_3!L287</f>
        <v>0.86</v>
      </c>
      <c r="M897">
        <f>Dataset_3!M287</f>
        <v>0.25369999999999998</v>
      </c>
      <c r="N897">
        <f>Dataset_3!N287</f>
        <v>1</v>
      </c>
      <c r="O897">
        <f>Dataset_3!O287</f>
        <v>87</v>
      </c>
      <c r="P897">
        <f>Dataset_3!P287</f>
        <v>88</v>
      </c>
      <c r="Q897" t="str">
        <f t="shared" si="169"/>
        <v>REC-0896</v>
      </c>
      <c r="R897" s="62">
        <f t="shared" si="170"/>
        <v>40583.791666666664</v>
      </c>
      <c r="S897" t="str">
        <f t="shared" si="171"/>
        <v>Feb</v>
      </c>
      <c r="T897" t="str">
        <f>INDEX(Lookups!$B$39:$B$45,MATCH(H897,Lookups!$A$39:$A$45,0))</f>
        <v>Wed</v>
      </c>
      <c r="U897" t="str">
        <f t="shared" si="172"/>
        <v>Weekday</v>
      </c>
      <c r="V897" t="str">
        <f t="shared" si="173"/>
        <v>Working Day</v>
      </c>
      <c r="W897" t="str">
        <f t="shared" si="174"/>
        <v>Spring</v>
      </c>
      <c r="X897" t="str">
        <f t="shared" si="175"/>
        <v>Light Rain/Snow</v>
      </c>
      <c r="Y897" t="str">
        <f t="shared" si="176"/>
        <v>Evening</v>
      </c>
      <c r="Z897" t="str">
        <f t="shared" si="177"/>
        <v>Cold</v>
      </c>
      <c r="AA897" t="str">
        <f t="shared" si="178"/>
        <v>High</v>
      </c>
      <c r="AB897" t="str">
        <f t="shared" si="179"/>
        <v>Peak</v>
      </c>
      <c r="AC897" s="63">
        <f t="shared" si="180"/>
        <v>1.1363636363636364E-2</v>
      </c>
      <c r="AD897" t="str">
        <f>IF(P897&gt;=Stats!$C$30,"High",IF(P897&lt;=Stats!$C$29,"Low","Normal"))</f>
        <v>High</v>
      </c>
      <c r="AE897">
        <f t="shared" si="181"/>
        <v>1</v>
      </c>
    </row>
    <row r="898" spans="1:31" x14ac:dyDescent="0.2">
      <c r="A898">
        <f>Dataset_3!A288</f>
        <v>897</v>
      </c>
      <c r="B898" s="61">
        <f>Dataset_3!B288</f>
        <v>40583</v>
      </c>
      <c r="C898">
        <f>Dataset_3!C288</f>
        <v>1</v>
      </c>
      <c r="D898">
        <f>Dataset_3!D288</f>
        <v>0</v>
      </c>
      <c r="E898">
        <f>Dataset_3!E288</f>
        <v>2</v>
      </c>
      <c r="F898">
        <f>Dataset_3!F288</f>
        <v>20</v>
      </c>
      <c r="G898" t="b">
        <f>Dataset_3!G288</f>
        <v>0</v>
      </c>
      <c r="H898">
        <f>Dataset_3!H288</f>
        <v>3</v>
      </c>
      <c r="I898">
        <f>Dataset_3!I288</f>
        <v>3</v>
      </c>
      <c r="J898" s="55">
        <f>Dataset_3!J288</f>
        <v>0.14000000000000001</v>
      </c>
      <c r="K898">
        <f>Dataset_3!K288</f>
        <v>0.1515</v>
      </c>
      <c r="L898">
        <f>Dataset_3!L288</f>
        <v>0.86</v>
      </c>
      <c r="M898">
        <f>Dataset_3!M288</f>
        <v>0.16420000000000001</v>
      </c>
      <c r="N898">
        <f>Dataset_3!N288</f>
        <v>0</v>
      </c>
      <c r="O898">
        <f>Dataset_3!O288</f>
        <v>84</v>
      </c>
      <c r="P898">
        <f>Dataset_3!P288</f>
        <v>84</v>
      </c>
      <c r="Q898" t="str">
        <f t="shared" ref="Q898:Q961" si="182">"REC-"&amp;TEXT(A898,"0000")</f>
        <v>REC-0897</v>
      </c>
      <c r="R898" s="62">
        <f t="shared" ref="R898:R961" si="183">B898+F898/24</f>
        <v>40583.833333333336</v>
      </c>
      <c r="S898" t="str">
        <f t="shared" ref="S898:S961" si="184">TEXT(B898,"mmm")</f>
        <v>Feb</v>
      </c>
      <c r="T898" t="str">
        <f>INDEX(Lookups!$B$39:$B$45,MATCH(H898,Lookups!$A$39:$A$45,0))</f>
        <v>Wed</v>
      </c>
      <c r="U898" t="str">
        <f t="shared" ref="U898:U961" si="185">IF(OR(H898=0,H898=6),"Weekend","Weekday")</f>
        <v>Weekday</v>
      </c>
      <c r="V898" t="str">
        <f t="shared" ref="V898:V961" si="186">IF(OR(U898="Weekend",G898=TRUE),"Non-Working Day","Working Day")</f>
        <v>Working Day</v>
      </c>
      <c r="W898" t="str">
        <f t="shared" ref="W898:W961" si="187">VLOOKUP(C898,tbl_season,2,FALSE)</f>
        <v>Spring</v>
      </c>
      <c r="X898" t="str">
        <f t="shared" ref="X898:X961" si="188">VLOOKUP(I898,tbl_weather,2,FALSE)</f>
        <v>Light Rain/Snow</v>
      </c>
      <c r="Y898" t="str">
        <f t="shared" ref="Y898:Y961" si="189">INDEX(band_name,MATCH(F898,band_start,1))</f>
        <v>Evening</v>
      </c>
      <c r="Z898" t="str">
        <f t="shared" ref="Z898:Z961" si="190">INDEX(temp_band,MATCH(J898,temp_from,1))</f>
        <v>Cold</v>
      </c>
      <c r="AA898" t="str">
        <f t="shared" ref="AA898:AA961" si="191">INDEX(hum_band,MATCH(L898,hum_from,1))</f>
        <v>High</v>
      </c>
      <c r="AB898" t="str">
        <f t="shared" ref="AB898:AB961" si="192">IF(AND(U898="Weekday",OR(AND(F898&gt;=7,F898&lt;=9),AND(F898&gt;=16,F898&lt;=19))),"Peak","Off-Peak")</f>
        <v>Off-Peak</v>
      </c>
      <c r="AC898" s="63">
        <f t="shared" ref="AC898:AC961" si="193">IF(P898=0,0,N898/P898)</f>
        <v>0</v>
      </c>
      <c r="AD898" t="str">
        <f>IF(P898&gt;=Stats!$C$30,"High",IF(P898&lt;=Stats!$C$29,"Low","Normal"))</f>
        <v>High</v>
      </c>
      <c r="AE898">
        <f t="shared" ref="AE898:AE961" si="194">SUBTOTAL(103,A898)</f>
        <v>1</v>
      </c>
    </row>
    <row r="899" spans="1:31" x14ac:dyDescent="0.2">
      <c r="A899">
        <f>Dataset_3!A289</f>
        <v>898</v>
      </c>
      <c r="B899" s="61">
        <f>Dataset_3!B289</f>
        <v>40583</v>
      </c>
      <c r="C899">
        <f>Dataset_3!C289</f>
        <v>1</v>
      </c>
      <c r="D899">
        <f>Dataset_3!D289</f>
        <v>0</v>
      </c>
      <c r="E899">
        <f>Dataset_3!E289</f>
        <v>2</v>
      </c>
      <c r="F899">
        <f>Dataset_3!F289</f>
        <v>21</v>
      </c>
      <c r="G899" t="b">
        <f>Dataset_3!G289</f>
        <v>0</v>
      </c>
      <c r="H899">
        <f>Dataset_3!H289</f>
        <v>3</v>
      </c>
      <c r="I899">
        <f>Dataset_3!I289</f>
        <v>2</v>
      </c>
      <c r="J899" s="55">
        <f>Dataset_3!J289</f>
        <v>0.14000000000000001</v>
      </c>
      <c r="K899">
        <f>Dataset_3!K289</f>
        <v>0.1515</v>
      </c>
      <c r="L899">
        <f>Dataset_3!L289</f>
        <v>0.86</v>
      </c>
      <c r="M899">
        <f>Dataset_3!M289</f>
        <v>0.16420000000000001</v>
      </c>
      <c r="N899">
        <f>Dataset_3!N289</f>
        <v>0</v>
      </c>
      <c r="O899">
        <f>Dataset_3!O289</f>
        <v>83</v>
      </c>
      <c r="P899">
        <f>Dataset_3!P289</f>
        <v>83</v>
      </c>
      <c r="Q899" t="str">
        <f t="shared" si="182"/>
        <v>REC-0898</v>
      </c>
      <c r="R899" s="62">
        <f t="shared" si="183"/>
        <v>40583.875</v>
      </c>
      <c r="S899" t="str">
        <f t="shared" si="184"/>
        <v>Feb</v>
      </c>
      <c r="T899" t="str">
        <f>INDEX(Lookups!$B$39:$B$45,MATCH(H899,Lookups!$A$39:$A$45,0))</f>
        <v>Wed</v>
      </c>
      <c r="U899" t="str">
        <f t="shared" si="185"/>
        <v>Weekday</v>
      </c>
      <c r="V899" t="str">
        <f t="shared" si="186"/>
        <v>Working Day</v>
      </c>
      <c r="W899" t="str">
        <f t="shared" si="187"/>
        <v>Spring</v>
      </c>
      <c r="X899" t="str">
        <f t="shared" si="188"/>
        <v>Cloudy/Mist</v>
      </c>
      <c r="Y899" t="str">
        <f t="shared" si="189"/>
        <v>Late Evening</v>
      </c>
      <c r="Z899" t="str">
        <f t="shared" si="190"/>
        <v>Cold</v>
      </c>
      <c r="AA899" t="str">
        <f t="shared" si="191"/>
        <v>High</v>
      </c>
      <c r="AB899" t="str">
        <f t="shared" si="192"/>
        <v>Off-Peak</v>
      </c>
      <c r="AC899" s="63">
        <f t="shared" si="193"/>
        <v>0</v>
      </c>
      <c r="AD899" t="str">
        <f>IF(P899&gt;=Stats!$C$30,"High",IF(P899&lt;=Stats!$C$29,"Low","Normal"))</f>
        <v>High</v>
      </c>
      <c r="AE899">
        <f t="shared" si="194"/>
        <v>1</v>
      </c>
    </row>
    <row r="900" spans="1:31" x14ac:dyDescent="0.2">
      <c r="A900">
        <f>Dataset_3!A290</f>
        <v>899</v>
      </c>
      <c r="B900" s="61">
        <f>Dataset_3!B290</f>
        <v>40583</v>
      </c>
      <c r="C900">
        <f>Dataset_3!C290</f>
        <v>1</v>
      </c>
      <c r="D900">
        <f>Dataset_3!D290</f>
        <v>0</v>
      </c>
      <c r="E900">
        <f>Dataset_3!E290</f>
        <v>2</v>
      </c>
      <c r="F900">
        <f>Dataset_3!F290</f>
        <v>22</v>
      </c>
      <c r="G900" t="b">
        <f>Dataset_3!G290</f>
        <v>0</v>
      </c>
      <c r="H900">
        <f>Dataset_3!H290</f>
        <v>3</v>
      </c>
      <c r="I900">
        <f>Dataset_3!I290</f>
        <v>3</v>
      </c>
      <c r="J900" s="55">
        <f>Dataset_3!J290</f>
        <v>0.16</v>
      </c>
      <c r="K900">
        <f>Dataset_3!K290</f>
        <v>0.16669999999999999</v>
      </c>
      <c r="L900">
        <f>Dataset_3!L290</f>
        <v>0.8</v>
      </c>
      <c r="M900">
        <f>Dataset_3!M290</f>
        <v>0.16420000000000001</v>
      </c>
      <c r="N900">
        <f>Dataset_3!N290</f>
        <v>4</v>
      </c>
      <c r="O900">
        <f>Dataset_3!O290</f>
        <v>42</v>
      </c>
      <c r="P900">
        <f>Dataset_3!P290</f>
        <v>46</v>
      </c>
      <c r="Q900" t="str">
        <f t="shared" si="182"/>
        <v>REC-0899</v>
      </c>
      <c r="R900" s="62">
        <f t="shared" si="183"/>
        <v>40583.916666666664</v>
      </c>
      <c r="S900" t="str">
        <f t="shared" si="184"/>
        <v>Feb</v>
      </c>
      <c r="T900" t="str">
        <f>INDEX(Lookups!$B$39:$B$45,MATCH(H900,Lookups!$A$39:$A$45,0))</f>
        <v>Wed</v>
      </c>
      <c r="U900" t="str">
        <f t="shared" si="185"/>
        <v>Weekday</v>
      </c>
      <c r="V900" t="str">
        <f t="shared" si="186"/>
        <v>Working Day</v>
      </c>
      <c r="W900" t="str">
        <f t="shared" si="187"/>
        <v>Spring</v>
      </c>
      <c r="X900" t="str">
        <f t="shared" si="188"/>
        <v>Light Rain/Snow</v>
      </c>
      <c r="Y900" t="str">
        <f t="shared" si="189"/>
        <v>Late Evening</v>
      </c>
      <c r="Z900" t="str">
        <f t="shared" si="190"/>
        <v>Cold</v>
      </c>
      <c r="AA900" t="str">
        <f t="shared" si="191"/>
        <v>High</v>
      </c>
      <c r="AB900" t="str">
        <f t="shared" si="192"/>
        <v>Off-Peak</v>
      </c>
      <c r="AC900" s="63">
        <f t="shared" si="193"/>
        <v>8.6956521739130432E-2</v>
      </c>
      <c r="AD900" t="str">
        <f>IF(P900&gt;=Stats!$C$30,"High",IF(P900&lt;=Stats!$C$29,"Low","Normal"))</f>
        <v>Normal</v>
      </c>
      <c r="AE900">
        <f t="shared" si="194"/>
        <v>1</v>
      </c>
    </row>
    <row r="901" spans="1:31" x14ac:dyDescent="0.2">
      <c r="A901">
        <f>Dataset_3!A291</f>
        <v>900</v>
      </c>
      <c r="B901" s="61">
        <f>Dataset_3!B291</f>
        <v>40583</v>
      </c>
      <c r="C901">
        <f>Dataset_3!C291</f>
        <v>1</v>
      </c>
      <c r="D901">
        <f>Dataset_3!D291</f>
        <v>0</v>
      </c>
      <c r="E901">
        <f>Dataset_3!E291</f>
        <v>2</v>
      </c>
      <c r="F901">
        <f>Dataset_3!F291</f>
        <v>23</v>
      </c>
      <c r="G901" t="b">
        <f>Dataset_3!G291</f>
        <v>0</v>
      </c>
      <c r="H901">
        <f>Dataset_3!H291</f>
        <v>3</v>
      </c>
      <c r="I901">
        <f>Dataset_3!I291</f>
        <v>3</v>
      </c>
      <c r="J901" s="55">
        <f>Dataset_3!J291</f>
        <v>0.16</v>
      </c>
      <c r="K901">
        <f>Dataset_3!K291</f>
        <v>0.1515</v>
      </c>
      <c r="L901">
        <f>Dataset_3!L291</f>
        <v>0.8</v>
      </c>
      <c r="M901">
        <f>Dataset_3!M291</f>
        <v>0.19400000000000001</v>
      </c>
      <c r="N901">
        <f>Dataset_3!N291</f>
        <v>0</v>
      </c>
      <c r="O901">
        <f>Dataset_3!O291</f>
        <v>37</v>
      </c>
      <c r="P901">
        <f>Dataset_3!P291</f>
        <v>37</v>
      </c>
      <c r="Q901" t="str">
        <f t="shared" si="182"/>
        <v>REC-0900</v>
      </c>
      <c r="R901" s="62">
        <f t="shared" si="183"/>
        <v>40583.958333333336</v>
      </c>
      <c r="S901" t="str">
        <f t="shared" si="184"/>
        <v>Feb</v>
      </c>
      <c r="T901" t="str">
        <f>INDEX(Lookups!$B$39:$B$45,MATCH(H901,Lookups!$A$39:$A$45,0))</f>
        <v>Wed</v>
      </c>
      <c r="U901" t="str">
        <f t="shared" si="185"/>
        <v>Weekday</v>
      </c>
      <c r="V901" t="str">
        <f t="shared" si="186"/>
        <v>Working Day</v>
      </c>
      <c r="W901" t="str">
        <f t="shared" si="187"/>
        <v>Spring</v>
      </c>
      <c r="X901" t="str">
        <f t="shared" si="188"/>
        <v>Light Rain/Snow</v>
      </c>
      <c r="Y901" t="str">
        <f t="shared" si="189"/>
        <v>Late Evening</v>
      </c>
      <c r="Z901" t="str">
        <f t="shared" si="190"/>
        <v>Cold</v>
      </c>
      <c r="AA901" t="str">
        <f t="shared" si="191"/>
        <v>High</v>
      </c>
      <c r="AB901" t="str">
        <f t="shared" si="192"/>
        <v>Off-Peak</v>
      </c>
      <c r="AC901" s="63">
        <f t="shared" si="193"/>
        <v>0</v>
      </c>
      <c r="AD901" t="str">
        <f>IF(P901&gt;=Stats!$C$30,"High",IF(P901&lt;=Stats!$C$29,"Low","Normal"))</f>
        <v>Normal</v>
      </c>
      <c r="AE901">
        <f t="shared" si="194"/>
        <v>1</v>
      </c>
    </row>
    <row r="902" spans="1:31" x14ac:dyDescent="0.2">
      <c r="A902">
        <f>Dataset_3!A292</f>
        <v>901</v>
      </c>
      <c r="B902" s="61">
        <f>Dataset_3!B292</f>
        <v>40584</v>
      </c>
      <c r="C902">
        <f>Dataset_3!C292</f>
        <v>1</v>
      </c>
      <c r="D902">
        <f>Dataset_3!D292</f>
        <v>0</v>
      </c>
      <c r="E902">
        <f>Dataset_3!E292</f>
        <v>2</v>
      </c>
      <c r="F902">
        <f>Dataset_3!F292</f>
        <v>0</v>
      </c>
      <c r="G902" t="b">
        <f>Dataset_3!G292</f>
        <v>0</v>
      </c>
      <c r="H902">
        <f>Dataset_3!H292</f>
        <v>4</v>
      </c>
      <c r="I902">
        <f>Dataset_3!I292</f>
        <v>3</v>
      </c>
      <c r="J902" s="55">
        <f>Dataset_3!J292</f>
        <v>0.14000000000000001</v>
      </c>
      <c r="K902">
        <f>Dataset_3!K292</f>
        <v>0.13639999999999999</v>
      </c>
      <c r="L902">
        <f>Dataset_3!L292</f>
        <v>0.86</v>
      </c>
      <c r="M902">
        <f>Dataset_3!M292</f>
        <v>0.19400000000000001</v>
      </c>
      <c r="N902">
        <f>Dataset_3!N292</f>
        <v>0</v>
      </c>
      <c r="O902">
        <f>Dataset_3!O292</f>
        <v>16</v>
      </c>
      <c r="P902">
        <f>Dataset_3!P292</f>
        <v>16</v>
      </c>
      <c r="Q902" t="str">
        <f t="shared" si="182"/>
        <v>REC-0901</v>
      </c>
      <c r="R902" s="62">
        <f t="shared" si="183"/>
        <v>40584</v>
      </c>
      <c r="S902" t="str">
        <f t="shared" si="184"/>
        <v>Feb</v>
      </c>
      <c r="T902" t="str">
        <f>INDEX(Lookups!$B$39:$B$45,MATCH(H902,Lookups!$A$39:$A$45,0))</f>
        <v>Thu</v>
      </c>
      <c r="U902" t="str">
        <f t="shared" si="185"/>
        <v>Weekday</v>
      </c>
      <c r="V902" t="str">
        <f t="shared" si="186"/>
        <v>Working Day</v>
      </c>
      <c r="W902" t="str">
        <f t="shared" si="187"/>
        <v>Spring</v>
      </c>
      <c r="X902" t="str">
        <f t="shared" si="188"/>
        <v>Light Rain/Snow</v>
      </c>
      <c r="Y902" t="str">
        <f t="shared" si="189"/>
        <v>Night</v>
      </c>
      <c r="Z902" t="str">
        <f t="shared" si="190"/>
        <v>Cold</v>
      </c>
      <c r="AA902" t="str">
        <f t="shared" si="191"/>
        <v>High</v>
      </c>
      <c r="AB902" t="str">
        <f t="shared" si="192"/>
        <v>Off-Peak</v>
      </c>
      <c r="AC902" s="63">
        <f t="shared" si="193"/>
        <v>0</v>
      </c>
      <c r="AD902" t="str">
        <f>IF(P902&gt;=Stats!$C$30,"High",IF(P902&lt;=Stats!$C$29,"Low","Normal"))</f>
        <v>Low</v>
      </c>
      <c r="AE902">
        <f t="shared" si="194"/>
        <v>1</v>
      </c>
    </row>
    <row r="903" spans="1:31" x14ac:dyDescent="0.2">
      <c r="A903">
        <f>Dataset_3!A293</f>
        <v>902</v>
      </c>
      <c r="B903" s="61">
        <f>Dataset_3!B293</f>
        <v>40584</v>
      </c>
      <c r="C903">
        <f>Dataset_3!C293</f>
        <v>1</v>
      </c>
      <c r="D903">
        <f>Dataset_3!D293</f>
        <v>0</v>
      </c>
      <c r="E903">
        <f>Dataset_3!E293</f>
        <v>2</v>
      </c>
      <c r="F903">
        <f>Dataset_3!F293</f>
        <v>1</v>
      </c>
      <c r="G903" t="b">
        <f>Dataset_3!G293</f>
        <v>0</v>
      </c>
      <c r="H903">
        <f>Dataset_3!H293</f>
        <v>4</v>
      </c>
      <c r="I903">
        <f>Dataset_3!I293</f>
        <v>3</v>
      </c>
      <c r="J903" s="55">
        <f>Dataset_3!J293</f>
        <v>0.14000000000000001</v>
      </c>
      <c r="K903">
        <f>Dataset_3!K293</f>
        <v>0.1515</v>
      </c>
      <c r="L903">
        <f>Dataset_3!L293</f>
        <v>0.8</v>
      </c>
      <c r="M903">
        <f>Dataset_3!M293</f>
        <v>0.1343</v>
      </c>
      <c r="N903">
        <f>Dataset_3!N293</f>
        <v>0</v>
      </c>
      <c r="O903">
        <f>Dataset_3!O293</f>
        <v>7</v>
      </c>
      <c r="P903">
        <f>Dataset_3!P293</f>
        <v>7</v>
      </c>
      <c r="Q903" t="str">
        <f t="shared" si="182"/>
        <v>REC-0902</v>
      </c>
      <c r="R903" s="62">
        <f t="shared" si="183"/>
        <v>40584.041666666664</v>
      </c>
      <c r="S903" t="str">
        <f t="shared" si="184"/>
        <v>Feb</v>
      </c>
      <c r="T903" t="str">
        <f>INDEX(Lookups!$B$39:$B$45,MATCH(H903,Lookups!$A$39:$A$45,0))</f>
        <v>Thu</v>
      </c>
      <c r="U903" t="str">
        <f t="shared" si="185"/>
        <v>Weekday</v>
      </c>
      <c r="V903" t="str">
        <f t="shared" si="186"/>
        <v>Working Day</v>
      </c>
      <c r="W903" t="str">
        <f t="shared" si="187"/>
        <v>Spring</v>
      </c>
      <c r="X903" t="str">
        <f t="shared" si="188"/>
        <v>Light Rain/Snow</v>
      </c>
      <c r="Y903" t="str">
        <f t="shared" si="189"/>
        <v>Night</v>
      </c>
      <c r="Z903" t="str">
        <f t="shared" si="190"/>
        <v>Cold</v>
      </c>
      <c r="AA903" t="str">
        <f t="shared" si="191"/>
        <v>High</v>
      </c>
      <c r="AB903" t="str">
        <f t="shared" si="192"/>
        <v>Off-Peak</v>
      </c>
      <c r="AC903" s="63">
        <f t="shared" si="193"/>
        <v>0</v>
      </c>
      <c r="AD903" t="str">
        <f>IF(P903&gt;=Stats!$C$30,"High",IF(P903&lt;=Stats!$C$29,"Low","Normal"))</f>
        <v>Low</v>
      </c>
      <c r="AE903">
        <f t="shared" si="194"/>
        <v>1</v>
      </c>
    </row>
    <row r="904" spans="1:31" x14ac:dyDescent="0.2">
      <c r="A904">
        <f>Dataset_3!A294</f>
        <v>903</v>
      </c>
      <c r="B904" s="61">
        <f>Dataset_3!B294</f>
        <v>40584</v>
      </c>
      <c r="C904">
        <f>Dataset_3!C294</f>
        <v>1</v>
      </c>
      <c r="D904">
        <f>Dataset_3!D294</f>
        <v>0</v>
      </c>
      <c r="E904">
        <f>Dataset_3!E294</f>
        <v>2</v>
      </c>
      <c r="F904">
        <f>Dataset_3!F294</f>
        <v>2</v>
      </c>
      <c r="G904" t="b">
        <f>Dataset_3!G294</f>
        <v>0</v>
      </c>
      <c r="H904">
        <f>Dataset_3!H294</f>
        <v>4</v>
      </c>
      <c r="I904">
        <f>Dataset_3!I294</f>
        <v>3</v>
      </c>
      <c r="J904" s="55">
        <f>Dataset_3!J294</f>
        <v>0.14000000000000001</v>
      </c>
      <c r="K904">
        <f>Dataset_3!K294</f>
        <v>0.1515</v>
      </c>
      <c r="L904">
        <f>Dataset_3!L294</f>
        <v>0.8</v>
      </c>
      <c r="M904">
        <f>Dataset_3!M294</f>
        <v>0.1343</v>
      </c>
      <c r="N904">
        <f>Dataset_3!N294</f>
        <v>0</v>
      </c>
      <c r="O904">
        <f>Dataset_3!O294</f>
        <v>3</v>
      </c>
      <c r="P904">
        <f>Dataset_3!P294</f>
        <v>3</v>
      </c>
      <c r="Q904" t="str">
        <f t="shared" si="182"/>
        <v>REC-0903</v>
      </c>
      <c r="R904" s="62">
        <f t="shared" si="183"/>
        <v>40584.083333333336</v>
      </c>
      <c r="S904" t="str">
        <f t="shared" si="184"/>
        <v>Feb</v>
      </c>
      <c r="T904" t="str">
        <f>INDEX(Lookups!$B$39:$B$45,MATCH(H904,Lookups!$A$39:$A$45,0))</f>
        <v>Thu</v>
      </c>
      <c r="U904" t="str">
        <f t="shared" si="185"/>
        <v>Weekday</v>
      </c>
      <c r="V904" t="str">
        <f t="shared" si="186"/>
        <v>Working Day</v>
      </c>
      <c r="W904" t="str">
        <f t="shared" si="187"/>
        <v>Spring</v>
      </c>
      <c r="X904" t="str">
        <f t="shared" si="188"/>
        <v>Light Rain/Snow</v>
      </c>
      <c r="Y904" t="str">
        <f t="shared" si="189"/>
        <v>Night</v>
      </c>
      <c r="Z904" t="str">
        <f t="shared" si="190"/>
        <v>Cold</v>
      </c>
      <c r="AA904" t="str">
        <f t="shared" si="191"/>
        <v>High</v>
      </c>
      <c r="AB904" t="str">
        <f t="shared" si="192"/>
        <v>Off-Peak</v>
      </c>
      <c r="AC904" s="63">
        <f t="shared" si="193"/>
        <v>0</v>
      </c>
      <c r="AD904" t="str">
        <f>IF(P904&gt;=Stats!$C$30,"High",IF(P904&lt;=Stats!$C$29,"Low","Normal"))</f>
        <v>Low</v>
      </c>
      <c r="AE904">
        <f t="shared" si="194"/>
        <v>1</v>
      </c>
    </row>
    <row r="905" spans="1:31" x14ac:dyDescent="0.2">
      <c r="A905">
        <f>Dataset_3!A295</f>
        <v>904</v>
      </c>
      <c r="B905" s="61">
        <f>Dataset_3!B295</f>
        <v>40584</v>
      </c>
      <c r="C905">
        <f>Dataset_3!C295</f>
        <v>1</v>
      </c>
      <c r="D905">
        <f>Dataset_3!D295</f>
        <v>0</v>
      </c>
      <c r="E905">
        <f>Dataset_3!E295</f>
        <v>2</v>
      </c>
      <c r="F905">
        <f>Dataset_3!F295</f>
        <v>4</v>
      </c>
      <c r="G905" t="b">
        <f>Dataset_3!G295</f>
        <v>0</v>
      </c>
      <c r="H905">
        <f>Dataset_3!H295</f>
        <v>4</v>
      </c>
      <c r="I905">
        <f>Dataset_3!I295</f>
        <v>2</v>
      </c>
      <c r="J905" s="55">
        <f>Dataset_3!J295</f>
        <v>0.14000000000000001</v>
      </c>
      <c r="K905">
        <f>Dataset_3!K295</f>
        <v>0.13639999999999999</v>
      </c>
      <c r="L905">
        <f>Dataset_3!L295</f>
        <v>0.59</v>
      </c>
      <c r="M905">
        <f>Dataset_3!M295</f>
        <v>0.22389999999999999</v>
      </c>
      <c r="N905">
        <f>Dataset_3!N295</f>
        <v>0</v>
      </c>
      <c r="O905">
        <f>Dataset_3!O295</f>
        <v>1</v>
      </c>
      <c r="P905">
        <f>Dataset_3!P295</f>
        <v>1</v>
      </c>
      <c r="Q905" t="str">
        <f t="shared" si="182"/>
        <v>REC-0904</v>
      </c>
      <c r="R905" s="62">
        <f t="shared" si="183"/>
        <v>40584.166666666664</v>
      </c>
      <c r="S905" t="str">
        <f t="shared" si="184"/>
        <v>Feb</v>
      </c>
      <c r="T905" t="str">
        <f>INDEX(Lookups!$B$39:$B$45,MATCH(H905,Lookups!$A$39:$A$45,0))</f>
        <v>Thu</v>
      </c>
      <c r="U905" t="str">
        <f t="shared" si="185"/>
        <v>Weekday</v>
      </c>
      <c r="V905" t="str">
        <f t="shared" si="186"/>
        <v>Working Day</v>
      </c>
      <c r="W905" t="str">
        <f t="shared" si="187"/>
        <v>Spring</v>
      </c>
      <c r="X905" t="str">
        <f t="shared" si="188"/>
        <v>Cloudy/Mist</v>
      </c>
      <c r="Y905" t="str">
        <f t="shared" si="189"/>
        <v>Night</v>
      </c>
      <c r="Z905" t="str">
        <f t="shared" si="190"/>
        <v>Cold</v>
      </c>
      <c r="AA905" t="str">
        <f t="shared" si="191"/>
        <v>Medium</v>
      </c>
      <c r="AB905" t="str">
        <f t="shared" si="192"/>
        <v>Off-Peak</v>
      </c>
      <c r="AC905" s="63">
        <f t="shared" si="193"/>
        <v>0</v>
      </c>
      <c r="AD905" t="str">
        <f>IF(P905&gt;=Stats!$C$30,"High",IF(P905&lt;=Stats!$C$29,"Low","Normal"))</f>
        <v>Low</v>
      </c>
      <c r="AE905">
        <f t="shared" si="194"/>
        <v>1</v>
      </c>
    </row>
    <row r="906" spans="1:31" x14ac:dyDescent="0.2">
      <c r="A906">
        <f>Dataset_3!A296</f>
        <v>905</v>
      </c>
      <c r="B906" s="61">
        <f>Dataset_3!B296</f>
        <v>40584</v>
      </c>
      <c r="C906">
        <f>Dataset_3!C296</f>
        <v>1</v>
      </c>
      <c r="D906">
        <f>Dataset_3!D296</f>
        <v>0</v>
      </c>
      <c r="E906">
        <f>Dataset_3!E296</f>
        <v>2</v>
      </c>
      <c r="F906">
        <f>Dataset_3!F296</f>
        <v>5</v>
      </c>
      <c r="G906" t="b">
        <f>Dataset_3!G296</f>
        <v>0</v>
      </c>
      <c r="H906">
        <f>Dataset_3!H296</f>
        <v>4</v>
      </c>
      <c r="I906">
        <f>Dataset_3!I296</f>
        <v>2</v>
      </c>
      <c r="J906" s="55">
        <f>Dataset_3!J296</f>
        <v>0.12</v>
      </c>
      <c r="K906">
        <f>Dataset_3!K296</f>
        <v>0.1212</v>
      </c>
      <c r="L906">
        <f>Dataset_3!L296</f>
        <v>0.5</v>
      </c>
      <c r="M906">
        <f>Dataset_3!M296</f>
        <v>0.22389999999999999</v>
      </c>
      <c r="N906">
        <f>Dataset_3!N296</f>
        <v>0</v>
      </c>
      <c r="O906">
        <f>Dataset_3!O296</f>
        <v>6</v>
      </c>
      <c r="P906">
        <f>Dataset_3!P296</f>
        <v>6</v>
      </c>
      <c r="Q906" t="str">
        <f t="shared" si="182"/>
        <v>REC-0905</v>
      </c>
      <c r="R906" s="62">
        <f t="shared" si="183"/>
        <v>40584.208333333336</v>
      </c>
      <c r="S906" t="str">
        <f t="shared" si="184"/>
        <v>Feb</v>
      </c>
      <c r="T906" t="str">
        <f>INDEX(Lookups!$B$39:$B$45,MATCH(H906,Lookups!$A$39:$A$45,0))</f>
        <v>Thu</v>
      </c>
      <c r="U906" t="str">
        <f t="shared" si="185"/>
        <v>Weekday</v>
      </c>
      <c r="V906" t="str">
        <f t="shared" si="186"/>
        <v>Working Day</v>
      </c>
      <c r="W906" t="str">
        <f t="shared" si="187"/>
        <v>Spring</v>
      </c>
      <c r="X906" t="str">
        <f t="shared" si="188"/>
        <v>Cloudy/Mist</v>
      </c>
      <c r="Y906" t="str">
        <f t="shared" si="189"/>
        <v>Night</v>
      </c>
      <c r="Z906" t="str">
        <f t="shared" si="190"/>
        <v>Cold</v>
      </c>
      <c r="AA906" t="str">
        <f t="shared" si="191"/>
        <v>Medium</v>
      </c>
      <c r="AB906" t="str">
        <f t="shared" si="192"/>
        <v>Off-Peak</v>
      </c>
      <c r="AC906" s="63">
        <f t="shared" si="193"/>
        <v>0</v>
      </c>
      <c r="AD906" t="str">
        <f>IF(P906&gt;=Stats!$C$30,"High",IF(P906&lt;=Stats!$C$29,"Low","Normal"))</f>
        <v>Low</v>
      </c>
      <c r="AE906">
        <f t="shared" si="194"/>
        <v>1</v>
      </c>
    </row>
    <row r="907" spans="1:31" x14ac:dyDescent="0.2">
      <c r="A907">
        <f>Dataset_3!A297</f>
        <v>906</v>
      </c>
      <c r="B907" s="61">
        <f>Dataset_3!B297</f>
        <v>40584</v>
      </c>
      <c r="C907">
        <f>Dataset_3!C297</f>
        <v>1</v>
      </c>
      <c r="D907">
        <f>Dataset_3!D297</f>
        <v>0</v>
      </c>
      <c r="E907">
        <f>Dataset_3!E297</f>
        <v>2</v>
      </c>
      <c r="F907">
        <f>Dataset_3!F297</f>
        <v>6</v>
      </c>
      <c r="G907" t="b">
        <f>Dataset_3!G297</f>
        <v>0</v>
      </c>
      <c r="H907">
        <f>Dataset_3!H297</f>
        <v>4</v>
      </c>
      <c r="I907">
        <f>Dataset_3!I297</f>
        <v>2</v>
      </c>
      <c r="J907" s="55">
        <f>Dataset_3!J297</f>
        <v>0.12</v>
      </c>
      <c r="K907">
        <f>Dataset_3!K297</f>
        <v>0.1212</v>
      </c>
      <c r="L907">
        <f>Dataset_3!L297</f>
        <v>0.54</v>
      </c>
      <c r="M907">
        <f>Dataset_3!M297</f>
        <v>0.28360000000000002</v>
      </c>
      <c r="N907">
        <f>Dataset_3!N297</f>
        <v>0</v>
      </c>
      <c r="O907">
        <f>Dataset_3!O297</f>
        <v>26</v>
      </c>
      <c r="P907">
        <f>Dataset_3!P297</f>
        <v>26</v>
      </c>
      <c r="Q907" t="str">
        <f t="shared" si="182"/>
        <v>REC-0906</v>
      </c>
      <c r="R907" s="62">
        <f t="shared" si="183"/>
        <v>40584.25</v>
      </c>
      <c r="S907" t="str">
        <f t="shared" si="184"/>
        <v>Feb</v>
      </c>
      <c r="T907" t="str">
        <f>INDEX(Lookups!$B$39:$B$45,MATCH(H907,Lookups!$A$39:$A$45,0))</f>
        <v>Thu</v>
      </c>
      <c r="U907" t="str">
        <f t="shared" si="185"/>
        <v>Weekday</v>
      </c>
      <c r="V907" t="str">
        <f t="shared" si="186"/>
        <v>Working Day</v>
      </c>
      <c r="W907" t="str">
        <f t="shared" si="187"/>
        <v>Spring</v>
      </c>
      <c r="X907" t="str">
        <f t="shared" si="188"/>
        <v>Cloudy/Mist</v>
      </c>
      <c r="Y907" t="str">
        <f t="shared" si="189"/>
        <v>Morning</v>
      </c>
      <c r="Z907" t="str">
        <f t="shared" si="190"/>
        <v>Cold</v>
      </c>
      <c r="AA907" t="str">
        <f t="shared" si="191"/>
        <v>Medium</v>
      </c>
      <c r="AB907" t="str">
        <f t="shared" si="192"/>
        <v>Off-Peak</v>
      </c>
      <c r="AC907" s="63">
        <f t="shared" si="193"/>
        <v>0</v>
      </c>
      <c r="AD907" t="str">
        <f>IF(P907&gt;=Stats!$C$30,"High",IF(P907&lt;=Stats!$C$29,"Low","Normal"))</f>
        <v>Normal</v>
      </c>
      <c r="AE907">
        <f t="shared" si="194"/>
        <v>1</v>
      </c>
    </row>
    <row r="908" spans="1:31" x14ac:dyDescent="0.2">
      <c r="A908">
        <f>Dataset_3!A298</f>
        <v>907</v>
      </c>
      <c r="B908" s="61">
        <f>Dataset_3!B298</f>
        <v>40584</v>
      </c>
      <c r="C908">
        <f>Dataset_3!C298</f>
        <v>1</v>
      </c>
      <c r="D908">
        <f>Dataset_3!D298</f>
        <v>0</v>
      </c>
      <c r="E908">
        <f>Dataset_3!E298</f>
        <v>2</v>
      </c>
      <c r="F908">
        <f>Dataset_3!F298</f>
        <v>7</v>
      </c>
      <c r="G908" t="b">
        <f>Dataset_3!G298</f>
        <v>0</v>
      </c>
      <c r="H908">
        <f>Dataset_3!H298</f>
        <v>4</v>
      </c>
      <c r="I908">
        <f>Dataset_3!I298</f>
        <v>1</v>
      </c>
      <c r="J908" s="55">
        <f>Dataset_3!J298</f>
        <v>0.1</v>
      </c>
      <c r="K908">
        <f>Dataset_3!K298</f>
        <v>7.5800000000000006E-2</v>
      </c>
      <c r="L908">
        <f>Dataset_3!L298</f>
        <v>0.5</v>
      </c>
      <c r="M908">
        <f>Dataset_3!M298</f>
        <v>0.41789999999999999</v>
      </c>
      <c r="N908">
        <f>Dataset_3!N298</f>
        <v>0</v>
      </c>
      <c r="O908">
        <f>Dataset_3!O298</f>
        <v>99</v>
      </c>
      <c r="P908">
        <f>Dataset_3!P298</f>
        <v>99</v>
      </c>
      <c r="Q908" t="str">
        <f t="shared" si="182"/>
        <v>REC-0907</v>
      </c>
      <c r="R908" s="62">
        <f t="shared" si="183"/>
        <v>40584.291666666664</v>
      </c>
      <c r="S908" t="str">
        <f t="shared" si="184"/>
        <v>Feb</v>
      </c>
      <c r="T908" t="str">
        <f>INDEX(Lookups!$B$39:$B$45,MATCH(H908,Lookups!$A$39:$A$45,0))</f>
        <v>Thu</v>
      </c>
      <c r="U908" t="str">
        <f t="shared" si="185"/>
        <v>Weekday</v>
      </c>
      <c r="V908" t="str">
        <f t="shared" si="186"/>
        <v>Working Day</v>
      </c>
      <c r="W908" t="str">
        <f t="shared" si="187"/>
        <v>Spring</v>
      </c>
      <c r="X908" t="str">
        <f t="shared" si="188"/>
        <v>Clear</v>
      </c>
      <c r="Y908" t="str">
        <f t="shared" si="189"/>
        <v>Morning</v>
      </c>
      <c r="Z908" t="str">
        <f t="shared" si="190"/>
        <v>Cold</v>
      </c>
      <c r="AA908" t="str">
        <f t="shared" si="191"/>
        <v>Medium</v>
      </c>
      <c r="AB908" t="str">
        <f t="shared" si="192"/>
        <v>Peak</v>
      </c>
      <c r="AC908" s="63">
        <f t="shared" si="193"/>
        <v>0</v>
      </c>
      <c r="AD908" t="str">
        <f>IF(P908&gt;=Stats!$C$30,"High",IF(P908&lt;=Stats!$C$29,"Low","Normal"))</f>
        <v>High</v>
      </c>
      <c r="AE908">
        <f t="shared" si="194"/>
        <v>1</v>
      </c>
    </row>
    <row r="909" spans="1:31" x14ac:dyDescent="0.2">
      <c r="A909">
        <f>Dataset_3!A299</f>
        <v>908</v>
      </c>
      <c r="B909" s="61">
        <f>Dataset_3!B299</f>
        <v>40584</v>
      </c>
      <c r="C909">
        <f>Dataset_3!C299</f>
        <v>1</v>
      </c>
      <c r="D909">
        <f>Dataset_3!D299</f>
        <v>0</v>
      </c>
      <c r="E909">
        <f>Dataset_3!E299</f>
        <v>2</v>
      </c>
      <c r="F909">
        <f>Dataset_3!F299</f>
        <v>8</v>
      </c>
      <c r="G909" t="b">
        <f>Dataset_3!G299</f>
        <v>0</v>
      </c>
      <c r="H909">
        <f>Dataset_3!H299</f>
        <v>4</v>
      </c>
      <c r="I909">
        <f>Dataset_3!I299</f>
        <v>1</v>
      </c>
      <c r="J909" s="55">
        <f>Dataset_3!J299</f>
        <v>0.1</v>
      </c>
      <c r="K909">
        <f>Dataset_3!K299</f>
        <v>7.5800000000000006E-2</v>
      </c>
      <c r="L909">
        <f>Dataset_3!L299</f>
        <v>0.49</v>
      </c>
      <c r="M909">
        <f>Dataset_3!M299</f>
        <v>0.32840000000000003</v>
      </c>
      <c r="N909">
        <f>Dataset_3!N299</f>
        <v>5</v>
      </c>
      <c r="O909">
        <f>Dataset_3!O299</f>
        <v>173</v>
      </c>
      <c r="P909">
        <f>Dataset_3!P299</f>
        <v>178</v>
      </c>
      <c r="Q909" t="str">
        <f t="shared" si="182"/>
        <v>REC-0908</v>
      </c>
      <c r="R909" s="62">
        <f t="shared" si="183"/>
        <v>40584.333333333336</v>
      </c>
      <c r="S909" t="str">
        <f t="shared" si="184"/>
        <v>Feb</v>
      </c>
      <c r="T909" t="str">
        <f>INDEX(Lookups!$B$39:$B$45,MATCH(H909,Lookups!$A$39:$A$45,0))</f>
        <v>Thu</v>
      </c>
      <c r="U909" t="str">
        <f t="shared" si="185"/>
        <v>Weekday</v>
      </c>
      <c r="V909" t="str">
        <f t="shared" si="186"/>
        <v>Working Day</v>
      </c>
      <c r="W909" t="str">
        <f t="shared" si="187"/>
        <v>Spring</v>
      </c>
      <c r="X909" t="str">
        <f t="shared" si="188"/>
        <v>Clear</v>
      </c>
      <c r="Y909" t="str">
        <f t="shared" si="189"/>
        <v>Morning</v>
      </c>
      <c r="Z909" t="str">
        <f t="shared" si="190"/>
        <v>Cold</v>
      </c>
      <c r="AA909" t="str">
        <f t="shared" si="191"/>
        <v>Low</v>
      </c>
      <c r="AB909" t="str">
        <f t="shared" si="192"/>
        <v>Peak</v>
      </c>
      <c r="AC909" s="63">
        <f t="shared" si="193"/>
        <v>2.8089887640449437E-2</v>
      </c>
      <c r="AD909" t="str">
        <f>IF(P909&gt;=Stats!$C$30,"High",IF(P909&lt;=Stats!$C$29,"Low","Normal"))</f>
        <v>High</v>
      </c>
      <c r="AE909">
        <f t="shared" si="194"/>
        <v>1</v>
      </c>
    </row>
    <row r="910" spans="1:31" x14ac:dyDescent="0.2">
      <c r="A910">
        <f>Dataset_3!A300</f>
        <v>909</v>
      </c>
      <c r="B910" s="61">
        <f>Dataset_3!B300</f>
        <v>40584</v>
      </c>
      <c r="C910">
        <f>Dataset_3!C300</f>
        <v>1</v>
      </c>
      <c r="D910">
        <f>Dataset_3!D300</f>
        <v>0</v>
      </c>
      <c r="E910">
        <f>Dataset_3!E300</f>
        <v>2</v>
      </c>
      <c r="F910">
        <f>Dataset_3!F300</f>
        <v>9</v>
      </c>
      <c r="G910" t="b">
        <f>Dataset_3!G300</f>
        <v>0</v>
      </c>
      <c r="H910">
        <f>Dataset_3!H300</f>
        <v>4</v>
      </c>
      <c r="I910">
        <f>Dataset_3!I300</f>
        <v>1</v>
      </c>
      <c r="J910" s="55">
        <f>Dataset_3!J300</f>
        <v>0.12</v>
      </c>
      <c r="K910">
        <f>Dataset_3!K300</f>
        <v>0.1061</v>
      </c>
      <c r="L910">
        <f>Dataset_3!L300</f>
        <v>0.42</v>
      </c>
      <c r="M910">
        <f>Dataset_3!M300</f>
        <v>0.35820000000000002</v>
      </c>
      <c r="N910">
        <f>Dataset_3!N300</f>
        <v>1</v>
      </c>
      <c r="O910">
        <f>Dataset_3!O300</f>
        <v>121</v>
      </c>
      <c r="P910">
        <f>Dataset_3!P300</f>
        <v>122</v>
      </c>
      <c r="Q910" t="str">
        <f t="shared" si="182"/>
        <v>REC-0909</v>
      </c>
      <c r="R910" s="62">
        <f t="shared" si="183"/>
        <v>40584.375</v>
      </c>
      <c r="S910" t="str">
        <f t="shared" si="184"/>
        <v>Feb</v>
      </c>
      <c r="T910" t="str">
        <f>INDEX(Lookups!$B$39:$B$45,MATCH(H910,Lookups!$A$39:$A$45,0))</f>
        <v>Thu</v>
      </c>
      <c r="U910" t="str">
        <f t="shared" si="185"/>
        <v>Weekday</v>
      </c>
      <c r="V910" t="str">
        <f t="shared" si="186"/>
        <v>Working Day</v>
      </c>
      <c r="W910" t="str">
        <f t="shared" si="187"/>
        <v>Spring</v>
      </c>
      <c r="X910" t="str">
        <f t="shared" si="188"/>
        <v>Clear</v>
      </c>
      <c r="Y910" t="str">
        <f t="shared" si="189"/>
        <v>Morning</v>
      </c>
      <c r="Z910" t="str">
        <f t="shared" si="190"/>
        <v>Cold</v>
      </c>
      <c r="AA910" t="str">
        <f t="shared" si="191"/>
        <v>Low</v>
      </c>
      <c r="AB910" t="str">
        <f t="shared" si="192"/>
        <v>Peak</v>
      </c>
      <c r="AC910" s="63">
        <f t="shared" si="193"/>
        <v>8.1967213114754103E-3</v>
      </c>
      <c r="AD910" t="str">
        <f>IF(P910&gt;=Stats!$C$30,"High",IF(P910&lt;=Stats!$C$29,"Low","Normal"))</f>
        <v>High</v>
      </c>
      <c r="AE910">
        <f t="shared" si="194"/>
        <v>1</v>
      </c>
    </row>
    <row r="911" spans="1:31" x14ac:dyDescent="0.2">
      <c r="A911">
        <f>Dataset_3!A301</f>
        <v>910</v>
      </c>
      <c r="B911" s="61">
        <f>Dataset_3!B301</f>
        <v>40584</v>
      </c>
      <c r="C911">
        <f>Dataset_3!C301</f>
        <v>1</v>
      </c>
      <c r="D911">
        <f>Dataset_3!D301</f>
        <v>0</v>
      </c>
      <c r="E911">
        <f>Dataset_3!E301</f>
        <v>2</v>
      </c>
      <c r="F911">
        <f>Dataset_3!F301</f>
        <v>10</v>
      </c>
      <c r="G911" t="b">
        <f>Dataset_3!G301</f>
        <v>0</v>
      </c>
      <c r="H911">
        <f>Dataset_3!H301</f>
        <v>4</v>
      </c>
      <c r="I911">
        <f>Dataset_3!I301</f>
        <v>1</v>
      </c>
      <c r="J911" s="55">
        <f>Dataset_3!J301</f>
        <v>0.12</v>
      </c>
      <c r="K911">
        <f>Dataset_3!K301</f>
        <v>0.1061</v>
      </c>
      <c r="L911">
        <f>Dataset_3!L301</f>
        <v>0.42</v>
      </c>
      <c r="M911">
        <f>Dataset_3!M301</f>
        <v>0.29849999999999999</v>
      </c>
      <c r="N911">
        <f>Dataset_3!N301</f>
        <v>1</v>
      </c>
      <c r="O911">
        <f>Dataset_3!O301</f>
        <v>34</v>
      </c>
      <c r="P911">
        <f>Dataset_3!P301</f>
        <v>35</v>
      </c>
      <c r="Q911" t="str">
        <f t="shared" si="182"/>
        <v>REC-0910</v>
      </c>
      <c r="R911" s="62">
        <f t="shared" si="183"/>
        <v>40584.416666666664</v>
      </c>
      <c r="S911" t="str">
        <f t="shared" si="184"/>
        <v>Feb</v>
      </c>
      <c r="T911" t="str">
        <f>INDEX(Lookups!$B$39:$B$45,MATCH(H911,Lookups!$A$39:$A$45,0))</f>
        <v>Thu</v>
      </c>
      <c r="U911" t="str">
        <f t="shared" si="185"/>
        <v>Weekday</v>
      </c>
      <c r="V911" t="str">
        <f t="shared" si="186"/>
        <v>Working Day</v>
      </c>
      <c r="W911" t="str">
        <f t="shared" si="187"/>
        <v>Spring</v>
      </c>
      <c r="X911" t="str">
        <f t="shared" si="188"/>
        <v>Clear</v>
      </c>
      <c r="Y911" t="str">
        <f t="shared" si="189"/>
        <v>Morning</v>
      </c>
      <c r="Z911" t="str">
        <f t="shared" si="190"/>
        <v>Cold</v>
      </c>
      <c r="AA911" t="str">
        <f t="shared" si="191"/>
        <v>Low</v>
      </c>
      <c r="AB911" t="str">
        <f t="shared" si="192"/>
        <v>Off-Peak</v>
      </c>
      <c r="AC911" s="63">
        <f t="shared" si="193"/>
        <v>2.8571428571428571E-2</v>
      </c>
      <c r="AD911" t="str">
        <f>IF(P911&gt;=Stats!$C$30,"High",IF(P911&lt;=Stats!$C$29,"Low","Normal"))</f>
        <v>Normal</v>
      </c>
      <c r="AE911">
        <f t="shared" si="194"/>
        <v>1</v>
      </c>
    </row>
    <row r="912" spans="1:31" x14ac:dyDescent="0.2">
      <c r="A912">
        <f>Dataset_3!A302</f>
        <v>911</v>
      </c>
      <c r="B912" s="61">
        <f>Dataset_3!B302</f>
        <v>40584</v>
      </c>
      <c r="C912">
        <f>Dataset_3!C302</f>
        <v>1</v>
      </c>
      <c r="D912">
        <f>Dataset_3!D302</f>
        <v>0</v>
      </c>
      <c r="E912">
        <f>Dataset_3!E302</f>
        <v>2</v>
      </c>
      <c r="F912">
        <f>Dataset_3!F302</f>
        <v>11</v>
      </c>
      <c r="G912" t="b">
        <f>Dataset_3!G302</f>
        <v>0</v>
      </c>
      <c r="H912">
        <f>Dataset_3!H302</f>
        <v>4</v>
      </c>
      <c r="I912">
        <f>Dataset_3!I302</f>
        <v>1</v>
      </c>
      <c r="J912" s="55">
        <f>Dataset_3!J302</f>
        <v>0.14000000000000001</v>
      </c>
      <c r="K912">
        <f>Dataset_3!K302</f>
        <v>0.1212</v>
      </c>
      <c r="L912">
        <f>Dataset_3!L302</f>
        <v>0.39</v>
      </c>
      <c r="M912">
        <f>Dataset_3!M302</f>
        <v>0.35820000000000002</v>
      </c>
      <c r="N912">
        <f>Dataset_3!N302</f>
        <v>1</v>
      </c>
      <c r="O912">
        <f>Dataset_3!O302</f>
        <v>44</v>
      </c>
      <c r="P912">
        <f>Dataset_3!P302</f>
        <v>45</v>
      </c>
      <c r="Q912" t="str">
        <f t="shared" si="182"/>
        <v>REC-0911</v>
      </c>
      <c r="R912" s="62">
        <f t="shared" si="183"/>
        <v>40584.458333333336</v>
      </c>
      <c r="S912" t="str">
        <f t="shared" si="184"/>
        <v>Feb</v>
      </c>
      <c r="T912" t="str">
        <f>INDEX(Lookups!$B$39:$B$45,MATCH(H912,Lookups!$A$39:$A$45,0))</f>
        <v>Thu</v>
      </c>
      <c r="U912" t="str">
        <f t="shared" si="185"/>
        <v>Weekday</v>
      </c>
      <c r="V912" t="str">
        <f t="shared" si="186"/>
        <v>Working Day</v>
      </c>
      <c r="W912" t="str">
        <f t="shared" si="187"/>
        <v>Spring</v>
      </c>
      <c r="X912" t="str">
        <f t="shared" si="188"/>
        <v>Clear</v>
      </c>
      <c r="Y912" t="str">
        <f t="shared" si="189"/>
        <v>Morning</v>
      </c>
      <c r="Z912" t="str">
        <f t="shared" si="190"/>
        <v>Cold</v>
      </c>
      <c r="AA912" t="str">
        <f t="shared" si="191"/>
        <v>Low</v>
      </c>
      <c r="AB912" t="str">
        <f t="shared" si="192"/>
        <v>Off-Peak</v>
      </c>
      <c r="AC912" s="63">
        <f t="shared" si="193"/>
        <v>2.2222222222222223E-2</v>
      </c>
      <c r="AD912" t="str">
        <f>IF(P912&gt;=Stats!$C$30,"High",IF(P912&lt;=Stats!$C$29,"Low","Normal"))</f>
        <v>Normal</v>
      </c>
      <c r="AE912">
        <f t="shared" si="194"/>
        <v>1</v>
      </c>
    </row>
    <row r="913" spans="1:31" x14ac:dyDescent="0.2">
      <c r="A913">
        <f>Dataset_3!A303</f>
        <v>912</v>
      </c>
      <c r="B913" s="61">
        <f>Dataset_3!B303</f>
        <v>40584</v>
      </c>
      <c r="C913">
        <f>Dataset_3!C303</f>
        <v>1</v>
      </c>
      <c r="D913">
        <f>Dataset_3!D303</f>
        <v>0</v>
      </c>
      <c r="E913">
        <f>Dataset_3!E303</f>
        <v>2</v>
      </c>
      <c r="F913">
        <f>Dataset_3!F303</f>
        <v>12</v>
      </c>
      <c r="G913" t="b">
        <f>Dataset_3!G303</f>
        <v>0</v>
      </c>
      <c r="H913">
        <f>Dataset_3!H303</f>
        <v>4</v>
      </c>
      <c r="I913">
        <f>Dataset_3!I303</f>
        <v>1</v>
      </c>
      <c r="J913" s="55">
        <f>Dataset_3!J303</f>
        <v>0.16</v>
      </c>
      <c r="K913">
        <f>Dataset_3!K303</f>
        <v>0.13639999999999999</v>
      </c>
      <c r="L913">
        <f>Dataset_3!L303</f>
        <v>0.34</v>
      </c>
      <c r="M913">
        <f>Dataset_3!M303</f>
        <v>0.3881</v>
      </c>
      <c r="N913">
        <f>Dataset_3!N303</f>
        <v>4</v>
      </c>
      <c r="O913">
        <f>Dataset_3!O303</f>
        <v>65</v>
      </c>
      <c r="P913">
        <f>Dataset_3!P303</f>
        <v>69</v>
      </c>
      <c r="Q913" t="str">
        <f t="shared" si="182"/>
        <v>REC-0912</v>
      </c>
      <c r="R913" s="62">
        <f t="shared" si="183"/>
        <v>40584.5</v>
      </c>
      <c r="S913" t="str">
        <f t="shared" si="184"/>
        <v>Feb</v>
      </c>
      <c r="T913" t="str">
        <f>INDEX(Lookups!$B$39:$B$45,MATCH(H913,Lookups!$A$39:$A$45,0))</f>
        <v>Thu</v>
      </c>
      <c r="U913" t="str">
        <f t="shared" si="185"/>
        <v>Weekday</v>
      </c>
      <c r="V913" t="str">
        <f t="shared" si="186"/>
        <v>Working Day</v>
      </c>
      <c r="W913" t="str">
        <f t="shared" si="187"/>
        <v>Spring</v>
      </c>
      <c r="X913" t="str">
        <f t="shared" si="188"/>
        <v>Clear</v>
      </c>
      <c r="Y913" t="str">
        <f t="shared" si="189"/>
        <v>Afternoon</v>
      </c>
      <c r="Z913" t="str">
        <f t="shared" si="190"/>
        <v>Cold</v>
      </c>
      <c r="AA913" t="str">
        <f t="shared" si="191"/>
        <v>Low</v>
      </c>
      <c r="AB913" t="str">
        <f t="shared" si="192"/>
        <v>Off-Peak</v>
      </c>
      <c r="AC913" s="63">
        <f t="shared" si="193"/>
        <v>5.7971014492753624E-2</v>
      </c>
      <c r="AD913" t="str">
        <f>IF(P913&gt;=Stats!$C$30,"High",IF(P913&lt;=Stats!$C$29,"Low","Normal"))</f>
        <v>Normal</v>
      </c>
      <c r="AE913">
        <f t="shared" si="194"/>
        <v>1</v>
      </c>
    </row>
    <row r="914" spans="1:31" x14ac:dyDescent="0.2">
      <c r="A914">
        <f>Dataset_3!A304</f>
        <v>913</v>
      </c>
      <c r="B914" s="61">
        <f>Dataset_3!B304</f>
        <v>40584</v>
      </c>
      <c r="C914">
        <f>Dataset_3!C304</f>
        <v>1</v>
      </c>
      <c r="D914">
        <f>Dataset_3!D304</f>
        <v>0</v>
      </c>
      <c r="E914">
        <f>Dataset_3!E304</f>
        <v>2</v>
      </c>
      <c r="F914">
        <f>Dataset_3!F304</f>
        <v>13</v>
      </c>
      <c r="G914" t="b">
        <f>Dataset_3!G304</f>
        <v>0</v>
      </c>
      <c r="H914">
        <f>Dataset_3!H304</f>
        <v>4</v>
      </c>
      <c r="I914">
        <f>Dataset_3!I304</f>
        <v>1</v>
      </c>
      <c r="J914" s="55">
        <f>Dataset_3!J304</f>
        <v>0.18</v>
      </c>
      <c r="K914">
        <f>Dataset_3!K304</f>
        <v>0.16669999999999999</v>
      </c>
      <c r="L914">
        <f>Dataset_3!L304</f>
        <v>0.28999999999999998</v>
      </c>
      <c r="M914">
        <f>Dataset_3!M304</f>
        <v>0.29849999999999999</v>
      </c>
      <c r="N914">
        <f>Dataset_3!N304</f>
        <v>3</v>
      </c>
      <c r="O914">
        <f>Dataset_3!O304</f>
        <v>59</v>
      </c>
      <c r="P914">
        <f>Dataset_3!P304</f>
        <v>62</v>
      </c>
      <c r="Q914" t="str">
        <f t="shared" si="182"/>
        <v>REC-0913</v>
      </c>
      <c r="R914" s="62">
        <f t="shared" si="183"/>
        <v>40584.541666666664</v>
      </c>
      <c r="S914" t="str">
        <f t="shared" si="184"/>
        <v>Feb</v>
      </c>
      <c r="T914" t="str">
        <f>INDEX(Lookups!$B$39:$B$45,MATCH(H914,Lookups!$A$39:$A$45,0))</f>
        <v>Thu</v>
      </c>
      <c r="U914" t="str">
        <f t="shared" si="185"/>
        <v>Weekday</v>
      </c>
      <c r="V914" t="str">
        <f t="shared" si="186"/>
        <v>Working Day</v>
      </c>
      <c r="W914" t="str">
        <f t="shared" si="187"/>
        <v>Spring</v>
      </c>
      <c r="X914" t="str">
        <f t="shared" si="188"/>
        <v>Clear</v>
      </c>
      <c r="Y914" t="str">
        <f t="shared" si="189"/>
        <v>Afternoon</v>
      </c>
      <c r="Z914" t="str">
        <f t="shared" si="190"/>
        <v>Cold</v>
      </c>
      <c r="AA914" t="str">
        <f t="shared" si="191"/>
        <v>Low</v>
      </c>
      <c r="AB914" t="str">
        <f t="shared" si="192"/>
        <v>Off-Peak</v>
      </c>
      <c r="AC914" s="63">
        <f t="shared" si="193"/>
        <v>4.8387096774193547E-2</v>
      </c>
      <c r="AD914" t="str">
        <f>IF(P914&gt;=Stats!$C$30,"High",IF(P914&lt;=Stats!$C$29,"Low","Normal"))</f>
        <v>Normal</v>
      </c>
      <c r="AE914">
        <f t="shared" si="194"/>
        <v>1</v>
      </c>
    </row>
    <row r="915" spans="1:31" x14ac:dyDescent="0.2">
      <c r="A915">
        <f>Dataset_3!A305</f>
        <v>914</v>
      </c>
      <c r="B915" s="61">
        <f>Dataset_3!B305</f>
        <v>40584</v>
      </c>
      <c r="C915">
        <f>Dataset_3!C305</f>
        <v>1</v>
      </c>
      <c r="D915">
        <f>Dataset_3!D305</f>
        <v>0</v>
      </c>
      <c r="E915">
        <f>Dataset_3!E305</f>
        <v>2</v>
      </c>
      <c r="F915">
        <f>Dataset_3!F305</f>
        <v>14</v>
      </c>
      <c r="G915" t="b">
        <f>Dataset_3!G305</f>
        <v>0</v>
      </c>
      <c r="H915">
        <f>Dataset_3!H305</f>
        <v>4</v>
      </c>
      <c r="I915">
        <f>Dataset_3!I305</f>
        <v>1</v>
      </c>
      <c r="J915" s="55">
        <f>Dataset_3!J305</f>
        <v>0.2</v>
      </c>
      <c r="K915">
        <f>Dataset_3!K305</f>
        <v>0.18179999999999999</v>
      </c>
      <c r="L915">
        <f>Dataset_3!L305</f>
        <v>0.27</v>
      </c>
      <c r="M915">
        <f>Dataset_3!M305</f>
        <v>0.28360000000000002</v>
      </c>
      <c r="N915">
        <f>Dataset_3!N305</f>
        <v>6</v>
      </c>
      <c r="O915">
        <f>Dataset_3!O305</f>
        <v>42</v>
      </c>
      <c r="P915">
        <f>Dataset_3!P305</f>
        <v>48</v>
      </c>
      <c r="Q915" t="str">
        <f t="shared" si="182"/>
        <v>REC-0914</v>
      </c>
      <c r="R915" s="62">
        <f t="shared" si="183"/>
        <v>40584.583333333336</v>
      </c>
      <c r="S915" t="str">
        <f t="shared" si="184"/>
        <v>Feb</v>
      </c>
      <c r="T915" t="str">
        <f>INDEX(Lookups!$B$39:$B$45,MATCH(H915,Lookups!$A$39:$A$45,0))</f>
        <v>Thu</v>
      </c>
      <c r="U915" t="str">
        <f t="shared" si="185"/>
        <v>Weekday</v>
      </c>
      <c r="V915" t="str">
        <f t="shared" si="186"/>
        <v>Working Day</v>
      </c>
      <c r="W915" t="str">
        <f t="shared" si="187"/>
        <v>Spring</v>
      </c>
      <c r="X915" t="str">
        <f t="shared" si="188"/>
        <v>Clear</v>
      </c>
      <c r="Y915" t="str">
        <f t="shared" si="189"/>
        <v>Afternoon</v>
      </c>
      <c r="Z915" t="str">
        <f t="shared" si="190"/>
        <v>Mild</v>
      </c>
      <c r="AA915" t="str">
        <f t="shared" si="191"/>
        <v>Low</v>
      </c>
      <c r="AB915" t="str">
        <f t="shared" si="192"/>
        <v>Off-Peak</v>
      </c>
      <c r="AC915" s="63">
        <f t="shared" si="193"/>
        <v>0.125</v>
      </c>
      <c r="AD915" t="str">
        <f>IF(P915&gt;=Stats!$C$30,"High",IF(P915&lt;=Stats!$C$29,"Low","Normal"))</f>
        <v>Normal</v>
      </c>
      <c r="AE915">
        <f t="shared" si="194"/>
        <v>1</v>
      </c>
    </row>
    <row r="916" spans="1:31" x14ac:dyDescent="0.2">
      <c r="A916">
        <f>Dataset_3!A306</f>
        <v>915</v>
      </c>
      <c r="B916" s="61">
        <f>Dataset_3!B306</f>
        <v>40584</v>
      </c>
      <c r="C916">
        <f>Dataset_3!C306</f>
        <v>1</v>
      </c>
      <c r="D916">
        <f>Dataset_3!D306</f>
        <v>0</v>
      </c>
      <c r="E916">
        <f>Dataset_3!E306</f>
        <v>2</v>
      </c>
      <c r="F916">
        <f>Dataset_3!F306</f>
        <v>15</v>
      </c>
      <c r="G916" t="b">
        <f>Dataset_3!G306</f>
        <v>0</v>
      </c>
      <c r="H916">
        <f>Dataset_3!H306</f>
        <v>4</v>
      </c>
      <c r="I916">
        <f>Dataset_3!I306</f>
        <v>1</v>
      </c>
      <c r="J916" s="55">
        <f>Dataset_3!J306</f>
        <v>0.2</v>
      </c>
      <c r="K916">
        <f>Dataset_3!K306</f>
        <v>0.19700000000000001</v>
      </c>
      <c r="L916">
        <f>Dataset_3!L306</f>
        <v>0.25</v>
      </c>
      <c r="M916">
        <f>Dataset_3!M306</f>
        <v>0.25369999999999998</v>
      </c>
      <c r="N916">
        <f>Dataset_3!N306</f>
        <v>0</v>
      </c>
      <c r="O916">
        <f>Dataset_3!O306</f>
        <v>50</v>
      </c>
      <c r="P916">
        <f>Dataset_3!P306</f>
        <v>50</v>
      </c>
      <c r="Q916" t="str">
        <f t="shared" si="182"/>
        <v>REC-0915</v>
      </c>
      <c r="R916" s="62">
        <f t="shared" si="183"/>
        <v>40584.625</v>
      </c>
      <c r="S916" t="str">
        <f t="shared" si="184"/>
        <v>Feb</v>
      </c>
      <c r="T916" t="str">
        <f>INDEX(Lookups!$B$39:$B$45,MATCH(H916,Lookups!$A$39:$A$45,0))</f>
        <v>Thu</v>
      </c>
      <c r="U916" t="str">
        <f t="shared" si="185"/>
        <v>Weekday</v>
      </c>
      <c r="V916" t="str">
        <f t="shared" si="186"/>
        <v>Working Day</v>
      </c>
      <c r="W916" t="str">
        <f t="shared" si="187"/>
        <v>Spring</v>
      </c>
      <c r="X916" t="str">
        <f t="shared" si="188"/>
        <v>Clear</v>
      </c>
      <c r="Y916" t="str">
        <f t="shared" si="189"/>
        <v>Afternoon</v>
      </c>
      <c r="Z916" t="str">
        <f t="shared" si="190"/>
        <v>Mild</v>
      </c>
      <c r="AA916" t="str">
        <f t="shared" si="191"/>
        <v>Low</v>
      </c>
      <c r="AB916" t="str">
        <f t="shared" si="192"/>
        <v>Off-Peak</v>
      </c>
      <c r="AC916" s="63">
        <f t="shared" si="193"/>
        <v>0</v>
      </c>
      <c r="AD916" t="str">
        <f>IF(P916&gt;=Stats!$C$30,"High",IF(P916&lt;=Stats!$C$29,"Low","Normal"))</f>
        <v>Normal</v>
      </c>
      <c r="AE916">
        <f t="shared" si="194"/>
        <v>1</v>
      </c>
    </row>
    <row r="917" spans="1:31" x14ac:dyDescent="0.2">
      <c r="A917">
        <f>Dataset_3!A307</f>
        <v>916</v>
      </c>
      <c r="B917" s="61">
        <f>Dataset_3!B307</f>
        <v>40584</v>
      </c>
      <c r="C917">
        <f>Dataset_3!C307</f>
        <v>1</v>
      </c>
      <c r="D917">
        <f>Dataset_3!D307</f>
        <v>0</v>
      </c>
      <c r="E917">
        <f>Dataset_3!E307</f>
        <v>2</v>
      </c>
      <c r="F917">
        <f>Dataset_3!F307</f>
        <v>16</v>
      </c>
      <c r="G917" t="b">
        <f>Dataset_3!G307</f>
        <v>0</v>
      </c>
      <c r="H917">
        <f>Dataset_3!H307</f>
        <v>4</v>
      </c>
      <c r="I917">
        <f>Dataset_3!I307</f>
        <v>1</v>
      </c>
      <c r="J917" s="55">
        <f>Dataset_3!J307</f>
        <v>0.2</v>
      </c>
      <c r="K917">
        <f>Dataset_3!K307</f>
        <v>0.18179999999999999</v>
      </c>
      <c r="L917">
        <f>Dataset_3!L307</f>
        <v>0.27</v>
      </c>
      <c r="M917">
        <f>Dataset_3!M307</f>
        <v>0.29849999999999999</v>
      </c>
      <c r="N917">
        <f>Dataset_3!N307</f>
        <v>4</v>
      </c>
      <c r="O917">
        <f>Dataset_3!O307</f>
        <v>76</v>
      </c>
      <c r="P917">
        <f>Dataset_3!P307</f>
        <v>80</v>
      </c>
      <c r="Q917" t="str">
        <f t="shared" si="182"/>
        <v>REC-0916</v>
      </c>
      <c r="R917" s="62">
        <f t="shared" si="183"/>
        <v>40584.666666666664</v>
      </c>
      <c r="S917" t="str">
        <f t="shared" si="184"/>
        <v>Feb</v>
      </c>
      <c r="T917" t="str">
        <f>INDEX(Lookups!$B$39:$B$45,MATCH(H917,Lookups!$A$39:$A$45,0))</f>
        <v>Thu</v>
      </c>
      <c r="U917" t="str">
        <f t="shared" si="185"/>
        <v>Weekday</v>
      </c>
      <c r="V917" t="str">
        <f t="shared" si="186"/>
        <v>Working Day</v>
      </c>
      <c r="W917" t="str">
        <f t="shared" si="187"/>
        <v>Spring</v>
      </c>
      <c r="X917" t="str">
        <f t="shared" si="188"/>
        <v>Clear</v>
      </c>
      <c r="Y917" t="str">
        <f t="shared" si="189"/>
        <v>Afternoon</v>
      </c>
      <c r="Z917" t="str">
        <f t="shared" si="190"/>
        <v>Mild</v>
      </c>
      <c r="AA917" t="str">
        <f t="shared" si="191"/>
        <v>Low</v>
      </c>
      <c r="AB917" t="str">
        <f t="shared" si="192"/>
        <v>Peak</v>
      </c>
      <c r="AC917" s="63">
        <f t="shared" si="193"/>
        <v>0.05</v>
      </c>
      <c r="AD917" t="str">
        <f>IF(P917&gt;=Stats!$C$30,"High",IF(P917&lt;=Stats!$C$29,"Low","Normal"))</f>
        <v>Normal</v>
      </c>
      <c r="AE917">
        <f t="shared" si="194"/>
        <v>1</v>
      </c>
    </row>
    <row r="918" spans="1:31" x14ac:dyDescent="0.2">
      <c r="A918">
        <f>Dataset_3!A308</f>
        <v>917</v>
      </c>
      <c r="B918" s="61">
        <f>Dataset_3!B308</f>
        <v>40584</v>
      </c>
      <c r="C918">
        <f>Dataset_3!C308</f>
        <v>1</v>
      </c>
      <c r="D918">
        <f>Dataset_3!D308</f>
        <v>0</v>
      </c>
      <c r="E918">
        <f>Dataset_3!E308</f>
        <v>2</v>
      </c>
      <c r="F918">
        <f>Dataset_3!F308</f>
        <v>17</v>
      </c>
      <c r="G918" t="b">
        <f>Dataset_3!G308</f>
        <v>0</v>
      </c>
      <c r="H918">
        <f>Dataset_3!H308</f>
        <v>4</v>
      </c>
      <c r="I918">
        <f>Dataset_3!I308</f>
        <v>1</v>
      </c>
      <c r="J918" s="55">
        <f>Dataset_3!J308</f>
        <v>0.18</v>
      </c>
      <c r="K918">
        <f>Dataset_3!K308</f>
        <v>0.18179999999999999</v>
      </c>
      <c r="L918">
        <f>Dataset_3!L308</f>
        <v>0.26</v>
      </c>
      <c r="M918">
        <f>Dataset_3!M308</f>
        <v>0.19400000000000001</v>
      </c>
      <c r="N918">
        <f>Dataset_3!N308</f>
        <v>6</v>
      </c>
      <c r="O918">
        <f>Dataset_3!O308</f>
        <v>159</v>
      </c>
      <c r="P918">
        <f>Dataset_3!P308</f>
        <v>165</v>
      </c>
      <c r="Q918" t="str">
        <f t="shared" si="182"/>
        <v>REC-0917</v>
      </c>
      <c r="R918" s="62">
        <f t="shared" si="183"/>
        <v>40584.708333333336</v>
      </c>
      <c r="S918" t="str">
        <f t="shared" si="184"/>
        <v>Feb</v>
      </c>
      <c r="T918" t="str">
        <f>INDEX(Lookups!$B$39:$B$45,MATCH(H918,Lookups!$A$39:$A$45,0))</f>
        <v>Thu</v>
      </c>
      <c r="U918" t="str">
        <f t="shared" si="185"/>
        <v>Weekday</v>
      </c>
      <c r="V918" t="str">
        <f t="shared" si="186"/>
        <v>Working Day</v>
      </c>
      <c r="W918" t="str">
        <f t="shared" si="187"/>
        <v>Spring</v>
      </c>
      <c r="X918" t="str">
        <f t="shared" si="188"/>
        <v>Clear</v>
      </c>
      <c r="Y918" t="str">
        <f t="shared" si="189"/>
        <v>Evening</v>
      </c>
      <c r="Z918" t="str">
        <f t="shared" si="190"/>
        <v>Cold</v>
      </c>
      <c r="AA918" t="str">
        <f t="shared" si="191"/>
        <v>Low</v>
      </c>
      <c r="AB918" t="str">
        <f t="shared" si="192"/>
        <v>Peak</v>
      </c>
      <c r="AC918" s="63">
        <f t="shared" si="193"/>
        <v>3.6363636363636362E-2</v>
      </c>
      <c r="AD918" t="str">
        <f>IF(P918&gt;=Stats!$C$30,"High",IF(P918&lt;=Stats!$C$29,"Low","Normal"))</f>
        <v>High</v>
      </c>
      <c r="AE918">
        <f t="shared" si="194"/>
        <v>1</v>
      </c>
    </row>
    <row r="919" spans="1:31" x14ac:dyDescent="0.2">
      <c r="A919">
        <f>Dataset_3!A309</f>
        <v>918</v>
      </c>
      <c r="B919" s="61">
        <f>Dataset_3!B309</f>
        <v>40584</v>
      </c>
      <c r="C919">
        <f>Dataset_3!C309</f>
        <v>1</v>
      </c>
      <c r="D919">
        <f>Dataset_3!D309</f>
        <v>0</v>
      </c>
      <c r="E919">
        <f>Dataset_3!E309</f>
        <v>2</v>
      </c>
      <c r="F919">
        <f>Dataset_3!F309</f>
        <v>18</v>
      </c>
      <c r="G919" t="b">
        <f>Dataset_3!G309</f>
        <v>0</v>
      </c>
      <c r="H919">
        <f>Dataset_3!H309</f>
        <v>4</v>
      </c>
      <c r="I919">
        <f>Dataset_3!I309</f>
        <v>1</v>
      </c>
      <c r="J919" s="55">
        <f>Dataset_3!J309</f>
        <v>0.16</v>
      </c>
      <c r="K919">
        <f>Dataset_3!K309</f>
        <v>0.18179999999999999</v>
      </c>
      <c r="L919">
        <f>Dataset_3!L309</f>
        <v>0.28000000000000003</v>
      </c>
      <c r="M919">
        <f>Dataset_3!M309</f>
        <v>0.1343</v>
      </c>
      <c r="N919">
        <f>Dataset_3!N309</f>
        <v>3</v>
      </c>
      <c r="O919">
        <f>Dataset_3!O309</f>
        <v>157</v>
      </c>
      <c r="P919">
        <f>Dataset_3!P309</f>
        <v>160</v>
      </c>
      <c r="Q919" t="str">
        <f t="shared" si="182"/>
        <v>REC-0918</v>
      </c>
      <c r="R919" s="62">
        <f t="shared" si="183"/>
        <v>40584.75</v>
      </c>
      <c r="S919" t="str">
        <f t="shared" si="184"/>
        <v>Feb</v>
      </c>
      <c r="T919" t="str">
        <f>INDEX(Lookups!$B$39:$B$45,MATCH(H919,Lookups!$A$39:$A$45,0))</f>
        <v>Thu</v>
      </c>
      <c r="U919" t="str">
        <f t="shared" si="185"/>
        <v>Weekday</v>
      </c>
      <c r="V919" t="str">
        <f t="shared" si="186"/>
        <v>Working Day</v>
      </c>
      <c r="W919" t="str">
        <f t="shared" si="187"/>
        <v>Spring</v>
      </c>
      <c r="X919" t="str">
        <f t="shared" si="188"/>
        <v>Clear</v>
      </c>
      <c r="Y919" t="str">
        <f t="shared" si="189"/>
        <v>Evening</v>
      </c>
      <c r="Z919" t="str">
        <f t="shared" si="190"/>
        <v>Cold</v>
      </c>
      <c r="AA919" t="str">
        <f t="shared" si="191"/>
        <v>Low</v>
      </c>
      <c r="AB919" t="str">
        <f t="shared" si="192"/>
        <v>Peak</v>
      </c>
      <c r="AC919" s="63">
        <f t="shared" si="193"/>
        <v>1.8749999999999999E-2</v>
      </c>
      <c r="AD919" t="str">
        <f>IF(P919&gt;=Stats!$C$30,"High",IF(P919&lt;=Stats!$C$29,"Low","Normal"))</f>
        <v>High</v>
      </c>
      <c r="AE919">
        <f t="shared" si="194"/>
        <v>1</v>
      </c>
    </row>
    <row r="920" spans="1:31" x14ac:dyDescent="0.2">
      <c r="A920">
        <f>Dataset_3!A310</f>
        <v>919</v>
      </c>
      <c r="B920" s="61">
        <f>Dataset_3!B310</f>
        <v>40584</v>
      </c>
      <c r="C920">
        <f>Dataset_3!C310</f>
        <v>1</v>
      </c>
      <c r="D920">
        <f>Dataset_3!D310</f>
        <v>0</v>
      </c>
      <c r="E920">
        <f>Dataset_3!E310</f>
        <v>2</v>
      </c>
      <c r="F920">
        <f>Dataset_3!F310</f>
        <v>19</v>
      </c>
      <c r="G920" t="b">
        <f>Dataset_3!G310</f>
        <v>0</v>
      </c>
      <c r="H920">
        <f>Dataset_3!H310</f>
        <v>4</v>
      </c>
      <c r="I920">
        <f>Dataset_3!I310</f>
        <v>1</v>
      </c>
      <c r="J920" s="55">
        <f>Dataset_3!J310</f>
        <v>0.14000000000000001</v>
      </c>
      <c r="K920">
        <f>Dataset_3!K310</f>
        <v>0.16669999999999999</v>
      </c>
      <c r="L920">
        <f>Dataset_3!L310</f>
        <v>0.28000000000000003</v>
      </c>
      <c r="M920">
        <f>Dataset_3!M310</f>
        <v>0.1045</v>
      </c>
      <c r="N920">
        <f>Dataset_3!N310</f>
        <v>2</v>
      </c>
      <c r="O920">
        <f>Dataset_3!O310</f>
        <v>110</v>
      </c>
      <c r="P920">
        <f>Dataset_3!P310</f>
        <v>112</v>
      </c>
      <c r="Q920" t="str">
        <f t="shared" si="182"/>
        <v>REC-0919</v>
      </c>
      <c r="R920" s="62">
        <f t="shared" si="183"/>
        <v>40584.791666666664</v>
      </c>
      <c r="S920" t="str">
        <f t="shared" si="184"/>
        <v>Feb</v>
      </c>
      <c r="T920" t="str">
        <f>INDEX(Lookups!$B$39:$B$45,MATCH(H920,Lookups!$A$39:$A$45,0))</f>
        <v>Thu</v>
      </c>
      <c r="U920" t="str">
        <f t="shared" si="185"/>
        <v>Weekday</v>
      </c>
      <c r="V920" t="str">
        <f t="shared" si="186"/>
        <v>Working Day</v>
      </c>
      <c r="W920" t="str">
        <f t="shared" si="187"/>
        <v>Spring</v>
      </c>
      <c r="X920" t="str">
        <f t="shared" si="188"/>
        <v>Clear</v>
      </c>
      <c r="Y920" t="str">
        <f t="shared" si="189"/>
        <v>Evening</v>
      </c>
      <c r="Z920" t="str">
        <f t="shared" si="190"/>
        <v>Cold</v>
      </c>
      <c r="AA920" t="str">
        <f t="shared" si="191"/>
        <v>Low</v>
      </c>
      <c r="AB920" t="str">
        <f t="shared" si="192"/>
        <v>Peak</v>
      </c>
      <c r="AC920" s="63">
        <f t="shared" si="193"/>
        <v>1.7857142857142856E-2</v>
      </c>
      <c r="AD920" t="str">
        <f>IF(P920&gt;=Stats!$C$30,"High",IF(P920&lt;=Stats!$C$29,"Low","Normal"))</f>
        <v>High</v>
      </c>
      <c r="AE920">
        <f t="shared" si="194"/>
        <v>1</v>
      </c>
    </row>
    <row r="921" spans="1:31" x14ac:dyDescent="0.2">
      <c r="A921">
        <f>Dataset_3!A311</f>
        <v>920</v>
      </c>
      <c r="B921" s="61">
        <f>Dataset_3!B311</f>
        <v>40584</v>
      </c>
      <c r="C921">
        <f>Dataset_3!C311</f>
        <v>1</v>
      </c>
      <c r="D921">
        <f>Dataset_3!D311</f>
        <v>0</v>
      </c>
      <c r="E921">
        <f>Dataset_3!E311</f>
        <v>2</v>
      </c>
      <c r="F921">
        <f>Dataset_3!F311</f>
        <v>20</v>
      </c>
      <c r="G921" t="b">
        <f>Dataset_3!G311</f>
        <v>0</v>
      </c>
      <c r="H921">
        <f>Dataset_3!H311</f>
        <v>4</v>
      </c>
      <c r="I921">
        <f>Dataset_3!I311</f>
        <v>1</v>
      </c>
      <c r="J921" s="55">
        <f>Dataset_3!J311</f>
        <v>0.14000000000000001</v>
      </c>
      <c r="K921">
        <f>Dataset_3!K311</f>
        <v>0.18179999999999999</v>
      </c>
      <c r="L921">
        <f>Dataset_3!L311</f>
        <v>0.31</v>
      </c>
      <c r="M921">
        <f>Dataset_3!M311</f>
        <v>8.9599999999999999E-2</v>
      </c>
      <c r="N921">
        <f>Dataset_3!N311</f>
        <v>4</v>
      </c>
      <c r="O921">
        <f>Dataset_3!O311</f>
        <v>93</v>
      </c>
      <c r="P921">
        <f>Dataset_3!P311</f>
        <v>97</v>
      </c>
      <c r="Q921" t="str">
        <f t="shared" si="182"/>
        <v>REC-0920</v>
      </c>
      <c r="R921" s="62">
        <f t="shared" si="183"/>
        <v>40584.833333333336</v>
      </c>
      <c r="S921" t="str">
        <f t="shared" si="184"/>
        <v>Feb</v>
      </c>
      <c r="T921" t="str">
        <f>INDEX(Lookups!$B$39:$B$45,MATCH(H921,Lookups!$A$39:$A$45,0))</f>
        <v>Thu</v>
      </c>
      <c r="U921" t="str">
        <f t="shared" si="185"/>
        <v>Weekday</v>
      </c>
      <c r="V921" t="str">
        <f t="shared" si="186"/>
        <v>Working Day</v>
      </c>
      <c r="W921" t="str">
        <f t="shared" si="187"/>
        <v>Spring</v>
      </c>
      <c r="X921" t="str">
        <f t="shared" si="188"/>
        <v>Clear</v>
      </c>
      <c r="Y921" t="str">
        <f t="shared" si="189"/>
        <v>Evening</v>
      </c>
      <c r="Z921" t="str">
        <f t="shared" si="190"/>
        <v>Cold</v>
      </c>
      <c r="AA921" t="str">
        <f t="shared" si="191"/>
        <v>Low</v>
      </c>
      <c r="AB921" t="str">
        <f t="shared" si="192"/>
        <v>Off-Peak</v>
      </c>
      <c r="AC921" s="63">
        <f t="shared" si="193"/>
        <v>4.1237113402061855E-2</v>
      </c>
      <c r="AD921" t="str">
        <f>IF(P921&gt;=Stats!$C$30,"High",IF(P921&lt;=Stats!$C$29,"Low","Normal"))</f>
        <v>High</v>
      </c>
      <c r="AE921">
        <f t="shared" si="194"/>
        <v>1</v>
      </c>
    </row>
    <row r="922" spans="1:31" x14ac:dyDescent="0.2">
      <c r="A922">
        <f>Dataset_3!A312</f>
        <v>921</v>
      </c>
      <c r="B922" s="61">
        <f>Dataset_3!B312</f>
        <v>40584</v>
      </c>
      <c r="C922">
        <f>Dataset_3!C312</f>
        <v>1</v>
      </c>
      <c r="D922">
        <f>Dataset_3!D312</f>
        <v>0</v>
      </c>
      <c r="E922">
        <f>Dataset_3!E312</f>
        <v>2</v>
      </c>
      <c r="F922">
        <f>Dataset_3!F312</f>
        <v>21</v>
      </c>
      <c r="G922" t="b">
        <f>Dataset_3!G312</f>
        <v>0</v>
      </c>
      <c r="H922">
        <f>Dataset_3!H312</f>
        <v>4</v>
      </c>
      <c r="I922">
        <f>Dataset_3!I312</f>
        <v>1</v>
      </c>
      <c r="J922" s="55">
        <f>Dataset_3!J312</f>
        <v>0.14000000000000001</v>
      </c>
      <c r="K922">
        <f>Dataset_3!K312</f>
        <v>0.21210000000000001</v>
      </c>
      <c r="L922">
        <f>Dataset_3!L312</f>
        <v>0.39</v>
      </c>
      <c r="M922">
        <f>Dataset_3!M312</f>
        <v>0</v>
      </c>
      <c r="N922">
        <f>Dataset_3!N312</f>
        <v>2</v>
      </c>
      <c r="O922">
        <f>Dataset_3!O312</f>
        <v>70</v>
      </c>
      <c r="P922">
        <f>Dataset_3!P312</f>
        <v>72</v>
      </c>
      <c r="Q922" t="str">
        <f t="shared" si="182"/>
        <v>REC-0921</v>
      </c>
      <c r="R922" s="62">
        <f t="shared" si="183"/>
        <v>40584.875</v>
      </c>
      <c r="S922" t="str">
        <f t="shared" si="184"/>
        <v>Feb</v>
      </c>
      <c r="T922" t="str">
        <f>INDEX(Lookups!$B$39:$B$45,MATCH(H922,Lookups!$A$39:$A$45,0))</f>
        <v>Thu</v>
      </c>
      <c r="U922" t="str">
        <f t="shared" si="185"/>
        <v>Weekday</v>
      </c>
      <c r="V922" t="str">
        <f t="shared" si="186"/>
        <v>Working Day</v>
      </c>
      <c r="W922" t="str">
        <f t="shared" si="187"/>
        <v>Spring</v>
      </c>
      <c r="X922" t="str">
        <f t="shared" si="188"/>
        <v>Clear</v>
      </c>
      <c r="Y922" t="str">
        <f t="shared" si="189"/>
        <v>Late Evening</v>
      </c>
      <c r="Z922" t="str">
        <f t="shared" si="190"/>
        <v>Cold</v>
      </c>
      <c r="AA922" t="str">
        <f t="shared" si="191"/>
        <v>Low</v>
      </c>
      <c r="AB922" t="str">
        <f t="shared" si="192"/>
        <v>Off-Peak</v>
      </c>
      <c r="AC922" s="63">
        <f t="shared" si="193"/>
        <v>2.7777777777777776E-2</v>
      </c>
      <c r="AD922" t="str">
        <f>IF(P922&gt;=Stats!$C$30,"High",IF(P922&lt;=Stats!$C$29,"Low","Normal"))</f>
        <v>Normal</v>
      </c>
      <c r="AE922">
        <f t="shared" si="194"/>
        <v>1</v>
      </c>
    </row>
    <row r="923" spans="1:31" x14ac:dyDescent="0.2">
      <c r="A923">
        <f>Dataset_3!A313</f>
        <v>922</v>
      </c>
      <c r="B923" s="61">
        <f>Dataset_3!B313</f>
        <v>40584</v>
      </c>
      <c r="C923">
        <f>Dataset_3!C313</f>
        <v>1</v>
      </c>
      <c r="D923">
        <f>Dataset_3!D313</f>
        <v>0</v>
      </c>
      <c r="E923">
        <f>Dataset_3!E313</f>
        <v>2</v>
      </c>
      <c r="F923">
        <f>Dataset_3!F313</f>
        <v>22</v>
      </c>
      <c r="G923" t="b">
        <f>Dataset_3!G313</f>
        <v>0</v>
      </c>
      <c r="H923">
        <f>Dataset_3!H313</f>
        <v>4</v>
      </c>
      <c r="I923">
        <f>Dataset_3!I313</f>
        <v>1</v>
      </c>
      <c r="J923" s="55">
        <f>Dataset_3!J313</f>
        <v>0.12</v>
      </c>
      <c r="K923">
        <f>Dataset_3!K313</f>
        <v>0.19700000000000001</v>
      </c>
      <c r="L923">
        <f>Dataset_3!L313</f>
        <v>0.39</v>
      </c>
      <c r="M923">
        <f>Dataset_3!M313</f>
        <v>0</v>
      </c>
      <c r="N923">
        <f>Dataset_3!N313</f>
        <v>4</v>
      </c>
      <c r="O923">
        <f>Dataset_3!O313</f>
        <v>47</v>
      </c>
      <c r="P923">
        <f>Dataset_3!P313</f>
        <v>51</v>
      </c>
      <c r="Q923" t="str">
        <f t="shared" si="182"/>
        <v>REC-0922</v>
      </c>
      <c r="R923" s="62">
        <f t="shared" si="183"/>
        <v>40584.916666666664</v>
      </c>
      <c r="S923" t="str">
        <f t="shared" si="184"/>
        <v>Feb</v>
      </c>
      <c r="T923" t="str">
        <f>INDEX(Lookups!$B$39:$B$45,MATCH(H923,Lookups!$A$39:$A$45,0))</f>
        <v>Thu</v>
      </c>
      <c r="U923" t="str">
        <f t="shared" si="185"/>
        <v>Weekday</v>
      </c>
      <c r="V923" t="str">
        <f t="shared" si="186"/>
        <v>Working Day</v>
      </c>
      <c r="W923" t="str">
        <f t="shared" si="187"/>
        <v>Spring</v>
      </c>
      <c r="X923" t="str">
        <f t="shared" si="188"/>
        <v>Clear</v>
      </c>
      <c r="Y923" t="str">
        <f t="shared" si="189"/>
        <v>Late Evening</v>
      </c>
      <c r="Z923" t="str">
        <f t="shared" si="190"/>
        <v>Cold</v>
      </c>
      <c r="AA923" t="str">
        <f t="shared" si="191"/>
        <v>Low</v>
      </c>
      <c r="AB923" t="str">
        <f t="shared" si="192"/>
        <v>Off-Peak</v>
      </c>
      <c r="AC923" s="63">
        <f t="shared" si="193"/>
        <v>7.8431372549019607E-2</v>
      </c>
      <c r="AD923" t="str">
        <f>IF(P923&gt;=Stats!$C$30,"High",IF(P923&lt;=Stats!$C$29,"Low","Normal"))</f>
        <v>Normal</v>
      </c>
      <c r="AE923">
        <f t="shared" si="194"/>
        <v>1</v>
      </c>
    </row>
    <row r="924" spans="1:31" x14ac:dyDescent="0.2">
      <c r="A924">
        <f>Dataset_3!A314</f>
        <v>923</v>
      </c>
      <c r="B924" s="61">
        <f>Dataset_3!B314</f>
        <v>40584</v>
      </c>
      <c r="C924">
        <f>Dataset_3!C314</f>
        <v>1</v>
      </c>
      <c r="D924">
        <f>Dataset_3!D314</f>
        <v>0</v>
      </c>
      <c r="E924">
        <f>Dataset_3!E314</f>
        <v>2</v>
      </c>
      <c r="F924">
        <f>Dataset_3!F314</f>
        <v>23</v>
      </c>
      <c r="G924" t="b">
        <f>Dataset_3!G314</f>
        <v>0</v>
      </c>
      <c r="H924">
        <f>Dataset_3!H314</f>
        <v>4</v>
      </c>
      <c r="I924">
        <f>Dataset_3!I314</f>
        <v>1</v>
      </c>
      <c r="J924" s="55">
        <f>Dataset_3!J314</f>
        <v>0.12</v>
      </c>
      <c r="K924">
        <f>Dataset_3!K314</f>
        <v>0.1515</v>
      </c>
      <c r="L924">
        <f>Dataset_3!L314</f>
        <v>0.42</v>
      </c>
      <c r="M924">
        <f>Dataset_3!M314</f>
        <v>0.1045</v>
      </c>
      <c r="N924">
        <f>Dataset_3!N314</f>
        <v>1</v>
      </c>
      <c r="O924">
        <f>Dataset_3!O314</f>
        <v>33</v>
      </c>
      <c r="P924">
        <f>Dataset_3!P314</f>
        <v>34</v>
      </c>
      <c r="Q924" t="str">
        <f t="shared" si="182"/>
        <v>REC-0923</v>
      </c>
      <c r="R924" s="62">
        <f t="shared" si="183"/>
        <v>40584.958333333336</v>
      </c>
      <c r="S924" t="str">
        <f t="shared" si="184"/>
        <v>Feb</v>
      </c>
      <c r="T924" t="str">
        <f>INDEX(Lookups!$B$39:$B$45,MATCH(H924,Lookups!$A$39:$A$45,0))</f>
        <v>Thu</v>
      </c>
      <c r="U924" t="str">
        <f t="shared" si="185"/>
        <v>Weekday</v>
      </c>
      <c r="V924" t="str">
        <f t="shared" si="186"/>
        <v>Working Day</v>
      </c>
      <c r="W924" t="str">
        <f t="shared" si="187"/>
        <v>Spring</v>
      </c>
      <c r="X924" t="str">
        <f t="shared" si="188"/>
        <v>Clear</v>
      </c>
      <c r="Y924" t="str">
        <f t="shared" si="189"/>
        <v>Late Evening</v>
      </c>
      <c r="Z924" t="str">
        <f t="shared" si="190"/>
        <v>Cold</v>
      </c>
      <c r="AA924" t="str">
        <f t="shared" si="191"/>
        <v>Low</v>
      </c>
      <c r="AB924" t="str">
        <f t="shared" si="192"/>
        <v>Off-Peak</v>
      </c>
      <c r="AC924" s="63">
        <f t="shared" si="193"/>
        <v>2.9411764705882353E-2</v>
      </c>
      <c r="AD924" t="str">
        <f>IF(P924&gt;=Stats!$C$30,"High",IF(P924&lt;=Stats!$C$29,"Low","Normal"))</f>
        <v>Normal</v>
      </c>
      <c r="AE924">
        <f t="shared" si="194"/>
        <v>1</v>
      </c>
    </row>
    <row r="925" spans="1:31" x14ac:dyDescent="0.2">
      <c r="A925">
        <f>Dataset_3!A315</f>
        <v>924</v>
      </c>
      <c r="B925" s="61">
        <f>Dataset_3!B315</f>
        <v>40585</v>
      </c>
      <c r="C925">
        <f>Dataset_3!C315</f>
        <v>1</v>
      </c>
      <c r="D925">
        <f>Dataset_3!D315</f>
        <v>0</v>
      </c>
      <c r="E925">
        <f>Dataset_3!E315</f>
        <v>2</v>
      </c>
      <c r="F925">
        <f>Dataset_3!F315</f>
        <v>0</v>
      </c>
      <c r="G925" t="b">
        <f>Dataset_3!G315</f>
        <v>0</v>
      </c>
      <c r="H925">
        <f>Dataset_3!H315</f>
        <v>5</v>
      </c>
      <c r="I925">
        <f>Dataset_3!I315</f>
        <v>1</v>
      </c>
      <c r="J925" s="55">
        <f>Dataset_3!J315</f>
        <v>0.1</v>
      </c>
      <c r="K925">
        <f>Dataset_3!K315</f>
        <v>0.13639999999999999</v>
      </c>
      <c r="L925">
        <f>Dataset_3!L315</f>
        <v>0.49</v>
      </c>
      <c r="M925">
        <f>Dataset_3!M315</f>
        <v>0.1045</v>
      </c>
      <c r="N925">
        <f>Dataset_3!N315</f>
        <v>2</v>
      </c>
      <c r="O925">
        <f>Dataset_3!O315</f>
        <v>12</v>
      </c>
      <c r="P925">
        <f>Dataset_3!P315</f>
        <v>14</v>
      </c>
      <c r="Q925" t="str">
        <f t="shared" si="182"/>
        <v>REC-0924</v>
      </c>
      <c r="R925" s="62">
        <f t="shared" si="183"/>
        <v>40585</v>
      </c>
      <c r="S925" t="str">
        <f t="shared" si="184"/>
        <v>Feb</v>
      </c>
      <c r="T925" t="str">
        <f>INDEX(Lookups!$B$39:$B$45,MATCH(H925,Lookups!$A$39:$A$45,0))</f>
        <v>Fri</v>
      </c>
      <c r="U925" t="str">
        <f t="shared" si="185"/>
        <v>Weekday</v>
      </c>
      <c r="V925" t="str">
        <f t="shared" si="186"/>
        <v>Working Day</v>
      </c>
      <c r="W925" t="str">
        <f t="shared" si="187"/>
        <v>Spring</v>
      </c>
      <c r="X925" t="str">
        <f t="shared" si="188"/>
        <v>Clear</v>
      </c>
      <c r="Y925" t="str">
        <f t="shared" si="189"/>
        <v>Night</v>
      </c>
      <c r="Z925" t="str">
        <f t="shared" si="190"/>
        <v>Cold</v>
      </c>
      <c r="AA925" t="str">
        <f t="shared" si="191"/>
        <v>Low</v>
      </c>
      <c r="AB925" t="str">
        <f t="shared" si="192"/>
        <v>Off-Peak</v>
      </c>
      <c r="AC925" s="63">
        <f t="shared" si="193"/>
        <v>0.14285714285714285</v>
      </c>
      <c r="AD925" t="str">
        <f>IF(P925&gt;=Stats!$C$30,"High",IF(P925&lt;=Stats!$C$29,"Low","Normal"))</f>
        <v>Low</v>
      </c>
      <c r="AE925">
        <f t="shared" si="194"/>
        <v>1</v>
      </c>
    </row>
    <row r="926" spans="1:31" x14ac:dyDescent="0.2">
      <c r="A926">
        <f>Dataset_3!A316</f>
        <v>925</v>
      </c>
      <c r="B926" s="61">
        <f>Dataset_3!B316</f>
        <v>40585</v>
      </c>
      <c r="C926">
        <f>Dataset_3!C316</f>
        <v>1</v>
      </c>
      <c r="D926">
        <f>Dataset_3!D316</f>
        <v>0</v>
      </c>
      <c r="E926">
        <f>Dataset_3!E316</f>
        <v>2</v>
      </c>
      <c r="F926">
        <f>Dataset_3!F316</f>
        <v>1</v>
      </c>
      <c r="G926" t="b">
        <f>Dataset_3!G316</f>
        <v>0</v>
      </c>
      <c r="H926">
        <f>Dataset_3!H316</f>
        <v>5</v>
      </c>
      <c r="I926">
        <f>Dataset_3!I316</f>
        <v>1</v>
      </c>
      <c r="J926" s="55">
        <f>Dataset_3!J316</f>
        <v>0.1</v>
      </c>
      <c r="K926">
        <f>Dataset_3!K316</f>
        <v>0.13639999999999999</v>
      </c>
      <c r="L926">
        <f>Dataset_3!L316</f>
        <v>0.54</v>
      </c>
      <c r="M926">
        <f>Dataset_3!M316</f>
        <v>8.9599999999999999E-2</v>
      </c>
      <c r="N926">
        <f>Dataset_3!N316</f>
        <v>1</v>
      </c>
      <c r="O926">
        <f>Dataset_3!O316</f>
        <v>6</v>
      </c>
      <c r="P926">
        <f>Dataset_3!P316</f>
        <v>7</v>
      </c>
      <c r="Q926" t="str">
        <f t="shared" si="182"/>
        <v>REC-0925</v>
      </c>
      <c r="R926" s="62">
        <f t="shared" si="183"/>
        <v>40585.041666666664</v>
      </c>
      <c r="S926" t="str">
        <f t="shared" si="184"/>
        <v>Feb</v>
      </c>
      <c r="T926" t="str">
        <f>INDEX(Lookups!$B$39:$B$45,MATCH(H926,Lookups!$A$39:$A$45,0))</f>
        <v>Fri</v>
      </c>
      <c r="U926" t="str">
        <f t="shared" si="185"/>
        <v>Weekday</v>
      </c>
      <c r="V926" t="str">
        <f t="shared" si="186"/>
        <v>Working Day</v>
      </c>
      <c r="W926" t="str">
        <f t="shared" si="187"/>
        <v>Spring</v>
      </c>
      <c r="X926" t="str">
        <f t="shared" si="188"/>
        <v>Clear</v>
      </c>
      <c r="Y926" t="str">
        <f t="shared" si="189"/>
        <v>Night</v>
      </c>
      <c r="Z926" t="str">
        <f t="shared" si="190"/>
        <v>Cold</v>
      </c>
      <c r="AA926" t="str">
        <f t="shared" si="191"/>
        <v>Medium</v>
      </c>
      <c r="AB926" t="str">
        <f t="shared" si="192"/>
        <v>Off-Peak</v>
      </c>
      <c r="AC926" s="63">
        <f t="shared" si="193"/>
        <v>0.14285714285714285</v>
      </c>
      <c r="AD926" t="str">
        <f>IF(P926&gt;=Stats!$C$30,"High",IF(P926&lt;=Stats!$C$29,"Low","Normal"))</f>
        <v>Low</v>
      </c>
      <c r="AE926">
        <f t="shared" si="194"/>
        <v>1</v>
      </c>
    </row>
    <row r="927" spans="1:31" x14ac:dyDescent="0.2">
      <c r="A927">
        <f>Dataset_3!A317</f>
        <v>926</v>
      </c>
      <c r="B927" s="61">
        <f>Dataset_3!B317</f>
        <v>40585</v>
      </c>
      <c r="C927">
        <f>Dataset_3!C317</f>
        <v>1</v>
      </c>
      <c r="D927">
        <f>Dataset_3!D317</f>
        <v>0</v>
      </c>
      <c r="E927">
        <f>Dataset_3!E317</f>
        <v>2</v>
      </c>
      <c r="F927">
        <f>Dataset_3!F317</f>
        <v>2</v>
      </c>
      <c r="G927" t="b">
        <f>Dataset_3!G317</f>
        <v>0</v>
      </c>
      <c r="H927">
        <f>Dataset_3!H317</f>
        <v>5</v>
      </c>
      <c r="I927">
        <f>Dataset_3!I317</f>
        <v>1</v>
      </c>
      <c r="J927" s="55">
        <f>Dataset_3!J317</f>
        <v>0.1</v>
      </c>
      <c r="K927">
        <f>Dataset_3!K317</f>
        <v>0.13639999999999999</v>
      </c>
      <c r="L927">
        <f>Dataset_3!L317</f>
        <v>0.54</v>
      </c>
      <c r="M927">
        <f>Dataset_3!M317</f>
        <v>8.9599999999999999E-2</v>
      </c>
      <c r="N927">
        <f>Dataset_3!N317</f>
        <v>0</v>
      </c>
      <c r="O927">
        <f>Dataset_3!O317</f>
        <v>3</v>
      </c>
      <c r="P927">
        <f>Dataset_3!P317</f>
        <v>3</v>
      </c>
      <c r="Q927" t="str">
        <f t="shared" si="182"/>
        <v>REC-0926</v>
      </c>
      <c r="R927" s="62">
        <f t="shared" si="183"/>
        <v>40585.083333333336</v>
      </c>
      <c r="S927" t="str">
        <f t="shared" si="184"/>
        <v>Feb</v>
      </c>
      <c r="T927" t="str">
        <f>INDEX(Lookups!$B$39:$B$45,MATCH(H927,Lookups!$A$39:$A$45,0))</f>
        <v>Fri</v>
      </c>
      <c r="U927" t="str">
        <f t="shared" si="185"/>
        <v>Weekday</v>
      </c>
      <c r="V927" t="str">
        <f t="shared" si="186"/>
        <v>Working Day</v>
      </c>
      <c r="W927" t="str">
        <f t="shared" si="187"/>
        <v>Spring</v>
      </c>
      <c r="X927" t="str">
        <f t="shared" si="188"/>
        <v>Clear</v>
      </c>
      <c r="Y927" t="str">
        <f t="shared" si="189"/>
        <v>Night</v>
      </c>
      <c r="Z927" t="str">
        <f t="shared" si="190"/>
        <v>Cold</v>
      </c>
      <c r="AA927" t="str">
        <f t="shared" si="191"/>
        <v>Medium</v>
      </c>
      <c r="AB927" t="str">
        <f t="shared" si="192"/>
        <v>Off-Peak</v>
      </c>
      <c r="AC927" s="63">
        <f t="shared" si="193"/>
        <v>0</v>
      </c>
      <c r="AD927" t="str">
        <f>IF(P927&gt;=Stats!$C$30,"High",IF(P927&lt;=Stats!$C$29,"Low","Normal"))</f>
        <v>Low</v>
      </c>
      <c r="AE927">
        <f t="shared" si="194"/>
        <v>1</v>
      </c>
    </row>
    <row r="928" spans="1:31" x14ac:dyDescent="0.2">
      <c r="A928">
        <f>Dataset_3!A318</f>
        <v>927</v>
      </c>
      <c r="B928" s="61">
        <f>Dataset_3!B318</f>
        <v>40585</v>
      </c>
      <c r="C928">
        <f>Dataset_3!C318</f>
        <v>1</v>
      </c>
      <c r="D928">
        <f>Dataset_3!D318</f>
        <v>0</v>
      </c>
      <c r="E928">
        <f>Dataset_3!E318</f>
        <v>2</v>
      </c>
      <c r="F928">
        <f>Dataset_3!F318</f>
        <v>5</v>
      </c>
      <c r="G928" t="b">
        <f>Dataset_3!G318</f>
        <v>0</v>
      </c>
      <c r="H928">
        <f>Dataset_3!H318</f>
        <v>5</v>
      </c>
      <c r="I928">
        <f>Dataset_3!I318</f>
        <v>1</v>
      </c>
      <c r="J928" s="55">
        <f>Dataset_3!J318</f>
        <v>0.08</v>
      </c>
      <c r="K928">
        <f>Dataset_3!K318</f>
        <v>0.1212</v>
      </c>
      <c r="L928">
        <f>Dataset_3!L318</f>
        <v>0.63</v>
      </c>
      <c r="M928">
        <f>Dataset_3!M318</f>
        <v>8.9599999999999999E-2</v>
      </c>
      <c r="N928">
        <f>Dataset_3!N318</f>
        <v>0</v>
      </c>
      <c r="O928">
        <f>Dataset_3!O318</f>
        <v>4</v>
      </c>
      <c r="P928">
        <f>Dataset_3!P318</f>
        <v>4</v>
      </c>
      <c r="Q928" t="str">
        <f t="shared" si="182"/>
        <v>REC-0927</v>
      </c>
      <c r="R928" s="62">
        <f t="shared" si="183"/>
        <v>40585.208333333336</v>
      </c>
      <c r="S928" t="str">
        <f t="shared" si="184"/>
        <v>Feb</v>
      </c>
      <c r="T928" t="str">
        <f>INDEX(Lookups!$B$39:$B$45,MATCH(H928,Lookups!$A$39:$A$45,0))</f>
        <v>Fri</v>
      </c>
      <c r="U928" t="str">
        <f t="shared" si="185"/>
        <v>Weekday</v>
      </c>
      <c r="V928" t="str">
        <f t="shared" si="186"/>
        <v>Working Day</v>
      </c>
      <c r="W928" t="str">
        <f t="shared" si="187"/>
        <v>Spring</v>
      </c>
      <c r="X928" t="str">
        <f t="shared" si="188"/>
        <v>Clear</v>
      </c>
      <c r="Y928" t="str">
        <f t="shared" si="189"/>
        <v>Night</v>
      </c>
      <c r="Z928" t="str">
        <f t="shared" si="190"/>
        <v>Cold</v>
      </c>
      <c r="AA928" t="str">
        <f t="shared" si="191"/>
        <v>Medium</v>
      </c>
      <c r="AB928" t="str">
        <f t="shared" si="192"/>
        <v>Off-Peak</v>
      </c>
      <c r="AC928" s="63">
        <f t="shared" si="193"/>
        <v>0</v>
      </c>
      <c r="AD928" t="str">
        <f>IF(P928&gt;=Stats!$C$30,"High",IF(P928&lt;=Stats!$C$29,"Low","Normal"))</f>
        <v>Low</v>
      </c>
      <c r="AE928">
        <f t="shared" si="194"/>
        <v>1</v>
      </c>
    </row>
    <row r="929" spans="1:31" x14ac:dyDescent="0.2">
      <c r="A929">
        <f>Dataset_3!A319</f>
        <v>928</v>
      </c>
      <c r="B929" s="61">
        <f>Dataset_3!B319</f>
        <v>40585</v>
      </c>
      <c r="C929">
        <f>Dataset_3!C319</f>
        <v>1</v>
      </c>
      <c r="D929">
        <f>Dataset_3!D319</f>
        <v>0</v>
      </c>
      <c r="E929">
        <f>Dataset_3!E319</f>
        <v>2</v>
      </c>
      <c r="F929">
        <f>Dataset_3!F319</f>
        <v>6</v>
      </c>
      <c r="G929" t="b">
        <f>Dataset_3!G319</f>
        <v>0</v>
      </c>
      <c r="H929">
        <f>Dataset_3!H319</f>
        <v>5</v>
      </c>
      <c r="I929">
        <f>Dataset_3!I319</f>
        <v>1</v>
      </c>
      <c r="J929" s="55">
        <f>Dataset_3!J319</f>
        <v>0.1</v>
      </c>
      <c r="K929">
        <f>Dataset_3!K319</f>
        <v>0.18179999999999999</v>
      </c>
      <c r="L929">
        <f>Dataset_3!L319</f>
        <v>0.68</v>
      </c>
      <c r="M929">
        <f>Dataset_3!M319</f>
        <v>0</v>
      </c>
      <c r="N929">
        <f>Dataset_3!N319</f>
        <v>1</v>
      </c>
      <c r="O929">
        <f>Dataset_3!O319</f>
        <v>23</v>
      </c>
      <c r="P929">
        <f>Dataset_3!P319</f>
        <v>24</v>
      </c>
      <c r="Q929" t="str">
        <f t="shared" si="182"/>
        <v>REC-0928</v>
      </c>
      <c r="R929" s="62">
        <f t="shared" si="183"/>
        <v>40585.25</v>
      </c>
      <c r="S929" t="str">
        <f t="shared" si="184"/>
        <v>Feb</v>
      </c>
      <c r="T929" t="str">
        <f>INDEX(Lookups!$B$39:$B$45,MATCH(H929,Lookups!$A$39:$A$45,0))</f>
        <v>Fri</v>
      </c>
      <c r="U929" t="str">
        <f t="shared" si="185"/>
        <v>Weekday</v>
      </c>
      <c r="V929" t="str">
        <f t="shared" si="186"/>
        <v>Working Day</v>
      </c>
      <c r="W929" t="str">
        <f t="shared" si="187"/>
        <v>Spring</v>
      </c>
      <c r="X929" t="str">
        <f t="shared" si="188"/>
        <v>Clear</v>
      </c>
      <c r="Y929" t="str">
        <f t="shared" si="189"/>
        <v>Morning</v>
      </c>
      <c r="Z929" t="str">
        <f t="shared" si="190"/>
        <v>Cold</v>
      </c>
      <c r="AA929" t="str">
        <f t="shared" si="191"/>
        <v>Medium</v>
      </c>
      <c r="AB929" t="str">
        <f t="shared" si="192"/>
        <v>Off-Peak</v>
      </c>
      <c r="AC929" s="63">
        <f t="shared" si="193"/>
        <v>4.1666666666666664E-2</v>
      </c>
      <c r="AD929" t="str">
        <f>IF(P929&gt;=Stats!$C$30,"High",IF(P929&lt;=Stats!$C$29,"Low","Normal"))</f>
        <v>Normal</v>
      </c>
      <c r="AE929">
        <f t="shared" si="194"/>
        <v>1</v>
      </c>
    </row>
    <row r="930" spans="1:31" x14ac:dyDescent="0.2">
      <c r="A930">
        <f>Dataset_3!A320</f>
        <v>929</v>
      </c>
      <c r="B930" s="61">
        <f>Dataset_3!B320</f>
        <v>40585</v>
      </c>
      <c r="C930">
        <f>Dataset_3!C320</f>
        <v>1</v>
      </c>
      <c r="D930">
        <f>Dataset_3!D320</f>
        <v>0</v>
      </c>
      <c r="E930">
        <f>Dataset_3!E320</f>
        <v>2</v>
      </c>
      <c r="F930">
        <f>Dataset_3!F320</f>
        <v>7</v>
      </c>
      <c r="G930" t="b">
        <f>Dataset_3!G320</f>
        <v>0</v>
      </c>
      <c r="H930">
        <f>Dataset_3!H320</f>
        <v>5</v>
      </c>
      <c r="I930">
        <f>Dataset_3!I320</f>
        <v>1</v>
      </c>
      <c r="J930" s="55">
        <f>Dataset_3!J320</f>
        <v>0.08</v>
      </c>
      <c r="K930">
        <f>Dataset_3!K320</f>
        <v>0.16669999999999999</v>
      </c>
      <c r="L930">
        <f>Dataset_3!L320</f>
        <v>0.73</v>
      </c>
      <c r="M930">
        <f>Dataset_3!M320</f>
        <v>0</v>
      </c>
      <c r="N930">
        <f>Dataset_3!N320</f>
        <v>1</v>
      </c>
      <c r="O930">
        <f>Dataset_3!O320</f>
        <v>73</v>
      </c>
      <c r="P930">
        <f>Dataset_3!P320</f>
        <v>74</v>
      </c>
      <c r="Q930" t="str">
        <f t="shared" si="182"/>
        <v>REC-0929</v>
      </c>
      <c r="R930" s="62">
        <f t="shared" si="183"/>
        <v>40585.291666666664</v>
      </c>
      <c r="S930" t="str">
        <f t="shared" si="184"/>
        <v>Feb</v>
      </c>
      <c r="T930" t="str">
        <f>INDEX(Lookups!$B$39:$B$45,MATCH(H930,Lookups!$A$39:$A$45,0))</f>
        <v>Fri</v>
      </c>
      <c r="U930" t="str">
        <f t="shared" si="185"/>
        <v>Weekday</v>
      </c>
      <c r="V930" t="str">
        <f t="shared" si="186"/>
        <v>Working Day</v>
      </c>
      <c r="W930" t="str">
        <f t="shared" si="187"/>
        <v>Spring</v>
      </c>
      <c r="X930" t="str">
        <f t="shared" si="188"/>
        <v>Clear</v>
      </c>
      <c r="Y930" t="str">
        <f t="shared" si="189"/>
        <v>Morning</v>
      </c>
      <c r="Z930" t="str">
        <f t="shared" si="190"/>
        <v>Cold</v>
      </c>
      <c r="AA930" t="str">
        <f t="shared" si="191"/>
        <v>Medium</v>
      </c>
      <c r="AB930" t="str">
        <f t="shared" si="192"/>
        <v>Peak</v>
      </c>
      <c r="AC930" s="63">
        <f t="shared" si="193"/>
        <v>1.3513513513513514E-2</v>
      </c>
      <c r="AD930" t="str">
        <f>IF(P930&gt;=Stats!$C$30,"High",IF(P930&lt;=Stats!$C$29,"Low","Normal"))</f>
        <v>Normal</v>
      </c>
      <c r="AE930">
        <f t="shared" si="194"/>
        <v>1</v>
      </c>
    </row>
    <row r="931" spans="1:31" x14ac:dyDescent="0.2">
      <c r="A931">
        <f>Dataset_3!A321</f>
        <v>930</v>
      </c>
      <c r="B931" s="61">
        <f>Dataset_3!B321</f>
        <v>40585</v>
      </c>
      <c r="C931">
        <f>Dataset_3!C321</f>
        <v>1</v>
      </c>
      <c r="D931">
        <f>Dataset_3!D321</f>
        <v>0</v>
      </c>
      <c r="E931">
        <f>Dataset_3!E321</f>
        <v>2</v>
      </c>
      <c r="F931">
        <f>Dataset_3!F321</f>
        <v>8</v>
      </c>
      <c r="G931" t="b">
        <f>Dataset_3!G321</f>
        <v>0</v>
      </c>
      <c r="H931">
        <f>Dataset_3!H321</f>
        <v>5</v>
      </c>
      <c r="I931">
        <f>Dataset_3!I321</f>
        <v>1</v>
      </c>
      <c r="J931" s="55">
        <f>Dataset_3!J321</f>
        <v>0.1</v>
      </c>
      <c r="K931">
        <f>Dataset_3!K321</f>
        <v>0.1212</v>
      </c>
      <c r="L931">
        <f>Dataset_3!L321</f>
        <v>0.74</v>
      </c>
      <c r="M931">
        <f>Dataset_3!M321</f>
        <v>0.16420000000000001</v>
      </c>
      <c r="N931">
        <f>Dataset_3!N321</f>
        <v>4</v>
      </c>
      <c r="O931">
        <f>Dataset_3!O321</f>
        <v>212</v>
      </c>
      <c r="P931">
        <f>Dataset_3!P321</f>
        <v>216</v>
      </c>
      <c r="Q931" t="str">
        <f t="shared" si="182"/>
        <v>REC-0930</v>
      </c>
      <c r="R931" s="62">
        <f t="shared" si="183"/>
        <v>40585.333333333336</v>
      </c>
      <c r="S931" t="str">
        <f t="shared" si="184"/>
        <v>Feb</v>
      </c>
      <c r="T931" t="str">
        <f>INDEX(Lookups!$B$39:$B$45,MATCH(H931,Lookups!$A$39:$A$45,0))</f>
        <v>Fri</v>
      </c>
      <c r="U931" t="str">
        <f t="shared" si="185"/>
        <v>Weekday</v>
      </c>
      <c r="V931" t="str">
        <f t="shared" si="186"/>
        <v>Working Day</v>
      </c>
      <c r="W931" t="str">
        <f t="shared" si="187"/>
        <v>Spring</v>
      </c>
      <c r="X931" t="str">
        <f t="shared" si="188"/>
        <v>Clear</v>
      </c>
      <c r="Y931" t="str">
        <f t="shared" si="189"/>
        <v>Morning</v>
      </c>
      <c r="Z931" t="str">
        <f t="shared" si="190"/>
        <v>Cold</v>
      </c>
      <c r="AA931" t="str">
        <f t="shared" si="191"/>
        <v>Medium</v>
      </c>
      <c r="AB931" t="str">
        <f t="shared" si="192"/>
        <v>Peak</v>
      </c>
      <c r="AC931" s="63">
        <f t="shared" si="193"/>
        <v>1.8518518518518517E-2</v>
      </c>
      <c r="AD931" t="str">
        <f>IF(P931&gt;=Stats!$C$30,"High",IF(P931&lt;=Stats!$C$29,"Low","Normal"))</f>
        <v>High</v>
      </c>
      <c r="AE931">
        <f t="shared" si="194"/>
        <v>1</v>
      </c>
    </row>
    <row r="932" spans="1:31" x14ac:dyDescent="0.2">
      <c r="A932">
        <f>Dataset_3!A322</f>
        <v>931</v>
      </c>
      <c r="B932" s="61">
        <f>Dataset_3!B322</f>
        <v>40585</v>
      </c>
      <c r="C932">
        <f>Dataset_3!C322</f>
        <v>1</v>
      </c>
      <c r="D932">
        <f>Dataset_3!D322</f>
        <v>0</v>
      </c>
      <c r="E932">
        <f>Dataset_3!E322</f>
        <v>2</v>
      </c>
      <c r="F932">
        <f>Dataset_3!F322</f>
        <v>9</v>
      </c>
      <c r="G932" t="b">
        <f>Dataset_3!G322</f>
        <v>0</v>
      </c>
      <c r="H932">
        <f>Dataset_3!H322</f>
        <v>5</v>
      </c>
      <c r="I932">
        <f>Dataset_3!I322</f>
        <v>1</v>
      </c>
      <c r="J932" s="55">
        <f>Dataset_3!J322</f>
        <v>0.12</v>
      </c>
      <c r="K932">
        <f>Dataset_3!K322</f>
        <v>0.1212</v>
      </c>
      <c r="L932">
        <f>Dataset_3!L322</f>
        <v>0.74</v>
      </c>
      <c r="M932">
        <f>Dataset_3!M322</f>
        <v>0.22389999999999999</v>
      </c>
      <c r="N932">
        <f>Dataset_3!N322</f>
        <v>8</v>
      </c>
      <c r="O932">
        <f>Dataset_3!O322</f>
        <v>132</v>
      </c>
      <c r="P932">
        <f>Dataset_3!P322</f>
        <v>140</v>
      </c>
      <c r="Q932" t="str">
        <f t="shared" si="182"/>
        <v>REC-0931</v>
      </c>
      <c r="R932" s="62">
        <f t="shared" si="183"/>
        <v>40585.375</v>
      </c>
      <c r="S932" t="str">
        <f t="shared" si="184"/>
        <v>Feb</v>
      </c>
      <c r="T932" t="str">
        <f>INDEX(Lookups!$B$39:$B$45,MATCH(H932,Lookups!$A$39:$A$45,0))</f>
        <v>Fri</v>
      </c>
      <c r="U932" t="str">
        <f t="shared" si="185"/>
        <v>Weekday</v>
      </c>
      <c r="V932" t="str">
        <f t="shared" si="186"/>
        <v>Working Day</v>
      </c>
      <c r="W932" t="str">
        <f t="shared" si="187"/>
        <v>Spring</v>
      </c>
      <c r="X932" t="str">
        <f t="shared" si="188"/>
        <v>Clear</v>
      </c>
      <c r="Y932" t="str">
        <f t="shared" si="189"/>
        <v>Morning</v>
      </c>
      <c r="Z932" t="str">
        <f t="shared" si="190"/>
        <v>Cold</v>
      </c>
      <c r="AA932" t="str">
        <f t="shared" si="191"/>
        <v>Medium</v>
      </c>
      <c r="AB932" t="str">
        <f t="shared" si="192"/>
        <v>Peak</v>
      </c>
      <c r="AC932" s="63">
        <f t="shared" si="193"/>
        <v>5.7142857142857141E-2</v>
      </c>
      <c r="AD932" t="str">
        <f>IF(P932&gt;=Stats!$C$30,"High",IF(P932&lt;=Stats!$C$29,"Low","Normal"))</f>
        <v>High</v>
      </c>
      <c r="AE932">
        <f t="shared" si="194"/>
        <v>1</v>
      </c>
    </row>
    <row r="933" spans="1:31" x14ac:dyDescent="0.2">
      <c r="A933">
        <f>Dataset_3!A323</f>
        <v>932</v>
      </c>
      <c r="B933" s="61">
        <f>Dataset_3!B323</f>
        <v>40585</v>
      </c>
      <c r="C933">
        <f>Dataset_3!C323</f>
        <v>1</v>
      </c>
      <c r="D933">
        <f>Dataset_3!D323</f>
        <v>0</v>
      </c>
      <c r="E933">
        <f>Dataset_3!E323</f>
        <v>2</v>
      </c>
      <c r="F933">
        <f>Dataset_3!F323</f>
        <v>10</v>
      </c>
      <c r="G933" t="b">
        <f>Dataset_3!G323</f>
        <v>0</v>
      </c>
      <c r="H933">
        <f>Dataset_3!H323</f>
        <v>5</v>
      </c>
      <c r="I933">
        <f>Dataset_3!I323</f>
        <v>1</v>
      </c>
      <c r="J933" s="55">
        <f>Dataset_3!J323</f>
        <v>0.14000000000000001</v>
      </c>
      <c r="K933">
        <f>Dataset_3!K323</f>
        <v>0.13639999999999999</v>
      </c>
      <c r="L933">
        <f>Dataset_3!L323</f>
        <v>0.69</v>
      </c>
      <c r="M933">
        <f>Dataset_3!M323</f>
        <v>0.19400000000000001</v>
      </c>
      <c r="N933">
        <f>Dataset_3!N323</f>
        <v>5</v>
      </c>
      <c r="O933">
        <f>Dataset_3!O323</f>
        <v>39</v>
      </c>
      <c r="P933">
        <f>Dataset_3!P323</f>
        <v>44</v>
      </c>
      <c r="Q933" t="str">
        <f t="shared" si="182"/>
        <v>REC-0932</v>
      </c>
      <c r="R933" s="62">
        <f t="shared" si="183"/>
        <v>40585.416666666664</v>
      </c>
      <c r="S933" t="str">
        <f t="shared" si="184"/>
        <v>Feb</v>
      </c>
      <c r="T933" t="str">
        <f>INDEX(Lookups!$B$39:$B$45,MATCH(H933,Lookups!$A$39:$A$45,0))</f>
        <v>Fri</v>
      </c>
      <c r="U933" t="str">
        <f t="shared" si="185"/>
        <v>Weekday</v>
      </c>
      <c r="V933" t="str">
        <f t="shared" si="186"/>
        <v>Working Day</v>
      </c>
      <c r="W933" t="str">
        <f t="shared" si="187"/>
        <v>Spring</v>
      </c>
      <c r="X933" t="str">
        <f t="shared" si="188"/>
        <v>Clear</v>
      </c>
      <c r="Y933" t="str">
        <f t="shared" si="189"/>
        <v>Morning</v>
      </c>
      <c r="Z933" t="str">
        <f t="shared" si="190"/>
        <v>Cold</v>
      </c>
      <c r="AA933" t="str">
        <f t="shared" si="191"/>
        <v>Medium</v>
      </c>
      <c r="AB933" t="str">
        <f t="shared" si="192"/>
        <v>Off-Peak</v>
      </c>
      <c r="AC933" s="63">
        <f t="shared" si="193"/>
        <v>0.11363636363636363</v>
      </c>
      <c r="AD933" t="str">
        <f>IF(P933&gt;=Stats!$C$30,"High",IF(P933&lt;=Stats!$C$29,"Low","Normal"))</f>
        <v>Normal</v>
      </c>
      <c r="AE933">
        <f t="shared" si="194"/>
        <v>1</v>
      </c>
    </row>
    <row r="934" spans="1:31" x14ac:dyDescent="0.2">
      <c r="A934">
        <f>Dataset_3!A324</f>
        <v>933</v>
      </c>
      <c r="B934" s="61">
        <f>Dataset_3!B324</f>
        <v>40585</v>
      </c>
      <c r="C934">
        <f>Dataset_3!C324</f>
        <v>1</v>
      </c>
      <c r="D934">
        <f>Dataset_3!D324</f>
        <v>0</v>
      </c>
      <c r="E934">
        <f>Dataset_3!E324</f>
        <v>2</v>
      </c>
      <c r="F934">
        <f>Dataset_3!F324</f>
        <v>11</v>
      </c>
      <c r="G934" t="b">
        <f>Dataset_3!G324</f>
        <v>0</v>
      </c>
      <c r="H934">
        <f>Dataset_3!H324</f>
        <v>5</v>
      </c>
      <c r="I934">
        <f>Dataset_3!I324</f>
        <v>1</v>
      </c>
      <c r="J934" s="55">
        <f>Dataset_3!J324</f>
        <v>0.22</v>
      </c>
      <c r="K934">
        <f>Dataset_3!K324</f>
        <v>0.2273</v>
      </c>
      <c r="L934">
        <f>Dataset_3!L324</f>
        <v>0.47</v>
      </c>
      <c r="M934">
        <f>Dataset_3!M324</f>
        <v>0.1343</v>
      </c>
      <c r="N934">
        <f>Dataset_3!N324</f>
        <v>12</v>
      </c>
      <c r="O934">
        <f>Dataset_3!O324</f>
        <v>52</v>
      </c>
      <c r="P934">
        <f>Dataset_3!P324</f>
        <v>64</v>
      </c>
      <c r="Q934" t="str">
        <f t="shared" si="182"/>
        <v>REC-0933</v>
      </c>
      <c r="R934" s="62">
        <f t="shared" si="183"/>
        <v>40585.458333333336</v>
      </c>
      <c r="S934" t="str">
        <f t="shared" si="184"/>
        <v>Feb</v>
      </c>
      <c r="T934" t="str">
        <f>INDEX(Lookups!$B$39:$B$45,MATCH(H934,Lookups!$A$39:$A$45,0))</f>
        <v>Fri</v>
      </c>
      <c r="U934" t="str">
        <f t="shared" si="185"/>
        <v>Weekday</v>
      </c>
      <c r="V934" t="str">
        <f t="shared" si="186"/>
        <v>Working Day</v>
      </c>
      <c r="W934" t="str">
        <f t="shared" si="187"/>
        <v>Spring</v>
      </c>
      <c r="X934" t="str">
        <f t="shared" si="188"/>
        <v>Clear</v>
      </c>
      <c r="Y934" t="str">
        <f t="shared" si="189"/>
        <v>Morning</v>
      </c>
      <c r="Z934" t="str">
        <f t="shared" si="190"/>
        <v>Mild</v>
      </c>
      <c r="AA934" t="str">
        <f t="shared" si="191"/>
        <v>Low</v>
      </c>
      <c r="AB934" t="str">
        <f t="shared" si="192"/>
        <v>Off-Peak</v>
      </c>
      <c r="AC934" s="63">
        <f t="shared" si="193"/>
        <v>0.1875</v>
      </c>
      <c r="AD934" t="str">
        <f>IF(P934&gt;=Stats!$C$30,"High",IF(P934&lt;=Stats!$C$29,"Low","Normal"))</f>
        <v>Normal</v>
      </c>
      <c r="AE934">
        <f t="shared" si="194"/>
        <v>1</v>
      </c>
    </row>
    <row r="935" spans="1:31" x14ac:dyDescent="0.2">
      <c r="A935">
        <f>Dataset_3!A325</f>
        <v>934</v>
      </c>
      <c r="B935" s="61">
        <f>Dataset_3!B325</f>
        <v>40585</v>
      </c>
      <c r="C935">
        <f>Dataset_3!C325</f>
        <v>1</v>
      </c>
      <c r="D935">
        <f>Dataset_3!D325</f>
        <v>0</v>
      </c>
      <c r="E935">
        <f>Dataset_3!E325</f>
        <v>2</v>
      </c>
      <c r="F935">
        <f>Dataset_3!F325</f>
        <v>12</v>
      </c>
      <c r="G935" t="b">
        <f>Dataset_3!G325</f>
        <v>0</v>
      </c>
      <c r="H935">
        <f>Dataset_3!H325</f>
        <v>5</v>
      </c>
      <c r="I935">
        <f>Dataset_3!I325</f>
        <v>1</v>
      </c>
      <c r="J935" s="55">
        <f>Dataset_3!J325</f>
        <v>0.22</v>
      </c>
      <c r="K935">
        <f>Dataset_3!K325</f>
        <v>0.2273</v>
      </c>
      <c r="L935">
        <f>Dataset_3!L325</f>
        <v>0.47</v>
      </c>
      <c r="M935">
        <f>Dataset_3!M325</f>
        <v>0.1343</v>
      </c>
      <c r="N935">
        <f>Dataset_3!N325</f>
        <v>7</v>
      </c>
      <c r="O935">
        <f>Dataset_3!O325</f>
        <v>64</v>
      </c>
      <c r="P935">
        <f>Dataset_3!P325</f>
        <v>71</v>
      </c>
      <c r="Q935" t="str">
        <f t="shared" si="182"/>
        <v>REC-0934</v>
      </c>
      <c r="R935" s="62">
        <f t="shared" si="183"/>
        <v>40585.5</v>
      </c>
      <c r="S935" t="str">
        <f t="shared" si="184"/>
        <v>Feb</v>
      </c>
      <c r="T935" t="str">
        <f>INDEX(Lookups!$B$39:$B$45,MATCH(H935,Lookups!$A$39:$A$45,0))</f>
        <v>Fri</v>
      </c>
      <c r="U935" t="str">
        <f t="shared" si="185"/>
        <v>Weekday</v>
      </c>
      <c r="V935" t="str">
        <f t="shared" si="186"/>
        <v>Working Day</v>
      </c>
      <c r="W935" t="str">
        <f t="shared" si="187"/>
        <v>Spring</v>
      </c>
      <c r="X935" t="str">
        <f t="shared" si="188"/>
        <v>Clear</v>
      </c>
      <c r="Y935" t="str">
        <f t="shared" si="189"/>
        <v>Afternoon</v>
      </c>
      <c r="Z935" t="str">
        <f t="shared" si="190"/>
        <v>Mild</v>
      </c>
      <c r="AA935" t="str">
        <f t="shared" si="191"/>
        <v>Low</v>
      </c>
      <c r="AB935" t="str">
        <f t="shared" si="192"/>
        <v>Off-Peak</v>
      </c>
      <c r="AC935" s="63">
        <f t="shared" si="193"/>
        <v>9.8591549295774641E-2</v>
      </c>
      <c r="AD935" t="str">
        <f>IF(P935&gt;=Stats!$C$30,"High",IF(P935&lt;=Stats!$C$29,"Low","Normal"))</f>
        <v>Normal</v>
      </c>
      <c r="AE935">
        <f t="shared" si="194"/>
        <v>1</v>
      </c>
    </row>
    <row r="936" spans="1:31" x14ac:dyDescent="0.2">
      <c r="A936">
        <f>Dataset_3!A326</f>
        <v>935</v>
      </c>
      <c r="B936" s="61">
        <f>Dataset_3!B326</f>
        <v>40585</v>
      </c>
      <c r="C936">
        <f>Dataset_3!C326</f>
        <v>1</v>
      </c>
      <c r="D936">
        <f>Dataset_3!D326</f>
        <v>0</v>
      </c>
      <c r="E936">
        <f>Dataset_3!E326</f>
        <v>2</v>
      </c>
      <c r="F936">
        <f>Dataset_3!F326</f>
        <v>13</v>
      </c>
      <c r="G936" t="b">
        <f>Dataset_3!G326</f>
        <v>0</v>
      </c>
      <c r="H936">
        <f>Dataset_3!H326</f>
        <v>5</v>
      </c>
      <c r="I936">
        <f>Dataset_3!I326</f>
        <v>1</v>
      </c>
      <c r="J936" s="55">
        <f>Dataset_3!J326</f>
        <v>0.24</v>
      </c>
      <c r="K936">
        <f>Dataset_3!K326</f>
        <v>0.2273</v>
      </c>
      <c r="L936">
        <f>Dataset_3!L326</f>
        <v>0.35</v>
      </c>
      <c r="M936">
        <f>Dataset_3!M326</f>
        <v>0.19400000000000001</v>
      </c>
      <c r="N936">
        <f>Dataset_3!N326</f>
        <v>21</v>
      </c>
      <c r="O936">
        <f>Dataset_3!O326</f>
        <v>89</v>
      </c>
      <c r="P936">
        <f>Dataset_3!P326</f>
        <v>110</v>
      </c>
      <c r="Q936" t="str">
        <f t="shared" si="182"/>
        <v>REC-0935</v>
      </c>
      <c r="R936" s="62">
        <f t="shared" si="183"/>
        <v>40585.541666666664</v>
      </c>
      <c r="S936" t="str">
        <f t="shared" si="184"/>
        <v>Feb</v>
      </c>
      <c r="T936" t="str">
        <f>INDEX(Lookups!$B$39:$B$45,MATCH(H936,Lookups!$A$39:$A$45,0))</f>
        <v>Fri</v>
      </c>
      <c r="U936" t="str">
        <f t="shared" si="185"/>
        <v>Weekday</v>
      </c>
      <c r="V936" t="str">
        <f t="shared" si="186"/>
        <v>Working Day</v>
      </c>
      <c r="W936" t="str">
        <f t="shared" si="187"/>
        <v>Spring</v>
      </c>
      <c r="X936" t="str">
        <f t="shared" si="188"/>
        <v>Clear</v>
      </c>
      <c r="Y936" t="str">
        <f t="shared" si="189"/>
        <v>Afternoon</v>
      </c>
      <c r="Z936" t="str">
        <f t="shared" si="190"/>
        <v>Mild</v>
      </c>
      <c r="AA936" t="str">
        <f t="shared" si="191"/>
        <v>Low</v>
      </c>
      <c r="AB936" t="str">
        <f t="shared" si="192"/>
        <v>Off-Peak</v>
      </c>
      <c r="AC936" s="63">
        <f t="shared" si="193"/>
        <v>0.19090909090909092</v>
      </c>
      <c r="AD936" t="str">
        <f>IF(P936&gt;=Stats!$C$30,"High",IF(P936&lt;=Stats!$C$29,"Low","Normal"))</f>
        <v>High</v>
      </c>
      <c r="AE936">
        <f t="shared" si="194"/>
        <v>1</v>
      </c>
    </row>
    <row r="937" spans="1:31" x14ac:dyDescent="0.2">
      <c r="A937">
        <f>Dataset_3!A327</f>
        <v>936</v>
      </c>
      <c r="B937" s="61">
        <f>Dataset_3!B327</f>
        <v>40585</v>
      </c>
      <c r="C937">
        <f>Dataset_3!C327</f>
        <v>1</v>
      </c>
      <c r="D937">
        <f>Dataset_3!D327</f>
        <v>0</v>
      </c>
      <c r="E937">
        <f>Dataset_3!E327</f>
        <v>2</v>
      </c>
      <c r="F937">
        <f>Dataset_3!F327</f>
        <v>14</v>
      </c>
      <c r="G937" t="b">
        <f>Dataset_3!G327</f>
        <v>0</v>
      </c>
      <c r="H937">
        <f>Dataset_3!H327</f>
        <v>5</v>
      </c>
      <c r="I937">
        <f>Dataset_3!I327</f>
        <v>1</v>
      </c>
      <c r="J937" s="55">
        <f>Dataset_3!J327</f>
        <v>0.3</v>
      </c>
      <c r="K937">
        <f>Dataset_3!K327</f>
        <v>0.28789999999999999</v>
      </c>
      <c r="L937">
        <f>Dataset_3!L327</f>
        <v>0.26</v>
      </c>
      <c r="M937">
        <f>Dataset_3!M327</f>
        <v>0.25369999999999998</v>
      </c>
      <c r="N937">
        <f>Dataset_3!N327</f>
        <v>17</v>
      </c>
      <c r="O937">
        <f>Dataset_3!O327</f>
        <v>67</v>
      </c>
      <c r="P937">
        <f>Dataset_3!P327</f>
        <v>84</v>
      </c>
      <c r="Q937" t="str">
        <f t="shared" si="182"/>
        <v>REC-0936</v>
      </c>
      <c r="R937" s="62">
        <f t="shared" si="183"/>
        <v>40585.583333333336</v>
      </c>
      <c r="S937" t="str">
        <f t="shared" si="184"/>
        <v>Feb</v>
      </c>
      <c r="T937" t="str">
        <f>INDEX(Lookups!$B$39:$B$45,MATCH(H937,Lookups!$A$39:$A$45,0))</f>
        <v>Fri</v>
      </c>
      <c r="U937" t="str">
        <f t="shared" si="185"/>
        <v>Weekday</v>
      </c>
      <c r="V937" t="str">
        <f t="shared" si="186"/>
        <v>Working Day</v>
      </c>
      <c r="W937" t="str">
        <f t="shared" si="187"/>
        <v>Spring</v>
      </c>
      <c r="X937" t="str">
        <f t="shared" si="188"/>
        <v>Clear</v>
      </c>
      <c r="Y937" t="str">
        <f t="shared" si="189"/>
        <v>Afternoon</v>
      </c>
      <c r="Z937" t="str">
        <f t="shared" si="190"/>
        <v>Warm</v>
      </c>
      <c r="AA937" t="str">
        <f t="shared" si="191"/>
        <v>Low</v>
      </c>
      <c r="AB937" t="str">
        <f t="shared" si="192"/>
        <v>Off-Peak</v>
      </c>
      <c r="AC937" s="63">
        <f t="shared" si="193"/>
        <v>0.20238095238095238</v>
      </c>
      <c r="AD937" t="str">
        <f>IF(P937&gt;=Stats!$C$30,"High",IF(P937&lt;=Stats!$C$29,"Low","Normal"))</f>
        <v>High</v>
      </c>
      <c r="AE937">
        <f t="shared" si="194"/>
        <v>1</v>
      </c>
    </row>
    <row r="938" spans="1:31" x14ac:dyDescent="0.2">
      <c r="A938">
        <f>Dataset_3!A328</f>
        <v>937</v>
      </c>
      <c r="B938" s="61">
        <f>Dataset_3!B328</f>
        <v>40585</v>
      </c>
      <c r="C938">
        <f>Dataset_3!C328</f>
        <v>1</v>
      </c>
      <c r="D938">
        <f>Dataset_3!D328</f>
        <v>0</v>
      </c>
      <c r="E938">
        <f>Dataset_3!E328</f>
        <v>2</v>
      </c>
      <c r="F938">
        <f>Dataset_3!F328</f>
        <v>15</v>
      </c>
      <c r="G938" t="b">
        <f>Dataset_3!G328</f>
        <v>0</v>
      </c>
      <c r="H938">
        <f>Dataset_3!H328</f>
        <v>5</v>
      </c>
      <c r="I938">
        <f>Dataset_3!I328</f>
        <v>1</v>
      </c>
      <c r="J938" s="55">
        <f>Dataset_3!J328</f>
        <v>0.32</v>
      </c>
      <c r="K938">
        <f>Dataset_3!K328</f>
        <v>0.31819999999999998</v>
      </c>
      <c r="L938">
        <f>Dataset_3!L328</f>
        <v>0.21</v>
      </c>
      <c r="M938">
        <f>Dataset_3!M328</f>
        <v>0.16420000000000001</v>
      </c>
      <c r="N938">
        <f>Dataset_3!N328</f>
        <v>12</v>
      </c>
      <c r="O938">
        <f>Dataset_3!O328</f>
        <v>62</v>
      </c>
      <c r="P938">
        <f>Dataset_3!P328</f>
        <v>74</v>
      </c>
      <c r="Q938" t="str">
        <f t="shared" si="182"/>
        <v>REC-0937</v>
      </c>
      <c r="R938" s="62">
        <f t="shared" si="183"/>
        <v>40585.625</v>
      </c>
      <c r="S938" t="str">
        <f t="shared" si="184"/>
        <v>Feb</v>
      </c>
      <c r="T938" t="str">
        <f>INDEX(Lookups!$B$39:$B$45,MATCH(H938,Lookups!$A$39:$A$45,0))</f>
        <v>Fri</v>
      </c>
      <c r="U938" t="str">
        <f t="shared" si="185"/>
        <v>Weekday</v>
      </c>
      <c r="V938" t="str">
        <f t="shared" si="186"/>
        <v>Working Day</v>
      </c>
      <c r="W938" t="str">
        <f t="shared" si="187"/>
        <v>Spring</v>
      </c>
      <c r="X938" t="str">
        <f t="shared" si="188"/>
        <v>Clear</v>
      </c>
      <c r="Y938" t="str">
        <f t="shared" si="189"/>
        <v>Afternoon</v>
      </c>
      <c r="Z938" t="str">
        <f t="shared" si="190"/>
        <v>Warm</v>
      </c>
      <c r="AA938" t="str">
        <f t="shared" si="191"/>
        <v>Low</v>
      </c>
      <c r="AB938" t="str">
        <f t="shared" si="192"/>
        <v>Off-Peak</v>
      </c>
      <c r="AC938" s="63">
        <f t="shared" si="193"/>
        <v>0.16216216216216217</v>
      </c>
      <c r="AD938" t="str">
        <f>IF(P938&gt;=Stats!$C$30,"High",IF(P938&lt;=Stats!$C$29,"Low","Normal"))</f>
        <v>Normal</v>
      </c>
      <c r="AE938">
        <f t="shared" si="194"/>
        <v>1</v>
      </c>
    </row>
    <row r="939" spans="1:31" x14ac:dyDescent="0.2">
      <c r="A939">
        <f>Dataset_3!A329</f>
        <v>938</v>
      </c>
      <c r="B939" s="61">
        <f>Dataset_3!B329</f>
        <v>40585</v>
      </c>
      <c r="C939">
        <f>Dataset_3!C329</f>
        <v>1</v>
      </c>
      <c r="D939">
        <f>Dataset_3!D329</f>
        <v>0</v>
      </c>
      <c r="E939">
        <f>Dataset_3!E329</f>
        <v>2</v>
      </c>
      <c r="F939">
        <f>Dataset_3!F329</f>
        <v>16</v>
      </c>
      <c r="G939" t="b">
        <f>Dataset_3!G329</f>
        <v>0</v>
      </c>
      <c r="H939">
        <f>Dataset_3!H329</f>
        <v>5</v>
      </c>
      <c r="I939">
        <f>Dataset_3!I329</f>
        <v>1</v>
      </c>
      <c r="J939" s="55">
        <f>Dataset_3!J329</f>
        <v>0.3</v>
      </c>
      <c r="K939">
        <f>Dataset_3!K329</f>
        <v>0.28789999999999999</v>
      </c>
      <c r="L939">
        <f>Dataset_3!L329</f>
        <v>0.28000000000000003</v>
      </c>
      <c r="M939">
        <f>Dataset_3!M329</f>
        <v>0.19400000000000001</v>
      </c>
      <c r="N939">
        <f>Dataset_3!N329</f>
        <v>14</v>
      </c>
      <c r="O939">
        <f>Dataset_3!O329</f>
        <v>111</v>
      </c>
      <c r="P939">
        <f>Dataset_3!P329</f>
        <v>125</v>
      </c>
      <c r="Q939" t="str">
        <f t="shared" si="182"/>
        <v>REC-0938</v>
      </c>
      <c r="R939" s="62">
        <f t="shared" si="183"/>
        <v>40585.666666666664</v>
      </c>
      <c r="S939" t="str">
        <f t="shared" si="184"/>
        <v>Feb</v>
      </c>
      <c r="T939" t="str">
        <f>INDEX(Lookups!$B$39:$B$45,MATCH(H939,Lookups!$A$39:$A$45,0))</f>
        <v>Fri</v>
      </c>
      <c r="U939" t="str">
        <f t="shared" si="185"/>
        <v>Weekday</v>
      </c>
      <c r="V939" t="str">
        <f t="shared" si="186"/>
        <v>Working Day</v>
      </c>
      <c r="W939" t="str">
        <f t="shared" si="187"/>
        <v>Spring</v>
      </c>
      <c r="X939" t="str">
        <f t="shared" si="188"/>
        <v>Clear</v>
      </c>
      <c r="Y939" t="str">
        <f t="shared" si="189"/>
        <v>Afternoon</v>
      </c>
      <c r="Z939" t="str">
        <f t="shared" si="190"/>
        <v>Warm</v>
      </c>
      <c r="AA939" t="str">
        <f t="shared" si="191"/>
        <v>Low</v>
      </c>
      <c r="AB939" t="str">
        <f t="shared" si="192"/>
        <v>Peak</v>
      </c>
      <c r="AC939" s="63">
        <f t="shared" si="193"/>
        <v>0.112</v>
      </c>
      <c r="AD939" t="str">
        <f>IF(P939&gt;=Stats!$C$30,"High",IF(P939&lt;=Stats!$C$29,"Low","Normal"))</f>
        <v>High</v>
      </c>
      <c r="AE939">
        <f t="shared" si="194"/>
        <v>1</v>
      </c>
    </row>
    <row r="940" spans="1:31" x14ac:dyDescent="0.2">
      <c r="A940">
        <f>Dataset_3!A330</f>
        <v>939</v>
      </c>
      <c r="B940" s="61">
        <f>Dataset_3!B330</f>
        <v>40585</v>
      </c>
      <c r="C940">
        <f>Dataset_3!C330</f>
        <v>1</v>
      </c>
      <c r="D940">
        <f>Dataset_3!D330</f>
        <v>0</v>
      </c>
      <c r="E940">
        <f>Dataset_3!E330</f>
        <v>2</v>
      </c>
      <c r="F940">
        <f>Dataset_3!F330</f>
        <v>17</v>
      </c>
      <c r="G940" t="b">
        <f>Dataset_3!G330</f>
        <v>0</v>
      </c>
      <c r="H940">
        <f>Dataset_3!H330</f>
        <v>5</v>
      </c>
      <c r="I940">
        <f>Dataset_3!I330</f>
        <v>1</v>
      </c>
      <c r="J940" s="55">
        <f>Dataset_3!J330</f>
        <v>0.3</v>
      </c>
      <c r="K940">
        <f>Dataset_3!K330</f>
        <v>0.33329999999999999</v>
      </c>
      <c r="L940">
        <f>Dataset_3!L330</f>
        <v>0.24</v>
      </c>
      <c r="M940">
        <f>Dataset_3!M330</f>
        <v>0</v>
      </c>
      <c r="N940">
        <f>Dataset_3!N330</f>
        <v>18</v>
      </c>
      <c r="O940">
        <f>Dataset_3!O330</f>
        <v>193</v>
      </c>
      <c r="P940">
        <f>Dataset_3!P330</f>
        <v>211</v>
      </c>
      <c r="Q940" t="str">
        <f t="shared" si="182"/>
        <v>REC-0939</v>
      </c>
      <c r="R940" s="62">
        <f t="shared" si="183"/>
        <v>40585.708333333336</v>
      </c>
      <c r="S940" t="str">
        <f t="shared" si="184"/>
        <v>Feb</v>
      </c>
      <c r="T940" t="str">
        <f>INDEX(Lookups!$B$39:$B$45,MATCH(H940,Lookups!$A$39:$A$45,0))</f>
        <v>Fri</v>
      </c>
      <c r="U940" t="str">
        <f t="shared" si="185"/>
        <v>Weekday</v>
      </c>
      <c r="V940" t="str">
        <f t="shared" si="186"/>
        <v>Working Day</v>
      </c>
      <c r="W940" t="str">
        <f t="shared" si="187"/>
        <v>Spring</v>
      </c>
      <c r="X940" t="str">
        <f t="shared" si="188"/>
        <v>Clear</v>
      </c>
      <c r="Y940" t="str">
        <f t="shared" si="189"/>
        <v>Evening</v>
      </c>
      <c r="Z940" t="str">
        <f t="shared" si="190"/>
        <v>Warm</v>
      </c>
      <c r="AA940" t="str">
        <f t="shared" si="191"/>
        <v>Low</v>
      </c>
      <c r="AB940" t="str">
        <f t="shared" si="192"/>
        <v>Peak</v>
      </c>
      <c r="AC940" s="63">
        <f t="shared" si="193"/>
        <v>8.5308056872037921E-2</v>
      </c>
      <c r="AD940" t="str">
        <f>IF(P940&gt;=Stats!$C$30,"High",IF(P940&lt;=Stats!$C$29,"Low","Normal"))</f>
        <v>High</v>
      </c>
      <c r="AE940">
        <f t="shared" si="194"/>
        <v>1</v>
      </c>
    </row>
    <row r="941" spans="1:31" x14ac:dyDescent="0.2">
      <c r="A941">
        <f>Dataset_3!A331</f>
        <v>940</v>
      </c>
      <c r="B941" s="61">
        <f>Dataset_3!B331</f>
        <v>40585</v>
      </c>
      <c r="C941">
        <f>Dataset_3!C331</f>
        <v>1</v>
      </c>
      <c r="D941">
        <f>Dataset_3!D331</f>
        <v>0</v>
      </c>
      <c r="E941">
        <f>Dataset_3!E331</f>
        <v>2</v>
      </c>
      <c r="F941">
        <f>Dataset_3!F331</f>
        <v>18</v>
      </c>
      <c r="G941" t="b">
        <f>Dataset_3!G331</f>
        <v>0</v>
      </c>
      <c r="H941">
        <f>Dataset_3!H331</f>
        <v>5</v>
      </c>
      <c r="I941">
        <f>Dataset_3!I331</f>
        <v>1</v>
      </c>
      <c r="J941" s="55">
        <f>Dataset_3!J331</f>
        <v>0.28000000000000003</v>
      </c>
      <c r="K941">
        <f>Dataset_3!K331</f>
        <v>0.31819999999999998</v>
      </c>
      <c r="L941">
        <f>Dataset_3!L331</f>
        <v>0.28000000000000003</v>
      </c>
      <c r="M941">
        <f>Dataset_3!M331</f>
        <v>0</v>
      </c>
      <c r="N941">
        <f>Dataset_3!N331</f>
        <v>9</v>
      </c>
      <c r="O941">
        <f>Dataset_3!O331</f>
        <v>165</v>
      </c>
      <c r="P941">
        <f>Dataset_3!P331</f>
        <v>174</v>
      </c>
      <c r="Q941" t="str">
        <f t="shared" si="182"/>
        <v>REC-0940</v>
      </c>
      <c r="R941" s="62">
        <f t="shared" si="183"/>
        <v>40585.75</v>
      </c>
      <c r="S941" t="str">
        <f t="shared" si="184"/>
        <v>Feb</v>
      </c>
      <c r="T941" t="str">
        <f>INDEX(Lookups!$B$39:$B$45,MATCH(H941,Lookups!$A$39:$A$45,0))</f>
        <v>Fri</v>
      </c>
      <c r="U941" t="str">
        <f t="shared" si="185"/>
        <v>Weekday</v>
      </c>
      <c r="V941" t="str">
        <f t="shared" si="186"/>
        <v>Working Day</v>
      </c>
      <c r="W941" t="str">
        <f t="shared" si="187"/>
        <v>Spring</v>
      </c>
      <c r="X941" t="str">
        <f t="shared" si="188"/>
        <v>Clear</v>
      </c>
      <c r="Y941" t="str">
        <f t="shared" si="189"/>
        <v>Evening</v>
      </c>
      <c r="Z941" t="str">
        <f t="shared" si="190"/>
        <v>Mild</v>
      </c>
      <c r="AA941" t="str">
        <f t="shared" si="191"/>
        <v>Low</v>
      </c>
      <c r="AB941" t="str">
        <f t="shared" si="192"/>
        <v>Peak</v>
      </c>
      <c r="AC941" s="63">
        <f t="shared" si="193"/>
        <v>5.1724137931034482E-2</v>
      </c>
      <c r="AD941" t="str">
        <f>IF(P941&gt;=Stats!$C$30,"High",IF(P941&lt;=Stats!$C$29,"Low","Normal"))</f>
        <v>High</v>
      </c>
      <c r="AE941">
        <f t="shared" si="194"/>
        <v>1</v>
      </c>
    </row>
    <row r="942" spans="1:31" x14ac:dyDescent="0.2">
      <c r="A942">
        <f>Dataset_3!A332</f>
        <v>941</v>
      </c>
      <c r="B942" s="61">
        <f>Dataset_3!B332</f>
        <v>40585</v>
      </c>
      <c r="C942">
        <f>Dataset_3!C332</f>
        <v>1</v>
      </c>
      <c r="D942">
        <f>Dataset_3!D332</f>
        <v>0</v>
      </c>
      <c r="E942">
        <f>Dataset_3!E332</f>
        <v>2</v>
      </c>
      <c r="F942">
        <f>Dataset_3!F332</f>
        <v>19</v>
      </c>
      <c r="G942" t="b">
        <f>Dataset_3!G332</f>
        <v>0</v>
      </c>
      <c r="H942">
        <f>Dataset_3!H332</f>
        <v>5</v>
      </c>
      <c r="I942">
        <f>Dataset_3!I332</f>
        <v>1</v>
      </c>
      <c r="J942" s="55">
        <f>Dataset_3!J332</f>
        <v>0.26</v>
      </c>
      <c r="K942">
        <f>Dataset_3!K332</f>
        <v>0.30299999999999999</v>
      </c>
      <c r="L942">
        <f>Dataset_3!L332</f>
        <v>0.33</v>
      </c>
      <c r="M942">
        <f>Dataset_3!M332</f>
        <v>0</v>
      </c>
      <c r="N942">
        <f>Dataset_3!N332</f>
        <v>7</v>
      </c>
      <c r="O942">
        <f>Dataset_3!O332</f>
        <v>94</v>
      </c>
      <c r="P942">
        <f>Dataset_3!P332</f>
        <v>101</v>
      </c>
      <c r="Q942" t="str">
        <f t="shared" si="182"/>
        <v>REC-0941</v>
      </c>
      <c r="R942" s="62">
        <f t="shared" si="183"/>
        <v>40585.791666666664</v>
      </c>
      <c r="S942" t="str">
        <f t="shared" si="184"/>
        <v>Feb</v>
      </c>
      <c r="T942" t="str">
        <f>INDEX(Lookups!$B$39:$B$45,MATCH(H942,Lookups!$A$39:$A$45,0))</f>
        <v>Fri</v>
      </c>
      <c r="U942" t="str">
        <f t="shared" si="185"/>
        <v>Weekday</v>
      </c>
      <c r="V942" t="str">
        <f t="shared" si="186"/>
        <v>Working Day</v>
      </c>
      <c r="W942" t="str">
        <f t="shared" si="187"/>
        <v>Spring</v>
      </c>
      <c r="X942" t="str">
        <f t="shared" si="188"/>
        <v>Clear</v>
      </c>
      <c r="Y942" t="str">
        <f t="shared" si="189"/>
        <v>Evening</v>
      </c>
      <c r="Z942" t="str">
        <f t="shared" si="190"/>
        <v>Mild</v>
      </c>
      <c r="AA942" t="str">
        <f t="shared" si="191"/>
        <v>Low</v>
      </c>
      <c r="AB942" t="str">
        <f t="shared" si="192"/>
        <v>Peak</v>
      </c>
      <c r="AC942" s="63">
        <f t="shared" si="193"/>
        <v>6.9306930693069313E-2</v>
      </c>
      <c r="AD942" t="str">
        <f>IF(P942&gt;=Stats!$C$30,"High",IF(P942&lt;=Stats!$C$29,"Low","Normal"))</f>
        <v>High</v>
      </c>
      <c r="AE942">
        <f t="shared" si="194"/>
        <v>1</v>
      </c>
    </row>
    <row r="943" spans="1:31" x14ac:dyDescent="0.2">
      <c r="A943">
        <f>Dataset_3!A333</f>
        <v>942</v>
      </c>
      <c r="B943" s="61">
        <f>Dataset_3!B333</f>
        <v>40585</v>
      </c>
      <c r="C943">
        <f>Dataset_3!C333</f>
        <v>1</v>
      </c>
      <c r="D943">
        <f>Dataset_3!D333</f>
        <v>0</v>
      </c>
      <c r="E943">
        <f>Dataset_3!E333</f>
        <v>2</v>
      </c>
      <c r="F943">
        <f>Dataset_3!F333</f>
        <v>20</v>
      </c>
      <c r="G943" t="b">
        <f>Dataset_3!G333</f>
        <v>0</v>
      </c>
      <c r="H943">
        <f>Dataset_3!H333</f>
        <v>5</v>
      </c>
      <c r="I943">
        <f>Dataset_3!I333</f>
        <v>1</v>
      </c>
      <c r="J943" s="55">
        <f>Dataset_3!J333</f>
        <v>0.22</v>
      </c>
      <c r="K943">
        <f>Dataset_3!K333</f>
        <v>0.2273</v>
      </c>
      <c r="L943">
        <f>Dataset_3!L333</f>
        <v>0.55000000000000004</v>
      </c>
      <c r="M943">
        <f>Dataset_3!M333</f>
        <v>0.1343</v>
      </c>
      <c r="N943">
        <f>Dataset_3!N333</f>
        <v>2</v>
      </c>
      <c r="O943">
        <f>Dataset_3!O333</f>
        <v>61</v>
      </c>
      <c r="P943">
        <f>Dataset_3!P333</f>
        <v>63</v>
      </c>
      <c r="Q943" t="str">
        <f t="shared" si="182"/>
        <v>REC-0942</v>
      </c>
      <c r="R943" s="62">
        <f t="shared" si="183"/>
        <v>40585.833333333336</v>
      </c>
      <c r="S943" t="str">
        <f t="shared" si="184"/>
        <v>Feb</v>
      </c>
      <c r="T943" t="str">
        <f>INDEX(Lookups!$B$39:$B$45,MATCH(H943,Lookups!$A$39:$A$45,0))</f>
        <v>Fri</v>
      </c>
      <c r="U943" t="str">
        <f t="shared" si="185"/>
        <v>Weekday</v>
      </c>
      <c r="V943" t="str">
        <f t="shared" si="186"/>
        <v>Working Day</v>
      </c>
      <c r="W943" t="str">
        <f t="shared" si="187"/>
        <v>Spring</v>
      </c>
      <c r="X943" t="str">
        <f t="shared" si="188"/>
        <v>Clear</v>
      </c>
      <c r="Y943" t="str">
        <f t="shared" si="189"/>
        <v>Evening</v>
      </c>
      <c r="Z943" t="str">
        <f t="shared" si="190"/>
        <v>Mild</v>
      </c>
      <c r="AA943" t="str">
        <f t="shared" si="191"/>
        <v>Medium</v>
      </c>
      <c r="AB943" t="str">
        <f t="shared" si="192"/>
        <v>Off-Peak</v>
      </c>
      <c r="AC943" s="63">
        <f t="shared" si="193"/>
        <v>3.1746031746031744E-2</v>
      </c>
      <c r="AD943" t="str">
        <f>IF(P943&gt;=Stats!$C$30,"High",IF(P943&lt;=Stats!$C$29,"Low","Normal"))</f>
        <v>Normal</v>
      </c>
      <c r="AE943">
        <f t="shared" si="194"/>
        <v>1</v>
      </c>
    </row>
    <row r="944" spans="1:31" x14ac:dyDescent="0.2">
      <c r="A944">
        <f>Dataset_3!A334</f>
        <v>943</v>
      </c>
      <c r="B944" s="61">
        <f>Dataset_3!B334</f>
        <v>40585</v>
      </c>
      <c r="C944">
        <f>Dataset_3!C334</f>
        <v>1</v>
      </c>
      <c r="D944">
        <f>Dataset_3!D334</f>
        <v>0</v>
      </c>
      <c r="E944">
        <f>Dataset_3!E334</f>
        <v>2</v>
      </c>
      <c r="F944">
        <f>Dataset_3!F334</f>
        <v>21</v>
      </c>
      <c r="G944" t="b">
        <f>Dataset_3!G334</f>
        <v>0</v>
      </c>
      <c r="H944">
        <f>Dataset_3!H334</f>
        <v>5</v>
      </c>
      <c r="I944">
        <f>Dataset_3!I334</f>
        <v>1</v>
      </c>
      <c r="J944" s="55">
        <f>Dataset_3!J334</f>
        <v>0.2</v>
      </c>
      <c r="K944">
        <f>Dataset_3!K334</f>
        <v>0.21210000000000001</v>
      </c>
      <c r="L944">
        <f>Dataset_3!L334</f>
        <v>0.59</v>
      </c>
      <c r="M944">
        <f>Dataset_3!M334</f>
        <v>0.1343</v>
      </c>
      <c r="N944">
        <f>Dataset_3!N334</f>
        <v>1</v>
      </c>
      <c r="O944">
        <f>Dataset_3!O334</f>
        <v>46</v>
      </c>
      <c r="P944">
        <f>Dataset_3!P334</f>
        <v>47</v>
      </c>
      <c r="Q944" t="str">
        <f t="shared" si="182"/>
        <v>REC-0943</v>
      </c>
      <c r="R944" s="62">
        <f t="shared" si="183"/>
        <v>40585.875</v>
      </c>
      <c r="S944" t="str">
        <f t="shared" si="184"/>
        <v>Feb</v>
      </c>
      <c r="T944" t="str">
        <f>INDEX(Lookups!$B$39:$B$45,MATCH(H944,Lookups!$A$39:$A$45,0))</f>
        <v>Fri</v>
      </c>
      <c r="U944" t="str">
        <f t="shared" si="185"/>
        <v>Weekday</v>
      </c>
      <c r="V944" t="str">
        <f t="shared" si="186"/>
        <v>Working Day</v>
      </c>
      <c r="W944" t="str">
        <f t="shared" si="187"/>
        <v>Spring</v>
      </c>
      <c r="X944" t="str">
        <f t="shared" si="188"/>
        <v>Clear</v>
      </c>
      <c r="Y944" t="str">
        <f t="shared" si="189"/>
        <v>Late Evening</v>
      </c>
      <c r="Z944" t="str">
        <f t="shared" si="190"/>
        <v>Mild</v>
      </c>
      <c r="AA944" t="str">
        <f t="shared" si="191"/>
        <v>Medium</v>
      </c>
      <c r="AB944" t="str">
        <f t="shared" si="192"/>
        <v>Off-Peak</v>
      </c>
      <c r="AC944" s="63">
        <f t="shared" si="193"/>
        <v>2.1276595744680851E-2</v>
      </c>
      <c r="AD944" t="str">
        <f>IF(P944&gt;=Stats!$C$30,"High",IF(P944&lt;=Stats!$C$29,"Low","Normal"))</f>
        <v>Normal</v>
      </c>
      <c r="AE944">
        <f t="shared" si="194"/>
        <v>1</v>
      </c>
    </row>
    <row r="945" spans="1:31" x14ac:dyDescent="0.2">
      <c r="A945">
        <f>Dataset_3!A335</f>
        <v>944</v>
      </c>
      <c r="B945" s="61">
        <f>Dataset_3!B335</f>
        <v>40585</v>
      </c>
      <c r="C945">
        <f>Dataset_3!C335</f>
        <v>1</v>
      </c>
      <c r="D945">
        <f>Dataset_3!D335</f>
        <v>0</v>
      </c>
      <c r="E945">
        <f>Dataset_3!E335</f>
        <v>2</v>
      </c>
      <c r="F945">
        <f>Dataset_3!F335</f>
        <v>22</v>
      </c>
      <c r="G945" t="b">
        <f>Dataset_3!G335</f>
        <v>0</v>
      </c>
      <c r="H945">
        <f>Dataset_3!H335</f>
        <v>5</v>
      </c>
      <c r="I945">
        <f>Dataset_3!I335</f>
        <v>1</v>
      </c>
      <c r="J945" s="55">
        <f>Dataset_3!J335</f>
        <v>0.2</v>
      </c>
      <c r="K945">
        <f>Dataset_3!K335</f>
        <v>0.2273</v>
      </c>
      <c r="L945">
        <f>Dataset_3!L335</f>
        <v>0.64</v>
      </c>
      <c r="M945">
        <f>Dataset_3!M335</f>
        <v>8.9599999999999999E-2</v>
      </c>
      <c r="N945">
        <f>Dataset_3!N335</f>
        <v>2</v>
      </c>
      <c r="O945">
        <f>Dataset_3!O335</f>
        <v>41</v>
      </c>
      <c r="P945">
        <f>Dataset_3!P335</f>
        <v>43</v>
      </c>
      <c r="Q945" t="str">
        <f t="shared" si="182"/>
        <v>REC-0944</v>
      </c>
      <c r="R945" s="62">
        <f t="shared" si="183"/>
        <v>40585.916666666664</v>
      </c>
      <c r="S945" t="str">
        <f t="shared" si="184"/>
        <v>Feb</v>
      </c>
      <c r="T945" t="str">
        <f>INDEX(Lookups!$B$39:$B$45,MATCH(H945,Lookups!$A$39:$A$45,0))</f>
        <v>Fri</v>
      </c>
      <c r="U945" t="str">
        <f t="shared" si="185"/>
        <v>Weekday</v>
      </c>
      <c r="V945" t="str">
        <f t="shared" si="186"/>
        <v>Working Day</v>
      </c>
      <c r="W945" t="str">
        <f t="shared" si="187"/>
        <v>Spring</v>
      </c>
      <c r="X945" t="str">
        <f t="shared" si="188"/>
        <v>Clear</v>
      </c>
      <c r="Y945" t="str">
        <f t="shared" si="189"/>
        <v>Late Evening</v>
      </c>
      <c r="Z945" t="str">
        <f t="shared" si="190"/>
        <v>Mild</v>
      </c>
      <c r="AA945" t="str">
        <f t="shared" si="191"/>
        <v>Medium</v>
      </c>
      <c r="AB945" t="str">
        <f t="shared" si="192"/>
        <v>Off-Peak</v>
      </c>
      <c r="AC945" s="63">
        <f t="shared" si="193"/>
        <v>4.6511627906976744E-2</v>
      </c>
      <c r="AD945" t="str">
        <f>IF(P945&gt;=Stats!$C$30,"High",IF(P945&lt;=Stats!$C$29,"Low","Normal"))</f>
        <v>Normal</v>
      </c>
      <c r="AE945">
        <f t="shared" si="194"/>
        <v>1</v>
      </c>
    </row>
    <row r="946" spans="1:31" x14ac:dyDescent="0.2">
      <c r="A946">
        <f>Dataset_3!A336</f>
        <v>945</v>
      </c>
      <c r="B946" s="61">
        <f>Dataset_3!B336</f>
        <v>40585</v>
      </c>
      <c r="C946">
        <f>Dataset_3!C336</f>
        <v>1</v>
      </c>
      <c r="D946">
        <f>Dataset_3!D336</f>
        <v>0</v>
      </c>
      <c r="E946">
        <f>Dataset_3!E336</f>
        <v>2</v>
      </c>
      <c r="F946">
        <f>Dataset_3!F336</f>
        <v>23</v>
      </c>
      <c r="G946" t="b">
        <f>Dataset_3!G336</f>
        <v>0</v>
      </c>
      <c r="H946">
        <f>Dataset_3!H336</f>
        <v>5</v>
      </c>
      <c r="I946">
        <f>Dataset_3!I336</f>
        <v>1</v>
      </c>
      <c r="J946" s="55">
        <f>Dataset_3!J336</f>
        <v>0.18</v>
      </c>
      <c r="K946">
        <f>Dataset_3!K336</f>
        <v>0.2424</v>
      </c>
      <c r="L946">
        <f>Dataset_3!L336</f>
        <v>0.69</v>
      </c>
      <c r="M946">
        <f>Dataset_3!M336</f>
        <v>0</v>
      </c>
      <c r="N946">
        <f>Dataset_3!N336</f>
        <v>5</v>
      </c>
      <c r="O946">
        <f>Dataset_3!O336</f>
        <v>48</v>
      </c>
      <c r="P946">
        <f>Dataset_3!P336</f>
        <v>53</v>
      </c>
      <c r="Q946" t="str">
        <f t="shared" si="182"/>
        <v>REC-0945</v>
      </c>
      <c r="R946" s="62">
        <f t="shared" si="183"/>
        <v>40585.958333333336</v>
      </c>
      <c r="S946" t="str">
        <f t="shared" si="184"/>
        <v>Feb</v>
      </c>
      <c r="T946" t="str">
        <f>INDEX(Lookups!$B$39:$B$45,MATCH(H946,Lookups!$A$39:$A$45,0))</f>
        <v>Fri</v>
      </c>
      <c r="U946" t="str">
        <f t="shared" si="185"/>
        <v>Weekday</v>
      </c>
      <c r="V946" t="str">
        <f t="shared" si="186"/>
        <v>Working Day</v>
      </c>
      <c r="W946" t="str">
        <f t="shared" si="187"/>
        <v>Spring</v>
      </c>
      <c r="X946" t="str">
        <f t="shared" si="188"/>
        <v>Clear</v>
      </c>
      <c r="Y946" t="str">
        <f t="shared" si="189"/>
        <v>Late Evening</v>
      </c>
      <c r="Z946" t="str">
        <f t="shared" si="190"/>
        <v>Cold</v>
      </c>
      <c r="AA946" t="str">
        <f t="shared" si="191"/>
        <v>Medium</v>
      </c>
      <c r="AB946" t="str">
        <f t="shared" si="192"/>
        <v>Off-Peak</v>
      </c>
      <c r="AC946" s="63">
        <f t="shared" si="193"/>
        <v>9.4339622641509441E-2</v>
      </c>
      <c r="AD946" t="str">
        <f>IF(P946&gt;=Stats!$C$30,"High",IF(P946&lt;=Stats!$C$29,"Low","Normal"))</f>
        <v>Normal</v>
      </c>
      <c r="AE946">
        <f t="shared" si="194"/>
        <v>1</v>
      </c>
    </row>
    <row r="947" spans="1:31" x14ac:dyDescent="0.2">
      <c r="A947">
        <f>Dataset_3!A337</f>
        <v>946</v>
      </c>
      <c r="B947" s="61">
        <f>Dataset_3!B337</f>
        <v>40586</v>
      </c>
      <c r="C947">
        <f>Dataset_3!C337</f>
        <v>1</v>
      </c>
      <c r="D947">
        <f>Dataset_3!D337</f>
        <v>0</v>
      </c>
      <c r="E947">
        <f>Dataset_3!E337</f>
        <v>2</v>
      </c>
      <c r="F947">
        <f>Dataset_3!F337</f>
        <v>0</v>
      </c>
      <c r="G947" t="b">
        <f>Dataset_3!G337</f>
        <v>0</v>
      </c>
      <c r="H947">
        <f>Dataset_3!H337</f>
        <v>6</v>
      </c>
      <c r="I947">
        <f>Dataset_3!I337</f>
        <v>1</v>
      </c>
      <c r="J947" s="55">
        <f>Dataset_3!J337</f>
        <v>0.16</v>
      </c>
      <c r="K947">
        <f>Dataset_3!K337</f>
        <v>0.19700000000000001</v>
      </c>
      <c r="L947">
        <f>Dataset_3!L337</f>
        <v>0.69</v>
      </c>
      <c r="M947">
        <f>Dataset_3!M337</f>
        <v>8.9599999999999999E-2</v>
      </c>
      <c r="N947">
        <f>Dataset_3!N337</f>
        <v>3</v>
      </c>
      <c r="O947">
        <f>Dataset_3!O337</f>
        <v>27</v>
      </c>
      <c r="P947">
        <f>Dataset_3!P337</f>
        <v>30</v>
      </c>
      <c r="Q947" t="str">
        <f t="shared" si="182"/>
        <v>REC-0946</v>
      </c>
      <c r="R947" s="62">
        <f t="shared" si="183"/>
        <v>40586</v>
      </c>
      <c r="S947" t="str">
        <f t="shared" si="184"/>
        <v>Feb</v>
      </c>
      <c r="T947" t="str">
        <f>INDEX(Lookups!$B$39:$B$45,MATCH(H947,Lookups!$A$39:$A$45,0))</f>
        <v>Sat</v>
      </c>
      <c r="U947" t="str">
        <f t="shared" si="185"/>
        <v>Weekend</v>
      </c>
      <c r="V947" t="str">
        <f t="shared" si="186"/>
        <v>Non-Working Day</v>
      </c>
      <c r="W947" t="str">
        <f t="shared" si="187"/>
        <v>Spring</v>
      </c>
      <c r="X947" t="str">
        <f t="shared" si="188"/>
        <v>Clear</v>
      </c>
      <c r="Y947" t="str">
        <f t="shared" si="189"/>
        <v>Night</v>
      </c>
      <c r="Z947" t="str">
        <f t="shared" si="190"/>
        <v>Cold</v>
      </c>
      <c r="AA947" t="str">
        <f t="shared" si="191"/>
        <v>Medium</v>
      </c>
      <c r="AB947" t="str">
        <f t="shared" si="192"/>
        <v>Off-Peak</v>
      </c>
      <c r="AC947" s="63">
        <f t="shared" si="193"/>
        <v>0.1</v>
      </c>
      <c r="AD947" t="str">
        <f>IF(P947&gt;=Stats!$C$30,"High",IF(P947&lt;=Stats!$C$29,"Low","Normal"))</f>
        <v>Normal</v>
      </c>
      <c r="AE947">
        <f t="shared" si="194"/>
        <v>1</v>
      </c>
    </row>
    <row r="948" spans="1:31" x14ac:dyDescent="0.2">
      <c r="A948">
        <f>Dataset_3!A338</f>
        <v>947</v>
      </c>
      <c r="B948" s="61">
        <f>Dataset_3!B338</f>
        <v>40586</v>
      </c>
      <c r="C948">
        <f>Dataset_3!C338</f>
        <v>1</v>
      </c>
      <c r="D948">
        <f>Dataset_3!D338</f>
        <v>0</v>
      </c>
      <c r="E948">
        <f>Dataset_3!E338</f>
        <v>2</v>
      </c>
      <c r="F948">
        <f>Dataset_3!F338</f>
        <v>1</v>
      </c>
      <c r="G948" t="b">
        <f>Dataset_3!G338</f>
        <v>0</v>
      </c>
      <c r="H948">
        <f>Dataset_3!H338</f>
        <v>6</v>
      </c>
      <c r="I948">
        <f>Dataset_3!I338</f>
        <v>1</v>
      </c>
      <c r="J948" s="55">
        <f>Dataset_3!J338</f>
        <v>0.14000000000000001</v>
      </c>
      <c r="K948">
        <f>Dataset_3!K338</f>
        <v>0.21210000000000001</v>
      </c>
      <c r="L948">
        <f>Dataset_3!L338</f>
        <v>0.86</v>
      </c>
      <c r="M948">
        <f>Dataset_3!M338</f>
        <v>0</v>
      </c>
      <c r="N948">
        <f>Dataset_3!N338</f>
        <v>2</v>
      </c>
      <c r="O948">
        <f>Dataset_3!O338</f>
        <v>22</v>
      </c>
      <c r="P948">
        <f>Dataset_3!P338</f>
        <v>24</v>
      </c>
      <c r="Q948" t="str">
        <f t="shared" si="182"/>
        <v>REC-0947</v>
      </c>
      <c r="R948" s="62">
        <f t="shared" si="183"/>
        <v>40586.041666666664</v>
      </c>
      <c r="S948" t="str">
        <f t="shared" si="184"/>
        <v>Feb</v>
      </c>
      <c r="T948" t="str">
        <f>INDEX(Lookups!$B$39:$B$45,MATCH(H948,Lookups!$A$39:$A$45,0))</f>
        <v>Sat</v>
      </c>
      <c r="U948" t="str">
        <f t="shared" si="185"/>
        <v>Weekend</v>
      </c>
      <c r="V948" t="str">
        <f t="shared" si="186"/>
        <v>Non-Working Day</v>
      </c>
      <c r="W948" t="str">
        <f t="shared" si="187"/>
        <v>Spring</v>
      </c>
      <c r="X948" t="str">
        <f t="shared" si="188"/>
        <v>Clear</v>
      </c>
      <c r="Y948" t="str">
        <f t="shared" si="189"/>
        <v>Night</v>
      </c>
      <c r="Z948" t="str">
        <f t="shared" si="190"/>
        <v>Cold</v>
      </c>
      <c r="AA948" t="str">
        <f t="shared" si="191"/>
        <v>High</v>
      </c>
      <c r="AB948" t="str">
        <f t="shared" si="192"/>
        <v>Off-Peak</v>
      </c>
      <c r="AC948" s="63">
        <f t="shared" si="193"/>
        <v>8.3333333333333329E-2</v>
      </c>
      <c r="AD948" t="str">
        <f>IF(P948&gt;=Stats!$C$30,"High",IF(P948&lt;=Stats!$C$29,"Low","Normal"))</f>
        <v>Normal</v>
      </c>
      <c r="AE948">
        <f t="shared" si="194"/>
        <v>1</v>
      </c>
    </row>
    <row r="949" spans="1:31" x14ac:dyDescent="0.2">
      <c r="A949">
        <f>Dataset_3!A339</f>
        <v>948</v>
      </c>
      <c r="B949" s="61">
        <f>Dataset_3!B339</f>
        <v>40586</v>
      </c>
      <c r="C949">
        <f>Dataset_3!C339</f>
        <v>1</v>
      </c>
      <c r="D949">
        <f>Dataset_3!D339</f>
        <v>0</v>
      </c>
      <c r="E949">
        <f>Dataset_3!E339</f>
        <v>2</v>
      </c>
      <c r="F949">
        <f>Dataset_3!F339</f>
        <v>2</v>
      </c>
      <c r="G949" t="b">
        <f>Dataset_3!G339</f>
        <v>0</v>
      </c>
      <c r="H949">
        <f>Dataset_3!H339</f>
        <v>6</v>
      </c>
      <c r="I949">
        <f>Dataset_3!I339</f>
        <v>1</v>
      </c>
      <c r="J949" s="55">
        <f>Dataset_3!J339</f>
        <v>0.14000000000000001</v>
      </c>
      <c r="K949">
        <f>Dataset_3!K339</f>
        <v>0.21210000000000001</v>
      </c>
      <c r="L949">
        <f>Dataset_3!L339</f>
        <v>0.8</v>
      </c>
      <c r="M949">
        <f>Dataset_3!M339</f>
        <v>0</v>
      </c>
      <c r="N949">
        <f>Dataset_3!N339</f>
        <v>2</v>
      </c>
      <c r="O949">
        <f>Dataset_3!O339</f>
        <v>13</v>
      </c>
      <c r="P949">
        <f>Dataset_3!P339</f>
        <v>15</v>
      </c>
      <c r="Q949" t="str">
        <f t="shared" si="182"/>
        <v>REC-0948</v>
      </c>
      <c r="R949" s="62">
        <f t="shared" si="183"/>
        <v>40586.083333333336</v>
      </c>
      <c r="S949" t="str">
        <f t="shared" si="184"/>
        <v>Feb</v>
      </c>
      <c r="T949" t="str">
        <f>INDEX(Lookups!$B$39:$B$45,MATCH(H949,Lookups!$A$39:$A$45,0))</f>
        <v>Sat</v>
      </c>
      <c r="U949" t="str">
        <f t="shared" si="185"/>
        <v>Weekend</v>
      </c>
      <c r="V949" t="str">
        <f t="shared" si="186"/>
        <v>Non-Working Day</v>
      </c>
      <c r="W949" t="str">
        <f t="shared" si="187"/>
        <v>Spring</v>
      </c>
      <c r="X949" t="str">
        <f t="shared" si="188"/>
        <v>Clear</v>
      </c>
      <c r="Y949" t="str">
        <f t="shared" si="189"/>
        <v>Night</v>
      </c>
      <c r="Z949" t="str">
        <f t="shared" si="190"/>
        <v>Cold</v>
      </c>
      <c r="AA949" t="str">
        <f t="shared" si="191"/>
        <v>High</v>
      </c>
      <c r="AB949" t="str">
        <f t="shared" si="192"/>
        <v>Off-Peak</v>
      </c>
      <c r="AC949" s="63">
        <f t="shared" si="193"/>
        <v>0.13333333333333333</v>
      </c>
      <c r="AD949" t="str">
        <f>IF(P949&gt;=Stats!$C$30,"High",IF(P949&lt;=Stats!$C$29,"Low","Normal"))</f>
        <v>Low</v>
      </c>
      <c r="AE949">
        <f t="shared" si="194"/>
        <v>1</v>
      </c>
    </row>
    <row r="950" spans="1:31" x14ac:dyDescent="0.2">
      <c r="A950">
        <f>Dataset_3!A340</f>
        <v>949</v>
      </c>
      <c r="B950" s="61">
        <f>Dataset_3!B340</f>
        <v>40586</v>
      </c>
      <c r="C950">
        <f>Dataset_3!C340</f>
        <v>1</v>
      </c>
      <c r="D950">
        <f>Dataset_3!D340</f>
        <v>0</v>
      </c>
      <c r="E950">
        <f>Dataset_3!E340</f>
        <v>2</v>
      </c>
      <c r="F950">
        <f>Dataset_3!F340</f>
        <v>3</v>
      </c>
      <c r="G950" t="b">
        <f>Dataset_3!G340</f>
        <v>0</v>
      </c>
      <c r="H950">
        <f>Dataset_3!H340</f>
        <v>6</v>
      </c>
      <c r="I950">
        <f>Dataset_3!I340</f>
        <v>1</v>
      </c>
      <c r="J950" s="55">
        <f>Dataset_3!J340</f>
        <v>0.12</v>
      </c>
      <c r="K950">
        <f>Dataset_3!K340</f>
        <v>0.19700000000000001</v>
      </c>
      <c r="L950">
        <f>Dataset_3!L340</f>
        <v>0.8</v>
      </c>
      <c r="M950">
        <f>Dataset_3!M340</f>
        <v>0</v>
      </c>
      <c r="N950">
        <f>Dataset_3!N340</f>
        <v>3</v>
      </c>
      <c r="O950">
        <f>Dataset_3!O340</f>
        <v>7</v>
      </c>
      <c r="P950">
        <f>Dataset_3!P340</f>
        <v>10</v>
      </c>
      <c r="Q950" t="str">
        <f t="shared" si="182"/>
        <v>REC-0949</v>
      </c>
      <c r="R950" s="62">
        <f t="shared" si="183"/>
        <v>40586.125</v>
      </c>
      <c r="S950" t="str">
        <f t="shared" si="184"/>
        <v>Feb</v>
      </c>
      <c r="T950" t="str">
        <f>INDEX(Lookups!$B$39:$B$45,MATCH(H950,Lookups!$A$39:$A$45,0))</f>
        <v>Sat</v>
      </c>
      <c r="U950" t="str">
        <f t="shared" si="185"/>
        <v>Weekend</v>
      </c>
      <c r="V950" t="str">
        <f t="shared" si="186"/>
        <v>Non-Working Day</v>
      </c>
      <c r="W950" t="str">
        <f t="shared" si="187"/>
        <v>Spring</v>
      </c>
      <c r="X950" t="str">
        <f t="shared" si="188"/>
        <v>Clear</v>
      </c>
      <c r="Y950" t="str">
        <f t="shared" si="189"/>
        <v>Night</v>
      </c>
      <c r="Z950" t="str">
        <f t="shared" si="190"/>
        <v>Cold</v>
      </c>
      <c r="AA950" t="str">
        <f t="shared" si="191"/>
        <v>High</v>
      </c>
      <c r="AB950" t="str">
        <f t="shared" si="192"/>
        <v>Off-Peak</v>
      </c>
      <c r="AC950" s="63">
        <f t="shared" si="193"/>
        <v>0.3</v>
      </c>
      <c r="AD950" t="str">
        <f>IF(P950&gt;=Stats!$C$30,"High",IF(P950&lt;=Stats!$C$29,"Low","Normal"))</f>
        <v>Low</v>
      </c>
      <c r="AE950">
        <f t="shared" si="194"/>
        <v>1</v>
      </c>
    </row>
    <row r="951" spans="1:31" x14ac:dyDescent="0.2">
      <c r="A951">
        <f>Dataset_3!A341</f>
        <v>950</v>
      </c>
      <c r="B951" s="61">
        <f>Dataset_3!B341</f>
        <v>40586</v>
      </c>
      <c r="C951">
        <f>Dataset_3!C341</f>
        <v>1</v>
      </c>
      <c r="D951">
        <f>Dataset_3!D341</f>
        <v>0</v>
      </c>
      <c r="E951">
        <f>Dataset_3!E341</f>
        <v>2</v>
      </c>
      <c r="F951">
        <f>Dataset_3!F341</f>
        <v>4</v>
      </c>
      <c r="G951" t="b">
        <f>Dataset_3!G341</f>
        <v>0</v>
      </c>
      <c r="H951">
        <f>Dataset_3!H341</f>
        <v>6</v>
      </c>
      <c r="I951">
        <f>Dataset_3!I341</f>
        <v>1</v>
      </c>
      <c r="J951" s="55">
        <f>Dataset_3!J341</f>
        <v>0.12</v>
      </c>
      <c r="K951">
        <f>Dataset_3!K341</f>
        <v>0.16669999999999999</v>
      </c>
      <c r="L951">
        <f>Dataset_3!L341</f>
        <v>0.74</v>
      </c>
      <c r="M951">
        <f>Dataset_3!M341</f>
        <v>8.9599999999999999E-2</v>
      </c>
      <c r="N951">
        <f>Dataset_3!N341</f>
        <v>0</v>
      </c>
      <c r="O951">
        <f>Dataset_3!O341</f>
        <v>4</v>
      </c>
      <c r="P951">
        <f>Dataset_3!P341</f>
        <v>4</v>
      </c>
      <c r="Q951" t="str">
        <f t="shared" si="182"/>
        <v>REC-0950</v>
      </c>
      <c r="R951" s="62">
        <f t="shared" si="183"/>
        <v>40586.166666666664</v>
      </c>
      <c r="S951" t="str">
        <f t="shared" si="184"/>
        <v>Feb</v>
      </c>
      <c r="T951" t="str">
        <f>INDEX(Lookups!$B$39:$B$45,MATCH(H951,Lookups!$A$39:$A$45,0))</f>
        <v>Sat</v>
      </c>
      <c r="U951" t="str">
        <f t="shared" si="185"/>
        <v>Weekend</v>
      </c>
      <c r="V951" t="str">
        <f t="shared" si="186"/>
        <v>Non-Working Day</v>
      </c>
      <c r="W951" t="str">
        <f t="shared" si="187"/>
        <v>Spring</v>
      </c>
      <c r="X951" t="str">
        <f t="shared" si="188"/>
        <v>Clear</v>
      </c>
      <c r="Y951" t="str">
        <f t="shared" si="189"/>
        <v>Night</v>
      </c>
      <c r="Z951" t="str">
        <f t="shared" si="190"/>
        <v>Cold</v>
      </c>
      <c r="AA951" t="str">
        <f t="shared" si="191"/>
        <v>Medium</v>
      </c>
      <c r="AB951" t="str">
        <f t="shared" si="192"/>
        <v>Off-Peak</v>
      </c>
      <c r="AC951" s="63">
        <f t="shared" si="193"/>
        <v>0</v>
      </c>
      <c r="AD951" t="str">
        <f>IF(P951&gt;=Stats!$C$30,"High",IF(P951&lt;=Stats!$C$29,"Low","Normal"))</f>
        <v>Low</v>
      </c>
      <c r="AE951">
        <f t="shared" si="194"/>
        <v>1</v>
      </c>
    </row>
    <row r="952" spans="1:31" x14ac:dyDescent="0.2">
      <c r="A952">
        <f>Dataset_3!A342</f>
        <v>951</v>
      </c>
      <c r="B952" s="61">
        <f>Dataset_3!B342</f>
        <v>40586</v>
      </c>
      <c r="C952">
        <f>Dataset_3!C342</f>
        <v>1</v>
      </c>
      <c r="D952">
        <f>Dataset_3!D342</f>
        <v>0</v>
      </c>
      <c r="E952">
        <f>Dataset_3!E342</f>
        <v>2</v>
      </c>
      <c r="F952">
        <f>Dataset_3!F342</f>
        <v>5</v>
      </c>
      <c r="G952" t="b">
        <f>Dataset_3!G342</f>
        <v>0</v>
      </c>
      <c r="H952">
        <f>Dataset_3!H342</f>
        <v>6</v>
      </c>
      <c r="I952">
        <f>Dataset_3!I342</f>
        <v>1</v>
      </c>
      <c r="J952" s="55">
        <f>Dataset_3!J342</f>
        <v>0.12</v>
      </c>
      <c r="K952">
        <f>Dataset_3!K342</f>
        <v>0.16669999999999999</v>
      </c>
      <c r="L952">
        <f>Dataset_3!L342</f>
        <v>0.74</v>
      </c>
      <c r="M952">
        <f>Dataset_3!M342</f>
        <v>8.9599999999999999E-2</v>
      </c>
      <c r="N952">
        <f>Dataset_3!N342</f>
        <v>0</v>
      </c>
      <c r="O952">
        <f>Dataset_3!O342</f>
        <v>1</v>
      </c>
      <c r="P952">
        <f>Dataset_3!P342</f>
        <v>1</v>
      </c>
      <c r="Q952" t="str">
        <f t="shared" si="182"/>
        <v>REC-0951</v>
      </c>
      <c r="R952" s="62">
        <f t="shared" si="183"/>
        <v>40586.208333333336</v>
      </c>
      <c r="S952" t="str">
        <f t="shared" si="184"/>
        <v>Feb</v>
      </c>
      <c r="T952" t="str">
        <f>INDEX(Lookups!$B$39:$B$45,MATCH(H952,Lookups!$A$39:$A$45,0))</f>
        <v>Sat</v>
      </c>
      <c r="U952" t="str">
        <f t="shared" si="185"/>
        <v>Weekend</v>
      </c>
      <c r="V952" t="str">
        <f t="shared" si="186"/>
        <v>Non-Working Day</v>
      </c>
      <c r="W952" t="str">
        <f t="shared" si="187"/>
        <v>Spring</v>
      </c>
      <c r="X952" t="str">
        <f t="shared" si="188"/>
        <v>Clear</v>
      </c>
      <c r="Y952" t="str">
        <f t="shared" si="189"/>
        <v>Night</v>
      </c>
      <c r="Z952" t="str">
        <f t="shared" si="190"/>
        <v>Cold</v>
      </c>
      <c r="AA952" t="str">
        <f t="shared" si="191"/>
        <v>Medium</v>
      </c>
      <c r="AB952" t="str">
        <f t="shared" si="192"/>
        <v>Off-Peak</v>
      </c>
      <c r="AC952" s="63">
        <f t="shared" si="193"/>
        <v>0</v>
      </c>
      <c r="AD952" t="str">
        <f>IF(P952&gt;=Stats!$C$30,"High",IF(P952&lt;=Stats!$C$29,"Low","Normal"))</f>
        <v>Low</v>
      </c>
      <c r="AE952">
        <f t="shared" si="194"/>
        <v>1</v>
      </c>
    </row>
    <row r="953" spans="1:31" x14ac:dyDescent="0.2">
      <c r="A953">
        <f>Dataset_3!A343</f>
        <v>952</v>
      </c>
      <c r="B953" s="61">
        <f>Dataset_3!B343</f>
        <v>40586</v>
      </c>
      <c r="C953">
        <f>Dataset_3!C343</f>
        <v>1</v>
      </c>
      <c r="D953">
        <f>Dataset_3!D343</f>
        <v>0</v>
      </c>
      <c r="E953">
        <f>Dataset_3!E343</f>
        <v>2</v>
      </c>
      <c r="F953">
        <f>Dataset_3!F343</f>
        <v>6</v>
      </c>
      <c r="G953" t="b">
        <f>Dataset_3!G343</f>
        <v>0</v>
      </c>
      <c r="H953">
        <f>Dataset_3!H343</f>
        <v>6</v>
      </c>
      <c r="I953">
        <f>Dataset_3!I343</f>
        <v>1</v>
      </c>
      <c r="J953" s="55">
        <f>Dataset_3!J343</f>
        <v>0.12</v>
      </c>
      <c r="K953">
        <f>Dataset_3!K343</f>
        <v>0.13639999999999999</v>
      </c>
      <c r="L953">
        <f>Dataset_3!L343</f>
        <v>0.93</v>
      </c>
      <c r="M953">
        <f>Dataset_3!M343</f>
        <v>0.19400000000000001</v>
      </c>
      <c r="N953">
        <f>Dataset_3!N343</f>
        <v>1</v>
      </c>
      <c r="O953">
        <f>Dataset_3!O343</f>
        <v>1</v>
      </c>
      <c r="P953">
        <f>Dataset_3!P343</f>
        <v>2</v>
      </c>
      <c r="Q953" t="str">
        <f t="shared" si="182"/>
        <v>REC-0952</v>
      </c>
      <c r="R953" s="62">
        <f t="shared" si="183"/>
        <v>40586.25</v>
      </c>
      <c r="S953" t="str">
        <f t="shared" si="184"/>
        <v>Feb</v>
      </c>
      <c r="T953" t="str">
        <f>INDEX(Lookups!$B$39:$B$45,MATCH(H953,Lookups!$A$39:$A$45,0))</f>
        <v>Sat</v>
      </c>
      <c r="U953" t="str">
        <f t="shared" si="185"/>
        <v>Weekend</v>
      </c>
      <c r="V953" t="str">
        <f t="shared" si="186"/>
        <v>Non-Working Day</v>
      </c>
      <c r="W953" t="str">
        <f t="shared" si="187"/>
        <v>Spring</v>
      </c>
      <c r="X953" t="str">
        <f t="shared" si="188"/>
        <v>Clear</v>
      </c>
      <c r="Y953" t="str">
        <f t="shared" si="189"/>
        <v>Morning</v>
      </c>
      <c r="Z953" t="str">
        <f t="shared" si="190"/>
        <v>Cold</v>
      </c>
      <c r="AA953" t="str">
        <f t="shared" si="191"/>
        <v>High</v>
      </c>
      <c r="AB953" t="str">
        <f t="shared" si="192"/>
        <v>Off-Peak</v>
      </c>
      <c r="AC953" s="63">
        <f t="shared" si="193"/>
        <v>0.5</v>
      </c>
      <c r="AD953" t="str">
        <f>IF(P953&gt;=Stats!$C$30,"High",IF(P953&lt;=Stats!$C$29,"Low","Normal"))</f>
        <v>Low</v>
      </c>
      <c r="AE953">
        <f t="shared" si="194"/>
        <v>1</v>
      </c>
    </row>
    <row r="954" spans="1:31" x14ac:dyDescent="0.2">
      <c r="A954">
        <f>Dataset_3!A344</f>
        <v>953</v>
      </c>
      <c r="B954" s="61">
        <f>Dataset_3!B344</f>
        <v>40586</v>
      </c>
      <c r="C954">
        <f>Dataset_3!C344</f>
        <v>1</v>
      </c>
      <c r="D954">
        <f>Dataset_3!D344</f>
        <v>0</v>
      </c>
      <c r="E954">
        <f>Dataset_3!E344</f>
        <v>2</v>
      </c>
      <c r="F954">
        <f>Dataset_3!F344</f>
        <v>7</v>
      </c>
      <c r="G954" t="b">
        <f>Dataset_3!G344</f>
        <v>0</v>
      </c>
      <c r="H954">
        <f>Dataset_3!H344</f>
        <v>6</v>
      </c>
      <c r="I954">
        <f>Dataset_3!I344</f>
        <v>1</v>
      </c>
      <c r="J954" s="55">
        <f>Dataset_3!J344</f>
        <v>0.12</v>
      </c>
      <c r="K954">
        <f>Dataset_3!K344</f>
        <v>0.1515</v>
      </c>
      <c r="L954">
        <f>Dataset_3!L344</f>
        <v>0.8</v>
      </c>
      <c r="M954">
        <f>Dataset_3!M344</f>
        <v>0.1045</v>
      </c>
      <c r="N954">
        <f>Dataset_3!N344</f>
        <v>2</v>
      </c>
      <c r="O954">
        <f>Dataset_3!O344</f>
        <v>9</v>
      </c>
      <c r="P954">
        <f>Dataset_3!P344</f>
        <v>11</v>
      </c>
      <c r="Q954" t="str">
        <f t="shared" si="182"/>
        <v>REC-0953</v>
      </c>
      <c r="R954" s="62">
        <f t="shared" si="183"/>
        <v>40586.291666666664</v>
      </c>
      <c r="S954" t="str">
        <f t="shared" si="184"/>
        <v>Feb</v>
      </c>
      <c r="T954" t="str">
        <f>INDEX(Lookups!$B$39:$B$45,MATCH(H954,Lookups!$A$39:$A$45,0))</f>
        <v>Sat</v>
      </c>
      <c r="U954" t="str">
        <f t="shared" si="185"/>
        <v>Weekend</v>
      </c>
      <c r="V954" t="str">
        <f t="shared" si="186"/>
        <v>Non-Working Day</v>
      </c>
      <c r="W954" t="str">
        <f t="shared" si="187"/>
        <v>Spring</v>
      </c>
      <c r="X954" t="str">
        <f t="shared" si="188"/>
        <v>Clear</v>
      </c>
      <c r="Y954" t="str">
        <f t="shared" si="189"/>
        <v>Morning</v>
      </c>
      <c r="Z954" t="str">
        <f t="shared" si="190"/>
        <v>Cold</v>
      </c>
      <c r="AA954" t="str">
        <f t="shared" si="191"/>
        <v>High</v>
      </c>
      <c r="AB954" t="str">
        <f t="shared" si="192"/>
        <v>Off-Peak</v>
      </c>
      <c r="AC954" s="63">
        <f t="shared" si="193"/>
        <v>0.18181818181818182</v>
      </c>
      <c r="AD954" t="str">
        <f>IF(P954&gt;=Stats!$C$30,"High",IF(P954&lt;=Stats!$C$29,"Low","Normal"))</f>
        <v>Low</v>
      </c>
      <c r="AE954">
        <f t="shared" si="194"/>
        <v>1</v>
      </c>
    </row>
    <row r="955" spans="1:31" x14ac:dyDescent="0.2">
      <c r="A955">
        <f>Dataset_3!A345</f>
        <v>954</v>
      </c>
      <c r="B955" s="61">
        <f>Dataset_3!B345</f>
        <v>40586</v>
      </c>
      <c r="C955">
        <f>Dataset_3!C345</f>
        <v>1</v>
      </c>
      <c r="D955">
        <f>Dataset_3!D345</f>
        <v>0</v>
      </c>
      <c r="E955">
        <f>Dataset_3!E345</f>
        <v>2</v>
      </c>
      <c r="F955">
        <f>Dataset_3!F345</f>
        <v>8</v>
      </c>
      <c r="G955" t="b">
        <f>Dataset_3!G345</f>
        <v>0</v>
      </c>
      <c r="H955">
        <f>Dataset_3!H345</f>
        <v>6</v>
      </c>
      <c r="I955">
        <f>Dataset_3!I345</f>
        <v>1</v>
      </c>
      <c r="J955" s="55">
        <f>Dataset_3!J345</f>
        <v>0.14000000000000001</v>
      </c>
      <c r="K955">
        <f>Dataset_3!K345</f>
        <v>0.1515</v>
      </c>
      <c r="L955">
        <f>Dataset_3!L345</f>
        <v>0.86</v>
      </c>
      <c r="M955">
        <f>Dataset_3!M345</f>
        <v>0.1343</v>
      </c>
      <c r="N955">
        <f>Dataset_3!N345</f>
        <v>2</v>
      </c>
      <c r="O955">
        <f>Dataset_3!O345</f>
        <v>28</v>
      </c>
      <c r="P955">
        <f>Dataset_3!P345</f>
        <v>30</v>
      </c>
      <c r="Q955" t="str">
        <f t="shared" si="182"/>
        <v>REC-0954</v>
      </c>
      <c r="R955" s="62">
        <f t="shared" si="183"/>
        <v>40586.333333333336</v>
      </c>
      <c r="S955" t="str">
        <f t="shared" si="184"/>
        <v>Feb</v>
      </c>
      <c r="T955" t="str">
        <f>INDEX(Lookups!$B$39:$B$45,MATCH(H955,Lookups!$A$39:$A$45,0))</f>
        <v>Sat</v>
      </c>
      <c r="U955" t="str">
        <f t="shared" si="185"/>
        <v>Weekend</v>
      </c>
      <c r="V955" t="str">
        <f t="shared" si="186"/>
        <v>Non-Working Day</v>
      </c>
      <c r="W955" t="str">
        <f t="shared" si="187"/>
        <v>Spring</v>
      </c>
      <c r="X955" t="str">
        <f t="shared" si="188"/>
        <v>Clear</v>
      </c>
      <c r="Y955" t="str">
        <f t="shared" si="189"/>
        <v>Morning</v>
      </c>
      <c r="Z955" t="str">
        <f t="shared" si="190"/>
        <v>Cold</v>
      </c>
      <c r="AA955" t="str">
        <f t="shared" si="191"/>
        <v>High</v>
      </c>
      <c r="AB955" t="str">
        <f t="shared" si="192"/>
        <v>Off-Peak</v>
      </c>
      <c r="AC955" s="63">
        <f t="shared" si="193"/>
        <v>6.6666666666666666E-2</v>
      </c>
      <c r="AD955" t="str">
        <f>IF(P955&gt;=Stats!$C$30,"High",IF(P955&lt;=Stats!$C$29,"Low","Normal"))</f>
        <v>Normal</v>
      </c>
      <c r="AE955">
        <f t="shared" si="194"/>
        <v>1</v>
      </c>
    </row>
    <row r="956" spans="1:31" x14ac:dyDescent="0.2">
      <c r="A956">
        <f>Dataset_3!A346</f>
        <v>955</v>
      </c>
      <c r="B956" s="61">
        <f>Dataset_3!B346</f>
        <v>40586</v>
      </c>
      <c r="C956">
        <f>Dataset_3!C346</f>
        <v>1</v>
      </c>
      <c r="D956">
        <f>Dataset_3!D346</f>
        <v>0</v>
      </c>
      <c r="E956">
        <f>Dataset_3!E346</f>
        <v>2</v>
      </c>
      <c r="F956">
        <f>Dataset_3!F346</f>
        <v>9</v>
      </c>
      <c r="G956" t="b">
        <f>Dataset_3!G346</f>
        <v>0</v>
      </c>
      <c r="H956">
        <f>Dataset_3!H346</f>
        <v>6</v>
      </c>
      <c r="I956">
        <f>Dataset_3!I346</f>
        <v>1</v>
      </c>
      <c r="J956" s="55">
        <f>Dataset_3!J346</f>
        <v>0.16</v>
      </c>
      <c r="K956">
        <f>Dataset_3!K346</f>
        <v>0.18179999999999999</v>
      </c>
      <c r="L956">
        <f>Dataset_3!L346</f>
        <v>0.64</v>
      </c>
      <c r="M956">
        <f>Dataset_3!M346</f>
        <v>0.1343</v>
      </c>
      <c r="N956">
        <f>Dataset_3!N346</f>
        <v>5</v>
      </c>
      <c r="O956">
        <f>Dataset_3!O346</f>
        <v>38</v>
      </c>
      <c r="P956">
        <f>Dataset_3!P346</f>
        <v>43</v>
      </c>
      <c r="Q956" t="str">
        <f t="shared" si="182"/>
        <v>REC-0955</v>
      </c>
      <c r="R956" s="62">
        <f t="shared" si="183"/>
        <v>40586.375</v>
      </c>
      <c r="S956" t="str">
        <f t="shared" si="184"/>
        <v>Feb</v>
      </c>
      <c r="T956" t="str">
        <f>INDEX(Lookups!$B$39:$B$45,MATCH(H956,Lookups!$A$39:$A$45,0))</f>
        <v>Sat</v>
      </c>
      <c r="U956" t="str">
        <f t="shared" si="185"/>
        <v>Weekend</v>
      </c>
      <c r="V956" t="str">
        <f t="shared" si="186"/>
        <v>Non-Working Day</v>
      </c>
      <c r="W956" t="str">
        <f t="shared" si="187"/>
        <v>Spring</v>
      </c>
      <c r="X956" t="str">
        <f t="shared" si="188"/>
        <v>Clear</v>
      </c>
      <c r="Y956" t="str">
        <f t="shared" si="189"/>
        <v>Morning</v>
      </c>
      <c r="Z956" t="str">
        <f t="shared" si="190"/>
        <v>Cold</v>
      </c>
      <c r="AA956" t="str">
        <f t="shared" si="191"/>
        <v>Medium</v>
      </c>
      <c r="AB956" t="str">
        <f t="shared" si="192"/>
        <v>Off-Peak</v>
      </c>
      <c r="AC956" s="63">
        <f t="shared" si="193"/>
        <v>0.11627906976744186</v>
      </c>
      <c r="AD956" t="str">
        <f>IF(P956&gt;=Stats!$C$30,"High",IF(P956&lt;=Stats!$C$29,"Low","Normal"))</f>
        <v>Normal</v>
      </c>
      <c r="AE956">
        <f t="shared" si="194"/>
        <v>1</v>
      </c>
    </row>
    <row r="957" spans="1:31" x14ac:dyDescent="0.2">
      <c r="A957">
        <f>Dataset_3!A347</f>
        <v>956</v>
      </c>
      <c r="B957" s="61">
        <f>Dataset_3!B347</f>
        <v>40586</v>
      </c>
      <c r="C957">
        <f>Dataset_3!C347</f>
        <v>1</v>
      </c>
      <c r="D957">
        <f>Dataset_3!D347</f>
        <v>0</v>
      </c>
      <c r="E957">
        <f>Dataset_3!E347</f>
        <v>2</v>
      </c>
      <c r="F957">
        <f>Dataset_3!F347</f>
        <v>10</v>
      </c>
      <c r="G957" t="b">
        <f>Dataset_3!G347</f>
        <v>0</v>
      </c>
      <c r="H957">
        <f>Dataset_3!H347</f>
        <v>6</v>
      </c>
      <c r="I957">
        <f>Dataset_3!I347</f>
        <v>1</v>
      </c>
      <c r="J957" s="55">
        <f>Dataset_3!J347</f>
        <v>0.22</v>
      </c>
      <c r="K957">
        <f>Dataset_3!K347</f>
        <v>0.21210000000000001</v>
      </c>
      <c r="L957">
        <f>Dataset_3!L347</f>
        <v>0.41</v>
      </c>
      <c r="M957">
        <f>Dataset_3!M347</f>
        <v>0.25369999999999998</v>
      </c>
      <c r="N957">
        <f>Dataset_3!N347</f>
        <v>13</v>
      </c>
      <c r="O957">
        <f>Dataset_3!O347</f>
        <v>71</v>
      </c>
      <c r="P957">
        <f>Dataset_3!P347</f>
        <v>84</v>
      </c>
      <c r="Q957" t="str">
        <f t="shared" si="182"/>
        <v>REC-0956</v>
      </c>
      <c r="R957" s="62">
        <f t="shared" si="183"/>
        <v>40586.416666666664</v>
      </c>
      <c r="S957" t="str">
        <f t="shared" si="184"/>
        <v>Feb</v>
      </c>
      <c r="T957" t="str">
        <f>INDEX(Lookups!$B$39:$B$45,MATCH(H957,Lookups!$A$39:$A$45,0))</f>
        <v>Sat</v>
      </c>
      <c r="U957" t="str">
        <f t="shared" si="185"/>
        <v>Weekend</v>
      </c>
      <c r="V957" t="str">
        <f t="shared" si="186"/>
        <v>Non-Working Day</v>
      </c>
      <c r="W957" t="str">
        <f t="shared" si="187"/>
        <v>Spring</v>
      </c>
      <c r="X957" t="str">
        <f t="shared" si="188"/>
        <v>Clear</v>
      </c>
      <c r="Y957" t="str">
        <f t="shared" si="189"/>
        <v>Morning</v>
      </c>
      <c r="Z957" t="str">
        <f t="shared" si="190"/>
        <v>Mild</v>
      </c>
      <c r="AA957" t="str">
        <f t="shared" si="191"/>
        <v>Low</v>
      </c>
      <c r="AB957" t="str">
        <f t="shared" si="192"/>
        <v>Off-Peak</v>
      </c>
      <c r="AC957" s="63">
        <f t="shared" si="193"/>
        <v>0.15476190476190477</v>
      </c>
      <c r="AD957" t="str">
        <f>IF(P957&gt;=Stats!$C$30,"High",IF(P957&lt;=Stats!$C$29,"Low","Normal"))</f>
        <v>High</v>
      </c>
      <c r="AE957">
        <f t="shared" si="194"/>
        <v>1</v>
      </c>
    </row>
    <row r="958" spans="1:31" x14ac:dyDescent="0.2">
      <c r="A958">
        <f>Dataset_3!A348</f>
        <v>957</v>
      </c>
      <c r="B958" s="61">
        <f>Dataset_3!B348</f>
        <v>40586</v>
      </c>
      <c r="C958">
        <f>Dataset_3!C348</f>
        <v>1</v>
      </c>
      <c r="D958">
        <f>Dataset_3!D348</f>
        <v>0</v>
      </c>
      <c r="E958">
        <f>Dataset_3!E348</f>
        <v>2</v>
      </c>
      <c r="F958">
        <f>Dataset_3!F348</f>
        <v>11</v>
      </c>
      <c r="G958" t="b">
        <f>Dataset_3!G348</f>
        <v>0</v>
      </c>
      <c r="H958">
        <f>Dataset_3!H348</f>
        <v>6</v>
      </c>
      <c r="I958">
        <f>Dataset_3!I348</f>
        <v>1</v>
      </c>
      <c r="J958" s="55">
        <f>Dataset_3!J348</f>
        <v>0.3</v>
      </c>
      <c r="K958">
        <f>Dataset_3!K348</f>
        <v>0.2727</v>
      </c>
      <c r="L958">
        <f>Dataset_3!L348</f>
        <v>0.28000000000000003</v>
      </c>
      <c r="M958">
        <f>Dataset_3!M348</f>
        <v>0.32840000000000003</v>
      </c>
      <c r="N958">
        <f>Dataset_3!N348</f>
        <v>30</v>
      </c>
      <c r="O958">
        <f>Dataset_3!O348</f>
        <v>84</v>
      </c>
      <c r="P958">
        <f>Dataset_3!P348</f>
        <v>114</v>
      </c>
      <c r="Q958" t="str">
        <f t="shared" si="182"/>
        <v>REC-0957</v>
      </c>
      <c r="R958" s="62">
        <f t="shared" si="183"/>
        <v>40586.458333333336</v>
      </c>
      <c r="S958" t="str">
        <f t="shared" si="184"/>
        <v>Feb</v>
      </c>
      <c r="T958" t="str">
        <f>INDEX(Lookups!$B$39:$B$45,MATCH(H958,Lookups!$A$39:$A$45,0))</f>
        <v>Sat</v>
      </c>
      <c r="U958" t="str">
        <f t="shared" si="185"/>
        <v>Weekend</v>
      </c>
      <c r="V958" t="str">
        <f t="shared" si="186"/>
        <v>Non-Working Day</v>
      </c>
      <c r="W958" t="str">
        <f t="shared" si="187"/>
        <v>Spring</v>
      </c>
      <c r="X958" t="str">
        <f t="shared" si="188"/>
        <v>Clear</v>
      </c>
      <c r="Y958" t="str">
        <f t="shared" si="189"/>
        <v>Morning</v>
      </c>
      <c r="Z958" t="str">
        <f t="shared" si="190"/>
        <v>Warm</v>
      </c>
      <c r="AA958" t="str">
        <f t="shared" si="191"/>
        <v>Low</v>
      </c>
      <c r="AB958" t="str">
        <f t="shared" si="192"/>
        <v>Off-Peak</v>
      </c>
      <c r="AC958" s="63">
        <f t="shared" si="193"/>
        <v>0.26315789473684209</v>
      </c>
      <c r="AD958" t="str">
        <f>IF(P958&gt;=Stats!$C$30,"High",IF(P958&lt;=Stats!$C$29,"Low","Normal"))</f>
        <v>High</v>
      </c>
      <c r="AE958">
        <f t="shared" si="194"/>
        <v>1</v>
      </c>
    </row>
    <row r="959" spans="1:31" x14ac:dyDescent="0.2">
      <c r="A959">
        <f>Dataset_3!A349</f>
        <v>958</v>
      </c>
      <c r="B959" s="61">
        <f>Dataset_3!B349</f>
        <v>40586</v>
      </c>
      <c r="C959">
        <f>Dataset_3!C349</f>
        <v>1</v>
      </c>
      <c r="D959">
        <f>Dataset_3!D349</f>
        <v>0</v>
      </c>
      <c r="E959">
        <f>Dataset_3!E349</f>
        <v>2</v>
      </c>
      <c r="F959">
        <f>Dataset_3!F349</f>
        <v>12</v>
      </c>
      <c r="G959" t="b">
        <f>Dataset_3!G349</f>
        <v>0</v>
      </c>
      <c r="H959">
        <f>Dataset_3!H349</f>
        <v>6</v>
      </c>
      <c r="I959">
        <f>Dataset_3!I349</f>
        <v>1</v>
      </c>
      <c r="J959" s="55">
        <f>Dataset_3!J349</f>
        <v>0.3</v>
      </c>
      <c r="K959">
        <f>Dataset_3!K349</f>
        <v>0.2727</v>
      </c>
      <c r="L959">
        <f>Dataset_3!L349</f>
        <v>0.39</v>
      </c>
      <c r="M959">
        <f>Dataset_3!M349</f>
        <v>0.4627</v>
      </c>
      <c r="N959">
        <f>Dataset_3!N349</f>
        <v>27</v>
      </c>
      <c r="O959">
        <f>Dataset_3!O349</f>
        <v>93</v>
      </c>
      <c r="P959">
        <f>Dataset_3!P349</f>
        <v>120</v>
      </c>
      <c r="Q959" t="str">
        <f t="shared" si="182"/>
        <v>REC-0958</v>
      </c>
      <c r="R959" s="62">
        <f t="shared" si="183"/>
        <v>40586.5</v>
      </c>
      <c r="S959" t="str">
        <f t="shared" si="184"/>
        <v>Feb</v>
      </c>
      <c r="T959" t="str">
        <f>INDEX(Lookups!$B$39:$B$45,MATCH(H959,Lookups!$A$39:$A$45,0))</f>
        <v>Sat</v>
      </c>
      <c r="U959" t="str">
        <f t="shared" si="185"/>
        <v>Weekend</v>
      </c>
      <c r="V959" t="str">
        <f t="shared" si="186"/>
        <v>Non-Working Day</v>
      </c>
      <c r="W959" t="str">
        <f t="shared" si="187"/>
        <v>Spring</v>
      </c>
      <c r="X959" t="str">
        <f t="shared" si="188"/>
        <v>Clear</v>
      </c>
      <c r="Y959" t="str">
        <f t="shared" si="189"/>
        <v>Afternoon</v>
      </c>
      <c r="Z959" t="str">
        <f t="shared" si="190"/>
        <v>Warm</v>
      </c>
      <c r="AA959" t="str">
        <f t="shared" si="191"/>
        <v>Low</v>
      </c>
      <c r="AB959" t="str">
        <f t="shared" si="192"/>
        <v>Off-Peak</v>
      </c>
      <c r="AC959" s="63">
        <f t="shared" si="193"/>
        <v>0.22500000000000001</v>
      </c>
      <c r="AD959" t="str">
        <f>IF(P959&gt;=Stats!$C$30,"High",IF(P959&lt;=Stats!$C$29,"Low","Normal"))</f>
        <v>High</v>
      </c>
      <c r="AE959">
        <f t="shared" si="194"/>
        <v>1</v>
      </c>
    </row>
    <row r="960" spans="1:31" x14ac:dyDescent="0.2">
      <c r="A960">
        <f>Dataset_3!A350</f>
        <v>959</v>
      </c>
      <c r="B960" s="61">
        <f>Dataset_3!B350</f>
        <v>40586</v>
      </c>
      <c r="C960">
        <f>Dataset_3!C350</f>
        <v>1</v>
      </c>
      <c r="D960">
        <f>Dataset_3!D350</f>
        <v>0</v>
      </c>
      <c r="E960">
        <f>Dataset_3!E350</f>
        <v>2</v>
      </c>
      <c r="F960">
        <f>Dataset_3!F350</f>
        <v>13</v>
      </c>
      <c r="G960" t="b">
        <f>Dataset_3!G350</f>
        <v>0</v>
      </c>
      <c r="H960">
        <f>Dataset_3!H350</f>
        <v>6</v>
      </c>
      <c r="I960">
        <f>Dataset_3!I350</f>
        <v>1</v>
      </c>
      <c r="J960" s="55">
        <f>Dataset_3!J350</f>
        <v>0.3</v>
      </c>
      <c r="K960">
        <f>Dataset_3!K350</f>
        <v>0.2727</v>
      </c>
      <c r="L960">
        <f>Dataset_3!L350</f>
        <v>0.39</v>
      </c>
      <c r="M960">
        <f>Dataset_3!M350</f>
        <v>0.41789999999999999</v>
      </c>
      <c r="N960">
        <f>Dataset_3!N350</f>
        <v>32</v>
      </c>
      <c r="O960">
        <f>Dataset_3!O350</f>
        <v>103</v>
      </c>
      <c r="P960">
        <f>Dataset_3!P350</f>
        <v>135</v>
      </c>
      <c r="Q960" t="str">
        <f t="shared" si="182"/>
        <v>REC-0959</v>
      </c>
      <c r="R960" s="62">
        <f t="shared" si="183"/>
        <v>40586.541666666664</v>
      </c>
      <c r="S960" t="str">
        <f t="shared" si="184"/>
        <v>Feb</v>
      </c>
      <c r="T960" t="str">
        <f>INDEX(Lookups!$B$39:$B$45,MATCH(H960,Lookups!$A$39:$A$45,0))</f>
        <v>Sat</v>
      </c>
      <c r="U960" t="str">
        <f t="shared" si="185"/>
        <v>Weekend</v>
      </c>
      <c r="V960" t="str">
        <f t="shared" si="186"/>
        <v>Non-Working Day</v>
      </c>
      <c r="W960" t="str">
        <f t="shared" si="187"/>
        <v>Spring</v>
      </c>
      <c r="X960" t="str">
        <f t="shared" si="188"/>
        <v>Clear</v>
      </c>
      <c r="Y960" t="str">
        <f t="shared" si="189"/>
        <v>Afternoon</v>
      </c>
      <c r="Z960" t="str">
        <f t="shared" si="190"/>
        <v>Warm</v>
      </c>
      <c r="AA960" t="str">
        <f t="shared" si="191"/>
        <v>Low</v>
      </c>
      <c r="AB960" t="str">
        <f t="shared" si="192"/>
        <v>Off-Peak</v>
      </c>
      <c r="AC960" s="63">
        <f t="shared" si="193"/>
        <v>0.23703703703703705</v>
      </c>
      <c r="AD960" t="str">
        <f>IF(P960&gt;=Stats!$C$30,"High",IF(P960&lt;=Stats!$C$29,"Low","Normal"))</f>
        <v>High</v>
      </c>
      <c r="AE960">
        <f t="shared" si="194"/>
        <v>1</v>
      </c>
    </row>
    <row r="961" spans="1:31" x14ac:dyDescent="0.2">
      <c r="A961">
        <f>Dataset_3!A351</f>
        <v>960</v>
      </c>
      <c r="B961" s="61">
        <f>Dataset_3!B351</f>
        <v>40586</v>
      </c>
      <c r="C961">
        <f>Dataset_3!C351</f>
        <v>1</v>
      </c>
      <c r="D961">
        <f>Dataset_3!D351</f>
        <v>0</v>
      </c>
      <c r="E961">
        <f>Dataset_3!E351</f>
        <v>2</v>
      </c>
      <c r="F961">
        <f>Dataset_3!F351</f>
        <v>14</v>
      </c>
      <c r="G961" t="b">
        <f>Dataset_3!G351</f>
        <v>0</v>
      </c>
      <c r="H961">
        <f>Dataset_3!H351</f>
        <v>6</v>
      </c>
      <c r="I961">
        <f>Dataset_3!I351</f>
        <v>1</v>
      </c>
      <c r="J961" s="55">
        <f>Dataset_3!J351</f>
        <v>0.34</v>
      </c>
      <c r="K961">
        <f>Dataset_3!K351</f>
        <v>0.31819999999999998</v>
      </c>
      <c r="L961">
        <f>Dataset_3!L351</f>
        <v>0.31</v>
      </c>
      <c r="M961">
        <f>Dataset_3!M351</f>
        <v>0.28360000000000002</v>
      </c>
      <c r="N961">
        <f>Dataset_3!N351</f>
        <v>30</v>
      </c>
      <c r="O961">
        <f>Dataset_3!O351</f>
        <v>90</v>
      </c>
      <c r="P961">
        <f>Dataset_3!P351</f>
        <v>120</v>
      </c>
      <c r="Q961" t="str">
        <f t="shared" si="182"/>
        <v>REC-0960</v>
      </c>
      <c r="R961" s="62">
        <f t="shared" si="183"/>
        <v>40586.583333333336</v>
      </c>
      <c r="S961" t="str">
        <f t="shared" si="184"/>
        <v>Feb</v>
      </c>
      <c r="T961" t="str">
        <f>INDEX(Lookups!$B$39:$B$45,MATCH(H961,Lookups!$A$39:$A$45,0))</f>
        <v>Sat</v>
      </c>
      <c r="U961" t="str">
        <f t="shared" si="185"/>
        <v>Weekend</v>
      </c>
      <c r="V961" t="str">
        <f t="shared" si="186"/>
        <v>Non-Working Day</v>
      </c>
      <c r="W961" t="str">
        <f t="shared" si="187"/>
        <v>Spring</v>
      </c>
      <c r="X961" t="str">
        <f t="shared" si="188"/>
        <v>Clear</v>
      </c>
      <c r="Y961" t="str">
        <f t="shared" si="189"/>
        <v>Afternoon</v>
      </c>
      <c r="Z961" t="str">
        <f t="shared" si="190"/>
        <v>Warm</v>
      </c>
      <c r="AA961" t="str">
        <f t="shared" si="191"/>
        <v>Low</v>
      </c>
      <c r="AB961" t="str">
        <f t="shared" si="192"/>
        <v>Off-Peak</v>
      </c>
      <c r="AC961" s="63">
        <f t="shared" si="193"/>
        <v>0.25</v>
      </c>
      <c r="AD961" t="str">
        <f>IF(P961&gt;=Stats!$C$30,"High",IF(P961&lt;=Stats!$C$29,"Low","Normal"))</f>
        <v>High</v>
      </c>
      <c r="AE961">
        <f t="shared" si="194"/>
        <v>1</v>
      </c>
    </row>
    <row r="962" spans="1:31" x14ac:dyDescent="0.2">
      <c r="A962">
        <f>Dataset_3!A352</f>
        <v>961</v>
      </c>
      <c r="B962" s="61">
        <f>Dataset_3!B352</f>
        <v>40586</v>
      </c>
      <c r="C962">
        <f>Dataset_3!C352</f>
        <v>1</v>
      </c>
      <c r="D962">
        <f>Dataset_3!D352</f>
        <v>0</v>
      </c>
      <c r="E962">
        <f>Dataset_3!E352</f>
        <v>2</v>
      </c>
      <c r="F962">
        <f>Dataset_3!F352</f>
        <v>15</v>
      </c>
      <c r="G962" t="b">
        <f>Dataset_3!G352</f>
        <v>0</v>
      </c>
      <c r="H962">
        <f>Dataset_3!H352</f>
        <v>6</v>
      </c>
      <c r="I962">
        <f>Dataset_3!I352</f>
        <v>1</v>
      </c>
      <c r="J962" s="55">
        <f>Dataset_3!J352</f>
        <v>0.34</v>
      </c>
      <c r="K962">
        <f>Dataset_3!K352</f>
        <v>0.30299999999999999</v>
      </c>
      <c r="L962">
        <f>Dataset_3!L352</f>
        <v>0.28999999999999998</v>
      </c>
      <c r="M962">
        <f>Dataset_3!M352</f>
        <v>0.41789999999999999</v>
      </c>
      <c r="N962">
        <f>Dataset_3!N352</f>
        <v>47</v>
      </c>
      <c r="O962">
        <f>Dataset_3!O352</f>
        <v>127</v>
      </c>
      <c r="P962">
        <f>Dataset_3!P352</f>
        <v>174</v>
      </c>
      <c r="Q962" t="str">
        <f t="shared" ref="Q962:Q1001" si="195">"REC-"&amp;TEXT(A962,"0000")</f>
        <v>REC-0961</v>
      </c>
      <c r="R962" s="62">
        <f t="shared" ref="R962:R1001" si="196">B962+F962/24</f>
        <v>40586.625</v>
      </c>
      <c r="S962" t="str">
        <f t="shared" ref="S962:S1001" si="197">TEXT(B962,"mmm")</f>
        <v>Feb</v>
      </c>
      <c r="T962" t="str">
        <f>INDEX(Lookups!$B$39:$B$45,MATCH(H962,Lookups!$A$39:$A$45,0))</f>
        <v>Sat</v>
      </c>
      <c r="U962" t="str">
        <f t="shared" ref="U962:U1001" si="198">IF(OR(H962=0,H962=6),"Weekend","Weekday")</f>
        <v>Weekend</v>
      </c>
      <c r="V962" t="str">
        <f t="shared" ref="V962:V1001" si="199">IF(OR(U962="Weekend",G962=TRUE),"Non-Working Day","Working Day")</f>
        <v>Non-Working Day</v>
      </c>
      <c r="W962" t="str">
        <f t="shared" ref="W962:W1001" si="200">VLOOKUP(C962,tbl_season,2,FALSE)</f>
        <v>Spring</v>
      </c>
      <c r="X962" t="str">
        <f t="shared" ref="X962:X1001" si="201">VLOOKUP(I962,tbl_weather,2,FALSE)</f>
        <v>Clear</v>
      </c>
      <c r="Y962" t="str">
        <f t="shared" ref="Y962:Y1001" si="202">INDEX(band_name,MATCH(F962,band_start,1))</f>
        <v>Afternoon</v>
      </c>
      <c r="Z962" t="str">
        <f t="shared" ref="Z962:Z1001" si="203">INDEX(temp_band,MATCH(J962,temp_from,1))</f>
        <v>Warm</v>
      </c>
      <c r="AA962" t="str">
        <f t="shared" ref="AA962:AA1001" si="204">INDEX(hum_band,MATCH(L962,hum_from,1))</f>
        <v>Low</v>
      </c>
      <c r="AB962" t="str">
        <f t="shared" ref="AB962:AB1001" si="205">IF(AND(U962="Weekday",OR(AND(F962&gt;=7,F962&lt;=9),AND(F962&gt;=16,F962&lt;=19))),"Peak","Off-Peak")</f>
        <v>Off-Peak</v>
      </c>
      <c r="AC962" s="63">
        <f t="shared" ref="AC962:AC1001" si="206">IF(P962=0,0,N962/P962)</f>
        <v>0.27011494252873564</v>
      </c>
      <c r="AD962" t="str">
        <f>IF(P962&gt;=Stats!$C$30,"High",IF(P962&lt;=Stats!$C$29,"Low","Normal"))</f>
        <v>High</v>
      </c>
      <c r="AE962">
        <f t="shared" ref="AE962:AE1001" si="207">SUBTOTAL(103,A962)</f>
        <v>1</v>
      </c>
    </row>
    <row r="963" spans="1:31" x14ac:dyDescent="0.2">
      <c r="A963">
        <f>Dataset_3!A353</f>
        <v>962</v>
      </c>
      <c r="B963" s="61">
        <f>Dataset_3!B353</f>
        <v>40586</v>
      </c>
      <c r="C963">
        <f>Dataset_3!C353</f>
        <v>1</v>
      </c>
      <c r="D963">
        <f>Dataset_3!D353</f>
        <v>0</v>
      </c>
      <c r="E963">
        <f>Dataset_3!E353</f>
        <v>2</v>
      </c>
      <c r="F963">
        <f>Dataset_3!F353</f>
        <v>16</v>
      </c>
      <c r="G963" t="b">
        <f>Dataset_3!G353</f>
        <v>0</v>
      </c>
      <c r="H963">
        <f>Dataset_3!H353</f>
        <v>6</v>
      </c>
      <c r="I963">
        <f>Dataset_3!I353</f>
        <v>1</v>
      </c>
      <c r="J963" s="55">
        <f>Dataset_3!J353</f>
        <v>0.34</v>
      </c>
      <c r="K963">
        <f>Dataset_3!K353</f>
        <v>0.30299999999999999</v>
      </c>
      <c r="L963">
        <f>Dataset_3!L353</f>
        <v>0.28999999999999998</v>
      </c>
      <c r="M963">
        <f>Dataset_3!M353</f>
        <v>0.41789999999999999</v>
      </c>
      <c r="N963">
        <f>Dataset_3!N353</f>
        <v>42</v>
      </c>
      <c r="O963">
        <f>Dataset_3!O353</f>
        <v>103</v>
      </c>
      <c r="P963">
        <f>Dataset_3!P353</f>
        <v>145</v>
      </c>
      <c r="Q963" t="str">
        <f t="shared" si="195"/>
        <v>REC-0962</v>
      </c>
      <c r="R963" s="62">
        <f t="shared" si="196"/>
        <v>40586.666666666664</v>
      </c>
      <c r="S963" t="str">
        <f t="shared" si="197"/>
        <v>Feb</v>
      </c>
      <c r="T963" t="str">
        <f>INDEX(Lookups!$B$39:$B$45,MATCH(H963,Lookups!$A$39:$A$45,0))</f>
        <v>Sat</v>
      </c>
      <c r="U963" t="str">
        <f t="shared" si="198"/>
        <v>Weekend</v>
      </c>
      <c r="V963" t="str">
        <f t="shared" si="199"/>
        <v>Non-Working Day</v>
      </c>
      <c r="W963" t="str">
        <f t="shared" si="200"/>
        <v>Spring</v>
      </c>
      <c r="X963" t="str">
        <f t="shared" si="201"/>
        <v>Clear</v>
      </c>
      <c r="Y963" t="str">
        <f t="shared" si="202"/>
        <v>Afternoon</v>
      </c>
      <c r="Z963" t="str">
        <f t="shared" si="203"/>
        <v>Warm</v>
      </c>
      <c r="AA963" t="str">
        <f t="shared" si="204"/>
        <v>Low</v>
      </c>
      <c r="AB963" t="str">
        <f t="shared" si="205"/>
        <v>Off-Peak</v>
      </c>
      <c r="AC963" s="63">
        <f t="shared" si="206"/>
        <v>0.28965517241379313</v>
      </c>
      <c r="AD963" t="str">
        <f>IF(P963&gt;=Stats!$C$30,"High",IF(P963&lt;=Stats!$C$29,"Low","Normal"))</f>
        <v>High</v>
      </c>
      <c r="AE963">
        <f t="shared" si="207"/>
        <v>1</v>
      </c>
    </row>
    <row r="964" spans="1:31" x14ac:dyDescent="0.2">
      <c r="A964">
        <f>Dataset_3!A354</f>
        <v>963</v>
      </c>
      <c r="B964" s="61">
        <f>Dataset_3!B354</f>
        <v>40586</v>
      </c>
      <c r="C964">
        <f>Dataset_3!C354</f>
        <v>1</v>
      </c>
      <c r="D964">
        <f>Dataset_3!D354</f>
        <v>0</v>
      </c>
      <c r="E964">
        <f>Dataset_3!E354</f>
        <v>2</v>
      </c>
      <c r="F964">
        <f>Dataset_3!F354</f>
        <v>17</v>
      </c>
      <c r="G964" t="b">
        <f>Dataset_3!G354</f>
        <v>0</v>
      </c>
      <c r="H964">
        <f>Dataset_3!H354</f>
        <v>6</v>
      </c>
      <c r="I964">
        <f>Dataset_3!I354</f>
        <v>1</v>
      </c>
      <c r="J964" s="55">
        <f>Dataset_3!J354</f>
        <v>0.32</v>
      </c>
      <c r="K964">
        <f>Dataset_3!K354</f>
        <v>0.28789999999999999</v>
      </c>
      <c r="L964">
        <f>Dataset_3!L354</f>
        <v>0.31</v>
      </c>
      <c r="M964">
        <f>Dataset_3!M354</f>
        <v>0.52239999999999998</v>
      </c>
      <c r="N964">
        <f>Dataset_3!N354</f>
        <v>24</v>
      </c>
      <c r="O964">
        <f>Dataset_3!O354</f>
        <v>113</v>
      </c>
      <c r="P964">
        <f>Dataset_3!P354</f>
        <v>137</v>
      </c>
      <c r="Q964" t="str">
        <f t="shared" si="195"/>
        <v>REC-0963</v>
      </c>
      <c r="R964" s="62">
        <f t="shared" si="196"/>
        <v>40586.708333333336</v>
      </c>
      <c r="S964" t="str">
        <f t="shared" si="197"/>
        <v>Feb</v>
      </c>
      <c r="T964" t="str">
        <f>INDEX(Lookups!$B$39:$B$45,MATCH(H964,Lookups!$A$39:$A$45,0))</f>
        <v>Sat</v>
      </c>
      <c r="U964" t="str">
        <f t="shared" si="198"/>
        <v>Weekend</v>
      </c>
      <c r="V964" t="str">
        <f t="shared" si="199"/>
        <v>Non-Working Day</v>
      </c>
      <c r="W964" t="str">
        <f t="shared" si="200"/>
        <v>Spring</v>
      </c>
      <c r="X964" t="str">
        <f t="shared" si="201"/>
        <v>Clear</v>
      </c>
      <c r="Y964" t="str">
        <f t="shared" si="202"/>
        <v>Evening</v>
      </c>
      <c r="Z964" t="str">
        <f t="shared" si="203"/>
        <v>Warm</v>
      </c>
      <c r="AA964" t="str">
        <f t="shared" si="204"/>
        <v>Low</v>
      </c>
      <c r="AB964" t="str">
        <f t="shared" si="205"/>
        <v>Off-Peak</v>
      </c>
      <c r="AC964" s="63">
        <f t="shared" si="206"/>
        <v>0.17518248175182483</v>
      </c>
      <c r="AD964" t="str">
        <f>IF(P964&gt;=Stats!$C$30,"High",IF(P964&lt;=Stats!$C$29,"Low","Normal"))</f>
        <v>High</v>
      </c>
      <c r="AE964">
        <f t="shared" si="207"/>
        <v>1</v>
      </c>
    </row>
    <row r="965" spans="1:31" x14ac:dyDescent="0.2">
      <c r="A965">
        <f>Dataset_3!A355</f>
        <v>964</v>
      </c>
      <c r="B965" s="61">
        <f>Dataset_3!B355</f>
        <v>40586</v>
      </c>
      <c r="C965">
        <f>Dataset_3!C355</f>
        <v>1</v>
      </c>
      <c r="D965">
        <f>Dataset_3!D355</f>
        <v>0</v>
      </c>
      <c r="E965">
        <f>Dataset_3!E355</f>
        <v>2</v>
      </c>
      <c r="F965">
        <f>Dataset_3!F355</f>
        <v>18</v>
      </c>
      <c r="G965" t="b">
        <f>Dataset_3!G355</f>
        <v>0</v>
      </c>
      <c r="H965">
        <f>Dataset_3!H355</f>
        <v>6</v>
      </c>
      <c r="I965">
        <f>Dataset_3!I355</f>
        <v>1</v>
      </c>
      <c r="J965" s="55">
        <f>Dataset_3!J355</f>
        <v>0.28000000000000003</v>
      </c>
      <c r="K965">
        <f>Dataset_3!K355</f>
        <v>0.2576</v>
      </c>
      <c r="L965">
        <f>Dataset_3!L355</f>
        <v>0.38</v>
      </c>
      <c r="M965">
        <f>Dataset_3!M355</f>
        <v>0.32840000000000003</v>
      </c>
      <c r="N965">
        <f>Dataset_3!N355</f>
        <v>4</v>
      </c>
      <c r="O965">
        <f>Dataset_3!O355</f>
        <v>60</v>
      </c>
      <c r="P965">
        <f>Dataset_3!P355</f>
        <v>64</v>
      </c>
      <c r="Q965" t="str">
        <f t="shared" si="195"/>
        <v>REC-0964</v>
      </c>
      <c r="R965" s="62">
        <f t="shared" si="196"/>
        <v>40586.75</v>
      </c>
      <c r="S965" t="str">
        <f t="shared" si="197"/>
        <v>Feb</v>
      </c>
      <c r="T965" t="str">
        <f>INDEX(Lookups!$B$39:$B$45,MATCH(H965,Lookups!$A$39:$A$45,0))</f>
        <v>Sat</v>
      </c>
      <c r="U965" t="str">
        <f t="shared" si="198"/>
        <v>Weekend</v>
      </c>
      <c r="V965" t="str">
        <f t="shared" si="199"/>
        <v>Non-Working Day</v>
      </c>
      <c r="W965" t="str">
        <f t="shared" si="200"/>
        <v>Spring</v>
      </c>
      <c r="X965" t="str">
        <f t="shared" si="201"/>
        <v>Clear</v>
      </c>
      <c r="Y965" t="str">
        <f t="shared" si="202"/>
        <v>Evening</v>
      </c>
      <c r="Z965" t="str">
        <f t="shared" si="203"/>
        <v>Mild</v>
      </c>
      <c r="AA965" t="str">
        <f t="shared" si="204"/>
        <v>Low</v>
      </c>
      <c r="AB965" t="str">
        <f t="shared" si="205"/>
        <v>Off-Peak</v>
      </c>
      <c r="AC965" s="63">
        <f t="shared" si="206"/>
        <v>6.25E-2</v>
      </c>
      <c r="AD965" t="str">
        <f>IF(P965&gt;=Stats!$C$30,"High",IF(P965&lt;=Stats!$C$29,"Low","Normal"))</f>
        <v>Normal</v>
      </c>
      <c r="AE965">
        <f t="shared" si="207"/>
        <v>1</v>
      </c>
    </row>
    <row r="966" spans="1:31" x14ac:dyDescent="0.2">
      <c r="A966">
        <f>Dataset_3!A356</f>
        <v>965</v>
      </c>
      <c r="B966" s="61">
        <f>Dataset_3!B356</f>
        <v>40586</v>
      </c>
      <c r="C966">
        <f>Dataset_3!C356</f>
        <v>1</v>
      </c>
      <c r="D966">
        <f>Dataset_3!D356</f>
        <v>0</v>
      </c>
      <c r="E966">
        <f>Dataset_3!E356</f>
        <v>2</v>
      </c>
      <c r="F966">
        <f>Dataset_3!F356</f>
        <v>19</v>
      </c>
      <c r="G966" t="b">
        <f>Dataset_3!G356</f>
        <v>0</v>
      </c>
      <c r="H966">
        <f>Dataset_3!H356</f>
        <v>6</v>
      </c>
      <c r="I966">
        <f>Dataset_3!I356</f>
        <v>1</v>
      </c>
      <c r="J966" s="55">
        <f>Dataset_3!J356</f>
        <v>0.28000000000000003</v>
      </c>
      <c r="K966">
        <f>Dataset_3!K356</f>
        <v>0.2727</v>
      </c>
      <c r="L966">
        <f>Dataset_3!L356</f>
        <v>0.38</v>
      </c>
      <c r="M966">
        <f>Dataset_3!M356</f>
        <v>0.16420000000000001</v>
      </c>
      <c r="N966">
        <f>Dataset_3!N356</f>
        <v>2</v>
      </c>
      <c r="O966">
        <f>Dataset_3!O356</f>
        <v>39</v>
      </c>
      <c r="P966">
        <f>Dataset_3!P356</f>
        <v>41</v>
      </c>
      <c r="Q966" t="str">
        <f t="shared" si="195"/>
        <v>REC-0965</v>
      </c>
      <c r="R966" s="62">
        <f t="shared" si="196"/>
        <v>40586.791666666664</v>
      </c>
      <c r="S966" t="str">
        <f t="shared" si="197"/>
        <v>Feb</v>
      </c>
      <c r="T966" t="str">
        <f>INDEX(Lookups!$B$39:$B$45,MATCH(H966,Lookups!$A$39:$A$45,0))</f>
        <v>Sat</v>
      </c>
      <c r="U966" t="str">
        <f t="shared" si="198"/>
        <v>Weekend</v>
      </c>
      <c r="V966" t="str">
        <f t="shared" si="199"/>
        <v>Non-Working Day</v>
      </c>
      <c r="W966" t="str">
        <f t="shared" si="200"/>
        <v>Spring</v>
      </c>
      <c r="X966" t="str">
        <f t="shared" si="201"/>
        <v>Clear</v>
      </c>
      <c r="Y966" t="str">
        <f t="shared" si="202"/>
        <v>Evening</v>
      </c>
      <c r="Z966" t="str">
        <f t="shared" si="203"/>
        <v>Mild</v>
      </c>
      <c r="AA966" t="str">
        <f t="shared" si="204"/>
        <v>Low</v>
      </c>
      <c r="AB966" t="str">
        <f t="shared" si="205"/>
        <v>Off-Peak</v>
      </c>
      <c r="AC966" s="63">
        <f t="shared" si="206"/>
        <v>4.878048780487805E-2</v>
      </c>
      <c r="AD966" t="str">
        <f>IF(P966&gt;=Stats!$C$30,"High",IF(P966&lt;=Stats!$C$29,"Low","Normal"))</f>
        <v>Normal</v>
      </c>
      <c r="AE966">
        <f t="shared" si="207"/>
        <v>1</v>
      </c>
    </row>
    <row r="967" spans="1:31" x14ac:dyDescent="0.2">
      <c r="A967">
        <f>Dataset_3!A357</f>
        <v>966</v>
      </c>
      <c r="B967" s="61">
        <f>Dataset_3!B357</f>
        <v>40586</v>
      </c>
      <c r="C967">
        <f>Dataset_3!C357</f>
        <v>1</v>
      </c>
      <c r="D967">
        <f>Dataset_3!D357</f>
        <v>0</v>
      </c>
      <c r="E967">
        <f>Dataset_3!E357</f>
        <v>2</v>
      </c>
      <c r="F967">
        <f>Dataset_3!F357</f>
        <v>20</v>
      </c>
      <c r="G967" t="b">
        <f>Dataset_3!G357</f>
        <v>0</v>
      </c>
      <c r="H967">
        <f>Dataset_3!H357</f>
        <v>6</v>
      </c>
      <c r="I967">
        <f>Dataset_3!I357</f>
        <v>1</v>
      </c>
      <c r="J967" s="55">
        <f>Dataset_3!J357</f>
        <v>0.26</v>
      </c>
      <c r="K967">
        <f>Dataset_3!K357</f>
        <v>0.2576</v>
      </c>
      <c r="L967">
        <f>Dataset_3!L357</f>
        <v>0.41</v>
      </c>
      <c r="M967">
        <f>Dataset_3!M357</f>
        <v>0.22389999999999999</v>
      </c>
      <c r="N967">
        <f>Dataset_3!N357</f>
        <v>1</v>
      </c>
      <c r="O967">
        <f>Dataset_3!O357</f>
        <v>39</v>
      </c>
      <c r="P967">
        <f>Dataset_3!P357</f>
        <v>40</v>
      </c>
      <c r="Q967" t="str">
        <f t="shared" si="195"/>
        <v>REC-0966</v>
      </c>
      <c r="R967" s="62">
        <f t="shared" si="196"/>
        <v>40586.833333333336</v>
      </c>
      <c r="S967" t="str">
        <f t="shared" si="197"/>
        <v>Feb</v>
      </c>
      <c r="T967" t="str">
        <f>INDEX(Lookups!$B$39:$B$45,MATCH(H967,Lookups!$A$39:$A$45,0))</f>
        <v>Sat</v>
      </c>
      <c r="U967" t="str">
        <f t="shared" si="198"/>
        <v>Weekend</v>
      </c>
      <c r="V967" t="str">
        <f t="shared" si="199"/>
        <v>Non-Working Day</v>
      </c>
      <c r="W967" t="str">
        <f t="shared" si="200"/>
        <v>Spring</v>
      </c>
      <c r="X967" t="str">
        <f t="shared" si="201"/>
        <v>Clear</v>
      </c>
      <c r="Y967" t="str">
        <f t="shared" si="202"/>
        <v>Evening</v>
      </c>
      <c r="Z967" t="str">
        <f t="shared" si="203"/>
        <v>Mild</v>
      </c>
      <c r="AA967" t="str">
        <f t="shared" si="204"/>
        <v>Low</v>
      </c>
      <c r="AB967" t="str">
        <f t="shared" si="205"/>
        <v>Off-Peak</v>
      </c>
      <c r="AC967" s="63">
        <f t="shared" si="206"/>
        <v>2.5000000000000001E-2</v>
      </c>
      <c r="AD967" t="str">
        <f>IF(P967&gt;=Stats!$C$30,"High",IF(P967&lt;=Stats!$C$29,"Low","Normal"))</f>
        <v>Normal</v>
      </c>
      <c r="AE967">
        <f t="shared" si="207"/>
        <v>1</v>
      </c>
    </row>
    <row r="968" spans="1:31" x14ac:dyDescent="0.2">
      <c r="A968">
        <f>Dataset_3!A358</f>
        <v>967</v>
      </c>
      <c r="B968" s="61">
        <f>Dataset_3!B358</f>
        <v>40586</v>
      </c>
      <c r="C968">
        <f>Dataset_3!C358</f>
        <v>1</v>
      </c>
      <c r="D968">
        <f>Dataset_3!D358</f>
        <v>0</v>
      </c>
      <c r="E968">
        <f>Dataset_3!E358</f>
        <v>2</v>
      </c>
      <c r="F968">
        <f>Dataset_3!F358</f>
        <v>21</v>
      </c>
      <c r="G968" t="b">
        <f>Dataset_3!G358</f>
        <v>0</v>
      </c>
      <c r="H968">
        <f>Dataset_3!H358</f>
        <v>6</v>
      </c>
      <c r="I968">
        <f>Dataset_3!I358</f>
        <v>1</v>
      </c>
      <c r="J968" s="55">
        <f>Dataset_3!J358</f>
        <v>0.26</v>
      </c>
      <c r="K968">
        <f>Dataset_3!K358</f>
        <v>0.30299999999999999</v>
      </c>
      <c r="L968">
        <f>Dataset_3!L358</f>
        <v>0.41</v>
      </c>
      <c r="M968">
        <f>Dataset_3!M358</f>
        <v>0</v>
      </c>
      <c r="N968">
        <f>Dataset_3!N358</f>
        <v>9</v>
      </c>
      <c r="O968">
        <f>Dataset_3!O358</f>
        <v>42</v>
      </c>
      <c r="P968">
        <f>Dataset_3!P358</f>
        <v>51</v>
      </c>
      <c r="Q968" t="str">
        <f t="shared" si="195"/>
        <v>REC-0967</v>
      </c>
      <c r="R968" s="62">
        <f t="shared" si="196"/>
        <v>40586.875</v>
      </c>
      <c r="S968" t="str">
        <f t="shared" si="197"/>
        <v>Feb</v>
      </c>
      <c r="T968" t="str">
        <f>INDEX(Lookups!$B$39:$B$45,MATCH(H968,Lookups!$A$39:$A$45,0))</f>
        <v>Sat</v>
      </c>
      <c r="U968" t="str">
        <f t="shared" si="198"/>
        <v>Weekend</v>
      </c>
      <c r="V968" t="str">
        <f t="shared" si="199"/>
        <v>Non-Working Day</v>
      </c>
      <c r="W968" t="str">
        <f t="shared" si="200"/>
        <v>Spring</v>
      </c>
      <c r="X968" t="str">
        <f t="shared" si="201"/>
        <v>Clear</v>
      </c>
      <c r="Y968" t="str">
        <f t="shared" si="202"/>
        <v>Late Evening</v>
      </c>
      <c r="Z968" t="str">
        <f t="shared" si="203"/>
        <v>Mild</v>
      </c>
      <c r="AA968" t="str">
        <f t="shared" si="204"/>
        <v>Low</v>
      </c>
      <c r="AB968" t="str">
        <f t="shared" si="205"/>
        <v>Off-Peak</v>
      </c>
      <c r="AC968" s="63">
        <f t="shared" si="206"/>
        <v>0.17647058823529413</v>
      </c>
      <c r="AD968" t="str">
        <f>IF(P968&gt;=Stats!$C$30,"High",IF(P968&lt;=Stats!$C$29,"Low","Normal"))</f>
        <v>Normal</v>
      </c>
      <c r="AE968">
        <f t="shared" si="207"/>
        <v>1</v>
      </c>
    </row>
    <row r="969" spans="1:31" x14ac:dyDescent="0.2">
      <c r="A969">
        <f>Dataset_3!A359</f>
        <v>968</v>
      </c>
      <c r="B969" s="61">
        <f>Dataset_3!B359</f>
        <v>40586</v>
      </c>
      <c r="C969">
        <f>Dataset_3!C359</f>
        <v>1</v>
      </c>
      <c r="D969">
        <f>Dataset_3!D359</f>
        <v>0</v>
      </c>
      <c r="E969">
        <f>Dataset_3!E359</f>
        <v>2</v>
      </c>
      <c r="F969">
        <f>Dataset_3!F359</f>
        <v>22</v>
      </c>
      <c r="G969" t="b">
        <f>Dataset_3!G359</f>
        <v>0</v>
      </c>
      <c r="H969">
        <f>Dataset_3!H359</f>
        <v>6</v>
      </c>
      <c r="I969">
        <f>Dataset_3!I359</f>
        <v>1</v>
      </c>
      <c r="J969" s="55">
        <f>Dataset_3!J359</f>
        <v>0.24</v>
      </c>
      <c r="K969">
        <f>Dataset_3!K359</f>
        <v>0.2576</v>
      </c>
      <c r="L969">
        <f>Dataset_3!L359</f>
        <v>0.44</v>
      </c>
      <c r="M969">
        <f>Dataset_3!M359</f>
        <v>8.9599999999999999E-2</v>
      </c>
      <c r="N969">
        <f>Dataset_3!N359</f>
        <v>6</v>
      </c>
      <c r="O969">
        <f>Dataset_3!O359</f>
        <v>39</v>
      </c>
      <c r="P969">
        <f>Dataset_3!P359</f>
        <v>45</v>
      </c>
      <c r="Q969" t="str">
        <f t="shared" si="195"/>
        <v>REC-0968</v>
      </c>
      <c r="R969" s="62">
        <f t="shared" si="196"/>
        <v>40586.916666666664</v>
      </c>
      <c r="S969" t="str">
        <f t="shared" si="197"/>
        <v>Feb</v>
      </c>
      <c r="T969" t="str">
        <f>INDEX(Lookups!$B$39:$B$45,MATCH(H969,Lookups!$A$39:$A$45,0))</f>
        <v>Sat</v>
      </c>
      <c r="U969" t="str">
        <f t="shared" si="198"/>
        <v>Weekend</v>
      </c>
      <c r="V969" t="str">
        <f t="shared" si="199"/>
        <v>Non-Working Day</v>
      </c>
      <c r="W969" t="str">
        <f t="shared" si="200"/>
        <v>Spring</v>
      </c>
      <c r="X969" t="str">
        <f t="shared" si="201"/>
        <v>Clear</v>
      </c>
      <c r="Y969" t="str">
        <f t="shared" si="202"/>
        <v>Late Evening</v>
      </c>
      <c r="Z969" t="str">
        <f t="shared" si="203"/>
        <v>Mild</v>
      </c>
      <c r="AA969" t="str">
        <f t="shared" si="204"/>
        <v>Low</v>
      </c>
      <c r="AB969" t="str">
        <f t="shared" si="205"/>
        <v>Off-Peak</v>
      </c>
      <c r="AC969" s="63">
        <f t="shared" si="206"/>
        <v>0.13333333333333333</v>
      </c>
      <c r="AD969" t="str">
        <f>IF(P969&gt;=Stats!$C$30,"High",IF(P969&lt;=Stats!$C$29,"Low","Normal"))</f>
        <v>Normal</v>
      </c>
      <c r="AE969">
        <f t="shared" si="207"/>
        <v>1</v>
      </c>
    </row>
    <row r="970" spans="1:31" x14ac:dyDescent="0.2">
      <c r="A970">
        <f>Dataset_3!A360</f>
        <v>969</v>
      </c>
      <c r="B970" s="61">
        <f>Dataset_3!B360</f>
        <v>40586</v>
      </c>
      <c r="C970">
        <f>Dataset_3!C360</f>
        <v>1</v>
      </c>
      <c r="D970">
        <f>Dataset_3!D360</f>
        <v>0</v>
      </c>
      <c r="E970">
        <f>Dataset_3!E360</f>
        <v>2</v>
      </c>
      <c r="F970">
        <f>Dataset_3!F360</f>
        <v>23</v>
      </c>
      <c r="G970" t="b">
        <f>Dataset_3!G360</f>
        <v>0</v>
      </c>
      <c r="H970">
        <f>Dataset_3!H360</f>
        <v>6</v>
      </c>
      <c r="I970">
        <f>Dataset_3!I360</f>
        <v>1</v>
      </c>
      <c r="J970" s="55">
        <f>Dataset_3!J360</f>
        <v>0.22</v>
      </c>
      <c r="K970">
        <f>Dataset_3!K360</f>
        <v>0.2273</v>
      </c>
      <c r="L970">
        <f>Dataset_3!L360</f>
        <v>0.51</v>
      </c>
      <c r="M970">
        <f>Dataset_3!M360</f>
        <v>0.1343</v>
      </c>
      <c r="N970">
        <f>Dataset_3!N360</f>
        <v>1</v>
      </c>
      <c r="O970">
        <f>Dataset_3!O360</f>
        <v>31</v>
      </c>
      <c r="P970">
        <f>Dataset_3!P360</f>
        <v>32</v>
      </c>
      <c r="Q970" t="str">
        <f t="shared" si="195"/>
        <v>REC-0969</v>
      </c>
      <c r="R970" s="62">
        <f t="shared" si="196"/>
        <v>40586.958333333336</v>
      </c>
      <c r="S970" t="str">
        <f t="shared" si="197"/>
        <v>Feb</v>
      </c>
      <c r="T970" t="str">
        <f>INDEX(Lookups!$B$39:$B$45,MATCH(H970,Lookups!$A$39:$A$45,0))</f>
        <v>Sat</v>
      </c>
      <c r="U970" t="str">
        <f t="shared" si="198"/>
        <v>Weekend</v>
      </c>
      <c r="V970" t="str">
        <f t="shared" si="199"/>
        <v>Non-Working Day</v>
      </c>
      <c r="W970" t="str">
        <f t="shared" si="200"/>
        <v>Spring</v>
      </c>
      <c r="X970" t="str">
        <f t="shared" si="201"/>
        <v>Clear</v>
      </c>
      <c r="Y970" t="str">
        <f t="shared" si="202"/>
        <v>Late Evening</v>
      </c>
      <c r="Z970" t="str">
        <f t="shared" si="203"/>
        <v>Mild</v>
      </c>
      <c r="AA970" t="str">
        <f t="shared" si="204"/>
        <v>Medium</v>
      </c>
      <c r="AB970" t="str">
        <f t="shared" si="205"/>
        <v>Off-Peak</v>
      </c>
      <c r="AC970" s="63">
        <f t="shared" si="206"/>
        <v>3.125E-2</v>
      </c>
      <c r="AD970" t="str">
        <f>IF(P970&gt;=Stats!$C$30,"High",IF(P970&lt;=Stats!$C$29,"Low","Normal"))</f>
        <v>Normal</v>
      </c>
      <c r="AE970">
        <f t="shared" si="207"/>
        <v>1</v>
      </c>
    </row>
    <row r="971" spans="1:31" x14ac:dyDescent="0.2">
      <c r="A971">
        <f>Dataset_3!A361</f>
        <v>970</v>
      </c>
      <c r="B971" s="61">
        <f>Dataset_3!B361</f>
        <v>40587</v>
      </c>
      <c r="C971">
        <f>Dataset_3!C361</f>
        <v>1</v>
      </c>
      <c r="D971">
        <f>Dataset_3!D361</f>
        <v>0</v>
      </c>
      <c r="E971">
        <f>Dataset_3!E361</f>
        <v>2</v>
      </c>
      <c r="F971">
        <f>Dataset_3!F361</f>
        <v>0</v>
      </c>
      <c r="G971" t="b">
        <f>Dataset_3!G361</f>
        <v>0</v>
      </c>
      <c r="H971">
        <f>Dataset_3!H361</f>
        <v>0</v>
      </c>
      <c r="I971">
        <f>Dataset_3!I361</f>
        <v>1</v>
      </c>
      <c r="J971" s="55">
        <f>Dataset_3!J361</f>
        <v>0.2</v>
      </c>
      <c r="K971">
        <f>Dataset_3!K361</f>
        <v>0.2273</v>
      </c>
      <c r="L971">
        <f>Dataset_3!L361</f>
        <v>0.64</v>
      </c>
      <c r="M971">
        <f>Dataset_3!M361</f>
        <v>0.1045</v>
      </c>
      <c r="N971">
        <f>Dataset_3!N361</f>
        <v>5</v>
      </c>
      <c r="O971">
        <f>Dataset_3!O361</f>
        <v>34</v>
      </c>
      <c r="P971">
        <f>Dataset_3!P361</f>
        <v>39</v>
      </c>
      <c r="Q971" t="str">
        <f t="shared" si="195"/>
        <v>REC-0970</v>
      </c>
      <c r="R971" s="62">
        <f t="shared" si="196"/>
        <v>40587</v>
      </c>
      <c r="S971" t="str">
        <f t="shared" si="197"/>
        <v>Feb</v>
      </c>
      <c r="T971" t="str">
        <f>INDEX(Lookups!$B$39:$B$45,MATCH(H971,Lookups!$A$39:$A$45,0))</f>
        <v>Sun</v>
      </c>
      <c r="U971" t="str">
        <f t="shared" si="198"/>
        <v>Weekend</v>
      </c>
      <c r="V971" t="str">
        <f t="shared" si="199"/>
        <v>Non-Working Day</v>
      </c>
      <c r="W971" t="str">
        <f t="shared" si="200"/>
        <v>Spring</v>
      </c>
      <c r="X971" t="str">
        <f t="shared" si="201"/>
        <v>Clear</v>
      </c>
      <c r="Y971" t="str">
        <f t="shared" si="202"/>
        <v>Night</v>
      </c>
      <c r="Z971" t="str">
        <f t="shared" si="203"/>
        <v>Mild</v>
      </c>
      <c r="AA971" t="str">
        <f t="shared" si="204"/>
        <v>Medium</v>
      </c>
      <c r="AB971" t="str">
        <f t="shared" si="205"/>
        <v>Off-Peak</v>
      </c>
      <c r="AC971" s="63">
        <f t="shared" si="206"/>
        <v>0.12820512820512819</v>
      </c>
      <c r="AD971" t="str">
        <f>IF(P971&gt;=Stats!$C$30,"High",IF(P971&lt;=Stats!$C$29,"Low","Normal"))</f>
        <v>Normal</v>
      </c>
      <c r="AE971">
        <f t="shared" si="207"/>
        <v>1</v>
      </c>
    </row>
    <row r="972" spans="1:31" x14ac:dyDescent="0.2">
      <c r="A972">
        <f>Dataset_3!A362</f>
        <v>971</v>
      </c>
      <c r="B972" s="61">
        <f>Dataset_3!B362</f>
        <v>40587</v>
      </c>
      <c r="C972">
        <f>Dataset_3!C362</f>
        <v>1</v>
      </c>
      <c r="D972">
        <f>Dataset_3!D362</f>
        <v>0</v>
      </c>
      <c r="E972">
        <f>Dataset_3!E362</f>
        <v>2</v>
      </c>
      <c r="F972">
        <f>Dataset_3!F362</f>
        <v>1</v>
      </c>
      <c r="G972" t="b">
        <f>Dataset_3!G362</f>
        <v>0</v>
      </c>
      <c r="H972">
        <f>Dataset_3!H362</f>
        <v>0</v>
      </c>
      <c r="I972">
        <f>Dataset_3!I362</f>
        <v>1</v>
      </c>
      <c r="J972" s="55">
        <f>Dataset_3!J362</f>
        <v>0.2</v>
      </c>
      <c r="K972">
        <f>Dataset_3!K362</f>
        <v>0.2273</v>
      </c>
      <c r="L972">
        <f>Dataset_3!L362</f>
        <v>0.59</v>
      </c>
      <c r="M972">
        <f>Dataset_3!M362</f>
        <v>8.9599999999999999E-2</v>
      </c>
      <c r="N972">
        <f>Dataset_3!N362</f>
        <v>1</v>
      </c>
      <c r="O972">
        <f>Dataset_3!O362</f>
        <v>23</v>
      </c>
      <c r="P972">
        <f>Dataset_3!P362</f>
        <v>24</v>
      </c>
      <c r="Q972" t="str">
        <f t="shared" si="195"/>
        <v>REC-0971</v>
      </c>
      <c r="R972" s="62">
        <f t="shared" si="196"/>
        <v>40587.041666666664</v>
      </c>
      <c r="S972" t="str">
        <f t="shared" si="197"/>
        <v>Feb</v>
      </c>
      <c r="T972" t="str">
        <f>INDEX(Lookups!$B$39:$B$45,MATCH(H972,Lookups!$A$39:$A$45,0))</f>
        <v>Sun</v>
      </c>
      <c r="U972" t="str">
        <f t="shared" si="198"/>
        <v>Weekend</v>
      </c>
      <c r="V972" t="str">
        <f t="shared" si="199"/>
        <v>Non-Working Day</v>
      </c>
      <c r="W972" t="str">
        <f t="shared" si="200"/>
        <v>Spring</v>
      </c>
      <c r="X972" t="str">
        <f t="shared" si="201"/>
        <v>Clear</v>
      </c>
      <c r="Y972" t="str">
        <f t="shared" si="202"/>
        <v>Night</v>
      </c>
      <c r="Z972" t="str">
        <f t="shared" si="203"/>
        <v>Mild</v>
      </c>
      <c r="AA972" t="str">
        <f t="shared" si="204"/>
        <v>Medium</v>
      </c>
      <c r="AB972" t="str">
        <f t="shared" si="205"/>
        <v>Off-Peak</v>
      </c>
      <c r="AC972" s="63">
        <f t="shared" si="206"/>
        <v>4.1666666666666664E-2</v>
      </c>
      <c r="AD972" t="str">
        <f>IF(P972&gt;=Stats!$C$30,"High",IF(P972&lt;=Stats!$C$29,"Low","Normal"))</f>
        <v>Normal</v>
      </c>
      <c r="AE972">
        <f t="shared" si="207"/>
        <v>1</v>
      </c>
    </row>
    <row r="973" spans="1:31" x14ac:dyDescent="0.2">
      <c r="A973">
        <f>Dataset_3!A363</f>
        <v>972</v>
      </c>
      <c r="B973" s="61">
        <f>Dataset_3!B363</f>
        <v>40587</v>
      </c>
      <c r="C973">
        <f>Dataset_3!C363</f>
        <v>1</v>
      </c>
      <c r="D973">
        <f>Dataset_3!D363</f>
        <v>0</v>
      </c>
      <c r="E973">
        <f>Dataset_3!E363</f>
        <v>2</v>
      </c>
      <c r="F973">
        <f>Dataset_3!F363</f>
        <v>2</v>
      </c>
      <c r="G973" t="b">
        <f>Dataset_3!G363</f>
        <v>0</v>
      </c>
      <c r="H973">
        <f>Dataset_3!H363</f>
        <v>0</v>
      </c>
      <c r="I973">
        <f>Dataset_3!I363</f>
        <v>2</v>
      </c>
      <c r="J973" s="55">
        <f>Dataset_3!J363</f>
        <v>0.2</v>
      </c>
      <c r="K973">
        <f>Dataset_3!K363</f>
        <v>0.2273</v>
      </c>
      <c r="L973">
        <f>Dataset_3!L363</f>
        <v>0.75</v>
      </c>
      <c r="M973">
        <f>Dataset_3!M363</f>
        <v>8.9599999999999999E-2</v>
      </c>
      <c r="N973">
        <f>Dataset_3!N363</f>
        <v>1</v>
      </c>
      <c r="O973">
        <f>Dataset_3!O363</f>
        <v>19</v>
      </c>
      <c r="P973">
        <f>Dataset_3!P363</f>
        <v>20</v>
      </c>
      <c r="Q973" t="str">
        <f t="shared" si="195"/>
        <v>REC-0972</v>
      </c>
      <c r="R973" s="62">
        <f t="shared" si="196"/>
        <v>40587.083333333336</v>
      </c>
      <c r="S973" t="str">
        <f t="shared" si="197"/>
        <v>Feb</v>
      </c>
      <c r="T973" t="str">
        <f>INDEX(Lookups!$B$39:$B$45,MATCH(H973,Lookups!$A$39:$A$45,0))</f>
        <v>Sun</v>
      </c>
      <c r="U973" t="str">
        <f t="shared" si="198"/>
        <v>Weekend</v>
      </c>
      <c r="V973" t="str">
        <f t="shared" si="199"/>
        <v>Non-Working Day</v>
      </c>
      <c r="W973" t="str">
        <f t="shared" si="200"/>
        <v>Spring</v>
      </c>
      <c r="X973" t="str">
        <f t="shared" si="201"/>
        <v>Cloudy/Mist</v>
      </c>
      <c r="Y973" t="str">
        <f t="shared" si="202"/>
        <v>Night</v>
      </c>
      <c r="Z973" t="str">
        <f t="shared" si="203"/>
        <v>Mild</v>
      </c>
      <c r="AA973" t="str">
        <f t="shared" si="204"/>
        <v>High</v>
      </c>
      <c r="AB973" t="str">
        <f t="shared" si="205"/>
        <v>Off-Peak</v>
      </c>
      <c r="AC973" s="63">
        <f t="shared" si="206"/>
        <v>0.05</v>
      </c>
      <c r="AD973" t="str">
        <f>IF(P973&gt;=Stats!$C$30,"High",IF(P973&lt;=Stats!$C$29,"Low","Normal"))</f>
        <v>Normal</v>
      </c>
      <c r="AE973">
        <f t="shared" si="207"/>
        <v>1</v>
      </c>
    </row>
    <row r="974" spans="1:31" x14ac:dyDescent="0.2">
      <c r="A974">
        <f>Dataset_3!A364</f>
        <v>973</v>
      </c>
      <c r="B974" s="61">
        <f>Dataset_3!B364</f>
        <v>40587</v>
      </c>
      <c r="C974">
        <f>Dataset_3!C364</f>
        <v>1</v>
      </c>
      <c r="D974">
        <f>Dataset_3!D364</f>
        <v>0</v>
      </c>
      <c r="E974">
        <f>Dataset_3!E364</f>
        <v>2</v>
      </c>
      <c r="F974">
        <f>Dataset_3!F364</f>
        <v>3</v>
      </c>
      <c r="G974" t="b">
        <f>Dataset_3!G364</f>
        <v>0</v>
      </c>
      <c r="H974">
        <f>Dataset_3!H364</f>
        <v>0</v>
      </c>
      <c r="I974">
        <f>Dataset_3!I364</f>
        <v>2</v>
      </c>
      <c r="J974" s="55">
        <f>Dataset_3!J364</f>
        <v>0.2</v>
      </c>
      <c r="K974">
        <f>Dataset_3!K364</f>
        <v>0.2273</v>
      </c>
      <c r="L974">
        <f>Dataset_3!L364</f>
        <v>0.69</v>
      </c>
      <c r="M974">
        <f>Dataset_3!M364</f>
        <v>0.1045</v>
      </c>
      <c r="N974">
        <f>Dataset_3!N364</f>
        <v>4</v>
      </c>
      <c r="O974">
        <f>Dataset_3!O364</f>
        <v>8</v>
      </c>
      <c r="P974">
        <f>Dataset_3!P364</f>
        <v>12</v>
      </c>
      <c r="Q974" t="str">
        <f t="shared" si="195"/>
        <v>REC-0973</v>
      </c>
      <c r="R974" s="62">
        <f t="shared" si="196"/>
        <v>40587.125</v>
      </c>
      <c r="S974" t="str">
        <f t="shared" si="197"/>
        <v>Feb</v>
      </c>
      <c r="T974" t="str">
        <f>INDEX(Lookups!$B$39:$B$45,MATCH(H974,Lookups!$A$39:$A$45,0))</f>
        <v>Sun</v>
      </c>
      <c r="U974" t="str">
        <f t="shared" si="198"/>
        <v>Weekend</v>
      </c>
      <c r="V974" t="str">
        <f t="shared" si="199"/>
        <v>Non-Working Day</v>
      </c>
      <c r="W974" t="str">
        <f t="shared" si="200"/>
        <v>Spring</v>
      </c>
      <c r="X974" t="str">
        <f t="shared" si="201"/>
        <v>Cloudy/Mist</v>
      </c>
      <c r="Y974" t="str">
        <f t="shared" si="202"/>
        <v>Night</v>
      </c>
      <c r="Z974" t="str">
        <f t="shared" si="203"/>
        <v>Mild</v>
      </c>
      <c r="AA974" t="str">
        <f t="shared" si="204"/>
        <v>Medium</v>
      </c>
      <c r="AB974" t="str">
        <f t="shared" si="205"/>
        <v>Off-Peak</v>
      </c>
      <c r="AC974" s="63">
        <f t="shared" si="206"/>
        <v>0.33333333333333331</v>
      </c>
      <c r="AD974" t="str">
        <f>IF(P974&gt;=Stats!$C$30,"High",IF(P974&lt;=Stats!$C$29,"Low","Normal"))</f>
        <v>Low</v>
      </c>
      <c r="AE974">
        <f t="shared" si="207"/>
        <v>1</v>
      </c>
    </row>
    <row r="975" spans="1:31" x14ac:dyDescent="0.2">
      <c r="A975">
        <f>Dataset_3!A365</f>
        <v>974</v>
      </c>
      <c r="B975" s="61">
        <f>Dataset_3!B365</f>
        <v>40587</v>
      </c>
      <c r="C975">
        <f>Dataset_3!C365</f>
        <v>1</v>
      </c>
      <c r="D975">
        <f>Dataset_3!D365</f>
        <v>0</v>
      </c>
      <c r="E975">
        <f>Dataset_3!E365</f>
        <v>2</v>
      </c>
      <c r="F975">
        <f>Dataset_3!F365</f>
        <v>4</v>
      </c>
      <c r="G975" t="b">
        <f>Dataset_3!G365</f>
        <v>0</v>
      </c>
      <c r="H975">
        <f>Dataset_3!H365</f>
        <v>0</v>
      </c>
      <c r="I975">
        <f>Dataset_3!I365</f>
        <v>2</v>
      </c>
      <c r="J975" s="55">
        <f>Dataset_3!J365</f>
        <v>0.2</v>
      </c>
      <c r="K975">
        <f>Dataset_3!K365</f>
        <v>0.21210000000000001</v>
      </c>
      <c r="L975">
        <f>Dataset_3!L365</f>
        <v>0.69</v>
      </c>
      <c r="M975">
        <f>Dataset_3!M365</f>
        <v>0.16420000000000001</v>
      </c>
      <c r="N975">
        <f>Dataset_3!N365</f>
        <v>0</v>
      </c>
      <c r="O975">
        <f>Dataset_3!O365</f>
        <v>2</v>
      </c>
      <c r="P975">
        <f>Dataset_3!P365</f>
        <v>2</v>
      </c>
      <c r="Q975" t="str">
        <f t="shared" si="195"/>
        <v>REC-0974</v>
      </c>
      <c r="R975" s="62">
        <f t="shared" si="196"/>
        <v>40587.166666666664</v>
      </c>
      <c r="S975" t="str">
        <f t="shared" si="197"/>
        <v>Feb</v>
      </c>
      <c r="T975" t="str">
        <f>INDEX(Lookups!$B$39:$B$45,MATCH(H975,Lookups!$A$39:$A$45,0))</f>
        <v>Sun</v>
      </c>
      <c r="U975" t="str">
        <f t="shared" si="198"/>
        <v>Weekend</v>
      </c>
      <c r="V975" t="str">
        <f t="shared" si="199"/>
        <v>Non-Working Day</v>
      </c>
      <c r="W975" t="str">
        <f t="shared" si="200"/>
        <v>Spring</v>
      </c>
      <c r="X975" t="str">
        <f t="shared" si="201"/>
        <v>Cloudy/Mist</v>
      </c>
      <c r="Y975" t="str">
        <f t="shared" si="202"/>
        <v>Night</v>
      </c>
      <c r="Z975" t="str">
        <f t="shared" si="203"/>
        <v>Mild</v>
      </c>
      <c r="AA975" t="str">
        <f t="shared" si="204"/>
        <v>Medium</v>
      </c>
      <c r="AB975" t="str">
        <f t="shared" si="205"/>
        <v>Off-Peak</v>
      </c>
      <c r="AC975" s="63">
        <f t="shared" si="206"/>
        <v>0</v>
      </c>
      <c r="AD975" t="str">
        <f>IF(P975&gt;=Stats!$C$30,"High",IF(P975&lt;=Stats!$C$29,"Low","Normal"))</f>
        <v>Low</v>
      </c>
      <c r="AE975">
        <f t="shared" si="207"/>
        <v>1</v>
      </c>
    </row>
    <row r="976" spans="1:31" x14ac:dyDescent="0.2">
      <c r="A976">
        <f>Dataset_3!A366</f>
        <v>975</v>
      </c>
      <c r="B976" s="61">
        <f>Dataset_3!B366</f>
        <v>40587</v>
      </c>
      <c r="C976">
        <f>Dataset_3!C366</f>
        <v>1</v>
      </c>
      <c r="D976">
        <f>Dataset_3!D366</f>
        <v>0</v>
      </c>
      <c r="E976">
        <f>Dataset_3!E366</f>
        <v>2</v>
      </c>
      <c r="F976">
        <f>Dataset_3!F366</f>
        <v>6</v>
      </c>
      <c r="G976" t="b">
        <f>Dataset_3!G366</f>
        <v>0</v>
      </c>
      <c r="H976">
        <f>Dataset_3!H366</f>
        <v>0</v>
      </c>
      <c r="I976">
        <f>Dataset_3!I366</f>
        <v>2</v>
      </c>
      <c r="J976" s="55">
        <f>Dataset_3!J366</f>
        <v>0.2</v>
      </c>
      <c r="K976">
        <f>Dataset_3!K366</f>
        <v>0.21210000000000001</v>
      </c>
      <c r="L976">
        <f>Dataset_3!L366</f>
        <v>0.69</v>
      </c>
      <c r="M976">
        <f>Dataset_3!M366</f>
        <v>0.1343</v>
      </c>
      <c r="N976">
        <f>Dataset_3!N366</f>
        <v>2</v>
      </c>
      <c r="O976">
        <f>Dataset_3!O366</f>
        <v>3</v>
      </c>
      <c r="P976">
        <f>Dataset_3!P366</f>
        <v>5</v>
      </c>
      <c r="Q976" t="str">
        <f t="shared" si="195"/>
        <v>REC-0975</v>
      </c>
      <c r="R976" s="62">
        <f t="shared" si="196"/>
        <v>40587.25</v>
      </c>
      <c r="S976" t="str">
        <f t="shared" si="197"/>
        <v>Feb</v>
      </c>
      <c r="T976" t="str">
        <f>INDEX(Lookups!$B$39:$B$45,MATCH(H976,Lookups!$A$39:$A$45,0))</f>
        <v>Sun</v>
      </c>
      <c r="U976" t="str">
        <f t="shared" si="198"/>
        <v>Weekend</v>
      </c>
      <c r="V976" t="str">
        <f t="shared" si="199"/>
        <v>Non-Working Day</v>
      </c>
      <c r="W976" t="str">
        <f t="shared" si="200"/>
        <v>Spring</v>
      </c>
      <c r="X976" t="str">
        <f t="shared" si="201"/>
        <v>Cloudy/Mist</v>
      </c>
      <c r="Y976" t="str">
        <f t="shared" si="202"/>
        <v>Morning</v>
      </c>
      <c r="Z976" t="str">
        <f t="shared" si="203"/>
        <v>Mild</v>
      </c>
      <c r="AA976" t="str">
        <f t="shared" si="204"/>
        <v>Medium</v>
      </c>
      <c r="AB976" t="str">
        <f t="shared" si="205"/>
        <v>Off-Peak</v>
      </c>
      <c r="AC976" s="63">
        <f t="shared" si="206"/>
        <v>0.4</v>
      </c>
      <c r="AD976" t="str">
        <f>IF(P976&gt;=Stats!$C$30,"High",IF(P976&lt;=Stats!$C$29,"Low","Normal"))</f>
        <v>Low</v>
      </c>
      <c r="AE976">
        <f t="shared" si="207"/>
        <v>1</v>
      </c>
    </row>
    <row r="977" spans="1:31" x14ac:dyDescent="0.2">
      <c r="A977">
        <f>Dataset_3!A367</f>
        <v>976</v>
      </c>
      <c r="B977" s="61">
        <f>Dataset_3!B367</f>
        <v>40587</v>
      </c>
      <c r="C977">
        <f>Dataset_3!C367</f>
        <v>1</v>
      </c>
      <c r="D977">
        <f>Dataset_3!D367</f>
        <v>0</v>
      </c>
      <c r="E977">
        <f>Dataset_3!E367</f>
        <v>2</v>
      </c>
      <c r="F977">
        <f>Dataset_3!F367</f>
        <v>7</v>
      </c>
      <c r="G977" t="b">
        <f>Dataset_3!G367</f>
        <v>0</v>
      </c>
      <c r="H977">
        <f>Dataset_3!H367</f>
        <v>0</v>
      </c>
      <c r="I977">
        <f>Dataset_3!I367</f>
        <v>2</v>
      </c>
      <c r="J977" s="55">
        <f>Dataset_3!J367</f>
        <v>0.22</v>
      </c>
      <c r="K977">
        <f>Dataset_3!K367</f>
        <v>0.2727</v>
      </c>
      <c r="L977">
        <f>Dataset_3!L367</f>
        <v>0.55000000000000004</v>
      </c>
      <c r="M977">
        <f>Dataset_3!M367</f>
        <v>0</v>
      </c>
      <c r="N977">
        <f>Dataset_3!N367</f>
        <v>0</v>
      </c>
      <c r="O977">
        <f>Dataset_3!O367</f>
        <v>3</v>
      </c>
      <c r="P977">
        <f>Dataset_3!P367</f>
        <v>3</v>
      </c>
      <c r="Q977" t="str">
        <f t="shared" si="195"/>
        <v>REC-0976</v>
      </c>
      <c r="R977" s="62">
        <f t="shared" si="196"/>
        <v>40587.291666666664</v>
      </c>
      <c r="S977" t="str">
        <f t="shared" si="197"/>
        <v>Feb</v>
      </c>
      <c r="T977" t="str">
        <f>INDEX(Lookups!$B$39:$B$45,MATCH(H977,Lookups!$A$39:$A$45,0))</f>
        <v>Sun</v>
      </c>
      <c r="U977" t="str">
        <f t="shared" si="198"/>
        <v>Weekend</v>
      </c>
      <c r="V977" t="str">
        <f t="shared" si="199"/>
        <v>Non-Working Day</v>
      </c>
      <c r="W977" t="str">
        <f t="shared" si="200"/>
        <v>Spring</v>
      </c>
      <c r="X977" t="str">
        <f t="shared" si="201"/>
        <v>Cloudy/Mist</v>
      </c>
      <c r="Y977" t="str">
        <f t="shared" si="202"/>
        <v>Morning</v>
      </c>
      <c r="Z977" t="str">
        <f t="shared" si="203"/>
        <v>Mild</v>
      </c>
      <c r="AA977" t="str">
        <f t="shared" si="204"/>
        <v>Medium</v>
      </c>
      <c r="AB977" t="str">
        <f t="shared" si="205"/>
        <v>Off-Peak</v>
      </c>
      <c r="AC977" s="63">
        <f t="shared" si="206"/>
        <v>0</v>
      </c>
      <c r="AD977" t="str">
        <f>IF(P977&gt;=Stats!$C$30,"High",IF(P977&lt;=Stats!$C$29,"Low","Normal"))</f>
        <v>Low</v>
      </c>
      <c r="AE977">
        <f t="shared" si="207"/>
        <v>1</v>
      </c>
    </row>
    <row r="978" spans="1:31" x14ac:dyDescent="0.2">
      <c r="A978">
        <f>Dataset_3!A368</f>
        <v>977</v>
      </c>
      <c r="B978" s="61">
        <f>Dataset_3!B368</f>
        <v>40587</v>
      </c>
      <c r="C978">
        <f>Dataset_3!C368</f>
        <v>1</v>
      </c>
      <c r="D978">
        <f>Dataset_3!D368</f>
        <v>0</v>
      </c>
      <c r="E978">
        <f>Dataset_3!E368</f>
        <v>2</v>
      </c>
      <c r="F978">
        <f>Dataset_3!F368</f>
        <v>8</v>
      </c>
      <c r="G978" t="b">
        <f>Dataset_3!G368</f>
        <v>0</v>
      </c>
      <c r="H978">
        <f>Dataset_3!H368</f>
        <v>0</v>
      </c>
      <c r="I978">
        <f>Dataset_3!I368</f>
        <v>2</v>
      </c>
      <c r="J978" s="55">
        <f>Dataset_3!J368</f>
        <v>0.22</v>
      </c>
      <c r="K978">
        <f>Dataset_3!K368</f>
        <v>0.2273</v>
      </c>
      <c r="L978">
        <f>Dataset_3!L368</f>
        <v>0.64</v>
      </c>
      <c r="M978">
        <f>Dataset_3!M368</f>
        <v>0.19400000000000001</v>
      </c>
      <c r="N978">
        <f>Dataset_3!N368</f>
        <v>1</v>
      </c>
      <c r="O978">
        <f>Dataset_3!O368</f>
        <v>11</v>
      </c>
      <c r="P978">
        <f>Dataset_3!P368</f>
        <v>12</v>
      </c>
      <c r="Q978" t="str">
        <f t="shared" si="195"/>
        <v>REC-0977</v>
      </c>
      <c r="R978" s="62">
        <f t="shared" si="196"/>
        <v>40587.333333333336</v>
      </c>
      <c r="S978" t="str">
        <f t="shared" si="197"/>
        <v>Feb</v>
      </c>
      <c r="T978" t="str">
        <f>INDEX(Lookups!$B$39:$B$45,MATCH(H978,Lookups!$A$39:$A$45,0))</f>
        <v>Sun</v>
      </c>
      <c r="U978" t="str">
        <f t="shared" si="198"/>
        <v>Weekend</v>
      </c>
      <c r="V978" t="str">
        <f t="shared" si="199"/>
        <v>Non-Working Day</v>
      </c>
      <c r="W978" t="str">
        <f t="shared" si="200"/>
        <v>Spring</v>
      </c>
      <c r="X978" t="str">
        <f t="shared" si="201"/>
        <v>Cloudy/Mist</v>
      </c>
      <c r="Y978" t="str">
        <f t="shared" si="202"/>
        <v>Morning</v>
      </c>
      <c r="Z978" t="str">
        <f t="shared" si="203"/>
        <v>Mild</v>
      </c>
      <c r="AA978" t="str">
        <f t="shared" si="204"/>
        <v>Medium</v>
      </c>
      <c r="AB978" t="str">
        <f t="shared" si="205"/>
        <v>Off-Peak</v>
      </c>
      <c r="AC978" s="63">
        <f t="shared" si="206"/>
        <v>8.3333333333333329E-2</v>
      </c>
      <c r="AD978" t="str">
        <f>IF(P978&gt;=Stats!$C$30,"High",IF(P978&lt;=Stats!$C$29,"Low","Normal"))</f>
        <v>Low</v>
      </c>
      <c r="AE978">
        <f t="shared" si="207"/>
        <v>1</v>
      </c>
    </row>
    <row r="979" spans="1:31" x14ac:dyDescent="0.2">
      <c r="A979">
        <f>Dataset_3!A369</f>
        <v>978</v>
      </c>
      <c r="B979" s="61">
        <f>Dataset_3!B369</f>
        <v>40587</v>
      </c>
      <c r="C979">
        <f>Dataset_3!C369</f>
        <v>1</v>
      </c>
      <c r="D979">
        <f>Dataset_3!D369</f>
        <v>0</v>
      </c>
      <c r="E979">
        <f>Dataset_3!E369</f>
        <v>2</v>
      </c>
      <c r="F979">
        <f>Dataset_3!F369</f>
        <v>9</v>
      </c>
      <c r="G979" t="b">
        <f>Dataset_3!G369</f>
        <v>0</v>
      </c>
      <c r="H979">
        <f>Dataset_3!H369</f>
        <v>0</v>
      </c>
      <c r="I979">
        <f>Dataset_3!I369</f>
        <v>2</v>
      </c>
      <c r="J979" s="55">
        <f>Dataset_3!J369</f>
        <v>0.24</v>
      </c>
      <c r="K979">
        <f>Dataset_3!K369</f>
        <v>0.2273</v>
      </c>
      <c r="L979">
        <f>Dataset_3!L369</f>
        <v>0.6</v>
      </c>
      <c r="M979">
        <f>Dataset_3!M369</f>
        <v>0.22389999999999999</v>
      </c>
      <c r="N979">
        <f>Dataset_3!N369</f>
        <v>12</v>
      </c>
      <c r="O979">
        <f>Dataset_3!O369</f>
        <v>35</v>
      </c>
      <c r="P979">
        <f>Dataset_3!P369</f>
        <v>47</v>
      </c>
      <c r="Q979" t="str">
        <f t="shared" si="195"/>
        <v>REC-0978</v>
      </c>
      <c r="R979" s="62">
        <f t="shared" si="196"/>
        <v>40587.375</v>
      </c>
      <c r="S979" t="str">
        <f t="shared" si="197"/>
        <v>Feb</v>
      </c>
      <c r="T979" t="str">
        <f>INDEX(Lookups!$B$39:$B$45,MATCH(H979,Lookups!$A$39:$A$45,0))</f>
        <v>Sun</v>
      </c>
      <c r="U979" t="str">
        <f t="shared" si="198"/>
        <v>Weekend</v>
      </c>
      <c r="V979" t="str">
        <f t="shared" si="199"/>
        <v>Non-Working Day</v>
      </c>
      <c r="W979" t="str">
        <f t="shared" si="200"/>
        <v>Spring</v>
      </c>
      <c r="X979" t="str">
        <f t="shared" si="201"/>
        <v>Cloudy/Mist</v>
      </c>
      <c r="Y979" t="str">
        <f t="shared" si="202"/>
        <v>Morning</v>
      </c>
      <c r="Z979" t="str">
        <f t="shared" si="203"/>
        <v>Mild</v>
      </c>
      <c r="AA979" t="str">
        <f t="shared" si="204"/>
        <v>Medium</v>
      </c>
      <c r="AB979" t="str">
        <f t="shared" si="205"/>
        <v>Off-Peak</v>
      </c>
      <c r="AC979" s="63">
        <f t="shared" si="206"/>
        <v>0.25531914893617019</v>
      </c>
      <c r="AD979" t="str">
        <f>IF(P979&gt;=Stats!$C$30,"High",IF(P979&lt;=Stats!$C$29,"Low","Normal"))</f>
        <v>Normal</v>
      </c>
      <c r="AE979">
        <f t="shared" si="207"/>
        <v>1</v>
      </c>
    </row>
    <row r="980" spans="1:31" x14ac:dyDescent="0.2">
      <c r="A980">
        <f>Dataset_3!A370</f>
        <v>979</v>
      </c>
      <c r="B980" s="61">
        <f>Dataset_3!B370</f>
        <v>40587</v>
      </c>
      <c r="C980">
        <f>Dataset_3!C370</f>
        <v>1</v>
      </c>
      <c r="D980">
        <f>Dataset_3!D370</f>
        <v>0</v>
      </c>
      <c r="E980">
        <f>Dataset_3!E370</f>
        <v>2</v>
      </c>
      <c r="F980">
        <f>Dataset_3!F370</f>
        <v>10</v>
      </c>
      <c r="G980" t="b">
        <f>Dataset_3!G370</f>
        <v>0</v>
      </c>
      <c r="H980">
        <f>Dataset_3!H370</f>
        <v>0</v>
      </c>
      <c r="I980">
        <f>Dataset_3!I370</f>
        <v>1</v>
      </c>
      <c r="J980" s="55">
        <f>Dataset_3!J370</f>
        <v>0.3</v>
      </c>
      <c r="K980">
        <f>Dataset_3!K370</f>
        <v>0.2727</v>
      </c>
      <c r="L980">
        <f>Dataset_3!L370</f>
        <v>0.45</v>
      </c>
      <c r="M980">
        <f>Dataset_3!M370</f>
        <v>0.32840000000000003</v>
      </c>
      <c r="N980">
        <f>Dataset_3!N370</f>
        <v>19</v>
      </c>
      <c r="O980">
        <f>Dataset_3!O370</f>
        <v>86</v>
      </c>
      <c r="P980">
        <f>Dataset_3!P370</f>
        <v>105</v>
      </c>
      <c r="Q980" t="str">
        <f t="shared" si="195"/>
        <v>REC-0979</v>
      </c>
      <c r="R980" s="62">
        <f t="shared" si="196"/>
        <v>40587.416666666664</v>
      </c>
      <c r="S980" t="str">
        <f t="shared" si="197"/>
        <v>Feb</v>
      </c>
      <c r="T980" t="str">
        <f>INDEX(Lookups!$B$39:$B$45,MATCH(H980,Lookups!$A$39:$A$45,0))</f>
        <v>Sun</v>
      </c>
      <c r="U980" t="str">
        <f t="shared" si="198"/>
        <v>Weekend</v>
      </c>
      <c r="V980" t="str">
        <f t="shared" si="199"/>
        <v>Non-Working Day</v>
      </c>
      <c r="W980" t="str">
        <f t="shared" si="200"/>
        <v>Spring</v>
      </c>
      <c r="X980" t="str">
        <f t="shared" si="201"/>
        <v>Clear</v>
      </c>
      <c r="Y980" t="str">
        <f t="shared" si="202"/>
        <v>Morning</v>
      </c>
      <c r="Z980" t="str">
        <f t="shared" si="203"/>
        <v>Warm</v>
      </c>
      <c r="AA980" t="str">
        <f t="shared" si="204"/>
        <v>Low</v>
      </c>
      <c r="AB980" t="str">
        <f t="shared" si="205"/>
        <v>Off-Peak</v>
      </c>
      <c r="AC980" s="63">
        <f t="shared" si="206"/>
        <v>0.18095238095238095</v>
      </c>
      <c r="AD980" t="str">
        <f>IF(P980&gt;=Stats!$C$30,"High",IF(P980&lt;=Stats!$C$29,"Low","Normal"))</f>
        <v>High</v>
      </c>
      <c r="AE980">
        <f t="shared" si="207"/>
        <v>1</v>
      </c>
    </row>
    <row r="981" spans="1:31" x14ac:dyDescent="0.2">
      <c r="A981">
        <f>Dataset_3!A371</f>
        <v>980</v>
      </c>
      <c r="B981" s="61">
        <f>Dataset_3!B371</f>
        <v>40587</v>
      </c>
      <c r="C981">
        <f>Dataset_3!C371</f>
        <v>1</v>
      </c>
      <c r="D981">
        <f>Dataset_3!D371</f>
        <v>0</v>
      </c>
      <c r="E981">
        <f>Dataset_3!E371</f>
        <v>2</v>
      </c>
      <c r="F981">
        <f>Dataset_3!F371</f>
        <v>11</v>
      </c>
      <c r="G981" t="b">
        <f>Dataset_3!G371</f>
        <v>0</v>
      </c>
      <c r="H981">
        <f>Dataset_3!H371</f>
        <v>0</v>
      </c>
      <c r="I981">
        <f>Dataset_3!I371</f>
        <v>1</v>
      </c>
      <c r="J981" s="55">
        <f>Dataset_3!J371</f>
        <v>0.32</v>
      </c>
      <c r="K981">
        <f>Dataset_3!K371</f>
        <v>0.28789999999999999</v>
      </c>
      <c r="L981">
        <f>Dataset_3!L371</f>
        <v>0.39</v>
      </c>
      <c r="M981">
        <f>Dataset_3!M371</f>
        <v>0.44779999999999998</v>
      </c>
      <c r="N981">
        <f>Dataset_3!N371</f>
        <v>26</v>
      </c>
      <c r="O981">
        <f>Dataset_3!O371</f>
        <v>86</v>
      </c>
      <c r="P981">
        <f>Dataset_3!P371</f>
        <v>112</v>
      </c>
      <c r="Q981" t="str">
        <f t="shared" si="195"/>
        <v>REC-0980</v>
      </c>
      <c r="R981" s="62">
        <f t="shared" si="196"/>
        <v>40587.458333333336</v>
      </c>
      <c r="S981" t="str">
        <f t="shared" si="197"/>
        <v>Feb</v>
      </c>
      <c r="T981" t="str">
        <f>INDEX(Lookups!$B$39:$B$45,MATCH(H981,Lookups!$A$39:$A$45,0))</f>
        <v>Sun</v>
      </c>
      <c r="U981" t="str">
        <f t="shared" si="198"/>
        <v>Weekend</v>
      </c>
      <c r="V981" t="str">
        <f t="shared" si="199"/>
        <v>Non-Working Day</v>
      </c>
      <c r="W981" t="str">
        <f t="shared" si="200"/>
        <v>Spring</v>
      </c>
      <c r="X981" t="str">
        <f t="shared" si="201"/>
        <v>Clear</v>
      </c>
      <c r="Y981" t="str">
        <f t="shared" si="202"/>
        <v>Morning</v>
      </c>
      <c r="Z981" t="str">
        <f t="shared" si="203"/>
        <v>Warm</v>
      </c>
      <c r="AA981" t="str">
        <f t="shared" si="204"/>
        <v>Low</v>
      </c>
      <c r="AB981" t="str">
        <f t="shared" si="205"/>
        <v>Off-Peak</v>
      </c>
      <c r="AC981" s="63">
        <f t="shared" si="206"/>
        <v>0.23214285714285715</v>
      </c>
      <c r="AD981" t="str">
        <f>IF(P981&gt;=Stats!$C$30,"High",IF(P981&lt;=Stats!$C$29,"Low","Normal"))</f>
        <v>High</v>
      </c>
      <c r="AE981">
        <f t="shared" si="207"/>
        <v>1</v>
      </c>
    </row>
    <row r="982" spans="1:31" x14ac:dyDescent="0.2">
      <c r="A982">
        <f>Dataset_3!A372</f>
        <v>981</v>
      </c>
      <c r="B982" s="61">
        <f>Dataset_3!B372</f>
        <v>40587</v>
      </c>
      <c r="C982">
        <f>Dataset_3!C372</f>
        <v>1</v>
      </c>
      <c r="D982">
        <f>Dataset_3!D372</f>
        <v>0</v>
      </c>
      <c r="E982">
        <f>Dataset_3!E372</f>
        <v>2</v>
      </c>
      <c r="F982">
        <f>Dataset_3!F372</f>
        <v>12</v>
      </c>
      <c r="G982" t="b">
        <f>Dataset_3!G372</f>
        <v>0</v>
      </c>
      <c r="H982">
        <f>Dataset_3!H372</f>
        <v>0</v>
      </c>
      <c r="I982">
        <f>Dataset_3!I372</f>
        <v>1</v>
      </c>
      <c r="J982" s="55">
        <f>Dataset_3!J372</f>
        <v>0.36</v>
      </c>
      <c r="K982">
        <f>Dataset_3!K372</f>
        <v>0.31819999999999998</v>
      </c>
      <c r="L982">
        <f>Dataset_3!L372</f>
        <v>0.32</v>
      </c>
      <c r="M982">
        <f>Dataset_3!M372</f>
        <v>0.4627</v>
      </c>
      <c r="N982">
        <f>Dataset_3!N372</f>
        <v>58</v>
      </c>
      <c r="O982">
        <f>Dataset_3!O372</f>
        <v>94</v>
      </c>
      <c r="P982">
        <f>Dataset_3!P372</f>
        <v>152</v>
      </c>
      <c r="Q982" t="str">
        <f t="shared" si="195"/>
        <v>REC-0981</v>
      </c>
      <c r="R982" s="62">
        <f t="shared" si="196"/>
        <v>40587.5</v>
      </c>
      <c r="S982" t="str">
        <f t="shared" si="197"/>
        <v>Feb</v>
      </c>
      <c r="T982" t="str">
        <f>INDEX(Lookups!$B$39:$B$45,MATCH(H982,Lookups!$A$39:$A$45,0))</f>
        <v>Sun</v>
      </c>
      <c r="U982" t="str">
        <f t="shared" si="198"/>
        <v>Weekend</v>
      </c>
      <c r="V982" t="str">
        <f t="shared" si="199"/>
        <v>Non-Working Day</v>
      </c>
      <c r="W982" t="str">
        <f t="shared" si="200"/>
        <v>Spring</v>
      </c>
      <c r="X982" t="str">
        <f t="shared" si="201"/>
        <v>Clear</v>
      </c>
      <c r="Y982" t="str">
        <f t="shared" si="202"/>
        <v>Afternoon</v>
      </c>
      <c r="Z982" t="str">
        <f t="shared" si="203"/>
        <v>Warm</v>
      </c>
      <c r="AA982" t="str">
        <f t="shared" si="204"/>
        <v>Low</v>
      </c>
      <c r="AB982" t="str">
        <f t="shared" si="205"/>
        <v>Off-Peak</v>
      </c>
      <c r="AC982" s="63">
        <f t="shared" si="206"/>
        <v>0.38157894736842107</v>
      </c>
      <c r="AD982" t="str">
        <f>IF(P982&gt;=Stats!$C$30,"High",IF(P982&lt;=Stats!$C$29,"Low","Normal"))</f>
        <v>High</v>
      </c>
      <c r="AE982">
        <f t="shared" si="207"/>
        <v>1</v>
      </c>
    </row>
    <row r="983" spans="1:31" x14ac:dyDescent="0.2">
      <c r="A983">
        <f>Dataset_3!A373</f>
        <v>982</v>
      </c>
      <c r="B983" s="61">
        <f>Dataset_3!B373</f>
        <v>40587</v>
      </c>
      <c r="C983">
        <f>Dataset_3!C373</f>
        <v>1</v>
      </c>
      <c r="D983">
        <f>Dataset_3!D373</f>
        <v>0</v>
      </c>
      <c r="E983">
        <f>Dataset_3!E373</f>
        <v>2</v>
      </c>
      <c r="F983">
        <f>Dataset_3!F373</f>
        <v>13</v>
      </c>
      <c r="G983" t="b">
        <f>Dataset_3!G373</f>
        <v>0</v>
      </c>
      <c r="H983">
        <f>Dataset_3!H373</f>
        <v>0</v>
      </c>
      <c r="I983">
        <f>Dataset_3!I373</f>
        <v>1</v>
      </c>
      <c r="J983" s="55">
        <f>Dataset_3!J373</f>
        <v>0.38</v>
      </c>
      <c r="K983">
        <f>Dataset_3!K373</f>
        <v>0.39389999999999997</v>
      </c>
      <c r="L983">
        <f>Dataset_3!L373</f>
        <v>0.28999999999999998</v>
      </c>
      <c r="M983">
        <f>Dataset_3!M373</f>
        <v>0.35820000000000002</v>
      </c>
      <c r="N983">
        <f>Dataset_3!N373</f>
        <v>62</v>
      </c>
      <c r="O983">
        <f>Dataset_3!O373</f>
        <v>92</v>
      </c>
      <c r="P983">
        <f>Dataset_3!P373</f>
        <v>154</v>
      </c>
      <c r="Q983" t="str">
        <f t="shared" si="195"/>
        <v>REC-0982</v>
      </c>
      <c r="R983" s="62">
        <f t="shared" si="196"/>
        <v>40587.541666666664</v>
      </c>
      <c r="S983" t="str">
        <f t="shared" si="197"/>
        <v>Feb</v>
      </c>
      <c r="T983" t="str">
        <f>INDEX(Lookups!$B$39:$B$45,MATCH(H983,Lookups!$A$39:$A$45,0))</f>
        <v>Sun</v>
      </c>
      <c r="U983" t="str">
        <f t="shared" si="198"/>
        <v>Weekend</v>
      </c>
      <c r="V983" t="str">
        <f t="shared" si="199"/>
        <v>Non-Working Day</v>
      </c>
      <c r="W983" t="str">
        <f t="shared" si="200"/>
        <v>Spring</v>
      </c>
      <c r="X983" t="str">
        <f t="shared" si="201"/>
        <v>Clear</v>
      </c>
      <c r="Y983" t="str">
        <f t="shared" si="202"/>
        <v>Afternoon</v>
      </c>
      <c r="Z983" t="str">
        <f t="shared" si="203"/>
        <v>Warm</v>
      </c>
      <c r="AA983" t="str">
        <f t="shared" si="204"/>
        <v>Low</v>
      </c>
      <c r="AB983" t="str">
        <f t="shared" si="205"/>
        <v>Off-Peak</v>
      </c>
      <c r="AC983" s="63">
        <f t="shared" si="206"/>
        <v>0.40259740259740262</v>
      </c>
      <c r="AD983" t="str">
        <f>IF(P983&gt;=Stats!$C$30,"High",IF(P983&lt;=Stats!$C$29,"Low","Normal"))</f>
        <v>High</v>
      </c>
      <c r="AE983">
        <f t="shared" si="207"/>
        <v>1</v>
      </c>
    </row>
    <row r="984" spans="1:31" x14ac:dyDescent="0.2">
      <c r="A984">
        <f>Dataset_3!A374</f>
        <v>983</v>
      </c>
      <c r="B984" s="61">
        <f>Dataset_3!B374</f>
        <v>40587</v>
      </c>
      <c r="C984">
        <f>Dataset_3!C374</f>
        <v>1</v>
      </c>
      <c r="D984">
        <f>Dataset_3!D374</f>
        <v>0</v>
      </c>
      <c r="E984">
        <f>Dataset_3!E374</f>
        <v>2</v>
      </c>
      <c r="F984">
        <f>Dataset_3!F374</f>
        <v>14</v>
      </c>
      <c r="G984" t="b">
        <f>Dataset_3!G374</f>
        <v>0</v>
      </c>
      <c r="H984">
        <f>Dataset_3!H374</f>
        <v>0</v>
      </c>
      <c r="I984">
        <f>Dataset_3!I374</f>
        <v>2</v>
      </c>
      <c r="J984" s="55">
        <f>Dataset_3!J374</f>
        <v>0.4</v>
      </c>
      <c r="K984">
        <f>Dataset_3!K374</f>
        <v>0.40910000000000002</v>
      </c>
      <c r="L984">
        <f>Dataset_3!L374</f>
        <v>0.3</v>
      </c>
      <c r="M984">
        <f>Dataset_3!M374</f>
        <v>0.41789999999999999</v>
      </c>
      <c r="N984">
        <f>Dataset_3!N374</f>
        <v>51</v>
      </c>
      <c r="O984">
        <f>Dataset_3!O374</f>
        <v>110</v>
      </c>
      <c r="P984">
        <f>Dataset_3!P374</f>
        <v>161</v>
      </c>
      <c r="Q984" t="str">
        <f t="shared" si="195"/>
        <v>REC-0983</v>
      </c>
      <c r="R984" s="62">
        <f t="shared" si="196"/>
        <v>40587.583333333336</v>
      </c>
      <c r="S984" t="str">
        <f t="shared" si="197"/>
        <v>Feb</v>
      </c>
      <c r="T984" t="str">
        <f>INDEX(Lookups!$B$39:$B$45,MATCH(H984,Lookups!$A$39:$A$45,0))</f>
        <v>Sun</v>
      </c>
      <c r="U984" t="str">
        <f t="shared" si="198"/>
        <v>Weekend</v>
      </c>
      <c r="V984" t="str">
        <f t="shared" si="199"/>
        <v>Non-Working Day</v>
      </c>
      <c r="W984" t="str">
        <f t="shared" si="200"/>
        <v>Spring</v>
      </c>
      <c r="X984" t="str">
        <f t="shared" si="201"/>
        <v>Cloudy/Mist</v>
      </c>
      <c r="Y984" t="str">
        <f t="shared" si="202"/>
        <v>Afternoon</v>
      </c>
      <c r="Z984" t="str">
        <f t="shared" si="203"/>
        <v>Warm</v>
      </c>
      <c r="AA984" t="str">
        <f t="shared" si="204"/>
        <v>Low</v>
      </c>
      <c r="AB984" t="str">
        <f t="shared" si="205"/>
        <v>Off-Peak</v>
      </c>
      <c r="AC984" s="63">
        <f t="shared" si="206"/>
        <v>0.31677018633540371</v>
      </c>
      <c r="AD984" t="str">
        <f>IF(P984&gt;=Stats!$C$30,"High",IF(P984&lt;=Stats!$C$29,"Low","Normal"))</f>
        <v>High</v>
      </c>
      <c r="AE984">
        <f t="shared" si="207"/>
        <v>1</v>
      </c>
    </row>
    <row r="985" spans="1:31" x14ac:dyDescent="0.2">
      <c r="A985">
        <f>Dataset_3!A375</f>
        <v>984</v>
      </c>
      <c r="B985" s="61">
        <f>Dataset_3!B375</f>
        <v>40587</v>
      </c>
      <c r="C985">
        <f>Dataset_3!C375</f>
        <v>1</v>
      </c>
      <c r="D985">
        <f>Dataset_3!D375</f>
        <v>0</v>
      </c>
      <c r="E985">
        <f>Dataset_3!E375</f>
        <v>2</v>
      </c>
      <c r="F985">
        <f>Dataset_3!F375</f>
        <v>15</v>
      </c>
      <c r="G985" t="b">
        <f>Dataset_3!G375</f>
        <v>0</v>
      </c>
      <c r="H985">
        <f>Dataset_3!H375</f>
        <v>0</v>
      </c>
      <c r="I985">
        <f>Dataset_3!I375</f>
        <v>2</v>
      </c>
      <c r="J985" s="55">
        <f>Dataset_3!J375</f>
        <v>0.4</v>
      </c>
      <c r="K985">
        <f>Dataset_3!K375</f>
        <v>0.40910000000000002</v>
      </c>
      <c r="L985">
        <f>Dataset_3!L375</f>
        <v>0.3</v>
      </c>
      <c r="M985">
        <f>Dataset_3!M375</f>
        <v>0.29849999999999999</v>
      </c>
      <c r="N985">
        <f>Dataset_3!N375</f>
        <v>40</v>
      </c>
      <c r="O985">
        <f>Dataset_3!O375</f>
        <v>122</v>
      </c>
      <c r="P985">
        <f>Dataset_3!P375</f>
        <v>162</v>
      </c>
      <c r="Q985" t="str">
        <f t="shared" si="195"/>
        <v>REC-0984</v>
      </c>
      <c r="R985" s="62">
        <f t="shared" si="196"/>
        <v>40587.625</v>
      </c>
      <c r="S985" t="str">
        <f t="shared" si="197"/>
        <v>Feb</v>
      </c>
      <c r="T985" t="str">
        <f>INDEX(Lookups!$B$39:$B$45,MATCH(H985,Lookups!$A$39:$A$45,0))</f>
        <v>Sun</v>
      </c>
      <c r="U985" t="str">
        <f t="shared" si="198"/>
        <v>Weekend</v>
      </c>
      <c r="V985" t="str">
        <f t="shared" si="199"/>
        <v>Non-Working Day</v>
      </c>
      <c r="W985" t="str">
        <f t="shared" si="200"/>
        <v>Spring</v>
      </c>
      <c r="X985" t="str">
        <f t="shared" si="201"/>
        <v>Cloudy/Mist</v>
      </c>
      <c r="Y985" t="str">
        <f t="shared" si="202"/>
        <v>Afternoon</v>
      </c>
      <c r="Z985" t="str">
        <f t="shared" si="203"/>
        <v>Warm</v>
      </c>
      <c r="AA985" t="str">
        <f t="shared" si="204"/>
        <v>Low</v>
      </c>
      <c r="AB985" t="str">
        <f t="shared" si="205"/>
        <v>Off-Peak</v>
      </c>
      <c r="AC985" s="63">
        <f t="shared" si="206"/>
        <v>0.24691358024691357</v>
      </c>
      <c r="AD985" t="str">
        <f>IF(P985&gt;=Stats!$C$30,"High",IF(P985&lt;=Stats!$C$29,"Low","Normal"))</f>
        <v>High</v>
      </c>
      <c r="AE985">
        <f t="shared" si="207"/>
        <v>1</v>
      </c>
    </row>
    <row r="986" spans="1:31" x14ac:dyDescent="0.2">
      <c r="A986">
        <f>Dataset_3!A376</f>
        <v>985</v>
      </c>
      <c r="B986" s="61">
        <f>Dataset_3!B376</f>
        <v>40587</v>
      </c>
      <c r="C986">
        <f>Dataset_3!C376</f>
        <v>1</v>
      </c>
      <c r="D986">
        <f>Dataset_3!D376</f>
        <v>0</v>
      </c>
      <c r="E986">
        <f>Dataset_3!E376</f>
        <v>2</v>
      </c>
      <c r="F986">
        <f>Dataset_3!F376</f>
        <v>16</v>
      </c>
      <c r="G986" t="b">
        <f>Dataset_3!G376</f>
        <v>0</v>
      </c>
      <c r="H986">
        <f>Dataset_3!H376</f>
        <v>0</v>
      </c>
      <c r="I986">
        <f>Dataset_3!I376</f>
        <v>2</v>
      </c>
      <c r="J986" s="55">
        <f>Dataset_3!J376</f>
        <v>0.42</v>
      </c>
      <c r="K986">
        <f>Dataset_3!K376</f>
        <v>0.42420000000000002</v>
      </c>
      <c r="L986">
        <f>Dataset_3!L376</f>
        <v>0.28000000000000003</v>
      </c>
      <c r="M986">
        <f>Dataset_3!M376</f>
        <v>0.32840000000000003</v>
      </c>
      <c r="N986">
        <f>Dataset_3!N376</f>
        <v>28</v>
      </c>
      <c r="O986">
        <f>Dataset_3!O376</f>
        <v>106</v>
      </c>
      <c r="P986">
        <f>Dataset_3!P376</f>
        <v>134</v>
      </c>
      <c r="Q986" t="str">
        <f t="shared" si="195"/>
        <v>REC-0985</v>
      </c>
      <c r="R986" s="62">
        <f t="shared" si="196"/>
        <v>40587.666666666664</v>
      </c>
      <c r="S986" t="str">
        <f t="shared" si="197"/>
        <v>Feb</v>
      </c>
      <c r="T986" t="str">
        <f>INDEX(Lookups!$B$39:$B$45,MATCH(H986,Lookups!$A$39:$A$45,0))</f>
        <v>Sun</v>
      </c>
      <c r="U986" t="str">
        <f t="shared" si="198"/>
        <v>Weekend</v>
      </c>
      <c r="V986" t="str">
        <f t="shared" si="199"/>
        <v>Non-Working Day</v>
      </c>
      <c r="W986" t="str">
        <f t="shared" si="200"/>
        <v>Spring</v>
      </c>
      <c r="X986" t="str">
        <f t="shared" si="201"/>
        <v>Cloudy/Mist</v>
      </c>
      <c r="Y986" t="str">
        <f t="shared" si="202"/>
        <v>Afternoon</v>
      </c>
      <c r="Z986" t="str">
        <f t="shared" si="203"/>
        <v>Warm</v>
      </c>
      <c r="AA986" t="str">
        <f t="shared" si="204"/>
        <v>Low</v>
      </c>
      <c r="AB986" t="str">
        <f t="shared" si="205"/>
        <v>Off-Peak</v>
      </c>
      <c r="AC986" s="63">
        <f t="shared" si="206"/>
        <v>0.20895522388059701</v>
      </c>
      <c r="AD986" t="str">
        <f>IF(P986&gt;=Stats!$C$30,"High",IF(P986&lt;=Stats!$C$29,"Low","Normal"))</f>
        <v>High</v>
      </c>
      <c r="AE986">
        <f t="shared" si="207"/>
        <v>1</v>
      </c>
    </row>
    <row r="987" spans="1:31" x14ac:dyDescent="0.2">
      <c r="A987">
        <f>Dataset_3!A377</f>
        <v>986</v>
      </c>
      <c r="B987" s="61">
        <f>Dataset_3!B377</f>
        <v>40587</v>
      </c>
      <c r="C987">
        <f>Dataset_3!C377</f>
        <v>1</v>
      </c>
      <c r="D987">
        <f>Dataset_3!D377</f>
        <v>0</v>
      </c>
      <c r="E987">
        <f>Dataset_3!E377</f>
        <v>2</v>
      </c>
      <c r="F987">
        <f>Dataset_3!F377</f>
        <v>17</v>
      </c>
      <c r="G987" t="b">
        <f>Dataset_3!G377</f>
        <v>0</v>
      </c>
      <c r="H987">
        <f>Dataset_3!H377</f>
        <v>0</v>
      </c>
      <c r="I987">
        <f>Dataset_3!I377</f>
        <v>1</v>
      </c>
      <c r="J987" s="55">
        <f>Dataset_3!J377</f>
        <v>0.42</v>
      </c>
      <c r="K987">
        <f>Dataset_3!K377</f>
        <v>0.42420000000000002</v>
      </c>
      <c r="L987">
        <f>Dataset_3!L377</f>
        <v>0.28000000000000003</v>
      </c>
      <c r="M987">
        <f>Dataset_3!M377</f>
        <v>0.32840000000000003</v>
      </c>
      <c r="N987">
        <f>Dataset_3!N377</f>
        <v>30</v>
      </c>
      <c r="O987">
        <f>Dataset_3!O377</f>
        <v>95</v>
      </c>
      <c r="P987">
        <f>Dataset_3!P377</f>
        <v>125</v>
      </c>
      <c r="Q987" t="str">
        <f t="shared" si="195"/>
        <v>REC-0986</v>
      </c>
      <c r="R987" s="62">
        <f t="shared" si="196"/>
        <v>40587.708333333336</v>
      </c>
      <c r="S987" t="str">
        <f t="shared" si="197"/>
        <v>Feb</v>
      </c>
      <c r="T987" t="str">
        <f>INDEX(Lookups!$B$39:$B$45,MATCH(H987,Lookups!$A$39:$A$45,0))</f>
        <v>Sun</v>
      </c>
      <c r="U987" t="str">
        <f t="shared" si="198"/>
        <v>Weekend</v>
      </c>
      <c r="V987" t="str">
        <f t="shared" si="199"/>
        <v>Non-Working Day</v>
      </c>
      <c r="W987" t="str">
        <f t="shared" si="200"/>
        <v>Spring</v>
      </c>
      <c r="X987" t="str">
        <f t="shared" si="201"/>
        <v>Clear</v>
      </c>
      <c r="Y987" t="str">
        <f t="shared" si="202"/>
        <v>Evening</v>
      </c>
      <c r="Z987" t="str">
        <f t="shared" si="203"/>
        <v>Warm</v>
      </c>
      <c r="AA987" t="str">
        <f t="shared" si="204"/>
        <v>Low</v>
      </c>
      <c r="AB987" t="str">
        <f t="shared" si="205"/>
        <v>Off-Peak</v>
      </c>
      <c r="AC987" s="63">
        <f t="shared" si="206"/>
        <v>0.24</v>
      </c>
      <c r="AD987" t="str">
        <f>IF(P987&gt;=Stats!$C$30,"High",IF(P987&lt;=Stats!$C$29,"Low","Normal"))</f>
        <v>High</v>
      </c>
      <c r="AE987">
        <f t="shared" si="207"/>
        <v>1</v>
      </c>
    </row>
    <row r="988" spans="1:31" x14ac:dyDescent="0.2">
      <c r="A988">
        <f>Dataset_3!A378</f>
        <v>987</v>
      </c>
      <c r="B988" s="61">
        <f>Dataset_3!B378</f>
        <v>40587</v>
      </c>
      <c r="C988">
        <f>Dataset_3!C378</f>
        <v>1</v>
      </c>
      <c r="D988">
        <f>Dataset_3!D378</f>
        <v>0</v>
      </c>
      <c r="E988">
        <f>Dataset_3!E378</f>
        <v>2</v>
      </c>
      <c r="F988">
        <f>Dataset_3!F378</f>
        <v>18</v>
      </c>
      <c r="G988" t="b">
        <f>Dataset_3!G378</f>
        <v>0</v>
      </c>
      <c r="H988">
        <f>Dataset_3!H378</f>
        <v>0</v>
      </c>
      <c r="I988">
        <f>Dataset_3!I378</f>
        <v>1</v>
      </c>
      <c r="J988" s="55">
        <f>Dataset_3!J378</f>
        <v>0.4</v>
      </c>
      <c r="K988">
        <f>Dataset_3!K378</f>
        <v>0.40910000000000002</v>
      </c>
      <c r="L988">
        <f>Dataset_3!L378</f>
        <v>0.32</v>
      </c>
      <c r="M988">
        <f>Dataset_3!M378</f>
        <v>0.29849999999999999</v>
      </c>
      <c r="N988">
        <f>Dataset_3!N378</f>
        <v>17</v>
      </c>
      <c r="O988">
        <f>Dataset_3!O378</f>
        <v>78</v>
      </c>
      <c r="P988">
        <f>Dataset_3!P378</f>
        <v>95</v>
      </c>
      <c r="Q988" t="str">
        <f t="shared" si="195"/>
        <v>REC-0987</v>
      </c>
      <c r="R988" s="62">
        <f t="shared" si="196"/>
        <v>40587.75</v>
      </c>
      <c r="S988" t="str">
        <f t="shared" si="197"/>
        <v>Feb</v>
      </c>
      <c r="T988" t="str">
        <f>INDEX(Lookups!$B$39:$B$45,MATCH(H988,Lookups!$A$39:$A$45,0))</f>
        <v>Sun</v>
      </c>
      <c r="U988" t="str">
        <f t="shared" si="198"/>
        <v>Weekend</v>
      </c>
      <c r="V988" t="str">
        <f t="shared" si="199"/>
        <v>Non-Working Day</v>
      </c>
      <c r="W988" t="str">
        <f t="shared" si="200"/>
        <v>Spring</v>
      </c>
      <c r="X988" t="str">
        <f t="shared" si="201"/>
        <v>Clear</v>
      </c>
      <c r="Y988" t="str">
        <f t="shared" si="202"/>
        <v>Evening</v>
      </c>
      <c r="Z988" t="str">
        <f t="shared" si="203"/>
        <v>Warm</v>
      </c>
      <c r="AA988" t="str">
        <f t="shared" si="204"/>
        <v>Low</v>
      </c>
      <c r="AB988" t="str">
        <f t="shared" si="205"/>
        <v>Off-Peak</v>
      </c>
      <c r="AC988" s="63">
        <f t="shared" si="206"/>
        <v>0.17894736842105263</v>
      </c>
      <c r="AD988" t="str">
        <f>IF(P988&gt;=Stats!$C$30,"High",IF(P988&lt;=Stats!$C$29,"Low","Normal"))</f>
        <v>High</v>
      </c>
      <c r="AE988">
        <f t="shared" si="207"/>
        <v>1</v>
      </c>
    </row>
    <row r="989" spans="1:31" x14ac:dyDescent="0.2">
      <c r="A989">
        <f>Dataset_3!A379</f>
        <v>988</v>
      </c>
      <c r="B989" s="61">
        <f>Dataset_3!B379</f>
        <v>40587</v>
      </c>
      <c r="C989">
        <f>Dataset_3!C379</f>
        <v>1</v>
      </c>
      <c r="D989">
        <f>Dataset_3!D379</f>
        <v>0</v>
      </c>
      <c r="E989">
        <f>Dataset_3!E379</f>
        <v>2</v>
      </c>
      <c r="F989">
        <f>Dataset_3!F379</f>
        <v>19</v>
      </c>
      <c r="G989" t="b">
        <f>Dataset_3!G379</f>
        <v>0</v>
      </c>
      <c r="H989">
        <f>Dataset_3!H379</f>
        <v>0</v>
      </c>
      <c r="I989">
        <f>Dataset_3!I379</f>
        <v>1</v>
      </c>
      <c r="J989" s="55">
        <f>Dataset_3!J379</f>
        <v>0.4</v>
      </c>
      <c r="K989">
        <f>Dataset_3!K379</f>
        <v>0.40910000000000002</v>
      </c>
      <c r="L989">
        <f>Dataset_3!L379</f>
        <v>0.35</v>
      </c>
      <c r="M989">
        <f>Dataset_3!M379</f>
        <v>0.28360000000000002</v>
      </c>
      <c r="N989">
        <f>Dataset_3!N379</f>
        <v>11</v>
      </c>
      <c r="O989">
        <f>Dataset_3!O379</f>
        <v>50</v>
      </c>
      <c r="P989">
        <f>Dataset_3!P379</f>
        <v>61</v>
      </c>
      <c r="Q989" t="str">
        <f t="shared" si="195"/>
        <v>REC-0988</v>
      </c>
      <c r="R989" s="62">
        <f t="shared" si="196"/>
        <v>40587.791666666664</v>
      </c>
      <c r="S989" t="str">
        <f t="shared" si="197"/>
        <v>Feb</v>
      </c>
      <c r="T989" t="str">
        <f>INDEX(Lookups!$B$39:$B$45,MATCH(H989,Lookups!$A$39:$A$45,0))</f>
        <v>Sun</v>
      </c>
      <c r="U989" t="str">
        <f t="shared" si="198"/>
        <v>Weekend</v>
      </c>
      <c r="V989" t="str">
        <f t="shared" si="199"/>
        <v>Non-Working Day</v>
      </c>
      <c r="W989" t="str">
        <f t="shared" si="200"/>
        <v>Spring</v>
      </c>
      <c r="X989" t="str">
        <f t="shared" si="201"/>
        <v>Clear</v>
      </c>
      <c r="Y989" t="str">
        <f t="shared" si="202"/>
        <v>Evening</v>
      </c>
      <c r="Z989" t="str">
        <f t="shared" si="203"/>
        <v>Warm</v>
      </c>
      <c r="AA989" t="str">
        <f t="shared" si="204"/>
        <v>Low</v>
      </c>
      <c r="AB989" t="str">
        <f t="shared" si="205"/>
        <v>Off-Peak</v>
      </c>
      <c r="AC989" s="63">
        <f t="shared" si="206"/>
        <v>0.18032786885245902</v>
      </c>
      <c r="AD989" t="str">
        <f>IF(P989&gt;=Stats!$C$30,"High",IF(P989&lt;=Stats!$C$29,"Low","Normal"))</f>
        <v>Normal</v>
      </c>
      <c r="AE989">
        <f t="shared" si="207"/>
        <v>1</v>
      </c>
    </row>
    <row r="990" spans="1:31" x14ac:dyDescent="0.2">
      <c r="A990">
        <f>Dataset_3!A380</f>
        <v>989</v>
      </c>
      <c r="B990" s="61">
        <f>Dataset_3!B380</f>
        <v>40587</v>
      </c>
      <c r="C990">
        <f>Dataset_3!C380</f>
        <v>1</v>
      </c>
      <c r="D990">
        <f>Dataset_3!D380</f>
        <v>0</v>
      </c>
      <c r="E990">
        <f>Dataset_3!E380</f>
        <v>2</v>
      </c>
      <c r="F990">
        <f>Dataset_3!F380</f>
        <v>20</v>
      </c>
      <c r="G990" t="b">
        <f>Dataset_3!G380</f>
        <v>0</v>
      </c>
      <c r="H990">
        <f>Dataset_3!H380</f>
        <v>0</v>
      </c>
      <c r="I990">
        <f>Dataset_3!I380</f>
        <v>1</v>
      </c>
      <c r="J990" s="55">
        <f>Dataset_3!J380</f>
        <v>0.4</v>
      </c>
      <c r="K990">
        <f>Dataset_3!K380</f>
        <v>0.40910000000000002</v>
      </c>
      <c r="L990">
        <f>Dataset_3!L380</f>
        <v>0.35</v>
      </c>
      <c r="M990">
        <f>Dataset_3!M380</f>
        <v>0.32840000000000003</v>
      </c>
      <c r="N990">
        <f>Dataset_3!N380</f>
        <v>15</v>
      </c>
      <c r="O990">
        <f>Dataset_3!O380</f>
        <v>32</v>
      </c>
      <c r="P990">
        <f>Dataset_3!P380</f>
        <v>47</v>
      </c>
      <c r="Q990" t="str">
        <f t="shared" si="195"/>
        <v>REC-0989</v>
      </c>
      <c r="R990" s="62">
        <f t="shared" si="196"/>
        <v>40587.833333333336</v>
      </c>
      <c r="S990" t="str">
        <f t="shared" si="197"/>
        <v>Feb</v>
      </c>
      <c r="T990" t="str">
        <f>INDEX(Lookups!$B$39:$B$45,MATCH(H990,Lookups!$A$39:$A$45,0))</f>
        <v>Sun</v>
      </c>
      <c r="U990" t="str">
        <f t="shared" si="198"/>
        <v>Weekend</v>
      </c>
      <c r="V990" t="str">
        <f t="shared" si="199"/>
        <v>Non-Working Day</v>
      </c>
      <c r="W990" t="str">
        <f t="shared" si="200"/>
        <v>Spring</v>
      </c>
      <c r="X990" t="str">
        <f t="shared" si="201"/>
        <v>Clear</v>
      </c>
      <c r="Y990" t="str">
        <f t="shared" si="202"/>
        <v>Evening</v>
      </c>
      <c r="Z990" t="str">
        <f t="shared" si="203"/>
        <v>Warm</v>
      </c>
      <c r="AA990" t="str">
        <f t="shared" si="204"/>
        <v>Low</v>
      </c>
      <c r="AB990" t="str">
        <f t="shared" si="205"/>
        <v>Off-Peak</v>
      </c>
      <c r="AC990" s="63">
        <f t="shared" si="206"/>
        <v>0.31914893617021278</v>
      </c>
      <c r="AD990" t="str">
        <f>IF(P990&gt;=Stats!$C$30,"High",IF(P990&lt;=Stats!$C$29,"Low","Normal"))</f>
        <v>Normal</v>
      </c>
      <c r="AE990">
        <f t="shared" si="207"/>
        <v>1</v>
      </c>
    </row>
    <row r="991" spans="1:31" x14ac:dyDescent="0.2">
      <c r="A991">
        <f>Dataset_3!A381</f>
        <v>990</v>
      </c>
      <c r="B991" s="61">
        <f>Dataset_3!B381</f>
        <v>40587</v>
      </c>
      <c r="C991">
        <f>Dataset_3!C381</f>
        <v>1</v>
      </c>
      <c r="D991">
        <f>Dataset_3!D381</f>
        <v>0</v>
      </c>
      <c r="E991">
        <f>Dataset_3!E381</f>
        <v>2</v>
      </c>
      <c r="F991">
        <f>Dataset_3!F381</f>
        <v>21</v>
      </c>
      <c r="G991" t="b">
        <f>Dataset_3!G381</f>
        <v>0</v>
      </c>
      <c r="H991">
        <f>Dataset_3!H381</f>
        <v>0</v>
      </c>
      <c r="I991">
        <f>Dataset_3!I381</f>
        <v>1</v>
      </c>
      <c r="J991" s="55">
        <f>Dataset_3!J381</f>
        <v>0.4</v>
      </c>
      <c r="K991">
        <f>Dataset_3!K381</f>
        <v>0.40910000000000002</v>
      </c>
      <c r="L991">
        <f>Dataset_3!L381</f>
        <v>0.35</v>
      </c>
      <c r="M991">
        <f>Dataset_3!M381</f>
        <v>0.35820000000000002</v>
      </c>
      <c r="N991">
        <f>Dataset_3!N381</f>
        <v>6</v>
      </c>
      <c r="O991">
        <f>Dataset_3!O381</f>
        <v>45</v>
      </c>
      <c r="P991">
        <f>Dataset_3!P381</f>
        <v>51</v>
      </c>
      <c r="Q991" t="str">
        <f t="shared" si="195"/>
        <v>REC-0990</v>
      </c>
      <c r="R991" s="62">
        <f t="shared" si="196"/>
        <v>40587.875</v>
      </c>
      <c r="S991" t="str">
        <f t="shared" si="197"/>
        <v>Feb</v>
      </c>
      <c r="T991" t="str">
        <f>INDEX(Lookups!$B$39:$B$45,MATCH(H991,Lookups!$A$39:$A$45,0))</f>
        <v>Sun</v>
      </c>
      <c r="U991" t="str">
        <f t="shared" si="198"/>
        <v>Weekend</v>
      </c>
      <c r="V991" t="str">
        <f t="shared" si="199"/>
        <v>Non-Working Day</v>
      </c>
      <c r="W991" t="str">
        <f t="shared" si="200"/>
        <v>Spring</v>
      </c>
      <c r="X991" t="str">
        <f t="shared" si="201"/>
        <v>Clear</v>
      </c>
      <c r="Y991" t="str">
        <f t="shared" si="202"/>
        <v>Late Evening</v>
      </c>
      <c r="Z991" t="str">
        <f t="shared" si="203"/>
        <v>Warm</v>
      </c>
      <c r="AA991" t="str">
        <f t="shared" si="204"/>
        <v>Low</v>
      </c>
      <c r="AB991" t="str">
        <f t="shared" si="205"/>
        <v>Off-Peak</v>
      </c>
      <c r="AC991" s="63">
        <f t="shared" si="206"/>
        <v>0.11764705882352941</v>
      </c>
      <c r="AD991" t="str">
        <f>IF(P991&gt;=Stats!$C$30,"High",IF(P991&lt;=Stats!$C$29,"Low","Normal"))</f>
        <v>Normal</v>
      </c>
      <c r="AE991">
        <f t="shared" si="207"/>
        <v>1</v>
      </c>
    </row>
    <row r="992" spans="1:31" x14ac:dyDescent="0.2">
      <c r="A992">
        <f>Dataset_3!A382</f>
        <v>991</v>
      </c>
      <c r="B992" s="61">
        <f>Dataset_3!B382</f>
        <v>40587</v>
      </c>
      <c r="C992">
        <f>Dataset_3!C382</f>
        <v>1</v>
      </c>
      <c r="D992">
        <f>Dataset_3!D382</f>
        <v>0</v>
      </c>
      <c r="E992">
        <f>Dataset_3!E382</f>
        <v>2</v>
      </c>
      <c r="F992">
        <f>Dataset_3!F382</f>
        <v>22</v>
      </c>
      <c r="G992" t="b">
        <f>Dataset_3!G382</f>
        <v>0</v>
      </c>
      <c r="H992">
        <f>Dataset_3!H382</f>
        <v>0</v>
      </c>
      <c r="I992">
        <f>Dataset_3!I382</f>
        <v>1</v>
      </c>
      <c r="J992" s="55">
        <f>Dataset_3!J382</f>
        <v>0.4</v>
      </c>
      <c r="K992">
        <f>Dataset_3!K382</f>
        <v>0.40910000000000002</v>
      </c>
      <c r="L992">
        <f>Dataset_3!L382</f>
        <v>0.35</v>
      </c>
      <c r="M992">
        <f>Dataset_3!M382</f>
        <v>0.29849999999999999</v>
      </c>
      <c r="N992">
        <f>Dataset_3!N382</f>
        <v>5</v>
      </c>
      <c r="O992">
        <f>Dataset_3!O382</f>
        <v>31</v>
      </c>
      <c r="P992">
        <f>Dataset_3!P382</f>
        <v>36</v>
      </c>
      <c r="Q992" t="str">
        <f t="shared" si="195"/>
        <v>REC-0991</v>
      </c>
      <c r="R992" s="62">
        <f t="shared" si="196"/>
        <v>40587.916666666664</v>
      </c>
      <c r="S992" t="str">
        <f t="shared" si="197"/>
        <v>Feb</v>
      </c>
      <c r="T992" t="str">
        <f>INDEX(Lookups!$B$39:$B$45,MATCH(H992,Lookups!$A$39:$A$45,0))</f>
        <v>Sun</v>
      </c>
      <c r="U992" t="str">
        <f t="shared" si="198"/>
        <v>Weekend</v>
      </c>
      <c r="V992" t="str">
        <f t="shared" si="199"/>
        <v>Non-Working Day</v>
      </c>
      <c r="W992" t="str">
        <f t="shared" si="200"/>
        <v>Spring</v>
      </c>
      <c r="X992" t="str">
        <f t="shared" si="201"/>
        <v>Clear</v>
      </c>
      <c r="Y992" t="str">
        <f t="shared" si="202"/>
        <v>Late Evening</v>
      </c>
      <c r="Z992" t="str">
        <f t="shared" si="203"/>
        <v>Warm</v>
      </c>
      <c r="AA992" t="str">
        <f t="shared" si="204"/>
        <v>Low</v>
      </c>
      <c r="AB992" t="str">
        <f t="shared" si="205"/>
        <v>Off-Peak</v>
      </c>
      <c r="AC992" s="63">
        <f t="shared" si="206"/>
        <v>0.1388888888888889</v>
      </c>
      <c r="AD992" t="str">
        <f>IF(P992&gt;=Stats!$C$30,"High",IF(P992&lt;=Stats!$C$29,"Low","Normal"))</f>
        <v>Normal</v>
      </c>
      <c r="AE992">
        <f t="shared" si="207"/>
        <v>1</v>
      </c>
    </row>
    <row r="993" spans="1:31" x14ac:dyDescent="0.2">
      <c r="A993">
        <f>Dataset_3!A383</f>
        <v>992</v>
      </c>
      <c r="B993" s="61">
        <f>Dataset_3!B383</f>
        <v>40587</v>
      </c>
      <c r="C993">
        <f>Dataset_3!C383</f>
        <v>1</v>
      </c>
      <c r="D993">
        <f>Dataset_3!D383</f>
        <v>0</v>
      </c>
      <c r="E993">
        <f>Dataset_3!E383</f>
        <v>2</v>
      </c>
      <c r="F993">
        <f>Dataset_3!F383</f>
        <v>23</v>
      </c>
      <c r="G993" t="b">
        <f>Dataset_3!G383</f>
        <v>0</v>
      </c>
      <c r="H993">
        <f>Dataset_3!H383</f>
        <v>0</v>
      </c>
      <c r="I993">
        <f>Dataset_3!I383</f>
        <v>1</v>
      </c>
      <c r="J993" s="55">
        <f>Dataset_3!J383</f>
        <v>0.4</v>
      </c>
      <c r="K993">
        <f>Dataset_3!K383</f>
        <v>0.40910000000000002</v>
      </c>
      <c r="L993">
        <f>Dataset_3!L383</f>
        <v>0.35</v>
      </c>
      <c r="M993">
        <f>Dataset_3!M383</f>
        <v>0.35820000000000002</v>
      </c>
      <c r="N993">
        <f>Dataset_3!N383</f>
        <v>3</v>
      </c>
      <c r="O993">
        <f>Dataset_3!O383</f>
        <v>27</v>
      </c>
      <c r="P993">
        <f>Dataset_3!P383</f>
        <v>30</v>
      </c>
      <c r="Q993" t="str">
        <f t="shared" si="195"/>
        <v>REC-0992</v>
      </c>
      <c r="R993" s="62">
        <f t="shared" si="196"/>
        <v>40587.958333333336</v>
      </c>
      <c r="S993" t="str">
        <f t="shared" si="197"/>
        <v>Feb</v>
      </c>
      <c r="T993" t="str">
        <f>INDEX(Lookups!$B$39:$B$45,MATCH(H993,Lookups!$A$39:$A$45,0))</f>
        <v>Sun</v>
      </c>
      <c r="U993" t="str">
        <f t="shared" si="198"/>
        <v>Weekend</v>
      </c>
      <c r="V993" t="str">
        <f t="shared" si="199"/>
        <v>Non-Working Day</v>
      </c>
      <c r="W993" t="str">
        <f t="shared" si="200"/>
        <v>Spring</v>
      </c>
      <c r="X993" t="str">
        <f t="shared" si="201"/>
        <v>Clear</v>
      </c>
      <c r="Y993" t="str">
        <f t="shared" si="202"/>
        <v>Late Evening</v>
      </c>
      <c r="Z993" t="str">
        <f t="shared" si="203"/>
        <v>Warm</v>
      </c>
      <c r="AA993" t="str">
        <f t="shared" si="204"/>
        <v>Low</v>
      </c>
      <c r="AB993" t="str">
        <f t="shared" si="205"/>
        <v>Off-Peak</v>
      </c>
      <c r="AC993" s="63">
        <f t="shared" si="206"/>
        <v>0.1</v>
      </c>
      <c r="AD993" t="str">
        <f>IF(P993&gt;=Stats!$C$30,"High",IF(P993&lt;=Stats!$C$29,"Low","Normal"))</f>
        <v>Normal</v>
      </c>
      <c r="AE993">
        <f t="shared" si="207"/>
        <v>1</v>
      </c>
    </row>
    <row r="994" spans="1:31" x14ac:dyDescent="0.2">
      <c r="A994">
        <f>Dataset_3!A384</f>
        <v>993</v>
      </c>
      <c r="B994" s="61">
        <f>Dataset_3!B384</f>
        <v>40588</v>
      </c>
      <c r="C994">
        <f>Dataset_3!C384</f>
        <v>1</v>
      </c>
      <c r="D994">
        <f>Dataset_3!D384</f>
        <v>0</v>
      </c>
      <c r="E994">
        <f>Dataset_3!E384</f>
        <v>2</v>
      </c>
      <c r="F994">
        <f>Dataset_3!F384</f>
        <v>0</v>
      </c>
      <c r="G994" t="b">
        <f>Dataset_3!G384</f>
        <v>0</v>
      </c>
      <c r="H994">
        <f>Dataset_3!H384</f>
        <v>1</v>
      </c>
      <c r="I994">
        <f>Dataset_3!I384</f>
        <v>1</v>
      </c>
      <c r="J994" s="55">
        <f>Dataset_3!J384</f>
        <v>0.38</v>
      </c>
      <c r="K994">
        <f>Dataset_3!K384</f>
        <v>0.39389999999999997</v>
      </c>
      <c r="L994">
        <f>Dataset_3!L384</f>
        <v>0.37</v>
      </c>
      <c r="M994">
        <f>Dataset_3!M384</f>
        <v>0.35820000000000002</v>
      </c>
      <c r="N994">
        <f>Dataset_3!N384</f>
        <v>3</v>
      </c>
      <c r="O994">
        <f>Dataset_3!O384</f>
        <v>8</v>
      </c>
      <c r="P994">
        <f>Dataset_3!P384</f>
        <v>11</v>
      </c>
      <c r="Q994" t="str">
        <f t="shared" si="195"/>
        <v>REC-0993</v>
      </c>
      <c r="R994" s="62">
        <f t="shared" si="196"/>
        <v>40588</v>
      </c>
      <c r="S994" t="str">
        <f t="shared" si="197"/>
        <v>Feb</v>
      </c>
      <c r="T994" t="str">
        <f>INDEX(Lookups!$B$39:$B$45,MATCH(H994,Lookups!$A$39:$A$45,0))</f>
        <v>Mon</v>
      </c>
      <c r="U994" t="str">
        <f t="shared" si="198"/>
        <v>Weekday</v>
      </c>
      <c r="V994" t="str">
        <f t="shared" si="199"/>
        <v>Working Day</v>
      </c>
      <c r="W994" t="str">
        <f t="shared" si="200"/>
        <v>Spring</v>
      </c>
      <c r="X994" t="str">
        <f t="shared" si="201"/>
        <v>Clear</v>
      </c>
      <c r="Y994" t="str">
        <f t="shared" si="202"/>
        <v>Night</v>
      </c>
      <c r="Z994" t="str">
        <f t="shared" si="203"/>
        <v>Warm</v>
      </c>
      <c r="AA994" t="str">
        <f t="shared" si="204"/>
        <v>Low</v>
      </c>
      <c r="AB994" t="str">
        <f t="shared" si="205"/>
        <v>Off-Peak</v>
      </c>
      <c r="AC994" s="63">
        <f t="shared" si="206"/>
        <v>0.27272727272727271</v>
      </c>
      <c r="AD994" t="str">
        <f>IF(P994&gt;=Stats!$C$30,"High",IF(P994&lt;=Stats!$C$29,"Low","Normal"))</f>
        <v>Low</v>
      </c>
      <c r="AE994">
        <f t="shared" si="207"/>
        <v>1</v>
      </c>
    </row>
    <row r="995" spans="1:31" x14ac:dyDescent="0.2">
      <c r="A995">
        <f>Dataset_3!A385</f>
        <v>994</v>
      </c>
      <c r="B995" s="61">
        <f>Dataset_3!B385</f>
        <v>40588</v>
      </c>
      <c r="C995">
        <f>Dataset_3!C385</f>
        <v>1</v>
      </c>
      <c r="D995">
        <f>Dataset_3!D385</f>
        <v>0</v>
      </c>
      <c r="E995">
        <f>Dataset_3!E385</f>
        <v>2</v>
      </c>
      <c r="F995">
        <f>Dataset_3!F385</f>
        <v>1</v>
      </c>
      <c r="G995" t="b">
        <f>Dataset_3!G385</f>
        <v>0</v>
      </c>
      <c r="H995">
        <f>Dataset_3!H385</f>
        <v>1</v>
      </c>
      <c r="I995">
        <f>Dataset_3!I385</f>
        <v>1</v>
      </c>
      <c r="J995" s="55">
        <f>Dataset_3!J385</f>
        <v>0.38</v>
      </c>
      <c r="K995">
        <f>Dataset_3!K385</f>
        <v>0.39389999999999997</v>
      </c>
      <c r="L995">
        <f>Dataset_3!L385</f>
        <v>0.37</v>
      </c>
      <c r="M995">
        <f>Dataset_3!M385</f>
        <v>0.35820000000000002</v>
      </c>
      <c r="N995">
        <f>Dataset_3!N385</f>
        <v>1</v>
      </c>
      <c r="O995">
        <f>Dataset_3!O385</f>
        <v>6</v>
      </c>
      <c r="P995">
        <f>Dataset_3!P385</f>
        <v>7</v>
      </c>
      <c r="Q995" t="str">
        <f t="shared" si="195"/>
        <v>REC-0994</v>
      </c>
      <c r="R995" s="62">
        <f t="shared" si="196"/>
        <v>40588.041666666664</v>
      </c>
      <c r="S995" t="str">
        <f t="shared" si="197"/>
        <v>Feb</v>
      </c>
      <c r="T995" t="str">
        <f>INDEX(Lookups!$B$39:$B$45,MATCH(H995,Lookups!$A$39:$A$45,0))</f>
        <v>Mon</v>
      </c>
      <c r="U995" t="str">
        <f t="shared" si="198"/>
        <v>Weekday</v>
      </c>
      <c r="V995" t="str">
        <f t="shared" si="199"/>
        <v>Working Day</v>
      </c>
      <c r="W995" t="str">
        <f t="shared" si="200"/>
        <v>Spring</v>
      </c>
      <c r="X995" t="str">
        <f t="shared" si="201"/>
        <v>Clear</v>
      </c>
      <c r="Y995" t="str">
        <f t="shared" si="202"/>
        <v>Night</v>
      </c>
      <c r="Z995" t="str">
        <f t="shared" si="203"/>
        <v>Warm</v>
      </c>
      <c r="AA995" t="str">
        <f t="shared" si="204"/>
        <v>Low</v>
      </c>
      <c r="AB995" t="str">
        <f t="shared" si="205"/>
        <v>Off-Peak</v>
      </c>
      <c r="AC995" s="63">
        <f t="shared" si="206"/>
        <v>0.14285714285714285</v>
      </c>
      <c r="AD995" t="str">
        <f>IF(P995&gt;=Stats!$C$30,"High",IF(P995&lt;=Stats!$C$29,"Low","Normal"))</f>
        <v>Low</v>
      </c>
      <c r="AE995">
        <f t="shared" si="207"/>
        <v>1</v>
      </c>
    </row>
    <row r="996" spans="1:31" x14ac:dyDescent="0.2">
      <c r="A996">
        <f>Dataset_3!A386</f>
        <v>995</v>
      </c>
      <c r="B996" s="61">
        <f>Dataset_3!B386</f>
        <v>40588</v>
      </c>
      <c r="C996">
        <f>Dataset_3!C386</f>
        <v>1</v>
      </c>
      <c r="D996">
        <f>Dataset_3!D386</f>
        <v>0</v>
      </c>
      <c r="E996">
        <f>Dataset_3!E386</f>
        <v>2</v>
      </c>
      <c r="F996">
        <f>Dataset_3!F386</f>
        <v>2</v>
      </c>
      <c r="G996" t="b">
        <f>Dataset_3!G386</f>
        <v>0</v>
      </c>
      <c r="H996">
        <f>Dataset_3!H386</f>
        <v>1</v>
      </c>
      <c r="I996">
        <f>Dataset_3!I386</f>
        <v>1</v>
      </c>
      <c r="J996" s="55">
        <f>Dataset_3!J386</f>
        <v>0.36</v>
      </c>
      <c r="K996">
        <f>Dataset_3!K386</f>
        <v>0.33329999999999999</v>
      </c>
      <c r="L996">
        <f>Dataset_3!L386</f>
        <v>0.4</v>
      </c>
      <c r="M996">
        <f>Dataset_3!M386</f>
        <v>0.29849999999999999</v>
      </c>
      <c r="N996">
        <f>Dataset_3!N386</f>
        <v>0</v>
      </c>
      <c r="O996">
        <f>Dataset_3!O386</f>
        <v>2</v>
      </c>
      <c r="P996">
        <f>Dataset_3!P386</f>
        <v>2</v>
      </c>
      <c r="Q996" t="str">
        <f t="shared" si="195"/>
        <v>REC-0995</v>
      </c>
      <c r="R996" s="62">
        <f t="shared" si="196"/>
        <v>40588.083333333336</v>
      </c>
      <c r="S996" t="str">
        <f t="shared" si="197"/>
        <v>Feb</v>
      </c>
      <c r="T996" t="str">
        <f>INDEX(Lookups!$B$39:$B$45,MATCH(H996,Lookups!$A$39:$A$45,0))</f>
        <v>Mon</v>
      </c>
      <c r="U996" t="str">
        <f t="shared" si="198"/>
        <v>Weekday</v>
      </c>
      <c r="V996" t="str">
        <f t="shared" si="199"/>
        <v>Working Day</v>
      </c>
      <c r="W996" t="str">
        <f t="shared" si="200"/>
        <v>Spring</v>
      </c>
      <c r="X996" t="str">
        <f t="shared" si="201"/>
        <v>Clear</v>
      </c>
      <c r="Y996" t="str">
        <f t="shared" si="202"/>
        <v>Night</v>
      </c>
      <c r="Z996" t="str">
        <f t="shared" si="203"/>
        <v>Warm</v>
      </c>
      <c r="AA996" t="str">
        <f t="shared" si="204"/>
        <v>Low</v>
      </c>
      <c r="AB996" t="str">
        <f t="shared" si="205"/>
        <v>Off-Peak</v>
      </c>
      <c r="AC996" s="63">
        <f t="shared" si="206"/>
        <v>0</v>
      </c>
      <c r="AD996" t="str">
        <f>IF(P996&gt;=Stats!$C$30,"High",IF(P996&lt;=Stats!$C$29,"Low","Normal"))</f>
        <v>Low</v>
      </c>
      <c r="AE996">
        <f t="shared" si="207"/>
        <v>1</v>
      </c>
    </row>
    <row r="997" spans="1:31" x14ac:dyDescent="0.2">
      <c r="A997">
        <f>Dataset_3!A387</f>
        <v>996</v>
      </c>
      <c r="B997" s="61">
        <f>Dataset_3!B387</f>
        <v>40588</v>
      </c>
      <c r="C997">
        <f>Dataset_3!C387</f>
        <v>1</v>
      </c>
      <c r="D997">
        <f>Dataset_3!D387</f>
        <v>0</v>
      </c>
      <c r="E997">
        <f>Dataset_3!E387</f>
        <v>2</v>
      </c>
      <c r="F997">
        <f>Dataset_3!F387</f>
        <v>3</v>
      </c>
      <c r="G997" t="b">
        <f>Dataset_3!G387</f>
        <v>0</v>
      </c>
      <c r="H997">
        <f>Dataset_3!H387</f>
        <v>1</v>
      </c>
      <c r="I997">
        <f>Dataset_3!I387</f>
        <v>1</v>
      </c>
      <c r="J997" s="55">
        <f>Dataset_3!J387</f>
        <v>0.34</v>
      </c>
      <c r="K997">
        <f>Dataset_3!K387</f>
        <v>0.31819999999999998</v>
      </c>
      <c r="L997">
        <f>Dataset_3!L387</f>
        <v>0.46</v>
      </c>
      <c r="M997">
        <f>Dataset_3!M387</f>
        <v>0.22389999999999999</v>
      </c>
      <c r="N997">
        <f>Dataset_3!N387</f>
        <v>1</v>
      </c>
      <c r="O997">
        <f>Dataset_3!O387</f>
        <v>1</v>
      </c>
      <c r="P997">
        <f>Dataset_3!P387</f>
        <v>2</v>
      </c>
      <c r="Q997" t="str">
        <f t="shared" si="195"/>
        <v>REC-0996</v>
      </c>
      <c r="R997" s="62">
        <f t="shared" si="196"/>
        <v>40588.125</v>
      </c>
      <c r="S997" t="str">
        <f t="shared" si="197"/>
        <v>Feb</v>
      </c>
      <c r="T997" t="str">
        <f>INDEX(Lookups!$B$39:$B$45,MATCH(H997,Lookups!$A$39:$A$45,0))</f>
        <v>Mon</v>
      </c>
      <c r="U997" t="str">
        <f t="shared" si="198"/>
        <v>Weekday</v>
      </c>
      <c r="V997" t="str">
        <f t="shared" si="199"/>
        <v>Working Day</v>
      </c>
      <c r="W997" t="str">
        <f t="shared" si="200"/>
        <v>Spring</v>
      </c>
      <c r="X997" t="str">
        <f t="shared" si="201"/>
        <v>Clear</v>
      </c>
      <c r="Y997" t="str">
        <f t="shared" si="202"/>
        <v>Night</v>
      </c>
      <c r="Z997" t="str">
        <f t="shared" si="203"/>
        <v>Warm</v>
      </c>
      <c r="AA997" t="str">
        <f t="shared" si="204"/>
        <v>Low</v>
      </c>
      <c r="AB997" t="str">
        <f t="shared" si="205"/>
        <v>Off-Peak</v>
      </c>
      <c r="AC997" s="63">
        <f t="shared" si="206"/>
        <v>0.5</v>
      </c>
      <c r="AD997" t="str">
        <f>IF(P997&gt;=Stats!$C$30,"High",IF(P997&lt;=Stats!$C$29,"Low","Normal"))</f>
        <v>Low</v>
      </c>
      <c r="AE997">
        <f t="shared" si="207"/>
        <v>1</v>
      </c>
    </row>
    <row r="998" spans="1:31" x14ac:dyDescent="0.2">
      <c r="A998">
        <f>Dataset_3!A388</f>
        <v>997</v>
      </c>
      <c r="B998" s="61">
        <f>Dataset_3!B388</f>
        <v>40588</v>
      </c>
      <c r="C998">
        <f>Dataset_3!C388</f>
        <v>1</v>
      </c>
      <c r="D998">
        <f>Dataset_3!D388</f>
        <v>0</v>
      </c>
      <c r="E998">
        <f>Dataset_3!E388</f>
        <v>2</v>
      </c>
      <c r="F998">
        <f>Dataset_3!F388</f>
        <v>4</v>
      </c>
      <c r="G998" t="b">
        <f>Dataset_3!G388</f>
        <v>0</v>
      </c>
      <c r="H998">
        <f>Dataset_3!H388</f>
        <v>1</v>
      </c>
      <c r="I998">
        <f>Dataset_3!I388</f>
        <v>1</v>
      </c>
      <c r="J998" s="55">
        <f>Dataset_3!J388</f>
        <v>0.32</v>
      </c>
      <c r="K998">
        <f>Dataset_3!K388</f>
        <v>0.30299999999999999</v>
      </c>
      <c r="L998">
        <f>Dataset_3!L388</f>
        <v>0.53</v>
      </c>
      <c r="M998">
        <f>Dataset_3!M388</f>
        <v>0.28360000000000002</v>
      </c>
      <c r="N998">
        <f>Dataset_3!N388</f>
        <v>0</v>
      </c>
      <c r="O998">
        <f>Dataset_3!O388</f>
        <v>2</v>
      </c>
      <c r="P998">
        <f>Dataset_3!P388</f>
        <v>2</v>
      </c>
      <c r="Q998" t="str">
        <f t="shared" si="195"/>
        <v>REC-0997</v>
      </c>
      <c r="R998" s="62">
        <f t="shared" si="196"/>
        <v>40588.166666666664</v>
      </c>
      <c r="S998" t="str">
        <f t="shared" si="197"/>
        <v>Feb</v>
      </c>
      <c r="T998" t="str">
        <f>INDEX(Lookups!$B$39:$B$45,MATCH(H998,Lookups!$A$39:$A$45,0))</f>
        <v>Mon</v>
      </c>
      <c r="U998" t="str">
        <f t="shared" si="198"/>
        <v>Weekday</v>
      </c>
      <c r="V998" t="str">
        <f t="shared" si="199"/>
        <v>Working Day</v>
      </c>
      <c r="W998" t="str">
        <f t="shared" si="200"/>
        <v>Spring</v>
      </c>
      <c r="X998" t="str">
        <f t="shared" si="201"/>
        <v>Clear</v>
      </c>
      <c r="Y998" t="str">
        <f t="shared" si="202"/>
        <v>Night</v>
      </c>
      <c r="Z998" t="str">
        <f t="shared" si="203"/>
        <v>Warm</v>
      </c>
      <c r="AA998" t="str">
        <f t="shared" si="204"/>
        <v>Medium</v>
      </c>
      <c r="AB998" t="str">
        <f t="shared" si="205"/>
        <v>Off-Peak</v>
      </c>
      <c r="AC998" s="63">
        <f t="shared" si="206"/>
        <v>0</v>
      </c>
      <c r="AD998" t="str">
        <f>IF(P998&gt;=Stats!$C$30,"High",IF(P998&lt;=Stats!$C$29,"Low","Normal"))</f>
        <v>Low</v>
      </c>
      <c r="AE998">
        <f t="shared" si="207"/>
        <v>1</v>
      </c>
    </row>
    <row r="999" spans="1:31" x14ac:dyDescent="0.2">
      <c r="A999">
        <f>Dataset_3!A389</f>
        <v>998</v>
      </c>
      <c r="B999" s="61">
        <f>Dataset_3!B389</f>
        <v>40588</v>
      </c>
      <c r="C999">
        <f>Dataset_3!C389</f>
        <v>1</v>
      </c>
      <c r="D999">
        <f>Dataset_3!D389</f>
        <v>0</v>
      </c>
      <c r="E999">
        <f>Dataset_3!E389</f>
        <v>2</v>
      </c>
      <c r="F999">
        <f>Dataset_3!F389</f>
        <v>5</v>
      </c>
      <c r="G999" t="b">
        <f>Dataset_3!G389</f>
        <v>0</v>
      </c>
      <c r="H999">
        <f>Dataset_3!H389</f>
        <v>1</v>
      </c>
      <c r="I999">
        <f>Dataset_3!I389</f>
        <v>1</v>
      </c>
      <c r="J999" s="55">
        <f>Dataset_3!J389</f>
        <v>0.32</v>
      </c>
      <c r="K999">
        <f>Dataset_3!K389</f>
        <v>0.30299999999999999</v>
      </c>
      <c r="L999">
        <f>Dataset_3!L389</f>
        <v>0.53</v>
      </c>
      <c r="M999">
        <f>Dataset_3!M389</f>
        <v>0.28360000000000002</v>
      </c>
      <c r="N999">
        <f>Dataset_3!N389</f>
        <v>0</v>
      </c>
      <c r="O999">
        <f>Dataset_3!O389</f>
        <v>3</v>
      </c>
      <c r="P999">
        <f>Dataset_3!P389</f>
        <v>3</v>
      </c>
      <c r="Q999" t="str">
        <f t="shared" si="195"/>
        <v>REC-0998</v>
      </c>
      <c r="R999" s="62">
        <f t="shared" si="196"/>
        <v>40588.208333333336</v>
      </c>
      <c r="S999" t="str">
        <f t="shared" si="197"/>
        <v>Feb</v>
      </c>
      <c r="T999" t="str">
        <f>INDEX(Lookups!$B$39:$B$45,MATCH(H999,Lookups!$A$39:$A$45,0))</f>
        <v>Mon</v>
      </c>
      <c r="U999" t="str">
        <f t="shared" si="198"/>
        <v>Weekday</v>
      </c>
      <c r="V999" t="str">
        <f t="shared" si="199"/>
        <v>Working Day</v>
      </c>
      <c r="W999" t="str">
        <f t="shared" si="200"/>
        <v>Spring</v>
      </c>
      <c r="X999" t="str">
        <f t="shared" si="201"/>
        <v>Clear</v>
      </c>
      <c r="Y999" t="str">
        <f t="shared" si="202"/>
        <v>Night</v>
      </c>
      <c r="Z999" t="str">
        <f t="shared" si="203"/>
        <v>Warm</v>
      </c>
      <c r="AA999" t="str">
        <f t="shared" si="204"/>
        <v>Medium</v>
      </c>
      <c r="AB999" t="str">
        <f t="shared" si="205"/>
        <v>Off-Peak</v>
      </c>
      <c r="AC999" s="63">
        <f t="shared" si="206"/>
        <v>0</v>
      </c>
      <c r="AD999" t="str">
        <f>IF(P999&gt;=Stats!$C$30,"High",IF(P999&lt;=Stats!$C$29,"Low","Normal"))</f>
        <v>Low</v>
      </c>
      <c r="AE999">
        <f t="shared" si="207"/>
        <v>1</v>
      </c>
    </row>
    <row r="1000" spans="1:31" x14ac:dyDescent="0.2">
      <c r="A1000">
        <f>Dataset_3!A390</f>
        <v>999</v>
      </c>
      <c r="B1000" s="61">
        <f>Dataset_3!B390</f>
        <v>40588</v>
      </c>
      <c r="C1000">
        <f>Dataset_3!C390</f>
        <v>1</v>
      </c>
      <c r="D1000">
        <f>Dataset_3!D390</f>
        <v>0</v>
      </c>
      <c r="E1000">
        <f>Dataset_3!E390</f>
        <v>2</v>
      </c>
      <c r="F1000">
        <f>Dataset_3!F390</f>
        <v>6</v>
      </c>
      <c r="G1000" t="b">
        <f>Dataset_3!G390</f>
        <v>0</v>
      </c>
      <c r="H1000">
        <f>Dataset_3!H390</f>
        <v>1</v>
      </c>
      <c r="I1000">
        <f>Dataset_3!I390</f>
        <v>1</v>
      </c>
      <c r="J1000" s="55">
        <f>Dataset_3!J390</f>
        <v>0.34</v>
      </c>
      <c r="K1000">
        <f>Dataset_3!K390</f>
        <v>0.30299999999999999</v>
      </c>
      <c r="L1000">
        <f>Dataset_3!L390</f>
        <v>0.46</v>
      </c>
      <c r="M1000">
        <f>Dataset_3!M390</f>
        <v>0.29849999999999999</v>
      </c>
      <c r="N1000">
        <f>Dataset_3!N390</f>
        <v>1</v>
      </c>
      <c r="O1000">
        <f>Dataset_3!O390</f>
        <v>25</v>
      </c>
      <c r="P1000">
        <f>Dataset_3!P390</f>
        <v>26</v>
      </c>
      <c r="Q1000" t="str">
        <f t="shared" si="195"/>
        <v>REC-0999</v>
      </c>
      <c r="R1000" s="62">
        <f t="shared" si="196"/>
        <v>40588.25</v>
      </c>
      <c r="S1000" t="str">
        <f t="shared" si="197"/>
        <v>Feb</v>
      </c>
      <c r="T1000" t="str">
        <f>INDEX(Lookups!$B$39:$B$45,MATCH(H1000,Lookups!$A$39:$A$45,0))</f>
        <v>Mon</v>
      </c>
      <c r="U1000" t="str">
        <f t="shared" si="198"/>
        <v>Weekday</v>
      </c>
      <c r="V1000" t="str">
        <f t="shared" si="199"/>
        <v>Working Day</v>
      </c>
      <c r="W1000" t="str">
        <f t="shared" si="200"/>
        <v>Spring</v>
      </c>
      <c r="X1000" t="str">
        <f t="shared" si="201"/>
        <v>Clear</v>
      </c>
      <c r="Y1000" t="str">
        <f t="shared" si="202"/>
        <v>Morning</v>
      </c>
      <c r="Z1000" t="str">
        <f t="shared" si="203"/>
        <v>Warm</v>
      </c>
      <c r="AA1000" t="str">
        <f t="shared" si="204"/>
        <v>Low</v>
      </c>
      <c r="AB1000" t="str">
        <f t="shared" si="205"/>
        <v>Off-Peak</v>
      </c>
      <c r="AC1000" s="63">
        <f t="shared" si="206"/>
        <v>3.8461538461538464E-2</v>
      </c>
      <c r="AD1000" t="str">
        <f>IF(P1000&gt;=Stats!$C$30,"High",IF(P1000&lt;=Stats!$C$29,"Low","Normal"))</f>
        <v>Normal</v>
      </c>
      <c r="AE1000">
        <f t="shared" si="207"/>
        <v>1</v>
      </c>
    </row>
    <row r="1001" spans="1:31" x14ac:dyDescent="0.2">
      <c r="A1001">
        <f>Dataset_3!A391</f>
        <v>1000</v>
      </c>
      <c r="B1001" s="61">
        <f>Dataset_3!B391</f>
        <v>40588</v>
      </c>
      <c r="C1001">
        <f>Dataset_3!C391</f>
        <v>1</v>
      </c>
      <c r="D1001">
        <f>Dataset_3!D391</f>
        <v>0</v>
      </c>
      <c r="E1001">
        <f>Dataset_3!E391</f>
        <v>2</v>
      </c>
      <c r="F1001">
        <f>Dataset_3!F391</f>
        <v>7</v>
      </c>
      <c r="G1001" t="b">
        <f>Dataset_3!G391</f>
        <v>0</v>
      </c>
      <c r="H1001">
        <f>Dataset_3!H391</f>
        <v>1</v>
      </c>
      <c r="I1001">
        <f>Dataset_3!I391</f>
        <v>1</v>
      </c>
      <c r="J1001" s="55">
        <f>Dataset_3!J391</f>
        <v>0.34</v>
      </c>
      <c r="K1001">
        <f>Dataset_3!K391</f>
        <v>0.30299999999999999</v>
      </c>
      <c r="L1001">
        <f>Dataset_3!L391</f>
        <v>0.46</v>
      </c>
      <c r="M1001">
        <f>Dataset_3!M391</f>
        <v>0.29849999999999999</v>
      </c>
      <c r="N1001">
        <f>Dataset_3!N391</f>
        <v>2</v>
      </c>
      <c r="O1001">
        <f>Dataset_3!O391</f>
        <v>96</v>
      </c>
      <c r="P1001">
        <f>Dataset_3!P391</f>
        <v>98</v>
      </c>
      <c r="Q1001" t="str">
        <f t="shared" si="195"/>
        <v>REC-1000</v>
      </c>
      <c r="R1001" s="62">
        <f t="shared" si="196"/>
        <v>40588.291666666664</v>
      </c>
      <c r="S1001" t="str">
        <f t="shared" si="197"/>
        <v>Feb</v>
      </c>
      <c r="T1001" t="str">
        <f>INDEX(Lookups!$B$39:$B$45,MATCH(H1001,Lookups!$A$39:$A$45,0))</f>
        <v>Mon</v>
      </c>
      <c r="U1001" t="str">
        <f t="shared" si="198"/>
        <v>Weekday</v>
      </c>
      <c r="V1001" t="str">
        <f t="shared" si="199"/>
        <v>Working Day</v>
      </c>
      <c r="W1001" t="str">
        <f t="shared" si="200"/>
        <v>Spring</v>
      </c>
      <c r="X1001" t="str">
        <f t="shared" si="201"/>
        <v>Clear</v>
      </c>
      <c r="Y1001" t="str">
        <f t="shared" si="202"/>
        <v>Morning</v>
      </c>
      <c r="Z1001" t="str">
        <f t="shared" si="203"/>
        <v>Warm</v>
      </c>
      <c r="AA1001" t="str">
        <f t="shared" si="204"/>
        <v>Low</v>
      </c>
      <c r="AB1001" t="str">
        <f t="shared" si="205"/>
        <v>Peak</v>
      </c>
      <c r="AC1001" s="63">
        <f t="shared" si="206"/>
        <v>2.0408163265306121E-2</v>
      </c>
      <c r="AD1001" t="str">
        <f>IF(P1001&gt;=Stats!$C$30,"High",IF(P1001&lt;=Stats!$C$29,"Low","Normal"))</f>
        <v>High</v>
      </c>
      <c r="AE1001">
        <f t="shared" si="207"/>
        <v>1</v>
      </c>
    </row>
  </sheetData>
  <conditionalFormatting sqref="P2:P1001">
    <cfRule type="dataBar" priority="5">
      <dataBar>
        <cfvo type="min"/>
        <cfvo type="max"/>
        <color rgb="FFE76F51"/>
      </dataBar>
    </cfRule>
  </conditionalFormatting>
  <conditionalFormatting sqref="X2:X1001">
    <cfRule type="expression" dxfId="6" priority="1">
      <formula>X2="Clear"</formula>
    </cfRule>
    <cfRule type="expression" dxfId="5" priority="2">
      <formula>X2="Cloudy/Mist"</formula>
    </cfRule>
    <cfRule type="expression" dxfId="4" priority="3">
      <formula>X2="Light Rain/Snow"</formula>
    </cfRule>
    <cfRule type="expression" dxfId="3" priority="4">
      <formula>X2="Heavy Rain"</formula>
    </cfRule>
  </conditionalFormatting>
  <conditionalFormatting sqref="AD2:AD1001">
    <cfRule type="expression" dxfId="2" priority="6">
      <formula>AD2="High"</formula>
    </cfRule>
  </conditionalFormatting>
  <pageMargins left="0.75" right="0.75" top="1" bottom="1" header="0.5" footer="0.5"/>
  <legacyDrawing r:id="rId1"/>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606C76"/>
  </sheetPr>
  <dimension ref="A1:P611"/>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6" width="11" customWidth="1"/>
  </cols>
  <sheetData>
    <row r="1" spans="1:16" x14ac:dyDescent="0.2">
      <c r="A1" s="29" t="s">
        <v>261</v>
      </c>
      <c r="B1" s="29" t="s">
        <v>262</v>
      </c>
      <c r="C1" s="29" t="s">
        <v>263</v>
      </c>
      <c r="D1" s="29" t="s">
        <v>264</v>
      </c>
      <c r="E1" s="29" t="s">
        <v>265</v>
      </c>
      <c r="F1" s="29" t="s">
        <v>266</v>
      </c>
      <c r="G1" s="29" t="s">
        <v>267</v>
      </c>
      <c r="H1" s="29" t="s">
        <v>268</v>
      </c>
      <c r="I1" s="29" t="s">
        <v>269</v>
      </c>
      <c r="J1" s="29" t="s">
        <v>201</v>
      </c>
      <c r="K1" s="60" t="s">
        <v>202</v>
      </c>
      <c r="L1" s="60" t="s">
        <v>203</v>
      </c>
      <c r="M1" s="60" t="s">
        <v>204</v>
      </c>
      <c r="N1" s="60" t="s">
        <v>205</v>
      </c>
      <c r="O1" s="60" t="s">
        <v>206</v>
      </c>
      <c r="P1" s="60" t="s">
        <v>207</v>
      </c>
    </row>
    <row r="2" spans="1:16" x14ac:dyDescent="0.2">
      <c r="A2">
        <f>Dataset_1!A2</f>
        <v>1</v>
      </c>
      <c r="B2" s="61">
        <f>Dataset_1!B2</f>
        <v>40544</v>
      </c>
      <c r="C2">
        <f>Dataset_1!C2</f>
        <v>1</v>
      </c>
      <c r="D2">
        <f>Dataset_1!D2</f>
        <v>0</v>
      </c>
      <c r="E2">
        <f>Dataset_1!E2</f>
        <v>1</v>
      </c>
      <c r="F2">
        <f>Dataset_1!F2</f>
        <v>0</v>
      </c>
      <c r="G2" t="b">
        <f>Dataset_1!G2</f>
        <v>0</v>
      </c>
      <c r="H2">
        <f>Dataset_1!H2</f>
        <v>6</v>
      </c>
      <c r="I2">
        <f>Dataset_1!I2</f>
        <v>1</v>
      </c>
      <c r="J2">
        <f>Dataset_1!J2</f>
        <v>0.24</v>
      </c>
      <c r="K2">
        <f>INDEX(Dataset_2!$B$2:$B$611,MATCH($A2,Dataset_2!$A$2:$A$611,0))</f>
        <v>0.28789999999999999</v>
      </c>
      <c r="L2">
        <f>INDEX(Dataset_2!$C$2:$C$611,MATCH($A2,Dataset_2!$A$2:$A$611,0))</f>
        <v>0.81</v>
      </c>
      <c r="M2">
        <f>INDEX(Dataset_2!$D$2:$D$611,MATCH($A2,Dataset_2!$A$2:$A$611,0))</f>
        <v>0</v>
      </c>
      <c r="N2">
        <f>INDEX(Dataset_2!$E$2:$E$611,MATCH($A2,Dataset_2!$A$2:$A$611,0))</f>
        <v>3</v>
      </c>
      <c r="O2">
        <f>INDEX(Dataset_2!$F$2:$F$611,MATCH($A2,Dataset_2!$A$2:$A$611,0))</f>
        <v>13</v>
      </c>
      <c r="P2">
        <f>INDEX(Dataset_2!$G$2:$G$611,MATCH($A2,Dataset_2!$A$2:$A$611,0))</f>
        <v>16</v>
      </c>
    </row>
    <row r="3" spans="1:16" x14ac:dyDescent="0.2">
      <c r="A3">
        <f>Dataset_1!A3</f>
        <v>2</v>
      </c>
      <c r="B3" s="61">
        <f>Dataset_1!B3</f>
        <v>40544</v>
      </c>
      <c r="C3">
        <f>Dataset_1!C3</f>
        <v>1</v>
      </c>
      <c r="D3">
        <f>Dataset_1!D3</f>
        <v>0</v>
      </c>
      <c r="E3">
        <f>Dataset_1!E3</f>
        <v>1</v>
      </c>
      <c r="F3">
        <f>Dataset_1!F3</f>
        <v>1</v>
      </c>
      <c r="G3" t="b">
        <f>Dataset_1!G3</f>
        <v>0</v>
      </c>
      <c r="H3">
        <f>Dataset_1!H3</f>
        <v>6</v>
      </c>
      <c r="I3">
        <f>Dataset_1!I3</f>
        <v>1</v>
      </c>
      <c r="J3">
        <f>Dataset_1!J3</f>
        <v>0.22</v>
      </c>
      <c r="K3">
        <f>INDEX(Dataset_2!$B$2:$B$611,MATCH($A3,Dataset_2!$A$2:$A$611,0))</f>
        <v>0.2727</v>
      </c>
      <c r="L3">
        <f>INDEX(Dataset_2!$C$2:$C$611,MATCH($A3,Dataset_2!$A$2:$A$611,0))</f>
        <v>0.8</v>
      </c>
      <c r="M3">
        <f>INDEX(Dataset_2!$D$2:$D$611,MATCH($A3,Dataset_2!$A$2:$A$611,0))</f>
        <v>0</v>
      </c>
      <c r="N3">
        <f>INDEX(Dataset_2!$E$2:$E$611,MATCH($A3,Dataset_2!$A$2:$A$611,0))</f>
        <v>8</v>
      </c>
      <c r="O3">
        <f>INDEX(Dataset_2!$F$2:$F$611,MATCH($A3,Dataset_2!$A$2:$A$611,0))</f>
        <v>32</v>
      </c>
      <c r="P3">
        <f>INDEX(Dataset_2!$G$2:$G$611,MATCH($A3,Dataset_2!$A$2:$A$611,0))</f>
        <v>40</v>
      </c>
    </row>
    <row r="4" spans="1:16" x14ac:dyDescent="0.2">
      <c r="A4">
        <f>Dataset_1!A4</f>
        <v>3</v>
      </c>
      <c r="B4" s="61">
        <f>Dataset_1!B4</f>
        <v>40544</v>
      </c>
      <c r="C4">
        <f>Dataset_1!C4</f>
        <v>1</v>
      </c>
      <c r="D4">
        <f>Dataset_1!D4</f>
        <v>0</v>
      </c>
      <c r="E4">
        <f>Dataset_1!E4</f>
        <v>1</v>
      </c>
      <c r="F4">
        <f>Dataset_1!F4</f>
        <v>2</v>
      </c>
      <c r="G4" t="b">
        <f>Dataset_1!G4</f>
        <v>0</v>
      </c>
      <c r="H4">
        <f>Dataset_1!H4</f>
        <v>6</v>
      </c>
      <c r="I4">
        <f>Dataset_1!I4</f>
        <v>1</v>
      </c>
      <c r="J4">
        <f>Dataset_1!J4</f>
        <v>0.22</v>
      </c>
      <c r="K4">
        <f>INDEX(Dataset_2!$B$2:$B$611,MATCH($A4,Dataset_2!$A$2:$A$611,0))</f>
        <v>0.2727</v>
      </c>
      <c r="L4">
        <f>INDEX(Dataset_2!$C$2:$C$611,MATCH($A4,Dataset_2!$A$2:$A$611,0))</f>
        <v>0.8</v>
      </c>
      <c r="M4">
        <f>INDEX(Dataset_2!$D$2:$D$611,MATCH($A4,Dataset_2!$A$2:$A$611,0))</f>
        <v>0</v>
      </c>
      <c r="N4">
        <f>INDEX(Dataset_2!$E$2:$E$611,MATCH($A4,Dataset_2!$A$2:$A$611,0))</f>
        <v>5</v>
      </c>
      <c r="O4">
        <f>INDEX(Dataset_2!$F$2:$F$611,MATCH($A4,Dataset_2!$A$2:$A$611,0))</f>
        <v>27</v>
      </c>
      <c r="P4">
        <f>INDEX(Dataset_2!$G$2:$G$611,MATCH($A4,Dataset_2!$A$2:$A$611,0))</f>
        <v>32</v>
      </c>
    </row>
    <row r="5" spans="1:16" x14ac:dyDescent="0.2">
      <c r="A5">
        <f>Dataset_1!A5</f>
        <v>4</v>
      </c>
      <c r="B5" s="61">
        <f>Dataset_1!B5</f>
        <v>40544</v>
      </c>
      <c r="C5">
        <f>Dataset_1!C5</f>
        <v>1</v>
      </c>
      <c r="D5">
        <f>Dataset_1!D5</f>
        <v>0</v>
      </c>
      <c r="E5">
        <f>Dataset_1!E5</f>
        <v>1</v>
      </c>
      <c r="F5">
        <f>Dataset_1!F5</f>
        <v>3</v>
      </c>
      <c r="G5" t="b">
        <f>Dataset_1!G5</f>
        <v>0</v>
      </c>
      <c r="H5">
        <f>Dataset_1!H5</f>
        <v>6</v>
      </c>
      <c r="I5">
        <f>Dataset_1!I5</f>
        <v>1</v>
      </c>
      <c r="J5">
        <f>Dataset_1!J5</f>
        <v>0.24</v>
      </c>
      <c r="K5">
        <f>INDEX(Dataset_2!$B$2:$B$611,MATCH($A5,Dataset_2!$A$2:$A$611,0))</f>
        <v>0.28789999999999999</v>
      </c>
      <c r="L5">
        <f>INDEX(Dataset_2!$C$2:$C$611,MATCH($A5,Dataset_2!$A$2:$A$611,0))</f>
        <v>0.75</v>
      </c>
      <c r="M5">
        <f>INDEX(Dataset_2!$D$2:$D$611,MATCH($A5,Dataset_2!$A$2:$A$611,0))</f>
        <v>0</v>
      </c>
      <c r="N5">
        <f>INDEX(Dataset_2!$E$2:$E$611,MATCH($A5,Dataset_2!$A$2:$A$611,0))</f>
        <v>3</v>
      </c>
      <c r="O5">
        <f>INDEX(Dataset_2!$F$2:$F$611,MATCH($A5,Dataset_2!$A$2:$A$611,0))</f>
        <v>10</v>
      </c>
      <c r="P5">
        <f>INDEX(Dataset_2!$G$2:$G$611,MATCH($A5,Dataset_2!$A$2:$A$611,0))</f>
        <v>13</v>
      </c>
    </row>
    <row r="6" spans="1:16" x14ac:dyDescent="0.2">
      <c r="A6">
        <f>Dataset_1!A6</f>
        <v>5</v>
      </c>
      <c r="B6" s="61">
        <f>Dataset_1!B6</f>
        <v>40544</v>
      </c>
      <c r="C6">
        <f>Dataset_1!C6</f>
        <v>1</v>
      </c>
      <c r="D6">
        <f>Dataset_1!D6</f>
        <v>0</v>
      </c>
      <c r="E6">
        <f>Dataset_1!E6</f>
        <v>1</v>
      </c>
      <c r="F6">
        <f>Dataset_1!F6</f>
        <v>4</v>
      </c>
      <c r="G6" t="b">
        <f>Dataset_1!G6</f>
        <v>0</v>
      </c>
      <c r="H6">
        <f>Dataset_1!H6</f>
        <v>6</v>
      </c>
      <c r="I6">
        <f>Dataset_1!I6</f>
        <v>1</v>
      </c>
      <c r="J6">
        <f>Dataset_1!J6</f>
        <v>0.24</v>
      </c>
      <c r="K6">
        <f>INDEX(Dataset_2!$B$2:$B$611,MATCH($A6,Dataset_2!$A$2:$A$611,0))</f>
        <v>0.28789999999999999</v>
      </c>
      <c r="L6">
        <f>INDEX(Dataset_2!$C$2:$C$611,MATCH($A6,Dataset_2!$A$2:$A$611,0))</f>
        <v>0.75</v>
      </c>
      <c r="M6">
        <f>INDEX(Dataset_2!$D$2:$D$611,MATCH($A6,Dataset_2!$A$2:$A$611,0))</f>
        <v>0</v>
      </c>
      <c r="N6">
        <f>INDEX(Dataset_2!$E$2:$E$611,MATCH($A6,Dataset_2!$A$2:$A$611,0))</f>
        <v>0</v>
      </c>
      <c r="O6">
        <f>INDEX(Dataset_2!$F$2:$F$611,MATCH($A6,Dataset_2!$A$2:$A$611,0))</f>
        <v>1</v>
      </c>
      <c r="P6">
        <f>INDEX(Dataset_2!$G$2:$G$611,MATCH($A6,Dataset_2!$A$2:$A$611,0))</f>
        <v>1</v>
      </c>
    </row>
    <row r="7" spans="1:16" x14ac:dyDescent="0.2">
      <c r="A7">
        <f>Dataset_1!A7</f>
        <v>6</v>
      </c>
      <c r="B7" s="61">
        <f>Dataset_1!B7</f>
        <v>40544</v>
      </c>
      <c r="C7">
        <f>Dataset_1!C7</f>
        <v>1</v>
      </c>
      <c r="D7">
        <f>Dataset_1!D7</f>
        <v>0</v>
      </c>
      <c r="E7">
        <f>Dataset_1!E7</f>
        <v>1</v>
      </c>
      <c r="F7">
        <f>Dataset_1!F7</f>
        <v>5</v>
      </c>
      <c r="G7" t="b">
        <f>Dataset_1!G7</f>
        <v>0</v>
      </c>
      <c r="H7">
        <f>Dataset_1!H7</f>
        <v>6</v>
      </c>
      <c r="I7">
        <f>Dataset_1!I7</f>
        <v>2</v>
      </c>
      <c r="J7">
        <f>Dataset_1!J7</f>
        <v>0.24</v>
      </c>
      <c r="K7">
        <f>INDEX(Dataset_2!$B$2:$B$611,MATCH($A7,Dataset_2!$A$2:$A$611,0))</f>
        <v>0.2576</v>
      </c>
      <c r="L7">
        <f>INDEX(Dataset_2!$C$2:$C$611,MATCH($A7,Dataset_2!$A$2:$A$611,0))</f>
        <v>0.75</v>
      </c>
      <c r="M7">
        <f>INDEX(Dataset_2!$D$2:$D$611,MATCH($A7,Dataset_2!$A$2:$A$611,0))</f>
        <v>8.9599999999999999E-2</v>
      </c>
      <c r="N7">
        <f>INDEX(Dataset_2!$E$2:$E$611,MATCH($A7,Dataset_2!$A$2:$A$611,0))</f>
        <v>0</v>
      </c>
      <c r="O7">
        <f>INDEX(Dataset_2!$F$2:$F$611,MATCH($A7,Dataset_2!$A$2:$A$611,0))</f>
        <v>1</v>
      </c>
      <c r="P7">
        <f>INDEX(Dataset_2!$G$2:$G$611,MATCH($A7,Dataset_2!$A$2:$A$611,0))</f>
        <v>1</v>
      </c>
    </row>
    <row r="8" spans="1:16" x14ac:dyDescent="0.2">
      <c r="A8">
        <f>Dataset_1!A8</f>
        <v>7</v>
      </c>
      <c r="B8" s="61">
        <f>Dataset_1!B8</f>
        <v>40544</v>
      </c>
      <c r="C8">
        <f>Dataset_1!C8</f>
        <v>1</v>
      </c>
      <c r="D8">
        <f>Dataset_1!D8</f>
        <v>0</v>
      </c>
      <c r="E8">
        <f>Dataset_1!E8</f>
        <v>1</v>
      </c>
      <c r="F8">
        <f>Dataset_1!F8</f>
        <v>6</v>
      </c>
      <c r="G8" t="b">
        <f>Dataset_1!G8</f>
        <v>0</v>
      </c>
      <c r="H8">
        <f>Dataset_1!H8</f>
        <v>6</v>
      </c>
      <c r="I8">
        <f>Dataset_1!I8</f>
        <v>1</v>
      </c>
      <c r="J8">
        <f>Dataset_1!J8</f>
        <v>0.22</v>
      </c>
      <c r="K8">
        <f>INDEX(Dataset_2!$B$2:$B$611,MATCH($A8,Dataset_2!$A$2:$A$611,0))</f>
        <v>0.2727</v>
      </c>
      <c r="L8">
        <f>INDEX(Dataset_2!$C$2:$C$611,MATCH($A8,Dataset_2!$A$2:$A$611,0))</f>
        <v>0.8</v>
      </c>
      <c r="M8">
        <f>INDEX(Dataset_2!$D$2:$D$611,MATCH($A8,Dataset_2!$A$2:$A$611,0))</f>
        <v>0</v>
      </c>
      <c r="N8">
        <f>INDEX(Dataset_2!$E$2:$E$611,MATCH($A8,Dataset_2!$A$2:$A$611,0))</f>
        <v>2</v>
      </c>
      <c r="O8">
        <f>INDEX(Dataset_2!$F$2:$F$611,MATCH($A8,Dataset_2!$A$2:$A$611,0))</f>
        <v>0</v>
      </c>
      <c r="P8">
        <f>INDEX(Dataset_2!$G$2:$G$611,MATCH($A8,Dataset_2!$A$2:$A$611,0))</f>
        <v>2</v>
      </c>
    </row>
    <row r="9" spans="1:16" x14ac:dyDescent="0.2">
      <c r="A9">
        <f>Dataset_1!A9</f>
        <v>8</v>
      </c>
      <c r="B9" s="61">
        <f>Dataset_1!B9</f>
        <v>40544</v>
      </c>
      <c r="C9">
        <f>Dataset_1!C9</f>
        <v>1</v>
      </c>
      <c r="D9">
        <f>Dataset_1!D9</f>
        <v>0</v>
      </c>
      <c r="E9">
        <f>Dataset_1!E9</f>
        <v>1</v>
      </c>
      <c r="F9">
        <f>Dataset_1!F9</f>
        <v>7</v>
      </c>
      <c r="G9" t="b">
        <f>Dataset_1!G9</f>
        <v>0</v>
      </c>
      <c r="H9">
        <f>Dataset_1!H9</f>
        <v>6</v>
      </c>
      <c r="I9">
        <f>Dataset_1!I9</f>
        <v>1</v>
      </c>
      <c r="J9">
        <f>Dataset_1!J9</f>
        <v>0.2</v>
      </c>
      <c r="K9">
        <f>INDEX(Dataset_2!$B$2:$B$611,MATCH($A9,Dataset_2!$A$2:$A$611,0))</f>
        <v>0.2576</v>
      </c>
      <c r="L9">
        <f>INDEX(Dataset_2!$C$2:$C$611,MATCH($A9,Dataset_2!$A$2:$A$611,0))</f>
        <v>0.86</v>
      </c>
      <c r="M9">
        <f>INDEX(Dataset_2!$D$2:$D$611,MATCH($A9,Dataset_2!$A$2:$A$611,0))</f>
        <v>0</v>
      </c>
      <c r="N9">
        <f>INDEX(Dataset_2!$E$2:$E$611,MATCH($A9,Dataset_2!$A$2:$A$611,0))</f>
        <v>1</v>
      </c>
      <c r="O9">
        <f>INDEX(Dataset_2!$F$2:$F$611,MATCH($A9,Dataset_2!$A$2:$A$611,0))</f>
        <v>2</v>
      </c>
      <c r="P9">
        <f>INDEX(Dataset_2!$G$2:$G$611,MATCH($A9,Dataset_2!$A$2:$A$611,0))</f>
        <v>3</v>
      </c>
    </row>
    <row r="10" spans="1:16" x14ac:dyDescent="0.2">
      <c r="A10">
        <f>Dataset_1!A10</f>
        <v>9</v>
      </c>
      <c r="B10" s="61">
        <f>Dataset_1!B10</f>
        <v>40544</v>
      </c>
      <c r="C10">
        <f>Dataset_1!C10</f>
        <v>1</v>
      </c>
      <c r="D10">
        <f>Dataset_1!D10</f>
        <v>0</v>
      </c>
      <c r="E10">
        <f>Dataset_1!E10</f>
        <v>1</v>
      </c>
      <c r="F10">
        <f>Dataset_1!F10</f>
        <v>8</v>
      </c>
      <c r="G10" t="b">
        <f>Dataset_1!G10</f>
        <v>0</v>
      </c>
      <c r="H10">
        <f>Dataset_1!H10</f>
        <v>6</v>
      </c>
      <c r="I10">
        <f>Dataset_1!I10</f>
        <v>1</v>
      </c>
      <c r="J10">
        <f>Dataset_1!J10</f>
        <v>0.24</v>
      </c>
      <c r="K10">
        <f>INDEX(Dataset_2!$B$2:$B$611,MATCH($A10,Dataset_2!$A$2:$A$611,0))</f>
        <v>0.30309999999999998</v>
      </c>
      <c r="L10">
        <f>INDEX(Dataset_2!$C$2:$C$611,MATCH($A10,Dataset_2!$A$2:$A$611,0))</f>
        <v>0.75</v>
      </c>
      <c r="M10">
        <f>INDEX(Dataset_2!$D$2:$D$611,MATCH($A10,Dataset_2!$A$2:$A$611,0))</f>
        <v>0</v>
      </c>
      <c r="N10">
        <f>INDEX(Dataset_2!$E$2:$E$611,MATCH($A10,Dataset_2!$A$2:$A$611,0))</f>
        <v>1</v>
      </c>
      <c r="O10">
        <f>INDEX(Dataset_2!$F$2:$F$611,MATCH($A10,Dataset_2!$A$2:$A$611,0))</f>
        <v>7</v>
      </c>
      <c r="P10">
        <f>INDEX(Dataset_2!$G$2:$G$611,MATCH($A10,Dataset_2!$A$2:$A$611,0))</f>
        <v>8</v>
      </c>
    </row>
    <row r="11" spans="1:16" x14ac:dyDescent="0.2">
      <c r="A11">
        <f>Dataset_1!A11</f>
        <v>10</v>
      </c>
      <c r="B11" s="61">
        <f>Dataset_1!B11</f>
        <v>40544</v>
      </c>
      <c r="C11">
        <f>Dataset_1!C11</f>
        <v>1</v>
      </c>
      <c r="D11">
        <f>Dataset_1!D11</f>
        <v>0</v>
      </c>
      <c r="E11">
        <f>Dataset_1!E11</f>
        <v>1</v>
      </c>
      <c r="F11">
        <f>Dataset_1!F11</f>
        <v>9</v>
      </c>
      <c r="G11" t="b">
        <f>Dataset_1!G11</f>
        <v>0</v>
      </c>
      <c r="H11">
        <f>Dataset_1!H11</f>
        <v>6</v>
      </c>
      <c r="I11">
        <f>Dataset_1!I11</f>
        <v>1</v>
      </c>
      <c r="J11">
        <f>Dataset_1!J11</f>
        <v>0.32</v>
      </c>
      <c r="K11">
        <f>INDEX(Dataset_2!$B$2:$B$611,MATCH($A11,Dataset_2!$A$2:$A$611,0))</f>
        <v>0.34849999999999998</v>
      </c>
      <c r="L11">
        <f>INDEX(Dataset_2!$C$2:$C$611,MATCH($A11,Dataset_2!$A$2:$A$611,0))</f>
        <v>0.76</v>
      </c>
      <c r="M11">
        <f>INDEX(Dataset_2!$D$2:$D$611,MATCH($A11,Dataset_2!$A$2:$A$611,0))</f>
        <v>0</v>
      </c>
      <c r="N11">
        <f>INDEX(Dataset_2!$E$2:$E$611,MATCH($A11,Dataset_2!$A$2:$A$611,0))</f>
        <v>8</v>
      </c>
      <c r="O11">
        <f>INDEX(Dataset_2!$F$2:$F$611,MATCH($A11,Dataset_2!$A$2:$A$611,0))</f>
        <v>6</v>
      </c>
      <c r="P11">
        <f>INDEX(Dataset_2!$G$2:$G$611,MATCH($A11,Dataset_2!$A$2:$A$611,0))</f>
        <v>14</v>
      </c>
    </row>
    <row r="12" spans="1:16" x14ac:dyDescent="0.2">
      <c r="A12">
        <f>Dataset_1!A12</f>
        <v>11</v>
      </c>
      <c r="B12" s="61">
        <f>Dataset_1!B12</f>
        <v>40544</v>
      </c>
      <c r="C12">
        <f>Dataset_1!C12</f>
        <v>1</v>
      </c>
      <c r="D12">
        <f>Dataset_1!D12</f>
        <v>0</v>
      </c>
      <c r="E12">
        <f>Dataset_1!E12</f>
        <v>1</v>
      </c>
      <c r="F12">
        <f>Dataset_1!F12</f>
        <v>10</v>
      </c>
      <c r="G12" t="b">
        <f>Dataset_1!G12</f>
        <v>0</v>
      </c>
      <c r="H12">
        <f>Dataset_1!H12</f>
        <v>6</v>
      </c>
      <c r="I12">
        <f>Dataset_1!I12</f>
        <v>1</v>
      </c>
      <c r="J12">
        <f>Dataset_1!J12</f>
        <v>0.38</v>
      </c>
      <c r="K12">
        <f>INDEX(Dataset_2!$B$2:$B$611,MATCH($A12,Dataset_2!$A$2:$A$611,0))</f>
        <v>0.39389999999999997</v>
      </c>
      <c r="L12">
        <f>INDEX(Dataset_2!$C$2:$C$611,MATCH($A12,Dataset_2!$A$2:$A$611,0))</f>
        <v>0.76</v>
      </c>
      <c r="M12">
        <f>INDEX(Dataset_2!$D$2:$D$611,MATCH($A12,Dataset_2!$A$2:$A$611,0))</f>
        <v>0.25369999999999998</v>
      </c>
      <c r="N12">
        <f>INDEX(Dataset_2!$E$2:$E$611,MATCH($A12,Dataset_2!$A$2:$A$611,0))</f>
        <v>12</v>
      </c>
      <c r="O12">
        <f>INDEX(Dataset_2!$F$2:$F$611,MATCH($A12,Dataset_2!$A$2:$A$611,0))</f>
        <v>24</v>
      </c>
      <c r="P12">
        <f>INDEX(Dataset_2!$G$2:$G$611,MATCH($A12,Dataset_2!$A$2:$A$611,0))</f>
        <v>36</v>
      </c>
    </row>
    <row r="13" spans="1:16" x14ac:dyDescent="0.2">
      <c r="A13">
        <f>Dataset_1!A13</f>
        <v>12</v>
      </c>
      <c r="B13" s="61">
        <f>Dataset_1!B13</f>
        <v>40544</v>
      </c>
      <c r="C13">
        <f>Dataset_1!C13</f>
        <v>1</v>
      </c>
      <c r="D13">
        <f>Dataset_1!D13</f>
        <v>0</v>
      </c>
      <c r="E13">
        <f>Dataset_1!E13</f>
        <v>1</v>
      </c>
      <c r="F13">
        <f>Dataset_1!F13</f>
        <v>11</v>
      </c>
      <c r="G13" t="b">
        <f>Dataset_1!G13</f>
        <v>0</v>
      </c>
      <c r="H13">
        <f>Dataset_1!H13</f>
        <v>6</v>
      </c>
      <c r="I13">
        <f>Dataset_1!I13</f>
        <v>1</v>
      </c>
      <c r="J13">
        <f>Dataset_1!J13</f>
        <v>0.36</v>
      </c>
      <c r="K13">
        <f>INDEX(Dataset_2!$B$2:$B$611,MATCH($A13,Dataset_2!$A$2:$A$611,0))</f>
        <v>0.33329999999999999</v>
      </c>
      <c r="L13">
        <f>INDEX(Dataset_2!$C$2:$C$611,MATCH($A13,Dataset_2!$A$2:$A$611,0))</f>
        <v>0.81</v>
      </c>
      <c r="M13">
        <f>INDEX(Dataset_2!$D$2:$D$611,MATCH($A13,Dataset_2!$A$2:$A$611,0))</f>
        <v>0.28360000000000002</v>
      </c>
      <c r="N13">
        <f>INDEX(Dataset_2!$E$2:$E$611,MATCH($A13,Dataset_2!$A$2:$A$611,0))</f>
        <v>26</v>
      </c>
      <c r="O13">
        <f>INDEX(Dataset_2!$F$2:$F$611,MATCH($A13,Dataset_2!$A$2:$A$611,0))</f>
        <v>30</v>
      </c>
      <c r="P13">
        <f>INDEX(Dataset_2!$G$2:$G$611,MATCH($A13,Dataset_2!$A$2:$A$611,0))</f>
        <v>56</v>
      </c>
    </row>
    <row r="14" spans="1:16" x14ac:dyDescent="0.2">
      <c r="A14">
        <f>Dataset_1!A14</f>
        <v>13</v>
      </c>
      <c r="B14" s="61">
        <f>Dataset_1!B14</f>
        <v>40544</v>
      </c>
      <c r="C14">
        <f>Dataset_1!C14</f>
        <v>1</v>
      </c>
      <c r="D14">
        <f>Dataset_1!D14</f>
        <v>0</v>
      </c>
      <c r="E14">
        <f>Dataset_1!E14</f>
        <v>1</v>
      </c>
      <c r="F14">
        <f>Dataset_1!F14</f>
        <v>12</v>
      </c>
      <c r="G14" t="b">
        <f>Dataset_1!G14</f>
        <v>0</v>
      </c>
      <c r="H14">
        <f>Dataset_1!H14</f>
        <v>6</v>
      </c>
      <c r="I14">
        <f>Dataset_1!I14</f>
        <v>1</v>
      </c>
      <c r="J14">
        <f>Dataset_1!J14</f>
        <v>0.42</v>
      </c>
      <c r="K14">
        <f>INDEX(Dataset_2!$B$2:$B$611,MATCH($A14,Dataset_2!$A$2:$A$611,0))</f>
        <v>0.42420000000000002</v>
      </c>
      <c r="L14">
        <f>INDEX(Dataset_2!$C$2:$C$611,MATCH($A14,Dataset_2!$A$2:$A$611,0))</f>
        <v>0.77</v>
      </c>
      <c r="M14">
        <f>INDEX(Dataset_2!$D$2:$D$611,MATCH($A14,Dataset_2!$A$2:$A$611,0))</f>
        <v>0.28360000000000002</v>
      </c>
      <c r="N14">
        <f>INDEX(Dataset_2!$E$2:$E$611,MATCH($A14,Dataset_2!$A$2:$A$611,0))</f>
        <v>29</v>
      </c>
      <c r="O14">
        <f>INDEX(Dataset_2!$F$2:$F$611,MATCH($A14,Dataset_2!$A$2:$A$611,0))</f>
        <v>55</v>
      </c>
      <c r="P14">
        <f>INDEX(Dataset_2!$G$2:$G$611,MATCH($A14,Dataset_2!$A$2:$A$611,0))</f>
        <v>84</v>
      </c>
    </row>
    <row r="15" spans="1:16" x14ac:dyDescent="0.2">
      <c r="A15">
        <f>Dataset_1!A15</f>
        <v>14</v>
      </c>
      <c r="B15" s="61">
        <f>Dataset_1!B15</f>
        <v>40544</v>
      </c>
      <c r="C15">
        <f>Dataset_1!C15</f>
        <v>1</v>
      </c>
      <c r="D15">
        <f>Dataset_1!D15</f>
        <v>0</v>
      </c>
      <c r="E15">
        <f>Dataset_1!E15</f>
        <v>1</v>
      </c>
      <c r="F15">
        <f>Dataset_1!F15</f>
        <v>13</v>
      </c>
      <c r="G15" t="b">
        <f>Dataset_1!G15</f>
        <v>0</v>
      </c>
      <c r="H15">
        <f>Dataset_1!H15</f>
        <v>6</v>
      </c>
      <c r="I15">
        <f>Dataset_1!I15</f>
        <v>2</v>
      </c>
      <c r="J15">
        <f>Dataset_1!J15</f>
        <v>0.46</v>
      </c>
      <c r="K15">
        <f>INDEX(Dataset_2!$B$2:$B$611,MATCH($A15,Dataset_2!$A$2:$A$611,0))</f>
        <v>0.45450000000000002</v>
      </c>
      <c r="L15">
        <f>INDEX(Dataset_2!$C$2:$C$611,MATCH($A15,Dataset_2!$A$2:$A$611,0))</f>
        <v>0.72</v>
      </c>
      <c r="M15">
        <f>INDEX(Dataset_2!$D$2:$D$611,MATCH($A15,Dataset_2!$A$2:$A$611,0))</f>
        <v>0.29849999999999999</v>
      </c>
      <c r="N15">
        <f>INDEX(Dataset_2!$E$2:$E$611,MATCH($A15,Dataset_2!$A$2:$A$611,0))</f>
        <v>47</v>
      </c>
      <c r="O15">
        <f>INDEX(Dataset_2!$F$2:$F$611,MATCH($A15,Dataset_2!$A$2:$A$611,0))</f>
        <v>47</v>
      </c>
      <c r="P15">
        <f>INDEX(Dataset_2!$G$2:$G$611,MATCH($A15,Dataset_2!$A$2:$A$611,0))</f>
        <v>94</v>
      </c>
    </row>
    <row r="16" spans="1:16" x14ac:dyDescent="0.2">
      <c r="A16">
        <f>Dataset_1!A16</f>
        <v>15</v>
      </c>
      <c r="B16" s="61">
        <f>Dataset_1!B16</f>
        <v>40544</v>
      </c>
      <c r="C16">
        <f>Dataset_1!C16</f>
        <v>1</v>
      </c>
      <c r="D16">
        <f>Dataset_1!D16</f>
        <v>0</v>
      </c>
      <c r="E16">
        <f>Dataset_1!E16</f>
        <v>1</v>
      </c>
      <c r="F16">
        <f>Dataset_1!F16</f>
        <v>14</v>
      </c>
      <c r="G16" t="b">
        <f>Dataset_1!G16</f>
        <v>0</v>
      </c>
      <c r="H16">
        <f>Dataset_1!H16</f>
        <v>6</v>
      </c>
      <c r="I16">
        <f>Dataset_1!I16</f>
        <v>2</v>
      </c>
      <c r="J16">
        <f>Dataset_1!J16</f>
        <v>0.46</v>
      </c>
      <c r="K16">
        <f>INDEX(Dataset_2!$B$2:$B$611,MATCH($A16,Dataset_2!$A$2:$A$611,0))</f>
        <v>0.45450000000000002</v>
      </c>
      <c r="L16">
        <f>INDEX(Dataset_2!$C$2:$C$611,MATCH($A16,Dataset_2!$A$2:$A$611,0))</f>
        <v>0.72</v>
      </c>
      <c r="M16">
        <f>INDEX(Dataset_2!$D$2:$D$611,MATCH($A16,Dataset_2!$A$2:$A$611,0))</f>
        <v>0.28360000000000002</v>
      </c>
      <c r="N16">
        <f>INDEX(Dataset_2!$E$2:$E$611,MATCH($A16,Dataset_2!$A$2:$A$611,0))</f>
        <v>35</v>
      </c>
      <c r="O16">
        <f>INDEX(Dataset_2!$F$2:$F$611,MATCH($A16,Dataset_2!$A$2:$A$611,0))</f>
        <v>71</v>
      </c>
      <c r="P16">
        <f>INDEX(Dataset_2!$G$2:$G$611,MATCH($A16,Dataset_2!$A$2:$A$611,0))</f>
        <v>106</v>
      </c>
    </row>
    <row r="17" spans="1:16" x14ac:dyDescent="0.2">
      <c r="A17">
        <f>Dataset_1!A17</f>
        <v>16</v>
      </c>
      <c r="B17" s="61">
        <f>Dataset_1!B17</f>
        <v>40544</v>
      </c>
      <c r="C17">
        <f>Dataset_1!C17</f>
        <v>1</v>
      </c>
      <c r="D17">
        <f>Dataset_1!D17</f>
        <v>0</v>
      </c>
      <c r="E17">
        <f>Dataset_1!E17</f>
        <v>1</v>
      </c>
      <c r="F17">
        <f>Dataset_1!F17</f>
        <v>15</v>
      </c>
      <c r="G17" t="b">
        <f>Dataset_1!G17</f>
        <v>0</v>
      </c>
      <c r="H17">
        <f>Dataset_1!H17</f>
        <v>6</v>
      </c>
      <c r="I17">
        <f>Dataset_1!I17</f>
        <v>2</v>
      </c>
      <c r="J17">
        <f>Dataset_1!J17</f>
        <v>0.44</v>
      </c>
      <c r="K17">
        <f>INDEX(Dataset_2!$B$2:$B$611,MATCH($A17,Dataset_2!$A$2:$A$611,0))</f>
        <v>0.43940000000000001</v>
      </c>
      <c r="L17">
        <f>INDEX(Dataset_2!$C$2:$C$611,MATCH($A17,Dataset_2!$A$2:$A$611,0))</f>
        <v>0.77</v>
      </c>
      <c r="M17">
        <f>INDEX(Dataset_2!$D$2:$D$611,MATCH($A17,Dataset_2!$A$2:$A$611,0))</f>
        <v>0.29849999999999999</v>
      </c>
      <c r="N17">
        <f>INDEX(Dataset_2!$E$2:$E$611,MATCH($A17,Dataset_2!$A$2:$A$611,0))</f>
        <v>40</v>
      </c>
      <c r="O17">
        <f>INDEX(Dataset_2!$F$2:$F$611,MATCH($A17,Dataset_2!$A$2:$A$611,0))</f>
        <v>70</v>
      </c>
      <c r="P17">
        <f>INDEX(Dataset_2!$G$2:$G$611,MATCH($A17,Dataset_2!$A$2:$A$611,0))</f>
        <v>110</v>
      </c>
    </row>
    <row r="18" spans="1:16" x14ac:dyDescent="0.2">
      <c r="A18">
        <f>Dataset_1!A18</f>
        <v>17</v>
      </c>
      <c r="B18" s="61">
        <f>Dataset_1!B18</f>
        <v>40544</v>
      </c>
      <c r="C18">
        <f>Dataset_1!C18</f>
        <v>1</v>
      </c>
      <c r="D18">
        <f>Dataset_1!D18</f>
        <v>0</v>
      </c>
      <c r="E18">
        <f>Dataset_1!E18</f>
        <v>1</v>
      </c>
      <c r="F18">
        <f>Dataset_1!F18</f>
        <v>16</v>
      </c>
      <c r="G18" t="b">
        <f>Dataset_1!G18</f>
        <v>0</v>
      </c>
      <c r="H18">
        <f>Dataset_1!H18</f>
        <v>6</v>
      </c>
      <c r="I18">
        <f>Dataset_1!I18</f>
        <v>2</v>
      </c>
      <c r="J18">
        <f>Dataset_1!J18</f>
        <v>0.42</v>
      </c>
      <c r="K18">
        <f>INDEX(Dataset_2!$B$2:$B$611,MATCH($A18,Dataset_2!$A$2:$A$611,0))</f>
        <v>0.42420000000000002</v>
      </c>
      <c r="L18">
        <f>INDEX(Dataset_2!$C$2:$C$611,MATCH($A18,Dataset_2!$A$2:$A$611,0))</f>
        <v>0.82</v>
      </c>
      <c r="M18">
        <f>INDEX(Dataset_2!$D$2:$D$611,MATCH($A18,Dataset_2!$A$2:$A$611,0))</f>
        <v>0.29849999999999999</v>
      </c>
      <c r="N18">
        <f>INDEX(Dataset_2!$E$2:$E$611,MATCH($A18,Dataset_2!$A$2:$A$611,0))</f>
        <v>41</v>
      </c>
      <c r="O18">
        <f>INDEX(Dataset_2!$F$2:$F$611,MATCH($A18,Dataset_2!$A$2:$A$611,0))</f>
        <v>52</v>
      </c>
      <c r="P18">
        <f>INDEX(Dataset_2!$G$2:$G$611,MATCH($A18,Dataset_2!$A$2:$A$611,0))</f>
        <v>93</v>
      </c>
    </row>
    <row r="19" spans="1:16" x14ac:dyDescent="0.2">
      <c r="A19">
        <f>Dataset_1!A19</f>
        <v>18</v>
      </c>
      <c r="B19" s="61">
        <f>Dataset_1!B19</f>
        <v>40544</v>
      </c>
      <c r="C19">
        <f>Dataset_1!C19</f>
        <v>1</v>
      </c>
      <c r="D19">
        <f>Dataset_1!D19</f>
        <v>0</v>
      </c>
      <c r="E19">
        <f>Dataset_1!E19</f>
        <v>1</v>
      </c>
      <c r="F19">
        <f>Dataset_1!F19</f>
        <v>17</v>
      </c>
      <c r="G19" t="b">
        <f>Dataset_1!G19</f>
        <v>0</v>
      </c>
      <c r="H19">
        <f>Dataset_1!H19</f>
        <v>6</v>
      </c>
      <c r="I19">
        <f>Dataset_1!I19</f>
        <v>2</v>
      </c>
      <c r="J19">
        <f>Dataset_1!J19</f>
        <v>0.44</v>
      </c>
      <c r="K19">
        <f>INDEX(Dataset_2!$B$2:$B$611,MATCH($A19,Dataset_2!$A$2:$A$611,0))</f>
        <v>0.42420000000000002</v>
      </c>
      <c r="L19">
        <f>INDEX(Dataset_2!$C$2:$C$611,MATCH($A19,Dataset_2!$A$2:$A$611,0))</f>
        <v>0.82</v>
      </c>
      <c r="M19">
        <f>INDEX(Dataset_2!$D$2:$D$611,MATCH($A19,Dataset_2!$A$2:$A$611,0))</f>
        <v>0.28360000000000002</v>
      </c>
      <c r="N19">
        <f>INDEX(Dataset_2!$E$2:$E$611,MATCH($A19,Dataset_2!$A$2:$A$611,0))</f>
        <v>15</v>
      </c>
      <c r="O19">
        <f>INDEX(Dataset_2!$F$2:$F$611,MATCH($A19,Dataset_2!$A$2:$A$611,0))</f>
        <v>52</v>
      </c>
      <c r="P19">
        <f>INDEX(Dataset_2!$G$2:$G$611,MATCH($A19,Dataset_2!$A$2:$A$611,0))</f>
        <v>67</v>
      </c>
    </row>
    <row r="20" spans="1:16" x14ac:dyDescent="0.2">
      <c r="A20">
        <f>Dataset_1!A20</f>
        <v>19</v>
      </c>
      <c r="B20" s="61">
        <f>Dataset_1!B20</f>
        <v>40544</v>
      </c>
      <c r="C20">
        <f>Dataset_1!C20</f>
        <v>1</v>
      </c>
      <c r="D20">
        <f>Dataset_1!D20</f>
        <v>0</v>
      </c>
      <c r="E20">
        <f>Dataset_1!E20</f>
        <v>1</v>
      </c>
      <c r="F20">
        <f>Dataset_1!F20</f>
        <v>18</v>
      </c>
      <c r="G20" t="b">
        <f>Dataset_1!G20</f>
        <v>0</v>
      </c>
      <c r="H20">
        <f>Dataset_1!H20</f>
        <v>6</v>
      </c>
      <c r="I20">
        <f>Dataset_1!I20</f>
        <v>3</v>
      </c>
      <c r="J20">
        <f>Dataset_1!J20</f>
        <v>0.42</v>
      </c>
      <c r="K20">
        <f>INDEX(Dataset_2!$B$2:$B$611,MATCH($A20,Dataset_2!$A$2:$A$611,0))</f>
        <v>0.42420000000000002</v>
      </c>
      <c r="L20">
        <f>INDEX(Dataset_2!$C$2:$C$611,MATCH($A20,Dataset_2!$A$2:$A$611,0))</f>
        <v>0.88</v>
      </c>
      <c r="M20">
        <f>INDEX(Dataset_2!$D$2:$D$611,MATCH($A20,Dataset_2!$A$2:$A$611,0))</f>
        <v>0.25369999999999998</v>
      </c>
      <c r="N20">
        <f>INDEX(Dataset_2!$E$2:$E$611,MATCH($A20,Dataset_2!$A$2:$A$611,0))</f>
        <v>9</v>
      </c>
      <c r="O20">
        <f>INDEX(Dataset_2!$F$2:$F$611,MATCH($A20,Dataset_2!$A$2:$A$611,0))</f>
        <v>26</v>
      </c>
      <c r="P20">
        <f>INDEX(Dataset_2!$G$2:$G$611,MATCH($A20,Dataset_2!$A$2:$A$611,0))</f>
        <v>35</v>
      </c>
    </row>
    <row r="21" spans="1:16" x14ac:dyDescent="0.2">
      <c r="A21">
        <f>Dataset_1!A21</f>
        <v>20</v>
      </c>
      <c r="B21" s="61">
        <f>Dataset_1!B21</f>
        <v>40544</v>
      </c>
      <c r="C21">
        <f>Dataset_1!C21</f>
        <v>1</v>
      </c>
      <c r="D21">
        <f>Dataset_1!D21</f>
        <v>0</v>
      </c>
      <c r="E21">
        <f>Dataset_1!E21</f>
        <v>1</v>
      </c>
      <c r="F21">
        <f>Dataset_1!F21</f>
        <v>19</v>
      </c>
      <c r="G21" t="b">
        <f>Dataset_1!G21</f>
        <v>0</v>
      </c>
      <c r="H21">
        <f>Dataset_1!H21</f>
        <v>6</v>
      </c>
      <c r="I21">
        <f>Dataset_1!I21</f>
        <v>3</v>
      </c>
      <c r="J21">
        <f>Dataset_1!J21</f>
        <v>0.42</v>
      </c>
      <c r="K21">
        <f>INDEX(Dataset_2!$B$2:$B$611,MATCH($A21,Dataset_2!$A$2:$A$611,0))</f>
        <v>0.42420000000000002</v>
      </c>
      <c r="L21">
        <f>INDEX(Dataset_2!$C$2:$C$611,MATCH($A21,Dataset_2!$A$2:$A$611,0))</f>
        <v>0.88</v>
      </c>
      <c r="M21">
        <f>INDEX(Dataset_2!$D$2:$D$611,MATCH($A21,Dataset_2!$A$2:$A$611,0))</f>
        <v>0.25369999999999998</v>
      </c>
      <c r="N21">
        <f>INDEX(Dataset_2!$E$2:$E$611,MATCH($A21,Dataset_2!$A$2:$A$611,0))</f>
        <v>6</v>
      </c>
      <c r="O21">
        <f>INDEX(Dataset_2!$F$2:$F$611,MATCH($A21,Dataset_2!$A$2:$A$611,0))</f>
        <v>31</v>
      </c>
      <c r="P21">
        <f>INDEX(Dataset_2!$G$2:$G$611,MATCH($A21,Dataset_2!$A$2:$A$611,0))</f>
        <v>37</v>
      </c>
    </row>
    <row r="22" spans="1:16" x14ac:dyDescent="0.2">
      <c r="A22">
        <f>Dataset_1!A22</f>
        <v>21</v>
      </c>
      <c r="B22" s="61">
        <f>Dataset_1!B22</f>
        <v>40544</v>
      </c>
      <c r="C22">
        <f>Dataset_1!C22</f>
        <v>1</v>
      </c>
      <c r="D22">
        <f>Dataset_1!D22</f>
        <v>0</v>
      </c>
      <c r="E22">
        <f>Dataset_1!E22</f>
        <v>1</v>
      </c>
      <c r="F22">
        <f>Dataset_1!F22</f>
        <v>20</v>
      </c>
      <c r="G22" t="b">
        <f>Dataset_1!G22</f>
        <v>0</v>
      </c>
      <c r="H22">
        <f>Dataset_1!H22</f>
        <v>6</v>
      </c>
      <c r="I22">
        <f>Dataset_1!I22</f>
        <v>2</v>
      </c>
      <c r="J22">
        <f>Dataset_1!J22</f>
        <v>0.4</v>
      </c>
      <c r="K22">
        <f>INDEX(Dataset_2!$B$2:$B$611,MATCH($A22,Dataset_2!$A$2:$A$611,0))</f>
        <v>0.40910000000000002</v>
      </c>
      <c r="L22">
        <f>INDEX(Dataset_2!$C$2:$C$611,MATCH($A22,Dataset_2!$A$2:$A$611,0))</f>
        <v>0.87</v>
      </c>
      <c r="M22">
        <f>INDEX(Dataset_2!$D$2:$D$611,MATCH($A22,Dataset_2!$A$2:$A$611,0))</f>
        <v>0.25369999999999998</v>
      </c>
      <c r="N22">
        <f>INDEX(Dataset_2!$E$2:$E$611,MATCH($A22,Dataset_2!$A$2:$A$611,0))</f>
        <v>11</v>
      </c>
      <c r="O22">
        <f>INDEX(Dataset_2!$F$2:$F$611,MATCH($A22,Dataset_2!$A$2:$A$611,0))</f>
        <v>25</v>
      </c>
      <c r="P22">
        <f>INDEX(Dataset_2!$G$2:$G$611,MATCH($A22,Dataset_2!$A$2:$A$611,0))</f>
        <v>36</v>
      </c>
    </row>
    <row r="23" spans="1:16" x14ac:dyDescent="0.2">
      <c r="A23">
        <f>Dataset_1!A23</f>
        <v>22</v>
      </c>
      <c r="B23" s="61">
        <f>Dataset_1!B23</f>
        <v>40544</v>
      </c>
      <c r="C23">
        <f>Dataset_1!C23</f>
        <v>1</v>
      </c>
      <c r="D23">
        <f>Dataset_1!D23</f>
        <v>0</v>
      </c>
      <c r="E23">
        <f>Dataset_1!E23</f>
        <v>1</v>
      </c>
      <c r="F23">
        <f>Dataset_1!F23</f>
        <v>21</v>
      </c>
      <c r="G23" t="b">
        <f>Dataset_1!G23</f>
        <v>0</v>
      </c>
      <c r="H23">
        <f>Dataset_1!H23</f>
        <v>6</v>
      </c>
      <c r="I23">
        <f>Dataset_1!I23</f>
        <v>2</v>
      </c>
      <c r="J23">
        <f>Dataset_1!J23</f>
        <v>0.4</v>
      </c>
      <c r="K23">
        <f>INDEX(Dataset_2!$B$2:$B$611,MATCH($A23,Dataset_2!$A$2:$A$611,0))</f>
        <v>0.40910000000000002</v>
      </c>
      <c r="L23">
        <f>INDEX(Dataset_2!$C$2:$C$611,MATCH($A23,Dataset_2!$A$2:$A$611,0))</f>
        <v>0.87</v>
      </c>
      <c r="M23">
        <f>INDEX(Dataset_2!$D$2:$D$611,MATCH($A23,Dataset_2!$A$2:$A$611,0))</f>
        <v>0.19400000000000001</v>
      </c>
      <c r="N23">
        <f>INDEX(Dataset_2!$E$2:$E$611,MATCH($A23,Dataset_2!$A$2:$A$611,0))</f>
        <v>3</v>
      </c>
      <c r="O23">
        <f>INDEX(Dataset_2!$F$2:$F$611,MATCH($A23,Dataset_2!$A$2:$A$611,0))</f>
        <v>31</v>
      </c>
      <c r="P23">
        <f>INDEX(Dataset_2!$G$2:$G$611,MATCH($A23,Dataset_2!$A$2:$A$611,0))</f>
        <v>34</v>
      </c>
    </row>
    <row r="24" spans="1:16" x14ac:dyDescent="0.2">
      <c r="A24">
        <f>Dataset_1!A24</f>
        <v>23</v>
      </c>
      <c r="B24" s="61">
        <f>Dataset_1!B24</f>
        <v>40544</v>
      </c>
      <c r="C24">
        <f>Dataset_1!C24</f>
        <v>1</v>
      </c>
      <c r="D24">
        <f>Dataset_1!D24</f>
        <v>0</v>
      </c>
      <c r="E24">
        <f>Dataset_1!E24</f>
        <v>1</v>
      </c>
      <c r="F24">
        <f>Dataset_1!F24</f>
        <v>22</v>
      </c>
      <c r="G24" t="b">
        <f>Dataset_1!G24</f>
        <v>0</v>
      </c>
      <c r="H24">
        <f>Dataset_1!H24</f>
        <v>6</v>
      </c>
      <c r="I24">
        <f>Dataset_1!I24</f>
        <v>2</v>
      </c>
      <c r="J24">
        <f>Dataset_1!J24</f>
        <v>0.4</v>
      </c>
      <c r="K24">
        <f>INDEX(Dataset_2!$B$2:$B$611,MATCH($A24,Dataset_2!$A$2:$A$611,0))</f>
        <v>0.40910000000000002</v>
      </c>
      <c r="L24">
        <f>INDEX(Dataset_2!$C$2:$C$611,MATCH($A24,Dataset_2!$A$2:$A$611,0))</f>
        <v>0.94</v>
      </c>
      <c r="M24">
        <f>INDEX(Dataset_2!$D$2:$D$611,MATCH($A24,Dataset_2!$A$2:$A$611,0))</f>
        <v>0.22389999999999999</v>
      </c>
      <c r="N24">
        <f>INDEX(Dataset_2!$E$2:$E$611,MATCH($A24,Dataset_2!$A$2:$A$611,0))</f>
        <v>11</v>
      </c>
      <c r="O24">
        <f>INDEX(Dataset_2!$F$2:$F$611,MATCH($A24,Dataset_2!$A$2:$A$611,0))</f>
        <v>17</v>
      </c>
      <c r="P24">
        <f>INDEX(Dataset_2!$G$2:$G$611,MATCH($A24,Dataset_2!$A$2:$A$611,0))</f>
        <v>28</v>
      </c>
    </row>
    <row r="25" spans="1:16" x14ac:dyDescent="0.2">
      <c r="A25">
        <f>Dataset_1!A25</f>
        <v>24</v>
      </c>
      <c r="B25" s="61">
        <f>Dataset_1!B25</f>
        <v>40544</v>
      </c>
      <c r="C25">
        <f>Dataset_1!C25</f>
        <v>1</v>
      </c>
      <c r="D25">
        <f>Dataset_1!D25</f>
        <v>0</v>
      </c>
      <c r="E25">
        <f>Dataset_1!E25</f>
        <v>1</v>
      </c>
      <c r="F25">
        <f>Dataset_1!F25</f>
        <v>23</v>
      </c>
      <c r="G25" t="b">
        <f>Dataset_1!G25</f>
        <v>0</v>
      </c>
      <c r="H25">
        <f>Dataset_1!H25</f>
        <v>6</v>
      </c>
      <c r="I25">
        <f>Dataset_1!I25</f>
        <v>2</v>
      </c>
      <c r="J25">
        <f>Dataset_1!J25</f>
        <v>0.46</v>
      </c>
      <c r="K25">
        <f>INDEX(Dataset_2!$B$2:$B$611,MATCH($A25,Dataset_2!$A$2:$A$611,0))</f>
        <v>0.43180000000000002</v>
      </c>
      <c r="L25">
        <f>INDEX(Dataset_2!$C$2:$C$611,MATCH($A25,Dataset_2!$A$2:$A$611,0))</f>
        <v>0.88</v>
      </c>
      <c r="M25">
        <f>INDEX(Dataset_2!$D$2:$D$611,MATCH($A25,Dataset_2!$A$2:$A$611,0))</f>
        <v>0.29849999999999999</v>
      </c>
      <c r="N25">
        <f>INDEX(Dataset_2!$E$2:$E$611,MATCH($A25,Dataset_2!$A$2:$A$611,0))</f>
        <v>15</v>
      </c>
      <c r="O25">
        <f>INDEX(Dataset_2!$F$2:$F$611,MATCH($A25,Dataset_2!$A$2:$A$611,0))</f>
        <v>24</v>
      </c>
      <c r="P25">
        <f>INDEX(Dataset_2!$G$2:$G$611,MATCH($A25,Dataset_2!$A$2:$A$611,0))</f>
        <v>39</v>
      </c>
    </row>
    <row r="26" spans="1:16" x14ac:dyDescent="0.2">
      <c r="A26">
        <f>Dataset_1!A26</f>
        <v>25</v>
      </c>
      <c r="B26" s="61">
        <f>Dataset_1!B26</f>
        <v>40545</v>
      </c>
      <c r="C26">
        <f>Dataset_1!C26</f>
        <v>1</v>
      </c>
      <c r="D26">
        <f>Dataset_1!D26</f>
        <v>0</v>
      </c>
      <c r="E26">
        <f>Dataset_1!E26</f>
        <v>1</v>
      </c>
      <c r="F26">
        <f>Dataset_1!F26</f>
        <v>0</v>
      </c>
      <c r="G26" t="b">
        <f>Dataset_1!G26</f>
        <v>0</v>
      </c>
      <c r="H26">
        <f>Dataset_1!H26</f>
        <v>0</v>
      </c>
      <c r="I26">
        <f>Dataset_1!I26</f>
        <v>2</v>
      </c>
      <c r="J26">
        <f>Dataset_1!J26</f>
        <v>0.46</v>
      </c>
      <c r="K26">
        <f>INDEX(Dataset_2!$B$2:$B$611,MATCH($A26,Dataset_2!$A$2:$A$611,0))</f>
        <v>0.45450000000000002</v>
      </c>
      <c r="L26">
        <f>INDEX(Dataset_2!$C$2:$C$611,MATCH($A26,Dataset_2!$A$2:$A$611,0))</f>
        <v>0.88</v>
      </c>
      <c r="M26">
        <f>INDEX(Dataset_2!$D$2:$D$611,MATCH($A26,Dataset_2!$A$2:$A$611,0))</f>
        <v>0.29849999999999999</v>
      </c>
      <c r="N26">
        <f>INDEX(Dataset_2!$E$2:$E$611,MATCH($A26,Dataset_2!$A$2:$A$611,0))</f>
        <v>4</v>
      </c>
      <c r="O26">
        <f>INDEX(Dataset_2!$F$2:$F$611,MATCH($A26,Dataset_2!$A$2:$A$611,0))</f>
        <v>13</v>
      </c>
      <c r="P26">
        <f>INDEX(Dataset_2!$G$2:$G$611,MATCH($A26,Dataset_2!$A$2:$A$611,0))</f>
        <v>17</v>
      </c>
    </row>
    <row r="27" spans="1:16" x14ac:dyDescent="0.2">
      <c r="A27">
        <f>Dataset_1!A27</f>
        <v>26</v>
      </c>
      <c r="B27" s="61">
        <f>Dataset_1!B27</f>
        <v>40545</v>
      </c>
      <c r="C27">
        <f>Dataset_1!C27</f>
        <v>1</v>
      </c>
      <c r="D27">
        <f>Dataset_1!D27</f>
        <v>0</v>
      </c>
      <c r="E27">
        <f>Dataset_1!E27</f>
        <v>1</v>
      </c>
      <c r="F27">
        <f>Dataset_1!F27</f>
        <v>1</v>
      </c>
      <c r="G27" t="b">
        <f>Dataset_1!G27</f>
        <v>0</v>
      </c>
      <c r="H27">
        <f>Dataset_1!H27</f>
        <v>0</v>
      </c>
      <c r="I27">
        <f>Dataset_1!I27</f>
        <v>2</v>
      </c>
      <c r="J27">
        <f>Dataset_1!J27</f>
        <v>0.44</v>
      </c>
      <c r="K27">
        <f>INDEX(Dataset_2!$B$2:$B$611,MATCH($A27,Dataset_2!$A$2:$A$611,0))</f>
        <v>0.43940000000000001</v>
      </c>
      <c r="L27">
        <f>INDEX(Dataset_2!$C$2:$C$611,MATCH($A27,Dataset_2!$A$2:$A$611,0))</f>
        <v>0.94</v>
      </c>
      <c r="M27">
        <f>INDEX(Dataset_2!$D$2:$D$611,MATCH($A27,Dataset_2!$A$2:$A$611,0))</f>
        <v>0.25369999999999998</v>
      </c>
      <c r="N27">
        <f>INDEX(Dataset_2!$E$2:$E$611,MATCH($A27,Dataset_2!$A$2:$A$611,0))</f>
        <v>1</v>
      </c>
      <c r="O27">
        <f>INDEX(Dataset_2!$F$2:$F$611,MATCH($A27,Dataset_2!$A$2:$A$611,0))</f>
        <v>16</v>
      </c>
      <c r="P27">
        <f>INDEX(Dataset_2!$G$2:$G$611,MATCH($A27,Dataset_2!$A$2:$A$611,0))</f>
        <v>17</v>
      </c>
    </row>
    <row r="28" spans="1:16" x14ac:dyDescent="0.2">
      <c r="A28">
        <f>Dataset_1!A28</f>
        <v>27</v>
      </c>
      <c r="B28" s="61">
        <f>Dataset_1!B28</f>
        <v>40545</v>
      </c>
      <c r="C28">
        <f>Dataset_1!C28</f>
        <v>1</v>
      </c>
      <c r="D28">
        <f>Dataset_1!D28</f>
        <v>0</v>
      </c>
      <c r="E28">
        <f>Dataset_1!E28</f>
        <v>1</v>
      </c>
      <c r="F28">
        <f>Dataset_1!F28</f>
        <v>2</v>
      </c>
      <c r="G28" t="b">
        <f>Dataset_1!G28</f>
        <v>0</v>
      </c>
      <c r="H28">
        <f>Dataset_1!H28</f>
        <v>0</v>
      </c>
      <c r="I28">
        <f>Dataset_1!I28</f>
        <v>2</v>
      </c>
      <c r="J28">
        <f>Dataset_1!J28</f>
        <v>0.42</v>
      </c>
      <c r="K28">
        <f>INDEX(Dataset_2!$B$2:$B$611,MATCH($A28,Dataset_2!$A$2:$A$611,0))</f>
        <v>0.42420000000000002</v>
      </c>
      <c r="L28">
        <f>INDEX(Dataset_2!$C$2:$C$611,MATCH($A28,Dataset_2!$A$2:$A$611,0))</f>
        <v>1</v>
      </c>
      <c r="M28">
        <f>INDEX(Dataset_2!$D$2:$D$611,MATCH($A28,Dataset_2!$A$2:$A$611,0))</f>
        <v>0.28360000000000002</v>
      </c>
      <c r="N28">
        <f>INDEX(Dataset_2!$E$2:$E$611,MATCH($A28,Dataset_2!$A$2:$A$611,0))</f>
        <v>1</v>
      </c>
      <c r="O28">
        <f>INDEX(Dataset_2!$F$2:$F$611,MATCH($A28,Dataset_2!$A$2:$A$611,0))</f>
        <v>8</v>
      </c>
      <c r="P28">
        <f>INDEX(Dataset_2!$G$2:$G$611,MATCH($A28,Dataset_2!$A$2:$A$611,0))</f>
        <v>9</v>
      </c>
    </row>
    <row r="29" spans="1:16" x14ac:dyDescent="0.2">
      <c r="A29">
        <f>Dataset_1!A29</f>
        <v>28</v>
      </c>
      <c r="B29" s="61">
        <f>Dataset_1!B29</f>
        <v>40545</v>
      </c>
      <c r="C29">
        <f>Dataset_1!C29</f>
        <v>1</v>
      </c>
      <c r="D29">
        <f>Dataset_1!D29</f>
        <v>0</v>
      </c>
      <c r="E29">
        <f>Dataset_1!E29</f>
        <v>1</v>
      </c>
      <c r="F29">
        <f>Dataset_1!F29</f>
        <v>3</v>
      </c>
      <c r="G29" t="b">
        <f>Dataset_1!G29</f>
        <v>0</v>
      </c>
      <c r="H29">
        <f>Dataset_1!H29</f>
        <v>0</v>
      </c>
      <c r="I29">
        <f>Dataset_1!I29</f>
        <v>2</v>
      </c>
      <c r="J29">
        <f>Dataset_1!J29</f>
        <v>0.46</v>
      </c>
      <c r="K29">
        <f>INDEX(Dataset_2!$B$2:$B$611,MATCH($A29,Dataset_2!$A$2:$A$611,0))</f>
        <v>0.45450000000000002</v>
      </c>
      <c r="L29">
        <f>INDEX(Dataset_2!$C$2:$C$611,MATCH($A29,Dataset_2!$A$2:$A$611,0))</f>
        <v>0.94</v>
      </c>
      <c r="M29">
        <f>INDEX(Dataset_2!$D$2:$D$611,MATCH($A29,Dataset_2!$A$2:$A$611,0))</f>
        <v>0.19400000000000001</v>
      </c>
      <c r="N29">
        <f>INDEX(Dataset_2!$E$2:$E$611,MATCH($A29,Dataset_2!$A$2:$A$611,0))</f>
        <v>2</v>
      </c>
      <c r="O29">
        <f>INDEX(Dataset_2!$F$2:$F$611,MATCH($A29,Dataset_2!$A$2:$A$611,0))</f>
        <v>4</v>
      </c>
      <c r="P29">
        <f>INDEX(Dataset_2!$G$2:$G$611,MATCH($A29,Dataset_2!$A$2:$A$611,0))</f>
        <v>6</v>
      </c>
    </row>
    <row r="30" spans="1:16" x14ac:dyDescent="0.2">
      <c r="A30">
        <f>Dataset_1!A30</f>
        <v>29</v>
      </c>
      <c r="B30" s="61">
        <f>Dataset_1!B30</f>
        <v>40545</v>
      </c>
      <c r="C30">
        <f>Dataset_1!C30</f>
        <v>1</v>
      </c>
      <c r="D30">
        <f>Dataset_1!D30</f>
        <v>0</v>
      </c>
      <c r="E30">
        <f>Dataset_1!E30</f>
        <v>1</v>
      </c>
      <c r="F30">
        <f>Dataset_1!F30</f>
        <v>4</v>
      </c>
      <c r="G30" t="b">
        <f>Dataset_1!G30</f>
        <v>0</v>
      </c>
      <c r="H30">
        <f>Dataset_1!H30</f>
        <v>0</v>
      </c>
      <c r="I30">
        <f>Dataset_1!I30</f>
        <v>2</v>
      </c>
      <c r="J30">
        <f>Dataset_1!J30</f>
        <v>0.46</v>
      </c>
      <c r="K30">
        <f>INDEX(Dataset_2!$B$2:$B$611,MATCH($A30,Dataset_2!$A$2:$A$611,0))</f>
        <v>0.43940000000000001</v>
      </c>
      <c r="L30">
        <f>INDEX(Dataset_2!$C$2:$C$611,MATCH($A30,Dataset_2!$A$2:$A$611,0))</f>
        <v>0.94</v>
      </c>
      <c r="M30">
        <f>INDEX(Dataset_2!$D$2:$D$611,MATCH($A30,Dataset_2!$A$2:$A$611,0))</f>
        <v>0.19400000000000001</v>
      </c>
      <c r="N30">
        <f>INDEX(Dataset_2!$E$2:$E$611,MATCH($A30,Dataset_2!$A$2:$A$611,0))</f>
        <v>2</v>
      </c>
      <c r="O30">
        <f>INDEX(Dataset_2!$F$2:$F$611,MATCH($A30,Dataset_2!$A$2:$A$611,0))</f>
        <v>1</v>
      </c>
      <c r="P30">
        <f>INDEX(Dataset_2!$G$2:$G$611,MATCH($A30,Dataset_2!$A$2:$A$611,0))</f>
        <v>3</v>
      </c>
    </row>
    <row r="31" spans="1:16" x14ac:dyDescent="0.2">
      <c r="A31">
        <f>Dataset_1!A31</f>
        <v>30</v>
      </c>
      <c r="B31" s="61">
        <f>Dataset_1!B31</f>
        <v>40545</v>
      </c>
      <c r="C31">
        <f>Dataset_1!C31</f>
        <v>1</v>
      </c>
      <c r="D31">
        <f>Dataset_1!D31</f>
        <v>0</v>
      </c>
      <c r="E31">
        <f>Dataset_1!E31</f>
        <v>1</v>
      </c>
      <c r="F31">
        <f>Dataset_1!F31</f>
        <v>6</v>
      </c>
      <c r="G31" t="b">
        <f>Dataset_1!G31</f>
        <v>0</v>
      </c>
      <c r="H31">
        <f>Dataset_1!H31</f>
        <v>0</v>
      </c>
      <c r="I31">
        <f>Dataset_1!I31</f>
        <v>3</v>
      </c>
      <c r="J31">
        <f>Dataset_1!J31</f>
        <v>0.42</v>
      </c>
      <c r="K31">
        <f>INDEX(Dataset_2!$B$2:$B$611,MATCH($A31,Dataset_2!$A$2:$A$611,0))</f>
        <v>0.42420000000000002</v>
      </c>
      <c r="L31">
        <f>INDEX(Dataset_2!$C$2:$C$611,MATCH($A31,Dataset_2!$A$2:$A$611,0))</f>
        <v>0.77</v>
      </c>
      <c r="M31">
        <f>INDEX(Dataset_2!$D$2:$D$611,MATCH($A31,Dataset_2!$A$2:$A$611,0))</f>
        <v>0.29849999999999999</v>
      </c>
      <c r="N31">
        <f>INDEX(Dataset_2!$E$2:$E$611,MATCH($A31,Dataset_2!$A$2:$A$611,0))</f>
        <v>0</v>
      </c>
      <c r="O31">
        <f>INDEX(Dataset_2!$F$2:$F$611,MATCH($A31,Dataset_2!$A$2:$A$611,0))</f>
        <v>2</v>
      </c>
      <c r="P31">
        <f>INDEX(Dataset_2!$G$2:$G$611,MATCH($A31,Dataset_2!$A$2:$A$611,0))</f>
        <v>2</v>
      </c>
    </row>
    <row r="32" spans="1:16" x14ac:dyDescent="0.2">
      <c r="A32">
        <f>Dataset_1!A32</f>
        <v>31</v>
      </c>
      <c r="B32" s="61">
        <f>Dataset_1!B32</f>
        <v>40545</v>
      </c>
      <c r="C32">
        <f>Dataset_1!C32</f>
        <v>1</v>
      </c>
      <c r="D32">
        <f>Dataset_1!D32</f>
        <v>0</v>
      </c>
      <c r="E32">
        <f>Dataset_1!E32</f>
        <v>1</v>
      </c>
      <c r="F32">
        <f>Dataset_1!F32</f>
        <v>7</v>
      </c>
      <c r="G32" t="b">
        <f>Dataset_1!G32</f>
        <v>0</v>
      </c>
      <c r="H32">
        <f>Dataset_1!H32</f>
        <v>0</v>
      </c>
      <c r="I32">
        <f>Dataset_1!I32</f>
        <v>2</v>
      </c>
      <c r="J32">
        <f>Dataset_1!J32</f>
        <v>0.4</v>
      </c>
      <c r="K32">
        <f>INDEX(Dataset_2!$B$2:$B$611,MATCH($A32,Dataset_2!$A$2:$A$611,0))</f>
        <v>0.40910000000000002</v>
      </c>
      <c r="L32">
        <f>INDEX(Dataset_2!$C$2:$C$611,MATCH($A32,Dataset_2!$A$2:$A$611,0))</f>
        <v>0.76</v>
      </c>
      <c r="M32">
        <f>INDEX(Dataset_2!$D$2:$D$611,MATCH($A32,Dataset_2!$A$2:$A$611,0))</f>
        <v>0.19400000000000001</v>
      </c>
      <c r="N32">
        <f>INDEX(Dataset_2!$E$2:$E$611,MATCH($A32,Dataset_2!$A$2:$A$611,0))</f>
        <v>0</v>
      </c>
      <c r="O32">
        <f>INDEX(Dataset_2!$F$2:$F$611,MATCH($A32,Dataset_2!$A$2:$A$611,0))</f>
        <v>1</v>
      </c>
      <c r="P32">
        <f>INDEX(Dataset_2!$G$2:$G$611,MATCH($A32,Dataset_2!$A$2:$A$611,0))</f>
        <v>1</v>
      </c>
    </row>
    <row r="33" spans="1:16" x14ac:dyDescent="0.2">
      <c r="A33">
        <f>Dataset_1!A33</f>
        <v>32</v>
      </c>
      <c r="B33" s="61">
        <f>Dataset_1!B33</f>
        <v>40545</v>
      </c>
      <c r="C33">
        <f>Dataset_1!C33</f>
        <v>1</v>
      </c>
      <c r="D33">
        <f>Dataset_1!D33</f>
        <v>0</v>
      </c>
      <c r="E33">
        <f>Dataset_1!E33</f>
        <v>1</v>
      </c>
      <c r="F33">
        <f>Dataset_1!F33</f>
        <v>8</v>
      </c>
      <c r="G33" t="b">
        <f>Dataset_1!G33</f>
        <v>0</v>
      </c>
      <c r="H33">
        <f>Dataset_1!H33</f>
        <v>0</v>
      </c>
      <c r="I33">
        <f>Dataset_1!I33</f>
        <v>3</v>
      </c>
      <c r="J33">
        <f>Dataset_1!J33</f>
        <v>0.4</v>
      </c>
      <c r="K33">
        <f>INDEX(Dataset_2!$B$2:$B$611,MATCH($A33,Dataset_2!$A$2:$A$611,0))</f>
        <v>0.40910000000000002</v>
      </c>
      <c r="L33">
        <f>INDEX(Dataset_2!$C$2:$C$611,MATCH($A33,Dataset_2!$A$2:$A$611,0))</f>
        <v>0.71</v>
      </c>
      <c r="M33">
        <f>INDEX(Dataset_2!$D$2:$D$611,MATCH($A33,Dataset_2!$A$2:$A$611,0))</f>
        <v>0.22389999999999999</v>
      </c>
      <c r="N33">
        <f>INDEX(Dataset_2!$E$2:$E$611,MATCH($A33,Dataset_2!$A$2:$A$611,0))</f>
        <v>0</v>
      </c>
      <c r="O33">
        <f>INDEX(Dataset_2!$F$2:$F$611,MATCH($A33,Dataset_2!$A$2:$A$611,0))</f>
        <v>8</v>
      </c>
      <c r="P33">
        <f>INDEX(Dataset_2!$G$2:$G$611,MATCH($A33,Dataset_2!$A$2:$A$611,0))</f>
        <v>8</v>
      </c>
    </row>
    <row r="34" spans="1:16" x14ac:dyDescent="0.2">
      <c r="A34">
        <f>Dataset_1!A34</f>
        <v>33</v>
      </c>
      <c r="B34" s="61">
        <f>Dataset_1!B34</f>
        <v>40545</v>
      </c>
      <c r="C34">
        <f>Dataset_1!C34</f>
        <v>1</v>
      </c>
      <c r="D34">
        <f>Dataset_1!D34</f>
        <v>0</v>
      </c>
      <c r="E34">
        <f>Dataset_1!E34</f>
        <v>1</v>
      </c>
      <c r="F34">
        <f>Dataset_1!F34</f>
        <v>9</v>
      </c>
      <c r="G34" t="b">
        <f>Dataset_1!G34</f>
        <v>0</v>
      </c>
      <c r="H34">
        <f>Dataset_1!H34</f>
        <v>0</v>
      </c>
      <c r="I34">
        <f>Dataset_1!I34</f>
        <v>2</v>
      </c>
      <c r="J34">
        <f>Dataset_1!J34</f>
        <v>0.38</v>
      </c>
      <c r="K34">
        <f>INDEX(Dataset_2!$B$2:$B$611,MATCH($A34,Dataset_2!$A$2:$A$611,0))</f>
        <v>0.37880000000000003</v>
      </c>
      <c r="L34">
        <f>INDEX(Dataset_2!$C$2:$C$611,MATCH($A34,Dataset_2!$A$2:$A$611,0))</f>
        <v>0.76</v>
      </c>
      <c r="M34">
        <f>INDEX(Dataset_2!$D$2:$D$611,MATCH($A34,Dataset_2!$A$2:$A$611,0))</f>
        <v>0.22389999999999999</v>
      </c>
      <c r="N34">
        <f>INDEX(Dataset_2!$E$2:$E$611,MATCH($A34,Dataset_2!$A$2:$A$611,0))</f>
        <v>1</v>
      </c>
      <c r="O34">
        <f>INDEX(Dataset_2!$F$2:$F$611,MATCH($A34,Dataset_2!$A$2:$A$611,0))</f>
        <v>19</v>
      </c>
      <c r="P34">
        <f>INDEX(Dataset_2!$G$2:$G$611,MATCH($A34,Dataset_2!$A$2:$A$611,0))</f>
        <v>20</v>
      </c>
    </row>
    <row r="35" spans="1:16" x14ac:dyDescent="0.2">
      <c r="A35">
        <f>Dataset_1!A35</f>
        <v>34</v>
      </c>
      <c r="B35" s="61">
        <f>Dataset_1!B35</f>
        <v>40545</v>
      </c>
      <c r="C35">
        <f>Dataset_1!C35</f>
        <v>1</v>
      </c>
      <c r="D35">
        <f>Dataset_1!D35</f>
        <v>0</v>
      </c>
      <c r="E35">
        <f>Dataset_1!E35</f>
        <v>1</v>
      </c>
      <c r="F35">
        <f>Dataset_1!F35</f>
        <v>10</v>
      </c>
      <c r="G35" t="b">
        <f>Dataset_1!G35</f>
        <v>0</v>
      </c>
      <c r="H35">
        <f>Dataset_1!H35</f>
        <v>0</v>
      </c>
      <c r="I35">
        <f>Dataset_1!I35</f>
        <v>2</v>
      </c>
      <c r="J35">
        <f>Dataset_1!J35</f>
        <v>0.36</v>
      </c>
      <c r="K35">
        <f>INDEX(Dataset_2!$B$2:$B$611,MATCH($A35,Dataset_2!$A$2:$A$611,0))</f>
        <v>0.34849999999999998</v>
      </c>
      <c r="L35">
        <f>INDEX(Dataset_2!$C$2:$C$611,MATCH($A35,Dataset_2!$A$2:$A$611,0))</f>
        <v>0.81</v>
      </c>
      <c r="M35">
        <f>INDEX(Dataset_2!$D$2:$D$611,MATCH($A35,Dataset_2!$A$2:$A$611,0))</f>
        <v>0.22389999999999999</v>
      </c>
      <c r="N35">
        <f>INDEX(Dataset_2!$E$2:$E$611,MATCH($A35,Dataset_2!$A$2:$A$611,0))</f>
        <v>7</v>
      </c>
      <c r="O35">
        <f>INDEX(Dataset_2!$F$2:$F$611,MATCH($A35,Dataset_2!$A$2:$A$611,0))</f>
        <v>46</v>
      </c>
      <c r="P35">
        <f>INDEX(Dataset_2!$G$2:$G$611,MATCH($A35,Dataset_2!$A$2:$A$611,0))</f>
        <v>53</v>
      </c>
    </row>
    <row r="36" spans="1:16" x14ac:dyDescent="0.2">
      <c r="A36">
        <f>Dataset_1!A36</f>
        <v>35</v>
      </c>
      <c r="B36" s="61">
        <f>Dataset_1!B36</f>
        <v>40545</v>
      </c>
      <c r="C36">
        <f>Dataset_1!C36</f>
        <v>1</v>
      </c>
      <c r="D36">
        <f>Dataset_1!D36</f>
        <v>0</v>
      </c>
      <c r="E36">
        <f>Dataset_1!E36</f>
        <v>1</v>
      </c>
      <c r="F36">
        <f>Dataset_1!F36</f>
        <v>11</v>
      </c>
      <c r="G36" t="b">
        <f>Dataset_1!G36</f>
        <v>0</v>
      </c>
      <c r="H36">
        <f>Dataset_1!H36</f>
        <v>0</v>
      </c>
      <c r="I36">
        <f>Dataset_1!I36</f>
        <v>2</v>
      </c>
      <c r="J36">
        <f>Dataset_1!J36</f>
        <v>0.36</v>
      </c>
      <c r="K36">
        <f>INDEX(Dataset_2!$B$2:$B$611,MATCH($A36,Dataset_2!$A$2:$A$611,0))</f>
        <v>0.33329999999999999</v>
      </c>
      <c r="L36">
        <f>INDEX(Dataset_2!$C$2:$C$611,MATCH($A36,Dataset_2!$A$2:$A$611,0))</f>
        <v>0.71</v>
      </c>
      <c r="M36">
        <f>INDEX(Dataset_2!$D$2:$D$611,MATCH($A36,Dataset_2!$A$2:$A$611,0))</f>
        <v>0.25369999999999998</v>
      </c>
      <c r="N36">
        <f>INDEX(Dataset_2!$E$2:$E$611,MATCH($A36,Dataset_2!$A$2:$A$611,0))</f>
        <v>16</v>
      </c>
      <c r="O36">
        <f>INDEX(Dataset_2!$F$2:$F$611,MATCH($A36,Dataset_2!$A$2:$A$611,0))</f>
        <v>54</v>
      </c>
      <c r="P36">
        <f>INDEX(Dataset_2!$G$2:$G$611,MATCH($A36,Dataset_2!$A$2:$A$611,0))</f>
        <v>70</v>
      </c>
    </row>
    <row r="37" spans="1:16" x14ac:dyDescent="0.2">
      <c r="A37">
        <f>Dataset_1!A37</f>
        <v>36</v>
      </c>
      <c r="B37" s="61">
        <f>Dataset_1!B37</f>
        <v>40545</v>
      </c>
      <c r="C37">
        <f>Dataset_1!C37</f>
        <v>1</v>
      </c>
      <c r="D37">
        <f>Dataset_1!D37</f>
        <v>0</v>
      </c>
      <c r="E37">
        <f>Dataset_1!E37</f>
        <v>1</v>
      </c>
      <c r="F37">
        <f>Dataset_1!F37</f>
        <v>12</v>
      </c>
      <c r="G37" t="b">
        <f>Dataset_1!G37</f>
        <v>0</v>
      </c>
      <c r="H37">
        <f>Dataset_1!H37</f>
        <v>0</v>
      </c>
      <c r="I37">
        <f>Dataset_1!I37</f>
        <v>2</v>
      </c>
      <c r="J37">
        <f>Dataset_1!J37</f>
        <v>0.36</v>
      </c>
      <c r="K37">
        <f>INDEX(Dataset_2!$B$2:$B$611,MATCH($A37,Dataset_2!$A$2:$A$611,0))</f>
        <v>0.33329999999999999</v>
      </c>
      <c r="L37">
        <f>INDEX(Dataset_2!$C$2:$C$611,MATCH($A37,Dataset_2!$A$2:$A$611,0))</f>
        <v>0.66</v>
      </c>
      <c r="M37">
        <f>INDEX(Dataset_2!$D$2:$D$611,MATCH($A37,Dataset_2!$A$2:$A$611,0))</f>
        <v>0.29849999999999999</v>
      </c>
      <c r="N37">
        <f>INDEX(Dataset_2!$E$2:$E$611,MATCH($A37,Dataset_2!$A$2:$A$611,0))</f>
        <v>20</v>
      </c>
      <c r="O37">
        <f>INDEX(Dataset_2!$F$2:$F$611,MATCH($A37,Dataset_2!$A$2:$A$611,0))</f>
        <v>73</v>
      </c>
      <c r="P37">
        <f>INDEX(Dataset_2!$G$2:$G$611,MATCH($A37,Dataset_2!$A$2:$A$611,0))</f>
        <v>93</v>
      </c>
    </row>
    <row r="38" spans="1:16" x14ac:dyDescent="0.2">
      <c r="A38">
        <f>Dataset_1!A38</f>
        <v>37</v>
      </c>
      <c r="B38" s="61">
        <f>Dataset_1!B38</f>
        <v>40545</v>
      </c>
      <c r="C38">
        <f>Dataset_1!C38</f>
        <v>1</v>
      </c>
      <c r="D38">
        <f>Dataset_1!D38</f>
        <v>0</v>
      </c>
      <c r="E38">
        <f>Dataset_1!E38</f>
        <v>1</v>
      </c>
      <c r="F38">
        <f>Dataset_1!F38</f>
        <v>13</v>
      </c>
      <c r="G38" t="b">
        <f>Dataset_1!G38</f>
        <v>0</v>
      </c>
      <c r="H38">
        <f>Dataset_1!H38</f>
        <v>0</v>
      </c>
      <c r="I38">
        <f>Dataset_1!I38</f>
        <v>2</v>
      </c>
      <c r="J38">
        <f>Dataset_1!J38</f>
        <v>0.36</v>
      </c>
      <c r="K38">
        <f>INDEX(Dataset_2!$B$2:$B$611,MATCH($A38,Dataset_2!$A$2:$A$611,0))</f>
        <v>0.34849999999999998</v>
      </c>
      <c r="L38">
        <f>INDEX(Dataset_2!$C$2:$C$611,MATCH($A38,Dataset_2!$A$2:$A$611,0))</f>
        <v>0.66</v>
      </c>
      <c r="M38">
        <f>INDEX(Dataset_2!$D$2:$D$611,MATCH($A38,Dataset_2!$A$2:$A$611,0))</f>
        <v>0.1343</v>
      </c>
      <c r="N38">
        <f>INDEX(Dataset_2!$E$2:$E$611,MATCH($A38,Dataset_2!$A$2:$A$611,0))</f>
        <v>11</v>
      </c>
      <c r="O38">
        <f>INDEX(Dataset_2!$F$2:$F$611,MATCH($A38,Dataset_2!$A$2:$A$611,0))</f>
        <v>64</v>
      </c>
      <c r="P38">
        <f>INDEX(Dataset_2!$G$2:$G$611,MATCH($A38,Dataset_2!$A$2:$A$611,0))</f>
        <v>75</v>
      </c>
    </row>
    <row r="39" spans="1:16" x14ac:dyDescent="0.2">
      <c r="A39">
        <f>Dataset_1!A39</f>
        <v>38</v>
      </c>
      <c r="B39" s="61">
        <f>Dataset_1!B39</f>
        <v>40545</v>
      </c>
      <c r="C39">
        <f>Dataset_1!C39</f>
        <v>1</v>
      </c>
      <c r="D39">
        <f>Dataset_1!D39</f>
        <v>0</v>
      </c>
      <c r="E39">
        <f>Dataset_1!E39</f>
        <v>1</v>
      </c>
      <c r="F39">
        <f>Dataset_1!F39</f>
        <v>14</v>
      </c>
      <c r="G39" t="b">
        <f>Dataset_1!G39</f>
        <v>0</v>
      </c>
      <c r="H39">
        <f>Dataset_1!H39</f>
        <v>0</v>
      </c>
      <c r="I39">
        <f>Dataset_1!I39</f>
        <v>3</v>
      </c>
      <c r="J39">
        <f>Dataset_1!J39</f>
        <v>0.36</v>
      </c>
      <c r="K39">
        <f>INDEX(Dataset_2!$B$2:$B$611,MATCH($A39,Dataset_2!$A$2:$A$611,0))</f>
        <v>0.34089999999999998</v>
      </c>
      <c r="L39">
        <f>INDEX(Dataset_2!$C$2:$C$611,MATCH($A39,Dataset_2!$A$2:$A$611,0))</f>
        <v>0.76</v>
      </c>
      <c r="M39">
        <f>INDEX(Dataset_2!$D$2:$D$611,MATCH($A39,Dataset_2!$A$2:$A$611,0))</f>
        <v>0.19400000000000001</v>
      </c>
      <c r="N39">
        <f>INDEX(Dataset_2!$E$2:$E$611,MATCH($A39,Dataset_2!$A$2:$A$611,0))</f>
        <v>4</v>
      </c>
      <c r="O39">
        <f>INDEX(Dataset_2!$F$2:$F$611,MATCH($A39,Dataset_2!$A$2:$A$611,0))</f>
        <v>55</v>
      </c>
      <c r="P39">
        <f>INDEX(Dataset_2!$G$2:$G$611,MATCH($A39,Dataset_2!$A$2:$A$611,0))</f>
        <v>59</v>
      </c>
    </row>
    <row r="40" spans="1:16" x14ac:dyDescent="0.2">
      <c r="A40">
        <f>Dataset_1!A40</f>
        <v>39</v>
      </c>
      <c r="B40" s="61">
        <f>Dataset_1!B40</f>
        <v>40545</v>
      </c>
      <c r="C40">
        <f>Dataset_1!C40</f>
        <v>1</v>
      </c>
      <c r="D40">
        <f>Dataset_1!D40</f>
        <v>0</v>
      </c>
      <c r="E40">
        <f>Dataset_1!E40</f>
        <v>1</v>
      </c>
      <c r="F40">
        <f>Dataset_1!F40</f>
        <v>15</v>
      </c>
      <c r="G40" t="b">
        <f>Dataset_1!G40</f>
        <v>0</v>
      </c>
      <c r="H40">
        <f>Dataset_1!H40</f>
        <v>0</v>
      </c>
      <c r="I40">
        <f>Dataset_1!I40</f>
        <v>3</v>
      </c>
      <c r="J40">
        <f>Dataset_1!J40</f>
        <v>0.34</v>
      </c>
      <c r="K40">
        <f>INDEX(Dataset_2!$B$2:$B$611,MATCH($A40,Dataset_2!$A$2:$A$611,0))</f>
        <v>0.33329999999999999</v>
      </c>
      <c r="L40">
        <f>INDEX(Dataset_2!$C$2:$C$611,MATCH($A40,Dataset_2!$A$2:$A$611,0))</f>
        <v>0.81</v>
      </c>
      <c r="M40">
        <f>INDEX(Dataset_2!$D$2:$D$611,MATCH($A40,Dataset_2!$A$2:$A$611,0))</f>
        <v>0.16420000000000001</v>
      </c>
      <c r="N40">
        <f>INDEX(Dataset_2!$E$2:$E$611,MATCH($A40,Dataset_2!$A$2:$A$611,0))</f>
        <v>19</v>
      </c>
      <c r="O40">
        <f>INDEX(Dataset_2!$F$2:$F$611,MATCH($A40,Dataset_2!$A$2:$A$611,0))</f>
        <v>55</v>
      </c>
      <c r="P40">
        <f>INDEX(Dataset_2!$G$2:$G$611,MATCH($A40,Dataset_2!$A$2:$A$611,0))</f>
        <v>74</v>
      </c>
    </row>
    <row r="41" spans="1:16" x14ac:dyDescent="0.2">
      <c r="A41">
        <f>Dataset_1!A41</f>
        <v>40</v>
      </c>
      <c r="B41" s="61">
        <f>Dataset_1!B41</f>
        <v>40545</v>
      </c>
      <c r="C41">
        <f>Dataset_1!C41</f>
        <v>1</v>
      </c>
      <c r="D41">
        <f>Dataset_1!D41</f>
        <v>0</v>
      </c>
      <c r="E41">
        <f>Dataset_1!E41</f>
        <v>1</v>
      </c>
      <c r="F41">
        <f>Dataset_1!F41</f>
        <v>16</v>
      </c>
      <c r="G41" t="b">
        <f>Dataset_1!G41</f>
        <v>0</v>
      </c>
      <c r="H41">
        <f>Dataset_1!H41</f>
        <v>0</v>
      </c>
      <c r="I41">
        <f>Dataset_1!I41</f>
        <v>3</v>
      </c>
      <c r="J41">
        <f>Dataset_1!J41</f>
        <v>0.34</v>
      </c>
      <c r="K41">
        <f>INDEX(Dataset_2!$B$2:$B$611,MATCH($A41,Dataset_2!$A$2:$A$611,0))</f>
        <v>0.33329999999999999</v>
      </c>
      <c r="L41">
        <f>INDEX(Dataset_2!$C$2:$C$611,MATCH($A41,Dataset_2!$A$2:$A$611,0))</f>
        <v>0.71</v>
      </c>
      <c r="M41">
        <f>INDEX(Dataset_2!$D$2:$D$611,MATCH($A41,Dataset_2!$A$2:$A$611,0))</f>
        <v>0.16420000000000001</v>
      </c>
      <c r="N41">
        <f>INDEX(Dataset_2!$E$2:$E$611,MATCH($A41,Dataset_2!$A$2:$A$611,0))</f>
        <v>9</v>
      </c>
      <c r="O41">
        <f>INDEX(Dataset_2!$F$2:$F$611,MATCH($A41,Dataset_2!$A$2:$A$611,0))</f>
        <v>67</v>
      </c>
      <c r="P41">
        <f>INDEX(Dataset_2!$G$2:$G$611,MATCH($A41,Dataset_2!$A$2:$A$611,0))</f>
        <v>76</v>
      </c>
    </row>
    <row r="42" spans="1:16" x14ac:dyDescent="0.2">
      <c r="A42">
        <f>Dataset_1!A42</f>
        <v>41</v>
      </c>
      <c r="B42" s="61">
        <f>Dataset_1!B42</f>
        <v>40545</v>
      </c>
      <c r="C42">
        <f>Dataset_1!C42</f>
        <v>1</v>
      </c>
      <c r="D42">
        <f>Dataset_1!D42</f>
        <v>0</v>
      </c>
      <c r="E42">
        <f>Dataset_1!E42</f>
        <v>1</v>
      </c>
      <c r="F42">
        <f>Dataset_1!F42</f>
        <v>17</v>
      </c>
      <c r="G42" t="b">
        <f>Dataset_1!G42</f>
        <v>0</v>
      </c>
      <c r="H42">
        <f>Dataset_1!H42</f>
        <v>0</v>
      </c>
      <c r="I42">
        <f>Dataset_1!I42</f>
        <v>1</v>
      </c>
      <c r="J42">
        <f>Dataset_1!J42</f>
        <v>0.34</v>
      </c>
      <c r="K42">
        <f>INDEX(Dataset_2!$B$2:$B$611,MATCH($A42,Dataset_2!$A$2:$A$611,0))</f>
        <v>0.33329999999999999</v>
      </c>
      <c r="L42">
        <f>INDEX(Dataset_2!$C$2:$C$611,MATCH($A42,Dataset_2!$A$2:$A$611,0))</f>
        <v>0.56999999999999995</v>
      </c>
      <c r="M42">
        <f>INDEX(Dataset_2!$D$2:$D$611,MATCH($A42,Dataset_2!$A$2:$A$611,0))</f>
        <v>0.19400000000000001</v>
      </c>
      <c r="N42">
        <f>INDEX(Dataset_2!$E$2:$E$611,MATCH($A42,Dataset_2!$A$2:$A$611,0))</f>
        <v>7</v>
      </c>
      <c r="O42">
        <f>INDEX(Dataset_2!$F$2:$F$611,MATCH($A42,Dataset_2!$A$2:$A$611,0))</f>
        <v>58</v>
      </c>
      <c r="P42">
        <f>INDEX(Dataset_2!$G$2:$G$611,MATCH($A42,Dataset_2!$A$2:$A$611,0))</f>
        <v>65</v>
      </c>
    </row>
    <row r="43" spans="1:16" x14ac:dyDescent="0.2">
      <c r="A43">
        <f>Dataset_1!A43</f>
        <v>42</v>
      </c>
      <c r="B43" s="61">
        <f>Dataset_1!B43</f>
        <v>40545</v>
      </c>
      <c r="C43">
        <f>Dataset_1!C43</f>
        <v>1</v>
      </c>
      <c r="D43">
        <f>Dataset_1!D43</f>
        <v>0</v>
      </c>
      <c r="E43">
        <f>Dataset_1!E43</f>
        <v>1</v>
      </c>
      <c r="F43">
        <f>Dataset_1!F43</f>
        <v>18</v>
      </c>
      <c r="G43" t="b">
        <f>Dataset_1!G43</f>
        <v>0</v>
      </c>
      <c r="H43">
        <f>Dataset_1!H43</f>
        <v>0</v>
      </c>
      <c r="I43">
        <f>Dataset_1!I43</f>
        <v>2</v>
      </c>
      <c r="J43">
        <f>Dataset_1!J43</f>
        <v>0.36</v>
      </c>
      <c r="K43">
        <f>INDEX(Dataset_2!$B$2:$B$611,MATCH($A43,Dataset_2!$A$2:$A$611,0))</f>
        <v>0.33329999999999999</v>
      </c>
      <c r="L43">
        <f>INDEX(Dataset_2!$C$2:$C$611,MATCH($A43,Dataset_2!$A$2:$A$611,0))</f>
        <v>0.46</v>
      </c>
      <c r="M43">
        <f>INDEX(Dataset_2!$D$2:$D$611,MATCH($A43,Dataset_2!$A$2:$A$611,0))</f>
        <v>0.32840000000000003</v>
      </c>
      <c r="N43">
        <f>INDEX(Dataset_2!$E$2:$E$611,MATCH($A43,Dataset_2!$A$2:$A$611,0))</f>
        <v>10</v>
      </c>
      <c r="O43">
        <f>INDEX(Dataset_2!$F$2:$F$611,MATCH($A43,Dataset_2!$A$2:$A$611,0))</f>
        <v>43</v>
      </c>
      <c r="P43">
        <f>INDEX(Dataset_2!$G$2:$G$611,MATCH($A43,Dataset_2!$A$2:$A$611,0))</f>
        <v>53</v>
      </c>
    </row>
    <row r="44" spans="1:16" x14ac:dyDescent="0.2">
      <c r="A44">
        <f>Dataset_1!A44</f>
        <v>43</v>
      </c>
      <c r="B44" s="61">
        <f>Dataset_1!B44</f>
        <v>40545</v>
      </c>
      <c r="C44">
        <f>Dataset_1!C44</f>
        <v>1</v>
      </c>
      <c r="D44">
        <f>Dataset_1!D44</f>
        <v>0</v>
      </c>
      <c r="E44">
        <f>Dataset_1!E44</f>
        <v>1</v>
      </c>
      <c r="F44">
        <f>Dataset_1!F44</f>
        <v>19</v>
      </c>
      <c r="G44" t="b">
        <f>Dataset_1!G44</f>
        <v>0</v>
      </c>
      <c r="H44">
        <f>Dataset_1!H44</f>
        <v>0</v>
      </c>
      <c r="I44">
        <f>Dataset_1!I44</f>
        <v>1</v>
      </c>
      <c r="J44">
        <f>Dataset_1!J44</f>
        <v>0.32</v>
      </c>
      <c r="K44">
        <f>INDEX(Dataset_2!$B$2:$B$611,MATCH($A44,Dataset_2!$A$2:$A$611,0))</f>
        <v>0.28789999999999999</v>
      </c>
      <c r="L44">
        <f>INDEX(Dataset_2!$C$2:$C$611,MATCH($A44,Dataset_2!$A$2:$A$611,0))</f>
        <v>0.42</v>
      </c>
      <c r="M44">
        <f>INDEX(Dataset_2!$D$2:$D$611,MATCH($A44,Dataset_2!$A$2:$A$611,0))</f>
        <v>0.44779999999999998</v>
      </c>
      <c r="N44">
        <f>INDEX(Dataset_2!$E$2:$E$611,MATCH($A44,Dataset_2!$A$2:$A$611,0))</f>
        <v>1</v>
      </c>
      <c r="O44">
        <f>INDEX(Dataset_2!$F$2:$F$611,MATCH($A44,Dataset_2!$A$2:$A$611,0))</f>
        <v>29</v>
      </c>
      <c r="P44">
        <f>INDEX(Dataset_2!$G$2:$G$611,MATCH($A44,Dataset_2!$A$2:$A$611,0))</f>
        <v>30</v>
      </c>
    </row>
    <row r="45" spans="1:16" x14ac:dyDescent="0.2">
      <c r="A45">
        <f>Dataset_1!A45</f>
        <v>44</v>
      </c>
      <c r="B45" s="61">
        <f>Dataset_1!B45</f>
        <v>40545</v>
      </c>
      <c r="C45">
        <f>Dataset_1!C45</f>
        <v>1</v>
      </c>
      <c r="D45">
        <f>Dataset_1!D45</f>
        <v>0</v>
      </c>
      <c r="E45">
        <f>Dataset_1!E45</f>
        <v>1</v>
      </c>
      <c r="F45">
        <f>Dataset_1!F45</f>
        <v>20</v>
      </c>
      <c r="G45" t="b">
        <f>Dataset_1!G45</f>
        <v>0</v>
      </c>
      <c r="H45">
        <f>Dataset_1!H45</f>
        <v>0</v>
      </c>
      <c r="I45">
        <f>Dataset_1!I45</f>
        <v>1</v>
      </c>
      <c r="J45">
        <f>Dataset_1!J45</f>
        <v>0.3</v>
      </c>
      <c r="K45">
        <f>INDEX(Dataset_2!$B$2:$B$611,MATCH($A45,Dataset_2!$A$2:$A$611,0))</f>
        <v>0.2576</v>
      </c>
      <c r="L45">
        <f>INDEX(Dataset_2!$C$2:$C$611,MATCH($A45,Dataset_2!$A$2:$A$611,0))</f>
        <v>0.39</v>
      </c>
      <c r="M45">
        <f>INDEX(Dataset_2!$D$2:$D$611,MATCH($A45,Dataset_2!$A$2:$A$611,0))</f>
        <v>0.35820000000000002</v>
      </c>
      <c r="N45">
        <f>INDEX(Dataset_2!$E$2:$E$611,MATCH($A45,Dataset_2!$A$2:$A$611,0))</f>
        <v>5</v>
      </c>
      <c r="O45">
        <f>INDEX(Dataset_2!$F$2:$F$611,MATCH($A45,Dataset_2!$A$2:$A$611,0))</f>
        <v>17</v>
      </c>
      <c r="P45">
        <f>INDEX(Dataset_2!$G$2:$G$611,MATCH($A45,Dataset_2!$A$2:$A$611,0))</f>
        <v>22</v>
      </c>
    </row>
    <row r="46" spans="1:16" x14ac:dyDescent="0.2">
      <c r="A46">
        <f>Dataset_1!A46</f>
        <v>45</v>
      </c>
      <c r="B46" s="61">
        <f>Dataset_1!B46</f>
        <v>40545</v>
      </c>
      <c r="C46">
        <f>Dataset_1!C46</f>
        <v>1</v>
      </c>
      <c r="D46">
        <f>Dataset_1!D46</f>
        <v>0</v>
      </c>
      <c r="E46">
        <f>Dataset_1!E46</f>
        <v>1</v>
      </c>
      <c r="F46">
        <f>Dataset_1!F46</f>
        <v>21</v>
      </c>
      <c r="G46" t="b">
        <f>Dataset_1!G46</f>
        <v>0</v>
      </c>
      <c r="H46">
        <f>Dataset_1!H46</f>
        <v>0</v>
      </c>
      <c r="I46">
        <f>Dataset_1!I46</f>
        <v>1</v>
      </c>
      <c r="J46">
        <f>Dataset_1!J46</f>
        <v>0.26</v>
      </c>
      <c r="K46">
        <f>INDEX(Dataset_2!$B$2:$B$611,MATCH($A46,Dataset_2!$A$2:$A$611,0))</f>
        <v>0.2273</v>
      </c>
      <c r="L46">
        <f>INDEX(Dataset_2!$C$2:$C$611,MATCH($A46,Dataset_2!$A$2:$A$611,0))</f>
        <v>0.44</v>
      </c>
      <c r="M46">
        <f>INDEX(Dataset_2!$D$2:$D$611,MATCH($A46,Dataset_2!$A$2:$A$611,0))</f>
        <v>0.32840000000000003</v>
      </c>
      <c r="N46">
        <f>INDEX(Dataset_2!$E$2:$E$611,MATCH($A46,Dataset_2!$A$2:$A$611,0))</f>
        <v>11</v>
      </c>
      <c r="O46">
        <f>INDEX(Dataset_2!$F$2:$F$611,MATCH($A46,Dataset_2!$A$2:$A$611,0))</f>
        <v>20</v>
      </c>
      <c r="P46">
        <f>INDEX(Dataset_2!$G$2:$G$611,MATCH($A46,Dataset_2!$A$2:$A$611,0))</f>
        <v>31</v>
      </c>
    </row>
    <row r="47" spans="1:16" x14ac:dyDescent="0.2">
      <c r="A47">
        <f>Dataset_1!A47</f>
        <v>46</v>
      </c>
      <c r="B47" s="61">
        <f>Dataset_1!B47</f>
        <v>40545</v>
      </c>
      <c r="C47">
        <f>Dataset_1!C47</f>
        <v>1</v>
      </c>
      <c r="D47">
        <f>Dataset_1!D47</f>
        <v>0</v>
      </c>
      <c r="E47">
        <f>Dataset_1!E47</f>
        <v>1</v>
      </c>
      <c r="F47">
        <f>Dataset_1!F47</f>
        <v>22</v>
      </c>
      <c r="G47" t="b">
        <f>Dataset_1!G47</f>
        <v>0</v>
      </c>
      <c r="H47">
        <f>Dataset_1!H47</f>
        <v>0</v>
      </c>
      <c r="I47">
        <f>Dataset_1!I47</f>
        <v>1</v>
      </c>
      <c r="J47">
        <f>Dataset_1!J47</f>
        <v>0.24</v>
      </c>
      <c r="K47">
        <f>INDEX(Dataset_2!$B$2:$B$611,MATCH($A47,Dataset_2!$A$2:$A$611,0))</f>
        <v>0.21210000000000001</v>
      </c>
      <c r="L47">
        <f>INDEX(Dataset_2!$C$2:$C$611,MATCH($A47,Dataset_2!$A$2:$A$611,0))</f>
        <v>0.44</v>
      </c>
      <c r="M47">
        <f>INDEX(Dataset_2!$D$2:$D$611,MATCH($A47,Dataset_2!$A$2:$A$611,0))</f>
        <v>0.29849999999999999</v>
      </c>
      <c r="N47">
        <f>INDEX(Dataset_2!$E$2:$E$611,MATCH($A47,Dataset_2!$A$2:$A$611,0))</f>
        <v>0</v>
      </c>
      <c r="O47">
        <f>INDEX(Dataset_2!$F$2:$F$611,MATCH($A47,Dataset_2!$A$2:$A$611,0))</f>
        <v>9</v>
      </c>
      <c r="P47">
        <f>INDEX(Dataset_2!$G$2:$G$611,MATCH($A47,Dataset_2!$A$2:$A$611,0))</f>
        <v>9</v>
      </c>
    </row>
    <row r="48" spans="1:16" x14ac:dyDescent="0.2">
      <c r="A48">
        <f>Dataset_1!A48</f>
        <v>47</v>
      </c>
      <c r="B48" s="61">
        <f>Dataset_1!B48</f>
        <v>40545</v>
      </c>
      <c r="C48">
        <f>Dataset_1!C48</f>
        <v>1</v>
      </c>
      <c r="D48">
        <f>Dataset_1!D48</f>
        <v>0</v>
      </c>
      <c r="E48">
        <f>Dataset_1!E48</f>
        <v>1</v>
      </c>
      <c r="F48">
        <f>Dataset_1!F48</f>
        <v>23</v>
      </c>
      <c r="G48" t="b">
        <f>Dataset_1!G48</f>
        <v>0</v>
      </c>
      <c r="H48">
        <f>Dataset_1!H48</f>
        <v>0</v>
      </c>
      <c r="I48">
        <f>Dataset_1!I48</f>
        <v>1</v>
      </c>
      <c r="J48">
        <f>Dataset_1!J48</f>
        <v>0.22</v>
      </c>
      <c r="K48">
        <f>INDEX(Dataset_2!$B$2:$B$611,MATCH($A48,Dataset_2!$A$2:$A$611,0))</f>
        <v>0.2273</v>
      </c>
      <c r="L48">
        <f>INDEX(Dataset_2!$C$2:$C$611,MATCH($A48,Dataset_2!$A$2:$A$611,0))</f>
        <v>0.47</v>
      </c>
      <c r="M48">
        <f>INDEX(Dataset_2!$D$2:$D$611,MATCH($A48,Dataset_2!$A$2:$A$611,0))</f>
        <v>0.16420000000000001</v>
      </c>
      <c r="N48">
        <f>INDEX(Dataset_2!$E$2:$E$611,MATCH($A48,Dataset_2!$A$2:$A$611,0))</f>
        <v>0</v>
      </c>
      <c r="O48">
        <f>INDEX(Dataset_2!$F$2:$F$611,MATCH($A48,Dataset_2!$A$2:$A$611,0))</f>
        <v>8</v>
      </c>
      <c r="P48">
        <f>INDEX(Dataset_2!$G$2:$G$611,MATCH($A48,Dataset_2!$A$2:$A$611,0))</f>
        <v>8</v>
      </c>
    </row>
    <row r="49" spans="1:16" x14ac:dyDescent="0.2">
      <c r="A49">
        <f>Dataset_1!A49</f>
        <v>48</v>
      </c>
      <c r="B49" s="61">
        <f>Dataset_1!B49</f>
        <v>40546</v>
      </c>
      <c r="C49">
        <f>Dataset_1!C49</f>
        <v>1</v>
      </c>
      <c r="D49">
        <f>Dataset_1!D49</f>
        <v>0</v>
      </c>
      <c r="E49">
        <f>Dataset_1!E49</f>
        <v>1</v>
      </c>
      <c r="F49">
        <f>Dataset_1!F49</f>
        <v>0</v>
      </c>
      <c r="G49" t="b">
        <f>Dataset_1!G49</f>
        <v>0</v>
      </c>
      <c r="H49">
        <f>Dataset_1!H49</f>
        <v>1</v>
      </c>
      <c r="I49">
        <f>Dataset_1!I49</f>
        <v>1</v>
      </c>
      <c r="J49">
        <f>Dataset_1!J49</f>
        <v>0.22</v>
      </c>
      <c r="K49">
        <f>INDEX(Dataset_2!$B$2:$B$611,MATCH($A49,Dataset_2!$A$2:$A$611,0))</f>
        <v>0.19700000000000001</v>
      </c>
      <c r="L49">
        <f>INDEX(Dataset_2!$C$2:$C$611,MATCH($A49,Dataset_2!$A$2:$A$611,0))</f>
        <v>0.44</v>
      </c>
      <c r="M49">
        <f>INDEX(Dataset_2!$D$2:$D$611,MATCH($A49,Dataset_2!$A$2:$A$611,0))</f>
        <v>0.35820000000000002</v>
      </c>
      <c r="N49">
        <f>INDEX(Dataset_2!$E$2:$E$611,MATCH($A49,Dataset_2!$A$2:$A$611,0))</f>
        <v>0</v>
      </c>
      <c r="O49">
        <f>INDEX(Dataset_2!$F$2:$F$611,MATCH($A49,Dataset_2!$A$2:$A$611,0))</f>
        <v>5</v>
      </c>
      <c r="P49">
        <f>INDEX(Dataset_2!$G$2:$G$611,MATCH($A49,Dataset_2!$A$2:$A$611,0))</f>
        <v>5</v>
      </c>
    </row>
    <row r="50" spans="1:16" x14ac:dyDescent="0.2">
      <c r="A50">
        <f>Dataset_1!A50</f>
        <v>49</v>
      </c>
      <c r="B50" s="61">
        <f>Dataset_1!B50</f>
        <v>40546</v>
      </c>
      <c r="C50">
        <f>Dataset_1!C50</f>
        <v>1</v>
      </c>
      <c r="D50">
        <f>Dataset_1!D50</f>
        <v>0</v>
      </c>
      <c r="E50">
        <f>Dataset_1!E50</f>
        <v>1</v>
      </c>
      <c r="F50">
        <f>Dataset_1!F50</f>
        <v>1</v>
      </c>
      <c r="G50" t="b">
        <f>Dataset_1!G50</f>
        <v>0</v>
      </c>
      <c r="H50">
        <f>Dataset_1!H50</f>
        <v>1</v>
      </c>
      <c r="I50">
        <f>Dataset_1!I50</f>
        <v>1</v>
      </c>
      <c r="J50">
        <f>Dataset_1!J50</f>
        <v>0.2</v>
      </c>
      <c r="K50">
        <f>INDEX(Dataset_2!$B$2:$B$611,MATCH($A50,Dataset_2!$A$2:$A$611,0))</f>
        <v>0.16669999999999999</v>
      </c>
      <c r="L50">
        <f>INDEX(Dataset_2!$C$2:$C$611,MATCH($A50,Dataset_2!$A$2:$A$611,0))</f>
        <v>0.44</v>
      </c>
      <c r="M50">
        <f>INDEX(Dataset_2!$D$2:$D$611,MATCH($A50,Dataset_2!$A$2:$A$611,0))</f>
        <v>0.41789999999999999</v>
      </c>
      <c r="N50">
        <f>INDEX(Dataset_2!$E$2:$E$611,MATCH($A50,Dataset_2!$A$2:$A$611,0))</f>
        <v>0</v>
      </c>
      <c r="O50">
        <f>INDEX(Dataset_2!$F$2:$F$611,MATCH($A50,Dataset_2!$A$2:$A$611,0))</f>
        <v>2</v>
      </c>
      <c r="P50">
        <f>INDEX(Dataset_2!$G$2:$G$611,MATCH($A50,Dataset_2!$A$2:$A$611,0))</f>
        <v>2</v>
      </c>
    </row>
    <row r="51" spans="1:16" x14ac:dyDescent="0.2">
      <c r="A51">
        <f>Dataset_1!A51</f>
        <v>50</v>
      </c>
      <c r="B51" s="61">
        <f>Dataset_1!B51</f>
        <v>40546</v>
      </c>
      <c r="C51">
        <f>Dataset_1!C51</f>
        <v>1</v>
      </c>
      <c r="D51">
        <f>Dataset_1!D51</f>
        <v>0</v>
      </c>
      <c r="E51">
        <f>Dataset_1!E51</f>
        <v>1</v>
      </c>
      <c r="F51">
        <f>Dataset_1!F51</f>
        <v>4</v>
      </c>
      <c r="G51" t="b">
        <f>Dataset_1!G51</f>
        <v>0</v>
      </c>
      <c r="H51">
        <f>Dataset_1!H51</f>
        <v>1</v>
      </c>
      <c r="I51">
        <f>Dataset_1!I51</f>
        <v>1</v>
      </c>
      <c r="J51">
        <f>Dataset_1!J51</f>
        <v>0.16</v>
      </c>
      <c r="K51">
        <f>INDEX(Dataset_2!$B$2:$B$611,MATCH($A51,Dataset_2!$A$2:$A$611,0))</f>
        <v>0.13639999999999999</v>
      </c>
      <c r="L51">
        <f>INDEX(Dataset_2!$C$2:$C$611,MATCH($A51,Dataset_2!$A$2:$A$611,0))</f>
        <v>0.47</v>
      </c>
      <c r="M51">
        <f>INDEX(Dataset_2!$D$2:$D$611,MATCH($A51,Dataset_2!$A$2:$A$611,0))</f>
        <v>0.3881</v>
      </c>
      <c r="N51">
        <f>INDEX(Dataset_2!$E$2:$E$611,MATCH($A51,Dataset_2!$A$2:$A$611,0))</f>
        <v>0</v>
      </c>
      <c r="O51">
        <f>INDEX(Dataset_2!$F$2:$F$611,MATCH($A51,Dataset_2!$A$2:$A$611,0))</f>
        <v>1</v>
      </c>
      <c r="P51">
        <f>INDEX(Dataset_2!$G$2:$G$611,MATCH($A51,Dataset_2!$A$2:$A$611,0))</f>
        <v>1</v>
      </c>
    </row>
    <row r="52" spans="1:16" x14ac:dyDescent="0.2">
      <c r="A52">
        <f>Dataset_1!A52</f>
        <v>51</v>
      </c>
      <c r="B52" s="61">
        <f>Dataset_1!B52</f>
        <v>40546</v>
      </c>
      <c r="C52">
        <f>Dataset_1!C52</f>
        <v>1</v>
      </c>
      <c r="D52">
        <f>Dataset_1!D52</f>
        <v>0</v>
      </c>
      <c r="E52">
        <f>Dataset_1!E52</f>
        <v>1</v>
      </c>
      <c r="F52">
        <f>Dataset_1!F52</f>
        <v>5</v>
      </c>
      <c r="G52" t="b">
        <f>Dataset_1!G52</f>
        <v>0</v>
      </c>
      <c r="H52">
        <f>Dataset_1!H52</f>
        <v>1</v>
      </c>
      <c r="I52">
        <f>Dataset_1!I52</f>
        <v>1</v>
      </c>
      <c r="J52">
        <f>Dataset_1!J52</f>
        <v>0.16</v>
      </c>
      <c r="K52">
        <f>INDEX(Dataset_2!$B$2:$B$611,MATCH($A52,Dataset_2!$A$2:$A$611,0))</f>
        <v>0.13639999999999999</v>
      </c>
      <c r="L52">
        <f>INDEX(Dataset_2!$C$2:$C$611,MATCH($A52,Dataset_2!$A$2:$A$611,0))</f>
        <v>0.47</v>
      </c>
      <c r="M52">
        <f>INDEX(Dataset_2!$D$2:$D$611,MATCH($A52,Dataset_2!$A$2:$A$611,0))</f>
        <v>0.28360000000000002</v>
      </c>
      <c r="N52">
        <f>INDEX(Dataset_2!$E$2:$E$611,MATCH($A52,Dataset_2!$A$2:$A$611,0))</f>
        <v>0</v>
      </c>
      <c r="O52">
        <f>INDEX(Dataset_2!$F$2:$F$611,MATCH($A52,Dataset_2!$A$2:$A$611,0))</f>
        <v>3</v>
      </c>
      <c r="P52">
        <f>INDEX(Dataset_2!$G$2:$G$611,MATCH($A52,Dataset_2!$A$2:$A$611,0))</f>
        <v>3</v>
      </c>
    </row>
    <row r="53" spans="1:16" x14ac:dyDescent="0.2">
      <c r="A53">
        <f>Dataset_1!A53</f>
        <v>52</v>
      </c>
      <c r="B53" s="61">
        <f>Dataset_1!B53</f>
        <v>40546</v>
      </c>
      <c r="C53">
        <f>Dataset_1!C53</f>
        <v>1</v>
      </c>
      <c r="D53">
        <f>Dataset_1!D53</f>
        <v>0</v>
      </c>
      <c r="E53">
        <f>Dataset_1!E53</f>
        <v>1</v>
      </c>
      <c r="F53">
        <f>Dataset_1!F53</f>
        <v>6</v>
      </c>
      <c r="G53" t="b">
        <f>Dataset_1!G53</f>
        <v>0</v>
      </c>
      <c r="H53">
        <f>Dataset_1!H53</f>
        <v>1</v>
      </c>
      <c r="I53">
        <f>Dataset_1!I53</f>
        <v>1</v>
      </c>
      <c r="J53">
        <f>Dataset_1!J53</f>
        <v>0.14000000000000001</v>
      </c>
      <c r="K53">
        <f>INDEX(Dataset_2!$B$2:$B$611,MATCH($A53,Dataset_2!$A$2:$A$611,0))</f>
        <v>0.1061</v>
      </c>
      <c r="L53">
        <f>INDEX(Dataset_2!$C$2:$C$611,MATCH($A53,Dataset_2!$A$2:$A$611,0))</f>
        <v>0.5</v>
      </c>
      <c r="M53">
        <f>INDEX(Dataset_2!$D$2:$D$611,MATCH($A53,Dataset_2!$A$2:$A$611,0))</f>
        <v>0.3881</v>
      </c>
      <c r="N53">
        <f>INDEX(Dataset_2!$E$2:$E$611,MATCH($A53,Dataset_2!$A$2:$A$611,0))</f>
        <v>0</v>
      </c>
      <c r="O53">
        <f>INDEX(Dataset_2!$F$2:$F$611,MATCH($A53,Dataset_2!$A$2:$A$611,0))</f>
        <v>30</v>
      </c>
      <c r="P53">
        <f>INDEX(Dataset_2!$G$2:$G$611,MATCH($A53,Dataset_2!$A$2:$A$611,0))</f>
        <v>30</v>
      </c>
    </row>
    <row r="54" spans="1:16" x14ac:dyDescent="0.2">
      <c r="A54">
        <f>Dataset_1!A54</f>
        <v>53</v>
      </c>
      <c r="B54" s="61">
        <f>Dataset_1!B54</f>
        <v>40546</v>
      </c>
      <c r="C54">
        <f>Dataset_1!C54</f>
        <v>1</v>
      </c>
      <c r="D54">
        <f>Dataset_1!D54</f>
        <v>0</v>
      </c>
      <c r="E54">
        <f>Dataset_1!E54</f>
        <v>1</v>
      </c>
      <c r="F54">
        <f>Dataset_1!F54</f>
        <v>7</v>
      </c>
      <c r="G54" t="b">
        <f>Dataset_1!G54</f>
        <v>0</v>
      </c>
      <c r="H54">
        <f>Dataset_1!H54</f>
        <v>1</v>
      </c>
      <c r="I54">
        <f>Dataset_1!I54</f>
        <v>1</v>
      </c>
      <c r="J54">
        <f>Dataset_1!J54</f>
        <v>0.14000000000000001</v>
      </c>
      <c r="K54">
        <f>INDEX(Dataset_2!$B$2:$B$611,MATCH($A54,Dataset_2!$A$2:$A$611,0))</f>
        <v>0.13639999999999999</v>
      </c>
      <c r="L54">
        <f>INDEX(Dataset_2!$C$2:$C$611,MATCH($A54,Dataset_2!$A$2:$A$611,0))</f>
        <v>0.5</v>
      </c>
      <c r="M54">
        <f>INDEX(Dataset_2!$D$2:$D$611,MATCH($A54,Dataset_2!$A$2:$A$611,0))</f>
        <v>0.19400000000000001</v>
      </c>
      <c r="N54">
        <f>INDEX(Dataset_2!$E$2:$E$611,MATCH($A54,Dataset_2!$A$2:$A$611,0))</f>
        <v>1</v>
      </c>
      <c r="O54">
        <f>INDEX(Dataset_2!$F$2:$F$611,MATCH($A54,Dataset_2!$A$2:$A$611,0))</f>
        <v>63</v>
      </c>
      <c r="P54">
        <f>INDEX(Dataset_2!$G$2:$G$611,MATCH($A54,Dataset_2!$A$2:$A$611,0))</f>
        <v>64</v>
      </c>
    </row>
    <row r="55" spans="1:16" x14ac:dyDescent="0.2">
      <c r="A55">
        <f>Dataset_1!A55</f>
        <v>54</v>
      </c>
      <c r="B55" s="61">
        <f>Dataset_1!B55</f>
        <v>40546</v>
      </c>
      <c r="C55">
        <f>Dataset_1!C55</f>
        <v>1</v>
      </c>
      <c r="D55">
        <f>Dataset_1!D55</f>
        <v>0</v>
      </c>
      <c r="E55">
        <f>Dataset_1!E55</f>
        <v>1</v>
      </c>
      <c r="F55">
        <f>Dataset_1!F55</f>
        <v>8</v>
      </c>
      <c r="G55" t="b">
        <f>Dataset_1!G55</f>
        <v>0</v>
      </c>
      <c r="H55">
        <f>Dataset_1!H55</f>
        <v>1</v>
      </c>
      <c r="I55">
        <f>Dataset_1!I55</f>
        <v>1</v>
      </c>
      <c r="J55">
        <f>Dataset_1!J55</f>
        <v>0.14000000000000001</v>
      </c>
      <c r="K55">
        <f>INDEX(Dataset_2!$B$2:$B$611,MATCH($A55,Dataset_2!$A$2:$A$611,0))</f>
        <v>0.1212</v>
      </c>
      <c r="L55">
        <f>INDEX(Dataset_2!$C$2:$C$611,MATCH($A55,Dataset_2!$A$2:$A$611,0))</f>
        <v>0.5</v>
      </c>
      <c r="M55">
        <f>INDEX(Dataset_2!$D$2:$D$611,MATCH($A55,Dataset_2!$A$2:$A$611,0))</f>
        <v>0.28360000000000002</v>
      </c>
      <c r="N55">
        <f>INDEX(Dataset_2!$E$2:$E$611,MATCH($A55,Dataset_2!$A$2:$A$611,0))</f>
        <v>1</v>
      </c>
      <c r="O55">
        <f>INDEX(Dataset_2!$F$2:$F$611,MATCH($A55,Dataset_2!$A$2:$A$611,0))</f>
        <v>153</v>
      </c>
      <c r="P55">
        <f>INDEX(Dataset_2!$G$2:$G$611,MATCH($A55,Dataset_2!$A$2:$A$611,0))</f>
        <v>154</v>
      </c>
    </row>
    <row r="56" spans="1:16" x14ac:dyDescent="0.2">
      <c r="A56">
        <f>Dataset_1!A56</f>
        <v>55</v>
      </c>
      <c r="B56" s="61">
        <f>Dataset_1!B56</f>
        <v>40546</v>
      </c>
      <c r="C56">
        <f>Dataset_1!C56</f>
        <v>1</v>
      </c>
      <c r="D56">
        <f>Dataset_1!D56</f>
        <v>0</v>
      </c>
      <c r="E56">
        <f>Dataset_1!E56</f>
        <v>1</v>
      </c>
      <c r="F56">
        <f>Dataset_1!F56</f>
        <v>9</v>
      </c>
      <c r="G56" t="b">
        <f>Dataset_1!G56</f>
        <v>0</v>
      </c>
      <c r="H56">
        <f>Dataset_1!H56</f>
        <v>1</v>
      </c>
      <c r="I56">
        <f>Dataset_1!I56</f>
        <v>1</v>
      </c>
      <c r="J56">
        <f>Dataset_1!J56</f>
        <v>0.16</v>
      </c>
      <c r="K56">
        <f>INDEX(Dataset_2!$B$2:$B$611,MATCH($A56,Dataset_2!$A$2:$A$611,0))</f>
        <v>0.13639999999999999</v>
      </c>
      <c r="L56">
        <f>INDEX(Dataset_2!$C$2:$C$611,MATCH($A56,Dataset_2!$A$2:$A$611,0))</f>
        <v>0.43</v>
      </c>
      <c r="M56">
        <f>INDEX(Dataset_2!$D$2:$D$611,MATCH($A56,Dataset_2!$A$2:$A$611,0))</f>
        <v>0.3881</v>
      </c>
      <c r="N56">
        <f>INDEX(Dataset_2!$E$2:$E$611,MATCH($A56,Dataset_2!$A$2:$A$611,0))</f>
        <v>7</v>
      </c>
      <c r="O56">
        <f>INDEX(Dataset_2!$F$2:$F$611,MATCH($A56,Dataset_2!$A$2:$A$611,0))</f>
        <v>81</v>
      </c>
      <c r="P56">
        <f>INDEX(Dataset_2!$G$2:$G$611,MATCH($A56,Dataset_2!$A$2:$A$611,0))</f>
        <v>88</v>
      </c>
    </row>
    <row r="57" spans="1:16" x14ac:dyDescent="0.2">
      <c r="A57">
        <f>Dataset_1!A57</f>
        <v>56</v>
      </c>
      <c r="B57" s="61">
        <f>Dataset_1!B57</f>
        <v>40546</v>
      </c>
      <c r="C57">
        <f>Dataset_1!C57</f>
        <v>1</v>
      </c>
      <c r="D57">
        <f>Dataset_1!D57</f>
        <v>0</v>
      </c>
      <c r="E57">
        <f>Dataset_1!E57</f>
        <v>1</v>
      </c>
      <c r="F57">
        <f>Dataset_1!F57</f>
        <v>10</v>
      </c>
      <c r="G57" t="b">
        <f>Dataset_1!G57</f>
        <v>0</v>
      </c>
      <c r="H57">
        <f>Dataset_1!H57</f>
        <v>1</v>
      </c>
      <c r="I57">
        <f>Dataset_1!I57</f>
        <v>1</v>
      </c>
      <c r="J57">
        <f>Dataset_1!J57</f>
        <v>0.18</v>
      </c>
      <c r="K57">
        <f>INDEX(Dataset_2!$B$2:$B$611,MATCH($A57,Dataset_2!$A$2:$A$611,0))</f>
        <v>0.16669999999999999</v>
      </c>
      <c r="L57">
        <f>INDEX(Dataset_2!$C$2:$C$611,MATCH($A57,Dataset_2!$A$2:$A$611,0))</f>
        <v>0.43</v>
      </c>
      <c r="M57">
        <f>INDEX(Dataset_2!$D$2:$D$611,MATCH($A57,Dataset_2!$A$2:$A$611,0))</f>
        <v>0.25369999999999998</v>
      </c>
      <c r="N57">
        <f>INDEX(Dataset_2!$E$2:$E$611,MATCH($A57,Dataset_2!$A$2:$A$611,0))</f>
        <v>11</v>
      </c>
      <c r="O57">
        <f>INDEX(Dataset_2!$F$2:$F$611,MATCH($A57,Dataset_2!$A$2:$A$611,0))</f>
        <v>33</v>
      </c>
      <c r="P57">
        <f>INDEX(Dataset_2!$G$2:$G$611,MATCH($A57,Dataset_2!$A$2:$A$611,0))</f>
        <v>44</v>
      </c>
    </row>
    <row r="58" spans="1:16" x14ac:dyDescent="0.2">
      <c r="A58">
        <f>Dataset_1!A58</f>
        <v>57</v>
      </c>
      <c r="B58" s="61">
        <f>Dataset_1!B58</f>
        <v>40546</v>
      </c>
      <c r="C58">
        <f>Dataset_1!C58</f>
        <v>1</v>
      </c>
      <c r="D58">
        <f>Dataset_1!D58</f>
        <v>0</v>
      </c>
      <c r="E58">
        <f>Dataset_1!E58</f>
        <v>1</v>
      </c>
      <c r="F58">
        <f>Dataset_1!F58</f>
        <v>11</v>
      </c>
      <c r="G58" t="b">
        <f>Dataset_1!G58</f>
        <v>0</v>
      </c>
      <c r="H58">
        <f>Dataset_1!H58</f>
        <v>1</v>
      </c>
      <c r="I58">
        <f>Dataset_1!I58</f>
        <v>1</v>
      </c>
      <c r="J58">
        <f>Dataset_1!J58</f>
        <v>0.2</v>
      </c>
      <c r="K58">
        <f>INDEX(Dataset_2!$B$2:$B$611,MATCH($A58,Dataset_2!$A$2:$A$611,0))</f>
        <v>0.18179999999999999</v>
      </c>
      <c r="L58">
        <f>INDEX(Dataset_2!$C$2:$C$611,MATCH($A58,Dataset_2!$A$2:$A$611,0))</f>
        <v>0.4</v>
      </c>
      <c r="M58">
        <f>INDEX(Dataset_2!$D$2:$D$611,MATCH($A58,Dataset_2!$A$2:$A$611,0))</f>
        <v>0.32840000000000003</v>
      </c>
      <c r="N58">
        <f>INDEX(Dataset_2!$E$2:$E$611,MATCH($A58,Dataset_2!$A$2:$A$611,0))</f>
        <v>10</v>
      </c>
      <c r="O58">
        <f>INDEX(Dataset_2!$F$2:$F$611,MATCH($A58,Dataset_2!$A$2:$A$611,0))</f>
        <v>41</v>
      </c>
      <c r="P58">
        <f>INDEX(Dataset_2!$G$2:$G$611,MATCH($A58,Dataset_2!$A$2:$A$611,0))</f>
        <v>51</v>
      </c>
    </row>
    <row r="59" spans="1:16" x14ac:dyDescent="0.2">
      <c r="A59">
        <f>Dataset_1!A59</f>
        <v>58</v>
      </c>
      <c r="B59" s="61">
        <f>Dataset_1!B59</f>
        <v>40546</v>
      </c>
      <c r="C59">
        <f>Dataset_1!C59</f>
        <v>1</v>
      </c>
      <c r="D59">
        <f>Dataset_1!D59</f>
        <v>0</v>
      </c>
      <c r="E59">
        <f>Dataset_1!E59</f>
        <v>1</v>
      </c>
      <c r="F59">
        <f>Dataset_1!F59</f>
        <v>12</v>
      </c>
      <c r="G59" t="b">
        <f>Dataset_1!G59</f>
        <v>0</v>
      </c>
      <c r="H59">
        <f>Dataset_1!H59</f>
        <v>1</v>
      </c>
      <c r="I59">
        <f>Dataset_1!I59</f>
        <v>1</v>
      </c>
      <c r="J59">
        <f>Dataset_1!J59</f>
        <v>0.22</v>
      </c>
      <c r="K59">
        <f>INDEX(Dataset_2!$B$2:$B$611,MATCH($A59,Dataset_2!$A$2:$A$611,0))</f>
        <v>0.21210000000000001</v>
      </c>
      <c r="L59">
        <f>INDEX(Dataset_2!$C$2:$C$611,MATCH($A59,Dataset_2!$A$2:$A$611,0))</f>
        <v>0.35</v>
      </c>
      <c r="M59">
        <f>INDEX(Dataset_2!$D$2:$D$611,MATCH($A59,Dataset_2!$A$2:$A$611,0))</f>
        <v>0.29849999999999999</v>
      </c>
      <c r="N59">
        <f>INDEX(Dataset_2!$E$2:$E$611,MATCH($A59,Dataset_2!$A$2:$A$611,0))</f>
        <v>13</v>
      </c>
      <c r="O59">
        <f>INDEX(Dataset_2!$F$2:$F$611,MATCH($A59,Dataset_2!$A$2:$A$611,0))</f>
        <v>48</v>
      </c>
      <c r="P59">
        <f>INDEX(Dataset_2!$G$2:$G$611,MATCH($A59,Dataset_2!$A$2:$A$611,0))</f>
        <v>61</v>
      </c>
    </row>
    <row r="60" spans="1:16" x14ac:dyDescent="0.2">
      <c r="A60">
        <f>Dataset_1!A60</f>
        <v>59</v>
      </c>
      <c r="B60" s="61">
        <f>Dataset_1!B60</f>
        <v>40546</v>
      </c>
      <c r="C60">
        <f>Dataset_1!C60</f>
        <v>1</v>
      </c>
      <c r="D60">
        <f>Dataset_1!D60</f>
        <v>0</v>
      </c>
      <c r="E60">
        <f>Dataset_1!E60</f>
        <v>1</v>
      </c>
      <c r="F60">
        <f>Dataset_1!F60</f>
        <v>13</v>
      </c>
      <c r="G60" t="b">
        <f>Dataset_1!G60</f>
        <v>0</v>
      </c>
      <c r="H60">
        <f>Dataset_1!H60</f>
        <v>1</v>
      </c>
      <c r="I60">
        <f>Dataset_1!I60</f>
        <v>1</v>
      </c>
      <c r="J60">
        <f>Dataset_1!J60</f>
        <v>0.24</v>
      </c>
      <c r="K60">
        <f>INDEX(Dataset_2!$B$2:$B$611,MATCH($A60,Dataset_2!$A$2:$A$611,0))</f>
        <v>0.2273</v>
      </c>
      <c r="L60">
        <f>INDEX(Dataset_2!$C$2:$C$611,MATCH($A60,Dataset_2!$A$2:$A$611,0))</f>
        <v>0.35</v>
      </c>
      <c r="M60">
        <f>INDEX(Dataset_2!$D$2:$D$611,MATCH($A60,Dataset_2!$A$2:$A$611,0))</f>
        <v>0.28360000000000002</v>
      </c>
      <c r="N60">
        <f>INDEX(Dataset_2!$E$2:$E$611,MATCH($A60,Dataset_2!$A$2:$A$611,0))</f>
        <v>8</v>
      </c>
      <c r="O60">
        <f>INDEX(Dataset_2!$F$2:$F$611,MATCH($A60,Dataset_2!$A$2:$A$611,0))</f>
        <v>53</v>
      </c>
      <c r="P60">
        <f>INDEX(Dataset_2!$G$2:$G$611,MATCH($A60,Dataset_2!$A$2:$A$611,0))</f>
        <v>61</v>
      </c>
    </row>
    <row r="61" spans="1:16" x14ac:dyDescent="0.2">
      <c r="A61">
        <f>Dataset_1!A61</f>
        <v>60</v>
      </c>
      <c r="B61" s="61">
        <f>Dataset_1!B61</f>
        <v>40546</v>
      </c>
      <c r="C61">
        <f>Dataset_1!C61</f>
        <v>1</v>
      </c>
      <c r="D61">
        <f>Dataset_1!D61</f>
        <v>0</v>
      </c>
      <c r="E61">
        <f>Dataset_1!E61</f>
        <v>1</v>
      </c>
      <c r="F61">
        <f>Dataset_1!F61</f>
        <v>14</v>
      </c>
      <c r="G61" t="b">
        <f>Dataset_1!G61</f>
        <v>0</v>
      </c>
      <c r="H61">
        <f>Dataset_1!H61</f>
        <v>1</v>
      </c>
      <c r="I61">
        <f>Dataset_1!I61</f>
        <v>1</v>
      </c>
      <c r="J61">
        <f>Dataset_1!J61</f>
        <v>0.26</v>
      </c>
      <c r="K61">
        <f>INDEX(Dataset_2!$B$2:$B$611,MATCH($A61,Dataset_2!$A$2:$A$611,0))</f>
        <v>0.2424</v>
      </c>
      <c r="L61">
        <f>INDEX(Dataset_2!$C$2:$C$611,MATCH($A61,Dataset_2!$A$2:$A$611,0))</f>
        <v>0.3</v>
      </c>
      <c r="M61">
        <f>INDEX(Dataset_2!$D$2:$D$611,MATCH($A61,Dataset_2!$A$2:$A$611,0))</f>
        <v>0.28360000000000002</v>
      </c>
      <c r="N61">
        <f>INDEX(Dataset_2!$E$2:$E$611,MATCH($A61,Dataset_2!$A$2:$A$611,0))</f>
        <v>11</v>
      </c>
      <c r="O61">
        <f>INDEX(Dataset_2!$F$2:$F$611,MATCH($A61,Dataset_2!$A$2:$A$611,0))</f>
        <v>66</v>
      </c>
      <c r="P61">
        <f>INDEX(Dataset_2!$G$2:$G$611,MATCH($A61,Dataset_2!$A$2:$A$611,0))</f>
        <v>77</v>
      </c>
    </row>
    <row r="62" spans="1:16" x14ac:dyDescent="0.2">
      <c r="A62">
        <f>Dataset_1!A62</f>
        <v>61</v>
      </c>
      <c r="B62" s="61">
        <f>Dataset_1!B62</f>
        <v>40546</v>
      </c>
      <c r="C62">
        <f>Dataset_1!C62</f>
        <v>1</v>
      </c>
      <c r="D62">
        <f>Dataset_1!D62</f>
        <v>0</v>
      </c>
      <c r="E62">
        <f>Dataset_1!E62</f>
        <v>1</v>
      </c>
      <c r="F62">
        <f>Dataset_1!F62</f>
        <v>15</v>
      </c>
      <c r="G62" t="b">
        <f>Dataset_1!G62</f>
        <v>0</v>
      </c>
      <c r="H62">
        <f>Dataset_1!H62</f>
        <v>1</v>
      </c>
      <c r="I62">
        <f>Dataset_1!I62</f>
        <v>1</v>
      </c>
      <c r="J62">
        <f>Dataset_1!J62</f>
        <v>0.26</v>
      </c>
      <c r="K62">
        <f>INDEX(Dataset_2!$B$2:$B$611,MATCH($A62,Dataset_2!$A$2:$A$611,0))</f>
        <v>0.2424</v>
      </c>
      <c r="L62">
        <f>INDEX(Dataset_2!$C$2:$C$611,MATCH($A62,Dataset_2!$A$2:$A$611,0))</f>
        <v>0.3</v>
      </c>
      <c r="M62">
        <f>INDEX(Dataset_2!$D$2:$D$611,MATCH($A62,Dataset_2!$A$2:$A$611,0))</f>
        <v>0.25369999999999998</v>
      </c>
      <c r="N62">
        <f>INDEX(Dataset_2!$E$2:$E$611,MATCH($A62,Dataset_2!$A$2:$A$611,0))</f>
        <v>14</v>
      </c>
      <c r="O62">
        <f>INDEX(Dataset_2!$F$2:$F$611,MATCH($A62,Dataset_2!$A$2:$A$611,0))</f>
        <v>58</v>
      </c>
      <c r="P62">
        <f>INDEX(Dataset_2!$G$2:$G$611,MATCH($A62,Dataset_2!$A$2:$A$611,0))</f>
        <v>72</v>
      </c>
    </row>
    <row r="63" spans="1:16" x14ac:dyDescent="0.2">
      <c r="A63">
        <f>Dataset_1!A63</f>
        <v>62</v>
      </c>
      <c r="B63" s="61">
        <f>Dataset_1!B63</f>
        <v>40546</v>
      </c>
      <c r="C63">
        <f>Dataset_1!C63</f>
        <v>1</v>
      </c>
      <c r="D63">
        <f>Dataset_1!D63</f>
        <v>0</v>
      </c>
      <c r="E63">
        <f>Dataset_1!E63</f>
        <v>1</v>
      </c>
      <c r="F63">
        <f>Dataset_1!F63</f>
        <v>16</v>
      </c>
      <c r="G63" t="b">
        <f>Dataset_1!G63</f>
        <v>0</v>
      </c>
      <c r="H63">
        <f>Dataset_1!H63</f>
        <v>1</v>
      </c>
      <c r="I63">
        <f>Dataset_1!I63</f>
        <v>1</v>
      </c>
      <c r="J63">
        <f>Dataset_1!J63</f>
        <v>0.26</v>
      </c>
      <c r="K63">
        <f>INDEX(Dataset_2!$B$2:$B$611,MATCH($A63,Dataset_2!$A$2:$A$611,0))</f>
        <v>0.2424</v>
      </c>
      <c r="L63">
        <f>INDEX(Dataset_2!$C$2:$C$611,MATCH($A63,Dataset_2!$A$2:$A$611,0))</f>
        <v>0.3</v>
      </c>
      <c r="M63">
        <f>INDEX(Dataset_2!$D$2:$D$611,MATCH($A63,Dataset_2!$A$2:$A$611,0))</f>
        <v>0.25369999999999998</v>
      </c>
      <c r="N63">
        <f>INDEX(Dataset_2!$E$2:$E$611,MATCH($A63,Dataset_2!$A$2:$A$611,0))</f>
        <v>9</v>
      </c>
      <c r="O63">
        <f>INDEX(Dataset_2!$F$2:$F$611,MATCH($A63,Dataset_2!$A$2:$A$611,0))</f>
        <v>67</v>
      </c>
      <c r="P63">
        <f>INDEX(Dataset_2!$G$2:$G$611,MATCH($A63,Dataset_2!$A$2:$A$611,0))</f>
        <v>76</v>
      </c>
    </row>
    <row r="64" spans="1:16" x14ac:dyDescent="0.2">
      <c r="A64">
        <f>Dataset_1!A64</f>
        <v>63</v>
      </c>
      <c r="B64" s="61">
        <f>Dataset_1!B64</f>
        <v>40546</v>
      </c>
      <c r="C64">
        <f>Dataset_1!C64</f>
        <v>1</v>
      </c>
      <c r="D64">
        <f>Dataset_1!D64</f>
        <v>0</v>
      </c>
      <c r="E64">
        <f>Dataset_1!E64</f>
        <v>1</v>
      </c>
      <c r="F64">
        <f>Dataset_1!F64</f>
        <v>17</v>
      </c>
      <c r="G64" t="b">
        <f>Dataset_1!G64</f>
        <v>0</v>
      </c>
      <c r="H64">
        <f>Dataset_1!H64</f>
        <v>1</v>
      </c>
      <c r="I64">
        <f>Dataset_1!I64</f>
        <v>1</v>
      </c>
      <c r="J64">
        <f>Dataset_1!J64</f>
        <v>0.24</v>
      </c>
      <c r="K64">
        <f>INDEX(Dataset_2!$B$2:$B$611,MATCH($A64,Dataset_2!$A$2:$A$611,0))</f>
        <v>0.2273</v>
      </c>
      <c r="L64">
        <f>INDEX(Dataset_2!$C$2:$C$611,MATCH($A64,Dataset_2!$A$2:$A$611,0))</f>
        <v>0.3</v>
      </c>
      <c r="M64">
        <f>INDEX(Dataset_2!$D$2:$D$611,MATCH($A64,Dataset_2!$A$2:$A$611,0))</f>
        <v>0.22389999999999999</v>
      </c>
      <c r="N64">
        <f>INDEX(Dataset_2!$E$2:$E$611,MATCH($A64,Dataset_2!$A$2:$A$611,0))</f>
        <v>11</v>
      </c>
      <c r="O64">
        <f>INDEX(Dataset_2!$F$2:$F$611,MATCH($A64,Dataset_2!$A$2:$A$611,0))</f>
        <v>146</v>
      </c>
      <c r="P64">
        <f>INDEX(Dataset_2!$G$2:$G$611,MATCH($A64,Dataset_2!$A$2:$A$611,0))</f>
        <v>157</v>
      </c>
    </row>
    <row r="65" spans="1:16" x14ac:dyDescent="0.2">
      <c r="A65">
        <f>Dataset_1!A65</f>
        <v>64</v>
      </c>
      <c r="B65" s="61">
        <f>Dataset_1!B65</f>
        <v>40546</v>
      </c>
      <c r="C65">
        <f>Dataset_1!C65</f>
        <v>1</v>
      </c>
      <c r="D65">
        <f>Dataset_1!D65</f>
        <v>0</v>
      </c>
      <c r="E65">
        <f>Dataset_1!E65</f>
        <v>1</v>
      </c>
      <c r="F65">
        <f>Dataset_1!F65</f>
        <v>18</v>
      </c>
      <c r="G65" t="b">
        <f>Dataset_1!G65</f>
        <v>0</v>
      </c>
      <c r="H65">
        <f>Dataset_1!H65</f>
        <v>1</v>
      </c>
      <c r="I65">
        <f>Dataset_1!I65</f>
        <v>1</v>
      </c>
      <c r="J65">
        <f>Dataset_1!J65</f>
        <v>0.24</v>
      </c>
      <c r="K65">
        <f>INDEX(Dataset_2!$B$2:$B$611,MATCH($A65,Dataset_2!$A$2:$A$611,0))</f>
        <v>0.2576</v>
      </c>
      <c r="L65">
        <f>INDEX(Dataset_2!$C$2:$C$611,MATCH($A65,Dataset_2!$A$2:$A$611,0))</f>
        <v>0.32</v>
      </c>
      <c r="M65">
        <f>INDEX(Dataset_2!$D$2:$D$611,MATCH($A65,Dataset_2!$A$2:$A$611,0))</f>
        <v>0.1045</v>
      </c>
      <c r="N65">
        <f>INDEX(Dataset_2!$E$2:$E$611,MATCH($A65,Dataset_2!$A$2:$A$611,0))</f>
        <v>9</v>
      </c>
      <c r="O65">
        <f>INDEX(Dataset_2!$F$2:$F$611,MATCH($A65,Dataset_2!$A$2:$A$611,0))</f>
        <v>148</v>
      </c>
      <c r="P65">
        <f>INDEX(Dataset_2!$G$2:$G$611,MATCH($A65,Dataset_2!$A$2:$A$611,0))</f>
        <v>157</v>
      </c>
    </row>
    <row r="66" spans="1:16" x14ac:dyDescent="0.2">
      <c r="A66">
        <f>Dataset_1!A66</f>
        <v>65</v>
      </c>
      <c r="B66" s="61">
        <f>Dataset_1!B66</f>
        <v>40546</v>
      </c>
      <c r="C66">
        <f>Dataset_1!C66</f>
        <v>1</v>
      </c>
      <c r="D66">
        <f>Dataset_1!D66</f>
        <v>0</v>
      </c>
      <c r="E66">
        <f>Dataset_1!E66</f>
        <v>1</v>
      </c>
      <c r="F66">
        <f>Dataset_1!F66</f>
        <v>19</v>
      </c>
      <c r="G66" t="b">
        <f>Dataset_1!G66</f>
        <v>0</v>
      </c>
      <c r="H66">
        <f>Dataset_1!H66</f>
        <v>1</v>
      </c>
      <c r="I66">
        <f>Dataset_1!I66</f>
        <v>1</v>
      </c>
      <c r="J66">
        <f>Dataset_1!J66</f>
        <v>0.2</v>
      </c>
      <c r="K66">
        <f>INDEX(Dataset_2!$B$2:$B$611,MATCH($A66,Dataset_2!$A$2:$A$611,0))</f>
        <v>0.2576</v>
      </c>
      <c r="L66">
        <f>INDEX(Dataset_2!$C$2:$C$611,MATCH($A66,Dataset_2!$A$2:$A$611,0))</f>
        <v>0.47</v>
      </c>
      <c r="M66">
        <f>INDEX(Dataset_2!$D$2:$D$611,MATCH($A66,Dataset_2!$A$2:$A$611,0))</f>
        <v>0</v>
      </c>
      <c r="N66">
        <f>INDEX(Dataset_2!$E$2:$E$611,MATCH($A66,Dataset_2!$A$2:$A$611,0))</f>
        <v>8</v>
      </c>
      <c r="O66">
        <f>INDEX(Dataset_2!$F$2:$F$611,MATCH($A66,Dataset_2!$A$2:$A$611,0))</f>
        <v>102</v>
      </c>
      <c r="P66">
        <f>INDEX(Dataset_2!$G$2:$G$611,MATCH($A66,Dataset_2!$A$2:$A$611,0))</f>
        <v>110</v>
      </c>
    </row>
    <row r="67" spans="1:16" x14ac:dyDescent="0.2">
      <c r="A67">
        <f>Dataset_1!A67</f>
        <v>66</v>
      </c>
      <c r="B67" s="61">
        <f>Dataset_1!B67</f>
        <v>40546</v>
      </c>
      <c r="C67">
        <f>Dataset_1!C67</f>
        <v>1</v>
      </c>
      <c r="D67">
        <f>Dataset_1!D67</f>
        <v>0</v>
      </c>
      <c r="E67">
        <f>Dataset_1!E67</f>
        <v>1</v>
      </c>
      <c r="F67">
        <f>Dataset_1!F67</f>
        <v>20</v>
      </c>
      <c r="G67" t="b">
        <f>Dataset_1!G67</f>
        <v>0</v>
      </c>
      <c r="H67">
        <f>Dataset_1!H67</f>
        <v>1</v>
      </c>
      <c r="I67">
        <f>Dataset_1!I67</f>
        <v>1</v>
      </c>
      <c r="J67">
        <f>Dataset_1!J67</f>
        <v>0.2</v>
      </c>
      <c r="K67">
        <f>INDEX(Dataset_2!$B$2:$B$611,MATCH($A67,Dataset_2!$A$2:$A$611,0))</f>
        <v>0.2273</v>
      </c>
      <c r="L67">
        <f>INDEX(Dataset_2!$C$2:$C$611,MATCH($A67,Dataset_2!$A$2:$A$611,0))</f>
        <v>0.47</v>
      </c>
      <c r="M67">
        <f>INDEX(Dataset_2!$D$2:$D$611,MATCH($A67,Dataset_2!$A$2:$A$611,0))</f>
        <v>0.1045</v>
      </c>
      <c r="N67">
        <f>INDEX(Dataset_2!$E$2:$E$611,MATCH($A67,Dataset_2!$A$2:$A$611,0))</f>
        <v>3</v>
      </c>
      <c r="O67">
        <f>INDEX(Dataset_2!$F$2:$F$611,MATCH($A67,Dataset_2!$A$2:$A$611,0))</f>
        <v>49</v>
      </c>
      <c r="P67">
        <f>INDEX(Dataset_2!$G$2:$G$611,MATCH($A67,Dataset_2!$A$2:$A$611,0))</f>
        <v>52</v>
      </c>
    </row>
    <row r="68" spans="1:16" x14ac:dyDescent="0.2">
      <c r="A68">
        <f>Dataset_1!A68</f>
        <v>67</v>
      </c>
      <c r="B68" s="61">
        <f>Dataset_1!B68</f>
        <v>40546</v>
      </c>
      <c r="C68">
        <f>Dataset_1!C68</f>
        <v>1</v>
      </c>
      <c r="D68">
        <f>Dataset_1!D68</f>
        <v>0</v>
      </c>
      <c r="E68">
        <f>Dataset_1!E68</f>
        <v>1</v>
      </c>
      <c r="F68">
        <f>Dataset_1!F68</f>
        <v>21</v>
      </c>
      <c r="G68" t="b">
        <f>Dataset_1!G68</f>
        <v>0</v>
      </c>
      <c r="H68">
        <f>Dataset_1!H68</f>
        <v>1</v>
      </c>
      <c r="I68">
        <f>Dataset_1!I68</f>
        <v>1</v>
      </c>
      <c r="J68">
        <f>Dataset_1!J68</f>
        <v>0.18</v>
      </c>
      <c r="K68">
        <f>INDEX(Dataset_2!$B$2:$B$611,MATCH($A68,Dataset_2!$A$2:$A$611,0))</f>
        <v>0.19700000000000001</v>
      </c>
      <c r="L68">
        <f>INDEX(Dataset_2!$C$2:$C$611,MATCH($A68,Dataset_2!$A$2:$A$611,0))</f>
        <v>0.64</v>
      </c>
      <c r="M68">
        <f>INDEX(Dataset_2!$D$2:$D$611,MATCH($A68,Dataset_2!$A$2:$A$611,0))</f>
        <v>0.1343</v>
      </c>
      <c r="N68">
        <f>INDEX(Dataset_2!$E$2:$E$611,MATCH($A68,Dataset_2!$A$2:$A$611,0))</f>
        <v>3</v>
      </c>
      <c r="O68">
        <f>INDEX(Dataset_2!$F$2:$F$611,MATCH($A68,Dataset_2!$A$2:$A$611,0))</f>
        <v>49</v>
      </c>
      <c r="P68">
        <f>INDEX(Dataset_2!$G$2:$G$611,MATCH($A68,Dataset_2!$A$2:$A$611,0))</f>
        <v>52</v>
      </c>
    </row>
    <row r="69" spans="1:16" x14ac:dyDescent="0.2">
      <c r="A69">
        <f>Dataset_1!A69</f>
        <v>68</v>
      </c>
      <c r="B69" s="61">
        <f>Dataset_1!B69</f>
        <v>40546</v>
      </c>
      <c r="C69">
        <f>Dataset_1!C69</f>
        <v>1</v>
      </c>
      <c r="D69">
        <f>Dataset_1!D69</f>
        <v>0</v>
      </c>
      <c r="E69">
        <f>Dataset_1!E69</f>
        <v>1</v>
      </c>
      <c r="F69">
        <f>Dataset_1!F69</f>
        <v>22</v>
      </c>
      <c r="G69" t="b">
        <f>Dataset_1!G69</f>
        <v>0</v>
      </c>
      <c r="H69">
        <f>Dataset_1!H69</f>
        <v>1</v>
      </c>
      <c r="I69">
        <f>Dataset_1!I69</f>
        <v>1</v>
      </c>
      <c r="J69">
        <f>Dataset_1!J69</f>
        <v>0.14000000000000001</v>
      </c>
      <c r="K69">
        <f>INDEX(Dataset_2!$B$2:$B$611,MATCH($A69,Dataset_2!$A$2:$A$611,0))</f>
        <v>0.1515</v>
      </c>
      <c r="L69">
        <f>INDEX(Dataset_2!$C$2:$C$611,MATCH($A69,Dataset_2!$A$2:$A$611,0))</f>
        <v>0.69</v>
      </c>
      <c r="M69">
        <f>INDEX(Dataset_2!$D$2:$D$611,MATCH($A69,Dataset_2!$A$2:$A$611,0))</f>
        <v>0.1343</v>
      </c>
      <c r="N69">
        <f>INDEX(Dataset_2!$E$2:$E$611,MATCH($A69,Dataset_2!$A$2:$A$611,0))</f>
        <v>0</v>
      </c>
      <c r="O69">
        <f>INDEX(Dataset_2!$F$2:$F$611,MATCH($A69,Dataset_2!$A$2:$A$611,0))</f>
        <v>20</v>
      </c>
      <c r="P69">
        <f>INDEX(Dataset_2!$G$2:$G$611,MATCH($A69,Dataset_2!$A$2:$A$611,0))</f>
        <v>20</v>
      </c>
    </row>
    <row r="70" spans="1:16" x14ac:dyDescent="0.2">
      <c r="A70">
        <f>Dataset_1!A70</f>
        <v>69</v>
      </c>
      <c r="B70" s="61">
        <f>Dataset_1!B70</f>
        <v>40546</v>
      </c>
      <c r="C70">
        <f>Dataset_1!C70</f>
        <v>1</v>
      </c>
      <c r="D70">
        <f>Dataset_1!D70</f>
        <v>0</v>
      </c>
      <c r="E70">
        <f>Dataset_1!E70</f>
        <v>1</v>
      </c>
      <c r="F70">
        <f>Dataset_1!F70</f>
        <v>23</v>
      </c>
      <c r="G70" t="b">
        <f>Dataset_1!G70</f>
        <v>0</v>
      </c>
      <c r="H70">
        <f>Dataset_1!H70</f>
        <v>1</v>
      </c>
      <c r="I70">
        <f>Dataset_1!I70</f>
        <v>1</v>
      </c>
      <c r="J70">
        <f>Dataset_1!J70</f>
        <v>0.18</v>
      </c>
      <c r="K70">
        <f>INDEX(Dataset_2!$B$2:$B$611,MATCH($A70,Dataset_2!$A$2:$A$611,0))</f>
        <v>0.21210000000000001</v>
      </c>
      <c r="L70">
        <f>INDEX(Dataset_2!$C$2:$C$611,MATCH($A70,Dataset_2!$A$2:$A$611,0))</f>
        <v>0.55000000000000004</v>
      </c>
      <c r="M70">
        <f>INDEX(Dataset_2!$D$2:$D$611,MATCH($A70,Dataset_2!$A$2:$A$611,0))</f>
        <v>0.1045</v>
      </c>
      <c r="N70">
        <f>INDEX(Dataset_2!$E$2:$E$611,MATCH($A70,Dataset_2!$A$2:$A$611,0))</f>
        <v>1</v>
      </c>
      <c r="O70">
        <f>INDEX(Dataset_2!$F$2:$F$611,MATCH($A70,Dataset_2!$A$2:$A$611,0))</f>
        <v>11</v>
      </c>
      <c r="P70">
        <f>INDEX(Dataset_2!$G$2:$G$611,MATCH($A70,Dataset_2!$A$2:$A$611,0))</f>
        <v>12</v>
      </c>
    </row>
    <row r="71" spans="1:16" x14ac:dyDescent="0.2">
      <c r="A71">
        <f>Dataset_1!A71</f>
        <v>70</v>
      </c>
      <c r="B71" s="61">
        <f>Dataset_1!B71</f>
        <v>40547</v>
      </c>
      <c r="C71">
        <f>Dataset_1!C71</f>
        <v>1</v>
      </c>
      <c r="D71">
        <f>Dataset_1!D71</f>
        <v>0</v>
      </c>
      <c r="E71">
        <f>Dataset_1!E71</f>
        <v>1</v>
      </c>
      <c r="F71">
        <f>Dataset_1!F71</f>
        <v>0</v>
      </c>
      <c r="G71" t="b">
        <f>Dataset_1!G71</f>
        <v>0</v>
      </c>
      <c r="H71">
        <f>Dataset_1!H71</f>
        <v>2</v>
      </c>
      <c r="I71">
        <f>Dataset_1!I71</f>
        <v>1</v>
      </c>
      <c r="J71">
        <f>Dataset_1!J71</f>
        <v>0.16</v>
      </c>
      <c r="K71">
        <f>INDEX(Dataset_2!$B$2:$B$611,MATCH($A71,Dataset_2!$A$2:$A$611,0))</f>
        <v>0.19700000000000001</v>
      </c>
      <c r="L71">
        <f>INDEX(Dataset_2!$C$2:$C$611,MATCH($A71,Dataset_2!$A$2:$A$611,0))</f>
        <v>0.55000000000000004</v>
      </c>
      <c r="M71">
        <f>INDEX(Dataset_2!$D$2:$D$611,MATCH($A71,Dataset_2!$A$2:$A$611,0))</f>
        <v>0.1045</v>
      </c>
      <c r="N71">
        <f>INDEX(Dataset_2!$E$2:$E$611,MATCH($A71,Dataset_2!$A$2:$A$611,0))</f>
        <v>0</v>
      </c>
      <c r="O71">
        <f>INDEX(Dataset_2!$F$2:$F$611,MATCH($A71,Dataset_2!$A$2:$A$611,0))</f>
        <v>5</v>
      </c>
      <c r="P71">
        <f>INDEX(Dataset_2!$G$2:$G$611,MATCH($A71,Dataset_2!$A$2:$A$611,0))</f>
        <v>5</v>
      </c>
    </row>
    <row r="72" spans="1:16" x14ac:dyDescent="0.2">
      <c r="A72">
        <f>Dataset_1!A72</f>
        <v>71</v>
      </c>
      <c r="B72" s="61">
        <f>Dataset_1!B72</f>
        <v>40547</v>
      </c>
      <c r="C72">
        <f>Dataset_1!C72</f>
        <v>1</v>
      </c>
      <c r="D72">
        <f>Dataset_1!D72</f>
        <v>0</v>
      </c>
      <c r="E72">
        <f>Dataset_1!E72</f>
        <v>1</v>
      </c>
      <c r="F72">
        <f>Dataset_1!F72</f>
        <v>1</v>
      </c>
      <c r="G72" t="b">
        <f>Dataset_1!G72</f>
        <v>0</v>
      </c>
      <c r="H72">
        <f>Dataset_1!H72</f>
        <v>2</v>
      </c>
      <c r="I72">
        <f>Dataset_1!I72</f>
        <v>1</v>
      </c>
      <c r="J72">
        <f>Dataset_1!J72</f>
        <v>0.16</v>
      </c>
      <c r="K72">
        <f>INDEX(Dataset_2!$B$2:$B$611,MATCH($A72,Dataset_2!$A$2:$A$611,0))</f>
        <v>0.18179999999999999</v>
      </c>
      <c r="L72">
        <f>INDEX(Dataset_2!$C$2:$C$611,MATCH($A72,Dataset_2!$A$2:$A$611,0))</f>
        <v>0.59</v>
      </c>
      <c r="M72">
        <f>INDEX(Dataset_2!$D$2:$D$611,MATCH($A72,Dataset_2!$A$2:$A$611,0))</f>
        <v>0.1045</v>
      </c>
      <c r="N72">
        <f>INDEX(Dataset_2!$E$2:$E$611,MATCH($A72,Dataset_2!$A$2:$A$611,0))</f>
        <v>0</v>
      </c>
      <c r="O72">
        <f>INDEX(Dataset_2!$F$2:$F$611,MATCH($A72,Dataset_2!$A$2:$A$611,0))</f>
        <v>2</v>
      </c>
      <c r="P72">
        <f>INDEX(Dataset_2!$G$2:$G$611,MATCH($A72,Dataset_2!$A$2:$A$611,0))</f>
        <v>2</v>
      </c>
    </row>
    <row r="73" spans="1:16" x14ac:dyDescent="0.2">
      <c r="A73">
        <f>Dataset_1!A73</f>
        <v>72</v>
      </c>
      <c r="B73" s="61">
        <f>Dataset_1!B73</f>
        <v>40547</v>
      </c>
      <c r="C73">
        <f>Dataset_1!C73</f>
        <v>1</v>
      </c>
      <c r="D73">
        <f>Dataset_1!D73</f>
        <v>0</v>
      </c>
      <c r="E73">
        <f>Dataset_1!E73</f>
        <v>1</v>
      </c>
      <c r="F73">
        <f>Dataset_1!F73</f>
        <v>2</v>
      </c>
      <c r="G73" t="b">
        <f>Dataset_1!G73</f>
        <v>0</v>
      </c>
      <c r="H73">
        <f>Dataset_1!H73</f>
        <v>2</v>
      </c>
      <c r="I73">
        <f>Dataset_1!I73</f>
        <v>1</v>
      </c>
      <c r="J73">
        <f>Dataset_1!J73</f>
        <v>0.14000000000000001</v>
      </c>
      <c r="K73">
        <f>INDEX(Dataset_2!$B$2:$B$611,MATCH($A73,Dataset_2!$A$2:$A$611,0))</f>
        <v>0.1515</v>
      </c>
      <c r="L73">
        <f>INDEX(Dataset_2!$C$2:$C$611,MATCH($A73,Dataset_2!$A$2:$A$611,0))</f>
        <v>0.63</v>
      </c>
      <c r="M73">
        <f>INDEX(Dataset_2!$D$2:$D$611,MATCH($A73,Dataset_2!$A$2:$A$611,0))</f>
        <v>0.1343</v>
      </c>
      <c r="N73">
        <f>INDEX(Dataset_2!$E$2:$E$611,MATCH($A73,Dataset_2!$A$2:$A$611,0))</f>
        <v>0</v>
      </c>
      <c r="O73">
        <f>INDEX(Dataset_2!$F$2:$F$611,MATCH($A73,Dataset_2!$A$2:$A$611,0))</f>
        <v>1</v>
      </c>
      <c r="P73">
        <f>INDEX(Dataset_2!$G$2:$G$611,MATCH($A73,Dataset_2!$A$2:$A$611,0))</f>
        <v>1</v>
      </c>
    </row>
    <row r="74" spans="1:16" x14ac:dyDescent="0.2">
      <c r="A74">
        <f>Dataset_1!A74</f>
        <v>73</v>
      </c>
      <c r="B74" s="61">
        <f>Dataset_1!B74</f>
        <v>40547</v>
      </c>
      <c r="C74">
        <f>Dataset_1!C74</f>
        <v>1</v>
      </c>
      <c r="D74">
        <f>Dataset_1!D74</f>
        <v>0</v>
      </c>
      <c r="E74">
        <f>Dataset_1!E74</f>
        <v>1</v>
      </c>
      <c r="F74">
        <f>Dataset_1!F74</f>
        <v>4</v>
      </c>
      <c r="G74" t="b">
        <f>Dataset_1!G74</f>
        <v>0</v>
      </c>
      <c r="H74">
        <f>Dataset_1!H74</f>
        <v>2</v>
      </c>
      <c r="I74">
        <f>Dataset_1!I74</f>
        <v>1</v>
      </c>
      <c r="J74">
        <f>Dataset_1!J74</f>
        <v>0.14000000000000001</v>
      </c>
      <c r="K74">
        <f>INDEX(Dataset_2!$B$2:$B$611,MATCH($A74,Dataset_2!$A$2:$A$611,0))</f>
        <v>0.18179999999999999</v>
      </c>
      <c r="L74">
        <f>INDEX(Dataset_2!$C$2:$C$611,MATCH($A74,Dataset_2!$A$2:$A$611,0))</f>
        <v>0.63</v>
      </c>
      <c r="M74">
        <f>INDEX(Dataset_2!$D$2:$D$611,MATCH($A74,Dataset_2!$A$2:$A$611,0))</f>
        <v>8.9599999999999999E-2</v>
      </c>
      <c r="N74">
        <f>INDEX(Dataset_2!$E$2:$E$611,MATCH($A74,Dataset_2!$A$2:$A$611,0))</f>
        <v>0</v>
      </c>
      <c r="O74">
        <f>INDEX(Dataset_2!$F$2:$F$611,MATCH($A74,Dataset_2!$A$2:$A$611,0))</f>
        <v>2</v>
      </c>
      <c r="P74">
        <f>INDEX(Dataset_2!$G$2:$G$611,MATCH($A74,Dataset_2!$A$2:$A$611,0))</f>
        <v>2</v>
      </c>
    </row>
    <row r="75" spans="1:16" x14ac:dyDescent="0.2">
      <c r="A75">
        <f>Dataset_1!A75</f>
        <v>74</v>
      </c>
      <c r="B75" s="61">
        <f>Dataset_1!B75</f>
        <v>40547</v>
      </c>
      <c r="C75">
        <f>Dataset_1!C75</f>
        <v>1</v>
      </c>
      <c r="D75">
        <f>Dataset_1!D75</f>
        <v>0</v>
      </c>
      <c r="E75">
        <f>Dataset_1!E75</f>
        <v>1</v>
      </c>
      <c r="F75">
        <f>Dataset_1!F75</f>
        <v>5</v>
      </c>
      <c r="G75" t="b">
        <f>Dataset_1!G75</f>
        <v>0</v>
      </c>
      <c r="H75">
        <f>Dataset_1!H75</f>
        <v>2</v>
      </c>
      <c r="I75">
        <f>Dataset_1!I75</f>
        <v>1</v>
      </c>
      <c r="J75">
        <f>Dataset_1!J75</f>
        <v>0.12</v>
      </c>
      <c r="K75">
        <f>INDEX(Dataset_2!$B$2:$B$611,MATCH($A75,Dataset_2!$A$2:$A$611,0))</f>
        <v>0.1515</v>
      </c>
      <c r="L75">
        <f>INDEX(Dataset_2!$C$2:$C$611,MATCH($A75,Dataset_2!$A$2:$A$611,0))</f>
        <v>0.68</v>
      </c>
      <c r="M75">
        <f>INDEX(Dataset_2!$D$2:$D$611,MATCH($A75,Dataset_2!$A$2:$A$611,0))</f>
        <v>0.1045</v>
      </c>
      <c r="N75">
        <f>INDEX(Dataset_2!$E$2:$E$611,MATCH($A75,Dataset_2!$A$2:$A$611,0))</f>
        <v>0</v>
      </c>
      <c r="O75">
        <f>INDEX(Dataset_2!$F$2:$F$611,MATCH($A75,Dataset_2!$A$2:$A$611,0))</f>
        <v>4</v>
      </c>
      <c r="P75">
        <f>INDEX(Dataset_2!$G$2:$G$611,MATCH($A75,Dataset_2!$A$2:$A$611,0))</f>
        <v>4</v>
      </c>
    </row>
    <row r="76" spans="1:16" x14ac:dyDescent="0.2">
      <c r="A76">
        <f>Dataset_1!A76</f>
        <v>75</v>
      </c>
      <c r="B76" s="61">
        <f>Dataset_1!B76</f>
        <v>40547</v>
      </c>
      <c r="C76">
        <f>Dataset_1!C76</f>
        <v>1</v>
      </c>
      <c r="D76">
        <f>Dataset_1!D76</f>
        <v>0</v>
      </c>
      <c r="E76">
        <f>Dataset_1!E76</f>
        <v>1</v>
      </c>
      <c r="F76">
        <f>Dataset_1!F76</f>
        <v>6</v>
      </c>
      <c r="G76" t="b">
        <f>Dataset_1!G76</f>
        <v>0</v>
      </c>
      <c r="H76">
        <f>Dataset_1!H76</f>
        <v>2</v>
      </c>
      <c r="I76">
        <f>Dataset_1!I76</f>
        <v>1</v>
      </c>
      <c r="J76">
        <f>Dataset_1!J76</f>
        <v>0.12</v>
      </c>
      <c r="K76">
        <f>INDEX(Dataset_2!$B$2:$B$611,MATCH($A76,Dataset_2!$A$2:$A$611,0))</f>
        <v>0.1515</v>
      </c>
      <c r="L76">
        <f>INDEX(Dataset_2!$C$2:$C$611,MATCH($A76,Dataset_2!$A$2:$A$611,0))</f>
        <v>0.74</v>
      </c>
      <c r="M76">
        <f>INDEX(Dataset_2!$D$2:$D$611,MATCH($A76,Dataset_2!$A$2:$A$611,0))</f>
        <v>0.1045</v>
      </c>
      <c r="N76">
        <f>INDEX(Dataset_2!$E$2:$E$611,MATCH($A76,Dataset_2!$A$2:$A$611,0))</f>
        <v>0</v>
      </c>
      <c r="O76">
        <f>INDEX(Dataset_2!$F$2:$F$611,MATCH($A76,Dataset_2!$A$2:$A$611,0))</f>
        <v>36</v>
      </c>
      <c r="P76">
        <f>INDEX(Dataset_2!$G$2:$G$611,MATCH($A76,Dataset_2!$A$2:$A$611,0))</f>
        <v>36</v>
      </c>
    </row>
    <row r="77" spans="1:16" x14ac:dyDescent="0.2">
      <c r="A77">
        <f>Dataset_1!A77</f>
        <v>76</v>
      </c>
      <c r="B77" s="61">
        <f>Dataset_1!B77</f>
        <v>40547</v>
      </c>
      <c r="C77">
        <f>Dataset_1!C77</f>
        <v>1</v>
      </c>
      <c r="D77">
        <f>Dataset_1!D77</f>
        <v>0</v>
      </c>
      <c r="E77">
        <f>Dataset_1!E77</f>
        <v>1</v>
      </c>
      <c r="F77">
        <f>Dataset_1!F77</f>
        <v>7</v>
      </c>
      <c r="G77" t="b">
        <f>Dataset_1!G77</f>
        <v>0</v>
      </c>
      <c r="H77">
        <f>Dataset_1!H77</f>
        <v>2</v>
      </c>
      <c r="I77">
        <f>Dataset_1!I77</f>
        <v>1</v>
      </c>
      <c r="J77">
        <f>Dataset_1!J77</f>
        <v>0.12</v>
      </c>
      <c r="K77">
        <f>INDEX(Dataset_2!$B$2:$B$611,MATCH($A77,Dataset_2!$A$2:$A$611,0))</f>
        <v>0.1515</v>
      </c>
      <c r="L77">
        <f>INDEX(Dataset_2!$C$2:$C$611,MATCH($A77,Dataset_2!$A$2:$A$611,0))</f>
        <v>0.74</v>
      </c>
      <c r="M77">
        <f>INDEX(Dataset_2!$D$2:$D$611,MATCH($A77,Dataset_2!$A$2:$A$611,0))</f>
        <v>0.1343</v>
      </c>
      <c r="N77">
        <f>INDEX(Dataset_2!$E$2:$E$611,MATCH($A77,Dataset_2!$A$2:$A$611,0))</f>
        <v>2</v>
      </c>
      <c r="O77">
        <f>INDEX(Dataset_2!$F$2:$F$611,MATCH($A77,Dataset_2!$A$2:$A$611,0))</f>
        <v>92</v>
      </c>
      <c r="P77">
        <f>INDEX(Dataset_2!$G$2:$G$611,MATCH($A77,Dataset_2!$A$2:$A$611,0))</f>
        <v>94</v>
      </c>
    </row>
    <row r="78" spans="1:16" x14ac:dyDescent="0.2">
      <c r="A78">
        <f>Dataset_1!A78</f>
        <v>77</v>
      </c>
      <c r="B78" s="61">
        <f>Dataset_1!B78</f>
        <v>40547</v>
      </c>
      <c r="C78">
        <f>Dataset_1!C78</f>
        <v>1</v>
      </c>
      <c r="D78">
        <f>Dataset_1!D78</f>
        <v>0</v>
      </c>
      <c r="E78">
        <f>Dataset_1!E78</f>
        <v>1</v>
      </c>
      <c r="F78">
        <f>Dataset_1!F78</f>
        <v>8</v>
      </c>
      <c r="G78" t="b">
        <f>Dataset_1!G78</f>
        <v>0</v>
      </c>
      <c r="H78">
        <f>Dataset_1!H78</f>
        <v>2</v>
      </c>
      <c r="I78">
        <f>Dataset_1!I78</f>
        <v>1</v>
      </c>
      <c r="J78">
        <f>Dataset_1!J78</f>
        <v>0.14000000000000001</v>
      </c>
      <c r="K78">
        <f>INDEX(Dataset_2!$B$2:$B$611,MATCH($A78,Dataset_2!$A$2:$A$611,0))</f>
        <v>0.1515</v>
      </c>
      <c r="L78">
        <f>INDEX(Dataset_2!$C$2:$C$611,MATCH($A78,Dataset_2!$A$2:$A$611,0))</f>
        <v>0.69</v>
      </c>
      <c r="M78">
        <f>INDEX(Dataset_2!$D$2:$D$611,MATCH($A78,Dataset_2!$A$2:$A$611,0))</f>
        <v>0.16420000000000001</v>
      </c>
      <c r="N78">
        <f>INDEX(Dataset_2!$E$2:$E$611,MATCH($A78,Dataset_2!$A$2:$A$611,0))</f>
        <v>2</v>
      </c>
      <c r="O78">
        <f>INDEX(Dataset_2!$F$2:$F$611,MATCH($A78,Dataset_2!$A$2:$A$611,0))</f>
        <v>177</v>
      </c>
      <c r="P78">
        <f>INDEX(Dataset_2!$G$2:$G$611,MATCH($A78,Dataset_2!$A$2:$A$611,0))</f>
        <v>179</v>
      </c>
    </row>
    <row r="79" spans="1:16" x14ac:dyDescent="0.2">
      <c r="A79">
        <f>Dataset_1!A79</f>
        <v>78</v>
      </c>
      <c r="B79" s="61">
        <f>Dataset_1!B79</f>
        <v>40547</v>
      </c>
      <c r="C79">
        <f>Dataset_1!C79</f>
        <v>1</v>
      </c>
      <c r="D79">
        <f>Dataset_1!D79</f>
        <v>0</v>
      </c>
      <c r="E79">
        <f>Dataset_1!E79</f>
        <v>1</v>
      </c>
      <c r="F79">
        <f>Dataset_1!F79</f>
        <v>9</v>
      </c>
      <c r="G79" t="b">
        <f>Dataset_1!G79</f>
        <v>0</v>
      </c>
      <c r="H79">
        <f>Dataset_1!H79</f>
        <v>2</v>
      </c>
      <c r="I79">
        <f>Dataset_1!I79</f>
        <v>1</v>
      </c>
      <c r="J79">
        <f>Dataset_1!J79</f>
        <v>0.16</v>
      </c>
      <c r="K79">
        <f>INDEX(Dataset_2!$B$2:$B$611,MATCH($A79,Dataset_2!$A$2:$A$611,0))</f>
        <v>0.1515</v>
      </c>
      <c r="L79">
        <f>INDEX(Dataset_2!$C$2:$C$611,MATCH($A79,Dataset_2!$A$2:$A$611,0))</f>
        <v>0.64</v>
      </c>
      <c r="M79">
        <f>INDEX(Dataset_2!$D$2:$D$611,MATCH($A79,Dataset_2!$A$2:$A$611,0))</f>
        <v>0.22389999999999999</v>
      </c>
      <c r="N79">
        <f>INDEX(Dataset_2!$E$2:$E$611,MATCH($A79,Dataset_2!$A$2:$A$611,0))</f>
        <v>2</v>
      </c>
      <c r="O79">
        <f>INDEX(Dataset_2!$F$2:$F$611,MATCH($A79,Dataset_2!$A$2:$A$611,0))</f>
        <v>98</v>
      </c>
      <c r="P79">
        <f>INDEX(Dataset_2!$G$2:$G$611,MATCH($A79,Dataset_2!$A$2:$A$611,0))</f>
        <v>100</v>
      </c>
    </row>
    <row r="80" spans="1:16" x14ac:dyDescent="0.2">
      <c r="A80">
        <f>Dataset_1!A80</f>
        <v>79</v>
      </c>
      <c r="B80" s="61">
        <f>Dataset_1!B80</f>
        <v>40547</v>
      </c>
      <c r="C80">
        <f>Dataset_1!C80</f>
        <v>1</v>
      </c>
      <c r="D80">
        <f>Dataset_1!D80</f>
        <v>0</v>
      </c>
      <c r="E80">
        <f>Dataset_1!E80</f>
        <v>1</v>
      </c>
      <c r="F80">
        <f>Dataset_1!F80</f>
        <v>10</v>
      </c>
      <c r="G80" t="b">
        <f>Dataset_1!G80</f>
        <v>0</v>
      </c>
      <c r="H80">
        <f>Dataset_1!H80</f>
        <v>2</v>
      </c>
      <c r="I80">
        <f>Dataset_1!I80</f>
        <v>2</v>
      </c>
      <c r="J80">
        <f>Dataset_1!J80</f>
        <v>0.16</v>
      </c>
      <c r="K80">
        <f>INDEX(Dataset_2!$B$2:$B$611,MATCH($A80,Dataset_2!$A$2:$A$611,0))</f>
        <v>0.13639999999999999</v>
      </c>
      <c r="L80">
        <f>INDEX(Dataset_2!$C$2:$C$611,MATCH($A80,Dataset_2!$A$2:$A$611,0))</f>
        <v>0.69</v>
      </c>
      <c r="M80">
        <f>INDEX(Dataset_2!$D$2:$D$611,MATCH($A80,Dataset_2!$A$2:$A$611,0))</f>
        <v>0.32840000000000003</v>
      </c>
      <c r="N80">
        <f>INDEX(Dataset_2!$E$2:$E$611,MATCH($A80,Dataset_2!$A$2:$A$611,0))</f>
        <v>5</v>
      </c>
      <c r="O80">
        <f>INDEX(Dataset_2!$F$2:$F$611,MATCH($A80,Dataset_2!$A$2:$A$611,0))</f>
        <v>37</v>
      </c>
      <c r="P80">
        <f>INDEX(Dataset_2!$G$2:$G$611,MATCH($A80,Dataset_2!$A$2:$A$611,0))</f>
        <v>42</v>
      </c>
    </row>
    <row r="81" spans="1:16" x14ac:dyDescent="0.2">
      <c r="A81">
        <f>Dataset_1!A81</f>
        <v>80</v>
      </c>
      <c r="B81" s="61">
        <f>Dataset_1!B81</f>
        <v>40547</v>
      </c>
      <c r="C81">
        <f>Dataset_1!C81</f>
        <v>1</v>
      </c>
      <c r="D81">
        <f>Dataset_1!D81</f>
        <v>0</v>
      </c>
      <c r="E81">
        <f>Dataset_1!E81</f>
        <v>1</v>
      </c>
      <c r="F81">
        <f>Dataset_1!F81</f>
        <v>11</v>
      </c>
      <c r="G81" t="b">
        <f>Dataset_1!G81</f>
        <v>0</v>
      </c>
      <c r="H81">
        <f>Dataset_1!H81</f>
        <v>2</v>
      </c>
      <c r="I81">
        <f>Dataset_1!I81</f>
        <v>1</v>
      </c>
      <c r="J81">
        <f>Dataset_1!J81</f>
        <v>0.22</v>
      </c>
      <c r="K81">
        <f>INDEX(Dataset_2!$B$2:$B$611,MATCH($A81,Dataset_2!$A$2:$A$611,0))</f>
        <v>0.21210000000000001</v>
      </c>
      <c r="L81">
        <f>INDEX(Dataset_2!$C$2:$C$611,MATCH($A81,Dataset_2!$A$2:$A$611,0))</f>
        <v>0.51</v>
      </c>
      <c r="M81">
        <f>INDEX(Dataset_2!$D$2:$D$611,MATCH($A81,Dataset_2!$A$2:$A$611,0))</f>
        <v>0.29849999999999999</v>
      </c>
      <c r="N81">
        <f>INDEX(Dataset_2!$E$2:$E$611,MATCH($A81,Dataset_2!$A$2:$A$611,0))</f>
        <v>7</v>
      </c>
      <c r="O81">
        <f>INDEX(Dataset_2!$F$2:$F$611,MATCH($A81,Dataset_2!$A$2:$A$611,0))</f>
        <v>50</v>
      </c>
      <c r="P81">
        <f>INDEX(Dataset_2!$G$2:$G$611,MATCH($A81,Dataset_2!$A$2:$A$611,0))</f>
        <v>57</v>
      </c>
    </row>
    <row r="82" spans="1:16" x14ac:dyDescent="0.2">
      <c r="A82">
        <f>Dataset_1!A82</f>
        <v>81</v>
      </c>
      <c r="B82" s="61">
        <f>Dataset_1!B82</f>
        <v>40547</v>
      </c>
      <c r="C82">
        <f>Dataset_1!C82</f>
        <v>1</v>
      </c>
      <c r="D82">
        <f>Dataset_1!D82</f>
        <v>0</v>
      </c>
      <c r="E82">
        <f>Dataset_1!E82</f>
        <v>1</v>
      </c>
      <c r="F82">
        <f>Dataset_1!F82</f>
        <v>12</v>
      </c>
      <c r="G82" t="b">
        <f>Dataset_1!G82</f>
        <v>0</v>
      </c>
      <c r="H82">
        <f>Dataset_1!H82</f>
        <v>2</v>
      </c>
      <c r="I82">
        <f>Dataset_1!I82</f>
        <v>1</v>
      </c>
      <c r="J82">
        <f>Dataset_1!J82</f>
        <v>0.22</v>
      </c>
      <c r="K82">
        <f>INDEX(Dataset_2!$B$2:$B$611,MATCH($A82,Dataset_2!$A$2:$A$611,0))</f>
        <v>0.2273</v>
      </c>
      <c r="L82">
        <f>INDEX(Dataset_2!$C$2:$C$611,MATCH($A82,Dataset_2!$A$2:$A$611,0))</f>
        <v>0.51</v>
      </c>
      <c r="M82">
        <f>INDEX(Dataset_2!$D$2:$D$611,MATCH($A82,Dataset_2!$A$2:$A$611,0))</f>
        <v>0.16420000000000001</v>
      </c>
      <c r="N82">
        <f>INDEX(Dataset_2!$E$2:$E$611,MATCH($A82,Dataset_2!$A$2:$A$611,0))</f>
        <v>12</v>
      </c>
      <c r="O82">
        <f>INDEX(Dataset_2!$F$2:$F$611,MATCH($A82,Dataset_2!$A$2:$A$611,0))</f>
        <v>66</v>
      </c>
      <c r="P82">
        <f>INDEX(Dataset_2!$G$2:$G$611,MATCH($A82,Dataset_2!$A$2:$A$611,0))</f>
        <v>78</v>
      </c>
    </row>
    <row r="83" spans="1:16" x14ac:dyDescent="0.2">
      <c r="A83">
        <f>Dataset_1!A83</f>
        <v>82</v>
      </c>
      <c r="B83" s="61">
        <f>Dataset_1!B83</f>
        <v>40547</v>
      </c>
      <c r="C83">
        <f>Dataset_1!C83</f>
        <v>1</v>
      </c>
      <c r="D83">
        <f>Dataset_1!D83</f>
        <v>0</v>
      </c>
      <c r="E83">
        <f>Dataset_1!E83</f>
        <v>1</v>
      </c>
      <c r="F83">
        <f>Dataset_1!F83</f>
        <v>13</v>
      </c>
      <c r="G83" t="b">
        <f>Dataset_1!G83</f>
        <v>0</v>
      </c>
      <c r="H83">
        <f>Dataset_1!H83</f>
        <v>2</v>
      </c>
      <c r="I83">
        <f>Dataset_1!I83</f>
        <v>1</v>
      </c>
      <c r="J83">
        <f>Dataset_1!J83</f>
        <v>0.24</v>
      </c>
      <c r="K83">
        <f>INDEX(Dataset_2!$B$2:$B$611,MATCH($A83,Dataset_2!$A$2:$A$611,0))</f>
        <v>0.2273</v>
      </c>
      <c r="L83">
        <f>INDEX(Dataset_2!$C$2:$C$611,MATCH($A83,Dataset_2!$A$2:$A$611,0))</f>
        <v>0.56000000000000005</v>
      </c>
      <c r="M83">
        <f>INDEX(Dataset_2!$D$2:$D$611,MATCH($A83,Dataset_2!$A$2:$A$611,0))</f>
        <v>0.19400000000000001</v>
      </c>
      <c r="N83">
        <f>INDEX(Dataset_2!$E$2:$E$611,MATCH($A83,Dataset_2!$A$2:$A$611,0))</f>
        <v>18</v>
      </c>
      <c r="O83">
        <f>INDEX(Dataset_2!$F$2:$F$611,MATCH($A83,Dataset_2!$A$2:$A$611,0))</f>
        <v>79</v>
      </c>
      <c r="P83">
        <f>INDEX(Dataset_2!$G$2:$G$611,MATCH($A83,Dataset_2!$A$2:$A$611,0))</f>
        <v>97</v>
      </c>
    </row>
    <row r="84" spans="1:16" x14ac:dyDescent="0.2">
      <c r="A84">
        <f>Dataset_1!A84</f>
        <v>83</v>
      </c>
      <c r="B84" s="61">
        <f>Dataset_1!B84</f>
        <v>40547</v>
      </c>
      <c r="C84">
        <f>Dataset_1!C84</f>
        <v>1</v>
      </c>
      <c r="D84">
        <f>Dataset_1!D84</f>
        <v>0</v>
      </c>
      <c r="E84">
        <f>Dataset_1!E84</f>
        <v>1</v>
      </c>
      <c r="F84">
        <f>Dataset_1!F84</f>
        <v>14</v>
      </c>
      <c r="G84" t="b">
        <f>Dataset_1!G84</f>
        <v>0</v>
      </c>
      <c r="H84">
        <f>Dataset_1!H84</f>
        <v>2</v>
      </c>
      <c r="I84">
        <f>Dataset_1!I84</f>
        <v>1</v>
      </c>
      <c r="J84">
        <f>Dataset_1!J84</f>
        <v>0.26</v>
      </c>
      <c r="K84">
        <f>INDEX(Dataset_2!$B$2:$B$611,MATCH($A84,Dataset_2!$A$2:$A$611,0))</f>
        <v>0.2576</v>
      </c>
      <c r="L84">
        <f>INDEX(Dataset_2!$C$2:$C$611,MATCH($A84,Dataset_2!$A$2:$A$611,0))</f>
        <v>0.52</v>
      </c>
      <c r="M84">
        <f>INDEX(Dataset_2!$D$2:$D$611,MATCH($A84,Dataset_2!$A$2:$A$611,0))</f>
        <v>0.22389999999999999</v>
      </c>
      <c r="N84">
        <f>INDEX(Dataset_2!$E$2:$E$611,MATCH($A84,Dataset_2!$A$2:$A$611,0))</f>
        <v>9</v>
      </c>
      <c r="O84">
        <f>INDEX(Dataset_2!$F$2:$F$611,MATCH($A84,Dataset_2!$A$2:$A$611,0))</f>
        <v>54</v>
      </c>
      <c r="P84">
        <f>INDEX(Dataset_2!$G$2:$G$611,MATCH($A84,Dataset_2!$A$2:$A$611,0))</f>
        <v>63</v>
      </c>
    </row>
    <row r="85" spans="1:16" x14ac:dyDescent="0.2">
      <c r="A85">
        <f>Dataset_1!A85</f>
        <v>84</v>
      </c>
      <c r="B85" s="61">
        <f>Dataset_1!B85</f>
        <v>40547</v>
      </c>
      <c r="C85">
        <f>Dataset_1!C85</f>
        <v>1</v>
      </c>
      <c r="D85">
        <f>Dataset_1!D85</f>
        <v>0</v>
      </c>
      <c r="E85">
        <f>Dataset_1!E85</f>
        <v>1</v>
      </c>
      <c r="F85">
        <f>Dataset_1!F85</f>
        <v>15</v>
      </c>
      <c r="G85" t="b">
        <f>Dataset_1!G85</f>
        <v>0</v>
      </c>
      <c r="H85">
        <f>Dataset_1!H85</f>
        <v>2</v>
      </c>
      <c r="I85">
        <f>Dataset_1!I85</f>
        <v>1</v>
      </c>
      <c r="J85">
        <f>Dataset_1!J85</f>
        <v>0.28000000000000003</v>
      </c>
      <c r="K85">
        <f>INDEX(Dataset_2!$B$2:$B$611,MATCH($A85,Dataset_2!$A$2:$A$611,0))</f>
        <v>0.2727</v>
      </c>
      <c r="L85">
        <f>INDEX(Dataset_2!$C$2:$C$611,MATCH($A85,Dataset_2!$A$2:$A$611,0))</f>
        <v>0.52</v>
      </c>
      <c r="M85">
        <f>INDEX(Dataset_2!$D$2:$D$611,MATCH($A85,Dataset_2!$A$2:$A$611,0))</f>
        <v>0.25369999999999998</v>
      </c>
      <c r="N85">
        <f>INDEX(Dataset_2!$E$2:$E$611,MATCH($A85,Dataset_2!$A$2:$A$611,0))</f>
        <v>17</v>
      </c>
      <c r="O85">
        <f>INDEX(Dataset_2!$F$2:$F$611,MATCH($A85,Dataset_2!$A$2:$A$611,0))</f>
        <v>48</v>
      </c>
      <c r="P85">
        <f>INDEX(Dataset_2!$G$2:$G$611,MATCH($A85,Dataset_2!$A$2:$A$611,0))</f>
        <v>65</v>
      </c>
    </row>
    <row r="86" spans="1:16" x14ac:dyDescent="0.2">
      <c r="A86">
        <f>Dataset_1!A86</f>
        <v>85</v>
      </c>
      <c r="B86" s="61">
        <f>Dataset_1!B86</f>
        <v>40547</v>
      </c>
      <c r="C86">
        <f>Dataset_1!C86</f>
        <v>1</v>
      </c>
      <c r="D86">
        <f>Dataset_1!D86</f>
        <v>0</v>
      </c>
      <c r="E86">
        <f>Dataset_1!E86</f>
        <v>1</v>
      </c>
      <c r="F86">
        <f>Dataset_1!F86</f>
        <v>16</v>
      </c>
      <c r="G86" t="b">
        <f>Dataset_1!G86</f>
        <v>0</v>
      </c>
      <c r="H86">
        <f>Dataset_1!H86</f>
        <v>2</v>
      </c>
      <c r="I86">
        <f>Dataset_1!I86</f>
        <v>1</v>
      </c>
      <c r="J86">
        <f>Dataset_1!J86</f>
        <v>0.3</v>
      </c>
      <c r="K86">
        <f>INDEX(Dataset_2!$B$2:$B$611,MATCH($A86,Dataset_2!$A$2:$A$611,0))</f>
        <v>0.28789999999999999</v>
      </c>
      <c r="L86">
        <f>INDEX(Dataset_2!$C$2:$C$611,MATCH($A86,Dataset_2!$A$2:$A$611,0))</f>
        <v>0.49</v>
      </c>
      <c r="M86">
        <f>INDEX(Dataset_2!$D$2:$D$611,MATCH($A86,Dataset_2!$A$2:$A$611,0))</f>
        <v>0.25369999999999998</v>
      </c>
      <c r="N86">
        <f>INDEX(Dataset_2!$E$2:$E$611,MATCH($A86,Dataset_2!$A$2:$A$611,0))</f>
        <v>15</v>
      </c>
      <c r="O86">
        <f>INDEX(Dataset_2!$F$2:$F$611,MATCH($A86,Dataset_2!$A$2:$A$611,0))</f>
        <v>68</v>
      </c>
      <c r="P86">
        <f>INDEX(Dataset_2!$G$2:$G$611,MATCH($A86,Dataset_2!$A$2:$A$611,0))</f>
        <v>83</v>
      </c>
    </row>
    <row r="87" spans="1:16" x14ac:dyDescent="0.2">
      <c r="A87">
        <f>Dataset_1!A87</f>
        <v>86</v>
      </c>
      <c r="B87" s="61">
        <f>Dataset_1!B87</f>
        <v>40547</v>
      </c>
      <c r="C87">
        <f>Dataset_1!C87</f>
        <v>1</v>
      </c>
      <c r="D87">
        <f>Dataset_1!D87</f>
        <v>0</v>
      </c>
      <c r="E87">
        <f>Dataset_1!E87</f>
        <v>1</v>
      </c>
      <c r="F87">
        <f>Dataset_1!F87</f>
        <v>17</v>
      </c>
      <c r="G87" t="b">
        <f>Dataset_1!G87</f>
        <v>0</v>
      </c>
      <c r="H87">
        <f>Dataset_1!H87</f>
        <v>2</v>
      </c>
      <c r="I87">
        <f>Dataset_1!I87</f>
        <v>1</v>
      </c>
      <c r="J87">
        <f>Dataset_1!J87</f>
        <v>0.28000000000000003</v>
      </c>
      <c r="K87">
        <f>INDEX(Dataset_2!$B$2:$B$611,MATCH($A87,Dataset_2!$A$2:$A$611,0))</f>
        <v>0.2727</v>
      </c>
      <c r="L87">
        <f>INDEX(Dataset_2!$C$2:$C$611,MATCH($A87,Dataset_2!$A$2:$A$611,0))</f>
        <v>0.48</v>
      </c>
      <c r="M87">
        <f>INDEX(Dataset_2!$D$2:$D$611,MATCH($A87,Dataset_2!$A$2:$A$611,0))</f>
        <v>0.22389999999999999</v>
      </c>
      <c r="N87">
        <f>INDEX(Dataset_2!$E$2:$E$611,MATCH($A87,Dataset_2!$A$2:$A$611,0))</f>
        <v>10</v>
      </c>
      <c r="O87">
        <f>INDEX(Dataset_2!$F$2:$F$611,MATCH($A87,Dataset_2!$A$2:$A$611,0))</f>
        <v>202</v>
      </c>
      <c r="P87">
        <f>INDEX(Dataset_2!$G$2:$G$611,MATCH($A87,Dataset_2!$A$2:$A$611,0))</f>
        <v>212</v>
      </c>
    </row>
    <row r="88" spans="1:16" x14ac:dyDescent="0.2">
      <c r="A88">
        <f>Dataset_1!A88</f>
        <v>87</v>
      </c>
      <c r="B88" s="61">
        <f>Dataset_1!B88</f>
        <v>40547</v>
      </c>
      <c r="C88">
        <f>Dataset_1!C88</f>
        <v>1</v>
      </c>
      <c r="D88">
        <f>Dataset_1!D88</f>
        <v>0</v>
      </c>
      <c r="E88">
        <f>Dataset_1!E88</f>
        <v>1</v>
      </c>
      <c r="F88">
        <f>Dataset_1!F88</f>
        <v>18</v>
      </c>
      <c r="G88" t="b">
        <f>Dataset_1!G88</f>
        <v>0</v>
      </c>
      <c r="H88">
        <f>Dataset_1!H88</f>
        <v>2</v>
      </c>
      <c r="I88">
        <f>Dataset_1!I88</f>
        <v>1</v>
      </c>
      <c r="J88">
        <f>Dataset_1!J88</f>
        <v>0.26</v>
      </c>
      <c r="K88">
        <f>INDEX(Dataset_2!$B$2:$B$611,MATCH($A88,Dataset_2!$A$2:$A$611,0))</f>
        <v>0.2576</v>
      </c>
      <c r="L88">
        <f>INDEX(Dataset_2!$C$2:$C$611,MATCH($A88,Dataset_2!$A$2:$A$611,0))</f>
        <v>0.48</v>
      </c>
      <c r="M88">
        <f>INDEX(Dataset_2!$D$2:$D$611,MATCH($A88,Dataset_2!$A$2:$A$611,0))</f>
        <v>0.19400000000000001</v>
      </c>
      <c r="N88">
        <f>INDEX(Dataset_2!$E$2:$E$611,MATCH($A88,Dataset_2!$A$2:$A$611,0))</f>
        <v>3</v>
      </c>
      <c r="O88">
        <f>INDEX(Dataset_2!$F$2:$F$611,MATCH($A88,Dataset_2!$A$2:$A$611,0))</f>
        <v>179</v>
      </c>
      <c r="P88">
        <f>INDEX(Dataset_2!$G$2:$G$611,MATCH($A88,Dataset_2!$A$2:$A$611,0))</f>
        <v>182</v>
      </c>
    </row>
    <row r="89" spans="1:16" x14ac:dyDescent="0.2">
      <c r="A89">
        <f>Dataset_1!A89</f>
        <v>88</v>
      </c>
      <c r="B89" s="61">
        <f>Dataset_1!B89</f>
        <v>40547</v>
      </c>
      <c r="C89">
        <f>Dataset_1!C89</f>
        <v>1</v>
      </c>
      <c r="D89">
        <f>Dataset_1!D89</f>
        <v>0</v>
      </c>
      <c r="E89">
        <f>Dataset_1!E89</f>
        <v>1</v>
      </c>
      <c r="F89">
        <f>Dataset_1!F89</f>
        <v>19</v>
      </c>
      <c r="G89" t="b">
        <f>Dataset_1!G89</f>
        <v>0</v>
      </c>
      <c r="H89">
        <f>Dataset_1!H89</f>
        <v>2</v>
      </c>
      <c r="I89">
        <f>Dataset_1!I89</f>
        <v>1</v>
      </c>
      <c r="J89">
        <f>Dataset_1!J89</f>
        <v>0.24</v>
      </c>
      <c r="K89">
        <f>INDEX(Dataset_2!$B$2:$B$611,MATCH($A89,Dataset_2!$A$2:$A$611,0))</f>
        <v>0.2576</v>
      </c>
      <c r="L89">
        <f>INDEX(Dataset_2!$C$2:$C$611,MATCH($A89,Dataset_2!$A$2:$A$611,0))</f>
        <v>0.48</v>
      </c>
      <c r="M89">
        <f>INDEX(Dataset_2!$D$2:$D$611,MATCH($A89,Dataset_2!$A$2:$A$611,0))</f>
        <v>0.1045</v>
      </c>
      <c r="N89">
        <f>INDEX(Dataset_2!$E$2:$E$611,MATCH($A89,Dataset_2!$A$2:$A$611,0))</f>
        <v>2</v>
      </c>
      <c r="O89">
        <f>INDEX(Dataset_2!$F$2:$F$611,MATCH($A89,Dataset_2!$A$2:$A$611,0))</f>
        <v>110</v>
      </c>
      <c r="P89">
        <f>INDEX(Dataset_2!$G$2:$G$611,MATCH($A89,Dataset_2!$A$2:$A$611,0))</f>
        <v>112</v>
      </c>
    </row>
    <row r="90" spans="1:16" x14ac:dyDescent="0.2">
      <c r="A90">
        <f>Dataset_1!A90</f>
        <v>89</v>
      </c>
      <c r="B90" s="61">
        <f>Dataset_1!B90</f>
        <v>40547</v>
      </c>
      <c r="C90">
        <f>Dataset_1!C90</f>
        <v>1</v>
      </c>
      <c r="D90">
        <f>Dataset_1!D90</f>
        <v>0</v>
      </c>
      <c r="E90">
        <f>Dataset_1!E90</f>
        <v>1</v>
      </c>
      <c r="F90">
        <f>Dataset_1!F90</f>
        <v>20</v>
      </c>
      <c r="G90" t="b">
        <f>Dataset_1!G90</f>
        <v>0</v>
      </c>
      <c r="H90">
        <f>Dataset_1!H90</f>
        <v>2</v>
      </c>
      <c r="I90">
        <f>Dataset_1!I90</f>
        <v>1</v>
      </c>
      <c r="J90">
        <f>Dataset_1!J90</f>
        <v>0.24</v>
      </c>
      <c r="K90">
        <f>INDEX(Dataset_2!$B$2:$B$611,MATCH($A90,Dataset_2!$A$2:$A$611,0))</f>
        <v>0.2576</v>
      </c>
      <c r="L90">
        <f>INDEX(Dataset_2!$C$2:$C$611,MATCH($A90,Dataset_2!$A$2:$A$611,0))</f>
        <v>0.48</v>
      </c>
      <c r="M90">
        <f>INDEX(Dataset_2!$D$2:$D$611,MATCH($A90,Dataset_2!$A$2:$A$611,0))</f>
        <v>0.1045</v>
      </c>
      <c r="N90">
        <f>INDEX(Dataset_2!$E$2:$E$611,MATCH($A90,Dataset_2!$A$2:$A$611,0))</f>
        <v>1</v>
      </c>
      <c r="O90">
        <f>INDEX(Dataset_2!$F$2:$F$611,MATCH($A90,Dataset_2!$A$2:$A$611,0))</f>
        <v>53</v>
      </c>
      <c r="P90">
        <f>INDEX(Dataset_2!$G$2:$G$611,MATCH($A90,Dataset_2!$A$2:$A$611,0))</f>
        <v>54</v>
      </c>
    </row>
    <row r="91" spans="1:16" x14ac:dyDescent="0.2">
      <c r="A91">
        <f>Dataset_1!A91</f>
        <v>90</v>
      </c>
      <c r="B91" s="61">
        <f>Dataset_1!B91</f>
        <v>40547</v>
      </c>
      <c r="C91">
        <f>Dataset_1!C91</f>
        <v>1</v>
      </c>
      <c r="D91">
        <f>Dataset_1!D91</f>
        <v>0</v>
      </c>
      <c r="E91">
        <f>Dataset_1!E91</f>
        <v>1</v>
      </c>
      <c r="F91">
        <f>Dataset_1!F91</f>
        <v>21</v>
      </c>
      <c r="G91" t="b">
        <f>Dataset_1!G91</f>
        <v>0</v>
      </c>
      <c r="H91">
        <f>Dataset_1!H91</f>
        <v>2</v>
      </c>
      <c r="I91">
        <f>Dataset_1!I91</f>
        <v>1</v>
      </c>
      <c r="J91">
        <f>Dataset_1!J91</f>
        <v>0.22</v>
      </c>
      <c r="K91">
        <f>INDEX(Dataset_2!$B$2:$B$611,MATCH($A91,Dataset_2!$A$2:$A$611,0))</f>
        <v>0.2727</v>
      </c>
      <c r="L91">
        <f>INDEX(Dataset_2!$C$2:$C$611,MATCH($A91,Dataset_2!$A$2:$A$611,0))</f>
        <v>0.64</v>
      </c>
      <c r="M91">
        <f>INDEX(Dataset_2!$D$2:$D$611,MATCH($A91,Dataset_2!$A$2:$A$611,0))</f>
        <v>0</v>
      </c>
      <c r="N91">
        <f>INDEX(Dataset_2!$E$2:$E$611,MATCH($A91,Dataset_2!$A$2:$A$611,0))</f>
        <v>0</v>
      </c>
      <c r="O91">
        <f>INDEX(Dataset_2!$F$2:$F$611,MATCH($A91,Dataset_2!$A$2:$A$611,0))</f>
        <v>48</v>
      </c>
      <c r="P91">
        <f>INDEX(Dataset_2!$G$2:$G$611,MATCH($A91,Dataset_2!$A$2:$A$611,0))</f>
        <v>48</v>
      </c>
    </row>
    <row r="92" spans="1:16" x14ac:dyDescent="0.2">
      <c r="A92">
        <f>Dataset_1!A92</f>
        <v>91</v>
      </c>
      <c r="B92" s="61">
        <f>Dataset_1!B92</f>
        <v>40547</v>
      </c>
      <c r="C92">
        <f>Dataset_1!C92</f>
        <v>1</v>
      </c>
      <c r="D92">
        <f>Dataset_1!D92</f>
        <v>0</v>
      </c>
      <c r="E92">
        <f>Dataset_1!E92</f>
        <v>1</v>
      </c>
      <c r="F92">
        <f>Dataset_1!F92</f>
        <v>22</v>
      </c>
      <c r="G92" t="b">
        <f>Dataset_1!G92</f>
        <v>0</v>
      </c>
      <c r="H92">
        <f>Dataset_1!H92</f>
        <v>2</v>
      </c>
      <c r="I92">
        <f>Dataset_1!I92</f>
        <v>1</v>
      </c>
      <c r="J92">
        <f>Dataset_1!J92</f>
        <v>0.22</v>
      </c>
      <c r="K92">
        <f>INDEX(Dataset_2!$B$2:$B$611,MATCH($A92,Dataset_2!$A$2:$A$611,0))</f>
        <v>0.2576</v>
      </c>
      <c r="L92">
        <f>INDEX(Dataset_2!$C$2:$C$611,MATCH($A92,Dataset_2!$A$2:$A$611,0))</f>
        <v>0.64</v>
      </c>
      <c r="M92">
        <f>INDEX(Dataset_2!$D$2:$D$611,MATCH($A92,Dataset_2!$A$2:$A$611,0))</f>
        <v>8.9599999999999999E-2</v>
      </c>
      <c r="N92">
        <f>INDEX(Dataset_2!$E$2:$E$611,MATCH($A92,Dataset_2!$A$2:$A$611,0))</f>
        <v>1</v>
      </c>
      <c r="O92">
        <f>INDEX(Dataset_2!$F$2:$F$611,MATCH($A92,Dataset_2!$A$2:$A$611,0))</f>
        <v>34</v>
      </c>
      <c r="P92">
        <f>INDEX(Dataset_2!$G$2:$G$611,MATCH($A92,Dataset_2!$A$2:$A$611,0))</f>
        <v>35</v>
      </c>
    </row>
    <row r="93" spans="1:16" x14ac:dyDescent="0.2">
      <c r="A93">
        <f>Dataset_1!A93</f>
        <v>92</v>
      </c>
      <c r="B93" s="61">
        <f>Dataset_1!B93</f>
        <v>40547</v>
      </c>
      <c r="C93">
        <f>Dataset_1!C93</f>
        <v>1</v>
      </c>
      <c r="D93">
        <f>Dataset_1!D93</f>
        <v>0</v>
      </c>
      <c r="E93">
        <f>Dataset_1!E93</f>
        <v>1</v>
      </c>
      <c r="F93">
        <f>Dataset_1!F93</f>
        <v>23</v>
      </c>
      <c r="G93" t="b">
        <f>Dataset_1!G93</f>
        <v>0</v>
      </c>
      <c r="H93">
        <f>Dataset_1!H93</f>
        <v>2</v>
      </c>
      <c r="I93">
        <f>Dataset_1!I93</f>
        <v>1</v>
      </c>
      <c r="J93">
        <f>Dataset_1!J93</f>
        <v>0.2</v>
      </c>
      <c r="K93">
        <f>INDEX(Dataset_2!$B$2:$B$611,MATCH($A93,Dataset_2!$A$2:$A$611,0))</f>
        <v>0.2273</v>
      </c>
      <c r="L93">
        <f>INDEX(Dataset_2!$C$2:$C$611,MATCH($A93,Dataset_2!$A$2:$A$611,0))</f>
        <v>0.69</v>
      </c>
      <c r="M93">
        <f>INDEX(Dataset_2!$D$2:$D$611,MATCH($A93,Dataset_2!$A$2:$A$611,0))</f>
        <v>8.9599999999999999E-2</v>
      </c>
      <c r="N93">
        <f>INDEX(Dataset_2!$E$2:$E$611,MATCH($A93,Dataset_2!$A$2:$A$611,0))</f>
        <v>2</v>
      </c>
      <c r="O93">
        <f>INDEX(Dataset_2!$F$2:$F$611,MATCH($A93,Dataset_2!$A$2:$A$611,0))</f>
        <v>9</v>
      </c>
      <c r="P93">
        <f>INDEX(Dataset_2!$G$2:$G$611,MATCH($A93,Dataset_2!$A$2:$A$611,0))</f>
        <v>11</v>
      </c>
    </row>
    <row r="94" spans="1:16" x14ac:dyDescent="0.2">
      <c r="A94">
        <f>Dataset_1!A94</f>
        <v>93</v>
      </c>
      <c r="B94" s="61">
        <f>Dataset_1!B94</f>
        <v>40548</v>
      </c>
      <c r="C94">
        <f>Dataset_1!C94</f>
        <v>1</v>
      </c>
      <c r="D94">
        <f>Dataset_1!D94</f>
        <v>0</v>
      </c>
      <c r="E94">
        <f>Dataset_1!E94</f>
        <v>1</v>
      </c>
      <c r="F94">
        <f>Dataset_1!F94</f>
        <v>0</v>
      </c>
      <c r="G94" t="b">
        <f>Dataset_1!G94</f>
        <v>0</v>
      </c>
      <c r="H94">
        <f>Dataset_1!H94</f>
        <v>3</v>
      </c>
      <c r="I94">
        <f>Dataset_1!I94</f>
        <v>1</v>
      </c>
      <c r="J94">
        <f>Dataset_1!J94</f>
        <v>0.2</v>
      </c>
      <c r="K94">
        <f>INDEX(Dataset_2!$B$2:$B$611,MATCH($A94,Dataset_2!$A$2:$A$611,0))</f>
        <v>0.2576</v>
      </c>
      <c r="L94">
        <f>INDEX(Dataset_2!$C$2:$C$611,MATCH($A94,Dataset_2!$A$2:$A$611,0))</f>
        <v>0.64</v>
      </c>
      <c r="M94">
        <f>INDEX(Dataset_2!$D$2:$D$611,MATCH($A94,Dataset_2!$A$2:$A$611,0))</f>
        <v>0</v>
      </c>
      <c r="N94">
        <f>INDEX(Dataset_2!$E$2:$E$611,MATCH($A94,Dataset_2!$A$2:$A$611,0))</f>
        <v>0</v>
      </c>
      <c r="O94">
        <f>INDEX(Dataset_2!$F$2:$F$611,MATCH($A94,Dataset_2!$A$2:$A$611,0))</f>
        <v>6</v>
      </c>
      <c r="P94">
        <f>INDEX(Dataset_2!$G$2:$G$611,MATCH($A94,Dataset_2!$A$2:$A$611,0))</f>
        <v>6</v>
      </c>
    </row>
    <row r="95" spans="1:16" x14ac:dyDescent="0.2">
      <c r="A95">
        <f>Dataset_1!A95</f>
        <v>94</v>
      </c>
      <c r="B95" s="61">
        <f>Dataset_1!B95</f>
        <v>40548</v>
      </c>
      <c r="C95">
        <f>Dataset_1!C95</f>
        <v>1</v>
      </c>
      <c r="D95">
        <f>Dataset_1!D95</f>
        <v>0</v>
      </c>
      <c r="E95">
        <f>Dataset_1!E95</f>
        <v>1</v>
      </c>
      <c r="F95">
        <f>Dataset_1!F95</f>
        <v>1</v>
      </c>
      <c r="G95" t="b">
        <f>Dataset_1!G95</f>
        <v>0</v>
      </c>
      <c r="H95">
        <f>Dataset_1!H95</f>
        <v>3</v>
      </c>
      <c r="I95">
        <f>Dataset_1!I95</f>
        <v>1</v>
      </c>
      <c r="J95">
        <f>Dataset_1!J95</f>
        <v>0.16</v>
      </c>
      <c r="K95">
        <f>INDEX(Dataset_2!$B$2:$B$611,MATCH($A95,Dataset_2!$A$2:$A$611,0))</f>
        <v>0.19700000000000001</v>
      </c>
      <c r="L95">
        <f>INDEX(Dataset_2!$C$2:$C$611,MATCH($A95,Dataset_2!$A$2:$A$611,0))</f>
        <v>0.74</v>
      </c>
      <c r="M95">
        <f>INDEX(Dataset_2!$D$2:$D$611,MATCH($A95,Dataset_2!$A$2:$A$611,0))</f>
        <v>8.9599999999999999E-2</v>
      </c>
      <c r="N95">
        <f>INDEX(Dataset_2!$E$2:$E$611,MATCH($A95,Dataset_2!$A$2:$A$611,0))</f>
        <v>0</v>
      </c>
      <c r="O95">
        <f>INDEX(Dataset_2!$F$2:$F$611,MATCH($A95,Dataset_2!$A$2:$A$611,0))</f>
        <v>6</v>
      </c>
      <c r="P95">
        <f>INDEX(Dataset_2!$G$2:$G$611,MATCH($A95,Dataset_2!$A$2:$A$611,0))</f>
        <v>6</v>
      </c>
    </row>
    <row r="96" spans="1:16" x14ac:dyDescent="0.2">
      <c r="A96">
        <f>Dataset_1!A96</f>
        <v>95</v>
      </c>
      <c r="B96" s="61">
        <f>Dataset_1!B96</f>
        <v>40548</v>
      </c>
      <c r="C96">
        <f>Dataset_1!C96</f>
        <v>1</v>
      </c>
      <c r="D96">
        <f>Dataset_1!D96</f>
        <v>0</v>
      </c>
      <c r="E96">
        <f>Dataset_1!E96</f>
        <v>1</v>
      </c>
      <c r="F96">
        <f>Dataset_1!F96</f>
        <v>2</v>
      </c>
      <c r="G96" t="b">
        <f>Dataset_1!G96</f>
        <v>0</v>
      </c>
      <c r="H96">
        <f>Dataset_1!H96</f>
        <v>3</v>
      </c>
      <c r="I96">
        <f>Dataset_1!I96</f>
        <v>1</v>
      </c>
      <c r="J96">
        <f>Dataset_1!J96</f>
        <v>0.16</v>
      </c>
      <c r="K96">
        <f>INDEX(Dataset_2!$B$2:$B$611,MATCH($A96,Dataset_2!$A$2:$A$611,0))</f>
        <v>0.19700000000000001</v>
      </c>
      <c r="L96">
        <f>INDEX(Dataset_2!$C$2:$C$611,MATCH($A96,Dataset_2!$A$2:$A$611,0))</f>
        <v>0.74</v>
      </c>
      <c r="M96">
        <f>INDEX(Dataset_2!$D$2:$D$611,MATCH($A96,Dataset_2!$A$2:$A$611,0))</f>
        <v>8.9599999999999999E-2</v>
      </c>
      <c r="N96">
        <f>INDEX(Dataset_2!$E$2:$E$611,MATCH($A96,Dataset_2!$A$2:$A$611,0))</f>
        <v>0</v>
      </c>
      <c r="O96">
        <f>INDEX(Dataset_2!$F$2:$F$611,MATCH($A96,Dataset_2!$A$2:$A$611,0))</f>
        <v>2</v>
      </c>
      <c r="P96">
        <f>INDEX(Dataset_2!$G$2:$G$611,MATCH($A96,Dataset_2!$A$2:$A$611,0))</f>
        <v>2</v>
      </c>
    </row>
    <row r="97" spans="1:16" x14ac:dyDescent="0.2">
      <c r="A97">
        <f>Dataset_1!A97</f>
        <v>96</v>
      </c>
      <c r="B97" s="61">
        <f>Dataset_1!B97</f>
        <v>40548</v>
      </c>
      <c r="C97">
        <f>Dataset_1!C97</f>
        <v>1</v>
      </c>
      <c r="D97">
        <f>Dataset_1!D97</f>
        <v>0</v>
      </c>
      <c r="E97">
        <f>Dataset_1!E97</f>
        <v>1</v>
      </c>
      <c r="F97">
        <f>Dataset_1!F97</f>
        <v>4</v>
      </c>
      <c r="G97" t="b">
        <f>Dataset_1!G97</f>
        <v>0</v>
      </c>
      <c r="H97">
        <f>Dataset_1!H97</f>
        <v>3</v>
      </c>
      <c r="I97">
        <f>Dataset_1!I97</f>
        <v>1</v>
      </c>
      <c r="J97">
        <f>Dataset_1!J97</f>
        <v>0.24</v>
      </c>
      <c r="K97">
        <f>INDEX(Dataset_2!$B$2:$B$611,MATCH($A97,Dataset_2!$A$2:$A$611,0))</f>
        <v>0.2273</v>
      </c>
      <c r="L97">
        <f>INDEX(Dataset_2!$C$2:$C$611,MATCH($A97,Dataset_2!$A$2:$A$611,0))</f>
        <v>0.48</v>
      </c>
      <c r="M97">
        <f>INDEX(Dataset_2!$D$2:$D$611,MATCH($A97,Dataset_2!$A$2:$A$611,0))</f>
        <v>0.22389999999999999</v>
      </c>
      <c r="N97">
        <f>INDEX(Dataset_2!$E$2:$E$611,MATCH($A97,Dataset_2!$A$2:$A$611,0))</f>
        <v>0</v>
      </c>
      <c r="O97">
        <f>INDEX(Dataset_2!$F$2:$F$611,MATCH($A97,Dataset_2!$A$2:$A$611,0))</f>
        <v>2</v>
      </c>
      <c r="P97">
        <f>INDEX(Dataset_2!$G$2:$G$611,MATCH($A97,Dataset_2!$A$2:$A$611,0))</f>
        <v>2</v>
      </c>
    </row>
    <row r="98" spans="1:16" x14ac:dyDescent="0.2">
      <c r="A98">
        <f>Dataset_1!A98</f>
        <v>97</v>
      </c>
      <c r="B98" s="61">
        <f>Dataset_1!B98</f>
        <v>40548</v>
      </c>
      <c r="C98">
        <f>Dataset_1!C98</f>
        <v>1</v>
      </c>
      <c r="D98">
        <f>Dataset_1!D98</f>
        <v>0</v>
      </c>
      <c r="E98">
        <f>Dataset_1!E98</f>
        <v>1</v>
      </c>
      <c r="F98">
        <f>Dataset_1!F98</f>
        <v>5</v>
      </c>
      <c r="G98" t="b">
        <f>Dataset_1!G98</f>
        <v>0</v>
      </c>
      <c r="H98">
        <f>Dataset_1!H98</f>
        <v>3</v>
      </c>
      <c r="I98">
        <f>Dataset_1!I98</f>
        <v>1</v>
      </c>
      <c r="J98">
        <f>Dataset_1!J98</f>
        <v>0.22</v>
      </c>
      <c r="K98">
        <f>INDEX(Dataset_2!$B$2:$B$611,MATCH($A98,Dataset_2!$A$2:$A$611,0))</f>
        <v>0.2273</v>
      </c>
      <c r="L98">
        <f>INDEX(Dataset_2!$C$2:$C$611,MATCH($A98,Dataset_2!$A$2:$A$611,0))</f>
        <v>0.47</v>
      </c>
      <c r="M98">
        <f>INDEX(Dataset_2!$D$2:$D$611,MATCH($A98,Dataset_2!$A$2:$A$611,0))</f>
        <v>0.16420000000000001</v>
      </c>
      <c r="N98">
        <f>INDEX(Dataset_2!$E$2:$E$611,MATCH($A98,Dataset_2!$A$2:$A$611,0))</f>
        <v>0</v>
      </c>
      <c r="O98">
        <f>INDEX(Dataset_2!$F$2:$F$611,MATCH($A98,Dataset_2!$A$2:$A$611,0))</f>
        <v>3</v>
      </c>
      <c r="P98">
        <f>INDEX(Dataset_2!$G$2:$G$611,MATCH($A98,Dataset_2!$A$2:$A$611,0))</f>
        <v>3</v>
      </c>
    </row>
    <row r="99" spans="1:16" x14ac:dyDescent="0.2">
      <c r="A99">
        <f>Dataset_1!A99</f>
        <v>98</v>
      </c>
      <c r="B99" s="61">
        <f>Dataset_1!B99</f>
        <v>40548</v>
      </c>
      <c r="C99">
        <f>Dataset_1!C99</f>
        <v>1</v>
      </c>
      <c r="D99">
        <f>Dataset_1!D99</f>
        <v>0</v>
      </c>
      <c r="E99">
        <f>Dataset_1!E99</f>
        <v>1</v>
      </c>
      <c r="F99">
        <f>Dataset_1!F99</f>
        <v>6</v>
      </c>
      <c r="G99" t="b">
        <f>Dataset_1!G99</f>
        <v>0</v>
      </c>
      <c r="H99">
        <f>Dataset_1!H99</f>
        <v>3</v>
      </c>
      <c r="I99">
        <f>Dataset_1!I99</f>
        <v>1</v>
      </c>
      <c r="J99">
        <f>Dataset_1!J99</f>
        <v>0.2</v>
      </c>
      <c r="K99">
        <f>INDEX(Dataset_2!$B$2:$B$611,MATCH($A99,Dataset_2!$A$2:$A$611,0))</f>
        <v>0.19700000000000001</v>
      </c>
      <c r="L99">
        <f>INDEX(Dataset_2!$C$2:$C$611,MATCH($A99,Dataset_2!$A$2:$A$611,0))</f>
        <v>0.47</v>
      </c>
      <c r="M99">
        <f>INDEX(Dataset_2!$D$2:$D$611,MATCH($A99,Dataset_2!$A$2:$A$611,0))</f>
        <v>0.22389999999999999</v>
      </c>
      <c r="N99">
        <f>INDEX(Dataset_2!$E$2:$E$611,MATCH($A99,Dataset_2!$A$2:$A$611,0))</f>
        <v>0</v>
      </c>
      <c r="O99">
        <f>INDEX(Dataset_2!$F$2:$F$611,MATCH($A99,Dataset_2!$A$2:$A$611,0))</f>
        <v>33</v>
      </c>
      <c r="P99">
        <f>INDEX(Dataset_2!$G$2:$G$611,MATCH($A99,Dataset_2!$A$2:$A$611,0))</f>
        <v>33</v>
      </c>
    </row>
    <row r="100" spans="1:16" x14ac:dyDescent="0.2">
      <c r="A100">
        <f>Dataset_1!A100</f>
        <v>99</v>
      </c>
      <c r="B100" s="61">
        <f>Dataset_1!B100</f>
        <v>40548</v>
      </c>
      <c r="C100">
        <f>Dataset_1!C100</f>
        <v>1</v>
      </c>
      <c r="D100">
        <f>Dataset_1!D100</f>
        <v>0</v>
      </c>
      <c r="E100">
        <f>Dataset_1!E100</f>
        <v>1</v>
      </c>
      <c r="F100">
        <f>Dataset_1!F100</f>
        <v>7</v>
      </c>
      <c r="G100" t="b">
        <f>Dataset_1!G100</f>
        <v>0</v>
      </c>
      <c r="H100">
        <f>Dataset_1!H100</f>
        <v>3</v>
      </c>
      <c r="I100">
        <f>Dataset_1!I100</f>
        <v>1</v>
      </c>
      <c r="J100">
        <f>Dataset_1!J100</f>
        <v>0.18</v>
      </c>
      <c r="K100">
        <f>INDEX(Dataset_2!$B$2:$B$611,MATCH($A100,Dataset_2!$A$2:$A$611,0))</f>
        <v>0.18179999999999999</v>
      </c>
      <c r="L100">
        <f>INDEX(Dataset_2!$C$2:$C$611,MATCH($A100,Dataset_2!$A$2:$A$611,0))</f>
        <v>0.43</v>
      </c>
      <c r="M100">
        <f>INDEX(Dataset_2!$D$2:$D$611,MATCH($A100,Dataset_2!$A$2:$A$611,0))</f>
        <v>0.19400000000000001</v>
      </c>
      <c r="N100">
        <f>INDEX(Dataset_2!$E$2:$E$611,MATCH($A100,Dataset_2!$A$2:$A$611,0))</f>
        <v>1</v>
      </c>
      <c r="O100">
        <f>INDEX(Dataset_2!$F$2:$F$611,MATCH($A100,Dataset_2!$A$2:$A$611,0))</f>
        <v>87</v>
      </c>
      <c r="P100">
        <f>INDEX(Dataset_2!$G$2:$G$611,MATCH($A100,Dataset_2!$A$2:$A$611,0))</f>
        <v>88</v>
      </c>
    </row>
    <row r="101" spans="1:16" x14ac:dyDescent="0.2">
      <c r="A101">
        <f>Dataset_1!A101</f>
        <v>100</v>
      </c>
      <c r="B101" s="61">
        <f>Dataset_1!B101</f>
        <v>40548</v>
      </c>
      <c r="C101">
        <f>Dataset_1!C101</f>
        <v>1</v>
      </c>
      <c r="D101">
        <f>Dataset_1!D101</f>
        <v>0</v>
      </c>
      <c r="E101">
        <f>Dataset_1!E101</f>
        <v>1</v>
      </c>
      <c r="F101">
        <f>Dataset_1!F101</f>
        <v>8</v>
      </c>
      <c r="G101" t="b">
        <f>Dataset_1!G101</f>
        <v>0</v>
      </c>
      <c r="H101">
        <f>Dataset_1!H101</f>
        <v>3</v>
      </c>
      <c r="I101">
        <f>Dataset_1!I101</f>
        <v>1</v>
      </c>
      <c r="J101">
        <f>Dataset_1!J101</f>
        <v>0.2</v>
      </c>
      <c r="K101">
        <f>INDEX(Dataset_2!$B$2:$B$611,MATCH($A101,Dataset_2!$A$2:$A$611,0))</f>
        <v>0.18179999999999999</v>
      </c>
      <c r="L101">
        <f>INDEX(Dataset_2!$C$2:$C$611,MATCH($A101,Dataset_2!$A$2:$A$611,0))</f>
        <v>0.4</v>
      </c>
      <c r="M101">
        <f>INDEX(Dataset_2!$D$2:$D$611,MATCH($A101,Dataset_2!$A$2:$A$611,0))</f>
        <v>0.29849999999999999</v>
      </c>
      <c r="N101">
        <f>INDEX(Dataset_2!$E$2:$E$611,MATCH($A101,Dataset_2!$A$2:$A$611,0))</f>
        <v>3</v>
      </c>
      <c r="O101">
        <f>INDEX(Dataset_2!$F$2:$F$611,MATCH($A101,Dataset_2!$A$2:$A$611,0))</f>
        <v>192</v>
      </c>
      <c r="P101">
        <f>INDEX(Dataset_2!$G$2:$G$611,MATCH($A101,Dataset_2!$A$2:$A$611,0))</f>
        <v>195</v>
      </c>
    </row>
    <row r="102" spans="1:16" x14ac:dyDescent="0.2">
      <c r="A102">
        <f>Dataset_1!A102</f>
        <v>101</v>
      </c>
      <c r="B102" s="61">
        <f>Dataset_1!B102</f>
        <v>40548</v>
      </c>
      <c r="C102">
        <f>Dataset_1!C102</f>
        <v>1</v>
      </c>
      <c r="D102">
        <f>Dataset_1!D102</f>
        <v>0</v>
      </c>
      <c r="E102">
        <f>Dataset_1!E102</f>
        <v>1</v>
      </c>
      <c r="F102">
        <f>Dataset_1!F102</f>
        <v>9</v>
      </c>
      <c r="G102" t="b">
        <f>Dataset_1!G102</f>
        <v>0</v>
      </c>
      <c r="H102">
        <f>Dataset_1!H102</f>
        <v>3</v>
      </c>
      <c r="I102">
        <f>Dataset_1!I102</f>
        <v>1</v>
      </c>
      <c r="J102">
        <f>Dataset_1!J102</f>
        <v>0.22</v>
      </c>
      <c r="K102">
        <f>INDEX(Dataset_2!$B$2:$B$611,MATCH($A102,Dataset_2!$A$2:$A$611,0))</f>
        <v>0.19700000000000001</v>
      </c>
      <c r="L102">
        <f>INDEX(Dataset_2!$C$2:$C$611,MATCH($A102,Dataset_2!$A$2:$A$611,0))</f>
        <v>0.37</v>
      </c>
      <c r="M102">
        <f>INDEX(Dataset_2!$D$2:$D$611,MATCH($A102,Dataset_2!$A$2:$A$611,0))</f>
        <v>0.32840000000000003</v>
      </c>
      <c r="N102">
        <f>INDEX(Dataset_2!$E$2:$E$611,MATCH($A102,Dataset_2!$A$2:$A$611,0))</f>
        <v>6</v>
      </c>
      <c r="O102">
        <f>INDEX(Dataset_2!$F$2:$F$611,MATCH($A102,Dataset_2!$A$2:$A$611,0))</f>
        <v>109</v>
      </c>
      <c r="P102">
        <f>INDEX(Dataset_2!$G$2:$G$611,MATCH($A102,Dataset_2!$A$2:$A$611,0))</f>
        <v>115</v>
      </c>
    </row>
    <row r="103" spans="1:16" x14ac:dyDescent="0.2">
      <c r="A103">
        <f>Dataset_1!A103</f>
        <v>102</v>
      </c>
      <c r="B103" s="61">
        <f>Dataset_1!B103</f>
        <v>40548</v>
      </c>
      <c r="C103">
        <f>Dataset_1!C103</f>
        <v>1</v>
      </c>
      <c r="D103">
        <f>Dataset_1!D103</f>
        <v>0</v>
      </c>
      <c r="E103">
        <f>Dataset_1!E103</f>
        <v>1</v>
      </c>
      <c r="F103">
        <f>Dataset_1!F103</f>
        <v>10</v>
      </c>
      <c r="G103" t="b">
        <f>Dataset_1!G103</f>
        <v>0</v>
      </c>
      <c r="H103">
        <f>Dataset_1!H103</f>
        <v>3</v>
      </c>
      <c r="I103">
        <f>Dataset_1!I103</f>
        <v>1</v>
      </c>
      <c r="J103">
        <f>Dataset_1!J103</f>
        <v>0.22</v>
      </c>
      <c r="K103">
        <f>INDEX(Dataset_2!$B$2:$B$611,MATCH($A103,Dataset_2!$A$2:$A$611,0))</f>
        <v>0.19700000000000001</v>
      </c>
      <c r="L103">
        <f>INDEX(Dataset_2!$C$2:$C$611,MATCH($A103,Dataset_2!$A$2:$A$611,0))</f>
        <v>0.37</v>
      </c>
      <c r="M103">
        <f>INDEX(Dataset_2!$D$2:$D$611,MATCH($A103,Dataset_2!$A$2:$A$611,0))</f>
        <v>0.32840000000000003</v>
      </c>
      <c r="N103">
        <f>INDEX(Dataset_2!$E$2:$E$611,MATCH($A103,Dataset_2!$A$2:$A$611,0))</f>
        <v>4</v>
      </c>
      <c r="O103">
        <f>INDEX(Dataset_2!$F$2:$F$611,MATCH($A103,Dataset_2!$A$2:$A$611,0))</f>
        <v>53</v>
      </c>
      <c r="P103">
        <f>INDEX(Dataset_2!$G$2:$G$611,MATCH($A103,Dataset_2!$A$2:$A$611,0))</f>
        <v>57</v>
      </c>
    </row>
    <row r="104" spans="1:16" x14ac:dyDescent="0.2">
      <c r="A104">
        <f>Dataset_1!A104</f>
        <v>103</v>
      </c>
      <c r="B104" s="61">
        <f>Dataset_1!B104</f>
        <v>40548</v>
      </c>
      <c r="C104">
        <f>Dataset_1!C104</f>
        <v>1</v>
      </c>
      <c r="D104">
        <f>Dataset_1!D104</f>
        <v>0</v>
      </c>
      <c r="E104">
        <f>Dataset_1!E104</f>
        <v>1</v>
      </c>
      <c r="F104">
        <f>Dataset_1!F104</f>
        <v>11</v>
      </c>
      <c r="G104" t="b">
        <f>Dataset_1!G104</f>
        <v>0</v>
      </c>
      <c r="H104">
        <f>Dataset_1!H104</f>
        <v>3</v>
      </c>
      <c r="I104">
        <f>Dataset_1!I104</f>
        <v>1</v>
      </c>
      <c r="J104">
        <f>Dataset_1!J104</f>
        <v>0.26</v>
      </c>
      <c r="K104">
        <f>INDEX(Dataset_2!$B$2:$B$611,MATCH($A104,Dataset_2!$A$2:$A$611,0))</f>
        <v>0.2273</v>
      </c>
      <c r="L104">
        <f>INDEX(Dataset_2!$C$2:$C$611,MATCH($A104,Dataset_2!$A$2:$A$611,0))</f>
        <v>0.33</v>
      </c>
      <c r="M104">
        <f>INDEX(Dataset_2!$D$2:$D$611,MATCH($A104,Dataset_2!$A$2:$A$611,0))</f>
        <v>0.32840000000000003</v>
      </c>
      <c r="N104">
        <f>INDEX(Dataset_2!$E$2:$E$611,MATCH($A104,Dataset_2!$A$2:$A$611,0))</f>
        <v>12</v>
      </c>
      <c r="O104">
        <f>INDEX(Dataset_2!$F$2:$F$611,MATCH($A104,Dataset_2!$A$2:$A$611,0))</f>
        <v>34</v>
      </c>
      <c r="P104">
        <f>INDEX(Dataset_2!$G$2:$G$611,MATCH($A104,Dataset_2!$A$2:$A$611,0))</f>
        <v>46</v>
      </c>
    </row>
    <row r="105" spans="1:16" x14ac:dyDescent="0.2">
      <c r="A105">
        <f>Dataset_1!A105</f>
        <v>104</v>
      </c>
      <c r="B105" s="61">
        <f>Dataset_1!B105</f>
        <v>40548</v>
      </c>
      <c r="C105">
        <f>Dataset_1!C105</f>
        <v>1</v>
      </c>
      <c r="D105">
        <f>Dataset_1!D105</f>
        <v>0</v>
      </c>
      <c r="E105">
        <f>Dataset_1!E105</f>
        <v>1</v>
      </c>
      <c r="F105">
        <f>Dataset_1!F105</f>
        <v>12</v>
      </c>
      <c r="G105" t="b">
        <f>Dataset_1!G105</f>
        <v>0</v>
      </c>
      <c r="H105">
        <f>Dataset_1!H105</f>
        <v>3</v>
      </c>
      <c r="I105">
        <f>Dataset_1!I105</f>
        <v>1</v>
      </c>
      <c r="J105">
        <f>Dataset_1!J105</f>
        <v>0.26</v>
      </c>
      <c r="K105">
        <f>INDEX(Dataset_2!$B$2:$B$611,MATCH($A105,Dataset_2!$A$2:$A$611,0))</f>
        <v>0.2273</v>
      </c>
      <c r="L105">
        <f>INDEX(Dataset_2!$C$2:$C$611,MATCH($A105,Dataset_2!$A$2:$A$611,0))</f>
        <v>0.33</v>
      </c>
      <c r="M105">
        <f>INDEX(Dataset_2!$D$2:$D$611,MATCH($A105,Dataset_2!$A$2:$A$611,0))</f>
        <v>0.32840000000000003</v>
      </c>
      <c r="N105">
        <f>INDEX(Dataset_2!$E$2:$E$611,MATCH($A105,Dataset_2!$A$2:$A$611,0))</f>
        <v>5</v>
      </c>
      <c r="O105">
        <f>INDEX(Dataset_2!$F$2:$F$611,MATCH($A105,Dataset_2!$A$2:$A$611,0))</f>
        <v>74</v>
      </c>
      <c r="P105">
        <f>INDEX(Dataset_2!$G$2:$G$611,MATCH($A105,Dataset_2!$A$2:$A$611,0))</f>
        <v>79</v>
      </c>
    </row>
    <row r="106" spans="1:16" x14ac:dyDescent="0.2">
      <c r="A106">
        <f>Dataset_1!A106</f>
        <v>105</v>
      </c>
      <c r="B106" s="61">
        <f>Dataset_1!B106</f>
        <v>40548</v>
      </c>
      <c r="C106">
        <f>Dataset_1!C106</f>
        <v>1</v>
      </c>
      <c r="D106">
        <f>Dataset_1!D106</f>
        <v>0</v>
      </c>
      <c r="E106">
        <f>Dataset_1!E106</f>
        <v>1</v>
      </c>
      <c r="F106">
        <f>Dataset_1!F106</f>
        <v>13</v>
      </c>
      <c r="G106" t="b">
        <f>Dataset_1!G106</f>
        <v>0</v>
      </c>
      <c r="H106">
        <f>Dataset_1!H106</f>
        <v>3</v>
      </c>
      <c r="I106">
        <f>Dataset_1!I106</f>
        <v>1</v>
      </c>
      <c r="J106">
        <f>Dataset_1!J106</f>
        <v>0.28000000000000003</v>
      </c>
      <c r="K106">
        <f>INDEX(Dataset_2!$B$2:$B$611,MATCH($A106,Dataset_2!$A$2:$A$611,0))</f>
        <v>0.2576</v>
      </c>
      <c r="L106">
        <f>INDEX(Dataset_2!$C$2:$C$611,MATCH($A106,Dataset_2!$A$2:$A$611,0))</f>
        <v>0.3</v>
      </c>
      <c r="M106">
        <f>INDEX(Dataset_2!$D$2:$D$611,MATCH($A106,Dataset_2!$A$2:$A$611,0))</f>
        <v>0.29849999999999999</v>
      </c>
      <c r="N106">
        <f>INDEX(Dataset_2!$E$2:$E$611,MATCH($A106,Dataset_2!$A$2:$A$611,0))</f>
        <v>6</v>
      </c>
      <c r="O106">
        <f>INDEX(Dataset_2!$F$2:$F$611,MATCH($A106,Dataset_2!$A$2:$A$611,0))</f>
        <v>65</v>
      </c>
      <c r="P106">
        <f>INDEX(Dataset_2!$G$2:$G$611,MATCH($A106,Dataset_2!$A$2:$A$611,0))</f>
        <v>71</v>
      </c>
    </row>
    <row r="107" spans="1:16" x14ac:dyDescent="0.2">
      <c r="A107">
        <f>Dataset_1!A107</f>
        <v>106</v>
      </c>
      <c r="B107" s="61">
        <f>Dataset_1!B107</f>
        <v>40548</v>
      </c>
      <c r="C107">
        <f>Dataset_1!C107</f>
        <v>1</v>
      </c>
      <c r="D107">
        <f>Dataset_1!D107</f>
        <v>0</v>
      </c>
      <c r="E107">
        <f>Dataset_1!E107</f>
        <v>1</v>
      </c>
      <c r="F107">
        <f>Dataset_1!F107</f>
        <v>14</v>
      </c>
      <c r="G107" t="b">
        <f>Dataset_1!G107</f>
        <v>0</v>
      </c>
      <c r="H107">
        <f>Dataset_1!H107</f>
        <v>3</v>
      </c>
      <c r="I107">
        <f>Dataset_1!I107</f>
        <v>1</v>
      </c>
      <c r="J107">
        <f>Dataset_1!J107</f>
        <v>0.3</v>
      </c>
      <c r="K107">
        <f>INDEX(Dataset_2!$B$2:$B$611,MATCH($A107,Dataset_2!$A$2:$A$611,0))</f>
        <v>0.28789999999999999</v>
      </c>
      <c r="L107">
        <f>INDEX(Dataset_2!$C$2:$C$611,MATCH($A107,Dataset_2!$A$2:$A$611,0))</f>
        <v>0.28000000000000003</v>
      </c>
      <c r="M107">
        <f>INDEX(Dataset_2!$D$2:$D$611,MATCH($A107,Dataset_2!$A$2:$A$611,0))</f>
        <v>0.19400000000000001</v>
      </c>
      <c r="N107">
        <f>INDEX(Dataset_2!$E$2:$E$611,MATCH($A107,Dataset_2!$A$2:$A$611,0))</f>
        <v>10</v>
      </c>
      <c r="O107">
        <f>INDEX(Dataset_2!$F$2:$F$611,MATCH($A107,Dataset_2!$A$2:$A$611,0))</f>
        <v>52</v>
      </c>
      <c r="P107">
        <f>INDEX(Dataset_2!$G$2:$G$611,MATCH($A107,Dataset_2!$A$2:$A$611,0))</f>
        <v>62</v>
      </c>
    </row>
    <row r="108" spans="1:16" x14ac:dyDescent="0.2">
      <c r="A108">
        <f>Dataset_1!A108</f>
        <v>107</v>
      </c>
      <c r="B108" s="61">
        <f>Dataset_1!B108</f>
        <v>40548</v>
      </c>
      <c r="C108">
        <f>Dataset_1!C108</f>
        <v>1</v>
      </c>
      <c r="D108">
        <f>Dataset_1!D108</f>
        <v>0</v>
      </c>
      <c r="E108">
        <f>Dataset_1!E108</f>
        <v>1</v>
      </c>
      <c r="F108">
        <f>Dataset_1!F108</f>
        <v>15</v>
      </c>
      <c r="G108" t="b">
        <f>Dataset_1!G108</f>
        <v>0</v>
      </c>
      <c r="H108">
        <f>Dataset_1!H108</f>
        <v>3</v>
      </c>
      <c r="I108">
        <f>Dataset_1!I108</f>
        <v>1</v>
      </c>
      <c r="J108">
        <f>Dataset_1!J108</f>
        <v>0.3</v>
      </c>
      <c r="K108">
        <f>INDEX(Dataset_2!$B$2:$B$611,MATCH($A108,Dataset_2!$A$2:$A$611,0))</f>
        <v>0.28789999999999999</v>
      </c>
      <c r="L108">
        <f>INDEX(Dataset_2!$C$2:$C$611,MATCH($A108,Dataset_2!$A$2:$A$611,0))</f>
        <v>0.28000000000000003</v>
      </c>
      <c r="M108">
        <f>INDEX(Dataset_2!$D$2:$D$611,MATCH($A108,Dataset_2!$A$2:$A$611,0))</f>
        <v>0.19400000000000001</v>
      </c>
      <c r="N108">
        <f>INDEX(Dataset_2!$E$2:$E$611,MATCH($A108,Dataset_2!$A$2:$A$611,0))</f>
        <v>7</v>
      </c>
      <c r="O108">
        <f>INDEX(Dataset_2!$F$2:$F$611,MATCH($A108,Dataset_2!$A$2:$A$611,0))</f>
        <v>55</v>
      </c>
      <c r="P108">
        <f>INDEX(Dataset_2!$G$2:$G$611,MATCH($A108,Dataset_2!$A$2:$A$611,0))</f>
        <v>62</v>
      </c>
    </row>
    <row r="109" spans="1:16" x14ac:dyDescent="0.2">
      <c r="A109">
        <f>Dataset_1!A109</f>
        <v>108</v>
      </c>
      <c r="B109" s="61">
        <f>Dataset_1!B109</f>
        <v>40548</v>
      </c>
      <c r="C109">
        <f>Dataset_1!C109</f>
        <v>1</v>
      </c>
      <c r="D109">
        <f>Dataset_1!D109</f>
        <v>0</v>
      </c>
      <c r="E109">
        <f>Dataset_1!E109</f>
        <v>1</v>
      </c>
      <c r="F109">
        <f>Dataset_1!F109</f>
        <v>16</v>
      </c>
      <c r="G109" t="b">
        <f>Dataset_1!G109</f>
        <v>0</v>
      </c>
      <c r="H109">
        <f>Dataset_1!H109</f>
        <v>3</v>
      </c>
      <c r="I109">
        <f>Dataset_1!I109</f>
        <v>1</v>
      </c>
      <c r="J109">
        <f>Dataset_1!J109</f>
        <v>0.3</v>
      </c>
      <c r="K109">
        <f>INDEX(Dataset_2!$B$2:$B$611,MATCH($A109,Dataset_2!$A$2:$A$611,0))</f>
        <v>0.31819999999999998</v>
      </c>
      <c r="L109">
        <f>INDEX(Dataset_2!$C$2:$C$611,MATCH($A109,Dataset_2!$A$2:$A$611,0))</f>
        <v>0.28000000000000003</v>
      </c>
      <c r="M109">
        <f>INDEX(Dataset_2!$D$2:$D$611,MATCH($A109,Dataset_2!$A$2:$A$611,0))</f>
        <v>8.9599999999999999E-2</v>
      </c>
      <c r="N109">
        <f>INDEX(Dataset_2!$E$2:$E$611,MATCH($A109,Dataset_2!$A$2:$A$611,0))</f>
        <v>4</v>
      </c>
      <c r="O109">
        <f>INDEX(Dataset_2!$F$2:$F$611,MATCH($A109,Dataset_2!$A$2:$A$611,0))</f>
        <v>85</v>
      </c>
      <c r="P109">
        <f>INDEX(Dataset_2!$G$2:$G$611,MATCH($A109,Dataset_2!$A$2:$A$611,0))</f>
        <v>89</v>
      </c>
    </row>
    <row r="110" spans="1:16" x14ac:dyDescent="0.2">
      <c r="A110">
        <f>Dataset_1!A110</f>
        <v>109</v>
      </c>
      <c r="B110" s="61">
        <f>Dataset_1!B110</f>
        <v>40548</v>
      </c>
      <c r="C110">
        <f>Dataset_1!C110</f>
        <v>1</v>
      </c>
      <c r="D110">
        <f>Dataset_1!D110</f>
        <v>0</v>
      </c>
      <c r="E110">
        <f>Dataset_1!E110</f>
        <v>1</v>
      </c>
      <c r="F110">
        <f>Dataset_1!F110</f>
        <v>17</v>
      </c>
      <c r="G110" t="b">
        <f>Dataset_1!G110</f>
        <v>0</v>
      </c>
      <c r="H110">
        <f>Dataset_1!H110</f>
        <v>3</v>
      </c>
      <c r="I110">
        <f>Dataset_1!I110</f>
        <v>1</v>
      </c>
      <c r="J110">
        <f>Dataset_1!J110</f>
        <v>0.24</v>
      </c>
      <c r="K110">
        <f>INDEX(Dataset_2!$B$2:$B$611,MATCH($A110,Dataset_2!$A$2:$A$611,0))</f>
        <v>0.2273</v>
      </c>
      <c r="L110">
        <f>INDEX(Dataset_2!$C$2:$C$611,MATCH($A110,Dataset_2!$A$2:$A$611,0))</f>
        <v>0.38</v>
      </c>
      <c r="M110">
        <f>INDEX(Dataset_2!$D$2:$D$611,MATCH($A110,Dataset_2!$A$2:$A$611,0))</f>
        <v>0.19400000000000001</v>
      </c>
      <c r="N110">
        <f>INDEX(Dataset_2!$E$2:$E$611,MATCH($A110,Dataset_2!$A$2:$A$611,0))</f>
        <v>4</v>
      </c>
      <c r="O110">
        <f>INDEX(Dataset_2!$F$2:$F$611,MATCH($A110,Dataset_2!$A$2:$A$611,0))</f>
        <v>186</v>
      </c>
      <c r="P110">
        <f>INDEX(Dataset_2!$G$2:$G$611,MATCH($A110,Dataset_2!$A$2:$A$611,0))</f>
        <v>190</v>
      </c>
    </row>
    <row r="111" spans="1:16" x14ac:dyDescent="0.2">
      <c r="A111">
        <f>Dataset_1!A111</f>
        <v>110</v>
      </c>
      <c r="B111" s="61">
        <f>Dataset_1!B111</f>
        <v>40548</v>
      </c>
      <c r="C111">
        <f>Dataset_1!C111</f>
        <v>1</v>
      </c>
      <c r="D111">
        <f>Dataset_1!D111</f>
        <v>0</v>
      </c>
      <c r="E111">
        <f>Dataset_1!E111</f>
        <v>1</v>
      </c>
      <c r="F111">
        <f>Dataset_1!F111</f>
        <v>18</v>
      </c>
      <c r="G111" t="b">
        <f>Dataset_1!G111</f>
        <v>0</v>
      </c>
      <c r="H111">
        <f>Dataset_1!H111</f>
        <v>3</v>
      </c>
      <c r="I111">
        <f>Dataset_1!I111</f>
        <v>1</v>
      </c>
      <c r="J111">
        <f>Dataset_1!J111</f>
        <v>0.24</v>
      </c>
      <c r="K111">
        <f>INDEX(Dataset_2!$B$2:$B$611,MATCH($A111,Dataset_2!$A$2:$A$611,0))</f>
        <v>0.2424</v>
      </c>
      <c r="L111">
        <f>INDEX(Dataset_2!$C$2:$C$611,MATCH($A111,Dataset_2!$A$2:$A$611,0))</f>
        <v>0.38</v>
      </c>
      <c r="M111">
        <f>INDEX(Dataset_2!$D$2:$D$611,MATCH($A111,Dataset_2!$A$2:$A$611,0))</f>
        <v>0.1343</v>
      </c>
      <c r="N111">
        <f>INDEX(Dataset_2!$E$2:$E$611,MATCH($A111,Dataset_2!$A$2:$A$611,0))</f>
        <v>3</v>
      </c>
      <c r="O111">
        <f>INDEX(Dataset_2!$F$2:$F$611,MATCH($A111,Dataset_2!$A$2:$A$611,0))</f>
        <v>166</v>
      </c>
      <c r="P111">
        <f>INDEX(Dataset_2!$G$2:$G$611,MATCH($A111,Dataset_2!$A$2:$A$611,0))</f>
        <v>169</v>
      </c>
    </row>
    <row r="112" spans="1:16" x14ac:dyDescent="0.2">
      <c r="A112">
        <f>Dataset_1!A112</f>
        <v>111</v>
      </c>
      <c r="B112" s="61">
        <f>Dataset_1!B112</f>
        <v>40548</v>
      </c>
      <c r="C112">
        <f>Dataset_1!C112</f>
        <v>1</v>
      </c>
      <c r="D112">
        <f>Dataset_1!D112</f>
        <v>0</v>
      </c>
      <c r="E112">
        <f>Dataset_1!E112</f>
        <v>1</v>
      </c>
      <c r="F112">
        <f>Dataset_1!F112</f>
        <v>19</v>
      </c>
      <c r="G112" t="b">
        <f>Dataset_1!G112</f>
        <v>0</v>
      </c>
      <c r="H112">
        <f>Dataset_1!H112</f>
        <v>3</v>
      </c>
      <c r="I112">
        <f>Dataset_1!I112</f>
        <v>1</v>
      </c>
      <c r="J112">
        <f>Dataset_1!J112</f>
        <v>0.24</v>
      </c>
      <c r="K112">
        <f>INDEX(Dataset_2!$B$2:$B$611,MATCH($A112,Dataset_2!$A$2:$A$611,0))</f>
        <v>0.2576</v>
      </c>
      <c r="L112">
        <f>INDEX(Dataset_2!$C$2:$C$611,MATCH($A112,Dataset_2!$A$2:$A$611,0))</f>
        <v>0.38</v>
      </c>
      <c r="M112">
        <f>INDEX(Dataset_2!$D$2:$D$611,MATCH($A112,Dataset_2!$A$2:$A$611,0))</f>
        <v>0.1045</v>
      </c>
      <c r="N112">
        <f>INDEX(Dataset_2!$E$2:$E$611,MATCH($A112,Dataset_2!$A$2:$A$611,0))</f>
        <v>5</v>
      </c>
      <c r="O112">
        <f>INDEX(Dataset_2!$F$2:$F$611,MATCH($A112,Dataset_2!$A$2:$A$611,0))</f>
        <v>127</v>
      </c>
      <c r="P112">
        <f>INDEX(Dataset_2!$G$2:$G$611,MATCH($A112,Dataset_2!$A$2:$A$611,0))</f>
        <v>132</v>
      </c>
    </row>
    <row r="113" spans="1:16" x14ac:dyDescent="0.2">
      <c r="A113">
        <f>Dataset_1!A113</f>
        <v>112</v>
      </c>
      <c r="B113" s="61">
        <f>Dataset_1!B113</f>
        <v>40548</v>
      </c>
      <c r="C113">
        <f>Dataset_1!C113</f>
        <v>1</v>
      </c>
      <c r="D113">
        <f>Dataset_1!D113</f>
        <v>0</v>
      </c>
      <c r="E113">
        <f>Dataset_1!E113</f>
        <v>1</v>
      </c>
      <c r="F113">
        <f>Dataset_1!F113</f>
        <v>20</v>
      </c>
      <c r="G113" t="b">
        <f>Dataset_1!G113</f>
        <v>0</v>
      </c>
      <c r="H113">
        <f>Dataset_1!H113</f>
        <v>3</v>
      </c>
      <c r="I113">
        <f>Dataset_1!I113</f>
        <v>1</v>
      </c>
      <c r="J113">
        <f>Dataset_1!J113</f>
        <v>0.22</v>
      </c>
      <c r="K113">
        <f>INDEX(Dataset_2!$B$2:$B$611,MATCH($A113,Dataset_2!$A$2:$A$611,0))</f>
        <v>0.2273</v>
      </c>
      <c r="L113">
        <f>INDEX(Dataset_2!$C$2:$C$611,MATCH($A113,Dataset_2!$A$2:$A$611,0))</f>
        <v>0.47</v>
      </c>
      <c r="M113">
        <f>INDEX(Dataset_2!$D$2:$D$611,MATCH($A113,Dataset_2!$A$2:$A$611,0))</f>
        <v>0.16420000000000001</v>
      </c>
      <c r="N113">
        <f>INDEX(Dataset_2!$E$2:$E$611,MATCH($A113,Dataset_2!$A$2:$A$611,0))</f>
        <v>7</v>
      </c>
      <c r="O113">
        <f>INDEX(Dataset_2!$F$2:$F$611,MATCH($A113,Dataset_2!$A$2:$A$611,0))</f>
        <v>82</v>
      </c>
      <c r="P113">
        <f>INDEX(Dataset_2!$G$2:$G$611,MATCH($A113,Dataset_2!$A$2:$A$611,0))</f>
        <v>89</v>
      </c>
    </row>
    <row r="114" spans="1:16" x14ac:dyDescent="0.2">
      <c r="A114">
        <f>Dataset_1!A114</f>
        <v>113</v>
      </c>
      <c r="B114" s="61">
        <f>Dataset_1!B114</f>
        <v>40548</v>
      </c>
      <c r="C114">
        <f>Dataset_1!C114</f>
        <v>1</v>
      </c>
      <c r="D114">
        <f>Dataset_1!D114</f>
        <v>0</v>
      </c>
      <c r="E114">
        <f>Dataset_1!E114</f>
        <v>1</v>
      </c>
      <c r="F114">
        <f>Dataset_1!F114</f>
        <v>21</v>
      </c>
      <c r="G114" t="b">
        <f>Dataset_1!G114</f>
        <v>0</v>
      </c>
      <c r="H114">
        <f>Dataset_1!H114</f>
        <v>3</v>
      </c>
      <c r="I114">
        <f>Dataset_1!I114</f>
        <v>1</v>
      </c>
      <c r="J114">
        <f>Dataset_1!J114</f>
        <v>0.2</v>
      </c>
      <c r="K114">
        <f>INDEX(Dataset_2!$B$2:$B$611,MATCH($A114,Dataset_2!$A$2:$A$611,0))</f>
        <v>0.19700000000000001</v>
      </c>
      <c r="L114">
        <f>INDEX(Dataset_2!$C$2:$C$611,MATCH($A114,Dataset_2!$A$2:$A$611,0))</f>
        <v>0.51</v>
      </c>
      <c r="M114">
        <f>INDEX(Dataset_2!$D$2:$D$611,MATCH($A114,Dataset_2!$A$2:$A$611,0))</f>
        <v>0.19400000000000001</v>
      </c>
      <c r="N114">
        <f>INDEX(Dataset_2!$E$2:$E$611,MATCH($A114,Dataset_2!$A$2:$A$611,0))</f>
        <v>3</v>
      </c>
      <c r="O114">
        <f>INDEX(Dataset_2!$F$2:$F$611,MATCH($A114,Dataset_2!$A$2:$A$611,0))</f>
        <v>40</v>
      </c>
      <c r="P114">
        <f>INDEX(Dataset_2!$G$2:$G$611,MATCH($A114,Dataset_2!$A$2:$A$611,0))</f>
        <v>43</v>
      </c>
    </row>
    <row r="115" spans="1:16" x14ac:dyDescent="0.2">
      <c r="A115">
        <f>Dataset_1!A115</f>
        <v>114</v>
      </c>
      <c r="B115" s="61">
        <f>Dataset_1!B115</f>
        <v>40548</v>
      </c>
      <c r="C115">
        <f>Dataset_1!C115</f>
        <v>1</v>
      </c>
      <c r="D115">
        <f>Dataset_1!D115</f>
        <v>0</v>
      </c>
      <c r="E115">
        <f>Dataset_1!E115</f>
        <v>1</v>
      </c>
      <c r="F115">
        <f>Dataset_1!F115</f>
        <v>22</v>
      </c>
      <c r="G115" t="b">
        <f>Dataset_1!G115</f>
        <v>0</v>
      </c>
      <c r="H115">
        <f>Dataset_1!H115</f>
        <v>3</v>
      </c>
      <c r="I115">
        <f>Dataset_1!I115</f>
        <v>1</v>
      </c>
      <c r="J115">
        <f>Dataset_1!J115</f>
        <v>0.18</v>
      </c>
      <c r="K115">
        <f>INDEX(Dataset_2!$B$2:$B$611,MATCH($A115,Dataset_2!$A$2:$A$611,0))</f>
        <v>0.19700000000000001</v>
      </c>
      <c r="L115">
        <f>INDEX(Dataset_2!$C$2:$C$611,MATCH($A115,Dataset_2!$A$2:$A$611,0))</f>
        <v>0.55000000000000004</v>
      </c>
      <c r="M115">
        <f>INDEX(Dataset_2!$D$2:$D$611,MATCH($A115,Dataset_2!$A$2:$A$611,0))</f>
        <v>0.1343</v>
      </c>
      <c r="N115">
        <f>INDEX(Dataset_2!$E$2:$E$611,MATCH($A115,Dataset_2!$A$2:$A$611,0))</f>
        <v>1</v>
      </c>
      <c r="O115">
        <f>INDEX(Dataset_2!$F$2:$F$611,MATCH($A115,Dataset_2!$A$2:$A$611,0))</f>
        <v>41</v>
      </c>
      <c r="P115">
        <f>INDEX(Dataset_2!$G$2:$G$611,MATCH($A115,Dataset_2!$A$2:$A$611,0))</f>
        <v>42</v>
      </c>
    </row>
    <row r="116" spans="1:16" x14ac:dyDescent="0.2">
      <c r="A116">
        <f>Dataset_1!A116</f>
        <v>115</v>
      </c>
      <c r="B116" s="61">
        <f>Dataset_1!B116</f>
        <v>40548</v>
      </c>
      <c r="C116">
        <f>Dataset_1!C116</f>
        <v>1</v>
      </c>
      <c r="D116">
        <f>Dataset_1!D116</f>
        <v>0</v>
      </c>
      <c r="E116">
        <f>Dataset_1!E116</f>
        <v>1</v>
      </c>
      <c r="F116">
        <f>Dataset_1!F116</f>
        <v>23</v>
      </c>
      <c r="G116" t="b">
        <f>Dataset_1!G116</f>
        <v>0</v>
      </c>
      <c r="H116">
        <f>Dataset_1!H116</f>
        <v>3</v>
      </c>
      <c r="I116">
        <f>Dataset_1!I116</f>
        <v>1</v>
      </c>
      <c r="J116">
        <f>Dataset_1!J116</f>
        <v>0.2</v>
      </c>
      <c r="K116">
        <f>INDEX(Dataset_2!$B$2:$B$611,MATCH($A116,Dataset_2!$A$2:$A$611,0))</f>
        <v>0.2576</v>
      </c>
      <c r="L116">
        <f>INDEX(Dataset_2!$C$2:$C$611,MATCH($A116,Dataset_2!$A$2:$A$611,0))</f>
        <v>0.47</v>
      </c>
      <c r="M116">
        <f>INDEX(Dataset_2!$D$2:$D$611,MATCH($A116,Dataset_2!$A$2:$A$611,0))</f>
        <v>0</v>
      </c>
      <c r="N116">
        <f>INDEX(Dataset_2!$E$2:$E$611,MATCH($A116,Dataset_2!$A$2:$A$611,0))</f>
        <v>1</v>
      </c>
      <c r="O116">
        <f>INDEX(Dataset_2!$F$2:$F$611,MATCH($A116,Dataset_2!$A$2:$A$611,0))</f>
        <v>18</v>
      </c>
      <c r="P116">
        <f>INDEX(Dataset_2!$G$2:$G$611,MATCH($A116,Dataset_2!$A$2:$A$611,0))</f>
        <v>19</v>
      </c>
    </row>
    <row r="117" spans="1:16" x14ac:dyDescent="0.2">
      <c r="A117">
        <f>Dataset_1!A117</f>
        <v>116</v>
      </c>
      <c r="B117" s="61">
        <f>Dataset_1!B117</f>
        <v>40549</v>
      </c>
      <c r="C117">
        <f>Dataset_1!C117</f>
        <v>1</v>
      </c>
      <c r="D117">
        <f>Dataset_1!D117</f>
        <v>0</v>
      </c>
      <c r="E117">
        <f>Dataset_1!E117</f>
        <v>1</v>
      </c>
      <c r="F117">
        <f>Dataset_1!F117</f>
        <v>0</v>
      </c>
      <c r="G117" t="b">
        <f>Dataset_1!G117</f>
        <v>0</v>
      </c>
      <c r="H117">
        <f>Dataset_1!H117</f>
        <v>4</v>
      </c>
      <c r="I117">
        <f>Dataset_1!I117</f>
        <v>1</v>
      </c>
      <c r="J117">
        <f>Dataset_1!J117</f>
        <v>0.18</v>
      </c>
      <c r="K117">
        <f>INDEX(Dataset_2!$B$2:$B$611,MATCH($A117,Dataset_2!$A$2:$A$611,0))</f>
        <v>0.2424</v>
      </c>
      <c r="L117">
        <f>INDEX(Dataset_2!$C$2:$C$611,MATCH($A117,Dataset_2!$A$2:$A$611,0))</f>
        <v>0.55000000000000004</v>
      </c>
      <c r="M117">
        <f>INDEX(Dataset_2!$D$2:$D$611,MATCH($A117,Dataset_2!$A$2:$A$611,0))</f>
        <v>0</v>
      </c>
      <c r="N117">
        <f>INDEX(Dataset_2!$E$2:$E$611,MATCH($A117,Dataset_2!$A$2:$A$611,0))</f>
        <v>0</v>
      </c>
      <c r="O117">
        <f>INDEX(Dataset_2!$F$2:$F$611,MATCH($A117,Dataset_2!$A$2:$A$611,0))</f>
        <v>11</v>
      </c>
      <c r="P117">
        <f>INDEX(Dataset_2!$G$2:$G$611,MATCH($A117,Dataset_2!$A$2:$A$611,0))</f>
        <v>11</v>
      </c>
    </row>
    <row r="118" spans="1:16" x14ac:dyDescent="0.2">
      <c r="A118">
        <f>Dataset_1!A118</f>
        <v>117</v>
      </c>
      <c r="B118" s="61">
        <f>Dataset_1!B118</f>
        <v>40549</v>
      </c>
      <c r="C118">
        <f>Dataset_1!C118</f>
        <v>1</v>
      </c>
      <c r="D118">
        <f>Dataset_1!D118</f>
        <v>0</v>
      </c>
      <c r="E118">
        <f>Dataset_1!E118</f>
        <v>1</v>
      </c>
      <c r="F118">
        <f>Dataset_1!F118</f>
        <v>1</v>
      </c>
      <c r="G118" t="b">
        <f>Dataset_1!G118</f>
        <v>0</v>
      </c>
      <c r="H118">
        <f>Dataset_1!H118</f>
        <v>4</v>
      </c>
      <c r="I118">
        <f>Dataset_1!I118</f>
        <v>1</v>
      </c>
      <c r="J118">
        <f>Dataset_1!J118</f>
        <v>0.16</v>
      </c>
      <c r="K118">
        <f>INDEX(Dataset_2!$B$2:$B$611,MATCH($A118,Dataset_2!$A$2:$A$611,0))</f>
        <v>0.2273</v>
      </c>
      <c r="L118">
        <f>INDEX(Dataset_2!$C$2:$C$611,MATCH($A118,Dataset_2!$A$2:$A$611,0))</f>
        <v>0.64</v>
      </c>
      <c r="M118">
        <f>INDEX(Dataset_2!$D$2:$D$611,MATCH($A118,Dataset_2!$A$2:$A$611,0))</f>
        <v>0</v>
      </c>
      <c r="N118">
        <f>INDEX(Dataset_2!$E$2:$E$611,MATCH($A118,Dataset_2!$A$2:$A$611,0))</f>
        <v>0</v>
      </c>
      <c r="O118">
        <f>INDEX(Dataset_2!$F$2:$F$611,MATCH($A118,Dataset_2!$A$2:$A$611,0))</f>
        <v>4</v>
      </c>
      <c r="P118">
        <f>INDEX(Dataset_2!$G$2:$G$611,MATCH($A118,Dataset_2!$A$2:$A$611,0))</f>
        <v>4</v>
      </c>
    </row>
    <row r="119" spans="1:16" x14ac:dyDescent="0.2">
      <c r="A119">
        <f>Dataset_1!A119</f>
        <v>118</v>
      </c>
      <c r="B119" s="61">
        <f>Dataset_1!B119</f>
        <v>40549</v>
      </c>
      <c r="C119">
        <f>Dataset_1!C119</f>
        <v>1</v>
      </c>
      <c r="D119">
        <f>Dataset_1!D119</f>
        <v>0</v>
      </c>
      <c r="E119">
        <f>Dataset_1!E119</f>
        <v>1</v>
      </c>
      <c r="F119">
        <f>Dataset_1!F119</f>
        <v>2</v>
      </c>
      <c r="G119" t="b">
        <f>Dataset_1!G119</f>
        <v>0</v>
      </c>
      <c r="H119">
        <f>Dataset_1!H119</f>
        <v>4</v>
      </c>
      <c r="I119">
        <f>Dataset_1!I119</f>
        <v>1</v>
      </c>
      <c r="J119">
        <f>Dataset_1!J119</f>
        <v>0.16</v>
      </c>
      <c r="K119">
        <f>INDEX(Dataset_2!$B$2:$B$611,MATCH($A119,Dataset_2!$A$2:$A$611,0))</f>
        <v>0.2273</v>
      </c>
      <c r="L119">
        <f>INDEX(Dataset_2!$C$2:$C$611,MATCH($A119,Dataset_2!$A$2:$A$611,0))</f>
        <v>0.64</v>
      </c>
      <c r="M119">
        <f>INDEX(Dataset_2!$D$2:$D$611,MATCH($A119,Dataset_2!$A$2:$A$611,0))</f>
        <v>0</v>
      </c>
      <c r="N119">
        <f>INDEX(Dataset_2!$E$2:$E$611,MATCH($A119,Dataset_2!$A$2:$A$611,0))</f>
        <v>0</v>
      </c>
      <c r="O119">
        <f>INDEX(Dataset_2!$F$2:$F$611,MATCH($A119,Dataset_2!$A$2:$A$611,0))</f>
        <v>2</v>
      </c>
      <c r="P119">
        <f>INDEX(Dataset_2!$G$2:$G$611,MATCH($A119,Dataset_2!$A$2:$A$611,0))</f>
        <v>2</v>
      </c>
    </row>
    <row r="120" spans="1:16" x14ac:dyDescent="0.2">
      <c r="A120">
        <f>Dataset_1!A120</f>
        <v>119</v>
      </c>
      <c r="B120" s="61">
        <f>Dataset_1!B120</f>
        <v>40549</v>
      </c>
      <c r="C120">
        <f>Dataset_1!C120</f>
        <v>1</v>
      </c>
      <c r="D120">
        <f>Dataset_1!D120</f>
        <v>0</v>
      </c>
      <c r="E120">
        <f>Dataset_1!E120</f>
        <v>1</v>
      </c>
      <c r="F120">
        <f>Dataset_1!F120</f>
        <v>4</v>
      </c>
      <c r="G120" t="b">
        <f>Dataset_1!G120</f>
        <v>0</v>
      </c>
      <c r="H120">
        <f>Dataset_1!H120</f>
        <v>4</v>
      </c>
      <c r="I120">
        <f>Dataset_1!I120</f>
        <v>2</v>
      </c>
      <c r="J120">
        <f>Dataset_1!J120</f>
        <v>0.16</v>
      </c>
      <c r="K120">
        <f>INDEX(Dataset_2!$B$2:$B$611,MATCH($A120,Dataset_2!$A$2:$A$611,0))</f>
        <v>0.19700000000000001</v>
      </c>
      <c r="L120">
        <f>INDEX(Dataset_2!$C$2:$C$611,MATCH($A120,Dataset_2!$A$2:$A$611,0))</f>
        <v>0.64</v>
      </c>
      <c r="M120">
        <f>INDEX(Dataset_2!$D$2:$D$611,MATCH($A120,Dataset_2!$A$2:$A$611,0))</f>
        <v>8.9599999999999999E-2</v>
      </c>
      <c r="N120">
        <f>INDEX(Dataset_2!$E$2:$E$611,MATCH($A120,Dataset_2!$A$2:$A$611,0))</f>
        <v>0</v>
      </c>
      <c r="O120">
        <f>INDEX(Dataset_2!$F$2:$F$611,MATCH($A120,Dataset_2!$A$2:$A$611,0))</f>
        <v>1</v>
      </c>
      <c r="P120">
        <f>INDEX(Dataset_2!$G$2:$G$611,MATCH($A120,Dataset_2!$A$2:$A$611,0))</f>
        <v>1</v>
      </c>
    </row>
    <row r="121" spans="1:16" x14ac:dyDescent="0.2">
      <c r="A121">
        <f>Dataset_1!A121</f>
        <v>120</v>
      </c>
      <c r="B121" s="61">
        <f>Dataset_1!B121</f>
        <v>40549</v>
      </c>
      <c r="C121">
        <f>Dataset_1!C121</f>
        <v>1</v>
      </c>
      <c r="D121">
        <f>Dataset_1!D121</f>
        <v>0</v>
      </c>
      <c r="E121">
        <f>Dataset_1!E121</f>
        <v>1</v>
      </c>
      <c r="F121">
        <f>Dataset_1!F121</f>
        <v>5</v>
      </c>
      <c r="G121" t="b">
        <f>Dataset_1!G121</f>
        <v>0</v>
      </c>
      <c r="H121">
        <f>Dataset_1!H121</f>
        <v>4</v>
      </c>
      <c r="I121">
        <f>Dataset_1!I121</f>
        <v>2</v>
      </c>
      <c r="J121">
        <f>Dataset_1!J121</f>
        <v>0.14000000000000001</v>
      </c>
      <c r="K121">
        <f>INDEX(Dataset_2!$B$2:$B$611,MATCH($A121,Dataset_2!$A$2:$A$611,0))</f>
        <v>0.18179999999999999</v>
      </c>
      <c r="L121">
        <f>INDEX(Dataset_2!$C$2:$C$611,MATCH($A121,Dataset_2!$A$2:$A$611,0))</f>
        <v>0.69</v>
      </c>
      <c r="M121">
        <f>INDEX(Dataset_2!$D$2:$D$611,MATCH($A121,Dataset_2!$A$2:$A$611,0))</f>
        <v>8.9599999999999999E-2</v>
      </c>
      <c r="N121">
        <f>INDEX(Dataset_2!$E$2:$E$611,MATCH($A121,Dataset_2!$A$2:$A$611,0))</f>
        <v>0</v>
      </c>
      <c r="O121">
        <f>INDEX(Dataset_2!$F$2:$F$611,MATCH($A121,Dataset_2!$A$2:$A$611,0))</f>
        <v>4</v>
      </c>
      <c r="P121">
        <f>INDEX(Dataset_2!$G$2:$G$611,MATCH($A121,Dataset_2!$A$2:$A$611,0))</f>
        <v>4</v>
      </c>
    </row>
    <row r="122" spans="1:16" x14ac:dyDescent="0.2">
      <c r="A122">
        <f>Dataset_1!A122</f>
        <v>121</v>
      </c>
      <c r="B122" s="61">
        <f>Dataset_1!B122</f>
        <v>40549</v>
      </c>
      <c r="C122">
        <f>Dataset_1!C122</f>
        <v>1</v>
      </c>
      <c r="D122">
        <f>Dataset_1!D122</f>
        <v>0</v>
      </c>
      <c r="E122">
        <f>Dataset_1!E122</f>
        <v>1</v>
      </c>
      <c r="F122">
        <f>Dataset_1!F122</f>
        <v>6</v>
      </c>
      <c r="G122" t="b">
        <f>Dataset_1!G122</f>
        <v>0</v>
      </c>
      <c r="H122">
        <f>Dataset_1!H122</f>
        <v>4</v>
      </c>
      <c r="I122">
        <f>Dataset_1!I122</f>
        <v>2</v>
      </c>
      <c r="J122">
        <f>Dataset_1!J122</f>
        <v>0.14000000000000001</v>
      </c>
      <c r="K122">
        <f>INDEX(Dataset_2!$B$2:$B$611,MATCH($A122,Dataset_2!$A$2:$A$611,0))</f>
        <v>0.16669999999999999</v>
      </c>
      <c r="L122">
        <f>INDEX(Dataset_2!$C$2:$C$611,MATCH($A122,Dataset_2!$A$2:$A$611,0))</f>
        <v>0.63</v>
      </c>
      <c r="M122">
        <f>INDEX(Dataset_2!$D$2:$D$611,MATCH($A122,Dataset_2!$A$2:$A$611,0))</f>
        <v>0.1045</v>
      </c>
      <c r="N122">
        <f>INDEX(Dataset_2!$E$2:$E$611,MATCH($A122,Dataset_2!$A$2:$A$611,0))</f>
        <v>0</v>
      </c>
      <c r="O122">
        <f>INDEX(Dataset_2!$F$2:$F$611,MATCH($A122,Dataset_2!$A$2:$A$611,0))</f>
        <v>36</v>
      </c>
      <c r="P122">
        <f>INDEX(Dataset_2!$G$2:$G$611,MATCH($A122,Dataset_2!$A$2:$A$611,0))</f>
        <v>36</v>
      </c>
    </row>
    <row r="123" spans="1:16" x14ac:dyDescent="0.2">
      <c r="A123">
        <f>Dataset_1!A123</f>
        <v>122</v>
      </c>
      <c r="B123" s="61">
        <f>Dataset_1!B123</f>
        <v>40549</v>
      </c>
      <c r="C123">
        <f>Dataset_1!C123</f>
        <v>1</v>
      </c>
      <c r="D123">
        <f>Dataset_1!D123</f>
        <v>0</v>
      </c>
      <c r="E123">
        <f>Dataset_1!E123</f>
        <v>1</v>
      </c>
      <c r="F123">
        <f>Dataset_1!F123</f>
        <v>7</v>
      </c>
      <c r="G123" t="b">
        <f>Dataset_1!G123</f>
        <v>0</v>
      </c>
      <c r="H123">
        <f>Dataset_1!H123</f>
        <v>4</v>
      </c>
      <c r="I123">
        <f>Dataset_1!I123</f>
        <v>2</v>
      </c>
      <c r="J123">
        <f>Dataset_1!J123</f>
        <v>0.16</v>
      </c>
      <c r="K123">
        <f>INDEX(Dataset_2!$B$2:$B$611,MATCH($A123,Dataset_2!$A$2:$A$611,0))</f>
        <v>0.2273</v>
      </c>
      <c r="L123">
        <f>INDEX(Dataset_2!$C$2:$C$611,MATCH($A123,Dataset_2!$A$2:$A$611,0))</f>
        <v>0.59</v>
      </c>
      <c r="M123">
        <f>INDEX(Dataset_2!$D$2:$D$611,MATCH($A123,Dataset_2!$A$2:$A$611,0))</f>
        <v>0</v>
      </c>
      <c r="N123">
        <f>INDEX(Dataset_2!$E$2:$E$611,MATCH($A123,Dataset_2!$A$2:$A$611,0))</f>
        <v>0</v>
      </c>
      <c r="O123">
        <f>INDEX(Dataset_2!$F$2:$F$611,MATCH($A123,Dataset_2!$A$2:$A$611,0))</f>
        <v>95</v>
      </c>
      <c r="P123">
        <f>INDEX(Dataset_2!$G$2:$G$611,MATCH($A123,Dataset_2!$A$2:$A$611,0))</f>
        <v>95</v>
      </c>
    </row>
    <row r="124" spans="1:16" x14ac:dyDescent="0.2">
      <c r="A124">
        <f>Dataset_1!A124</f>
        <v>123</v>
      </c>
      <c r="B124" s="61">
        <f>Dataset_1!B124</f>
        <v>40549</v>
      </c>
      <c r="C124">
        <f>Dataset_1!C124</f>
        <v>1</v>
      </c>
      <c r="D124">
        <f>Dataset_1!D124</f>
        <v>0</v>
      </c>
      <c r="E124">
        <f>Dataset_1!E124</f>
        <v>1</v>
      </c>
      <c r="F124">
        <f>Dataset_1!F124</f>
        <v>8</v>
      </c>
      <c r="G124" t="b">
        <f>Dataset_1!G124</f>
        <v>0</v>
      </c>
      <c r="H124">
        <f>Dataset_1!H124</f>
        <v>4</v>
      </c>
      <c r="I124">
        <f>Dataset_1!I124</f>
        <v>1</v>
      </c>
      <c r="J124">
        <f>Dataset_1!J124</f>
        <v>0.16</v>
      </c>
      <c r="K124">
        <f>INDEX(Dataset_2!$B$2:$B$611,MATCH($A124,Dataset_2!$A$2:$A$611,0))</f>
        <v>0.2273</v>
      </c>
      <c r="L124">
        <f>INDEX(Dataset_2!$C$2:$C$611,MATCH($A124,Dataset_2!$A$2:$A$611,0))</f>
        <v>0.59</v>
      </c>
      <c r="M124">
        <f>INDEX(Dataset_2!$D$2:$D$611,MATCH($A124,Dataset_2!$A$2:$A$611,0))</f>
        <v>0</v>
      </c>
      <c r="N124">
        <f>INDEX(Dataset_2!$E$2:$E$611,MATCH($A124,Dataset_2!$A$2:$A$611,0))</f>
        <v>3</v>
      </c>
      <c r="O124">
        <f>INDEX(Dataset_2!$F$2:$F$611,MATCH($A124,Dataset_2!$A$2:$A$611,0))</f>
        <v>216</v>
      </c>
      <c r="P124">
        <f>INDEX(Dataset_2!$G$2:$G$611,MATCH($A124,Dataset_2!$A$2:$A$611,0))</f>
        <v>219</v>
      </c>
    </row>
    <row r="125" spans="1:16" x14ac:dyDescent="0.2">
      <c r="A125">
        <f>Dataset_1!A125</f>
        <v>124</v>
      </c>
      <c r="B125" s="61">
        <f>Dataset_1!B125</f>
        <v>40549</v>
      </c>
      <c r="C125">
        <f>Dataset_1!C125</f>
        <v>1</v>
      </c>
      <c r="D125">
        <f>Dataset_1!D125</f>
        <v>0</v>
      </c>
      <c r="E125">
        <f>Dataset_1!E125</f>
        <v>1</v>
      </c>
      <c r="F125">
        <f>Dataset_1!F125</f>
        <v>9</v>
      </c>
      <c r="G125" t="b">
        <f>Dataset_1!G125</f>
        <v>0</v>
      </c>
      <c r="H125">
        <f>Dataset_1!H125</f>
        <v>4</v>
      </c>
      <c r="I125">
        <f>Dataset_1!I125</f>
        <v>2</v>
      </c>
      <c r="J125">
        <f>Dataset_1!J125</f>
        <v>0.18</v>
      </c>
      <c r="K125">
        <f>INDEX(Dataset_2!$B$2:$B$611,MATCH($A125,Dataset_2!$A$2:$A$611,0))</f>
        <v>0.2424</v>
      </c>
      <c r="L125">
        <f>INDEX(Dataset_2!$C$2:$C$611,MATCH($A125,Dataset_2!$A$2:$A$611,0))</f>
        <v>0.51</v>
      </c>
      <c r="M125">
        <f>INDEX(Dataset_2!$D$2:$D$611,MATCH($A125,Dataset_2!$A$2:$A$611,0))</f>
        <v>0</v>
      </c>
      <c r="N125">
        <f>INDEX(Dataset_2!$E$2:$E$611,MATCH($A125,Dataset_2!$A$2:$A$611,0))</f>
        <v>6</v>
      </c>
      <c r="O125">
        <f>INDEX(Dataset_2!$F$2:$F$611,MATCH($A125,Dataset_2!$A$2:$A$611,0))</f>
        <v>116</v>
      </c>
      <c r="P125">
        <f>INDEX(Dataset_2!$G$2:$G$611,MATCH($A125,Dataset_2!$A$2:$A$611,0))</f>
        <v>122</v>
      </c>
    </row>
    <row r="126" spans="1:16" x14ac:dyDescent="0.2">
      <c r="A126">
        <f>Dataset_1!A126</f>
        <v>125</v>
      </c>
      <c r="B126" s="61">
        <f>Dataset_1!B126</f>
        <v>40549</v>
      </c>
      <c r="C126">
        <f>Dataset_1!C126</f>
        <v>1</v>
      </c>
      <c r="D126">
        <f>Dataset_1!D126</f>
        <v>0</v>
      </c>
      <c r="E126">
        <f>Dataset_1!E126</f>
        <v>1</v>
      </c>
      <c r="F126">
        <f>Dataset_1!F126</f>
        <v>10</v>
      </c>
      <c r="G126" t="b">
        <f>Dataset_1!G126</f>
        <v>0</v>
      </c>
      <c r="H126">
        <f>Dataset_1!H126</f>
        <v>4</v>
      </c>
      <c r="I126">
        <f>Dataset_1!I126</f>
        <v>1</v>
      </c>
      <c r="J126">
        <f>Dataset_1!J126</f>
        <v>0.2</v>
      </c>
      <c r="K126">
        <f>INDEX(Dataset_2!$B$2:$B$611,MATCH($A126,Dataset_2!$A$2:$A$611,0))</f>
        <v>0.2576</v>
      </c>
      <c r="L126">
        <f>INDEX(Dataset_2!$C$2:$C$611,MATCH($A126,Dataset_2!$A$2:$A$611,0))</f>
        <v>0.47</v>
      </c>
      <c r="M126">
        <f>INDEX(Dataset_2!$D$2:$D$611,MATCH($A126,Dataset_2!$A$2:$A$611,0))</f>
        <v>0</v>
      </c>
      <c r="N126">
        <f>INDEX(Dataset_2!$E$2:$E$611,MATCH($A126,Dataset_2!$A$2:$A$611,0))</f>
        <v>3</v>
      </c>
      <c r="O126">
        <f>INDEX(Dataset_2!$F$2:$F$611,MATCH($A126,Dataset_2!$A$2:$A$611,0))</f>
        <v>42</v>
      </c>
      <c r="P126">
        <f>INDEX(Dataset_2!$G$2:$G$611,MATCH($A126,Dataset_2!$A$2:$A$611,0))</f>
        <v>45</v>
      </c>
    </row>
    <row r="127" spans="1:16" x14ac:dyDescent="0.2">
      <c r="A127">
        <f>Dataset_1!A127</f>
        <v>126</v>
      </c>
      <c r="B127" s="61">
        <f>Dataset_1!B127</f>
        <v>40549</v>
      </c>
      <c r="C127">
        <f>Dataset_1!C127</f>
        <v>1</v>
      </c>
      <c r="D127">
        <f>Dataset_1!D127</f>
        <v>0</v>
      </c>
      <c r="E127">
        <f>Dataset_1!E127</f>
        <v>1</v>
      </c>
      <c r="F127">
        <f>Dataset_1!F127</f>
        <v>11</v>
      </c>
      <c r="G127" t="b">
        <f>Dataset_1!G127</f>
        <v>0</v>
      </c>
      <c r="H127">
        <f>Dataset_1!H127</f>
        <v>4</v>
      </c>
      <c r="I127">
        <f>Dataset_1!I127</f>
        <v>1</v>
      </c>
      <c r="J127">
        <f>Dataset_1!J127</f>
        <v>0.22</v>
      </c>
      <c r="K127">
        <f>INDEX(Dataset_2!$B$2:$B$611,MATCH($A127,Dataset_2!$A$2:$A$611,0))</f>
        <v>0.2576</v>
      </c>
      <c r="L127">
        <f>INDEX(Dataset_2!$C$2:$C$611,MATCH($A127,Dataset_2!$A$2:$A$611,0))</f>
        <v>0.44</v>
      </c>
      <c r="M127">
        <f>INDEX(Dataset_2!$D$2:$D$611,MATCH($A127,Dataset_2!$A$2:$A$611,0))</f>
        <v>8.9599999999999999E-2</v>
      </c>
      <c r="N127">
        <f>INDEX(Dataset_2!$E$2:$E$611,MATCH($A127,Dataset_2!$A$2:$A$611,0))</f>
        <v>2</v>
      </c>
      <c r="O127">
        <f>INDEX(Dataset_2!$F$2:$F$611,MATCH($A127,Dataset_2!$A$2:$A$611,0))</f>
        <v>57</v>
      </c>
      <c r="P127">
        <f>INDEX(Dataset_2!$G$2:$G$611,MATCH($A127,Dataset_2!$A$2:$A$611,0))</f>
        <v>59</v>
      </c>
    </row>
    <row r="128" spans="1:16" x14ac:dyDescent="0.2">
      <c r="A128">
        <f>Dataset_1!A128</f>
        <v>127</v>
      </c>
      <c r="B128" s="61">
        <f>Dataset_1!B128</f>
        <v>40549</v>
      </c>
      <c r="C128">
        <f>Dataset_1!C128</f>
        <v>1</v>
      </c>
      <c r="D128">
        <f>Dataset_1!D128</f>
        <v>0</v>
      </c>
      <c r="E128">
        <f>Dataset_1!E128</f>
        <v>1</v>
      </c>
      <c r="F128">
        <f>Dataset_1!F128</f>
        <v>12</v>
      </c>
      <c r="G128" t="b">
        <f>Dataset_1!G128</f>
        <v>0</v>
      </c>
      <c r="H128">
        <f>Dataset_1!H128</f>
        <v>4</v>
      </c>
      <c r="I128">
        <f>Dataset_1!I128</f>
        <v>1</v>
      </c>
      <c r="J128">
        <f>Dataset_1!J128</f>
        <v>0.26</v>
      </c>
      <c r="K128">
        <f>INDEX(Dataset_2!$B$2:$B$611,MATCH($A128,Dataset_2!$A$2:$A$611,0))</f>
        <v>0.28789999999999999</v>
      </c>
      <c r="L128">
        <f>INDEX(Dataset_2!$C$2:$C$611,MATCH($A128,Dataset_2!$A$2:$A$611,0))</f>
        <v>0.35</v>
      </c>
      <c r="M128">
        <f>INDEX(Dataset_2!$D$2:$D$611,MATCH($A128,Dataset_2!$A$2:$A$611,0))</f>
        <v>0</v>
      </c>
      <c r="N128">
        <f>INDEX(Dataset_2!$E$2:$E$611,MATCH($A128,Dataset_2!$A$2:$A$611,0))</f>
        <v>6</v>
      </c>
      <c r="O128">
        <f>INDEX(Dataset_2!$F$2:$F$611,MATCH($A128,Dataset_2!$A$2:$A$611,0))</f>
        <v>78</v>
      </c>
      <c r="P128">
        <f>INDEX(Dataset_2!$G$2:$G$611,MATCH($A128,Dataset_2!$A$2:$A$611,0))</f>
        <v>84</v>
      </c>
    </row>
    <row r="129" spans="1:16" x14ac:dyDescent="0.2">
      <c r="A129">
        <f>Dataset_1!A129</f>
        <v>128</v>
      </c>
      <c r="B129" s="61">
        <f>Dataset_1!B129</f>
        <v>40549</v>
      </c>
      <c r="C129">
        <f>Dataset_1!C129</f>
        <v>1</v>
      </c>
      <c r="D129">
        <f>Dataset_1!D129</f>
        <v>0</v>
      </c>
      <c r="E129">
        <f>Dataset_1!E129</f>
        <v>1</v>
      </c>
      <c r="F129">
        <f>Dataset_1!F129</f>
        <v>13</v>
      </c>
      <c r="G129" t="b">
        <f>Dataset_1!G129</f>
        <v>0</v>
      </c>
      <c r="H129">
        <f>Dataset_1!H129</f>
        <v>4</v>
      </c>
      <c r="I129">
        <f>Dataset_1!I129</f>
        <v>1</v>
      </c>
      <c r="J129">
        <f>Dataset_1!J129</f>
        <v>0.26</v>
      </c>
      <c r="K129">
        <f>INDEX(Dataset_2!$B$2:$B$611,MATCH($A129,Dataset_2!$A$2:$A$611,0))</f>
        <v>0.2727</v>
      </c>
      <c r="L129">
        <f>INDEX(Dataset_2!$C$2:$C$611,MATCH($A129,Dataset_2!$A$2:$A$611,0))</f>
        <v>0.35</v>
      </c>
      <c r="M129">
        <f>INDEX(Dataset_2!$D$2:$D$611,MATCH($A129,Dataset_2!$A$2:$A$611,0))</f>
        <v>0.1045</v>
      </c>
      <c r="N129">
        <f>INDEX(Dataset_2!$E$2:$E$611,MATCH($A129,Dataset_2!$A$2:$A$611,0))</f>
        <v>12</v>
      </c>
      <c r="O129">
        <f>INDEX(Dataset_2!$F$2:$F$611,MATCH($A129,Dataset_2!$A$2:$A$611,0))</f>
        <v>55</v>
      </c>
      <c r="P129">
        <f>INDEX(Dataset_2!$G$2:$G$611,MATCH($A129,Dataset_2!$A$2:$A$611,0))</f>
        <v>67</v>
      </c>
    </row>
    <row r="130" spans="1:16" x14ac:dyDescent="0.2">
      <c r="A130">
        <f>Dataset_1!A130</f>
        <v>129</v>
      </c>
      <c r="B130" s="61">
        <f>Dataset_1!B130</f>
        <v>40549</v>
      </c>
      <c r="C130">
        <f>Dataset_1!C130</f>
        <v>1</v>
      </c>
      <c r="D130">
        <f>Dataset_1!D130</f>
        <v>0</v>
      </c>
      <c r="E130">
        <f>Dataset_1!E130</f>
        <v>1</v>
      </c>
      <c r="F130">
        <f>Dataset_1!F130</f>
        <v>14</v>
      </c>
      <c r="G130" t="b">
        <f>Dataset_1!G130</f>
        <v>0</v>
      </c>
      <c r="H130">
        <f>Dataset_1!H130</f>
        <v>4</v>
      </c>
      <c r="I130">
        <f>Dataset_1!I130</f>
        <v>1</v>
      </c>
      <c r="J130">
        <f>Dataset_1!J130</f>
        <v>0.28000000000000003</v>
      </c>
      <c r="K130">
        <f>INDEX(Dataset_2!$B$2:$B$611,MATCH($A130,Dataset_2!$A$2:$A$611,0))</f>
        <v>0.2727</v>
      </c>
      <c r="L130">
        <f>INDEX(Dataset_2!$C$2:$C$611,MATCH($A130,Dataset_2!$A$2:$A$611,0))</f>
        <v>0.36</v>
      </c>
      <c r="M130">
        <f>INDEX(Dataset_2!$D$2:$D$611,MATCH($A130,Dataset_2!$A$2:$A$611,0))</f>
        <v>0.16420000000000001</v>
      </c>
      <c r="N130">
        <f>INDEX(Dataset_2!$E$2:$E$611,MATCH($A130,Dataset_2!$A$2:$A$611,0))</f>
        <v>11</v>
      </c>
      <c r="O130">
        <f>INDEX(Dataset_2!$F$2:$F$611,MATCH($A130,Dataset_2!$A$2:$A$611,0))</f>
        <v>59</v>
      </c>
      <c r="P130">
        <f>INDEX(Dataset_2!$G$2:$G$611,MATCH($A130,Dataset_2!$A$2:$A$611,0))</f>
        <v>70</v>
      </c>
    </row>
    <row r="131" spans="1:16" x14ac:dyDescent="0.2">
      <c r="A131">
        <f>Dataset_1!A131</f>
        <v>130</v>
      </c>
      <c r="B131" s="61">
        <f>Dataset_1!B131</f>
        <v>40549</v>
      </c>
      <c r="C131">
        <f>Dataset_1!C131</f>
        <v>1</v>
      </c>
      <c r="D131">
        <f>Dataset_1!D131</f>
        <v>0</v>
      </c>
      <c r="E131">
        <f>Dataset_1!E131</f>
        <v>1</v>
      </c>
      <c r="F131">
        <f>Dataset_1!F131</f>
        <v>15</v>
      </c>
      <c r="G131" t="b">
        <f>Dataset_1!G131</f>
        <v>0</v>
      </c>
      <c r="H131">
        <f>Dataset_1!H131</f>
        <v>4</v>
      </c>
      <c r="I131">
        <f>Dataset_1!I131</f>
        <v>1</v>
      </c>
      <c r="J131">
        <f>Dataset_1!J131</f>
        <v>0.28000000000000003</v>
      </c>
      <c r="K131">
        <f>INDEX(Dataset_2!$B$2:$B$611,MATCH($A131,Dataset_2!$A$2:$A$611,0))</f>
        <v>0.2727</v>
      </c>
      <c r="L131">
        <f>INDEX(Dataset_2!$C$2:$C$611,MATCH($A131,Dataset_2!$A$2:$A$611,0))</f>
        <v>0.36</v>
      </c>
      <c r="M131">
        <f>INDEX(Dataset_2!$D$2:$D$611,MATCH($A131,Dataset_2!$A$2:$A$611,0))</f>
        <v>0</v>
      </c>
      <c r="N131">
        <f>INDEX(Dataset_2!$E$2:$E$611,MATCH($A131,Dataset_2!$A$2:$A$611,0))</f>
        <v>8</v>
      </c>
      <c r="O131">
        <f>INDEX(Dataset_2!$F$2:$F$611,MATCH($A131,Dataset_2!$A$2:$A$611,0))</f>
        <v>54</v>
      </c>
      <c r="P131">
        <f>INDEX(Dataset_2!$G$2:$G$611,MATCH($A131,Dataset_2!$A$2:$A$611,0))</f>
        <v>62</v>
      </c>
    </row>
    <row r="132" spans="1:16" x14ac:dyDescent="0.2">
      <c r="A132">
        <f>Dataset_1!A132</f>
        <v>131</v>
      </c>
      <c r="B132" s="61">
        <f>Dataset_1!B132</f>
        <v>40549</v>
      </c>
      <c r="C132">
        <f>Dataset_1!C132</f>
        <v>1</v>
      </c>
      <c r="D132">
        <f>Dataset_1!D132</f>
        <v>0</v>
      </c>
      <c r="E132">
        <f>Dataset_1!E132</f>
        <v>1</v>
      </c>
      <c r="F132">
        <f>Dataset_1!F132</f>
        <v>16</v>
      </c>
      <c r="G132" t="b">
        <f>Dataset_1!G132</f>
        <v>0</v>
      </c>
      <c r="H132">
        <f>Dataset_1!H132</f>
        <v>4</v>
      </c>
      <c r="I132">
        <f>Dataset_1!I132</f>
        <v>1</v>
      </c>
      <c r="J132">
        <f>Dataset_1!J132</f>
        <v>0.26</v>
      </c>
      <c r="K132">
        <f>INDEX(Dataset_2!$B$2:$B$611,MATCH($A132,Dataset_2!$A$2:$A$611,0))</f>
        <v>0.2576</v>
      </c>
      <c r="L132">
        <f>INDEX(Dataset_2!$C$2:$C$611,MATCH($A132,Dataset_2!$A$2:$A$611,0))</f>
        <v>0.38</v>
      </c>
      <c r="M132">
        <f>INDEX(Dataset_2!$D$2:$D$611,MATCH($A132,Dataset_2!$A$2:$A$611,0))</f>
        <v>0.16420000000000001</v>
      </c>
      <c r="N132">
        <f>INDEX(Dataset_2!$E$2:$E$611,MATCH($A132,Dataset_2!$A$2:$A$611,0))</f>
        <v>12</v>
      </c>
      <c r="O132">
        <f>INDEX(Dataset_2!$F$2:$F$611,MATCH($A132,Dataset_2!$A$2:$A$611,0))</f>
        <v>74</v>
      </c>
      <c r="P132">
        <f>INDEX(Dataset_2!$G$2:$G$611,MATCH($A132,Dataset_2!$A$2:$A$611,0))</f>
        <v>86</v>
      </c>
    </row>
    <row r="133" spans="1:16" x14ac:dyDescent="0.2">
      <c r="A133">
        <f>Dataset_1!A133</f>
        <v>132</v>
      </c>
      <c r="B133" s="61">
        <f>Dataset_1!B133</f>
        <v>40549</v>
      </c>
      <c r="C133">
        <f>Dataset_1!C133</f>
        <v>1</v>
      </c>
      <c r="D133">
        <f>Dataset_1!D133</f>
        <v>0</v>
      </c>
      <c r="E133">
        <f>Dataset_1!E133</f>
        <v>1</v>
      </c>
      <c r="F133">
        <f>Dataset_1!F133</f>
        <v>17</v>
      </c>
      <c r="G133" t="b">
        <f>Dataset_1!G133</f>
        <v>0</v>
      </c>
      <c r="H133">
        <f>Dataset_1!H133</f>
        <v>4</v>
      </c>
      <c r="I133">
        <f>Dataset_1!I133</f>
        <v>1</v>
      </c>
      <c r="J133">
        <f>Dataset_1!J133</f>
        <v>0.22</v>
      </c>
      <c r="K133">
        <f>INDEX(Dataset_2!$B$2:$B$611,MATCH($A133,Dataset_2!$A$2:$A$611,0))</f>
        <v>0.2273</v>
      </c>
      <c r="L133">
        <f>INDEX(Dataset_2!$C$2:$C$611,MATCH($A133,Dataset_2!$A$2:$A$611,0))</f>
        <v>0.51</v>
      </c>
      <c r="M133">
        <f>INDEX(Dataset_2!$D$2:$D$611,MATCH($A133,Dataset_2!$A$2:$A$611,0))</f>
        <v>0.16420000000000001</v>
      </c>
      <c r="N133">
        <f>INDEX(Dataset_2!$E$2:$E$611,MATCH($A133,Dataset_2!$A$2:$A$611,0))</f>
        <v>9</v>
      </c>
      <c r="O133">
        <f>INDEX(Dataset_2!$F$2:$F$611,MATCH($A133,Dataset_2!$A$2:$A$611,0))</f>
        <v>163</v>
      </c>
      <c r="P133">
        <f>INDEX(Dataset_2!$G$2:$G$611,MATCH($A133,Dataset_2!$A$2:$A$611,0))</f>
        <v>172</v>
      </c>
    </row>
    <row r="134" spans="1:16" x14ac:dyDescent="0.2">
      <c r="A134">
        <f>Dataset_1!A134</f>
        <v>133</v>
      </c>
      <c r="B134" s="61">
        <f>Dataset_1!B134</f>
        <v>40549</v>
      </c>
      <c r="C134">
        <f>Dataset_1!C134</f>
        <v>1</v>
      </c>
      <c r="D134">
        <f>Dataset_1!D134</f>
        <v>0</v>
      </c>
      <c r="E134">
        <f>Dataset_1!E134</f>
        <v>1</v>
      </c>
      <c r="F134">
        <f>Dataset_1!F134</f>
        <v>18</v>
      </c>
      <c r="G134" t="b">
        <f>Dataset_1!G134</f>
        <v>0</v>
      </c>
      <c r="H134">
        <f>Dataset_1!H134</f>
        <v>4</v>
      </c>
      <c r="I134">
        <f>Dataset_1!I134</f>
        <v>1</v>
      </c>
      <c r="J134">
        <f>Dataset_1!J134</f>
        <v>0.22</v>
      </c>
      <c r="K134">
        <f>INDEX(Dataset_2!$B$2:$B$611,MATCH($A134,Dataset_2!$A$2:$A$611,0))</f>
        <v>0.2273</v>
      </c>
      <c r="L134">
        <f>INDEX(Dataset_2!$C$2:$C$611,MATCH($A134,Dataset_2!$A$2:$A$611,0))</f>
        <v>0.51</v>
      </c>
      <c r="M134">
        <f>INDEX(Dataset_2!$D$2:$D$611,MATCH($A134,Dataset_2!$A$2:$A$611,0))</f>
        <v>0.1343</v>
      </c>
      <c r="N134">
        <f>INDEX(Dataset_2!$E$2:$E$611,MATCH($A134,Dataset_2!$A$2:$A$611,0))</f>
        <v>5</v>
      </c>
      <c r="O134">
        <f>INDEX(Dataset_2!$F$2:$F$611,MATCH($A134,Dataset_2!$A$2:$A$611,0))</f>
        <v>158</v>
      </c>
      <c r="P134">
        <f>INDEX(Dataset_2!$G$2:$G$611,MATCH($A134,Dataset_2!$A$2:$A$611,0))</f>
        <v>163</v>
      </c>
    </row>
    <row r="135" spans="1:16" x14ac:dyDescent="0.2">
      <c r="A135">
        <f>Dataset_1!A135</f>
        <v>134</v>
      </c>
      <c r="B135" s="61">
        <f>Dataset_1!B135</f>
        <v>40549</v>
      </c>
      <c r="C135">
        <f>Dataset_1!C135</f>
        <v>1</v>
      </c>
      <c r="D135">
        <f>Dataset_1!D135</f>
        <v>0</v>
      </c>
      <c r="E135">
        <f>Dataset_1!E135</f>
        <v>1</v>
      </c>
      <c r="F135">
        <f>Dataset_1!F135</f>
        <v>19</v>
      </c>
      <c r="G135" t="b">
        <f>Dataset_1!G135</f>
        <v>0</v>
      </c>
      <c r="H135">
        <f>Dataset_1!H135</f>
        <v>4</v>
      </c>
      <c r="I135">
        <f>Dataset_1!I135</f>
        <v>1</v>
      </c>
      <c r="J135">
        <f>Dataset_1!J135</f>
        <v>0.22</v>
      </c>
      <c r="K135">
        <f>INDEX(Dataset_2!$B$2:$B$611,MATCH($A135,Dataset_2!$A$2:$A$611,0))</f>
        <v>0.2576</v>
      </c>
      <c r="L135">
        <f>INDEX(Dataset_2!$C$2:$C$611,MATCH($A135,Dataset_2!$A$2:$A$611,0))</f>
        <v>0.55000000000000004</v>
      </c>
      <c r="M135">
        <f>INDEX(Dataset_2!$D$2:$D$611,MATCH($A135,Dataset_2!$A$2:$A$611,0))</f>
        <v>8.9599999999999999E-2</v>
      </c>
      <c r="N135">
        <f>INDEX(Dataset_2!$E$2:$E$611,MATCH($A135,Dataset_2!$A$2:$A$611,0))</f>
        <v>3</v>
      </c>
      <c r="O135">
        <f>INDEX(Dataset_2!$F$2:$F$611,MATCH($A135,Dataset_2!$A$2:$A$611,0))</f>
        <v>109</v>
      </c>
      <c r="P135">
        <f>INDEX(Dataset_2!$G$2:$G$611,MATCH($A135,Dataset_2!$A$2:$A$611,0))</f>
        <v>112</v>
      </c>
    </row>
    <row r="136" spans="1:16" x14ac:dyDescent="0.2">
      <c r="A136">
        <f>Dataset_1!A136</f>
        <v>135</v>
      </c>
      <c r="B136" s="61">
        <f>Dataset_1!B136</f>
        <v>40549</v>
      </c>
      <c r="C136">
        <f>Dataset_1!C136</f>
        <v>1</v>
      </c>
      <c r="D136">
        <f>Dataset_1!D136</f>
        <v>0</v>
      </c>
      <c r="E136">
        <f>Dataset_1!E136</f>
        <v>1</v>
      </c>
      <c r="F136">
        <f>Dataset_1!F136</f>
        <v>20</v>
      </c>
      <c r="G136" t="b">
        <f>Dataset_1!G136</f>
        <v>0</v>
      </c>
      <c r="H136">
        <f>Dataset_1!H136</f>
        <v>4</v>
      </c>
      <c r="I136">
        <f>Dataset_1!I136</f>
        <v>1</v>
      </c>
      <c r="J136">
        <f>Dataset_1!J136</f>
        <v>0.2</v>
      </c>
      <c r="K136">
        <f>INDEX(Dataset_2!$B$2:$B$611,MATCH($A136,Dataset_2!$A$2:$A$611,0))</f>
        <v>0.21210000000000001</v>
      </c>
      <c r="L136">
        <f>INDEX(Dataset_2!$C$2:$C$611,MATCH($A136,Dataset_2!$A$2:$A$611,0))</f>
        <v>0.51</v>
      </c>
      <c r="M136">
        <f>INDEX(Dataset_2!$D$2:$D$611,MATCH($A136,Dataset_2!$A$2:$A$611,0))</f>
        <v>0.16420000000000001</v>
      </c>
      <c r="N136">
        <f>INDEX(Dataset_2!$E$2:$E$611,MATCH($A136,Dataset_2!$A$2:$A$611,0))</f>
        <v>3</v>
      </c>
      <c r="O136">
        <f>INDEX(Dataset_2!$F$2:$F$611,MATCH($A136,Dataset_2!$A$2:$A$611,0))</f>
        <v>66</v>
      </c>
      <c r="P136">
        <f>INDEX(Dataset_2!$G$2:$G$611,MATCH($A136,Dataset_2!$A$2:$A$611,0))</f>
        <v>69</v>
      </c>
    </row>
    <row r="137" spans="1:16" x14ac:dyDescent="0.2">
      <c r="A137">
        <f>Dataset_1!A137</f>
        <v>136</v>
      </c>
      <c r="B137" s="61">
        <f>Dataset_1!B137</f>
        <v>40549</v>
      </c>
      <c r="C137">
        <f>Dataset_1!C137</f>
        <v>1</v>
      </c>
      <c r="D137">
        <f>Dataset_1!D137</f>
        <v>0</v>
      </c>
      <c r="E137">
        <f>Dataset_1!E137</f>
        <v>1</v>
      </c>
      <c r="F137">
        <f>Dataset_1!F137</f>
        <v>21</v>
      </c>
      <c r="G137" t="b">
        <f>Dataset_1!G137</f>
        <v>0</v>
      </c>
      <c r="H137">
        <f>Dataset_1!H137</f>
        <v>4</v>
      </c>
      <c r="I137">
        <f>Dataset_1!I137</f>
        <v>2</v>
      </c>
      <c r="J137">
        <f>Dataset_1!J137</f>
        <v>0.22</v>
      </c>
      <c r="K137">
        <f>INDEX(Dataset_2!$B$2:$B$611,MATCH($A137,Dataset_2!$A$2:$A$611,0))</f>
        <v>0.21210000000000001</v>
      </c>
      <c r="L137">
        <f>INDEX(Dataset_2!$C$2:$C$611,MATCH($A137,Dataset_2!$A$2:$A$611,0))</f>
        <v>0.55000000000000004</v>
      </c>
      <c r="M137">
        <f>INDEX(Dataset_2!$D$2:$D$611,MATCH($A137,Dataset_2!$A$2:$A$611,0))</f>
        <v>0.22389999999999999</v>
      </c>
      <c r="N137">
        <f>INDEX(Dataset_2!$E$2:$E$611,MATCH($A137,Dataset_2!$A$2:$A$611,0))</f>
        <v>0</v>
      </c>
      <c r="O137">
        <f>INDEX(Dataset_2!$F$2:$F$611,MATCH($A137,Dataset_2!$A$2:$A$611,0))</f>
        <v>48</v>
      </c>
      <c r="P137">
        <f>INDEX(Dataset_2!$G$2:$G$611,MATCH($A137,Dataset_2!$A$2:$A$611,0))</f>
        <v>48</v>
      </c>
    </row>
    <row r="138" spans="1:16" x14ac:dyDescent="0.2">
      <c r="A138">
        <f>Dataset_1!A138</f>
        <v>137</v>
      </c>
      <c r="B138" s="61">
        <f>Dataset_1!B138</f>
        <v>40549</v>
      </c>
      <c r="C138">
        <f>Dataset_1!C138</f>
        <v>1</v>
      </c>
      <c r="D138">
        <f>Dataset_1!D138</f>
        <v>0</v>
      </c>
      <c r="E138">
        <f>Dataset_1!E138</f>
        <v>1</v>
      </c>
      <c r="F138">
        <f>Dataset_1!F138</f>
        <v>22</v>
      </c>
      <c r="G138" t="b">
        <f>Dataset_1!G138</f>
        <v>0</v>
      </c>
      <c r="H138">
        <f>Dataset_1!H138</f>
        <v>4</v>
      </c>
      <c r="I138">
        <f>Dataset_1!I138</f>
        <v>2</v>
      </c>
      <c r="J138">
        <f>Dataset_1!J138</f>
        <v>0.22</v>
      </c>
      <c r="K138">
        <f>INDEX(Dataset_2!$B$2:$B$611,MATCH($A138,Dataset_2!$A$2:$A$611,0))</f>
        <v>0.21210000000000001</v>
      </c>
      <c r="L138">
        <f>INDEX(Dataset_2!$C$2:$C$611,MATCH($A138,Dataset_2!$A$2:$A$611,0))</f>
        <v>0.51</v>
      </c>
      <c r="M138">
        <f>INDEX(Dataset_2!$D$2:$D$611,MATCH($A138,Dataset_2!$A$2:$A$611,0))</f>
        <v>0.28360000000000002</v>
      </c>
      <c r="N138">
        <f>INDEX(Dataset_2!$E$2:$E$611,MATCH($A138,Dataset_2!$A$2:$A$611,0))</f>
        <v>1</v>
      </c>
      <c r="O138">
        <f>INDEX(Dataset_2!$F$2:$F$611,MATCH($A138,Dataset_2!$A$2:$A$611,0))</f>
        <v>51</v>
      </c>
      <c r="P138">
        <f>INDEX(Dataset_2!$G$2:$G$611,MATCH($A138,Dataset_2!$A$2:$A$611,0))</f>
        <v>52</v>
      </c>
    </row>
    <row r="139" spans="1:16" x14ac:dyDescent="0.2">
      <c r="A139">
        <f>Dataset_1!A139</f>
        <v>138</v>
      </c>
      <c r="B139" s="61">
        <f>Dataset_1!B139</f>
        <v>40549</v>
      </c>
      <c r="C139">
        <f>Dataset_1!C139</f>
        <v>1</v>
      </c>
      <c r="D139">
        <f>Dataset_1!D139</f>
        <v>0</v>
      </c>
      <c r="E139">
        <f>Dataset_1!E139</f>
        <v>1</v>
      </c>
      <c r="F139">
        <f>Dataset_1!F139</f>
        <v>23</v>
      </c>
      <c r="G139" t="b">
        <f>Dataset_1!G139</f>
        <v>0</v>
      </c>
      <c r="H139">
        <f>Dataset_1!H139</f>
        <v>4</v>
      </c>
      <c r="I139">
        <f>Dataset_1!I139</f>
        <v>2</v>
      </c>
      <c r="J139">
        <f>Dataset_1!J139</f>
        <v>0.2</v>
      </c>
      <c r="K139">
        <f>INDEX(Dataset_2!$B$2:$B$611,MATCH($A139,Dataset_2!$A$2:$A$611,0))</f>
        <v>0.19700000000000001</v>
      </c>
      <c r="L139">
        <f>INDEX(Dataset_2!$C$2:$C$611,MATCH($A139,Dataset_2!$A$2:$A$611,0))</f>
        <v>0.59</v>
      </c>
      <c r="M139">
        <f>INDEX(Dataset_2!$D$2:$D$611,MATCH($A139,Dataset_2!$A$2:$A$611,0))</f>
        <v>0.19400000000000001</v>
      </c>
      <c r="N139">
        <f>INDEX(Dataset_2!$E$2:$E$611,MATCH($A139,Dataset_2!$A$2:$A$611,0))</f>
        <v>4</v>
      </c>
      <c r="O139">
        <f>INDEX(Dataset_2!$F$2:$F$611,MATCH($A139,Dataset_2!$A$2:$A$611,0))</f>
        <v>19</v>
      </c>
      <c r="P139">
        <f>INDEX(Dataset_2!$G$2:$G$611,MATCH($A139,Dataset_2!$A$2:$A$611,0))</f>
        <v>23</v>
      </c>
    </row>
    <row r="140" spans="1:16" x14ac:dyDescent="0.2">
      <c r="A140">
        <f>Dataset_1!A140</f>
        <v>139</v>
      </c>
      <c r="B140" s="61">
        <f>Dataset_1!B140</f>
        <v>40550</v>
      </c>
      <c r="C140">
        <f>Dataset_1!C140</f>
        <v>1</v>
      </c>
      <c r="D140">
        <f>Dataset_1!D140</f>
        <v>0</v>
      </c>
      <c r="E140">
        <f>Dataset_1!E140</f>
        <v>1</v>
      </c>
      <c r="F140">
        <f>Dataset_1!F140</f>
        <v>0</v>
      </c>
      <c r="G140" t="b">
        <f>Dataset_1!G140</f>
        <v>0</v>
      </c>
      <c r="H140">
        <f>Dataset_1!H140</f>
        <v>5</v>
      </c>
      <c r="I140">
        <f>Dataset_1!I140</f>
        <v>2</v>
      </c>
      <c r="J140">
        <f>Dataset_1!J140</f>
        <v>0.2</v>
      </c>
      <c r="K140">
        <f>INDEX(Dataset_2!$B$2:$B$611,MATCH($A140,Dataset_2!$A$2:$A$611,0))</f>
        <v>0.19700000000000001</v>
      </c>
      <c r="L140">
        <f>INDEX(Dataset_2!$C$2:$C$611,MATCH($A140,Dataset_2!$A$2:$A$611,0))</f>
        <v>0.64</v>
      </c>
      <c r="M140">
        <f>INDEX(Dataset_2!$D$2:$D$611,MATCH($A140,Dataset_2!$A$2:$A$611,0))</f>
        <v>0.19400000000000001</v>
      </c>
      <c r="N140">
        <f>INDEX(Dataset_2!$E$2:$E$611,MATCH($A140,Dataset_2!$A$2:$A$611,0))</f>
        <v>4</v>
      </c>
      <c r="O140">
        <f>INDEX(Dataset_2!$F$2:$F$611,MATCH($A140,Dataset_2!$A$2:$A$611,0))</f>
        <v>13</v>
      </c>
      <c r="P140">
        <f>INDEX(Dataset_2!$G$2:$G$611,MATCH($A140,Dataset_2!$A$2:$A$611,0))</f>
        <v>17</v>
      </c>
    </row>
    <row r="141" spans="1:16" x14ac:dyDescent="0.2">
      <c r="A141">
        <f>Dataset_1!A141</f>
        <v>140</v>
      </c>
      <c r="B141" s="61">
        <f>Dataset_1!B141</f>
        <v>40550</v>
      </c>
      <c r="C141">
        <f>Dataset_1!C141</f>
        <v>1</v>
      </c>
      <c r="D141">
        <f>Dataset_1!D141</f>
        <v>0</v>
      </c>
      <c r="E141">
        <f>Dataset_1!E141</f>
        <v>1</v>
      </c>
      <c r="F141">
        <f>Dataset_1!F141</f>
        <v>1</v>
      </c>
      <c r="G141" t="b">
        <f>Dataset_1!G141</f>
        <v>0</v>
      </c>
      <c r="H141">
        <f>Dataset_1!H141</f>
        <v>5</v>
      </c>
      <c r="I141">
        <f>Dataset_1!I141</f>
        <v>2</v>
      </c>
      <c r="J141">
        <f>Dataset_1!J141</f>
        <v>0.2</v>
      </c>
      <c r="K141">
        <f>INDEX(Dataset_2!$B$2:$B$611,MATCH($A141,Dataset_2!$A$2:$A$611,0))</f>
        <v>0.19700000000000001</v>
      </c>
      <c r="L141">
        <f>INDEX(Dataset_2!$C$2:$C$611,MATCH($A141,Dataset_2!$A$2:$A$611,0))</f>
        <v>0.69</v>
      </c>
      <c r="M141">
        <f>INDEX(Dataset_2!$D$2:$D$611,MATCH($A141,Dataset_2!$A$2:$A$611,0))</f>
        <v>0.22389999999999999</v>
      </c>
      <c r="N141">
        <f>INDEX(Dataset_2!$E$2:$E$611,MATCH($A141,Dataset_2!$A$2:$A$611,0))</f>
        <v>2</v>
      </c>
      <c r="O141">
        <f>INDEX(Dataset_2!$F$2:$F$611,MATCH($A141,Dataset_2!$A$2:$A$611,0))</f>
        <v>5</v>
      </c>
      <c r="P141">
        <f>INDEX(Dataset_2!$G$2:$G$611,MATCH($A141,Dataset_2!$A$2:$A$611,0))</f>
        <v>7</v>
      </c>
    </row>
    <row r="142" spans="1:16" x14ac:dyDescent="0.2">
      <c r="A142">
        <f>Dataset_1!A142</f>
        <v>141</v>
      </c>
      <c r="B142" s="61">
        <f>Dataset_1!B142</f>
        <v>40550</v>
      </c>
      <c r="C142">
        <f>Dataset_1!C142</f>
        <v>1</v>
      </c>
      <c r="D142">
        <f>Dataset_1!D142</f>
        <v>0</v>
      </c>
      <c r="E142">
        <f>Dataset_1!E142</f>
        <v>1</v>
      </c>
      <c r="F142">
        <f>Dataset_1!F142</f>
        <v>2</v>
      </c>
      <c r="G142" t="b">
        <f>Dataset_1!G142</f>
        <v>0</v>
      </c>
      <c r="H142">
        <f>Dataset_1!H142</f>
        <v>5</v>
      </c>
      <c r="I142">
        <f>Dataset_1!I142</f>
        <v>2</v>
      </c>
      <c r="J142">
        <f>Dataset_1!J142</f>
        <v>0.2</v>
      </c>
      <c r="K142">
        <f>INDEX(Dataset_2!$B$2:$B$611,MATCH($A142,Dataset_2!$A$2:$A$611,0))</f>
        <v>0.19700000000000001</v>
      </c>
      <c r="L142">
        <f>INDEX(Dataset_2!$C$2:$C$611,MATCH($A142,Dataset_2!$A$2:$A$611,0))</f>
        <v>0.69</v>
      </c>
      <c r="M142">
        <f>INDEX(Dataset_2!$D$2:$D$611,MATCH($A142,Dataset_2!$A$2:$A$611,0))</f>
        <v>0.22389999999999999</v>
      </c>
      <c r="N142">
        <f>INDEX(Dataset_2!$E$2:$E$611,MATCH($A142,Dataset_2!$A$2:$A$611,0))</f>
        <v>0</v>
      </c>
      <c r="O142">
        <f>INDEX(Dataset_2!$F$2:$F$611,MATCH($A142,Dataset_2!$A$2:$A$611,0))</f>
        <v>1</v>
      </c>
      <c r="P142">
        <f>INDEX(Dataset_2!$G$2:$G$611,MATCH($A142,Dataset_2!$A$2:$A$611,0))</f>
        <v>1</v>
      </c>
    </row>
    <row r="143" spans="1:16" x14ac:dyDescent="0.2">
      <c r="A143">
        <f>Dataset_1!A143</f>
        <v>142</v>
      </c>
      <c r="B143" s="61">
        <f>Dataset_1!B143</f>
        <v>40550</v>
      </c>
      <c r="C143">
        <f>Dataset_1!C143</f>
        <v>1</v>
      </c>
      <c r="D143">
        <f>Dataset_1!D143</f>
        <v>0</v>
      </c>
      <c r="E143">
        <f>Dataset_1!E143</f>
        <v>1</v>
      </c>
      <c r="F143">
        <f>Dataset_1!F143</f>
        <v>4</v>
      </c>
      <c r="G143" t="b">
        <f>Dataset_1!G143</f>
        <v>0</v>
      </c>
      <c r="H143">
        <f>Dataset_1!H143</f>
        <v>5</v>
      </c>
      <c r="I143">
        <f>Dataset_1!I143</f>
        <v>2</v>
      </c>
      <c r="J143">
        <f>Dataset_1!J143</f>
        <v>0.2</v>
      </c>
      <c r="K143">
        <f>INDEX(Dataset_2!$B$2:$B$611,MATCH($A143,Dataset_2!$A$2:$A$611,0))</f>
        <v>0.21210000000000001</v>
      </c>
      <c r="L143">
        <f>INDEX(Dataset_2!$C$2:$C$611,MATCH($A143,Dataset_2!$A$2:$A$611,0))</f>
        <v>0.69</v>
      </c>
      <c r="M143">
        <f>INDEX(Dataset_2!$D$2:$D$611,MATCH($A143,Dataset_2!$A$2:$A$611,0))</f>
        <v>0.1343</v>
      </c>
      <c r="N143">
        <f>INDEX(Dataset_2!$E$2:$E$611,MATCH($A143,Dataset_2!$A$2:$A$611,0))</f>
        <v>0</v>
      </c>
      <c r="O143">
        <f>INDEX(Dataset_2!$F$2:$F$611,MATCH($A143,Dataset_2!$A$2:$A$611,0))</f>
        <v>1</v>
      </c>
      <c r="P143">
        <f>INDEX(Dataset_2!$G$2:$G$611,MATCH($A143,Dataset_2!$A$2:$A$611,0))</f>
        <v>1</v>
      </c>
    </row>
    <row r="144" spans="1:16" x14ac:dyDescent="0.2">
      <c r="A144">
        <f>Dataset_1!A144</f>
        <v>143</v>
      </c>
      <c r="B144" s="61">
        <f>Dataset_1!B144</f>
        <v>40550</v>
      </c>
      <c r="C144">
        <f>Dataset_1!C144</f>
        <v>1</v>
      </c>
      <c r="D144">
        <f>Dataset_1!D144</f>
        <v>0</v>
      </c>
      <c r="E144">
        <f>Dataset_1!E144</f>
        <v>1</v>
      </c>
      <c r="F144">
        <f>Dataset_1!F144</f>
        <v>5</v>
      </c>
      <c r="G144" t="b">
        <f>Dataset_1!G144</f>
        <v>0</v>
      </c>
      <c r="H144">
        <f>Dataset_1!H144</f>
        <v>5</v>
      </c>
      <c r="I144">
        <f>Dataset_1!I144</f>
        <v>3</v>
      </c>
      <c r="J144">
        <f>Dataset_1!J144</f>
        <v>0.22</v>
      </c>
      <c r="K144">
        <f>INDEX(Dataset_2!$B$2:$B$611,MATCH($A144,Dataset_2!$A$2:$A$611,0))</f>
        <v>0.2727</v>
      </c>
      <c r="L144">
        <f>INDEX(Dataset_2!$C$2:$C$611,MATCH($A144,Dataset_2!$A$2:$A$611,0))</f>
        <v>0.55000000000000004</v>
      </c>
      <c r="M144">
        <f>INDEX(Dataset_2!$D$2:$D$611,MATCH($A144,Dataset_2!$A$2:$A$611,0))</f>
        <v>0</v>
      </c>
      <c r="N144">
        <f>INDEX(Dataset_2!$E$2:$E$611,MATCH($A144,Dataset_2!$A$2:$A$611,0))</f>
        <v>0</v>
      </c>
      <c r="O144">
        <f>INDEX(Dataset_2!$F$2:$F$611,MATCH($A144,Dataset_2!$A$2:$A$611,0))</f>
        <v>5</v>
      </c>
      <c r="P144">
        <f>INDEX(Dataset_2!$G$2:$G$611,MATCH($A144,Dataset_2!$A$2:$A$611,0))</f>
        <v>5</v>
      </c>
    </row>
    <row r="145" spans="1:16" x14ac:dyDescent="0.2">
      <c r="A145">
        <f>Dataset_1!A145</f>
        <v>144</v>
      </c>
      <c r="B145" s="61">
        <f>Dataset_1!B145</f>
        <v>40550</v>
      </c>
      <c r="C145">
        <f>Dataset_1!C145</f>
        <v>1</v>
      </c>
      <c r="D145">
        <f>Dataset_1!D145</f>
        <v>0</v>
      </c>
      <c r="E145">
        <f>Dataset_1!E145</f>
        <v>1</v>
      </c>
      <c r="F145">
        <f>Dataset_1!F145</f>
        <v>6</v>
      </c>
      <c r="G145" t="b">
        <f>Dataset_1!G145</f>
        <v>0</v>
      </c>
      <c r="H145">
        <f>Dataset_1!H145</f>
        <v>5</v>
      </c>
      <c r="I145">
        <f>Dataset_1!I145</f>
        <v>2</v>
      </c>
      <c r="J145">
        <f>Dataset_1!J145</f>
        <v>0.2</v>
      </c>
      <c r="K145">
        <f>INDEX(Dataset_2!$B$2:$B$611,MATCH($A145,Dataset_2!$A$2:$A$611,0))</f>
        <v>0.2576</v>
      </c>
      <c r="L145">
        <f>INDEX(Dataset_2!$C$2:$C$611,MATCH($A145,Dataset_2!$A$2:$A$611,0))</f>
        <v>0.69</v>
      </c>
      <c r="M145">
        <f>INDEX(Dataset_2!$D$2:$D$611,MATCH($A145,Dataset_2!$A$2:$A$611,0))</f>
        <v>0</v>
      </c>
      <c r="N145">
        <f>INDEX(Dataset_2!$E$2:$E$611,MATCH($A145,Dataset_2!$A$2:$A$611,0))</f>
        <v>8</v>
      </c>
      <c r="O145">
        <f>INDEX(Dataset_2!$F$2:$F$611,MATCH($A145,Dataset_2!$A$2:$A$611,0))</f>
        <v>26</v>
      </c>
      <c r="P145">
        <f>INDEX(Dataset_2!$G$2:$G$611,MATCH($A145,Dataset_2!$A$2:$A$611,0))</f>
        <v>34</v>
      </c>
    </row>
    <row r="146" spans="1:16" x14ac:dyDescent="0.2">
      <c r="A146">
        <f>Dataset_1!A146</f>
        <v>145</v>
      </c>
      <c r="B146" s="61">
        <f>Dataset_1!B146</f>
        <v>40550</v>
      </c>
      <c r="C146">
        <f>Dataset_1!C146</f>
        <v>1</v>
      </c>
      <c r="D146">
        <f>Dataset_1!D146</f>
        <v>0</v>
      </c>
      <c r="E146">
        <f>Dataset_1!E146</f>
        <v>1</v>
      </c>
      <c r="F146">
        <f>Dataset_1!F146</f>
        <v>7</v>
      </c>
      <c r="G146" t="b">
        <f>Dataset_1!G146</f>
        <v>0</v>
      </c>
      <c r="H146">
        <f>Dataset_1!H146</f>
        <v>5</v>
      </c>
      <c r="I146">
        <f>Dataset_1!I146</f>
        <v>1</v>
      </c>
      <c r="J146">
        <f>Dataset_1!J146</f>
        <v>0.2</v>
      </c>
      <c r="K146">
        <f>INDEX(Dataset_2!$B$2:$B$611,MATCH($A146,Dataset_2!$A$2:$A$611,0))</f>
        <v>0.21210000000000001</v>
      </c>
      <c r="L146">
        <f>INDEX(Dataset_2!$C$2:$C$611,MATCH($A146,Dataset_2!$A$2:$A$611,0))</f>
        <v>0.69</v>
      </c>
      <c r="M146">
        <f>INDEX(Dataset_2!$D$2:$D$611,MATCH($A146,Dataset_2!$A$2:$A$611,0))</f>
        <v>0.1343</v>
      </c>
      <c r="N146">
        <f>INDEX(Dataset_2!$E$2:$E$611,MATCH($A146,Dataset_2!$A$2:$A$611,0))</f>
        <v>8</v>
      </c>
      <c r="O146">
        <f>INDEX(Dataset_2!$F$2:$F$611,MATCH($A146,Dataset_2!$A$2:$A$611,0))</f>
        <v>76</v>
      </c>
      <c r="P146">
        <f>INDEX(Dataset_2!$G$2:$G$611,MATCH($A146,Dataset_2!$A$2:$A$611,0))</f>
        <v>84</v>
      </c>
    </row>
    <row r="147" spans="1:16" x14ac:dyDescent="0.2">
      <c r="A147">
        <f>Dataset_1!A147</f>
        <v>146</v>
      </c>
      <c r="B147" s="61">
        <f>Dataset_1!B147</f>
        <v>40550</v>
      </c>
      <c r="C147">
        <f>Dataset_1!C147</f>
        <v>1</v>
      </c>
      <c r="D147">
        <f>Dataset_1!D147</f>
        <v>0</v>
      </c>
      <c r="E147">
        <f>Dataset_1!E147</f>
        <v>1</v>
      </c>
      <c r="F147">
        <f>Dataset_1!F147</f>
        <v>8</v>
      </c>
      <c r="G147" t="b">
        <f>Dataset_1!G147</f>
        <v>0</v>
      </c>
      <c r="H147">
        <f>Dataset_1!H147</f>
        <v>5</v>
      </c>
      <c r="I147">
        <f>Dataset_1!I147</f>
        <v>1</v>
      </c>
      <c r="J147">
        <f>Dataset_1!J147</f>
        <v>0.2</v>
      </c>
      <c r="K147">
        <f>INDEX(Dataset_2!$B$2:$B$611,MATCH($A147,Dataset_2!$A$2:$A$611,0))</f>
        <v>0.19700000000000001</v>
      </c>
      <c r="L147">
        <f>INDEX(Dataset_2!$C$2:$C$611,MATCH($A147,Dataset_2!$A$2:$A$611,0))</f>
        <v>0.51</v>
      </c>
      <c r="M147">
        <f>INDEX(Dataset_2!$D$2:$D$611,MATCH($A147,Dataset_2!$A$2:$A$611,0))</f>
        <v>0.25369999999999998</v>
      </c>
      <c r="N147">
        <f>INDEX(Dataset_2!$E$2:$E$611,MATCH($A147,Dataset_2!$A$2:$A$611,0))</f>
        <v>20</v>
      </c>
      <c r="O147">
        <f>INDEX(Dataset_2!$F$2:$F$611,MATCH($A147,Dataset_2!$A$2:$A$611,0))</f>
        <v>190</v>
      </c>
      <c r="P147">
        <f>INDEX(Dataset_2!$G$2:$G$611,MATCH($A147,Dataset_2!$A$2:$A$611,0))</f>
        <v>210</v>
      </c>
    </row>
    <row r="148" spans="1:16" x14ac:dyDescent="0.2">
      <c r="A148">
        <f>Dataset_1!A148</f>
        <v>147</v>
      </c>
      <c r="B148" s="61">
        <f>Dataset_1!B148</f>
        <v>40550</v>
      </c>
      <c r="C148">
        <f>Dataset_1!C148</f>
        <v>1</v>
      </c>
      <c r="D148">
        <f>Dataset_1!D148</f>
        <v>0</v>
      </c>
      <c r="E148">
        <f>Dataset_1!E148</f>
        <v>1</v>
      </c>
      <c r="F148">
        <f>Dataset_1!F148</f>
        <v>9</v>
      </c>
      <c r="G148" t="b">
        <f>Dataset_1!G148</f>
        <v>0</v>
      </c>
      <c r="H148">
        <f>Dataset_1!H148</f>
        <v>5</v>
      </c>
      <c r="I148">
        <f>Dataset_1!I148</f>
        <v>1</v>
      </c>
      <c r="J148">
        <f>Dataset_1!J148</f>
        <v>0.2</v>
      </c>
      <c r="K148">
        <f>INDEX(Dataset_2!$B$2:$B$611,MATCH($A148,Dataset_2!$A$2:$A$611,0))</f>
        <v>0.18179999999999999</v>
      </c>
      <c r="L148">
        <f>INDEX(Dataset_2!$C$2:$C$611,MATCH($A148,Dataset_2!$A$2:$A$611,0))</f>
        <v>0.47</v>
      </c>
      <c r="M148">
        <f>INDEX(Dataset_2!$D$2:$D$611,MATCH($A148,Dataset_2!$A$2:$A$611,0))</f>
        <v>0.29849999999999999</v>
      </c>
      <c r="N148">
        <f>INDEX(Dataset_2!$E$2:$E$611,MATCH($A148,Dataset_2!$A$2:$A$611,0))</f>
        <v>9</v>
      </c>
      <c r="O148">
        <f>INDEX(Dataset_2!$F$2:$F$611,MATCH($A148,Dataset_2!$A$2:$A$611,0))</f>
        <v>125</v>
      </c>
      <c r="P148">
        <f>INDEX(Dataset_2!$G$2:$G$611,MATCH($A148,Dataset_2!$A$2:$A$611,0))</f>
        <v>134</v>
      </c>
    </row>
    <row r="149" spans="1:16" x14ac:dyDescent="0.2">
      <c r="A149">
        <f>Dataset_1!A149</f>
        <v>148</v>
      </c>
      <c r="B149" s="61">
        <f>Dataset_1!B149</f>
        <v>40550</v>
      </c>
      <c r="C149">
        <f>Dataset_1!C149</f>
        <v>1</v>
      </c>
      <c r="D149">
        <f>Dataset_1!D149</f>
        <v>0</v>
      </c>
      <c r="E149">
        <f>Dataset_1!E149</f>
        <v>1</v>
      </c>
      <c r="F149">
        <f>Dataset_1!F149</f>
        <v>10</v>
      </c>
      <c r="G149" t="b">
        <f>Dataset_1!G149</f>
        <v>0</v>
      </c>
      <c r="H149">
        <f>Dataset_1!H149</f>
        <v>5</v>
      </c>
      <c r="I149">
        <f>Dataset_1!I149</f>
        <v>1</v>
      </c>
      <c r="J149">
        <f>Dataset_1!J149</f>
        <v>0.22</v>
      </c>
      <c r="K149">
        <f>INDEX(Dataset_2!$B$2:$B$611,MATCH($A149,Dataset_2!$A$2:$A$611,0))</f>
        <v>0.19700000000000001</v>
      </c>
      <c r="L149">
        <f>INDEX(Dataset_2!$C$2:$C$611,MATCH($A149,Dataset_2!$A$2:$A$611,0))</f>
        <v>0.37</v>
      </c>
      <c r="M149">
        <f>INDEX(Dataset_2!$D$2:$D$611,MATCH($A149,Dataset_2!$A$2:$A$611,0))</f>
        <v>0.32840000000000003</v>
      </c>
      <c r="N149">
        <f>INDEX(Dataset_2!$E$2:$E$611,MATCH($A149,Dataset_2!$A$2:$A$611,0))</f>
        <v>16</v>
      </c>
      <c r="O149">
        <f>INDEX(Dataset_2!$F$2:$F$611,MATCH($A149,Dataset_2!$A$2:$A$611,0))</f>
        <v>47</v>
      </c>
      <c r="P149">
        <f>INDEX(Dataset_2!$G$2:$G$611,MATCH($A149,Dataset_2!$A$2:$A$611,0))</f>
        <v>63</v>
      </c>
    </row>
    <row r="150" spans="1:16" x14ac:dyDescent="0.2">
      <c r="A150">
        <f>Dataset_1!A150</f>
        <v>149</v>
      </c>
      <c r="B150" s="61">
        <f>Dataset_1!B150</f>
        <v>40550</v>
      </c>
      <c r="C150">
        <f>Dataset_1!C150</f>
        <v>1</v>
      </c>
      <c r="D150">
        <f>Dataset_1!D150</f>
        <v>0</v>
      </c>
      <c r="E150">
        <f>Dataset_1!E150</f>
        <v>1</v>
      </c>
      <c r="F150">
        <f>Dataset_1!F150</f>
        <v>11</v>
      </c>
      <c r="G150" t="b">
        <f>Dataset_1!G150</f>
        <v>0</v>
      </c>
      <c r="H150">
        <f>Dataset_1!H150</f>
        <v>5</v>
      </c>
      <c r="I150">
        <f>Dataset_1!I150</f>
        <v>2</v>
      </c>
      <c r="J150">
        <f>Dataset_1!J150</f>
        <v>0.2</v>
      </c>
      <c r="K150">
        <f>INDEX(Dataset_2!$B$2:$B$611,MATCH($A150,Dataset_2!$A$2:$A$611,0))</f>
        <v>0.19700000000000001</v>
      </c>
      <c r="L150">
        <f>INDEX(Dataset_2!$C$2:$C$611,MATCH($A150,Dataset_2!$A$2:$A$611,0))</f>
        <v>0.4</v>
      </c>
      <c r="M150">
        <f>INDEX(Dataset_2!$D$2:$D$611,MATCH($A150,Dataset_2!$A$2:$A$611,0))</f>
        <v>0.22389999999999999</v>
      </c>
      <c r="N150">
        <f>INDEX(Dataset_2!$E$2:$E$611,MATCH($A150,Dataset_2!$A$2:$A$611,0))</f>
        <v>19</v>
      </c>
      <c r="O150">
        <f>INDEX(Dataset_2!$F$2:$F$611,MATCH($A150,Dataset_2!$A$2:$A$611,0))</f>
        <v>48</v>
      </c>
      <c r="P150">
        <f>INDEX(Dataset_2!$G$2:$G$611,MATCH($A150,Dataset_2!$A$2:$A$611,0))</f>
        <v>67</v>
      </c>
    </row>
    <row r="151" spans="1:16" x14ac:dyDescent="0.2">
      <c r="A151">
        <f>Dataset_1!A151</f>
        <v>150</v>
      </c>
      <c r="B151" s="61">
        <f>Dataset_1!B151</f>
        <v>40550</v>
      </c>
      <c r="C151">
        <f>Dataset_1!C151</f>
        <v>1</v>
      </c>
      <c r="D151">
        <f>Dataset_1!D151</f>
        <v>0</v>
      </c>
      <c r="E151">
        <f>Dataset_1!E151</f>
        <v>1</v>
      </c>
      <c r="F151">
        <f>Dataset_1!F151</f>
        <v>12</v>
      </c>
      <c r="G151" t="b">
        <f>Dataset_1!G151</f>
        <v>0</v>
      </c>
      <c r="H151">
        <f>Dataset_1!H151</f>
        <v>5</v>
      </c>
      <c r="I151">
        <f>Dataset_1!I151</f>
        <v>2</v>
      </c>
      <c r="J151">
        <f>Dataset_1!J151</f>
        <v>0.2</v>
      </c>
      <c r="K151">
        <f>INDEX(Dataset_2!$B$2:$B$611,MATCH($A151,Dataset_2!$A$2:$A$611,0))</f>
        <v>0.19700000000000001</v>
      </c>
      <c r="L151">
        <f>INDEX(Dataset_2!$C$2:$C$611,MATCH($A151,Dataset_2!$A$2:$A$611,0))</f>
        <v>0.37</v>
      </c>
      <c r="M151">
        <f>INDEX(Dataset_2!$D$2:$D$611,MATCH($A151,Dataset_2!$A$2:$A$611,0))</f>
        <v>0.25369999999999998</v>
      </c>
      <c r="N151">
        <f>INDEX(Dataset_2!$E$2:$E$611,MATCH($A151,Dataset_2!$A$2:$A$611,0))</f>
        <v>9</v>
      </c>
      <c r="O151">
        <f>INDEX(Dataset_2!$F$2:$F$611,MATCH($A151,Dataset_2!$A$2:$A$611,0))</f>
        <v>50</v>
      </c>
      <c r="P151">
        <f>INDEX(Dataset_2!$G$2:$G$611,MATCH($A151,Dataset_2!$A$2:$A$611,0))</f>
        <v>59</v>
      </c>
    </row>
    <row r="152" spans="1:16" x14ac:dyDescent="0.2">
      <c r="A152">
        <f>Dataset_1!A152</f>
        <v>151</v>
      </c>
      <c r="B152" s="61">
        <f>Dataset_1!B152</f>
        <v>40550</v>
      </c>
      <c r="C152">
        <f>Dataset_1!C152</f>
        <v>1</v>
      </c>
      <c r="D152">
        <f>Dataset_1!D152</f>
        <v>0</v>
      </c>
      <c r="E152">
        <f>Dataset_1!E152</f>
        <v>1</v>
      </c>
      <c r="F152">
        <f>Dataset_1!F152</f>
        <v>13</v>
      </c>
      <c r="G152" t="b">
        <f>Dataset_1!G152</f>
        <v>0</v>
      </c>
      <c r="H152">
        <f>Dataset_1!H152</f>
        <v>5</v>
      </c>
      <c r="I152">
        <f>Dataset_1!I152</f>
        <v>2</v>
      </c>
      <c r="J152">
        <f>Dataset_1!J152</f>
        <v>0.2</v>
      </c>
      <c r="K152">
        <f>INDEX(Dataset_2!$B$2:$B$611,MATCH($A152,Dataset_2!$A$2:$A$611,0))</f>
        <v>0.18179999999999999</v>
      </c>
      <c r="L152">
        <f>INDEX(Dataset_2!$C$2:$C$611,MATCH($A152,Dataset_2!$A$2:$A$611,0))</f>
        <v>0.37</v>
      </c>
      <c r="M152">
        <f>INDEX(Dataset_2!$D$2:$D$611,MATCH($A152,Dataset_2!$A$2:$A$611,0))</f>
        <v>0.28360000000000002</v>
      </c>
      <c r="N152">
        <f>INDEX(Dataset_2!$E$2:$E$611,MATCH($A152,Dataset_2!$A$2:$A$611,0))</f>
        <v>9</v>
      </c>
      <c r="O152">
        <f>INDEX(Dataset_2!$F$2:$F$611,MATCH($A152,Dataset_2!$A$2:$A$611,0))</f>
        <v>64</v>
      </c>
      <c r="P152">
        <f>INDEX(Dataset_2!$G$2:$G$611,MATCH($A152,Dataset_2!$A$2:$A$611,0))</f>
        <v>73</v>
      </c>
    </row>
    <row r="153" spans="1:16" x14ac:dyDescent="0.2">
      <c r="A153">
        <f>Dataset_1!A153</f>
        <v>152</v>
      </c>
      <c r="B153" s="61">
        <f>Dataset_1!B153</f>
        <v>40550</v>
      </c>
      <c r="C153">
        <f>Dataset_1!C153</f>
        <v>1</v>
      </c>
      <c r="D153">
        <f>Dataset_1!D153</f>
        <v>0</v>
      </c>
      <c r="E153">
        <f>Dataset_1!E153</f>
        <v>1</v>
      </c>
      <c r="F153">
        <f>Dataset_1!F153</f>
        <v>14</v>
      </c>
      <c r="G153" t="b">
        <f>Dataset_1!G153</f>
        <v>0</v>
      </c>
      <c r="H153">
        <f>Dataset_1!H153</f>
        <v>5</v>
      </c>
      <c r="I153">
        <f>Dataset_1!I153</f>
        <v>2</v>
      </c>
      <c r="J153">
        <f>Dataset_1!J153</f>
        <v>0.2</v>
      </c>
      <c r="K153">
        <f>INDEX(Dataset_2!$B$2:$B$611,MATCH($A153,Dataset_2!$A$2:$A$611,0))</f>
        <v>0.19700000000000001</v>
      </c>
      <c r="L153">
        <f>INDEX(Dataset_2!$C$2:$C$611,MATCH($A153,Dataset_2!$A$2:$A$611,0))</f>
        <v>0.4</v>
      </c>
      <c r="M153">
        <f>INDEX(Dataset_2!$D$2:$D$611,MATCH($A153,Dataset_2!$A$2:$A$611,0))</f>
        <v>0.25369999999999998</v>
      </c>
      <c r="N153">
        <f>INDEX(Dataset_2!$E$2:$E$611,MATCH($A153,Dataset_2!$A$2:$A$611,0))</f>
        <v>7</v>
      </c>
      <c r="O153">
        <f>INDEX(Dataset_2!$F$2:$F$611,MATCH($A153,Dataset_2!$A$2:$A$611,0))</f>
        <v>43</v>
      </c>
      <c r="P153">
        <f>INDEX(Dataset_2!$G$2:$G$611,MATCH($A153,Dataset_2!$A$2:$A$611,0))</f>
        <v>50</v>
      </c>
    </row>
    <row r="154" spans="1:16" x14ac:dyDescent="0.2">
      <c r="A154">
        <f>Dataset_1!A154</f>
        <v>153</v>
      </c>
      <c r="B154" s="61">
        <f>Dataset_1!B154</f>
        <v>40550</v>
      </c>
      <c r="C154">
        <f>Dataset_1!C154</f>
        <v>1</v>
      </c>
      <c r="D154">
        <f>Dataset_1!D154</f>
        <v>0</v>
      </c>
      <c r="E154">
        <f>Dataset_1!E154</f>
        <v>1</v>
      </c>
      <c r="F154">
        <f>Dataset_1!F154</f>
        <v>15</v>
      </c>
      <c r="G154" t="b">
        <f>Dataset_1!G154</f>
        <v>0</v>
      </c>
      <c r="H154">
        <f>Dataset_1!H154</f>
        <v>5</v>
      </c>
      <c r="I154">
        <f>Dataset_1!I154</f>
        <v>2</v>
      </c>
      <c r="J154">
        <f>Dataset_1!J154</f>
        <v>0.2</v>
      </c>
      <c r="K154">
        <f>INDEX(Dataset_2!$B$2:$B$611,MATCH($A154,Dataset_2!$A$2:$A$611,0))</f>
        <v>0.21210000000000001</v>
      </c>
      <c r="L154">
        <f>INDEX(Dataset_2!$C$2:$C$611,MATCH($A154,Dataset_2!$A$2:$A$611,0))</f>
        <v>0.37</v>
      </c>
      <c r="M154">
        <f>INDEX(Dataset_2!$D$2:$D$611,MATCH($A154,Dataset_2!$A$2:$A$611,0))</f>
        <v>0.16420000000000001</v>
      </c>
      <c r="N154">
        <f>INDEX(Dataset_2!$E$2:$E$611,MATCH($A154,Dataset_2!$A$2:$A$611,0))</f>
        <v>9</v>
      </c>
      <c r="O154">
        <f>INDEX(Dataset_2!$F$2:$F$611,MATCH($A154,Dataset_2!$A$2:$A$611,0))</f>
        <v>63</v>
      </c>
      <c r="P154">
        <f>INDEX(Dataset_2!$G$2:$G$611,MATCH($A154,Dataset_2!$A$2:$A$611,0))</f>
        <v>72</v>
      </c>
    </row>
    <row r="155" spans="1:16" x14ac:dyDescent="0.2">
      <c r="A155">
        <f>Dataset_1!A155</f>
        <v>154</v>
      </c>
      <c r="B155" s="61">
        <f>Dataset_1!B155</f>
        <v>40550</v>
      </c>
      <c r="C155">
        <f>Dataset_1!C155</f>
        <v>1</v>
      </c>
      <c r="D155">
        <f>Dataset_1!D155</f>
        <v>0</v>
      </c>
      <c r="E155">
        <f>Dataset_1!E155</f>
        <v>1</v>
      </c>
      <c r="F155">
        <f>Dataset_1!F155</f>
        <v>16</v>
      </c>
      <c r="G155" t="b">
        <f>Dataset_1!G155</f>
        <v>0</v>
      </c>
      <c r="H155">
        <f>Dataset_1!H155</f>
        <v>5</v>
      </c>
      <c r="I155">
        <f>Dataset_1!I155</f>
        <v>2</v>
      </c>
      <c r="J155">
        <f>Dataset_1!J155</f>
        <v>0.2</v>
      </c>
      <c r="K155">
        <f>INDEX(Dataset_2!$B$2:$B$611,MATCH($A155,Dataset_2!$A$2:$A$611,0))</f>
        <v>0.21210000000000001</v>
      </c>
      <c r="L155">
        <f>INDEX(Dataset_2!$C$2:$C$611,MATCH($A155,Dataset_2!$A$2:$A$611,0))</f>
        <v>0.37</v>
      </c>
      <c r="M155">
        <f>INDEX(Dataset_2!$D$2:$D$611,MATCH($A155,Dataset_2!$A$2:$A$611,0))</f>
        <v>0.16420000000000001</v>
      </c>
      <c r="N155">
        <f>INDEX(Dataset_2!$E$2:$E$611,MATCH($A155,Dataset_2!$A$2:$A$611,0))</f>
        <v>5</v>
      </c>
      <c r="O155">
        <f>INDEX(Dataset_2!$F$2:$F$611,MATCH($A155,Dataset_2!$A$2:$A$611,0))</f>
        <v>82</v>
      </c>
      <c r="P155">
        <f>INDEX(Dataset_2!$G$2:$G$611,MATCH($A155,Dataset_2!$A$2:$A$611,0))</f>
        <v>87</v>
      </c>
    </row>
    <row r="156" spans="1:16" x14ac:dyDescent="0.2">
      <c r="A156">
        <f>Dataset_1!A156</f>
        <v>155</v>
      </c>
      <c r="B156" s="61">
        <f>Dataset_1!B156</f>
        <v>40550</v>
      </c>
      <c r="C156">
        <f>Dataset_1!C156</f>
        <v>1</v>
      </c>
      <c r="D156">
        <f>Dataset_1!D156</f>
        <v>0</v>
      </c>
      <c r="E156">
        <f>Dataset_1!E156</f>
        <v>1</v>
      </c>
      <c r="F156">
        <f>Dataset_1!F156</f>
        <v>17</v>
      </c>
      <c r="G156" t="b">
        <f>Dataset_1!G156</f>
        <v>0</v>
      </c>
      <c r="H156">
        <f>Dataset_1!H156</f>
        <v>5</v>
      </c>
      <c r="I156">
        <f>Dataset_1!I156</f>
        <v>2</v>
      </c>
      <c r="J156">
        <f>Dataset_1!J156</f>
        <v>0.2</v>
      </c>
      <c r="K156">
        <f>INDEX(Dataset_2!$B$2:$B$611,MATCH($A156,Dataset_2!$A$2:$A$611,0))</f>
        <v>0.2576</v>
      </c>
      <c r="L156">
        <f>INDEX(Dataset_2!$C$2:$C$611,MATCH($A156,Dataset_2!$A$2:$A$611,0))</f>
        <v>0.37</v>
      </c>
      <c r="M156">
        <f>INDEX(Dataset_2!$D$2:$D$611,MATCH($A156,Dataset_2!$A$2:$A$611,0))</f>
        <v>0</v>
      </c>
      <c r="N156">
        <f>INDEX(Dataset_2!$E$2:$E$611,MATCH($A156,Dataset_2!$A$2:$A$611,0))</f>
        <v>9</v>
      </c>
      <c r="O156">
        <f>INDEX(Dataset_2!$F$2:$F$611,MATCH($A156,Dataset_2!$A$2:$A$611,0))</f>
        <v>178</v>
      </c>
      <c r="P156">
        <f>INDEX(Dataset_2!$G$2:$G$611,MATCH($A156,Dataset_2!$A$2:$A$611,0))</f>
        <v>187</v>
      </c>
    </row>
    <row r="157" spans="1:16" x14ac:dyDescent="0.2">
      <c r="A157">
        <f>Dataset_1!A157</f>
        <v>156</v>
      </c>
      <c r="B157" s="61">
        <f>Dataset_1!B157</f>
        <v>40550</v>
      </c>
      <c r="C157">
        <f>Dataset_1!C157</f>
        <v>1</v>
      </c>
      <c r="D157">
        <f>Dataset_1!D157</f>
        <v>0</v>
      </c>
      <c r="E157">
        <f>Dataset_1!E157</f>
        <v>1</v>
      </c>
      <c r="F157">
        <f>Dataset_1!F157</f>
        <v>18</v>
      </c>
      <c r="G157" t="b">
        <f>Dataset_1!G157</f>
        <v>0</v>
      </c>
      <c r="H157">
        <f>Dataset_1!H157</f>
        <v>5</v>
      </c>
      <c r="I157">
        <f>Dataset_1!I157</f>
        <v>1</v>
      </c>
      <c r="J157">
        <f>Dataset_1!J157</f>
        <v>0.2</v>
      </c>
      <c r="K157">
        <f>INDEX(Dataset_2!$B$2:$B$611,MATCH($A157,Dataset_2!$A$2:$A$611,0))</f>
        <v>0.2273</v>
      </c>
      <c r="L157">
        <f>INDEX(Dataset_2!$C$2:$C$611,MATCH($A157,Dataset_2!$A$2:$A$611,0))</f>
        <v>0.4</v>
      </c>
      <c r="M157">
        <f>INDEX(Dataset_2!$D$2:$D$611,MATCH($A157,Dataset_2!$A$2:$A$611,0))</f>
        <v>8.9599999999999999E-2</v>
      </c>
      <c r="N157">
        <f>INDEX(Dataset_2!$E$2:$E$611,MATCH($A157,Dataset_2!$A$2:$A$611,0))</f>
        <v>7</v>
      </c>
      <c r="O157">
        <f>INDEX(Dataset_2!$F$2:$F$611,MATCH($A157,Dataset_2!$A$2:$A$611,0))</f>
        <v>116</v>
      </c>
      <c r="P157">
        <f>INDEX(Dataset_2!$G$2:$G$611,MATCH($A157,Dataset_2!$A$2:$A$611,0))</f>
        <v>123</v>
      </c>
    </row>
    <row r="158" spans="1:16" x14ac:dyDescent="0.2">
      <c r="A158">
        <f>Dataset_1!A158</f>
        <v>157</v>
      </c>
      <c r="B158" s="61">
        <f>Dataset_1!B158</f>
        <v>40550</v>
      </c>
      <c r="C158">
        <f>Dataset_1!C158</f>
        <v>1</v>
      </c>
      <c r="D158">
        <f>Dataset_1!D158</f>
        <v>0</v>
      </c>
      <c r="E158">
        <f>Dataset_1!E158</f>
        <v>1</v>
      </c>
      <c r="F158">
        <f>Dataset_1!F158</f>
        <v>19</v>
      </c>
      <c r="G158" t="b">
        <f>Dataset_1!G158</f>
        <v>0</v>
      </c>
      <c r="H158">
        <f>Dataset_1!H158</f>
        <v>5</v>
      </c>
      <c r="I158">
        <f>Dataset_1!I158</f>
        <v>1</v>
      </c>
      <c r="J158">
        <f>Dataset_1!J158</f>
        <v>0.16</v>
      </c>
      <c r="K158">
        <f>INDEX(Dataset_2!$B$2:$B$611,MATCH($A158,Dataset_2!$A$2:$A$611,0))</f>
        <v>0.19700000000000001</v>
      </c>
      <c r="L158">
        <f>INDEX(Dataset_2!$C$2:$C$611,MATCH($A158,Dataset_2!$A$2:$A$611,0))</f>
        <v>0.55000000000000004</v>
      </c>
      <c r="M158">
        <f>INDEX(Dataset_2!$D$2:$D$611,MATCH($A158,Dataset_2!$A$2:$A$611,0))</f>
        <v>8.9599999999999999E-2</v>
      </c>
      <c r="N158">
        <f>INDEX(Dataset_2!$E$2:$E$611,MATCH($A158,Dataset_2!$A$2:$A$611,0))</f>
        <v>3</v>
      </c>
      <c r="O158">
        <f>INDEX(Dataset_2!$F$2:$F$611,MATCH($A158,Dataset_2!$A$2:$A$611,0))</f>
        <v>92</v>
      </c>
      <c r="P158">
        <f>INDEX(Dataset_2!$G$2:$G$611,MATCH($A158,Dataset_2!$A$2:$A$611,0))</f>
        <v>95</v>
      </c>
    </row>
    <row r="159" spans="1:16" x14ac:dyDescent="0.2">
      <c r="A159">
        <f>Dataset_1!A159</f>
        <v>158</v>
      </c>
      <c r="B159" s="61">
        <f>Dataset_1!B159</f>
        <v>40550</v>
      </c>
      <c r="C159">
        <f>Dataset_1!C159</f>
        <v>1</v>
      </c>
      <c r="D159">
        <f>Dataset_1!D159</f>
        <v>0</v>
      </c>
      <c r="E159">
        <f>Dataset_1!E159</f>
        <v>1</v>
      </c>
      <c r="F159">
        <f>Dataset_1!F159</f>
        <v>20</v>
      </c>
      <c r="G159" t="b">
        <f>Dataset_1!G159</f>
        <v>0</v>
      </c>
      <c r="H159">
        <f>Dataset_1!H159</f>
        <v>5</v>
      </c>
      <c r="I159">
        <f>Dataset_1!I159</f>
        <v>1</v>
      </c>
      <c r="J159">
        <f>Dataset_1!J159</f>
        <v>0.18</v>
      </c>
      <c r="K159">
        <f>INDEX(Dataset_2!$B$2:$B$611,MATCH($A159,Dataset_2!$A$2:$A$611,0))</f>
        <v>0.21210000000000001</v>
      </c>
      <c r="L159">
        <f>INDEX(Dataset_2!$C$2:$C$611,MATCH($A159,Dataset_2!$A$2:$A$611,0))</f>
        <v>0.47</v>
      </c>
      <c r="M159">
        <f>INDEX(Dataset_2!$D$2:$D$611,MATCH($A159,Dataset_2!$A$2:$A$611,0))</f>
        <v>0.1045</v>
      </c>
      <c r="N159">
        <f>INDEX(Dataset_2!$E$2:$E$611,MATCH($A159,Dataset_2!$A$2:$A$611,0))</f>
        <v>1</v>
      </c>
      <c r="O159">
        <f>INDEX(Dataset_2!$F$2:$F$611,MATCH($A159,Dataset_2!$A$2:$A$611,0))</f>
        <v>50</v>
      </c>
      <c r="P159">
        <f>INDEX(Dataset_2!$G$2:$G$611,MATCH($A159,Dataset_2!$A$2:$A$611,0))</f>
        <v>51</v>
      </c>
    </row>
    <row r="160" spans="1:16" x14ac:dyDescent="0.2">
      <c r="A160">
        <f>Dataset_1!A160</f>
        <v>159</v>
      </c>
      <c r="B160" s="61">
        <f>Dataset_1!B160</f>
        <v>40550</v>
      </c>
      <c r="C160">
        <f>Dataset_1!C160</f>
        <v>1</v>
      </c>
      <c r="D160">
        <f>Dataset_1!D160</f>
        <v>0</v>
      </c>
      <c r="E160">
        <f>Dataset_1!E160</f>
        <v>1</v>
      </c>
      <c r="F160">
        <f>Dataset_1!F160</f>
        <v>21</v>
      </c>
      <c r="G160" t="b">
        <f>Dataset_1!G160</f>
        <v>0</v>
      </c>
      <c r="H160">
        <f>Dataset_1!H160</f>
        <v>5</v>
      </c>
      <c r="I160">
        <f>Dataset_1!I160</f>
        <v>1</v>
      </c>
      <c r="J160">
        <f>Dataset_1!J160</f>
        <v>0.18</v>
      </c>
      <c r="K160">
        <f>INDEX(Dataset_2!$B$2:$B$611,MATCH($A160,Dataset_2!$A$2:$A$611,0))</f>
        <v>0.19700000000000001</v>
      </c>
      <c r="L160">
        <f>INDEX(Dataset_2!$C$2:$C$611,MATCH($A160,Dataset_2!$A$2:$A$611,0))</f>
        <v>0.47</v>
      </c>
      <c r="M160">
        <f>INDEX(Dataset_2!$D$2:$D$611,MATCH($A160,Dataset_2!$A$2:$A$611,0))</f>
        <v>0.1343</v>
      </c>
      <c r="N160">
        <f>INDEX(Dataset_2!$E$2:$E$611,MATCH($A160,Dataset_2!$A$2:$A$611,0))</f>
        <v>0</v>
      </c>
      <c r="O160">
        <f>INDEX(Dataset_2!$F$2:$F$611,MATCH($A160,Dataset_2!$A$2:$A$611,0))</f>
        <v>39</v>
      </c>
      <c r="P160">
        <f>INDEX(Dataset_2!$G$2:$G$611,MATCH($A160,Dataset_2!$A$2:$A$611,0))</f>
        <v>39</v>
      </c>
    </row>
    <row r="161" spans="1:16" x14ac:dyDescent="0.2">
      <c r="A161">
        <f>Dataset_1!A161</f>
        <v>160</v>
      </c>
      <c r="B161" s="61">
        <f>Dataset_1!B161</f>
        <v>40550</v>
      </c>
      <c r="C161">
        <f>Dataset_1!C161</f>
        <v>1</v>
      </c>
      <c r="D161">
        <f>Dataset_1!D161</f>
        <v>0</v>
      </c>
      <c r="E161">
        <f>Dataset_1!E161</f>
        <v>1</v>
      </c>
      <c r="F161">
        <f>Dataset_1!F161</f>
        <v>22</v>
      </c>
      <c r="G161" t="b">
        <f>Dataset_1!G161</f>
        <v>0</v>
      </c>
      <c r="H161">
        <f>Dataset_1!H161</f>
        <v>5</v>
      </c>
      <c r="I161">
        <f>Dataset_1!I161</f>
        <v>2</v>
      </c>
      <c r="J161">
        <f>Dataset_1!J161</f>
        <v>0.18</v>
      </c>
      <c r="K161">
        <f>INDEX(Dataset_2!$B$2:$B$611,MATCH($A161,Dataset_2!$A$2:$A$611,0))</f>
        <v>0.19700000000000001</v>
      </c>
      <c r="L161">
        <f>INDEX(Dataset_2!$C$2:$C$611,MATCH($A161,Dataset_2!$A$2:$A$611,0))</f>
        <v>0.43</v>
      </c>
      <c r="M161">
        <f>INDEX(Dataset_2!$D$2:$D$611,MATCH($A161,Dataset_2!$A$2:$A$611,0))</f>
        <v>0.16420000000000001</v>
      </c>
      <c r="N161">
        <f>INDEX(Dataset_2!$E$2:$E$611,MATCH($A161,Dataset_2!$A$2:$A$611,0))</f>
        <v>2</v>
      </c>
      <c r="O161">
        <f>INDEX(Dataset_2!$F$2:$F$611,MATCH($A161,Dataset_2!$A$2:$A$611,0))</f>
        <v>34</v>
      </c>
      <c r="P161">
        <f>INDEX(Dataset_2!$G$2:$G$611,MATCH($A161,Dataset_2!$A$2:$A$611,0))</f>
        <v>36</v>
      </c>
    </row>
    <row r="162" spans="1:16" x14ac:dyDescent="0.2">
      <c r="A162">
        <f>Dataset_1!A162</f>
        <v>161</v>
      </c>
      <c r="B162" s="61">
        <f>Dataset_1!B162</f>
        <v>40550</v>
      </c>
      <c r="C162">
        <f>Dataset_1!C162</f>
        <v>1</v>
      </c>
      <c r="D162">
        <f>Dataset_1!D162</f>
        <v>0</v>
      </c>
      <c r="E162">
        <f>Dataset_1!E162</f>
        <v>1</v>
      </c>
      <c r="F162">
        <f>Dataset_1!F162</f>
        <v>23</v>
      </c>
      <c r="G162" t="b">
        <f>Dataset_1!G162</f>
        <v>0</v>
      </c>
      <c r="H162">
        <f>Dataset_1!H162</f>
        <v>5</v>
      </c>
      <c r="I162">
        <f>Dataset_1!I162</f>
        <v>2</v>
      </c>
      <c r="J162">
        <f>Dataset_1!J162</f>
        <v>0.18</v>
      </c>
      <c r="K162">
        <f>INDEX(Dataset_2!$B$2:$B$611,MATCH($A162,Dataset_2!$A$2:$A$611,0))</f>
        <v>0.19700000000000001</v>
      </c>
      <c r="L162">
        <f>INDEX(Dataset_2!$C$2:$C$611,MATCH($A162,Dataset_2!$A$2:$A$611,0))</f>
        <v>0.51</v>
      </c>
      <c r="M162">
        <f>INDEX(Dataset_2!$D$2:$D$611,MATCH($A162,Dataset_2!$A$2:$A$611,0))</f>
        <v>0.16420000000000001</v>
      </c>
      <c r="N162">
        <f>INDEX(Dataset_2!$E$2:$E$611,MATCH($A162,Dataset_2!$A$2:$A$611,0))</f>
        <v>1</v>
      </c>
      <c r="O162">
        <f>INDEX(Dataset_2!$F$2:$F$611,MATCH($A162,Dataset_2!$A$2:$A$611,0))</f>
        <v>14</v>
      </c>
      <c r="P162">
        <f>INDEX(Dataset_2!$G$2:$G$611,MATCH($A162,Dataset_2!$A$2:$A$611,0))</f>
        <v>15</v>
      </c>
    </row>
    <row r="163" spans="1:16" x14ac:dyDescent="0.2">
      <c r="A163">
        <f>Dataset_1!A163</f>
        <v>162</v>
      </c>
      <c r="B163" s="61">
        <f>Dataset_1!B163</f>
        <v>40551</v>
      </c>
      <c r="C163">
        <f>Dataset_1!C163</f>
        <v>1</v>
      </c>
      <c r="D163">
        <f>Dataset_1!D163</f>
        <v>0</v>
      </c>
      <c r="E163">
        <f>Dataset_1!E163</f>
        <v>1</v>
      </c>
      <c r="F163">
        <f>Dataset_1!F163</f>
        <v>0</v>
      </c>
      <c r="G163" t="b">
        <f>Dataset_1!G163</f>
        <v>0</v>
      </c>
      <c r="H163">
        <f>Dataset_1!H163</f>
        <v>6</v>
      </c>
      <c r="I163">
        <f>Dataset_1!I163</f>
        <v>2</v>
      </c>
      <c r="J163">
        <f>Dataset_1!J163</f>
        <v>0.18</v>
      </c>
      <c r="K163">
        <f>INDEX(Dataset_2!$B$2:$B$611,MATCH($A163,Dataset_2!$A$2:$A$611,0))</f>
        <v>0.19700000000000001</v>
      </c>
      <c r="L163">
        <f>INDEX(Dataset_2!$C$2:$C$611,MATCH($A163,Dataset_2!$A$2:$A$611,0))</f>
        <v>0.51</v>
      </c>
      <c r="M163">
        <f>INDEX(Dataset_2!$D$2:$D$611,MATCH($A163,Dataset_2!$A$2:$A$611,0))</f>
        <v>0.16420000000000001</v>
      </c>
      <c r="N163">
        <f>INDEX(Dataset_2!$E$2:$E$611,MATCH($A163,Dataset_2!$A$2:$A$611,0))</f>
        <v>1</v>
      </c>
      <c r="O163">
        <f>INDEX(Dataset_2!$F$2:$F$611,MATCH($A163,Dataset_2!$A$2:$A$611,0))</f>
        <v>24</v>
      </c>
      <c r="P163">
        <f>INDEX(Dataset_2!$G$2:$G$611,MATCH($A163,Dataset_2!$A$2:$A$611,0))</f>
        <v>25</v>
      </c>
    </row>
    <row r="164" spans="1:16" x14ac:dyDescent="0.2">
      <c r="A164">
        <f>Dataset_1!A164</f>
        <v>163</v>
      </c>
      <c r="B164" s="61">
        <f>Dataset_1!B164</f>
        <v>40551</v>
      </c>
      <c r="C164">
        <f>Dataset_1!C164</f>
        <v>1</v>
      </c>
      <c r="D164">
        <f>Dataset_1!D164</f>
        <v>0</v>
      </c>
      <c r="E164">
        <f>Dataset_1!E164</f>
        <v>1</v>
      </c>
      <c r="F164">
        <f>Dataset_1!F164</f>
        <v>1</v>
      </c>
      <c r="G164" t="b">
        <f>Dataset_1!G164</f>
        <v>0</v>
      </c>
      <c r="H164">
        <f>Dataset_1!H164</f>
        <v>6</v>
      </c>
      <c r="I164">
        <f>Dataset_1!I164</f>
        <v>2</v>
      </c>
      <c r="J164">
        <f>Dataset_1!J164</f>
        <v>0.18</v>
      </c>
      <c r="K164">
        <f>INDEX(Dataset_2!$B$2:$B$611,MATCH($A164,Dataset_2!$A$2:$A$611,0))</f>
        <v>0.21210000000000001</v>
      </c>
      <c r="L164">
        <f>INDEX(Dataset_2!$C$2:$C$611,MATCH($A164,Dataset_2!$A$2:$A$611,0))</f>
        <v>0.55000000000000004</v>
      </c>
      <c r="M164">
        <f>INDEX(Dataset_2!$D$2:$D$611,MATCH($A164,Dataset_2!$A$2:$A$611,0))</f>
        <v>8.9599999999999999E-2</v>
      </c>
      <c r="N164">
        <f>INDEX(Dataset_2!$E$2:$E$611,MATCH($A164,Dataset_2!$A$2:$A$611,0))</f>
        <v>1</v>
      </c>
      <c r="O164">
        <f>INDEX(Dataset_2!$F$2:$F$611,MATCH($A164,Dataset_2!$A$2:$A$611,0))</f>
        <v>15</v>
      </c>
      <c r="P164">
        <f>INDEX(Dataset_2!$G$2:$G$611,MATCH($A164,Dataset_2!$A$2:$A$611,0))</f>
        <v>16</v>
      </c>
    </row>
    <row r="165" spans="1:16" x14ac:dyDescent="0.2">
      <c r="A165">
        <f>Dataset_1!A165</f>
        <v>164</v>
      </c>
      <c r="B165" s="61">
        <f>Dataset_1!B165</f>
        <v>40551</v>
      </c>
      <c r="C165">
        <f>Dataset_1!C165</f>
        <v>1</v>
      </c>
      <c r="D165">
        <f>Dataset_1!D165</f>
        <v>0</v>
      </c>
      <c r="E165">
        <f>Dataset_1!E165</f>
        <v>1</v>
      </c>
      <c r="F165">
        <f>Dataset_1!F165</f>
        <v>2</v>
      </c>
      <c r="G165" t="b">
        <f>Dataset_1!G165</f>
        <v>0</v>
      </c>
      <c r="H165">
        <f>Dataset_1!H165</f>
        <v>6</v>
      </c>
      <c r="I165">
        <f>Dataset_1!I165</f>
        <v>2</v>
      </c>
      <c r="J165">
        <f>Dataset_1!J165</f>
        <v>0.18</v>
      </c>
      <c r="K165">
        <f>INDEX(Dataset_2!$B$2:$B$611,MATCH($A165,Dataset_2!$A$2:$A$611,0))</f>
        <v>0.2424</v>
      </c>
      <c r="L165">
        <f>INDEX(Dataset_2!$C$2:$C$611,MATCH($A165,Dataset_2!$A$2:$A$611,0))</f>
        <v>0.55000000000000004</v>
      </c>
      <c r="M165">
        <f>INDEX(Dataset_2!$D$2:$D$611,MATCH($A165,Dataset_2!$A$2:$A$611,0))</f>
        <v>0</v>
      </c>
      <c r="N165">
        <f>INDEX(Dataset_2!$E$2:$E$611,MATCH($A165,Dataset_2!$A$2:$A$611,0))</f>
        <v>3</v>
      </c>
      <c r="O165">
        <f>INDEX(Dataset_2!$F$2:$F$611,MATCH($A165,Dataset_2!$A$2:$A$611,0))</f>
        <v>13</v>
      </c>
      <c r="P165">
        <f>INDEX(Dataset_2!$G$2:$G$611,MATCH($A165,Dataset_2!$A$2:$A$611,0))</f>
        <v>16</v>
      </c>
    </row>
    <row r="166" spans="1:16" x14ac:dyDescent="0.2">
      <c r="A166">
        <f>Dataset_1!A166</f>
        <v>165</v>
      </c>
      <c r="B166" s="61">
        <f>Dataset_1!B166</f>
        <v>40551</v>
      </c>
      <c r="C166">
        <f>Dataset_1!C166</f>
        <v>1</v>
      </c>
      <c r="D166">
        <f>Dataset_1!D166</f>
        <v>0</v>
      </c>
      <c r="E166">
        <f>Dataset_1!E166</f>
        <v>1</v>
      </c>
      <c r="F166">
        <f>Dataset_1!F166</f>
        <v>3</v>
      </c>
      <c r="G166" t="b">
        <f>Dataset_1!G166</f>
        <v>0</v>
      </c>
      <c r="H166">
        <f>Dataset_1!H166</f>
        <v>6</v>
      </c>
      <c r="I166">
        <f>Dataset_1!I166</f>
        <v>3</v>
      </c>
      <c r="J166">
        <f>Dataset_1!J166</f>
        <v>0.18</v>
      </c>
      <c r="K166">
        <f>INDEX(Dataset_2!$B$2:$B$611,MATCH($A166,Dataset_2!$A$2:$A$611,0))</f>
        <v>0.19700000000000001</v>
      </c>
      <c r="L166">
        <f>INDEX(Dataset_2!$C$2:$C$611,MATCH($A166,Dataset_2!$A$2:$A$611,0))</f>
        <v>0.55000000000000004</v>
      </c>
      <c r="M166">
        <f>INDEX(Dataset_2!$D$2:$D$611,MATCH($A166,Dataset_2!$A$2:$A$611,0))</f>
        <v>0.16420000000000001</v>
      </c>
      <c r="N166">
        <f>INDEX(Dataset_2!$E$2:$E$611,MATCH($A166,Dataset_2!$A$2:$A$611,0))</f>
        <v>0</v>
      </c>
      <c r="O166">
        <f>INDEX(Dataset_2!$F$2:$F$611,MATCH($A166,Dataset_2!$A$2:$A$611,0))</f>
        <v>7</v>
      </c>
      <c r="P166">
        <f>INDEX(Dataset_2!$G$2:$G$611,MATCH($A166,Dataset_2!$A$2:$A$611,0))</f>
        <v>7</v>
      </c>
    </row>
    <row r="167" spans="1:16" x14ac:dyDescent="0.2">
      <c r="A167">
        <f>Dataset_1!A167</f>
        <v>166</v>
      </c>
      <c r="B167" s="61">
        <f>Dataset_1!B167</f>
        <v>40551</v>
      </c>
      <c r="C167">
        <f>Dataset_1!C167</f>
        <v>1</v>
      </c>
      <c r="D167">
        <f>Dataset_1!D167</f>
        <v>0</v>
      </c>
      <c r="E167">
        <f>Dataset_1!E167</f>
        <v>1</v>
      </c>
      <c r="F167">
        <f>Dataset_1!F167</f>
        <v>4</v>
      </c>
      <c r="G167" t="b">
        <f>Dataset_1!G167</f>
        <v>0</v>
      </c>
      <c r="H167">
        <f>Dataset_1!H167</f>
        <v>6</v>
      </c>
      <c r="I167">
        <f>Dataset_1!I167</f>
        <v>3</v>
      </c>
      <c r="J167">
        <f>Dataset_1!J167</f>
        <v>0.18</v>
      </c>
      <c r="K167">
        <f>INDEX(Dataset_2!$B$2:$B$611,MATCH($A167,Dataset_2!$A$2:$A$611,0))</f>
        <v>0.19700000000000001</v>
      </c>
      <c r="L167">
        <f>INDEX(Dataset_2!$C$2:$C$611,MATCH($A167,Dataset_2!$A$2:$A$611,0))</f>
        <v>0.55000000000000004</v>
      </c>
      <c r="M167">
        <f>INDEX(Dataset_2!$D$2:$D$611,MATCH($A167,Dataset_2!$A$2:$A$611,0))</f>
        <v>0.16420000000000001</v>
      </c>
      <c r="N167">
        <f>INDEX(Dataset_2!$E$2:$E$611,MATCH($A167,Dataset_2!$A$2:$A$611,0))</f>
        <v>0</v>
      </c>
      <c r="O167">
        <f>INDEX(Dataset_2!$F$2:$F$611,MATCH($A167,Dataset_2!$A$2:$A$611,0))</f>
        <v>1</v>
      </c>
      <c r="P167">
        <f>INDEX(Dataset_2!$G$2:$G$611,MATCH($A167,Dataset_2!$A$2:$A$611,0))</f>
        <v>1</v>
      </c>
    </row>
    <row r="168" spans="1:16" x14ac:dyDescent="0.2">
      <c r="A168">
        <f>Dataset_1!A168</f>
        <v>167</v>
      </c>
      <c r="B168" s="61">
        <f>Dataset_1!B168</f>
        <v>40551</v>
      </c>
      <c r="C168">
        <f>Dataset_1!C168</f>
        <v>1</v>
      </c>
      <c r="D168">
        <f>Dataset_1!D168</f>
        <v>0</v>
      </c>
      <c r="E168">
        <f>Dataset_1!E168</f>
        <v>1</v>
      </c>
      <c r="F168">
        <f>Dataset_1!F168</f>
        <v>5</v>
      </c>
      <c r="G168" t="b">
        <f>Dataset_1!G168</f>
        <v>0</v>
      </c>
      <c r="H168">
        <f>Dataset_1!H168</f>
        <v>6</v>
      </c>
      <c r="I168">
        <f>Dataset_1!I168</f>
        <v>2</v>
      </c>
      <c r="J168">
        <f>Dataset_1!J168</f>
        <v>0.16</v>
      </c>
      <c r="K168">
        <f>INDEX(Dataset_2!$B$2:$B$611,MATCH($A168,Dataset_2!$A$2:$A$611,0))</f>
        <v>0.16669999999999999</v>
      </c>
      <c r="L168">
        <f>INDEX(Dataset_2!$C$2:$C$611,MATCH($A168,Dataset_2!$A$2:$A$611,0))</f>
        <v>0.74</v>
      </c>
      <c r="M168">
        <f>INDEX(Dataset_2!$D$2:$D$611,MATCH($A168,Dataset_2!$A$2:$A$611,0))</f>
        <v>0.16420000000000001</v>
      </c>
      <c r="N168">
        <f>INDEX(Dataset_2!$E$2:$E$611,MATCH($A168,Dataset_2!$A$2:$A$611,0))</f>
        <v>0</v>
      </c>
      <c r="O168">
        <f>INDEX(Dataset_2!$F$2:$F$611,MATCH($A168,Dataset_2!$A$2:$A$611,0))</f>
        <v>5</v>
      </c>
      <c r="P168">
        <f>INDEX(Dataset_2!$G$2:$G$611,MATCH($A168,Dataset_2!$A$2:$A$611,0))</f>
        <v>5</v>
      </c>
    </row>
    <row r="169" spans="1:16" x14ac:dyDescent="0.2">
      <c r="A169">
        <f>Dataset_1!A169</f>
        <v>168</v>
      </c>
      <c r="B169" s="61">
        <f>Dataset_1!B169</f>
        <v>40551</v>
      </c>
      <c r="C169">
        <f>Dataset_1!C169</f>
        <v>1</v>
      </c>
      <c r="D169">
        <f>Dataset_1!D169</f>
        <v>0</v>
      </c>
      <c r="E169">
        <f>Dataset_1!E169</f>
        <v>1</v>
      </c>
      <c r="F169">
        <f>Dataset_1!F169</f>
        <v>6</v>
      </c>
      <c r="G169" t="b">
        <f>Dataset_1!G169</f>
        <v>0</v>
      </c>
      <c r="H169">
        <f>Dataset_1!H169</f>
        <v>6</v>
      </c>
      <c r="I169">
        <f>Dataset_1!I169</f>
        <v>2</v>
      </c>
      <c r="J169">
        <f>Dataset_1!J169</f>
        <v>0.16</v>
      </c>
      <c r="K169">
        <f>INDEX(Dataset_2!$B$2:$B$611,MATCH($A169,Dataset_2!$A$2:$A$611,0))</f>
        <v>0.16669999999999999</v>
      </c>
      <c r="L169">
        <f>INDEX(Dataset_2!$C$2:$C$611,MATCH($A169,Dataset_2!$A$2:$A$611,0))</f>
        <v>0.74</v>
      </c>
      <c r="M169">
        <f>INDEX(Dataset_2!$D$2:$D$611,MATCH($A169,Dataset_2!$A$2:$A$611,0))</f>
        <v>0.16420000000000001</v>
      </c>
      <c r="N169">
        <f>INDEX(Dataset_2!$E$2:$E$611,MATCH($A169,Dataset_2!$A$2:$A$611,0))</f>
        <v>0</v>
      </c>
      <c r="O169">
        <f>INDEX(Dataset_2!$F$2:$F$611,MATCH($A169,Dataset_2!$A$2:$A$611,0))</f>
        <v>2</v>
      </c>
      <c r="P169">
        <f>INDEX(Dataset_2!$G$2:$G$611,MATCH($A169,Dataset_2!$A$2:$A$611,0))</f>
        <v>2</v>
      </c>
    </row>
    <row r="170" spans="1:16" x14ac:dyDescent="0.2">
      <c r="A170">
        <f>Dataset_1!A170</f>
        <v>169</v>
      </c>
      <c r="B170" s="61">
        <f>Dataset_1!B170</f>
        <v>40551</v>
      </c>
      <c r="C170">
        <f>Dataset_1!C170</f>
        <v>1</v>
      </c>
      <c r="D170">
        <f>Dataset_1!D170</f>
        <v>0</v>
      </c>
      <c r="E170">
        <f>Dataset_1!E170</f>
        <v>1</v>
      </c>
      <c r="F170">
        <f>Dataset_1!F170</f>
        <v>7</v>
      </c>
      <c r="G170" t="b">
        <f>Dataset_1!G170</f>
        <v>0</v>
      </c>
      <c r="H170">
        <f>Dataset_1!H170</f>
        <v>6</v>
      </c>
      <c r="I170">
        <f>Dataset_1!I170</f>
        <v>2</v>
      </c>
      <c r="J170">
        <f>Dataset_1!J170</f>
        <v>0.16</v>
      </c>
      <c r="K170">
        <f>INDEX(Dataset_2!$B$2:$B$611,MATCH($A170,Dataset_2!$A$2:$A$611,0))</f>
        <v>0.18179999999999999</v>
      </c>
      <c r="L170">
        <f>INDEX(Dataset_2!$C$2:$C$611,MATCH($A170,Dataset_2!$A$2:$A$611,0))</f>
        <v>0.74</v>
      </c>
      <c r="M170">
        <f>INDEX(Dataset_2!$D$2:$D$611,MATCH($A170,Dataset_2!$A$2:$A$611,0))</f>
        <v>0.1045</v>
      </c>
      <c r="N170">
        <f>INDEX(Dataset_2!$E$2:$E$611,MATCH($A170,Dataset_2!$A$2:$A$611,0))</f>
        <v>1</v>
      </c>
      <c r="O170">
        <f>INDEX(Dataset_2!$F$2:$F$611,MATCH($A170,Dataset_2!$A$2:$A$611,0))</f>
        <v>8</v>
      </c>
      <c r="P170">
        <f>INDEX(Dataset_2!$G$2:$G$611,MATCH($A170,Dataset_2!$A$2:$A$611,0))</f>
        <v>9</v>
      </c>
    </row>
    <row r="171" spans="1:16" x14ac:dyDescent="0.2">
      <c r="A171">
        <f>Dataset_1!A171</f>
        <v>170</v>
      </c>
      <c r="B171" s="61">
        <f>Dataset_1!B171</f>
        <v>40551</v>
      </c>
      <c r="C171">
        <f>Dataset_1!C171</f>
        <v>1</v>
      </c>
      <c r="D171">
        <f>Dataset_1!D171</f>
        <v>0</v>
      </c>
      <c r="E171">
        <f>Dataset_1!E171</f>
        <v>1</v>
      </c>
      <c r="F171">
        <f>Dataset_1!F171</f>
        <v>8</v>
      </c>
      <c r="G171" t="b">
        <f>Dataset_1!G171</f>
        <v>0</v>
      </c>
      <c r="H171">
        <f>Dataset_1!H171</f>
        <v>6</v>
      </c>
      <c r="I171">
        <f>Dataset_1!I171</f>
        <v>3</v>
      </c>
      <c r="J171">
        <f>Dataset_1!J171</f>
        <v>0.16</v>
      </c>
      <c r="K171">
        <f>INDEX(Dataset_2!$B$2:$B$611,MATCH($A171,Dataset_2!$A$2:$A$611,0))</f>
        <v>0.18179999999999999</v>
      </c>
      <c r="L171">
        <f>INDEX(Dataset_2!$C$2:$C$611,MATCH($A171,Dataset_2!$A$2:$A$611,0))</f>
        <v>0.93</v>
      </c>
      <c r="M171">
        <f>INDEX(Dataset_2!$D$2:$D$611,MATCH($A171,Dataset_2!$A$2:$A$611,0))</f>
        <v>0.1045</v>
      </c>
      <c r="N171">
        <f>INDEX(Dataset_2!$E$2:$E$611,MATCH($A171,Dataset_2!$A$2:$A$611,0))</f>
        <v>0</v>
      </c>
      <c r="O171">
        <f>INDEX(Dataset_2!$F$2:$F$611,MATCH($A171,Dataset_2!$A$2:$A$611,0))</f>
        <v>15</v>
      </c>
      <c r="P171">
        <f>INDEX(Dataset_2!$G$2:$G$611,MATCH($A171,Dataset_2!$A$2:$A$611,0))</f>
        <v>15</v>
      </c>
    </row>
    <row r="172" spans="1:16" x14ac:dyDescent="0.2">
      <c r="A172">
        <f>Dataset_1!A172</f>
        <v>171</v>
      </c>
      <c r="B172" s="61">
        <f>Dataset_1!B172</f>
        <v>40551</v>
      </c>
      <c r="C172">
        <f>Dataset_1!C172</f>
        <v>1</v>
      </c>
      <c r="D172">
        <f>Dataset_1!D172</f>
        <v>0</v>
      </c>
      <c r="E172">
        <f>Dataset_1!E172</f>
        <v>1</v>
      </c>
      <c r="F172">
        <f>Dataset_1!F172</f>
        <v>9</v>
      </c>
      <c r="G172" t="b">
        <f>Dataset_1!G172</f>
        <v>0</v>
      </c>
      <c r="H172">
        <f>Dataset_1!H172</f>
        <v>6</v>
      </c>
      <c r="I172">
        <f>Dataset_1!I172</f>
        <v>3</v>
      </c>
      <c r="J172">
        <f>Dataset_1!J172</f>
        <v>0.16</v>
      </c>
      <c r="K172">
        <f>INDEX(Dataset_2!$B$2:$B$611,MATCH($A172,Dataset_2!$A$2:$A$611,0))</f>
        <v>0.18179999999999999</v>
      </c>
      <c r="L172">
        <f>INDEX(Dataset_2!$C$2:$C$611,MATCH($A172,Dataset_2!$A$2:$A$611,0))</f>
        <v>0.93</v>
      </c>
      <c r="M172">
        <f>INDEX(Dataset_2!$D$2:$D$611,MATCH($A172,Dataset_2!$A$2:$A$611,0))</f>
        <v>0.1045</v>
      </c>
      <c r="N172">
        <f>INDEX(Dataset_2!$E$2:$E$611,MATCH($A172,Dataset_2!$A$2:$A$611,0))</f>
        <v>0</v>
      </c>
      <c r="O172">
        <f>INDEX(Dataset_2!$F$2:$F$611,MATCH($A172,Dataset_2!$A$2:$A$611,0))</f>
        <v>20</v>
      </c>
      <c r="P172">
        <f>INDEX(Dataset_2!$G$2:$G$611,MATCH($A172,Dataset_2!$A$2:$A$611,0))</f>
        <v>20</v>
      </c>
    </row>
    <row r="173" spans="1:16" x14ac:dyDescent="0.2">
      <c r="A173">
        <f>Dataset_1!A173</f>
        <v>172</v>
      </c>
      <c r="B173" s="61">
        <f>Dataset_1!B173</f>
        <v>40551</v>
      </c>
      <c r="C173">
        <f>Dataset_1!C173</f>
        <v>1</v>
      </c>
      <c r="D173">
        <f>Dataset_1!D173</f>
        <v>0</v>
      </c>
      <c r="E173">
        <f>Dataset_1!E173</f>
        <v>1</v>
      </c>
      <c r="F173">
        <f>Dataset_1!F173</f>
        <v>10</v>
      </c>
      <c r="G173" t="b">
        <f>Dataset_1!G173</f>
        <v>0</v>
      </c>
      <c r="H173">
        <f>Dataset_1!H173</f>
        <v>6</v>
      </c>
      <c r="I173">
        <f>Dataset_1!I173</f>
        <v>2</v>
      </c>
      <c r="J173">
        <f>Dataset_1!J173</f>
        <v>0.18</v>
      </c>
      <c r="K173">
        <f>INDEX(Dataset_2!$B$2:$B$611,MATCH($A173,Dataset_2!$A$2:$A$611,0))</f>
        <v>0.19700000000000001</v>
      </c>
      <c r="L173">
        <f>INDEX(Dataset_2!$C$2:$C$611,MATCH($A173,Dataset_2!$A$2:$A$611,0))</f>
        <v>0.8</v>
      </c>
      <c r="M173">
        <f>INDEX(Dataset_2!$D$2:$D$611,MATCH($A173,Dataset_2!$A$2:$A$611,0))</f>
        <v>0.16420000000000001</v>
      </c>
      <c r="N173">
        <f>INDEX(Dataset_2!$E$2:$E$611,MATCH($A173,Dataset_2!$A$2:$A$611,0))</f>
        <v>5</v>
      </c>
      <c r="O173">
        <f>INDEX(Dataset_2!$F$2:$F$611,MATCH($A173,Dataset_2!$A$2:$A$611,0))</f>
        <v>56</v>
      </c>
      <c r="P173">
        <f>INDEX(Dataset_2!$G$2:$G$611,MATCH($A173,Dataset_2!$A$2:$A$611,0))</f>
        <v>61</v>
      </c>
    </row>
    <row r="174" spans="1:16" x14ac:dyDescent="0.2">
      <c r="A174">
        <f>Dataset_1!A174</f>
        <v>173</v>
      </c>
      <c r="B174" s="61">
        <f>Dataset_1!B174</f>
        <v>40551</v>
      </c>
      <c r="C174">
        <f>Dataset_1!C174</f>
        <v>1</v>
      </c>
      <c r="D174">
        <f>Dataset_1!D174</f>
        <v>0</v>
      </c>
      <c r="E174">
        <f>Dataset_1!E174</f>
        <v>1</v>
      </c>
      <c r="F174">
        <f>Dataset_1!F174</f>
        <v>11</v>
      </c>
      <c r="G174" t="b">
        <f>Dataset_1!G174</f>
        <v>0</v>
      </c>
      <c r="H174">
        <f>Dataset_1!H174</f>
        <v>6</v>
      </c>
      <c r="I174">
        <f>Dataset_1!I174</f>
        <v>2</v>
      </c>
      <c r="J174">
        <f>Dataset_1!J174</f>
        <v>0.2</v>
      </c>
      <c r="K174">
        <f>INDEX(Dataset_2!$B$2:$B$611,MATCH($A174,Dataset_2!$A$2:$A$611,0))</f>
        <v>0.18179999999999999</v>
      </c>
      <c r="L174">
        <f>INDEX(Dataset_2!$C$2:$C$611,MATCH($A174,Dataset_2!$A$2:$A$611,0))</f>
        <v>0.69</v>
      </c>
      <c r="M174">
        <f>INDEX(Dataset_2!$D$2:$D$611,MATCH($A174,Dataset_2!$A$2:$A$611,0))</f>
        <v>0.3881</v>
      </c>
      <c r="N174">
        <f>INDEX(Dataset_2!$E$2:$E$611,MATCH($A174,Dataset_2!$A$2:$A$611,0))</f>
        <v>2</v>
      </c>
      <c r="O174">
        <f>INDEX(Dataset_2!$F$2:$F$611,MATCH($A174,Dataset_2!$A$2:$A$611,0))</f>
        <v>60</v>
      </c>
      <c r="P174">
        <f>INDEX(Dataset_2!$G$2:$G$611,MATCH($A174,Dataset_2!$A$2:$A$611,0))</f>
        <v>62</v>
      </c>
    </row>
    <row r="175" spans="1:16" x14ac:dyDescent="0.2">
      <c r="A175">
        <f>Dataset_1!A175</f>
        <v>174</v>
      </c>
      <c r="B175" s="61">
        <f>Dataset_1!B175</f>
        <v>40551</v>
      </c>
      <c r="C175">
        <f>Dataset_1!C175</f>
        <v>1</v>
      </c>
      <c r="D175">
        <f>Dataset_1!D175</f>
        <v>0</v>
      </c>
      <c r="E175">
        <f>Dataset_1!E175</f>
        <v>1</v>
      </c>
      <c r="F175">
        <f>Dataset_1!F175</f>
        <v>12</v>
      </c>
      <c r="G175" t="b">
        <f>Dataset_1!G175</f>
        <v>0</v>
      </c>
      <c r="H175">
        <f>Dataset_1!H175</f>
        <v>6</v>
      </c>
      <c r="I175">
        <f>Dataset_1!I175</f>
        <v>2</v>
      </c>
      <c r="J175">
        <f>Dataset_1!J175</f>
        <v>0.2</v>
      </c>
      <c r="K175">
        <f>INDEX(Dataset_2!$B$2:$B$611,MATCH($A175,Dataset_2!$A$2:$A$611,0))</f>
        <v>0.18179999999999999</v>
      </c>
      <c r="L175">
        <f>INDEX(Dataset_2!$C$2:$C$611,MATCH($A175,Dataset_2!$A$2:$A$611,0))</f>
        <v>0.59</v>
      </c>
      <c r="M175">
        <f>INDEX(Dataset_2!$D$2:$D$611,MATCH($A175,Dataset_2!$A$2:$A$611,0))</f>
        <v>0.35820000000000002</v>
      </c>
      <c r="N175">
        <f>INDEX(Dataset_2!$E$2:$E$611,MATCH($A175,Dataset_2!$A$2:$A$611,0))</f>
        <v>8</v>
      </c>
      <c r="O175">
        <f>INDEX(Dataset_2!$F$2:$F$611,MATCH($A175,Dataset_2!$A$2:$A$611,0))</f>
        <v>90</v>
      </c>
      <c r="P175">
        <f>INDEX(Dataset_2!$G$2:$G$611,MATCH($A175,Dataset_2!$A$2:$A$611,0))</f>
        <v>98</v>
      </c>
    </row>
    <row r="176" spans="1:16" x14ac:dyDescent="0.2">
      <c r="A176">
        <f>Dataset_1!A176</f>
        <v>175</v>
      </c>
      <c r="B176" s="61">
        <f>Dataset_1!B176</f>
        <v>40551</v>
      </c>
      <c r="C176">
        <f>Dataset_1!C176</f>
        <v>1</v>
      </c>
      <c r="D176">
        <f>Dataset_1!D176</f>
        <v>0</v>
      </c>
      <c r="E176">
        <f>Dataset_1!E176</f>
        <v>1</v>
      </c>
      <c r="F176">
        <f>Dataset_1!F176</f>
        <v>13</v>
      </c>
      <c r="G176" t="b">
        <f>Dataset_1!G176</f>
        <v>0</v>
      </c>
      <c r="H176">
        <f>Dataset_1!H176</f>
        <v>6</v>
      </c>
      <c r="I176">
        <f>Dataset_1!I176</f>
        <v>1</v>
      </c>
      <c r="J176">
        <f>Dataset_1!J176</f>
        <v>0.2</v>
      </c>
      <c r="K176">
        <f>INDEX(Dataset_2!$B$2:$B$611,MATCH($A176,Dataset_2!$A$2:$A$611,0))</f>
        <v>0.18179999999999999</v>
      </c>
      <c r="L176">
        <f>INDEX(Dataset_2!$C$2:$C$611,MATCH($A176,Dataset_2!$A$2:$A$611,0))</f>
        <v>0.44</v>
      </c>
      <c r="M176">
        <f>INDEX(Dataset_2!$D$2:$D$611,MATCH($A176,Dataset_2!$A$2:$A$611,0))</f>
        <v>0.32840000000000003</v>
      </c>
      <c r="N176">
        <f>INDEX(Dataset_2!$E$2:$E$611,MATCH($A176,Dataset_2!$A$2:$A$611,0))</f>
        <v>7</v>
      </c>
      <c r="O176">
        <f>INDEX(Dataset_2!$F$2:$F$611,MATCH($A176,Dataset_2!$A$2:$A$611,0))</f>
        <v>95</v>
      </c>
      <c r="P176">
        <f>INDEX(Dataset_2!$G$2:$G$611,MATCH($A176,Dataset_2!$A$2:$A$611,0))</f>
        <v>102</v>
      </c>
    </row>
    <row r="177" spans="1:16" x14ac:dyDescent="0.2">
      <c r="A177">
        <f>Dataset_1!A177</f>
        <v>176</v>
      </c>
      <c r="B177" s="61">
        <f>Dataset_1!B177</f>
        <v>40551</v>
      </c>
      <c r="C177">
        <f>Dataset_1!C177</f>
        <v>1</v>
      </c>
      <c r="D177">
        <f>Dataset_1!D177</f>
        <v>0</v>
      </c>
      <c r="E177">
        <f>Dataset_1!E177</f>
        <v>1</v>
      </c>
      <c r="F177">
        <f>Dataset_1!F177</f>
        <v>14</v>
      </c>
      <c r="G177" t="b">
        <f>Dataset_1!G177</f>
        <v>0</v>
      </c>
      <c r="H177">
        <f>Dataset_1!H177</f>
        <v>6</v>
      </c>
      <c r="I177">
        <f>Dataset_1!I177</f>
        <v>1</v>
      </c>
      <c r="J177">
        <f>Dataset_1!J177</f>
        <v>0.2</v>
      </c>
      <c r="K177">
        <f>INDEX(Dataset_2!$B$2:$B$611,MATCH($A177,Dataset_2!$A$2:$A$611,0))</f>
        <v>0.16669999999999999</v>
      </c>
      <c r="L177">
        <f>INDEX(Dataset_2!$C$2:$C$611,MATCH($A177,Dataset_2!$A$2:$A$611,0))</f>
        <v>0.32</v>
      </c>
      <c r="M177">
        <f>INDEX(Dataset_2!$D$2:$D$611,MATCH($A177,Dataset_2!$A$2:$A$611,0))</f>
        <v>0.49249999999999999</v>
      </c>
      <c r="N177">
        <f>INDEX(Dataset_2!$E$2:$E$611,MATCH($A177,Dataset_2!$A$2:$A$611,0))</f>
        <v>12</v>
      </c>
      <c r="O177">
        <f>INDEX(Dataset_2!$F$2:$F$611,MATCH($A177,Dataset_2!$A$2:$A$611,0))</f>
        <v>83</v>
      </c>
      <c r="P177">
        <f>INDEX(Dataset_2!$G$2:$G$611,MATCH($A177,Dataset_2!$A$2:$A$611,0))</f>
        <v>95</v>
      </c>
    </row>
    <row r="178" spans="1:16" x14ac:dyDescent="0.2">
      <c r="A178">
        <f>Dataset_1!A178</f>
        <v>177</v>
      </c>
      <c r="B178" s="61">
        <f>Dataset_1!B178</f>
        <v>40551</v>
      </c>
      <c r="C178">
        <f>Dataset_1!C178</f>
        <v>1</v>
      </c>
      <c r="D178">
        <f>Dataset_1!D178</f>
        <v>0</v>
      </c>
      <c r="E178">
        <f>Dataset_1!E178</f>
        <v>1</v>
      </c>
      <c r="F178">
        <f>Dataset_1!F178</f>
        <v>15</v>
      </c>
      <c r="G178" t="b">
        <f>Dataset_1!G178</f>
        <v>0</v>
      </c>
      <c r="H178">
        <f>Dataset_1!H178</f>
        <v>6</v>
      </c>
      <c r="I178">
        <f>Dataset_1!I178</f>
        <v>1</v>
      </c>
      <c r="J178">
        <f>Dataset_1!J178</f>
        <v>0.2</v>
      </c>
      <c r="K178">
        <f>INDEX(Dataset_2!$B$2:$B$611,MATCH($A178,Dataset_2!$A$2:$A$611,0))</f>
        <v>0.16669999999999999</v>
      </c>
      <c r="L178">
        <f>INDEX(Dataset_2!$C$2:$C$611,MATCH($A178,Dataset_2!$A$2:$A$611,0))</f>
        <v>0.32</v>
      </c>
      <c r="M178">
        <f>INDEX(Dataset_2!$D$2:$D$611,MATCH($A178,Dataset_2!$A$2:$A$611,0))</f>
        <v>0.44779999999999998</v>
      </c>
      <c r="N178">
        <f>INDEX(Dataset_2!$E$2:$E$611,MATCH($A178,Dataset_2!$A$2:$A$611,0))</f>
        <v>5</v>
      </c>
      <c r="O178">
        <f>INDEX(Dataset_2!$F$2:$F$611,MATCH($A178,Dataset_2!$A$2:$A$611,0))</f>
        <v>69</v>
      </c>
      <c r="P178">
        <f>INDEX(Dataset_2!$G$2:$G$611,MATCH($A178,Dataset_2!$A$2:$A$611,0))</f>
        <v>74</v>
      </c>
    </row>
    <row r="179" spans="1:16" x14ac:dyDescent="0.2">
      <c r="A179">
        <f>Dataset_1!A179</f>
        <v>178</v>
      </c>
      <c r="B179" s="61">
        <f>Dataset_1!B179</f>
        <v>40551</v>
      </c>
      <c r="C179">
        <f>Dataset_1!C179</f>
        <v>1</v>
      </c>
      <c r="D179">
        <f>Dataset_1!D179</f>
        <v>0</v>
      </c>
      <c r="E179">
        <f>Dataset_1!E179</f>
        <v>1</v>
      </c>
      <c r="F179">
        <f>Dataset_1!F179</f>
        <v>16</v>
      </c>
      <c r="G179" t="b">
        <f>Dataset_1!G179</f>
        <v>0</v>
      </c>
      <c r="H179">
        <f>Dataset_1!H179</f>
        <v>6</v>
      </c>
      <c r="I179">
        <f>Dataset_1!I179</f>
        <v>1</v>
      </c>
      <c r="J179">
        <f>Dataset_1!J179</f>
        <v>0.18</v>
      </c>
      <c r="K179">
        <f>INDEX(Dataset_2!$B$2:$B$611,MATCH($A179,Dataset_2!$A$2:$A$611,0))</f>
        <v>0.13639999999999999</v>
      </c>
      <c r="L179">
        <f>INDEX(Dataset_2!$C$2:$C$611,MATCH($A179,Dataset_2!$A$2:$A$611,0))</f>
        <v>0.28999999999999998</v>
      </c>
      <c r="M179">
        <f>INDEX(Dataset_2!$D$2:$D$611,MATCH($A179,Dataset_2!$A$2:$A$611,0))</f>
        <v>0.44779999999999998</v>
      </c>
      <c r="N179">
        <f>INDEX(Dataset_2!$E$2:$E$611,MATCH($A179,Dataset_2!$A$2:$A$611,0))</f>
        <v>8</v>
      </c>
      <c r="O179">
        <f>INDEX(Dataset_2!$F$2:$F$611,MATCH($A179,Dataset_2!$A$2:$A$611,0))</f>
        <v>68</v>
      </c>
      <c r="P179">
        <f>INDEX(Dataset_2!$G$2:$G$611,MATCH($A179,Dataset_2!$A$2:$A$611,0))</f>
        <v>76</v>
      </c>
    </row>
    <row r="180" spans="1:16" x14ac:dyDescent="0.2">
      <c r="A180">
        <f>Dataset_1!A180</f>
        <v>179</v>
      </c>
      <c r="B180" s="61">
        <f>Dataset_1!B180</f>
        <v>40551</v>
      </c>
      <c r="C180">
        <f>Dataset_1!C180</f>
        <v>1</v>
      </c>
      <c r="D180">
        <f>Dataset_1!D180</f>
        <v>0</v>
      </c>
      <c r="E180">
        <f>Dataset_1!E180</f>
        <v>1</v>
      </c>
      <c r="F180">
        <f>Dataset_1!F180</f>
        <v>17</v>
      </c>
      <c r="G180" t="b">
        <f>Dataset_1!G180</f>
        <v>0</v>
      </c>
      <c r="H180">
        <f>Dataset_1!H180</f>
        <v>6</v>
      </c>
      <c r="I180">
        <f>Dataset_1!I180</f>
        <v>1</v>
      </c>
      <c r="J180">
        <f>Dataset_1!J180</f>
        <v>0.16</v>
      </c>
      <c r="K180">
        <f>INDEX(Dataset_2!$B$2:$B$611,MATCH($A180,Dataset_2!$A$2:$A$611,0))</f>
        <v>0.1212</v>
      </c>
      <c r="L180">
        <f>INDEX(Dataset_2!$C$2:$C$611,MATCH($A180,Dataset_2!$A$2:$A$611,0))</f>
        <v>0.37</v>
      </c>
      <c r="M180">
        <f>INDEX(Dataset_2!$D$2:$D$611,MATCH($A180,Dataset_2!$A$2:$A$611,0))</f>
        <v>0.55220000000000002</v>
      </c>
      <c r="N180">
        <f>INDEX(Dataset_2!$E$2:$E$611,MATCH($A180,Dataset_2!$A$2:$A$611,0))</f>
        <v>5</v>
      </c>
      <c r="O180">
        <f>INDEX(Dataset_2!$F$2:$F$611,MATCH($A180,Dataset_2!$A$2:$A$611,0))</f>
        <v>64</v>
      </c>
      <c r="P180">
        <f>INDEX(Dataset_2!$G$2:$G$611,MATCH($A180,Dataset_2!$A$2:$A$611,0))</f>
        <v>69</v>
      </c>
    </row>
    <row r="181" spans="1:16" x14ac:dyDescent="0.2">
      <c r="A181">
        <f>Dataset_1!A181</f>
        <v>180</v>
      </c>
      <c r="B181" s="61">
        <f>Dataset_1!B181</f>
        <v>40551</v>
      </c>
      <c r="C181">
        <f>Dataset_1!C181</f>
        <v>1</v>
      </c>
      <c r="D181">
        <f>Dataset_1!D181</f>
        <v>0</v>
      </c>
      <c r="E181">
        <f>Dataset_1!E181</f>
        <v>1</v>
      </c>
      <c r="F181">
        <f>Dataset_1!F181</f>
        <v>18</v>
      </c>
      <c r="G181" t="b">
        <f>Dataset_1!G181</f>
        <v>0</v>
      </c>
      <c r="H181">
        <f>Dataset_1!H181</f>
        <v>6</v>
      </c>
      <c r="I181">
        <f>Dataset_1!I181</f>
        <v>1</v>
      </c>
      <c r="J181">
        <f>Dataset_1!J181</f>
        <v>0.14000000000000001</v>
      </c>
      <c r="K181">
        <f>INDEX(Dataset_2!$B$2:$B$611,MATCH($A181,Dataset_2!$A$2:$A$611,0))</f>
        <v>0.1212</v>
      </c>
      <c r="L181">
        <f>INDEX(Dataset_2!$C$2:$C$611,MATCH($A181,Dataset_2!$A$2:$A$611,0))</f>
        <v>0.39</v>
      </c>
      <c r="M181">
        <f>INDEX(Dataset_2!$D$2:$D$611,MATCH($A181,Dataset_2!$A$2:$A$611,0))</f>
        <v>0.29849999999999999</v>
      </c>
      <c r="N181">
        <f>INDEX(Dataset_2!$E$2:$E$611,MATCH($A181,Dataset_2!$A$2:$A$611,0))</f>
        <v>3</v>
      </c>
      <c r="O181">
        <f>INDEX(Dataset_2!$F$2:$F$611,MATCH($A181,Dataset_2!$A$2:$A$611,0))</f>
        <v>52</v>
      </c>
      <c r="P181">
        <f>INDEX(Dataset_2!$G$2:$G$611,MATCH($A181,Dataset_2!$A$2:$A$611,0))</f>
        <v>55</v>
      </c>
    </row>
    <row r="182" spans="1:16" x14ac:dyDescent="0.2">
      <c r="A182">
        <f>Dataset_1!A182</f>
        <v>181</v>
      </c>
      <c r="B182" s="61">
        <f>Dataset_1!B182</f>
        <v>40551</v>
      </c>
      <c r="C182">
        <f>Dataset_1!C182</f>
        <v>1</v>
      </c>
      <c r="D182">
        <f>Dataset_1!D182</f>
        <v>0</v>
      </c>
      <c r="E182">
        <f>Dataset_1!E182</f>
        <v>1</v>
      </c>
      <c r="F182">
        <f>Dataset_1!F182</f>
        <v>19</v>
      </c>
      <c r="G182" t="b">
        <f>Dataset_1!G182</f>
        <v>0</v>
      </c>
      <c r="H182">
        <f>Dataset_1!H182</f>
        <v>6</v>
      </c>
      <c r="I182">
        <f>Dataset_1!I182</f>
        <v>1</v>
      </c>
      <c r="J182">
        <f>Dataset_1!J182</f>
        <v>0.14000000000000001</v>
      </c>
      <c r="K182">
        <f>INDEX(Dataset_2!$B$2:$B$611,MATCH($A182,Dataset_2!$A$2:$A$611,0))</f>
        <v>0.1212</v>
      </c>
      <c r="L182">
        <f>INDEX(Dataset_2!$C$2:$C$611,MATCH($A182,Dataset_2!$A$2:$A$611,0))</f>
        <v>0.36</v>
      </c>
      <c r="M182">
        <f>INDEX(Dataset_2!$D$2:$D$611,MATCH($A182,Dataset_2!$A$2:$A$611,0))</f>
        <v>0.25369999999999998</v>
      </c>
      <c r="N182">
        <f>INDEX(Dataset_2!$E$2:$E$611,MATCH($A182,Dataset_2!$A$2:$A$611,0))</f>
        <v>4</v>
      </c>
      <c r="O182">
        <f>INDEX(Dataset_2!$F$2:$F$611,MATCH($A182,Dataset_2!$A$2:$A$611,0))</f>
        <v>26</v>
      </c>
      <c r="P182">
        <f>INDEX(Dataset_2!$G$2:$G$611,MATCH($A182,Dataset_2!$A$2:$A$611,0))</f>
        <v>30</v>
      </c>
    </row>
    <row r="183" spans="1:16" x14ac:dyDescent="0.2">
      <c r="A183">
        <f>Dataset_1!A183</f>
        <v>182</v>
      </c>
      <c r="B183" s="61">
        <f>Dataset_1!B183</f>
        <v>40551</v>
      </c>
      <c r="C183">
        <f>Dataset_1!C183</f>
        <v>1</v>
      </c>
      <c r="D183">
        <f>Dataset_1!D183</f>
        <v>0</v>
      </c>
      <c r="E183">
        <f>Dataset_1!E183</f>
        <v>1</v>
      </c>
      <c r="F183">
        <f>Dataset_1!F183</f>
        <v>20</v>
      </c>
      <c r="G183" t="b">
        <f>Dataset_1!G183</f>
        <v>0</v>
      </c>
      <c r="H183">
        <f>Dataset_1!H183</f>
        <v>6</v>
      </c>
      <c r="I183">
        <f>Dataset_1!I183</f>
        <v>1</v>
      </c>
      <c r="J183">
        <f>Dataset_1!J183</f>
        <v>0.12</v>
      </c>
      <c r="K183">
        <f>INDEX(Dataset_2!$B$2:$B$611,MATCH($A183,Dataset_2!$A$2:$A$611,0))</f>
        <v>0.1212</v>
      </c>
      <c r="L183">
        <f>INDEX(Dataset_2!$C$2:$C$611,MATCH($A183,Dataset_2!$A$2:$A$611,0))</f>
        <v>0.36</v>
      </c>
      <c r="M183">
        <f>INDEX(Dataset_2!$D$2:$D$611,MATCH($A183,Dataset_2!$A$2:$A$611,0))</f>
        <v>0.25369999999999998</v>
      </c>
      <c r="N183">
        <f>INDEX(Dataset_2!$E$2:$E$611,MATCH($A183,Dataset_2!$A$2:$A$611,0))</f>
        <v>0</v>
      </c>
      <c r="O183">
        <f>INDEX(Dataset_2!$F$2:$F$611,MATCH($A183,Dataset_2!$A$2:$A$611,0))</f>
        <v>28</v>
      </c>
      <c r="P183">
        <f>INDEX(Dataset_2!$G$2:$G$611,MATCH($A183,Dataset_2!$A$2:$A$611,0))</f>
        <v>28</v>
      </c>
    </row>
    <row r="184" spans="1:16" x14ac:dyDescent="0.2">
      <c r="A184">
        <f>Dataset_1!A184</f>
        <v>183</v>
      </c>
      <c r="B184" s="61">
        <f>Dataset_1!B184</f>
        <v>40551</v>
      </c>
      <c r="C184">
        <f>Dataset_1!C184</f>
        <v>1</v>
      </c>
      <c r="D184">
        <f>Dataset_1!D184</f>
        <v>0</v>
      </c>
      <c r="E184">
        <f>Dataset_1!E184</f>
        <v>1</v>
      </c>
      <c r="F184">
        <f>Dataset_1!F184</f>
        <v>21</v>
      </c>
      <c r="G184" t="b">
        <f>Dataset_1!G184</f>
        <v>0</v>
      </c>
      <c r="H184">
        <f>Dataset_1!H184</f>
        <v>6</v>
      </c>
      <c r="I184">
        <f>Dataset_1!I184</f>
        <v>1</v>
      </c>
      <c r="J184">
        <f>Dataset_1!J184</f>
        <v>0.12</v>
      </c>
      <c r="K184">
        <f>INDEX(Dataset_2!$B$2:$B$611,MATCH($A184,Dataset_2!$A$2:$A$611,0))</f>
        <v>0.1061</v>
      </c>
      <c r="L184">
        <f>INDEX(Dataset_2!$C$2:$C$611,MATCH($A184,Dataset_2!$A$2:$A$611,0))</f>
        <v>0.39</v>
      </c>
      <c r="M184">
        <f>INDEX(Dataset_2!$D$2:$D$611,MATCH($A184,Dataset_2!$A$2:$A$611,0))</f>
        <v>0.35820000000000002</v>
      </c>
      <c r="N184">
        <f>INDEX(Dataset_2!$E$2:$E$611,MATCH($A184,Dataset_2!$A$2:$A$611,0))</f>
        <v>2</v>
      </c>
      <c r="O184">
        <f>INDEX(Dataset_2!$F$2:$F$611,MATCH($A184,Dataset_2!$A$2:$A$611,0))</f>
        <v>35</v>
      </c>
      <c r="P184">
        <f>INDEX(Dataset_2!$G$2:$G$611,MATCH($A184,Dataset_2!$A$2:$A$611,0))</f>
        <v>37</v>
      </c>
    </row>
    <row r="185" spans="1:16" x14ac:dyDescent="0.2">
      <c r="A185">
        <f>Dataset_1!A185</f>
        <v>184</v>
      </c>
      <c r="B185" s="61">
        <f>Dataset_1!B185</f>
        <v>40551</v>
      </c>
      <c r="C185">
        <f>Dataset_1!C185</f>
        <v>1</v>
      </c>
      <c r="D185">
        <f>Dataset_1!D185</f>
        <v>0</v>
      </c>
      <c r="E185">
        <f>Dataset_1!E185</f>
        <v>1</v>
      </c>
      <c r="F185">
        <f>Dataset_1!F185</f>
        <v>22</v>
      </c>
      <c r="G185" t="b">
        <f>Dataset_1!G185</f>
        <v>0</v>
      </c>
      <c r="H185">
        <f>Dataset_1!H185</f>
        <v>6</v>
      </c>
      <c r="I185">
        <f>Dataset_1!I185</f>
        <v>1</v>
      </c>
      <c r="J185">
        <f>Dataset_1!J185</f>
        <v>0.12</v>
      </c>
      <c r="K185">
        <f>INDEX(Dataset_2!$B$2:$B$611,MATCH($A185,Dataset_2!$A$2:$A$611,0))</f>
        <v>0.1061</v>
      </c>
      <c r="L185">
        <f>INDEX(Dataset_2!$C$2:$C$611,MATCH($A185,Dataset_2!$A$2:$A$611,0))</f>
        <v>0.36</v>
      </c>
      <c r="M185">
        <f>INDEX(Dataset_2!$D$2:$D$611,MATCH($A185,Dataset_2!$A$2:$A$611,0))</f>
        <v>0.3881</v>
      </c>
      <c r="N185">
        <f>INDEX(Dataset_2!$E$2:$E$611,MATCH($A185,Dataset_2!$A$2:$A$611,0))</f>
        <v>1</v>
      </c>
      <c r="O185">
        <f>INDEX(Dataset_2!$F$2:$F$611,MATCH($A185,Dataset_2!$A$2:$A$611,0))</f>
        <v>33</v>
      </c>
      <c r="P185">
        <f>INDEX(Dataset_2!$G$2:$G$611,MATCH($A185,Dataset_2!$A$2:$A$611,0))</f>
        <v>34</v>
      </c>
    </row>
    <row r="186" spans="1:16" x14ac:dyDescent="0.2">
      <c r="A186">
        <f>Dataset_1!A186</f>
        <v>185</v>
      </c>
      <c r="B186" s="61">
        <f>Dataset_1!B186</f>
        <v>40551</v>
      </c>
      <c r="C186">
        <f>Dataset_1!C186</f>
        <v>1</v>
      </c>
      <c r="D186">
        <f>Dataset_1!D186</f>
        <v>0</v>
      </c>
      <c r="E186">
        <f>Dataset_1!E186</f>
        <v>1</v>
      </c>
      <c r="F186">
        <f>Dataset_1!F186</f>
        <v>23</v>
      </c>
      <c r="G186" t="b">
        <f>Dataset_1!G186</f>
        <v>0</v>
      </c>
      <c r="H186">
        <f>Dataset_1!H186</f>
        <v>6</v>
      </c>
      <c r="I186">
        <f>Dataset_1!I186</f>
        <v>1</v>
      </c>
      <c r="J186">
        <f>Dataset_1!J186</f>
        <v>0.1</v>
      </c>
      <c r="K186">
        <f>INDEX(Dataset_2!$B$2:$B$611,MATCH($A186,Dataset_2!$A$2:$A$611,0))</f>
        <v>6.0600000000000001E-2</v>
      </c>
      <c r="L186">
        <f>INDEX(Dataset_2!$C$2:$C$611,MATCH($A186,Dataset_2!$A$2:$A$611,0))</f>
        <v>0.39</v>
      </c>
      <c r="M186">
        <f>INDEX(Dataset_2!$D$2:$D$611,MATCH($A186,Dataset_2!$A$2:$A$611,0))</f>
        <v>0.44779999999999998</v>
      </c>
      <c r="N186">
        <f>INDEX(Dataset_2!$E$2:$E$611,MATCH($A186,Dataset_2!$A$2:$A$611,0))</f>
        <v>0</v>
      </c>
      <c r="O186">
        <f>INDEX(Dataset_2!$F$2:$F$611,MATCH($A186,Dataset_2!$A$2:$A$611,0))</f>
        <v>22</v>
      </c>
      <c r="P186">
        <f>INDEX(Dataset_2!$G$2:$G$611,MATCH($A186,Dataset_2!$A$2:$A$611,0))</f>
        <v>22</v>
      </c>
    </row>
    <row r="187" spans="1:16" x14ac:dyDescent="0.2">
      <c r="A187">
        <f>Dataset_1!A187</f>
        <v>186</v>
      </c>
      <c r="B187" s="61">
        <f>Dataset_1!B187</f>
        <v>40552</v>
      </c>
      <c r="C187">
        <f>Dataset_1!C187</f>
        <v>1</v>
      </c>
      <c r="D187">
        <f>Dataset_1!D187</f>
        <v>0</v>
      </c>
      <c r="E187">
        <f>Dataset_1!E187</f>
        <v>1</v>
      </c>
      <c r="F187">
        <f>Dataset_1!F187</f>
        <v>0</v>
      </c>
      <c r="G187" t="b">
        <f>Dataset_1!G187</f>
        <v>0</v>
      </c>
      <c r="H187">
        <f>Dataset_1!H187</f>
        <v>0</v>
      </c>
      <c r="I187">
        <f>Dataset_1!I187</f>
        <v>1</v>
      </c>
      <c r="J187">
        <f>Dataset_1!J187</f>
        <v>0.1</v>
      </c>
      <c r="K187">
        <f>INDEX(Dataset_2!$B$2:$B$611,MATCH($A187,Dataset_2!$A$2:$A$611,0))</f>
        <v>7.5800000000000006E-2</v>
      </c>
      <c r="L187">
        <f>INDEX(Dataset_2!$C$2:$C$611,MATCH($A187,Dataset_2!$A$2:$A$611,0))</f>
        <v>0.42</v>
      </c>
      <c r="M187">
        <f>INDEX(Dataset_2!$D$2:$D$611,MATCH($A187,Dataset_2!$A$2:$A$611,0))</f>
        <v>0.3881</v>
      </c>
      <c r="N187">
        <f>INDEX(Dataset_2!$E$2:$E$611,MATCH($A187,Dataset_2!$A$2:$A$611,0))</f>
        <v>1</v>
      </c>
      <c r="O187">
        <f>INDEX(Dataset_2!$F$2:$F$611,MATCH($A187,Dataset_2!$A$2:$A$611,0))</f>
        <v>24</v>
      </c>
      <c r="P187">
        <f>INDEX(Dataset_2!$G$2:$G$611,MATCH($A187,Dataset_2!$A$2:$A$611,0))</f>
        <v>25</v>
      </c>
    </row>
    <row r="188" spans="1:16" x14ac:dyDescent="0.2">
      <c r="A188">
        <f>Dataset_1!A188</f>
        <v>187</v>
      </c>
      <c r="B188" s="61">
        <f>Dataset_1!B188</f>
        <v>40552</v>
      </c>
      <c r="C188">
        <f>Dataset_1!C188</f>
        <v>1</v>
      </c>
      <c r="D188">
        <f>Dataset_1!D188</f>
        <v>0</v>
      </c>
      <c r="E188">
        <f>Dataset_1!E188</f>
        <v>1</v>
      </c>
      <c r="F188">
        <f>Dataset_1!F188</f>
        <v>1</v>
      </c>
      <c r="G188" t="b">
        <f>Dataset_1!G188</f>
        <v>0</v>
      </c>
      <c r="H188">
        <f>Dataset_1!H188</f>
        <v>0</v>
      </c>
      <c r="I188">
        <f>Dataset_1!I188</f>
        <v>1</v>
      </c>
      <c r="J188">
        <f>Dataset_1!J188</f>
        <v>0.1</v>
      </c>
      <c r="K188">
        <f>INDEX(Dataset_2!$B$2:$B$611,MATCH($A188,Dataset_2!$A$2:$A$611,0))</f>
        <v>6.0600000000000001E-2</v>
      </c>
      <c r="L188">
        <f>INDEX(Dataset_2!$C$2:$C$611,MATCH($A188,Dataset_2!$A$2:$A$611,0))</f>
        <v>0.42</v>
      </c>
      <c r="M188">
        <f>INDEX(Dataset_2!$D$2:$D$611,MATCH($A188,Dataset_2!$A$2:$A$611,0))</f>
        <v>0.4627</v>
      </c>
      <c r="N188">
        <f>INDEX(Dataset_2!$E$2:$E$611,MATCH($A188,Dataset_2!$A$2:$A$611,0))</f>
        <v>0</v>
      </c>
      <c r="O188">
        <f>INDEX(Dataset_2!$F$2:$F$611,MATCH($A188,Dataset_2!$A$2:$A$611,0))</f>
        <v>12</v>
      </c>
      <c r="P188">
        <f>INDEX(Dataset_2!$G$2:$G$611,MATCH($A188,Dataset_2!$A$2:$A$611,0))</f>
        <v>12</v>
      </c>
    </row>
    <row r="189" spans="1:16" x14ac:dyDescent="0.2">
      <c r="A189">
        <f>Dataset_1!A189</f>
        <v>188</v>
      </c>
      <c r="B189" s="61">
        <f>Dataset_1!B189</f>
        <v>40552</v>
      </c>
      <c r="C189">
        <f>Dataset_1!C189</f>
        <v>1</v>
      </c>
      <c r="D189">
        <f>Dataset_1!D189</f>
        <v>0</v>
      </c>
      <c r="E189">
        <f>Dataset_1!E189</f>
        <v>1</v>
      </c>
      <c r="F189">
        <f>Dataset_1!F189</f>
        <v>2</v>
      </c>
      <c r="G189" t="b">
        <f>Dataset_1!G189</f>
        <v>0</v>
      </c>
      <c r="H189">
        <f>Dataset_1!H189</f>
        <v>0</v>
      </c>
      <c r="I189">
        <f>Dataset_1!I189</f>
        <v>1</v>
      </c>
      <c r="J189">
        <f>Dataset_1!J189</f>
        <v>0.1</v>
      </c>
      <c r="K189">
        <f>INDEX(Dataset_2!$B$2:$B$611,MATCH($A189,Dataset_2!$A$2:$A$611,0))</f>
        <v>6.0600000000000001E-2</v>
      </c>
      <c r="L189">
        <f>INDEX(Dataset_2!$C$2:$C$611,MATCH($A189,Dataset_2!$A$2:$A$611,0))</f>
        <v>0.46</v>
      </c>
      <c r="M189">
        <f>INDEX(Dataset_2!$D$2:$D$611,MATCH($A189,Dataset_2!$A$2:$A$611,0))</f>
        <v>0.4627</v>
      </c>
      <c r="N189">
        <f>INDEX(Dataset_2!$E$2:$E$611,MATCH($A189,Dataset_2!$A$2:$A$611,0))</f>
        <v>0</v>
      </c>
      <c r="O189">
        <f>INDEX(Dataset_2!$F$2:$F$611,MATCH($A189,Dataset_2!$A$2:$A$611,0))</f>
        <v>11</v>
      </c>
      <c r="P189">
        <f>INDEX(Dataset_2!$G$2:$G$611,MATCH($A189,Dataset_2!$A$2:$A$611,0))</f>
        <v>11</v>
      </c>
    </row>
    <row r="190" spans="1:16" x14ac:dyDescent="0.2">
      <c r="A190">
        <f>Dataset_1!A190</f>
        <v>189</v>
      </c>
      <c r="B190" s="61">
        <f>Dataset_1!B190</f>
        <v>40552</v>
      </c>
      <c r="C190">
        <f>Dataset_1!C190</f>
        <v>1</v>
      </c>
      <c r="D190">
        <f>Dataset_1!D190</f>
        <v>0</v>
      </c>
      <c r="E190">
        <f>Dataset_1!E190</f>
        <v>1</v>
      </c>
      <c r="F190">
        <f>Dataset_1!F190</f>
        <v>3</v>
      </c>
      <c r="G190" t="b">
        <f>Dataset_1!G190</f>
        <v>0</v>
      </c>
      <c r="H190">
        <f>Dataset_1!H190</f>
        <v>0</v>
      </c>
      <c r="I190">
        <f>Dataset_1!I190</f>
        <v>1</v>
      </c>
      <c r="J190">
        <f>Dataset_1!J190</f>
        <v>0.1</v>
      </c>
      <c r="K190">
        <f>INDEX(Dataset_2!$B$2:$B$611,MATCH($A190,Dataset_2!$A$2:$A$611,0))</f>
        <v>7.5800000000000006E-2</v>
      </c>
      <c r="L190">
        <f>INDEX(Dataset_2!$C$2:$C$611,MATCH($A190,Dataset_2!$A$2:$A$611,0))</f>
        <v>0.46</v>
      </c>
      <c r="M190">
        <f>INDEX(Dataset_2!$D$2:$D$611,MATCH($A190,Dataset_2!$A$2:$A$611,0))</f>
        <v>0.41789999999999999</v>
      </c>
      <c r="N190">
        <f>INDEX(Dataset_2!$E$2:$E$611,MATCH($A190,Dataset_2!$A$2:$A$611,0))</f>
        <v>0</v>
      </c>
      <c r="O190">
        <f>INDEX(Dataset_2!$F$2:$F$611,MATCH($A190,Dataset_2!$A$2:$A$611,0))</f>
        <v>4</v>
      </c>
      <c r="P190">
        <f>INDEX(Dataset_2!$G$2:$G$611,MATCH($A190,Dataset_2!$A$2:$A$611,0))</f>
        <v>4</v>
      </c>
    </row>
    <row r="191" spans="1:16" x14ac:dyDescent="0.2">
      <c r="A191">
        <f>Dataset_1!A191</f>
        <v>190</v>
      </c>
      <c r="B191" s="61">
        <f>Dataset_1!B191</f>
        <v>40552</v>
      </c>
      <c r="C191">
        <f>Dataset_1!C191</f>
        <v>1</v>
      </c>
      <c r="D191">
        <f>Dataset_1!D191</f>
        <v>0</v>
      </c>
      <c r="E191">
        <f>Dataset_1!E191</f>
        <v>1</v>
      </c>
      <c r="F191">
        <f>Dataset_1!F191</f>
        <v>4</v>
      </c>
      <c r="G191" t="b">
        <f>Dataset_1!G191</f>
        <v>0</v>
      </c>
      <c r="H191">
        <f>Dataset_1!H191</f>
        <v>0</v>
      </c>
      <c r="I191">
        <f>Dataset_1!I191</f>
        <v>1</v>
      </c>
      <c r="J191">
        <f>Dataset_1!J191</f>
        <v>0.08</v>
      </c>
      <c r="K191">
        <f>INDEX(Dataset_2!$B$2:$B$611,MATCH($A191,Dataset_2!$A$2:$A$611,0))</f>
        <v>9.0899999999999995E-2</v>
      </c>
      <c r="L191">
        <f>INDEX(Dataset_2!$C$2:$C$611,MATCH($A191,Dataset_2!$A$2:$A$611,0))</f>
        <v>0.53</v>
      </c>
      <c r="M191">
        <f>INDEX(Dataset_2!$D$2:$D$611,MATCH($A191,Dataset_2!$A$2:$A$611,0))</f>
        <v>0.19400000000000001</v>
      </c>
      <c r="N191">
        <f>INDEX(Dataset_2!$E$2:$E$611,MATCH($A191,Dataset_2!$A$2:$A$611,0))</f>
        <v>0</v>
      </c>
      <c r="O191">
        <f>INDEX(Dataset_2!$F$2:$F$611,MATCH($A191,Dataset_2!$A$2:$A$611,0))</f>
        <v>1</v>
      </c>
      <c r="P191">
        <f>INDEX(Dataset_2!$G$2:$G$611,MATCH($A191,Dataset_2!$A$2:$A$611,0))</f>
        <v>1</v>
      </c>
    </row>
    <row r="192" spans="1:16" x14ac:dyDescent="0.2">
      <c r="A192">
        <f>Dataset_1!A192</f>
        <v>191</v>
      </c>
      <c r="B192" s="61">
        <f>Dataset_1!B192</f>
        <v>40552</v>
      </c>
      <c r="C192">
        <f>Dataset_1!C192</f>
        <v>1</v>
      </c>
      <c r="D192">
        <f>Dataset_1!D192</f>
        <v>0</v>
      </c>
      <c r="E192">
        <f>Dataset_1!E192</f>
        <v>1</v>
      </c>
      <c r="F192">
        <f>Dataset_1!F192</f>
        <v>5</v>
      </c>
      <c r="G192" t="b">
        <f>Dataset_1!G192</f>
        <v>0</v>
      </c>
      <c r="H192">
        <f>Dataset_1!H192</f>
        <v>0</v>
      </c>
      <c r="I192">
        <f>Dataset_1!I192</f>
        <v>1</v>
      </c>
      <c r="J192">
        <f>Dataset_1!J192</f>
        <v>0.08</v>
      </c>
      <c r="K192">
        <f>INDEX(Dataset_2!$B$2:$B$611,MATCH($A192,Dataset_2!$A$2:$A$611,0))</f>
        <v>9.0899999999999995E-2</v>
      </c>
      <c r="L192">
        <f>INDEX(Dataset_2!$C$2:$C$611,MATCH($A192,Dataset_2!$A$2:$A$611,0))</f>
        <v>0.53</v>
      </c>
      <c r="M192">
        <f>INDEX(Dataset_2!$D$2:$D$611,MATCH($A192,Dataset_2!$A$2:$A$611,0))</f>
        <v>0.19400000000000001</v>
      </c>
      <c r="N192">
        <f>INDEX(Dataset_2!$E$2:$E$611,MATCH($A192,Dataset_2!$A$2:$A$611,0))</f>
        <v>0</v>
      </c>
      <c r="O192">
        <f>INDEX(Dataset_2!$F$2:$F$611,MATCH($A192,Dataset_2!$A$2:$A$611,0))</f>
        <v>1</v>
      </c>
      <c r="P192">
        <f>INDEX(Dataset_2!$G$2:$G$611,MATCH($A192,Dataset_2!$A$2:$A$611,0))</f>
        <v>1</v>
      </c>
    </row>
    <row r="193" spans="1:16" x14ac:dyDescent="0.2">
      <c r="A193">
        <f>Dataset_1!A193</f>
        <v>192</v>
      </c>
      <c r="B193" s="61">
        <f>Dataset_1!B193</f>
        <v>40552</v>
      </c>
      <c r="C193">
        <f>Dataset_1!C193</f>
        <v>1</v>
      </c>
      <c r="D193">
        <f>Dataset_1!D193</f>
        <v>0</v>
      </c>
      <c r="E193">
        <f>Dataset_1!E193</f>
        <v>1</v>
      </c>
      <c r="F193">
        <f>Dataset_1!F193</f>
        <v>6</v>
      </c>
      <c r="G193" t="b">
        <f>Dataset_1!G193</f>
        <v>0</v>
      </c>
      <c r="H193">
        <f>Dataset_1!H193</f>
        <v>0</v>
      </c>
      <c r="I193">
        <f>Dataset_1!I193</f>
        <v>1</v>
      </c>
      <c r="J193">
        <f>Dataset_1!J193</f>
        <v>0.1</v>
      </c>
      <c r="K193">
        <f>INDEX(Dataset_2!$B$2:$B$611,MATCH($A193,Dataset_2!$A$2:$A$611,0))</f>
        <v>9.0899999999999995E-2</v>
      </c>
      <c r="L193">
        <f>INDEX(Dataset_2!$C$2:$C$611,MATCH($A193,Dataset_2!$A$2:$A$611,0))</f>
        <v>0.49</v>
      </c>
      <c r="M193">
        <f>INDEX(Dataset_2!$D$2:$D$611,MATCH($A193,Dataset_2!$A$2:$A$611,0))</f>
        <v>0.28360000000000002</v>
      </c>
      <c r="N193">
        <f>INDEX(Dataset_2!$E$2:$E$611,MATCH($A193,Dataset_2!$A$2:$A$611,0))</f>
        <v>0</v>
      </c>
      <c r="O193">
        <f>INDEX(Dataset_2!$F$2:$F$611,MATCH($A193,Dataset_2!$A$2:$A$611,0))</f>
        <v>1</v>
      </c>
      <c r="P193">
        <f>INDEX(Dataset_2!$G$2:$G$611,MATCH($A193,Dataset_2!$A$2:$A$611,0))</f>
        <v>1</v>
      </c>
    </row>
    <row r="194" spans="1:16" x14ac:dyDescent="0.2">
      <c r="A194">
        <f>Dataset_1!A194</f>
        <v>193</v>
      </c>
      <c r="B194" s="61">
        <f>Dataset_1!B194</f>
        <v>40552</v>
      </c>
      <c r="C194">
        <f>Dataset_1!C194</f>
        <v>1</v>
      </c>
      <c r="D194">
        <f>Dataset_1!D194</f>
        <v>0</v>
      </c>
      <c r="E194">
        <f>Dataset_1!E194</f>
        <v>1</v>
      </c>
      <c r="F194">
        <f>Dataset_1!F194</f>
        <v>7</v>
      </c>
      <c r="G194" t="b">
        <f>Dataset_1!G194</f>
        <v>0</v>
      </c>
      <c r="H194">
        <f>Dataset_1!H194</f>
        <v>0</v>
      </c>
      <c r="I194">
        <f>Dataset_1!I194</f>
        <v>1</v>
      </c>
      <c r="J194">
        <f>Dataset_1!J194</f>
        <v>0.08</v>
      </c>
      <c r="K194">
        <f>INDEX(Dataset_2!$B$2:$B$611,MATCH($A194,Dataset_2!$A$2:$A$611,0))</f>
        <v>9.0899999999999995E-2</v>
      </c>
      <c r="L194">
        <f>INDEX(Dataset_2!$C$2:$C$611,MATCH($A194,Dataset_2!$A$2:$A$611,0))</f>
        <v>0.53</v>
      </c>
      <c r="M194">
        <f>INDEX(Dataset_2!$D$2:$D$611,MATCH($A194,Dataset_2!$A$2:$A$611,0))</f>
        <v>0.19400000000000001</v>
      </c>
      <c r="N194">
        <f>INDEX(Dataset_2!$E$2:$E$611,MATCH($A194,Dataset_2!$A$2:$A$611,0))</f>
        <v>1</v>
      </c>
      <c r="O194">
        <f>INDEX(Dataset_2!$F$2:$F$611,MATCH($A194,Dataset_2!$A$2:$A$611,0))</f>
        <v>5</v>
      </c>
      <c r="P194">
        <f>INDEX(Dataset_2!$G$2:$G$611,MATCH($A194,Dataset_2!$A$2:$A$611,0))</f>
        <v>6</v>
      </c>
    </row>
    <row r="195" spans="1:16" x14ac:dyDescent="0.2">
      <c r="A195">
        <f>Dataset_1!A195</f>
        <v>194</v>
      </c>
      <c r="B195" s="61">
        <f>Dataset_1!B195</f>
        <v>40552</v>
      </c>
      <c r="C195">
        <f>Dataset_1!C195</f>
        <v>1</v>
      </c>
      <c r="D195">
        <f>Dataset_1!D195</f>
        <v>0</v>
      </c>
      <c r="E195">
        <f>Dataset_1!E195</f>
        <v>1</v>
      </c>
      <c r="F195">
        <f>Dataset_1!F195</f>
        <v>8</v>
      </c>
      <c r="G195" t="b">
        <f>Dataset_1!G195</f>
        <v>0</v>
      </c>
      <c r="H195">
        <f>Dataset_1!H195</f>
        <v>0</v>
      </c>
      <c r="I195">
        <f>Dataset_1!I195</f>
        <v>1</v>
      </c>
      <c r="J195">
        <f>Dataset_1!J195</f>
        <v>0.1</v>
      </c>
      <c r="K195">
        <f>INDEX(Dataset_2!$B$2:$B$611,MATCH($A195,Dataset_2!$A$2:$A$611,0))</f>
        <v>9.0899999999999995E-2</v>
      </c>
      <c r="L195">
        <f>INDEX(Dataset_2!$C$2:$C$611,MATCH($A195,Dataset_2!$A$2:$A$611,0))</f>
        <v>0.49</v>
      </c>
      <c r="M195">
        <f>INDEX(Dataset_2!$D$2:$D$611,MATCH($A195,Dataset_2!$A$2:$A$611,0))</f>
        <v>0.28360000000000002</v>
      </c>
      <c r="N195">
        <f>INDEX(Dataset_2!$E$2:$E$611,MATCH($A195,Dataset_2!$A$2:$A$611,0))</f>
        <v>0</v>
      </c>
      <c r="O195">
        <f>INDEX(Dataset_2!$F$2:$F$611,MATCH($A195,Dataset_2!$A$2:$A$611,0))</f>
        <v>10</v>
      </c>
      <c r="P195">
        <f>INDEX(Dataset_2!$G$2:$G$611,MATCH($A195,Dataset_2!$A$2:$A$611,0))</f>
        <v>10</v>
      </c>
    </row>
    <row r="196" spans="1:16" x14ac:dyDescent="0.2">
      <c r="A196">
        <f>Dataset_1!A196</f>
        <v>195</v>
      </c>
      <c r="B196" s="61">
        <f>Dataset_1!B196</f>
        <v>40552</v>
      </c>
      <c r="C196">
        <f>Dataset_1!C196</f>
        <v>1</v>
      </c>
      <c r="D196">
        <f>Dataset_1!D196</f>
        <v>0</v>
      </c>
      <c r="E196">
        <f>Dataset_1!E196</f>
        <v>1</v>
      </c>
      <c r="F196">
        <f>Dataset_1!F196</f>
        <v>9</v>
      </c>
      <c r="G196" t="b">
        <f>Dataset_1!G196</f>
        <v>0</v>
      </c>
      <c r="H196">
        <f>Dataset_1!H196</f>
        <v>0</v>
      </c>
      <c r="I196">
        <f>Dataset_1!I196</f>
        <v>1</v>
      </c>
      <c r="J196">
        <f>Dataset_1!J196</f>
        <v>0.12</v>
      </c>
      <c r="K196">
        <f>INDEX(Dataset_2!$B$2:$B$611,MATCH($A196,Dataset_2!$A$2:$A$611,0))</f>
        <v>7.5800000000000006E-2</v>
      </c>
      <c r="L196">
        <f>INDEX(Dataset_2!$C$2:$C$611,MATCH($A196,Dataset_2!$A$2:$A$611,0))</f>
        <v>0.46</v>
      </c>
      <c r="M196">
        <f>INDEX(Dataset_2!$D$2:$D$611,MATCH($A196,Dataset_2!$A$2:$A$611,0))</f>
        <v>0.52239999999999998</v>
      </c>
      <c r="N196">
        <f>INDEX(Dataset_2!$E$2:$E$611,MATCH($A196,Dataset_2!$A$2:$A$611,0))</f>
        <v>0</v>
      </c>
      <c r="O196">
        <f>INDEX(Dataset_2!$F$2:$F$611,MATCH($A196,Dataset_2!$A$2:$A$611,0))</f>
        <v>19</v>
      </c>
      <c r="P196">
        <f>INDEX(Dataset_2!$G$2:$G$611,MATCH($A196,Dataset_2!$A$2:$A$611,0))</f>
        <v>19</v>
      </c>
    </row>
    <row r="197" spans="1:16" x14ac:dyDescent="0.2">
      <c r="A197">
        <f>Dataset_1!A197</f>
        <v>196</v>
      </c>
      <c r="B197" s="61">
        <f>Dataset_1!B197</f>
        <v>40552</v>
      </c>
      <c r="C197">
        <f>Dataset_1!C197</f>
        <v>1</v>
      </c>
      <c r="D197">
        <f>Dataset_1!D197</f>
        <v>0</v>
      </c>
      <c r="E197">
        <f>Dataset_1!E197</f>
        <v>1</v>
      </c>
      <c r="F197">
        <f>Dataset_1!F197</f>
        <v>10</v>
      </c>
      <c r="G197" t="b">
        <f>Dataset_1!G197</f>
        <v>0</v>
      </c>
      <c r="H197">
        <f>Dataset_1!H197</f>
        <v>0</v>
      </c>
      <c r="I197">
        <f>Dataset_1!I197</f>
        <v>1</v>
      </c>
      <c r="J197">
        <f>Dataset_1!J197</f>
        <v>0.14000000000000001</v>
      </c>
      <c r="K197">
        <f>INDEX(Dataset_2!$B$2:$B$611,MATCH($A197,Dataset_2!$A$2:$A$611,0))</f>
        <v>0.1061</v>
      </c>
      <c r="L197">
        <f>INDEX(Dataset_2!$C$2:$C$611,MATCH($A197,Dataset_2!$A$2:$A$611,0))</f>
        <v>0.43</v>
      </c>
      <c r="M197">
        <f>INDEX(Dataset_2!$D$2:$D$611,MATCH($A197,Dataset_2!$A$2:$A$611,0))</f>
        <v>0.3881</v>
      </c>
      <c r="N197">
        <f>INDEX(Dataset_2!$E$2:$E$611,MATCH($A197,Dataset_2!$A$2:$A$611,0))</f>
        <v>0</v>
      </c>
      <c r="O197">
        <f>INDEX(Dataset_2!$F$2:$F$611,MATCH($A197,Dataset_2!$A$2:$A$611,0))</f>
        <v>49</v>
      </c>
      <c r="P197">
        <f>INDEX(Dataset_2!$G$2:$G$611,MATCH($A197,Dataset_2!$A$2:$A$611,0))</f>
        <v>49</v>
      </c>
    </row>
    <row r="198" spans="1:16" x14ac:dyDescent="0.2">
      <c r="A198">
        <f>Dataset_1!A198</f>
        <v>197</v>
      </c>
      <c r="B198" s="61">
        <f>Dataset_1!B198</f>
        <v>40552</v>
      </c>
      <c r="C198">
        <f>Dataset_1!C198</f>
        <v>1</v>
      </c>
      <c r="D198">
        <f>Dataset_1!D198</f>
        <v>0</v>
      </c>
      <c r="E198">
        <f>Dataset_1!E198</f>
        <v>1</v>
      </c>
      <c r="F198">
        <f>Dataset_1!F198</f>
        <v>11</v>
      </c>
      <c r="G198" t="b">
        <f>Dataset_1!G198</f>
        <v>0</v>
      </c>
      <c r="H198">
        <f>Dataset_1!H198</f>
        <v>0</v>
      </c>
      <c r="I198">
        <f>Dataset_1!I198</f>
        <v>1</v>
      </c>
      <c r="J198">
        <f>Dataset_1!J198</f>
        <v>0.16</v>
      </c>
      <c r="K198">
        <f>INDEX(Dataset_2!$B$2:$B$611,MATCH($A198,Dataset_2!$A$2:$A$611,0))</f>
        <v>0.1212</v>
      </c>
      <c r="L198">
        <f>INDEX(Dataset_2!$C$2:$C$611,MATCH($A198,Dataset_2!$A$2:$A$611,0))</f>
        <v>0.4</v>
      </c>
      <c r="M198">
        <f>INDEX(Dataset_2!$D$2:$D$611,MATCH($A198,Dataset_2!$A$2:$A$611,0))</f>
        <v>0.52239999999999998</v>
      </c>
      <c r="N198">
        <f>INDEX(Dataset_2!$E$2:$E$611,MATCH($A198,Dataset_2!$A$2:$A$611,0))</f>
        <v>2</v>
      </c>
      <c r="O198">
        <f>INDEX(Dataset_2!$F$2:$F$611,MATCH($A198,Dataset_2!$A$2:$A$611,0))</f>
        <v>47</v>
      </c>
      <c r="P198">
        <f>INDEX(Dataset_2!$G$2:$G$611,MATCH($A198,Dataset_2!$A$2:$A$611,0))</f>
        <v>49</v>
      </c>
    </row>
    <row r="199" spans="1:16" x14ac:dyDescent="0.2">
      <c r="A199">
        <f>Dataset_1!A199</f>
        <v>198</v>
      </c>
      <c r="B199" s="61">
        <f>Dataset_1!B199</f>
        <v>40552</v>
      </c>
      <c r="C199">
        <f>Dataset_1!C199</f>
        <v>1</v>
      </c>
      <c r="D199">
        <f>Dataset_1!D199</f>
        <v>0</v>
      </c>
      <c r="E199">
        <f>Dataset_1!E199</f>
        <v>1</v>
      </c>
      <c r="F199">
        <f>Dataset_1!F199</f>
        <v>12</v>
      </c>
      <c r="G199" t="b">
        <f>Dataset_1!G199</f>
        <v>0</v>
      </c>
      <c r="H199">
        <f>Dataset_1!H199</f>
        <v>0</v>
      </c>
      <c r="I199">
        <f>Dataset_1!I199</f>
        <v>1</v>
      </c>
      <c r="J199">
        <f>Dataset_1!J199</f>
        <v>0.18</v>
      </c>
      <c r="K199">
        <f>INDEX(Dataset_2!$B$2:$B$611,MATCH($A199,Dataset_2!$A$2:$A$611,0))</f>
        <v>0.13639999999999999</v>
      </c>
      <c r="L199">
        <f>INDEX(Dataset_2!$C$2:$C$611,MATCH($A199,Dataset_2!$A$2:$A$611,0))</f>
        <v>0.37</v>
      </c>
      <c r="M199">
        <f>INDEX(Dataset_2!$D$2:$D$611,MATCH($A199,Dataset_2!$A$2:$A$611,0))</f>
        <v>0.44779999999999998</v>
      </c>
      <c r="N199">
        <f>INDEX(Dataset_2!$E$2:$E$611,MATCH($A199,Dataset_2!$A$2:$A$611,0))</f>
        <v>4</v>
      </c>
      <c r="O199">
        <f>INDEX(Dataset_2!$F$2:$F$611,MATCH($A199,Dataset_2!$A$2:$A$611,0))</f>
        <v>79</v>
      </c>
      <c r="P199">
        <f>INDEX(Dataset_2!$G$2:$G$611,MATCH($A199,Dataset_2!$A$2:$A$611,0))</f>
        <v>83</v>
      </c>
    </row>
    <row r="200" spans="1:16" x14ac:dyDescent="0.2">
      <c r="A200">
        <f>Dataset_1!A200</f>
        <v>199</v>
      </c>
      <c r="B200" s="61">
        <f>Dataset_1!B200</f>
        <v>40552</v>
      </c>
      <c r="C200">
        <f>Dataset_1!C200</f>
        <v>1</v>
      </c>
      <c r="D200">
        <f>Dataset_1!D200</f>
        <v>0</v>
      </c>
      <c r="E200">
        <f>Dataset_1!E200</f>
        <v>1</v>
      </c>
      <c r="F200">
        <f>Dataset_1!F200</f>
        <v>13</v>
      </c>
      <c r="G200" t="b">
        <f>Dataset_1!G200</f>
        <v>0</v>
      </c>
      <c r="H200">
        <f>Dataset_1!H200</f>
        <v>0</v>
      </c>
      <c r="I200">
        <f>Dataset_1!I200</f>
        <v>1</v>
      </c>
      <c r="J200">
        <f>Dataset_1!J200</f>
        <v>0.2</v>
      </c>
      <c r="K200">
        <f>INDEX(Dataset_2!$B$2:$B$611,MATCH($A200,Dataset_2!$A$2:$A$611,0))</f>
        <v>0.16669999999999999</v>
      </c>
      <c r="L200">
        <f>INDEX(Dataset_2!$C$2:$C$611,MATCH($A200,Dataset_2!$A$2:$A$611,0))</f>
        <v>0.34</v>
      </c>
      <c r="M200">
        <f>INDEX(Dataset_2!$D$2:$D$611,MATCH($A200,Dataset_2!$A$2:$A$611,0))</f>
        <v>0.44779999999999998</v>
      </c>
      <c r="N200">
        <f>INDEX(Dataset_2!$E$2:$E$611,MATCH($A200,Dataset_2!$A$2:$A$611,0))</f>
        <v>6</v>
      </c>
      <c r="O200">
        <f>INDEX(Dataset_2!$F$2:$F$611,MATCH($A200,Dataset_2!$A$2:$A$611,0))</f>
        <v>69</v>
      </c>
      <c r="P200">
        <f>INDEX(Dataset_2!$G$2:$G$611,MATCH($A200,Dataset_2!$A$2:$A$611,0))</f>
        <v>75</v>
      </c>
    </row>
    <row r="201" spans="1:16" x14ac:dyDescent="0.2">
      <c r="A201">
        <f>Dataset_1!A201</f>
        <v>200</v>
      </c>
      <c r="B201" s="61">
        <f>Dataset_1!B201</f>
        <v>40552</v>
      </c>
      <c r="C201">
        <f>Dataset_1!C201</f>
        <v>1</v>
      </c>
      <c r="D201">
        <f>Dataset_1!D201</f>
        <v>0</v>
      </c>
      <c r="E201">
        <f>Dataset_1!E201</f>
        <v>1</v>
      </c>
      <c r="F201">
        <f>Dataset_1!F201</f>
        <v>14</v>
      </c>
      <c r="G201" t="b">
        <f>Dataset_1!G201</f>
        <v>0</v>
      </c>
      <c r="H201">
        <f>Dataset_1!H201</f>
        <v>0</v>
      </c>
      <c r="I201">
        <f>Dataset_1!I201</f>
        <v>1</v>
      </c>
      <c r="J201">
        <f>Dataset_1!J201</f>
        <v>0.22</v>
      </c>
      <c r="K201">
        <f>INDEX(Dataset_2!$B$2:$B$611,MATCH($A201,Dataset_2!$A$2:$A$611,0))</f>
        <v>0.18179999999999999</v>
      </c>
      <c r="L201">
        <f>INDEX(Dataset_2!$C$2:$C$611,MATCH($A201,Dataset_2!$A$2:$A$611,0))</f>
        <v>0.32</v>
      </c>
      <c r="M201">
        <f>INDEX(Dataset_2!$D$2:$D$611,MATCH($A201,Dataset_2!$A$2:$A$611,0))</f>
        <v>0.4627</v>
      </c>
      <c r="N201">
        <f>INDEX(Dataset_2!$E$2:$E$611,MATCH($A201,Dataset_2!$A$2:$A$611,0))</f>
        <v>8</v>
      </c>
      <c r="O201">
        <f>INDEX(Dataset_2!$F$2:$F$611,MATCH($A201,Dataset_2!$A$2:$A$611,0))</f>
        <v>64</v>
      </c>
      <c r="P201">
        <f>INDEX(Dataset_2!$G$2:$G$611,MATCH($A201,Dataset_2!$A$2:$A$611,0))</f>
        <v>72</v>
      </c>
    </row>
    <row r="202" spans="1:16" x14ac:dyDescent="0.2">
      <c r="A202">
        <f>Dataset_1!A202</f>
        <v>201</v>
      </c>
      <c r="B202" s="61">
        <f>Dataset_1!B202</f>
        <v>40552</v>
      </c>
      <c r="C202">
        <f>Dataset_1!C202</f>
        <v>1</v>
      </c>
      <c r="D202">
        <f>Dataset_1!D202</f>
        <v>0</v>
      </c>
      <c r="E202">
        <f>Dataset_1!E202</f>
        <v>1</v>
      </c>
      <c r="F202">
        <f>Dataset_1!F202</f>
        <v>15</v>
      </c>
      <c r="G202" t="b">
        <f>Dataset_1!G202</f>
        <v>0</v>
      </c>
      <c r="H202">
        <f>Dataset_1!H202</f>
        <v>0</v>
      </c>
      <c r="I202">
        <f>Dataset_1!I202</f>
        <v>1</v>
      </c>
      <c r="J202">
        <f>Dataset_1!J202</f>
        <v>0.22</v>
      </c>
      <c r="K202">
        <f>INDEX(Dataset_2!$B$2:$B$611,MATCH($A202,Dataset_2!$A$2:$A$611,0))</f>
        <v>0.19700000000000001</v>
      </c>
      <c r="L202">
        <f>INDEX(Dataset_2!$C$2:$C$611,MATCH($A202,Dataset_2!$A$2:$A$611,0))</f>
        <v>0.35</v>
      </c>
      <c r="M202">
        <f>INDEX(Dataset_2!$D$2:$D$611,MATCH($A202,Dataset_2!$A$2:$A$611,0))</f>
        <v>0.35820000000000002</v>
      </c>
      <c r="N202">
        <f>INDEX(Dataset_2!$E$2:$E$611,MATCH($A202,Dataset_2!$A$2:$A$611,0))</f>
        <v>5</v>
      </c>
      <c r="O202">
        <f>INDEX(Dataset_2!$F$2:$F$611,MATCH($A202,Dataset_2!$A$2:$A$611,0))</f>
        <v>77</v>
      </c>
      <c r="P202">
        <f>INDEX(Dataset_2!$G$2:$G$611,MATCH($A202,Dataset_2!$A$2:$A$611,0))</f>
        <v>82</v>
      </c>
    </row>
    <row r="203" spans="1:16" x14ac:dyDescent="0.2">
      <c r="A203">
        <f>Dataset_1!A203</f>
        <v>202</v>
      </c>
      <c r="B203" s="61">
        <f>Dataset_1!B203</f>
        <v>40552</v>
      </c>
      <c r="C203">
        <f>Dataset_1!C203</f>
        <v>1</v>
      </c>
      <c r="D203">
        <f>Dataset_1!D203</f>
        <v>0</v>
      </c>
      <c r="E203">
        <f>Dataset_1!E203</f>
        <v>1</v>
      </c>
      <c r="F203">
        <f>Dataset_1!F203</f>
        <v>16</v>
      </c>
      <c r="G203" t="b">
        <f>Dataset_1!G203</f>
        <v>0</v>
      </c>
      <c r="H203">
        <f>Dataset_1!H203</f>
        <v>0</v>
      </c>
      <c r="I203">
        <f>Dataset_1!I203</f>
        <v>1</v>
      </c>
      <c r="J203">
        <f>Dataset_1!J203</f>
        <v>0.2</v>
      </c>
      <c r="K203">
        <f>INDEX(Dataset_2!$B$2:$B$611,MATCH($A203,Dataset_2!$A$2:$A$611,0))</f>
        <v>0.16669999999999999</v>
      </c>
      <c r="L203">
        <f>INDEX(Dataset_2!$C$2:$C$611,MATCH($A203,Dataset_2!$A$2:$A$611,0))</f>
        <v>0.34</v>
      </c>
      <c r="M203">
        <f>INDEX(Dataset_2!$D$2:$D$611,MATCH($A203,Dataset_2!$A$2:$A$611,0))</f>
        <v>0.44779999999999998</v>
      </c>
      <c r="N203">
        <f>INDEX(Dataset_2!$E$2:$E$611,MATCH($A203,Dataset_2!$A$2:$A$611,0))</f>
        <v>13</v>
      </c>
      <c r="O203">
        <f>INDEX(Dataset_2!$F$2:$F$611,MATCH($A203,Dataset_2!$A$2:$A$611,0))</f>
        <v>79</v>
      </c>
      <c r="P203">
        <f>INDEX(Dataset_2!$G$2:$G$611,MATCH($A203,Dataset_2!$A$2:$A$611,0))</f>
        <v>92</v>
      </c>
    </row>
    <row r="204" spans="1:16" x14ac:dyDescent="0.2">
      <c r="A204">
        <f>Dataset_1!A204</f>
        <v>203</v>
      </c>
      <c r="B204" s="61">
        <f>Dataset_1!B204</f>
        <v>40552</v>
      </c>
      <c r="C204">
        <f>Dataset_1!C204</f>
        <v>1</v>
      </c>
      <c r="D204">
        <f>Dataset_1!D204</f>
        <v>0</v>
      </c>
      <c r="E204">
        <f>Dataset_1!E204</f>
        <v>1</v>
      </c>
      <c r="F204">
        <f>Dataset_1!F204</f>
        <v>17</v>
      </c>
      <c r="G204" t="b">
        <f>Dataset_1!G204</f>
        <v>0</v>
      </c>
      <c r="H204">
        <f>Dataset_1!H204</f>
        <v>0</v>
      </c>
      <c r="I204">
        <f>Dataset_1!I204</f>
        <v>1</v>
      </c>
      <c r="J204">
        <f>Dataset_1!J204</f>
        <v>0.18</v>
      </c>
      <c r="K204">
        <f>INDEX(Dataset_2!$B$2:$B$611,MATCH($A204,Dataset_2!$A$2:$A$611,0))</f>
        <v>0.1515</v>
      </c>
      <c r="L204">
        <f>INDEX(Dataset_2!$C$2:$C$611,MATCH($A204,Dataset_2!$A$2:$A$611,0))</f>
        <v>0.37</v>
      </c>
      <c r="M204">
        <f>INDEX(Dataset_2!$D$2:$D$611,MATCH($A204,Dataset_2!$A$2:$A$611,0))</f>
        <v>0.3881</v>
      </c>
      <c r="N204">
        <f>INDEX(Dataset_2!$E$2:$E$611,MATCH($A204,Dataset_2!$A$2:$A$611,0))</f>
        <v>3</v>
      </c>
      <c r="O204">
        <f>INDEX(Dataset_2!$F$2:$F$611,MATCH($A204,Dataset_2!$A$2:$A$611,0))</f>
        <v>59</v>
      </c>
      <c r="P204">
        <f>INDEX(Dataset_2!$G$2:$G$611,MATCH($A204,Dataset_2!$A$2:$A$611,0))</f>
        <v>62</v>
      </c>
    </row>
    <row r="205" spans="1:16" x14ac:dyDescent="0.2">
      <c r="A205">
        <f>Dataset_1!A205</f>
        <v>204</v>
      </c>
      <c r="B205" s="61">
        <f>Dataset_1!B205</f>
        <v>40552</v>
      </c>
      <c r="C205">
        <f>Dataset_1!C205</f>
        <v>1</v>
      </c>
      <c r="D205">
        <f>Dataset_1!D205</f>
        <v>0</v>
      </c>
      <c r="E205">
        <f>Dataset_1!E205</f>
        <v>1</v>
      </c>
      <c r="F205">
        <f>Dataset_1!F205</f>
        <v>18</v>
      </c>
      <c r="G205" t="b">
        <f>Dataset_1!G205</f>
        <v>0</v>
      </c>
      <c r="H205">
        <f>Dataset_1!H205</f>
        <v>0</v>
      </c>
      <c r="I205">
        <f>Dataset_1!I205</f>
        <v>1</v>
      </c>
      <c r="J205">
        <f>Dataset_1!J205</f>
        <v>0.16</v>
      </c>
      <c r="K205">
        <f>INDEX(Dataset_2!$B$2:$B$611,MATCH($A205,Dataset_2!$A$2:$A$611,0))</f>
        <v>0.13639999999999999</v>
      </c>
      <c r="L205">
        <f>INDEX(Dataset_2!$C$2:$C$611,MATCH($A205,Dataset_2!$A$2:$A$611,0))</f>
        <v>0.4</v>
      </c>
      <c r="M205">
        <f>INDEX(Dataset_2!$D$2:$D$611,MATCH($A205,Dataset_2!$A$2:$A$611,0))</f>
        <v>0.32840000000000003</v>
      </c>
      <c r="N205">
        <f>INDEX(Dataset_2!$E$2:$E$611,MATCH($A205,Dataset_2!$A$2:$A$611,0))</f>
        <v>4</v>
      </c>
      <c r="O205">
        <f>INDEX(Dataset_2!$F$2:$F$611,MATCH($A205,Dataset_2!$A$2:$A$611,0))</f>
        <v>44</v>
      </c>
      <c r="P205">
        <f>INDEX(Dataset_2!$G$2:$G$611,MATCH($A205,Dataset_2!$A$2:$A$611,0))</f>
        <v>48</v>
      </c>
    </row>
    <row r="206" spans="1:16" x14ac:dyDescent="0.2">
      <c r="A206">
        <f>Dataset_1!A206</f>
        <v>205</v>
      </c>
      <c r="B206" s="61">
        <f>Dataset_1!B206</f>
        <v>40552</v>
      </c>
      <c r="C206">
        <f>Dataset_1!C206</f>
        <v>1</v>
      </c>
      <c r="D206">
        <f>Dataset_1!D206</f>
        <v>0</v>
      </c>
      <c r="E206">
        <f>Dataset_1!E206</f>
        <v>1</v>
      </c>
      <c r="F206">
        <f>Dataset_1!F206</f>
        <v>19</v>
      </c>
      <c r="G206" t="b">
        <f>Dataset_1!G206</f>
        <v>0</v>
      </c>
      <c r="H206">
        <f>Dataset_1!H206</f>
        <v>0</v>
      </c>
      <c r="I206">
        <f>Dataset_1!I206</f>
        <v>1</v>
      </c>
      <c r="J206">
        <f>Dataset_1!J206</f>
        <v>0.16</v>
      </c>
      <c r="K206">
        <f>INDEX(Dataset_2!$B$2:$B$611,MATCH($A206,Dataset_2!$A$2:$A$611,0))</f>
        <v>0.13639999999999999</v>
      </c>
      <c r="L206">
        <f>INDEX(Dataset_2!$C$2:$C$611,MATCH($A206,Dataset_2!$A$2:$A$611,0))</f>
        <v>0.43</v>
      </c>
      <c r="M206">
        <f>INDEX(Dataset_2!$D$2:$D$611,MATCH($A206,Dataset_2!$A$2:$A$611,0))</f>
        <v>0.32840000000000003</v>
      </c>
      <c r="N206">
        <f>INDEX(Dataset_2!$E$2:$E$611,MATCH($A206,Dataset_2!$A$2:$A$611,0))</f>
        <v>1</v>
      </c>
      <c r="O206">
        <f>INDEX(Dataset_2!$F$2:$F$611,MATCH($A206,Dataset_2!$A$2:$A$611,0))</f>
        <v>40</v>
      </c>
      <c r="P206">
        <f>INDEX(Dataset_2!$G$2:$G$611,MATCH($A206,Dataset_2!$A$2:$A$611,0))</f>
        <v>41</v>
      </c>
    </row>
    <row r="207" spans="1:16" x14ac:dyDescent="0.2">
      <c r="A207">
        <f>Dataset_1!A207</f>
        <v>206</v>
      </c>
      <c r="B207" s="61">
        <f>Dataset_1!B207</f>
        <v>40552</v>
      </c>
      <c r="C207">
        <f>Dataset_1!C207</f>
        <v>1</v>
      </c>
      <c r="D207">
        <f>Dataset_1!D207</f>
        <v>0</v>
      </c>
      <c r="E207">
        <f>Dataset_1!E207</f>
        <v>1</v>
      </c>
      <c r="F207">
        <f>Dataset_1!F207</f>
        <v>20</v>
      </c>
      <c r="G207" t="b">
        <f>Dataset_1!G207</f>
        <v>0</v>
      </c>
      <c r="H207">
        <f>Dataset_1!H207</f>
        <v>0</v>
      </c>
      <c r="I207">
        <f>Dataset_1!I207</f>
        <v>1</v>
      </c>
      <c r="J207">
        <f>Dataset_1!J207</f>
        <v>0.14000000000000001</v>
      </c>
      <c r="K207">
        <f>INDEX(Dataset_2!$B$2:$B$611,MATCH($A207,Dataset_2!$A$2:$A$611,0))</f>
        <v>0.1212</v>
      </c>
      <c r="L207">
        <f>INDEX(Dataset_2!$C$2:$C$611,MATCH($A207,Dataset_2!$A$2:$A$611,0))</f>
        <v>0.46</v>
      </c>
      <c r="M207">
        <f>INDEX(Dataset_2!$D$2:$D$611,MATCH($A207,Dataset_2!$A$2:$A$611,0))</f>
        <v>0.25369999999999998</v>
      </c>
      <c r="N207">
        <f>INDEX(Dataset_2!$E$2:$E$611,MATCH($A207,Dataset_2!$A$2:$A$611,0))</f>
        <v>0</v>
      </c>
      <c r="O207">
        <f>INDEX(Dataset_2!$F$2:$F$611,MATCH($A207,Dataset_2!$A$2:$A$611,0))</f>
        <v>38</v>
      </c>
      <c r="P207">
        <f>INDEX(Dataset_2!$G$2:$G$611,MATCH($A207,Dataset_2!$A$2:$A$611,0))</f>
        <v>38</v>
      </c>
    </row>
    <row r="208" spans="1:16" x14ac:dyDescent="0.2">
      <c r="A208">
        <f>Dataset_1!A208</f>
        <v>207</v>
      </c>
      <c r="B208" s="61">
        <f>Dataset_1!B208</f>
        <v>40552</v>
      </c>
      <c r="C208">
        <f>Dataset_1!C208</f>
        <v>1</v>
      </c>
      <c r="D208">
        <f>Dataset_1!D208</f>
        <v>0</v>
      </c>
      <c r="E208">
        <f>Dataset_1!E208</f>
        <v>1</v>
      </c>
      <c r="F208">
        <f>Dataset_1!F208</f>
        <v>21</v>
      </c>
      <c r="G208" t="b">
        <f>Dataset_1!G208</f>
        <v>0</v>
      </c>
      <c r="H208">
        <f>Dataset_1!H208</f>
        <v>0</v>
      </c>
      <c r="I208">
        <f>Dataset_1!I208</f>
        <v>1</v>
      </c>
      <c r="J208">
        <f>Dataset_1!J208</f>
        <v>0.14000000000000001</v>
      </c>
      <c r="K208">
        <f>INDEX(Dataset_2!$B$2:$B$611,MATCH($A208,Dataset_2!$A$2:$A$611,0))</f>
        <v>0.1061</v>
      </c>
      <c r="L208">
        <f>INDEX(Dataset_2!$C$2:$C$611,MATCH($A208,Dataset_2!$A$2:$A$611,0))</f>
        <v>0.46</v>
      </c>
      <c r="M208">
        <f>INDEX(Dataset_2!$D$2:$D$611,MATCH($A208,Dataset_2!$A$2:$A$611,0))</f>
        <v>0.41789999999999999</v>
      </c>
      <c r="N208">
        <f>INDEX(Dataset_2!$E$2:$E$611,MATCH($A208,Dataset_2!$A$2:$A$611,0))</f>
        <v>1</v>
      </c>
      <c r="O208">
        <f>INDEX(Dataset_2!$F$2:$F$611,MATCH($A208,Dataset_2!$A$2:$A$611,0))</f>
        <v>19</v>
      </c>
      <c r="P208">
        <f>INDEX(Dataset_2!$G$2:$G$611,MATCH($A208,Dataset_2!$A$2:$A$611,0))</f>
        <v>20</v>
      </c>
    </row>
    <row r="209" spans="1:16" x14ac:dyDescent="0.2">
      <c r="A209">
        <f>Dataset_1!A209</f>
        <v>208</v>
      </c>
      <c r="B209" s="61">
        <f>Dataset_1!B209</f>
        <v>40552</v>
      </c>
      <c r="C209">
        <f>Dataset_1!C209</f>
        <v>1</v>
      </c>
      <c r="D209">
        <f>Dataset_1!D209</f>
        <v>0</v>
      </c>
      <c r="E209">
        <f>Dataset_1!E209</f>
        <v>1</v>
      </c>
      <c r="F209">
        <f>Dataset_1!F209</f>
        <v>22</v>
      </c>
      <c r="G209" t="b">
        <f>Dataset_1!G209</f>
        <v>0</v>
      </c>
      <c r="H209">
        <f>Dataset_1!H209</f>
        <v>0</v>
      </c>
      <c r="I209">
        <f>Dataset_1!I209</f>
        <v>1</v>
      </c>
      <c r="J209">
        <f>Dataset_1!J209</f>
        <v>0.14000000000000001</v>
      </c>
      <c r="K209">
        <f>INDEX(Dataset_2!$B$2:$B$611,MATCH($A209,Dataset_2!$A$2:$A$611,0))</f>
        <v>0.1212</v>
      </c>
      <c r="L209">
        <f>INDEX(Dataset_2!$C$2:$C$611,MATCH($A209,Dataset_2!$A$2:$A$611,0))</f>
        <v>0.46</v>
      </c>
      <c r="M209">
        <f>INDEX(Dataset_2!$D$2:$D$611,MATCH($A209,Dataset_2!$A$2:$A$611,0))</f>
        <v>0.29849999999999999</v>
      </c>
      <c r="N209">
        <f>INDEX(Dataset_2!$E$2:$E$611,MATCH($A209,Dataset_2!$A$2:$A$611,0))</f>
        <v>5</v>
      </c>
      <c r="O209">
        <f>INDEX(Dataset_2!$F$2:$F$611,MATCH($A209,Dataset_2!$A$2:$A$611,0))</f>
        <v>10</v>
      </c>
      <c r="P209">
        <f>INDEX(Dataset_2!$G$2:$G$611,MATCH($A209,Dataset_2!$A$2:$A$611,0))</f>
        <v>15</v>
      </c>
    </row>
    <row r="210" spans="1:16" x14ac:dyDescent="0.2">
      <c r="A210">
        <f>Dataset_1!A210</f>
        <v>209</v>
      </c>
      <c r="B210" s="61">
        <f>Dataset_1!B210</f>
        <v>40552</v>
      </c>
      <c r="C210">
        <f>Dataset_1!C210</f>
        <v>1</v>
      </c>
      <c r="D210">
        <f>Dataset_1!D210</f>
        <v>0</v>
      </c>
      <c r="E210">
        <f>Dataset_1!E210</f>
        <v>1</v>
      </c>
      <c r="F210">
        <f>Dataset_1!F210</f>
        <v>23</v>
      </c>
      <c r="G210" t="b">
        <f>Dataset_1!G210</f>
        <v>0</v>
      </c>
      <c r="H210">
        <f>Dataset_1!H210</f>
        <v>0</v>
      </c>
      <c r="I210">
        <f>Dataset_1!I210</f>
        <v>1</v>
      </c>
      <c r="J210">
        <f>Dataset_1!J210</f>
        <v>0.12</v>
      </c>
      <c r="K210">
        <f>INDEX(Dataset_2!$B$2:$B$611,MATCH($A210,Dataset_2!$A$2:$A$611,0))</f>
        <v>0.13639999999999999</v>
      </c>
      <c r="L210">
        <f>INDEX(Dataset_2!$C$2:$C$611,MATCH($A210,Dataset_2!$A$2:$A$611,0))</f>
        <v>0.5</v>
      </c>
      <c r="M210">
        <f>INDEX(Dataset_2!$D$2:$D$611,MATCH($A210,Dataset_2!$A$2:$A$611,0))</f>
        <v>0.19400000000000001</v>
      </c>
      <c r="N210">
        <f>INDEX(Dataset_2!$E$2:$E$611,MATCH($A210,Dataset_2!$A$2:$A$611,0))</f>
        <v>0</v>
      </c>
      <c r="O210">
        <f>INDEX(Dataset_2!$F$2:$F$611,MATCH($A210,Dataset_2!$A$2:$A$611,0))</f>
        <v>6</v>
      </c>
      <c r="P210">
        <f>INDEX(Dataset_2!$G$2:$G$611,MATCH($A210,Dataset_2!$A$2:$A$611,0))</f>
        <v>6</v>
      </c>
    </row>
    <row r="211" spans="1:16" x14ac:dyDescent="0.2">
      <c r="A211">
        <f>Dataset_1!A211</f>
        <v>210</v>
      </c>
      <c r="B211" s="61">
        <f>Dataset_1!B211</f>
        <v>40553</v>
      </c>
      <c r="C211">
        <f>Dataset_1!C211</f>
        <v>1</v>
      </c>
      <c r="D211">
        <f>Dataset_1!D211</f>
        <v>0</v>
      </c>
      <c r="E211">
        <f>Dataset_1!E211</f>
        <v>1</v>
      </c>
      <c r="F211">
        <f>Dataset_1!F211</f>
        <v>0</v>
      </c>
      <c r="G211" t="b">
        <f>Dataset_1!G211</f>
        <v>0</v>
      </c>
      <c r="H211">
        <f>Dataset_1!H211</f>
        <v>1</v>
      </c>
      <c r="I211">
        <f>Dataset_1!I211</f>
        <v>1</v>
      </c>
      <c r="J211">
        <f>Dataset_1!J211</f>
        <v>0.12</v>
      </c>
      <c r="K211">
        <f>INDEX(Dataset_2!$B$2:$B$611,MATCH($A211,Dataset_2!$A$2:$A$611,0))</f>
        <v>0.1212</v>
      </c>
      <c r="L211">
        <f>INDEX(Dataset_2!$C$2:$C$611,MATCH($A211,Dataset_2!$A$2:$A$611,0))</f>
        <v>0.5</v>
      </c>
      <c r="M211">
        <f>INDEX(Dataset_2!$D$2:$D$611,MATCH($A211,Dataset_2!$A$2:$A$611,0))</f>
        <v>0.28360000000000002</v>
      </c>
      <c r="N211">
        <f>INDEX(Dataset_2!$E$2:$E$611,MATCH($A211,Dataset_2!$A$2:$A$611,0))</f>
        <v>2</v>
      </c>
      <c r="O211">
        <f>INDEX(Dataset_2!$F$2:$F$611,MATCH($A211,Dataset_2!$A$2:$A$611,0))</f>
        <v>3</v>
      </c>
      <c r="P211">
        <f>INDEX(Dataset_2!$G$2:$G$611,MATCH($A211,Dataset_2!$A$2:$A$611,0))</f>
        <v>5</v>
      </c>
    </row>
    <row r="212" spans="1:16" x14ac:dyDescent="0.2">
      <c r="A212">
        <f>Dataset_1!A212</f>
        <v>211</v>
      </c>
      <c r="B212" s="61">
        <f>Dataset_1!B212</f>
        <v>40553</v>
      </c>
      <c r="C212">
        <f>Dataset_1!C212</f>
        <v>1</v>
      </c>
      <c r="D212">
        <f>Dataset_1!D212</f>
        <v>0</v>
      </c>
      <c r="E212">
        <f>Dataset_1!E212</f>
        <v>1</v>
      </c>
      <c r="F212">
        <f>Dataset_1!F212</f>
        <v>1</v>
      </c>
      <c r="G212" t="b">
        <f>Dataset_1!G212</f>
        <v>0</v>
      </c>
      <c r="H212">
        <f>Dataset_1!H212</f>
        <v>1</v>
      </c>
      <c r="I212">
        <f>Dataset_1!I212</f>
        <v>1</v>
      </c>
      <c r="J212">
        <f>Dataset_1!J212</f>
        <v>0.12</v>
      </c>
      <c r="K212">
        <f>INDEX(Dataset_2!$B$2:$B$611,MATCH($A212,Dataset_2!$A$2:$A$611,0))</f>
        <v>0.1212</v>
      </c>
      <c r="L212">
        <f>INDEX(Dataset_2!$C$2:$C$611,MATCH($A212,Dataset_2!$A$2:$A$611,0))</f>
        <v>0.5</v>
      </c>
      <c r="M212">
        <f>INDEX(Dataset_2!$D$2:$D$611,MATCH($A212,Dataset_2!$A$2:$A$611,0))</f>
        <v>0.28360000000000002</v>
      </c>
      <c r="N212">
        <f>INDEX(Dataset_2!$E$2:$E$611,MATCH($A212,Dataset_2!$A$2:$A$611,0))</f>
        <v>1</v>
      </c>
      <c r="O212">
        <f>INDEX(Dataset_2!$F$2:$F$611,MATCH($A212,Dataset_2!$A$2:$A$611,0))</f>
        <v>0</v>
      </c>
      <c r="P212">
        <f>INDEX(Dataset_2!$G$2:$G$611,MATCH($A212,Dataset_2!$A$2:$A$611,0))</f>
        <v>1</v>
      </c>
    </row>
    <row r="213" spans="1:16" x14ac:dyDescent="0.2">
      <c r="A213">
        <f>Dataset_1!A213</f>
        <v>212</v>
      </c>
      <c r="B213" s="61">
        <f>Dataset_1!B213</f>
        <v>40553</v>
      </c>
      <c r="C213">
        <f>Dataset_1!C213</f>
        <v>1</v>
      </c>
      <c r="D213">
        <f>Dataset_1!D213</f>
        <v>0</v>
      </c>
      <c r="E213">
        <f>Dataset_1!E213</f>
        <v>1</v>
      </c>
      <c r="F213">
        <f>Dataset_1!F213</f>
        <v>2</v>
      </c>
      <c r="G213" t="b">
        <f>Dataset_1!G213</f>
        <v>0</v>
      </c>
      <c r="H213">
        <f>Dataset_1!H213</f>
        <v>1</v>
      </c>
      <c r="I213">
        <f>Dataset_1!I213</f>
        <v>1</v>
      </c>
      <c r="J213">
        <f>Dataset_1!J213</f>
        <v>0.12</v>
      </c>
      <c r="K213">
        <f>INDEX(Dataset_2!$B$2:$B$611,MATCH($A213,Dataset_2!$A$2:$A$611,0))</f>
        <v>0.1212</v>
      </c>
      <c r="L213">
        <f>INDEX(Dataset_2!$C$2:$C$611,MATCH($A213,Dataset_2!$A$2:$A$611,0))</f>
        <v>0.5</v>
      </c>
      <c r="M213">
        <f>INDEX(Dataset_2!$D$2:$D$611,MATCH($A213,Dataset_2!$A$2:$A$611,0))</f>
        <v>0.22389999999999999</v>
      </c>
      <c r="N213">
        <f>INDEX(Dataset_2!$E$2:$E$611,MATCH($A213,Dataset_2!$A$2:$A$611,0))</f>
        <v>0</v>
      </c>
      <c r="O213">
        <f>INDEX(Dataset_2!$F$2:$F$611,MATCH($A213,Dataset_2!$A$2:$A$611,0))</f>
        <v>3</v>
      </c>
      <c r="P213">
        <f>INDEX(Dataset_2!$G$2:$G$611,MATCH($A213,Dataset_2!$A$2:$A$611,0))</f>
        <v>3</v>
      </c>
    </row>
    <row r="214" spans="1:16" x14ac:dyDescent="0.2">
      <c r="A214">
        <f>Dataset_1!A214</f>
        <v>213</v>
      </c>
      <c r="B214" s="61">
        <f>Dataset_1!B214</f>
        <v>40553</v>
      </c>
      <c r="C214">
        <f>Dataset_1!C214</f>
        <v>1</v>
      </c>
      <c r="D214">
        <f>Dataset_1!D214</f>
        <v>0</v>
      </c>
      <c r="E214">
        <f>Dataset_1!E214</f>
        <v>1</v>
      </c>
      <c r="F214">
        <f>Dataset_1!F214</f>
        <v>3</v>
      </c>
      <c r="G214" t="b">
        <f>Dataset_1!G214</f>
        <v>0</v>
      </c>
      <c r="H214">
        <f>Dataset_1!H214</f>
        <v>1</v>
      </c>
      <c r="I214">
        <f>Dataset_1!I214</f>
        <v>1</v>
      </c>
      <c r="J214">
        <f>Dataset_1!J214</f>
        <v>0.12</v>
      </c>
      <c r="K214">
        <f>INDEX(Dataset_2!$B$2:$B$611,MATCH($A214,Dataset_2!$A$2:$A$611,0))</f>
        <v>0.1212</v>
      </c>
      <c r="L214">
        <f>INDEX(Dataset_2!$C$2:$C$611,MATCH($A214,Dataset_2!$A$2:$A$611,0))</f>
        <v>0.5</v>
      </c>
      <c r="M214">
        <f>INDEX(Dataset_2!$D$2:$D$611,MATCH($A214,Dataset_2!$A$2:$A$611,0))</f>
        <v>0.22389999999999999</v>
      </c>
      <c r="N214">
        <f>INDEX(Dataset_2!$E$2:$E$611,MATCH($A214,Dataset_2!$A$2:$A$611,0))</f>
        <v>0</v>
      </c>
      <c r="O214">
        <f>INDEX(Dataset_2!$F$2:$F$611,MATCH($A214,Dataset_2!$A$2:$A$611,0))</f>
        <v>1</v>
      </c>
      <c r="P214">
        <f>INDEX(Dataset_2!$G$2:$G$611,MATCH($A214,Dataset_2!$A$2:$A$611,0))</f>
        <v>1</v>
      </c>
    </row>
    <row r="215" spans="1:16" x14ac:dyDescent="0.2">
      <c r="A215">
        <f>Dataset_1!A215</f>
        <v>214</v>
      </c>
      <c r="B215" s="61">
        <f>Dataset_1!B215</f>
        <v>40553</v>
      </c>
      <c r="C215">
        <f>Dataset_1!C215</f>
        <v>1</v>
      </c>
      <c r="D215">
        <f>Dataset_1!D215</f>
        <v>0</v>
      </c>
      <c r="E215">
        <f>Dataset_1!E215</f>
        <v>1</v>
      </c>
      <c r="F215">
        <f>Dataset_1!F215</f>
        <v>4</v>
      </c>
      <c r="G215" t="b">
        <f>Dataset_1!G215</f>
        <v>0</v>
      </c>
      <c r="H215">
        <f>Dataset_1!H215</f>
        <v>1</v>
      </c>
      <c r="I215">
        <f>Dataset_1!I215</f>
        <v>1</v>
      </c>
      <c r="J215">
        <f>Dataset_1!J215</f>
        <v>0.1</v>
      </c>
      <c r="K215">
        <f>INDEX(Dataset_2!$B$2:$B$611,MATCH($A215,Dataset_2!$A$2:$A$611,0))</f>
        <v>0.1212</v>
      </c>
      <c r="L215">
        <f>INDEX(Dataset_2!$C$2:$C$611,MATCH($A215,Dataset_2!$A$2:$A$611,0))</f>
        <v>0.54</v>
      </c>
      <c r="M215">
        <f>INDEX(Dataset_2!$D$2:$D$611,MATCH($A215,Dataset_2!$A$2:$A$611,0))</f>
        <v>0.1343</v>
      </c>
      <c r="N215">
        <f>INDEX(Dataset_2!$E$2:$E$611,MATCH($A215,Dataset_2!$A$2:$A$611,0))</f>
        <v>1</v>
      </c>
      <c r="O215">
        <f>INDEX(Dataset_2!$F$2:$F$611,MATCH($A215,Dataset_2!$A$2:$A$611,0))</f>
        <v>2</v>
      </c>
      <c r="P215">
        <f>INDEX(Dataset_2!$G$2:$G$611,MATCH($A215,Dataset_2!$A$2:$A$611,0))</f>
        <v>3</v>
      </c>
    </row>
    <row r="216" spans="1:16" x14ac:dyDescent="0.2">
      <c r="A216">
        <f>Dataset_1!A216</f>
        <v>215</v>
      </c>
      <c r="B216" s="61">
        <f>Dataset_1!B216</f>
        <v>40553</v>
      </c>
      <c r="C216">
        <f>Dataset_1!C216</f>
        <v>1</v>
      </c>
      <c r="D216">
        <f>Dataset_1!D216</f>
        <v>0</v>
      </c>
      <c r="E216">
        <f>Dataset_1!E216</f>
        <v>1</v>
      </c>
      <c r="F216">
        <f>Dataset_1!F216</f>
        <v>5</v>
      </c>
      <c r="G216" t="b">
        <f>Dataset_1!G216</f>
        <v>0</v>
      </c>
      <c r="H216">
        <f>Dataset_1!H216</f>
        <v>1</v>
      </c>
      <c r="I216">
        <f>Dataset_1!I216</f>
        <v>1</v>
      </c>
      <c r="J216">
        <f>Dataset_1!J216</f>
        <v>0.1</v>
      </c>
      <c r="K216">
        <f>INDEX(Dataset_2!$B$2:$B$611,MATCH($A216,Dataset_2!$A$2:$A$611,0))</f>
        <v>0.1061</v>
      </c>
      <c r="L216">
        <f>INDEX(Dataset_2!$C$2:$C$611,MATCH($A216,Dataset_2!$A$2:$A$611,0))</f>
        <v>0.54</v>
      </c>
      <c r="M216">
        <f>INDEX(Dataset_2!$D$2:$D$611,MATCH($A216,Dataset_2!$A$2:$A$611,0))</f>
        <v>0.25369999999999998</v>
      </c>
      <c r="N216">
        <f>INDEX(Dataset_2!$E$2:$E$611,MATCH($A216,Dataset_2!$A$2:$A$611,0))</f>
        <v>0</v>
      </c>
      <c r="O216">
        <f>INDEX(Dataset_2!$F$2:$F$611,MATCH($A216,Dataset_2!$A$2:$A$611,0))</f>
        <v>3</v>
      </c>
      <c r="P216">
        <f>INDEX(Dataset_2!$G$2:$G$611,MATCH($A216,Dataset_2!$A$2:$A$611,0))</f>
        <v>3</v>
      </c>
    </row>
    <row r="217" spans="1:16" x14ac:dyDescent="0.2">
      <c r="A217">
        <f>Dataset_1!A217</f>
        <v>216</v>
      </c>
      <c r="B217" s="61">
        <f>Dataset_1!B217</f>
        <v>40553</v>
      </c>
      <c r="C217">
        <f>Dataset_1!C217</f>
        <v>1</v>
      </c>
      <c r="D217">
        <f>Dataset_1!D217</f>
        <v>0</v>
      </c>
      <c r="E217">
        <f>Dataset_1!E217</f>
        <v>1</v>
      </c>
      <c r="F217">
        <f>Dataset_1!F217</f>
        <v>6</v>
      </c>
      <c r="G217" t="b">
        <f>Dataset_1!G217</f>
        <v>0</v>
      </c>
      <c r="H217">
        <f>Dataset_1!H217</f>
        <v>1</v>
      </c>
      <c r="I217">
        <f>Dataset_1!I217</f>
        <v>1</v>
      </c>
      <c r="J217">
        <f>Dataset_1!J217</f>
        <v>0.12</v>
      </c>
      <c r="K217">
        <f>INDEX(Dataset_2!$B$2:$B$611,MATCH($A217,Dataset_2!$A$2:$A$611,0))</f>
        <v>0.1212</v>
      </c>
      <c r="L217">
        <f>INDEX(Dataset_2!$C$2:$C$611,MATCH($A217,Dataset_2!$A$2:$A$611,0))</f>
        <v>0.5</v>
      </c>
      <c r="M217">
        <f>INDEX(Dataset_2!$D$2:$D$611,MATCH($A217,Dataset_2!$A$2:$A$611,0))</f>
        <v>0.28360000000000002</v>
      </c>
      <c r="N217">
        <f>INDEX(Dataset_2!$E$2:$E$611,MATCH($A217,Dataset_2!$A$2:$A$611,0))</f>
        <v>0</v>
      </c>
      <c r="O217">
        <f>INDEX(Dataset_2!$F$2:$F$611,MATCH($A217,Dataset_2!$A$2:$A$611,0))</f>
        <v>31</v>
      </c>
      <c r="P217">
        <f>INDEX(Dataset_2!$G$2:$G$611,MATCH($A217,Dataset_2!$A$2:$A$611,0))</f>
        <v>31</v>
      </c>
    </row>
    <row r="218" spans="1:16" x14ac:dyDescent="0.2">
      <c r="A218">
        <f>Dataset_1!A218</f>
        <v>217</v>
      </c>
      <c r="B218" s="61">
        <f>Dataset_1!B218</f>
        <v>40553</v>
      </c>
      <c r="C218">
        <f>Dataset_1!C218</f>
        <v>1</v>
      </c>
      <c r="D218">
        <f>Dataset_1!D218</f>
        <v>0</v>
      </c>
      <c r="E218">
        <f>Dataset_1!E218</f>
        <v>1</v>
      </c>
      <c r="F218">
        <f>Dataset_1!F218</f>
        <v>7</v>
      </c>
      <c r="G218" t="b">
        <f>Dataset_1!G218</f>
        <v>0</v>
      </c>
      <c r="H218">
        <f>Dataset_1!H218</f>
        <v>1</v>
      </c>
      <c r="I218">
        <f>Dataset_1!I218</f>
        <v>1</v>
      </c>
      <c r="J218">
        <f>Dataset_1!J218</f>
        <v>0.12</v>
      </c>
      <c r="K218">
        <f>INDEX(Dataset_2!$B$2:$B$611,MATCH($A218,Dataset_2!$A$2:$A$611,0))</f>
        <v>0.1212</v>
      </c>
      <c r="L218">
        <f>INDEX(Dataset_2!$C$2:$C$611,MATCH($A218,Dataset_2!$A$2:$A$611,0))</f>
        <v>0.5</v>
      </c>
      <c r="M218">
        <f>INDEX(Dataset_2!$D$2:$D$611,MATCH($A218,Dataset_2!$A$2:$A$611,0))</f>
        <v>0.22389999999999999</v>
      </c>
      <c r="N218">
        <f>INDEX(Dataset_2!$E$2:$E$611,MATCH($A218,Dataset_2!$A$2:$A$611,0))</f>
        <v>2</v>
      </c>
      <c r="O218">
        <f>INDEX(Dataset_2!$F$2:$F$611,MATCH($A218,Dataset_2!$A$2:$A$611,0))</f>
        <v>75</v>
      </c>
      <c r="P218">
        <f>INDEX(Dataset_2!$G$2:$G$611,MATCH($A218,Dataset_2!$A$2:$A$611,0))</f>
        <v>77</v>
      </c>
    </row>
    <row r="219" spans="1:16" x14ac:dyDescent="0.2">
      <c r="A219">
        <f>Dataset_1!A219</f>
        <v>218</v>
      </c>
      <c r="B219" s="61">
        <f>Dataset_1!B219</f>
        <v>40553</v>
      </c>
      <c r="C219">
        <f>Dataset_1!C219</f>
        <v>1</v>
      </c>
      <c r="D219">
        <f>Dataset_1!D219</f>
        <v>0</v>
      </c>
      <c r="E219">
        <f>Dataset_1!E219</f>
        <v>1</v>
      </c>
      <c r="F219">
        <f>Dataset_1!F219</f>
        <v>8</v>
      </c>
      <c r="G219" t="b">
        <f>Dataset_1!G219</f>
        <v>0</v>
      </c>
      <c r="H219">
        <f>Dataset_1!H219</f>
        <v>1</v>
      </c>
      <c r="I219">
        <f>Dataset_1!I219</f>
        <v>2</v>
      </c>
      <c r="J219">
        <f>Dataset_1!J219</f>
        <v>0.12</v>
      </c>
      <c r="K219">
        <f>INDEX(Dataset_2!$B$2:$B$611,MATCH($A219,Dataset_2!$A$2:$A$611,0))</f>
        <v>0.1212</v>
      </c>
      <c r="L219">
        <f>INDEX(Dataset_2!$C$2:$C$611,MATCH($A219,Dataset_2!$A$2:$A$611,0))</f>
        <v>0.5</v>
      </c>
      <c r="M219">
        <f>INDEX(Dataset_2!$D$2:$D$611,MATCH($A219,Dataset_2!$A$2:$A$611,0))</f>
        <v>0.28360000000000002</v>
      </c>
      <c r="N219">
        <f>INDEX(Dataset_2!$E$2:$E$611,MATCH($A219,Dataset_2!$A$2:$A$611,0))</f>
        <v>4</v>
      </c>
      <c r="O219">
        <f>INDEX(Dataset_2!$F$2:$F$611,MATCH($A219,Dataset_2!$A$2:$A$611,0))</f>
        <v>184</v>
      </c>
      <c r="P219">
        <f>INDEX(Dataset_2!$G$2:$G$611,MATCH($A219,Dataset_2!$A$2:$A$611,0))</f>
        <v>188</v>
      </c>
    </row>
    <row r="220" spans="1:16" x14ac:dyDescent="0.2">
      <c r="A220">
        <f>Dataset_1!A220</f>
        <v>219</v>
      </c>
      <c r="B220" s="61">
        <f>Dataset_1!B220</f>
        <v>40553</v>
      </c>
      <c r="C220">
        <f>Dataset_1!C220</f>
        <v>1</v>
      </c>
      <c r="D220">
        <f>Dataset_1!D220</f>
        <v>0</v>
      </c>
      <c r="E220">
        <f>Dataset_1!E220</f>
        <v>1</v>
      </c>
      <c r="F220">
        <f>Dataset_1!F220</f>
        <v>9</v>
      </c>
      <c r="G220" t="b">
        <f>Dataset_1!G220</f>
        <v>0</v>
      </c>
      <c r="H220">
        <f>Dataset_1!H220</f>
        <v>1</v>
      </c>
      <c r="I220">
        <f>Dataset_1!I220</f>
        <v>2</v>
      </c>
      <c r="J220">
        <f>Dataset_1!J220</f>
        <v>0.14000000000000001</v>
      </c>
      <c r="K220">
        <f>INDEX(Dataset_2!$B$2:$B$611,MATCH($A220,Dataset_2!$A$2:$A$611,0))</f>
        <v>0.1212</v>
      </c>
      <c r="L220">
        <f>INDEX(Dataset_2!$C$2:$C$611,MATCH($A220,Dataset_2!$A$2:$A$611,0))</f>
        <v>0.5</v>
      </c>
      <c r="M220">
        <f>INDEX(Dataset_2!$D$2:$D$611,MATCH($A220,Dataset_2!$A$2:$A$611,0))</f>
        <v>0.25369999999999998</v>
      </c>
      <c r="N220">
        <f>INDEX(Dataset_2!$E$2:$E$611,MATCH($A220,Dataset_2!$A$2:$A$611,0))</f>
        <v>2</v>
      </c>
      <c r="O220">
        <f>INDEX(Dataset_2!$F$2:$F$611,MATCH($A220,Dataset_2!$A$2:$A$611,0))</f>
        <v>92</v>
      </c>
      <c r="P220">
        <f>INDEX(Dataset_2!$G$2:$G$611,MATCH($A220,Dataset_2!$A$2:$A$611,0))</f>
        <v>94</v>
      </c>
    </row>
    <row r="221" spans="1:16" x14ac:dyDescent="0.2">
      <c r="A221">
        <f>Dataset_1!A221</f>
        <v>220</v>
      </c>
      <c r="B221" s="61">
        <f>Dataset_1!B221</f>
        <v>40553</v>
      </c>
      <c r="C221">
        <f>Dataset_1!C221</f>
        <v>1</v>
      </c>
      <c r="D221">
        <f>Dataset_1!D221</f>
        <v>0</v>
      </c>
      <c r="E221">
        <f>Dataset_1!E221</f>
        <v>1</v>
      </c>
      <c r="F221">
        <f>Dataset_1!F221</f>
        <v>10</v>
      </c>
      <c r="G221" t="b">
        <f>Dataset_1!G221</f>
        <v>0</v>
      </c>
      <c r="H221">
        <f>Dataset_1!H221</f>
        <v>1</v>
      </c>
      <c r="I221">
        <f>Dataset_1!I221</f>
        <v>2</v>
      </c>
      <c r="J221">
        <f>Dataset_1!J221</f>
        <v>0.14000000000000001</v>
      </c>
      <c r="K221">
        <f>INDEX(Dataset_2!$B$2:$B$611,MATCH($A221,Dataset_2!$A$2:$A$611,0))</f>
        <v>0.1212</v>
      </c>
      <c r="L221">
        <f>INDEX(Dataset_2!$C$2:$C$611,MATCH($A221,Dataset_2!$A$2:$A$611,0))</f>
        <v>0.5</v>
      </c>
      <c r="M221">
        <f>INDEX(Dataset_2!$D$2:$D$611,MATCH($A221,Dataset_2!$A$2:$A$611,0))</f>
        <v>0.29849999999999999</v>
      </c>
      <c r="N221">
        <f>INDEX(Dataset_2!$E$2:$E$611,MATCH($A221,Dataset_2!$A$2:$A$611,0))</f>
        <v>0</v>
      </c>
      <c r="O221">
        <f>INDEX(Dataset_2!$F$2:$F$611,MATCH($A221,Dataset_2!$A$2:$A$611,0))</f>
        <v>31</v>
      </c>
      <c r="P221">
        <f>INDEX(Dataset_2!$G$2:$G$611,MATCH($A221,Dataset_2!$A$2:$A$611,0))</f>
        <v>31</v>
      </c>
    </row>
    <row r="222" spans="1:16" x14ac:dyDescent="0.2">
      <c r="A222">
        <f>Dataset_1!A222</f>
        <v>221</v>
      </c>
      <c r="B222" s="61">
        <f>Dataset_1!B222</f>
        <v>40553</v>
      </c>
      <c r="C222">
        <f>Dataset_1!C222</f>
        <v>1</v>
      </c>
      <c r="D222">
        <f>Dataset_1!D222</f>
        <v>0</v>
      </c>
      <c r="E222">
        <f>Dataset_1!E222</f>
        <v>1</v>
      </c>
      <c r="F222">
        <f>Dataset_1!F222</f>
        <v>11</v>
      </c>
      <c r="G222" t="b">
        <f>Dataset_1!G222</f>
        <v>0</v>
      </c>
      <c r="H222">
        <f>Dataset_1!H222</f>
        <v>1</v>
      </c>
      <c r="I222">
        <f>Dataset_1!I222</f>
        <v>2</v>
      </c>
      <c r="J222">
        <f>Dataset_1!J222</f>
        <v>0.16</v>
      </c>
      <c r="K222">
        <f>INDEX(Dataset_2!$B$2:$B$611,MATCH($A222,Dataset_2!$A$2:$A$611,0))</f>
        <v>0.13639999999999999</v>
      </c>
      <c r="L222">
        <f>INDEX(Dataset_2!$C$2:$C$611,MATCH($A222,Dataset_2!$A$2:$A$611,0))</f>
        <v>0.47</v>
      </c>
      <c r="M222">
        <f>INDEX(Dataset_2!$D$2:$D$611,MATCH($A222,Dataset_2!$A$2:$A$611,0))</f>
        <v>0.28360000000000002</v>
      </c>
      <c r="N222">
        <f>INDEX(Dataset_2!$E$2:$E$611,MATCH($A222,Dataset_2!$A$2:$A$611,0))</f>
        <v>2</v>
      </c>
      <c r="O222">
        <f>INDEX(Dataset_2!$F$2:$F$611,MATCH($A222,Dataset_2!$A$2:$A$611,0))</f>
        <v>28</v>
      </c>
      <c r="P222">
        <f>INDEX(Dataset_2!$G$2:$G$611,MATCH($A222,Dataset_2!$A$2:$A$611,0))</f>
        <v>30</v>
      </c>
    </row>
    <row r="223" spans="1:16" x14ac:dyDescent="0.2">
      <c r="A223">
        <f>Dataset_1!A223</f>
        <v>222</v>
      </c>
      <c r="B223" s="61">
        <f>Dataset_1!B223</f>
        <v>40553</v>
      </c>
      <c r="C223">
        <f>Dataset_1!C223</f>
        <v>1</v>
      </c>
      <c r="D223">
        <f>Dataset_1!D223</f>
        <v>0</v>
      </c>
      <c r="E223">
        <f>Dataset_1!E223</f>
        <v>1</v>
      </c>
      <c r="F223">
        <f>Dataset_1!F223</f>
        <v>12</v>
      </c>
      <c r="G223" t="b">
        <f>Dataset_1!G223</f>
        <v>0</v>
      </c>
      <c r="H223">
        <f>Dataset_1!H223</f>
        <v>1</v>
      </c>
      <c r="I223">
        <f>Dataset_1!I223</f>
        <v>2</v>
      </c>
      <c r="J223">
        <f>Dataset_1!J223</f>
        <v>0.2</v>
      </c>
      <c r="K223">
        <f>INDEX(Dataset_2!$B$2:$B$611,MATCH($A223,Dataset_2!$A$2:$A$611,0))</f>
        <v>0.18179999999999999</v>
      </c>
      <c r="L223">
        <f>INDEX(Dataset_2!$C$2:$C$611,MATCH($A223,Dataset_2!$A$2:$A$611,0))</f>
        <v>0.4</v>
      </c>
      <c r="M223">
        <f>INDEX(Dataset_2!$D$2:$D$611,MATCH($A223,Dataset_2!$A$2:$A$611,0))</f>
        <v>0.28360000000000002</v>
      </c>
      <c r="N223">
        <f>INDEX(Dataset_2!$E$2:$E$611,MATCH($A223,Dataset_2!$A$2:$A$611,0))</f>
        <v>5</v>
      </c>
      <c r="O223">
        <f>INDEX(Dataset_2!$F$2:$F$611,MATCH($A223,Dataset_2!$A$2:$A$611,0))</f>
        <v>47</v>
      </c>
      <c r="P223">
        <f>INDEX(Dataset_2!$G$2:$G$611,MATCH($A223,Dataset_2!$A$2:$A$611,0))</f>
        <v>52</v>
      </c>
    </row>
    <row r="224" spans="1:16" x14ac:dyDescent="0.2">
      <c r="A224">
        <f>Dataset_1!A224</f>
        <v>223</v>
      </c>
      <c r="B224" s="61">
        <f>Dataset_1!B224</f>
        <v>40553</v>
      </c>
      <c r="C224">
        <f>Dataset_1!C224</f>
        <v>1</v>
      </c>
      <c r="D224">
        <f>Dataset_1!D224</f>
        <v>0</v>
      </c>
      <c r="E224">
        <f>Dataset_1!E224</f>
        <v>1</v>
      </c>
      <c r="F224">
        <f>Dataset_1!F224</f>
        <v>13</v>
      </c>
      <c r="G224" t="b">
        <f>Dataset_1!G224</f>
        <v>0</v>
      </c>
      <c r="H224">
        <f>Dataset_1!H224</f>
        <v>1</v>
      </c>
      <c r="I224">
        <f>Dataset_1!I224</f>
        <v>2</v>
      </c>
      <c r="J224">
        <f>Dataset_1!J224</f>
        <v>0.2</v>
      </c>
      <c r="K224">
        <f>INDEX(Dataset_2!$B$2:$B$611,MATCH($A224,Dataset_2!$A$2:$A$611,0))</f>
        <v>0.18179999999999999</v>
      </c>
      <c r="L224">
        <f>INDEX(Dataset_2!$C$2:$C$611,MATCH($A224,Dataset_2!$A$2:$A$611,0))</f>
        <v>0.4</v>
      </c>
      <c r="M224">
        <f>INDEX(Dataset_2!$D$2:$D$611,MATCH($A224,Dataset_2!$A$2:$A$611,0))</f>
        <v>0.28360000000000002</v>
      </c>
      <c r="N224">
        <f>INDEX(Dataset_2!$E$2:$E$611,MATCH($A224,Dataset_2!$A$2:$A$611,0))</f>
        <v>4</v>
      </c>
      <c r="O224">
        <f>INDEX(Dataset_2!$F$2:$F$611,MATCH($A224,Dataset_2!$A$2:$A$611,0))</f>
        <v>50</v>
      </c>
      <c r="P224">
        <f>INDEX(Dataset_2!$G$2:$G$611,MATCH($A224,Dataset_2!$A$2:$A$611,0))</f>
        <v>54</v>
      </c>
    </row>
    <row r="225" spans="1:16" x14ac:dyDescent="0.2">
      <c r="A225">
        <f>Dataset_1!A225</f>
        <v>224</v>
      </c>
      <c r="B225" s="61">
        <f>Dataset_1!B225</f>
        <v>40553</v>
      </c>
      <c r="C225">
        <f>Dataset_1!C225</f>
        <v>1</v>
      </c>
      <c r="D225">
        <f>Dataset_1!D225</f>
        <v>0</v>
      </c>
      <c r="E225">
        <f>Dataset_1!E225</f>
        <v>1</v>
      </c>
      <c r="F225">
        <f>Dataset_1!F225</f>
        <v>14</v>
      </c>
      <c r="G225" t="b">
        <f>Dataset_1!G225</f>
        <v>0</v>
      </c>
      <c r="H225">
        <f>Dataset_1!H225</f>
        <v>1</v>
      </c>
      <c r="I225">
        <f>Dataset_1!I225</f>
        <v>2</v>
      </c>
      <c r="J225">
        <f>Dataset_1!J225</f>
        <v>0.2</v>
      </c>
      <c r="K225">
        <f>INDEX(Dataset_2!$B$2:$B$611,MATCH($A225,Dataset_2!$A$2:$A$611,0))</f>
        <v>0.19700000000000001</v>
      </c>
      <c r="L225">
        <f>INDEX(Dataset_2!$C$2:$C$611,MATCH($A225,Dataset_2!$A$2:$A$611,0))</f>
        <v>0.4</v>
      </c>
      <c r="M225">
        <f>INDEX(Dataset_2!$D$2:$D$611,MATCH($A225,Dataset_2!$A$2:$A$611,0))</f>
        <v>0.22389999999999999</v>
      </c>
      <c r="N225">
        <f>INDEX(Dataset_2!$E$2:$E$611,MATCH($A225,Dataset_2!$A$2:$A$611,0))</f>
        <v>0</v>
      </c>
      <c r="O225">
        <f>INDEX(Dataset_2!$F$2:$F$611,MATCH($A225,Dataset_2!$A$2:$A$611,0))</f>
        <v>47</v>
      </c>
      <c r="P225">
        <f>INDEX(Dataset_2!$G$2:$G$611,MATCH($A225,Dataset_2!$A$2:$A$611,0))</f>
        <v>47</v>
      </c>
    </row>
    <row r="226" spans="1:16" x14ac:dyDescent="0.2">
      <c r="A226">
        <f>Dataset_1!A226</f>
        <v>225</v>
      </c>
      <c r="B226" s="61">
        <f>Dataset_1!B226</f>
        <v>40553</v>
      </c>
      <c r="C226">
        <f>Dataset_1!C226</f>
        <v>1</v>
      </c>
      <c r="D226">
        <f>Dataset_1!D226</f>
        <v>0</v>
      </c>
      <c r="E226">
        <f>Dataset_1!E226</f>
        <v>1</v>
      </c>
      <c r="F226">
        <f>Dataset_1!F226</f>
        <v>15</v>
      </c>
      <c r="G226" t="b">
        <f>Dataset_1!G226</f>
        <v>0</v>
      </c>
      <c r="H226">
        <f>Dataset_1!H226</f>
        <v>1</v>
      </c>
      <c r="I226">
        <f>Dataset_1!I226</f>
        <v>2</v>
      </c>
      <c r="J226">
        <f>Dataset_1!J226</f>
        <v>0.2</v>
      </c>
      <c r="K226">
        <f>INDEX(Dataset_2!$B$2:$B$611,MATCH($A226,Dataset_2!$A$2:$A$611,0))</f>
        <v>0.19700000000000001</v>
      </c>
      <c r="L226">
        <f>INDEX(Dataset_2!$C$2:$C$611,MATCH($A226,Dataset_2!$A$2:$A$611,0))</f>
        <v>0.4</v>
      </c>
      <c r="M226">
        <f>INDEX(Dataset_2!$D$2:$D$611,MATCH($A226,Dataset_2!$A$2:$A$611,0))</f>
        <v>0.22389999999999999</v>
      </c>
      <c r="N226">
        <f>INDEX(Dataset_2!$E$2:$E$611,MATCH($A226,Dataset_2!$A$2:$A$611,0))</f>
        <v>2</v>
      </c>
      <c r="O226">
        <f>INDEX(Dataset_2!$F$2:$F$611,MATCH($A226,Dataset_2!$A$2:$A$611,0))</f>
        <v>43</v>
      </c>
      <c r="P226">
        <f>INDEX(Dataset_2!$G$2:$G$611,MATCH($A226,Dataset_2!$A$2:$A$611,0))</f>
        <v>45</v>
      </c>
    </row>
    <row r="227" spans="1:16" x14ac:dyDescent="0.2">
      <c r="A227">
        <f>Dataset_1!A227</f>
        <v>226</v>
      </c>
      <c r="B227" s="61">
        <f>Dataset_1!B227</f>
        <v>40553</v>
      </c>
      <c r="C227">
        <f>Dataset_1!C227</f>
        <v>1</v>
      </c>
      <c r="D227">
        <f>Dataset_1!D227</f>
        <v>0</v>
      </c>
      <c r="E227">
        <f>Dataset_1!E227</f>
        <v>1</v>
      </c>
      <c r="F227">
        <f>Dataset_1!F227</f>
        <v>16</v>
      </c>
      <c r="G227" t="b">
        <f>Dataset_1!G227</f>
        <v>0</v>
      </c>
      <c r="H227">
        <f>Dataset_1!H227</f>
        <v>1</v>
      </c>
      <c r="I227">
        <f>Dataset_1!I227</f>
        <v>1</v>
      </c>
      <c r="J227">
        <f>Dataset_1!J227</f>
        <v>0.2</v>
      </c>
      <c r="K227">
        <f>INDEX(Dataset_2!$B$2:$B$611,MATCH($A227,Dataset_2!$A$2:$A$611,0))</f>
        <v>0.21210000000000001</v>
      </c>
      <c r="L227">
        <f>INDEX(Dataset_2!$C$2:$C$611,MATCH($A227,Dataset_2!$A$2:$A$611,0))</f>
        <v>0.4</v>
      </c>
      <c r="M227">
        <f>INDEX(Dataset_2!$D$2:$D$611,MATCH($A227,Dataset_2!$A$2:$A$611,0))</f>
        <v>0.1343</v>
      </c>
      <c r="N227">
        <f>INDEX(Dataset_2!$E$2:$E$611,MATCH($A227,Dataset_2!$A$2:$A$611,0))</f>
        <v>4</v>
      </c>
      <c r="O227">
        <f>INDEX(Dataset_2!$F$2:$F$611,MATCH($A227,Dataset_2!$A$2:$A$611,0))</f>
        <v>70</v>
      </c>
      <c r="P227">
        <f>INDEX(Dataset_2!$G$2:$G$611,MATCH($A227,Dataset_2!$A$2:$A$611,0))</f>
        <v>74</v>
      </c>
    </row>
    <row r="228" spans="1:16" x14ac:dyDescent="0.2">
      <c r="A228">
        <f>Dataset_1!A228</f>
        <v>227</v>
      </c>
      <c r="B228" s="61">
        <f>Dataset_1!B228</f>
        <v>40553</v>
      </c>
      <c r="C228">
        <f>Dataset_1!C228</f>
        <v>1</v>
      </c>
      <c r="D228">
        <f>Dataset_1!D228</f>
        <v>0</v>
      </c>
      <c r="E228">
        <f>Dataset_1!E228</f>
        <v>1</v>
      </c>
      <c r="F228">
        <f>Dataset_1!F228</f>
        <v>17</v>
      </c>
      <c r="G228" t="b">
        <f>Dataset_1!G228</f>
        <v>0</v>
      </c>
      <c r="H228">
        <f>Dataset_1!H228</f>
        <v>1</v>
      </c>
      <c r="I228">
        <f>Dataset_1!I228</f>
        <v>1</v>
      </c>
      <c r="J228">
        <f>Dataset_1!J228</f>
        <v>0.2</v>
      </c>
      <c r="K228">
        <f>INDEX(Dataset_2!$B$2:$B$611,MATCH($A228,Dataset_2!$A$2:$A$611,0))</f>
        <v>0.2273</v>
      </c>
      <c r="L228">
        <f>INDEX(Dataset_2!$C$2:$C$611,MATCH($A228,Dataset_2!$A$2:$A$611,0))</f>
        <v>0.4</v>
      </c>
      <c r="M228">
        <f>INDEX(Dataset_2!$D$2:$D$611,MATCH($A228,Dataset_2!$A$2:$A$611,0))</f>
        <v>0.1045</v>
      </c>
      <c r="N228">
        <f>INDEX(Dataset_2!$E$2:$E$611,MATCH($A228,Dataset_2!$A$2:$A$611,0))</f>
        <v>4</v>
      </c>
      <c r="O228">
        <f>INDEX(Dataset_2!$F$2:$F$611,MATCH($A228,Dataset_2!$A$2:$A$611,0))</f>
        <v>174</v>
      </c>
      <c r="P228">
        <f>INDEX(Dataset_2!$G$2:$G$611,MATCH($A228,Dataset_2!$A$2:$A$611,0))</f>
        <v>178</v>
      </c>
    </row>
    <row r="229" spans="1:16" x14ac:dyDescent="0.2">
      <c r="A229">
        <f>Dataset_1!A229</f>
        <v>228</v>
      </c>
      <c r="B229" s="61">
        <f>Dataset_1!B229</f>
        <v>40553</v>
      </c>
      <c r="C229">
        <f>Dataset_1!C229</f>
        <v>1</v>
      </c>
      <c r="D229">
        <f>Dataset_1!D229</f>
        <v>0</v>
      </c>
      <c r="E229">
        <f>Dataset_1!E229</f>
        <v>1</v>
      </c>
      <c r="F229">
        <f>Dataset_1!F229</f>
        <v>18</v>
      </c>
      <c r="G229" t="b">
        <f>Dataset_1!G229</f>
        <v>0</v>
      </c>
      <c r="H229">
        <f>Dataset_1!H229</f>
        <v>1</v>
      </c>
      <c r="I229">
        <f>Dataset_1!I229</f>
        <v>1</v>
      </c>
      <c r="J229">
        <f>Dataset_1!J229</f>
        <v>0.2</v>
      </c>
      <c r="K229">
        <f>INDEX(Dataset_2!$B$2:$B$611,MATCH($A229,Dataset_2!$A$2:$A$611,0))</f>
        <v>0.19700000000000001</v>
      </c>
      <c r="L229">
        <f>INDEX(Dataset_2!$C$2:$C$611,MATCH($A229,Dataset_2!$A$2:$A$611,0))</f>
        <v>0.4</v>
      </c>
      <c r="M229">
        <f>INDEX(Dataset_2!$D$2:$D$611,MATCH($A229,Dataset_2!$A$2:$A$611,0))</f>
        <v>0.22389999999999999</v>
      </c>
      <c r="N229">
        <f>INDEX(Dataset_2!$E$2:$E$611,MATCH($A229,Dataset_2!$A$2:$A$611,0))</f>
        <v>1</v>
      </c>
      <c r="O229">
        <f>INDEX(Dataset_2!$F$2:$F$611,MATCH($A229,Dataset_2!$A$2:$A$611,0))</f>
        <v>154</v>
      </c>
      <c r="P229">
        <f>INDEX(Dataset_2!$G$2:$G$611,MATCH($A229,Dataset_2!$A$2:$A$611,0))</f>
        <v>155</v>
      </c>
    </row>
    <row r="230" spans="1:16" x14ac:dyDescent="0.2">
      <c r="A230">
        <f>Dataset_1!A230</f>
        <v>229</v>
      </c>
      <c r="B230" s="61">
        <f>Dataset_1!B230</f>
        <v>40553</v>
      </c>
      <c r="C230">
        <f>Dataset_1!C230</f>
        <v>1</v>
      </c>
      <c r="D230">
        <f>Dataset_1!D230</f>
        <v>0</v>
      </c>
      <c r="E230">
        <f>Dataset_1!E230</f>
        <v>1</v>
      </c>
      <c r="F230">
        <f>Dataset_1!F230</f>
        <v>19</v>
      </c>
      <c r="G230" t="b">
        <f>Dataset_1!G230</f>
        <v>0</v>
      </c>
      <c r="H230">
        <f>Dataset_1!H230</f>
        <v>1</v>
      </c>
      <c r="I230">
        <f>Dataset_1!I230</f>
        <v>1</v>
      </c>
      <c r="J230">
        <f>Dataset_1!J230</f>
        <v>0.16</v>
      </c>
      <c r="K230">
        <f>INDEX(Dataset_2!$B$2:$B$611,MATCH($A230,Dataset_2!$A$2:$A$611,0))</f>
        <v>0.16669999999999999</v>
      </c>
      <c r="L230">
        <f>INDEX(Dataset_2!$C$2:$C$611,MATCH($A230,Dataset_2!$A$2:$A$611,0))</f>
        <v>0.47</v>
      </c>
      <c r="M230">
        <f>INDEX(Dataset_2!$D$2:$D$611,MATCH($A230,Dataset_2!$A$2:$A$611,0))</f>
        <v>0.16420000000000001</v>
      </c>
      <c r="N230">
        <f>INDEX(Dataset_2!$E$2:$E$611,MATCH($A230,Dataset_2!$A$2:$A$611,0))</f>
        <v>3</v>
      </c>
      <c r="O230">
        <f>INDEX(Dataset_2!$F$2:$F$611,MATCH($A230,Dataset_2!$A$2:$A$611,0))</f>
        <v>92</v>
      </c>
      <c r="P230">
        <f>INDEX(Dataset_2!$G$2:$G$611,MATCH($A230,Dataset_2!$A$2:$A$611,0))</f>
        <v>95</v>
      </c>
    </row>
    <row r="231" spans="1:16" x14ac:dyDescent="0.2">
      <c r="A231">
        <f>Dataset_1!A231</f>
        <v>230</v>
      </c>
      <c r="B231" s="61">
        <f>Dataset_1!B231</f>
        <v>40553</v>
      </c>
      <c r="C231">
        <f>Dataset_1!C231</f>
        <v>1</v>
      </c>
      <c r="D231">
        <f>Dataset_1!D231</f>
        <v>0</v>
      </c>
      <c r="E231">
        <f>Dataset_1!E231</f>
        <v>1</v>
      </c>
      <c r="F231">
        <f>Dataset_1!F231</f>
        <v>20</v>
      </c>
      <c r="G231" t="b">
        <f>Dataset_1!G231</f>
        <v>0</v>
      </c>
      <c r="H231">
        <f>Dataset_1!H231</f>
        <v>1</v>
      </c>
      <c r="I231">
        <f>Dataset_1!I231</f>
        <v>1</v>
      </c>
      <c r="J231">
        <f>Dataset_1!J231</f>
        <v>0.16</v>
      </c>
      <c r="K231">
        <f>INDEX(Dataset_2!$B$2:$B$611,MATCH($A231,Dataset_2!$A$2:$A$611,0))</f>
        <v>0.16669999999999999</v>
      </c>
      <c r="L231">
        <f>INDEX(Dataset_2!$C$2:$C$611,MATCH($A231,Dataset_2!$A$2:$A$611,0))</f>
        <v>0.5</v>
      </c>
      <c r="M231">
        <f>INDEX(Dataset_2!$D$2:$D$611,MATCH($A231,Dataset_2!$A$2:$A$611,0))</f>
        <v>0.16420000000000001</v>
      </c>
      <c r="N231">
        <f>INDEX(Dataset_2!$E$2:$E$611,MATCH($A231,Dataset_2!$A$2:$A$611,0))</f>
        <v>1</v>
      </c>
      <c r="O231">
        <f>INDEX(Dataset_2!$F$2:$F$611,MATCH($A231,Dataset_2!$A$2:$A$611,0))</f>
        <v>73</v>
      </c>
      <c r="P231">
        <f>INDEX(Dataset_2!$G$2:$G$611,MATCH($A231,Dataset_2!$A$2:$A$611,0))</f>
        <v>74</v>
      </c>
    </row>
    <row r="232" spans="1:16" x14ac:dyDescent="0.2">
      <c r="A232">
        <f>Dataset_1!A232</f>
        <v>231</v>
      </c>
      <c r="B232" s="61">
        <f>Dataset_1!B232</f>
        <v>40553</v>
      </c>
      <c r="C232">
        <f>Dataset_1!C232</f>
        <v>1</v>
      </c>
      <c r="D232">
        <f>Dataset_1!D232</f>
        <v>0</v>
      </c>
      <c r="E232">
        <f>Dataset_1!E232</f>
        <v>1</v>
      </c>
      <c r="F232">
        <f>Dataset_1!F232</f>
        <v>21</v>
      </c>
      <c r="G232" t="b">
        <f>Dataset_1!G232</f>
        <v>0</v>
      </c>
      <c r="H232">
        <f>Dataset_1!H232</f>
        <v>1</v>
      </c>
      <c r="I232">
        <f>Dataset_1!I232</f>
        <v>1</v>
      </c>
      <c r="J232">
        <f>Dataset_1!J232</f>
        <v>0.14000000000000001</v>
      </c>
      <c r="K232">
        <f>INDEX(Dataset_2!$B$2:$B$611,MATCH($A232,Dataset_2!$A$2:$A$611,0))</f>
        <v>0.13639999999999999</v>
      </c>
      <c r="L232">
        <f>INDEX(Dataset_2!$C$2:$C$611,MATCH($A232,Dataset_2!$A$2:$A$611,0))</f>
        <v>0.59</v>
      </c>
      <c r="M232">
        <f>INDEX(Dataset_2!$D$2:$D$611,MATCH($A232,Dataset_2!$A$2:$A$611,0))</f>
        <v>0.19400000000000001</v>
      </c>
      <c r="N232">
        <f>INDEX(Dataset_2!$E$2:$E$611,MATCH($A232,Dataset_2!$A$2:$A$611,0))</f>
        <v>1</v>
      </c>
      <c r="O232">
        <f>INDEX(Dataset_2!$F$2:$F$611,MATCH($A232,Dataset_2!$A$2:$A$611,0))</f>
        <v>37</v>
      </c>
      <c r="P232">
        <f>INDEX(Dataset_2!$G$2:$G$611,MATCH($A232,Dataset_2!$A$2:$A$611,0))</f>
        <v>38</v>
      </c>
    </row>
    <row r="233" spans="1:16" x14ac:dyDescent="0.2">
      <c r="A233">
        <f>Dataset_1!A233</f>
        <v>232</v>
      </c>
      <c r="B233" s="61">
        <f>Dataset_1!B233</f>
        <v>40553</v>
      </c>
      <c r="C233">
        <f>Dataset_1!C233</f>
        <v>1</v>
      </c>
      <c r="D233">
        <f>Dataset_1!D233</f>
        <v>0</v>
      </c>
      <c r="E233">
        <f>Dataset_1!E233</f>
        <v>1</v>
      </c>
      <c r="F233">
        <f>Dataset_1!F233</f>
        <v>22</v>
      </c>
      <c r="G233" t="b">
        <f>Dataset_1!G233</f>
        <v>0</v>
      </c>
      <c r="H233">
        <f>Dataset_1!H233</f>
        <v>1</v>
      </c>
      <c r="I233">
        <f>Dataset_1!I233</f>
        <v>1</v>
      </c>
      <c r="J233">
        <f>Dataset_1!J233</f>
        <v>0.14000000000000001</v>
      </c>
      <c r="K233">
        <f>INDEX(Dataset_2!$B$2:$B$611,MATCH($A233,Dataset_2!$A$2:$A$611,0))</f>
        <v>0.1515</v>
      </c>
      <c r="L233">
        <f>INDEX(Dataset_2!$C$2:$C$611,MATCH($A233,Dataset_2!$A$2:$A$611,0))</f>
        <v>0.59</v>
      </c>
      <c r="M233">
        <f>INDEX(Dataset_2!$D$2:$D$611,MATCH($A233,Dataset_2!$A$2:$A$611,0))</f>
        <v>0.16420000000000001</v>
      </c>
      <c r="N233">
        <f>INDEX(Dataset_2!$E$2:$E$611,MATCH($A233,Dataset_2!$A$2:$A$611,0))</f>
        <v>2</v>
      </c>
      <c r="O233">
        <f>INDEX(Dataset_2!$F$2:$F$611,MATCH($A233,Dataset_2!$A$2:$A$611,0))</f>
        <v>22</v>
      </c>
      <c r="P233">
        <f>INDEX(Dataset_2!$G$2:$G$611,MATCH($A233,Dataset_2!$A$2:$A$611,0))</f>
        <v>24</v>
      </c>
    </row>
    <row r="234" spans="1:16" x14ac:dyDescent="0.2">
      <c r="A234">
        <f>Dataset_1!A234</f>
        <v>233</v>
      </c>
      <c r="B234" s="61">
        <f>Dataset_1!B234</f>
        <v>40553</v>
      </c>
      <c r="C234">
        <f>Dataset_1!C234</f>
        <v>1</v>
      </c>
      <c r="D234">
        <f>Dataset_1!D234</f>
        <v>0</v>
      </c>
      <c r="E234">
        <f>Dataset_1!E234</f>
        <v>1</v>
      </c>
      <c r="F234">
        <f>Dataset_1!F234</f>
        <v>23</v>
      </c>
      <c r="G234" t="b">
        <f>Dataset_1!G234</f>
        <v>0</v>
      </c>
      <c r="H234">
        <f>Dataset_1!H234</f>
        <v>1</v>
      </c>
      <c r="I234">
        <f>Dataset_1!I234</f>
        <v>1</v>
      </c>
      <c r="J234">
        <f>Dataset_1!J234</f>
        <v>0.14000000000000001</v>
      </c>
      <c r="K234">
        <f>INDEX(Dataset_2!$B$2:$B$611,MATCH($A234,Dataset_2!$A$2:$A$611,0))</f>
        <v>0.1515</v>
      </c>
      <c r="L234">
        <f>INDEX(Dataset_2!$C$2:$C$611,MATCH($A234,Dataset_2!$A$2:$A$611,0))</f>
        <v>0.59</v>
      </c>
      <c r="M234">
        <f>INDEX(Dataset_2!$D$2:$D$611,MATCH($A234,Dataset_2!$A$2:$A$611,0))</f>
        <v>0.16420000000000001</v>
      </c>
      <c r="N234">
        <f>INDEX(Dataset_2!$E$2:$E$611,MATCH($A234,Dataset_2!$A$2:$A$611,0))</f>
        <v>0</v>
      </c>
      <c r="O234">
        <f>INDEX(Dataset_2!$F$2:$F$611,MATCH($A234,Dataset_2!$A$2:$A$611,0))</f>
        <v>18</v>
      </c>
      <c r="P234">
        <f>INDEX(Dataset_2!$G$2:$G$611,MATCH($A234,Dataset_2!$A$2:$A$611,0))</f>
        <v>18</v>
      </c>
    </row>
    <row r="235" spans="1:16" x14ac:dyDescent="0.2">
      <c r="A235">
        <f>Dataset_1!A235</f>
        <v>234</v>
      </c>
      <c r="B235" s="61">
        <f>Dataset_1!B235</f>
        <v>40554</v>
      </c>
      <c r="C235">
        <f>Dataset_1!C235</f>
        <v>1</v>
      </c>
      <c r="D235">
        <f>Dataset_1!D235</f>
        <v>0</v>
      </c>
      <c r="E235">
        <f>Dataset_1!E235</f>
        <v>1</v>
      </c>
      <c r="F235">
        <f>Dataset_1!F235</f>
        <v>0</v>
      </c>
      <c r="G235" t="b">
        <f>Dataset_1!G235</f>
        <v>0</v>
      </c>
      <c r="H235">
        <f>Dataset_1!H235</f>
        <v>2</v>
      </c>
      <c r="I235">
        <f>Dataset_1!I235</f>
        <v>1</v>
      </c>
      <c r="J235">
        <f>Dataset_1!J235</f>
        <v>0.14000000000000001</v>
      </c>
      <c r="K235">
        <f>INDEX(Dataset_2!$B$2:$B$611,MATCH($A235,Dataset_2!$A$2:$A$611,0))</f>
        <v>0.16669999999999999</v>
      </c>
      <c r="L235">
        <f>INDEX(Dataset_2!$C$2:$C$611,MATCH($A235,Dataset_2!$A$2:$A$611,0))</f>
        <v>0.59</v>
      </c>
      <c r="M235">
        <f>INDEX(Dataset_2!$D$2:$D$611,MATCH($A235,Dataset_2!$A$2:$A$611,0))</f>
        <v>0.1045</v>
      </c>
      <c r="N235">
        <f>INDEX(Dataset_2!$E$2:$E$611,MATCH($A235,Dataset_2!$A$2:$A$611,0))</f>
        <v>2</v>
      </c>
      <c r="O235">
        <f>INDEX(Dataset_2!$F$2:$F$611,MATCH($A235,Dataset_2!$A$2:$A$611,0))</f>
        <v>10</v>
      </c>
      <c r="P235">
        <f>INDEX(Dataset_2!$G$2:$G$611,MATCH($A235,Dataset_2!$A$2:$A$611,0))</f>
        <v>12</v>
      </c>
    </row>
    <row r="236" spans="1:16" x14ac:dyDescent="0.2">
      <c r="A236">
        <f>Dataset_1!A236</f>
        <v>235</v>
      </c>
      <c r="B236" s="61">
        <f>Dataset_1!B236</f>
        <v>40554</v>
      </c>
      <c r="C236">
        <f>Dataset_1!C236</f>
        <v>1</v>
      </c>
      <c r="D236">
        <f>Dataset_1!D236</f>
        <v>0</v>
      </c>
      <c r="E236">
        <f>Dataset_1!E236</f>
        <v>1</v>
      </c>
      <c r="F236">
        <f>Dataset_1!F236</f>
        <v>1</v>
      </c>
      <c r="G236" t="b">
        <f>Dataset_1!G236</f>
        <v>0</v>
      </c>
      <c r="H236">
        <f>Dataset_1!H236</f>
        <v>2</v>
      </c>
      <c r="I236">
        <f>Dataset_1!I236</f>
        <v>1</v>
      </c>
      <c r="J236">
        <f>Dataset_1!J236</f>
        <v>0.14000000000000001</v>
      </c>
      <c r="K236">
        <f>INDEX(Dataset_2!$B$2:$B$611,MATCH($A236,Dataset_2!$A$2:$A$611,0))</f>
        <v>0.1515</v>
      </c>
      <c r="L236">
        <f>INDEX(Dataset_2!$C$2:$C$611,MATCH($A236,Dataset_2!$A$2:$A$611,0))</f>
        <v>0.59</v>
      </c>
      <c r="M236">
        <f>INDEX(Dataset_2!$D$2:$D$611,MATCH($A236,Dataset_2!$A$2:$A$611,0))</f>
        <v>0.16420000000000001</v>
      </c>
      <c r="N236">
        <f>INDEX(Dataset_2!$E$2:$E$611,MATCH($A236,Dataset_2!$A$2:$A$611,0))</f>
        <v>0</v>
      </c>
      <c r="O236">
        <f>INDEX(Dataset_2!$F$2:$F$611,MATCH($A236,Dataset_2!$A$2:$A$611,0))</f>
        <v>3</v>
      </c>
      <c r="P236">
        <f>INDEX(Dataset_2!$G$2:$G$611,MATCH($A236,Dataset_2!$A$2:$A$611,0))</f>
        <v>3</v>
      </c>
    </row>
    <row r="237" spans="1:16" x14ac:dyDescent="0.2">
      <c r="A237">
        <f>Dataset_1!A237</f>
        <v>236</v>
      </c>
      <c r="B237" s="61">
        <f>Dataset_1!B237</f>
        <v>40554</v>
      </c>
      <c r="C237">
        <f>Dataset_1!C237</f>
        <v>1</v>
      </c>
      <c r="D237">
        <f>Dataset_1!D237</f>
        <v>0</v>
      </c>
      <c r="E237">
        <f>Dataset_1!E237</f>
        <v>1</v>
      </c>
      <c r="F237">
        <f>Dataset_1!F237</f>
        <v>2</v>
      </c>
      <c r="G237" t="b">
        <f>Dataset_1!G237</f>
        <v>0</v>
      </c>
      <c r="H237">
        <f>Dataset_1!H237</f>
        <v>2</v>
      </c>
      <c r="I237">
        <f>Dataset_1!I237</f>
        <v>2</v>
      </c>
      <c r="J237">
        <f>Dataset_1!J237</f>
        <v>0.16</v>
      </c>
      <c r="K237">
        <f>INDEX(Dataset_2!$B$2:$B$611,MATCH($A237,Dataset_2!$A$2:$A$611,0))</f>
        <v>0.1515</v>
      </c>
      <c r="L237">
        <f>INDEX(Dataset_2!$C$2:$C$611,MATCH($A237,Dataset_2!$A$2:$A$611,0))</f>
        <v>0.55000000000000004</v>
      </c>
      <c r="M237">
        <f>INDEX(Dataset_2!$D$2:$D$611,MATCH($A237,Dataset_2!$A$2:$A$611,0))</f>
        <v>0.19400000000000001</v>
      </c>
      <c r="N237">
        <f>INDEX(Dataset_2!$E$2:$E$611,MATCH($A237,Dataset_2!$A$2:$A$611,0))</f>
        <v>0</v>
      </c>
      <c r="O237">
        <f>INDEX(Dataset_2!$F$2:$F$611,MATCH($A237,Dataset_2!$A$2:$A$611,0))</f>
        <v>3</v>
      </c>
      <c r="P237">
        <f>INDEX(Dataset_2!$G$2:$G$611,MATCH($A237,Dataset_2!$A$2:$A$611,0))</f>
        <v>3</v>
      </c>
    </row>
    <row r="238" spans="1:16" x14ac:dyDescent="0.2">
      <c r="A238">
        <f>Dataset_1!A238</f>
        <v>237</v>
      </c>
      <c r="B238" s="61">
        <f>Dataset_1!B238</f>
        <v>40554</v>
      </c>
      <c r="C238">
        <f>Dataset_1!C238</f>
        <v>1</v>
      </c>
      <c r="D238">
        <f>Dataset_1!D238</f>
        <v>0</v>
      </c>
      <c r="E238">
        <f>Dataset_1!E238</f>
        <v>1</v>
      </c>
      <c r="F238">
        <f>Dataset_1!F238</f>
        <v>5</v>
      </c>
      <c r="G238" t="b">
        <f>Dataset_1!G238</f>
        <v>0</v>
      </c>
      <c r="H238">
        <f>Dataset_1!H238</f>
        <v>2</v>
      </c>
      <c r="I238">
        <f>Dataset_1!I238</f>
        <v>2</v>
      </c>
      <c r="J238">
        <f>Dataset_1!J238</f>
        <v>0.16</v>
      </c>
      <c r="K238">
        <f>INDEX(Dataset_2!$B$2:$B$611,MATCH($A238,Dataset_2!$A$2:$A$611,0))</f>
        <v>0.18179999999999999</v>
      </c>
      <c r="L238">
        <f>INDEX(Dataset_2!$C$2:$C$611,MATCH($A238,Dataset_2!$A$2:$A$611,0))</f>
        <v>0.55000000000000004</v>
      </c>
      <c r="M238">
        <f>INDEX(Dataset_2!$D$2:$D$611,MATCH($A238,Dataset_2!$A$2:$A$611,0))</f>
        <v>0.1343</v>
      </c>
      <c r="N238">
        <f>INDEX(Dataset_2!$E$2:$E$611,MATCH($A238,Dataset_2!$A$2:$A$611,0))</f>
        <v>0</v>
      </c>
      <c r="O238">
        <f>INDEX(Dataset_2!$F$2:$F$611,MATCH($A238,Dataset_2!$A$2:$A$611,0))</f>
        <v>6</v>
      </c>
      <c r="P238">
        <f>INDEX(Dataset_2!$G$2:$G$611,MATCH($A238,Dataset_2!$A$2:$A$611,0))</f>
        <v>6</v>
      </c>
    </row>
    <row r="239" spans="1:16" x14ac:dyDescent="0.2">
      <c r="A239">
        <f>Dataset_1!A239</f>
        <v>238</v>
      </c>
      <c r="B239" s="61">
        <f>Dataset_1!B239</f>
        <v>40554</v>
      </c>
      <c r="C239">
        <f>Dataset_1!C239</f>
        <v>1</v>
      </c>
      <c r="D239">
        <f>Dataset_1!D239</f>
        <v>0</v>
      </c>
      <c r="E239">
        <f>Dataset_1!E239</f>
        <v>1</v>
      </c>
      <c r="F239">
        <f>Dataset_1!F239</f>
        <v>6</v>
      </c>
      <c r="G239" t="b">
        <f>Dataset_1!G239</f>
        <v>0</v>
      </c>
      <c r="H239">
        <f>Dataset_1!H239</f>
        <v>2</v>
      </c>
      <c r="I239">
        <f>Dataset_1!I239</f>
        <v>2</v>
      </c>
      <c r="J239">
        <f>Dataset_1!J239</f>
        <v>0.16</v>
      </c>
      <c r="K239">
        <f>INDEX(Dataset_2!$B$2:$B$611,MATCH($A239,Dataset_2!$A$2:$A$611,0))</f>
        <v>0.18179999999999999</v>
      </c>
      <c r="L239">
        <f>INDEX(Dataset_2!$C$2:$C$611,MATCH($A239,Dataset_2!$A$2:$A$611,0))</f>
        <v>0.55000000000000004</v>
      </c>
      <c r="M239">
        <f>INDEX(Dataset_2!$D$2:$D$611,MATCH($A239,Dataset_2!$A$2:$A$611,0))</f>
        <v>0.1343</v>
      </c>
      <c r="N239">
        <f>INDEX(Dataset_2!$E$2:$E$611,MATCH($A239,Dataset_2!$A$2:$A$611,0))</f>
        <v>0</v>
      </c>
      <c r="O239">
        <f>INDEX(Dataset_2!$F$2:$F$611,MATCH($A239,Dataset_2!$A$2:$A$611,0))</f>
        <v>27</v>
      </c>
      <c r="P239">
        <f>INDEX(Dataset_2!$G$2:$G$611,MATCH($A239,Dataset_2!$A$2:$A$611,0))</f>
        <v>27</v>
      </c>
    </row>
    <row r="240" spans="1:16" x14ac:dyDescent="0.2">
      <c r="A240">
        <f>Dataset_1!A240</f>
        <v>239</v>
      </c>
      <c r="B240" s="61">
        <f>Dataset_1!B240</f>
        <v>40554</v>
      </c>
      <c r="C240">
        <f>Dataset_1!C240</f>
        <v>1</v>
      </c>
      <c r="D240">
        <f>Dataset_1!D240</f>
        <v>0</v>
      </c>
      <c r="E240">
        <f>Dataset_1!E240</f>
        <v>1</v>
      </c>
      <c r="F240">
        <f>Dataset_1!F240</f>
        <v>7</v>
      </c>
      <c r="G240" t="b">
        <f>Dataset_1!G240</f>
        <v>0</v>
      </c>
      <c r="H240">
        <f>Dataset_1!H240</f>
        <v>2</v>
      </c>
      <c r="I240">
        <f>Dataset_1!I240</f>
        <v>2</v>
      </c>
      <c r="J240">
        <f>Dataset_1!J240</f>
        <v>0.16</v>
      </c>
      <c r="K240">
        <f>INDEX(Dataset_2!$B$2:$B$611,MATCH($A240,Dataset_2!$A$2:$A$611,0))</f>
        <v>0.2273</v>
      </c>
      <c r="L240">
        <f>INDEX(Dataset_2!$C$2:$C$611,MATCH($A240,Dataset_2!$A$2:$A$611,0))</f>
        <v>0.55000000000000004</v>
      </c>
      <c r="M240">
        <f>INDEX(Dataset_2!$D$2:$D$611,MATCH($A240,Dataset_2!$A$2:$A$611,0))</f>
        <v>0</v>
      </c>
      <c r="N240">
        <f>INDEX(Dataset_2!$E$2:$E$611,MATCH($A240,Dataset_2!$A$2:$A$611,0))</f>
        <v>2</v>
      </c>
      <c r="O240">
        <f>INDEX(Dataset_2!$F$2:$F$611,MATCH($A240,Dataset_2!$A$2:$A$611,0))</f>
        <v>97</v>
      </c>
      <c r="P240">
        <f>INDEX(Dataset_2!$G$2:$G$611,MATCH($A240,Dataset_2!$A$2:$A$611,0))</f>
        <v>99</v>
      </c>
    </row>
    <row r="241" spans="1:16" x14ac:dyDescent="0.2">
      <c r="A241">
        <f>Dataset_1!A241</f>
        <v>240</v>
      </c>
      <c r="B241" s="61">
        <f>Dataset_1!B241</f>
        <v>40554</v>
      </c>
      <c r="C241">
        <f>Dataset_1!C241</f>
        <v>1</v>
      </c>
      <c r="D241">
        <f>Dataset_1!D241</f>
        <v>0</v>
      </c>
      <c r="E241">
        <f>Dataset_1!E241</f>
        <v>1</v>
      </c>
      <c r="F241">
        <f>Dataset_1!F241</f>
        <v>8</v>
      </c>
      <c r="G241" t="b">
        <f>Dataset_1!G241</f>
        <v>0</v>
      </c>
      <c r="H241">
        <f>Dataset_1!H241</f>
        <v>2</v>
      </c>
      <c r="I241">
        <f>Dataset_1!I241</f>
        <v>2</v>
      </c>
      <c r="J241">
        <f>Dataset_1!J241</f>
        <v>0.18</v>
      </c>
      <c r="K241">
        <f>INDEX(Dataset_2!$B$2:$B$611,MATCH($A241,Dataset_2!$A$2:$A$611,0))</f>
        <v>0.21210000000000001</v>
      </c>
      <c r="L241">
        <f>INDEX(Dataset_2!$C$2:$C$611,MATCH($A241,Dataset_2!$A$2:$A$611,0))</f>
        <v>0.51</v>
      </c>
      <c r="M241">
        <f>INDEX(Dataset_2!$D$2:$D$611,MATCH($A241,Dataset_2!$A$2:$A$611,0))</f>
        <v>8.9599999999999999E-2</v>
      </c>
      <c r="N241">
        <f>INDEX(Dataset_2!$E$2:$E$611,MATCH($A241,Dataset_2!$A$2:$A$611,0))</f>
        <v>3</v>
      </c>
      <c r="O241">
        <f>INDEX(Dataset_2!$F$2:$F$611,MATCH($A241,Dataset_2!$A$2:$A$611,0))</f>
        <v>214</v>
      </c>
      <c r="P241">
        <f>INDEX(Dataset_2!$G$2:$G$611,MATCH($A241,Dataset_2!$A$2:$A$611,0))</f>
        <v>217</v>
      </c>
    </row>
    <row r="242" spans="1:16" x14ac:dyDescent="0.2">
      <c r="A242">
        <f>Dataset_1!A242</f>
        <v>241</v>
      </c>
      <c r="B242" s="61">
        <f>Dataset_1!B242</f>
        <v>40554</v>
      </c>
      <c r="C242">
        <f>Dataset_1!C242</f>
        <v>1</v>
      </c>
      <c r="D242">
        <f>Dataset_1!D242</f>
        <v>0</v>
      </c>
      <c r="E242">
        <f>Dataset_1!E242</f>
        <v>1</v>
      </c>
      <c r="F242">
        <f>Dataset_1!F242</f>
        <v>9</v>
      </c>
      <c r="G242" t="b">
        <f>Dataset_1!G242</f>
        <v>0</v>
      </c>
      <c r="H242">
        <f>Dataset_1!H242</f>
        <v>2</v>
      </c>
      <c r="I242">
        <f>Dataset_1!I242</f>
        <v>2</v>
      </c>
      <c r="J242">
        <f>Dataset_1!J242</f>
        <v>0.18</v>
      </c>
      <c r="K242">
        <f>INDEX(Dataset_2!$B$2:$B$611,MATCH($A242,Dataset_2!$A$2:$A$611,0))</f>
        <v>0.19700000000000001</v>
      </c>
      <c r="L242">
        <f>INDEX(Dataset_2!$C$2:$C$611,MATCH($A242,Dataset_2!$A$2:$A$611,0))</f>
        <v>0.51</v>
      </c>
      <c r="M242">
        <f>INDEX(Dataset_2!$D$2:$D$611,MATCH($A242,Dataset_2!$A$2:$A$611,0))</f>
        <v>0.16420000000000001</v>
      </c>
      <c r="N242">
        <f>INDEX(Dataset_2!$E$2:$E$611,MATCH($A242,Dataset_2!$A$2:$A$611,0))</f>
        <v>3</v>
      </c>
      <c r="O242">
        <f>INDEX(Dataset_2!$F$2:$F$611,MATCH($A242,Dataset_2!$A$2:$A$611,0))</f>
        <v>127</v>
      </c>
      <c r="P242">
        <f>INDEX(Dataset_2!$G$2:$G$611,MATCH($A242,Dataset_2!$A$2:$A$611,0))</f>
        <v>130</v>
      </c>
    </row>
    <row r="243" spans="1:16" x14ac:dyDescent="0.2">
      <c r="A243">
        <f>Dataset_1!A243</f>
        <v>242</v>
      </c>
      <c r="B243" s="61">
        <f>Dataset_1!B243</f>
        <v>40554</v>
      </c>
      <c r="C243">
        <f>Dataset_1!C243</f>
        <v>1</v>
      </c>
      <c r="D243">
        <f>Dataset_1!D243</f>
        <v>0</v>
      </c>
      <c r="E243">
        <f>Dataset_1!E243</f>
        <v>1</v>
      </c>
      <c r="F243">
        <f>Dataset_1!F243</f>
        <v>10</v>
      </c>
      <c r="G243" t="b">
        <f>Dataset_1!G243</f>
        <v>0</v>
      </c>
      <c r="H243">
        <f>Dataset_1!H243</f>
        <v>2</v>
      </c>
      <c r="I243">
        <f>Dataset_1!I243</f>
        <v>2</v>
      </c>
      <c r="J243">
        <f>Dataset_1!J243</f>
        <v>0.2</v>
      </c>
      <c r="K243">
        <f>INDEX(Dataset_2!$B$2:$B$611,MATCH($A243,Dataset_2!$A$2:$A$611,0))</f>
        <v>0.21210000000000001</v>
      </c>
      <c r="L243">
        <f>INDEX(Dataset_2!$C$2:$C$611,MATCH($A243,Dataset_2!$A$2:$A$611,0))</f>
        <v>0.51</v>
      </c>
      <c r="M243">
        <f>INDEX(Dataset_2!$D$2:$D$611,MATCH($A243,Dataset_2!$A$2:$A$611,0))</f>
        <v>0.16420000000000001</v>
      </c>
      <c r="N243">
        <f>INDEX(Dataset_2!$E$2:$E$611,MATCH($A243,Dataset_2!$A$2:$A$611,0))</f>
        <v>3</v>
      </c>
      <c r="O243">
        <f>INDEX(Dataset_2!$F$2:$F$611,MATCH($A243,Dataset_2!$A$2:$A$611,0))</f>
        <v>51</v>
      </c>
      <c r="P243">
        <f>INDEX(Dataset_2!$G$2:$G$611,MATCH($A243,Dataset_2!$A$2:$A$611,0))</f>
        <v>54</v>
      </c>
    </row>
    <row r="244" spans="1:16" x14ac:dyDescent="0.2">
      <c r="A244">
        <f>Dataset_1!A244</f>
        <v>243</v>
      </c>
      <c r="B244" s="61">
        <f>Dataset_1!B244</f>
        <v>40554</v>
      </c>
      <c r="C244">
        <f>Dataset_1!C244</f>
        <v>1</v>
      </c>
      <c r="D244">
        <f>Dataset_1!D244</f>
        <v>0</v>
      </c>
      <c r="E244">
        <f>Dataset_1!E244</f>
        <v>1</v>
      </c>
      <c r="F244">
        <f>Dataset_1!F244</f>
        <v>11</v>
      </c>
      <c r="G244" t="b">
        <f>Dataset_1!G244</f>
        <v>0</v>
      </c>
      <c r="H244">
        <f>Dataset_1!H244</f>
        <v>2</v>
      </c>
      <c r="I244">
        <f>Dataset_1!I244</f>
        <v>2</v>
      </c>
      <c r="J244">
        <f>Dataset_1!J244</f>
        <v>0.2</v>
      </c>
      <c r="K244">
        <f>INDEX(Dataset_2!$B$2:$B$611,MATCH($A244,Dataset_2!$A$2:$A$611,0))</f>
        <v>0.21210000000000001</v>
      </c>
      <c r="L244">
        <f>INDEX(Dataset_2!$C$2:$C$611,MATCH($A244,Dataset_2!$A$2:$A$611,0))</f>
        <v>0.47</v>
      </c>
      <c r="M244">
        <f>INDEX(Dataset_2!$D$2:$D$611,MATCH($A244,Dataset_2!$A$2:$A$611,0))</f>
        <v>0.1343</v>
      </c>
      <c r="N244">
        <f>INDEX(Dataset_2!$E$2:$E$611,MATCH($A244,Dataset_2!$A$2:$A$611,0))</f>
        <v>4</v>
      </c>
      <c r="O244">
        <f>INDEX(Dataset_2!$F$2:$F$611,MATCH($A244,Dataset_2!$A$2:$A$611,0))</f>
        <v>31</v>
      </c>
      <c r="P244">
        <f>INDEX(Dataset_2!$G$2:$G$611,MATCH($A244,Dataset_2!$A$2:$A$611,0))</f>
        <v>35</v>
      </c>
    </row>
    <row r="245" spans="1:16" x14ac:dyDescent="0.2">
      <c r="A245">
        <f>Dataset_1!A245</f>
        <v>244</v>
      </c>
      <c r="B245" s="61">
        <f>Dataset_1!B245</f>
        <v>40554</v>
      </c>
      <c r="C245">
        <f>Dataset_1!C245</f>
        <v>1</v>
      </c>
      <c r="D245">
        <f>Dataset_1!D245</f>
        <v>0</v>
      </c>
      <c r="E245">
        <f>Dataset_1!E245</f>
        <v>1</v>
      </c>
      <c r="F245">
        <f>Dataset_1!F245</f>
        <v>12</v>
      </c>
      <c r="G245" t="b">
        <f>Dataset_1!G245</f>
        <v>0</v>
      </c>
      <c r="H245">
        <f>Dataset_1!H245</f>
        <v>2</v>
      </c>
      <c r="I245">
        <f>Dataset_1!I245</f>
        <v>2</v>
      </c>
      <c r="J245">
        <f>Dataset_1!J245</f>
        <v>0.2</v>
      </c>
      <c r="K245">
        <f>INDEX(Dataset_2!$B$2:$B$611,MATCH($A245,Dataset_2!$A$2:$A$611,0))</f>
        <v>0.2273</v>
      </c>
      <c r="L245">
        <f>INDEX(Dataset_2!$C$2:$C$611,MATCH($A245,Dataset_2!$A$2:$A$611,0))</f>
        <v>0.51</v>
      </c>
      <c r="M245">
        <f>INDEX(Dataset_2!$D$2:$D$611,MATCH($A245,Dataset_2!$A$2:$A$611,0))</f>
        <v>0.1045</v>
      </c>
      <c r="N245">
        <f>INDEX(Dataset_2!$E$2:$E$611,MATCH($A245,Dataset_2!$A$2:$A$611,0))</f>
        <v>2</v>
      </c>
      <c r="O245">
        <f>INDEX(Dataset_2!$F$2:$F$611,MATCH($A245,Dataset_2!$A$2:$A$611,0))</f>
        <v>55</v>
      </c>
      <c r="P245">
        <f>INDEX(Dataset_2!$G$2:$G$611,MATCH($A245,Dataset_2!$A$2:$A$611,0))</f>
        <v>57</v>
      </c>
    </row>
    <row r="246" spans="1:16" x14ac:dyDescent="0.2">
      <c r="A246">
        <f>Dataset_1!A246</f>
        <v>245</v>
      </c>
      <c r="B246" s="61">
        <f>Dataset_1!B246</f>
        <v>40554</v>
      </c>
      <c r="C246">
        <f>Dataset_1!C246</f>
        <v>1</v>
      </c>
      <c r="D246">
        <f>Dataset_1!D246</f>
        <v>0</v>
      </c>
      <c r="E246">
        <f>Dataset_1!E246</f>
        <v>1</v>
      </c>
      <c r="F246">
        <f>Dataset_1!F246</f>
        <v>13</v>
      </c>
      <c r="G246" t="b">
        <f>Dataset_1!G246</f>
        <v>0</v>
      </c>
      <c r="H246">
        <f>Dataset_1!H246</f>
        <v>2</v>
      </c>
      <c r="I246">
        <f>Dataset_1!I246</f>
        <v>2</v>
      </c>
      <c r="J246">
        <f>Dataset_1!J246</f>
        <v>0.2</v>
      </c>
      <c r="K246">
        <f>INDEX(Dataset_2!$B$2:$B$611,MATCH($A246,Dataset_2!$A$2:$A$611,0))</f>
        <v>0.2273</v>
      </c>
      <c r="L246">
        <f>INDEX(Dataset_2!$C$2:$C$611,MATCH($A246,Dataset_2!$A$2:$A$611,0))</f>
        <v>0.59</v>
      </c>
      <c r="M246">
        <f>INDEX(Dataset_2!$D$2:$D$611,MATCH($A246,Dataset_2!$A$2:$A$611,0))</f>
        <v>8.9599999999999999E-2</v>
      </c>
      <c r="N246">
        <f>INDEX(Dataset_2!$E$2:$E$611,MATCH($A246,Dataset_2!$A$2:$A$611,0))</f>
        <v>6</v>
      </c>
      <c r="O246">
        <f>INDEX(Dataset_2!$F$2:$F$611,MATCH($A246,Dataset_2!$A$2:$A$611,0))</f>
        <v>46</v>
      </c>
      <c r="P246">
        <f>INDEX(Dataset_2!$G$2:$G$611,MATCH($A246,Dataset_2!$A$2:$A$611,0))</f>
        <v>52</v>
      </c>
    </row>
    <row r="247" spans="1:16" x14ac:dyDescent="0.2">
      <c r="A247">
        <f>Dataset_1!A247</f>
        <v>246</v>
      </c>
      <c r="B247" s="61">
        <f>Dataset_1!B247</f>
        <v>40554</v>
      </c>
      <c r="C247">
        <f>Dataset_1!C247</f>
        <v>1</v>
      </c>
      <c r="D247">
        <f>Dataset_1!D247</f>
        <v>0</v>
      </c>
      <c r="E247">
        <f>Dataset_1!E247</f>
        <v>1</v>
      </c>
      <c r="F247">
        <f>Dataset_1!F247</f>
        <v>14</v>
      </c>
      <c r="G247" t="b">
        <f>Dataset_1!G247</f>
        <v>0</v>
      </c>
      <c r="H247">
        <f>Dataset_1!H247</f>
        <v>2</v>
      </c>
      <c r="I247">
        <f>Dataset_1!I247</f>
        <v>2</v>
      </c>
      <c r="J247">
        <f>Dataset_1!J247</f>
        <v>0.2</v>
      </c>
      <c r="K247">
        <f>INDEX(Dataset_2!$B$2:$B$611,MATCH($A247,Dataset_2!$A$2:$A$611,0))</f>
        <v>0.2273</v>
      </c>
      <c r="L247">
        <f>INDEX(Dataset_2!$C$2:$C$611,MATCH($A247,Dataset_2!$A$2:$A$611,0))</f>
        <v>0.59</v>
      </c>
      <c r="M247">
        <f>INDEX(Dataset_2!$D$2:$D$611,MATCH($A247,Dataset_2!$A$2:$A$611,0))</f>
        <v>8.9599999999999999E-2</v>
      </c>
      <c r="N247">
        <f>INDEX(Dataset_2!$E$2:$E$611,MATCH($A247,Dataset_2!$A$2:$A$611,0))</f>
        <v>3</v>
      </c>
      <c r="O247">
        <f>INDEX(Dataset_2!$F$2:$F$611,MATCH($A247,Dataset_2!$A$2:$A$611,0))</f>
        <v>60</v>
      </c>
      <c r="P247">
        <f>INDEX(Dataset_2!$G$2:$G$611,MATCH($A247,Dataset_2!$A$2:$A$611,0))</f>
        <v>63</v>
      </c>
    </row>
    <row r="248" spans="1:16" x14ac:dyDescent="0.2">
      <c r="A248">
        <f>Dataset_1!A248</f>
        <v>247</v>
      </c>
      <c r="B248" s="61">
        <f>Dataset_1!B248</f>
        <v>40554</v>
      </c>
      <c r="C248">
        <f>Dataset_1!C248</f>
        <v>1</v>
      </c>
      <c r="D248">
        <f>Dataset_1!D248</f>
        <v>0</v>
      </c>
      <c r="E248">
        <f>Dataset_1!E248</f>
        <v>1</v>
      </c>
      <c r="F248">
        <f>Dataset_1!F248</f>
        <v>15</v>
      </c>
      <c r="G248" t="b">
        <f>Dataset_1!G248</f>
        <v>0</v>
      </c>
      <c r="H248">
        <f>Dataset_1!H248</f>
        <v>2</v>
      </c>
      <c r="I248">
        <f>Dataset_1!I248</f>
        <v>2</v>
      </c>
      <c r="J248">
        <f>Dataset_1!J248</f>
        <v>0.16</v>
      </c>
      <c r="K248">
        <f>INDEX(Dataset_2!$B$2:$B$611,MATCH($A248,Dataset_2!$A$2:$A$611,0))</f>
        <v>0.19700000000000001</v>
      </c>
      <c r="L248">
        <f>INDEX(Dataset_2!$C$2:$C$611,MATCH($A248,Dataset_2!$A$2:$A$611,0))</f>
        <v>0.8</v>
      </c>
      <c r="M248">
        <f>INDEX(Dataset_2!$D$2:$D$611,MATCH($A248,Dataset_2!$A$2:$A$611,0))</f>
        <v>8.9599999999999999E-2</v>
      </c>
      <c r="N248">
        <f>INDEX(Dataset_2!$E$2:$E$611,MATCH($A248,Dataset_2!$A$2:$A$611,0))</f>
        <v>2</v>
      </c>
      <c r="O248">
        <f>INDEX(Dataset_2!$F$2:$F$611,MATCH($A248,Dataset_2!$A$2:$A$611,0))</f>
        <v>45</v>
      </c>
      <c r="P248">
        <f>INDEX(Dataset_2!$G$2:$G$611,MATCH($A248,Dataset_2!$A$2:$A$611,0))</f>
        <v>47</v>
      </c>
    </row>
    <row r="249" spans="1:16" x14ac:dyDescent="0.2">
      <c r="A249">
        <f>Dataset_1!A249</f>
        <v>248</v>
      </c>
      <c r="B249" s="61">
        <f>Dataset_1!B249</f>
        <v>40554</v>
      </c>
      <c r="C249">
        <f>Dataset_1!C249</f>
        <v>1</v>
      </c>
      <c r="D249">
        <f>Dataset_1!D249</f>
        <v>0</v>
      </c>
      <c r="E249">
        <f>Dataset_1!E249</f>
        <v>1</v>
      </c>
      <c r="F249">
        <f>Dataset_1!F249</f>
        <v>16</v>
      </c>
      <c r="G249" t="b">
        <f>Dataset_1!G249</f>
        <v>0</v>
      </c>
      <c r="H249">
        <f>Dataset_1!H249</f>
        <v>2</v>
      </c>
      <c r="I249">
        <f>Dataset_1!I249</f>
        <v>2</v>
      </c>
      <c r="J249">
        <f>Dataset_1!J249</f>
        <v>0.16</v>
      </c>
      <c r="K249">
        <f>INDEX(Dataset_2!$B$2:$B$611,MATCH($A249,Dataset_2!$A$2:$A$611,0))</f>
        <v>0.1515</v>
      </c>
      <c r="L249">
        <f>INDEX(Dataset_2!$C$2:$C$611,MATCH($A249,Dataset_2!$A$2:$A$611,0))</f>
        <v>0.86</v>
      </c>
      <c r="M249">
        <f>INDEX(Dataset_2!$D$2:$D$611,MATCH($A249,Dataset_2!$A$2:$A$611,0))</f>
        <v>0.22389999999999999</v>
      </c>
      <c r="N249">
        <f>INDEX(Dataset_2!$E$2:$E$611,MATCH($A249,Dataset_2!$A$2:$A$611,0))</f>
        <v>4</v>
      </c>
      <c r="O249">
        <f>INDEX(Dataset_2!$F$2:$F$611,MATCH($A249,Dataset_2!$A$2:$A$611,0))</f>
        <v>72</v>
      </c>
      <c r="P249">
        <f>INDEX(Dataset_2!$G$2:$G$611,MATCH($A249,Dataset_2!$A$2:$A$611,0))</f>
        <v>76</v>
      </c>
    </row>
    <row r="250" spans="1:16" x14ac:dyDescent="0.2">
      <c r="A250">
        <f>Dataset_1!A250</f>
        <v>249</v>
      </c>
      <c r="B250" s="61">
        <f>Dataset_1!B250</f>
        <v>40554</v>
      </c>
      <c r="C250">
        <f>Dataset_1!C250</f>
        <v>1</v>
      </c>
      <c r="D250">
        <f>Dataset_1!D250</f>
        <v>0</v>
      </c>
      <c r="E250">
        <f>Dataset_1!E250</f>
        <v>1</v>
      </c>
      <c r="F250">
        <f>Dataset_1!F250</f>
        <v>17</v>
      </c>
      <c r="G250" t="b">
        <f>Dataset_1!G250</f>
        <v>0</v>
      </c>
      <c r="H250">
        <f>Dataset_1!H250</f>
        <v>2</v>
      </c>
      <c r="I250">
        <f>Dataset_1!I250</f>
        <v>2</v>
      </c>
      <c r="J250">
        <f>Dataset_1!J250</f>
        <v>0.16</v>
      </c>
      <c r="K250">
        <f>INDEX(Dataset_2!$B$2:$B$611,MATCH($A250,Dataset_2!$A$2:$A$611,0))</f>
        <v>0.1515</v>
      </c>
      <c r="L250">
        <f>INDEX(Dataset_2!$C$2:$C$611,MATCH($A250,Dataset_2!$A$2:$A$611,0))</f>
        <v>0.86</v>
      </c>
      <c r="M250">
        <f>INDEX(Dataset_2!$D$2:$D$611,MATCH($A250,Dataset_2!$A$2:$A$611,0))</f>
        <v>0.22389999999999999</v>
      </c>
      <c r="N250">
        <f>INDEX(Dataset_2!$E$2:$E$611,MATCH($A250,Dataset_2!$A$2:$A$611,0))</f>
        <v>6</v>
      </c>
      <c r="O250">
        <f>INDEX(Dataset_2!$F$2:$F$611,MATCH($A250,Dataset_2!$A$2:$A$611,0))</f>
        <v>130</v>
      </c>
      <c r="P250">
        <f>INDEX(Dataset_2!$G$2:$G$611,MATCH($A250,Dataset_2!$A$2:$A$611,0))</f>
        <v>136</v>
      </c>
    </row>
    <row r="251" spans="1:16" x14ac:dyDescent="0.2">
      <c r="A251">
        <f>Dataset_1!A251</f>
        <v>250</v>
      </c>
      <c r="B251" s="61">
        <f>Dataset_1!B251</f>
        <v>40554</v>
      </c>
      <c r="C251">
        <f>Dataset_1!C251</f>
        <v>1</v>
      </c>
      <c r="D251">
        <f>Dataset_1!D251</f>
        <v>0</v>
      </c>
      <c r="E251">
        <f>Dataset_1!E251</f>
        <v>1</v>
      </c>
      <c r="F251">
        <f>Dataset_1!F251</f>
        <v>18</v>
      </c>
      <c r="G251" t="b">
        <f>Dataset_1!G251</f>
        <v>0</v>
      </c>
      <c r="H251">
        <f>Dataset_1!H251</f>
        <v>2</v>
      </c>
      <c r="I251">
        <f>Dataset_1!I251</f>
        <v>3</v>
      </c>
      <c r="J251">
        <f>Dataset_1!J251</f>
        <v>0.16</v>
      </c>
      <c r="K251">
        <f>INDEX(Dataset_2!$B$2:$B$611,MATCH($A251,Dataset_2!$A$2:$A$611,0))</f>
        <v>0.18179999999999999</v>
      </c>
      <c r="L251">
        <f>INDEX(Dataset_2!$C$2:$C$611,MATCH($A251,Dataset_2!$A$2:$A$611,0))</f>
        <v>0.93</v>
      </c>
      <c r="M251">
        <f>INDEX(Dataset_2!$D$2:$D$611,MATCH($A251,Dataset_2!$A$2:$A$611,0))</f>
        <v>0.1045</v>
      </c>
      <c r="N251">
        <f>INDEX(Dataset_2!$E$2:$E$611,MATCH($A251,Dataset_2!$A$2:$A$611,0))</f>
        <v>1</v>
      </c>
      <c r="O251">
        <f>INDEX(Dataset_2!$F$2:$F$611,MATCH($A251,Dataset_2!$A$2:$A$611,0))</f>
        <v>94</v>
      </c>
      <c r="P251">
        <f>INDEX(Dataset_2!$G$2:$G$611,MATCH($A251,Dataset_2!$A$2:$A$611,0))</f>
        <v>95</v>
      </c>
    </row>
    <row r="252" spans="1:16" x14ac:dyDescent="0.2">
      <c r="A252">
        <f>Dataset_1!A252</f>
        <v>251</v>
      </c>
      <c r="B252" s="61">
        <f>Dataset_1!B252</f>
        <v>40554</v>
      </c>
      <c r="C252">
        <f>Dataset_1!C252</f>
        <v>1</v>
      </c>
      <c r="D252">
        <f>Dataset_1!D252</f>
        <v>0</v>
      </c>
      <c r="E252">
        <f>Dataset_1!E252</f>
        <v>1</v>
      </c>
      <c r="F252">
        <f>Dataset_1!F252</f>
        <v>19</v>
      </c>
      <c r="G252" t="b">
        <f>Dataset_1!G252</f>
        <v>0</v>
      </c>
      <c r="H252">
        <f>Dataset_1!H252</f>
        <v>2</v>
      </c>
      <c r="I252">
        <f>Dataset_1!I252</f>
        <v>3</v>
      </c>
      <c r="J252">
        <f>Dataset_1!J252</f>
        <v>0.16</v>
      </c>
      <c r="K252">
        <f>INDEX(Dataset_2!$B$2:$B$611,MATCH($A252,Dataset_2!$A$2:$A$611,0))</f>
        <v>0.2273</v>
      </c>
      <c r="L252">
        <f>INDEX(Dataset_2!$C$2:$C$611,MATCH($A252,Dataset_2!$A$2:$A$611,0))</f>
        <v>0.93</v>
      </c>
      <c r="M252">
        <f>INDEX(Dataset_2!$D$2:$D$611,MATCH($A252,Dataset_2!$A$2:$A$611,0))</f>
        <v>0</v>
      </c>
      <c r="N252">
        <f>INDEX(Dataset_2!$E$2:$E$611,MATCH($A252,Dataset_2!$A$2:$A$611,0))</f>
        <v>0</v>
      </c>
      <c r="O252">
        <f>INDEX(Dataset_2!$F$2:$F$611,MATCH($A252,Dataset_2!$A$2:$A$611,0))</f>
        <v>51</v>
      </c>
      <c r="P252">
        <f>INDEX(Dataset_2!$G$2:$G$611,MATCH($A252,Dataset_2!$A$2:$A$611,0))</f>
        <v>51</v>
      </c>
    </row>
    <row r="253" spans="1:16" x14ac:dyDescent="0.2">
      <c r="A253">
        <f>Dataset_1!A253</f>
        <v>252</v>
      </c>
      <c r="B253" s="61">
        <f>Dataset_1!B253</f>
        <v>40554</v>
      </c>
      <c r="C253">
        <f>Dataset_1!C253</f>
        <v>1</v>
      </c>
      <c r="D253">
        <f>Dataset_1!D253</f>
        <v>0</v>
      </c>
      <c r="E253">
        <f>Dataset_1!E253</f>
        <v>1</v>
      </c>
      <c r="F253">
        <f>Dataset_1!F253</f>
        <v>20</v>
      </c>
      <c r="G253" t="b">
        <f>Dataset_1!G253</f>
        <v>0</v>
      </c>
      <c r="H253">
        <f>Dataset_1!H253</f>
        <v>2</v>
      </c>
      <c r="I253">
        <f>Dataset_1!I253</f>
        <v>3</v>
      </c>
      <c r="J253">
        <f>Dataset_1!J253</f>
        <v>0.16</v>
      </c>
      <c r="K253">
        <f>INDEX(Dataset_2!$B$2:$B$611,MATCH($A253,Dataset_2!$A$2:$A$611,0))</f>
        <v>0.1515</v>
      </c>
      <c r="L253">
        <f>INDEX(Dataset_2!$C$2:$C$611,MATCH($A253,Dataset_2!$A$2:$A$611,0))</f>
        <v>0.93</v>
      </c>
      <c r="M253">
        <f>INDEX(Dataset_2!$D$2:$D$611,MATCH($A253,Dataset_2!$A$2:$A$611,0))</f>
        <v>0.19400000000000001</v>
      </c>
      <c r="N253">
        <f>INDEX(Dataset_2!$E$2:$E$611,MATCH($A253,Dataset_2!$A$2:$A$611,0))</f>
        <v>0</v>
      </c>
      <c r="O253">
        <f>INDEX(Dataset_2!$F$2:$F$611,MATCH($A253,Dataset_2!$A$2:$A$611,0))</f>
        <v>32</v>
      </c>
      <c r="P253">
        <f>INDEX(Dataset_2!$G$2:$G$611,MATCH($A253,Dataset_2!$A$2:$A$611,0))</f>
        <v>32</v>
      </c>
    </row>
    <row r="254" spans="1:16" x14ac:dyDescent="0.2">
      <c r="A254">
        <f>Dataset_1!A254</f>
        <v>253</v>
      </c>
      <c r="B254" s="61">
        <f>Dataset_1!B254</f>
        <v>40554</v>
      </c>
      <c r="C254">
        <f>Dataset_1!C254</f>
        <v>1</v>
      </c>
      <c r="D254">
        <f>Dataset_1!D254</f>
        <v>0</v>
      </c>
      <c r="E254">
        <f>Dataset_1!E254</f>
        <v>1</v>
      </c>
      <c r="F254">
        <f>Dataset_1!F254</f>
        <v>21</v>
      </c>
      <c r="G254" t="b">
        <f>Dataset_1!G254</f>
        <v>0</v>
      </c>
      <c r="H254">
        <f>Dataset_1!H254</f>
        <v>2</v>
      </c>
      <c r="I254">
        <f>Dataset_1!I254</f>
        <v>3</v>
      </c>
      <c r="J254">
        <f>Dataset_1!J254</f>
        <v>0.16</v>
      </c>
      <c r="K254">
        <f>INDEX(Dataset_2!$B$2:$B$611,MATCH($A254,Dataset_2!$A$2:$A$611,0))</f>
        <v>0.19700000000000001</v>
      </c>
      <c r="L254">
        <f>INDEX(Dataset_2!$C$2:$C$611,MATCH($A254,Dataset_2!$A$2:$A$611,0))</f>
        <v>0.86</v>
      </c>
      <c r="M254">
        <f>INDEX(Dataset_2!$D$2:$D$611,MATCH($A254,Dataset_2!$A$2:$A$611,0))</f>
        <v>8.9599999999999999E-2</v>
      </c>
      <c r="N254">
        <f>INDEX(Dataset_2!$E$2:$E$611,MATCH($A254,Dataset_2!$A$2:$A$611,0))</f>
        <v>0</v>
      </c>
      <c r="O254">
        <f>INDEX(Dataset_2!$F$2:$F$611,MATCH($A254,Dataset_2!$A$2:$A$611,0))</f>
        <v>20</v>
      </c>
      <c r="P254">
        <f>INDEX(Dataset_2!$G$2:$G$611,MATCH($A254,Dataset_2!$A$2:$A$611,0))</f>
        <v>20</v>
      </c>
    </row>
    <row r="255" spans="1:16" x14ac:dyDescent="0.2">
      <c r="A255">
        <f>Dataset_1!A255</f>
        <v>254</v>
      </c>
      <c r="B255" s="61">
        <f>Dataset_1!B255</f>
        <v>40554</v>
      </c>
      <c r="C255">
        <f>Dataset_1!C255</f>
        <v>1</v>
      </c>
      <c r="D255">
        <f>Dataset_1!D255</f>
        <v>0</v>
      </c>
      <c r="E255">
        <f>Dataset_1!E255</f>
        <v>1</v>
      </c>
      <c r="F255">
        <f>Dataset_1!F255</f>
        <v>22</v>
      </c>
      <c r="G255" t="b">
        <f>Dataset_1!G255</f>
        <v>0</v>
      </c>
      <c r="H255">
        <f>Dataset_1!H255</f>
        <v>2</v>
      </c>
      <c r="I255">
        <f>Dataset_1!I255</f>
        <v>3</v>
      </c>
      <c r="J255">
        <f>Dataset_1!J255</f>
        <v>0.16</v>
      </c>
      <c r="K255">
        <f>INDEX(Dataset_2!$B$2:$B$611,MATCH($A255,Dataset_2!$A$2:$A$611,0))</f>
        <v>0.18179999999999999</v>
      </c>
      <c r="L255">
        <f>INDEX(Dataset_2!$C$2:$C$611,MATCH($A255,Dataset_2!$A$2:$A$611,0))</f>
        <v>0.93</v>
      </c>
      <c r="M255">
        <f>INDEX(Dataset_2!$D$2:$D$611,MATCH($A255,Dataset_2!$A$2:$A$611,0))</f>
        <v>0.1045</v>
      </c>
      <c r="N255">
        <f>INDEX(Dataset_2!$E$2:$E$611,MATCH($A255,Dataset_2!$A$2:$A$611,0))</f>
        <v>1</v>
      </c>
      <c r="O255">
        <f>INDEX(Dataset_2!$F$2:$F$611,MATCH($A255,Dataset_2!$A$2:$A$611,0))</f>
        <v>28</v>
      </c>
      <c r="P255">
        <f>INDEX(Dataset_2!$G$2:$G$611,MATCH($A255,Dataset_2!$A$2:$A$611,0))</f>
        <v>29</v>
      </c>
    </row>
    <row r="256" spans="1:16" x14ac:dyDescent="0.2">
      <c r="A256">
        <f>Dataset_1!A256</f>
        <v>255</v>
      </c>
      <c r="B256" s="61">
        <f>Dataset_1!B256</f>
        <v>40554</v>
      </c>
      <c r="C256">
        <f>Dataset_1!C256</f>
        <v>1</v>
      </c>
      <c r="D256">
        <f>Dataset_1!D256</f>
        <v>0</v>
      </c>
      <c r="E256">
        <f>Dataset_1!E256</f>
        <v>1</v>
      </c>
      <c r="F256">
        <f>Dataset_1!F256</f>
        <v>23</v>
      </c>
      <c r="G256" t="b">
        <f>Dataset_1!G256</f>
        <v>0</v>
      </c>
      <c r="H256">
        <f>Dataset_1!H256</f>
        <v>2</v>
      </c>
      <c r="I256">
        <f>Dataset_1!I256</f>
        <v>3</v>
      </c>
      <c r="J256">
        <f>Dataset_1!J256</f>
        <v>0.16</v>
      </c>
      <c r="K256">
        <f>INDEX(Dataset_2!$B$2:$B$611,MATCH($A256,Dataset_2!$A$2:$A$611,0))</f>
        <v>0.19700000000000001</v>
      </c>
      <c r="L256">
        <f>INDEX(Dataset_2!$C$2:$C$611,MATCH($A256,Dataset_2!$A$2:$A$611,0))</f>
        <v>0.93</v>
      </c>
      <c r="M256">
        <f>INDEX(Dataset_2!$D$2:$D$611,MATCH($A256,Dataset_2!$A$2:$A$611,0))</f>
        <v>8.9599999999999999E-2</v>
      </c>
      <c r="N256">
        <f>INDEX(Dataset_2!$E$2:$E$611,MATCH($A256,Dataset_2!$A$2:$A$611,0))</f>
        <v>1</v>
      </c>
      <c r="O256">
        <f>INDEX(Dataset_2!$F$2:$F$611,MATCH($A256,Dataset_2!$A$2:$A$611,0))</f>
        <v>18</v>
      </c>
      <c r="P256">
        <f>INDEX(Dataset_2!$G$2:$G$611,MATCH($A256,Dataset_2!$A$2:$A$611,0))</f>
        <v>19</v>
      </c>
    </row>
    <row r="257" spans="1:16" x14ac:dyDescent="0.2">
      <c r="A257">
        <f>Dataset_1!A257</f>
        <v>256</v>
      </c>
      <c r="B257" s="61">
        <f>Dataset_1!B257</f>
        <v>40555</v>
      </c>
      <c r="C257">
        <f>Dataset_1!C257</f>
        <v>1</v>
      </c>
      <c r="D257">
        <f>Dataset_1!D257</f>
        <v>0</v>
      </c>
      <c r="E257">
        <f>Dataset_1!E257</f>
        <v>1</v>
      </c>
      <c r="F257">
        <f>Dataset_1!F257</f>
        <v>0</v>
      </c>
      <c r="G257" t="b">
        <f>Dataset_1!G257</f>
        <v>0</v>
      </c>
      <c r="H257">
        <f>Dataset_1!H257</f>
        <v>3</v>
      </c>
      <c r="I257">
        <f>Dataset_1!I257</f>
        <v>2</v>
      </c>
      <c r="J257">
        <f>Dataset_1!J257</f>
        <v>0.16</v>
      </c>
      <c r="K257">
        <f>INDEX(Dataset_2!$B$2:$B$611,MATCH($A257,Dataset_2!$A$2:$A$611,0))</f>
        <v>0.19700000000000001</v>
      </c>
      <c r="L257">
        <f>INDEX(Dataset_2!$C$2:$C$611,MATCH($A257,Dataset_2!$A$2:$A$611,0))</f>
        <v>0.86</v>
      </c>
      <c r="M257">
        <f>INDEX(Dataset_2!$D$2:$D$611,MATCH($A257,Dataset_2!$A$2:$A$611,0))</f>
        <v>8.9599999999999999E-2</v>
      </c>
      <c r="N257">
        <f>INDEX(Dataset_2!$E$2:$E$611,MATCH($A257,Dataset_2!$A$2:$A$611,0))</f>
        <v>0</v>
      </c>
      <c r="O257">
        <f>INDEX(Dataset_2!$F$2:$F$611,MATCH($A257,Dataset_2!$A$2:$A$611,0))</f>
        <v>7</v>
      </c>
      <c r="P257">
        <f>INDEX(Dataset_2!$G$2:$G$611,MATCH($A257,Dataset_2!$A$2:$A$611,0))</f>
        <v>7</v>
      </c>
    </row>
    <row r="258" spans="1:16" x14ac:dyDescent="0.2">
      <c r="A258">
        <f>Dataset_1!A258</f>
        <v>257</v>
      </c>
      <c r="B258" s="61">
        <f>Dataset_1!B258</f>
        <v>40555</v>
      </c>
      <c r="C258">
        <f>Dataset_1!C258</f>
        <v>1</v>
      </c>
      <c r="D258">
        <f>Dataset_1!D258</f>
        <v>0</v>
      </c>
      <c r="E258">
        <f>Dataset_1!E258</f>
        <v>1</v>
      </c>
      <c r="F258">
        <f>Dataset_1!F258</f>
        <v>1</v>
      </c>
      <c r="G258" t="b">
        <f>Dataset_1!G258</f>
        <v>0</v>
      </c>
      <c r="H258">
        <f>Dataset_1!H258</f>
        <v>3</v>
      </c>
      <c r="I258">
        <f>Dataset_1!I258</f>
        <v>2</v>
      </c>
      <c r="J258">
        <f>Dataset_1!J258</f>
        <v>0.16</v>
      </c>
      <c r="K258">
        <f>INDEX(Dataset_2!$B$2:$B$611,MATCH($A258,Dataset_2!$A$2:$A$611,0))</f>
        <v>0.18179999999999999</v>
      </c>
      <c r="L258">
        <f>INDEX(Dataset_2!$C$2:$C$611,MATCH($A258,Dataset_2!$A$2:$A$611,0))</f>
        <v>0.86</v>
      </c>
      <c r="M258">
        <f>INDEX(Dataset_2!$D$2:$D$611,MATCH($A258,Dataset_2!$A$2:$A$611,0))</f>
        <v>0.1045</v>
      </c>
      <c r="N258">
        <f>INDEX(Dataset_2!$E$2:$E$611,MATCH($A258,Dataset_2!$A$2:$A$611,0))</f>
        <v>0</v>
      </c>
      <c r="O258">
        <f>INDEX(Dataset_2!$F$2:$F$611,MATCH($A258,Dataset_2!$A$2:$A$611,0))</f>
        <v>6</v>
      </c>
      <c r="P258">
        <f>INDEX(Dataset_2!$G$2:$G$611,MATCH($A258,Dataset_2!$A$2:$A$611,0))</f>
        <v>6</v>
      </c>
    </row>
    <row r="259" spans="1:16" x14ac:dyDescent="0.2">
      <c r="A259">
        <f>Dataset_1!A259</f>
        <v>258</v>
      </c>
      <c r="B259" s="61">
        <f>Dataset_1!B259</f>
        <v>40555</v>
      </c>
      <c r="C259">
        <f>Dataset_1!C259</f>
        <v>1</v>
      </c>
      <c r="D259">
        <f>Dataset_1!D259</f>
        <v>0</v>
      </c>
      <c r="E259">
        <f>Dataset_1!E259</f>
        <v>1</v>
      </c>
      <c r="F259">
        <f>Dataset_1!F259</f>
        <v>2</v>
      </c>
      <c r="G259" t="b">
        <f>Dataset_1!G259</f>
        <v>0</v>
      </c>
      <c r="H259">
        <f>Dataset_1!H259</f>
        <v>3</v>
      </c>
      <c r="I259">
        <f>Dataset_1!I259</f>
        <v>1</v>
      </c>
      <c r="J259">
        <f>Dataset_1!J259</f>
        <v>0.14000000000000001</v>
      </c>
      <c r="K259">
        <f>INDEX(Dataset_2!$B$2:$B$611,MATCH($A259,Dataset_2!$A$2:$A$611,0))</f>
        <v>0.1515</v>
      </c>
      <c r="L259">
        <f>INDEX(Dataset_2!$C$2:$C$611,MATCH($A259,Dataset_2!$A$2:$A$611,0))</f>
        <v>0.86</v>
      </c>
      <c r="M259">
        <f>INDEX(Dataset_2!$D$2:$D$611,MATCH($A259,Dataset_2!$A$2:$A$611,0))</f>
        <v>0.1343</v>
      </c>
      <c r="N259">
        <f>INDEX(Dataset_2!$E$2:$E$611,MATCH($A259,Dataset_2!$A$2:$A$611,0))</f>
        <v>0</v>
      </c>
      <c r="O259">
        <f>INDEX(Dataset_2!$F$2:$F$611,MATCH($A259,Dataset_2!$A$2:$A$611,0))</f>
        <v>1</v>
      </c>
      <c r="P259">
        <f>INDEX(Dataset_2!$G$2:$G$611,MATCH($A259,Dataset_2!$A$2:$A$611,0))</f>
        <v>1</v>
      </c>
    </row>
    <row r="260" spans="1:16" x14ac:dyDescent="0.2">
      <c r="A260">
        <f>Dataset_1!A260</f>
        <v>259</v>
      </c>
      <c r="B260" s="61">
        <f>Dataset_1!B260</f>
        <v>40555</v>
      </c>
      <c r="C260">
        <f>Dataset_1!C260</f>
        <v>1</v>
      </c>
      <c r="D260">
        <f>Dataset_1!D260</f>
        <v>0</v>
      </c>
      <c r="E260">
        <f>Dataset_1!E260</f>
        <v>1</v>
      </c>
      <c r="F260">
        <f>Dataset_1!F260</f>
        <v>5</v>
      </c>
      <c r="G260" t="b">
        <f>Dataset_1!G260</f>
        <v>0</v>
      </c>
      <c r="H260">
        <f>Dataset_1!H260</f>
        <v>3</v>
      </c>
      <c r="I260">
        <f>Dataset_1!I260</f>
        <v>1</v>
      </c>
      <c r="J260">
        <f>Dataset_1!J260</f>
        <v>0.14000000000000001</v>
      </c>
      <c r="K260">
        <f>INDEX(Dataset_2!$B$2:$B$611,MATCH($A260,Dataset_2!$A$2:$A$611,0))</f>
        <v>0.1515</v>
      </c>
      <c r="L260">
        <f>INDEX(Dataset_2!$C$2:$C$611,MATCH($A260,Dataset_2!$A$2:$A$611,0))</f>
        <v>0.86</v>
      </c>
      <c r="M260">
        <f>INDEX(Dataset_2!$D$2:$D$611,MATCH($A260,Dataset_2!$A$2:$A$611,0))</f>
        <v>0.16420000000000001</v>
      </c>
      <c r="N260">
        <f>INDEX(Dataset_2!$E$2:$E$611,MATCH($A260,Dataset_2!$A$2:$A$611,0))</f>
        <v>0</v>
      </c>
      <c r="O260">
        <f>INDEX(Dataset_2!$F$2:$F$611,MATCH($A260,Dataset_2!$A$2:$A$611,0))</f>
        <v>5</v>
      </c>
      <c r="P260">
        <f>INDEX(Dataset_2!$G$2:$G$611,MATCH($A260,Dataset_2!$A$2:$A$611,0))</f>
        <v>5</v>
      </c>
    </row>
    <row r="261" spans="1:16" x14ac:dyDescent="0.2">
      <c r="A261">
        <f>Dataset_1!A261</f>
        <v>260</v>
      </c>
      <c r="B261" s="61">
        <f>Dataset_1!B261</f>
        <v>40555</v>
      </c>
      <c r="C261">
        <f>Dataset_1!C261</f>
        <v>1</v>
      </c>
      <c r="D261">
        <f>Dataset_1!D261</f>
        <v>0</v>
      </c>
      <c r="E261">
        <f>Dataset_1!E261</f>
        <v>1</v>
      </c>
      <c r="F261">
        <f>Dataset_1!F261</f>
        <v>6</v>
      </c>
      <c r="G261" t="b">
        <f>Dataset_1!G261</f>
        <v>0</v>
      </c>
      <c r="H261">
        <f>Dataset_1!H261</f>
        <v>3</v>
      </c>
      <c r="I261">
        <f>Dataset_1!I261</f>
        <v>1</v>
      </c>
      <c r="J261">
        <f>Dataset_1!J261</f>
        <v>0.12</v>
      </c>
      <c r="K261">
        <f>INDEX(Dataset_2!$B$2:$B$611,MATCH($A261,Dataset_2!$A$2:$A$611,0))</f>
        <v>0.1515</v>
      </c>
      <c r="L261">
        <f>INDEX(Dataset_2!$C$2:$C$611,MATCH($A261,Dataset_2!$A$2:$A$611,0))</f>
        <v>0.93</v>
      </c>
      <c r="M261">
        <f>INDEX(Dataset_2!$D$2:$D$611,MATCH($A261,Dataset_2!$A$2:$A$611,0))</f>
        <v>0.1343</v>
      </c>
      <c r="N261">
        <f>INDEX(Dataset_2!$E$2:$E$611,MATCH($A261,Dataset_2!$A$2:$A$611,0))</f>
        <v>0</v>
      </c>
      <c r="O261">
        <f>INDEX(Dataset_2!$F$2:$F$611,MATCH($A261,Dataset_2!$A$2:$A$611,0))</f>
        <v>16</v>
      </c>
      <c r="P261">
        <f>INDEX(Dataset_2!$G$2:$G$611,MATCH($A261,Dataset_2!$A$2:$A$611,0))</f>
        <v>16</v>
      </c>
    </row>
    <row r="262" spans="1:16" x14ac:dyDescent="0.2">
      <c r="A262">
        <f>Dataset_1!A262</f>
        <v>261</v>
      </c>
      <c r="B262" s="61">
        <f>Dataset_1!B262</f>
        <v>40555</v>
      </c>
      <c r="C262">
        <f>Dataset_1!C262</f>
        <v>1</v>
      </c>
      <c r="D262">
        <f>Dataset_1!D262</f>
        <v>0</v>
      </c>
      <c r="E262">
        <f>Dataset_1!E262</f>
        <v>1</v>
      </c>
      <c r="F262">
        <f>Dataset_1!F262</f>
        <v>7</v>
      </c>
      <c r="G262" t="b">
        <f>Dataset_1!G262</f>
        <v>0</v>
      </c>
      <c r="H262">
        <f>Dataset_1!H262</f>
        <v>3</v>
      </c>
      <c r="I262">
        <f>Dataset_1!I262</f>
        <v>1</v>
      </c>
      <c r="J262">
        <f>Dataset_1!J262</f>
        <v>0.14000000000000001</v>
      </c>
      <c r="K262">
        <f>INDEX(Dataset_2!$B$2:$B$611,MATCH($A262,Dataset_2!$A$2:$A$611,0))</f>
        <v>0.1515</v>
      </c>
      <c r="L262">
        <f>INDEX(Dataset_2!$C$2:$C$611,MATCH($A262,Dataset_2!$A$2:$A$611,0))</f>
        <v>0.69</v>
      </c>
      <c r="M262">
        <f>INDEX(Dataset_2!$D$2:$D$611,MATCH($A262,Dataset_2!$A$2:$A$611,0))</f>
        <v>0.1343</v>
      </c>
      <c r="N262">
        <f>INDEX(Dataset_2!$E$2:$E$611,MATCH($A262,Dataset_2!$A$2:$A$611,0))</f>
        <v>0</v>
      </c>
      <c r="O262">
        <f>INDEX(Dataset_2!$F$2:$F$611,MATCH($A262,Dataset_2!$A$2:$A$611,0))</f>
        <v>54</v>
      </c>
      <c r="P262">
        <f>INDEX(Dataset_2!$G$2:$G$611,MATCH($A262,Dataset_2!$A$2:$A$611,0))</f>
        <v>54</v>
      </c>
    </row>
    <row r="263" spans="1:16" x14ac:dyDescent="0.2">
      <c r="A263">
        <f>Dataset_1!A263</f>
        <v>262</v>
      </c>
      <c r="B263" s="61">
        <f>Dataset_1!B263</f>
        <v>40555</v>
      </c>
      <c r="C263">
        <f>Dataset_1!C263</f>
        <v>1</v>
      </c>
      <c r="D263">
        <f>Dataset_1!D263</f>
        <v>0</v>
      </c>
      <c r="E263">
        <f>Dataset_1!E263</f>
        <v>1</v>
      </c>
      <c r="F263">
        <f>Dataset_1!F263</f>
        <v>8</v>
      </c>
      <c r="G263" t="b">
        <f>Dataset_1!G263</f>
        <v>0</v>
      </c>
      <c r="H263">
        <f>Dataset_1!H263</f>
        <v>3</v>
      </c>
      <c r="I263">
        <f>Dataset_1!I263</f>
        <v>1</v>
      </c>
      <c r="J263">
        <f>Dataset_1!J263</f>
        <v>0.16</v>
      </c>
      <c r="K263">
        <f>INDEX(Dataset_2!$B$2:$B$611,MATCH($A263,Dataset_2!$A$2:$A$611,0))</f>
        <v>0.16669999999999999</v>
      </c>
      <c r="L263">
        <f>INDEX(Dataset_2!$C$2:$C$611,MATCH($A263,Dataset_2!$A$2:$A$611,0))</f>
        <v>0.59</v>
      </c>
      <c r="M263">
        <f>INDEX(Dataset_2!$D$2:$D$611,MATCH($A263,Dataset_2!$A$2:$A$611,0))</f>
        <v>0.16420000000000001</v>
      </c>
      <c r="N263">
        <f>INDEX(Dataset_2!$E$2:$E$611,MATCH($A263,Dataset_2!$A$2:$A$611,0))</f>
        <v>3</v>
      </c>
      <c r="O263">
        <f>INDEX(Dataset_2!$F$2:$F$611,MATCH($A263,Dataset_2!$A$2:$A$611,0))</f>
        <v>125</v>
      </c>
      <c r="P263">
        <f>INDEX(Dataset_2!$G$2:$G$611,MATCH($A263,Dataset_2!$A$2:$A$611,0))</f>
        <v>128</v>
      </c>
    </row>
    <row r="264" spans="1:16" x14ac:dyDescent="0.2">
      <c r="A264">
        <f>Dataset_1!A264</f>
        <v>263</v>
      </c>
      <c r="B264" s="61">
        <f>Dataset_1!B264</f>
        <v>40555</v>
      </c>
      <c r="C264">
        <f>Dataset_1!C264</f>
        <v>1</v>
      </c>
      <c r="D264">
        <f>Dataset_1!D264</f>
        <v>0</v>
      </c>
      <c r="E264">
        <f>Dataset_1!E264</f>
        <v>1</v>
      </c>
      <c r="F264">
        <f>Dataset_1!F264</f>
        <v>9</v>
      </c>
      <c r="G264" t="b">
        <f>Dataset_1!G264</f>
        <v>0</v>
      </c>
      <c r="H264">
        <f>Dataset_1!H264</f>
        <v>3</v>
      </c>
      <c r="I264">
        <f>Dataset_1!I264</f>
        <v>1</v>
      </c>
      <c r="J264">
        <f>Dataset_1!J264</f>
        <v>0.16</v>
      </c>
      <c r="K264">
        <f>INDEX(Dataset_2!$B$2:$B$611,MATCH($A264,Dataset_2!$A$2:$A$611,0))</f>
        <v>0.13639999999999999</v>
      </c>
      <c r="L264">
        <f>INDEX(Dataset_2!$C$2:$C$611,MATCH($A264,Dataset_2!$A$2:$A$611,0))</f>
        <v>0.59</v>
      </c>
      <c r="M264">
        <f>INDEX(Dataset_2!$D$2:$D$611,MATCH($A264,Dataset_2!$A$2:$A$611,0))</f>
        <v>0.32840000000000003</v>
      </c>
      <c r="N264">
        <f>INDEX(Dataset_2!$E$2:$E$611,MATCH($A264,Dataset_2!$A$2:$A$611,0))</f>
        <v>3</v>
      </c>
      <c r="O264">
        <f>INDEX(Dataset_2!$F$2:$F$611,MATCH($A264,Dataset_2!$A$2:$A$611,0))</f>
        <v>78</v>
      </c>
      <c r="P264">
        <f>INDEX(Dataset_2!$G$2:$G$611,MATCH($A264,Dataset_2!$A$2:$A$611,0))</f>
        <v>81</v>
      </c>
    </row>
    <row r="265" spans="1:16" x14ac:dyDescent="0.2">
      <c r="A265">
        <f>Dataset_1!A265</f>
        <v>264</v>
      </c>
      <c r="B265" s="61">
        <f>Dataset_1!B265</f>
        <v>40555</v>
      </c>
      <c r="C265">
        <f>Dataset_1!C265</f>
        <v>1</v>
      </c>
      <c r="D265">
        <f>Dataset_1!D265</f>
        <v>0</v>
      </c>
      <c r="E265">
        <f>Dataset_1!E265</f>
        <v>1</v>
      </c>
      <c r="F265">
        <f>Dataset_1!F265</f>
        <v>10</v>
      </c>
      <c r="G265" t="b">
        <f>Dataset_1!G265</f>
        <v>0</v>
      </c>
      <c r="H265">
        <f>Dataset_1!H265</f>
        <v>3</v>
      </c>
      <c r="I265">
        <f>Dataset_1!I265</f>
        <v>1</v>
      </c>
      <c r="J265">
        <f>Dataset_1!J265</f>
        <v>0.18</v>
      </c>
      <c r="K265">
        <f>INDEX(Dataset_2!$B$2:$B$611,MATCH($A265,Dataset_2!$A$2:$A$611,0))</f>
        <v>0.18179999999999999</v>
      </c>
      <c r="L265">
        <f>INDEX(Dataset_2!$C$2:$C$611,MATCH($A265,Dataset_2!$A$2:$A$611,0))</f>
        <v>0.55000000000000004</v>
      </c>
      <c r="M265">
        <f>INDEX(Dataset_2!$D$2:$D$611,MATCH($A265,Dataset_2!$A$2:$A$611,0))</f>
        <v>0.22389999999999999</v>
      </c>
      <c r="N265">
        <f>INDEX(Dataset_2!$E$2:$E$611,MATCH($A265,Dataset_2!$A$2:$A$611,0))</f>
        <v>0</v>
      </c>
      <c r="O265">
        <f>INDEX(Dataset_2!$F$2:$F$611,MATCH($A265,Dataset_2!$A$2:$A$611,0))</f>
        <v>39</v>
      </c>
      <c r="P265">
        <f>INDEX(Dataset_2!$G$2:$G$611,MATCH($A265,Dataset_2!$A$2:$A$611,0))</f>
        <v>39</v>
      </c>
    </row>
    <row r="266" spans="1:16" x14ac:dyDescent="0.2">
      <c r="A266">
        <f>Dataset_1!A266</f>
        <v>265</v>
      </c>
      <c r="B266" s="61">
        <f>Dataset_1!B266</f>
        <v>40555</v>
      </c>
      <c r="C266">
        <f>Dataset_1!C266</f>
        <v>1</v>
      </c>
      <c r="D266">
        <f>Dataset_1!D266</f>
        <v>0</v>
      </c>
      <c r="E266">
        <f>Dataset_1!E266</f>
        <v>1</v>
      </c>
      <c r="F266">
        <f>Dataset_1!F266</f>
        <v>11</v>
      </c>
      <c r="G266" t="b">
        <f>Dataset_1!G266</f>
        <v>0</v>
      </c>
      <c r="H266">
        <f>Dataset_1!H266</f>
        <v>3</v>
      </c>
      <c r="I266">
        <f>Dataset_1!I266</f>
        <v>1</v>
      </c>
      <c r="J266">
        <f>Dataset_1!J266</f>
        <v>0.2</v>
      </c>
      <c r="K266">
        <f>INDEX(Dataset_2!$B$2:$B$611,MATCH($A266,Dataset_2!$A$2:$A$611,0))</f>
        <v>0.18179999999999999</v>
      </c>
      <c r="L266">
        <f>INDEX(Dataset_2!$C$2:$C$611,MATCH($A266,Dataset_2!$A$2:$A$611,0))</f>
        <v>0.51</v>
      </c>
      <c r="M266">
        <f>INDEX(Dataset_2!$D$2:$D$611,MATCH($A266,Dataset_2!$A$2:$A$611,0))</f>
        <v>0.3881</v>
      </c>
      <c r="N266">
        <f>INDEX(Dataset_2!$E$2:$E$611,MATCH($A266,Dataset_2!$A$2:$A$611,0))</f>
        <v>3</v>
      </c>
      <c r="O266">
        <f>INDEX(Dataset_2!$F$2:$F$611,MATCH($A266,Dataset_2!$A$2:$A$611,0))</f>
        <v>32</v>
      </c>
      <c r="P266">
        <f>INDEX(Dataset_2!$G$2:$G$611,MATCH($A266,Dataset_2!$A$2:$A$611,0))</f>
        <v>35</v>
      </c>
    </row>
    <row r="267" spans="1:16" x14ac:dyDescent="0.2">
      <c r="A267">
        <f>Dataset_1!A267</f>
        <v>266</v>
      </c>
      <c r="B267" s="61">
        <f>Dataset_1!B267</f>
        <v>40555</v>
      </c>
      <c r="C267">
        <f>Dataset_1!C267</f>
        <v>1</v>
      </c>
      <c r="D267">
        <f>Dataset_1!D267</f>
        <v>0</v>
      </c>
      <c r="E267">
        <f>Dataset_1!E267</f>
        <v>1</v>
      </c>
      <c r="F267">
        <f>Dataset_1!F267</f>
        <v>12</v>
      </c>
      <c r="G267" t="b">
        <f>Dataset_1!G267</f>
        <v>0</v>
      </c>
      <c r="H267">
        <f>Dataset_1!H267</f>
        <v>3</v>
      </c>
      <c r="I267">
        <f>Dataset_1!I267</f>
        <v>1</v>
      </c>
      <c r="J267">
        <f>Dataset_1!J267</f>
        <v>0.2</v>
      </c>
      <c r="K267">
        <f>INDEX(Dataset_2!$B$2:$B$611,MATCH($A267,Dataset_2!$A$2:$A$611,0))</f>
        <v>0.1515</v>
      </c>
      <c r="L267">
        <f>INDEX(Dataset_2!$C$2:$C$611,MATCH($A267,Dataset_2!$A$2:$A$611,0))</f>
        <v>0.47</v>
      </c>
      <c r="M267">
        <f>INDEX(Dataset_2!$D$2:$D$611,MATCH($A267,Dataset_2!$A$2:$A$611,0))</f>
        <v>0.58209999999999995</v>
      </c>
      <c r="N267">
        <f>INDEX(Dataset_2!$E$2:$E$611,MATCH($A267,Dataset_2!$A$2:$A$611,0))</f>
        <v>3</v>
      </c>
      <c r="O267">
        <f>INDEX(Dataset_2!$F$2:$F$611,MATCH($A267,Dataset_2!$A$2:$A$611,0))</f>
        <v>52</v>
      </c>
      <c r="P267">
        <f>INDEX(Dataset_2!$G$2:$G$611,MATCH($A267,Dataset_2!$A$2:$A$611,0))</f>
        <v>55</v>
      </c>
    </row>
    <row r="268" spans="1:16" x14ac:dyDescent="0.2">
      <c r="A268">
        <f>Dataset_1!A268</f>
        <v>267</v>
      </c>
      <c r="B268" s="61">
        <f>Dataset_1!B268</f>
        <v>40555</v>
      </c>
      <c r="C268">
        <f>Dataset_1!C268</f>
        <v>1</v>
      </c>
      <c r="D268">
        <f>Dataset_1!D268</f>
        <v>0</v>
      </c>
      <c r="E268">
        <f>Dataset_1!E268</f>
        <v>1</v>
      </c>
      <c r="F268">
        <f>Dataset_1!F268</f>
        <v>13</v>
      </c>
      <c r="G268" t="b">
        <f>Dataset_1!G268</f>
        <v>0</v>
      </c>
      <c r="H268">
        <f>Dataset_1!H268</f>
        <v>3</v>
      </c>
      <c r="I268">
        <f>Dataset_1!I268</f>
        <v>1</v>
      </c>
      <c r="J268">
        <f>Dataset_1!J268</f>
        <v>0.22</v>
      </c>
      <c r="K268">
        <f>INDEX(Dataset_2!$B$2:$B$611,MATCH($A268,Dataset_2!$A$2:$A$611,0))</f>
        <v>0.19700000000000001</v>
      </c>
      <c r="L268">
        <f>INDEX(Dataset_2!$C$2:$C$611,MATCH($A268,Dataset_2!$A$2:$A$611,0))</f>
        <v>0.44</v>
      </c>
      <c r="M268">
        <f>INDEX(Dataset_2!$D$2:$D$611,MATCH($A268,Dataset_2!$A$2:$A$611,0))</f>
        <v>0.35820000000000002</v>
      </c>
      <c r="N268">
        <f>INDEX(Dataset_2!$E$2:$E$611,MATCH($A268,Dataset_2!$A$2:$A$611,0))</f>
        <v>0</v>
      </c>
      <c r="O268">
        <f>INDEX(Dataset_2!$F$2:$F$611,MATCH($A268,Dataset_2!$A$2:$A$611,0))</f>
        <v>49</v>
      </c>
      <c r="P268">
        <f>INDEX(Dataset_2!$G$2:$G$611,MATCH($A268,Dataset_2!$A$2:$A$611,0))</f>
        <v>49</v>
      </c>
    </row>
    <row r="269" spans="1:16" x14ac:dyDescent="0.2">
      <c r="A269">
        <f>Dataset_1!A269</f>
        <v>268</v>
      </c>
      <c r="B269" s="61">
        <f>Dataset_1!B269</f>
        <v>40555</v>
      </c>
      <c r="C269">
        <f>Dataset_1!C269</f>
        <v>1</v>
      </c>
      <c r="D269">
        <f>Dataset_1!D269</f>
        <v>0</v>
      </c>
      <c r="E269">
        <f>Dataset_1!E269</f>
        <v>1</v>
      </c>
      <c r="F269">
        <f>Dataset_1!F269</f>
        <v>14</v>
      </c>
      <c r="G269" t="b">
        <f>Dataset_1!G269</f>
        <v>0</v>
      </c>
      <c r="H269">
        <f>Dataset_1!H269</f>
        <v>3</v>
      </c>
      <c r="I269">
        <f>Dataset_1!I269</f>
        <v>1</v>
      </c>
      <c r="J269">
        <f>Dataset_1!J269</f>
        <v>0.2</v>
      </c>
      <c r="K269">
        <f>INDEX(Dataset_2!$B$2:$B$611,MATCH($A269,Dataset_2!$A$2:$A$611,0))</f>
        <v>0.18179999999999999</v>
      </c>
      <c r="L269">
        <f>INDEX(Dataset_2!$C$2:$C$611,MATCH($A269,Dataset_2!$A$2:$A$611,0))</f>
        <v>0.47</v>
      </c>
      <c r="M269">
        <f>INDEX(Dataset_2!$D$2:$D$611,MATCH($A269,Dataset_2!$A$2:$A$611,0))</f>
        <v>0.32840000000000003</v>
      </c>
      <c r="N269">
        <f>INDEX(Dataset_2!$E$2:$E$611,MATCH($A269,Dataset_2!$A$2:$A$611,0))</f>
        <v>0</v>
      </c>
      <c r="O269">
        <f>INDEX(Dataset_2!$F$2:$F$611,MATCH($A269,Dataset_2!$A$2:$A$611,0))</f>
        <v>44</v>
      </c>
      <c r="P269">
        <f>INDEX(Dataset_2!$G$2:$G$611,MATCH($A269,Dataset_2!$A$2:$A$611,0))</f>
        <v>44</v>
      </c>
    </row>
    <row r="270" spans="1:16" x14ac:dyDescent="0.2">
      <c r="A270">
        <f>Dataset_1!A270</f>
        <v>269</v>
      </c>
      <c r="B270" s="61">
        <f>Dataset_1!B270</f>
        <v>40555</v>
      </c>
      <c r="C270">
        <f>Dataset_1!C270</f>
        <v>1</v>
      </c>
      <c r="D270">
        <f>Dataset_1!D270</f>
        <v>0</v>
      </c>
      <c r="E270">
        <f>Dataset_1!E270</f>
        <v>1</v>
      </c>
      <c r="F270">
        <f>Dataset_1!F270</f>
        <v>15</v>
      </c>
      <c r="G270" t="b">
        <f>Dataset_1!G270</f>
        <v>0</v>
      </c>
      <c r="H270">
        <f>Dataset_1!H270</f>
        <v>3</v>
      </c>
      <c r="I270">
        <f>Dataset_1!I270</f>
        <v>1</v>
      </c>
      <c r="J270">
        <f>Dataset_1!J270</f>
        <v>0.2</v>
      </c>
      <c r="K270">
        <f>INDEX(Dataset_2!$B$2:$B$611,MATCH($A270,Dataset_2!$A$2:$A$611,0))</f>
        <v>0.16669999999999999</v>
      </c>
      <c r="L270">
        <f>INDEX(Dataset_2!$C$2:$C$611,MATCH($A270,Dataset_2!$A$2:$A$611,0))</f>
        <v>0.47</v>
      </c>
      <c r="M270">
        <f>INDEX(Dataset_2!$D$2:$D$611,MATCH($A270,Dataset_2!$A$2:$A$611,0))</f>
        <v>0.41789999999999999</v>
      </c>
      <c r="N270">
        <f>INDEX(Dataset_2!$E$2:$E$611,MATCH($A270,Dataset_2!$A$2:$A$611,0))</f>
        <v>1</v>
      </c>
      <c r="O270">
        <f>INDEX(Dataset_2!$F$2:$F$611,MATCH($A270,Dataset_2!$A$2:$A$611,0))</f>
        <v>48</v>
      </c>
      <c r="P270">
        <f>INDEX(Dataset_2!$G$2:$G$611,MATCH($A270,Dataset_2!$A$2:$A$611,0))</f>
        <v>49</v>
      </c>
    </row>
    <row r="271" spans="1:16" x14ac:dyDescent="0.2">
      <c r="A271">
        <f>Dataset_1!A271</f>
        <v>270</v>
      </c>
      <c r="B271" s="61">
        <f>Dataset_1!B271</f>
        <v>40555</v>
      </c>
      <c r="C271">
        <f>Dataset_1!C271</f>
        <v>1</v>
      </c>
      <c r="D271">
        <f>Dataset_1!D271</f>
        <v>0</v>
      </c>
      <c r="E271">
        <f>Dataset_1!E271</f>
        <v>1</v>
      </c>
      <c r="F271">
        <f>Dataset_1!F271</f>
        <v>16</v>
      </c>
      <c r="G271" t="b">
        <f>Dataset_1!G271</f>
        <v>0</v>
      </c>
      <c r="H271">
        <f>Dataset_1!H271</f>
        <v>3</v>
      </c>
      <c r="I271">
        <f>Dataset_1!I271</f>
        <v>1</v>
      </c>
      <c r="J271">
        <f>Dataset_1!J271</f>
        <v>0.22</v>
      </c>
      <c r="K271">
        <f>INDEX(Dataset_2!$B$2:$B$611,MATCH($A271,Dataset_2!$A$2:$A$611,0))</f>
        <v>0.19700000000000001</v>
      </c>
      <c r="L271">
        <f>INDEX(Dataset_2!$C$2:$C$611,MATCH($A271,Dataset_2!$A$2:$A$611,0))</f>
        <v>0.44</v>
      </c>
      <c r="M271">
        <f>INDEX(Dataset_2!$D$2:$D$611,MATCH($A271,Dataset_2!$A$2:$A$611,0))</f>
        <v>0.32840000000000003</v>
      </c>
      <c r="N271">
        <f>INDEX(Dataset_2!$E$2:$E$611,MATCH($A271,Dataset_2!$A$2:$A$611,0))</f>
        <v>5</v>
      </c>
      <c r="O271">
        <f>INDEX(Dataset_2!$F$2:$F$611,MATCH($A271,Dataset_2!$A$2:$A$611,0))</f>
        <v>63</v>
      </c>
      <c r="P271">
        <f>INDEX(Dataset_2!$G$2:$G$611,MATCH($A271,Dataset_2!$A$2:$A$611,0))</f>
        <v>68</v>
      </c>
    </row>
    <row r="272" spans="1:16" x14ac:dyDescent="0.2">
      <c r="A272">
        <f>Dataset_1!A272</f>
        <v>271</v>
      </c>
      <c r="B272" s="61">
        <f>Dataset_1!B272</f>
        <v>40555</v>
      </c>
      <c r="C272">
        <f>Dataset_1!C272</f>
        <v>1</v>
      </c>
      <c r="D272">
        <f>Dataset_1!D272</f>
        <v>0</v>
      </c>
      <c r="E272">
        <f>Dataset_1!E272</f>
        <v>1</v>
      </c>
      <c r="F272">
        <f>Dataset_1!F272</f>
        <v>17</v>
      </c>
      <c r="G272" t="b">
        <f>Dataset_1!G272</f>
        <v>0</v>
      </c>
      <c r="H272">
        <f>Dataset_1!H272</f>
        <v>3</v>
      </c>
      <c r="I272">
        <f>Dataset_1!I272</f>
        <v>1</v>
      </c>
      <c r="J272">
        <f>Dataset_1!J272</f>
        <v>0.2</v>
      </c>
      <c r="K272">
        <f>INDEX(Dataset_2!$B$2:$B$611,MATCH($A272,Dataset_2!$A$2:$A$611,0))</f>
        <v>0.18179999999999999</v>
      </c>
      <c r="L272">
        <f>INDEX(Dataset_2!$C$2:$C$611,MATCH($A272,Dataset_2!$A$2:$A$611,0))</f>
        <v>0.47</v>
      </c>
      <c r="M272">
        <f>INDEX(Dataset_2!$D$2:$D$611,MATCH($A272,Dataset_2!$A$2:$A$611,0))</f>
        <v>0.35820000000000002</v>
      </c>
      <c r="N272">
        <f>INDEX(Dataset_2!$E$2:$E$611,MATCH($A272,Dataset_2!$A$2:$A$611,0))</f>
        <v>0</v>
      </c>
      <c r="O272">
        <f>INDEX(Dataset_2!$F$2:$F$611,MATCH($A272,Dataset_2!$A$2:$A$611,0))</f>
        <v>139</v>
      </c>
      <c r="P272">
        <f>INDEX(Dataset_2!$G$2:$G$611,MATCH($A272,Dataset_2!$A$2:$A$611,0))</f>
        <v>139</v>
      </c>
    </row>
    <row r="273" spans="1:16" x14ac:dyDescent="0.2">
      <c r="A273">
        <f>Dataset_1!A273</f>
        <v>272</v>
      </c>
      <c r="B273" s="61">
        <f>Dataset_1!B273</f>
        <v>40555</v>
      </c>
      <c r="C273">
        <f>Dataset_1!C273</f>
        <v>1</v>
      </c>
      <c r="D273">
        <f>Dataset_1!D273</f>
        <v>0</v>
      </c>
      <c r="E273">
        <f>Dataset_1!E273</f>
        <v>1</v>
      </c>
      <c r="F273">
        <f>Dataset_1!F273</f>
        <v>18</v>
      </c>
      <c r="G273" t="b">
        <f>Dataset_1!G273</f>
        <v>0</v>
      </c>
      <c r="H273">
        <f>Dataset_1!H273</f>
        <v>3</v>
      </c>
      <c r="I273">
        <f>Dataset_1!I273</f>
        <v>1</v>
      </c>
      <c r="J273">
        <f>Dataset_1!J273</f>
        <v>0.2</v>
      </c>
      <c r="K273">
        <f>INDEX(Dataset_2!$B$2:$B$611,MATCH($A273,Dataset_2!$A$2:$A$611,0))</f>
        <v>0.1515</v>
      </c>
      <c r="L273">
        <f>INDEX(Dataset_2!$C$2:$C$611,MATCH($A273,Dataset_2!$A$2:$A$611,0))</f>
        <v>0.47</v>
      </c>
      <c r="M273">
        <f>INDEX(Dataset_2!$D$2:$D$611,MATCH($A273,Dataset_2!$A$2:$A$611,0))</f>
        <v>0.52239999999999998</v>
      </c>
      <c r="N273">
        <f>INDEX(Dataset_2!$E$2:$E$611,MATCH($A273,Dataset_2!$A$2:$A$611,0))</f>
        <v>2</v>
      </c>
      <c r="O273">
        <f>INDEX(Dataset_2!$F$2:$F$611,MATCH($A273,Dataset_2!$A$2:$A$611,0))</f>
        <v>135</v>
      </c>
      <c r="P273">
        <f>INDEX(Dataset_2!$G$2:$G$611,MATCH($A273,Dataset_2!$A$2:$A$611,0))</f>
        <v>137</v>
      </c>
    </row>
    <row r="274" spans="1:16" x14ac:dyDescent="0.2">
      <c r="A274">
        <f>Dataset_1!A274</f>
        <v>273</v>
      </c>
      <c r="B274" s="61">
        <f>Dataset_1!B274</f>
        <v>40555</v>
      </c>
      <c r="C274">
        <f>Dataset_1!C274</f>
        <v>1</v>
      </c>
      <c r="D274">
        <f>Dataset_1!D274</f>
        <v>0</v>
      </c>
      <c r="E274">
        <f>Dataset_1!E274</f>
        <v>1</v>
      </c>
      <c r="F274">
        <f>Dataset_1!F274</f>
        <v>19</v>
      </c>
      <c r="G274" t="b">
        <f>Dataset_1!G274</f>
        <v>0</v>
      </c>
      <c r="H274">
        <f>Dataset_1!H274</f>
        <v>3</v>
      </c>
      <c r="I274">
        <f>Dataset_1!I274</f>
        <v>1</v>
      </c>
      <c r="J274">
        <f>Dataset_1!J274</f>
        <v>0.18</v>
      </c>
      <c r="K274">
        <f>INDEX(Dataset_2!$B$2:$B$611,MATCH($A274,Dataset_2!$A$2:$A$611,0))</f>
        <v>0.1515</v>
      </c>
      <c r="L274">
        <f>INDEX(Dataset_2!$C$2:$C$611,MATCH($A274,Dataset_2!$A$2:$A$611,0))</f>
        <v>0.47</v>
      </c>
      <c r="M274">
        <f>INDEX(Dataset_2!$D$2:$D$611,MATCH($A274,Dataset_2!$A$2:$A$611,0))</f>
        <v>0.41789999999999999</v>
      </c>
      <c r="N274">
        <f>INDEX(Dataset_2!$E$2:$E$611,MATCH($A274,Dataset_2!$A$2:$A$611,0))</f>
        <v>1</v>
      </c>
      <c r="O274">
        <f>INDEX(Dataset_2!$F$2:$F$611,MATCH($A274,Dataset_2!$A$2:$A$611,0))</f>
        <v>82</v>
      </c>
      <c r="P274">
        <f>INDEX(Dataset_2!$G$2:$G$611,MATCH($A274,Dataset_2!$A$2:$A$611,0))</f>
        <v>83</v>
      </c>
    </row>
    <row r="275" spans="1:16" x14ac:dyDescent="0.2">
      <c r="A275">
        <f>Dataset_1!A275</f>
        <v>274</v>
      </c>
      <c r="B275" s="61">
        <f>Dataset_1!B275</f>
        <v>40555</v>
      </c>
      <c r="C275">
        <f>Dataset_1!C275</f>
        <v>1</v>
      </c>
      <c r="D275">
        <f>Dataset_1!D275</f>
        <v>0</v>
      </c>
      <c r="E275">
        <f>Dataset_1!E275</f>
        <v>1</v>
      </c>
      <c r="F275">
        <f>Dataset_1!F275</f>
        <v>20</v>
      </c>
      <c r="G275" t="b">
        <f>Dataset_1!G275</f>
        <v>0</v>
      </c>
      <c r="H275">
        <f>Dataset_1!H275</f>
        <v>3</v>
      </c>
      <c r="I275">
        <f>Dataset_1!I275</f>
        <v>1</v>
      </c>
      <c r="J275">
        <f>Dataset_1!J275</f>
        <v>0.16</v>
      </c>
      <c r="K275">
        <f>INDEX(Dataset_2!$B$2:$B$611,MATCH($A275,Dataset_2!$A$2:$A$611,0))</f>
        <v>0.13639999999999999</v>
      </c>
      <c r="L275">
        <f>INDEX(Dataset_2!$C$2:$C$611,MATCH($A275,Dataset_2!$A$2:$A$611,0))</f>
        <v>0.5</v>
      </c>
      <c r="M275">
        <f>INDEX(Dataset_2!$D$2:$D$611,MATCH($A275,Dataset_2!$A$2:$A$611,0))</f>
        <v>0.32840000000000003</v>
      </c>
      <c r="N275">
        <f>INDEX(Dataset_2!$E$2:$E$611,MATCH($A275,Dataset_2!$A$2:$A$611,0))</f>
        <v>2</v>
      </c>
      <c r="O275">
        <f>INDEX(Dataset_2!$F$2:$F$611,MATCH($A275,Dataset_2!$A$2:$A$611,0))</f>
        <v>54</v>
      </c>
      <c r="P275">
        <f>INDEX(Dataset_2!$G$2:$G$611,MATCH($A275,Dataset_2!$A$2:$A$611,0))</f>
        <v>56</v>
      </c>
    </row>
    <row r="276" spans="1:16" x14ac:dyDescent="0.2">
      <c r="A276">
        <f>Dataset_1!A276</f>
        <v>275</v>
      </c>
      <c r="B276" s="61">
        <f>Dataset_1!B276</f>
        <v>40555</v>
      </c>
      <c r="C276">
        <f>Dataset_1!C276</f>
        <v>1</v>
      </c>
      <c r="D276">
        <f>Dataset_1!D276</f>
        <v>0</v>
      </c>
      <c r="E276">
        <f>Dataset_1!E276</f>
        <v>1</v>
      </c>
      <c r="F276">
        <f>Dataset_1!F276</f>
        <v>21</v>
      </c>
      <c r="G276" t="b">
        <f>Dataset_1!G276</f>
        <v>0</v>
      </c>
      <c r="H276">
        <f>Dataset_1!H276</f>
        <v>3</v>
      </c>
      <c r="I276">
        <f>Dataset_1!I276</f>
        <v>1</v>
      </c>
      <c r="J276">
        <f>Dataset_1!J276</f>
        <v>0.16</v>
      </c>
      <c r="K276">
        <f>INDEX(Dataset_2!$B$2:$B$611,MATCH($A276,Dataset_2!$A$2:$A$611,0))</f>
        <v>0.13639999999999999</v>
      </c>
      <c r="L276">
        <f>INDEX(Dataset_2!$C$2:$C$611,MATCH($A276,Dataset_2!$A$2:$A$611,0))</f>
        <v>0.55000000000000004</v>
      </c>
      <c r="M276">
        <f>INDEX(Dataset_2!$D$2:$D$611,MATCH($A276,Dataset_2!$A$2:$A$611,0))</f>
        <v>0.32840000000000003</v>
      </c>
      <c r="N276">
        <f>INDEX(Dataset_2!$E$2:$E$611,MATCH($A276,Dataset_2!$A$2:$A$611,0))</f>
        <v>0</v>
      </c>
      <c r="O276">
        <f>INDEX(Dataset_2!$F$2:$F$611,MATCH($A276,Dataset_2!$A$2:$A$611,0))</f>
        <v>57</v>
      </c>
      <c r="P276">
        <f>INDEX(Dataset_2!$G$2:$G$611,MATCH($A276,Dataset_2!$A$2:$A$611,0))</f>
        <v>57</v>
      </c>
    </row>
    <row r="277" spans="1:16" x14ac:dyDescent="0.2">
      <c r="A277">
        <f>Dataset_1!A277</f>
        <v>276</v>
      </c>
      <c r="B277" s="61">
        <f>Dataset_1!B277</f>
        <v>40555</v>
      </c>
      <c r="C277">
        <f>Dataset_1!C277</f>
        <v>1</v>
      </c>
      <c r="D277">
        <f>Dataset_1!D277</f>
        <v>0</v>
      </c>
      <c r="E277">
        <f>Dataset_1!E277</f>
        <v>1</v>
      </c>
      <c r="F277">
        <f>Dataset_1!F277</f>
        <v>22</v>
      </c>
      <c r="G277" t="b">
        <f>Dataset_1!G277</f>
        <v>0</v>
      </c>
      <c r="H277">
        <f>Dataset_1!H277</f>
        <v>3</v>
      </c>
      <c r="I277">
        <f>Dataset_1!I277</f>
        <v>1</v>
      </c>
      <c r="J277">
        <f>Dataset_1!J277</f>
        <v>0.16</v>
      </c>
      <c r="K277">
        <f>INDEX(Dataset_2!$B$2:$B$611,MATCH($A277,Dataset_2!$A$2:$A$611,0))</f>
        <v>0.1212</v>
      </c>
      <c r="L277">
        <f>INDEX(Dataset_2!$C$2:$C$611,MATCH($A277,Dataset_2!$A$2:$A$611,0))</f>
        <v>0.55000000000000004</v>
      </c>
      <c r="M277">
        <f>INDEX(Dataset_2!$D$2:$D$611,MATCH($A277,Dataset_2!$A$2:$A$611,0))</f>
        <v>0.44779999999999998</v>
      </c>
      <c r="N277">
        <f>INDEX(Dataset_2!$E$2:$E$611,MATCH($A277,Dataset_2!$A$2:$A$611,0))</f>
        <v>1</v>
      </c>
      <c r="O277">
        <f>INDEX(Dataset_2!$F$2:$F$611,MATCH($A277,Dataset_2!$A$2:$A$611,0))</f>
        <v>32</v>
      </c>
      <c r="P277">
        <f>INDEX(Dataset_2!$G$2:$G$611,MATCH($A277,Dataset_2!$A$2:$A$611,0))</f>
        <v>33</v>
      </c>
    </row>
    <row r="278" spans="1:16" x14ac:dyDescent="0.2">
      <c r="A278">
        <f>Dataset_1!A278</f>
        <v>277</v>
      </c>
      <c r="B278" s="61">
        <f>Dataset_1!B278</f>
        <v>40555</v>
      </c>
      <c r="C278">
        <f>Dataset_1!C278</f>
        <v>1</v>
      </c>
      <c r="D278">
        <f>Dataset_1!D278</f>
        <v>0</v>
      </c>
      <c r="E278">
        <f>Dataset_1!E278</f>
        <v>1</v>
      </c>
      <c r="F278">
        <f>Dataset_1!F278</f>
        <v>23</v>
      </c>
      <c r="G278" t="b">
        <f>Dataset_1!G278</f>
        <v>0</v>
      </c>
      <c r="H278">
        <f>Dataset_1!H278</f>
        <v>3</v>
      </c>
      <c r="I278">
        <f>Dataset_1!I278</f>
        <v>1</v>
      </c>
      <c r="J278">
        <f>Dataset_1!J278</f>
        <v>0.14000000000000001</v>
      </c>
      <c r="K278">
        <f>INDEX(Dataset_2!$B$2:$B$611,MATCH($A278,Dataset_2!$A$2:$A$611,0))</f>
        <v>0.1061</v>
      </c>
      <c r="L278">
        <f>INDEX(Dataset_2!$C$2:$C$611,MATCH($A278,Dataset_2!$A$2:$A$611,0))</f>
        <v>0.59</v>
      </c>
      <c r="M278">
        <f>INDEX(Dataset_2!$D$2:$D$611,MATCH($A278,Dataset_2!$A$2:$A$611,0))</f>
        <v>0.41789999999999999</v>
      </c>
      <c r="N278">
        <f>INDEX(Dataset_2!$E$2:$E$611,MATCH($A278,Dataset_2!$A$2:$A$611,0))</f>
        <v>1</v>
      </c>
      <c r="O278">
        <f>INDEX(Dataset_2!$F$2:$F$611,MATCH($A278,Dataset_2!$A$2:$A$611,0))</f>
        <v>19</v>
      </c>
      <c r="P278">
        <f>INDEX(Dataset_2!$G$2:$G$611,MATCH($A278,Dataset_2!$A$2:$A$611,0))</f>
        <v>20</v>
      </c>
    </row>
    <row r="279" spans="1:16" x14ac:dyDescent="0.2">
      <c r="A279">
        <f>Dataset_1!A279</f>
        <v>278</v>
      </c>
      <c r="B279" s="61">
        <f>Dataset_1!B279</f>
        <v>40556</v>
      </c>
      <c r="C279">
        <f>Dataset_1!C279</f>
        <v>1</v>
      </c>
      <c r="D279">
        <f>Dataset_1!D279</f>
        <v>0</v>
      </c>
      <c r="E279">
        <f>Dataset_1!E279</f>
        <v>1</v>
      </c>
      <c r="F279">
        <f>Dataset_1!F279</f>
        <v>0</v>
      </c>
      <c r="G279" t="b">
        <f>Dataset_1!G279</f>
        <v>0</v>
      </c>
      <c r="H279">
        <f>Dataset_1!H279</f>
        <v>4</v>
      </c>
      <c r="I279">
        <f>Dataset_1!I279</f>
        <v>1</v>
      </c>
      <c r="J279">
        <f>Dataset_1!J279</f>
        <v>0.14000000000000001</v>
      </c>
      <c r="K279">
        <f>INDEX(Dataset_2!$B$2:$B$611,MATCH($A279,Dataset_2!$A$2:$A$611,0))</f>
        <v>0.1212</v>
      </c>
      <c r="L279">
        <f>INDEX(Dataset_2!$C$2:$C$611,MATCH($A279,Dataset_2!$A$2:$A$611,0))</f>
        <v>0.59</v>
      </c>
      <c r="M279">
        <f>INDEX(Dataset_2!$D$2:$D$611,MATCH($A279,Dataset_2!$A$2:$A$611,0))</f>
        <v>0.28360000000000002</v>
      </c>
      <c r="N279">
        <f>INDEX(Dataset_2!$E$2:$E$611,MATCH($A279,Dataset_2!$A$2:$A$611,0))</f>
        <v>1</v>
      </c>
      <c r="O279">
        <f>INDEX(Dataset_2!$F$2:$F$611,MATCH($A279,Dataset_2!$A$2:$A$611,0))</f>
        <v>6</v>
      </c>
      <c r="P279">
        <f>INDEX(Dataset_2!$G$2:$G$611,MATCH($A279,Dataset_2!$A$2:$A$611,0))</f>
        <v>7</v>
      </c>
    </row>
    <row r="280" spans="1:16" x14ac:dyDescent="0.2">
      <c r="A280">
        <f>Dataset_1!A280</f>
        <v>279</v>
      </c>
      <c r="B280" s="61">
        <f>Dataset_1!B280</f>
        <v>40556</v>
      </c>
      <c r="C280">
        <f>Dataset_1!C280</f>
        <v>1</v>
      </c>
      <c r="D280">
        <f>Dataset_1!D280</f>
        <v>0</v>
      </c>
      <c r="E280">
        <f>Dataset_1!E280</f>
        <v>1</v>
      </c>
      <c r="F280">
        <f>Dataset_1!F280</f>
        <v>1</v>
      </c>
      <c r="G280" t="b">
        <f>Dataset_1!G280</f>
        <v>0</v>
      </c>
      <c r="H280">
        <f>Dataset_1!H280</f>
        <v>4</v>
      </c>
      <c r="I280">
        <f>Dataset_1!I280</f>
        <v>1</v>
      </c>
      <c r="J280">
        <f>Dataset_1!J280</f>
        <v>0.14000000000000001</v>
      </c>
      <c r="K280">
        <f>INDEX(Dataset_2!$B$2:$B$611,MATCH($A280,Dataset_2!$A$2:$A$611,0))</f>
        <v>0.1212</v>
      </c>
      <c r="L280">
        <f>INDEX(Dataset_2!$C$2:$C$611,MATCH($A280,Dataset_2!$A$2:$A$611,0))</f>
        <v>0.5</v>
      </c>
      <c r="M280">
        <f>INDEX(Dataset_2!$D$2:$D$611,MATCH($A280,Dataset_2!$A$2:$A$611,0))</f>
        <v>0.28360000000000002</v>
      </c>
      <c r="N280">
        <f>INDEX(Dataset_2!$E$2:$E$611,MATCH($A280,Dataset_2!$A$2:$A$611,0))</f>
        <v>0</v>
      </c>
      <c r="O280">
        <f>INDEX(Dataset_2!$F$2:$F$611,MATCH($A280,Dataset_2!$A$2:$A$611,0))</f>
        <v>2</v>
      </c>
      <c r="P280">
        <f>INDEX(Dataset_2!$G$2:$G$611,MATCH($A280,Dataset_2!$A$2:$A$611,0))</f>
        <v>2</v>
      </c>
    </row>
    <row r="281" spans="1:16" x14ac:dyDescent="0.2">
      <c r="A281">
        <f>Dataset_1!A281</f>
        <v>280</v>
      </c>
      <c r="B281" s="61">
        <f>Dataset_1!B281</f>
        <v>40556</v>
      </c>
      <c r="C281">
        <f>Dataset_1!C281</f>
        <v>1</v>
      </c>
      <c r="D281">
        <f>Dataset_1!D281</f>
        <v>0</v>
      </c>
      <c r="E281">
        <f>Dataset_1!E281</f>
        <v>1</v>
      </c>
      <c r="F281">
        <f>Dataset_1!F281</f>
        <v>2</v>
      </c>
      <c r="G281" t="b">
        <f>Dataset_1!G281</f>
        <v>0</v>
      </c>
      <c r="H281">
        <f>Dataset_1!H281</f>
        <v>4</v>
      </c>
      <c r="I281">
        <f>Dataset_1!I281</f>
        <v>1</v>
      </c>
      <c r="J281">
        <f>Dataset_1!J281</f>
        <v>0.14000000000000001</v>
      </c>
      <c r="K281">
        <f>INDEX(Dataset_2!$B$2:$B$611,MATCH($A281,Dataset_2!$A$2:$A$611,0))</f>
        <v>0.1212</v>
      </c>
      <c r="L281">
        <f>INDEX(Dataset_2!$C$2:$C$611,MATCH($A281,Dataset_2!$A$2:$A$611,0))</f>
        <v>0.5</v>
      </c>
      <c r="M281">
        <f>INDEX(Dataset_2!$D$2:$D$611,MATCH($A281,Dataset_2!$A$2:$A$611,0))</f>
        <v>0.35820000000000002</v>
      </c>
      <c r="N281">
        <f>INDEX(Dataset_2!$E$2:$E$611,MATCH($A281,Dataset_2!$A$2:$A$611,0))</f>
        <v>0</v>
      </c>
      <c r="O281">
        <f>INDEX(Dataset_2!$F$2:$F$611,MATCH($A281,Dataset_2!$A$2:$A$611,0))</f>
        <v>2</v>
      </c>
      <c r="P281">
        <f>INDEX(Dataset_2!$G$2:$G$611,MATCH($A281,Dataset_2!$A$2:$A$611,0))</f>
        <v>2</v>
      </c>
    </row>
    <row r="282" spans="1:16" x14ac:dyDescent="0.2">
      <c r="A282">
        <f>Dataset_1!A282</f>
        <v>281</v>
      </c>
      <c r="B282" s="61">
        <f>Dataset_1!B282</f>
        <v>40556</v>
      </c>
      <c r="C282">
        <f>Dataset_1!C282</f>
        <v>1</v>
      </c>
      <c r="D282">
        <f>Dataset_1!D282</f>
        <v>0</v>
      </c>
      <c r="E282">
        <f>Dataset_1!E282</f>
        <v>1</v>
      </c>
      <c r="F282">
        <f>Dataset_1!F282</f>
        <v>3</v>
      </c>
      <c r="G282" t="b">
        <f>Dataset_1!G282</f>
        <v>0</v>
      </c>
      <c r="H282">
        <f>Dataset_1!H282</f>
        <v>4</v>
      </c>
      <c r="I282">
        <f>Dataset_1!I282</f>
        <v>1</v>
      </c>
      <c r="J282">
        <f>Dataset_1!J282</f>
        <v>0.14000000000000001</v>
      </c>
      <c r="K282">
        <f>INDEX(Dataset_2!$B$2:$B$611,MATCH($A282,Dataset_2!$A$2:$A$611,0))</f>
        <v>0.1212</v>
      </c>
      <c r="L282">
        <f>INDEX(Dataset_2!$C$2:$C$611,MATCH($A282,Dataset_2!$A$2:$A$611,0))</f>
        <v>0.5</v>
      </c>
      <c r="M282">
        <f>INDEX(Dataset_2!$D$2:$D$611,MATCH($A282,Dataset_2!$A$2:$A$611,0))</f>
        <v>0.32840000000000003</v>
      </c>
      <c r="N282">
        <f>INDEX(Dataset_2!$E$2:$E$611,MATCH($A282,Dataset_2!$A$2:$A$611,0))</f>
        <v>0</v>
      </c>
      <c r="O282">
        <f>INDEX(Dataset_2!$F$2:$F$611,MATCH($A282,Dataset_2!$A$2:$A$611,0))</f>
        <v>3</v>
      </c>
      <c r="P282">
        <f>INDEX(Dataset_2!$G$2:$G$611,MATCH($A282,Dataset_2!$A$2:$A$611,0))</f>
        <v>3</v>
      </c>
    </row>
    <row r="283" spans="1:16" x14ac:dyDescent="0.2">
      <c r="A283">
        <f>Dataset_1!A283</f>
        <v>282</v>
      </c>
      <c r="B283" s="61">
        <f>Dataset_1!B283</f>
        <v>40556</v>
      </c>
      <c r="C283">
        <f>Dataset_1!C283</f>
        <v>1</v>
      </c>
      <c r="D283">
        <f>Dataset_1!D283</f>
        <v>0</v>
      </c>
      <c r="E283">
        <f>Dataset_1!E283</f>
        <v>1</v>
      </c>
      <c r="F283">
        <f>Dataset_1!F283</f>
        <v>4</v>
      </c>
      <c r="G283" t="b">
        <f>Dataset_1!G283</f>
        <v>0</v>
      </c>
      <c r="H283">
        <f>Dataset_1!H283</f>
        <v>4</v>
      </c>
      <c r="I283">
        <f>Dataset_1!I283</f>
        <v>1</v>
      </c>
      <c r="J283">
        <f>Dataset_1!J283</f>
        <v>0.14000000000000001</v>
      </c>
      <c r="K283">
        <f>INDEX(Dataset_2!$B$2:$B$611,MATCH($A283,Dataset_2!$A$2:$A$611,0))</f>
        <v>0.1212</v>
      </c>
      <c r="L283">
        <f>INDEX(Dataset_2!$C$2:$C$611,MATCH($A283,Dataset_2!$A$2:$A$611,0))</f>
        <v>0.5</v>
      </c>
      <c r="M283">
        <f>INDEX(Dataset_2!$D$2:$D$611,MATCH($A283,Dataset_2!$A$2:$A$611,0))</f>
        <v>0.25369999999999998</v>
      </c>
      <c r="N283">
        <f>INDEX(Dataset_2!$E$2:$E$611,MATCH($A283,Dataset_2!$A$2:$A$611,0))</f>
        <v>0</v>
      </c>
      <c r="O283">
        <f>INDEX(Dataset_2!$F$2:$F$611,MATCH($A283,Dataset_2!$A$2:$A$611,0))</f>
        <v>4</v>
      </c>
      <c r="P283">
        <f>INDEX(Dataset_2!$G$2:$G$611,MATCH($A283,Dataset_2!$A$2:$A$611,0))</f>
        <v>4</v>
      </c>
    </row>
    <row r="284" spans="1:16" x14ac:dyDescent="0.2">
      <c r="A284">
        <f>Dataset_1!A284</f>
        <v>283</v>
      </c>
      <c r="B284" s="61">
        <f>Dataset_1!B284</f>
        <v>40556</v>
      </c>
      <c r="C284">
        <f>Dataset_1!C284</f>
        <v>1</v>
      </c>
      <c r="D284">
        <f>Dataset_1!D284</f>
        <v>0</v>
      </c>
      <c r="E284">
        <f>Dataset_1!E284</f>
        <v>1</v>
      </c>
      <c r="F284">
        <f>Dataset_1!F284</f>
        <v>5</v>
      </c>
      <c r="G284" t="b">
        <f>Dataset_1!G284</f>
        <v>0</v>
      </c>
      <c r="H284">
        <f>Dataset_1!H284</f>
        <v>4</v>
      </c>
      <c r="I284">
        <f>Dataset_1!I284</f>
        <v>1</v>
      </c>
      <c r="J284">
        <f>Dataset_1!J284</f>
        <v>0.14000000000000001</v>
      </c>
      <c r="K284">
        <f>INDEX(Dataset_2!$B$2:$B$611,MATCH($A284,Dataset_2!$A$2:$A$611,0))</f>
        <v>0.1212</v>
      </c>
      <c r="L284">
        <f>INDEX(Dataset_2!$C$2:$C$611,MATCH($A284,Dataset_2!$A$2:$A$611,0))</f>
        <v>0.5</v>
      </c>
      <c r="M284">
        <f>INDEX(Dataset_2!$D$2:$D$611,MATCH($A284,Dataset_2!$A$2:$A$611,0))</f>
        <v>0.29849999999999999</v>
      </c>
      <c r="N284">
        <f>INDEX(Dataset_2!$E$2:$E$611,MATCH($A284,Dataset_2!$A$2:$A$611,0))</f>
        <v>0</v>
      </c>
      <c r="O284">
        <f>INDEX(Dataset_2!$F$2:$F$611,MATCH($A284,Dataset_2!$A$2:$A$611,0))</f>
        <v>3</v>
      </c>
      <c r="P284">
        <f>INDEX(Dataset_2!$G$2:$G$611,MATCH($A284,Dataset_2!$A$2:$A$611,0))</f>
        <v>3</v>
      </c>
    </row>
    <row r="285" spans="1:16" x14ac:dyDescent="0.2">
      <c r="A285">
        <f>Dataset_1!A285</f>
        <v>284</v>
      </c>
      <c r="B285" s="61">
        <f>Dataset_1!B285</f>
        <v>40556</v>
      </c>
      <c r="C285">
        <f>Dataset_1!C285</f>
        <v>1</v>
      </c>
      <c r="D285">
        <f>Dataset_1!D285</f>
        <v>0</v>
      </c>
      <c r="E285">
        <f>Dataset_1!E285</f>
        <v>1</v>
      </c>
      <c r="F285">
        <f>Dataset_1!F285</f>
        <v>6</v>
      </c>
      <c r="G285" t="b">
        <f>Dataset_1!G285</f>
        <v>0</v>
      </c>
      <c r="H285">
        <f>Dataset_1!H285</f>
        <v>4</v>
      </c>
      <c r="I285">
        <f>Dataset_1!I285</f>
        <v>1</v>
      </c>
      <c r="J285">
        <f>Dataset_1!J285</f>
        <v>0.12</v>
      </c>
      <c r="K285">
        <f>INDEX(Dataset_2!$B$2:$B$611,MATCH($A285,Dataset_2!$A$2:$A$611,0))</f>
        <v>0.1515</v>
      </c>
      <c r="L285">
        <f>INDEX(Dataset_2!$C$2:$C$611,MATCH($A285,Dataset_2!$A$2:$A$611,0))</f>
        <v>0.54</v>
      </c>
      <c r="M285">
        <f>INDEX(Dataset_2!$D$2:$D$611,MATCH($A285,Dataset_2!$A$2:$A$611,0))</f>
        <v>0.1343</v>
      </c>
      <c r="N285">
        <f>INDEX(Dataset_2!$E$2:$E$611,MATCH($A285,Dataset_2!$A$2:$A$611,0))</f>
        <v>0</v>
      </c>
      <c r="O285">
        <f>INDEX(Dataset_2!$F$2:$F$611,MATCH($A285,Dataset_2!$A$2:$A$611,0))</f>
        <v>28</v>
      </c>
      <c r="P285">
        <f>INDEX(Dataset_2!$G$2:$G$611,MATCH($A285,Dataset_2!$A$2:$A$611,0))</f>
        <v>28</v>
      </c>
    </row>
    <row r="286" spans="1:16" x14ac:dyDescent="0.2">
      <c r="A286">
        <f>Dataset_1!A286</f>
        <v>285</v>
      </c>
      <c r="B286" s="61">
        <f>Dataset_1!B286</f>
        <v>40556</v>
      </c>
      <c r="C286">
        <f>Dataset_1!C286</f>
        <v>1</v>
      </c>
      <c r="D286">
        <f>Dataset_1!D286</f>
        <v>0</v>
      </c>
      <c r="E286">
        <f>Dataset_1!E286</f>
        <v>1</v>
      </c>
      <c r="F286">
        <f>Dataset_1!F286</f>
        <v>7</v>
      </c>
      <c r="G286" t="b">
        <f>Dataset_1!G286</f>
        <v>0</v>
      </c>
      <c r="H286">
        <f>Dataset_1!H286</f>
        <v>4</v>
      </c>
      <c r="I286">
        <f>Dataset_1!I286</f>
        <v>1</v>
      </c>
      <c r="J286">
        <f>Dataset_1!J286</f>
        <v>0.12</v>
      </c>
      <c r="K286">
        <f>INDEX(Dataset_2!$B$2:$B$611,MATCH($A286,Dataset_2!$A$2:$A$611,0))</f>
        <v>0.1515</v>
      </c>
      <c r="L286">
        <f>INDEX(Dataset_2!$C$2:$C$611,MATCH($A286,Dataset_2!$A$2:$A$611,0))</f>
        <v>0.54</v>
      </c>
      <c r="M286">
        <f>INDEX(Dataset_2!$D$2:$D$611,MATCH($A286,Dataset_2!$A$2:$A$611,0))</f>
        <v>0.1343</v>
      </c>
      <c r="N286">
        <f>INDEX(Dataset_2!$E$2:$E$611,MATCH($A286,Dataset_2!$A$2:$A$611,0))</f>
        <v>0</v>
      </c>
      <c r="O286">
        <f>INDEX(Dataset_2!$F$2:$F$611,MATCH($A286,Dataset_2!$A$2:$A$611,0))</f>
        <v>72</v>
      </c>
      <c r="P286">
        <f>INDEX(Dataset_2!$G$2:$G$611,MATCH($A286,Dataset_2!$A$2:$A$611,0))</f>
        <v>72</v>
      </c>
    </row>
    <row r="287" spans="1:16" x14ac:dyDescent="0.2">
      <c r="A287">
        <f>Dataset_1!A287</f>
        <v>286</v>
      </c>
      <c r="B287" s="61">
        <f>Dataset_1!B287</f>
        <v>40556</v>
      </c>
      <c r="C287">
        <f>Dataset_1!C287</f>
        <v>1</v>
      </c>
      <c r="D287">
        <f>Dataset_1!D287</f>
        <v>0</v>
      </c>
      <c r="E287">
        <f>Dataset_1!E287</f>
        <v>1</v>
      </c>
      <c r="F287">
        <f>Dataset_1!F287</f>
        <v>8</v>
      </c>
      <c r="G287" t="b">
        <f>Dataset_1!G287</f>
        <v>0</v>
      </c>
      <c r="H287">
        <f>Dataset_1!H287</f>
        <v>4</v>
      </c>
      <c r="I287">
        <f>Dataset_1!I287</f>
        <v>1</v>
      </c>
      <c r="J287">
        <f>Dataset_1!J287</f>
        <v>0.14000000000000001</v>
      </c>
      <c r="K287">
        <f>INDEX(Dataset_2!$B$2:$B$611,MATCH($A287,Dataset_2!$A$2:$A$611,0))</f>
        <v>0.13639999999999999</v>
      </c>
      <c r="L287">
        <f>INDEX(Dataset_2!$C$2:$C$611,MATCH($A287,Dataset_2!$A$2:$A$611,0))</f>
        <v>0.5</v>
      </c>
      <c r="M287">
        <f>INDEX(Dataset_2!$D$2:$D$611,MATCH($A287,Dataset_2!$A$2:$A$611,0))</f>
        <v>0.19400000000000001</v>
      </c>
      <c r="N287">
        <f>INDEX(Dataset_2!$E$2:$E$611,MATCH($A287,Dataset_2!$A$2:$A$611,0))</f>
        <v>5</v>
      </c>
      <c r="O287">
        <f>INDEX(Dataset_2!$F$2:$F$611,MATCH($A287,Dataset_2!$A$2:$A$611,0))</f>
        <v>197</v>
      </c>
      <c r="P287">
        <f>INDEX(Dataset_2!$G$2:$G$611,MATCH($A287,Dataset_2!$A$2:$A$611,0))</f>
        <v>202</v>
      </c>
    </row>
    <row r="288" spans="1:16" x14ac:dyDescent="0.2">
      <c r="A288">
        <f>Dataset_1!A288</f>
        <v>287</v>
      </c>
      <c r="B288" s="61">
        <f>Dataset_1!B288</f>
        <v>40556</v>
      </c>
      <c r="C288">
        <f>Dataset_1!C288</f>
        <v>1</v>
      </c>
      <c r="D288">
        <f>Dataset_1!D288</f>
        <v>0</v>
      </c>
      <c r="E288">
        <f>Dataset_1!E288</f>
        <v>1</v>
      </c>
      <c r="F288">
        <f>Dataset_1!F288</f>
        <v>9</v>
      </c>
      <c r="G288" t="b">
        <f>Dataset_1!G288</f>
        <v>0</v>
      </c>
      <c r="H288">
        <f>Dataset_1!H288</f>
        <v>4</v>
      </c>
      <c r="I288">
        <f>Dataset_1!I288</f>
        <v>1</v>
      </c>
      <c r="J288">
        <f>Dataset_1!J288</f>
        <v>0.14000000000000001</v>
      </c>
      <c r="K288">
        <f>INDEX(Dataset_2!$B$2:$B$611,MATCH($A288,Dataset_2!$A$2:$A$611,0))</f>
        <v>0.1212</v>
      </c>
      <c r="L288">
        <f>INDEX(Dataset_2!$C$2:$C$611,MATCH($A288,Dataset_2!$A$2:$A$611,0))</f>
        <v>0.5</v>
      </c>
      <c r="M288">
        <f>INDEX(Dataset_2!$D$2:$D$611,MATCH($A288,Dataset_2!$A$2:$A$611,0))</f>
        <v>0.32840000000000003</v>
      </c>
      <c r="N288">
        <f>INDEX(Dataset_2!$E$2:$E$611,MATCH($A288,Dataset_2!$A$2:$A$611,0))</f>
        <v>2</v>
      </c>
      <c r="O288">
        <f>INDEX(Dataset_2!$F$2:$F$611,MATCH($A288,Dataset_2!$A$2:$A$611,0))</f>
        <v>137</v>
      </c>
      <c r="P288">
        <f>INDEX(Dataset_2!$G$2:$G$611,MATCH($A288,Dataset_2!$A$2:$A$611,0))</f>
        <v>139</v>
      </c>
    </row>
    <row r="289" spans="1:16" x14ac:dyDescent="0.2">
      <c r="A289">
        <f>Dataset_1!A289</f>
        <v>288</v>
      </c>
      <c r="B289" s="61">
        <f>Dataset_1!B289</f>
        <v>40556</v>
      </c>
      <c r="C289">
        <f>Dataset_1!C289</f>
        <v>1</v>
      </c>
      <c r="D289">
        <f>Dataset_1!D289</f>
        <v>0</v>
      </c>
      <c r="E289">
        <f>Dataset_1!E289</f>
        <v>1</v>
      </c>
      <c r="F289">
        <f>Dataset_1!F289</f>
        <v>10</v>
      </c>
      <c r="G289" t="b">
        <f>Dataset_1!G289</f>
        <v>0</v>
      </c>
      <c r="H289">
        <f>Dataset_1!H289</f>
        <v>4</v>
      </c>
      <c r="I289">
        <f>Dataset_1!I289</f>
        <v>2</v>
      </c>
      <c r="J289">
        <f>Dataset_1!J289</f>
        <v>0.16</v>
      </c>
      <c r="K289">
        <f>INDEX(Dataset_2!$B$2:$B$611,MATCH($A289,Dataset_2!$A$2:$A$611,0))</f>
        <v>0.13639999999999999</v>
      </c>
      <c r="L289">
        <f>INDEX(Dataset_2!$C$2:$C$611,MATCH($A289,Dataset_2!$A$2:$A$611,0))</f>
        <v>0.5</v>
      </c>
      <c r="M289">
        <f>INDEX(Dataset_2!$D$2:$D$611,MATCH($A289,Dataset_2!$A$2:$A$611,0))</f>
        <v>0.35820000000000002</v>
      </c>
      <c r="N289">
        <f>INDEX(Dataset_2!$E$2:$E$611,MATCH($A289,Dataset_2!$A$2:$A$611,0))</f>
        <v>2</v>
      </c>
      <c r="O289">
        <f>INDEX(Dataset_2!$F$2:$F$611,MATCH($A289,Dataset_2!$A$2:$A$611,0))</f>
        <v>36</v>
      </c>
      <c r="P289">
        <f>INDEX(Dataset_2!$G$2:$G$611,MATCH($A289,Dataset_2!$A$2:$A$611,0))</f>
        <v>38</v>
      </c>
    </row>
    <row r="290" spans="1:16" x14ac:dyDescent="0.2">
      <c r="A290">
        <f>Dataset_1!A290</f>
        <v>289</v>
      </c>
      <c r="B290" s="61">
        <f>Dataset_1!B290</f>
        <v>40556</v>
      </c>
      <c r="C290">
        <f>Dataset_1!C290</f>
        <v>1</v>
      </c>
      <c r="D290">
        <f>Dataset_1!D290</f>
        <v>0</v>
      </c>
      <c r="E290">
        <f>Dataset_1!E290</f>
        <v>1</v>
      </c>
      <c r="F290">
        <f>Dataset_1!F290</f>
        <v>11</v>
      </c>
      <c r="G290" t="b">
        <f>Dataset_1!G290</f>
        <v>0</v>
      </c>
      <c r="H290">
        <f>Dataset_1!H290</f>
        <v>4</v>
      </c>
      <c r="I290">
        <f>Dataset_1!I290</f>
        <v>2</v>
      </c>
      <c r="J290">
        <f>Dataset_1!J290</f>
        <v>0.2</v>
      </c>
      <c r="K290">
        <f>INDEX(Dataset_2!$B$2:$B$611,MATCH($A290,Dataset_2!$A$2:$A$611,0))</f>
        <v>0.16669999999999999</v>
      </c>
      <c r="L290">
        <f>INDEX(Dataset_2!$C$2:$C$611,MATCH($A290,Dataset_2!$A$2:$A$611,0))</f>
        <v>0.44</v>
      </c>
      <c r="M290">
        <f>INDEX(Dataset_2!$D$2:$D$611,MATCH($A290,Dataset_2!$A$2:$A$611,0))</f>
        <v>0.44779999999999998</v>
      </c>
      <c r="N290">
        <f>INDEX(Dataset_2!$E$2:$E$611,MATCH($A290,Dataset_2!$A$2:$A$611,0))</f>
        <v>4</v>
      </c>
      <c r="O290">
        <f>INDEX(Dataset_2!$F$2:$F$611,MATCH($A290,Dataset_2!$A$2:$A$611,0))</f>
        <v>33</v>
      </c>
      <c r="P290">
        <f>INDEX(Dataset_2!$G$2:$G$611,MATCH($A290,Dataset_2!$A$2:$A$611,0))</f>
        <v>37</v>
      </c>
    </row>
    <row r="291" spans="1:16" x14ac:dyDescent="0.2">
      <c r="A291">
        <f>Dataset_1!A291</f>
        <v>290</v>
      </c>
      <c r="B291" s="61">
        <f>Dataset_1!B291</f>
        <v>40556</v>
      </c>
      <c r="C291">
        <f>Dataset_1!C291</f>
        <v>1</v>
      </c>
      <c r="D291">
        <f>Dataset_1!D291</f>
        <v>0</v>
      </c>
      <c r="E291">
        <f>Dataset_1!E291</f>
        <v>1</v>
      </c>
      <c r="F291">
        <f>Dataset_1!F291</f>
        <v>12</v>
      </c>
      <c r="G291" t="b">
        <f>Dataset_1!G291</f>
        <v>0</v>
      </c>
      <c r="H291">
        <f>Dataset_1!H291</f>
        <v>4</v>
      </c>
      <c r="I291">
        <f>Dataset_1!I291</f>
        <v>1</v>
      </c>
      <c r="J291">
        <f>Dataset_1!J291</f>
        <v>0.2</v>
      </c>
      <c r="K291">
        <f>INDEX(Dataset_2!$B$2:$B$611,MATCH($A291,Dataset_2!$A$2:$A$611,0))</f>
        <v>0.16669999999999999</v>
      </c>
      <c r="L291">
        <f>INDEX(Dataset_2!$C$2:$C$611,MATCH($A291,Dataset_2!$A$2:$A$611,0))</f>
        <v>0.44</v>
      </c>
      <c r="M291">
        <f>INDEX(Dataset_2!$D$2:$D$611,MATCH($A291,Dataset_2!$A$2:$A$611,0))</f>
        <v>0.41789999999999999</v>
      </c>
      <c r="N291">
        <f>INDEX(Dataset_2!$E$2:$E$611,MATCH($A291,Dataset_2!$A$2:$A$611,0))</f>
        <v>3</v>
      </c>
      <c r="O291">
        <f>INDEX(Dataset_2!$F$2:$F$611,MATCH($A291,Dataset_2!$A$2:$A$611,0))</f>
        <v>49</v>
      </c>
      <c r="P291">
        <f>INDEX(Dataset_2!$G$2:$G$611,MATCH($A291,Dataset_2!$A$2:$A$611,0))</f>
        <v>52</v>
      </c>
    </row>
    <row r="292" spans="1:16" x14ac:dyDescent="0.2">
      <c r="A292">
        <f>Dataset_1!A292</f>
        <v>291</v>
      </c>
      <c r="B292" s="61">
        <f>Dataset_1!B292</f>
        <v>40556</v>
      </c>
      <c r="C292">
        <f>Dataset_1!C292</f>
        <v>1</v>
      </c>
      <c r="D292">
        <f>Dataset_1!D292</f>
        <v>0</v>
      </c>
      <c r="E292">
        <f>Dataset_1!E292</f>
        <v>1</v>
      </c>
      <c r="F292">
        <f>Dataset_1!F292</f>
        <v>13</v>
      </c>
      <c r="G292" t="b">
        <f>Dataset_1!G292</f>
        <v>0</v>
      </c>
      <c r="H292">
        <f>Dataset_1!H292</f>
        <v>4</v>
      </c>
      <c r="I292">
        <f>Dataset_1!I292</f>
        <v>1</v>
      </c>
      <c r="J292">
        <f>Dataset_1!J292</f>
        <v>0.22</v>
      </c>
      <c r="K292">
        <f>INDEX(Dataset_2!$B$2:$B$611,MATCH($A292,Dataset_2!$A$2:$A$611,0))</f>
        <v>0.19700000000000001</v>
      </c>
      <c r="L292">
        <f>INDEX(Dataset_2!$C$2:$C$611,MATCH($A292,Dataset_2!$A$2:$A$611,0))</f>
        <v>0.41</v>
      </c>
      <c r="M292">
        <f>INDEX(Dataset_2!$D$2:$D$611,MATCH($A292,Dataset_2!$A$2:$A$611,0))</f>
        <v>0.44779999999999998</v>
      </c>
      <c r="N292">
        <f>INDEX(Dataset_2!$E$2:$E$611,MATCH($A292,Dataset_2!$A$2:$A$611,0))</f>
        <v>2</v>
      </c>
      <c r="O292">
        <f>INDEX(Dataset_2!$F$2:$F$611,MATCH($A292,Dataset_2!$A$2:$A$611,0))</f>
        <v>81</v>
      </c>
      <c r="P292">
        <f>INDEX(Dataset_2!$G$2:$G$611,MATCH($A292,Dataset_2!$A$2:$A$611,0))</f>
        <v>83</v>
      </c>
    </row>
    <row r="293" spans="1:16" x14ac:dyDescent="0.2">
      <c r="A293">
        <f>Dataset_1!A293</f>
        <v>292</v>
      </c>
      <c r="B293" s="61">
        <f>Dataset_1!B293</f>
        <v>40556</v>
      </c>
      <c r="C293">
        <f>Dataset_1!C293</f>
        <v>1</v>
      </c>
      <c r="D293">
        <f>Dataset_1!D293</f>
        <v>0</v>
      </c>
      <c r="E293">
        <f>Dataset_1!E293</f>
        <v>1</v>
      </c>
      <c r="F293">
        <f>Dataset_1!F293</f>
        <v>14</v>
      </c>
      <c r="G293" t="b">
        <f>Dataset_1!G293</f>
        <v>0</v>
      </c>
      <c r="H293">
        <f>Dataset_1!H293</f>
        <v>4</v>
      </c>
      <c r="I293">
        <f>Dataset_1!I293</f>
        <v>1</v>
      </c>
      <c r="J293">
        <f>Dataset_1!J293</f>
        <v>0.22</v>
      </c>
      <c r="K293">
        <f>INDEX(Dataset_2!$B$2:$B$611,MATCH($A293,Dataset_2!$A$2:$A$611,0))</f>
        <v>0.19700000000000001</v>
      </c>
      <c r="L293">
        <f>INDEX(Dataset_2!$C$2:$C$611,MATCH($A293,Dataset_2!$A$2:$A$611,0))</f>
        <v>0.41</v>
      </c>
      <c r="M293">
        <f>INDEX(Dataset_2!$D$2:$D$611,MATCH($A293,Dataset_2!$A$2:$A$611,0))</f>
        <v>0.3881</v>
      </c>
      <c r="N293">
        <f>INDEX(Dataset_2!$E$2:$E$611,MATCH($A293,Dataset_2!$A$2:$A$611,0))</f>
        <v>3</v>
      </c>
      <c r="O293">
        <f>INDEX(Dataset_2!$F$2:$F$611,MATCH($A293,Dataset_2!$A$2:$A$611,0))</f>
        <v>39</v>
      </c>
      <c r="P293">
        <f>INDEX(Dataset_2!$G$2:$G$611,MATCH($A293,Dataset_2!$A$2:$A$611,0))</f>
        <v>42</v>
      </c>
    </row>
    <row r="294" spans="1:16" x14ac:dyDescent="0.2">
      <c r="A294">
        <f>Dataset_1!A294</f>
        <v>293</v>
      </c>
      <c r="B294" s="61">
        <f>Dataset_1!B294</f>
        <v>40556</v>
      </c>
      <c r="C294">
        <f>Dataset_1!C294</f>
        <v>1</v>
      </c>
      <c r="D294">
        <f>Dataset_1!D294</f>
        <v>0</v>
      </c>
      <c r="E294">
        <f>Dataset_1!E294</f>
        <v>1</v>
      </c>
      <c r="F294">
        <f>Dataset_1!F294</f>
        <v>15</v>
      </c>
      <c r="G294" t="b">
        <f>Dataset_1!G294</f>
        <v>0</v>
      </c>
      <c r="H294">
        <f>Dataset_1!H294</f>
        <v>4</v>
      </c>
      <c r="I294">
        <f>Dataset_1!I294</f>
        <v>1</v>
      </c>
      <c r="J294">
        <f>Dataset_1!J294</f>
        <v>0.24</v>
      </c>
      <c r="K294">
        <f>INDEX(Dataset_2!$B$2:$B$611,MATCH($A294,Dataset_2!$A$2:$A$611,0))</f>
        <v>0.21210000000000001</v>
      </c>
      <c r="L294">
        <f>INDEX(Dataset_2!$C$2:$C$611,MATCH($A294,Dataset_2!$A$2:$A$611,0))</f>
        <v>0.38</v>
      </c>
      <c r="M294">
        <f>INDEX(Dataset_2!$D$2:$D$611,MATCH($A294,Dataset_2!$A$2:$A$611,0))</f>
        <v>0.29849999999999999</v>
      </c>
      <c r="N294">
        <f>INDEX(Dataset_2!$E$2:$E$611,MATCH($A294,Dataset_2!$A$2:$A$611,0))</f>
        <v>5</v>
      </c>
      <c r="O294">
        <f>INDEX(Dataset_2!$F$2:$F$611,MATCH($A294,Dataset_2!$A$2:$A$611,0))</f>
        <v>55</v>
      </c>
      <c r="P294">
        <f>INDEX(Dataset_2!$G$2:$G$611,MATCH($A294,Dataset_2!$A$2:$A$611,0))</f>
        <v>60</v>
      </c>
    </row>
    <row r="295" spans="1:16" x14ac:dyDescent="0.2">
      <c r="A295">
        <f>Dataset_1!A295</f>
        <v>294</v>
      </c>
      <c r="B295" s="61">
        <f>Dataset_1!B295</f>
        <v>40556</v>
      </c>
      <c r="C295">
        <f>Dataset_1!C295</f>
        <v>1</v>
      </c>
      <c r="D295">
        <f>Dataset_1!D295</f>
        <v>0</v>
      </c>
      <c r="E295">
        <f>Dataset_1!E295</f>
        <v>1</v>
      </c>
      <c r="F295">
        <f>Dataset_1!F295</f>
        <v>16</v>
      </c>
      <c r="G295" t="b">
        <f>Dataset_1!G295</f>
        <v>0</v>
      </c>
      <c r="H295">
        <f>Dataset_1!H295</f>
        <v>4</v>
      </c>
      <c r="I295">
        <f>Dataset_1!I295</f>
        <v>1</v>
      </c>
      <c r="J295">
        <f>Dataset_1!J295</f>
        <v>0.24</v>
      </c>
      <c r="K295">
        <f>INDEX(Dataset_2!$B$2:$B$611,MATCH($A295,Dataset_2!$A$2:$A$611,0))</f>
        <v>0.21210000000000001</v>
      </c>
      <c r="L295">
        <f>INDEX(Dataset_2!$C$2:$C$611,MATCH($A295,Dataset_2!$A$2:$A$611,0))</f>
        <v>0.38</v>
      </c>
      <c r="M295">
        <f>INDEX(Dataset_2!$D$2:$D$611,MATCH($A295,Dataset_2!$A$2:$A$611,0))</f>
        <v>0.35820000000000002</v>
      </c>
      <c r="N295">
        <f>INDEX(Dataset_2!$E$2:$E$611,MATCH($A295,Dataset_2!$A$2:$A$611,0))</f>
        <v>2</v>
      </c>
      <c r="O295">
        <f>INDEX(Dataset_2!$F$2:$F$611,MATCH($A295,Dataset_2!$A$2:$A$611,0))</f>
        <v>76</v>
      </c>
      <c r="P295">
        <f>INDEX(Dataset_2!$G$2:$G$611,MATCH($A295,Dataset_2!$A$2:$A$611,0))</f>
        <v>78</v>
      </c>
    </row>
    <row r="296" spans="1:16" x14ac:dyDescent="0.2">
      <c r="A296">
        <f>Dataset_1!A296</f>
        <v>295</v>
      </c>
      <c r="B296" s="61">
        <f>Dataset_1!B296</f>
        <v>40556</v>
      </c>
      <c r="C296">
        <f>Dataset_1!C296</f>
        <v>1</v>
      </c>
      <c r="D296">
        <f>Dataset_1!D296</f>
        <v>0</v>
      </c>
      <c r="E296">
        <f>Dataset_1!E296</f>
        <v>1</v>
      </c>
      <c r="F296">
        <f>Dataset_1!F296</f>
        <v>17</v>
      </c>
      <c r="G296" t="b">
        <f>Dataset_1!G296</f>
        <v>0</v>
      </c>
      <c r="H296">
        <f>Dataset_1!H296</f>
        <v>4</v>
      </c>
      <c r="I296">
        <f>Dataset_1!I296</f>
        <v>1</v>
      </c>
      <c r="J296">
        <f>Dataset_1!J296</f>
        <v>0.2</v>
      </c>
      <c r="K296">
        <f>INDEX(Dataset_2!$B$2:$B$611,MATCH($A296,Dataset_2!$A$2:$A$611,0))</f>
        <v>0.18179999999999999</v>
      </c>
      <c r="L296">
        <f>INDEX(Dataset_2!$C$2:$C$611,MATCH($A296,Dataset_2!$A$2:$A$611,0))</f>
        <v>0.4</v>
      </c>
      <c r="M296">
        <f>INDEX(Dataset_2!$D$2:$D$611,MATCH($A296,Dataset_2!$A$2:$A$611,0))</f>
        <v>0.28360000000000002</v>
      </c>
      <c r="N296">
        <f>INDEX(Dataset_2!$E$2:$E$611,MATCH($A296,Dataset_2!$A$2:$A$611,0))</f>
        <v>4</v>
      </c>
      <c r="O296">
        <f>INDEX(Dataset_2!$F$2:$F$611,MATCH($A296,Dataset_2!$A$2:$A$611,0))</f>
        <v>158</v>
      </c>
      <c r="P296">
        <f>INDEX(Dataset_2!$G$2:$G$611,MATCH($A296,Dataset_2!$A$2:$A$611,0))</f>
        <v>162</v>
      </c>
    </row>
    <row r="297" spans="1:16" x14ac:dyDescent="0.2">
      <c r="A297">
        <f>Dataset_1!A297</f>
        <v>296</v>
      </c>
      <c r="B297" s="61">
        <f>Dataset_1!B297</f>
        <v>40556</v>
      </c>
      <c r="C297">
        <f>Dataset_1!C297</f>
        <v>1</v>
      </c>
      <c r="D297">
        <f>Dataset_1!D297</f>
        <v>0</v>
      </c>
      <c r="E297">
        <f>Dataset_1!E297</f>
        <v>1</v>
      </c>
      <c r="F297">
        <f>Dataset_1!F297</f>
        <v>18</v>
      </c>
      <c r="G297" t="b">
        <f>Dataset_1!G297</f>
        <v>0</v>
      </c>
      <c r="H297">
        <f>Dataset_1!H297</f>
        <v>4</v>
      </c>
      <c r="I297">
        <f>Dataset_1!I297</f>
        <v>1</v>
      </c>
      <c r="J297">
        <f>Dataset_1!J297</f>
        <v>0.2</v>
      </c>
      <c r="K297">
        <f>INDEX(Dataset_2!$B$2:$B$611,MATCH($A297,Dataset_2!$A$2:$A$611,0))</f>
        <v>0.18179999999999999</v>
      </c>
      <c r="L297">
        <f>INDEX(Dataset_2!$C$2:$C$611,MATCH($A297,Dataset_2!$A$2:$A$611,0))</f>
        <v>0.4</v>
      </c>
      <c r="M297">
        <f>INDEX(Dataset_2!$D$2:$D$611,MATCH($A297,Dataset_2!$A$2:$A$611,0))</f>
        <v>0.32840000000000003</v>
      </c>
      <c r="N297">
        <f>INDEX(Dataset_2!$E$2:$E$611,MATCH($A297,Dataset_2!$A$2:$A$611,0))</f>
        <v>3</v>
      </c>
      <c r="O297">
        <f>INDEX(Dataset_2!$F$2:$F$611,MATCH($A297,Dataset_2!$A$2:$A$611,0))</f>
        <v>141</v>
      </c>
      <c r="P297">
        <f>INDEX(Dataset_2!$G$2:$G$611,MATCH($A297,Dataset_2!$A$2:$A$611,0))</f>
        <v>144</v>
      </c>
    </row>
    <row r="298" spans="1:16" x14ac:dyDescent="0.2">
      <c r="A298">
        <f>Dataset_1!A298</f>
        <v>297</v>
      </c>
      <c r="B298" s="61">
        <f>Dataset_1!B298</f>
        <v>40556</v>
      </c>
      <c r="C298">
        <f>Dataset_1!C298</f>
        <v>1</v>
      </c>
      <c r="D298">
        <f>Dataset_1!D298</f>
        <v>0</v>
      </c>
      <c r="E298">
        <f>Dataset_1!E298</f>
        <v>1</v>
      </c>
      <c r="F298">
        <f>Dataset_1!F298</f>
        <v>19</v>
      </c>
      <c r="G298" t="b">
        <f>Dataset_1!G298</f>
        <v>0</v>
      </c>
      <c r="H298">
        <f>Dataset_1!H298</f>
        <v>4</v>
      </c>
      <c r="I298">
        <f>Dataset_1!I298</f>
        <v>1</v>
      </c>
      <c r="J298">
        <f>Dataset_1!J298</f>
        <v>0.16</v>
      </c>
      <c r="K298">
        <f>INDEX(Dataset_2!$B$2:$B$611,MATCH($A298,Dataset_2!$A$2:$A$611,0))</f>
        <v>0.1515</v>
      </c>
      <c r="L298">
        <f>INDEX(Dataset_2!$C$2:$C$611,MATCH($A298,Dataset_2!$A$2:$A$611,0))</f>
        <v>0.47</v>
      </c>
      <c r="M298">
        <f>INDEX(Dataset_2!$D$2:$D$611,MATCH($A298,Dataset_2!$A$2:$A$611,0))</f>
        <v>0.25369999999999998</v>
      </c>
      <c r="N298">
        <f>INDEX(Dataset_2!$E$2:$E$611,MATCH($A298,Dataset_2!$A$2:$A$611,0))</f>
        <v>1</v>
      </c>
      <c r="O298">
        <f>INDEX(Dataset_2!$F$2:$F$611,MATCH($A298,Dataset_2!$A$2:$A$611,0))</f>
        <v>98</v>
      </c>
      <c r="P298">
        <f>INDEX(Dataset_2!$G$2:$G$611,MATCH($A298,Dataset_2!$A$2:$A$611,0))</f>
        <v>99</v>
      </c>
    </row>
    <row r="299" spans="1:16" x14ac:dyDescent="0.2">
      <c r="A299">
        <f>Dataset_1!A299</f>
        <v>298</v>
      </c>
      <c r="B299" s="61">
        <f>Dataset_1!B299</f>
        <v>40556</v>
      </c>
      <c r="C299">
        <f>Dataset_1!C299</f>
        <v>1</v>
      </c>
      <c r="D299">
        <f>Dataset_1!D299</f>
        <v>0</v>
      </c>
      <c r="E299">
        <f>Dataset_1!E299</f>
        <v>1</v>
      </c>
      <c r="F299">
        <f>Dataset_1!F299</f>
        <v>20</v>
      </c>
      <c r="G299" t="b">
        <f>Dataset_1!G299</f>
        <v>0</v>
      </c>
      <c r="H299">
        <f>Dataset_1!H299</f>
        <v>4</v>
      </c>
      <c r="I299">
        <f>Dataset_1!I299</f>
        <v>1</v>
      </c>
      <c r="J299">
        <f>Dataset_1!J299</f>
        <v>0.16</v>
      </c>
      <c r="K299">
        <f>INDEX(Dataset_2!$B$2:$B$611,MATCH($A299,Dataset_2!$A$2:$A$611,0))</f>
        <v>0.1515</v>
      </c>
      <c r="L299">
        <f>INDEX(Dataset_2!$C$2:$C$611,MATCH($A299,Dataset_2!$A$2:$A$611,0))</f>
        <v>0.47</v>
      </c>
      <c r="M299">
        <f>INDEX(Dataset_2!$D$2:$D$611,MATCH($A299,Dataset_2!$A$2:$A$611,0))</f>
        <v>0.22389999999999999</v>
      </c>
      <c r="N299">
        <f>INDEX(Dataset_2!$E$2:$E$611,MATCH($A299,Dataset_2!$A$2:$A$611,0))</f>
        <v>0</v>
      </c>
      <c r="O299">
        <f>INDEX(Dataset_2!$F$2:$F$611,MATCH($A299,Dataset_2!$A$2:$A$611,0))</f>
        <v>64</v>
      </c>
      <c r="P299">
        <f>INDEX(Dataset_2!$G$2:$G$611,MATCH($A299,Dataset_2!$A$2:$A$611,0))</f>
        <v>64</v>
      </c>
    </row>
    <row r="300" spans="1:16" x14ac:dyDescent="0.2">
      <c r="A300">
        <f>Dataset_1!A300</f>
        <v>299</v>
      </c>
      <c r="B300" s="61">
        <f>Dataset_1!B300</f>
        <v>40556</v>
      </c>
      <c r="C300">
        <f>Dataset_1!C300</f>
        <v>1</v>
      </c>
      <c r="D300">
        <f>Dataset_1!D300</f>
        <v>0</v>
      </c>
      <c r="E300">
        <f>Dataset_1!E300</f>
        <v>1</v>
      </c>
      <c r="F300">
        <f>Dataset_1!F300</f>
        <v>21</v>
      </c>
      <c r="G300" t="b">
        <f>Dataset_1!G300</f>
        <v>0</v>
      </c>
      <c r="H300">
        <f>Dataset_1!H300</f>
        <v>4</v>
      </c>
      <c r="I300">
        <f>Dataset_1!I300</f>
        <v>1</v>
      </c>
      <c r="J300">
        <f>Dataset_1!J300</f>
        <v>0.14000000000000001</v>
      </c>
      <c r="K300">
        <f>INDEX(Dataset_2!$B$2:$B$611,MATCH($A300,Dataset_2!$A$2:$A$611,0))</f>
        <v>0.1212</v>
      </c>
      <c r="L300">
        <f>INDEX(Dataset_2!$C$2:$C$611,MATCH($A300,Dataset_2!$A$2:$A$611,0))</f>
        <v>0.46</v>
      </c>
      <c r="M300">
        <f>INDEX(Dataset_2!$D$2:$D$611,MATCH($A300,Dataset_2!$A$2:$A$611,0))</f>
        <v>0.29849999999999999</v>
      </c>
      <c r="N300">
        <f>INDEX(Dataset_2!$E$2:$E$611,MATCH($A300,Dataset_2!$A$2:$A$611,0))</f>
        <v>0</v>
      </c>
      <c r="O300">
        <f>INDEX(Dataset_2!$F$2:$F$611,MATCH($A300,Dataset_2!$A$2:$A$611,0))</f>
        <v>40</v>
      </c>
      <c r="P300">
        <f>INDEX(Dataset_2!$G$2:$G$611,MATCH($A300,Dataset_2!$A$2:$A$611,0))</f>
        <v>40</v>
      </c>
    </row>
    <row r="301" spans="1:16" x14ac:dyDescent="0.2">
      <c r="A301">
        <f>Dataset_1!A301</f>
        <v>300</v>
      </c>
      <c r="B301" s="61">
        <f>Dataset_1!B301</f>
        <v>40556</v>
      </c>
      <c r="C301">
        <f>Dataset_1!C301</f>
        <v>1</v>
      </c>
      <c r="D301">
        <f>Dataset_1!D301</f>
        <v>0</v>
      </c>
      <c r="E301">
        <f>Dataset_1!E301</f>
        <v>1</v>
      </c>
      <c r="F301">
        <f>Dataset_1!F301</f>
        <v>22</v>
      </c>
      <c r="G301" t="b">
        <f>Dataset_1!G301</f>
        <v>0</v>
      </c>
      <c r="H301">
        <f>Dataset_1!H301</f>
        <v>4</v>
      </c>
      <c r="I301">
        <f>Dataset_1!I301</f>
        <v>1</v>
      </c>
      <c r="J301">
        <f>Dataset_1!J301</f>
        <v>0.14000000000000001</v>
      </c>
      <c r="K301">
        <f>INDEX(Dataset_2!$B$2:$B$611,MATCH($A301,Dataset_2!$A$2:$A$611,0))</f>
        <v>0.1212</v>
      </c>
      <c r="L301">
        <f>INDEX(Dataset_2!$C$2:$C$611,MATCH($A301,Dataset_2!$A$2:$A$611,0))</f>
        <v>0.46</v>
      </c>
      <c r="M301">
        <f>INDEX(Dataset_2!$D$2:$D$611,MATCH($A301,Dataset_2!$A$2:$A$611,0))</f>
        <v>0.32840000000000003</v>
      </c>
      <c r="N301">
        <f>INDEX(Dataset_2!$E$2:$E$611,MATCH($A301,Dataset_2!$A$2:$A$611,0))</f>
        <v>0</v>
      </c>
      <c r="O301">
        <f>INDEX(Dataset_2!$F$2:$F$611,MATCH($A301,Dataset_2!$A$2:$A$611,0))</f>
        <v>30</v>
      </c>
      <c r="P301">
        <f>INDEX(Dataset_2!$G$2:$G$611,MATCH($A301,Dataset_2!$A$2:$A$611,0))</f>
        <v>30</v>
      </c>
    </row>
    <row r="302" spans="1:16" x14ac:dyDescent="0.2">
      <c r="A302">
        <f>Dataset_1!A302</f>
        <v>301</v>
      </c>
      <c r="B302" s="61">
        <f>Dataset_1!B302</f>
        <v>40556</v>
      </c>
      <c r="C302">
        <f>Dataset_1!C302</f>
        <v>1</v>
      </c>
      <c r="D302">
        <f>Dataset_1!D302</f>
        <v>0</v>
      </c>
      <c r="E302">
        <f>Dataset_1!E302</f>
        <v>1</v>
      </c>
      <c r="F302">
        <f>Dataset_1!F302</f>
        <v>23</v>
      </c>
      <c r="G302" t="b">
        <f>Dataset_1!G302</f>
        <v>0</v>
      </c>
      <c r="H302">
        <f>Dataset_1!H302</f>
        <v>4</v>
      </c>
      <c r="I302">
        <f>Dataset_1!I302</f>
        <v>1</v>
      </c>
      <c r="J302">
        <f>Dataset_1!J302</f>
        <v>0.12</v>
      </c>
      <c r="K302">
        <f>INDEX(Dataset_2!$B$2:$B$611,MATCH($A302,Dataset_2!$A$2:$A$611,0))</f>
        <v>0.13639999999999999</v>
      </c>
      <c r="L302">
        <f>INDEX(Dataset_2!$C$2:$C$611,MATCH($A302,Dataset_2!$A$2:$A$611,0))</f>
        <v>0.5</v>
      </c>
      <c r="M302">
        <f>INDEX(Dataset_2!$D$2:$D$611,MATCH($A302,Dataset_2!$A$2:$A$611,0))</f>
        <v>0.19400000000000001</v>
      </c>
      <c r="N302">
        <f>INDEX(Dataset_2!$E$2:$E$611,MATCH($A302,Dataset_2!$A$2:$A$611,0))</f>
        <v>1</v>
      </c>
      <c r="O302">
        <f>INDEX(Dataset_2!$F$2:$F$611,MATCH($A302,Dataset_2!$A$2:$A$611,0))</f>
        <v>14</v>
      </c>
      <c r="P302">
        <f>INDEX(Dataset_2!$G$2:$G$611,MATCH($A302,Dataset_2!$A$2:$A$611,0))</f>
        <v>15</v>
      </c>
    </row>
    <row r="303" spans="1:16" x14ac:dyDescent="0.2">
      <c r="A303">
        <f>Dataset_1!A303</f>
        <v>302</v>
      </c>
      <c r="B303" s="61">
        <f>Dataset_1!B303</f>
        <v>40557</v>
      </c>
      <c r="C303">
        <f>Dataset_1!C303</f>
        <v>1</v>
      </c>
      <c r="D303">
        <f>Dataset_1!D303</f>
        <v>0</v>
      </c>
      <c r="E303">
        <f>Dataset_1!E303</f>
        <v>1</v>
      </c>
      <c r="F303">
        <f>Dataset_1!F303</f>
        <v>0</v>
      </c>
      <c r="G303" t="b">
        <f>Dataset_1!G303</f>
        <v>0</v>
      </c>
      <c r="H303">
        <f>Dataset_1!H303</f>
        <v>5</v>
      </c>
      <c r="I303">
        <f>Dataset_1!I303</f>
        <v>1</v>
      </c>
      <c r="J303">
        <f>Dataset_1!J303</f>
        <v>0.12</v>
      </c>
      <c r="K303">
        <f>INDEX(Dataset_2!$B$2:$B$611,MATCH($A303,Dataset_2!$A$2:$A$611,0))</f>
        <v>0.13639999999999999</v>
      </c>
      <c r="L303">
        <f>INDEX(Dataset_2!$C$2:$C$611,MATCH($A303,Dataset_2!$A$2:$A$611,0))</f>
        <v>0.5</v>
      </c>
      <c r="M303">
        <f>INDEX(Dataset_2!$D$2:$D$611,MATCH($A303,Dataset_2!$A$2:$A$611,0))</f>
        <v>0.19400000000000001</v>
      </c>
      <c r="N303">
        <f>INDEX(Dataset_2!$E$2:$E$611,MATCH($A303,Dataset_2!$A$2:$A$611,0))</f>
        <v>0</v>
      </c>
      <c r="O303">
        <f>INDEX(Dataset_2!$F$2:$F$611,MATCH($A303,Dataset_2!$A$2:$A$611,0))</f>
        <v>14</v>
      </c>
      <c r="P303">
        <f>INDEX(Dataset_2!$G$2:$G$611,MATCH($A303,Dataset_2!$A$2:$A$611,0))</f>
        <v>14</v>
      </c>
    </row>
    <row r="304" spans="1:16" x14ac:dyDescent="0.2">
      <c r="A304">
        <f>Dataset_1!A304</f>
        <v>303</v>
      </c>
      <c r="B304" s="61">
        <f>Dataset_1!B304</f>
        <v>40557</v>
      </c>
      <c r="C304">
        <f>Dataset_1!C304</f>
        <v>1</v>
      </c>
      <c r="D304">
        <f>Dataset_1!D304</f>
        <v>0</v>
      </c>
      <c r="E304">
        <f>Dataset_1!E304</f>
        <v>1</v>
      </c>
      <c r="F304">
        <f>Dataset_1!F304</f>
        <v>1</v>
      </c>
      <c r="G304" t="b">
        <f>Dataset_1!G304</f>
        <v>0</v>
      </c>
      <c r="H304">
        <f>Dataset_1!H304</f>
        <v>5</v>
      </c>
      <c r="I304">
        <f>Dataset_1!I304</f>
        <v>1</v>
      </c>
      <c r="J304">
        <f>Dataset_1!J304</f>
        <v>0.1</v>
      </c>
      <c r="K304">
        <f>INDEX(Dataset_2!$B$2:$B$611,MATCH($A304,Dataset_2!$A$2:$A$611,0))</f>
        <v>0.1212</v>
      </c>
      <c r="L304">
        <f>INDEX(Dataset_2!$C$2:$C$611,MATCH($A304,Dataset_2!$A$2:$A$611,0))</f>
        <v>0.54</v>
      </c>
      <c r="M304">
        <f>INDEX(Dataset_2!$D$2:$D$611,MATCH($A304,Dataset_2!$A$2:$A$611,0))</f>
        <v>0.16420000000000001</v>
      </c>
      <c r="N304">
        <f>INDEX(Dataset_2!$E$2:$E$611,MATCH($A304,Dataset_2!$A$2:$A$611,0))</f>
        <v>0</v>
      </c>
      <c r="O304">
        <f>INDEX(Dataset_2!$F$2:$F$611,MATCH($A304,Dataset_2!$A$2:$A$611,0))</f>
        <v>5</v>
      </c>
      <c r="P304">
        <f>INDEX(Dataset_2!$G$2:$G$611,MATCH($A304,Dataset_2!$A$2:$A$611,0))</f>
        <v>5</v>
      </c>
    </row>
    <row r="305" spans="1:16" x14ac:dyDescent="0.2">
      <c r="A305">
        <f>Dataset_1!A305</f>
        <v>304</v>
      </c>
      <c r="B305" s="61">
        <f>Dataset_1!B305</f>
        <v>40557</v>
      </c>
      <c r="C305">
        <f>Dataset_1!C305</f>
        <v>1</v>
      </c>
      <c r="D305">
        <f>Dataset_1!D305</f>
        <v>0</v>
      </c>
      <c r="E305">
        <f>Dataset_1!E305</f>
        <v>1</v>
      </c>
      <c r="F305">
        <f>Dataset_1!F305</f>
        <v>2</v>
      </c>
      <c r="G305" t="b">
        <f>Dataset_1!G305</f>
        <v>0</v>
      </c>
      <c r="H305">
        <f>Dataset_1!H305</f>
        <v>5</v>
      </c>
      <c r="I305">
        <f>Dataset_1!I305</f>
        <v>1</v>
      </c>
      <c r="J305">
        <f>Dataset_1!J305</f>
        <v>0.1</v>
      </c>
      <c r="K305">
        <f>INDEX(Dataset_2!$B$2:$B$611,MATCH($A305,Dataset_2!$A$2:$A$611,0))</f>
        <v>0.1212</v>
      </c>
      <c r="L305">
        <f>INDEX(Dataset_2!$C$2:$C$611,MATCH($A305,Dataset_2!$A$2:$A$611,0))</f>
        <v>0.54</v>
      </c>
      <c r="M305">
        <f>INDEX(Dataset_2!$D$2:$D$611,MATCH($A305,Dataset_2!$A$2:$A$611,0))</f>
        <v>0.1343</v>
      </c>
      <c r="N305">
        <f>INDEX(Dataset_2!$E$2:$E$611,MATCH($A305,Dataset_2!$A$2:$A$611,0))</f>
        <v>0</v>
      </c>
      <c r="O305">
        <f>INDEX(Dataset_2!$F$2:$F$611,MATCH($A305,Dataset_2!$A$2:$A$611,0))</f>
        <v>1</v>
      </c>
      <c r="P305">
        <f>INDEX(Dataset_2!$G$2:$G$611,MATCH($A305,Dataset_2!$A$2:$A$611,0))</f>
        <v>1</v>
      </c>
    </row>
    <row r="306" spans="1:16" x14ac:dyDescent="0.2">
      <c r="A306">
        <f>Dataset_1!A306</f>
        <v>305</v>
      </c>
      <c r="B306" s="61">
        <f>Dataset_1!B306</f>
        <v>40557</v>
      </c>
      <c r="C306">
        <f>Dataset_1!C306</f>
        <v>1</v>
      </c>
      <c r="D306">
        <f>Dataset_1!D306</f>
        <v>0</v>
      </c>
      <c r="E306">
        <f>Dataset_1!E306</f>
        <v>1</v>
      </c>
      <c r="F306">
        <f>Dataset_1!F306</f>
        <v>3</v>
      </c>
      <c r="G306" t="b">
        <f>Dataset_1!G306</f>
        <v>0</v>
      </c>
      <c r="H306">
        <f>Dataset_1!H306</f>
        <v>5</v>
      </c>
      <c r="I306">
        <f>Dataset_1!I306</f>
        <v>1</v>
      </c>
      <c r="J306">
        <f>Dataset_1!J306</f>
        <v>0.1</v>
      </c>
      <c r="K306">
        <f>INDEX(Dataset_2!$B$2:$B$611,MATCH($A306,Dataset_2!$A$2:$A$611,0))</f>
        <v>0.13639999999999999</v>
      </c>
      <c r="L306">
        <f>INDEX(Dataset_2!$C$2:$C$611,MATCH($A306,Dataset_2!$A$2:$A$611,0))</f>
        <v>0.54</v>
      </c>
      <c r="M306">
        <f>INDEX(Dataset_2!$D$2:$D$611,MATCH($A306,Dataset_2!$A$2:$A$611,0))</f>
        <v>0.1045</v>
      </c>
      <c r="N306">
        <f>INDEX(Dataset_2!$E$2:$E$611,MATCH($A306,Dataset_2!$A$2:$A$611,0))</f>
        <v>0</v>
      </c>
      <c r="O306">
        <f>INDEX(Dataset_2!$F$2:$F$611,MATCH($A306,Dataset_2!$A$2:$A$611,0))</f>
        <v>1</v>
      </c>
      <c r="P306">
        <f>INDEX(Dataset_2!$G$2:$G$611,MATCH($A306,Dataset_2!$A$2:$A$611,0))</f>
        <v>1</v>
      </c>
    </row>
    <row r="307" spans="1:16" x14ac:dyDescent="0.2">
      <c r="A307">
        <f>Dataset_1!A307</f>
        <v>306</v>
      </c>
      <c r="B307" s="61">
        <f>Dataset_1!B307</f>
        <v>40557</v>
      </c>
      <c r="C307">
        <f>Dataset_1!C307</f>
        <v>1</v>
      </c>
      <c r="D307">
        <f>Dataset_1!D307</f>
        <v>0</v>
      </c>
      <c r="E307">
        <f>Dataset_1!E307</f>
        <v>1</v>
      </c>
      <c r="F307">
        <f>Dataset_1!F307</f>
        <v>5</v>
      </c>
      <c r="G307" t="b">
        <f>Dataset_1!G307</f>
        <v>0</v>
      </c>
      <c r="H307">
        <f>Dataset_1!H307</f>
        <v>5</v>
      </c>
      <c r="I307">
        <f>Dataset_1!I307</f>
        <v>1</v>
      </c>
      <c r="J307">
        <f>Dataset_1!J307</f>
        <v>0.1</v>
      </c>
      <c r="K307">
        <f>INDEX(Dataset_2!$B$2:$B$611,MATCH($A307,Dataset_2!$A$2:$A$611,0))</f>
        <v>0.13639999999999999</v>
      </c>
      <c r="L307">
        <f>INDEX(Dataset_2!$C$2:$C$611,MATCH($A307,Dataset_2!$A$2:$A$611,0))</f>
        <v>0.54</v>
      </c>
      <c r="M307">
        <f>INDEX(Dataset_2!$D$2:$D$611,MATCH($A307,Dataset_2!$A$2:$A$611,0))</f>
        <v>8.9599999999999999E-2</v>
      </c>
      <c r="N307">
        <f>INDEX(Dataset_2!$E$2:$E$611,MATCH($A307,Dataset_2!$A$2:$A$611,0))</f>
        <v>0</v>
      </c>
      <c r="O307">
        <f>INDEX(Dataset_2!$F$2:$F$611,MATCH($A307,Dataset_2!$A$2:$A$611,0))</f>
        <v>8</v>
      </c>
      <c r="P307">
        <f>INDEX(Dataset_2!$G$2:$G$611,MATCH($A307,Dataset_2!$A$2:$A$611,0))</f>
        <v>8</v>
      </c>
    </row>
    <row r="308" spans="1:16" x14ac:dyDescent="0.2">
      <c r="A308">
        <f>Dataset_1!A308</f>
        <v>307</v>
      </c>
      <c r="B308" s="61">
        <f>Dataset_1!B308</f>
        <v>40557</v>
      </c>
      <c r="C308">
        <f>Dataset_1!C308</f>
        <v>1</v>
      </c>
      <c r="D308">
        <f>Dataset_1!D308</f>
        <v>0</v>
      </c>
      <c r="E308">
        <f>Dataset_1!E308</f>
        <v>1</v>
      </c>
      <c r="F308">
        <f>Dataset_1!F308</f>
        <v>6</v>
      </c>
      <c r="G308" t="b">
        <f>Dataset_1!G308</f>
        <v>0</v>
      </c>
      <c r="H308">
        <f>Dataset_1!H308</f>
        <v>5</v>
      </c>
      <c r="I308">
        <f>Dataset_1!I308</f>
        <v>1</v>
      </c>
      <c r="J308">
        <f>Dataset_1!J308</f>
        <v>0.1</v>
      </c>
      <c r="K308">
        <f>INDEX(Dataset_2!$B$2:$B$611,MATCH($A308,Dataset_2!$A$2:$A$611,0))</f>
        <v>0.18179999999999999</v>
      </c>
      <c r="L308">
        <f>INDEX(Dataset_2!$C$2:$C$611,MATCH($A308,Dataset_2!$A$2:$A$611,0))</f>
        <v>0.54</v>
      </c>
      <c r="M308">
        <f>INDEX(Dataset_2!$D$2:$D$611,MATCH($A308,Dataset_2!$A$2:$A$611,0))</f>
        <v>0</v>
      </c>
      <c r="N308">
        <f>INDEX(Dataset_2!$E$2:$E$611,MATCH($A308,Dataset_2!$A$2:$A$611,0))</f>
        <v>0</v>
      </c>
      <c r="O308">
        <f>INDEX(Dataset_2!$F$2:$F$611,MATCH($A308,Dataset_2!$A$2:$A$611,0))</f>
        <v>17</v>
      </c>
      <c r="P308">
        <f>INDEX(Dataset_2!$G$2:$G$611,MATCH($A308,Dataset_2!$A$2:$A$611,0))</f>
        <v>17</v>
      </c>
    </row>
    <row r="309" spans="1:16" x14ac:dyDescent="0.2">
      <c r="A309">
        <f>Dataset_1!A309</f>
        <v>308</v>
      </c>
      <c r="B309" s="61">
        <f>Dataset_1!B309</f>
        <v>40557</v>
      </c>
      <c r="C309">
        <f>Dataset_1!C309</f>
        <v>1</v>
      </c>
      <c r="D309">
        <f>Dataset_1!D309</f>
        <v>0</v>
      </c>
      <c r="E309">
        <f>Dataset_1!E309</f>
        <v>1</v>
      </c>
      <c r="F309">
        <f>Dataset_1!F309</f>
        <v>7</v>
      </c>
      <c r="G309" t="b">
        <f>Dataset_1!G309</f>
        <v>0</v>
      </c>
      <c r="H309">
        <f>Dataset_1!H309</f>
        <v>5</v>
      </c>
      <c r="I309">
        <f>Dataset_1!I309</f>
        <v>1</v>
      </c>
      <c r="J309">
        <f>Dataset_1!J309</f>
        <v>0.1</v>
      </c>
      <c r="K309">
        <f>INDEX(Dataset_2!$B$2:$B$611,MATCH($A309,Dataset_2!$A$2:$A$611,0))</f>
        <v>0.1212</v>
      </c>
      <c r="L309">
        <f>INDEX(Dataset_2!$C$2:$C$611,MATCH($A309,Dataset_2!$A$2:$A$611,0))</f>
        <v>0.74</v>
      </c>
      <c r="M309">
        <f>INDEX(Dataset_2!$D$2:$D$611,MATCH($A309,Dataset_2!$A$2:$A$611,0))</f>
        <v>0.16420000000000001</v>
      </c>
      <c r="N309">
        <f>INDEX(Dataset_2!$E$2:$E$611,MATCH($A309,Dataset_2!$A$2:$A$611,0))</f>
        <v>0</v>
      </c>
      <c r="O309">
        <f>INDEX(Dataset_2!$F$2:$F$611,MATCH($A309,Dataset_2!$A$2:$A$611,0))</f>
        <v>70</v>
      </c>
      <c r="P309">
        <f>INDEX(Dataset_2!$G$2:$G$611,MATCH($A309,Dataset_2!$A$2:$A$611,0))</f>
        <v>70</v>
      </c>
    </row>
    <row r="310" spans="1:16" x14ac:dyDescent="0.2">
      <c r="A310">
        <f>Dataset_1!A310</f>
        <v>309</v>
      </c>
      <c r="B310" s="61">
        <f>Dataset_1!B310</f>
        <v>40557</v>
      </c>
      <c r="C310">
        <f>Dataset_1!C310</f>
        <v>1</v>
      </c>
      <c r="D310">
        <f>Dataset_1!D310</f>
        <v>0</v>
      </c>
      <c r="E310">
        <f>Dataset_1!E310</f>
        <v>1</v>
      </c>
      <c r="F310">
        <f>Dataset_1!F310</f>
        <v>8</v>
      </c>
      <c r="G310" t="b">
        <f>Dataset_1!G310</f>
        <v>0</v>
      </c>
      <c r="H310">
        <f>Dataset_1!H310</f>
        <v>5</v>
      </c>
      <c r="I310">
        <f>Dataset_1!I310</f>
        <v>1</v>
      </c>
      <c r="J310">
        <f>Dataset_1!J310</f>
        <v>0.12</v>
      </c>
      <c r="K310">
        <f>INDEX(Dataset_2!$B$2:$B$611,MATCH($A310,Dataset_2!$A$2:$A$611,0))</f>
        <v>0.16669999999999999</v>
      </c>
      <c r="L310">
        <f>INDEX(Dataset_2!$C$2:$C$611,MATCH($A310,Dataset_2!$A$2:$A$611,0))</f>
        <v>0.68</v>
      </c>
      <c r="M310">
        <f>INDEX(Dataset_2!$D$2:$D$611,MATCH($A310,Dataset_2!$A$2:$A$611,0))</f>
        <v>0</v>
      </c>
      <c r="N310">
        <f>INDEX(Dataset_2!$E$2:$E$611,MATCH($A310,Dataset_2!$A$2:$A$611,0))</f>
        <v>2</v>
      </c>
      <c r="O310">
        <f>INDEX(Dataset_2!$F$2:$F$611,MATCH($A310,Dataset_2!$A$2:$A$611,0))</f>
        <v>156</v>
      </c>
      <c r="P310">
        <f>INDEX(Dataset_2!$G$2:$G$611,MATCH($A310,Dataset_2!$A$2:$A$611,0))</f>
        <v>158</v>
      </c>
    </row>
    <row r="311" spans="1:16" x14ac:dyDescent="0.2">
      <c r="A311">
        <f>Dataset_1!A311</f>
        <v>310</v>
      </c>
      <c r="B311" s="61">
        <f>Dataset_1!B311</f>
        <v>40557</v>
      </c>
      <c r="C311">
        <f>Dataset_1!C311</f>
        <v>1</v>
      </c>
      <c r="D311">
        <f>Dataset_1!D311</f>
        <v>0</v>
      </c>
      <c r="E311">
        <f>Dataset_1!E311</f>
        <v>1</v>
      </c>
      <c r="F311">
        <f>Dataset_1!F311</f>
        <v>9</v>
      </c>
      <c r="G311" t="b">
        <f>Dataset_1!G311</f>
        <v>0</v>
      </c>
      <c r="H311">
        <f>Dataset_1!H311</f>
        <v>5</v>
      </c>
      <c r="I311">
        <f>Dataset_1!I311</f>
        <v>1</v>
      </c>
      <c r="J311">
        <f>Dataset_1!J311</f>
        <v>0.14000000000000001</v>
      </c>
      <c r="K311">
        <f>INDEX(Dataset_2!$B$2:$B$611,MATCH($A311,Dataset_2!$A$2:$A$611,0))</f>
        <v>0.1515</v>
      </c>
      <c r="L311">
        <f>INDEX(Dataset_2!$C$2:$C$611,MATCH($A311,Dataset_2!$A$2:$A$611,0))</f>
        <v>0.69</v>
      </c>
      <c r="M311">
        <f>INDEX(Dataset_2!$D$2:$D$611,MATCH($A311,Dataset_2!$A$2:$A$611,0))</f>
        <v>0.1343</v>
      </c>
      <c r="N311">
        <f>INDEX(Dataset_2!$E$2:$E$611,MATCH($A311,Dataset_2!$A$2:$A$611,0))</f>
        <v>0</v>
      </c>
      <c r="O311">
        <f>INDEX(Dataset_2!$F$2:$F$611,MATCH($A311,Dataset_2!$A$2:$A$611,0))</f>
        <v>117</v>
      </c>
      <c r="P311">
        <f>INDEX(Dataset_2!$G$2:$G$611,MATCH($A311,Dataset_2!$A$2:$A$611,0))</f>
        <v>117</v>
      </c>
    </row>
    <row r="312" spans="1:16" x14ac:dyDescent="0.2">
      <c r="A312">
        <f>Dataset_1!A312</f>
        <v>311</v>
      </c>
      <c r="B312" s="61">
        <f>Dataset_1!B312</f>
        <v>40557</v>
      </c>
      <c r="C312">
        <f>Dataset_1!C312</f>
        <v>1</v>
      </c>
      <c r="D312">
        <f>Dataset_1!D312</f>
        <v>0</v>
      </c>
      <c r="E312">
        <f>Dataset_1!E312</f>
        <v>1</v>
      </c>
      <c r="F312">
        <f>Dataset_1!F312</f>
        <v>10</v>
      </c>
      <c r="G312" t="b">
        <f>Dataset_1!G312</f>
        <v>0</v>
      </c>
      <c r="H312">
        <f>Dataset_1!H312</f>
        <v>5</v>
      </c>
      <c r="I312">
        <f>Dataset_1!I312</f>
        <v>1</v>
      </c>
      <c r="J312">
        <f>Dataset_1!J312</f>
        <v>0.18</v>
      </c>
      <c r="K312">
        <f>INDEX(Dataset_2!$B$2:$B$611,MATCH($A312,Dataset_2!$A$2:$A$611,0))</f>
        <v>0.18179999999999999</v>
      </c>
      <c r="L312">
        <f>INDEX(Dataset_2!$C$2:$C$611,MATCH($A312,Dataset_2!$A$2:$A$611,0))</f>
        <v>0.55000000000000004</v>
      </c>
      <c r="M312">
        <f>INDEX(Dataset_2!$D$2:$D$611,MATCH($A312,Dataset_2!$A$2:$A$611,0))</f>
        <v>0.19400000000000001</v>
      </c>
      <c r="N312">
        <f>INDEX(Dataset_2!$E$2:$E$611,MATCH($A312,Dataset_2!$A$2:$A$611,0))</f>
        <v>4</v>
      </c>
      <c r="O312">
        <f>INDEX(Dataset_2!$F$2:$F$611,MATCH($A312,Dataset_2!$A$2:$A$611,0))</f>
        <v>40</v>
      </c>
      <c r="P312">
        <f>INDEX(Dataset_2!$G$2:$G$611,MATCH($A312,Dataset_2!$A$2:$A$611,0))</f>
        <v>44</v>
      </c>
    </row>
    <row r="313" spans="1:16" x14ac:dyDescent="0.2">
      <c r="A313">
        <f>Dataset_1!A313</f>
        <v>312</v>
      </c>
      <c r="B313" s="61">
        <f>Dataset_1!B313</f>
        <v>40557</v>
      </c>
      <c r="C313">
        <f>Dataset_1!C313</f>
        <v>1</v>
      </c>
      <c r="D313">
        <f>Dataset_1!D313</f>
        <v>0</v>
      </c>
      <c r="E313">
        <f>Dataset_1!E313</f>
        <v>1</v>
      </c>
      <c r="F313">
        <f>Dataset_1!F313</f>
        <v>11</v>
      </c>
      <c r="G313" t="b">
        <f>Dataset_1!G313</f>
        <v>0</v>
      </c>
      <c r="H313">
        <f>Dataset_1!H313</f>
        <v>5</v>
      </c>
      <c r="I313">
        <f>Dataset_1!I313</f>
        <v>1</v>
      </c>
      <c r="J313">
        <f>Dataset_1!J313</f>
        <v>0.18</v>
      </c>
      <c r="K313">
        <f>INDEX(Dataset_2!$B$2:$B$611,MATCH($A313,Dataset_2!$A$2:$A$611,0))</f>
        <v>0.16669999999999999</v>
      </c>
      <c r="L313">
        <f>INDEX(Dataset_2!$C$2:$C$611,MATCH($A313,Dataset_2!$A$2:$A$611,0))</f>
        <v>0.51</v>
      </c>
      <c r="M313">
        <f>INDEX(Dataset_2!$D$2:$D$611,MATCH($A313,Dataset_2!$A$2:$A$611,0))</f>
        <v>0.28360000000000002</v>
      </c>
      <c r="N313">
        <f>INDEX(Dataset_2!$E$2:$E$611,MATCH($A313,Dataset_2!$A$2:$A$611,0))</f>
        <v>6</v>
      </c>
      <c r="O313">
        <f>INDEX(Dataset_2!$F$2:$F$611,MATCH($A313,Dataset_2!$A$2:$A$611,0))</f>
        <v>47</v>
      </c>
      <c r="P313">
        <f>INDEX(Dataset_2!$G$2:$G$611,MATCH($A313,Dataset_2!$A$2:$A$611,0))</f>
        <v>53</v>
      </c>
    </row>
    <row r="314" spans="1:16" x14ac:dyDescent="0.2">
      <c r="A314">
        <f>Dataset_1!A314</f>
        <v>313</v>
      </c>
      <c r="B314" s="61">
        <f>Dataset_1!B314</f>
        <v>40557</v>
      </c>
      <c r="C314">
        <f>Dataset_1!C314</f>
        <v>1</v>
      </c>
      <c r="D314">
        <f>Dataset_1!D314</f>
        <v>0</v>
      </c>
      <c r="E314">
        <f>Dataset_1!E314</f>
        <v>1</v>
      </c>
      <c r="F314">
        <f>Dataset_1!F314</f>
        <v>12</v>
      </c>
      <c r="G314" t="b">
        <f>Dataset_1!G314</f>
        <v>0</v>
      </c>
      <c r="H314">
        <f>Dataset_1!H314</f>
        <v>5</v>
      </c>
      <c r="I314">
        <f>Dataset_1!I314</f>
        <v>1</v>
      </c>
      <c r="J314">
        <f>Dataset_1!J314</f>
        <v>0.2</v>
      </c>
      <c r="K314">
        <f>INDEX(Dataset_2!$B$2:$B$611,MATCH($A314,Dataset_2!$A$2:$A$611,0))</f>
        <v>0.19700000000000001</v>
      </c>
      <c r="L314">
        <f>INDEX(Dataset_2!$C$2:$C$611,MATCH($A314,Dataset_2!$A$2:$A$611,0))</f>
        <v>0.44</v>
      </c>
      <c r="M314">
        <f>INDEX(Dataset_2!$D$2:$D$611,MATCH($A314,Dataset_2!$A$2:$A$611,0))</f>
        <v>0.25369999999999998</v>
      </c>
      <c r="N314">
        <f>INDEX(Dataset_2!$E$2:$E$611,MATCH($A314,Dataset_2!$A$2:$A$611,0))</f>
        <v>2</v>
      </c>
      <c r="O314">
        <f>INDEX(Dataset_2!$F$2:$F$611,MATCH($A314,Dataset_2!$A$2:$A$611,0))</f>
        <v>59</v>
      </c>
      <c r="P314">
        <f>INDEX(Dataset_2!$G$2:$G$611,MATCH($A314,Dataset_2!$A$2:$A$611,0))</f>
        <v>61</v>
      </c>
    </row>
    <row r="315" spans="1:16" x14ac:dyDescent="0.2">
      <c r="A315">
        <f>Dataset_1!A315</f>
        <v>314</v>
      </c>
      <c r="B315" s="61">
        <f>Dataset_1!B315</f>
        <v>40557</v>
      </c>
      <c r="C315">
        <f>Dataset_1!C315</f>
        <v>1</v>
      </c>
      <c r="D315">
        <f>Dataset_1!D315</f>
        <v>0</v>
      </c>
      <c r="E315">
        <f>Dataset_1!E315</f>
        <v>1</v>
      </c>
      <c r="F315">
        <f>Dataset_1!F315</f>
        <v>13</v>
      </c>
      <c r="G315" t="b">
        <f>Dataset_1!G315</f>
        <v>0</v>
      </c>
      <c r="H315">
        <f>Dataset_1!H315</f>
        <v>5</v>
      </c>
      <c r="I315">
        <f>Dataset_1!I315</f>
        <v>1</v>
      </c>
      <c r="J315">
        <f>Dataset_1!J315</f>
        <v>0.22</v>
      </c>
      <c r="K315">
        <f>INDEX(Dataset_2!$B$2:$B$611,MATCH($A315,Dataset_2!$A$2:$A$611,0))</f>
        <v>0.19700000000000001</v>
      </c>
      <c r="L315">
        <f>INDEX(Dataset_2!$C$2:$C$611,MATCH($A315,Dataset_2!$A$2:$A$611,0))</f>
        <v>0.37</v>
      </c>
      <c r="M315">
        <f>INDEX(Dataset_2!$D$2:$D$611,MATCH($A315,Dataset_2!$A$2:$A$611,0))</f>
        <v>0.3881</v>
      </c>
      <c r="N315">
        <f>INDEX(Dataset_2!$E$2:$E$611,MATCH($A315,Dataset_2!$A$2:$A$611,0))</f>
        <v>4</v>
      </c>
      <c r="O315">
        <f>INDEX(Dataset_2!$F$2:$F$611,MATCH($A315,Dataset_2!$A$2:$A$611,0))</f>
        <v>73</v>
      </c>
      <c r="P315">
        <f>INDEX(Dataset_2!$G$2:$G$611,MATCH($A315,Dataset_2!$A$2:$A$611,0))</f>
        <v>77</v>
      </c>
    </row>
    <row r="316" spans="1:16" x14ac:dyDescent="0.2">
      <c r="A316">
        <f>Dataset_1!A316</f>
        <v>315</v>
      </c>
      <c r="B316" s="61">
        <f>Dataset_1!B316</f>
        <v>40557</v>
      </c>
      <c r="C316">
        <f>Dataset_1!C316</f>
        <v>1</v>
      </c>
      <c r="D316">
        <f>Dataset_1!D316</f>
        <v>0</v>
      </c>
      <c r="E316">
        <f>Dataset_1!E316</f>
        <v>1</v>
      </c>
      <c r="F316">
        <f>Dataset_1!F316</f>
        <v>14</v>
      </c>
      <c r="G316" t="b">
        <f>Dataset_1!G316</f>
        <v>0</v>
      </c>
      <c r="H316">
        <f>Dataset_1!H316</f>
        <v>5</v>
      </c>
      <c r="I316">
        <f>Dataset_1!I316</f>
        <v>1</v>
      </c>
      <c r="J316">
        <f>Dataset_1!J316</f>
        <v>0.22</v>
      </c>
      <c r="K316">
        <f>INDEX(Dataset_2!$B$2:$B$611,MATCH($A316,Dataset_2!$A$2:$A$611,0))</f>
        <v>0.21210000000000001</v>
      </c>
      <c r="L316">
        <f>INDEX(Dataset_2!$C$2:$C$611,MATCH($A316,Dataset_2!$A$2:$A$611,0))</f>
        <v>0.41</v>
      </c>
      <c r="M316">
        <f>INDEX(Dataset_2!$D$2:$D$611,MATCH($A316,Dataset_2!$A$2:$A$611,0))</f>
        <v>0.28360000000000002</v>
      </c>
      <c r="N316">
        <f>INDEX(Dataset_2!$E$2:$E$611,MATCH($A316,Dataset_2!$A$2:$A$611,0))</f>
        <v>5</v>
      </c>
      <c r="O316">
        <f>INDEX(Dataset_2!$F$2:$F$611,MATCH($A316,Dataset_2!$A$2:$A$611,0))</f>
        <v>59</v>
      </c>
      <c r="P316">
        <f>INDEX(Dataset_2!$G$2:$G$611,MATCH($A316,Dataset_2!$A$2:$A$611,0))</f>
        <v>64</v>
      </c>
    </row>
    <row r="317" spans="1:16" x14ac:dyDescent="0.2">
      <c r="A317">
        <f>Dataset_1!A317</f>
        <v>316</v>
      </c>
      <c r="B317" s="61">
        <f>Dataset_1!B317</f>
        <v>40557</v>
      </c>
      <c r="C317">
        <f>Dataset_1!C317</f>
        <v>1</v>
      </c>
      <c r="D317">
        <f>Dataset_1!D317</f>
        <v>0</v>
      </c>
      <c r="E317">
        <f>Dataset_1!E317</f>
        <v>1</v>
      </c>
      <c r="F317">
        <f>Dataset_1!F317</f>
        <v>15</v>
      </c>
      <c r="G317" t="b">
        <f>Dataset_1!G317</f>
        <v>0</v>
      </c>
      <c r="H317">
        <f>Dataset_1!H317</f>
        <v>5</v>
      </c>
      <c r="I317">
        <f>Dataset_1!I317</f>
        <v>1</v>
      </c>
      <c r="J317">
        <f>Dataset_1!J317</f>
        <v>0.24</v>
      </c>
      <c r="K317">
        <f>INDEX(Dataset_2!$B$2:$B$611,MATCH($A317,Dataset_2!$A$2:$A$611,0))</f>
        <v>0.2424</v>
      </c>
      <c r="L317">
        <f>INDEX(Dataset_2!$C$2:$C$611,MATCH($A317,Dataset_2!$A$2:$A$611,0))</f>
        <v>0.38</v>
      </c>
      <c r="M317">
        <f>INDEX(Dataset_2!$D$2:$D$611,MATCH($A317,Dataset_2!$A$2:$A$611,0))</f>
        <v>0.16420000000000001</v>
      </c>
      <c r="N317">
        <f>INDEX(Dataset_2!$E$2:$E$611,MATCH($A317,Dataset_2!$A$2:$A$611,0))</f>
        <v>9</v>
      </c>
      <c r="O317">
        <f>INDEX(Dataset_2!$F$2:$F$611,MATCH($A317,Dataset_2!$A$2:$A$611,0))</f>
        <v>59</v>
      </c>
      <c r="P317">
        <f>INDEX(Dataset_2!$G$2:$G$611,MATCH($A317,Dataset_2!$A$2:$A$611,0))</f>
        <v>68</v>
      </c>
    </row>
    <row r="318" spans="1:16" x14ac:dyDescent="0.2">
      <c r="A318">
        <f>Dataset_1!A318</f>
        <v>317</v>
      </c>
      <c r="B318" s="61">
        <f>Dataset_1!B318</f>
        <v>40557</v>
      </c>
      <c r="C318">
        <f>Dataset_1!C318</f>
        <v>1</v>
      </c>
      <c r="D318">
        <f>Dataset_1!D318</f>
        <v>0</v>
      </c>
      <c r="E318">
        <f>Dataset_1!E318</f>
        <v>1</v>
      </c>
      <c r="F318">
        <f>Dataset_1!F318</f>
        <v>16</v>
      </c>
      <c r="G318" t="b">
        <f>Dataset_1!G318</f>
        <v>0</v>
      </c>
      <c r="H318">
        <f>Dataset_1!H318</f>
        <v>5</v>
      </c>
      <c r="I318">
        <f>Dataset_1!I318</f>
        <v>1</v>
      </c>
      <c r="J318">
        <f>Dataset_1!J318</f>
        <v>0.22</v>
      </c>
      <c r="K318">
        <f>INDEX(Dataset_2!$B$2:$B$611,MATCH($A318,Dataset_2!$A$2:$A$611,0))</f>
        <v>0.2424</v>
      </c>
      <c r="L318">
        <f>INDEX(Dataset_2!$C$2:$C$611,MATCH($A318,Dataset_2!$A$2:$A$611,0))</f>
        <v>0.41</v>
      </c>
      <c r="M318">
        <f>INDEX(Dataset_2!$D$2:$D$611,MATCH($A318,Dataset_2!$A$2:$A$611,0))</f>
        <v>0.1045</v>
      </c>
      <c r="N318">
        <f>INDEX(Dataset_2!$E$2:$E$611,MATCH($A318,Dataset_2!$A$2:$A$611,0))</f>
        <v>3</v>
      </c>
      <c r="O318">
        <f>INDEX(Dataset_2!$F$2:$F$611,MATCH($A318,Dataset_2!$A$2:$A$611,0))</f>
        <v>87</v>
      </c>
      <c r="P318">
        <f>INDEX(Dataset_2!$G$2:$G$611,MATCH($A318,Dataset_2!$A$2:$A$611,0))</f>
        <v>90</v>
      </c>
    </row>
    <row r="319" spans="1:16" x14ac:dyDescent="0.2">
      <c r="A319">
        <f>Dataset_1!A319</f>
        <v>318</v>
      </c>
      <c r="B319" s="61">
        <f>Dataset_1!B319</f>
        <v>40557</v>
      </c>
      <c r="C319">
        <f>Dataset_1!C319</f>
        <v>1</v>
      </c>
      <c r="D319">
        <f>Dataset_1!D319</f>
        <v>0</v>
      </c>
      <c r="E319">
        <f>Dataset_1!E319</f>
        <v>1</v>
      </c>
      <c r="F319">
        <f>Dataset_1!F319</f>
        <v>17</v>
      </c>
      <c r="G319" t="b">
        <f>Dataset_1!G319</f>
        <v>0</v>
      </c>
      <c r="H319">
        <f>Dataset_1!H319</f>
        <v>5</v>
      </c>
      <c r="I319">
        <f>Dataset_1!I319</f>
        <v>1</v>
      </c>
      <c r="J319">
        <f>Dataset_1!J319</f>
        <v>0.22</v>
      </c>
      <c r="K319">
        <f>INDEX(Dataset_2!$B$2:$B$611,MATCH($A319,Dataset_2!$A$2:$A$611,0))</f>
        <v>0.2273</v>
      </c>
      <c r="L319">
        <f>INDEX(Dataset_2!$C$2:$C$611,MATCH($A319,Dataset_2!$A$2:$A$611,0))</f>
        <v>0.41</v>
      </c>
      <c r="M319">
        <f>INDEX(Dataset_2!$D$2:$D$611,MATCH($A319,Dataset_2!$A$2:$A$611,0))</f>
        <v>0.16420000000000001</v>
      </c>
      <c r="N319">
        <f>INDEX(Dataset_2!$E$2:$E$611,MATCH($A319,Dataset_2!$A$2:$A$611,0))</f>
        <v>4</v>
      </c>
      <c r="O319">
        <f>INDEX(Dataset_2!$F$2:$F$611,MATCH($A319,Dataset_2!$A$2:$A$611,0))</f>
        <v>155</v>
      </c>
      <c r="P319">
        <f>INDEX(Dataset_2!$G$2:$G$611,MATCH($A319,Dataset_2!$A$2:$A$611,0))</f>
        <v>159</v>
      </c>
    </row>
    <row r="320" spans="1:16" x14ac:dyDescent="0.2">
      <c r="A320">
        <f>Dataset_1!A320</f>
        <v>319</v>
      </c>
      <c r="B320" s="61">
        <f>Dataset_1!B320</f>
        <v>40557</v>
      </c>
      <c r="C320">
        <f>Dataset_1!C320</f>
        <v>1</v>
      </c>
      <c r="D320">
        <f>Dataset_1!D320</f>
        <v>0</v>
      </c>
      <c r="E320">
        <f>Dataset_1!E320</f>
        <v>1</v>
      </c>
      <c r="F320">
        <f>Dataset_1!F320</f>
        <v>18</v>
      </c>
      <c r="G320" t="b">
        <f>Dataset_1!G320</f>
        <v>0</v>
      </c>
      <c r="H320">
        <f>Dataset_1!H320</f>
        <v>5</v>
      </c>
      <c r="I320">
        <f>Dataset_1!I320</f>
        <v>1</v>
      </c>
      <c r="J320">
        <f>Dataset_1!J320</f>
        <v>0.2</v>
      </c>
      <c r="K320">
        <f>INDEX(Dataset_2!$B$2:$B$611,MATCH($A320,Dataset_2!$A$2:$A$611,0))</f>
        <v>0.2576</v>
      </c>
      <c r="L320">
        <f>INDEX(Dataset_2!$C$2:$C$611,MATCH($A320,Dataset_2!$A$2:$A$611,0))</f>
        <v>0.47</v>
      </c>
      <c r="M320">
        <f>INDEX(Dataset_2!$D$2:$D$611,MATCH($A320,Dataset_2!$A$2:$A$611,0))</f>
        <v>0</v>
      </c>
      <c r="N320">
        <f>INDEX(Dataset_2!$E$2:$E$611,MATCH($A320,Dataset_2!$A$2:$A$611,0))</f>
        <v>5</v>
      </c>
      <c r="O320">
        <f>INDEX(Dataset_2!$F$2:$F$611,MATCH($A320,Dataset_2!$A$2:$A$611,0))</f>
        <v>134</v>
      </c>
      <c r="P320">
        <f>INDEX(Dataset_2!$G$2:$G$611,MATCH($A320,Dataset_2!$A$2:$A$611,0))</f>
        <v>139</v>
      </c>
    </row>
    <row r="321" spans="1:16" x14ac:dyDescent="0.2">
      <c r="A321">
        <f>Dataset_1!A321</f>
        <v>320</v>
      </c>
      <c r="B321" s="61">
        <f>Dataset_1!B321</f>
        <v>40557</v>
      </c>
      <c r="C321">
        <f>Dataset_1!C321</f>
        <v>1</v>
      </c>
      <c r="D321">
        <f>Dataset_1!D321</f>
        <v>0</v>
      </c>
      <c r="E321">
        <f>Dataset_1!E321</f>
        <v>1</v>
      </c>
      <c r="F321">
        <f>Dataset_1!F321</f>
        <v>19</v>
      </c>
      <c r="G321" t="b">
        <f>Dataset_1!G321</f>
        <v>0</v>
      </c>
      <c r="H321">
        <f>Dataset_1!H321</f>
        <v>5</v>
      </c>
      <c r="I321">
        <f>Dataset_1!I321</f>
        <v>1</v>
      </c>
      <c r="J321">
        <f>Dataset_1!J321</f>
        <v>0.16</v>
      </c>
      <c r="K321">
        <f>INDEX(Dataset_2!$B$2:$B$611,MATCH($A321,Dataset_2!$A$2:$A$611,0))</f>
        <v>0.19700000000000001</v>
      </c>
      <c r="L321">
        <f>INDEX(Dataset_2!$C$2:$C$611,MATCH($A321,Dataset_2!$A$2:$A$611,0))</f>
        <v>0.59</v>
      </c>
      <c r="M321">
        <f>INDEX(Dataset_2!$D$2:$D$611,MATCH($A321,Dataset_2!$A$2:$A$611,0))</f>
        <v>8.9599999999999999E-2</v>
      </c>
      <c r="N321">
        <f>INDEX(Dataset_2!$E$2:$E$611,MATCH($A321,Dataset_2!$A$2:$A$611,0))</f>
        <v>3</v>
      </c>
      <c r="O321">
        <f>INDEX(Dataset_2!$F$2:$F$611,MATCH($A321,Dataset_2!$A$2:$A$611,0))</f>
        <v>89</v>
      </c>
      <c r="P321">
        <f>INDEX(Dataset_2!$G$2:$G$611,MATCH($A321,Dataset_2!$A$2:$A$611,0))</f>
        <v>92</v>
      </c>
    </row>
    <row r="322" spans="1:16" x14ac:dyDescent="0.2">
      <c r="A322">
        <f>Dataset_1!A322</f>
        <v>321</v>
      </c>
      <c r="B322" s="61">
        <f>Dataset_1!B322</f>
        <v>40557</v>
      </c>
      <c r="C322">
        <f>Dataset_1!C322</f>
        <v>1</v>
      </c>
      <c r="D322">
        <f>Dataset_1!D322</f>
        <v>0</v>
      </c>
      <c r="E322">
        <f>Dataset_1!E322</f>
        <v>1</v>
      </c>
      <c r="F322">
        <f>Dataset_1!F322</f>
        <v>20</v>
      </c>
      <c r="G322" t="b">
        <f>Dataset_1!G322</f>
        <v>0</v>
      </c>
      <c r="H322">
        <f>Dataset_1!H322</f>
        <v>5</v>
      </c>
      <c r="I322">
        <f>Dataset_1!I322</f>
        <v>1</v>
      </c>
      <c r="J322">
        <f>Dataset_1!J322</f>
        <v>0.18</v>
      </c>
      <c r="K322">
        <f>INDEX(Dataset_2!$B$2:$B$611,MATCH($A322,Dataset_2!$A$2:$A$611,0))</f>
        <v>0.2424</v>
      </c>
      <c r="L322">
        <f>INDEX(Dataset_2!$C$2:$C$611,MATCH($A322,Dataset_2!$A$2:$A$611,0))</f>
        <v>0.59</v>
      </c>
      <c r="M322">
        <f>INDEX(Dataset_2!$D$2:$D$611,MATCH($A322,Dataset_2!$A$2:$A$611,0))</f>
        <v>0</v>
      </c>
      <c r="N322">
        <f>INDEX(Dataset_2!$E$2:$E$611,MATCH($A322,Dataset_2!$A$2:$A$611,0))</f>
        <v>0</v>
      </c>
      <c r="O322">
        <f>INDEX(Dataset_2!$F$2:$F$611,MATCH($A322,Dataset_2!$A$2:$A$611,0))</f>
        <v>68</v>
      </c>
      <c r="P322">
        <f>INDEX(Dataset_2!$G$2:$G$611,MATCH($A322,Dataset_2!$A$2:$A$611,0))</f>
        <v>68</v>
      </c>
    </row>
    <row r="323" spans="1:16" x14ac:dyDescent="0.2">
      <c r="A323">
        <f>Dataset_1!A323</f>
        <v>322</v>
      </c>
      <c r="B323" s="61">
        <f>Dataset_1!B323</f>
        <v>40557</v>
      </c>
      <c r="C323">
        <f>Dataset_1!C323</f>
        <v>1</v>
      </c>
      <c r="D323">
        <f>Dataset_1!D323</f>
        <v>0</v>
      </c>
      <c r="E323">
        <f>Dataset_1!E323</f>
        <v>1</v>
      </c>
      <c r="F323">
        <f>Dataset_1!F323</f>
        <v>21</v>
      </c>
      <c r="G323" t="b">
        <f>Dataset_1!G323</f>
        <v>0</v>
      </c>
      <c r="H323">
        <f>Dataset_1!H323</f>
        <v>5</v>
      </c>
      <c r="I323">
        <f>Dataset_1!I323</f>
        <v>1</v>
      </c>
      <c r="J323">
        <f>Dataset_1!J323</f>
        <v>0.16</v>
      </c>
      <c r="K323">
        <f>INDEX(Dataset_2!$B$2:$B$611,MATCH($A323,Dataset_2!$A$2:$A$611,0))</f>
        <v>0.2273</v>
      </c>
      <c r="L323">
        <f>INDEX(Dataset_2!$C$2:$C$611,MATCH($A323,Dataset_2!$A$2:$A$611,0))</f>
        <v>0.69</v>
      </c>
      <c r="M323">
        <f>INDEX(Dataset_2!$D$2:$D$611,MATCH($A323,Dataset_2!$A$2:$A$611,0))</f>
        <v>0</v>
      </c>
      <c r="N323">
        <f>INDEX(Dataset_2!$E$2:$E$611,MATCH($A323,Dataset_2!$A$2:$A$611,0))</f>
        <v>4</v>
      </c>
      <c r="O323">
        <f>INDEX(Dataset_2!$F$2:$F$611,MATCH($A323,Dataset_2!$A$2:$A$611,0))</f>
        <v>48</v>
      </c>
      <c r="P323">
        <f>INDEX(Dataset_2!$G$2:$G$611,MATCH($A323,Dataset_2!$A$2:$A$611,0))</f>
        <v>52</v>
      </c>
    </row>
    <row r="324" spans="1:16" x14ac:dyDescent="0.2">
      <c r="A324">
        <f>Dataset_1!A324</f>
        <v>323</v>
      </c>
      <c r="B324" s="61">
        <f>Dataset_1!B324</f>
        <v>40557</v>
      </c>
      <c r="C324">
        <f>Dataset_1!C324</f>
        <v>1</v>
      </c>
      <c r="D324">
        <f>Dataset_1!D324</f>
        <v>0</v>
      </c>
      <c r="E324">
        <f>Dataset_1!E324</f>
        <v>1</v>
      </c>
      <c r="F324">
        <f>Dataset_1!F324</f>
        <v>22</v>
      </c>
      <c r="G324" t="b">
        <f>Dataset_1!G324</f>
        <v>0</v>
      </c>
      <c r="H324">
        <f>Dataset_1!H324</f>
        <v>5</v>
      </c>
      <c r="I324">
        <f>Dataset_1!I324</f>
        <v>2</v>
      </c>
      <c r="J324">
        <f>Dataset_1!J324</f>
        <v>0.16</v>
      </c>
      <c r="K324">
        <f>INDEX(Dataset_2!$B$2:$B$611,MATCH($A324,Dataset_2!$A$2:$A$611,0))</f>
        <v>0.2273</v>
      </c>
      <c r="L324">
        <f>INDEX(Dataset_2!$C$2:$C$611,MATCH($A324,Dataset_2!$A$2:$A$611,0))</f>
        <v>0.69</v>
      </c>
      <c r="M324">
        <f>INDEX(Dataset_2!$D$2:$D$611,MATCH($A324,Dataset_2!$A$2:$A$611,0))</f>
        <v>0</v>
      </c>
      <c r="N324">
        <f>INDEX(Dataset_2!$E$2:$E$611,MATCH($A324,Dataset_2!$A$2:$A$611,0))</f>
        <v>2</v>
      </c>
      <c r="O324">
        <f>INDEX(Dataset_2!$F$2:$F$611,MATCH($A324,Dataset_2!$A$2:$A$611,0))</f>
        <v>34</v>
      </c>
      <c r="P324">
        <f>INDEX(Dataset_2!$G$2:$G$611,MATCH($A324,Dataset_2!$A$2:$A$611,0))</f>
        <v>36</v>
      </c>
    </row>
    <row r="325" spans="1:16" x14ac:dyDescent="0.2">
      <c r="A325">
        <f>Dataset_1!A325</f>
        <v>324</v>
      </c>
      <c r="B325" s="61">
        <f>Dataset_1!B325</f>
        <v>40557</v>
      </c>
      <c r="C325">
        <f>Dataset_1!C325</f>
        <v>1</v>
      </c>
      <c r="D325">
        <f>Dataset_1!D325</f>
        <v>0</v>
      </c>
      <c r="E325">
        <f>Dataset_1!E325</f>
        <v>1</v>
      </c>
      <c r="F325">
        <f>Dataset_1!F325</f>
        <v>23</v>
      </c>
      <c r="G325" t="b">
        <f>Dataset_1!G325</f>
        <v>0</v>
      </c>
      <c r="H325">
        <f>Dataset_1!H325</f>
        <v>5</v>
      </c>
      <c r="I325">
        <f>Dataset_1!I325</f>
        <v>2</v>
      </c>
      <c r="J325">
        <f>Dataset_1!J325</f>
        <v>0.18</v>
      </c>
      <c r="K325">
        <f>INDEX(Dataset_2!$B$2:$B$611,MATCH($A325,Dataset_2!$A$2:$A$611,0))</f>
        <v>0.2424</v>
      </c>
      <c r="L325">
        <f>INDEX(Dataset_2!$C$2:$C$611,MATCH($A325,Dataset_2!$A$2:$A$611,0))</f>
        <v>0.55000000000000004</v>
      </c>
      <c r="M325">
        <f>INDEX(Dataset_2!$D$2:$D$611,MATCH($A325,Dataset_2!$A$2:$A$611,0))</f>
        <v>0</v>
      </c>
      <c r="N325">
        <f>INDEX(Dataset_2!$E$2:$E$611,MATCH($A325,Dataset_2!$A$2:$A$611,0))</f>
        <v>1</v>
      </c>
      <c r="O325">
        <f>INDEX(Dataset_2!$F$2:$F$611,MATCH($A325,Dataset_2!$A$2:$A$611,0))</f>
        <v>26</v>
      </c>
      <c r="P325">
        <f>INDEX(Dataset_2!$G$2:$G$611,MATCH($A325,Dataset_2!$A$2:$A$611,0))</f>
        <v>27</v>
      </c>
    </row>
    <row r="326" spans="1:16" x14ac:dyDescent="0.2">
      <c r="A326">
        <f>Dataset_1!A326</f>
        <v>325</v>
      </c>
      <c r="B326" s="61">
        <f>Dataset_1!B326</f>
        <v>40558</v>
      </c>
      <c r="C326">
        <f>Dataset_1!C326</f>
        <v>1</v>
      </c>
      <c r="D326">
        <f>Dataset_1!D326</f>
        <v>0</v>
      </c>
      <c r="E326">
        <f>Dataset_1!E326</f>
        <v>1</v>
      </c>
      <c r="F326">
        <f>Dataset_1!F326</f>
        <v>0</v>
      </c>
      <c r="G326" t="b">
        <f>Dataset_1!G326</f>
        <v>0</v>
      </c>
      <c r="H326">
        <f>Dataset_1!H326</f>
        <v>6</v>
      </c>
      <c r="I326">
        <f>Dataset_1!I326</f>
        <v>1</v>
      </c>
      <c r="J326">
        <f>Dataset_1!J326</f>
        <v>0.18</v>
      </c>
      <c r="K326">
        <f>INDEX(Dataset_2!$B$2:$B$611,MATCH($A326,Dataset_2!$A$2:$A$611,0))</f>
        <v>0.2424</v>
      </c>
      <c r="L326">
        <f>INDEX(Dataset_2!$C$2:$C$611,MATCH($A326,Dataset_2!$A$2:$A$611,0))</f>
        <v>0.55000000000000004</v>
      </c>
      <c r="M326">
        <f>INDEX(Dataset_2!$D$2:$D$611,MATCH($A326,Dataset_2!$A$2:$A$611,0))</f>
        <v>0</v>
      </c>
      <c r="N326">
        <f>INDEX(Dataset_2!$E$2:$E$611,MATCH($A326,Dataset_2!$A$2:$A$611,0))</f>
        <v>3</v>
      </c>
      <c r="O326">
        <f>INDEX(Dataset_2!$F$2:$F$611,MATCH($A326,Dataset_2!$A$2:$A$611,0))</f>
        <v>25</v>
      </c>
      <c r="P326">
        <f>INDEX(Dataset_2!$G$2:$G$611,MATCH($A326,Dataset_2!$A$2:$A$611,0))</f>
        <v>28</v>
      </c>
    </row>
    <row r="327" spans="1:16" x14ac:dyDescent="0.2">
      <c r="A327">
        <f>Dataset_1!A327</f>
        <v>326</v>
      </c>
      <c r="B327" s="61">
        <f>Dataset_1!B327</f>
        <v>40558</v>
      </c>
      <c r="C327">
        <f>Dataset_1!C327</f>
        <v>1</v>
      </c>
      <c r="D327">
        <f>Dataset_1!D327</f>
        <v>0</v>
      </c>
      <c r="E327">
        <f>Dataset_1!E327</f>
        <v>1</v>
      </c>
      <c r="F327">
        <f>Dataset_1!F327</f>
        <v>1</v>
      </c>
      <c r="G327" t="b">
        <f>Dataset_1!G327</f>
        <v>0</v>
      </c>
      <c r="H327">
        <f>Dataset_1!H327</f>
        <v>6</v>
      </c>
      <c r="I327">
        <f>Dataset_1!I327</f>
        <v>2</v>
      </c>
      <c r="J327">
        <f>Dataset_1!J327</f>
        <v>0.16</v>
      </c>
      <c r="K327">
        <f>INDEX(Dataset_2!$B$2:$B$611,MATCH($A327,Dataset_2!$A$2:$A$611,0))</f>
        <v>0.19700000000000001</v>
      </c>
      <c r="L327">
        <f>INDEX(Dataset_2!$C$2:$C$611,MATCH($A327,Dataset_2!$A$2:$A$611,0))</f>
        <v>0.59</v>
      </c>
      <c r="M327">
        <f>INDEX(Dataset_2!$D$2:$D$611,MATCH($A327,Dataset_2!$A$2:$A$611,0))</f>
        <v>8.9599999999999999E-2</v>
      </c>
      <c r="N327">
        <f>INDEX(Dataset_2!$E$2:$E$611,MATCH($A327,Dataset_2!$A$2:$A$611,0))</f>
        <v>2</v>
      </c>
      <c r="O327">
        <f>INDEX(Dataset_2!$F$2:$F$611,MATCH($A327,Dataset_2!$A$2:$A$611,0))</f>
        <v>18</v>
      </c>
      <c r="P327">
        <f>INDEX(Dataset_2!$G$2:$G$611,MATCH($A327,Dataset_2!$A$2:$A$611,0))</f>
        <v>20</v>
      </c>
    </row>
    <row r="328" spans="1:16" x14ac:dyDescent="0.2">
      <c r="A328">
        <f>Dataset_1!A328</f>
        <v>327</v>
      </c>
      <c r="B328" s="61">
        <f>Dataset_1!B328</f>
        <v>40558</v>
      </c>
      <c r="C328">
        <f>Dataset_1!C328</f>
        <v>1</v>
      </c>
      <c r="D328">
        <f>Dataset_1!D328</f>
        <v>0</v>
      </c>
      <c r="E328">
        <f>Dataset_1!E328</f>
        <v>1</v>
      </c>
      <c r="F328">
        <f>Dataset_1!F328</f>
        <v>2</v>
      </c>
      <c r="G328" t="b">
        <f>Dataset_1!G328</f>
        <v>0</v>
      </c>
      <c r="H328">
        <f>Dataset_1!H328</f>
        <v>6</v>
      </c>
      <c r="I328">
        <f>Dataset_1!I328</f>
        <v>2</v>
      </c>
      <c r="J328">
        <f>Dataset_1!J328</f>
        <v>0.16</v>
      </c>
      <c r="K328">
        <f>INDEX(Dataset_2!$B$2:$B$611,MATCH($A328,Dataset_2!$A$2:$A$611,0))</f>
        <v>0.19700000000000001</v>
      </c>
      <c r="L328">
        <f>INDEX(Dataset_2!$C$2:$C$611,MATCH($A328,Dataset_2!$A$2:$A$611,0))</f>
        <v>0.59</v>
      </c>
      <c r="M328">
        <f>INDEX(Dataset_2!$D$2:$D$611,MATCH($A328,Dataset_2!$A$2:$A$611,0))</f>
        <v>8.9599999999999999E-2</v>
      </c>
      <c r="N328">
        <f>INDEX(Dataset_2!$E$2:$E$611,MATCH($A328,Dataset_2!$A$2:$A$611,0))</f>
        <v>0</v>
      </c>
      <c r="O328">
        <f>INDEX(Dataset_2!$F$2:$F$611,MATCH($A328,Dataset_2!$A$2:$A$611,0))</f>
        <v>12</v>
      </c>
      <c r="P328">
        <f>INDEX(Dataset_2!$G$2:$G$611,MATCH($A328,Dataset_2!$A$2:$A$611,0))</f>
        <v>12</v>
      </c>
    </row>
    <row r="329" spans="1:16" x14ac:dyDescent="0.2">
      <c r="A329">
        <f>Dataset_1!A329</f>
        <v>328</v>
      </c>
      <c r="B329" s="61">
        <f>Dataset_1!B329</f>
        <v>40558</v>
      </c>
      <c r="C329">
        <f>Dataset_1!C329</f>
        <v>1</v>
      </c>
      <c r="D329">
        <f>Dataset_1!D329</f>
        <v>0</v>
      </c>
      <c r="E329">
        <f>Dataset_1!E329</f>
        <v>1</v>
      </c>
      <c r="F329">
        <f>Dataset_1!F329</f>
        <v>3</v>
      </c>
      <c r="G329" t="b">
        <f>Dataset_1!G329</f>
        <v>0</v>
      </c>
      <c r="H329">
        <f>Dataset_1!H329</f>
        <v>6</v>
      </c>
      <c r="I329">
        <f>Dataset_1!I329</f>
        <v>2</v>
      </c>
      <c r="J329">
        <f>Dataset_1!J329</f>
        <v>0.16</v>
      </c>
      <c r="K329">
        <f>INDEX(Dataset_2!$B$2:$B$611,MATCH($A329,Dataset_2!$A$2:$A$611,0))</f>
        <v>0.2273</v>
      </c>
      <c r="L329">
        <f>INDEX(Dataset_2!$C$2:$C$611,MATCH($A329,Dataset_2!$A$2:$A$611,0))</f>
        <v>0.59</v>
      </c>
      <c r="M329">
        <f>INDEX(Dataset_2!$D$2:$D$611,MATCH($A329,Dataset_2!$A$2:$A$611,0))</f>
        <v>0</v>
      </c>
      <c r="N329">
        <f>INDEX(Dataset_2!$E$2:$E$611,MATCH($A329,Dataset_2!$A$2:$A$611,0))</f>
        <v>1</v>
      </c>
      <c r="O329">
        <f>INDEX(Dataset_2!$F$2:$F$611,MATCH($A329,Dataset_2!$A$2:$A$611,0))</f>
        <v>7</v>
      </c>
      <c r="P329">
        <f>INDEX(Dataset_2!$G$2:$G$611,MATCH($A329,Dataset_2!$A$2:$A$611,0))</f>
        <v>8</v>
      </c>
    </row>
    <row r="330" spans="1:16" x14ac:dyDescent="0.2">
      <c r="A330">
        <f>Dataset_1!A330</f>
        <v>329</v>
      </c>
      <c r="B330" s="61">
        <f>Dataset_1!B330</f>
        <v>40558</v>
      </c>
      <c r="C330">
        <f>Dataset_1!C330</f>
        <v>1</v>
      </c>
      <c r="D330">
        <f>Dataset_1!D330</f>
        <v>0</v>
      </c>
      <c r="E330">
        <f>Dataset_1!E330</f>
        <v>1</v>
      </c>
      <c r="F330">
        <f>Dataset_1!F330</f>
        <v>4</v>
      </c>
      <c r="G330" t="b">
        <f>Dataset_1!G330</f>
        <v>0</v>
      </c>
      <c r="H330">
        <f>Dataset_1!H330</f>
        <v>6</v>
      </c>
      <c r="I330">
        <f>Dataset_1!I330</f>
        <v>2</v>
      </c>
      <c r="J330">
        <f>Dataset_1!J330</f>
        <v>0.16</v>
      </c>
      <c r="K330">
        <f>INDEX(Dataset_2!$B$2:$B$611,MATCH($A330,Dataset_2!$A$2:$A$611,0))</f>
        <v>0.2273</v>
      </c>
      <c r="L330">
        <f>INDEX(Dataset_2!$C$2:$C$611,MATCH($A330,Dataset_2!$A$2:$A$611,0))</f>
        <v>0.59</v>
      </c>
      <c r="M330">
        <f>INDEX(Dataset_2!$D$2:$D$611,MATCH($A330,Dataset_2!$A$2:$A$611,0))</f>
        <v>0</v>
      </c>
      <c r="N330">
        <f>INDEX(Dataset_2!$E$2:$E$611,MATCH($A330,Dataset_2!$A$2:$A$611,0))</f>
        <v>0</v>
      </c>
      <c r="O330">
        <f>INDEX(Dataset_2!$F$2:$F$611,MATCH($A330,Dataset_2!$A$2:$A$611,0))</f>
        <v>5</v>
      </c>
      <c r="P330">
        <f>INDEX(Dataset_2!$G$2:$G$611,MATCH($A330,Dataset_2!$A$2:$A$611,0))</f>
        <v>5</v>
      </c>
    </row>
    <row r="331" spans="1:16" x14ac:dyDescent="0.2">
      <c r="A331">
        <f>Dataset_1!A331</f>
        <v>330</v>
      </c>
      <c r="B331" s="61">
        <f>Dataset_1!B331</f>
        <v>40558</v>
      </c>
      <c r="C331">
        <f>Dataset_1!C331</f>
        <v>1</v>
      </c>
      <c r="D331">
        <f>Dataset_1!D331</f>
        <v>0</v>
      </c>
      <c r="E331">
        <f>Dataset_1!E331</f>
        <v>1</v>
      </c>
      <c r="F331">
        <f>Dataset_1!F331</f>
        <v>5</v>
      </c>
      <c r="G331" t="b">
        <f>Dataset_1!G331</f>
        <v>0</v>
      </c>
      <c r="H331">
        <f>Dataset_1!H331</f>
        <v>6</v>
      </c>
      <c r="I331">
        <f>Dataset_1!I331</f>
        <v>1</v>
      </c>
      <c r="J331">
        <f>Dataset_1!J331</f>
        <v>0.16</v>
      </c>
      <c r="K331">
        <f>INDEX(Dataset_2!$B$2:$B$611,MATCH($A331,Dataset_2!$A$2:$A$611,0))</f>
        <v>0.2273</v>
      </c>
      <c r="L331">
        <f>INDEX(Dataset_2!$C$2:$C$611,MATCH($A331,Dataset_2!$A$2:$A$611,0))</f>
        <v>0.59</v>
      </c>
      <c r="M331">
        <f>INDEX(Dataset_2!$D$2:$D$611,MATCH($A331,Dataset_2!$A$2:$A$611,0))</f>
        <v>0</v>
      </c>
      <c r="N331">
        <f>INDEX(Dataset_2!$E$2:$E$611,MATCH($A331,Dataset_2!$A$2:$A$611,0))</f>
        <v>0</v>
      </c>
      <c r="O331">
        <f>INDEX(Dataset_2!$F$2:$F$611,MATCH($A331,Dataset_2!$A$2:$A$611,0))</f>
        <v>1</v>
      </c>
      <c r="P331">
        <f>INDEX(Dataset_2!$G$2:$G$611,MATCH($A331,Dataset_2!$A$2:$A$611,0))</f>
        <v>1</v>
      </c>
    </row>
    <row r="332" spans="1:16" x14ac:dyDescent="0.2">
      <c r="A332">
        <f>Dataset_1!A332</f>
        <v>331</v>
      </c>
      <c r="B332" s="61">
        <f>Dataset_1!B332</f>
        <v>40558</v>
      </c>
      <c r="C332">
        <f>Dataset_1!C332</f>
        <v>1</v>
      </c>
      <c r="D332">
        <f>Dataset_1!D332</f>
        <v>0</v>
      </c>
      <c r="E332">
        <f>Dataset_1!E332</f>
        <v>1</v>
      </c>
      <c r="F332">
        <f>Dataset_1!F332</f>
        <v>6</v>
      </c>
      <c r="G332" t="b">
        <f>Dataset_1!G332</f>
        <v>0</v>
      </c>
      <c r="H332">
        <f>Dataset_1!H332</f>
        <v>6</v>
      </c>
      <c r="I332">
        <f>Dataset_1!I332</f>
        <v>1</v>
      </c>
      <c r="J332">
        <f>Dataset_1!J332</f>
        <v>0.14000000000000001</v>
      </c>
      <c r="K332">
        <f>INDEX(Dataset_2!$B$2:$B$611,MATCH($A332,Dataset_2!$A$2:$A$611,0))</f>
        <v>0.16669999999999999</v>
      </c>
      <c r="L332">
        <f>INDEX(Dataset_2!$C$2:$C$611,MATCH($A332,Dataset_2!$A$2:$A$611,0))</f>
        <v>0.63</v>
      </c>
      <c r="M332">
        <f>INDEX(Dataset_2!$D$2:$D$611,MATCH($A332,Dataset_2!$A$2:$A$611,0))</f>
        <v>0.1045</v>
      </c>
      <c r="N332">
        <f>INDEX(Dataset_2!$E$2:$E$611,MATCH($A332,Dataset_2!$A$2:$A$611,0))</f>
        <v>1</v>
      </c>
      <c r="O332">
        <f>INDEX(Dataset_2!$F$2:$F$611,MATCH($A332,Dataset_2!$A$2:$A$611,0))</f>
        <v>2</v>
      </c>
      <c r="P332">
        <f>INDEX(Dataset_2!$G$2:$G$611,MATCH($A332,Dataset_2!$A$2:$A$611,0))</f>
        <v>3</v>
      </c>
    </row>
    <row r="333" spans="1:16" x14ac:dyDescent="0.2">
      <c r="A333">
        <f>Dataset_1!A333</f>
        <v>332</v>
      </c>
      <c r="B333" s="61">
        <f>Dataset_1!B333</f>
        <v>40558</v>
      </c>
      <c r="C333">
        <f>Dataset_1!C333</f>
        <v>1</v>
      </c>
      <c r="D333">
        <f>Dataset_1!D333</f>
        <v>0</v>
      </c>
      <c r="E333">
        <f>Dataset_1!E333</f>
        <v>1</v>
      </c>
      <c r="F333">
        <f>Dataset_1!F333</f>
        <v>7</v>
      </c>
      <c r="G333" t="b">
        <f>Dataset_1!G333</f>
        <v>0</v>
      </c>
      <c r="H333">
        <f>Dataset_1!H333</f>
        <v>6</v>
      </c>
      <c r="I333">
        <f>Dataset_1!I333</f>
        <v>1</v>
      </c>
      <c r="J333">
        <f>Dataset_1!J333</f>
        <v>0.14000000000000001</v>
      </c>
      <c r="K333">
        <f>INDEX(Dataset_2!$B$2:$B$611,MATCH($A333,Dataset_2!$A$2:$A$611,0))</f>
        <v>0.21210000000000001</v>
      </c>
      <c r="L333">
        <f>INDEX(Dataset_2!$C$2:$C$611,MATCH($A333,Dataset_2!$A$2:$A$611,0))</f>
        <v>0.63</v>
      </c>
      <c r="M333">
        <f>INDEX(Dataset_2!$D$2:$D$611,MATCH($A333,Dataset_2!$A$2:$A$611,0))</f>
        <v>0</v>
      </c>
      <c r="N333">
        <f>INDEX(Dataset_2!$E$2:$E$611,MATCH($A333,Dataset_2!$A$2:$A$611,0))</f>
        <v>1</v>
      </c>
      <c r="O333">
        <f>INDEX(Dataset_2!$F$2:$F$611,MATCH($A333,Dataset_2!$A$2:$A$611,0))</f>
        <v>9</v>
      </c>
      <c r="P333">
        <f>INDEX(Dataset_2!$G$2:$G$611,MATCH($A333,Dataset_2!$A$2:$A$611,0))</f>
        <v>10</v>
      </c>
    </row>
    <row r="334" spans="1:16" x14ac:dyDescent="0.2">
      <c r="A334">
        <f>Dataset_1!A334</f>
        <v>333</v>
      </c>
      <c r="B334" s="61">
        <f>Dataset_1!B334</f>
        <v>40558</v>
      </c>
      <c r="C334">
        <f>Dataset_1!C334</f>
        <v>1</v>
      </c>
      <c r="D334">
        <f>Dataset_1!D334</f>
        <v>0</v>
      </c>
      <c r="E334">
        <f>Dataset_1!E334</f>
        <v>1</v>
      </c>
      <c r="F334">
        <f>Dataset_1!F334</f>
        <v>8</v>
      </c>
      <c r="G334" t="b">
        <f>Dataset_1!G334</f>
        <v>0</v>
      </c>
      <c r="H334">
        <f>Dataset_1!H334</f>
        <v>6</v>
      </c>
      <c r="I334">
        <f>Dataset_1!I334</f>
        <v>1</v>
      </c>
      <c r="J334">
        <f>Dataset_1!J334</f>
        <v>0.14000000000000001</v>
      </c>
      <c r="K334">
        <f>INDEX(Dataset_2!$B$2:$B$611,MATCH($A334,Dataset_2!$A$2:$A$611,0))</f>
        <v>0.1515</v>
      </c>
      <c r="L334">
        <f>INDEX(Dataset_2!$C$2:$C$611,MATCH($A334,Dataset_2!$A$2:$A$611,0))</f>
        <v>0.63</v>
      </c>
      <c r="M334">
        <f>INDEX(Dataset_2!$D$2:$D$611,MATCH($A334,Dataset_2!$A$2:$A$611,0))</f>
        <v>0.1343</v>
      </c>
      <c r="N334">
        <f>INDEX(Dataset_2!$E$2:$E$611,MATCH($A334,Dataset_2!$A$2:$A$611,0))</f>
        <v>1</v>
      </c>
      <c r="O334">
        <f>INDEX(Dataset_2!$F$2:$F$611,MATCH($A334,Dataset_2!$A$2:$A$611,0))</f>
        <v>22</v>
      </c>
      <c r="P334">
        <f>INDEX(Dataset_2!$G$2:$G$611,MATCH($A334,Dataset_2!$A$2:$A$611,0))</f>
        <v>23</v>
      </c>
    </row>
    <row r="335" spans="1:16" x14ac:dyDescent="0.2">
      <c r="A335">
        <f>Dataset_1!A335</f>
        <v>334</v>
      </c>
      <c r="B335" s="61">
        <f>Dataset_1!B335</f>
        <v>40558</v>
      </c>
      <c r="C335">
        <f>Dataset_1!C335</f>
        <v>1</v>
      </c>
      <c r="D335">
        <f>Dataset_1!D335</f>
        <v>0</v>
      </c>
      <c r="E335">
        <f>Dataset_1!E335</f>
        <v>1</v>
      </c>
      <c r="F335">
        <f>Dataset_1!F335</f>
        <v>9</v>
      </c>
      <c r="G335" t="b">
        <f>Dataset_1!G335</f>
        <v>0</v>
      </c>
      <c r="H335">
        <f>Dataset_1!H335</f>
        <v>6</v>
      </c>
      <c r="I335">
        <f>Dataset_1!I335</f>
        <v>1</v>
      </c>
      <c r="J335">
        <f>Dataset_1!J335</f>
        <v>0.16</v>
      </c>
      <c r="K335">
        <f>INDEX(Dataset_2!$B$2:$B$611,MATCH($A335,Dataset_2!$A$2:$A$611,0))</f>
        <v>0.18179999999999999</v>
      </c>
      <c r="L335">
        <f>INDEX(Dataset_2!$C$2:$C$611,MATCH($A335,Dataset_2!$A$2:$A$611,0))</f>
        <v>0.64</v>
      </c>
      <c r="M335">
        <f>INDEX(Dataset_2!$D$2:$D$611,MATCH($A335,Dataset_2!$A$2:$A$611,0))</f>
        <v>0.1343</v>
      </c>
      <c r="N335">
        <f>INDEX(Dataset_2!$E$2:$E$611,MATCH($A335,Dataset_2!$A$2:$A$611,0))</f>
        <v>2</v>
      </c>
      <c r="O335">
        <f>INDEX(Dataset_2!$F$2:$F$611,MATCH($A335,Dataset_2!$A$2:$A$611,0))</f>
        <v>31</v>
      </c>
      <c r="P335">
        <f>INDEX(Dataset_2!$G$2:$G$611,MATCH($A335,Dataset_2!$A$2:$A$611,0))</f>
        <v>33</v>
      </c>
    </row>
    <row r="336" spans="1:16" x14ac:dyDescent="0.2">
      <c r="A336">
        <f>Dataset_1!A336</f>
        <v>335</v>
      </c>
      <c r="B336" s="61">
        <f>Dataset_1!B336</f>
        <v>40558</v>
      </c>
      <c r="C336">
        <f>Dataset_1!C336</f>
        <v>1</v>
      </c>
      <c r="D336">
        <f>Dataset_1!D336</f>
        <v>0</v>
      </c>
      <c r="E336">
        <f>Dataset_1!E336</f>
        <v>1</v>
      </c>
      <c r="F336">
        <f>Dataset_1!F336</f>
        <v>10</v>
      </c>
      <c r="G336" t="b">
        <f>Dataset_1!G336</f>
        <v>0</v>
      </c>
      <c r="H336">
        <f>Dataset_1!H336</f>
        <v>6</v>
      </c>
      <c r="I336">
        <f>Dataset_1!I336</f>
        <v>1</v>
      </c>
      <c r="J336">
        <f>Dataset_1!J336</f>
        <v>0.18</v>
      </c>
      <c r="K336">
        <f>INDEX(Dataset_2!$B$2:$B$611,MATCH($A336,Dataset_2!$A$2:$A$611,0))</f>
        <v>0.19700000000000001</v>
      </c>
      <c r="L336">
        <f>INDEX(Dataset_2!$C$2:$C$611,MATCH($A336,Dataset_2!$A$2:$A$611,0))</f>
        <v>0.59</v>
      </c>
      <c r="M336">
        <f>INDEX(Dataset_2!$D$2:$D$611,MATCH($A336,Dataset_2!$A$2:$A$611,0))</f>
        <v>0.16420000000000001</v>
      </c>
      <c r="N336">
        <f>INDEX(Dataset_2!$E$2:$E$611,MATCH($A336,Dataset_2!$A$2:$A$611,0))</f>
        <v>2</v>
      </c>
      <c r="O336">
        <f>INDEX(Dataset_2!$F$2:$F$611,MATCH($A336,Dataset_2!$A$2:$A$611,0))</f>
        <v>57</v>
      </c>
      <c r="P336">
        <f>INDEX(Dataset_2!$G$2:$G$611,MATCH($A336,Dataset_2!$A$2:$A$611,0))</f>
        <v>59</v>
      </c>
    </row>
    <row r="337" spans="1:16" x14ac:dyDescent="0.2">
      <c r="A337">
        <f>Dataset_1!A337</f>
        <v>336</v>
      </c>
      <c r="B337" s="61">
        <f>Dataset_1!B337</f>
        <v>40558</v>
      </c>
      <c r="C337">
        <f>Dataset_1!C337</f>
        <v>1</v>
      </c>
      <c r="D337">
        <f>Dataset_1!D337</f>
        <v>0</v>
      </c>
      <c r="E337">
        <f>Dataset_1!E337</f>
        <v>1</v>
      </c>
      <c r="F337">
        <f>Dataset_1!F337</f>
        <v>11</v>
      </c>
      <c r="G337" t="b">
        <f>Dataset_1!G337</f>
        <v>0</v>
      </c>
      <c r="H337">
        <f>Dataset_1!H337</f>
        <v>6</v>
      </c>
      <c r="I337">
        <f>Dataset_1!I337</f>
        <v>1</v>
      </c>
      <c r="J337">
        <f>Dataset_1!J337</f>
        <v>0.2</v>
      </c>
      <c r="K337">
        <f>INDEX(Dataset_2!$B$2:$B$611,MATCH($A337,Dataset_2!$A$2:$A$611,0))</f>
        <v>0.19700000000000001</v>
      </c>
      <c r="L337">
        <f>INDEX(Dataset_2!$C$2:$C$611,MATCH($A337,Dataset_2!$A$2:$A$611,0))</f>
        <v>0.55000000000000004</v>
      </c>
      <c r="M337">
        <f>INDEX(Dataset_2!$D$2:$D$611,MATCH($A337,Dataset_2!$A$2:$A$611,0))</f>
        <v>0.22389999999999999</v>
      </c>
      <c r="N337">
        <f>INDEX(Dataset_2!$E$2:$E$611,MATCH($A337,Dataset_2!$A$2:$A$611,0))</f>
        <v>18</v>
      </c>
      <c r="O337">
        <f>INDEX(Dataset_2!$F$2:$F$611,MATCH($A337,Dataset_2!$A$2:$A$611,0))</f>
        <v>54</v>
      </c>
      <c r="P337">
        <f>INDEX(Dataset_2!$G$2:$G$611,MATCH($A337,Dataset_2!$A$2:$A$611,0))</f>
        <v>72</v>
      </c>
    </row>
    <row r="338" spans="1:16" x14ac:dyDescent="0.2">
      <c r="A338">
        <f>Dataset_1!A338</f>
        <v>337</v>
      </c>
      <c r="B338" s="61">
        <f>Dataset_1!B338</f>
        <v>40558</v>
      </c>
      <c r="C338">
        <f>Dataset_1!C338</f>
        <v>1</v>
      </c>
      <c r="D338">
        <f>Dataset_1!D338</f>
        <v>0</v>
      </c>
      <c r="E338">
        <f>Dataset_1!E338</f>
        <v>1</v>
      </c>
      <c r="F338">
        <f>Dataset_1!F338</f>
        <v>12</v>
      </c>
      <c r="G338" t="b">
        <f>Dataset_1!G338</f>
        <v>0</v>
      </c>
      <c r="H338">
        <f>Dataset_1!H338</f>
        <v>6</v>
      </c>
      <c r="I338">
        <f>Dataset_1!I338</f>
        <v>1</v>
      </c>
      <c r="J338">
        <f>Dataset_1!J338</f>
        <v>0.24</v>
      </c>
      <c r="K338">
        <f>INDEX(Dataset_2!$B$2:$B$611,MATCH($A338,Dataset_2!$A$2:$A$611,0))</f>
        <v>0.2273</v>
      </c>
      <c r="L338">
        <f>INDEX(Dataset_2!$C$2:$C$611,MATCH($A338,Dataset_2!$A$2:$A$611,0))</f>
        <v>0.48</v>
      </c>
      <c r="M338">
        <f>INDEX(Dataset_2!$D$2:$D$611,MATCH($A338,Dataset_2!$A$2:$A$611,0))</f>
        <v>0.22389999999999999</v>
      </c>
      <c r="N338">
        <f>INDEX(Dataset_2!$E$2:$E$611,MATCH($A338,Dataset_2!$A$2:$A$611,0))</f>
        <v>15</v>
      </c>
      <c r="O338">
        <f>INDEX(Dataset_2!$F$2:$F$611,MATCH($A338,Dataset_2!$A$2:$A$611,0))</f>
        <v>74</v>
      </c>
      <c r="P338">
        <f>INDEX(Dataset_2!$G$2:$G$611,MATCH($A338,Dataset_2!$A$2:$A$611,0))</f>
        <v>89</v>
      </c>
    </row>
    <row r="339" spans="1:16" x14ac:dyDescent="0.2">
      <c r="A339">
        <f>Dataset_1!A339</f>
        <v>338</v>
      </c>
      <c r="B339" s="61">
        <f>Dataset_1!B339</f>
        <v>40558</v>
      </c>
      <c r="C339">
        <f>Dataset_1!C339</f>
        <v>1</v>
      </c>
      <c r="D339">
        <f>Dataset_1!D339</f>
        <v>0</v>
      </c>
      <c r="E339">
        <f>Dataset_1!E339</f>
        <v>1</v>
      </c>
      <c r="F339">
        <f>Dataset_1!F339</f>
        <v>13</v>
      </c>
      <c r="G339" t="b">
        <f>Dataset_1!G339</f>
        <v>0</v>
      </c>
      <c r="H339">
        <f>Dataset_1!H339</f>
        <v>6</v>
      </c>
      <c r="I339">
        <f>Dataset_1!I339</f>
        <v>1</v>
      </c>
      <c r="J339">
        <f>Dataset_1!J339</f>
        <v>0.28000000000000003</v>
      </c>
      <c r="K339">
        <f>INDEX(Dataset_2!$B$2:$B$611,MATCH($A339,Dataset_2!$A$2:$A$611,0))</f>
        <v>0.2576</v>
      </c>
      <c r="L339">
        <f>INDEX(Dataset_2!$C$2:$C$611,MATCH($A339,Dataset_2!$A$2:$A$611,0))</f>
        <v>0.38</v>
      </c>
      <c r="M339">
        <f>INDEX(Dataset_2!$D$2:$D$611,MATCH($A339,Dataset_2!$A$2:$A$611,0))</f>
        <v>0.29849999999999999</v>
      </c>
      <c r="N339">
        <f>INDEX(Dataset_2!$E$2:$E$611,MATCH($A339,Dataset_2!$A$2:$A$611,0))</f>
        <v>21</v>
      </c>
      <c r="O339">
        <f>INDEX(Dataset_2!$F$2:$F$611,MATCH($A339,Dataset_2!$A$2:$A$611,0))</f>
        <v>80</v>
      </c>
      <c r="P339">
        <f>INDEX(Dataset_2!$G$2:$G$611,MATCH($A339,Dataset_2!$A$2:$A$611,0))</f>
        <v>101</v>
      </c>
    </row>
    <row r="340" spans="1:16" x14ac:dyDescent="0.2">
      <c r="A340">
        <f>Dataset_1!A340</f>
        <v>339</v>
      </c>
      <c r="B340" s="61">
        <f>Dataset_1!B340</f>
        <v>40558</v>
      </c>
      <c r="C340">
        <f>Dataset_1!C340</f>
        <v>1</v>
      </c>
      <c r="D340">
        <f>Dataset_1!D340</f>
        <v>0</v>
      </c>
      <c r="E340">
        <f>Dataset_1!E340</f>
        <v>1</v>
      </c>
      <c r="F340">
        <f>Dataset_1!F340</f>
        <v>14</v>
      </c>
      <c r="G340" t="b">
        <f>Dataset_1!G340</f>
        <v>0</v>
      </c>
      <c r="H340">
        <f>Dataset_1!H340</f>
        <v>6</v>
      </c>
      <c r="I340">
        <f>Dataset_1!I340</f>
        <v>1</v>
      </c>
      <c r="J340">
        <f>Dataset_1!J340</f>
        <v>0.3</v>
      </c>
      <c r="K340">
        <f>INDEX(Dataset_2!$B$2:$B$611,MATCH($A340,Dataset_2!$A$2:$A$611,0))</f>
        <v>0.28789999999999999</v>
      </c>
      <c r="L340">
        <f>INDEX(Dataset_2!$C$2:$C$611,MATCH($A340,Dataset_2!$A$2:$A$611,0))</f>
        <v>0.39</v>
      </c>
      <c r="M340">
        <f>INDEX(Dataset_2!$D$2:$D$611,MATCH($A340,Dataset_2!$A$2:$A$611,0))</f>
        <v>0.28360000000000002</v>
      </c>
      <c r="N340">
        <f>INDEX(Dataset_2!$E$2:$E$611,MATCH($A340,Dataset_2!$A$2:$A$611,0))</f>
        <v>26</v>
      </c>
      <c r="O340">
        <f>INDEX(Dataset_2!$F$2:$F$611,MATCH($A340,Dataset_2!$A$2:$A$611,0))</f>
        <v>92</v>
      </c>
      <c r="P340">
        <f>INDEX(Dataset_2!$G$2:$G$611,MATCH($A340,Dataset_2!$A$2:$A$611,0))</f>
        <v>118</v>
      </c>
    </row>
    <row r="341" spans="1:16" x14ac:dyDescent="0.2">
      <c r="A341">
        <f>Dataset_1!A341</f>
        <v>340</v>
      </c>
      <c r="B341" s="61">
        <f>Dataset_1!B341</f>
        <v>40558</v>
      </c>
      <c r="C341">
        <f>Dataset_1!C341</f>
        <v>1</v>
      </c>
      <c r="D341">
        <f>Dataset_1!D341</f>
        <v>0</v>
      </c>
      <c r="E341">
        <f>Dataset_1!E341</f>
        <v>1</v>
      </c>
      <c r="F341">
        <f>Dataset_1!F341</f>
        <v>15</v>
      </c>
      <c r="G341" t="b">
        <f>Dataset_1!G341</f>
        <v>0</v>
      </c>
      <c r="H341">
        <f>Dataset_1!H341</f>
        <v>6</v>
      </c>
      <c r="I341">
        <f>Dataset_1!I341</f>
        <v>2</v>
      </c>
      <c r="J341">
        <f>Dataset_1!J341</f>
        <v>0.32</v>
      </c>
      <c r="K341">
        <f>INDEX(Dataset_2!$B$2:$B$611,MATCH($A341,Dataset_2!$A$2:$A$611,0))</f>
        <v>0.31819999999999998</v>
      </c>
      <c r="L341">
        <f>INDEX(Dataset_2!$C$2:$C$611,MATCH($A341,Dataset_2!$A$2:$A$611,0))</f>
        <v>0.36</v>
      </c>
      <c r="M341">
        <f>INDEX(Dataset_2!$D$2:$D$611,MATCH($A341,Dataset_2!$A$2:$A$611,0))</f>
        <v>0.19400000000000001</v>
      </c>
      <c r="N341">
        <f>INDEX(Dataset_2!$E$2:$E$611,MATCH($A341,Dataset_2!$A$2:$A$611,0))</f>
        <v>21</v>
      </c>
      <c r="O341">
        <f>INDEX(Dataset_2!$F$2:$F$611,MATCH($A341,Dataset_2!$A$2:$A$611,0))</f>
        <v>108</v>
      </c>
      <c r="P341">
        <f>INDEX(Dataset_2!$G$2:$G$611,MATCH($A341,Dataset_2!$A$2:$A$611,0))</f>
        <v>129</v>
      </c>
    </row>
    <row r="342" spans="1:16" x14ac:dyDescent="0.2">
      <c r="A342">
        <f>Dataset_1!A342</f>
        <v>341</v>
      </c>
      <c r="B342" s="61">
        <f>Dataset_1!B342</f>
        <v>40558</v>
      </c>
      <c r="C342">
        <f>Dataset_1!C342</f>
        <v>1</v>
      </c>
      <c r="D342">
        <f>Dataset_1!D342</f>
        <v>0</v>
      </c>
      <c r="E342">
        <f>Dataset_1!E342</f>
        <v>1</v>
      </c>
      <c r="F342">
        <f>Dataset_1!F342</f>
        <v>16</v>
      </c>
      <c r="G342" t="b">
        <f>Dataset_1!G342</f>
        <v>0</v>
      </c>
      <c r="H342">
        <f>Dataset_1!H342</f>
        <v>6</v>
      </c>
      <c r="I342">
        <f>Dataset_1!I342</f>
        <v>2</v>
      </c>
      <c r="J342">
        <f>Dataset_1!J342</f>
        <v>0.34</v>
      </c>
      <c r="K342">
        <f>INDEX(Dataset_2!$B$2:$B$611,MATCH($A342,Dataset_2!$A$2:$A$611,0))</f>
        <v>0.33329999999999999</v>
      </c>
      <c r="L342">
        <f>INDEX(Dataset_2!$C$2:$C$611,MATCH($A342,Dataset_2!$A$2:$A$611,0))</f>
        <v>0.34</v>
      </c>
      <c r="M342">
        <f>INDEX(Dataset_2!$D$2:$D$611,MATCH($A342,Dataset_2!$A$2:$A$611,0))</f>
        <v>0.19400000000000001</v>
      </c>
      <c r="N342">
        <f>INDEX(Dataset_2!$E$2:$E$611,MATCH($A342,Dataset_2!$A$2:$A$611,0))</f>
        <v>33</v>
      </c>
      <c r="O342">
        <f>INDEX(Dataset_2!$F$2:$F$611,MATCH($A342,Dataset_2!$A$2:$A$611,0))</f>
        <v>95</v>
      </c>
      <c r="P342">
        <f>INDEX(Dataset_2!$G$2:$G$611,MATCH($A342,Dataset_2!$A$2:$A$611,0))</f>
        <v>128</v>
      </c>
    </row>
    <row r="343" spans="1:16" x14ac:dyDescent="0.2">
      <c r="A343">
        <f>Dataset_1!A343</f>
        <v>342</v>
      </c>
      <c r="B343" s="61">
        <f>Dataset_1!B343</f>
        <v>40558</v>
      </c>
      <c r="C343">
        <f>Dataset_1!C343</f>
        <v>1</v>
      </c>
      <c r="D343">
        <f>Dataset_1!D343</f>
        <v>0</v>
      </c>
      <c r="E343">
        <f>Dataset_1!E343</f>
        <v>1</v>
      </c>
      <c r="F343">
        <f>Dataset_1!F343</f>
        <v>17</v>
      </c>
      <c r="G343" t="b">
        <f>Dataset_1!G343</f>
        <v>0</v>
      </c>
      <c r="H343">
        <f>Dataset_1!H343</f>
        <v>6</v>
      </c>
      <c r="I343">
        <f>Dataset_1!I343</f>
        <v>2</v>
      </c>
      <c r="J343">
        <f>Dataset_1!J343</f>
        <v>0.32</v>
      </c>
      <c r="K343">
        <f>INDEX(Dataset_2!$B$2:$B$611,MATCH($A343,Dataset_2!$A$2:$A$611,0))</f>
        <v>0.30299999999999999</v>
      </c>
      <c r="L343">
        <f>INDEX(Dataset_2!$C$2:$C$611,MATCH($A343,Dataset_2!$A$2:$A$611,0))</f>
        <v>0.36</v>
      </c>
      <c r="M343">
        <f>INDEX(Dataset_2!$D$2:$D$611,MATCH($A343,Dataset_2!$A$2:$A$611,0))</f>
        <v>0.28360000000000002</v>
      </c>
      <c r="N343">
        <f>INDEX(Dataset_2!$E$2:$E$611,MATCH($A343,Dataset_2!$A$2:$A$611,0))</f>
        <v>29</v>
      </c>
      <c r="O343">
        <f>INDEX(Dataset_2!$F$2:$F$611,MATCH($A343,Dataset_2!$A$2:$A$611,0))</f>
        <v>54</v>
      </c>
      <c r="P343">
        <f>INDEX(Dataset_2!$G$2:$G$611,MATCH($A343,Dataset_2!$A$2:$A$611,0))</f>
        <v>83</v>
      </c>
    </row>
    <row r="344" spans="1:16" x14ac:dyDescent="0.2">
      <c r="A344">
        <f>Dataset_1!A344</f>
        <v>343</v>
      </c>
      <c r="B344" s="61">
        <f>Dataset_1!B344</f>
        <v>40558</v>
      </c>
      <c r="C344">
        <f>Dataset_1!C344</f>
        <v>1</v>
      </c>
      <c r="D344">
        <f>Dataset_1!D344</f>
        <v>0</v>
      </c>
      <c r="E344">
        <f>Dataset_1!E344</f>
        <v>1</v>
      </c>
      <c r="F344">
        <f>Dataset_1!F344</f>
        <v>18</v>
      </c>
      <c r="G344" t="b">
        <f>Dataset_1!G344</f>
        <v>0</v>
      </c>
      <c r="H344">
        <f>Dataset_1!H344</f>
        <v>6</v>
      </c>
      <c r="I344">
        <f>Dataset_1!I344</f>
        <v>2</v>
      </c>
      <c r="J344">
        <f>Dataset_1!J344</f>
        <v>0.3</v>
      </c>
      <c r="K344">
        <f>INDEX(Dataset_2!$B$2:$B$611,MATCH($A344,Dataset_2!$A$2:$A$611,0))</f>
        <v>0.28789999999999999</v>
      </c>
      <c r="L344">
        <f>INDEX(Dataset_2!$C$2:$C$611,MATCH($A344,Dataset_2!$A$2:$A$611,0))</f>
        <v>0.45</v>
      </c>
      <c r="M344">
        <f>INDEX(Dataset_2!$D$2:$D$611,MATCH($A344,Dataset_2!$A$2:$A$611,0))</f>
        <v>0.25369999999999998</v>
      </c>
      <c r="N344">
        <f>INDEX(Dataset_2!$E$2:$E$611,MATCH($A344,Dataset_2!$A$2:$A$611,0))</f>
        <v>15</v>
      </c>
      <c r="O344">
        <f>INDEX(Dataset_2!$F$2:$F$611,MATCH($A344,Dataset_2!$A$2:$A$611,0))</f>
        <v>69</v>
      </c>
      <c r="P344">
        <f>INDEX(Dataset_2!$G$2:$G$611,MATCH($A344,Dataset_2!$A$2:$A$611,0))</f>
        <v>84</v>
      </c>
    </row>
    <row r="345" spans="1:16" x14ac:dyDescent="0.2">
      <c r="A345">
        <f>Dataset_1!A345</f>
        <v>344</v>
      </c>
      <c r="B345" s="61">
        <f>Dataset_1!B345</f>
        <v>40558</v>
      </c>
      <c r="C345">
        <f>Dataset_1!C345</f>
        <v>1</v>
      </c>
      <c r="D345">
        <f>Dataset_1!D345</f>
        <v>0</v>
      </c>
      <c r="E345">
        <f>Dataset_1!E345</f>
        <v>1</v>
      </c>
      <c r="F345">
        <f>Dataset_1!F345</f>
        <v>19</v>
      </c>
      <c r="G345" t="b">
        <f>Dataset_1!G345</f>
        <v>0</v>
      </c>
      <c r="H345">
        <f>Dataset_1!H345</f>
        <v>6</v>
      </c>
      <c r="I345">
        <f>Dataset_1!I345</f>
        <v>2</v>
      </c>
      <c r="J345">
        <f>Dataset_1!J345</f>
        <v>0.32</v>
      </c>
      <c r="K345">
        <f>INDEX(Dataset_2!$B$2:$B$611,MATCH($A345,Dataset_2!$A$2:$A$611,0))</f>
        <v>0.30299999999999999</v>
      </c>
      <c r="L345">
        <f>INDEX(Dataset_2!$C$2:$C$611,MATCH($A345,Dataset_2!$A$2:$A$611,0))</f>
        <v>0.39</v>
      </c>
      <c r="M345">
        <f>INDEX(Dataset_2!$D$2:$D$611,MATCH($A345,Dataset_2!$A$2:$A$611,0))</f>
        <v>0.25369999999999998</v>
      </c>
      <c r="N345">
        <f>INDEX(Dataset_2!$E$2:$E$611,MATCH($A345,Dataset_2!$A$2:$A$611,0))</f>
        <v>14</v>
      </c>
      <c r="O345">
        <f>INDEX(Dataset_2!$F$2:$F$611,MATCH($A345,Dataset_2!$A$2:$A$611,0))</f>
        <v>60</v>
      </c>
      <c r="P345">
        <f>INDEX(Dataset_2!$G$2:$G$611,MATCH($A345,Dataset_2!$A$2:$A$611,0))</f>
        <v>74</v>
      </c>
    </row>
    <row r="346" spans="1:16" x14ac:dyDescent="0.2">
      <c r="A346">
        <f>Dataset_1!A346</f>
        <v>345</v>
      </c>
      <c r="B346" s="61">
        <f>Dataset_1!B346</f>
        <v>40558</v>
      </c>
      <c r="C346">
        <f>Dataset_1!C346</f>
        <v>1</v>
      </c>
      <c r="D346">
        <f>Dataset_1!D346</f>
        <v>0</v>
      </c>
      <c r="E346">
        <f>Dataset_1!E346</f>
        <v>1</v>
      </c>
      <c r="F346">
        <f>Dataset_1!F346</f>
        <v>20</v>
      </c>
      <c r="G346" t="b">
        <f>Dataset_1!G346</f>
        <v>0</v>
      </c>
      <c r="H346">
        <f>Dataset_1!H346</f>
        <v>6</v>
      </c>
      <c r="I346">
        <f>Dataset_1!I346</f>
        <v>2</v>
      </c>
      <c r="J346">
        <f>Dataset_1!J346</f>
        <v>0.32</v>
      </c>
      <c r="K346">
        <f>INDEX(Dataset_2!$B$2:$B$611,MATCH($A346,Dataset_2!$A$2:$A$611,0))</f>
        <v>0.30299999999999999</v>
      </c>
      <c r="L346">
        <f>INDEX(Dataset_2!$C$2:$C$611,MATCH($A346,Dataset_2!$A$2:$A$611,0))</f>
        <v>0.39</v>
      </c>
      <c r="M346">
        <f>INDEX(Dataset_2!$D$2:$D$611,MATCH($A346,Dataset_2!$A$2:$A$611,0))</f>
        <v>0.25369999999999998</v>
      </c>
      <c r="N346">
        <f>INDEX(Dataset_2!$E$2:$E$611,MATCH($A346,Dataset_2!$A$2:$A$611,0))</f>
        <v>6</v>
      </c>
      <c r="O346">
        <f>INDEX(Dataset_2!$F$2:$F$611,MATCH($A346,Dataset_2!$A$2:$A$611,0))</f>
        <v>35</v>
      </c>
      <c r="P346">
        <f>INDEX(Dataset_2!$G$2:$G$611,MATCH($A346,Dataset_2!$A$2:$A$611,0))</f>
        <v>41</v>
      </c>
    </row>
    <row r="347" spans="1:16" x14ac:dyDescent="0.2">
      <c r="A347">
        <f>Dataset_1!A347</f>
        <v>346</v>
      </c>
      <c r="B347" s="61">
        <f>Dataset_1!B347</f>
        <v>40558</v>
      </c>
      <c r="C347">
        <f>Dataset_1!C347</f>
        <v>1</v>
      </c>
      <c r="D347">
        <f>Dataset_1!D347</f>
        <v>0</v>
      </c>
      <c r="E347">
        <f>Dataset_1!E347</f>
        <v>1</v>
      </c>
      <c r="F347">
        <f>Dataset_1!F347</f>
        <v>21</v>
      </c>
      <c r="G347" t="b">
        <f>Dataset_1!G347</f>
        <v>0</v>
      </c>
      <c r="H347">
        <f>Dataset_1!H347</f>
        <v>6</v>
      </c>
      <c r="I347">
        <f>Dataset_1!I347</f>
        <v>2</v>
      </c>
      <c r="J347">
        <f>Dataset_1!J347</f>
        <v>0.32</v>
      </c>
      <c r="K347">
        <f>INDEX(Dataset_2!$B$2:$B$611,MATCH($A347,Dataset_2!$A$2:$A$611,0))</f>
        <v>0.30299999999999999</v>
      </c>
      <c r="L347">
        <f>INDEX(Dataset_2!$C$2:$C$611,MATCH($A347,Dataset_2!$A$2:$A$611,0))</f>
        <v>0.39</v>
      </c>
      <c r="M347">
        <f>INDEX(Dataset_2!$D$2:$D$611,MATCH($A347,Dataset_2!$A$2:$A$611,0))</f>
        <v>0.22389999999999999</v>
      </c>
      <c r="N347">
        <f>INDEX(Dataset_2!$E$2:$E$611,MATCH($A347,Dataset_2!$A$2:$A$611,0))</f>
        <v>6</v>
      </c>
      <c r="O347">
        <f>INDEX(Dataset_2!$F$2:$F$611,MATCH($A347,Dataset_2!$A$2:$A$611,0))</f>
        <v>51</v>
      </c>
      <c r="P347">
        <f>INDEX(Dataset_2!$G$2:$G$611,MATCH($A347,Dataset_2!$A$2:$A$611,0))</f>
        <v>57</v>
      </c>
    </row>
    <row r="348" spans="1:16" x14ac:dyDescent="0.2">
      <c r="A348">
        <f>Dataset_1!A348</f>
        <v>347</v>
      </c>
      <c r="B348" s="61">
        <f>Dataset_1!B348</f>
        <v>40558</v>
      </c>
      <c r="C348">
        <f>Dataset_1!C348</f>
        <v>1</v>
      </c>
      <c r="D348">
        <f>Dataset_1!D348</f>
        <v>0</v>
      </c>
      <c r="E348">
        <f>Dataset_1!E348</f>
        <v>1</v>
      </c>
      <c r="F348">
        <f>Dataset_1!F348</f>
        <v>22</v>
      </c>
      <c r="G348" t="b">
        <f>Dataset_1!G348</f>
        <v>0</v>
      </c>
      <c r="H348">
        <f>Dataset_1!H348</f>
        <v>6</v>
      </c>
      <c r="I348">
        <f>Dataset_1!I348</f>
        <v>2</v>
      </c>
      <c r="J348">
        <f>Dataset_1!J348</f>
        <v>0.3</v>
      </c>
      <c r="K348">
        <f>INDEX(Dataset_2!$B$2:$B$611,MATCH($A348,Dataset_2!$A$2:$A$611,0))</f>
        <v>0.31819999999999998</v>
      </c>
      <c r="L348">
        <f>INDEX(Dataset_2!$C$2:$C$611,MATCH($A348,Dataset_2!$A$2:$A$611,0))</f>
        <v>0.42</v>
      </c>
      <c r="M348">
        <f>INDEX(Dataset_2!$D$2:$D$611,MATCH($A348,Dataset_2!$A$2:$A$611,0))</f>
        <v>0.1045</v>
      </c>
      <c r="N348">
        <f>INDEX(Dataset_2!$E$2:$E$611,MATCH($A348,Dataset_2!$A$2:$A$611,0))</f>
        <v>0</v>
      </c>
      <c r="O348">
        <f>INDEX(Dataset_2!$F$2:$F$611,MATCH($A348,Dataset_2!$A$2:$A$611,0))</f>
        <v>26</v>
      </c>
      <c r="P348">
        <f>INDEX(Dataset_2!$G$2:$G$611,MATCH($A348,Dataset_2!$A$2:$A$611,0))</f>
        <v>26</v>
      </c>
    </row>
    <row r="349" spans="1:16" x14ac:dyDescent="0.2">
      <c r="A349">
        <f>Dataset_1!A349</f>
        <v>348</v>
      </c>
      <c r="B349" s="61">
        <f>Dataset_1!B349</f>
        <v>40558</v>
      </c>
      <c r="C349">
        <f>Dataset_1!C349</f>
        <v>1</v>
      </c>
      <c r="D349">
        <f>Dataset_1!D349</f>
        <v>0</v>
      </c>
      <c r="E349">
        <f>Dataset_1!E349</f>
        <v>1</v>
      </c>
      <c r="F349">
        <f>Dataset_1!F349</f>
        <v>23</v>
      </c>
      <c r="G349" t="b">
        <f>Dataset_1!G349</f>
        <v>0</v>
      </c>
      <c r="H349">
        <f>Dataset_1!H349</f>
        <v>6</v>
      </c>
      <c r="I349">
        <f>Dataset_1!I349</f>
        <v>1</v>
      </c>
      <c r="J349">
        <f>Dataset_1!J349</f>
        <v>0.3</v>
      </c>
      <c r="K349">
        <f>INDEX(Dataset_2!$B$2:$B$611,MATCH($A349,Dataset_2!$A$2:$A$611,0))</f>
        <v>0.28789999999999999</v>
      </c>
      <c r="L349">
        <f>INDEX(Dataset_2!$C$2:$C$611,MATCH($A349,Dataset_2!$A$2:$A$611,0))</f>
        <v>0.45</v>
      </c>
      <c r="M349">
        <f>INDEX(Dataset_2!$D$2:$D$611,MATCH($A349,Dataset_2!$A$2:$A$611,0))</f>
        <v>0.28360000000000002</v>
      </c>
      <c r="N349">
        <f>INDEX(Dataset_2!$E$2:$E$611,MATCH($A349,Dataset_2!$A$2:$A$611,0))</f>
        <v>5</v>
      </c>
      <c r="O349">
        <f>INDEX(Dataset_2!$F$2:$F$611,MATCH($A349,Dataset_2!$A$2:$A$611,0))</f>
        <v>39</v>
      </c>
      <c r="P349">
        <f>INDEX(Dataset_2!$G$2:$G$611,MATCH($A349,Dataset_2!$A$2:$A$611,0))</f>
        <v>44</v>
      </c>
    </row>
    <row r="350" spans="1:16" x14ac:dyDescent="0.2">
      <c r="A350">
        <f>Dataset_1!A350</f>
        <v>349</v>
      </c>
      <c r="B350" s="61">
        <f>Dataset_1!B350</f>
        <v>40559</v>
      </c>
      <c r="C350">
        <f>Dataset_1!C350</f>
        <v>1</v>
      </c>
      <c r="D350">
        <f>Dataset_1!D350</f>
        <v>0</v>
      </c>
      <c r="E350">
        <f>Dataset_1!E350</f>
        <v>1</v>
      </c>
      <c r="F350">
        <f>Dataset_1!F350</f>
        <v>0</v>
      </c>
      <c r="G350" t="b">
        <f>Dataset_1!G350</f>
        <v>0</v>
      </c>
      <c r="H350">
        <f>Dataset_1!H350</f>
        <v>0</v>
      </c>
      <c r="I350">
        <f>Dataset_1!I350</f>
        <v>1</v>
      </c>
      <c r="J350">
        <f>Dataset_1!J350</f>
        <v>0.26</v>
      </c>
      <c r="K350">
        <f>INDEX(Dataset_2!$B$2:$B$611,MATCH($A350,Dataset_2!$A$2:$A$611,0))</f>
        <v>0.30299999999999999</v>
      </c>
      <c r="L350">
        <f>INDEX(Dataset_2!$C$2:$C$611,MATCH($A350,Dataset_2!$A$2:$A$611,0))</f>
        <v>0.56000000000000005</v>
      </c>
      <c r="M350">
        <f>INDEX(Dataset_2!$D$2:$D$611,MATCH($A350,Dataset_2!$A$2:$A$611,0))</f>
        <v>0</v>
      </c>
      <c r="N350">
        <f>INDEX(Dataset_2!$E$2:$E$611,MATCH($A350,Dataset_2!$A$2:$A$611,0))</f>
        <v>6</v>
      </c>
      <c r="O350">
        <f>INDEX(Dataset_2!$F$2:$F$611,MATCH($A350,Dataset_2!$A$2:$A$611,0))</f>
        <v>33</v>
      </c>
      <c r="P350">
        <f>INDEX(Dataset_2!$G$2:$G$611,MATCH($A350,Dataset_2!$A$2:$A$611,0))</f>
        <v>39</v>
      </c>
    </row>
    <row r="351" spans="1:16" x14ac:dyDescent="0.2">
      <c r="A351">
        <f>Dataset_1!A351</f>
        <v>350</v>
      </c>
      <c r="B351" s="61">
        <f>Dataset_1!B351</f>
        <v>40559</v>
      </c>
      <c r="C351">
        <f>Dataset_1!C351</f>
        <v>1</v>
      </c>
      <c r="D351">
        <f>Dataset_1!D351</f>
        <v>0</v>
      </c>
      <c r="E351">
        <f>Dataset_1!E351</f>
        <v>1</v>
      </c>
      <c r="F351">
        <f>Dataset_1!F351</f>
        <v>1</v>
      </c>
      <c r="G351" t="b">
        <f>Dataset_1!G351</f>
        <v>0</v>
      </c>
      <c r="H351">
        <f>Dataset_1!H351</f>
        <v>0</v>
      </c>
      <c r="I351">
        <f>Dataset_1!I351</f>
        <v>1</v>
      </c>
      <c r="J351">
        <f>Dataset_1!J351</f>
        <v>0.26</v>
      </c>
      <c r="K351">
        <f>INDEX(Dataset_2!$B$2:$B$611,MATCH($A351,Dataset_2!$A$2:$A$611,0))</f>
        <v>0.2727</v>
      </c>
      <c r="L351">
        <f>INDEX(Dataset_2!$C$2:$C$611,MATCH($A351,Dataset_2!$A$2:$A$611,0))</f>
        <v>0.56000000000000005</v>
      </c>
      <c r="M351">
        <f>INDEX(Dataset_2!$D$2:$D$611,MATCH($A351,Dataset_2!$A$2:$A$611,0))</f>
        <v>0.1343</v>
      </c>
      <c r="N351">
        <f>INDEX(Dataset_2!$E$2:$E$611,MATCH($A351,Dataset_2!$A$2:$A$611,0))</f>
        <v>4</v>
      </c>
      <c r="O351">
        <f>INDEX(Dataset_2!$F$2:$F$611,MATCH($A351,Dataset_2!$A$2:$A$611,0))</f>
        <v>19</v>
      </c>
      <c r="P351">
        <f>INDEX(Dataset_2!$G$2:$G$611,MATCH($A351,Dataset_2!$A$2:$A$611,0))</f>
        <v>23</v>
      </c>
    </row>
    <row r="352" spans="1:16" x14ac:dyDescent="0.2">
      <c r="A352">
        <f>Dataset_1!A352</f>
        <v>351</v>
      </c>
      <c r="B352" s="61">
        <f>Dataset_1!B352</f>
        <v>40559</v>
      </c>
      <c r="C352">
        <f>Dataset_1!C352</f>
        <v>1</v>
      </c>
      <c r="D352">
        <f>Dataset_1!D352</f>
        <v>0</v>
      </c>
      <c r="E352">
        <f>Dataset_1!E352</f>
        <v>1</v>
      </c>
      <c r="F352">
        <f>Dataset_1!F352</f>
        <v>2</v>
      </c>
      <c r="G352" t="b">
        <f>Dataset_1!G352</f>
        <v>0</v>
      </c>
      <c r="H352">
        <f>Dataset_1!H352</f>
        <v>0</v>
      </c>
      <c r="I352">
        <f>Dataset_1!I352</f>
        <v>1</v>
      </c>
      <c r="J352">
        <f>Dataset_1!J352</f>
        <v>0.26</v>
      </c>
      <c r="K352">
        <f>INDEX(Dataset_2!$B$2:$B$611,MATCH($A352,Dataset_2!$A$2:$A$611,0))</f>
        <v>0.28789999999999999</v>
      </c>
      <c r="L352">
        <f>INDEX(Dataset_2!$C$2:$C$611,MATCH($A352,Dataset_2!$A$2:$A$611,0))</f>
        <v>0.56000000000000005</v>
      </c>
      <c r="M352">
        <f>INDEX(Dataset_2!$D$2:$D$611,MATCH($A352,Dataset_2!$A$2:$A$611,0))</f>
        <v>8.9599999999999999E-2</v>
      </c>
      <c r="N352">
        <f>INDEX(Dataset_2!$E$2:$E$611,MATCH($A352,Dataset_2!$A$2:$A$611,0))</f>
        <v>3</v>
      </c>
      <c r="O352">
        <f>INDEX(Dataset_2!$F$2:$F$611,MATCH($A352,Dataset_2!$A$2:$A$611,0))</f>
        <v>13</v>
      </c>
      <c r="P352">
        <f>INDEX(Dataset_2!$G$2:$G$611,MATCH($A352,Dataset_2!$A$2:$A$611,0))</f>
        <v>16</v>
      </c>
    </row>
    <row r="353" spans="1:16" x14ac:dyDescent="0.2">
      <c r="A353">
        <f>Dataset_1!A353</f>
        <v>352</v>
      </c>
      <c r="B353" s="61">
        <f>Dataset_1!B353</f>
        <v>40559</v>
      </c>
      <c r="C353">
        <f>Dataset_1!C353</f>
        <v>1</v>
      </c>
      <c r="D353">
        <f>Dataset_1!D353</f>
        <v>0</v>
      </c>
      <c r="E353">
        <f>Dataset_1!E353</f>
        <v>1</v>
      </c>
      <c r="F353">
        <f>Dataset_1!F353</f>
        <v>3</v>
      </c>
      <c r="G353" t="b">
        <f>Dataset_1!G353</f>
        <v>0</v>
      </c>
      <c r="H353">
        <f>Dataset_1!H353</f>
        <v>0</v>
      </c>
      <c r="I353">
        <f>Dataset_1!I353</f>
        <v>1</v>
      </c>
      <c r="J353">
        <f>Dataset_1!J353</f>
        <v>0.22</v>
      </c>
      <c r="K353">
        <f>INDEX(Dataset_2!$B$2:$B$611,MATCH($A353,Dataset_2!$A$2:$A$611,0))</f>
        <v>0.2727</v>
      </c>
      <c r="L353">
        <f>INDEX(Dataset_2!$C$2:$C$611,MATCH($A353,Dataset_2!$A$2:$A$611,0))</f>
        <v>0.69</v>
      </c>
      <c r="M353">
        <f>INDEX(Dataset_2!$D$2:$D$611,MATCH($A353,Dataset_2!$A$2:$A$611,0))</f>
        <v>0</v>
      </c>
      <c r="N353">
        <f>INDEX(Dataset_2!$E$2:$E$611,MATCH($A353,Dataset_2!$A$2:$A$611,0))</f>
        <v>9</v>
      </c>
      <c r="O353">
        <f>INDEX(Dataset_2!$F$2:$F$611,MATCH($A353,Dataset_2!$A$2:$A$611,0))</f>
        <v>6</v>
      </c>
      <c r="P353">
        <f>INDEX(Dataset_2!$G$2:$G$611,MATCH($A353,Dataset_2!$A$2:$A$611,0))</f>
        <v>15</v>
      </c>
    </row>
    <row r="354" spans="1:16" x14ac:dyDescent="0.2">
      <c r="A354">
        <f>Dataset_1!A354</f>
        <v>353</v>
      </c>
      <c r="B354" s="61">
        <f>Dataset_1!B354</f>
        <v>40559</v>
      </c>
      <c r="C354">
        <f>Dataset_1!C354</f>
        <v>1</v>
      </c>
      <c r="D354">
        <f>Dataset_1!D354</f>
        <v>0</v>
      </c>
      <c r="E354">
        <f>Dataset_1!E354</f>
        <v>1</v>
      </c>
      <c r="F354">
        <f>Dataset_1!F354</f>
        <v>4</v>
      </c>
      <c r="G354" t="b">
        <f>Dataset_1!G354</f>
        <v>0</v>
      </c>
      <c r="H354">
        <f>Dataset_1!H354</f>
        <v>0</v>
      </c>
      <c r="I354">
        <f>Dataset_1!I354</f>
        <v>1</v>
      </c>
      <c r="J354">
        <f>Dataset_1!J354</f>
        <v>0.26</v>
      </c>
      <c r="K354">
        <f>INDEX(Dataset_2!$B$2:$B$611,MATCH($A354,Dataset_2!$A$2:$A$611,0))</f>
        <v>0.2576</v>
      </c>
      <c r="L354">
        <f>INDEX(Dataset_2!$C$2:$C$611,MATCH($A354,Dataset_2!$A$2:$A$611,0))</f>
        <v>0.56000000000000005</v>
      </c>
      <c r="M354">
        <f>INDEX(Dataset_2!$D$2:$D$611,MATCH($A354,Dataset_2!$A$2:$A$611,0))</f>
        <v>0.16420000000000001</v>
      </c>
      <c r="N354">
        <f>INDEX(Dataset_2!$E$2:$E$611,MATCH($A354,Dataset_2!$A$2:$A$611,0))</f>
        <v>0</v>
      </c>
      <c r="O354">
        <f>INDEX(Dataset_2!$F$2:$F$611,MATCH($A354,Dataset_2!$A$2:$A$611,0))</f>
        <v>1</v>
      </c>
      <c r="P354">
        <f>INDEX(Dataset_2!$G$2:$G$611,MATCH($A354,Dataset_2!$A$2:$A$611,0))</f>
        <v>1</v>
      </c>
    </row>
    <row r="355" spans="1:16" x14ac:dyDescent="0.2">
      <c r="A355">
        <f>Dataset_1!A355</f>
        <v>354</v>
      </c>
      <c r="B355" s="61">
        <f>Dataset_1!B355</f>
        <v>40559</v>
      </c>
      <c r="C355">
        <f>Dataset_1!C355</f>
        <v>1</v>
      </c>
      <c r="D355">
        <f>Dataset_1!D355</f>
        <v>0</v>
      </c>
      <c r="E355">
        <f>Dataset_1!E355</f>
        <v>1</v>
      </c>
      <c r="F355">
        <f>Dataset_1!F355</f>
        <v>5</v>
      </c>
      <c r="G355" t="b">
        <f>Dataset_1!G355</f>
        <v>0</v>
      </c>
      <c r="H355">
        <f>Dataset_1!H355</f>
        <v>0</v>
      </c>
      <c r="I355">
        <f>Dataset_1!I355</f>
        <v>2</v>
      </c>
      <c r="J355">
        <f>Dataset_1!J355</f>
        <v>0.26</v>
      </c>
      <c r="K355">
        <f>INDEX(Dataset_2!$B$2:$B$611,MATCH($A355,Dataset_2!$A$2:$A$611,0))</f>
        <v>0.2576</v>
      </c>
      <c r="L355">
        <f>INDEX(Dataset_2!$C$2:$C$611,MATCH($A355,Dataset_2!$A$2:$A$611,0))</f>
        <v>0.56000000000000005</v>
      </c>
      <c r="M355">
        <f>INDEX(Dataset_2!$D$2:$D$611,MATCH($A355,Dataset_2!$A$2:$A$611,0))</f>
        <v>0.16420000000000001</v>
      </c>
      <c r="N355">
        <f>INDEX(Dataset_2!$E$2:$E$611,MATCH($A355,Dataset_2!$A$2:$A$611,0))</f>
        <v>1</v>
      </c>
      <c r="O355">
        <f>INDEX(Dataset_2!$F$2:$F$611,MATCH($A355,Dataset_2!$A$2:$A$611,0))</f>
        <v>1</v>
      </c>
      <c r="P355">
        <f>INDEX(Dataset_2!$G$2:$G$611,MATCH($A355,Dataset_2!$A$2:$A$611,0))</f>
        <v>2</v>
      </c>
    </row>
    <row r="356" spans="1:16" x14ac:dyDescent="0.2">
      <c r="A356">
        <f>Dataset_1!A356</f>
        <v>355</v>
      </c>
      <c r="B356" s="61">
        <f>Dataset_1!B356</f>
        <v>40559</v>
      </c>
      <c r="C356">
        <f>Dataset_1!C356</f>
        <v>1</v>
      </c>
      <c r="D356">
        <f>Dataset_1!D356</f>
        <v>0</v>
      </c>
      <c r="E356">
        <f>Dataset_1!E356</f>
        <v>1</v>
      </c>
      <c r="F356">
        <f>Dataset_1!F356</f>
        <v>6</v>
      </c>
      <c r="G356" t="b">
        <f>Dataset_1!G356</f>
        <v>0</v>
      </c>
      <c r="H356">
        <f>Dataset_1!H356</f>
        <v>0</v>
      </c>
      <c r="I356">
        <f>Dataset_1!I356</f>
        <v>2</v>
      </c>
      <c r="J356">
        <f>Dataset_1!J356</f>
        <v>0.26</v>
      </c>
      <c r="K356">
        <f>INDEX(Dataset_2!$B$2:$B$611,MATCH($A356,Dataset_2!$A$2:$A$611,0))</f>
        <v>0.2576</v>
      </c>
      <c r="L356">
        <f>INDEX(Dataset_2!$C$2:$C$611,MATCH($A356,Dataset_2!$A$2:$A$611,0))</f>
        <v>0.56000000000000005</v>
      </c>
      <c r="M356">
        <f>INDEX(Dataset_2!$D$2:$D$611,MATCH($A356,Dataset_2!$A$2:$A$611,0))</f>
        <v>0.16420000000000001</v>
      </c>
      <c r="N356">
        <f>INDEX(Dataset_2!$E$2:$E$611,MATCH($A356,Dataset_2!$A$2:$A$611,0))</f>
        <v>0</v>
      </c>
      <c r="O356">
        <f>INDEX(Dataset_2!$F$2:$F$611,MATCH($A356,Dataset_2!$A$2:$A$611,0))</f>
        <v>1</v>
      </c>
      <c r="P356">
        <f>INDEX(Dataset_2!$G$2:$G$611,MATCH($A356,Dataset_2!$A$2:$A$611,0))</f>
        <v>1</v>
      </c>
    </row>
    <row r="357" spans="1:16" x14ac:dyDescent="0.2">
      <c r="A357">
        <f>Dataset_1!A357</f>
        <v>356</v>
      </c>
      <c r="B357" s="61">
        <f>Dataset_1!B357</f>
        <v>40559</v>
      </c>
      <c r="C357">
        <f>Dataset_1!C357</f>
        <v>1</v>
      </c>
      <c r="D357">
        <f>Dataset_1!D357</f>
        <v>0</v>
      </c>
      <c r="E357">
        <f>Dataset_1!E357</f>
        <v>1</v>
      </c>
      <c r="F357">
        <f>Dataset_1!F357</f>
        <v>7</v>
      </c>
      <c r="G357" t="b">
        <f>Dataset_1!G357</f>
        <v>0</v>
      </c>
      <c r="H357">
        <f>Dataset_1!H357</f>
        <v>0</v>
      </c>
      <c r="I357">
        <f>Dataset_1!I357</f>
        <v>2</v>
      </c>
      <c r="J357">
        <f>Dataset_1!J357</f>
        <v>0.24</v>
      </c>
      <c r="K357">
        <f>INDEX(Dataset_2!$B$2:$B$611,MATCH($A357,Dataset_2!$A$2:$A$611,0))</f>
        <v>0.21210000000000001</v>
      </c>
      <c r="L357">
        <f>INDEX(Dataset_2!$C$2:$C$611,MATCH($A357,Dataset_2!$A$2:$A$611,0))</f>
        <v>0.56000000000000005</v>
      </c>
      <c r="M357">
        <f>INDEX(Dataset_2!$D$2:$D$611,MATCH($A357,Dataset_2!$A$2:$A$611,0))</f>
        <v>0.29849999999999999</v>
      </c>
      <c r="N357">
        <f>INDEX(Dataset_2!$E$2:$E$611,MATCH($A357,Dataset_2!$A$2:$A$611,0))</f>
        <v>0</v>
      </c>
      <c r="O357">
        <f>INDEX(Dataset_2!$F$2:$F$611,MATCH($A357,Dataset_2!$A$2:$A$611,0))</f>
        <v>3</v>
      </c>
      <c r="P357">
        <f>INDEX(Dataset_2!$G$2:$G$611,MATCH($A357,Dataset_2!$A$2:$A$611,0))</f>
        <v>3</v>
      </c>
    </row>
    <row r="358" spans="1:16" x14ac:dyDescent="0.2">
      <c r="A358">
        <f>Dataset_1!A358</f>
        <v>357</v>
      </c>
      <c r="B358" s="61">
        <f>Dataset_1!B358</f>
        <v>40559</v>
      </c>
      <c r="C358">
        <f>Dataset_1!C358</f>
        <v>1</v>
      </c>
      <c r="D358">
        <f>Dataset_1!D358</f>
        <v>0</v>
      </c>
      <c r="E358">
        <f>Dataset_1!E358</f>
        <v>1</v>
      </c>
      <c r="F358">
        <f>Dataset_1!F358</f>
        <v>8</v>
      </c>
      <c r="G358" t="b">
        <f>Dataset_1!G358</f>
        <v>0</v>
      </c>
      <c r="H358">
        <f>Dataset_1!H358</f>
        <v>0</v>
      </c>
      <c r="I358">
        <f>Dataset_1!I358</f>
        <v>1</v>
      </c>
      <c r="J358">
        <f>Dataset_1!J358</f>
        <v>0.22</v>
      </c>
      <c r="K358">
        <f>INDEX(Dataset_2!$B$2:$B$611,MATCH($A358,Dataset_2!$A$2:$A$611,0))</f>
        <v>0.21210000000000001</v>
      </c>
      <c r="L358">
        <f>INDEX(Dataset_2!$C$2:$C$611,MATCH($A358,Dataset_2!$A$2:$A$611,0))</f>
        <v>0.55000000000000004</v>
      </c>
      <c r="M358">
        <f>INDEX(Dataset_2!$D$2:$D$611,MATCH($A358,Dataset_2!$A$2:$A$611,0))</f>
        <v>0.28360000000000002</v>
      </c>
      <c r="N358">
        <f>INDEX(Dataset_2!$E$2:$E$611,MATCH($A358,Dataset_2!$A$2:$A$611,0))</f>
        <v>0</v>
      </c>
      <c r="O358">
        <f>INDEX(Dataset_2!$F$2:$F$611,MATCH($A358,Dataset_2!$A$2:$A$611,0))</f>
        <v>18</v>
      </c>
      <c r="P358">
        <f>INDEX(Dataset_2!$G$2:$G$611,MATCH($A358,Dataset_2!$A$2:$A$611,0))</f>
        <v>18</v>
      </c>
    </row>
    <row r="359" spans="1:16" x14ac:dyDescent="0.2">
      <c r="A359">
        <f>Dataset_1!A359</f>
        <v>358</v>
      </c>
      <c r="B359" s="61">
        <f>Dataset_1!B359</f>
        <v>40559</v>
      </c>
      <c r="C359">
        <f>Dataset_1!C359</f>
        <v>1</v>
      </c>
      <c r="D359">
        <f>Dataset_1!D359</f>
        <v>0</v>
      </c>
      <c r="E359">
        <f>Dataset_1!E359</f>
        <v>1</v>
      </c>
      <c r="F359">
        <f>Dataset_1!F359</f>
        <v>9</v>
      </c>
      <c r="G359" t="b">
        <f>Dataset_1!G359</f>
        <v>0</v>
      </c>
      <c r="H359">
        <f>Dataset_1!H359</f>
        <v>0</v>
      </c>
      <c r="I359">
        <f>Dataset_1!I359</f>
        <v>1</v>
      </c>
      <c r="J359">
        <f>Dataset_1!J359</f>
        <v>0.22</v>
      </c>
      <c r="K359">
        <f>INDEX(Dataset_2!$B$2:$B$611,MATCH($A359,Dataset_2!$A$2:$A$611,0))</f>
        <v>0.21210000000000001</v>
      </c>
      <c r="L359">
        <f>INDEX(Dataset_2!$C$2:$C$611,MATCH($A359,Dataset_2!$A$2:$A$611,0))</f>
        <v>0.51</v>
      </c>
      <c r="M359">
        <f>INDEX(Dataset_2!$D$2:$D$611,MATCH($A359,Dataset_2!$A$2:$A$611,0))</f>
        <v>0.25369999999999998</v>
      </c>
      <c r="N359">
        <f>INDEX(Dataset_2!$E$2:$E$611,MATCH($A359,Dataset_2!$A$2:$A$611,0))</f>
        <v>3</v>
      </c>
      <c r="O359">
        <f>INDEX(Dataset_2!$F$2:$F$611,MATCH($A359,Dataset_2!$A$2:$A$611,0))</f>
        <v>29</v>
      </c>
      <c r="P359">
        <f>INDEX(Dataset_2!$G$2:$G$611,MATCH($A359,Dataset_2!$A$2:$A$611,0))</f>
        <v>32</v>
      </c>
    </row>
    <row r="360" spans="1:16" x14ac:dyDescent="0.2">
      <c r="A360">
        <f>Dataset_1!A360</f>
        <v>359</v>
      </c>
      <c r="B360" s="61">
        <f>Dataset_1!B360</f>
        <v>40559</v>
      </c>
      <c r="C360">
        <f>Dataset_1!C360</f>
        <v>1</v>
      </c>
      <c r="D360">
        <f>Dataset_1!D360</f>
        <v>0</v>
      </c>
      <c r="E360">
        <f>Dataset_1!E360</f>
        <v>1</v>
      </c>
      <c r="F360">
        <f>Dataset_1!F360</f>
        <v>10</v>
      </c>
      <c r="G360" t="b">
        <f>Dataset_1!G360</f>
        <v>0</v>
      </c>
      <c r="H360">
        <f>Dataset_1!H360</f>
        <v>0</v>
      </c>
      <c r="I360">
        <f>Dataset_1!I360</f>
        <v>1</v>
      </c>
      <c r="J360">
        <f>Dataset_1!J360</f>
        <v>0.22</v>
      </c>
      <c r="K360">
        <f>INDEX(Dataset_2!$B$2:$B$611,MATCH($A360,Dataset_2!$A$2:$A$611,0))</f>
        <v>0.21210000000000001</v>
      </c>
      <c r="L360">
        <f>INDEX(Dataset_2!$C$2:$C$611,MATCH($A360,Dataset_2!$A$2:$A$611,0))</f>
        <v>0.51</v>
      </c>
      <c r="M360">
        <f>INDEX(Dataset_2!$D$2:$D$611,MATCH($A360,Dataset_2!$A$2:$A$611,0))</f>
        <v>0.28360000000000002</v>
      </c>
      <c r="N360">
        <f>INDEX(Dataset_2!$E$2:$E$611,MATCH($A360,Dataset_2!$A$2:$A$611,0))</f>
        <v>8</v>
      </c>
      <c r="O360">
        <f>INDEX(Dataset_2!$F$2:$F$611,MATCH($A360,Dataset_2!$A$2:$A$611,0))</f>
        <v>71</v>
      </c>
      <c r="P360">
        <f>INDEX(Dataset_2!$G$2:$G$611,MATCH($A360,Dataset_2!$A$2:$A$611,0))</f>
        <v>79</v>
      </c>
    </row>
    <row r="361" spans="1:16" x14ac:dyDescent="0.2">
      <c r="A361">
        <f>Dataset_1!A361</f>
        <v>360</v>
      </c>
      <c r="B361" s="61">
        <f>Dataset_1!B361</f>
        <v>40559</v>
      </c>
      <c r="C361">
        <f>Dataset_1!C361</f>
        <v>1</v>
      </c>
      <c r="D361">
        <f>Dataset_1!D361</f>
        <v>0</v>
      </c>
      <c r="E361">
        <f>Dataset_1!E361</f>
        <v>1</v>
      </c>
      <c r="F361">
        <f>Dataset_1!F361</f>
        <v>11</v>
      </c>
      <c r="G361" t="b">
        <f>Dataset_1!G361</f>
        <v>0</v>
      </c>
      <c r="H361">
        <f>Dataset_1!H361</f>
        <v>0</v>
      </c>
      <c r="I361">
        <f>Dataset_1!I361</f>
        <v>1</v>
      </c>
      <c r="J361">
        <f>Dataset_1!J361</f>
        <v>0.24</v>
      </c>
      <c r="K361">
        <f>INDEX(Dataset_2!$B$2:$B$611,MATCH($A361,Dataset_2!$A$2:$A$611,0))</f>
        <v>0.2273</v>
      </c>
      <c r="L361">
        <f>INDEX(Dataset_2!$C$2:$C$611,MATCH($A361,Dataset_2!$A$2:$A$611,0))</f>
        <v>0.44</v>
      </c>
      <c r="M361">
        <f>INDEX(Dataset_2!$D$2:$D$611,MATCH($A361,Dataset_2!$A$2:$A$611,0))</f>
        <v>0.25369999999999998</v>
      </c>
      <c r="N361">
        <f>INDEX(Dataset_2!$E$2:$E$611,MATCH($A361,Dataset_2!$A$2:$A$611,0))</f>
        <v>23</v>
      </c>
      <c r="O361">
        <f>INDEX(Dataset_2!$F$2:$F$611,MATCH($A361,Dataset_2!$A$2:$A$611,0))</f>
        <v>70</v>
      </c>
      <c r="P361">
        <f>INDEX(Dataset_2!$G$2:$G$611,MATCH($A361,Dataset_2!$A$2:$A$611,0))</f>
        <v>93</v>
      </c>
    </row>
    <row r="362" spans="1:16" x14ac:dyDescent="0.2">
      <c r="A362">
        <f>Dataset_1!A362</f>
        <v>361</v>
      </c>
      <c r="B362" s="61">
        <f>Dataset_1!B362</f>
        <v>40559</v>
      </c>
      <c r="C362">
        <f>Dataset_1!C362</f>
        <v>1</v>
      </c>
      <c r="D362">
        <f>Dataset_1!D362</f>
        <v>0</v>
      </c>
      <c r="E362">
        <f>Dataset_1!E362</f>
        <v>1</v>
      </c>
      <c r="F362">
        <f>Dataset_1!F362</f>
        <v>12</v>
      </c>
      <c r="G362" t="b">
        <f>Dataset_1!G362</f>
        <v>0</v>
      </c>
      <c r="H362">
        <f>Dataset_1!H362</f>
        <v>0</v>
      </c>
      <c r="I362">
        <f>Dataset_1!I362</f>
        <v>1</v>
      </c>
      <c r="J362">
        <f>Dataset_1!J362</f>
        <v>0.24</v>
      </c>
      <c r="K362">
        <f>INDEX(Dataset_2!$B$2:$B$611,MATCH($A362,Dataset_2!$A$2:$A$611,0))</f>
        <v>0.21210000000000001</v>
      </c>
      <c r="L362">
        <f>INDEX(Dataset_2!$C$2:$C$611,MATCH($A362,Dataset_2!$A$2:$A$611,0))</f>
        <v>0.41</v>
      </c>
      <c r="M362">
        <f>INDEX(Dataset_2!$D$2:$D$611,MATCH($A362,Dataset_2!$A$2:$A$611,0))</f>
        <v>0.28360000000000002</v>
      </c>
      <c r="N362">
        <f>INDEX(Dataset_2!$E$2:$E$611,MATCH($A362,Dataset_2!$A$2:$A$611,0))</f>
        <v>29</v>
      </c>
      <c r="O362">
        <f>INDEX(Dataset_2!$F$2:$F$611,MATCH($A362,Dataset_2!$A$2:$A$611,0))</f>
        <v>75</v>
      </c>
      <c r="P362">
        <f>INDEX(Dataset_2!$G$2:$G$611,MATCH($A362,Dataset_2!$A$2:$A$611,0))</f>
        <v>104</v>
      </c>
    </row>
    <row r="363" spans="1:16" x14ac:dyDescent="0.2">
      <c r="A363">
        <f>Dataset_1!A363</f>
        <v>362</v>
      </c>
      <c r="B363" s="61">
        <f>Dataset_1!B363</f>
        <v>40559</v>
      </c>
      <c r="C363">
        <f>Dataset_1!C363</f>
        <v>1</v>
      </c>
      <c r="D363">
        <f>Dataset_1!D363</f>
        <v>0</v>
      </c>
      <c r="E363">
        <f>Dataset_1!E363</f>
        <v>1</v>
      </c>
      <c r="F363">
        <f>Dataset_1!F363</f>
        <v>13</v>
      </c>
      <c r="G363" t="b">
        <f>Dataset_1!G363</f>
        <v>0</v>
      </c>
      <c r="H363">
        <f>Dataset_1!H363</f>
        <v>0</v>
      </c>
      <c r="I363">
        <f>Dataset_1!I363</f>
        <v>1</v>
      </c>
      <c r="J363">
        <f>Dataset_1!J363</f>
        <v>0.26</v>
      </c>
      <c r="K363">
        <f>INDEX(Dataset_2!$B$2:$B$611,MATCH($A363,Dataset_2!$A$2:$A$611,0))</f>
        <v>0.2273</v>
      </c>
      <c r="L363">
        <f>INDEX(Dataset_2!$C$2:$C$611,MATCH($A363,Dataset_2!$A$2:$A$611,0))</f>
        <v>0.35</v>
      </c>
      <c r="M363">
        <f>INDEX(Dataset_2!$D$2:$D$611,MATCH($A363,Dataset_2!$A$2:$A$611,0))</f>
        <v>0.29849999999999999</v>
      </c>
      <c r="N363">
        <f>INDEX(Dataset_2!$E$2:$E$611,MATCH($A363,Dataset_2!$A$2:$A$611,0))</f>
        <v>23</v>
      </c>
      <c r="O363">
        <f>INDEX(Dataset_2!$F$2:$F$611,MATCH($A363,Dataset_2!$A$2:$A$611,0))</f>
        <v>95</v>
      </c>
      <c r="P363">
        <f>INDEX(Dataset_2!$G$2:$G$611,MATCH($A363,Dataset_2!$A$2:$A$611,0))</f>
        <v>118</v>
      </c>
    </row>
    <row r="364" spans="1:16" x14ac:dyDescent="0.2">
      <c r="A364">
        <f>Dataset_1!A364</f>
        <v>363</v>
      </c>
      <c r="B364" s="61">
        <f>Dataset_1!B364</f>
        <v>40559</v>
      </c>
      <c r="C364">
        <f>Dataset_1!C364</f>
        <v>1</v>
      </c>
      <c r="D364">
        <f>Dataset_1!D364</f>
        <v>0</v>
      </c>
      <c r="E364">
        <f>Dataset_1!E364</f>
        <v>1</v>
      </c>
      <c r="F364">
        <f>Dataset_1!F364</f>
        <v>14</v>
      </c>
      <c r="G364" t="b">
        <f>Dataset_1!G364</f>
        <v>0</v>
      </c>
      <c r="H364">
        <f>Dataset_1!H364</f>
        <v>0</v>
      </c>
      <c r="I364">
        <f>Dataset_1!I364</f>
        <v>1</v>
      </c>
      <c r="J364">
        <f>Dataset_1!J364</f>
        <v>0.28000000000000003</v>
      </c>
      <c r="K364">
        <f>INDEX(Dataset_2!$B$2:$B$611,MATCH($A364,Dataset_2!$A$2:$A$611,0))</f>
        <v>0.2727</v>
      </c>
      <c r="L364">
        <f>INDEX(Dataset_2!$C$2:$C$611,MATCH($A364,Dataset_2!$A$2:$A$611,0))</f>
        <v>0.36</v>
      </c>
      <c r="M364">
        <f>INDEX(Dataset_2!$D$2:$D$611,MATCH($A364,Dataset_2!$A$2:$A$611,0))</f>
        <v>0.25369999999999998</v>
      </c>
      <c r="N364">
        <f>INDEX(Dataset_2!$E$2:$E$611,MATCH($A364,Dataset_2!$A$2:$A$611,0))</f>
        <v>22</v>
      </c>
      <c r="O364">
        <f>INDEX(Dataset_2!$F$2:$F$611,MATCH($A364,Dataset_2!$A$2:$A$611,0))</f>
        <v>69</v>
      </c>
      <c r="P364">
        <f>INDEX(Dataset_2!$G$2:$G$611,MATCH($A364,Dataset_2!$A$2:$A$611,0))</f>
        <v>91</v>
      </c>
    </row>
    <row r="365" spans="1:16" x14ac:dyDescent="0.2">
      <c r="A365">
        <f>Dataset_1!A365</f>
        <v>364</v>
      </c>
      <c r="B365" s="61">
        <f>Dataset_1!B365</f>
        <v>40559</v>
      </c>
      <c r="C365">
        <f>Dataset_1!C365</f>
        <v>1</v>
      </c>
      <c r="D365">
        <f>Dataset_1!D365</f>
        <v>0</v>
      </c>
      <c r="E365">
        <f>Dataset_1!E365</f>
        <v>1</v>
      </c>
      <c r="F365">
        <f>Dataset_1!F365</f>
        <v>15</v>
      </c>
      <c r="G365" t="b">
        <f>Dataset_1!G365</f>
        <v>0</v>
      </c>
      <c r="H365">
        <f>Dataset_1!H365</f>
        <v>0</v>
      </c>
      <c r="I365">
        <f>Dataset_1!I365</f>
        <v>1</v>
      </c>
      <c r="J365">
        <f>Dataset_1!J365</f>
        <v>0.26</v>
      </c>
      <c r="K365">
        <f>INDEX(Dataset_2!$B$2:$B$611,MATCH($A365,Dataset_2!$A$2:$A$611,0))</f>
        <v>0.2424</v>
      </c>
      <c r="L365">
        <f>INDEX(Dataset_2!$C$2:$C$611,MATCH($A365,Dataset_2!$A$2:$A$611,0))</f>
        <v>0.38</v>
      </c>
      <c r="M365">
        <f>INDEX(Dataset_2!$D$2:$D$611,MATCH($A365,Dataset_2!$A$2:$A$611,0))</f>
        <v>0.25369999999999998</v>
      </c>
      <c r="N365">
        <f>INDEX(Dataset_2!$E$2:$E$611,MATCH($A365,Dataset_2!$A$2:$A$611,0))</f>
        <v>35</v>
      </c>
      <c r="O365">
        <f>INDEX(Dataset_2!$F$2:$F$611,MATCH($A365,Dataset_2!$A$2:$A$611,0))</f>
        <v>78</v>
      </c>
      <c r="P365">
        <f>INDEX(Dataset_2!$G$2:$G$611,MATCH($A365,Dataset_2!$A$2:$A$611,0))</f>
        <v>113</v>
      </c>
    </row>
    <row r="366" spans="1:16" x14ac:dyDescent="0.2">
      <c r="A366">
        <f>Dataset_1!A366</f>
        <v>365</v>
      </c>
      <c r="B366" s="61">
        <f>Dataset_1!B366</f>
        <v>40559</v>
      </c>
      <c r="C366">
        <f>Dataset_1!C366</f>
        <v>1</v>
      </c>
      <c r="D366">
        <f>Dataset_1!D366</f>
        <v>0</v>
      </c>
      <c r="E366">
        <f>Dataset_1!E366</f>
        <v>1</v>
      </c>
      <c r="F366">
        <f>Dataset_1!F366</f>
        <v>16</v>
      </c>
      <c r="G366" t="b">
        <f>Dataset_1!G366</f>
        <v>0</v>
      </c>
      <c r="H366">
        <f>Dataset_1!H366</f>
        <v>0</v>
      </c>
      <c r="I366">
        <f>Dataset_1!I366</f>
        <v>1</v>
      </c>
      <c r="J366">
        <f>Dataset_1!J366</f>
        <v>0.24</v>
      </c>
      <c r="K366">
        <f>INDEX(Dataset_2!$B$2:$B$611,MATCH($A366,Dataset_2!$A$2:$A$611,0))</f>
        <v>0.2273</v>
      </c>
      <c r="L366">
        <f>INDEX(Dataset_2!$C$2:$C$611,MATCH($A366,Dataset_2!$A$2:$A$611,0))</f>
        <v>0.38</v>
      </c>
      <c r="M366">
        <f>INDEX(Dataset_2!$D$2:$D$611,MATCH($A366,Dataset_2!$A$2:$A$611,0))</f>
        <v>0.22389999999999999</v>
      </c>
      <c r="N366">
        <f>INDEX(Dataset_2!$E$2:$E$611,MATCH($A366,Dataset_2!$A$2:$A$611,0))</f>
        <v>22</v>
      </c>
      <c r="O366">
        <f>INDEX(Dataset_2!$F$2:$F$611,MATCH($A366,Dataset_2!$A$2:$A$611,0))</f>
        <v>77</v>
      </c>
      <c r="P366">
        <f>INDEX(Dataset_2!$G$2:$G$611,MATCH($A366,Dataset_2!$A$2:$A$611,0))</f>
        <v>99</v>
      </c>
    </row>
    <row r="367" spans="1:16" x14ac:dyDescent="0.2">
      <c r="A367">
        <f>Dataset_1!A367</f>
        <v>366</v>
      </c>
      <c r="B367" s="61">
        <f>Dataset_1!B367</f>
        <v>40559</v>
      </c>
      <c r="C367">
        <f>Dataset_1!C367</f>
        <v>1</v>
      </c>
      <c r="D367">
        <f>Dataset_1!D367</f>
        <v>0</v>
      </c>
      <c r="E367">
        <f>Dataset_1!E367</f>
        <v>1</v>
      </c>
      <c r="F367">
        <f>Dataset_1!F367</f>
        <v>17</v>
      </c>
      <c r="G367" t="b">
        <f>Dataset_1!G367</f>
        <v>0</v>
      </c>
      <c r="H367">
        <f>Dataset_1!H367</f>
        <v>0</v>
      </c>
      <c r="I367">
        <f>Dataset_1!I367</f>
        <v>1</v>
      </c>
      <c r="J367">
        <f>Dataset_1!J367</f>
        <v>0.22</v>
      </c>
      <c r="K367">
        <f>INDEX(Dataset_2!$B$2:$B$611,MATCH($A367,Dataset_2!$A$2:$A$611,0))</f>
        <v>0.21210000000000001</v>
      </c>
      <c r="L367">
        <f>INDEX(Dataset_2!$C$2:$C$611,MATCH($A367,Dataset_2!$A$2:$A$611,0))</f>
        <v>0.37</v>
      </c>
      <c r="M367">
        <f>INDEX(Dataset_2!$D$2:$D$611,MATCH($A367,Dataset_2!$A$2:$A$611,0))</f>
        <v>0.25369999999999998</v>
      </c>
      <c r="N367">
        <f>INDEX(Dataset_2!$E$2:$E$611,MATCH($A367,Dataset_2!$A$2:$A$611,0))</f>
        <v>23</v>
      </c>
      <c r="O367">
        <f>INDEX(Dataset_2!$F$2:$F$611,MATCH($A367,Dataset_2!$A$2:$A$611,0))</f>
        <v>82</v>
      </c>
      <c r="P367">
        <f>INDEX(Dataset_2!$G$2:$G$611,MATCH($A367,Dataset_2!$A$2:$A$611,0))</f>
        <v>105</v>
      </c>
    </row>
    <row r="368" spans="1:16" x14ac:dyDescent="0.2">
      <c r="A368">
        <f>Dataset_1!A368</f>
        <v>367</v>
      </c>
      <c r="B368" s="61">
        <f>Dataset_1!B368</f>
        <v>40559</v>
      </c>
      <c r="C368">
        <f>Dataset_1!C368</f>
        <v>1</v>
      </c>
      <c r="D368">
        <f>Dataset_1!D368</f>
        <v>0</v>
      </c>
      <c r="E368">
        <f>Dataset_1!E368</f>
        <v>1</v>
      </c>
      <c r="F368">
        <f>Dataset_1!F368</f>
        <v>18</v>
      </c>
      <c r="G368" t="b">
        <f>Dataset_1!G368</f>
        <v>0</v>
      </c>
      <c r="H368">
        <f>Dataset_1!H368</f>
        <v>0</v>
      </c>
      <c r="I368">
        <f>Dataset_1!I368</f>
        <v>1</v>
      </c>
      <c r="J368">
        <f>Dataset_1!J368</f>
        <v>0.2</v>
      </c>
      <c r="K368">
        <f>INDEX(Dataset_2!$B$2:$B$611,MATCH($A368,Dataset_2!$A$2:$A$611,0))</f>
        <v>0.21210000000000001</v>
      </c>
      <c r="L368">
        <f>INDEX(Dataset_2!$C$2:$C$611,MATCH($A368,Dataset_2!$A$2:$A$611,0))</f>
        <v>0.4</v>
      </c>
      <c r="M368">
        <f>INDEX(Dataset_2!$D$2:$D$611,MATCH($A368,Dataset_2!$A$2:$A$611,0))</f>
        <v>0.16420000000000001</v>
      </c>
      <c r="N368">
        <f>INDEX(Dataset_2!$E$2:$E$611,MATCH($A368,Dataset_2!$A$2:$A$611,0))</f>
        <v>11</v>
      </c>
      <c r="O368">
        <f>INDEX(Dataset_2!$F$2:$F$611,MATCH($A368,Dataset_2!$A$2:$A$611,0))</f>
        <v>56</v>
      </c>
      <c r="P368">
        <f>INDEX(Dataset_2!$G$2:$G$611,MATCH($A368,Dataset_2!$A$2:$A$611,0))</f>
        <v>67</v>
      </c>
    </row>
    <row r="369" spans="1:16" x14ac:dyDescent="0.2">
      <c r="A369">
        <f>Dataset_1!A369</f>
        <v>368</v>
      </c>
      <c r="B369" s="61">
        <f>Dataset_1!B369</f>
        <v>40559</v>
      </c>
      <c r="C369">
        <f>Dataset_1!C369</f>
        <v>1</v>
      </c>
      <c r="D369">
        <f>Dataset_1!D369</f>
        <v>0</v>
      </c>
      <c r="E369">
        <f>Dataset_1!E369</f>
        <v>1</v>
      </c>
      <c r="F369">
        <f>Dataset_1!F369</f>
        <v>19</v>
      </c>
      <c r="G369" t="b">
        <f>Dataset_1!G369</f>
        <v>0</v>
      </c>
      <c r="H369">
        <f>Dataset_1!H369</f>
        <v>0</v>
      </c>
      <c r="I369">
        <f>Dataset_1!I369</f>
        <v>1</v>
      </c>
      <c r="J369">
        <f>Dataset_1!J369</f>
        <v>0.18</v>
      </c>
      <c r="K369">
        <f>INDEX(Dataset_2!$B$2:$B$611,MATCH($A369,Dataset_2!$A$2:$A$611,0))</f>
        <v>0.19700000000000001</v>
      </c>
      <c r="L369">
        <f>INDEX(Dataset_2!$C$2:$C$611,MATCH($A369,Dataset_2!$A$2:$A$611,0))</f>
        <v>0.47</v>
      </c>
      <c r="M369">
        <f>INDEX(Dataset_2!$D$2:$D$611,MATCH($A369,Dataset_2!$A$2:$A$611,0))</f>
        <v>0.1343</v>
      </c>
      <c r="N369">
        <f>INDEX(Dataset_2!$E$2:$E$611,MATCH($A369,Dataset_2!$A$2:$A$611,0))</f>
        <v>14</v>
      </c>
      <c r="O369">
        <f>INDEX(Dataset_2!$F$2:$F$611,MATCH($A369,Dataset_2!$A$2:$A$611,0))</f>
        <v>47</v>
      </c>
      <c r="P369">
        <f>INDEX(Dataset_2!$G$2:$G$611,MATCH($A369,Dataset_2!$A$2:$A$611,0))</f>
        <v>61</v>
      </c>
    </row>
    <row r="370" spans="1:16" x14ac:dyDescent="0.2">
      <c r="A370">
        <f>Dataset_1!A370</f>
        <v>369</v>
      </c>
      <c r="B370" s="61">
        <f>Dataset_1!B370</f>
        <v>40559</v>
      </c>
      <c r="C370">
        <f>Dataset_1!C370</f>
        <v>1</v>
      </c>
      <c r="D370">
        <f>Dataset_1!D370</f>
        <v>0</v>
      </c>
      <c r="E370">
        <f>Dataset_1!E370</f>
        <v>1</v>
      </c>
      <c r="F370">
        <f>Dataset_1!F370</f>
        <v>20</v>
      </c>
      <c r="G370" t="b">
        <f>Dataset_1!G370</f>
        <v>0</v>
      </c>
      <c r="H370">
        <f>Dataset_1!H370</f>
        <v>0</v>
      </c>
      <c r="I370">
        <f>Dataset_1!I370</f>
        <v>1</v>
      </c>
      <c r="J370">
        <f>Dataset_1!J370</f>
        <v>0.18</v>
      </c>
      <c r="K370">
        <f>INDEX(Dataset_2!$B$2:$B$611,MATCH($A370,Dataset_2!$A$2:$A$611,0))</f>
        <v>0.19700000000000001</v>
      </c>
      <c r="L370">
        <f>INDEX(Dataset_2!$C$2:$C$611,MATCH($A370,Dataset_2!$A$2:$A$611,0))</f>
        <v>0.47</v>
      </c>
      <c r="M370">
        <f>INDEX(Dataset_2!$D$2:$D$611,MATCH($A370,Dataset_2!$A$2:$A$611,0))</f>
        <v>0.16420000000000001</v>
      </c>
      <c r="N370">
        <f>INDEX(Dataset_2!$E$2:$E$611,MATCH($A370,Dataset_2!$A$2:$A$611,0))</f>
        <v>7</v>
      </c>
      <c r="O370">
        <f>INDEX(Dataset_2!$F$2:$F$611,MATCH($A370,Dataset_2!$A$2:$A$611,0))</f>
        <v>50</v>
      </c>
      <c r="P370">
        <f>INDEX(Dataset_2!$G$2:$G$611,MATCH($A370,Dataset_2!$A$2:$A$611,0))</f>
        <v>57</v>
      </c>
    </row>
    <row r="371" spans="1:16" x14ac:dyDescent="0.2">
      <c r="A371">
        <f>Dataset_1!A371</f>
        <v>370</v>
      </c>
      <c r="B371" s="61">
        <f>Dataset_1!B371</f>
        <v>40559</v>
      </c>
      <c r="C371">
        <f>Dataset_1!C371</f>
        <v>1</v>
      </c>
      <c r="D371">
        <f>Dataset_1!D371</f>
        <v>0</v>
      </c>
      <c r="E371">
        <f>Dataset_1!E371</f>
        <v>1</v>
      </c>
      <c r="F371">
        <f>Dataset_1!F371</f>
        <v>21</v>
      </c>
      <c r="G371" t="b">
        <f>Dataset_1!G371</f>
        <v>0</v>
      </c>
      <c r="H371">
        <f>Dataset_1!H371</f>
        <v>0</v>
      </c>
      <c r="I371">
        <f>Dataset_1!I371</f>
        <v>1</v>
      </c>
      <c r="J371">
        <f>Dataset_1!J371</f>
        <v>0.18</v>
      </c>
      <c r="K371">
        <f>INDEX(Dataset_2!$B$2:$B$611,MATCH($A371,Dataset_2!$A$2:$A$611,0))</f>
        <v>0.19700000000000001</v>
      </c>
      <c r="L371">
        <f>INDEX(Dataset_2!$C$2:$C$611,MATCH($A371,Dataset_2!$A$2:$A$611,0))</f>
        <v>0.51</v>
      </c>
      <c r="M371">
        <f>INDEX(Dataset_2!$D$2:$D$611,MATCH($A371,Dataset_2!$A$2:$A$611,0))</f>
        <v>0.16420000000000001</v>
      </c>
      <c r="N371">
        <f>INDEX(Dataset_2!$E$2:$E$611,MATCH($A371,Dataset_2!$A$2:$A$611,0))</f>
        <v>6</v>
      </c>
      <c r="O371">
        <f>INDEX(Dataset_2!$F$2:$F$611,MATCH($A371,Dataset_2!$A$2:$A$611,0))</f>
        <v>22</v>
      </c>
      <c r="P371">
        <f>INDEX(Dataset_2!$G$2:$G$611,MATCH($A371,Dataset_2!$A$2:$A$611,0))</f>
        <v>28</v>
      </c>
    </row>
    <row r="372" spans="1:16" x14ac:dyDescent="0.2">
      <c r="A372">
        <f>Dataset_1!A372</f>
        <v>371</v>
      </c>
      <c r="B372" s="61">
        <f>Dataset_1!B372</f>
        <v>40559</v>
      </c>
      <c r="C372">
        <f>Dataset_1!C372</f>
        <v>1</v>
      </c>
      <c r="D372">
        <f>Dataset_1!D372</f>
        <v>0</v>
      </c>
      <c r="E372">
        <f>Dataset_1!E372</f>
        <v>1</v>
      </c>
      <c r="F372">
        <f>Dataset_1!F372</f>
        <v>22</v>
      </c>
      <c r="G372" t="b">
        <f>Dataset_1!G372</f>
        <v>0</v>
      </c>
      <c r="H372">
        <f>Dataset_1!H372</f>
        <v>0</v>
      </c>
      <c r="I372">
        <f>Dataset_1!I372</f>
        <v>2</v>
      </c>
      <c r="J372">
        <f>Dataset_1!J372</f>
        <v>0.2</v>
      </c>
      <c r="K372">
        <f>INDEX(Dataset_2!$B$2:$B$611,MATCH($A372,Dataset_2!$A$2:$A$611,0))</f>
        <v>0.21210000000000001</v>
      </c>
      <c r="L372">
        <f>INDEX(Dataset_2!$C$2:$C$611,MATCH($A372,Dataset_2!$A$2:$A$611,0))</f>
        <v>0.49</v>
      </c>
      <c r="M372">
        <f>INDEX(Dataset_2!$D$2:$D$611,MATCH($A372,Dataset_2!$A$2:$A$611,0))</f>
        <v>0.1343</v>
      </c>
      <c r="N372">
        <f>INDEX(Dataset_2!$E$2:$E$611,MATCH($A372,Dataset_2!$A$2:$A$611,0))</f>
        <v>2</v>
      </c>
      <c r="O372">
        <f>INDEX(Dataset_2!$F$2:$F$611,MATCH($A372,Dataset_2!$A$2:$A$611,0))</f>
        <v>19</v>
      </c>
      <c r="P372">
        <f>INDEX(Dataset_2!$G$2:$G$611,MATCH($A372,Dataset_2!$A$2:$A$611,0))</f>
        <v>21</v>
      </c>
    </row>
    <row r="373" spans="1:16" x14ac:dyDescent="0.2">
      <c r="A373">
        <f>Dataset_1!A373</f>
        <v>372</v>
      </c>
      <c r="B373" s="61">
        <f>Dataset_1!B373</f>
        <v>40559</v>
      </c>
      <c r="C373">
        <f>Dataset_1!C373</f>
        <v>1</v>
      </c>
      <c r="D373">
        <f>Dataset_1!D373</f>
        <v>0</v>
      </c>
      <c r="E373">
        <f>Dataset_1!E373</f>
        <v>1</v>
      </c>
      <c r="F373">
        <f>Dataset_1!F373</f>
        <v>23</v>
      </c>
      <c r="G373" t="b">
        <f>Dataset_1!G373</f>
        <v>0</v>
      </c>
      <c r="H373">
        <f>Dataset_1!H373</f>
        <v>0</v>
      </c>
      <c r="I373">
        <f>Dataset_1!I373</f>
        <v>2</v>
      </c>
      <c r="J373">
        <f>Dataset_1!J373</f>
        <v>0.2</v>
      </c>
      <c r="K373">
        <f>INDEX(Dataset_2!$B$2:$B$611,MATCH($A373,Dataset_2!$A$2:$A$611,0))</f>
        <v>0.2273</v>
      </c>
      <c r="L373">
        <f>INDEX(Dataset_2!$C$2:$C$611,MATCH($A373,Dataset_2!$A$2:$A$611,0))</f>
        <v>0.4</v>
      </c>
      <c r="M373">
        <f>INDEX(Dataset_2!$D$2:$D$611,MATCH($A373,Dataset_2!$A$2:$A$611,0))</f>
        <v>0.1045</v>
      </c>
      <c r="N373">
        <f>INDEX(Dataset_2!$E$2:$E$611,MATCH($A373,Dataset_2!$A$2:$A$611,0))</f>
        <v>0</v>
      </c>
      <c r="O373">
        <f>INDEX(Dataset_2!$F$2:$F$611,MATCH($A373,Dataset_2!$A$2:$A$611,0))</f>
        <v>18</v>
      </c>
      <c r="P373">
        <f>INDEX(Dataset_2!$G$2:$G$611,MATCH($A373,Dataset_2!$A$2:$A$611,0))</f>
        <v>18</v>
      </c>
    </row>
    <row r="374" spans="1:16" x14ac:dyDescent="0.2">
      <c r="A374">
        <f>Dataset_1!A374</f>
        <v>373</v>
      </c>
      <c r="B374" s="61">
        <f>Dataset_1!B374</f>
        <v>40560</v>
      </c>
      <c r="C374">
        <f>Dataset_1!C374</f>
        <v>1</v>
      </c>
      <c r="D374">
        <f>Dataset_1!D374</f>
        <v>0</v>
      </c>
      <c r="E374">
        <f>Dataset_1!E374</f>
        <v>1</v>
      </c>
      <c r="F374">
        <f>Dataset_1!F374</f>
        <v>0</v>
      </c>
      <c r="G374" t="b">
        <f>Dataset_1!G374</f>
        <v>1</v>
      </c>
      <c r="H374">
        <f>Dataset_1!H374</f>
        <v>1</v>
      </c>
      <c r="I374">
        <f>Dataset_1!I374</f>
        <v>2</v>
      </c>
      <c r="J374">
        <f>Dataset_1!J374</f>
        <v>0.2</v>
      </c>
      <c r="K374">
        <f>INDEX(Dataset_2!$B$2:$B$611,MATCH($A374,Dataset_2!$A$2:$A$611,0))</f>
        <v>0.19700000000000001</v>
      </c>
      <c r="L374">
        <f>INDEX(Dataset_2!$C$2:$C$611,MATCH($A374,Dataset_2!$A$2:$A$611,0))</f>
        <v>0.47</v>
      </c>
      <c r="M374">
        <f>INDEX(Dataset_2!$D$2:$D$611,MATCH($A374,Dataset_2!$A$2:$A$611,0))</f>
        <v>0.22389999999999999</v>
      </c>
      <c r="N374">
        <f>INDEX(Dataset_2!$E$2:$E$611,MATCH($A374,Dataset_2!$A$2:$A$611,0))</f>
        <v>1</v>
      </c>
      <c r="O374">
        <f>INDEX(Dataset_2!$F$2:$F$611,MATCH($A374,Dataset_2!$A$2:$A$611,0))</f>
        <v>16</v>
      </c>
      <c r="P374">
        <f>INDEX(Dataset_2!$G$2:$G$611,MATCH($A374,Dataset_2!$A$2:$A$611,0))</f>
        <v>17</v>
      </c>
    </row>
    <row r="375" spans="1:16" x14ac:dyDescent="0.2">
      <c r="A375">
        <f>Dataset_1!A375</f>
        <v>374</v>
      </c>
      <c r="B375" s="61">
        <f>Dataset_1!B375</f>
        <v>40560</v>
      </c>
      <c r="C375">
        <f>Dataset_1!C375</f>
        <v>1</v>
      </c>
      <c r="D375">
        <f>Dataset_1!D375</f>
        <v>0</v>
      </c>
      <c r="E375">
        <f>Dataset_1!E375</f>
        <v>1</v>
      </c>
      <c r="F375">
        <f>Dataset_1!F375</f>
        <v>1</v>
      </c>
      <c r="G375" t="b">
        <f>Dataset_1!G375</f>
        <v>1</v>
      </c>
      <c r="H375">
        <f>Dataset_1!H375</f>
        <v>1</v>
      </c>
      <c r="I375">
        <f>Dataset_1!I375</f>
        <v>2</v>
      </c>
      <c r="J375">
        <f>Dataset_1!J375</f>
        <v>0.2</v>
      </c>
      <c r="K375">
        <f>INDEX(Dataset_2!$B$2:$B$611,MATCH($A375,Dataset_2!$A$2:$A$611,0))</f>
        <v>0.19700000000000001</v>
      </c>
      <c r="L375">
        <f>INDEX(Dataset_2!$C$2:$C$611,MATCH($A375,Dataset_2!$A$2:$A$611,0))</f>
        <v>0.44</v>
      </c>
      <c r="M375">
        <f>INDEX(Dataset_2!$D$2:$D$611,MATCH($A375,Dataset_2!$A$2:$A$611,0))</f>
        <v>0.19400000000000001</v>
      </c>
      <c r="N375">
        <f>INDEX(Dataset_2!$E$2:$E$611,MATCH($A375,Dataset_2!$A$2:$A$611,0))</f>
        <v>1</v>
      </c>
      <c r="O375">
        <f>INDEX(Dataset_2!$F$2:$F$611,MATCH($A375,Dataset_2!$A$2:$A$611,0))</f>
        <v>15</v>
      </c>
      <c r="P375">
        <f>INDEX(Dataset_2!$G$2:$G$611,MATCH($A375,Dataset_2!$A$2:$A$611,0))</f>
        <v>16</v>
      </c>
    </row>
    <row r="376" spans="1:16" x14ac:dyDescent="0.2">
      <c r="A376">
        <f>Dataset_1!A376</f>
        <v>375</v>
      </c>
      <c r="B376" s="61">
        <f>Dataset_1!B376</f>
        <v>40560</v>
      </c>
      <c r="C376">
        <f>Dataset_1!C376</f>
        <v>1</v>
      </c>
      <c r="D376">
        <f>Dataset_1!D376</f>
        <v>0</v>
      </c>
      <c r="E376">
        <f>Dataset_1!E376</f>
        <v>1</v>
      </c>
      <c r="F376">
        <f>Dataset_1!F376</f>
        <v>2</v>
      </c>
      <c r="G376" t="b">
        <f>Dataset_1!G376</f>
        <v>1</v>
      </c>
      <c r="H376">
        <f>Dataset_1!H376</f>
        <v>1</v>
      </c>
      <c r="I376">
        <f>Dataset_1!I376</f>
        <v>2</v>
      </c>
      <c r="J376">
        <f>Dataset_1!J376</f>
        <v>0.18</v>
      </c>
      <c r="K376">
        <f>INDEX(Dataset_2!$B$2:$B$611,MATCH($A376,Dataset_2!$A$2:$A$611,0))</f>
        <v>0.16669999999999999</v>
      </c>
      <c r="L376">
        <f>INDEX(Dataset_2!$C$2:$C$611,MATCH($A376,Dataset_2!$A$2:$A$611,0))</f>
        <v>0.43</v>
      </c>
      <c r="M376">
        <f>INDEX(Dataset_2!$D$2:$D$611,MATCH($A376,Dataset_2!$A$2:$A$611,0))</f>
        <v>0.25369999999999998</v>
      </c>
      <c r="N376">
        <f>INDEX(Dataset_2!$E$2:$E$611,MATCH($A376,Dataset_2!$A$2:$A$611,0))</f>
        <v>0</v>
      </c>
      <c r="O376">
        <f>INDEX(Dataset_2!$F$2:$F$611,MATCH($A376,Dataset_2!$A$2:$A$611,0))</f>
        <v>8</v>
      </c>
      <c r="P376">
        <f>INDEX(Dataset_2!$G$2:$G$611,MATCH($A376,Dataset_2!$A$2:$A$611,0))</f>
        <v>8</v>
      </c>
    </row>
    <row r="377" spans="1:16" x14ac:dyDescent="0.2">
      <c r="A377">
        <f>Dataset_1!A377</f>
        <v>376</v>
      </c>
      <c r="B377" s="61">
        <f>Dataset_1!B377</f>
        <v>40560</v>
      </c>
      <c r="C377">
        <f>Dataset_1!C377</f>
        <v>1</v>
      </c>
      <c r="D377">
        <f>Dataset_1!D377</f>
        <v>0</v>
      </c>
      <c r="E377">
        <f>Dataset_1!E377</f>
        <v>1</v>
      </c>
      <c r="F377">
        <f>Dataset_1!F377</f>
        <v>3</v>
      </c>
      <c r="G377" t="b">
        <f>Dataset_1!G377</f>
        <v>1</v>
      </c>
      <c r="H377">
        <f>Dataset_1!H377</f>
        <v>1</v>
      </c>
      <c r="I377">
        <f>Dataset_1!I377</f>
        <v>2</v>
      </c>
      <c r="J377">
        <f>Dataset_1!J377</f>
        <v>0.18</v>
      </c>
      <c r="K377">
        <f>INDEX(Dataset_2!$B$2:$B$611,MATCH($A377,Dataset_2!$A$2:$A$611,0))</f>
        <v>0.18179999999999999</v>
      </c>
      <c r="L377">
        <f>INDEX(Dataset_2!$C$2:$C$611,MATCH($A377,Dataset_2!$A$2:$A$611,0))</f>
        <v>0.43</v>
      </c>
      <c r="M377">
        <f>INDEX(Dataset_2!$D$2:$D$611,MATCH($A377,Dataset_2!$A$2:$A$611,0))</f>
        <v>0.19400000000000001</v>
      </c>
      <c r="N377">
        <f>INDEX(Dataset_2!$E$2:$E$611,MATCH($A377,Dataset_2!$A$2:$A$611,0))</f>
        <v>0</v>
      </c>
      <c r="O377">
        <f>INDEX(Dataset_2!$F$2:$F$611,MATCH($A377,Dataset_2!$A$2:$A$611,0))</f>
        <v>2</v>
      </c>
      <c r="P377">
        <f>INDEX(Dataset_2!$G$2:$G$611,MATCH($A377,Dataset_2!$A$2:$A$611,0))</f>
        <v>2</v>
      </c>
    </row>
    <row r="378" spans="1:16" x14ac:dyDescent="0.2">
      <c r="A378">
        <f>Dataset_1!A378</f>
        <v>377</v>
      </c>
      <c r="B378" s="61">
        <f>Dataset_1!B378</f>
        <v>40560</v>
      </c>
      <c r="C378">
        <f>Dataset_1!C378</f>
        <v>1</v>
      </c>
      <c r="D378">
        <f>Dataset_1!D378</f>
        <v>0</v>
      </c>
      <c r="E378">
        <f>Dataset_1!E378</f>
        <v>1</v>
      </c>
      <c r="F378">
        <f>Dataset_1!F378</f>
        <v>4</v>
      </c>
      <c r="G378" t="b">
        <f>Dataset_1!G378</f>
        <v>1</v>
      </c>
      <c r="H378">
        <f>Dataset_1!H378</f>
        <v>1</v>
      </c>
      <c r="I378">
        <f>Dataset_1!I378</f>
        <v>2</v>
      </c>
      <c r="J378">
        <f>Dataset_1!J378</f>
        <v>0.18</v>
      </c>
      <c r="K378">
        <f>INDEX(Dataset_2!$B$2:$B$611,MATCH($A378,Dataset_2!$A$2:$A$611,0))</f>
        <v>0.19700000000000001</v>
      </c>
      <c r="L378">
        <f>INDEX(Dataset_2!$C$2:$C$611,MATCH($A378,Dataset_2!$A$2:$A$611,0))</f>
        <v>0.43</v>
      </c>
      <c r="M378">
        <f>INDEX(Dataset_2!$D$2:$D$611,MATCH($A378,Dataset_2!$A$2:$A$611,0))</f>
        <v>0.1343</v>
      </c>
      <c r="N378">
        <f>INDEX(Dataset_2!$E$2:$E$611,MATCH($A378,Dataset_2!$A$2:$A$611,0))</f>
        <v>1</v>
      </c>
      <c r="O378">
        <f>INDEX(Dataset_2!$F$2:$F$611,MATCH($A378,Dataset_2!$A$2:$A$611,0))</f>
        <v>2</v>
      </c>
      <c r="P378">
        <f>INDEX(Dataset_2!$G$2:$G$611,MATCH($A378,Dataset_2!$A$2:$A$611,0))</f>
        <v>3</v>
      </c>
    </row>
    <row r="379" spans="1:16" x14ac:dyDescent="0.2">
      <c r="A379">
        <f>Dataset_1!A379</f>
        <v>378</v>
      </c>
      <c r="B379" s="61">
        <f>Dataset_1!B379</f>
        <v>40560</v>
      </c>
      <c r="C379">
        <f>Dataset_1!C379</f>
        <v>1</v>
      </c>
      <c r="D379">
        <f>Dataset_1!D379</f>
        <v>0</v>
      </c>
      <c r="E379">
        <f>Dataset_1!E379</f>
        <v>1</v>
      </c>
      <c r="F379">
        <f>Dataset_1!F379</f>
        <v>5</v>
      </c>
      <c r="G379" t="b">
        <f>Dataset_1!G379</f>
        <v>1</v>
      </c>
      <c r="H379">
        <f>Dataset_1!H379</f>
        <v>1</v>
      </c>
      <c r="I379">
        <f>Dataset_1!I379</f>
        <v>2</v>
      </c>
      <c r="J379">
        <f>Dataset_1!J379</f>
        <v>0.18</v>
      </c>
      <c r="K379">
        <f>INDEX(Dataset_2!$B$2:$B$611,MATCH($A379,Dataset_2!$A$2:$A$611,0))</f>
        <v>0.19700000000000001</v>
      </c>
      <c r="L379">
        <f>INDEX(Dataset_2!$C$2:$C$611,MATCH($A379,Dataset_2!$A$2:$A$611,0))</f>
        <v>0.43</v>
      </c>
      <c r="M379">
        <f>INDEX(Dataset_2!$D$2:$D$611,MATCH($A379,Dataset_2!$A$2:$A$611,0))</f>
        <v>0.16420000000000001</v>
      </c>
      <c r="N379">
        <f>INDEX(Dataset_2!$E$2:$E$611,MATCH($A379,Dataset_2!$A$2:$A$611,0))</f>
        <v>0</v>
      </c>
      <c r="O379">
        <f>INDEX(Dataset_2!$F$2:$F$611,MATCH($A379,Dataset_2!$A$2:$A$611,0))</f>
        <v>1</v>
      </c>
      <c r="P379">
        <f>INDEX(Dataset_2!$G$2:$G$611,MATCH($A379,Dataset_2!$A$2:$A$611,0))</f>
        <v>1</v>
      </c>
    </row>
    <row r="380" spans="1:16" x14ac:dyDescent="0.2">
      <c r="A380">
        <f>Dataset_1!A380</f>
        <v>379</v>
      </c>
      <c r="B380" s="61">
        <f>Dataset_1!B380</f>
        <v>40560</v>
      </c>
      <c r="C380">
        <f>Dataset_1!C380</f>
        <v>1</v>
      </c>
      <c r="D380">
        <f>Dataset_1!D380</f>
        <v>0</v>
      </c>
      <c r="E380">
        <f>Dataset_1!E380</f>
        <v>1</v>
      </c>
      <c r="F380">
        <f>Dataset_1!F380</f>
        <v>6</v>
      </c>
      <c r="G380" t="b">
        <f>Dataset_1!G380</f>
        <v>1</v>
      </c>
      <c r="H380">
        <f>Dataset_1!H380</f>
        <v>1</v>
      </c>
      <c r="I380">
        <f>Dataset_1!I380</f>
        <v>2</v>
      </c>
      <c r="J380">
        <f>Dataset_1!J380</f>
        <v>0.18</v>
      </c>
      <c r="K380">
        <f>INDEX(Dataset_2!$B$2:$B$611,MATCH($A380,Dataset_2!$A$2:$A$611,0))</f>
        <v>0.18179999999999999</v>
      </c>
      <c r="L380">
        <f>INDEX(Dataset_2!$C$2:$C$611,MATCH($A380,Dataset_2!$A$2:$A$611,0))</f>
        <v>0.43</v>
      </c>
      <c r="M380">
        <f>INDEX(Dataset_2!$D$2:$D$611,MATCH($A380,Dataset_2!$A$2:$A$611,0))</f>
        <v>0.19400000000000001</v>
      </c>
      <c r="N380">
        <f>INDEX(Dataset_2!$E$2:$E$611,MATCH($A380,Dataset_2!$A$2:$A$611,0))</f>
        <v>0</v>
      </c>
      <c r="O380">
        <f>INDEX(Dataset_2!$F$2:$F$611,MATCH($A380,Dataset_2!$A$2:$A$611,0))</f>
        <v>5</v>
      </c>
      <c r="P380">
        <f>INDEX(Dataset_2!$G$2:$G$611,MATCH($A380,Dataset_2!$A$2:$A$611,0))</f>
        <v>5</v>
      </c>
    </row>
    <row r="381" spans="1:16" x14ac:dyDescent="0.2">
      <c r="A381">
        <f>Dataset_1!A381</f>
        <v>380</v>
      </c>
      <c r="B381" s="61">
        <f>Dataset_1!B381</f>
        <v>40560</v>
      </c>
      <c r="C381">
        <f>Dataset_1!C381</f>
        <v>1</v>
      </c>
      <c r="D381">
        <f>Dataset_1!D381</f>
        <v>0</v>
      </c>
      <c r="E381">
        <f>Dataset_1!E381</f>
        <v>1</v>
      </c>
      <c r="F381">
        <f>Dataset_1!F381</f>
        <v>7</v>
      </c>
      <c r="G381" t="b">
        <f>Dataset_1!G381</f>
        <v>1</v>
      </c>
      <c r="H381">
        <f>Dataset_1!H381</f>
        <v>1</v>
      </c>
      <c r="I381">
        <f>Dataset_1!I381</f>
        <v>2</v>
      </c>
      <c r="J381">
        <f>Dataset_1!J381</f>
        <v>0.16</v>
      </c>
      <c r="K381">
        <f>INDEX(Dataset_2!$B$2:$B$611,MATCH($A381,Dataset_2!$A$2:$A$611,0))</f>
        <v>0.18179999999999999</v>
      </c>
      <c r="L381">
        <f>INDEX(Dataset_2!$C$2:$C$611,MATCH($A381,Dataset_2!$A$2:$A$611,0))</f>
        <v>0.5</v>
      </c>
      <c r="M381">
        <f>INDEX(Dataset_2!$D$2:$D$611,MATCH($A381,Dataset_2!$A$2:$A$611,0))</f>
        <v>0.1343</v>
      </c>
      <c r="N381">
        <f>INDEX(Dataset_2!$E$2:$E$611,MATCH($A381,Dataset_2!$A$2:$A$611,0))</f>
        <v>4</v>
      </c>
      <c r="O381">
        <f>INDEX(Dataset_2!$F$2:$F$611,MATCH($A381,Dataset_2!$A$2:$A$611,0))</f>
        <v>9</v>
      </c>
      <c r="P381">
        <f>INDEX(Dataset_2!$G$2:$G$611,MATCH($A381,Dataset_2!$A$2:$A$611,0))</f>
        <v>13</v>
      </c>
    </row>
    <row r="382" spans="1:16" x14ac:dyDescent="0.2">
      <c r="A382">
        <f>Dataset_1!A382</f>
        <v>381</v>
      </c>
      <c r="B382" s="61">
        <f>Dataset_1!B382</f>
        <v>40560</v>
      </c>
      <c r="C382">
        <f>Dataset_1!C382</f>
        <v>1</v>
      </c>
      <c r="D382">
        <f>Dataset_1!D382</f>
        <v>0</v>
      </c>
      <c r="E382">
        <f>Dataset_1!E382</f>
        <v>1</v>
      </c>
      <c r="F382">
        <f>Dataset_1!F382</f>
        <v>8</v>
      </c>
      <c r="G382" t="b">
        <f>Dataset_1!G382</f>
        <v>1</v>
      </c>
      <c r="H382">
        <f>Dataset_1!H382</f>
        <v>1</v>
      </c>
      <c r="I382">
        <f>Dataset_1!I382</f>
        <v>2</v>
      </c>
      <c r="J382">
        <f>Dataset_1!J382</f>
        <v>0.16</v>
      </c>
      <c r="K382">
        <f>INDEX(Dataset_2!$B$2:$B$611,MATCH($A382,Dataset_2!$A$2:$A$611,0))</f>
        <v>0.1515</v>
      </c>
      <c r="L382">
        <f>INDEX(Dataset_2!$C$2:$C$611,MATCH($A382,Dataset_2!$A$2:$A$611,0))</f>
        <v>0.47</v>
      </c>
      <c r="M382">
        <f>INDEX(Dataset_2!$D$2:$D$611,MATCH($A382,Dataset_2!$A$2:$A$611,0))</f>
        <v>0.22389999999999999</v>
      </c>
      <c r="N382">
        <f>INDEX(Dataset_2!$E$2:$E$611,MATCH($A382,Dataset_2!$A$2:$A$611,0))</f>
        <v>3</v>
      </c>
      <c r="O382">
        <f>INDEX(Dataset_2!$F$2:$F$611,MATCH($A382,Dataset_2!$A$2:$A$611,0))</f>
        <v>30</v>
      </c>
      <c r="P382">
        <f>INDEX(Dataset_2!$G$2:$G$611,MATCH($A382,Dataset_2!$A$2:$A$611,0))</f>
        <v>33</v>
      </c>
    </row>
    <row r="383" spans="1:16" x14ac:dyDescent="0.2">
      <c r="A383">
        <f>Dataset_1!A383</f>
        <v>382</v>
      </c>
      <c r="B383" s="61">
        <f>Dataset_1!B383</f>
        <v>40560</v>
      </c>
      <c r="C383">
        <f>Dataset_1!C383</f>
        <v>1</v>
      </c>
      <c r="D383">
        <f>Dataset_1!D383</f>
        <v>0</v>
      </c>
      <c r="E383">
        <f>Dataset_1!E383</f>
        <v>1</v>
      </c>
      <c r="F383">
        <f>Dataset_1!F383</f>
        <v>9</v>
      </c>
      <c r="G383" t="b">
        <f>Dataset_1!G383</f>
        <v>1</v>
      </c>
      <c r="H383">
        <f>Dataset_1!H383</f>
        <v>1</v>
      </c>
      <c r="I383">
        <f>Dataset_1!I383</f>
        <v>2</v>
      </c>
      <c r="J383">
        <f>Dataset_1!J383</f>
        <v>0.16</v>
      </c>
      <c r="K383">
        <f>INDEX(Dataset_2!$B$2:$B$611,MATCH($A383,Dataset_2!$A$2:$A$611,0))</f>
        <v>0.1515</v>
      </c>
      <c r="L383">
        <f>INDEX(Dataset_2!$C$2:$C$611,MATCH($A383,Dataset_2!$A$2:$A$611,0))</f>
        <v>0.47</v>
      </c>
      <c r="M383">
        <f>INDEX(Dataset_2!$D$2:$D$611,MATCH($A383,Dataset_2!$A$2:$A$611,0))</f>
        <v>0.22389999999999999</v>
      </c>
      <c r="N383">
        <f>INDEX(Dataset_2!$E$2:$E$611,MATCH($A383,Dataset_2!$A$2:$A$611,0))</f>
        <v>8</v>
      </c>
      <c r="O383">
        <f>INDEX(Dataset_2!$F$2:$F$611,MATCH($A383,Dataset_2!$A$2:$A$611,0))</f>
        <v>39</v>
      </c>
      <c r="P383">
        <f>INDEX(Dataset_2!$G$2:$G$611,MATCH($A383,Dataset_2!$A$2:$A$611,0))</f>
        <v>47</v>
      </c>
    </row>
    <row r="384" spans="1:16" x14ac:dyDescent="0.2">
      <c r="A384">
        <f>Dataset_1!A384</f>
        <v>383</v>
      </c>
      <c r="B384" s="61">
        <f>Dataset_1!B384</f>
        <v>40560</v>
      </c>
      <c r="C384">
        <f>Dataset_1!C384</f>
        <v>1</v>
      </c>
      <c r="D384">
        <f>Dataset_1!D384</f>
        <v>0</v>
      </c>
      <c r="E384">
        <f>Dataset_1!E384</f>
        <v>1</v>
      </c>
      <c r="F384">
        <f>Dataset_1!F384</f>
        <v>10</v>
      </c>
      <c r="G384" t="b">
        <f>Dataset_1!G384</f>
        <v>1</v>
      </c>
      <c r="H384">
        <f>Dataset_1!H384</f>
        <v>1</v>
      </c>
      <c r="I384">
        <f>Dataset_1!I384</f>
        <v>2</v>
      </c>
      <c r="J384">
        <f>Dataset_1!J384</f>
        <v>0.16</v>
      </c>
      <c r="K384">
        <f>INDEX(Dataset_2!$B$2:$B$611,MATCH($A384,Dataset_2!$A$2:$A$611,0))</f>
        <v>0.1515</v>
      </c>
      <c r="L384">
        <f>INDEX(Dataset_2!$C$2:$C$611,MATCH($A384,Dataset_2!$A$2:$A$611,0))</f>
        <v>0.5</v>
      </c>
      <c r="M384">
        <f>INDEX(Dataset_2!$D$2:$D$611,MATCH($A384,Dataset_2!$A$2:$A$611,0))</f>
        <v>0.25369999999999998</v>
      </c>
      <c r="N384">
        <f>INDEX(Dataset_2!$E$2:$E$611,MATCH($A384,Dataset_2!$A$2:$A$611,0))</f>
        <v>7</v>
      </c>
      <c r="O384">
        <f>INDEX(Dataset_2!$F$2:$F$611,MATCH($A384,Dataset_2!$A$2:$A$611,0))</f>
        <v>50</v>
      </c>
      <c r="P384">
        <f>INDEX(Dataset_2!$G$2:$G$611,MATCH($A384,Dataset_2!$A$2:$A$611,0))</f>
        <v>57</v>
      </c>
    </row>
    <row r="385" spans="1:16" x14ac:dyDescent="0.2">
      <c r="A385">
        <f>Dataset_1!A385</f>
        <v>384</v>
      </c>
      <c r="B385" s="61">
        <f>Dataset_1!B385</f>
        <v>40560</v>
      </c>
      <c r="C385">
        <f>Dataset_1!C385</f>
        <v>1</v>
      </c>
      <c r="D385">
        <f>Dataset_1!D385</f>
        <v>0</v>
      </c>
      <c r="E385">
        <f>Dataset_1!E385</f>
        <v>1</v>
      </c>
      <c r="F385">
        <f>Dataset_1!F385</f>
        <v>11</v>
      </c>
      <c r="G385" t="b">
        <f>Dataset_1!G385</f>
        <v>1</v>
      </c>
      <c r="H385">
        <f>Dataset_1!H385</f>
        <v>1</v>
      </c>
      <c r="I385">
        <f>Dataset_1!I385</f>
        <v>2</v>
      </c>
      <c r="J385">
        <f>Dataset_1!J385</f>
        <v>0.16</v>
      </c>
      <c r="K385">
        <f>INDEX(Dataset_2!$B$2:$B$611,MATCH($A385,Dataset_2!$A$2:$A$611,0))</f>
        <v>0.1515</v>
      </c>
      <c r="L385">
        <f>INDEX(Dataset_2!$C$2:$C$611,MATCH($A385,Dataset_2!$A$2:$A$611,0))</f>
        <v>0.55000000000000004</v>
      </c>
      <c r="M385">
        <f>INDEX(Dataset_2!$D$2:$D$611,MATCH($A385,Dataset_2!$A$2:$A$611,0))</f>
        <v>0.19400000000000001</v>
      </c>
      <c r="N385">
        <f>INDEX(Dataset_2!$E$2:$E$611,MATCH($A385,Dataset_2!$A$2:$A$611,0))</f>
        <v>9</v>
      </c>
      <c r="O385">
        <f>INDEX(Dataset_2!$F$2:$F$611,MATCH($A385,Dataset_2!$A$2:$A$611,0))</f>
        <v>55</v>
      </c>
      <c r="P385">
        <f>INDEX(Dataset_2!$G$2:$G$611,MATCH($A385,Dataset_2!$A$2:$A$611,0))</f>
        <v>64</v>
      </c>
    </row>
    <row r="386" spans="1:16" x14ac:dyDescent="0.2">
      <c r="A386">
        <f>Dataset_1!A386</f>
        <v>385</v>
      </c>
      <c r="B386" s="61">
        <f>Dataset_1!B386</f>
        <v>40560</v>
      </c>
      <c r="C386">
        <f>Dataset_1!C386</f>
        <v>1</v>
      </c>
      <c r="D386">
        <f>Dataset_1!D386</f>
        <v>0</v>
      </c>
      <c r="E386">
        <f>Dataset_1!E386</f>
        <v>1</v>
      </c>
      <c r="F386">
        <f>Dataset_1!F386</f>
        <v>12</v>
      </c>
      <c r="G386" t="b">
        <f>Dataset_1!G386</f>
        <v>1</v>
      </c>
      <c r="H386">
        <f>Dataset_1!H386</f>
        <v>1</v>
      </c>
      <c r="I386">
        <f>Dataset_1!I386</f>
        <v>2</v>
      </c>
      <c r="J386">
        <f>Dataset_1!J386</f>
        <v>0.18</v>
      </c>
      <c r="K386">
        <f>INDEX(Dataset_2!$B$2:$B$611,MATCH($A386,Dataset_2!$A$2:$A$611,0))</f>
        <v>0.19700000000000001</v>
      </c>
      <c r="L386">
        <f>INDEX(Dataset_2!$C$2:$C$611,MATCH($A386,Dataset_2!$A$2:$A$611,0))</f>
        <v>0.47</v>
      </c>
      <c r="M386">
        <f>INDEX(Dataset_2!$D$2:$D$611,MATCH($A386,Dataset_2!$A$2:$A$611,0))</f>
        <v>0.1343</v>
      </c>
      <c r="N386">
        <f>INDEX(Dataset_2!$E$2:$E$611,MATCH($A386,Dataset_2!$A$2:$A$611,0))</f>
        <v>10</v>
      </c>
      <c r="O386">
        <f>INDEX(Dataset_2!$F$2:$F$611,MATCH($A386,Dataset_2!$A$2:$A$611,0))</f>
        <v>70</v>
      </c>
      <c r="P386">
        <f>INDEX(Dataset_2!$G$2:$G$611,MATCH($A386,Dataset_2!$A$2:$A$611,0))</f>
        <v>80</v>
      </c>
    </row>
    <row r="387" spans="1:16" x14ac:dyDescent="0.2">
      <c r="A387">
        <f>Dataset_1!A387</f>
        <v>386</v>
      </c>
      <c r="B387" s="61">
        <f>Dataset_1!B387</f>
        <v>40560</v>
      </c>
      <c r="C387">
        <f>Dataset_1!C387</f>
        <v>1</v>
      </c>
      <c r="D387">
        <f>Dataset_1!D387</f>
        <v>0</v>
      </c>
      <c r="E387">
        <f>Dataset_1!E387</f>
        <v>1</v>
      </c>
      <c r="F387">
        <f>Dataset_1!F387</f>
        <v>13</v>
      </c>
      <c r="G387" t="b">
        <f>Dataset_1!G387</f>
        <v>1</v>
      </c>
      <c r="H387">
        <f>Dataset_1!H387</f>
        <v>1</v>
      </c>
      <c r="I387">
        <f>Dataset_1!I387</f>
        <v>2</v>
      </c>
      <c r="J387">
        <f>Dataset_1!J387</f>
        <v>0.18</v>
      </c>
      <c r="K387">
        <f>INDEX(Dataset_2!$B$2:$B$611,MATCH($A387,Dataset_2!$A$2:$A$611,0))</f>
        <v>0.19700000000000001</v>
      </c>
      <c r="L387">
        <f>INDEX(Dataset_2!$C$2:$C$611,MATCH($A387,Dataset_2!$A$2:$A$611,0))</f>
        <v>0.47</v>
      </c>
      <c r="M387">
        <f>INDEX(Dataset_2!$D$2:$D$611,MATCH($A387,Dataset_2!$A$2:$A$611,0))</f>
        <v>0.1343</v>
      </c>
      <c r="N387">
        <f>INDEX(Dataset_2!$E$2:$E$611,MATCH($A387,Dataset_2!$A$2:$A$611,0))</f>
        <v>13</v>
      </c>
      <c r="O387">
        <f>INDEX(Dataset_2!$F$2:$F$611,MATCH($A387,Dataset_2!$A$2:$A$611,0))</f>
        <v>80</v>
      </c>
      <c r="P387">
        <f>INDEX(Dataset_2!$G$2:$G$611,MATCH($A387,Dataset_2!$A$2:$A$611,0))</f>
        <v>93</v>
      </c>
    </row>
    <row r="388" spans="1:16" x14ac:dyDescent="0.2">
      <c r="A388">
        <f>Dataset_1!A388</f>
        <v>387</v>
      </c>
      <c r="B388" s="61">
        <f>Dataset_1!B388</f>
        <v>40560</v>
      </c>
      <c r="C388">
        <f>Dataset_1!C388</f>
        <v>1</v>
      </c>
      <c r="D388">
        <f>Dataset_1!D388</f>
        <v>0</v>
      </c>
      <c r="E388">
        <f>Dataset_1!E388</f>
        <v>1</v>
      </c>
      <c r="F388">
        <f>Dataset_1!F388</f>
        <v>14</v>
      </c>
      <c r="G388" t="b">
        <f>Dataset_1!G388</f>
        <v>1</v>
      </c>
      <c r="H388">
        <f>Dataset_1!H388</f>
        <v>1</v>
      </c>
      <c r="I388">
        <f>Dataset_1!I388</f>
        <v>2</v>
      </c>
      <c r="J388">
        <f>Dataset_1!J388</f>
        <v>0.18</v>
      </c>
      <c r="K388">
        <f>INDEX(Dataset_2!$B$2:$B$611,MATCH($A388,Dataset_2!$A$2:$A$611,0))</f>
        <v>0.21210000000000001</v>
      </c>
      <c r="L388">
        <f>INDEX(Dataset_2!$C$2:$C$611,MATCH($A388,Dataset_2!$A$2:$A$611,0))</f>
        <v>0.43</v>
      </c>
      <c r="M388">
        <f>INDEX(Dataset_2!$D$2:$D$611,MATCH($A388,Dataset_2!$A$2:$A$611,0))</f>
        <v>0.1045</v>
      </c>
      <c r="N388">
        <f>INDEX(Dataset_2!$E$2:$E$611,MATCH($A388,Dataset_2!$A$2:$A$611,0))</f>
        <v>12</v>
      </c>
      <c r="O388">
        <f>INDEX(Dataset_2!$F$2:$F$611,MATCH($A388,Dataset_2!$A$2:$A$611,0))</f>
        <v>74</v>
      </c>
      <c r="P388">
        <f>INDEX(Dataset_2!$G$2:$G$611,MATCH($A388,Dataset_2!$A$2:$A$611,0))</f>
        <v>86</v>
      </c>
    </row>
    <row r="389" spans="1:16" x14ac:dyDescent="0.2">
      <c r="A389">
        <f>Dataset_1!A389</f>
        <v>388</v>
      </c>
      <c r="B389" s="61">
        <f>Dataset_1!B389</f>
        <v>40560</v>
      </c>
      <c r="C389">
        <f>Dataset_1!C389</f>
        <v>1</v>
      </c>
      <c r="D389">
        <f>Dataset_1!D389</f>
        <v>0</v>
      </c>
      <c r="E389">
        <f>Dataset_1!E389</f>
        <v>1</v>
      </c>
      <c r="F389">
        <f>Dataset_1!F389</f>
        <v>15</v>
      </c>
      <c r="G389" t="b">
        <f>Dataset_1!G389</f>
        <v>1</v>
      </c>
      <c r="H389">
        <f>Dataset_1!H389</f>
        <v>1</v>
      </c>
      <c r="I389">
        <f>Dataset_1!I389</f>
        <v>2</v>
      </c>
      <c r="J389">
        <f>Dataset_1!J389</f>
        <v>0.2</v>
      </c>
      <c r="K389">
        <f>INDEX(Dataset_2!$B$2:$B$611,MATCH($A389,Dataset_2!$A$2:$A$611,0))</f>
        <v>0.21210000000000001</v>
      </c>
      <c r="L389">
        <f>INDEX(Dataset_2!$C$2:$C$611,MATCH($A389,Dataset_2!$A$2:$A$611,0))</f>
        <v>0.47</v>
      </c>
      <c r="M389">
        <f>INDEX(Dataset_2!$D$2:$D$611,MATCH($A389,Dataset_2!$A$2:$A$611,0))</f>
        <v>0.16420000000000001</v>
      </c>
      <c r="N389">
        <f>INDEX(Dataset_2!$E$2:$E$611,MATCH($A389,Dataset_2!$A$2:$A$611,0))</f>
        <v>21</v>
      </c>
      <c r="O389">
        <f>INDEX(Dataset_2!$F$2:$F$611,MATCH($A389,Dataset_2!$A$2:$A$611,0))</f>
        <v>72</v>
      </c>
      <c r="P389">
        <f>INDEX(Dataset_2!$G$2:$G$611,MATCH($A389,Dataset_2!$A$2:$A$611,0))</f>
        <v>93</v>
      </c>
    </row>
    <row r="390" spans="1:16" x14ac:dyDescent="0.2">
      <c r="A390">
        <f>Dataset_1!A390</f>
        <v>389</v>
      </c>
      <c r="B390" s="61">
        <f>Dataset_1!B390</f>
        <v>40560</v>
      </c>
      <c r="C390">
        <f>Dataset_1!C390</f>
        <v>1</v>
      </c>
      <c r="D390">
        <f>Dataset_1!D390</f>
        <v>0</v>
      </c>
      <c r="E390">
        <f>Dataset_1!E390</f>
        <v>1</v>
      </c>
      <c r="F390">
        <f>Dataset_1!F390</f>
        <v>16</v>
      </c>
      <c r="G390" t="b">
        <f>Dataset_1!G390</f>
        <v>1</v>
      </c>
      <c r="H390">
        <f>Dataset_1!H390</f>
        <v>1</v>
      </c>
      <c r="I390">
        <f>Dataset_1!I390</f>
        <v>2</v>
      </c>
      <c r="J390">
        <f>Dataset_1!J390</f>
        <v>0.2</v>
      </c>
      <c r="K390">
        <f>INDEX(Dataset_2!$B$2:$B$611,MATCH($A390,Dataset_2!$A$2:$A$611,0))</f>
        <v>0.21210000000000001</v>
      </c>
      <c r="L390">
        <f>INDEX(Dataset_2!$C$2:$C$611,MATCH($A390,Dataset_2!$A$2:$A$611,0))</f>
        <v>0.47</v>
      </c>
      <c r="M390">
        <f>INDEX(Dataset_2!$D$2:$D$611,MATCH($A390,Dataset_2!$A$2:$A$611,0))</f>
        <v>0.16420000000000001</v>
      </c>
      <c r="N390">
        <f>INDEX(Dataset_2!$E$2:$E$611,MATCH($A390,Dataset_2!$A$2:$A$611,0))</f>
        <v>6</v>
      </c>
      <c r="O390">
        <f>INDEX(Dataset_2!$F$2:$F$611,MATCH($A390,Dataset_2!$A$2:$A$611,0))</f>
        <v>76</v>
      </c>
      <c r="P390">
        <f>INDEX(Dataset_2!$G$2:$G$611,MATCH($A390,Dataset_2!$A$2:$A$611,0))</f>
        <v>82</v>
      </c>
    </row>
    <row r="391" spans="1:16" x14ac:dyDescent="0.2">
      <c r="A391">
        <f>Dataset_1!A391</f>
        <v>390</v>
      </c>
      <c r="B391" s="61">
        <f>Dataset_1!B391</f>
        <v>40560</v>
      </c>
      <c r="C391">
        <f>Dataset_1!C391</f>
        <v>1</v>
      </c>
      <c r="D391">
        <f>Dataset_1!D391</f>
        <v>0</v>
      </c>
      <c r="E391">
        <f>Dataset_1!E391</f>
        <v>1</v>
      </c>
      <c r="F391">
        <f>Dataset_1!F391</f>
        <v>17</v>
      </c>
      <c r="G391" t="b">
        <f>Dataset_1!G391</f>
        <v>1</v>
      </c>
      <c r="H391">
        <f>Dataset_1!H391</f>
        <v>1</v>
      </c>
      <c r="I391">
        <f>Dataset_1!I391</f>
        <v>1</v>
      </c>
      <c r="J391">
        <f>Dataset_1!J391</f>
        <v>0.2</v>
      </c>
      <c r="K391">
        <f>INDEX(Dataset_2!$B$2:$B$611,MATCH($A391,Dataset_2!$A$2:$A$611,0))</f>
        <v>0.19700000000000001</v>
      </c>
      <c r="L391">
        <f>INDEX(Dataset_2!$C$2:$C$611,MATCH($A391,Dataset_2!$A$2:$A$611,0))</f>
        <v>0.51</v>
      </c>
      <c r="M391">
        <f>INDEX(Dataset_2!$D$2:$D$611,MATCH($A391,Dataset_2!$A$2:$A$611,0))</f>
        <v>0.19400000000000001</v>
      </c>
      <c r="N391">
        <f>INDEX(Dataset_2!$E$2:$E$611,MATCH($A391,Dataset_2!$A$2:$A$611,0))</f>
        <v>4</v>
      </c>
      <c r="O391">
        <f>INDEX(Dataset_2!$F$2:$F$611,MATCH($A391,Dataset_2!$A$2:$A$611,0))</f>
        <v>67</v>
      </c>
      <c r="P391">
        <f>INDEX(Dataset_2!$G$2:$G$611,MATCH($A391,Dataset_2!$A$2:$A$611,0))</f>
        <v>71</v>
      </c>
    </row>
    <row r="392" spans="1:16" x14ac:dyDescent="0.2">
      <c r="A392">
        <f>Dataset_1!A392</f>
        <v>391</v>
      </c>
      <c r="B392" s="61">
        <f>Dataset_1!B392</f>
        <v>40560</v>
      </c>
      <c r="C392">
        <f>Dataset_1!C392</f>
        <v>1</v>
      </c>
      <c r="D392">
        <f>Dataset_1!D392</f>
        <v>0</v>
      </c>
      <c r="E392">
        <f>Dataset_1!E392</f>
        <v>1</v>
      </c>
      <c r="F392">
        <f>Dataset_1!F392</f>
        <v>18</v>
      </c>
      <c r="G392" t="b">
        <f>Dataset_1!G392</f>
        <v>1</v>
      </c>
      <c r="H392">
        <f>Dataset_1!H392</f>
        <v>1</v>
      </c>
      <c r="I392">
        <f>Dataset_1!I392</f>
        <v>2</v>
      </c>
      <c r="J392">
        <f>Dataset_1!J392</f>
        <v>0.18</v>
      </c>
      <c r="K392">
        <f>INDEX(Dataset_2!$B$2:$B$611,MATCH($A392,Dataset_2!$A$2:$A$611,0))</f>
        <v>0.16669999999999999</v>
      </c>
      <c r="L392">
        <f>INDEX(Dataset_2!$C$2:$C$611,MATCH($A392,Dataset_2!$A$2:$A$611,0))</f>
        <v>0.55000000000000004</v>
      </c>
      <c r="M392">
        <f>INDEX(Dataset_2!$D$2:$D$611,MATCH($A392,Dataset_2!$A$2:$A$611,0))</f>
        <v>0.25369999999999998</v>
      </c>
      <c r="N392">
        <f>INDEX(Dataset_2!$E$2:$E$611,MATCH($A392,Dataset_2!$A$2:$A$611,0))</f>
        <v>7</v>
      </c>
      <c r="O392">
        <f>INDEX(Dataset_2!$F$2:$F$611,MATCH($A392,Dataset_2!$A$2:$A$611,0))</f>
        <v>85</v>
      </c>
      <c r="P392">
        <f>INDEX(Dataset_2!$G$2:$G$611,MATCH($A392,Dataset_2!$A$2:$A$611,0))</f>
        <v>92</v>
      </c>
    </row>
    <row r="393" spans="1:16" x14ac:dyDescent="0.2">
      <c r="A393">
        <f>Dataset_1!A393</f>
        <v>392</v>
      </c>
      <c r="B393" s="61">
        <f>Dataset_1!B393</f>
        <v>40560</v>
      </c>
      <c r="C393">
        <f>Dataset_1!C393</f>
        <v>1</v>
      </c>
      <c r="D393">
        <f>Dataset_1!D393</f>
        <v>0</v>
      </c>
      <c r="E393">
        <f>Dataset_1!E393</f>
        <v>1</v>
      </c>
      <c r="F393">
        <f>Dataset_1!F393</f>
        <v>19</v>
      </c>
      <c r="G393" t="b">
        <f>Dataset_1!G393</f>
        <v>1</v>
      </c>
      <c r="H393">
        <f>Dataset_1!H393</f>
        <v>1</v>
      </c>
      <c r="I393">
        <f>Dataset_1!I393</f>
        <v>3</v>
      </c>
      <c r="J393">
        <f>Dataset_1!J393</f>
        <v>0.18</v>
      </c>
      <c r="K393">
        <f>INDEX(Dataset_2!$B$2:$B$611,MATCH($A393,Dataset_2!$A$2:$A$611,0))</f>
        <v>0.18179999999999999</v>
      </c>
      <c r="L393">
        <f>INDEX(Dataset_2!$C$2:$C$611,MATCH($A393,Dataset_2!$A$2:$A$611,0))</f>
        <v>0.59</v>
      </c>
      <c r="M393">
        <f>INDEX(Dataset_2!$D$2:$D$611,MATCH($A393,Dataset_2!$A$2:$A$611,0))</f>
        <v>0.19400000000000001</v>
      </c>
      <c r="N393">
        <f>INDEX(Dataset_2!$E$2:$E$611,MATCH($A393,Dataset_2!$A$2:$A$611,0))</f>
        <v>2</v>
      </c>
      <c r="O393">
        <f>INDEX(Dataset_2!$F$2:$F$611,MATCH($A393,Dataset_2!$A$2:$A$611,0))</f>
        <v>58</v>
      </c>
      <c r="P393">
        <f>INDEX(Dataset_2!$G$2:$G$611,MATCH($A393,Dataset_2!$A$2:$A$611,0))</f>
        <v>60</v>
      </c>
    </row>
    <row r="394" spans="1:16" x14ac:dyDescent="0.2">
      <c r="A394">
        <f>Dataset_1!A394</f>
        <v>393</v>
      </c>
      <c r="B394" s="61">
        <f>Dataset_1!B394</f>
        <v>40560</v>
      </c>
      <c r="C394">
        <f>Dataset_1!C394</f>
        <v>1</v>
      </c>
      <c r="D394">
        <f>Dataset_1!D394</f>
        <v>0</v>
      </c>
      <c r="E394">
        <f>Dataset_1!E394</f>
        <v>1</v>
      </c>
      <c r="F394">
        <f>Dataset_1!F394</f>
        <v>20</v>
      </c>
      <c r="G394" t="b">
        <f>Dataset_1!G394</f>
        <v>1</v>
      </c>
      <c r="H394">
        <f>Dataset_1!H394</f>
        <v>1</v>
      </c>
      <c r="I394">
        <f>Dataset_1!I394</f>
        <v>3</v>
      </c>
      <c r="J394">
        <f>Dataset_1!J394</f>
        <v>0.16</v>
      </c>
      <c r="K394">
        <f>INDEX(Dataset_2!$B$2:$B$611,MATCH($A394,Dataset_2!$A$2:$A$611,0))</f>
        <v>0.1515</v>
      </c>
      <c r="L394">
        <f>INDEX(Dataset_2!$C$2:$C$611,MATCH($A394,Dataset_2!$A$2:$A$611,0))</f>
        <v>0.8</v>
      </c>
      <c r="M394">
        <f>INDEX(Dataset_2!$D$2:$D$611,MATCH($A394,Dataset_2!$A$2:$A$611,0))</f>
        <v>0.19400000000000001</v>
      </c>
      <c r="N394">
        <f>INDEX(Dataset_2!$E$2:$E$611,MATCH($A394,Dataset_2!$A$2:$A$611,0))</f>
        <v>4</v>
      </c>
      <c r="O394">
        <f>INDEX(Dataset_2!$F$2:$F$611,MATCH($A394,Dataset_2!$A$2:$A$611,0))</f>
        <v>29</v>
      </c>
      <c r="P394">
        <f>INDEX(Dataset_2!$G$2:$G$611,MATCH($A394,Dataset_2!$A$2:$A$611,0))</f>
        <v>33</v>
      </c>
    </row>
    <row r="395" spans="1:16" x14ac:dyDescent="0.2">
      <c r="A395">
        <f>Dataset_1!A395</f>
        <v>394</v>
      </c>
      <c r="B395" s="61">
        <f>Dataset_1!B395</f>
        <v>40560</v>
      </c>
      <c r="C395">
        <f>Dataset_1!C395</f>
        <v>1</v>
      </c>
      <c r="D395">
        <f>Dataset_1!D395</f>
        <v>0</v>
      </c>
      <c r="E395">
        <f>Dataset_1!E395</f>
        <v>1</v>
      </c>
      <c r="F395">
        <f>Dataset_1!F395</f>
        <v>21</v>
      </c>
      <c r="G395" t="b">
        <f>Dataset_1!G395</f>
        <v>1</v>
      </c>
      <c r="H395">
        <f>Dataset_1!H395</f>
        <v>1</v>
      </c>
      <c r="I395">
        <f>Dataset_1!I395</f>
        <v>3</v>
      </c>
      <c r="J395">
        <f>Dataset_1!J395</f>
        <v>0.16</v>
      </c>
      <c r="K395">
        <f>INDEX(Dataset_2!$B$2:$B$611,MATCH($A395,Dataset_2!$A$2:$A$611,0))</f>
        <v>0.1515</v>
      </c>
      <c r="L395">
        <f>INDEX(Dataset_2!$C$2:$C$611,MATCH($A395,Dataset_2!$A$2:$A$611,0))</f>
        <v>0.8</v>
      </c>
      <c r="M395">
        <f>INDEX(Dataset_2!$D$2:$D$611,MATCH($A395,Dataset_2!$A$2:$A$611,0))</f>
        <v>0.19400000000000001</v>
      </c>
      <c r="N395">
        <f>INDEX(Dataset_2!$E$2:$E$611,MATCH($A395,Dataset_2!$A$2:$A$611,0))</f>
        <v>3</v>
      </c>
      <c r="O395">
        <f>INDEX(Dataset_2!$F$2:$F$611,MATCH($A395,Dataset_2!$A$2:$A$611,0))</f>
        <v>24</v>
      </c>
      <c r="P395">
        <f>INDEX(Dataset_2!$G$2:$G$611,MATCH($A395,Dataset_2!$A$2:$A$611,0))</f>
        <v>27</v>
      </c>
    </row>
    <row r="396" spans="1:16" x14ac:dyDescent="0.2">
      <c r="A396">
        <f>Dataset_1!A396</f>
        <v>395</v>
      </c>
      <c r="B396" s="61">
        <f>Dataset_1!B396</f>
        <v>40560</v>
      </c>
      <c r="C396">
        <f>Dataset_1!C396</f>
        <v>1</v>
      </c>
      <c r="D396">
        <f>Dataset_1!D396</f>
        <v>0</v>
      </c>
      <c r="E396">
        <f>Dataset_1!E396</f>
        <v>1</v>
      </c>
      <c r="F396">
        <f>Dataset_1!F396</f>
        <v>22</v>
      </c>
      <c r="G396" t="b">
        <f>Dataset_1!G396</f>
        <v>1</v>
      </c>
      <c r="H396">
        <f>Dataset_1!H396</f>
        <v>1</v>
      </c>
      <c r="I396">
        <f>Dataset_1!I396</f>
        <v>3</v>
      </c>
      <c r="J396">
        <f>Dataset_1!J396</f>
        <v>0.14000000000000001</v>
      </c>
      <c r="K396">
        <f>INDEX(Dataset_2!$B$2:$B$611,MATCH($A396,Dataset_2!$A$2:$A$611,0))</f>
        <v>0.1212</v>
      </c>
      <c r="L396">
        <f>INDEX(Dataset_2!$C$2:$C$611,MATCH($A396,Dataset_2!$A$2:$A$611,0))</f>
        <v>0.93</v>
      </c>
      <c r="M396">
        <f>INDEX(Dataset_2!$D$2:$D$611,MATCH($A396,Dataset_2!$A$2:$A$611,0))</f>
        <v>0.25369999999999998</v>
      </c>
      <c r="N396">
        <f>INDEX(Dataset_2!$E$2:$E$611,MATCH($A396,Dataset_2!$A$2:$A$611,0))</f>
        <v>0</v>
      </c>
      <c r="O396">
        <f>INDEX(Dataset_2!$F$2:$F$611,MATCH($A396,Dataset_2!$A$2:$A$611,0))</f>
        <v>13</v>
      </c>
      <c r="P396">
        <f>INDEX(Dataset_2!$G$2:$G$611,MATCH($A396,Dataset_2!$A$2:$A$611,0))</f>
        <v>13</v>
      </c>
    </row>
    <row r="397" spans="1:16" x14ac:dyDescent="0.2">
      <c r="A397">
        <f>Dataset_1!A397</f>
        <v>396</v>
      </c>
      <c r="B397" s="61">
        <f>Dataset_1!B397</f>
        <v>40560</v>
      </c>
      <c r="C397">
        <f>Dataset_1!C397</f>
        <v>1</v>
      </c>
      <c r="D397">
        <f>Dataset_1!D397</f>
        <v>0</v>
      </c>
      <c r="E397">
        <f>Dataset_1!E397</f>
        <v>1</v>
      </c>
      <c r="F397">
        <f>Dataset_1!F397</f>
        <v>23</v>
      </c>
      <c r="G397" t="b">
        <f>Dataset_1!G397</f>
        <v>1</v>
      </c>
      <c r="H397">
        <f>Dataset_1!H397</f>
        <v>1</v>
      </c>
      <c r="I397">
        <f>Dataset_1!I397</f>
        <v>3</v>
      </c>
      <c r="J397">
        <f>Dataset_1!J397</f>
        <v>0.16</v>
      </c>
      <c r="K397">
        <f>INDEX(Dataset_2!$B$2:$B$611,MATCH($A397,Dataset_2!$A$2:$A$611,0))</f>
        <v>0.13639999999999999</v>
      </c>
      <c r="L397">
        <f>INDEX(Dataset_2!$C$2:$C$611,MATCH($A397,Dataset_2!$A$2:$A$611,0))</f>
        <v>0.86</v>
      </c>
      <c r="M397">
        <f>INDEX(Dataset_2!$D$2:$D$611,MATCH($A397,Dataset_2!$A$2:$A$611,0))</f>
        <v>0.28360000000000002</v>
      </c>
      <c r="N397">
        <f>INDEX(Dataset_2!$E$2:$E$611,MATCH($A397,Dataset_2!$A$2:$A$611,0))</f>
        <v>1</v>
      </c>
      <c r="O397">
        <f>INDEX(Dataset_2!$F$2:$F$611,MATCH($A397,Dataset_2!$A$2:$A$611,0))</f>
        <v>3</v>
      </c>
      <c r="P397">
        <f>INDEX(Dataset_2!$G$2:$G$611,MATCH($A397,Dataset_2!$A$2:$A$611,0))</f>
        <v>4</v>
      </c>
    </row>
    <row r="398" spans="1:16" x14ac:dyDescent="0.2">
      <c r="A398">
        <f>Dataset_1!A398</f>
        <v>397</v>
      </c>
      <c r="B398" s="61">
        <f>Dataset_1!B398</f>
        <v>40561</v>
      </c>
      <c r="C398">
        <f>Dataset_1!C398</f>
        <v>1</v>
      </c>
      <c r="D398">
        <f>Dataset_1!D398</f>
        <v>0</v>
      </c>
      <c r="E398">
        <f>Dataset_1!E398</f>
        <v>1</v>
      </c>
      <c r="F398">
        <f>Dataset_1!F398</f>
        <v>12</v>
      </c>
      <c r="G398" t="b">
        <f>Dataset_1!G398</f>
        <v>0</v>
      </c>
      <c r="H398">
        <f>Dataset_1!H398</f>
        <v>2</v>
      </c>
      <c r="I398">
        <f>Dataset_1!I398</f>
        <v>2</v>
      </c>
      <c r="J398">
        <f>Dataset_1!J398</f>
        <v>0.2</v>
      </c>
      <c r="K398">
        <f>INDEX(Dataset_2!$B$2:$B$611,MATCH($A398,Dataset_2!$A$2:$A$611,0))</f>
        <v>0.18179999999999999</v>
      </c>
      <c r="L398">
        <f>INDEX(Dataset_2!$C$2:$C$611,MATCH($A398,Dataset_2!$A$2:$A$611,0))</f>
        <v>0.86</v>
      </c>
      <c r="M398">
        <f>INDEX(Dataset_2!$D$2:$D$611,MATCH($A398,Dataset_2!$A$2:$A$611,0))</f>
        <v>0.32840000000000003</v>
      </c>
      <c r="N398">
        <f>INDEX(Dataset_2!$E$2:$E$611,MATCH($A398,Dataset_2!$A$2:$A$611,0))</f>
        <v>0</v>
      </c>
      <c r="O398">
        <f>INDEX(Dataset_2!$F$2:$F$611,MATCH($A398,Dataset_2!$A$2:$A$611,0))</f>
        <v>3</v>
      </c>
      <c r="P398">
        <f>INDEX(Dataset_2!$G$2:$G$611,MATCH($A398,Dataset_2!$A$2:$A$611,0))</f>
        <v>3</v>
      </c>
    </row>
    <row r="399" spans="1:16" x14ac:dyDescent="0.2">
      <c r="A399">
        <f>Dataset_1!A399</f>
        <v>398</v>
      </c>
      <c r="B399" s="61">
        <f>Dataset_1!B399</f>
        <v>40561</v>
      </c>
      <c r="C399">
        <f>Dataset_1!C399</f>
        <v>1</v>
      </c>
      <c r="D399">
        <f>Dataset_1!D399</f>
        <v>0</v>
      </c>
      <c r="E399">
        <f>Dataset_1!E399</f>
        <v>1</v>
      </c>
      <c r="F399">
        <f>Dataset_1!F399</f>
        <v>13</v>
      </c>
      <c r="G399" t="b">
        <f>Dataset_1!G399</f>
        <v>0</v>
      </c>
      <c r="H399">
        <f>Dataset_1!H399</f>
        <v>2</v>
      </c>
      <c r="I399">
        <f>Dataset_1!I399</f>
        <v>2</v>
      </c>
      <c r="J399">
        <f>Dataset_1!J399</f>
        <v>0.2</v>
      </c>
      <c r="K399">
        <f>INDEX(Dataset_2!$B$2:$B$611,MATCH($A399,Dataset_2!$A$2:$A$611,0))</f>
        <v>0.19700000000000001</v>
      </c>
      <c r="L399">
        <f>INDEX(Dataset_2!$C$2:$C$611,MATCH($A399,Dataset_2!$A$2:$A$611,0))</f>
        <v>0.86</v>
      </c>
      <c r="M399">
        <f>INDEX(Dataset_2!$D$2:$D$611,MATCH($A399,Dataset_2!$A$2:$A$611,0))</f>
        <v>0.22389999999999999</v>
      </c>
      <c r="N399">
        <f>INDEX(Dataset_2!$E$2:$E$611,MATCH($A399,Dataset_2!$A$2:$A$611,0))</f>
        <v>0</v>
      </c>
      <c r="O399">
        <f>INDEX(Dataset_2!$F$2:$F$611,MATCH($A399,Dataset_2!$A$2:$A$611,0))</f>
        <v>22</v>
      </c>
      <c r="P399">
        <f>INDEX(Dataset_2!$G$2:$G$611,MATCH($A399,Dataset_2!$A$2:$A$611,0))</f>
        <v>22</v>
      </c>
    </row>
    <row r="400" spans="1:16" x14ac:dyDescent="0.2">
      <c r="A400">
        <f>Dataset_1!A400</f>
        <v>399</v>
      </c>
      <c r="B400" s="61">
        <f>Dataset_1!B400</f>
        <v>40561</v>
      </c>
      <c r="C400">
        <f>Dataset_1!C400</f>
        <v>1</v>
      </c>
      <c r="D400">
        <f>Dataset_1!D400</f>
        <v>0</v>
      </c>
      <c r="E400">
        <f>Dataset_1!E400</f>
        <v>1</v>
      </c>
      <c r="F400">
        <f>Dataset_1!F400</f>
        <v>14</v>
      </c>
      <c r="G400" t="b">
        <f>Dataset_1!G400</f>
        <v>0</v>
      </c>
      <c r="H400">
        <f>Dataset_1!H400</f>
        <v>2</v>
      </c>
      <c r="I400">
        <f>Dataset_1!I400</f>
        <v>2</v>
      </c>
      <c r="J400">
        <f>Dataset_1!J400</f>
        <v>0.22</v>
      </c>
      <c r="K400">
        <f>INDEX(Dataset_2!$B$2:$B$611,MATCH($A400,Dataset_2!$A$2:$A$611,0))</f>
        <v>0.2273</v>
      </c>
      <c r="L400">
        <f>INDEX(Dataset_2!$C$2:$C$611,MATCH($A400,Dataset_2!$A$2:$A$611,0))</f>
        <v>0.8</v>
      </c>
      <c r="M400">
        <f>INDEX(Dataset_2!$D$2:$D$611,MATCH($A400,Dataset_2!$A$2:$A$611,0))</f>
        <v>0.16420000000000001</v>
      </c>
      <c r="N400">
        <f>INDEX(Dataset_2!$E$2:$E$611,MATCH($A400,Dataset_2!$A$2:$A$611,0))</f>
        <v>2</v>
      </c>
      <c r="O400">
        <f>INDEX(Dataset_2!$F$2:$F$611,MATCH($A400,Dataset_2!$A$2:$A$611,0))</f>
        <v>26</v>
      </c>
      <c r="P400">
        <f>INDEX(Dataset_2!$G$2:$G$611,MATCH($A400,Dataset_2!$A$2:$A$611,0))</f>
        <v>28</v>
      </c>
    </row>
    <row r="401" spans="1:16" x14ac:dyDescent="0.2">
      <c r="A401">
        <f>Dataset_1!A401</f>
        <v>400</v>
      </c>
      <c r="B401" s="61">
        <f>Dataset_1!B401</f>
        <v>40561</v>
      </c>
      <c r="C401">
        <f>Dataset_1!C401</f>
        <v>1</v>
      </c>
      <c r="D401">
        <f>Dataset_1!D401</f>
        <v>0</v>
      </c>
      <c r="E401">
        <f>Dataset_1!E401</f>
        <v>1</v>
      </c>
      <c r="F401">
        <f>Dataset_1!F401</f>
        <v>15</v>
      </c>
      <c r="G401" t="b">
        <f>Dataset_1!G401</f>
        <v>0</v>
      </c>
      <c r="H401">
        <f>Dataset_1!H401</f>
        <v>2</v>
      </c>
      <c r="I401">
        <f>Dataset_1!I401</f>
        <v>2</v>
      </c>
      <c r="J401">
        <f>Dataset_1!J401</f>
        <v>0.22</v>
      </c>
      <c r="K401">
        <f>INDEX(Dataset_2!$B$2:$B$611,MATCH($A401,Dataset_2!$A$2:$A$611,0))</f>
        <v>0.2273</v>
      </c>
      <c r="L401">
        <f>INDEX(Dataset_2!$C$2:$C$611,MATCH($A401,Dataset_2!$A$2:$A$611,0))</f>
        <v>0.87</v>
      </c>
      <c r="M401">
        <f>INDEX(Dataset_2!$D$2:$D$611,MATCH($A401,Dataset_2!$A$2:$A$611,0))</f>
        <v>0.16420000000000001</v>
      </c>
      <c r="N401">
        <f>INDEX(Dataset_2!$E$2:$E$611,MATCH($A401,Dataset_2!$A$2:$A$611,0))</f>
        <v>3</v>
      </c>
      <c r="O401">
        <f>INDEX(Dataset_2!$F$2:$F$611,MATCH($A401,Dataset_2!$A$2:$A$611,0))</f>
        <v>32</v>
      </c>
      <c r="P401">
        <f>INDEX(Dataset_2!$G$2:$G$611,MATCH($A401,Dataset_2!$A$2:$A$611,0))</f>
        <v>35</v>
      </c>
    </row>
    <row r="402" spans="1:16" x14ac:dyDescent="0.2">
      <c r="A402">
        <f>Dataset_1!A402</f>
        <v>401</v>
      </c>
      <c r="B402" s="61">
        <f>Dataset_1!B402</f>
        <v>40561</v>
      </c>
      <c r="C402">
        <f>Dataset_1!C402</f>
        <v>1</v>
      </c>
      <c r="D402">
        <f>Dataset_1!D402</f>
        <v>0</v>
      </c>
      <c r="E402">
        <f>Dataset_1!E402</f>
        <v>1</v>
      </c>
      <c r="F402">
        <f>Dataset_1!F402</f>
        <v>16</v>
      </c>
      <c r="G402" t="b">
        <f>Dataset_1!G402</f>
        <v>0</v>
      </c>
      <c r="H402">
        <f>Dataset_1!H402</f>
        <v>2</v>
      </c>
      <c r="I402">
        <f>Dataset_1!I402</f>
        <v>2</v>
      </c>
      <c r="J402">
        <f>Dataset_1!J402</f>
        <v>0.22</v>
      </c>
      <c r="K402">
        <f>INDEX(Dataset_2!$B$2:$B$611,MATCH($A402,Dataset_2!$A$2:$A$611,0))</f>
        <v>0.2273</v>
      </c>
      <c r="L402">
        <f>INDEX(Dataset_2!$C$2:$C$611,MATCH($A402,Dataset_2!$A$2:$A$611,0))</f>
        <v>0.87</v>
      </c>
      <c r="M402">
        <f>INDEX(Dataset_2!$D$2:$D$611,MATCH($A402,Dataset_2!$A$2:$A$611,0))</f>
        <v>0.19400000000000001</v>
      </c>
      <c r="N402">
        <f>INDEX(Dataset_2!$E$2:$E$611,MATCH($A402,Dataset_2!$A$2:$A$611,0))</f>
        <v>0</v>
      </c>
      <c r="O402">
        <f>INDEX(Dataset_2!$F$2:$F$611,MATCH($A402,Dataset_2!$A$2:$A$611,0))</f>
        <v>61</v>
      </c>
      <c r="P402">
        <f>INDEX(Dataset_2!$G$2:$G$611,MATCH($A402,Dataset_2!$A$2:$A$611,0))</f>
        <v>61</v>
      </c>
    </row>
    <row r="403" spans="1:16" x14ac:dyDescent="0.2">
      <c r="A403">
        <f>Dataset_1!A403</f>
        <v>402</v>
      </c>
      <c r="B403" s="61">
        <f>Dataset_1!B403</f>
        <v>40561</v>
      </c>
      <c r="C403">
        <f>Dataset_1!C403</f>
        <v>1</v>
      </c>
      <c r="D403">
        <f>Dataset_1!D403</f>
        <v>0</v>
      </c>
      <c r="E403">
        <f>Dataset_1!E403</f>
        <v>1</v>
      </c>
      <c r="F403">
        <f>Dataset_1!F403</f>
        <v>17</v>
      </c>
      <c r="G403" t="b">
        <f>Dataset_1!G403</f>
        <v>0</v>
      </c>
      <c r="H403">
        <f>Dataset_1!H403</f>
        <v>2</v>
      </c>
      <c r="I403">
        <f>Dataset_1!I403</f>
        <v>2</v>
      </c>
      <c r="J403">
        <f>Dataset_1!J403</f>
        <v>0.22</v>
      </c>
      <c r="K403">
        <f>INDEX(Dataset_2!$B$2:$B$611,MATCH($A403,Dataset_2!$A$2:$A$611,0))</f>
        <v>0.2273</v>
      </c>
      <c r="L403">
        <f>INDEX(Dataset_2!$C$2:$C$611,MATCH($A403,Dataset_2!$A$2:$A$611,0))</f>
        <v>0.82</v>
      </c>
      <c r="M403">
        <f>INDEX(Dataset_2!$D$2:$D$611,MATCH($A403,Dataset_2!$A$2:$A$611,0))</f>
        <v>0.19400000000000001</v>
      </c>
      <c r="N403">
        <f>INDEX(Dataset_2!$E$2:$E$611,MATCH($A403,Dataset_2!$A$2:$A$611,0))</f>
        <v>1</v>
      </c>
      <c r="O403">
        <f>INDEX(Dataset_2!$F$2:$F$611,MATCH($A403,Dataset_2!$A$2:$A$611,0))</f>
        <v>124</v>
      </c>
      <c r="P403">
        <f>INDEX(Dataset_2!$G$2:$G$611,MATCH($A403,Dataset_2!$A$2:$A$611,0))</f>
        <v>125</v>
      </c>
    </row>
    <row r="404" spans="1:16" x14ac:dyDescent="0.2">
      <c r="A404">
        <f>Dataset_1!A404</f>
        <v>403</v>
      </c>
      <c r="B404" s="61">
        <f>Dataset_1!B404</f>
        <v>40561</v>
      </c>
      <c r="C404">
        <f>Dataset_1!C404</f>
        <v>1</v>
      </c>
      <c r="D404">
        <f>Dataset_1!D404</f>
        <v>0</v>
      </c>
      <c r="E404">
        <f>Dataset_1!E404</f>
        <v>1</v>
      </c>
      <c r="F404">
        <f>Dataset_1!F404</f>
        <v>18</v>
      </c>
      <c r="G404" t="b">
        <f>Dataset_1!G404</f>
        <v>0</v>
      </c>
      <c r="H404">
        <f>Dataset_1!H404</f>
        <v>2</v>
      </c>
      <c r="I404">
        <f>Dataset_1!I404</f>
        <v>2</v>
      </c>
      <c r="J404">
        <f>Dataset_1!J404</f>
        <v>0.22</v>
      </c>
      <c r="K404">
        <f>INDEX(Dataset_2!$B$2:$B$611,MATCH($A404,Dataset_2!$A$2:$A$611,0))</f>
        <v>0.2273</v>
      </c>
      <c r="L404">
        <f>INDEX(Dataset_2!$C$2:$C$611,MATCH($A404,Dataset_2!$A$2:$A$611,0))</f>
        <v>0.8</v>
      </c>
      <c r="M404">
        <f>INDEX(Dataset_2!$D$2:$D$611,MATCH($A404,Dataset_2!$A$2:$A$611,0))</f>
        <v>0.16420000000000001</v>
      </c>
      <c r="N404">
        <f>INDEX(Dataset_2!$E$2:$E$611,MATCH($A404,Dataset_2!$A$2:$A$611,0))</f>
        <v>1</v>
      </c>
      <c r="O404">
        <f>INDEX(Dataset_2!$F$2:$F$611,MATCH($A404,Dataset_2!$A$2:$A$611,0))</f>
        <v>132</v>
      </c>
      <c r="P404">
        <f>INDEX(Dataset_2!$G$2:$G$611,MATCH($A404,Dataset_2!$A$2:$A$611,0))</f>
        <v>133</v>
      </c>
    </row>
    <row r="405" spans="1:16" x14ac:dyDescent="0.2">
      <c r="A405">
        <f>Dataset_1!A405</f>
        <v>404</v>
      </c>
      <c r="B405" s="61">
        <f>Dataset_1!B405</f>
        <v>40561</v>
      </c>
      <c r="C405">
        <f>Dataset_1!C405</f>
        <v>1</v>
      </c>
      <c r="D405">
        <f>Dataset_1!D405</f>
        <v>0</v>
      </c>
      <c r="E405">
        <f>Dataset_1!E405</f>
        <v>1</v>
      </c>
      <c r="F405">
        <f>Dataset_1!F405</f>
        <v>19</v>
      </c>
      <c r="G405" t="b">
        <f>Dataset_1!G405</f>
        <v>0</v>
      </c>
      <c r="H405">
        <f>Dataset_1!H405</f>
        <v>2</v>
      </c>
      <c r="I405">
        <f>Dataset_1!I405</f>
        <v>2</v>
      </c>
      <c r="J405">
        <f>Dataset_1!J405</f>
        <v>0.22</v>
      </c>
      <c r="K405">
        <f>INDEX(Dataset_2!$B$2:$B$611,MATCH($A405,Dataset_2!$A$2:$A$611,0))</f>
        <v>0.2273</v>
      </c>
      <c r="L405">
        <f>INDEX(Dataset_2!$C$2:$C$611,MATCH($A405,Dataset_2!$A$2:$A$611,0))</f>
        <v>0.8</v>
      </c>
      <c r="M405">
        <f>INDEX(Dataset_2!$D$2:$D$611,MATCH($A405,Dataset_2!$A$2:$A$611,0))</f>
        <v>0.1343</v>
      </c>
      <c r="N405">
        <f>INDEX(Dataset_2!$E$2:$E$611,MATCH($A405,Dataset_2!$A$2:$A$611,0))</f>
        <v>1</v>
      </c>
      <c r="O405">
        <f>INDEX(Dataset_2!$F$2:$F$611,MATCH($A405,Dataset_2!$A$2:$A$611,0))</f>
        <v>98</v>
      </c>
      <c r="P405">
        <f>INDEX(Dataset_2!$G$2:$G$611,MATCH($A405,Dataset_2!$A$2:$A$611,0))</f>
        <v>99</v>
      </c>
    </row>
    <row r="406" spans="1:16" x14ac:dyDescent="0.2">
      <c r="A406">
        <f>Dataset_1!A406</f>
        <v>405</v>
      </c>
      <c r="B406" s="61">
        <f>Dataset_1!B406</f>
        <v>40561</v>
      </c>
      <c r="C406">
        <f>Dataset_1!C406</f>
        <v>1</v>
      </c>
      <c r="D406">
        <f>Dataset_1!D406</f>
        <v>0</v>
      </c>
      <c r="E406">
        <f>Dataset_1!E406</f>
        <v>1</v>
      </c>
      <c r="F406">
        <f>Dataset_1!F406</f>
        <v>20</v>
      </c>
      <c r="G406" t="b">
        <f>Dataset_1!G406</f>
        <v>0</v>
      </c>
      <c r="H406">
        <f>Dataset_1!H406</f>
        <v>2</v>
      </c>
      <c r="I406">
        <f>Dataset_1!I406</f>
        <v>2</v>
      </c>
      <c r="J406">
        <f>Dataset_1!J406</f>
        <v>0.22</v>
      </c>
      <c r="K406">
        <f>INDEX(Dataset_2!$B$2:$B$611,MATCH($A406,Dataset_2!$A$2:$A$611,0))</f>
        <v>0.2727</v>
      </c>
      <c r="L406">
        <f>INDEX(Dataset_2!$C$2:$C$611,MATCH($A406,Dataset_2!$A$2:$A$611,0))</f>
        <v>0.87</v>
      </c>
      <c r="M406">
        <f>INDEX(Dataset_2!$D$2:$D$611,MATCH($A406,Dataset_2!$A$2:$A$611,0))</f>
        <v>0</v>
      </c>
      <c r="N406">
        <f>INDEX(Dataset_2!$E$2:$E$611,MATCH($A406,Dataset_2!$A$2:$A$611,0))</f>
        <v>0</v>
      </c>
      <c r="O406">
        <f>INDEX(Dataset_2!$F$2:$F$611,MATCH($A406,Dataset_2!$A$2:$A$611,0))</f>
        <v>83</v>
      </c>
      <c r="P406">
        <f>INDEX(Dataset_2!$G$2:$G$611,MATCH($A406,Dataset_2!$A$2:$A$611,0))</f>
        <v>83</v>
      </c>
    </row>
    <row r="407" spans="1:16" x14ac:dyDescent="0.2">
      <c r="A407">
        <f>Dataset_1!A407</f>
        <v>406</v>
      </c>
      <c r="B407" s="61">
        <f>Dataset_1!B407</f>
        <v>40561</v>
      </c>
      <c r="C407">
        <f>Dataset_1!C407</f>
        <v>1</v>
      </c>
      <c r="D407">
        <f>Dataset_1!D407</f>
        <v>0</v>
      </c>
      <c r="E407">
        <f>Dataset_1!E407</f>
        <v>1</v>
      </c>
      <c r="F407">
        <f>Dataset_1!F407</f>
        <v>21</v>
      </c>
      <c r="G407" t="b">
        <f>Dataset_1!G407</f>
        <v>0</v>
      </c>
      <c r="H407">
        <f>Dataset_1!H407</f>
        <v>2</v>
      </c>
      <c r="I407">
        <f>Dataset_1!I407</f>
        <v>2</v>
      </c>
      <c r="J407">
        <f>Dataset_1!J407</f>
        <v>0.22</v>
      </c>
      <c r="K407">
        <f>INDEX(Dataset_2!$B$2:$B$611,MATCH($A407,Dataset_2!$A$2:$A$611,0))</f>
        <v>0.2424</v>
      </c>
      <c r="L407">
        <f>INDEX(Dataset_2!$C$2:$C$611,MATCH($A407,Dataset_2!$A$2:$A$611,0))</f>
        <v>0.93</v>
      </c>
      <c r="M407">
        <f>INDEX(Dataset_2!$D$2:$D$611,MATCH($A407,Dataset_2!$A$2:$A$611,0))</f>
        <v>0.1045</v>
      </c>
      <c r="N407">
        <f>INDEX(Dataset_2!$E$2:$E$611,MATCH($A407,Dataset_2!$A$2:$A$611,0))</f>
        <v>0</v>
      </c>
      <c r="O407">
        <f>INDEX(Dataset_2!$F$2:$F$611,MATCH($A407,Dataset_2!$A$2:$A$611,0))</f>
        <v>41</v>
      </c>
      <c r="P407">
        <f>INDEX(Dataset_2!$G$2:$G$611,MATCH($A407,Dataset_2!$A$2:$A$611,0))</f>
        <v>41</v>
      </c>
    </row>
    <row r="408" spans="1:16" x14ac:dyDescent="0.2">
      <c r="A408">
        <f>Dataset_1!A408</f>
        <v>407</v>
      </c>
      <c r="B408" s="61">
        <f>Dataset_1!B408</f>
        <v>40561</v>
      </c>
      <c r="C408">
        <f>Dataset_1!C408</f>
        <v>1</v>
      </c>
      <c r="D408">
        <f>Dataset_1!D408</f>
        <v>0</v>
      </c>
      <c r="E408">
        <f>Dataset_1!E408</f>
        <v>1</v>
      </c>
      <c r="F408">
        <f>Dataset_1!F408</f>
        <v>22</v>
      </c>
      <c r="G408" t="b">
        <f>Dataset_1!G408</f>
        <v>0</v>
      </c>
      <c r="H408">
        <f>Dataset_1!H408</f>
        <v>2</v>
      </c>
      <c r="I408">
        <f>Dataset_1!I408</f>
        <v>2</v>
      </c>
      <c r="J408">
        <f>Dataset_1!J408</f>
        <v>0.22</v>
      </c>
      <c r="K408">
        <f>INDEX(Dataset_2!$B$2:$B$611,MATCH($A408,Dataset_2!$A$2:$A$611,0))</f>
        <v>0.2576</v>
      </c>
      <c r="L408">
        <f>INDEX(Dataset_2!$C$2:$C$611,MATCH($A408,Dataset_2!$A$2:$A$611,0))</f>
        <v>0.93</v>
      </c>
      <c r="M408">
        <f>INDEX(Dataset_2!$D$2:$D$611,MATCH($A408,Dataset_2!$A$2:$A$611,0))</f>
        <v>8.9599999999999999E-2</v>
      </c>
      <c r="N408">
        <f>INDEX(Dataset_2!$E$2:$E$611,MATCH($A408,Dataset_2!$A$2:$A$611,0))</f>
        <v>0</v>
      </c>
      <c r="O408">
        <f>INDEX(Dataset_2!$F$2:$F$611,MATCH($A408,Dataset_2!$A$2:$A$611,0))</f>
        <v>33</v>
      </c>
      <c r="P408">
        <f>INDEX(Dataset_2!$G$2:$G$611,MATCH($A408,Dataset_2!$A$2:$A$611,0))</f>
        <v>33</v>
      </c>
    </row>
    <row r="409" spans="1:16" x14ac:dyDescent="0.2">
      <c r="A409">
        <f>Dataset_1!A409</f>
        <v>408</v>
      </c>
      <c r="B409" s="61">
        <f>Dataset_1!B409</f>
        <v>40561</v>
      </c>
      <c r="C409">
        <f>Dataset_1!C409</f>
        <v>1</v>
      </c>
      <c r="D409">
        <f>Dataset_1!D409</f>
        <v>0</v>
      </c>
      <c r="E409">
        <f>Dataset_1!E409</f>
        <v>1</v>
      </c>
      <c r="F409">
        <f>Dataset_1!F409</f>
        <v>23</v>
      </c>
      <c r="G409" t="b">
        <f>Dataset_1!G409</f>
        <v>0</v>
      </c>
      <c r="H409">
        <f>Dataset_1!H409</f>
        <v>2</v>
      </c>
      <c r="I409">
        <f>Dataset_1!I409</f>
        <v>2</v>
      </c>
      <c r="J409">
        <f>Dataset_1!J409</f>
        <v>0.22</v>
      </c>
      <c r="K409">
        <f>INDEX(Dataset_2!$B$2:$B$611,MATCH($A409,Dataset_2!$A$2:$A$611,0))</f>
        <v>0.2727</v>
      </c>
      <c r="L409">
        <f>INDEX(Dataset_2!$C$2:$C$611,MATCH($A409,Dataset_2!$A$2:$A$611,0))</f>
        <v>0.93</v>
      </c>
      <c r="M409">
        <f>INDEX(Dataset_2!$D$2:$D$611,MATCH($A409,Dataset_2!$A$2:$A$611,0))</f>
        <v>0</v>
      </c>
      <c r="N409">
        <f>INDEX(Dataset_2!$E$2:$E$611,MATCH($A409,Dataset_2!$A$2:$A$611,0))</f>
        <v>1</v>
      </c>
      <c r="O409">
        <f>INDEX(Dataset_2!$F$2:$F$611,MATCH($A409,Dataset_2!$A$2:$A$611,0))</f>
        <v>19</v>
      </c>
      <c r="P409">
        <f>INDEX(Dataset_2!$G$2:$G$611,MATCH($A409,Dataset_2!$A$2:$A$611,0))</f>
        <v>20</v>
      </c>
    </row>
    <row r="410" spans="1:16" x14ac:dyDescent="0.2">
      <c r="A410">
        <f>Dataset_1!A410</f>
        <v>409</v>
      </c>
      <c r="B410" s="61">
        <f>Dataset_1!B410</f>
        <v>40562</v>
      </c>
      <c r="C410">
        <f>Dataset_1!C410</f>
        <v>1</v>
      </c>
      <c r="D410">
        <f>Dataset_1!D410</f>
        <v>0</v>
      </c>
      <c r="E410">
        <f>Dataset_1!E410</f>
        <v>1</v>
      </c>
      <c r="F410">
        <f>Dataset_1!F410</f>
        <v>0</v>
      </c>
      <c r="G410" t="b">
        <f>Dataset_1!G410</f>
        <v>0</v>
      </c>
      <c r="H410">
        <f>Dataset_1!H410</f>
        <v>3</v>
      </c>
      <c r="I410">
        <f>Dataset_1!I410</f>
        <v>2</v>
      </c>
      <c r="J410">
        <f>Dataset_1!J410</f>
        <v>0.22</v>
      </c>
      <c r="K410">
        <f>INDEX(Dataset_2!$B$2:$B$611,MATCH($A410,Dataset_2!$A$2:$A$611,0))</f>
        <v>0.2727</v>
      </c>
      <c r="L410">
        <f>INDEX(Dataset_2!$C$2:$C$611,MATCH($A410,Dataset_2!$A$2:$A$611,0))</f>
        <v>0.93</v>
      </c>
      <c r="M410">
        <f>INDEX(Dataset_2!$D$2:$D$611,MATCH($A410,Dataset_2!$A$2:$A$611,0))</f>
        <v>0</v>
      </c>
      <c r="N410">
        <f>INDEX(Dataset_2!$E$2:$E$611,MATCH($A410,Dataset_2!$A$2:$A$611,0))</f>
        <v>0</v>
      </c>
      <c r="O410">
        <f>INDEX(Dataset_2!$F$2:$F$611,MATCH($A410,Dataset_2!$A$2:$A$611,0))</f>
        <v>3</v>
      </c>
      <c r="P410">
        <f>INDEX(Dataset_2!$G$2:$G$611,MATCH($A410,Dataset_2!$A$2:$A$611,0))</f>
        <v>3</v>
      </c>
    </row>
    <row r="411" spans="1:16" x14ac:dyDescent="0.2">
      <c r="A411">
        <f>Dataset_1!A411</f>
        <v>410</v>
      </c>
      <c r="B411" s="61">
        <f>Dataset_1!B411</f>
        <v>40562</v>
      </c>
      <c r="C411">
        <f>Dataset_1!C411</f>
        <v>1</v>
      </c>
      <c r="D411">
        <f>Dataset_1!D411</f>
        <v>0</v>
      </c>
      <c r="E411">
        <f>Dataset_1!E411</f>
        <v>1</v>
      </c>
      <c r="F411">
        <f>Dataset_1!F411</f>
        <v>1</v>
      </c>
      <c r="G411" t="b">
        <f>Dataset_1!G411</f>
        <v>0</v>
      </c>
      <c r="H411">
        <f>Dataset_1!H411</f>
        <v>3</v>
      </c>
      <c r="I411">
        <f>Dataset_1!I411</f>
        <v>3</v>
      </c>
      <c r="J411">
        <f>Dataset_1!J411</f>
        <v>0.22</v>
      </c>
      <c r="K411">
        <f>INDEX(Dataset_2!$B$2:$B$611,MATCH($A411,Dataset_2!$A$2:$A$611,0))</f>
        <v>0.2273</v>
      </c>
      <c r="L411">
        <f>INDEX(Dataset_2!$C$2:$C$611,MATCH($A411,Dataset_2!$A$2:$A$611,0))</f>
        <v>0.93</v>
      </c>
      <c r="M411">
        <f>INDEX(Dataset_2!$D$2:$D$611,MATCH($A411,Dataset_2!$A$2:$A$611,0))</f>
        <v>0.1343</v>
      </c>
      <c r="N411">
        <f>INDEX(Dataset_2!$E$2:$E$611,MATCH($A411,Dataset_2!$A$2:$A$611,0))</f>
        <v>1</v>
      </c>
      <c r="O411">
        <f>INDEX(Dataset_2!$F$2:$F$611,MATCH($A411,Dataset_2!$A$2:$A$611,0))</f>
        <v>6</v>
      </c>
      <c r="P411">
        <f>INDEX(Dataset_2!$G$2:$G$611,MATCH($A411,Dataset_2!$A$2:$A$611,0))</f>
        <v>7</v>
      </c>
    </row>
    <row r="412" spans="1:16" x14ac:dyDescent="0.2">
      <c r="A412">
        <f>Dataset_1!A412</f>
        <v>411</v>
      </c>
      <c r="B412" s="61">
        <f>Dataset_1!B412</f>
        <v>40562</v>
      </c>
      <c r="C412">
        <f>Dataset_1!C412</f>
        <v>1</v>
      </c>
      <c r="D412">
        <f>Dataset_1!D412</f>
        <v>0</v>
      </c>
      <c r="E412">
        <f>Dataset_1!E412</f>
        <v>1</v>
      </c>
      <c r="F412">
        <f>Dataset_1!F412</f>
        <v>2</v>
      </c>
      <c r="G412" t="b">
        <f>Dataset_1!G412</f>
        <v>0</v>
      </c>
      <c r="H412">
        <f>Dataset_1!H412</f>
        <v>3</v>
      </c>
      <c r="I412">
        <f>Dataset_1!I412</f>
        <v>3</v>
      </c>
      <c r="J412">
        <f>Dataset_1!J412</f>
        <v>0.22</v>
      </c>
      <c r="K412">
        <f>INDEX(Dataset_2!$B$2:$B$611,MATCH($A412,Dataset_2!$A$2:$A$611,0))</f>
        <v>0.2273</v>
      </c>
      <c r="L412">
        <f>INDEX(Dataset_2!$C$2:$C$611,MATCH($A412,Dataset_2!$A$2:$A$611,0))</f>
        <v>0.93</v>
      </c>
      <c r="M412">
        <f>INDEX(Dataset_2!$D$2:$D$611,MATCH($A412,Dataset_2!$A$2:$A$611,0))</f>
        <v>0.1343</v>
      </c>
      <c r="N412">
        <f>INDEX(Dataset_2!$E$2:$E$611,MATCH($A412,Dataset_2!$A$2:$A$611,0))</f>
        <v>0</v>
      </c>
      <c r="O412">
        <f>INDEX(Dataset_2!$F$2:$F$611,MATCH($A412,Dataset_2!$A$2:$A$611,0))</f>
        <v>3</v>
      </c>
      <c r="P412">
        <f>INDEX(Dataset_2!$G$2:$G$611,MATCH($A412,Dataset_2!$A$2:$A$611,0))</f>
        <v>3</v>
      </c>
    </row>
    <row r="413" spans="1:16" x14ac:dyDescent="0.2">
      <c r="A413">
        <f>Dataset_1!A413</f>
        <v>412</v>
      </c>
      <c r="B413" s="61">
        <f>Dataset_1!B413</f>
        <v>40562</v>
      </c>
      <c r="C413">
        <f>Dataset_1!C413</f>
        <v>1</v>
      </c>
      <c r="D413">
        <f>Dataset_1!D413</f>
        <v>0</v>
      </c>
      <c r="E413">
        <f>Dataset_1!E413</f>
        <v>1</v>
      </c>
      <c r="F413">
        <f>Dataset_1!F413</f>
        <v>4</v>
      </c>
      <c r="G413" t="b">
        <f>Dataset_1!G413</f>
        <v>0</v>
      </c>
      <c r="H413">
        <f>Dataset_1!H413</f>
        <v>3</v>
      </c>
      <c r="I413">
        <f>Dataset_1!I413</f>
        <v>3</v>
      </c>
      <c r="J413">
        <f>Dataset_1!J413</f>
        <v>0.22</v>
      </c>
      <c r="K413">
        <f>INDEX(Dataset_2!$B$2:$B$611,MATCH($A413,Dataset_2!$A$2:$A$611,0))</f>
        <v>0.2273</v>
      </c>
      <c r="L413">
        <f>INDEX(Dataset_2!$C$2:$C$611,MATCH($A413,Dataset_2!$A$2:$A$611,0))</f>
        <v>0.93</v>
      </c>
      <c r="M413">
        <f>INDEX(Dataset_2!$D$2:$D$611,MATCH($A413,Dataset_2!$A$2:$A$611,0))</f>
        <v>0.1343</v>
      </c>
      <c r="N413">
        <f>INDEX(Dataset_2!$E$2:$E$611,MATCH($A413,Dataset_2!$A$2:$A$611,0))</f>
        <v>1</v>
      </c>
      <c r="O413">
        <f>INDEX(Dataset_2!$F$2:$F$611,MATCH($A413,Dataset_2!$A$2:$A$611,0))</f>
        <v>1</v>
      </c>
      <c r="P413">
        <f>INDEX(Dataset_2!$G$2:$G$611,MATCH($A413,Dataset_2!$A$2:$A$611,0))</f>
        <v>2</v>
      </c>
    </row>
    <row r="414" spans="1:16" x14ac:dyDescent="0.2">
      <c r="A414">
        <f>Dataset_1!A414</f>
        <v>413</v>
      </c>
      <c r="B414" s="61">
        <f>Dataset_1!B414</f>
        <v>40562</v>
      </c>
      <c r="C414">
        <f>Dataset_1!C414</f>
        <v>1</v>
      </c>
      <c r="D414">
        <f>Dataset_1!D414</f>
        <v>0</v>
      </c>
      <c r="E414">
        <f>Dataset_1!E414</f>
        <v>1</v>
      </c>
      <c r="F414">
        <f>Dataset_1!F414</f>
        <v>5</v>
      </c>
      <c r="G414" t="b">
        <f>Dataset_1!G414</f>
        <v>0</v>
      </c>
      <c r="H414">
        <f>Dataset_1!H414</f>
        <v>3</v>
      </c>
      <c r="I414">
        <f>Dataset_1!I414</f>
        <v>2</v>
      </c>
      <c r="J414">
        <f>Dataset_1!J414</f>
        <v>0.22</v>
      </c>
      <c r="K414">
        <f>INDEX(Dataset_2!$B$2:$B$611,MATCH($A414,Dataset_2!$A$2:$A$611,0))</f>
        <v>0.2576</v>
      </c>
      <c r="L414">
        <f>INDEX(Dataset_2!$C$2:$C$611,MATCH($A414,Dataset_2!$A$2:$A$611,0))</f>
        <v>0.93</v>
      </c>
      <c r="M414">
        <f>INDEX(Dataset_2!$D$2:$D$611,MATCH($A414,Dataset_2!$A$2:$A$611,0))</f>
        <v>8.9599999999999999E-2</v>
      </c>
      <c r="N414">
        <f>INDEX(Dataset_2!$E$2:$E$611,MATCH($A414,Dataset_2!$A$2:$A$611,0))</f>
        <v>0</v>
      </c>
      <c r="O414">
        <f>INDEX(Dataset_2!$F$2:$F$611,MATCH($A414,Dataset_2!$A$2:$A$611,0))</f>
        <v>7</v>
      </c>
      <c r="P414">
        <f>INDEX(Dataset_2!$G$2:$G$611,MATCH($A414,Dataset_2!$A$2:$A$611,0))</f>
        <v>7</v>
      </c>
    </row>
    <row r="415" spans="1:16" x14ac:dyDescent="0.2">
      <c r="A415">
        <f>Dataset_1!A415</f>
        <v>414</v>
      </c>
      <c r="B415" s="61">
        <f>Dataset_1!B415</f>
        <v>40562</v>
      </c>
      <c r="C415">
        <f>Dataset_1!C415</f>
        <v>1</v>
      </c>
      <c r="D415">
        <f>Dataset_1!D415</f>
        <v>0</v>
      </c>
      <c r="E415">
        <f>Dataset_1!E415</f>
        <v>1</v>
      </c>
      <c r="F415">
        <f>Dataset_1!F415</f>
        <v>6</v>
      </c>
      <c r="G415" t="b">
        <f>Dataset_1!G415</f>
        <v>0</v>
      </c>
      <c r="H415">
        <f>Dataset_1!H415</f>
        <v>3</v>
      </c>
      <c r="I415">
        <f>Dataset_1!I415</f>
        <v>2</v>
      </c>
      <c r="J415">
        <f>Dataset_1!J415</f>
        <v>0.22</v>
      </c>
      <c r="K415">
        <f>INDEX(Dataset_2!$B$2:$B$611,MATCH($A415,Dataset_2!$A$2:$A$611,0))</f>
        <v>0.2576</v>
      </c>
      <c r="L415">
        <f>INDEX(Dataset_2!$C$2:$C$611,MATCH($A415,Dataset_2!$A$2:$A$611,0))</f>
        <v>0.93</v>
      </c>
      <c r="M415">
        <f>INDEX(Dataset_2!$D$2:$D$611,MATCH($A415,Dataset_2!$A$2:$A$611,0))</f>
        <v>8.9599999999999999E-2</v>
      </c>
      <c r="N415">
        <f>INDEX(Dataset_2!$E$2:$E$611,MATCH($A415,Dataset_2!$A$2:$A$611,0))</f>
        <v>0</v>
      </c>
      <c r="O415">
        <f>INDEX(Dataset_2!$F$2:$F$611,MATCH($A415,Dataset_2!$A$2:$A$611,0))</f>
        <v>32</v>
      </c>
      <c r="P415">
        <f>INDEX(Dataset_2!$G$2:$G$611,MATCH($A415,Dataset_2!$A$2:$A$611,0))</f>
        <v>32</v>
      </c>
    </row>
    <row r="416" spans="1:16" x14ac:dyDescent="0.2">
      <c r="A416">
        <f>Dataset_1!A416</f>
        <v>415</v>
      </c>
      <c r="B416" s="61">
        <f>Dataset_1!B416</f>
        <v>40562</v>
      </c>
      <c r="C416">
        <f>Dataset_1!C416</f>
        <v>1</v>
      </c>
      <c r="D416">
        <f>Dataset_1!D416</f>
        <v>0</v>
      </c>
      <c r="E416">
        <f>Dataset_1!E416</f>
        <v>1</v>
      </c>
      <c r="F416">
        <f>Dataset_1!F416</f>
        <v>7</v>
      </c>
      <c r="G416" t="b">
        <f>Dataset_1!G416</f>
        <v>0</v>
      </c>
      <c r="H416">
        <f>Dataset_1!H416</f>
        <v>3</v>
      </c>
      <c r="I416">
        <f>Dataset_1!I416</f>
        <v>2</v>
      </c>
      <c r="J416">
        <f>Dataset_1!J416</f>
        <v>0.24</v>
      </c>
      <c r="K416">
        <f>INDEX(Dataset_2!$B$2:$B$611,MATCH($A416,Dataset_2!$A$2:$A$611,0))</f>
        <v>0.2576</v>
      </c>
      <c r="L416">
        <f>INDEX(Dataset_2!$C$2:$C$611,MATCH($A416,Dataset_2!$A$2:$A$611,0))</f>
        <v>0.92</v>
      </c>
      <c r="M416">
        <f>INDEX(Dataset_2!$D$2:$D$611,MATCH($A416,Dataset_2!$A$2:$A$611,0))</f>
        <v>0.1045</v>
      </c>
      <c r="N416">
        <f>INDEX(Dataset_2!$E$2:$E$611,MATCH($A416,Dataset_2!$A$2:$A$611,0))</f>
        <v>1</v>
      </c>
      <c r="O416">
        <f>INDEX(Dataset_2!$F$2:$F$611,MATCH($A416,Dataset_2!$A$2:$A$611,0))</f>
        <v>89</v>
      </c>
      <c r="P416">
        <f>INDEX(Dataset_2!$G$2:$G$611,MATCH($A416,Dataset_2!$A$2:$A$611,0))</f>
        <v>90</v>
      </c>
    </row>
    <row r="417" spans="1:16" x14ac:dyDescent="0.2">
      <c r="A417">
        <f>Dataset_1!A417</f>
        <v>416</v>
      </c>
      <c r="B417" s="61">
        <f>Dataset_1!B417</f>
        <v>40562</v>
      </c>
      <c r="C417">
        <f>Dataset_1!C417</f>
        <v>1</v>
      </c>
      <c r="D417">
        <f>Dataset_1!D417</f>
        <v>0</v>
      </c>
      <c r="E417">
        <f>Dataset_1!E417</f>
        <v>1</v>
      </c>
      <c r="F417">
        <f>Dataset_1!F417</f>
        <v>8</v>
      </c>
      <c r="G417" t="b">
        <f>Dataset_1!G417</f>
        <v>0</v>
      </c>
      <c r="H417">
        <f>Dataset_1!H417</f>
        <v>3</v>
      </c>
      <c r="I417">
        <f>Dataset_1!I417</f>
        <v>2</v>
      </c>
      <c r="J417">
        <f>Dataset_1!J417</f>
        <v>0.24</v>
      </c>
      <c r="K417">
        <f>INDEX(Dataset_2!$B$2:$B$611,MATCH($A417,Dataset_2!$A$2:$A$611,0))</f>
        <v>0.2576</v>
      </c>
      <c r="L417">
        <f>INDEX(Dataset_2!$C$2:$C$611,MATCH($A417,Dataset_2!$A$2:$A$611,0))</f>
        <v>0.93</v>
      </c>
      <c r="M417">
        <f>INDEX(Dataset_2!$D$2:$D$611,MATCH($A417,Dataset_2!$A$2:$A$611,0))</f>
        <v>0.1045</v>
      </c>
      <c r="N417">
        <f>INDEX(Dataset_2!$E$2:$E$611,MATCH($A417,Dataset_2!$A$2:$A$611,0))</f>
        <v>1</v>
      </c>
      <c r="O417">
        <f>INDEX(Dataset_2!$F$2:$F$611,MATCH($A417,Dataset_2!$A$2:$A$611,0))</f>
        <v>196</v>
      </c>
      <c r="P417">
        <f>INDEX(Dataset_2!$G$2:$G$611,MATCH($A417,Dataset_2!$A$2:$A$611,0))</f>
        <v>197</v>
      </c>
    </row>
    <row r="418" spans="1:16" x14ac:dyDescent="0.2">
      <c r="A418">
        <f>Dataset_1!A418</f>
        <v>417</v>
      </c>
      <c r="B418" s="61">
        <f>Dataset_1!B418</f>
        <v>40562</v>
      </c>
      <c r="C418">
        <f>Dataset_1!C418</f>
        <v>1</v>
      </c>
      <c r="D418">
        <f>Dataset_1!D418</f>
        <v>0</v>
      </c>
      <c r="E418">
        <f>Dataset_1!E418</f>
        <v>1</v>
      </c>
      <c r="F418">
        <f>Dataset_1!F418</f>
        <v>9</v>
      </c>
      <c r="G418" t="b">
        <f>Dataset_1!G418</f>
        <v>0</v>
      </c>
      <c r="H418">
        <f>Dataset_1!H418</f>
        <v>3</v>
      </c>
      <c r="I418">
        <f>Dataset_1!I418</f>
        <v>2</v>
      </c>
      <c r="J418">
        <f>Dataset_1!J418</f>
        <v>0.24</v>
      </c>
      <c r="K418">
        <f>INDEX(Dataset_2!$B$2:$B$611,MATCH($A418,Dataset_2!$A$2:$A$611,0))</f>
        <v>0.2576</v>
      </c>
      <c r="L418">
        <f>INDEX(Dataset_2!$C$2:$C$611,MATCH($A418,Dataset_2!$A$2:$A$611,0))</f>
        <v>0.93</v>
      </c>
      <c r="M418">
        <f>INDEX(Dataset_2!$D$2:$D$611,MATCH($A418,Dataset_2!$A$2:$A$611,0))</f>
        <v>0.1045</v>
      </c>
      <c r="N418">
        <f>INDEX(Dataset_2!$E$2:$E$611,MATCH($A418,Dataset_2!$A$2:$A$611,0))</f>
        <v>2</v>
      </c>
      <c r="O418">
        <f>INDEX(Dataset_2!$F$2:$F$611,MATCH($A418,Dataset_2!$A$2:$A$611,0))</f>
        <v>107</v>
      </c>
      <c r="P418">
        <f>INDEX(Dataset_2!$G$2:$G$611,MATCH($A418,Dataset_2!$A$2:$A$611,0))</f>
        <v>109</v>
      </c>
    </row>
    <row r="419" spans="1:16" x14ac:dyDescent="0.2">
      <c r="A419">
        <f>Dataset_1!A419</f>
        <v>418</v>
      </c>
      <c r="B419" s="61">
        <f>Dataset_1!B419</f>
        <v>40562</v>
      </c>
      <c r="C419">
        <f>Dataset_1!C419</f>
        <v>1</v>
      </c>
      <c r="D419">
        <f>Dataset_1!D419</f>
        <v>0</v>
      </c>
      <c r="E419">
        <f>Dataset_1!E419</f>
        <v>1</v>
      </c>
      <c r="F419">
        <f>Dataset_1!F419</f>
        <v>10</v>
      </c>
      <c r="G419" t="b">
        <f>Dataset_1!G419</f>
        <v>0</v>
      </c>
      <c r="H419">
        <f>Dataset_1!H419</f>
        <v>3</v>
      </c>
      <c r="I419">
        <f>Dataset_1!I419</f>
        <v>2</v>
      </c>
      <c r="J419">
        <f>Dataset_1!J419</f>
        <v>0.26</v>
      </c>
      <c r="K419">
        <f>INDEX(Dataset_2!$B$2:$B$611,MATCH($A419,Dataset_2!$A$2:$A$611,0))</f>
        <v>0.2727</v>
      </c>
      <c r="L419">
        <f>INDEX(Dataset_2!$C$2:$C$611,MATCH($A419,Dataset_2!$A$2:$A$611,0))</f>
        <v>0.93</v>
      </c>
      <c r="M419">
        <f>INDEX(Dataset_2!$D$2:$D$611,MATCH($A419,Dataset_2!$A$2:$A$611,0))</f>
        <v>0.1343</v>
      </c>
      <c r="N419">
        <f>INDEX(Dataset_2!$E$2:$E$611,MATCH($A419,Dataset_2!$A$2:$A$611,0))</f>
        <v>1</v>
      </c>
      <c r="O419">
        <f>INDEX(Dataset_2!$F$2:$F$611,MATCH($A419,Dataset_2!$A$2:$A$611,0))</f>
        <v>46</v>
      </c>
      <c r="P419">
        <f>INDEX(Dataset_2!$G$2:$G$611,MATCH($A419,Dataset_2!$A$2:$A$611,0))</f>
        <v>47</v>
      </c>
    </row>
    <row r="420" spans="1:16" x14ac:dyDescent="0.2">
      <c r="A420">
        <f>Dataset_1!A420</f>
        <v>419</v>
      </c>
      <c r="B420" s="61">
        <f>Dataset_1!B420</f>
        <v>40562</v>
      </c>
      <c r="C420">
        <f>Dataset_1!C420</f>
        <v>1</v>
      </c>
      <c r="D420">
        <f>Dataset_1!D420</f>
        <v>0</v>
      </c>
      <c r="E420">
        <f>Dataset_1!E420</f>
        <v>1</v>
      </c>
      <c r="F420">
        <f>Dataset_1!F420</f>
        <v>11</v>
      </c>
      <c r="G420" t="b">
        <f>Dataset_1!G420</f>
        <v>0</v>
      </c>
      <c r="H420">
        <f>Dataset_1!H420</f>
        <v>3</v>
      </c>
      <c r="I420">
        <f>Dataset_1!I420</f>
        <v>2</v>
      </c>
      <c r="J420">
        <f>Dataset_1!J420</f>
        <v>0.28000000000000003</v>
      </c>
      <c r="K420">
        <f>INDEX(Dataset_2!$B$2:$B$611,MATCH($A420,Dataset_2!$A$2:$A$611,0))</f>
        <v>0.30299999999999999</v>
      </c>
      <c r="L420">
        <f>INDEX(Dataset_2!$C$2:$C$611,MATCH($A420,Dataset_2!$A$2:$A$611,0))</f>
        <v>0.87</v>
      </c>
      <c r="M420">
        <f>INDEX(Dataset_2!$D$2:$D$611,MATCH($A420,Dataset_2!$A$2:$A$611,0))</f>
        <v>8.9599999999999999E-2</v>
      </c>
      <c r="N420">
        <f>INDEX(Dataset_2!$E$2:$E$611,MATCH($A420,Dataset_2!$A$2:$A$611,0))</f>
        <v>5</v>
      </c>
      <c r="O420">
        <f>INDEX(Dataset_2!$F$2:$F$611,MATCH($A420,Dataset_2!$A$2:$A$611,0))</f>
        <v>47</v>
      </c>
      <c r="P420">
        <f>INDEX(Dataset_2!$G$2:$G$611,MATCH($A420,Dataset_2!$A$2:$A$611,0))</f>
        <v>52</v>
      </c>
    </row>
    <row r="421" spans="1:16" x14ac:dyDescent="0.2">
      <c r="A421">
        <f>Dataset_1!A421</f>
        <v>420</v>
      </c>
      <c r="B421" s="61">
        <f>Dataset_1!B421</f>
        <v>40562</v>
      </c>
      <c r="C421">
        <f>Dataset_1!C421</f>
        <v>1</v>
      </c>
      <c r="D421">
        <f>Dataset_1!D421</f>
        <v>0</v>
      </c>
      <c r="E421">
        <f>Dataset_1!E421</f>
        <v>1</v>
      </c>
      <c r="F421">
        <f>Dataset_1!F421</f>
        <v>12</v>
      </c>
      <c r="G421" t="b">
        <f>Dataset_1!G421</f>
        <v>0</v>
      </c>
      <c r="H421">
        <f>Dataset_1!H421</f>
        <v>3</v>
      </c>
      <c r="I421">
        <f>Dataset_1!I421</f>
        <v>2</v>
      </c>
      <c r="J421">
        <f>Dataset_1!J421</f>
        <v>0.3</v>
      </c>
      <c r="K421">
        <f>INDEX(Dataset_2!$B$2:$B$611,MATCH($A421,Dataset_2!$A$2:$A$611,0))</f>
        <v>0.31819999999999998</v>
      </c>
      <c r="L421">
        <f>INDEX(Dataset_2!$C$2:$C$611,MATCH($A421,Dataset_2!$A$2:$A$611,0))</f>
        <v>0.81</v>
      </c>
      <c r="M421">
        <f>INDEX(Dataset_2!$D$2:$D$611,MATCH($A421,Dataset_2!$A$2:$A$611,0))</f>
        <v>8.9599999999999999E-2</v>
      </c>
      <c r="N421">
        <f>INDEX(Dataset_2!$E$2:$E$611,MATCH($A421,Dataset_2!$A$2:$A$611,0))</f>
        <v>5</v>
      </c>
      <c r="O421">
        <f>INDEX(Dataset_2!$F$2:$F$611,MATCH($A421,Dataset_2!$A$2:$A$611,0))</f>
        <v>65</v>
      </c>
      <c r="P421">
        <f>INDEX(Dataset_2!$G$2:$G$611,MATCH($A421,Dataset_2!$A$2:$A$611,0))</f>
        <v>70</v>
      </c>
    </row>
    <row r="422" spans="1:16" x14ac:dyDescent="0.2">
      <c r="A422">
        <f>Dataset_1!A422</f>
        <v>421</v>
      </c>
      <c r="B422" s="61">
        <f>Dataset_1!B422</f>
        <v>40562</v>
      </c>
      <c r="C422">
        <f>Dataset_1!C422</f>
        <v>1</v>
      </c>
      <c r="D422">
        <f>Dataset_1!D422</f>
        <v>0</v>
      </c>
      <c r="E422">
        <f>Dataset_1!E422</f>
        <v>1</v>
      </c>
      <c r="F422">
        <f>Dataset_1!F422</f>
        <v>13</v>
      </c>
      <c r="G422" t="b">
        <f>Dataset_1!G422</f>
        <v>0</v>
      </c>
      <c r="H422">
        <f>Dataset_1!H422</f>
        <v>3</v>
      </c>
      <c r="I422">
        <f>Dataset_1!I422</f>
        <v>1</v>
      </c>
      <c r="J422">
        <f>Dataset_1!J422</f>
        <v>0.4</v>
      </c>
      <c r="K422">
        <f>INDEX(Dataset_2!$B$2:$B$611,MATCH($A422,Dataset_2!$A$2:$A$611,0))</f>
        <v>0.40910000000000002</v>
      </c>
      <c r="L422">
        <f>INDEX(Dataset_2!$C$2:$C$611,MATCH($A422,Dataset_2!$A$2:$A$611,0))</f>
        <v>0.62</v>
      </c>
      <c r="M422">
        <f>INDEX(Dataset_2!$D$2:$D$611,MATCH($A422,Dataset_2!$A$2:$A$611,0))</f>
        <v>0.28360000000000002</v>
      </c>
      <c r="N422">
        <f>INDEX(Dataset_2!$E$2:$E$611,MATCH($A422,Dataset_2!$A$2:$A$611,0))</f>
        <v>11</v>
      </c>
      <c r="O422">
        <f>INDEX(Dataset_2!$F$2:$F$611,MATCH($A422,Dataset_2!$A$2:$A$611,0))</f>
        <v>67</v>
      </c>
      <c r="P422">
        <f>INDEX(Dataset_2!$G$2:$G$611,MATCH($A422,Dataset_2!$A$2:$A$611,0))</f>
        <v>78</v>
      </c>
    </row>
    <row r="423" spans="1:16" x14ac:dyDescent="0.2">
      <c r="A423">
        <f>Dataset_1!A423</f>
        <v>422</v>
      </c>
      <c r="B423" s="61">
        <f>Dataset_1!B423</f>
        <v>40562</v>
      </c>
      <c r="C423">
        <f>Dataset_1!C423</f>
        <v>1</v>
      </c>
      <c r="D423">
        <f>Dataset_1!D423</f>
        <v>0</v>
      </c>
      <c r="E423">
        <f>Dataset_1!E423</f>
        <v>1</v>
      </c>
      <c r="F423">
        <f>Dataset_1!F423</f>
        <v>14</v>
      </c>
      <c r="G423" t="b">
        <f>Dataset_1!G423</f>
        <v>0</v>
      </c>
      <c r="H423">
        <f>Dataset_1!H423</f>
        <v>3</v>
      </c>
      <c r="I423">
        <f>Dataset_1!I423</f>
        <v>1</v>
      </c>
      <c r="J423">
        <f>Dataset_1!J423</f>
        <v>0.4</v>
      </c>
      <c r="K423">
        <f>INDEX(Dataset_2!$B$2:$B$611,MATCH($A423,Dataset_2!$A$2:$A$611,0))</f>
        <v>0.40910000000000002</v>
      </c>
      <c r="L423">
        <f>INDEX(Dataset_2!$C$2:$C$611,MATCH($A423,Dataset_2!$A$2:$A$611,0))</f>
        <v>0.57999999999999996</v>
      </c>
      <c r="M423">
        <f>INDEX(Dataset_2!$D$2:$D$611,MATCH($A423,Dataset_2!$A$2:$A$611,0))</f>
        <v>0.25369999999999998</v>
      </c>
      <c r="N423">
        <f>INDEX(Dataset_2!$E$2:$E$611,MATCH($A423,Dataset_2!$A$2:$A$611,0))</f>
        <v>7</v>
      </c>
      <c r="O423">
        <f>INDEX(Dataset_2!$F$2:$F$611,MATCH($A423,Dataset_2!$A$2:$A$611,0))</f>
        <v>68</v>
      </c>
      <c r="P423">
        <f>INDEX(Dataset_2!$G$2:$G$611,MATCH($A423,Dataset_2!$A$2:$A$611,0))</f>
        <v>75</v>
      </c>
    </row>
    <row r="424" spans="1:16" x14ac:dyDescent="0.2">
      <c r="A424">
        <f>Dataset_1!A424</f>
        <v>423</v>
      </c>
      <c r="B424" s="61">
        <f>Dataset_1!B424</f>
        <v>40562</v>
      </c>
      <c r="C424">
        <f>Dataset_1!C424</f>
        <v>1</v>
      </c>
      <c r="D424">
        <f>Dataset_1!D424</f>
        <v>0</v>
      </c>
      <c r="E424">
        <f>Dataset_1!E424</f>
        <v>1</v>
      </c>
      <c r="F424">
        <f>Dataset_1!F424</f>
        <v>15</v>
      </c>
      <c r="G424" t="b">
        <f>Dataset_1!G424</f>
        <v>0</v>
      </c>
      <c r="H424">
        <f>Dataset_1!H424</f>
        <v>3</v>
      </c>
      <c r="I424">
        <f>Dataset_1!I424</f>
        <v>1</v>
      </c>
      <c r="J424">
        <f>Dataset_1!J424</f>
        <v>0.4</v>
      </c>
      <c r="K424">
        <f>INDEX(Dataset_2!$B$2:$B$611,MATCH($A424,Dataset_2!$A$2:$A$611,0))</f>
        <v>0.40910000000000002</v>
      </c>
      <c r="L424">
        <f>INDEX(Dataset_2!$C$2:$C$611,MATCH($A424,Dataset_2!$A$2:$A$611,0))</f>
        <v>0.54</v>
      </c>
      <c r="M424">
        <f>INDEX(Dataset_2!$D$2:$D$611,MATCH($A424,Dataset_2!$A$2:$A$611,0))</f>
        <v>0.28360000000000002</v>
      </c>
      <c r="N424">
        <f>INDEX(Dataset_2!$E$2:$E$611,MATCH($A424,Dataset_2!$A$2:$A$611,0))</f>
        <v>4</v>
      </c>
      <c r="O424">
        <f>INDEX(Dataset_2!$F$2:$F$611,MATCH($A424,Dataset_2!$A$2:$A$611,0))</f>
        <v>78</v>
      </c>
      <c r="P424">
        <f>INDEX(Dataset_2!$G$2:$G$611,MATCH($A424,Dataset_2!$A$2:$A$611,0))</f>
        <v>82</v>
      </c>
    </row>
    <row r="425" spans="1:16" x14ac:dyDescent="0.2">
      <c r="A425">
        <f>Dataset_1!A425</f>
        <v>424</v>
      </c>
      <c r="B425" s="61">
        <f>Dataset_1!B425</f>
        <v>40562</v>
      </c>
      <c r="C425">
        <f>Dataset_1!C425</f>
        <v>1</v>
      </c>
      <c r="D425">
        <f>Dataset_1!D425</f>
        <v>0</v>
      </c>
      <c r="E425">
        <f>Dataset_1!E425</f>
        <v>1</v>
      </c>
      <c r="F425">
        <f>Dataset_1!F425</f>
        <v>16</v>
      </c>
      <c r="G425" t="b">
        <f>Dataset_1!G425</f>
        <v>0</v>
      </c>
      <c r="H425">
        <f>Dataset_1!H425</f>
        <v>3</v>
      </c>
      <c r="I425">
        <f>Dataset_1!I425</f>
        <v>1</v>
      </c>
      <c r="J425">
        <f>Dataset_1!J425</f>
        <v>0.38</v>
      </c>
      <c r="K425">
        <f>INDEX(Dataset_2!$B$2:$B$611,MATCH($A425,Dataset_2!$A$2:$A$611,0))</f>
        <v>0.39389999999999997</v>
      </c>
      <c r="L425">
        <f>INDEX(Dataset_2!$C$2:$C$611,MATCH($A425,Dataset_2!$A$2:$A$611,0))</f>
        <v>0.57999999999999996</v>
      </c>
      <c r="M425">
        <f>INDEX(Dataset_2!$D$2:$D$611,MATCH($A425,Dataset_2!$A$2:$A$611,0))</f>
        <v>0.3881</v>
      </c>
      <c r="N425">
        <f>INDEX(Dataset_2!$E$2:$E$611,MATCH($A425,Dataset_2!$A$2:$A$611,0))</f>
        <v>10</v>
      </c>
      <c r="O425">
        <f>INDEX(Dataset_2!$F$2:$F$611,MATCH($A425,Dataset_2!$A$2:$A$611,0))</f>
        <v>94</v>
      </c>
      <c r="P425">
        <f>INDEX(Dataset_2!$G$2:$G$611,MATCH($A425,Dataset_2!$A$2:$A$611,0))</f>
        <v>104</v>
      </c>
    </row>
    <row r="426" spans="1:16" x14ac:dyDescent="0.2">
      <c r="A426">
        <f>Dataset_1!A426</f>
        <v>425</v>
      </c>
      <c r="B426" s="61">
        <f>Dataset_1!B426</f>
        <v>40562</v>
      </c>
      <c r="C426">
        <f>Dataset_1!C426</f>
        <v>1</v>
      </c>
      <c r="D426">
        <f>Dataset_1!D426</f>
        <v>0</v>
      </c>
      <c r="E426">
        <f>Dataset_1!E426</f>
        <v>1</v>
      </c>
      <c r="F426">
        <f>Dataset_1!F426</f>
        <v>17</v>
      </c>
      <c r="G426" t="b">
        <f>Dataset_1!G426</f>
        <v>0</v>
      </c>
      <c r="H426">
        <f>Dataset_1!H426</f>
        <v>3</v>
      </c>
      <c r="I426">
        <f>Dataset_1!I426</f>
        <v>1</v>
      </c>
      <c r="J426">
        <f>Dataset_1!J426</f>
        <v>0.36</v>
      </c>
      <c r="K426">
        <f>INDEX(Dataset_2!$B$2:$B$611,MATCH($A426,Dataset_2!$A$2:$A$611,0))</f>
        <v>0.33329999999999999</v>
      </c>
      <c r="L426">
        <f>INDEX(Dataset_2!$C$2:$C$611,MATCH($A426,Dataset_2!$A$2:$A$611,0))</f>
        <v>0.56999999999999995</v>
      </c>
      <c r="M426">
        <f>INDEX(Dataset_2!$D$2:$D$611,MATCH($A426,Dataset_2!$A$2:$A$611,0))</f>
        <v>0.32840000000000003</v>
      </c>
      <c r="N426">
        <f>INDEX(Dataset_2!$E$2:$E$611,MATCH($A426,Dataset_2!$A$2:$A$611,0))</f>
        <v>7</v>
      </c>
      <c r="O426">
        <f>INDEX(Dataset_2!$F$2:$F$611,MATCH($A426,Dataset_2!$A$2:$A$611,0))</f>
        <v>190</v>
      </c>
      <c r="P426">
        <f>INDEX(Dataset_2!$G$2:$G$611,MATCH($A426,Dataset_2!$A$2:$A$611,0))</f>
        <v>197</v>
      </c>
    </row>
    <row r="427" spans="1:16" x14ac:dyDescent="0.2">
      <c r="A427">
        <f>Dataset_1!A427</f>
        <v>426</v>
      </c>
      <c r="B427" s="61">
        <f>Dataset_1!B427</f>
        <v>40562</v>
      </c>
      <c r="C427">
        <f>Dataset_1!C427</f>
        <v>1</v>
      </c>
      <c r="D427">
        <f>Dataset_1!D427</f>
        <v>0</v>
      </c>
      <c r="E427">
        <f>Dataset_1!E427</f>
        <v>1</v>
      </c>
      <c r="F427">
        <f>Dataset_1!F427</f>
        <v>18</v>
      </c>
      <c r="G427" t="b">
        <f>Dataset_1!G427</f>
        <v>0</v>
      </c>
      <c r="H427">
        <f>Dataset_1!H427</f>
        <v>3</v>
      </c>
      <c r="I427">
        <f>Dataset_1!I427</f>
        <v>1</v>
      </c>
      <c r="J427">
        <f>Dataset_1!J427</f>
        <v>0.34</v>
      </c>
      <c r="K427">
        <f>INDEX(Dataset_2!$B$2:$B$611,MATCH($A427,Dataset_2!$A$2:$A$611,0))</f>
        <v>0.31819999999999998</v>
      </c>
      <c r="L427">
        <f>INDEX(Dataset_2!$C$2:$C$611,MATCH($A427,Dataset_2!$A$2:$A$611,0))</f>
        <v>0.61</v>
      </c>
      <c r="M427">
        <f>INDEX(Dataset_2!$D$2:$D$611,MATCH($A427,Dataset_2!$A$2:$A$611,0))</f>
        <v>0.28360000000000002</v>
      </c>
      <c r="N427">
        <f>INDEX(Dataset_2!$E$2:$E$611,MATCH($A427,Dataset_2!$A$2:$A$611,0))</f>
        <v>5</v>
      </c>
      <c r="O427">
        <f>INDEX(Dataset_2!$F$2:$F$611,MATCH($A427,Dataset_2!$A$2:$A$611,0))</f>
        <v>156</v>
      </c>
      <c r="P427">
        <f>INDEX(Dataset_2!$G$2:$G$611,MATCH($A427,Dataset_2!$A$2:$A$611,0))</f>
        <v>161</v>
      </c>
    </row>
    <row r="428" spans="1:16" x14ac:dyDescent="0.2">
      <c r="A428">
        <f>Dataset_1!A428</f>
        <v>427</v>
      </c>
      <c r="B428" s="61">
        <f>Dataset_1!B428</f>
        <v>40562</v>
      </c>
      <c r="C428">
        <f>Dataset_1!C428</f>
        <v>1</v>
      </c>
      <c r="D428">
        <f>Dataset_1!D428</f>
        <v>0</v>
      </c>
      <c r="E428">
        <f>Dataset_1!E428</f>
        <v>1</v>
      </c>
      <c r="F428">
        <f>Dataset_1!F428</f>
        <v>19</v>
      </c>
      <c r="G428" t="b">
        <f>Dataset_1!G428</f>
        <v>0</v>
      </c>
      <c r="H428">
        <f>Dataset_1!H428</f>
        <v>3</v>
      </c>
      <c r="I428">
        <f>Dataset_1!I428</f>
        <v>1</v>
      </c>
      <c r="J428">
        <f>Dataset_1!J428</f>
        <v>0.32</v>
      </c>
      <c r="K428">
        <f>INDEX(Dataset_2!$B$2:$B$611,MATCH($A428,Dataset_2!$A$2:$A$611,0))</f>
        <v>0.28789999999999999</v>
      </c>
      <c r="L428">
        <f>INDEX(Dataset_2!$C$2:$C$611,MATCH($A428,Dataset_2!$A$2:$A$611,0))</f>
        <v>0.56999999999999995</v>
      </c>
      <c r="M428">
        <f>INDEX(Dataset_2!$D$2:$D$611,MATCH($A428,Dataset_2!$A$2:$A$611,0))</f>
        <v>0.41789999999999999</v>
      </c>
      <c r="N428">
        <f>INDEX(Dataset_2!$E$2:$E$611,MATCH($A428,Dataset_2!$A$2:$A$611,0))</f>
        <v>4</v>
      </c>
      <c r="O428">
        <f>INDEX(Dataset_2!$F$2:$F$611,MATCH($A428,Dataset_2!$A$2:$A$611,0))</f>
        <v>108</v>
      </c>
      <c r="P428">
        <f>INDEX(Dataset_2!$G$2:$G$611,MATCH($A428,Dataset_2!$A$2:$A$611,0))</f>
        <v>112</v>
      </c>
    </row>
    <row r="429" spans="1:16" x14ac:dyDescent="0.2">
      <c r="A429">
        <f>Dataset_1!A429</f>
        <v>428</v>
      </c>
      <c r="B429" s="61">
        <f>Dataset_1!B429</f>
        <v>40562</v>
      </c>
      <c r="C429">
        <f>Dataset_1!C429</f>
        <v>1</v>
      </c>
      <c r="D429">
        <f>Dataset_1!D429</f>
        <v>0</v>
      </c>
      <c r="E429">
        <f>Dataset_1!E429</f>
        <v>1</v>
      </c>
      <c r="F429">
        <f>Dataset_1!F429</f>
        <v>20</v>
      </c>
      <c r="G429" t="b">
        <f>Dataset_1!G429</f>
        <v>0</v>
      </c>
      <c r="H429">
        <f>Dataset_1!H429</f>
        <v>3</v>
      </c>
      <c r="I429">
        <f>Dataset_1!I429</f>
        <v>1</v>
      </c>
      <c r="J429">
        <f>Dataset_1!J429</f>
        <v>0.32</v>
      </c>
      <c r="K429">
        <f>INDEX(Dataset_2!$B$2:$B$611,MATCH($A429,Dataset_2!$A$2:$A$611,0))</f>
        <v>0.30299999999999999</v>
      </c>
      <c r="L429">
        <f>INDEX(Dataset_2!$C$2:$C$611,MATCH($A429,Dataset_2!$A$2:$A$611,0))</f>
        <v>0.49</v>
      </c>
      <c r="M429">
        <f>INDEX(Dataset_2!$D$2:$D$611,MATCH($A429,Dataset_2!$A$2:$A$611,0))</f>
        <v>0.29849999999999999</v>
      </c>
      <c r="N429">
        <f>INDEX(Dataset_2!$E$2:$E$611,MATCH($A429,Dataset_2!$A$2:$A$611,0))</f>
        <v>2</v>
      </c>
      <c r="O429">
        <f>INDEX(Dataset_2!$F$2:$F$611,MATCH($A429,Dataset_2!$A$2:$A$611,0))</f>
        <v>74</v>
      </c>
      <c r="P429">
        <f>INDEX(Dataset_2!$G$2:$G$611,MATCH($A429,Dataset_2!$A$2:$A$611,0))</f>
        <v>76</v>
      </c>
    </row>
    <row r="430" spans="1:16" x14ac:dyDescent="0.2">
      <c r="A430">
        <f>Dataset_1!A430</f>
        <v>429</v>
      </c>
      <c r="B430" s="61">
        <f>Dataset_1!B430</f>
        <v>40562</v>
      </c>
      <c r="C430">
        <f>Dataset_1!C430</f>
        <v>1</v>
      </c>
      <c r="D430">
        <f>Dataset_1!D430</f>
        <v>0</v>
      </c>
      <c r="E430">
        <f>Dataset_1!E430</f>
        <v>1</v>
      </c>
      <c r="F430">
        <f>Dataset_1!F430</f>
        <v>21</v>
      </c>
      <c r="G430" t="b">
        <f>Dataset_1!G430</f>
        <v>0</v>
      </c>
      <c r="H430">
        <f>Dataset_1!H430</f>
        <v>3</v>
      </c>
      <c r="I430">
        <f>Dataset_1!I430</f>
        <v>1</v>
      </c>
      <c r="J430">
        <f>Dataset_1!J430</f>
        <v>0.32</v>
      </c>
      <c r="K430">
        <f>INDEX(Dataset_2!$B$2:$B$611,MATCH($A430,Dataset_2!$A$2:$A$611,0))</f>
        <v>0.28789999999999999</v>
      </c>
      <c r="L430">
        <f>INDEX(Dataset_2!$C$2:$C$611,MATCH($A430,Dataset_2!$A$2:$A$611,0))</f>
        <v>0.49</v>
      </c>
      <c r="M430">
        <f>INDEX(Dataset_2!$D$2:$D$611,MATCH($A430,Dataset_2!$A$2:$A$611,0))</f>
        <v>0.41789999999999999</v>
      </c>
      <c r="N430">
        <f>INDEX(Dataset_2!$E$2:$E$611,MATCH($A430,Dataset_2!$A$2:$A$611,0))</f>
        <v>4</v>
      </c>
      <c r="O430">
        <f>INDEX(Dataset_2!$F$2:$F$611,MATCH($A430,Dataset_2!$A$2:$A$611,0))</f>
        <v>55</v>
      </c>
      <c r="P430">
        <f>INDEX(Dataset_2!$G$2:$G$611,MATCH($A430,Dataset_2!$A$2:$A$611,0))</f>
        <v>59</v>
      </c>
    </row>
    <row r="431" spans="1:16" x14ac:dyDescent="0.2">
      <c r="A431">
        <f>Dataset_1!A431</f>
        <v>430</v>
      </c>
      <c r="B431" s="61">
        <f>Dataset_1!B431</f>
        <v>40562</v>
      </c>
      <c r="C431">
        <f>Dataset_1!C431</f>
        <v>1</v>
      </c>
      <c r="D431">
        <f>Dataset_1!D431</f>
        <v>0</v>
      </c>
      <c r="E431">
        <f>Dataset_1!E431</f>
        <v>1</v>
      </c>
      <c r="F431">
        <f>Dataset_1!F431</f>
        <v>22</v>
      </c>
      <c r="G431" t="b">
        <f>Dataset_1!G431</f>
        <v>0</v>
      </c>
      <c r="H431">
        <f>Dataset_1!H431</f>
        <v>3</v>
      </c>
      <c r="I431">
        <f>Dataset_1!I431</f>
        <v>1</v>
      </c>
      <c r="J431">
        <f>Dataset_1!J431</f>
        <v>0.3</v>
      </c>
      <c r="K431">
        <f>INDEX(Dataset_2!$B$2:$B$611,MATCH($A431,Dataset_2!$A$2:$A$611,0))</f>
        <v>0.30299999999999999</v>
      </c>
      <c r="L431">
        <f>INDEX(Dataset_2!$C$2:$C$611,MATCH($A431,Dataset_2!$A$2:$A$611,0))</f>
        <v>0.52</v>
      </c>
      <c r="M431">
        <f>INDEX(Dataset_2!$D$2:$D$611,MATCH($A431,Dataset_2!$A$2:$A$611,0))</f>
        <v>0.16420000000000001</v>
      </c>
      <c r="N431">
        <f>INDEX(Dataset_2!$E$2:$E$611,MATCH($A431,Dataset_2!$A$2:$A$611,0))</f>
        <v>6</v>
      </c>
      <c r="O431">
        <f>INDEX(Dataset_2!$F$2:$F$611,MATCH($A431,Dataset_2!$A$2:$A$611,0))</f>
        <v>53</v>
      </c>
      <c r="P431">
        <f>INDEX(Dataset_2!$G$2:$G$611,MATCH($A431,Dataset_2!$A$2:$A$611,0))</f>
        <v>59</v>
      </c>
    </row>
    <row r="432" spans="1:16" x14ac:dyDescent="0.2">
      <c r="A432">
        <f>Dataset_1!A432</f>
        <v>431</v>
      </c>
      <c r="B432" s="61">
        <f>Dataset_1!B432</f>
        <v>40562</v>
      </c>
      <c r="C432">
        <f>Dataset_1!C432</f>
        <v>1</v>
      </c>
      <c r="D432">
        <f>Dataset_1!D432</f>
        <v>0</v>
      </c>
      <c r="E432">
        <f>Dataset_1!E432</f>
        <v>1</v>
      </c>
      <c r="F432">
        <f>Dataset_1!F432</f>
        <v>23</v>
      </c>
      <c r="G432" t="b">
        <f>Dataset_1!G432</f>
        <v>0</v>
      </c>
      <c r="H432">
        <f>Dataset_1!H432</f>
        <v>3</v>
      </c>
      <c r="I432">
        <f>Dataset_1!I432</f>
        <v>1</v>
      </c>
      <c r="J432">
        <f>Dataset_1!J432</f>
        <v>0.3</v>
      </c>
      <c r="K432">
        <f>INDEX(Dataset_2!$B$2:$B$611,MATCH($A432,Dataset_2!$A$2:$A$611,0))</f>
        <v>0.2727</v>
      </c>
      <c r="L432">
        <f>INDEX(Dataset_2!$C$2:$C$611,MATCH($A432,Dataset_2!$A$2:$A$611,0))</f>
        <v>0.52</v>
      </c>
      <c r="M432">
        <f>INDEX(Dataset_2!$D$2:$D$611,MATCH($A432,Dataset_2!$A$2:$A$611,0))</f>
        <v>0.4627</v>
      </c>
      <c r="N432">
        <f>INDEX(Dataset_2!$E$2:$E$611,MATCH($A432,Dataset_2!$A$2:$A$611,0))</f>
        <v>1</v>
      </c>
      <c r="O432">
        <f>INDEX(Dataset_2!$F$2:$F$611,MATCH($A432,Dataset_2!$A$2:$A$611,0))</f>
        <v>27</v>
      </c>
      <c r="P432">
        <f>INDEX(Dataset_2!$G$2:$G$611,MATCH($A432,Dataset_2!$A$2:$A$611,0))</f>
        <v>28</v>
      </c>
    </row>
    <row r="433" spans="1:16" x14ac:dyDescent="0.2">
      <c r="A433">
        <f>Dataset_1!A433</f>
        <v>432</v>
      </c>
      <c r="B433" s="61">
        <f>Dataset_1!B433</f>
        <v>40563</v>
      </c>
      <c r="C433">
        <f>Dataset_1!C433</f>
        <v>1</v>
      </c>
      <c r="D433">
        <f>Dataset_1!D433</f>
        <v>0</v>
      </c>
      <c r="E433">
        <f>Dataset_1!E433</f>
        <v>1</v>
      </c>
      <c r="F433">
        <f>Dataset_1!F433</f>
        <v>0</v>
      </c>
      <c r="G433" t="b">
        <f>Dataset_1!G433</f>
        <v>0</v>
      </c>
      <c r="H433">
        <f>Dataset_1!H433</f>
        <v>4</v>
      </c>
      <c r="I433">
        <f>Dataset_1!I433</f>
        <v>1</v>
      </c>
      <c r="J433">
        <f>Dataset_1!J433</f>
        <v>0.26</v>
      </c>
      <c r="K433">
        <f>INDEX(Dataset_2!$B$2:$B$611,MATCH($A433,Dataset_2!$A$2:$A$611,0))</f>
        <v>0.2273</v>
      </c>
      <c r="L433">
        <f>INDEX(Dataset_2!$C$2:$C$611,MATCH($A433,Dataset_2!$A$2:$A$611,0))</f>
        <v>0.56000000000000005</v>
      </c>
      <c r="M433">
        <f>INDEX(Dataset_2!$D$2:$D$611,MATCH($A433,Dataset_2!$A$2:$A$611,0))</f>
        <v>0.3881</v>
      </c>
      <c r="N433">
        <f>INDEX(Dataset_2!$E$2:$E$611,MATCH($A433,Dataset_2!$A$2:$A$611,0))</f>
        <v>5</v>
      </c>
      <c r="O433">
        <f>INDEX(Dataset_2!$F$2:$F$611,MATCH($A433,Dataset_2!$A$2:$A$611,0))</f>
        <v>8</v>
      </c>
      <c r="P433">
        <f>INDEX(Dataset_2!$G$2:$G$611,MATCH($A433,Dataset_2!$A$2:$A$611,0))</f>
        <v>13</v>
      </c>
    </row>
    <row r="434" spans="1:16" x14ac:dyDescent="0.2">
      <c r="A434">
        <f>Dataset_1!A434</f>
        <v>433</v>
      </c>
      <c r="B434" s="61">
        <f>Dataset_1!B434</f>
        <v>40563</v>
      </c>
      <c r="C434">
        <f>Dataset_1!C434</f>
        <v>1</v>
      </c>
      <c r="D434">
        <f>Dataset_1!D434</f>
        <v>0</v>
      </c>
      <c r="E434">
        <f>Dataset_1!E434</f>
        <v>1</v>
      </c>
      <c r="F434">
        <f>Dataset_1!F434</f>
        <v>1</v>
      </c>
      <c r="G434" t="b">
        <f>Dataset_1!G434</f>
        <v>0</v>
      </c>
      <c r="H434">
        <f>Dataset_1!H434</f>
        <v>4</v>
      </c>
      <c r="I434">
        <f>Dataset_1!I434</f>
        <v>1</v>
      </c>
      <c r="J434">
        <f>Dataset_1!J434</f>
        <v>0.26</v>
      </c>
      <c r="K434">
        <f>INDEX(Dataset_2!$B$2:$B$611,MATCH($A434,Dataset_2!$A$2:$A$611,0))</f>
        <v>0.2727</v>
      </c>
      <c r="L434">
        <f>INDEX(Dataset_2!$C$2:$C$611,MATCH($A434,Dataset_2!$A$2:$A$611,0))</f>
        <v>0.56000000000000005</v>
      </c>
      <c r="M434">
        <f>INDEX(Dataset_2!$D$2:$D$611,MATCH($A434,Dataset_2!$A$2:$A$611,0))</f>
        <v>0</v>
      </c>
      <c r="N434">
        <f>INDEX(Dataset_2!$E$2:$E$611,MATCH($A434,Dataset_2!$A$2:$A$611,0))</f>
        <v>2</v>
      </c>
      <c r="O434">
        <f>INDEX(Dataset_2!$F$2:$F$611,MATCH($A434,Dataset_2!$A$2:$A$611,0))</f>
        <v>3</v>
      </c>
      <c r="P434">
        <f>INDEX(Dataset_2!$G$2:$G$611,MATCH($A434,Dataset_2!$A$2:$A$611,0))</f>
        <v>5</v>
      </c>
    </row>
    <row r="435" spans="1:16" x14ac:dyDescent="0.2">
      <c r="A435">
        <f>Dataset_1!A435</f>
        <v>434</v>
      </c>
      <c r="B435" s="61">
        <f>Dataset_1!B435</f>
        <v>40563</v>
      </c>
      <c r="C435">
        <f>Dataset_1!C435</f>
        <v>1</v>
      </c>
      <c r="D435">
        <f>Dataset_1!D435</f>
        <v>0</v>
      </c>
      <c r="E435">
        <f>Dataset_1!E435</f>
        <v>1</v>
      </c>
      <c r="F435">
        <f>Dataset_1!F435</f>
        <v>2</v>
      </c>
      <c r="G435" t="b">
        <f>Dataset_1!G435</f>
        <v>0</v>
      </c>
      <c r="H435">
        <f>Dataset_1!H435</f>
        <v>4</v>
      </c>
      <c r="I435">
        <f>Dataset_1!I435</f>
        <v>1</v>
      </c>
      <c r="J435">
        <f>Dataset_1!J435</f>
        <v>0.26</v>
      </c>
      <c r="K435">
        <f>INDEX(Dataset_2!$B$2:$B$611,MATCH($A435,Dataset_2!$A$2:$A$611,0))</f>
        <v>0.2727</v>
      </c>
      <c r="L435">
        <f>INDEX(Dataset_2!$C$2:$C$611,MATCH($A435,Dataset_2!$A$2:$A$611,0))</f>
        <v>0.56000000000000005</v>
      </c>
      <c r="M435">
        <f>INDEX(Dataset_2!$D$2:$D$611,MATCH($A435,Dataset_2!$A$2:$A$611,0))</f>
        <v>0</v>
      </c>
      <c r="N435">
        <f>INDEX(Dataset_2!$E$2:$E$611,MATCH($A435,Dataset_2!$A$2:$A$611,0))</f>
        <v>0</v>
      </c>
      <c r="O435">
        <f>INDEX(Dataset_2!$F$2:$F$611,MATCH($A435,Dataset_2!$A$2:$A$611,0))</f>
        <v>2</v>
      </c>
      <c r="P435">
        <f>INDEX(Dataset_2!$G$2:$G$611,MATCH($A435,Dataset_2!$A$2:$A$611,0))</f>
        <v>2</v>
      </c>
    </row>
    <row r="436" spans="1:16" x14ac:dyDescent="0.2">
      <c r="A436">
        <f>Dataset_1!A436</f>
        <v>435</v>
      </c>
      <c r="B436" s="61">
        <f>Dataset_1!B436</f>
        <v>40563</v>
      </c>
      <c r="C436">
        <f>Dataset_1!C436</f>
        <v>1</v>
      </c>
      <c r="D436">
        <f>Dataset_1!D436</f>
        <v>0</v>
      </c>
      <c r="E436">
        <f>Dataset_1!E436</f>
        <v>1</v>
      </c>
      <c r="F436">
        <f>Dataset_1!F436</f>
        <v>3</v>
      </c>
      <c r="G436" t="b">
        <f>Dataset_1!G436</f>
        <v>0</v>
      </c>
      <c r="H436">
        <f>Dataset_1!H436</f>
        <v>4</v>
      </c>
      <c r="I436">
        <f>Dataset_1!I436</f>
        <v>1</v>
      </c>
      <c r="J436">
        <f>Dataset_1!J436</f>
        <v>0.26</v>
      </c>
      <c r="K436">
        <f>INDEX(Dataset_2!$B$2:$B$611,MATCH($A436,Dataset_2!$A$2:$A$611,0))</f>
        <v>0.2576</v>
      </c>
      <c r="L436">
        <f>INDEX(Dataset_2!$C$2:$C$611,MATCH($A436,Dataset_2!$A$2:$A$611,0))</f>
        <v>0.56000000000000005</v>
      </c>
      <c r="M436">
        <f>INDEX(Dataset_2!$D$2:$D$611,MATCH($A436,Dataset_2!$A$2:$A$611,0))</f>
        <v>0.16420000000000001</v>
      </c>
      <c r="N436">
        <f>INDEX(Dataset_2!$E$2:$E$611,MATCH($A436,Dataset_2!$A$2:$A$611,0))</f>
        <v>0</v>
      </c>
      <c r="O436">
        <f>INDEX(Dataset_2!$F$2:$F$611,MATCH($A436,Dataset_2!$A$2:$A$611,0))</f>
        <v>1</v>
      </c>
      <c r="P436">
        <f>INDEX(Dataset_2!$G$2:$G$611,MATCH($A436,Dataset_2!$A$2:$A$611,0))</f>
        <v>1</v>
      </c>
    </row>
    <row r="437" spans="1:16" x14ac:dyDescent="0.2">
      <c r="A437">
        <f>Dataset_1!A437</f>
        <v>436</v>
      </c>
      <c r="B437" s="61">
        <f>Dataset_1!B437</f>
        <v>40563</v>
      </c>
      <c r="C437">
        <f>Dataset_1!C437</f>
        <v>1</v>
      </c>
      <c r="D437">
        <f>Dataset_1!D437</f>
        <v>0</v>
      </c>
      <c r="E437">
        <f>Dataset_1!E437</f>
        <v>1</v>
      </c>
      <c r="F437">
        <f>Dataset_1!F437</f>
        <v>4</v>
      </c>
      <c r="G437" t="b">
        <f>Dataset_1!G437</f>
        <v>0</v>
      </c>
      <c r="H437">
        <f>Dataset_1!H437</f>
        <v>4</v>
      </c>
      <c r="I437">
        <f>Dataset_1!I437</f>
        <v>1</v>
      </c>
      <c r="J437">
        <f>Dataset_1!J437</f>
        <v>0.26</v>
      </c>
      <c r="K437">
        <f>INDEX(Dataset_2!$B$2:$B$611,MATCH($A437,Dataset_2!$A$2:$A$611,0))</f>
        <v>0.2576</v>
      </c>
      <c r="L437">
        <f>INDEX(Dataset_2!$C$2:$C$611,MATCH($A437,Dataset_2!$A$2:$A$611,0))</f>
        <v>0.56000000000000005</v>
      </c>
      <c r="M437">
        <f>INDEX(Dataset_2!$D$2:$D$611,MATCH($A437,Dataset_2!$A$2:$A$611,0))</f>
        <v>0.16420000000000001</v>
      </c>
      <c r="N437">
        <f>INDEX(Dataset_2!$E$2:$E$611,MATCH($A437,Dataset_2!$A$2:$A$611,0))</f>
        <v>0</v>
      </c>
      <c r="O437">
        <f>INDEX(Dataset_2!$F$2:$F$611,MATCH($A437,Dataset_2!$A$2:$A$611,0))</f>
        <v>1</v>
      </c>
      <c r="P437">
        <f>INDEX(Dataset_2!$G$2:$G$611,MATCH($A437,Dataset_2!$A$2:$A$611,0))</f>
        <v>1</v>
      </c>
    </row>
    <row r="438" spans="1:16" x14ac:dyDescent="0.2">
      <c r="A438">
        <f>Dataset_1!A438</f>
        <v>437</v>
      </c>
      <c r="B438" s="61">
        <f>Dataset_1!B438</f>
        <v>40563</v>
      </c>
      <c r="C438">
        <f>Dataset_1!C438</f>
        <v>1</v>
      </c>
      <c r="D438">
        <f>Dataset_1!D438</f>
        <v>0</v>
      </c>
      <c r="E438">
        <f>Dataset_1!E438</f>
        <v>1</v>
      </c>
      <c r="F438">
        <f>Dataset_1!F438</f>
        <v>5</v>
      </c>
      <c r="G438" t="b">
        <f>Dataset_1!G438</f>
        <v>0</v>
      </c>
      <c r="H438">
        <f>Dataset_1!H438</f>
        <v>4</v>
      </c>
      <c r="I438">
        <f>Dataset_1!I438</f>
        <v>1</v>
      </c>
      <c r="J438">
        <f>Dataset_1!J438</f>
        <v>0.24</v>
      </c>
      <c r="K438">
        <f>INDEX(Dataset_2!$B$2:$B$611,MATCH($A438,Dataset_2!$A$2:$A$611,0))</f>
        <v>0.2273</v>
      </c>
      <c r="L438">
        <f>INDEX(Dataset_2!$C$2:$C$611,MATCH($A438,Dataset_2!$A$2:$A$611,0))</f>
        <v>0.6</v>
      </c>
      <c r="M438">
        <f>INDEX(Dataset_2!$D$2:$D$611,MATCH($A438,Dataset_2!$A$2:$A$611,0))</f>
        <v>0.22389999999999999</v>
      </c>
      <c r="N438">
        <f>INDEX(Dataset_2!$E$2:$E$611,MATCH($A438,Dataset_2!$A$2:$A$611,0))</f>
        <v>0</v>
      </c>
      <c r="O438">
        <f>INDEX(Dataset_2!$F$2:$F$611,MATCH($A438,Dataset_2!$A$2:$A$611,0))</f>
        <v>6</v>
      </c>
      <c r="P438">
        <f>INDEX(Dataset_2!$G$2:$G$611,MATCH($A438,Dataset_2!$A$2:$A$611,0))</f>
        <v>6</v>
      </c>
    </row>
    <row r="439" spans="1:16" x14ac:dyDescent="0.2">
      <c r="A439">
        <f>Dataset_1!A439</f>
        <v>438</v>
      </c>
      <c r="B439" s="61">
        <f>Dataset_1!B439</f>
        <v>40563</v>
      </c>
      <c r="C439">
        <f>Dataset_1!C439</f>
        <v>1</v>
      </c>
      <c r="D439">
        <f>Dataset_1!D439</f>
        <v>0</v>
      </c>
      <c r="E439">
        <f>Dataset_1!E439</f>
        <v>1</v>
      </c>
      <c r="F439">
        <f>Dataset_1!F439</f>
        <v>6</v>
      </c>
      <c r="G439" t="b">
        <f>Dataset_1!G439</f>
        <v>0</v>
      </c>
      <c r="H439">
        <f>Dataset_1!H439</f>
        <v>4</v>
      </c>
      <c r="I439">
        <f>Dataset_1!I439</f>
        <v>1</v>
      </c>
      <c r="J439">
        <f>Dataset_1!J439</f>
        <v>0.22</v>
      </c>
      <c r="K439">
        <f>INDEX(Dataset_2!$B$2:$B$611,MATCH($A439,Dataset_2!$A$2:$A$611,0))</f>
        <v>0.21210000000000001</v>
      </c>
      <c r="L439">
        <f>INDEX(Dataset_2!$C$2:$C$611,MATCH($A439,Dataset_2!$A$2:$A$611,0))</f>
        <v>0.6</v>
      </c>
      <c r="M439">
        <f>INDEX(Dataset_2!$D$2:$D$611,MATCH($A439,Dataset_2!$A$2:$A$611,0))</f>
        <v>0.22389999999999999</v>
      </c>
      <c r="N439">
        <f>INDEX(Dataset_2!$E$2:$E$611,MATCH($A439,Dataset_2!$A$2:$A$611,0))</f>
        <v>0</v>
      </c>
      <c r="O439">
        <f>INDEX(Dataset_2!$F$2:$F$611,MATCH($A439,Dataset_2!$A$2:$A$611,0))</f>
        <v>35</v>
      </c>
      <c r="P439">
        <f>INDEX(Dataset_2!$G$2:$G$611,MATCH($A439,Dataset_2!$A$2:$A$611,0))</f>
        <v>35</v>
      </c>
    </row>
    <row r="440" spans="1:16" x14ac:dyDescent="0.2">
      <c r="A440">
        <f>Dataset_1!A440</f>
        <v>439</v>
      </c>
      <c r="B440" s="61">
        <f>Dataset_1!B440</f>
        <v>40563</v>
      </c>
      <c r="C440">
        <f>Dataset_1!C440</f>
        <v>1</v>
      </c>
      <c r="D440">
        <f>Dataset_1!D440</f>
        <v>0</v>
      </c>
      <c r="E440">
        <f>Dataset_1!E440</f>
        <v>1</v>
      </c>
      <c r="F440">
        <f>Dataset_1!F440</f>
        <v>7</v>
      </c>
      <c r="G440" t="b">
        <f>Dataset_1!G440</f>
        <v>0</v>
      </c>
      <c r="H440">
        <f>Dataset_1!H440</f>
        <v>4</v>
      </c>
      <c r="I440">
        <f>Dataset_1!I440</f>
        <v>1</v>
      </c>
      <c r="J440">
        <f>Dataset_1!J440</f>
        <v>0.22</v>
      </c>
      <c r="K440">
        <f>INDEX(Dataset_2!$B$2:$B$611,MATCH($A440,Dataset_2!$A$2:$A$611,0))</f>
        <v>0.21210000000000001</v>
      </c>
      <c r="L440">
        <f>INDEX(Dataset_2!$C$2:$C$611,MATCH($A440,Dataset_2!$A$2:$A$611,0))</f>
        <v>0.55000000000000004</v>
      </c>
      <c r="M440">
        <f>INDEX(Dataset_2!$D$2:$D$611,MATCH($A440,Dataset_2!$A$2:$A$611,0))</f>
        <v>0.22389999999999999</v>
      </c>
      <c r="N440">
        <f>INDEX(Dataset_2!$E$2:$E$611,MATCH($A440,Dataset_2!$A$2:$A$611,0))</f>
        <v>1</v>
      </c>
      <c r="O440">
        <f>INDEX(Dataset_2!$F$2:$F$611,MATCH($A440,Dataset_2!$A$2:$A$611,0))</f>
        <v>100</v>
      </c>
      <c r="P440">
        <f>INDEX(Dataset_2!$G$2:$G$611,MATCH($A440,Dataset_2!$A$2:$A$611,0))</f>
        <v>101</v>
      </c>
    </row>
    <row r="441" spans="1:16" x14ac:dyDescent="0.2">
      <c r="A441">
        <f>Dataset_1!A441</f>
        <v>440</v>
      </c>
      <c r="B441" s="61">
        <f>Dataset_1!B441</f>
        <v>40563</v>
      </c>
      <c r="C441">
        <f>Dataset_1!C441</f>
        <v>1</v>
      </c>
      <c r="D441">
        <f>Dataset_1!D441</f>
        <v>0</v>
      </c>
      <c r="E441">
        <f>Dataset_1!E441</f>
        <v>1</v>
      </c>
      <c r="F441">
        <f>Dataset_1!F441</f>
        <v>8</v>
      </c>
      <c r="G441" t="b">
        <f>Dataset_1!G441</f>
        <v>0</v>
      </c>
      <c r="H441">
        <f>Dataset_1!H441</f>
        <v>4</v>
      </c>
      <c r="I441">
        <f>Dataset_1!I441</f>
        <v>1</v>
      </c>
      <c r="J441">
        <f>Dataset_1!J441</f>
        <v>0.22</v>
      </c>
      <c r="K441">
        <f>INDEX(Dataset_2!$B$2:$B$611,MATCH($A441,Dataset_2!$A$2:$A$611,0))</f>
        <v>0.21210000000000001</v>
      </c>
      <c r="L441">
        <f>INDEX(Dataset_2!$C$2:$C$611,MATCH($A441,Dataset_2!$A$2:$A$611,0))</f>
        <v>0.55000000000000004</v>
      </c>
      <c r="M441">
        <f>INDEX(Dataset_2!$D$2:$D$611,MATCH($A441,Dataset_2!$A$2:$A$611,0))</f>
        <v>0.28360000000000002</v>
      </c>
      <c r="N441">
        <f>INDEX(Dataset_2!$E$2:$E$611,MATCH($A441,Dataset_2!$A$2:$A$611,0))</f>
        <v>2</v>
      </c>
      <c r="O441">
        <f>INDEX(Dataset_2!$F$2:$F$611,MATCH($A441,Dataset_2!$A$2:$A$611,0))</f>
        <v>247</v>
      </c>
      <c r="P441">
        <f>INDEX(Dataset_2!$G$2:$G$611,MATCH($A441,Dataset_2!$A$2:$A$611,0))</f>
        <v>249</v>
      </c>
    </row>
    <row r="442" spans="1:16" x14ac:dyDescent="0.2">
      <c r="A442">
        <f>Dataset_1!A442</f>
        <v>441</v>
      </c>
      <c r="B442" s="61">
        <f>Dataset_1!B442</f>
        <v>40563</v>
      </c>
      <c r="C442">
        <f>Dataset_1!C442</f>
        <v>1</v>
      </c>
      <c r="D442">
        <f>Dataset_1!D442</f>
        <v>0</v>
      </c>
      <c r="E442">
        <f>Dataset_1!E442</f>
        <v>1</v>
      </c>
      <c r="F442">
        <f>Dataset_1!F442</f>
        <v>9</v>
      </c>
      <c r="G442" t="b">
        <f>Dataset_1!G442</f>
        <v>0</v>
      </c>
      <c r="H442">
        <f>Dataset_1!H442</f>
        <v>4</v>
      </c>
      <c r="I442">
        <f>Dataset_1!I442</f>
        <v>2</v>
      </c>
      <c r="J442">
        <f>Dataset_1!J442</f>
        <v>0.24</v>
      </c>
      <c r="K442">
        <f>INDEX(Dataset_2!$B$2:$B$611,MATCH($A442,Dataset_2!$A$2:$A$611,0))</f>
        <v>0.2273</v>
      </c>
      <c r="L442">
        <f>INDEX(Dataset_2!$C$2:$C$611,MATCH($A442,Dataset_2!$A$2:$A$611,0))</f>
        <v>0.52</v>
      </c>
      <c r="M442">
        <f>INDEX(Dataset_2!$D$2:$D$611,MATCH($A442,Dataset_2!$A$2:$A$611,0))</f>
        <v>0.22389999999999999</v>
      </c>
      <c r="N442">
        <f>INDEX(Dataset_2!$E$2:$E$611,MATCH($A442,Dataset_2!$A$2:$A$611,0))</f>
        <v>3</v>
      </c>
      <c r="O442">
        <f>INDEX(Dataset_2!$F$2:$F$611,MATCH($A442,Dataset_2!$A$2:$A$611,0))</f>
        <v>140</v>
      </c>
      <c r="P442">
        <f>INDEX(Dataset_2!$G$2:$G$611,MATCH($A442,Dataset_2!$A$2:$A$611,0))</f>
        <v>143</v>
      </c>
    </row>
    <row r="443" spans="1:16" x14ac:dyDescent="0.2">
      <c r="A443">
        <f>Dataset_1!A443</f>
        <v>442</v>
      </c>
      <c r="B443" s="61">
        <f>Dataset_1!B443</f>
        <v>40563</v>
      </c>
      <c r="C443">
        <f>Dataset_1!C443</f>
        <v>1</v>
      </c>
      <c r="D443">
        <f>Dataset_1!D443</f>
        <v>0</v>
      </c>
      <c r="E443">
        <f>Dataset_1!E443</f>
        <v>1</v>
      </c>
      <c r="F443">
        <f>Dataset_1!F443</f>
        <v>10</v>
      </c>
      <c r="G443" t="b">
        <f>Dataset_1!G443</f>
        <v>0</v>
      </c>
      <c r="H443">
        <f>Dataset_1!H443</f>
        <v>4</v>
      </c>
      <c r="I443">
        <f>Dataset_1!I443</f>
        <v>1</v>
      </c>
      <c r="J443">
        <f>Dataset_1!J443</f>
        <v>0.26</v>
      </c>
      <c r="K443">
        <f>INDEX(Dataset_2!$B$2:$B$611,MATCH($A443,Dataset_2!$A$2:$A$611,0))</f>
        <v>0.2273</v>
      </c>
      <c r="L443">
        <f>INDEX(Dataset_2!$C$2:$C$611,MATCH($A443,Dataset_2!$A$2:$A$611,0))</f>
        <v>0.48</v>
      </c>
      <c r="M443">
        <f>INDEX(Dataset_2!$D$2:$D$611,MATCH($A443,Dataset_2!$A$2:$A$611,0))</f>
        <v>0.29849999999999999</v>
      </c>
      <c r="N443">
        <f>INDEX(Dataset_2!$E$2:$E$611,MATCH($A443,Dataset_2!$A$2:$A$611,0))</f>
        <v>1</v>
      </c>
      <c r="O443">
        <f>INDEX(Dataset_2!$F$2:$F$611,MATCH($A443,Dataset_2!$A$2:$A$611,0))</f>
        <v>56</v>
      </c>
      <c r="P443">
        <f>INDEX(Dataset_2!$G$2:$G$611,MATCH($A443,Dataset_2!$A$2:$A$611,0))</f>
        <v>57</v>
      </c>
    </row>
    <row r="444" spans="1:16" x14ac:dyDescent="0.2">
      <c r="A444">
        <f>Dataset_1!A444</f>
        <v>443</v>
      </c>
      <c r="B444" s="61">
        <f>Dataset_1!B444</f>
        <v>40563</v>
      </c>
      <c r="C444">
        <f>Dataset_1!C444</f>
        <v>1</v>
      </c>
      <c r="D444">
        <f>Dataset_1!D444</f>
        <v>0</v>
      </c>
      <c r="E444">
        <f>Dataset_1!E444</f>
        <v>1</v>
      </c>
      <c r="F444">
        <f>Dataset_1!F444</f>
        <v>11</v>
      </c>
      <c r="G444" t="b">
        <f>Dataset_1!G444</f>
        <v>0</v>
      </c>
      <c r="H444">
        <f>Dataset_1!H444</f>
        <v>4</v>
      </c>
      <c r="I444">
        <f>Dataset_1!I444</f>
        <v>2</v>
      </c>
      <c r="J444">
        <f>Dataset_1!J444</f>
        <v>0.28000000000000003</v>
      </c>
      <c r="K444">
        <f>INDEX(Dataset_2!$B$2:$B$611,MATCH($A444,Dataset_2!$A$2:$A$611,0))</f>
        <v>0.2727</v>
      </c>
      <c r="L444">
        <f>INDEX(Dataset_2!$C$2:$C$611,MATCH($A444,Dataset_2!$A$2:$A$611,0))</f>
        <v>0.45</v>
      </c>
      <c r="M444">
        <f>INDEX(Dataset_2!$D$2:$D$611,MATCH($A444,Dataset_2!$A$2:$A$611,0))</f>
        <v>0.16420000000000001</v>
      </c>
      <c r="N444">
        <f>INDEX(Dataset_2!$E$2:$E$611,MATCH($A444,Dataset_2!$A$2:$A$611,0))</f>
        <v>5</v>
      </c>
      <c r="O444">
        <f>INDEX(Dataset_2!$F$2:$F$611,MATCH($A444,Dataset_2!$A$2:$A$611,0))</f>
        <v>63</v>
      </c>
      <c r="P444">
        <f>INDEX(Dataset_2!$G$2:$G$611,MATCH($A444,Dataset_2!$A$2:$A$611,0))</f>
        <v>68</v>
      </c>
    </row>
    <row r="445" spans="1:16" x14ac:dyDescent="0.2">
      <c r="A445">
        <f>Dataset_1!A445</f>
        <v>444</v>
      </c>
      <c r="B445" s="61">
        <f>Dataset_1!B445</f>
        <v>40563</v>
      </c>
      <c r="C445">
        <f>Dataset_1!C445</f>
        <v>1</v>
      </c>
      <c r="D445">
        <f>Dataset_1!D445</f>
        <v>0</v>
      </c>
      <c r="E445">
        <f>Dataset_1!E445</f>
        <v>1</v>
      </c>
      <c r="F445">
        <f>Dataset_1!F445</f>
        <v>12</v>
      </c>
      <c r="G445" t="b">
        <f>Dataset_1!G445</f>
        <v>0</v>
      </c>
      <c r="H445">
        <f>Dataset_1!H445</f>
        <v>4</v>
      </c>
      <c r="I445">
        <f>Dataset_1!I445</f>
        <v>2</v>
      </c>
      <c r="J445">
        <f>Dataset_1!J445</f>
        <v>0.3</v>
      </c>
      <c r="K445">
        <f>INDEX(Dataset_2!$B$2:$B$611,MATCH($A445,Dataset_2!$A$2:$A$611,0))</f>
        <v>0.33329999999999999</v>
      </c>
      <c r="L445">
        <f>INDEX(Dataset_2!$C$2:$C$611,MATCH($A445,Dataset_2!$A$2:$A$611,0))</f>
        <v>0.42</v>
      </c>
      <c r="M445">
        <f>INDEX(Dataset_2!$D$2:$D$611,MATCH($A445,Dataset_2!$A$2:$A$611,0))</f>
        <v>0</v>
      </c>
      <c r="N445">
        <f>INDEX(Dataset_2!$E$2:$E$611,MATCH($A445,Dataset_2!$A$2:$A$611,0))</f>
        <v>7</v>
      </c>
      <c r="O445">
        <f>INDEX(Dataset_2!$F$2:$F$611,MATCH($A445,Dataset_2!$A$2:$A$611,0))</f>
        <v>77</v>
      </c>
      <c r="P445">
        <f>INDEX(Dataset_2!$G$2:$G$611,MATCH($A445,Dataset_2!$A$2:$A$611,0))</f>
        <v>84</v>
      </c>
    </row>
    <row r="446" spans="1:16" x14ac:dyDescent="0.2">
      <c r="A446">
        <f>Dataset_1!A446</f>
        <v>445</v>
      </c>
      <c r="B446" s="61">
        <f>Dataset_1!B446</f>
        <v>40563</v>
      </c>
      <c r="C446">
        <f>Dataset_1!C446</f>
        <v>1</v>
      </c>
      <c r="D446">
        <f>Dataset_1!D446</f>
        <v>0</v>
      </c>
      <c r="E446">
        <f>Dataset_1!E446</f>
        <v>1</v>
      </c>
      <c r="F446">
        <f>Dataset_1!F446</f>
        <v>13</v>
      </c>
      <c r="G446" t="b">
        <f>Dataset_1!G446</f>
        <v>0</v>
      </c>
      <c r="H446">
        <f>Dataset_1!H446</f>
        <v>4</v>
      </c>
      <c r="I446">
        <f>Dataset_1!I446</f>
        <v>2</v>
      </c>
      <c r="J446">
        <f>Dataset_1!J446</f>
        <v>0.28000000000000003</v>
      </c>
      <c r="K446">
        <f>INDEX(Dataset_2!$B$2:$B$611,MATCH($A446,Dataset_2!$A$2:$A$611,0))</f>
        <v>0.28789999999999999</v>
      </c>
      <c r="L446">
        <f>INDEX(Dataset_2!$C$2:$C$611,MATCH($A446,Dataset_2!$A$2:$A$611,0))</f>
        <v>0.45</v>
      </c>
      <c r="M446">
        <f>INDEX(Dataset_2!$D$2:$D$611,MATCH($A446,Dataset_2!$A$2:$A$611,0))</f>
        <v>0.1045</v>
      </c>
      <c r="N446">
        <f>INDEX(Dataset_2!$E$2:$E$611,MATCH($A446,Dataset_2!$A$2:$A$611,0))</f>
        <v>12</v>
      </c>
      <c r="O446">
        <f>INDEX(Dataset_2!$F$2:$F$611,MATCH($A446,Dataset_2!$A$2:$A$611,0))</f>
        <v>86</v>
      </c>
      <c r="P446">
        <f>INDEX(Dataset_2!$G$2:$G$611,MATCH($A446,Dataset_2!$A$2:$A$611,0))</f>
        <v>98</v>
      </c>
    </row>
    <row r="447" spans="1:16" x14ac:dyDescent="0.2">
      <c r="A447">
        <f>Dataset_1!A447</f>
        <v>446</v>
      </c>
      <c r="B447" s="61">
        <f>Dataset_1!B447</f>
        <v>40563</v>
      </c>
      <c r="C447">
        <f>Dataset_1!C447</f>
        <v>1</v>
      </c>
      <c r="D447">
        <f>Dataset_1!D447</f>
        <v>0</v>
      </c>
      <c r="E447">
        <f>Dataset_1!E447</f>
        <v>1</v>
      </c>
      <c r="F447">
        <f>Dataset_1!F447</f>
        <v>14</v>
      </c>
      <c r="G447" t="b">
        <f>Dataset_1!G447</f>
        <v>0</v>
      </c>
      <c r="H447">
        <f>Dataset_1!H447</f>
        <v>4</v>
      </c>
      <c r="I447">
        <f>Dataset_1!I447</f>
        <v>2</v>
      </c>
      <c r="J447">
        <f>Dataset_1!J447</f>
        <v>0.3</v>
      </c>
      <c r="K447">
        <f>INDEX(Dataset_2!$B$2:$B$611,MATCH($A447,Dataset_2!$A$2:$A$611,0))</f>
        <v>0.30299999999999999</v>
      </c>
      <c r="L447">
        <f>INDEX(Dataset_2!$C$2:$C$611,MATCH($A447,Dataset_2!$A$2:$A$611,0))</f>
        <v>0.45</v>
      </c>
      <c r="M447">
        <f>INDEX(Dataset_2!$D$2:$D$611,MATCH($A447,Dataset_2!$A$2:$A$611,0))</f>
        <v>0.1343</v>
      </c>
      <c r="N447">
        <f>INDEX(Dataset_2!$E$2:$E$611,MATCH($A447,Dataset_2!$A$2:$A$611,0))</f>
        <v>6</v>
      </c>
      <c r="O447">
        <f>INDEX(Dataset_2!$F$2:$F$611,MATCH($A447,Dataset_2!$A$2:$A$611,0))</f>
        <v>75</v>
      </c>
      <c r="P447">
        <f>INDEX(Dataset_2!$G$2:$G$611,MATCH($A447,Dataset_2!$A$2:$A$611,0))</f>
        <v>81</v>
      </c>
    </row>
    <row r="448" spans="1:16" x14ac:dyDescent="0.2">
      <c r="A448">
        <f>Dataset_1!A448</f>
        <v>447</v>
      </c>
      <c r="B448" s="61">
        <f>Dataset_1!B448</f>
        <v>40563</v>
      </c>
      <c r="C448">
        <f>Dataset_1!C448</f>
        <v>1</v>
      </c>
      <c r="D448">
        <f>Dataset_1!D448</f>
        <v>0</v>
      </c>
      <c r="E448">
        <f>Dataset_1!E448</f>
        <v>1</v>
      </c>
      <c r="F448">
        <f>Dataset_1!F448</f>
        <v>15</v>
      </c>
      <c r="G448" t="b">
        <f>Dataset_1!G448</f>
        <v>0</v>
      </c>
      <c r="H448">
        <f>Dataset_1!H448</f>
        <v>4</v>
      </c>
      <c r="I448">
        <f>Dataset_1!I448</f>
        <v>2</v>
      </c>
      <c r="J448">
        <f>Dataset_1!J448</f>
        <v>0.32</v>
      </c>
      <c r="K448">
        <f>INDEX(Dataset_2!$B$2:$B$611,MATCH($A448,Dataset_2!$A$2:$A$611,0))</f>
        <v>0.31819999999999998</v>
      </c>
      <c r="L448">
        <f>INDEX(Dataset_2!$C$2:$C$611,MATCH($A448,Dataset_2!$A$2:$A$611,0))</f>
        <v>0.45</v>
      </c>
      <c r="M448">
        <f>INDEX(Dataset_2!$D$2:$D$611,MATCH($A448,Dataset_2!$A$2:$A$611,0))</f>
        <v>0.19400000000000001</v>
      </c>
      <c r="N448">
        <f>INDEX(Dataset_2!$E$2:$E$611,MATCH($A448,Dataset_2!$A$2:$A$611,0))</f>
        <v>8</v>
      </c>
      <c r="O448">
        <f>INDEX(Dataset_2!$F$2:$F$611,MATCH($A448,Dataset_2!$A$2:$A$611,0))</f>
        <v>62</v>
      </c>
      <c r="P448">
        <f>INDEX(Dataset_2!$G$2:$G$611,MATCH($A448,Dataset_2!$A$2:$A$611,0))</f>
        <v>70</v>
      </c>
    </row>
    <row r="449" spans="1:16" x14ac:dyDescent="0.2">
      <c r="A449">
        <f>Dataset_1!A449</f>
        <v>448</v>
      </c>
      <c r="B449" s="61">
        <f>Dataset_1!B449</f>
        <v>40563</v>
      </c>
      <c r="C449">
        <f>Dataset_1!C449</f>
        <v>1</v>
      </c>
      <c r="D449">
        <f>Dataset_1!D449</f>
        <v>0</v>
      </c>
      <c r="E449">
        <f>Dataset_1!E449</f>
        <v>1</v>
      </c>
      <c r="F449">
        <f>Dataset_1!F449</f>
        <v>16</v>
      </c>
      <c r="G449" t="b">
        <f>Dataset_1!G449</f>
        <v>0</v>
      </c>
      <c r="H449">
        <f>Dataset_1!H449</f>
        <v>4</v>
      </c>
      <c r="I449">
        <f>Dataset_1!I449</f>
        <v>2</v>
      </c>
      <c r="J449">
        <f>Dataset_1!J449</f>
        <v>0.3</v>
      </c>
      <c r="K449">
        <f>INDEX(Dataset_2!$B$2:$B$611,MATCH($A449,Dataset_2!$A$2:$A$611,0))</f>
        <v>0.30299999999999999</v>
      </c>
      <c r="L449">
        <f>INDEX(Dataset_2!$C$2:$C$611,MATCH($A449,Dataset_2!$A$2:$A$611,0))</f>
        <v>0.49</v>
      </c>
      <c r="M449">
        <f>INDEX(Dataset_2!$D$2:$D$611,MATCH($A449,Dataset_2!$A$2:$A$611,0))</f>
        <v>0.1343</v>
      </c>
      <c r="N449">
        <f>INDEX(Dataset_2!$E$2:$E$611,MATCH($A449,Dataset_2!$A$2:$A$611,0))</f>
        <v>8</v>
      </c>
      <c r="O449">
        <f>INDEX(Dataset_2!$F$2:$F$611,MATCH($A449,Dataset_2!$A$2:$A$611,0))</f>
        <v>83</v>
      </c>
      <c r="P449">
        <f>INDEX(Dataset_2!$G$2:$G$611,MATCH($A449,Dataset_2!$A$2:$A$611,0))</f>
        <v>91</v>
      </c>
    </row>
    <row r="450" spans="1:16" x14ac:dyDescent="0.2">
      <c r="A450">
        <f>Dataset_1!A450</f>
        <v>449</v>
      </c>
      <c r="B450" s="61">
        <f>Dataset_1!B450</f>
        <v>40563</v>
      </c>
      <c r="C450">
        <f>Dataset_1!C450</f>
        <v>1</v>
      </c>
      <c r="D450">
        <f>Dataset_1!D450</f>
        <v>0</v>
      </c>
      <c r="E450">
        <f>Dataset_1!E450</f>
        <v>1</v>
      </c>
      <c r="F450">
        <f>Dataset_1!F450</f>
        <v>17</v>
      </c>
      <c r="G450" t="b">
        <f>Dataset_1!G450</f>
        <v>0</v>
      </c>
      <c r="H450">
        <f>Dataset_1!H450</f>
        <v>4</v>
      </c>
      <c r="I450">
        <f>Dataset_1!I450</f>
        <v>2</v>
      </c>
      <c r="J450">
        <f>Dataset_1!J450</f>
        <v>0.3</v>
      </c>
      <c r="K450">
        <f>INDEX(Dataset_2!$B$2:$B$611,MATCH($A450,Dataset_2!$A$2:$A$611,0))</f>
        <v>0.31819999999999998</v>
      </c>
      <c r="L450">
        <f>INDEX(Dataset_2!$C$2:$C$611,MATCH($A450,Dataset_2!$A$2:$A$611,0))</f>
        <v>0.49</v>
      </c>
      <c r="M450">
        <f>INDEX(Dataset_2!$D$2:$D$611,MATCH($A450,Dataset_2!$A$2:$A$611,0))</f>
        <v>0.1045</v>
      </c>
      <c r="N450">
        <f>INDEX(Dataset_2!$E$2:$E$611,MATCH($A450,Dataset_2!$A$2:$A$611,0))</f>
        <v>8</v>
      </c>
      <c r="O450">
        <f>INDEX(Dataset_2!$F$2:$F$611,MATCH($A450,Dataset_2!$A$2:$A$611,0))</f>
        <v>207</v>
      </c>
      <c r="P450">
        <f>INDEX(Dataset_2!$G$2:$G$611,MATCH($A450,Dataset_2!$A$2:$A$611,0))</f>
        <v>215</v>
      </c>
    </row>
    <row r="451" spans="1:16" x14ac:dyDescent="0.2">
      <c r="A451">
        <f>Dataset_1!A451</f>
        <v>450</v>
      </c>
      <c r="B451" s="61">
        <f>Dataset_1!B451</f>
        <v>40563</v>
      </c>
      <c r="C451">
        <f>Dataset_1!C451</f>
        <v>1</v>
      </c>
      <c r="D451">
        <f>Dataset_1!D451</f>
        <v>0</v>
      </c>
      <c r="E451">
        <f>Dataset_1!E451</f>
        <v>1</v>
      </c>
      <c r="F451">
        <f>Dataset_1!F451</f>
        <v>18</v>
      </c>
      <c r="G451" t="b">
        <f>Dataset_1!G451</f>
        <v>0</v>
      </c>
      <c r="H451">
        <f>Dataset_1!H451</f>
        <v>4</v>
      </c>
      <c r="I451">
        <f>Dataset_1!I451</f>
        <v>2</v>
      </c>
      <c r="J451">
        <f>Dataset_1!J451</f>
        <v>0.26</v>
      </c>
      <c r="K451">
        <f>INDEX(Dataset_2!$B$2:$B$611,MATCH($A451,Dataset_2!$A$2:$A$611,0))</f>
        <v>0.2576</v>
      </c>
      <c r="L451">
        <f>INDEX(Dataset_2!$C$2:$C$611,MATCH($A451,Dataset_2!$A$2:$A$611,0))</f>
        <v>0.56000000000000005</v>
      </c>
      <c r="M451">
        <f>INDEX(Dataset_2!$D$2:$D$611,MATCH($A451,Dataset_2!$A$2:$A$611,0))</f>
        <v>0.19400000000000001</v>
      </c>
      <c r="N451">
        <f>INDEX(Dataset_2!$E$2:$E$611,MATCH($A451,Dataset_2!$A$2:$A$611,0))</f>
        <v>1</v>
      </c>
      <c r="O451">
        <f>INDEX(Dataset_2!$F$2:$F$611,MATCH($A451,Dataset_2!$A$2:$A$611,0))</f>
        <v>184</v>
      </c>
      <c r="P451">
        <f>INDEX(Dataset_2!$G$2:$G$611,MATCH($A451,Dataset_2!$A$2:$A$611,0))</f>
        <v>185</v>
      </c>
    </row>
    <row r="452" spans="1:16" x14ac:dyDescent="0.2">
      <c r="A452">
        <f>Dataset_1!A452</f>
        <v>451</v>
      </c>
      <c r="B452" s="61">
        <f>Dataset_1!B452</f>
        <v>40563</v>
      </c>
      <c r="C452">
        <f>Dataset_1!C452</f>
        <v>1</v>
      </c>
      <c r="D452">
        <f>Dataset_1!D452</f>
        <v>0</v>
      </c>
      <c r="E452">
        <f>Dataset_1!E452</f>
        <v>1</v>
      </c>
      <c r="F452">
        <f>Dataset_1!F452</f>
        <v>19</v>
      </c>
      <c r="G452" t="b">
        <f>Dataset_1!G452</f>
        <v>0</v>
      </c>
      <c r="H452">
        <f>Dataset_1!H452</f>
        <v>4</v>
      </c>
      <c r="I452">
        <f>Dataset_1!I452</f>
        <v>1</v>
      </c>
      <c r="J452">
        <f>Dataset_1!J452</f>
        <v>0.26</v>
      </c>
      <c r="K452">
        <f>INDEX(Dataset_2!$B$2:$B$611,MATCH($A452,Dataset_2!$A$2:$A$611,0))</f>
        <v>0.2273</v>
      </c>
      <c r="L452">
        <f>INDEX(Dataset_2!$C$2:$C$611,MATCH($A452,Dataset_2!$A$2:$A$611,0))</f>
        <v>0.56000000000000005</v>
      </c>
      <c r="M452">
        <f>INDEX(Dataset_2!$D$2:$D$611,MATCH($A452,Dataset_2!$A$2:$A$611,0))</f>
        <v>0.32840000000000003</v>
      </c>
      <c r="N452">
        <f>INDEX(Dataset_2!$E$2:$E$611,MATCH($A452,Dataset_2!$A$2:$A$611,0))</f>
        <v>6</v>
      </c>
      <c r="O452">
        <f>INDEX(Dataset_2!$F$2:$F$611,MATCH($A452,Dataset_2!$A$2:$A$611,0))</f>
        <v>146</v>
      </c>
      <c r="P452">
        <f>INDEX(Dataset_2!$G$2:$G$611,MATCH($A452,Dataset_2!$A$2:$A$611,0))</f>
        <v>152</v>
      </c>
    </row>
    <row r="453" spans="1:16" x14ac:dyDescent="0.2">
      <c r="A453">
        <f>Dataset_1!A453</f>
        <v>452</v>
      </c>
      <c r="B453" s="61">
        <f>Dataset_1!B453</f>
        <v>40563</v>
      </c>
      <c r="C453">
        <f>Dataset_1!C453</f>
        <v>1</v>
      </c>
      <c r="D453">
        <f>Dataset_1!D453</f>
        <v>0</v>
      </c>
      <c r="E453">
        <f>Dataset_1!E453</f>
        <v>1</v>
      </c>
      <c r="F453">
        <f>Dataset_1!F453</f>
        <v>20</v>
      </c>
      <c r="G453" t="b">
        <f>Dataset_1!G453</f>
        <v>0</v>
      </c>
      <c r="H453">
        <f>Dataset_1!H453</f>
        <v>4</v>
      </c>
      <c r="I453">
        <f>Dataset_1!I453</f>
        <v>2</v>
      </c>
      <c r="J453">
        <f>Dataset_1!J453</f>
        <v>0.26</v>
      </c>
      <c r="K453">
        <f>INDEX(Dataset_2!$B$2:$B$611,MATCH($A453,Dataset_2!$A$2:$A$611,0))</f>
        <v>0.2424</v>
      </c>
      <c r="L453">
        <f>INDEX(Dataset_2!$C$2:$C$611,MATCH($A453,Dataset_2!$A$2:$A$611,0))</f>
        <v>0.6</v>
      </c>
      <c r="M453">
        <f>INDEX(Dataset_2!$D$2:$D$611,MATCH($A453,Dataset_2!$A$2:$A$611,0))</f>
        <v>0.28360000000000002</v>
      </c>
      <c r="N453">
        <f>INDEX(Dataset_2!$E$2:$E$611,MATCH($A453,Dataset_2!$A$2:$A$611,0))</f>
        <v>2</v>
      </c>
      <c r="O453">
        <f>INDEX(Dataset_2!$F$2:$F$611,MATCH($A453,Dataset_2!$A$2:$A$611,0))</f>
        <v>124</v>
      </c>
      <c r="P453">
        <f>INDEX(Dataset_2!$G$2:$G$611,MATCH($A453,Dataset_2!$A$2:$A$611,0))</f>
        <v>126</v>
      </c>
    </row>
    <row r="454" spans="1:16" x14ac:dyDescent="0.2">
      <c r="A454">
        <f>Dataset_1!A454</f>
        <v>453</v>
      </c>
      <c r="B454" s="61">
        <f>Dataset_1!B454</f>
        <v>40563</v>
      </c>
      <c r="C454">
        <f>Dataset_1!C454</f>
        <v>1</v>
      </c>
      <c r="D454">
        <f>Dataset_1!D454</f>
        <v>0</v>
      </c>
      <c r="E454">
        <f>Dataset_1!E454</f>
        <v>1</v>
      </c>
      <c r="F454">
        <f>Dataset_1!F454</f>
        <v>21</v>
      </c>
      <c r="G454" t="b">
        <f>Dataset_1!G454</f>
        <v>0</v>
      </c>
      <c r="H454">
        <f>Dataset_1!H454</f>
        <v>4</v>
      </c>
      <c r="I454">
        <f>Dataset_1!I454</f>
        <v>2</v>
      </c>
      <c r="J454">
        <f>Dataset_1!J454</f>
        <v>0.24</v>
      </c>
      <c r="K454">
        <f>INDEX(Dataset_2!$B$2:$B$611,MATCH($A454,Dataset_2!$A$2:$A$611,0))</f>
        <v>0.2273</v>
      </c>
      <c r="L454">
        <f>INDEX(Dataset_2!$C$2:$C$611,MATCH($A454,Dataset_2!$A$2:$A$611,0))</f>
        <v>0.6</v>
      </c>
      <c r="M454">
        <f>INDEX(Dataset_2!$D$2:$D$611,MATCH($A454,Dataset_2!$A$2:$A$611,0))</f>
        <v>0.25369999999999998</v>
      </c>
      <c r="N454">
        <f>INDEX(Dataset_2!$E$2:$E$611,MATCH($A454,Dataset_2!$A$2:$A$611,0))</f>
        <v>3</v>
      </c>
      <c r="O454">
        <f>INDEX(Dataset_2!$F$2:$F$611,MATCH($A454,Dataset_2!$A$2:$A$611,0))</f>
        <v>54</v>
      </c>
      <c r="P454">
        <f>INDEX(Dataset_2!$G$2:$G$611,MATCH($A454,Dataset_2!$A$2:$A$611,0))</f>
        <v>57</v>
      </c>
    </row>
    <row r="455" spans="1:16" x14ac:dyDescent="0.2">
      <c r="A455">
        <f>Dataset_1!A455</f>
        <v>454</v>
      </c>
      <c r="B455" s="61">
        <f>Dataset_1!B455</f>
        <v>40563</v>
      </c>
      <c r="C455">
        <f>Dataset_1!C455</f>
        <v>1</v>
      </c>
      <c r="D455">
        <f>Dataset_1!D455</f>
        <v>0</v>
      </c>
      <c r="E455">
        <f>Dataset_1!E455</f>
        <v>1</v>
      </c>
      <c r="F455">
        <f>Dataset_1!F455</f>
        <v>22</v>
      </c>
      <c r="G455" t="b">
        <f>Dataset_1!G455</f>
        <v>0</v>
      </c>
      <c r="H455">
        <f>Dataset_1!H455</f>
        <v>4</v>
      </c>
      <c r="I455">
        <f>Dataset_1!I455</f>
        <v>2</v>
      </c>
      <c r="J455">
        <f>Dataset_1!J455</f>
        <v>0.24</v>
      </c>
      <c r="K455">
        <f>INDEX(Dataset_2!$B$2:$B$611,MATCH($A455,Dataset_2!$A$2:$A$611,0))</f>
        <v>0.21210000000000001</v>
      </c>
      <c r="L455">
        <f>INDEX(Dataset_2!$C$2:$C$611,MATCH($A455,Dataset_2!$A$2:$A$611,0))</f>
        <v>0.65</v>
      </c>
      <c r="M455">
        <f>INDEX(Dataset_2!$D$2:$D$611,MATCH($A455,Dataset_2!$A$2:$A$611,0))</f>
        <v>0.28360000000000002</v>
      </c>
      <c r="N455">
        <f>INDEX(Dataset_2!$E$2:$E$611,MATCH($A455,Dataset_2!$A$2:$A$611,0))</f>
        <v>0</v>
      </c>
      <c r="O455">
        <f>INDEX(Dataset_2!$F$2:$F$611,MATCH($A455,Dataset_2!$A$2:$A$611,0))</f>
        <v>56</v>
      </c>
      <c r="P455">
        <f>INDEX(Dataset_2!$G$2:$G$611,MATCH($A455,Dataset_2!$A$2:$A$611,0))</f>
        <v>56</v>
      </c>
    </row>
    <row r="456" spans="1:16" x14ac:dyDescent="0.2">
      <c r="A456">
        <f>Dataset_1!A456</f>
        <v>455</v>
      </c>
      <c r="B456" s="61">
        <f>Dataset_1!B456</f>
        <v>40563</v>
      </c>
      <c r="C456">
        <f>Dataset_1!C456</f>
        <v>1</v>
      </c>
      <c r="D456">
        <f>Dataset_1!D456</f>
        <v>0</v>
      </c>
      <c r="E456">
        <f>Dataset_1!E456</f>
        <v>1</v>
      </c>
      <c r="F456">
        <f>Dataset_1!F456</f>
        <v>23</v>
      </c>
      <c r="G456" t="b">
        <f>Dataset_1!G456</f>
        <v>0</v>
      </c>
      <c r="H456">
        <f>Dataset_1!H456</f>
        <v>4</v>
      </c>
      <c r="I456">
        <f>Dataset_1!I456</f>
        <v>2</v>
      </c>
      <c r="J456">
        <f>Dataset_1!J456</f>
        <v>0.24</v>
      </c>
      <c r="K456">
        <f>INDEX(Dataset_2!$B$2:$B$611,MATCH($A456,Dataset_2!$A$2:$A$611,0))</f>
        <v>0.21210000000000001</v>
      </c>
      <c r="L456">
        <f>INDEX(Dataset_2!$C$2:$C$611,MATCH($A456,Dataset_2!$A$2:$A$611,0))</f>
        <v>0.65</v>
      </c>
      <c r="M456">
        <f>INDEX(Dataset_2!$D$2:$D$611,MATCH($A456,Dataset_2!$A$2:$A$611,0))</f>
        <v>0.32840000000000003</v>
      </c>
      <c r="N456">
        <f>INDEX(Dataset_2!$E$2:$E$611,MATCH($A456,Dataset_2!$A$2:$A$611,0))</f>
        <v>3</v>
      </c>
      <c r="O456">
        <f>INDEX(Dataset_2!$F$2:$F$611,MATCH($A456,Dataset_2!$A$2:$A$611,0))</f>
        <v>28</v>
      </c>
      <c r="P456">
        <f>INDEX(Dataset_2!$G$2:$G$611,MATCH($A456,Dataset_2!$A$2:$A$611,0))</f>
        <v>31</v>
      </c>
    </row>
    <row r="457" spans="1:16" x14ac:dyDescent="0.2">
      <c r="A457">
        <f>Dataset_1!A457</f>
        <v>456</v>
      </c>
      <c r="B457" s="61">
        <f>Dataset_1!B457</f>
        <v>40564</v>
      </c>
      <c r="C457">
        <f>Dataset_1!C457</f>
        <v>1</v>
      </c>
      <c r="D457">
        <f>Dataset_1!D457</f>
        <v>0</v>
      </c>
      <c r="E457">
        <f>Dataset_1!E457</f>
        <v>1</v>
      </c>
      <c r="F457">
        <f>Dataset_1!F457</f>
        <v>0</v>
      </c>
      <c r="G457" t="b">
        <f>Dataset_1!G457</f>
        <v>0</v>
      </c>
      <c r="H457">
        <f>Dataset_1!H457</f>
        <v>5</v>
      </c>
      <c r="I457">
        <f>Dataset_1!I457</f>
        <v>2</v>
      </c>
      <c r="J457">
        <f>Dataset_1!J457</f>
        <v>0.24</v>
      </c>
      <c r="K457">
        <f>INDEX(Dataset_2!$B$2:$B$611,MATCH($A457,Dataset_2!$A$2:$A$611,0))</f>
        <v>0.2273</v>
      </c>
      <c r="L457">
        <f>INDEX(Dataset_2!$C$2:$C$611,MATCH($A457,Dataset_2!$A$2:$A$611,0))</f>
        <v>0.7</v>
      </c>
      <c r="M457">
        <f>INDEX(Dataset_2!$D$2:$D$611,MATCH($A457,Dataset_2!$A$2:$A$611,0))</f>
        <v>0.25369999999999998</v>
      </c>
      <c r="N457">
        <f>INDEX(Dataset_2!$E$2:$E$611,MATCH($A457,Dataset_2!$A$2:$A$611,0))</f>
        <v>1</v>
      </c>
      <c r="O457">
        <f>INDEX(Dataset_2!$F$2:$F$611,MATCH($A457,Dataset_2!$A$2:$A$611,0))</f>
        <v>20</v>
      </c>
      <c r="P457">
        <f>INDEX(Dataset_2!$G$2:$G$611,MATCH($A457,Dataset_2!$A$2:$A$611,0))</f>
        <v>21</v>
      </c>
    </row>
    <row r="458" spans="1:16" x14ac:dyDescent="0.2">
      <c r="A458">
        <f>Dataset_1!A458</f>
        <v>457</v>
      </c>
      <c r="B458" s="61">
        <f>Dataset_1!B458</f>
        <v>40564</v>
      </c>
      <c r="C458">
        <f>Dataset_1!C458</f>
        <v>1</v>
      </c>
      <c r="D458">
        <f>Dataset_1!D458</f>
        <v>0</v>
      </c>
      <c r="E458">
        <f>Dataset_1!E458</f>
        <v>1</v>
      </c>
      <c r="F458">
        <f>Dataset_1!F458</f>
        <v>1</v>
      </c>
      <c r="G458" t="b">
        <f>Dataset_1!G458</f>
        <v>0</v>
      </c>
      <c r="H458">
        <f>Dataset_1!H458</f>
        <v>5</v>
      </c>
      <c r="I458">
        <f>Dataset_1!I458</f>
        <v>2</v>
      </c>
      <c r="J458">
        <f>Dataset_1!J458</f>
        <v>0.24</v>
      </c>
      <c r="K458">
        <f>INDEX(Dataset_2!$B$2:$B$611,MATCH($A458,Dataset_2!$A$2:$A$611,0))</f>
        <v>0.2273</v>
      </c>
      <c r="L458">
        <f>INDEX(Dataset_2!$C$2:$C$611,MATCH($A458,Dataset_2!$A$2:$A$611,0))</f>
        <v>0.7</v>
      </c>
      <c r="M458">
        <f>INDEX(Dataset_2!$D$2:$D$611,MATCH($A458,Dataset_2!$A$2:$A$611,0))</f>
        <v>0.25369999999999998</v>
      </c>
      <c r="N458">
        <f>INDEX(Dataset_2!$E$2:$E$611,MATCH($A458,Dataset_2!$A$2:$A$611,0))</f>
        <v>0</v>
      </c>
      <c r="O458">
        <f>INDEX(Dataset_2!$F$2:$F$611,MATCH($A458,Dataset_2!$A$2:$A$611,0))</f>
        <v>6</v>
      </c>
      <c r="P458">
        <f>INDEX(Dataset_2!$G$2:$G$611,MATCH($A458,Dataset_2!$A$2:$A$611,0))</f>
        <v>6</v>
      </c>
    </row>
    <row r="459" spans="1:16" x14ac:dyDescent="0.2">
      <c r="A459">
        <f>Dataset_1!A459</f>
        <v>458</v>
      </c>
      <c r="B459" s="61">
        <f>Dataset_1!B459</f>
        <v>40564</v>
      </c>
      <c r="C459">
        <f>Dataset_1!C459</f>
        <v>1</v>
      </c>
      <c r="D459">
        <f>Dataset_1!D459</f>
        <v>0</v>
      </c>
      <c r="E459">
        <f>Dataset_1!E459</f>
        <v>1</v>
      </c>
      <c r="F459">
        <f>Dataset_1!F459</f>
        <v>2</v>
      </c>
      <c r="G459" t="b">
        <f>Dataset_1!G459</f>
        <v>0</v>
      </c>
      <c r="H459">
        <f>Dataset_1!H459</f>
        <v>5</v>
      </c>
      <c r="I459">
        <f>Dataset_1!I459</f>
        <v>3</v>
      </c>
      <c r="J459">
        <f>Dataset_1!J459</f>
        <v>0.24</v>
      </c>
      <c r="K459">
        <f>INDEX(Dataset_2!$B$2:$B$611,MATCH($A459,Dataset_2!$A$2:$A$611,0))</f>
        <v>0.2424</v>
      </c>
      <c r="L459">
        <f>INDEX(Dataset_2!$C$2:$C$611,MATCH($A459,Dataset_2!$A$2:$A$611,0))</f>
        <v>0.75</v>
      </c>
      <c r="M459">
        <f>INDEX(Dataset_2!$D$2:$D$611,MATCH($A459,Dataset_2!$A$2:$A$611,0))</f>
        <v>0.16420000000000001</v>
      </c>
      <c r="N459">
        <f>INDEX(Dataset_2!$E$2:$E$611,MATCH($A459,Dataset_2!$A$2:$A$611,0))</f>
        <v>0</v>
      </c>
      <c r="O459">
        <f>INDEX(Dataset_2!$F$2:$F$611,MATCH($A459,Dataset_2!$A$2:$A$611,0))</f>
        <v>2</v>
      </c>
      <c r="P459">
        <f>INDEX(Dataset_2!$G$2:$G$611,MATCH($A459,Dataset_2!$A$2:$A$611,0))</f>
        <v>2</v>
      </c>
    </row>
    <row r="460" spans="1:16" x14ac:dyDescent="0.2">
      <c r="A460">
        <f>Dataset_1!A460</f>
        <v>459</v>
      </c>
      <c r="B460" s="61">
        <f>Dataset_1!B460</f>
        <v>40564</v>
      </c>
      <c r="C460">
        <f>Dataset_1!C460</f>
        <v>1</v>
      </c>
      <c r="D460">
        <f>Dataset_1!D460</f>
        <v>0</v>
      </c>
      <c r="E460">
        <f>Dataset_1!E460</f>
        <v>1</v>
      </c>
      <c r="F460">
        <f>Dataset_1!F460</f>
        <v>3</v>
      </c>
      <c r="G460" t="b">
        <f>Dataset_1!G460</f>
        <v>0</v>
      </c>
      <c r="H460">
        <f>Dataset_1!H460</f>
        <v>5</v>
      </c>
      <c r="I460">
        <f>Dataset_1!I460</f>
        <v>3</v>
      </c>
      <c r="J460">
        <f>Dataset_1!J460</f>
        <v>0.22</v>
      </c>
      <c r="K460">
        <f>INDEX(Dataset_2!$B$2:$B$611,MATCH($A460,Dataset_2!$A$2:$A$611,0))</f>
        <v>0.21210000000000001</v>
      </c>
      <c r="L460">
        <f>INDEX(Dataset_2!$C$2:$C$611,MATCH($A460,Dataset_2!$A$2:$A$611,0))</f>
        <v>0.8</v>
      </c>
      <c r="M460">
        <f>INDEX(Dataset_2!$D$2:$D$611,MATCH($A460,Dataset_2!$A$2:$A$611,0))</f>
        <v>0.29849999999999999</v>
      </c>
      <c r="N460">
        <f>INDEX(Dataset_2!$E$2:$E$611,MATCH($A460,Dataset_2!$A$2:$A$611,0))</f>
        <v>0</v>
      </c>
      <c r="O460">
        <f>INDEX(Dataset_2!$F$2:$F$611,MATCH($A460,Dataset_2!$A$2:$A$611,0))</f>
        <v>1</v>
      </c>
      <c r="P460">
        <f>INDEX(Dataset_2!$G$2:$G$611,MATCH($A460,Dataset_2!$A$2:$A$611,0))</f>
        <v>1</v>
      </c>
    </row>
    <row r="461" spans="1:16" x14ac:dyDescent="0.2">
      <c r="A461">
        <f>Dataset_1!A461</f>
        <v>460</v>
      </c>
      <c r="B461" s="61">
        <f>Dataset_1!B461</f>
        <v>40564</v>
      </c>
      <c r="C461">
        <f>Dataset_1!C461</f>
        <v>1</v>
      </c>
      <c r="D461">
        <f>Dataset_1!D461</f>
        <v>0</v>
      </c>
      <c r="E461">
        <f>Dataset_1!E461</f>
        <v>1</v>
      </c>
      <c r="F461">
        <f>Dataset_1!F461</f>
        <v>4</v>
      </c>
      <c r="G461" t="b">
        <f>Dataset_1!G461</f>
        <v>0</v>
      </c>
      <c r="H461">
        <f>Dataset_1!H461</f>
        <v>5</v>
      </c>
      <c r="I461">
        <f>Dataset_1!I461</f>
        <v>2</v>
      </c>
      <c r="J461">
        <f>Dataset_1!J461</f>
        <v>0.22</v>
      </c>
      <c r="K461">
        <f>INDEX(Dataset_2!$B$2:$B$611,MATCH($A461,Dataset_2!$A$2:$A$611,0))</f>
        <v>0.2576</v>
      </c>
      <c r="L461">
        <f>INDEX(Dataset_2!$C$2:$C$611,MATCH($A461,Dataset_2!$A$2:$A$611,0))</f>
        <v>0.87</v>
      </c>
      <c r="M461">
        <f>INDEX(Dataset_2!$D$2:$D$611,MATCH($A461,Dataset_2!$A$2:$A$611,0))</f>
        <v>8.9599999999999999E-2</v>
      </c>
      <c r="N461">
        <f>INDEX(Dataset_2!$E$2:$E$611,MATCH($A461,Dataset_2!$A$2:$A$611,0))</f>
        <v>0</v>
      </c>
      <c r="O461">
        <f>INDEX(Dataset_2!$F$2:$F$611,MATCH($A461,Dataset_2!$A$2:$A$611,0))</f>
        <v>1</v>
      </c>
      <c r="P461">
        <f>INDEX(Dataset_2!$G$2:$G$611,MATCH($A461,Dataset_2!$A$2:$A$611,0))</f>
        <v>1</v>
      </c>
    </row>
    <row r="462" spans="1:16" x14ac:dyDescent="0.2">
      <c r="A462">
        <f>Dataset_1!A462</f>
        <v>461</v>
      </c>
      <c r="B462" s="61">
        <f>Dataset_1!B462</f>
        <v>40564</v>
      </c>
      <c r="C462">
        <f>Dataset_1!C462</f>
        <v>1</v>
      </c>
      <c r="D462">
        <f>Dataset_1!D462</f>
        <v>0</v>
      </c>
      <c r="E462">
        <f>Dataset_1!E462</f>
        <v>1</v>
      </c>
      <c r="F462">
        <f>Dataset_1!F462</f>
        <v>5</v>
      </c>
      <c r="G462" t="b">
        <f>Dataset_1!G462</f>
        <v>0</v>
      </c>
      <c r="H462">
        <f>Dataset_1!H462</f>
        <v>5</v>
      </c>
      <c r="I462">
        <f>Dataset_1!I462</f>
        <v>1</v>
      </c>
      <c r="J462">
        <f>Dataset_1!J462</f>
        <v>0.24</v>
      </c>
      <c r="K462">
        <f>INDEX(Dataset_2!$B$2:$B$611,MATCH($A462,Dataset_2!$A$2:$A$611,0))</f>
        <v>0.19700000000000001</v>
      </c>
      <c r="L462">
        <f>INDEX(Dataset_2!$C$2:$C$611,MATCH($A462,Dataset_2!$A$2:$A$611,0))</f>
        <v>0.6</v>
      </c>
      <c r="M462">
        <f>INDEX(Dataset_2!$D$2:$D$611,MATCH($A462,Dataset_2!$A$2:$A$611,0))</f>
        <v>0.41789999999999999</v>
      </c>
      <c r="N462">
        <f>INDEX(Dataset_2!$E$2:$E$611,MATCH($A462,Dataset_2!$A$2:$A$611,0))</f>
        <v>1</v>
      </c>
      <c r="O462">
        <f>INDEX(Dataset_2!$F$2:$F$611,MATCH($A462,Dataset_2!$A$2:$A$611,0))</f>
        <v>4</v>
      </c>
      <c r="P462">
        <f>INDEX(Dataset_2!$G$2:$G$611,MATCH($A462,Dataset_2!$A$2:$A$611,0))</f>
        <v>5</v>
      </c>
    </row>
    <row r="463" spans="1:16" x14ac:dyDescent="0.2">
      <c r="A463">
        <f>Dataset_1!A463</f>
        <v>462</v>
      </c>
      <c r="B463" s="61">
        <f>Dataset_1!B463</f>
        <v>40564</v>
      </c>
      <c r="C463">
        <f>Dataset_1!C463</f>
        <v>1</v>
      </c>
      <c r="D463">
        <f>Dataset_1!D463</f>
        <v>0</v>
      </c>
      <c r="E463">
        <f>Dataset_1!E463</f>
        <v>1</v>
      </c>
      <c r="F463">
        <f>Dataset_1!F463</f>
        <v>6</v>
      </c>
      <c r="G463" t="b">
        <f>Dataset_1!G463</f>
        <v>0</v>
      </c>
      <c r="H463">
        <f>Dataset_1!H463</f>
        <v>5</v>
      </c>
      <c r="I463">
        <f>Dataset_1!I463</f>
        <v>1</v>
      </c>
      <c r="J463">
        <f>Dataset_1!J463</f>
        <v>0.22</v>
      </c>
      <c r="K463">
        <f>INDEX(Dataset_2!$B$2:$B$611,MATCH($A463,Dataset_2!$A$2:$A$611,0))</f>
        <v>0.21210000000000001</v>
      </c>
      <c r="L463">
        <f>INDEX(Dataset_2!$C$2:$C$611,MATCH($A463,Dataset_2!$A$2:$A$611,0))</f>
        <v>0.55000000000000004</v>
      </c>
      <c r="M463">
        <f>INDEX(Dataset_2!$D$2:$D$611,MATCH($A463,Dataset_2!$A$2:$A$611,0))</f>
        <v>0.25369999999999998</v>
      </c>
      <c r="N463">
        <f>INDEX(Dataset_2!$E$2:$E$611,MATCH($A463,Dataset_2!$A$2:$A$611,0))</f>
        <v>0</v>
      </c>
      <c r="O463">
        <f>INDEX(Dataset_2!$F$2:$F$611,MATCH($A463,Dataset_2!$A$2:$A$611,0))</f>
        <v>27</v>
      </c>
      <c r="P463">
        <f>INDEX(Dataset_2!$G$2:$G$611,MATCH($A463,Dataset_2!$A$2:$A$611,0))</f>
        <v>27</v>
      </c>
    </row>
    <row r="464" spans="1:16" x14ac:dyDescent="0.2">
      <c r="A464">
        <f>Dataset_1!A464</f>
        <v>463</v>
      </c>
      <c r="B464" s="61">
        <f>Dataset_1!B464</f>
        <v>40564</v>
      </c>
      <c r="C464">
        <f>Dataset_1!C464</f>
        <v>1</v>
      </c>
      <c r="D464">
        <f>Dataset_1!D464</f>
        <v>0</v>
      </c>
      <c r="E464">
        <f>Dataset_1!E464</f>
        <v>1</v>
      </c>
      <c r="F464">
        <f>Dataset_1!F464</f>
        <v>7</v>
      </c>
      <c r="G464" t="b">
        <f>Dataset_1!G464</f>
        <v>0</v>
      </c>
      <c r="H464">
        <f>Dataset_1!H464</f>
        <v>5</v>
      </c>
      <c r="I464">
        <f>Dataset_1!I464</f>
        <v>1</v>
      </c>
      <c r="J464">
        <f>Dataset_1!J464</f>
        <v>0.2</v>
      </c>
      <c r="K464">
        <f>INDEX(Dataset_2!$B$2:$B$611,MATCH($A464,Dataset_2!$A$2:$A$611,0))</f>
        <v>0.18179999999999999</v>
      </c>
      <c r="L464">
        <f>INDEX(Dataset_2!$C$2:$C$611,MATCH($A464,Dataset_2!$A$2:$A$611,0))</f>
        <v>0.51</v>
      </c>
      <c r="M464">
        <f>INDEX(Dataset_2!$D$2:$D$611,MATCH($A464,Dataset_2!$A$2:$A$611,0))</f>
        <v>0.28360000000000002</v>
      </c>
      <c r="N464">
        <f>INDEX(Dataset_2!$E$2:$E$611,MATCH($A464,Dataset_2!$A$2:$A$611,0))</f>
        <v>2</v>
      </c>
      <c r="O464">
        <f>INDEX(Dataset_2!$F$2:$F$611,MATCH($A464,Dataset_2!$A$2:$A$611,0))</f>
        <v>66</v>
      </c>
      <c r="P464">
        <f>INDEX(Dataset_2!$G$2:$G$611,MATCH($A464,Dataset_2!$A$2:$A$611,0))</f>
        <v>68</v>
      </c>
    </row>
    <row r="465" spans="1:16" x14ac:dyDescent="0.2">
      <c r="A465">
        <f>Dataset_1!A465</f>
        <v>464</v>
      </c>
      <c r="B465" s="61">
        <f>Dataset_1!B465</f>
        <v>40564</v>
      </c>
      <c r="C465">
        <f>Dataset_1!C465</f>
        <v>1</v>
      </c>
      <c r="D465">
        <f>Dataset_1!D465</f>
        <v>0</v>
      </c>
      <c r="E465">
        <f>Dataset_1!E465</f>
        <v>1</v>
      </c>
      <c r="F465">
        <f>Dataset_1!F465</f>
        <v>8</v>
      </c>
      <c r="G465" t="b">
        <f>Dataset_1!G465</f>
        <v>0</v>
      </c>
      <c r="H465">
        <f>Dataset_1!H465</f>
        <v>5</v>
      </c>
      <c r="I465">
        <f>Dataset_1!I465</f>
        <v>1</v>
      </c>
      <c r="J465">
        <f>Dataset_1!J465</f>
        <v>0.2</v>
      </c>
      <c r="K465">
        <f>INDEX(Dataset_2!$B$2:$B$611,MATCH($A465,Dataset_2!$A$2:$A$611,0))</f>
        <v>0.18179999999999999</v>
      </c>
      <c r="L465">
        <f>INDEX(Dataset_2!$C$2:$C$611,MATCH($A465,Dataset_2!$A$2:$A$611,0))</f>
        <v>0.47</v>
      </c>
      <c r="M465">
        <f>INDEX(Dataset_2!$D$2:$D$611,MATCH($A465,Dataset_2!$A$2:$A$611,0))</f>
        <v>0.32840000000000003</v>
      </c>
      <c r="N465">
        <f>INDEX(Dataset_2!$E$2:$E$611,MATCH($A465,Dataset_2!$A$2:$A$611,0))</f>
        <v>7</v>
      </c>
      <c r="O465">
        <f>INDEX(Dataset_2!$F$2:$F$611,MATCH($A465,Dataset_2!$A$2:$A$611,0))</f>
        <v>210</v>
      </c>
      <c r="P465">
        <f>INDEX(Dataset_2!$G$2:$G$611,MATCH($A465,Dataset_2!$A$2:$A$611,0))</f>
        <v>217</v>
      </c>
    </row>
    <row r="466" spans="1:16" x14ac:dyDescent="0.2">
      <c r="A466">
        <f>Dataset_1!A466</f>
        <v>465</v>
      </c>
      <c r="B466" s="61">
        <f>Dataset_1!B466</f>
        <v>40564</v>
      </c>
      <c r="C466">
        <f>Dataset_1!C466</f>
        <v>1</v>
      </c>
      <c r="D466">
        <f>Dataset_1!D466</f>
        <v>0</v>
      </c>
      <c r="E466">
        <f>Dataset_1!E466</f>
        <v>1</v>
      </c>
      <c r="F466">
        <f>Dataset_1!F466</f>
        <v>9</v>
      </c>
      <c r="G466" t="b">
        <f>Dataset_1!G466</f>
        <v>0</v>
      </c>
      <c r="H466">
        <f>Dataset_1!H466</f>
        <v>5</v>
      </c>
      <c r="I466">
        <f>Dataset_1!I466</f>
        <v>1</v>
      </c>
      <c r="J466">
        <f>Dataset_1!J466</f>
        <v>0.2</v>
      </c>
      <c r="K466">
        <f>INDEX(Dataset_2!$B$2:$B$611,MATCH($A466,Dataset_2!$A$2:$A$611,0))</f>
        <v>0.18179999999999999</v>
      </c>
      <c r="L466">
        <f>INDEX(Dataset_2!$C$2:$C$611,MATCH($A466,Dataset_2!$A$2:$A$611,0))</f>
        <v>0.51</v>
      </c>
      <c r="M466">
        <f>INDEX(Dataset_2!$D$2:$D$611,MATCH($A466,Dataset_2!$A$2:$A$611,0))</f>
        <v>0.35820000000000002</v>
      </c>
      <c r="N466">
        <f>INDEX(Dataset_2!$E$2:$E$611,MATCH($A466,Dataset_2!$A$2:$A$611,0))</f>
        <v>7</v>
      </c>
      <c r="O466">
        <f>INDEX(Dataset_2!$F$2:$F$611,MATCH($A466,Dataset_2!$A$2:$A$611,0))</f>
        <v>159</v>
      </c>
      <c r="P466">
        <f>INDEX(Dataset_2!$G$2:$G$611,MATCH($A466,Dataset_2!$A$2:$A$611,0))</f>
        <v>166</v>
      </c>
    </row>
    <row r="467" spans="1:16" x14ac:dyDescent="0.2">
      <c r="A467">
        <f>Dataset_1!A467</f>
        <v>466</v>
      </c>
      <c r="B467" s="61">
        <f>Dataset_1!B467</f>
        <v>40564</v>
      </c>
      <c r="C467">
        <f>Dataset_1!C467</f>
        <v>1</v>
      </c>
      <c r="D467">
        <f>Dataset_1!D467</f>
        <v>0</v>
      </c>
      <c r="E467">
        <f>Dataset_1!E467</f>
        <v>1</v>
      </c>
      <c r="F467">
        <f>Dataset_1!F467</f>
        <v>10</v>
      </c>
      <c r="G467" t="b">
        <f>Dataset_1!G467</f>
        <v>0</v>
      </c>
      <c r="H467">
        <f>Dataset_1!H467</f>
        <v>5</v>
      </c>
      <c r="I467">
        <f>Dataset_1!I467</f>
        <v>1</v>
      </c>
      <c r="J467">
        <f>Dataset_1!J467</f>
        <v>0.2</v>
      </c>
      <c r="K467">
        <f>INDEX(Dataset_2!$B$2:$B$611,MATCH($A467,Dataset_2!$A$2:$A$611,0))</f>
        <v>0.16669999999999999</v>
      </c>
      <c r="L467">
        <f>INDEX(Dataset_2!$C$2:$C$611,MATCH($A467,Dataset_2!$A$2:$A$611,0))</f>
        <v>0.47</v>
      </c>
      <c r="M467">
        <f>INDEX(Dataset_2!$D$2:$D$611,MATCH($A467,Dataset_2!$A$2:$A$611,0))</f>
        <v>0.4627</v>
      </c>
      <c r="N467">
        <f>INDEX(Dataset_2!$E$2:$E$611,MATCH($A467,Dataset_2!$A$2:$A$611,0))</f>
        <v>6</v>
      </c>
      <c r="O467">
        <f>INDEX(Dataset_2!$F$2:$F$611,MATCH($A467,Dataset_2!$A$2:$A$611,0))</f>
        <v>57</v>
      </c>
      <c r="P467">
        <f>INDEX(Dataset_2!$G$2:$G$611,MATCH($A467,Dataset_2!$A$2:$A$611,0))</f>
        <v>63</v>
      </c>
    </row>
    <row r="468" spans="1:16" x14ac:dyDescent="0.2">
      <c r="A468">
        <f>Dataset_1!A468</f>
        <v>467</v>
      </c>
      <c r="B468" s="61">
        <f>Dataset_1!B468</f>
        <v>40564</v>
      </c>
      <c r="C468">
        <f>Dataset_1!C468</f>
        <v>1</v>
      </c>
      <c r="D468">
        <f>Dataset_1!D468</f>
        <v>0</v>
      </c>
      <c r="E468">
        <f>Dataset_1!E468</f>
        <v>1</v>
      </c>
      <c r="F468">
        <f>Dataset_1!F468</f>
        <v>11</v>
      </c>
      <c r="G468" t="b">
        <f>Dataset_1!G468</f>
        <v>0</v>
      </c>
      <c r="H468">
        <f>Dataset_1!H468</f>
        <v>5</v>
      </c>
      <c r="I468">
        <f>Dataset_1!I468</f>
        <v>1</v>
      </c>
      <c r="J468">
        <f>Dataset_1!J468</f>
        <v>0.22</v>
      </c>
      <c r="K468">
        <f>INDEX(Dataset_2!$B$2:$B$611,MATCH($A468,Dataset_2!$A$2:$A$611,0))</f>
        <v>0.18179999999999999</v>
      </c>
      <c r="L468">
        <f>INDEX(Dataset_2!$C$2:$C$611,MATCH($A468,Dataset_2!$A$2:$A$611,0))</f>
        <v>0.41</v>
      </c>
      <c r="M468">
        <f>INDEX(Dataset_2!$D$2:$D$611,MATCH($A468,Dataset_2!$A$2:$A$611,0))</f>
        <v>0.4627</v>
      </c>
      <c r="N468">
        <f>INDEX(Dataset_2!$E$2:$E$611,MATCH($A468,Dataset_2!$A$2:$A$611,0))</f>
        <v>6</v>
      </c>
      <c r="O468">
        <f>INDEX(Dataset_2!$F$2:$F$611,MATCH($A468,Dataset_2!$A$2:$A$611,0))</f>
        <v>53</v>
      </c>
      <c r="P468">
        <f>INDEX(Dataset_2!$G$2:$G$611,MATCH($A468,Dataset_2!$A$2:$A$611,0))</f>
        <v>59</v>
      </c>
    </row>
    <row r="469" spans="1:16" x14ac:dyDescent="0.2">
      <c r="A469">
        <f>Dataset_1!A469</f>
        <v>468</v>
      </c>
      <c r="B469" s="61">
        <f>Dataset_1!B469</f>
        <v>40564</v>
      </c>
      <c r="C469">
        <f>Dataset_1!C469</f>
        <v>1</v>
      </c>
      <c r="D469">
        <f>Dataset_1!D469</f>
        <v>0</v>
      </c>
      <c r="E469">
        <f>Dataset_1!E469</f>
        <v>1</v>
      </c>
      <c r="F469">
        <f>Dataset_1!F469</f>
        <v>12</v>
      </c>
      <c r="G469" t="b">
        <f>Dataset_1!G469</f>
        <v>0</v>
      </c>
      <c r="H469">
        <f>Dataset_1!H469</f>
        <v>5</v>
      </c>
      <c r="I469">
        <f>Dataset_1!I469</f>
        <v>1</v>
      </c>
      <c r="J469">
        <f>Dataset_1!J469</f>
        <v>0.22</v>
      </c>
      <c r="K469">
        <f>INDEX(Dataset_2!$B$2:$B$611,MATCH($A469,Dataset_2!$A$2:$A$611,0))</f>
        <v>0.18179999999999999</v>
      </c>
      <c r="L469">
        <f>INDEX(Dataset_2!$C$2:$C$611,MATCH($A469,Dataset_2!$A$2:$A$611,0))</f>
        <v>0.27</v>
      </c>
      <c r="M469">
        <f>INDEX(Dataset_2!$D$2:$D$611,MATCH($A469,Dataset_2!$A$2:$A$611,0))</f>
        <v>0.58209999999999995</v>
      </c>
      <c r="N469">
        <f>INDEX(Dataset_2!$E$2:$E$611,MATCH($A469,Dataset_2!$A$2:$A$611,0))</f>
        <v>11</v>
      </c>
      <c r="O469">
        <f>INDEX(Dataset_2!$F$2:$F$611,MATCH($A469,Dataset_2!$A$2:$A$611,0))</f>
        <v>67</v>
      </c>
      <c r="P469">
        <f>INDEX(Dataset_2!$G$2:$G$611,MATCH($A469,Dataset_2!$A$2:$A$611,0))</f>
        <v>78</v>
      </c>
    </row>
    <row r="470" spans="1:16" x14ac:dyDescent="0.2">
      <c r="A470">
        <f>Dataset_1!A470</f>
        <v>469</v>
      </c>
      <c r="B470" s="61">
        <f>Dataset_1!B470</f>
        <v>40564</v>
      </c>
      <c r="C470">
        <f>Dataset_1!C470</f>
        <v>1</v>
      </c>
      <c r="D470">
        <f>Dataset_1!D470</f>
        <v>0</v>
      </c>
      <c r="E470">
        <f>Dataset_1!E470</f>
        <v>1</v>
      </c>
      <c r="F470">
        <f>Dataset_1!F470</f>
        <v>13</v>
      </c>
      <c r="G470" t="b">
        <f>Dataset_1!G470</f>
        <v>0</v>
      </c>
      <c r="H470">
        <f>Dataset_1!H470</f>
        <v>5</v>
      </c>
      <c r="I470">
        <f>Dataset_1!I470</f>
        <v>1</v>
      </c>
      <c r="J470">
        <f>Dataset_1!J470</f>
        <v>0.2</v>
      </c>
      <c r="K470">
        <f>INDEX(Dataset_2!$B$2:$B$611,MATCH($A470,Dataset_2!$A$2:$A$611,0))</f>
        <v>0.1515</v>
      </c>
      <c r="L470">
        <f>INDEX(Dataset_2!$C$2:$C$611,MATCH($A470,Dataset_2!$A$2:$A$611,0))</f>
        <v>0.21</v>
      </c>
      <c r="M470">
        <f>INDEX(Dataset_2!$D$2:$D$611,MATCH($A470,Dataset_2!$A$2:$A$611,0))</f>
        <v>0.58209999999999995</v>
      </c>
      <c r="N470">
        <f>INDEX(Dataset_2!$E$2:$E$611,MATCH($A470,Dataset_2!$A$2:$A$611,0))</f>
        <v>8</v>
      </c>
      <c r="O470">
        <f>INDEX(Dataset_2!$F$2:$F$611,MATCH($A470,Dataset_2!$A$2:$A$611,0))</f>
        <v>65</v>
      </c>
      <c r="P470">
        <f>INDEX(Dataset_2!$G$2:$G$611,MATCH($A470,Dataset_2!$A$2:$A$611,0))</f>
        <v>73</v>
      </c>
    </row>
    <row r="471" spans="1:16" x14ac:dyDescent="0.2">
      <c r="A471">
        <f>Dataset_1!A471</f>
        <v>470</v>
      </c>
      <c r="B471" s="61">
        <f>Dataset_1!B471</f>
        <v>40564</v>
      </c>
      <c r="C471">
        <f>Dataset_1!C471</f>
        <v>1</v>
      </c>
      <c r="D471">
        <f>Dataset_1!D471</f>
        <v>0</v>
      </c>
      <c r="E471">
        <f>Dataset_1!E471</f>
        <v>1</v>
      </c>
      <c r="F471">
        <f>Dataset_1!F471</f>
        <v>14</v>
      </c>
      <c r="G471" t="b">
        <f>Dataset_1!G471</f>
        <v>0</v>
      </c>
      <c r="H471">
        <f>Dataset_1!H471</f>
        <v>5</v>
      </c>
      <c r="I471">
        <f>Dataset_1!I471</f>
        <v>1</v>
      </c>
      <c r="J471">
        <f>Dataset_1!J471</f>
        <v>0.2</v>
      </c>
      <c r="K471">
        <f>INDEX(Dataset_2!$B$2:$B$611,MATCH($A471,Dataset_2!$A$2:$A$611,0))</f>
        <v>0.1515</v>
      </c>
      <c r="L471">
        <f>INDEX(Dataset_2!$C$2:$C$611,MATCH($A471,Dataset_2!$A$2:$A$611,0))</f>
        <v>0.25</v>
      </c>
      <c r="M471">
        <f>INDEX(Dataset_2!$D$2:$D$611,MATCH($A471,Dataset_2!$A$2:$A$611,0))</f>
        <v>0.52239999999999998</v>
      </c>
      <c r="N471">
        <f>INDEX(Dataset_2!$E$2:$E$611,MATCH($A471,Dataset_2!$A$2:$A$611,0))</f>
        <v>6</v>
      </c>
      <c r="O471">
        <f>INDEX(Dataset_2!$F$2:$F$611,MATCH($A471,Dataset_2!$A$2:$A$611,0))</f>
        <v>56</v>
      </c>
      <c r="P471">
        <f>INDEX(Dataset_2!$G$2:$G$611,MATCH($A471,Dataset_2!$A$2:$A$611,0))</f>
        <v>62</v>
      </c>
    </row>
    <row r="472" spans="1:16" x14ac:dyDescent="0.2">
      <c r="A472">
        <f>Dataset_1!A472</f>
        <v>471</v>
      </c>
      <c r="B472" s="61">
        <f>Dataset_1!B472</f>
        <v>40564</v>
      </c>
      <c r="C472">
        <f>Dataset_1!C472</f>
        <v>1</v>
      </c>
      <c r="D472">
        <f>Dataset_1!D472</f>
        <v>0</v>
      </c>
      <c r="E472">
        <f>Dataset_1!E472</f>
        <v>1</v>
      </c>
      <c r="F472">
        <f>Dataset_1!F472</f>
        <v>15</v>
      </c>
      <c r="G472" t="b">
        <f>Dataset_1!G472</f>
        <v>0</v>
      </c>
      <c r="H472">
        <f>Dataset_1!H472</f>
        <v>5</v>
      </c>
      <c r="I472">
        <f>Dataset_1!I472</f>
        <v>1</v>
      </c>
      <c r="J472">
        <f>Dataset_1!J472</f>
        <v>0.16</v>
      </c>
      <c r="K472">
        <f>INDEX(Dataset_2!$B$2:$B$611,MATCH($A472,Dataset_2!$A$2:$A$611,0))</f>
        <v>0.1212</v>
      </c>
      <c r="L472">
        <f>INDEX(Dataset_2!$C$2:$C$611,MATCH($A472,Dataset_2!$A$2:$A$611,0))</f>
        <v>0.26</v>
      </c>
      <c r="M472">
        <f>INDEX(Dataset_2!$D$2:$D$611,MATCH($A472,Dataset_2!$A$2:$A$611,0))</f>
        <v>0.44779999999999998</v>
      </c>
      <c r="N472">
        <f>INDEX(Dataset_2!$E$2:$E$611,MATCH($A472,Dataset_2!$A$2:$A$611,0))</f>
        <v>4</v>
      </c>
      <c r="O472">
        <f>INDEX(Dataset_2!$F$2:$F$611,MATCH($A472,Dataset_2!$A$2:$A$611,0))</f>
        <v>61</v>
      </c>
      <c r="P472">
        <f>INDEX(Dataset_2!$G$2:$G$611,MATCH($A472,Dataset_2!$A$2:$A$611,0))</f>
        <v>65</v>
      </c>
    </row>
    <row r="473" spans="1:16" x14ac:dyDescent="0.2">
      <c r="A473">
        <f>Dataset_1!A473</f>
        <v>472</v>
      </c>
      <c r="B473" s="61">
        <f>Dataset_1!B473</f>
        <v>40564</v>
      </c>
      <c r="C473">
        <f>Dataset_1!C473</f>
        <v>1</v>
      </c>
      <c r="D473">
        <f>Dataset_1!D473</f>
        <v>0</v>
      </c>
      <c r="E473">
        <f>Dataset_1!E473</f>
        <v>1</v>
      </c>
      <c r="F473">
        <f>Dataset_1!F473</f>
        <v>16</v>
      </c>
      <c r="G473" t="b">
        <f>Dataset_1!G473</f>
        <v>0</v>
      </c>
      <c r="H473">
        <f>Dataset_1!H473</f>
        <v>5</v>
      </c>
      <c r="I473">
        <f>Dataset_1!I473</f>
        <v>1</v>
      </c>
      <c r="J473">
        <f>Dataset_1!J473</f>
        <v>0.16</v>
      </c>
      <c r="K473">
        <f>INDEX(Dataset_2!$B$2:$B$611,MATCH($A473,Dataset_2!$A$2:$A$611,0))</f>
        <v>0.13639999999999999</v>
      </c>
      <c r="L473">
        <f>INDEX(Dataset_2!$C$2:$C$611,MATCH($A473,Dataset_2!$A$2:$A$611,0))</f>
        <v>0.26</v>
      </c>
      <c r="M473">
        <f>INDEX(Dataset_2!$D$2:$D$611,MATCH($A473,Dataset_2!$A$2:$A$611,0))</f>
        <v>0.35820000000000002</v>
      </c>
      <c r="N473">
        <f>INDEX(Dataset_2!$E$2:$E$611,MATCH($A473,Dataset_2!$A$2:$A$611,0))</f>
        <v>0</v>
      </c>
      <c r="O473">
        <f>INDEX(Dataset_2!$F$2:$F$611,MATCH($A473,Dataset_2!$A$2:$A$611,0))</f>
        <v>97</v>
      </c>
      <c r="P473">
        <f>INDEX(Dataset_2!$G$2:$G$611,MATCH($A473,Dataset_2!$A$2:$A$611,0))</f>
        <v>97</v>
      </c>
    </row>
    <row r="474" spans="1:16" x14ac:dyDescent="0.2">
      <c r="A474">
        <f>Dataset_1!A474</f>
        <v>473</v>
      </c>
      <c r="B474" s="61">
        <f>Dataset_1!B474</f>
        <v>40564</v>
      </c>
      <c r="C474">
        <f>Dataset_1!C474</f>
        <v>1</v>
      </c>
      <c r="D474">
        <f>Dataset_1!D474</f>
        <v>0</v>
      </c>
      <c r="E474">
        <f>Dataset_1!E474</f>
        <v>1</v>
      </c>
      <c r="F474">
        <f>Dataset_1!F474</f>
        <v>17</v>
      </c>
      <c r="G474" t="b">
        <f>Dataset_1!G474</f>
        <v>0</v>
      </c>
      <c r="H474">
        <f>Dataset_1!H474</f>
        <v>5</v>
      </c>
      <c r="I474">
        <f>Dataset_1!I474</f>
        <v>1</v>
      </c>
      <c r="J474">
        <f>Dataset_1!J474</f>
        <v>0.14000000000000001</v>
      </c>
      <c r="K474">
        <f>INDEX(Dataset_2!$B$2:$B$611,MATCH($A474,Dataset_2!$A$2:$A$611,0))</f>
        <v>0.1212</v>
      </c>
      <c r="L474">
        <f>INDEX(Dataset_2!$C$2:$C$611,MATCH($A474,Dataset_2!$A$2:$A$611,0))</f>
        <v>0.28000000000000003</v>
      </c>
      <c r="M474">
        <f>INDEX(Dataset_2!$D$2:$D$611,MATCH($A474,Dataset_2!$A$2:$A$611,0))</f>
        <v>0.35820000000000002</v>
      </c>
      <c r="N474">
        <f>INDEX(Dataset_2!$E$2:$E$611,MATCH($A474,Dataset_2!$A$2:$A$611,0))</f>
        <v>10</v>
      </c>
      <c r="O474">
        <f>INDEX(Dataset_2!$F$2:$F$611,MATCH($A474,Dataset_2!$A$2:$A$611,0))</f>
        <v>151</v>
      </c>
      <c r="P474">
        <f>INDEX(Dataset_2!$G$2:$G$611,MATCH($A474,Dataset_2!$A$2:$A$611,0))</f>
        <v>161</v>
      </c>
    </row>
    <row r="475" spans="1:16" x14ac:dyDescent="0.2">
      <c r="A475">
        <f>Dataset_1!A475</f>
        <v>474</v>
      </c>
      <c r="B475" s="61">
        <f>Dataset_1!B475</f>
        <v>40564</v>
      </c>
      <c r="C475">
        <f>Dataset_1!C475</f>
        <v>1</v>
      </c>
      <c r="D475">
        <f>Dataset_1!D475</f>
        <v>0</v>
      </c>
      <c r="E475">
        <f>Dataset_1!E475</f>
        <v>1</v>
      </c>
      <c r="F475">
        <f>Dataset_1!F475</f>
        <v>18</v>
      </c>
      <c r="G475" t="b">
        <f>Dataset_1!G475</f>
        <v>0</v>
      </c>
      <c r="H475">
        <f>Dataset_1!H475</f>
        <v>5</v>
      </c>
      <c r="I475">
        <f>Dataset_1!I475</f>
        <v>1</v>
      </c>
      <c r="J475">
        <f>Dataset_1!J475</f>
        <v>0.12</v>
      </c>
      <c r="K475">
        <f>INDEX(Dataset_2!$B$2:$B$611,MATCH($A475,Dataset_2!$A$2:$A$611,0))</f>
        <v>0.1212</v>
      </c>
      <c r="L475">
        <f>INDEX(Dataset_2!$C$2:$C$611,MATCH($A475,Dataset_2!$A$2:$A$611,0))</f>
        <v>0.3</v>
      </c>
      <c r="M475">
        <f>INDEX(Dataset_2!$D$2:$D$611,MATCH($A475,Dataset_2!$A$2:$A$611,0))</f>
        <v>0.25369999999999998</v>
      </c>
      <c r="N475">
        <f>INDEX(Dataset_2!$E$2:$E$611,MATCH($A475,Dataset_2!$A$2:$A$611,0))</f>
        <v>1</v>
      </c>
      <c r="O475">
        <f>INDEX(Dataset_2!$F$2:$F$611,MATCH($A475,Dataset_2!$A$2:$A$611,0))</f>
        <v>119</v>
      </c>
      <c r="P475">
        <f>INDEX(Dataset_2!$G$2:$G$611,MATCH($A475,Dataset_2!$A$2:$A$611,0))</f>
        <v>120</v>
      </c>
    </row>
    <row r="476" spans="1:16" x14ac:dyDescent="0.2">
      <c r="A476">
        <f>Dataset_1!A476</f>
        <v>475</v>
      </c>
      <c r="B476" s="61">
        <f>Dataset_1!B476</f>
        <v>40564</v>
      </c>
      <c r="C476">
        <f>Dataset_1!C476</f>
        <v>1</v>
      </c>
      <c r="D476">
        <f>Dataset_1!D476</f>
        <v>0</v>
      </c>
      <c r="E476">
        <f>Dataset_1!E476</f>
        <v>1</v>
      </c>
      <c r="F476">
        <f>Dataset_1!F476</f>
        <v>19</v>
      </c>
      <c r="G476" t="b">
        <f>Dataset_1!G476</f>
        <v>0</v>
      </c>
      <c r="H476">
        <f>Dataset_1!H476</f>
        <v>5</v>
      </c>
      <c r="I476">
        <f>Dataset_1!I476</f>
        <v>1</v>
      </c>
      <c r="J476">
        <f>Dataset_1!J476</f>
        <v>0.12</v>
      </c>
      <c r="K476">
        <f>INDEX(Dataset_2!$B$2:$B$611,MATCH($A476,Dataset_2!$A$2:$A$611,0))</f>
        <v>0.1061</v>
      </c>
      <c r="L476">
        <f>INDEX(Dataset_2!$C$2:$C$611,MATCH($A476,Dataset_2!$A$2:$A$611,0))</f>
        <v>0.3</v>
      </c>
      <c r="M476">
        <f>INDEX(Dataset_2!$D$2:$D$611,MATCH($A476,Dataset_2!$A$2:$A$611,0))</f>
        <v>0.32840000000000003</v>
      </c>
      <c r="N476">
        <f>INDEX(Dataset_2!$E$2:$E$611,MATCH($A476,Dataset_2!$A$2:$A$611,0))</f>
        <v>3</v>
      </c>
      <c r="O476">
        <f>INDEX(Dataset_2!$F$2:$F$611,MATCH($A476,Dataset_2!$A$2:$A$611,0))</f>
        <v>93</v>
      </c>
      <c r="P476">
        <f>INDEX(Dataset_2!$G$2:$G$611,MATCH($A476,Dataset_2!$A$2:$A$611,0))</f>
        <v>96</v>
      </c>
    </row>
    <row r="477" spans="1:16" x14ac:dyDescent="0.2">
      <c r="A477">
        <f>Dataset_1!A477</f>
        <v>476</v>
      </c>
      <c r="B477" s="61">
        <f>Dataset_1!B477</f>
        <v>40564</v>
      </c>
      <c r="C477">
        <f>Dataset_1!C477</f>
        <v>1</v>
      </c>
      <c r="D477">
        <f>Dataset_1!D477</f>
        <v>0</v>
      </c>
      <c r="E477">
        <f>Dataset_1!E477</f>
        <v>1</v>
      </c>
      <c r="F477">
        <f>Dataset_1!F477</f>
        <v>20</v>
      </c>
      <c r="G477" t="b">
        <f>Dataset_1!G477</f>
        <v>0</v>
      </c>
      <c r="H477">
        <f>Dataset_1!H477</f>
        <v>5</v>
      </c>
      <c r="I477">
        <f>Dataset_1!I477</f>
        <v>1</v>
      </c>
      <c r="J477">
        <f>Dataset_1!J477</f>
        <v>0.1</v>
      </c>
      <c r="K477">
        <f>INDEX(Dataset_2!$B$2:$B$611,MATCH($A477,Dataset_2!$A$2:$A$611,0))</f>
        <v>7.5800000000000006E-2</v>
      </c>
      <c r="L477">
        <f>INDEX(Dataset_2!$C$2:$C$611,MATCH($A477,Dataset_2!$A$2:$A$611,0))</f>
        <v>0.33</v>
      </c>
      <c r="M477">
        <f>INDEX(Dataset_2!$D$2:$D$611,MATCH($A477,Dataset_2!$A$2:$A$611,0))</f>
        <v>0.41789999999999999</v>
      </c>
      <c r="N477">
        <f>INDEX(Dataset_2!$E$2:$E$611,MATCH($A477,Dataset_2!$A$2:$A$611,0))</f>
        <v>1</v>
      </c>
      <c r="O477">
        <f>INDEX(Dataset_2!$F$2:$F$611,MATCH($A477,Dataset_2!$A$2:$A$611,0))</f>
        <v>52</v>
      </c>
      <c r="P477">
        <f>INDEX(Dataset_2!$G$2:$G$611,MATCH($A477,Dataset_2!$A$2:$A$611,0))</f>
        <v>53</v>
      </c>
    </row>
    <row r="478" spans="1:16" x14ac:dyDescent="0.2">
      <c r="A478">
        <f>Dataset_1!A478</f>
        <v>477</v>
      </c>
      <c r="B478" s="61">
        <f>Dataset_1!B478</f>
        <v>40564</v>
      </c>
      <c r="C478">
        <f>Dataset_1!C478</f>
        <v>1</v>
      </c>
      <c r="D478">
        <f>Dataset_1!D478</f>
        <v>0</v>
      </c>
      <c r="E478">
        <f>Dataset_1!E478</f>
        <v>1</v>
      </c>
      <c r="F478">
        <f>Dataset_1!F478</f>
        <v>21</v>
      </c>
      <c r="G478" t="b">
        <f>Dataset_1!G478</f>
        <v>0</v>
      </c>
      <c r="H478">
        <f>Dataset_1!H478</f>
        <v>5</v>
      </c>
      <c r="I478">
        <f>Dataset_1!I478</f>
        <v>1</v>
      </c>
      <c r="J478">
        <f>Dataset_1!J478</f>
        <v>0.08</v>
      </c>
      <c r="K478">
        <f>INDEX(Dataset_2!$B$2:$B$611,MATCH($A478,Dataset_2!$A$2:$A$611,0))</f>
        <v>7.5800000000000006E-2</v>
      </c>
      <c r="L478">
        <f>INDEX(Dataset_2!$C$2:$C$611,MATCH($A478,Dataset_2!$A$2:$A$611,0))</f>
        <v>0.38</v>
      </c>
      <c r="M478">
        <f>INDEX(Dataset_2!$D$2:$D$611,MATCH($A478,Dataset_2!$A$2:$A$611,0))</f>
        <v>0.28360000000000002</v>
      </c>
      <c r="N478">
        <f>INDEX(Dataset_2!$E$2:$E$611,MATCH($A478,Dataset_2!$A$2:$A$611,0))</f>
        <v>0</v>
      </c>
      <c r="O478">
        <f>INDEX(Dataset_2!$F$2:$F$611,MATCH($A478,Dataset_2!$A$2:$A$611,0))</f>
        <v>41</v>
      </c>
      <c r="P478">
        <f>INDEX(Dataset_2!$G$2:$G$611,MATCH($A478,Dataset_2!$A$2:$A$611,0))</f>
        <v>41</v>
      </c>
    </row>
    <row r="479" spans="1:16" x14ac:dyDescent="0.2">
      <c r="A479">
        <f>Dataset_1!A479</f>
        <v>478</v>
      </c>
      <c r="B479" s="61">
        <f>Dataset_1!B479</f>
        <v>40564</v>
      </c>
      <c r="C479">
        <f>Dataset_1!C479</f>
        <v>1</v>
      </c>
      <c r="D479">
        <f>Dataset_1!D479</f>
        <v>0</v>
      </c>
      <c r="E479">
        <f>Dataset_1!E479</f>
        <v>1</v>
      </c>
      <c r="F479">
        <f>Dataset_1!F479</f>
        <v>22</v>
      </c>
      <c r="G479" t="b">
        <f>Dataset_1!G479</f>
        <v>0</v>
      </c>
      <c r="H479">
        <f>Dataset_1!H479</f>
        <v>5</v>
      </c>
      <c r="I479">
        <f>Dataset_1!I479</f>
        <v>1</v>
      </c>
      <c r="J479">
        <f>Dataset_1!J479</f>
        <v>0.06</v>
      </c>
      <c r="K479">
        <f>INDEX(Dataset_2!$B$2:$B$611,MATCH($A479,Dataset_2!$A$2:$A$611,0))</f>
        <v>3.0300000000000001E-2</v>
      </c>
      <c r="L479">
        <f>INDEX(Dataset_2!$C$2:$C$611,MATCH($A479,Dataset_2!$A$2:$A$611,0))</f>
        <v>0.41</v>
      </c>
      <c r="M479">
        <f>INDEX(Dataset_2!$D$2:$D$611,MATCH($A479,Dataset_2!$A$2:$A$611,0))</f>
        <v>0.3881</v>
      </c>
      <c r="N479">
        <f>INDEX(Dataset_2!$E$2:$E$611,MATCH($A479,Dataset_2!$A$2:$A$611,0))</f>
        <v>1</v>
      </c>
      <c r="O479">
        <f>INDEX(Dataset_2!$F$2:$F$611,MATCH($A479,Dataset_2!$A$2:$A$611,0))</f>
        <v>33</v>
      </c>
      <c r="P479">
        <f>INDEX(Dataset_2!$G$2:$G$611,MATCH($A479,Dataset_2!$A$2:$A$611,0))</f>
        <v>34</v>
      </c>
    </row>
    <row r="480" spans="1:16" x14ac:dyDescent="0.2">
      <c r="A480">
        <f>Dataset_1!A480</f>
        <v>479</v>
      </c>
      <c r="B480" s="61">
        <f>Dataset_1!B480</f>
        <v>40564</v>
      </c>
      <c r="C480">
        <f>Dataset_1!C480</f>
        <v>1</v>
      </c>
      <c r="D480">
        <f>Dataset_1!D480</f>
        <v>0</v>
      </c>
      <c r="E480">
        <f>Dataset_1!E480</f>
        <v>1</v>
      </c>
      <c r="F480">
        <f>Dataset_1!F480</f>
        <v>23</v>
      </c>
      <c r="G480" t="b">
        <f>Dataset_1!G480</f>
        <v>0</v>
      </c>
      <c r="H480">
        <f>Dataset_1!H480</f>
        <v>5</v>
      </c>
      <c r="I480">
        <f>Dataset_1!I480</f>
        <v>1</v>
      </c>
      <c r="J480">
        <f>Dataset_1!J480</f>
        <v>0.06</v>
      </c>
      <c r="K480">
        <f>INDEX(Dataset_2!$B$2:$B$611,MATCH($A480,Dataset_2!$A$2:$A$611,0))</f>
        <v>4.5499999999999999E-2</v>
      </c>
      <c r="L480">
        <f>INDEX(Dataset_2!$C$2:$C$611,MATCH($A480,Dataset_2!$A$2:$A$611,0))</f>
        <v>0.38</v>
      </c>
      <c r="M480">
        <f>INDEX(Dataset_2!$D$2:$D$611,MATCH($A480,Dataset_2!$A$2:$A$611,0))</f>
        <v>0.32840000000000003</v>
      </c>
      <c r="N480">
        <f>INDEX(Dataset_2!$E$2:$E$611,MATCH($A480,Dataset_2!$A$2:$A$611,0))</f>
        <v>0</v>
      </c>
      <c r="O480">
        <f>INDEX(Dataset_2!$F$2:$F$611,MATCH($A480,Dataset_2!$A$2:$A$611,0))</f>
        <v>27</v>
      </c>
      <c r="P480">
        <f>INDEX(Dataset_2!$G$2:$G$611,MATCH($A480,Dataset_2!$A$2:$A$611,0))</f>
        <v>27</v>
      </c>
    </row>
    <row r="481" spans="1:16" x14ac:dyDescent="0.2">
      <c r="A481">
        <f>Dataset_1!A481</f>
        <v>480</v>
      </c>
      <c r="B481" s="61">
        <f>Dataset_1!B481</f>
        <v>40565</v>
      </c>
      <c r="C481">
        <f>Dataset_1!C481</f>
        <v>1</v>
      </c>
      <c r="D481">
        <f>Dataset_1!D481</f>
        <v>0</v>
      </c>
      <c r="E481">
        <f>Dataset_1!E481</f>
        <v>1</v>
      </c>
      <c r="F481">
        <f>Dataset_1!F481</f>
        <v>0</v>
      </c>
      <c r="G481" t="b">
        <f>Dataset_1!G481</f>
        <v>0</v>
      </c>
      <c r="H481">
        <f>Dataset_1!H481</f>
        <v>6</v>
      </c>
      <c r="I481">
        <f>Dataset_1!I481</f>
        <v>1</v>
      </c>
      <c r="J481">
        <f>Dataset_1!J481</f>
        <v>0.04</v>
      </c>
      <c r="K481">
        <f>INDEX(Dataset_2!$B$2:$B$611,MATCH($A481,Dataset_2!$A$2:$A$611,0))</f>
        <v>3.0300000000000001E-2</v>
      </c>
      <c r="L481">
        <f>INDEX(Dataset_2!$C$2:$C$611,MATCH($A481,Dataset_2!$A$2:$A$611,0))</f>
        <v>0.45</v>
      </c>
      <c r="M481">
        <f>INDEX(Dataset_2!$D$2:$D$611,MATCH($A481,Dataset_2!$A$2:$A$611,0))</f>
        <v>0.25369999999999998</v>
      </c>
      <c r="N481">
        <f>INDEX(Dataset_2!$E$2:$E$611,MATCH($A481,Dataset_2!$A$2:$A$611,0))</f>
        <v>0</v>
      </c>
      <c r="O481">
        <f>INDEX(Dataset_2!$F$2:$F$611,MATCH($A481,Dataset_2!$A$2:$A$611,0))</f>
        <v>13</v>
      </c>
      <c r="P481">
        <f>INDEX(Dataset_2!$G$2:$G$611,MATCH($A481,Dataset_2!$A$2:$A$611,0))</f>
        <v>13</v>
      </c>
    </row>
    <row r="482" spans="1:16" x14ac:dyDescent="0.2">
      <c r="A482">
        <f>Dataset_1!A482</f>
        <v>481</v>
      </c>
      <c r="B482" s="61">
        <f>Dataset_1!B482</f>
        <v>40565</v>
      </c>
      <c r="C482">
        <f>Dataset_1!C482</f>
        <v>1</v>
      </c>
      <c r="D482">
        <f>Dataset_1!D482</f>
        <v>0</v>
      </c>
      <c r="E482">
        <f>Dataset_1!E482</f>
        <v>1</v>
      </c>
      <c r="F482">
        <f>Dataset_1!F482</f>
        <v>1</v>
      </c>
      <c r="G482" t="b">
        <f>Dataset_1!G482</f>
        <v>0</v>
      </c>
      <c r="H482">
        <f>Dataset_1!H482</f>
        <v>6</v>
      </c>
      <c r="I482">
        <f>Dataset_1!I482</f>
        <v>2</v>
      </c>
      <c r="J482">
        <f>Dataset_1!J482</f>
        <v>0.04</v>
      </c>
      <c r="K482">
        <f>INDEX(Dataset_2!$B$2:$B$611,MATCH($A482,Dataset_2!$A$2:$A$611,0))</f>
        <v>0</v>
      </c>
      <c r="L482">
        <f>INDEX(Dataset_2!$C$2:$C$611,MATCH($A482,Dataset_2!$A$2:$A$611,0))</f>
        <v>0.41</v>
      </c>
      <c r="M482">
        <f>INDEX(Dataset_2!$D$2:$D$611,MATCH($A482,Dataset_2!$A$2:$A$611,0))</f>
        <v>0.3881</v>
      </c>
      <c r="N482">
        <f>INDEX(Dataset_2!$E$2:$E$611,MATCH($A482,Dataset_2!$A$2:$A$611,0))</f>
        <v>3</v>
      </c>
      <c r="O482">
        <f>INDEX(Dataset_2!$F$2:$F$611,MATCH($A482,Dataset_2!$A$2:$A$611,0))</f>
        <v>9</v>
      </c>
      <c r="P482">
        <f>INDEX(Dataset_2!$G$2:$G$611,MATCH($A482,Dataset_2!$A$2:$A$611,0))</f>
        <v>12</v>
      </c>
    </row>
    <row r="483" spans="1:16" x14ac:dyDescent="0.2">
      <c r="A483">
        <f>Dataset_1!A483</f>
        <v>482</v>
      </c>
      <c r="B483" s="61">
        <f>Dataset_1!B483</f>
        <v>40565</v>
      </c>
      <c r="C483">
        <f>Dataset_1!C483</f>
        <v>1</v>
      </c>
      <c r="D483">
        <f>Dataset_1!D483</f>
        <v>0</v>
      </c>
      <c r="E483">
        <f>Dataset_1!E483</f>
        <v>1</v>
      </c>
      <c r="F483">
        <f>Dataset_1!F483</f>
        <v>2</v>
      </c>
      <c r="G483" t="b">
        <f>Dataset_1!G483</f>
        <v>0</v>
      </c>
      <c r="H483">
        <f>Dataset_1!H483</f>
        <v>6</v>
      </c>
      <c r="I483">
        <f>Dataset_1!I483</f>
        <v>2</v>
      </c>
      <c r="J483">
        <f>Dataset_1!J483</f>
        <v>0.04</v>
      </c>
      <c r="K483">
        <f>INDEX(Dataset_2!$B$2:$B$611,MATCH($A483,Dataset_2!$A$2:$A$611,0))</f>
        <v>3.0300000000000001E-2</v>
      </c>
      <c r="L483">
        <f>INDEX(Dataset_2!$C$2:$C$611,MATCH($A483,Dataset_2!$A$2:$A$611,0))</f>
        <v>0.41</v>
      </c>
      <c r="M483">
        <f>INDEX(Dataset_2!$D$2:$D$611,MATCH($A483,Dataset_2!$A$2:$A$611,0))</f>
        <v>0.25369999999999998</v>
      </c>
      <c r="N483">
        <f>INDEX(Dataset_2!$E$2:$E$611,MATCH($A483,Dataset_2!$A$2:$A$611,0))</f>
        <v>0</v>
      </c>
      <c r="O483">
        <f>INDEX(Dataset_2!$F$2:$F$611,MATCH($A483,Dataset_2!$A$2:$A$611,0))</f>
        <v>11</v>
      </c>
      <c r="P483">
        <f>INDEX(Dataset_2!$G$2:$G$611,MATCH($A483,Dataset_2!$A$2:$A$611,0))</f>
        <v>11</v>
      </c>
    </row>
    <row r="484" spans="1:16" x14ac:dyDescent="0.2">
      <c r="A484">
        <f>Dataset_1!A484</f>
        <v>483</v>
      </c>
      <c r="B484" s="61">
        <f>Dataset_1!B484</f>
        <v>40565</v>
      </c>
      <c r="C484">
        <f>Dataset_1!C484</f>
        <v>1</v>
      </c>
      <c r="D484">
        <f>Dataset_1!D484</f>
        <v>0</v>
      </c>
      <c r="E484">
        <f>Dataset_1!E484</f>
        <v>1</v>
      </c>
      <c r="F484">
        <f>Dataset_1!F484</f>
        <v>3</v>
      </c>
      <c r="G484" t="b">
        <f>Dataset_1!G484</f>
        <v>0</v>
      </c>
      <c r="H484">
        <f>Dataset_1!H484</f>
        <v>6</v>
      </c>
      <c r="I484">
        <f>Dataset_1!I484</f>
        <v>2</v>
      </c>
      <c r="J484">
        <f>Dataset_1!J484</f>
        <v>0.04</v>
      </c>
      <c r="K484">
        <f>INDEX(Dataset_2!$B$2:$B$611,MATCH($A484,Dataset_2!$A$2:$A$611,0))</f>
        <v>3.0300000000000001E-2</v>
      </c>
      <c r="L484">
        <f>INDEX(Dataset_2!$C$2:$C$611,MATCH($A484,Dataset_2!$A$2:$A$611,0))</f>
        <v>0.41</v>
      </c>
      <c r="M484">
        <f>INDEX(Dataset_2!$D$2:$D$611,MATCH($A484,Dataset_2!$A$2:$A$611,0))</f>
        <v>0.28360000000000002</v>
      </c>
      <c r="N484">
        <f>INDEX(Dataset_2!$E$2:$E$611,MATCH($A484,Dataset_2!$A$2:$A$611,0))</f>
        <v>1</v>
      </c>
      <c r="O484">
        <f>INDEX(Dataset_2!$F$2:$F$611,MATCH($A484,Dataset_2!$A$2:$A$611,0))</f>
        <v>6</v>
      </c>
      <c r="P484">
        <f>INDEX(Dataset_2!$G$2:$G$611,MATCH($A484,Dataset_2!$A$2:$A$611,0))</f>
        <v>7</v>
      </c>
    </row>
    <row r="485" spans="1:16" x14ac:dyDescent="0.2">
      <c r="A485">
        <f>Dataset_1!A485</f>
        <v>484</v>
      </c>
      <c r="B485" s="61">
        <f>Dataset_1!B485</f>
        <v>40565</v>
      </c>
      <c r="C485">
        <f>Dataset_1!C485</f>
        <v>1</v>
      </c>
      <c r="D485">
        <f>Dataset_1!D485</f>
        <v>0</v>
      </c>
      <c r="E485">
        <f>Dataset_1!E485</f>
        <v>1</v>
      </c>
      <c r="F485">
        <f>Dataset_1!F485</f>
        <v>4</v>
      </c>
      <c r="G485" t="b">
        <f>Dataset_1!G485</f>
        <v>0</v>
      </c>
      <c r="H485">
        <f>Dataset_1!H485</f>
        <v>6</v>
      </c>
      <c r="I485">
        <f>Dataset_1!I485</f>
        <v>2</v>
      </c>
      <c r="J485">
        <f>Dataset_1!J485</f>
        <v>0.02</v>
      </c>
      <c r="K485">
        <f>INDEX(Dataset_2!$B$2:$B$611,MATCH($A485,Dataset_2!$A$2:$A$611,0))</f>
        <v>1.52E-2</v>
      </c>
      <c r="L485">
        <f>INDEX(Dataset_2!$C$2:$C$611,MATCH($A485,Dataset_2!$A$2:$A$611,0))</f>
        <v>0.48</v>
      </c>
      <c r="M485">
        <f>INDEX(Dataset_2!$D$2:$D$611,MATCH($A485,Dataset_2!$A$2:$A$611,0))</f>
        <v>0.29849999999999999</v>
      </c>
      <c r="N485">
        <f>INDEX(Dataset_2!$E$2:$E$611,MATCH($A485,Dataset_2!$A$2:$A$611,0))</f>
        <v>0</v>
      </c>
      <c r="O485">
        <f>INDEX(Dataset_2!$F$2:$F$611,MATCH($A485,Dataset_2!$A$2:$A$611,0))</f>
        <v>3</v>
      </c>
      <c r="P485">
        <f>INDEX(Dataset_2!$G$2:$G$611,MATCH($A485,Dataset_2!$A$2:$A$611,0))</f>
        <v>3</v>
      </c>
    </row>
    <row r="486" spans="1:16" x14ac:dyDescent="0.2">
      <c r="A486">
        <f>Dataset_1!A486</f>
        <v>485</v>
      </c>
      <c r="B486" s="61">
        <f>Dataset_1!B486</f>
        <v>40565</v>
      </c>
      <c r="C486">
        <f>Dataset_1!C486</f>
        <v>1</v>
      </c>
      <c r="D486">
        <f>Dataset_1!D486</f>
        <v>0</v>
      </c>
      <c r="E486">
        <f>Dataset_1!E486</f>
        <v>1</v>
      </c>
      <c r="F486">
        <f>Dataset_1!F486</f>
        <v>6</v>
      </c>
      <c r="G486" t="b">
        <f>Dataset_1!G486</f>
        <v>0</v>
      </c>
      <c r="H486">
        <f>Dataset_1!H486</f>
        <v>6</v>
      </c>
      <c r="I486">
        <f>Dataset_1!I486</f>
        <v>2</v>
      </c>
      <c r="J486">
        <f>Dataset_1!J486</f>
        <v>0.02</v>
      </c>
      <c r="K486">
        <f>INDEX(Dataset_2!$B$2:$B$611,MATCH($A486,Dataset_2!$A$2:$A$611,0))</f>
        <v>3.0300000000000001E-2</v>
      </c>
      <c r="L486">
        <f>INDEX(Dataset_2!$C$2:$C$611,MATCH($A486,Dataset_2!$A$2:$A$611,0))</f>
        <v>0.44</v>
      </c>
      <c r="M486">
        <f>INDEX(Dataset_2!$D$2:$D$611,MATCH($A486,Dataset_2!$A$2:$A$611,0))</f>
        <v>0.22389999999999999</v>
      </c>
      <c r="N486">
        <f>INDEX(Dataset_2!$E$2:$E$611,MATCH($A486,Dataset_2!$A$2:$A$611,0))</f>
        <v>0</v>
      </c>
      <c r="O486">
        <f>INDEX(Dataset_2!$F$2:$F$611,MATCH($A486,Dataset_2!$A$2:$A$611,0))</f>
        <v>2</v>
      </c>
      <c r="P486">
        <f>INDEX(Dataset_2!$G$2:$G$611,MATCH($A486,Dataset_2!$A$2:$A$611,0))</f>
        <v>2</v>
      </c>
    </row>
    <row r="487" spans="1:16" x14ac:dyDescent="0.2">
      <c r="A487">
        <f>Dataset_1!A487</f>
        <v>486</v>
      </c>
      <c r="B487" s="61">
        <f>Dataset_1!B487</f>
        <v>40565</v>
      </c>
      <c r="C487">
        <f>Dataset_1!C487</f>
        <v>1</v>
      </c>
      <c r="D487">
        <f>Dataset_1!D487</f>
        <v>0</v>
      </c>
      <c r="E487">
        <f>Dataset_1!E487</f>
        <v>1</v>
      </c>
      <c r="F487">
        <f>Dataset_1!F487</f>
        <v>7</v>
      </c>
      <c r="G487" t="b">
        <f>Dataset_1!G487</f>
        <v>0</v>
      </c>
      <c r="H487">
        <f>Dataset_1!H487</f>
        <v>6</v>
      </c>
      <c r="I487">
        <f>Dataset_1!I487</f>
        <v>1</v>
      </c>
      <c r="J487">
        <f>Dataset_1!J487</f>
        <v>0.02</v>
      </c>
      <c r="K487">
        <f>INDEX(Dataset_2!$B$2:$B$611,MATCH($A487,Dataset_2!$A$2:$A$611,0))</f>
        <v>1.52E-2</v>
      </c>
      <c r="L487">
        <f>INDEX(Dataset_2!$C$2:$C$611,MATCH($A487,Dataset_2!$A$2:$A$611,0))</f>
        <v>0.44</v>
      </c>
      <c r="M487">
        <f>INDEX(Dataset_2!$D$2:$D$611,MATCH($A487,Dataset_2!$A$2:$A$611,0))</f>
        <v>0.28360000000000002</v>
      </c>
      <c r="N487">
        <f>INDEX(Dataset_2!$E$2:$E$611,MATCH($A487,Dataset_2!$A$2:$A$611,0))</f>
        <v>0</v>
      </c>
      <c r="O487">
        <f>INDEX(Dataset_2!$F$2:$F$611,MATCH($A487,Dataset_2!$A$2:$A$611,0))</f>
        <v>8</v>
      </c>
      <c r="P487">
        <f>INDEX(Dataset_2!$G$2:$G$611,MATCH($A487,Dataset_2!$A$2:$A$611,0))</f>
        <v>8</v>
      </c>
    </row>
    <row r="488" spans="1:16" x14ac:dyDescent="0.2">
      <c r="A488">
        <f>Dataset_1!A488</f>
        <v>487</v>
      </c>
      <c r="B488" s="61">
        <f>Dataset_1!B488</f>
        <v>40565</v>
      </c>
      <c r="C488">
        <f>Dataset_1!C488</f>
        <v>1</v>
      </c>
      <c r="D488">
        <f>Dataset_1!D488</f>
        <v>0</v>
      </c>
      <c r="E488">
        <f>Dataset_1!E488</f>
        <v>1</v>
      </c>
      <c r="F488">
        <f>Dataset_1!F488</f>
        <v>8</v>
      </c>
      <c r="G488" t="b">
        <f>Dataset_1!G488</f>
        <v>0</v>
      </c>
      <c r="H488">
        <f>Dataset_1!H488</f>
        <v>6</v>
      </c>
      <c r="I488">
        <f>Dataset_1!I488</f>
        <v>1</v>
      </c>
      <c r="J488">
        <f>Dataset_1!J488</f>
        <v>0.02</v>
      </c>
      <c r="K488">
        <f>INDEX(Dataset_2!$B$2:$B$611,MATCH($A488,Dataset_2!$A$2:$A$611,0))</f>
        <v>0</v>
      </c>
      <c r="L488">
        <f>INDEX(Dataset_2!$C$2:$C$611,MATCH($A488,Dataset_2!$A$2:$A$611,0))</f>
        <v>0.44</v>
      </c>
      <c r="M488">
        <f>INDEX(Dataset_2!$D$2:$D$611,MATCH($A488,Dataset_2!$A$2:$A$611,0))</f>
        <v>0.32840000000000003</v>
      </c>
      <c r="N488">
        <f>INDEX(Dataset_2!$E$2:$E$611,MATCH($A488,Dataset_2!$A$2:$A$611,0))</f>
        <v>1</v>
      </c>
      <c r="O488">
        <f>INDEX(Dataset_2!$F$2:$F$611,MATCH($A488,Dataset_2!$A$2:$A$611,0))</f>
        <v>26</v>
      </c>
      <c r="P488">
        <f>INDEX(Dataset_2!$G$2:$G$611,MATCH($A488,Dataset_2!$A$2:$A$611,0))</f>
        <v>27</v>
      </c>
    </row>
    <row r="489" spans="1:16" x14ac:dyDescent="0.2">
      <c r="A489">
        <f>Dataset_1!A489</f>
        <v>488</v>
      </c>
      <c r="B489" s="61">
        <f>Dataset_1!B489</f>
        <v>40565</v>
      </c>
      <c r="C489">
        <f>Dataset_1!C489</f>
        <v>1</v>
      </c>
      <c r="D489">
        <f>Dataset_1!D489</f>
        <v>0</v>
      </c>
      <c r="E489">
        <f>Dataset_1!E489</f>
        <v>1</v>
      </c>
      <c r="F489">
        <f>Dataset_1!F489</f>
        <v>9</v>
      </c>
      <c r="G489" t="b">
        <f>Dataset_1!G489</f>
        <v>0</v>
      </c>
      <c r="H489">
        <f>Dataset_1!H489</f>
        <v>6</v>
      </c>
      <c r="I489">
        <f>Dataset_1!I489</f>
        <v>1</v>
      </c>
      <c r="J489">
        <f>Dataset_1!J489</f>
        <v>0.04</v>
      </c>
      <c r="K489">
        <f>INDEX(Dataset_2!$B$2:$B$611,MATCH($A489,Dataset_2!$A$2:$A$611,0))</f>
        <v>3.0300000000000001E-2</v>
      </c>
      <c r="L489">
        <f>INDEX(Dataset_2!$C$2:$C$611,MATCH($A489,Dataset_2!$A$2:$A$611,0))</f>
        <v>0.41</v>
      </c>
      <c r="M489">
        <f>INDEX(Dataset_2!$D$2:$D$611,MATCH($A489,Dataset_2!$A$2:$A$611,0))</f>
        <v>0.25369999999999998</v>
      </c>
      <c r="N489">
        <f>INDEX(Dataset_2!$E$2:$E$611,MATCH($A489,Dataset_2!$A$2:$A$611,0))</f>
        <v>3</v>
      </c>
      <c r="O489">
        <f>INDEX(Dataset_2!$F$2:$F$611,MATCH($A489,Dataset_2!$A$2:$A$611,0))</f>
        <v>37</v>
      </c>
      <c r="P489">
        <f>INDEX(Dataset_2!$G$2:$G$611,MATCH($A489,Dataset_2!$A$2:$A$611,0))</f>
        <v>40</v>
      </c>
    </row>
    <row r="490" spans="1:16" x14ac:dyDescent="0.2">
      <c r="A490">
        <f>Dataset_1!A490</f>
        <v>489</v>
      </c>
      <c r="B490" s="61">
        <f>Dataset_1!B490</f>
        <v>40565</v>
      </c>
      <c r="C490">
        <f>Dataset_1!C490</f>
        <v>1</v>
      </c>
      <c r="D490">
        <f>Dataset_1!D490</f>
        <v>0</v>
      </c>
      <c r="E490">
        <f>Dataset_1!E490</f>
        <v>1</v>
      </c>
      <c r="F490">
        <f>Dataset_1!F490</f>
        <v>10</v>
      </c>
      <c r="G490" t="b">
        <f>Dataset_1!G490</f>
        <v>0</v>
      </c>
      <c r="H490">
        <f>Dataset_1!H490</f>
        <v>6</v>
      </c>
      <c r="I490">
        <f>Dataset_1!I490</f>
        <v>2</v>
      </c>
      <c r="J490">
        <f>Dataset_1!J490</f>
        <v>0.04</v>
      </c>
      <c r="K490">
        <f>INDEX(Dataset_2!$B$2:$B$611,MATCH($A490,Dataset_2!$A$2:$A$611,0))</f>
        <v>6.0600000000000001E-2</v>
      </c>
      <c r="L490">
        <f>INDEX(Dataset_2!$C$2:$C$611,MATCH($A490,Dataset_2!$A$2:$A$611,0))</f>
        <v>0.41</v>
      </c>
      <c r="M490">
        <f>INDEX(Dataset_2!$D$2:$D$611,MATCH($A490,Dataset_2!$A$2:$A$611,0))</f>
        <v>0.16420000000000001</v>
      </c>
      <c r="N490">
        <f>INDEX(Dataset_2!$E$2:$E$611,MATCH($A490,Dataset_2!$A$2:$A$611,0))</f>
        <v>3</v>
      </c>
      <c r="O490">
        <f>INDEX(Dataset_2!$F$2:$F$611,MATCH($A490,Dataset_2!$A$2:$A$611,0))</f>
        <v>50</v>
      </c>
      <c r="P490">
        <f>INDEX(Dataset_2!$G$2:$G$611,MATCH($A490,Dataset_2!$A$2:$A$611,0))</f>
        <v>53</v>
      </c>
    </row>
    <row r="491" spans="1:16" x14ac:dyDescent="0.2">
      <c r="A491">
        <f>Dataset_1!A491</f>
        <v>490</v>
      </c>
      <c r="B491" s="61">
        <f>Dataset_1!B491</f>
        <v>40565</v>
      </c>
      <c r="C491">
        <f>Dataset_1!C491</f>
        <v>1</v>
      </c>
      <c r="D491">
        <f>Dataset_1!D491</f>
        <v>0</v>
      </c>
      <c r="E491">
        <f>Dataset_1!E491</f>
        <v>1</v>
      </c>
      <c r="F491">
        <f>Dataset_1!F491</f>
        <v>11</v>
      </c>
      <c r="G491" t="b">
        <f>Dataset_1!G491</f>
        <v>0</v>
      </c>
      <c r="H491">
        <f>Dataset_1!H491</f>
        <v>6</v>
      </c>
      <c r="I491">
        <f>Dataset_1!I491</f>
        <v>2</v>
      </c>
      <c r="J491">
        <f>Dataset_1!J491</f>
        <v>0.06</v>
      </c>
      <c r="K491">
        <f>INDEX(Dataset_2!$B$2:$B$611,MATCH($A491,Dataset_2!$A$2:$A$611,0))</f>
        <v>7.5800000000000006E-2</v>
      </c>
      <c r="L491">
        <f>INDEX(Dataset_2!$C$2:$C$611,MATCH($A491,Dataset_2!$A$2:$A$611,0))</f>
        <v>0.38</v>
      </c>
      <c r="M491">
        <f>INDEX(Dataset_2!$D$2:$D$611,MATCH($A491,Dataset_2!$A$2:$A$611,0))</f>
        <v>0.1343</v>
      </c>
      <c r="N491">
        <f>INDEX(Dataset_2!$E$2:$E$611,MATCH($A491,Dataset_2!$A$2:$A$611,0))</f>
        <v>4</v>
      </c>
      <c r="O491">
        <f>INDEX(Dataset_2!$F$2:$F$611,MATCH($A491,Dataset_2!$A$2:$A$611,0))</f>
        <v>59</v>
      </c>
      <c r="P491">
        <f>INDEX(Dataset_2!$G$2:$G$611,MATCH($A491,Dataset_2!$A$2:$A$611,0))</f>
        <v>63</v>
      </c>
    </row>
    <row r="492" spans="1:16" x14ac:dyDescent="0.2">
      <c r="A492">
        <f>Dataset_1!A492</f>
        <v>491</v>
      </c>
      <c r="B492" s="61">
        <f>Dataset_1!B492</f>
        <v>40565</v>
      </c>
      <c r="C492">
        <f>Dataset_1!C492</f>
        <v>1</v>
      </c>
      <c r="D492">
        <f>Dataset_1!D492</f>
        <v>0</v>
      </c>
      <c r="E492">
        <f>Dataset_1!E492</f>
        <v>1</v>
      </c>
      <c r="F492">
        <f>Dataset_1!F492</f>
        <v>12</v>
      </c>
      <c r="G492" t="b">
        <f>Dataset_1!G492</f>
        <v>0</v>
      </c>
      <c r="H492">
        <f>Dataset_1!H492</f>
        <v>6</v>
      </c>
      <c r="I492">
        <f>Dataset_1!I492</f>
        <v>2</v>
      </c>
      <c r="J492">
        <f>Dataset_1!J492</f>
        <v>0.06</v>
      </c>
      <c r="K492">
        <f>INDEX(Dataset_2!$B$2:$B$611,MATCH($A492,Dataset_2!$A$2:$A$611,0))</f>
        <v>0.1061</v>
      </c>
      <c r="L492">
        <f>INDEX(Dataset_2!$C$2:$C$611,MATCH($A492,Dataset_2!$A$2:$A$611,0))</f>
        <v>0.38</v>
      </c>
      <c r="M492">
        <f>INDEX(Dataset_2!$D$2:$D$611,MATCH($A492,Dataset_2!$A$2:$A$611,0))</f>
        <v>0.1045</v>
      </c>
      <c r="N492">
        <f>INDEX(Dataset_2!$E$2:$E$611,MATCH($A492,Dataset_2!$A$2:$A$611,0))</f>
        <v>10</v>
      </c>
      <c r="O492">
        <f>INDEX(Dataset_2!$F$2:$F$611,MATCH($A492,Dataset_2!$A$2:$A$611,0))</f>
        <v>60</v>
      </c>
      <c r="P492">
        <f>INDEX(Dataset_2!$G$2:$G$611,MATCH($A492,Dataset_2!$A$2:$A$611,0))</f>
        <v>70</v>
      </c>
    </row>
    <row r="493" spans="1:16" x14ac:dyDescent="0.2">
      <c r="A493">
        <f>Dataset_1!A493</f>
        <v>492</v>
      </c>
      <c r="B493" s="61">
        <f>Dataset_1!B493</f>
        <v>40565</v>
      </c>
      <c r="C493">
        <f>Dataset_1!C493</f>
        <v>1</v>
      </c>
      <c r="D493">
        <f>Dataset_1!D493</f>
        <v>0</v>
      </c>
      <c r="E493">
        <f>Dataset_1!E493</f>
        <v>1</v>
      </c>
      <c r="F493">
        <f>Dataset_1!F493</f>
        <v>13</v>
      </c>
      <c r="G493" t="b">
        <f>Dataset_1!G493</f>
        <v>0</v>
      </c>
      <c r="H493">
        <f>Dataset_1!H493</f>
        <v>6</v>
      </c>
      <c r="I493">
        <f>Dataset_1!I493</f>
        <v>1</v>
      </c>
      <c r="J493">
        <f>Dataset_1!J493</f>
        <v>0.08</v>
      </c>
      <c r="K493">
        <f>INDEX(Dataset_2!$B$2:$B$611,MATCH($A493,Dataset_2!$A$2:$A$611,0))</f>
        <v>0.16669999999999999</v>
      </c>
      <c r="L493">
        <f>INDEX(Dataset_2!$C$2:$C$611,MATCH($A493,Dataset_2!$A$2:$A$611,0))</f>
        <v>0.35</v>
      </c>
      <c r="M493">
        <f>INDEX(Dataset_2!$D$2:$D$611,MATCH($A493,Dataset_2!$A$2:$A$611,0))</f>
        <v>0</v>
      </c>
      <c r="N493">
        <f>INDEX(Dataset_2!$E$2:$E$611,MATCH($A493,Dataset_2!$A$2:$A$611,0))</f>
        <v>12</v>
      </c>
      <c r="O493">
        <f>INDEX(Dataset_2!$F$2:$F$611,MATCH($A493,Dataset_2!$A$2:$A$611,0))</f>
        <v>72</v>
      </c>
      <c r="P493">
        <f>INDEX(Dataset_2!$G$2:$G$611,MATCH($A493,Dataset_2!$A$2:$A$611,0))</f>
        <v>84</v>
      </c>
    </row>
    <row r="494" spans="1:16" x14ac:dyDescent="0.2">
      <c r="A494">
        <f>Dataset_1!A494</f>
        <v>493</v>
      </c>
      <c r="B494" s="61">
        <f>Dataset_1!B494</f>
        <v>40565</v>
      </c>
      <c r="C494">
        <f>Dataset_1!C494</f>
        <v>1</v>
      </c>
      <c r="D494">
        <f>Dataset_1!D494</f>
        <v>0</v>
      </c>
      <c r="E494">
        <f>Dataset_1!E494</f>
        <v>1</v>
      </c>
      <c r="F494">
        <f>Dataset_1!F494</f>
        <v>14</v>
      </c>
      <c r="G494" t="b">
        <f>Dataset_1!G494</f>
        <v>0</v>
      </c>
      <c r="H494">
        <f>Dataset_1!H494</f>
        <v>6</v>
      </c>
      <c r="I494">
        <f>Dataset_1!I494</f>
        <v>1</v>
      </c>
      <c r="J494">
        <f>Dataset_1!J494</f>
        <v>0.1</v>
      </c>
      <c r="K494">
        <f>INDEX(Dataset_2!$B$2:$B$611,MATCH($A494,Dataset_2!$A$2:$A$611,0))</f>
        <v>0.13639999999999999</v>
      </c>
      <c r="L494">
        <f>INDEX(Dataset_2!$C$2:$C$611,MATCH($A494,Dataset_2!$A$2:$A$611,0))</f>
        <v>0.33</v>
      </c>
      <c r="M494">
        <f>INDEX(Dataset_2!$D$2:$D$611,MATCH($A494,Dataset_2!$A$2:$A$611,0))</f>
        <v>0.1045</v>
      </c>
      <c r="N494">
        <f>INDEX(Dataset_2!$E$2:$E$611,MATCH($A494,Dataset_2!$A$2:$A$611,0))</f>
        <v>11</v>
      </c>
      <c r="O494">
        <f>INDEX(Dataset_2!$F$2:$F$611,MATCH($A494,Dataset_2!$A$2:$A$611,0))</f>
        <v>64</v>
      </c>
      <c r="P494">
        <f>INDEX(Dataset_2!$G$2:$G$611,MATCH($A494,Dataset_2!$A$2:$A$611,0))</f>
        <v>75</v>
      </c>
    </row>
    <row r="495" spans="1:16" x14ac:dyDescent="0.2">
      <c r="A495">
        <f>Dataset_1!A495</f>
        <v>494</v>
      </c>
      <c r="B495" s="61">
        <f>Dataset_1!B495</f>
        <v>40565</v>
      </c>
      <c r="C495">
        <f>Dataset_1!C495</f>
        <v>1</v>
      </c>
      <c r="D495">
        <f>Dataset_1!D495</f>
        <v>0</v>
      </c>
      <c r="E495">
        <f>Dataset_1!E495</f>
        <v>1</v>
      </c>
      <c r="F495">
        <f>Dataset_1!F495</f>
        <v>15</v>
      </c>
      <c r="G495" t="b">
        <f>Dataset_1!G495</f>
        <v>0</v>
      </c>
      <c r="H495">
        <f>Dataset_1!H495</f>
        <v>6</v>
      </c>
      <c r="I495">
        <f>Dataset_1!I495</f>
        <v>1</v>
      </c>
      <c r="J495">
        <f>Dataset_1!J495</f>
        <v>0.12</v>
      </c>
      <c r="K495">
        <f>INDEX(Dataset_2!$B$2:$B$611,MATCH($A495,Dataset_2!$A$2:$A$611,0))</f>
        <v>0.1515</v>
      </c>
      <c r="L495">
        <f>INDEX(Dataset_2!$C$2:$C$611,MATCH($A495,Dataset_2!$A$2:$A$611,0))</f>
        <v>0.28000000000000003</v>
      </c>
      <c r="M495">
        <f>INDEX(Dataset_2!$D$2:$D$611,MATCH($A495,Dataset_2!$A$2:$A$611,0))</f>
        <v>0</v>
      </c>
      <c r="N495">
        <f>INDEX(Dataset_2!$E$2:$E$611,MATCH($A495,Dataset_2!$A$2:$A$611,0))</f>
        <v>10</v>
      </c>
      <c r="O495">
        <f>INDEX(Dataset_2!$F$2:$F$611,MATCH($A495,Dataset_2!$A$2:$A$611,0))</f>
        <v>93</v>
      </c>
      <c r="P495">
        <f>INDEX(Dataset_2!$G$2:$G$611,MATCH($A495,Dataset_2!$A$2:$A$611,0))</f>
        <v>103</v>
      </c>
    </row>
    <row r="496" spans="1:16" x14ac:dyDescent="0.2">
      <c r="A496">
        <f>Dataset_1!A496</f>
        <v>495</v>
      </c>
      <c r="B496" s="61">
        <f>Dataset_1!B496</f>
        <v>40565</v>
      </c>
      <c r="C496">
        <f>Dataset_1!C496</f>
        <v>1</v>
      </c>
      <c r="D496">
        <f>Dataset_1!D496</f>
        <v>0</v>
      </c>
      <c r="E496">
        <f>Dataset_1!E496</f>
        <v>1</v>
      </c>
      <c r="F496">
        <f>Dataset_1!F496</f>
        <v>16</v>
      </c>
      <c r="G496" t="b">
        <f>Dataset_1!G496</f>
        <v>0</v>
      </c>
      <c r="H496">
        <f>Dataset_1!H496</f>
        <v>6</v>
      </c>
      <c r="I496">
        <f>Dataset_1!I496</f>
        <v>1</v>
      </c>
      <c r="J496">
        <f>Dataset_1!J496</f>
        <v>0.12</v>
      </c>
      <c r="K496">
        <f>INDEX(Dataset_2!$B$2:$B$611,MATCH($A496,Dataset_2!$A$2:$A$611,0))</f>
        <v>0.13639999999999999</v>
      </c>
      <c r="L496">
        <f>INDEX(Dataset_2!$C$2:$C$611,MATCH($A496,Dataset_2!$A$2:$A$611,0))</f>
        <v>0.28000000000000003</v>
      </c>
      <c r="M496">
        <f>INDEX(Dataset_2!$D$2:$D$611,MATCH($A496,Dataset_2!$A$2:$A$611,0))</f>
        <v>0.19400000000000001</v>
      </c>
      <c r="N496">
        <f>INDEX(Dataset_2!$E$2:$E$611,MATCH($A496,Dataset_2!$A$2:$A$611,0))</f>
        <v>11</v>
      </c>
      <c r="O496">
        <f>INDEX(Dataset_2!$F$2:$F$611,MATCH($A496,Dataset_2!$A$2:$A$611,0))</f>
        <v>72</v>
      </c>
      <c r="P496">
        <f>INDEX(Dataset_2!$G$2:$G$611,MATCH($A496,Dataset_2!$A$2:$A$611,0))</f>
        <v>83</v>
      </c>
    </row>
    <row r="497" spans="1:16" x14ac:dyDescent="0.2">
      <c r="A497">
        <f>Dataset_1!A497</f>
        <v>496</v>
      </c>
      <c r="B497" s="61">
        <f>Dataset_1!B497</f>
        <v>40565</v>
      </c>
      <c r="C497">
        <f>Dataset_1!C497</f>
        <v>1</v>
      </c>
      <c r="D497">
        <f>Dataset_1!D497</f>
        <v>0</v>
      </c>
      <c r="E497">
        <f>Dataset_1!E497</f>
        <v>1</v>
      </c>
      <c r="F497">
        <f>Dataset_1!F497</f>
        <v>17</v>
      </c>
      <c r="G497" t="b">
        <f>Dataset_1!G497</f>
        <v>0</v>
      </c>
      <c r="H497">
        <f>Dataset_1!H497</f>
        <v>6</v>
      </c>
      <c r="I497">
        <f>Dataset_1!I497</f>
        <v>1</v>
      </c>
      <c r="J497">
        <f>Dataset_1!J497</f>
        <v>0.12</v>
      </c>
      <c r="K497">
        <f>INDEX(Dataset_2!$B$2:$B$611,MATCH($A497,Dataset_2!$A$2:$A$611,0))</f>
        <v>0.19700000000000001</v>
      </c>
      <c r="L497">
        <f>INDEX(Dataset_2!$C$2:$C$611,MATCH($A497,Dataset_2!$A$2:$A$611,0))</f>
        <v>0.28000000000000003</v>
      </c>
      <c r="M497">
        <f>INDEX(Dataset_2!$D$2:$D$611,MATCH($A497,Dataset_2!$A$2:$A$611,0))</f>
        <v>0</v>
      </c>
      <c r="N497">
        <f>INDEX(Dataset_2!$E$2:$E$611,MATCH($A497,Dataset_2!$A$2:$A$611,0))</f>
        <v>8</v>
      </c>
      <c r="O497">
        <f>INDEX(Dataset_2!$F$2:$F$611,MATCH($A497,Dataset_2!$A$2:$A$611,0))</f>
        <v>59</v>
      </c>
      <c r="P497">
        <f>INDEX(Dataset_2!$G$2:$G$611,MATCH($A497,Dataset_2!$A$2:$A$611,0))</f>
        <v>67</v>
      </c>
    </row>
    <row r="498" spans="1:16" x14ac:dyDescent="0.2">
      <c r="A498">
        <f>Dataset_1!A498</f>
        <v>497</v>
      </c>
      <c r="B498" s="61">
        <f>Dataset_1!B498</f>
        <v>40565</v>
      </c>
      <c r="C498">
        <f>Dataset_1!C498</f>
        <v>1</v>
      </c>
      <c r="D498">
        <f>Dataset_1!D498</f>
        <v>0</v>
      </c>
      <c r="E498">
        <f>Dataset_1!E498</f>
        <v>1</v>
      </c>
      <c r="F498">
        <f>Dataset_1!F498</f>
        <v>18</v>
      </c>
      <c r="G498" t="b">
        <f>Dataset_1!G498</f>
        <v>0</v>
      </c>
      <c r="H498">
        <f>Dataset_1!H498</f>
        <v>6</v>
      </c>
      <c r="I498">
        <f>Dataset_1!I498</f>
        <v>1</v>
      </c>
      <c r="J498">
        <f>Dataset_1!J498</f>
        <v>0.08</v>
      </c>
      <c r="K498">
        <f>INDEX(Dataset_2!$B$2:$B$611,MATCH($A498,Dataset_2!$A$2:$A$611,0))</f>
        <v>9.0899999999999995E-2</v>
      </c>
      <c r="L498">
        <f>INDEX(Dataset_2!$C$2:$C$611,MATCH($A498,Dataset_2!$A$2:$A$611,0))</f>
        <v>0.35</v>
      </c>
      <c r="M498">
        <f>INDEX(Dataset_2!$D$2:$D$611,MATCH($A498,Dataset_2!$A$2:$A$611,0))</f>
        <v>0.19400000000000001</v>
      </c>
      <c r="N498">
        <f>INDEX(Dataset_2!$E$2:$E$611,MATCH($A498,Dataset_2!$A$2:$A$611,0))</f>
        <v>0</v>
      </c>
      <c r="O498">
        <f>INDEX(Dataset_2!$F$2:$F$611,MATCH($A498,Dataset_2!$A$2:$A$611,0))</f>
        <v>54</v>
      </c>
      <c r="P498">
        <f>INDEX(Dataset_2!$G$2:$G$611,MATCH($A498,Dataset_2!$A$2:$A$611,0))</f>
        <v>54</v>
      </c>
    </row>
    <row r="499" spans="1:16" x14ac:dyDescent="0.2">
      <c r="A499">
        <f>Dataset_1!A499</f>
        <v>498</v>
      </c>
      <c r="B499" s="61">
        <f>Dataset_1!B499</f>
        <v>40565</v>
      </c>
      <c r="C499">
        <f>Dataset_1!C499</f>
        <v>1</v>
      </c>
      <c r="D499">
        <f>Dataset_1!D499</f>
        <v>0</v>
      </c>
      <c r="E499">
        <f>Dataset_1!E499</f>
        <v>1</v>
      </c>
      <c r="F499">
        <f>Dataset_1!F499</f>
        <v>19</v>
      </c>
      <c r="G499" t="b">
        <f>Dataset_1!G499</f>
        <v>0</v>
      </c>
      <c r="H499">
        <f>Dataset_1!H499</f>
        <v>6</v>
      </c>
      <c r="I499">
        <f>Dataset_1!I499</f>
        <v>1</v>
      </c>
      <c r="J499">
        <f>Dataset_1!J499</f>
        <v>0.08</v>
      </c>
      <c r="K499">
        <f>INDEX(Dataset_2!$B$2:$B$611,MATCH($A499,Dataset_2!$A$2:$A$611,0))</f>
        <v>0.1061</v>
      </c>
      <c r="L499">
        <f>INDEX(Dataset_2!$C$2:$C$611,MATCH($A499,Dataset_2!$A$2:$A$611,0))</f>
        <v>0.35</v>
      </c>
      <c r="M499">
        <f>INDEX(Dataset_2!$D$2:$D$611,MATCH($A499,Dataset_2!$A$2:$A$611,0))</f>
        <v>0.1343</v>
      </c>
      <c r="N499">
        <f>INDEX(Dataset_2!$E$2:$E$611,MATCH($A499,Dataset_2!$A$2:$A$611,0))</f>
        <v>6</v>
      </c>
      <c r="O499">
        <f>INDEX(Dataset_2!$F$2:$F$611,MATCH($A499,Dataset_2!$A$2:$A$611,0))</f>
        <v>53</v>
      </c>
      <c r="P499">
        <f>INDEX(Dataset_2!$G$2:$G$611,MATCH($A499,Dataset_2!$A$2:$A$611,0))</f>
        <v>59</v>
      </c>
    </row>
    <row r="500" spans="1:16" x14ac:dyDescent="0.2">
      <c r="A500">
        <f>Dataset_1!A500</f>
        <v>499</v>
      </c>
      <c r="B500" s="61">
        <f>Dataset_1!B500</f>
        <v>40565</v>
      </c>
      <c r="C500">
        <f>Dataset_1!C500</f>
        <v>1</v>
      </c>
      <c r="D500">
        <f>Dataset_1!D500</f>
        <v>0</v>
      </c>
      <c r="E500">
        <f>Dataset_1!E500</f>
        <v>1</v>
      </c>
      <c r="F500">
        <f>Dataset_1!F500</f>
        <v>20</v>
      </c>
      <c r="G500" t="b">
        <f>Dataset_1!G500</f>
        <v>0</v>
      </c>
      <c r="H500">
        <f>Dataset_1!H500</f>
        <v>6</v>
      </c>
      <c r="I500">
        <f>Dataset_1!I500</f>
        <v>1</v>
      </c>
      <c r="J500">
        <f>Dataset_1!J500</f>
        <v>0.06</v>
      </c>
      <c r="K500">
        <f>INDEX(Dataset_2!$B$2:$B$611,MATCH($A500,Dataset_2!$A$2:$A$611,0))</f>
        <v>7.5800000000000006E-2</v>
      </c>
      <c r="L500">
        <f>INDEX(Dataset_2!$C$2:$C$611,MATCH($A500,Dataset_2!$A$2:$A$611,0))</f>
        <v>0.45</v>
      </c>
      <c r="M500">
        <f>INDEX(Dataset_2!$D$2:$D$611,MATCH($A500,Dataset_2!$A$2:$A$611,0))</f>
        <v>0.16420000000000001</v>
      </c>
      <c r="N500">
        <f>INDEX(Dataset_2!$E$2:$E$611,MATCH($A500,Dataset_2!$A$2:$A$611,0))</f>
        <v>1</v>
      </c>
      <c r="O500">
        <f>INDEX(Dataset_2!$F$2:$F$611,MATCH($A500,Dataset_2!$A$2:$A$611,0))</f>
        <v>44</v>
      </c>
      <c r="P500">
        <f>INDEX(Dataset_2!$G$2:$G$611,MATCH($A500,Dataset_2!$A$2:$A$611,0))</f>
        <v>45</v>
      </c>
    </row>
    <row r="501" spans="1:16" x14ac:dyDescent="0.2">
      <c r="A501">
        <f>Dataset_1!A501</f>
        <v>500</v>
      </c>
      <c r="B501" s="61">
        <f>Dataset_1!B501</f>
        <v>40565</v>
      </c>
      <c r="C501">
        <f>Dataset_1!C501</f>
        <v>1</v>
      </c>
      <c r="D501">
        <f>Dataset_1!D501</f>
        <v>0</v>
      </c>
      <c r="E501">
        <f>Dataset_1!E501</f>
        <v>1</v>
      </c>
      <c r="F501">
        <f>Dataset_1!F501</f>
        <v>21</v>
      </c>
      <c r="G501" t="b">
        <f>Dataset_1!G501</f>
        <v>0</v>
      </c>
      <c r="H501">
        <f>Dataset_1!H501</f>
        <v>6</v>
      </c>
      <c r="I501">
        <f>Dataset_1!I501</f>
        <v>1</v>
      </c>
      <c r="J501">
        <f>Dataset_1!J501</f>
        <v>0.06</v>
      </c>
      <c r="K501">
        <f>INDEX(Dataset_2!$B$2:$B$611,MATCH($A501,Dataset_2!$A$2:$A$611,0))</f>
        <v>0.1061</v>
      </c>
      <c r="L501">
        <f>INDEX(Dataset_2!$C$2:$C$611,MATCH($A501,Dataset_2!$A$2:$A$611,0))</f>
        <v>0.41</v>
      </c>
      <c r="M501">
        <f>INDEX(Dataset_2!$D$2:$D$611,MATCH($A501,Dataset_2!$A$2:$A$611,0))</f>
        <v>8.9599999999999999E-2</v>
      </c>
      <c r="N501">
        <f>INDEX(Dataset_2!$E$2:$E$611,MATCH($A501,Dataset_2!$A$2:$A$611,0))</f>
        <v>0</v>
      </c>
      <c r="O501">
        <f>INDEX(Dataset_2!$F$2:$F$611,MATCH($A501,Dataset_2!$A$2:$A$611,0))</f>
        <v>39</v>
      </c>
      <c r="P501">
        <f>INDEX(Dataset_2!$G$2:$G$611,MATCH($A501,Dataset_2!$A$2:$A$611,0))</f>
        <v>39</v>
      </c>
    </row>
    <row r="502" spans="1:16" x14ac:dyDescent="0.2">
      <c r="A502">
        <f>Dataset_1!A502</f>
        <v>501</v>
      </c>
      <c r="B502" s="61">
        <f>Dataset_1!B502</f>
        <v>40565</v>
      </c>
      <c r="C502">
        <f>Dataset_1!C502</f>
        <v>1</v>
      </c>
      <c r="D502">
        <f>Dataset_1!D502</f>
        <v>0</v>
      </c>
      <c r="E502">
        <f>Dataset_1!E502</f>
        <v>1</v>
      </c>
      <c r="F502">
        <f>Dataset_1!F502</f>
        <v>22</v>
      </c>
      <c r="G502" t="b">
        <f>Dataset_1!G502</f>
        <v>0</v>
      </c>
      <c r="H502">
        <f>Dataset_1!H502</f>
        <v>6</v>
      </c>
      <c r="I502">
        <f>Dataset_1!I502</f>
        <v>1</v>
      </c>
      <c r="J502">
        <f>Dataset_1!J502</f>
        <v>0.06</v>
      </c>
      <c r="K502">
        <f>INDEX(Dataset_2!$B$2:$B$611,MATCH($A502,Dataset_2!$A$2:$A$611,0))</f>
        <v>0.1515</v>
      </c>
      <c r="L502">
        <f>INDEX(Dataset_2!$C$2:$C$611,MATCH($A502,Dataset_2!$A$2:$A$611,0))</f>
        <v>0.49</v>
      </c>
      <c r="M502">
        <f>INDEX(Dataset_2!$D$2:$D$611,MATCH($A502,Dataset_2!$A$2:$A$611,0))</f>
        <v>0</v>
      </c>
      <c r="N502">
        <f>INDEX(Dataset_2!$E$2:$E$611,MATCH($A502,Dataset_2!$A$2:$A$611,0))</f>
        <v>7</v>
      </c>
      <c r="O502">
        <f>INDEX(Dataset_2!$F$2:$F$611,MATCH($A502,Dataset_2!$A$2:$A$611,0))</f>
        <v>23</v>
      </c>
      <c r="P502">
        <f>INDEX(Dataset_2!$G$2:$G$611,MATCH($A502,Dataset_2!$A$2:$A$611,0))</f>
        <v>30</v>
      </c>
    </row>
    <row r="503" spans="1:16" x14ac:dyDescent="0.2">
      <c r="A503">
        <f>Dataset_1!A503</f>
        <v>502</v>
      </c>
      <c r="B503" s="61">
        <f>Dataset_1!B503</f>
        <v>40565</v>
      </c>
      <c r="C503">
        <f>Dataset_1!C503</f>
        <v>1</v>
      </c>
      <c r="D503">
        <f>Dataset_1!D503</f>
        <v>0</v>
      </c>
      <c r="E503">
        <f>Dataset_1!E503</f>
        <v>1</v>
      </c>
      <c r="F503">
        <f>Dataset_1!F503</f>
        <v>23</v>
      </c>
      <c r="G503" t="b">
        <f>Dataset_1!G503</f>
        <v>0</v>
      </c>
      <c r="H503">
        <f>Dataset_1!H503</f>
        <v>6</v>
      </c>
      <c r="I503">
        <f>Dataset_1!I503</f>
        <v>1</v>
      </c>
      <c r="J503">
        <f>Dataset_1!J503</f>
        <v>0.04</v>
      </c>
      <c r="K503">
        <f>INDEX(Dataset_2!$B$2:$B$611,MATCH($A503,Dataset_2!$A$2:$A$611,0))</f>
        <v>7.5800000000000006E-2</v>
      </c>
      <c r="L503">
        <f>INDEX(Dataset_2!$C$2:$C$611,MATCH($A503,Dataset_2!$A$2:$A$611,0))</f>
        <v>0.56999999999999995</v>
      </c>
      <c r="M503">
        <f>INDEX(Dataset_2!$D$2:$D$611,MATCH($A503,Dataset_2!$A$2:$A$611,0))</f>
        <v>0.1045</v>
      </c>
      <c r="N503">
        <f>INDEX(Dataset_2!$E$2:$E$611,MATCH($A503,Dataset_2!$A$2:$A$611,0))</f>
        <v>2</v>
      </c>
      <c r="O503">
        <f>INDEX(Dataset_2!$F$2:$F$611,MATCH($A503,Dataset_2!$A$2:$A$611,0))</f>
        <v>31</v>
      </c>
      <c r="P503">
        <f>INDEX(Dataset_2!$G$2:$G$611,MATCH($A503,Dataset_2!$A$2:$A$611,0))</f>
        <v>33</v>
      </c>
    </row>
    <row r="504" spans="1:16" x14ac:dyDescent="0.2">
      <c r="A504">
        <f>Dataset_1!A504</f>
        <v>503</v>
      </c>
      <c r="B504" s="61">
        <f>Dataset_1!B504</f>
        <v>40566</v>
      </c>
      <c r="C504">
        <f>Dataset_1!C504</f>
        <v>1</v>
      </c>
      <c r="D504">
        <f>Dataset_1!D504</f>
        <v>0</v>
      </c>
      <c r="E504">
        <f>Dataset_1!E504</f>
        <v>1</v>
      </c>
      <c r="F504">
        <f>Dataset_1!F504</f>
        <v>0</v>
      </c>
      <c r="G504" t="b">
        <f>Dataset_1!G504</f>
        <v>0</v>
      </c>
      <c r="H504">
        <f>Dataset_1!H504</f>
        <v>0</v>
      </c>
      <c r="I504">
        <f>Dataset_1!I504</f>
        <v>1</v>
      </c>
      <c r="J504">
        <f>Dataset_1!J504</f>
        <v>0.04</v>
      </c>
      <c r="K504">
        <f>INDEX(Dataset_2!$B$2:$B$611,MATCH($A504,Dataset_2!$A$2:$A$611,0))</f>
        <v>7.5800000000000006E-2</v>
      </c>
      <c r="L504">
        <f>INDEX(Dataset_2!$C$2:$C$611,MATCH($A504,Dataset_2!$A$2:$A$611,0))</f>
        <v>0.56999999999999995</v>
      </c>
      <c r="M504">
        <f>INDEX(Dataset_2!$D$2:$D$611,MATCH($A504,Dataset_2!$A$2:$A$611,0))</f>
        <v>0.1045</v>
      </c>
      <c r="N504">
        <f>INDEX(Dataset_2!$E$2:$E$611,MATCH($A504,Dataset_2!$A$2:$A$611,0))</f>
        <v>2</v>
      </c>
      <c r="O504">
        <f>INDEX(Dataset_2!$F$2:$F$611,MATCH($A504,Dataset_2!$A$2:$A$611,0))</f>
        <v>20</v>
      </c>
      <c r="P504">
        <f>INDEX(Dataset_2!$G$2:$G$611,MATCH($A504,Dataset_2!$A$2:$A$611,0))</f>
        <v>22</v>
      </c>
    </row>
    <row r="505" spans="1:16" x14ac:dyDescent="0.2">
      <c r="A505">
        <f>Dataset_1!A505</f>
        <v>504</v>
      </c>
      <c r="B505" s="61">
        <f>Dataset_1!B505</f>
        <v>40566</v>
      </c>
      <c r="C505">
        <f>Dataset_1!C505</f>
        <v>1</v>
      </c>
      <c r="D505">
        <f>Dataset_1!D505</f>
        <v>0</v>
      </c>
      <c r="E505">
        <f>Dataset_1!E505</f>
        <v>1</v>
      </c>
      <c r="F505">
        <f>Dataset_1!F505</f>
        <v>1</v>
      </c>
      <c r="G505" t="b">
        <f>Dataset_1!G505</f>
        <v>0</v>
      </c>
      <c r="H505">
        <f>Dataset_1!H505</f>
        <v>0</v>
      </c>
      <c r="I505">
        <f>Dataset_1!I505</f>
        <v>1</v>
      </c>
      <c r="J505">
        <f>Dataset_1!J505</f>
        <v>0.04</v>
      </c>
      <c r="K505">
        <f>INDEX(Dataset_2!$B$2:$B$611,MATCH($A505,Dataset_2!$A$2:$A$611,0))</f>
        <v>7.5800000000000006E-2</v>
      </c>
      <c r="L505">
        <f>INDEX(Dataset_2!$C$2:$C$611,MATCH($A505,Dataset_2!$A$2:$A$611,0))</f>
        <v>0.56999999999999995</v>
      </c>
      <c r="M505">
        <f>INDEX(Dataset_2!$D$2:$D$611,MATCH($A505,Dataset_2!$A$2:$A$611,0))</f>
        <v>0.1045</v>
      </c>
      <c r="N505">
        <f>INDEX(Dataset_2!$E$2:$E$611,MATCH($A505,Dataset_2!$A$2:$A$611,0))</f>
        <v>1</v>
      </c>
      <c r="O505">
        <f>INDEX(Dataset_2!$F$2:$F$611,MATCH($A505,Dataset_2!$A$2:$A$611,0))</f>
        <v>12</v>
      </c>
      <c r="P505">
        <f>INDEX(Dataset_2!$G$2:$G$611,MATCH($A505,Dataset_2!$A$2:$A$611,0))</f>
        <v>13</v>
      </c>
    </row>
    <row r="506" spans="1:16" x14ac:dyDescent="0.2">
      <c r="A506">
        <f>Dataset_1!A506</f>
        <v>505</v>
      </c>
      <c r="B506" s="61">
        <f>Dataset_1!B506</f>
        <v>40566</v>
      </c>
      <c r="C506">
        <f>Dataset_1!C506</f>
        <v>1</v>
      </c>
      <c r="D506">
        <f>Dataset_1!D506</f>
        <v>0</v>
      </c>
      <c r="E506">
        <f>Dataset_1!E506</f>
        <v>1</v>
      </c>
      <c r="F506">
        <f>Dataset_1!F506</f>
        <v>2</v>
      </c>
      <c r="G506" t="b">
        <f>Dataset_1!G506</f>
        <v>0</v>
      </c>
      <c r="H506">
        <f>Dataset_1!H506</f>
        <v>0</v>
      </c>
      <c r="I506">
        <f>Dataset_1!I506</f>
        <v>1</v>
      </c>
      <c r="J506">
        <f>Dataset_1!J506</f>
        <v>0.02</v>
      </c>
      <c r="K506">
        <f>INDEX(Dataset_2!$B$2:$B$611,MATCH($A506,Dataset_2!$A$2:$A$611,0))</f>
        <v>6.0600000000000001E-2</v>
      </c>
      <c r="L506">
        <f>INDEX(Dataset_2!$C$2:$C$611,MATCH($A506,Dataset_2!$A$2:$A$611,0))</f>
        <v>0.62</v>
      </c>
      <c r="M506">
        <f>INDEX(Dataset_2!$D$2:$D$611,MATCH($A506,Dataset_2!$A$2:$A$611,0))</f>
        <v>0.1343</v>
      </c>
      <c r="N506">
        <f>INDEX(Dataset_2!$E$2:$E$611,MATCH($A506,Dataset_2!$A$2:$A$611,0))</f>
        <v>3</v>
      </c>
      <c r="O506">
        <f>INDEX(Dataset_2!$F$2:$F$611,MATCH($A506,Dataset_2!$A$2:$A$611,0))</f>
        <v>15</v>
      </c>
      <c r="P506">
        <f>INDEX(Dataset_2!$G$2:$G$611,MATCH($A506,Dataset_2!$A$2:$A$611,0))</f>
        <v>18</v>
      </c>
    </row>
    <row r="507" spans="1:16" x14ac:dyDescent="0.2">
      <c r="A507">
        <f>Dataset_1!A507</f>
        <v>506</v>
      </c>
      <c r="B507" s="61">
        <f>Dataset_1!B507</f>
        <v>40566</v>
      </c>
      <c r="C507">
        <f>Dataset_1!C507</f>
        <v>1</v>
      </c>
      <c r="D507">
        <f>Dataset_1!D507</f>
        <v>0</v>
      </c>
      <c r="E507">
        <f>Dataset_1!E507</f>
        <v>1</v>
      </c>
      <c r="F507">
        <f>Dataset_1!F507</f>
        <v>3</v>
      </c>
      <c r="G507" t="b">
        <f>Dataset_1!G507</f>
        <v>0</v>
      </c>
      <c r="H507">
        <f>Dataset_1!H507</f>
        <v>0</v>
      </c>
      <c r="I507">
        <f>Dataset_1!I507</f>
        <v>1</v>
      </c>
      <c r="J507">
        <f>Dataset_1!J507</f>
        <v>0.02</v>
      </c>
      <c r="K507">
        <f>INDEX(Dataset_2!$B$2:$B$611,MATCH($A507,Dataset_2!$A$2:$A$611,0))</f>
        <v>6.0600000000000001E-2</v>
      </c>
      <c r="L507">
        <f>INDEX(Dataset_2!$C$2:$C$611,MATCH($A507,Dataset_2!$A$2:$A$611,0))</f>
        <v>0.62</v>
      </c>
      <c r="M507">
        <f>INDEX(Dataset_2!$D$2:$D$611,MATCH($A507,Dataset_2!$A$2:$A$611,0))</f>
        <v>0.1343</v>
      </c>
      <c r="N507">
        <f>INDEX(Dataset_2!$E$2:$E$611,MATCH($A507,Dataset_2!$A$2:$A$611,0))</f>
        <v>1</v>
      </c>
      <c r="O507">
        <f>INDEX(Dataset_2!$F$2:$F$611,MATCH($A507,Dataset_2!$A$2:$A$611,0))</f>
        <v>4</v>
      </c>
      <c r="P507">
        <f>INDEX(Dataset_2!$G$2:$G$611,MATCH($A507,Dataset_2!$A$2:$A$611,0))</f>
        <v>5</v>
      </c>
    </row>
    <row r="508" spans="1:16" x14ac:dyDescent="0.2">
      <c r="A508">
        <f>Dataset_1!A508</f>
        <v>507</v>
      </c>
      <c r="B508" s="61">
        <f>Dataset_1!B508</f>
        <v>40566</v>
      </c>
      <c r="C508">
        <f>Dataset_1!C508</f>
        <v>1</v>
      </c>
      <c r="D508">
        <f>Dataset_1!D508</f>
        <v>0</v>
      </c>
      <c r="E508">
        <f>Dataset_1!E508</f>
        <v>1</v>
      </c>
      <c r="F508">
        <f>Dataset_1!F508</f>
        <v>5</v>
      </c>
      <c r="G508" t="b">
        <f>Dataset_1!G508</f>
        <v>0</v>
      </c>
      <c r="H508">
        <f>Dataset_1!H508</f>
        <v>0</v>
      </c>
      <c r="I508">
        <f>Dataset_1!I508</f>
        <v>2</v>
      </c>
      <c r="J508">
        <f>Dataset_1!J508</f>
        <v>0.04</v>
      </c>
      <c r="K508">
        <f>INDEX(Dataset_2!$B$2:$B$611,MATCH($A508,Dataset_2!$A$2:$A$611,0))</f>
        <v>7.5800000000000006E-2</v>
      </c>
      <c r="L508">
        <f>INDEX(Dataset_2!$C$2:$C$611,MATCH($A508,Dataset_2!$A$2:$A$611,0))</f>
        <v>0.56999999999999995</v>
      </c>
      <c r="M508">
        <f>INDEX(Dataset_2!$D$2:$D$611,MATCH($A508,Dataset_2!$A$2:$A$611,0))</f>
        <v>0.1045</v>
      </c>
      <c r="N508">
        <f>INDEX(Dataset_2!$E$2:$E$611,MATCH($A508,Dataset_2!$A$2:$A$611,0))</f>
        <v>0</v>
      </c>
      <c r="O508">
        <f>INDEX(Dataset_2!$F$2:$F$611,MATCH($A508,Dataset_2!$A$2:$A$611,0))</f>
        <v>3</v>
      </c>
      <c r="P508">
        <f>INDEX(Dataset_2!$G$2:$G$611,MATCH($A508,Dataset_2!$A$2:$A$611,0))</f>
        <v>3</v>
      </c>
    </row>
    <row r="509" spans="1:16" x14ac:dyDescent="0.2">
      <c r="A509">
        <f>Dataset_1!A509</f>
        <v>508</v>
      </c>
      <c r="B509" s="61">
        <f>Dataset_1!B509</f>
        <v>40566</v>
      </c>
      <c r="C509">
        <f>Dataset_1!C509</f>
        <v>1</v>
      </c>
      <c r="D509">
        <f>Dataset_1!D509</f>
        <v>0</v>
      </c>
      <c r="E509">
        <f>Dataset_1!E509</f>
        <v>1</v>
      </c>
      <c r="F509">
        <f>Dataset_1!F509</f>
        <v>6</v>
      </c>
      <c r="G509" t="b">
        <f>Dataset_1!G509</f>
        <v>0</v>
      </c>
      <c r="H509">
        <f>Dataset_1!H509</f>
        <v>0</v>
      </c>
      <c r="I509">
        <f>Dataset_1!I509</f>
        <v>2</v>
      </c>
      <c r="J509">
        <f>Dataset_1!J509</f>
        <v>0.04</v>
      </c>
      <c r="K509">
        <f>INDEX(Dataset_2!$B$2:$B$611,MATCH($A509,Dataset_2!$A$2:$A$611,0))</f>
        <v>7.5800000000000006E-2</v>
      </c>
      <c r="L509">
        <f>INDEX(Dataset_2!$C$2:$C$611,MATCH($A509,Dataset_2!$A$2:$A$611,0))</f>
        <v>0.56999999999999995</v>
      </c>
      <c r="M509">
        <f>INDEX(Dataset_2!$D$2:$D$611,MATCH($A509,Dataset_2!$A$2:$A$611,0))</f>
        <v>0.1045</v>
      </c>
      <c r="N509">
        <f>INDEX(Dataset_2!$E$2:$E$611,MATCH($A509,Dataset_2!$A$2:$A$611,0))</f>
        <v>0</v>
      </c>
      <c r="O509">
        <f>INDEX(Dataset_2!$F$2:$F$611,MATCH($A509,Dataset_2!$A$2:$A$611,0))</f>
        <v>1</v>
      </c>
      <c r="P509">
        <f>INDEX(Dataset_2!$G$2:$G$611,MATCH($A509,Dataset_2!$A$2:$A$611,0))</f>
        <v>1</v>
      </c>
    </row>
    <row r="510" spans="1:16" x14ac:dyDescent="0.2">
      <c r="A510">
        <f>Dataset_1!A510</f>
        <v>509</v>
      </c>
      <c r="B510" s="61">
        <f>Dataset_1!B510</f>
        <v>40566</v>
      </c>
      <c r="C510">
        <f>Dataset_1!C510</f>
        <v>1</v>
      </c>
      <c r="D510">
        <f>Dataset_1!D510</f>
        <v>0</v>
      </c>
      <c r="E510">
        <f>Dataset_1!E510</f>
        <v>1</v>
      </c>
      <c r="F510">
        <f>Dataset_1!F510</f>
        <v>7</v>
      </c>
      <c r="G510" t="b">
        <f>Dataset_1!G510</f>
        <v>0</v>
      </c>
      <c r="H510">
        <f>Dataset_1!H510</f>
        <v>0</v>
      </c>
      <c r="I510">
        <f>Dataset_1!I510</f>
        <v>1</v>
      </c>
      <c r="J510">
        <f>Dataset_1!J510</f>
        <v>0.08</v>
      </c>
      <c r="K510">
        <f>INDEX(Dataset_2!$B$2:$B$611,MATCH($A510,Dataset_2!$A$2:$A$611,0))</f>
        <v>0.1061</v>
      </c>
      <c r="L510">
        <f>INDEX(Dataset_2!$C$2:$C$611,MATCH($A510,Dataset_2!$A$2:$A$611,0))</f>
        <v>0.57999999999999996</v>
      </c>
      <c r="M510">
        <f>INDEX(Dataset_2!$D$2:$D$611,MATCH($A510,Dataset_2!$A$2:$A$611,0))</f>
        <v>0.16420000000000001</v>
      </c>
      <c r="N510">
        <f>INDEX(Dataset_2!$E$2:$E$611,MATCH($A510,Dataset_2!$A$2:$A$611,0))</f>
        <v>1</v>
      </c>
      <c r="O510">
        <f>INDEX(Dataset_2!$F$2:$F$611,MATCH($A510,Dataset_2!$A$2:$A$611,0))</f>
        <v>1</v>
      </c>
      <c r="P510">
        <f>INDEX(Dataset_2!$G$2:$G$611,MATCH($A510,Dataset_2!$A$2:$A$611,0))</f>
        <v>2</v>
      </c>
    </row>
    <row r="511" spans="1:16" x14ac:dyDescent="0.2">
      <c r="A511">
        <f>Dataset_1!A511</f>
        <v>510</v>
      </c>
      <c r="B511" s="61">
        <f>Dataset_1!B511</f>
        <v>40566</v>
      </c>
      <c r="C511">
        <f>Dataset_1!C511</f>
        <v>1</v>
      </c>
      <c r="D511">
        <f>Dataset_1!D511</f>
        <v>0</v>
      </c>
      <c r="E511">
        <f>Dataset_1!E511</f>
        <v>1</v>
      </c>
      <c r="F511">
        <f>Dataset_1!F511</f>
        <v>8</v>
      </c>
      <c r="G511" t="b">
        <f>Dataset_1!G511</f>
        <v>0</v>
      </c>
      <c r="H511">
        <f>Dataset_1!H511</f>
        <v>0</v>
      </c>
      <c r="I511">
        <f>Dataset_1!I511</f>
        <v>1</v>
      </c>
      <c r="J511">
        <f>Dataset_1!J511</f>
        <v>0.06</v>
      </c>
      <c r="K511">
        <f>INDEX(Dataset_2!$B$2:$B$611,MATCH($A511,Dataset_2!$A$2:$A$611,0))</f>
        <v>7.5800000000000006E-2</v>
      </c>
      <c r="L511">
        <f>INDEX(Dataset_2!$C$2:$C$611,MATCH($A511,Dataset_2!$A$2:$A$611,0))</f>
        <v>0.62</v>
      </c>
      <c r="M511">
        <f>INDEX(Dataset_2!$D$2:$D$611,MATCH($A511,Dataset_2!$A$2:$A$611,0))</f>
        <v>0.16420000000000001</v>
      </c>
      <c r="N511">
        <f>INDEX(Dataset_2!$E$2:$E$611,MATCH($A511,Dataset_2!$A$2:$A$611,0))</f>
        <v>2</v>
      </c>
      <c r="O511">
        <f>INDEX(Dataset_2!$F$2:$F$611,MATCH($A511,Dataset_2!$A$2:$A$611,0))</f>
        <v>17</v>
      </c>
      <c r="P511">
        <f>INDEX(Dataset_2!$G$2:$G$611,MATCH($A511,Dataset_2!$A$2:$A$611,0))</f>
        <v>19</v>
      </c>
    </row>
    <row r="512" spans="1:16" x14ac:dyDescent="0.2">
      <c r="A512">
        <f>Dataset_1!A512</f>
        <v>511</v>
      </c>
      <c r="B512" s="61">
        <f>Dataset_1!B512</f>
        <v>40566</v>
      </c>
      <c r="C512">
        <f>Dataset_1!C512</f>
        <v>1</v>
      </c>
      <c r="D512">
        <f>Dataset_1!D512</f>
        <v>0</v>
      </c>
      <c r="E512">
        <f>Dataset_1!E512</f>
        <v>1</v>
      </c>
      <c r="F512">
        <f>Dataset_1!F512</f>
        <v>9</v>
      </c>
      <c r="G512" t="b">
        <f>Dataset_1!G512</f>
        <v>0</v>
      </c>
      <c r="H512">
        <f>Dataset_1!H512</f>
        <v>0</v>
      </c>
      <c r="I512">
        <f>Dataset_1!I512</f>
        <v>1</v>
      </c>
      <c r="J512">
        <f>Dataset_1!J512</f>
        <v>0.1</v>
      </c>
      <c r="K512">
        <f>INDEX(Dataset_2!$B$2:$B$611,MATCH($A512,Dataset_2!$A$2:$A$611,0))</f>
        <v>7.5800000000000006E-2</v>
      </c>
      <c r="L512">
        <f>INDEX(Dataset_2!$C$2:$C$611,MATCH($A512,Dataset_2!$A$2:$A$611,0))</f>
        <v>0.54</v>
      </c>
      <c r="M512">
        <f>INDEX(Dataset_2!$D$2:$D$611,MATCH($A512,Dataset_2!$A$2:$A$611,0))</f>
        <v>0.35820000000000002</v>
      </c>
      <c r="N512">
        <f>INDEX(Dataset_2!$E$2:$E$611,MATCH($A512,Dataset_2!$A$2:$A$611,0))</f>
        <v>3</v>
      </c>
      <c r="O512">
        <f>INDEX(Dataset_2!$F$2:$F$611,MATCH($A512,Dataset_2!$A$2:$A$611,0))</f>
        <v>25</v>
      </c>
      <c r="P512">
        <f>INDEX(Dataset_2!$G$2:$G$611,MATCH($A512,Dataset_2!$A$2:$A$611,0))</f>
        <v>28</v>
      </c>
    </row>
    <row r="513" spans="1:16" x14ac:dyDescent="0.2">
      <c r="A513">
        <f>Dataset_1!A513</f>
        <v>512</v>
      </c>
      <c r="B513" s="61">
        <f>Dataset_1!B513</f>
        <v>40566</v>
      </c>
      <c r="C513">
        <f>Dataset_1!C513</f>
        <v>1</v>
      </c>
      <c r="D513">
        <f>Dataset_1!D513</f>
        <v>0</v>
      </c>
      <c r="E513">
        <f>Dataset_1!E513</f>
        <v>1</v>
      </c>
      <c r="F513">
        <f>Dataset_1!F513</f>
        <v>10</v>
      </c>
      <c r="G513" t="b">
        <f>Dataset_1!G513</f>
        <v>0</v>
      </c>
      <c r="H513">
        <f>Dataset_1!H513</f>
        <v>0</v>
      </c>
      <c r="I513">
        <f>Dataset_1!I513</f>
        <v>1</v>
      </c>
      <c r="J513">
        <f>Dataset_1!J513</f>
        <v>0.14000000000000001</v>
      </c>
      <c r="K513">
        <f>INDEX(Dataset_2!$B$2:$B$611,MATCH($A513,Dataset_2!$A$2:$A$611,0))</f>
        <v>0.1061</v>
      </c>
      <c r="L513">
        <f>INDEX(Dataset_2!$C$2:$C$611,MATCH($A513,Dataset_2!$A$2:$A$611,0))</f>
        <v>0.46</v>
      </c>
      <c r="M513">
        <f>INDEX(Dataset_2!$D$2:$D$611,MATCH($A513,Dataset_2!$A$2:$A$611,0))</f>
        <v>0.3881</v>
      </c>
      <c r="N513">
        <f>INDEX(Dataset_2!$E$2:$E$611,MATCH($A513,Dataset_2!$A$2:$A$611,0))</f>
        <v>7</v>
      </c>
      <c r="O513">
        <f>INDEX(Dataset_2!$F$2:$F$611,MATCH($A513,Dataset_2!$A$2:$A$611,0))</f>
        <v>51</v>
      </c>
      <c r="P513">
        <f>INDEX(Dataset_2!$G$2:$G$611,MATCH($A513,Dataset_2!$A$2:$A$611,0))</f>
        <v>58</v>
      </c>
    </row>
    <row r="514" spans="1:16" x14ac:dyDescent="0.2">
      <c r="A514">
        <f>Dataset_1!A514</f>
        <v>513</v>
      </c>
      <c r="B514" s="61">
        <f>Dataset_1!B514</f>
        <v>40566</v>
      </c>
      <c r="C514">
        <f>Dataset_1!C514</f>
        <v>1</v>
      </c>
      <c r="D514">
        <f>Dataset_1!D514</f>
        <v>0</v>
      </c>
      <c r="E514">
        <f>Dataset_1!E514</f>
        <v>1</v>
      </c>
      <c r="F514">
        <f>Dataset_1!F514</f>
        <v>11</v>
      </c>
      <c r="G514" t="b">
        <f>Dataset_1!G514</f>
        <v>0</v>
      </c>
      <c r="H514">
        <f>Dataset_1!H514</f>
        <v>0</v>
      </c>
      <c r="I514">
        <f>Dataset_1!I514</f>
        <v>1</v>
      </c>
      <c r="J514">
        <f>Dataset_1!J514</f>
        <v>0.14000000000000001</v>
      </c>
      <c r="K514">
        <f>INDEX(Dataset_2!$B$2:$B$611,MATCH($A514,Dataset_2!$A$2:$A$611,0))</f>
        <v>0.13639999999999999</v>
      </c>
      <c r="L514">
        <f>INDEX(Dataset_2!$C$2:$C$611,MATCH($A514,Dataset_2!$A$2:$A$611,0))</f>
        <v>0.43</v>
      </c>
      <c r="M514">
        <f>INDEX(Dataset_2!$D$2:$D$611,MATCH($A514,Dataset_2!$A$2:$A$611,0))</f>
        <v>0.22389999999999999</v>
      </c>
      <c r="N514">
        <f>INDEX(Dataset_2!$E$2:$E$611,MATCH($A514,Dataset_2!$A$2:$A$611,0))</f>
        <v>22</v>
      </c>
      <c r="O514">
        <f>INDEX(Dataset_2!$F$2:$F$611,MATCH($A514,Dataset_2!$A$2:$A$611,0))</f>
        <v>77</v>
      </c>
      <c r="P514">
        <f>INDEX(Dataset_2!$G$2:$G$611,MATCH($A514,Dataset_2!$A$2:$A$611,0))</f>
        <v>99</v>
      </c>
    </row>
    <row r="515" spans="1:16" x14ac:dyDescent="0.2">
      <c r="A515">
        <f>Dataset_1!A515</f>
        <v>514</v>
      </c>
      <c r="B515" s="61">
        <f>Dataset_1!B515</f>
        <v>40566</v>
      </c>
      <c r="C515">
        <f>Dataset_1!C515</f>
        <v>1</v>
      </c>
      <c r="D515">
        <f>Dataset_1!D515</f>
        <v>0</v>
      </c>
      <c r="E515">
        <f>Dataset_1!E515</f>
        <v>1</v>
      </c>
      <c r="F515">
        <f>Dataset_1!F515</f>
        <v>12</v>
      </c>
      <c r="G515" t="b">
        <f>Dataset_1!G515</f>
        <v>0</v>
      </c>
      <c r="H515">
        <f>Dataset_1!H515</f>
        <v>0</v>
      </c>
      <c r="I515">
        <f>Dataset_1!I515</f>
        <v>1</v>
      </c>
      <c r="J515">
        <f>Dataset_1!J515</f>
        <v>0.16</v>
      </c>
      <c r="K515">
        <f>INDEX(Dataset_2!$B$2:$B$611,MATCH($A515,Dataset_2!$A$2:$A$611,0))</f>
        <v>0.1212</v>
      </c>
      <c r="L515">
        <f>INDEX(Dataset_2!$C$2:$C$611,MATCH($A515,Dataset_2!$A$2:$A$611,0))</f>
        <v>0.37</v>
      </c>
      <c r="M515">
        <f>INDEX(Dataset_2!$D$2:$D$611,MATCH($A515,Dataset_2!$A$2:$A$611,0))</f>
        <v>0.4627</v>
      </c>
      <c r="N515">
        <f>INDEX(Dataset_2!$E$2:$E$611,MATCH($A515,Dataset_2!$A$2:$A$611,0))</f>
        <v>24</v>
      </c>
      <c r="O515">
        <f>INDEX(Dataset_2!$F$2:$F$611,MATCH($A515,Dataset_2!$A$2:$A$611,0))</f>
        <v>92</v>
      </c>
      <c r="P515">
        <f>INDEX(Dataset_2!$G$2:$G$611,MATCH($A515,Dataset_2!$A$2:$A$611,0))</f>
        <v>116</v>
      </c>
    </row>
    <row r="516" spans="1:16" x14ac:dyDescent="0.2">
      <c r="A516">
        <f>Dataset_1!A516</f>
        <v>515</v>
      </c>
      <c r="B516" s="61">
        <f>Dataset_1!B516</f>
        <v>40566</v>
      </c>
      <c r="C516">
        <f>Dataset_1!C516</f>
        <v>1</v>
      </c>
      <c r="D516">
        <f>Dataset_1!D516</f>
        <v>0</v>
      </c>
      <c r="E516">
        <f>Dataset_1!E516</f>
        <v>1</v>
      </c>
      <c r="F516">
        <f>Dataset_1!F516</f>
        <v>13</v>
      </c>
      <c r="G516" t="b">
        <f>Dataset_1!G516</f>
        <v>0</v>
      </c>
      <c r="H516">
        <f>Dataset_1!H516</f>
        <v>0</v>
      </c>
      <c r="I516">
        <f>Dataset_1!I516</f>
        <v>1</v>
      </c>
      <c r="J516">
        <f>Dataset_1!J516</f>
        <v>0.14000000000000001</v>
      </c>
      <c r="K516">
        <f>INDEX(Dataset_2!$B$2:$B$611,MATCH($A516,Dataset_2!$A$2:$A$611,0))</f>
        <v>0.1061</v>
      </c>
      <c r="L516">
        <f>INDEX(Dataset_2!$C$2:$C$611,MATCH($A516,Dataset_2!$A$2:$A$611,0))</f>
        <v>0.33</v>
      </c>
      <c r="M516">
        <f>INDEX(Dataset_2!$D$2:$D$611,MATCH($A516,Dataset_2!$A$2:$A$611,0))</f>
        <v>0.3881</v>
      </c>
      <c r="N516">
        <f>INDEX(Dataset_2!$E$2:$E$611,MATCH($A516,Dataset_2!$A$2:$A$611,0))</f>
        <v>12</v>
      </c>
      <c r="O516">
        <f>INDEX(Dataset_2!$F$2:$F$611,MATCH($A516,Dataset_2!$A$2:$A$611,0))</f>
        <v>75</v>
      </c>
      <c r="P516">
        <f>INDEX(Dataset_2!$G$2:$G$611,MATCH($A516,Dataset_2!$A$2:$A$611,0))</f>
        <v>87</v>
      </c>
    </row>
    <row r="517" spans="1:16" x14ac:dyDescent="0.2">
      <c r="A517">
        <f>Dataset_1!A517</f>
        <v>516</v>
      </c>
      <c r="B517" s="61">
        <f>Dataset_1!B517</f>
        <v>40566</v>
      </c>
      <c r="C517">
        <f>Dataset_1!C517</f>
        <v>1</v>
      </c>
      <c r="D517">
        <f>Dataset_1!D517</f>
        <v>0</v>
      </c>
      <c r="E517">
        <f>Dataset_1!E517</f>
        <v>1</v>
      </c>
      <c r="F517">
        <f>Dataset_1!F517</f>
        <v>14</v>
      </c>
      <c r="G517" t="b">
        <f>Dataset_1!G517</f>
        <v>0</v>
      </c>
      <c r="H517">
        <f>Dataset_1!H517</f>
        <v>0</v>
      </c>
      <c r="I517">
        <f>Dataset_1!I517</f>
        <v>1</v>
      </c>
      <c r="J517">
        <f>Dataset_1!J517</f>
        <v>0.16</v>
      </c>
      <c r="K517">
        <f>INDEX(Dataset_2!$B$2:$B$611,MATCH($A517,Dataset_2!$A$2:$A$611,0))</f>
        <v>0.13639999999999999</v>
      </c>
      <c r="L517">
        <f>INDEX(Dataset_2!$C$2:$C$611,MATCH($A517,Dataset_2!$A$2:$A$611,0))</f>
        <v>0.28000000000000003</v>
      </c>
      <c r="M517">
        <f>INDEX(Dataset_2!$D$2:$D$611,MATCH($A517,Dataset_2!$A$2:$A$611,0))</f>
        <v>0.35820000000000002</v>
      </c>
      <c r="N517">
        <f>INDEX(Dataset_2!$E$2:$E$611,MATCH($A517,Dataset_2!$A$2:$A$611,0))</f>
        <v>17</v>
      </c>
      <c r="O517">
        <f>INDEX(Dataset_2!$F$2:$F$611,MATCH($A517,Dataset_2!$A$2:$A$611,0))</f>
        <v>93</v>
      </c>
      <c r="P517">
        <f>INDEX(Dataset_2!$G$2:$G$611,MATCH($A517,Dataset_2!$A$2:$A$611,0))</f>
        <v>110</v>
      </c>
    </row>
    <row r="518" spans="1:16" x14ac:dyDescent="0.2">
      <c r="A518">
        <f>Dataset_1!A518</f>
        <v>517</v>
      </c>
      <c r="B518" s="61">
        <f>Dataset_1!B518</f>
        <v>40566</v>
      </c>
      <c r="C518">
        <f>Dataset_1!C518</f>
        <v>1</v>
      </c>
      <c r="D518">
        <f>Dataset_1!D518</f>
        <v>0</v>
      </c>
      <c r="E518">
        <f>Dataset_1!E518</f>
        <v>1</v>
      </c>
      <c r="F518">
        <f>Dataset_1!F518</f>
        <v>15</v>
      </c>
      <c r="G518" t="b">
        <f>Dataset_1!G518</f>
        <v>0</v>
      </c>
      <c r="H518">
        <f>Dataset_1!H518</f>
        <v>0</v>
      </c>
      <c r="I518">
        <f>Dataset_1!I518</f>
        <v>1</v>
      </c>
      <c r="J518">
        <f>Dataset_1!J518</f>
        <v>0.16</v>
      </c>
      <c r="K518">
        <f>INDEX(Dataset_2!$B$2:$B$611,MATCH($A518,Dataset_2!$A$2:$A$611,0))</f>
        <v>0.13639999999999999</v>
      </c>
      <c r="L518">
        <f>INDEX(Dataset_2!$C$2:$C$611,MATCH($A518,Dataset_2!$A$2:$A$611,0))</f>
        <v>0.28000000000000003</v>
      </c>
      <c r="M518">
        <f>INDEX(Dataset_2!$D$2:$D$611,MATCH($A518,Dataset_2!$A$2:$A$611,0))</f>
        <v>0.35820000000000002</v>
      </c>
      <c r="N518">
        <f>INDEX(Dataset_2!$E$2:$E$611,MATCH($A518,Dataset_2!$A$2:$A$611,0))</f>
        <v>13</v>
      </c>
      <c r="O518">
        <f>INDEX(Dataset_2!$F$2:$F$611,MATCH($A518,Dataset_2!$A$2:$A$611,0))</f>
        <v>64</v>
      </c>
      <c r="P518">
        <f>INDEX(Dataset_2!$G$2:$G$611,MATCH($A518,Dataset_2!$A$2:$A$611,0))</f>
        <v>77</v>
      </c>
    </row>
    <row r="519" spans="1:16" x14ac:dyDescent="0.2">
      <c r="A519">
        <f>Dataset_1!A519</f>
        <v>518</v>
      </c>
      <c r="B519" s="61">
        <f>Dataset_1!B519</f>
        <v>40566</v>
      </c>
      <c r="C519">
        <f>Dataset_1!C519</f>
        <v>1</v>
      </c>
      <c r="D519">
        <f>Dataset_1!D519</f>
        <v>0</v>
      </c>
      <c r="E519">
        <f>Dataset_1!E519</f>
        <v>1</v>
      </c>
      <c r="F519">
        <f>Dataset_1!F519</f>
        <v>16</v>
      </c>
      <c r="G519" t="b">
        <f>Dataset_1!G519</f>
        <v>0</v>
      </c>
      <c r="H519">
        <f>Dataset_1!H519</f>
        <v>0</v>
      </c>
      <c r="I519">
        <f>Dataset_1!I519</f>
        <v>1</v>
      </c>
      <c r="J519">
        <f>Dataset_1!J519</f>
        <v>0.16</v>
      </c>
      <c r="K519">
        <f>INDEX(Dataset_2!$B$2:$B$611,MATCH($A519,Dataset_2!$A$2:$A$611,0))</f>
        <v>0.13639999999999999</v>
      </c>
      <c r="L519">
        <f>INDEX(Dataset_2!$C$2:$C$611,MATCH($A519,Dataset_2!$A$2:$A$611,0))</f>
        <v>0.26</v>
      </c>
      <c r="M519">
        <f>INDEX(Dataset_2!$D$2:$D$611,MATCH($A519,Dataset_2!$A$2:$A$611,0))</f>
        <v>0.32840000000000003</v>
      </c>
      <c r="N519">
        <f>INDEX(Dataset_2!$E$2:$E$611,MATCH($A519,Dataset_2!$A$2:$A$611,0))</f>
        <v>9</v>
      </c>
      <c r="O519">
        <f>INDEX(Dataset_2!$F$2:$F$611,MATCH($A519,Dataset_2!$A$2:$A$611,0))</f>
        <v>56</v>
      </c>
      <c r="P519">
        <f>INDEX(Dataset_2!$G$2:$G$611,MATCH($A519,Dataset_2!$A$2:$A$611,0))</f>
        <v>65</v>
      </c>
    </row>
    <row r="520" spans="1:16" x14ac:dyDescent="0.2">
      <c r="A520">
        <f>Dataset_1!A520</f>
        <v>519</v>
      </c>
      <c r="B520" s="61">
        <f>Dataset_1!B520</f>
        <v>40566</v>
      </c>
      <c r="C520">
        <f>Dataset_1!C520</f>
        <v>1</v>
      </c>
      <c r="D520">
        <f>Dataset_1!D520</f>
        <v>0</v>
      </c>
      <c r="E520">
        <f>Dataset_1!E520</f>
        <v>1</v>
      </c>
      <c r="F520">
        <f>Dataset_1!F520</f>
        <v>17</v>
      </c>
      <c r="G520" t="b">
        <f>Dataset_1!G520</f>
        <v>0</v>
      </c>
      <c r="H520">
        <f>Dataset_1!H520</f>
        <v>0</v>
      </c>
      <c r="I520">
        <f>Dataset_1!I520</f>
        <v>1</v>
      </c>
      <c r="J520">
        <f>Dataset_1!J520</f>
        <v>0.14000000000000001</v>
      </c>
      <c r="K520">
        <f>INDEX(Dataset_2!$B$2:$B$611,MATCH($A520,Dataset_2!$A$2:$A$611,0))</f>
        <v>0.1061</v>
      </c>
      <c r="L520">
        <f>INDEX(Dataset_2!$C$2:$C$611,MATCH($A520,Dataset_2!$A$2:$A$611,0))</f>
        <v>0.26</v>
      </c>
      <c r="M520">
        <f>INDEX(Dataset_2!$D$2:$D$611,MATCH($A520,Dataset_2!$A$2:$A$611,0))</f>
        <v>0.3881</v>
      </c>
      <c r="N520">
        <f>INDEX(Dataset_2!$E$2:$E$611,MATCH($A520,Dataset_2!$A$2:$A$611,0))</f>
        <v>5</v>
      </c>
      <c r="O520">
        <f>INDEX(Dataset_2!$F$2:$F$611,MATCH($A520,Dataset_2!$A$2:$A$611,0))</f>
        <v>50</v>
      </c>
      <c r="P520">
        <f>INDEX(Dataset_2!$G$2:$G$611,MATCH($A520,Dataset_2!$A$2:$A$611,0))</f>
        <v>55</v>
      </c>
    </row>
    <row r="521" spans="1:16" x14ac:dyDescent="0.2">
      <c r="A521">
        <f>Dataset_1!A521</f>
        <v>520</v>
      </c>
      <c r="B521" s="61">
        <f>Dataset_1!B521</f>
        <v>40566</v>
      </c>
      <c r="C521">
        <f>Dataset_1!C521</f>
        <v>1</v>
      </c>
      <c r="D521">
        <f>Dataset_1!D521</f>
        <v>0</v>
      </c>
      <c r="E521">
        <f>Dataset_1!E521</f>
        <v>1</v>
      </c>
      <c r="F521">
        <f>Dataset_1!F521</f>
        <v>18</v>
      </c>
      <c r="G521" t="b">
        <f>Dataset_1!G521</f>
        <v>0</v>
      </c>
      <c r="H521">
        <f>Dataset_1!H521</f>
        <v>0</v>
      </c>
      <c r="I521">
        <f>Dataset_1!I521</f>
        <v>1</v>
      </c>
      <c r="J521">
        <f>Dataset_1!J521</f>
        <v>0.12</v>
      </c>
      <c r="K521">
        <f>INDEX(Dataset_2!$B$2:$B$611,MATCH($A521,Dataset_2!$A$2:$A$611,0))</f>
        <v>0.1212</v>
      </c>
      <c r="L521">
        <f>INDEX(Dataset_2!$C$2:$C$611,MATCH($A521,Dataset_2!$A$2:$A$611,0))</f>
        <v>0.3</v>
      </c>
      <c r="M521">
        <f>INDEX(Dataset_2!$D$2:$D$611,MATCH($A521,Dataset_2!$A$2:$A$611,0))</f>
        <v>0.25369999999999998</v>
      </c>
      <c r="N521">
        <f>INDEX(Dataset_2!$E$2:$E$611,MATCH($A521,Dataset_2!$A$2:$A$611,0))</f>
        <v>5</v>
      </c>
      <c r="O521">
        <f>INDEX(Dataset_2!$F$2:$F$611,MATCH($A521,Dataset_2!$A$2:$A$611,0))</f>
        <v>44</v>
      </c>
      <c r="P521">
        <f>INDEX(Dataset_2!$G$2:$G$611,MATCH($A521,Dataset_2!$A$2:$A$611,0))</f>
        <v>49</v>
      </c>
    </row>
    <row r="522" spans="1:16" x14ac:dyDescent="0.2">
      <c r="A522">
        <f>Dataset_1!A522</f>
        <v>521</v>
      </c>
      <c r="B522" s="61">
        <f>Dataset_1!B522</f>
        <v>40566</v>
      </c>
      <c r="C522">
        <f>Dataset_1!C522</f>
        <v>1</v>
      </c>
      <c r="D522">
        <f>Dataset_1!D522</f>
        <v>0</v>
      </c>
      <c r="E522">
        <f>Dataset_1!E522</f>
        <v>1</v>
      </c>
      <c r="F522">
        <f>Dataset_1!F522</f>
        <v>19</v>
      </c>
      <c r="G522" t="b">
        <f>Dataset_1!G522</f>
        <v>0</v>
      </c>
      <c r="H522">
        <f>Dataset_1!H522</f>
        <v>0</v>
      </c>
      <c r="I522">
        <f>Dataset_1!I522</f>
        <v>1</v>
      </c>
      <c r="J522">
        <f>Dataset_1!J522</f>
        <v>0.12</v>
      </c>
      <c r="K522">
        <f>INDEX(Dataset_2!$B$2:$B$611,MATCH($A522,Dataset_2!$A$2:$A$611,0))</f>
        <v>0.1212</v>
      </c>
      <c r="L522">
        <f>INDEX(Dataset_2!$C$2:$C$611,MATCH($A522,Dataset_2!$A$2:$A$611,0))</f>
        <v>0.3</v>
      </c>
      <c r="M522">
        <f>INDEX(Dataset_2!$D$2:$D$611,MATCH($A522,Dataset_2!$A$2:$A$611,0))</f>
        <v>0.28360000000000002</v>
      </c>
      <c r="N522">
        <f>INDEX(Dataset_2!$E$2:$E$611,MATCH($A522,Dataset_2!$A$2:$A$611,0))</f>
        <v>5</v>
      </c>
      <c r="O522">
        <f>INDEX(Dataset_2!$F$2:$F$611,MATCH($A522,Dataset_2!$A$2:$A$611,0))</f>
        <v>45</v>
      </c>
      <c r="P522">
        <f>INDEX(Dataset_2!$G$2:$G$611,MATCH($A522,Dataset_2!$A$2:$A$611,0))</f>
        <v>50</v>
      </c>
    </row>
    <row r="523" spans="1:16" x14ac:dyDescent="0.2">
      <c r="A523">
        <f>Dataset_1!A523</f>
        <v>522</v>
      </c>
      <c r="B523" s="61">
        <f>Dataset_1!B523</f>
        <v>40566</v>
      </c>
      <c r="C523">
        <f>Dataset_1!C523</f>
        <v>1</v>
      </c>
      <c r="D523">
        <f>Dataset_1!D523</f>
        <v>0</v>
      </c>
      <c r="E523">
        <f>Dataset_1!E523</f>
        <v>1</v>
      </c>
      <c r="F523">
        <f>Dataset_1!F523</f>
        <v>20</v>
      </c>
      <c r="G523" t="b">
        <f>Dataset_1!G523</f>
        <v>0</v>
      </c>
      <c r="H523">
        <f>Dataset_1!H523</f>
        <v>0</v>
      </c>
      <c r="I523">
        <f>Dataset_1!I523</f>
        <v>1</v>
      </c>
      <c r="J523">
        <f>Dataset_1!J523</f>
        <v>0.1</v>
      </c>
      <c r="K523">
        <f>INDEX(Dataset_2!$B$2:$B$611,MATCH($A523,Dataset_2!$A$2:$A$611,0))</f>
        <v>0.1061</v>
      </c>
      <c r="L523">
        <f>INDEX(Dataset_2!$C$2:$C$611,MATCH($A523,Dataset_2!$A$2:$A$611,0))</f>
        <v>0.36</v>
      </c>
      <c r="M523">
        <f>INDEX(Dataset_2!$D$2:$D$611,MATCH($A523,Dataset_2!$A$2:$A$611,0))</f>
        <v>0.25369999999999998</v>
      </c>
      <c r="N523">
        <f>INDEX(Dataset_2!$E$2:$E$611,MATCH($A523,Dataset_2!$A$2:$A$611,0))</f>
        <v>4</v>
      </c>
      <c r="O523">
        <f>INDEX(Dataset_2!$F$2:$F$611,MATCH($A523,Dataset_2!$A$2:$A$611,0))</f>
        <v>31</v>
      </c>
      <c r="P523">
        <f>INDEX(Dataset_2!$G$2:$G$611,MATCH($A523,Dataset_2!$A$2:$A$611,0))</f>
        <v>35</v>
      </c>
    </row>
    <row r="524" spans="1:16" x14ac:dyDescent="0.2">
      <c r="A524">
        <f>Dataset_1!A524</f>
        <v>523</v>
      </c>
      <c r="B524" s="61">
        <f>Dataset_1!B524</f>
        <v>40566</v>
      </c>
      <c r="C524">
        <f>Dataset_1!C524</f>
        <v>1</v>
      </c>
      <c r="D524">
        <f>Dataset_1!D524</f>
        <v>0</v>
      </c>
      <c r="E524">
        <f>Dataset_1!E524</f>
        <v>1</v>
      </c>
      <c r="F524">
        <f>Dataset_1!F524</f>
        <v>21</v>
      </c>
      <c r="G524" t="b">
        <f>Dataset_1!G524</f>
        <v>0</v>
      </c>
      <c r="H524">
        <f>Dataset_1!H524</f>
        <v>0</v>
      </c>
      <c r="I524">
        <f>Dataset_1!I524</f>
        <v>1</v>
      </c>
      <c r="J524">
        <f>Dataset_1!J524</f>
        <v>0.1</v>
      </c>
      <c r="K524">
        <f>INDEX(Dataset_2!$B$2:$B$611,MATCH($A524,Dataset_2!$A$2:$A$611,0))</f>
        <v>0.1061</v>
      </c>
      <c r="L524">
        <f>INDEX(Dataset_2!$C$2:$C$611,MATCH($A524,Dataset_2!$A$2:$A$611,0))</f>
        <v>0.36</v>
      </c>
      <c r="M524">
        <f>INDEX(Dataset_2!$D$2:$D$611,MATCH($A524,Dataset_2!$A$2:$A$611,0))</f>
        <v>0.19400000000000001</v>
      </c>
      <c r="N524">
        <f>INDEX(Dataset_2!$E$2:$E$611,MATCH($A524,Dataset_2!$A$2:$A$611,0))</f>
        <v>5</v>
      </c>
      <c r="O524">
        <f>INDEX(Dataset_2!$F$2:$F$611,MATCH($A524,Dataset_2!$A$2:$A$611,0))</f>
        <v>20</v>
      </c>
      <c r="P524">
        <f>INDEX(Dataset_2!$G$2:$G$611,MATCH($A524,Dataset_2!$A$2:$A$611,0))</f>
        <v>25</v>
      </c>
    </row>
    <row r="525" spans="1:16" x14ac:dyDescent="0.2">
      <c r="A525">
        <f>Dataset_1!A525</f>
        <v>524</v>
      </c>
      <c r="B525" s="61">
        <f>Dataset_1!B525</f>
        <v>40566</v>
      </c>
      <c r="C525">
        <f>Dataset_1!C525</f>
        <v>1</v>
      </c>
      <c r="D525">
        <f>Dataset_1!D525</f>
        <v>0</v>
      </c>
      <c r="E525">
        <f>Dataset_1!E525</f>
        <v>1</v>
      </c>
      <c r="F525">
        <f>Dataset_1!F525</f>
        <v>22</v>
      </c>
      <c r="G525" t="b">
        <f>Dataset_1!G525</f>
        <v>0</v>
      </c>
      <c r="H525">
        <f>Dataset_1!H525</f>
        <v>0</v>
      </c>
      <c r="I525">
        <f>Dataset_1!I525</f>
        <v>1</v>
      </c>
      <c r="J525">
        <f>Dataset_1!J525</f>
        <v>0.08</v>
      </c>
      <c r="K525">
        <f>INDEX(Dataset_2!$B$2:$B$611,MATCH($A525,Dataset_2!$A$2:$A$611,0))</f>
        <v>9.0899999999999995E-2</v>
      </c>
      <c r="L525">
        <f>INDEX(Dataset_2!$C$2:$C$611,MATCH($A525,Dataset_2!$A$2:$A$611,0))</f>
        <v>0.38</v>
      </c>
      <c r="M525">
        <f>INDEX(Dataset_2!$D$2:$D$611,MATCH($A525,Dataset_2!$A$2:$A$611,0))</f>
        <v>0.19400000000000001</v>
      </c>
      <c r="N525">
        <f>INDEX(Dataset_2!$E$2:$E$611,MATCH($A525,Dataset_2!$A$2:$A$611,0))</f>
        <v>5</v>
      </c>
      <c r="O525">
        <f>INDEX(Dataset_2!$F$2:$F$611,MATCH($A525,Dataset_2!$A$2:$A$611,0))</f>
        <v>23</v>
      </c>
      <c r="P525">
        <f>INDEX(Dataset_2!$G$2:$G$611,MATCH($A525,Dataset_2!$A$2:$A$611,0))</f>
        <v>28</v>
      </c>
    </row>
    <row r="526" spans="1:16" x14ac:dyDescent="0.2">
      <c r="A526">
        <f>Dataset_1!A526</f>
        <v>525</v>
      </c>
      <c r="B526" s="61">
        <f>Dataset_1!B526</f>
        <v>40566</v>
      </c>
      <c r="C526">
        <f>Dataset_1!C526</f>
        <v>1</v>
      </c>
      <c r="D526">
        <f>Dataset_1!D526</f>
        <v>0</v>
      </c>
      <c r="E526">
        <f>Dataset_1!E526</f>
        <v>1</v>
      </c>
      <c r="F526">
        <f>Dataset_1!F526</f>
        <v>23</v>
      </c>
      <c r="G526" t="b">
        <f>Dataset_1!G526</f>
        <v>0</v>
      </c>
      <c r="H526">
        <f>Dataset_1!H526</f>
        <v>0</v>
      </c>
      <c r="I526">
        <f>Dataset_1!I526</f>
        <v>1</v>
      </c>
      <c r="J526">
        <f>Dataset_1!J526</f>
        <v>0.06</v>
      </c>
      <c r="K526">
        <f>INDEX(Dataset_2!$B$2:$B$611,MATCH($A526,Dataset_2!$A$2:$A$611,0))</f>
        <v>6.0600000000000001E-2</v>
      </c>
      <c r="L526">
        <f>INDEX(Dataset_2!$C$2:$C$611,MATCH($A526,Dataset_2!$A$2:$A$611,0))</f>
        <v>0.41</v>
      </c>
      <c r="M526">
        <f>INDEX(Dataset_2!$D$2:$D$611,MATCH($A526,Dataset_2!$A$2:$A$611,0))</f>
        <v>0.22389999999999999</v>
      </c>
      <c r="N526">
        <f>INDEX(Dataset_2!$E$2:$E$611,MATCH($A526,Dataset_2!$A$2:$A$611,0))</f>
        <v>4</v>
      </c>
      <c r="O526">
        <f>INDEX(Dataset_2!$F$2:$F$611,MATCH($A526,Dataset_2!$A$2:$A$611,0))</f>
        <v>17</v>
      </c>
      <c r="P526">
        <f>INDEX(Dataset_2!$G$2:$G$611,MATCH($A526,Dataset_2!$A$2:$A$611,0))</f>
        <v>21</v>
      </c>
    </row>
    <row r="527" spans="1:16" x14ac:dyDescent="0.2">
      <c r="A527">
        <f>Dataset_1!A527</f>
        <v>526</v>
      </c>
      <c r="B527" s="61">
        <f>Dataset_1!B527</f>
        <v>40567</v>
      </c>
      <c r="C527">
        <f>Dataset_1!C527</f>
        <v>1</v>
      </c>
      <c r="D527">
        <f>Dataset_1!D527</f>
        <v>0</v>
      </c>
      <c r="E527">
        <f>Dataset_1!E527</f>
        <v>1</v>
      </c>
      <c r="F527">
        <f>Dataset_1!F527</f>
        <v>0</v>
      </c>
      <c r="G527" t="b">
        <f>Dataset_1!G527</f>
        <v>0</v>
      </c>
      <c r="H527">
        <f>Dataset_1!H527</f>
        <v>1</v>
      </c>
      <c r="I527">
        <f>Dataset_1!I527</f>
        <v>1</v>
      </c>
      <c r="J527">
        <f>Dataset_1!J527</f>
        <v>0.06</v>
      </c>
      <c r="K527">
        <f>INDEX(Dataset_2!$B$2:$B$611,MATCH($A527,Dataset_2!$A$2:$A$611,0))</f>
        <v>6.0600000000000001E-2</v>
      </c>
      <c r="L527">
        <f>INDEX(Dataset_2!$C$2:$C$611,MATCH($A527,Dataset_2!$A$2:$A$611,0))</f>
        <v>0.41</v>
      </c>
      <c r="M527">
        <f>INDEX(Dataset_2!$D$2:$D$611,MATCH($A527,Dataset_2!$A$2:$A$611,0))</f>
        <v>0.19400000000000001</v>
      </c>
      <c r="N527">
        <f>INDEX(Dataset_2!$E$2:$E$611,MATCH($A527,Dataset_2!$A$2:$A$611,0))</f>
        <v>0</v>
      </c>
      <c r="O527">
        <f>INDEX(Dataset_2!$F$2:$F$611,MATCH($A527,Dataset_2!$A$2:$A$611,0))</f>
        <v>7</v>
      </c>
      <c r="P527">
        <f>INDEX(Dataset_2!$G$2:$G$611,MATCH($A527,Dataset_2!$A$2:$A$611,0))</f>
        <v>7</v>
      </c>
    </row>
    <row r="528" spans="1:16" x14ac:dyDescent="0.2">
      <c r="A528">
        <f>Dataset_1!A528</f>
        <v>527</v>
      </c>
      <c r="B528" s="61">
        <f>Dataset_1!B528</f>
        <v>40567</v>
      </c>
      <c r="C528">
        <f>Dataset_1!C528</f>
        <v>1</v>
      </c>
      <c r="D528">
        <f>Dataset_1!D528</f>
        <v>0</v>
      </c>
      <c r="E528">
        <f>Dataset_1!E528</f>
        <v>1</v>
      </c>
      <c r="F528">
        <f>Dataset_1!F528</f>
        <v>1</v>
      </c>
      <c r="G528" t="b">
        <f>Dataset_1!G528</f>
        <v>0</v>
      </c>
      <c r="H528">
        <f>Dataset_1!H528</f>
        <v>1</v>
      </c>
      <c r="I528">
        <f>Dataset_1!I528</f>
        <v>1</v>
      </c>
      <c r="J528">
        <f>Dataset_1!J528</f>
        <v>0.04</v>
      </c>
      <c r="K528">
        <f>INDEX(Dataset_2!$B$2:$B$611,MATCH($A528,Dataset_2!$A$2:$A$611,0))</f>
        <v>4.5499999999999999E-2</v>
      </c>
      <c r="L528">
        <f>INDEX(Dataset_2!$C$2:$C$611,MATCH($A528,Dataset_2!$A$2:$A$611,0))</f>
        <v>0.45</v>
      </c>
      <c r="M528">
        <f>INDEX(Dataset_2!$D$2:$D$611,MATCH($A528,Dataset_2!$A$2:$A$611,0))</f>
        <v>0.19400000000000001</v>
      </c>
      <c r="N528">
        <f>INDEX(Dataset_2!$E$2:$E$611,MATCH($A528,Dataset_2!$A$2:$A$611,0))</f>
        <v>0</v>
      </c>
      <c r="O528">
        <f>INDEX(Dataset_2!$F$2:$F$611,MATCH($A528,Dataset_2!$A$2:$A$611,0))</f>
        <v>1</v>
      </c>
      <c r="P528">
        <f>INDEX(Dataset_2!$G$2:$G$611,MATCH($A528,Dataset_2!$A$2:$A$611,0))</f>
        <v>1</v>
      </c>
    </row>
    <row r="529" spans="1:16" x14ac:dyDescent="0.2">
      <c r="A529">
        <f>Dataset_1!A529</f>
        <v>528</v>
      </c>
      <c r="B529" s="61">
        <f>Dataset_1!B529</f>
        <v>40567</v>
      </c>
      <c r="C529">
        <f>Dataset_1!C529</f>
        <v>1</v>
      </c>
      <c r="D529">
        <f>Dataset_1!D529</f>
        <v>0</v>
      </c>
      <c r="E529">
        <f>Dataset_1!E529</f>
        <v>1</v>
      </c>
      <c r="F529">
        <f>Dataset_1!F529</f>
        <v>3</v>
      </c>
      <c r="G529" t="b">
        <f>Dataset_1!G529</f>
        <v>0</v>
      </c>
      <c r="H529">
        <f>Dataset_1!H529</f>
        <v>1</v>
      </c>
      <c r="I529">
        <f>Dataset_1!I529</f>
        <v>1</v>
      </c>
      <c r="J529">
        <f>Dataset_1!J529</f>
        <v>0.04</v>
      </c>
      <c r="K529">
        <f>INDEX(Dataset_2!$B$2:$B$611,MATCH($A529,Dataset_2!$A$2:$A$611,0))</f>
        <v>3.0300000000000001E-2</v>
      </c>
      <c r="L529">
        <f>INDEX(Dataset_2!$C$2:$C$611,MATCH($A529,Dataset_2!$A$2:$A$611,0))</f>
        <v>0.45</v>
      </c>
      <c r="M529">
        <f>INDEX(Dataset_2!$D$2:$D$611,MATCH($A529,Dataset_2!$A$2:$A$611,0))</f>
        <v>0.25369999999999998</v>
      </c>
      <c r="N529">
        <f>INDEX(Dataset_2!$E$2:$E$611,MATCH($A529,Dataset_2!$A$2:$A$611,0))</f>
        <v>0</v>
      </c>
      <c r="O529">
        <f>INDEX(Dataset_2!$F$2:$F$611,MATCH($A529,Dataset_2!$A$2:$A$611,0))</f>
        <v>1</v>
      </c>
      <c r="P529">
        <f>INDEX(Dataset_2!$G$2:$G$611,MATCH($A529,Dataset_2!$A$2:$A$611,0))</f>
        <v>1</v>
      </c>
    </row>
    <row r="530" spans="1:16" x14ac:dyDescent="0.2">
      <c r="A530">
        <f>Dataset_1!A530</f>
        <v>529</v>
      </c>
      <c r="B530" s="61">
        <f>Dataset_1!B530</f>
        <v>40567</v>
      </c>
      <c r="C530">
        <f>Dataset_1!C530</f>
        <v>1</v>
      </c>
      <c r="D530">
        <f>Dataset_1!D530</f>
        <v>0</v>
      </c>
      <c r="E530">
        <f>Dataset_1!E530</f>
        <v>1</v>
      </c>
      <c r="F530">
        <f>Dataset_1!F530</f>
        <v>4</v>
      </c>
      <c r="G530" t="b">
        <f>Dataset_1!G530</f>
        <v>0</v>
      </c>
      <c r="H530">
        <f>Dataset_1!H530</f>
        <v>1</v>
      </c>
      <c r="I530">
        <f>Dataset_1!I530</f>
        <v>1</v>
      </c>
      <c r="J530">
        <f>Dataset_1!J530</f>
        <v>0.02</v>
      </c>
      <c r="K530">
        <f>INDEX(Dataset_2!$B$2:$B$611,MATCH($A530,Dataset_2!$A$2:$A$611,0))</f>
        <v>6.0600000000000001E-2</v>
      </c>
      <c r="L530">
        <f>INDEX(Dataset_2!$C$2:$C$611,MATCH($A530,Dataset_2!$A$2:$A$611,0))</f>
        <v>0.48</v>
      </c>
      <c r="M530">
        <f>INDEX(Dataset_2!$D$2:$D$611,MATCH($A530,Dataset_2!$A$2:$A$611,0))</f>
        <v>0.1343</v>
      </c>
      <c r="N530">
        <f>INDEX(Dataset_2!$E$2:$E$611,MATCH($A530,Dataset_2!$A$2:$A$611,0))</f>
        <v>0</v>
      </c>
      <c r="O530">
        <f>INDEX(Dataset_2!$F$2:$F$611,MATCH($A530,Dataset_2!$A$2:$A$611,0))</f>
        <v>1</v>
      </c>
      <c r="P530">
        <f>INDEX(Dataset_2!$G$2:$G$611,MATCH($A530,Dataset_2!$A$2:$A$611,0))</f>
        <v>1</v>
      </c>
    </row>
    <row r="531" spans="1:16" x14ac:dyDescent="0.2">
      <c r="A531">
        <f>Dataset_1!A531</f>
        <v>530</v>
      </c>
      <c r="B531" s="61">
        <f>Dataset_1!B531</f>
        <v>40567</v>
      </c>
      <c r="C531">
        <f>Dataset_1!C531</f>
        <v>1</v>
      </c>
      <c r="D531">
        <f>Dataset_1!D531</f>
        <v>0</v>
      </c>
      <c r="E531">
        <f>Dataset_1!E531</f>
        <v>1</v>
      </c>
      <c r="F531">
        <f>Dataset_1!F531</f>
        <v>5</v>
      </c>
      <c r="G531" t="b">
        <f>Dataset_1!G531</f>
        <v>0</v>
      </c>
      <c r="H531">
        <f>Dataset_1!H531</f>
        <v>1</v>
      </c>
      <c r="I531">
        <f>Dataset_1!I531</f>
        <v>1</v>
      </c>
      <c r="J531">
        <f>Dataset_1!J531</f>
        <v>0.02</v>
      </c>
      <c r="K531">
        <f>INDEX(Dataset_2!$B$2:$B$611,MATCH($A531,Dataset_2!$A$2:$A$611,0))</f>
        <v>6.0600000000000001E-2</v>
      </c>
      <c r="L531">
        <f>INDEX(Dataset_2!$C$2:$C$611,MATCH($A531,Dataset_2!$A$2:$A$611,0))</f>
        <v>0.48</v>
      </c>
      <c r="M531">
        <f>INDEX(Dataset_2!$D$2:$D$611,MATCH($A531,Dataset_2!$A$2:$A$611,0))</f>
        <v>0.1343</v>
      </c>
      <c r="N531">
        <f>INDEX(Dataset_2!$E$2:$E$611,MATCH($A531,Dataset_2!$A$2:$A$611,0))</f>
        <v>0</v>
      </c>
      <c r="O531">
        <f>INDEX(Dataset_2!$F$2:$F$611,MATCH($A531,Dataset_2!$A$2:$A$611,0))</f>
        <v>5</v>
      </c>
      <c r="P531">
        <f>INDEX(Dataset_2!$G$2:$G$611,MATCH($A531,Dataset_2!$A$2:$A$611,0))</f>
        <v>5</v>
      </c>
    </row>
    <row r="532" spans="1:16" x14ac:dyDescent="0.2">
      <c r="A532">
        <f>Dataset_1!A532</f>
        <v>531</v>
      </c>
      <c r="B532" s="61">
        <f>Dataset_1!B532</f>
        <v>40567</v>
      </c>
      <c r="C532">
        <f>Dataset_1!C532</f>
        <v>1</v>
      </c>
      <c r="D532">
        <f>Dataset_1!D532</f>
        <v>0</v>
      </c>
      <c r="E532">
        <f>Dataset_1!E532</f>
        <v>1</v>
      </c>
      <c r="F532">
        <f>Dataset_1!F532</f>
        <v>6</v>
      </c>
      <c r="G532" t="b">
        <f>Dataset_1!G532</f>
        <v>0</v>
      </c>
      <c r="H532">
        <f>Dataset_1!H532</f>
        <v>1</v>
      </c>
      <c r="I532">
        <f>Dataset_1!I532</f>
        <v>1</v>
      </c>
      <c r="J532">
        <f>Dataset_1!J532</f>
        <v>0.02</v>
      </c>
      <c r="K532">
        <f>INDEX(Dataset_2!$B$2:$B$611,MATCH($A532,Dataset_2!$A$2:$A$611,0))</f>
        <v>7.5800000000000006E-2</v>
      </c>
      <c r="L532">
        <f>INDEX(Dataset_2!$C$2:$C$611,MATCH($A532,Dataset_2!$A$2:$A$611,0))</f>
        <v>0.48</v>
      </c>
      <c r="M532">
        <f>INDEX(Dataset_2!$D$2:$D$611,MATCH($A532,Dataset_2!$A$2:$A$611,0))</f>
        <v>8.9599999999999999E-2</v>
      </c>
      <c r="N532">
        <f>INDEX(Dataset_2!$E$2:$E$611,MATCH($A532,Dataset_2!$A$2:$A$611,0))</f>
        <v>0</v>
      </c>
      <c r="O532">
        <f>INDEX(Dataset_2!$F$2:$F$611,MATCH($A532,Dataset_2!$A$2:$A$611,0))</f>
        <v>15</v>
      </c>
      <c r="P532">
        <f>INDEX(Dataset_2!$G$2:$G$611,MATCH($A532,Dataset_2!$A$2:$A$611,0))</f>
        <v>15</v>
      </c>
    </row>
    <row r="533" spans="1:16" x14ac:dyDescent="0.2">
      <c r="A533">
        <f>Dataset_1!A533</f>
        <v>532</v>
      </c>
      <c r="B533" s="61">
        <f>Dataset_1!B533</f>
        <v>40567</v>
      </c>
      <c r="C533">
        <f>Dataset_1!C533</f>
        <v>1</v>
      </c>
      <c r="D533">
        <f>Dataset_1!D533</f>
        <v>0</v>
      </c>
      <c r="E533">
        <f>Dataset_1!E533</f>
        <v>1</v>
      </c>
      <c r="F533">
        <f>Dataset_1!F533</f>
        <v>7</v>
      </c>
      <c r="G533" t="b">
        <f>Dataset_1!G533</f>
        <v>0</v>
      </c>
      <c r="H533">
        <f>Dataset_1!H533</f>
        <v>1</v>
      </c>
      <c r="I533">
        <f>Dataset_1!I533</f>
        <v>1</v>
      </c>
      <c r="J533">
        <f>Dataset_1!J533</f>
        <v>0.02</v>
      </c>
      <c r="K533">
        <f>INDEX(Dataset_2!$B$2:$B$611,MATCH($A533,Dataset_2!$A$2:$A$611,0))</f>
        <v>0.1212</v>
      </c>
      <c r="L533">
        <f>INDEX(Dataset_2!$C$2:$C$611,MATCH($A533,Dataset_2!$A$2:$A$611,0))</f>
        <v>0.48</v>
      </c>
      <c r="M533">
        <f>INDEX(Dataset_2!$D$2:$D$611,MATCH($A533,Dataset_2!$A$2:$A$611,0))</f>
        <v>0</v>
      </c>
      <c r="N533">
        <f>INDEX(Dataset_2!$E$2:$E$611,MATCH($A533,Dataset_2!$A$2:$A$611,0))</f>
        <v>5</v>
      </c>
      <c r="O533">
        <f>INDEX(Dataset_2!$F$2:$F$611,MATCH($A533,Dataset_2!$A$2:$A$611,0))</f>
        <v>79</v>
      </c>
      <c r="P533">
        <f>INDEX(Dataset_2!$G$2:$G$611,MATCH($A533,Dataset_2!$A$2:$A$611,0))</f>
        <v>84</v>
      </c>
    </row>
    <row r="534" spans="1:16" x14ac:dyDescent="0.2">
      <c r="A534">
        <f>Dataset_1!A534</f>
        <v>533</v>
      </c>
      <c r="B534" s="61">
        <f>Dataset_1!B534</f>
        <v>40567</v>
      </c>
      <c r="C534">
        <f>Dataset_1!C534</f>
        <v>1</v>
      </c>
      <c r="D534">
        <f>Dataset_1!D534</f>
        <v>0</v>
      </c>
      <c r="E534">
        <f>Dataset_1!E534</f>
        <v>1</v>
      </c>
      <c r="F534">
        <f>Dataset_1!F534</f>
        <v>8</v>
      </c>
      <c r="G534" t="b">
        <f>Dataset_1!G534</f>
        <v>0</v>
      </c>
      <c r="H534">
        <f>Dataset_1!H534</f>
        <v>1</v>
      </c>
      <c r="I534">
        <f>Dataset_1!I534</f>
        <v>1</v>
      </c>
      <c r="J534">
        <f>Dataset_1!J534</f>
        <v>0.04</v>
      </c>
      <c r="K534">
        <f>INDEX(Dataset_2!$B$2:$B$611,MATCH($A534,Dataset_2!$A$2:$A$611,0))</f>
        <v>0.13639999999999999</v>
      </c>
      <c r="L534">
        <f>INDEX(Dataset_2!$C$2:$C$611,MATCH($A534,Dataset_2!$A$2:$A$611,0))</f>
        <v>0.49</v>
      </c>
      <c r="M534">
        <f>INDEX(Dataset_2!$D$2:$D$611,MATCH($A534,Dataset_2!$A$2:$A$611,0))</f>
        <v>0</v>
      </c>
      <c r="N534">
        <f>INDEX(Dataset_2!$E$2:$E$611,MATCH($A534,Dataset_2!$A$2:$A$611,0))</f>
        <v>6</v>
      </c>
      <c r="O534">
        <f>INDEX(Dataset_2!$F$2:$F$611,MATCH($A534,Dataset_2!$A$2:$A$611,0))</f>
        <v>171</v>
      </c>
      <c r="P534">
        <f>INDEX(Dataset_2!$G$2:$G$611,MATCH($A534,Dataset_2!$A$2:$A$611,0))</f>
        <v>177</v>
      </c>
    </row>
    <row r="535" spans="1:16" x14ac:dyDescent="0.2">
      <c r="A535">
        <f>Dataset_1!A535</f>
        <v>534</v>
      </c>
      <c r="B535" s="61">
        <f>Dataset_1!B535</f>
        <v>40567</v>
      </c>
      <c r="C535">
        <f>Dataset_1!C535</f>
        <v>1</v>
      </c>
      <c r="D535">
        <f>Dataset_1!D535</f>
        <v>0</v>
      </c>
      <c r="E535">
        <f>Dataset_1!E535</f>
        <v>1</v>
      </c>
      <c r="F535">
        <f>Dataset_1!F535</f>
        <v>9</v>
      </c>
      <c r="G535" t="b">
        <f>Dataset_1!G535</f>
        <v>0</v>
      </c>
      <c r="H535">
        <f>Dataset_1!H535</f>
        <v>1</v>
      </c>
      <c r="I535">
        <f>Dataset_1!I535</f>
        <v>1</v>
      </c>
      <c r="J535">
        <f>Dataset_1!J535</f>
        <v>0.06</v>
      </c>
      <c r="K535">
        <f>INDEX(Dataset_2!$B$2:$B$611,MATCH($A535,Dataset_2!$A$2:$A$611,0))</f>
        <v>0.1515</v>
      </c>
      <c r="L535">
        <f>INDEX(Dataset_2!$C$2:$C$611,MATCH($A535,Dataset_2!$A$2:$A$611,0))</f>
        <v>0.41</v>
      </c>
      <c r="M535">
        <f>INDEX(Dataset_2!$D$2:$D$611,MATCH($A535,Dataset_2!$A$2:$A$611,0))</f>
        <v>0</v>
      </c>
      <c r="N535">
        <f>INDEX(Dataset_2!$E$2:$E$611,MATCH($A535,Dataset_2!$A$2:$A$611,0))</f>
        <v>4</v>
      </c>
      <c r="O535">
        <f>INDEX(Dataset_2!$F$2:$F$611,MATCH($A535,Dataset_2!$A$2:$A$611,0))</f>
        <v>98</v>
      </c>
      <c r="P535">
        <f>INDEX(Dataset_2!$G$2:$G$611,MATCH($A535,Dataset_2!$A$2:$A$611,0))</f>
        <v>102</v>
      </c>
    </row>
    <row r="536" spans="1:16" x14ac:dyDescent="0.2">
      <c r="A536">
        <f>Dataset_1!A536</f>
        <v>535</v>
      </c>
      <c r="B536" s="61">
        <f>Dataset_1!B536</f>
        <v>40567</v>
      </c>
      <c r="C536">
        <f>Dataset_1!C536</f>
        <v>1</v>
      </c>
      <c r="D536">
        <f>Dataset_1!D536</f>
        <v>0</v>
      </c>
      <c r="E536">
        <f>Dataset_1!E536</f>
        <v>1</v>
      </c>
      <c r="F536">
        <f>Dataset_1!F536</f>
        <v>10</v>
      </c>
      <c r="G536" t="b">
        <f>Dataset_1!G536</f>
        <v>0</v>
      </c>
      <c r="H536">
        <f>Dataset_1!H536</f>
        <v>1</v>
      </c>
      <c r="I536">
        <f>Dataset_1!I536</f>
        <v>1</v>
      </c>
      <c r="J536">
        <f>Dataset_1!J536</f>
        <v>0.1</v>
      </c>
      <c r="K536">
        <f>INDEX(Dataset_2!$B$2:$B$611,MATCH($A536,Dataset_2!$A$2:$A$611,0))</f>
        <v>0.13639999999999999</v>
      </c>
      <c r="L536">
        <f>INDEX(Dataset_2!$C$2:$C$611,MATCH($A536,Dataset_2!$A$2:$A$611,0))</f>
        <v>0.42</v>
      </c>
      <c r="M536">
        <f>INDEX(Dataset_2!$D$2:$D$611,MATCH($A536,Dataset_2!$A$2:$A$611,0))</f>
        <v>0</v>
      </c>
      <c r="N536">
        <f>INDEX(Dataset_2!$E$2:$E$611,MATCH($A536,Dataset_2!$A$2:$A$611,0))</f>
        <v>6</v>
      </c>
      <c r="O536">
        <f>INDEX(Dataset_2!$F$2:$F$611,MATCH($A536,Dataset_2!$A$2:$A$611,0))</f>
        <v>34</v>
      </c>
      <c r="P536">
        <f>INDEX(Dataset_2!$G$2:$G$611,MATCH($A536,Dataset_2!$A$2:$A$611,0))</f>
        <v>40</v>
      </c>
    </row>
    <row r="537" spans="1:16" x14ac:dyDescent="0.2">
      <c r="A537">
        <f>Dataset_1!A537</f>
        <v>536</v>
      </c>
      <c r="B537" s="61">
        <f>Dataset_1!B537</f>
        <v>40567</v>
      </c>
      <c r="C537">
        <f>Dataset_1!C537</f>
        <v>1</v>
      </c>
      <c r="D537">
        <f>Dataset_1!D537</f>
        <v>0</v>
      </c>
      <c r="E537">
        <f>Dataset_1!E537</f>
        <v>1</v>
      </c>
      <c r="F537">
        <f>Dataset_1!F537</f>
        <v>11</v>
      </c>
      <c r="G537" t="b">
        <f>Dataset_1!G537</f>
        <v>0</v>
      </c>
      <c r="H537">
        <f>Dataset_1!H537</f>
        <v>1</v>
      </c>
      <c r="I537">
        <f>Dataset_1!I537</f>
        <v>1</v>
      </c>
      <c r="J537">
        <f>Dataset_1!J537</f>
        <v>0.1</v>
      </c>
      <c r="K537">
        <f>INDEX(Dataset_2!$B$2:$B$611,MATCH($A537,Dataset_2!$A$2:$A$611,0))</f>
        <v>0.1212</v>
      </c>
      <c r="L537">
        <f>INDEX(Dataset_2!$C$2:$C$611,MATCH($A537,Dataset_2!$A$2:$A$611,0))</f>
        <v>0.46</v>
      </c>
      <c r="M537">
        <f>INDEX(Dataset_2!$D$2:$D$611,MATCH($A537,Dataset_2!$A$2:$A$611,0))</f>
        <v>0.1343</v>
      </c>
      <c r="N537">
        <f>INDEX(Dataset_2!$E$2:$E$611,MATCH($A537,Dataset_2!$A$2:$A$611,0))</f>
        <v>3</v>
      </c>
      <c r="O537">
        <f>INDEX(Dataset_2!$F$2:$F$611,MATCH($A537,Dataset_2!$A$2:$A$611,0))</f>
        <v>43</v>
      </c>
      <c r="P537">
        <f>INDEX(Dataset_2!$G$2:$G$611,MATCH($A537,Dataset_2!$A$2:$A$611,0))</f>
        <v>46</v>
      </c>
    </row>
    <row r="538" spans="1:16" x14ac:dyDescent="0.2">
      <c r="A538">
        <f>Dataset_1!A538</f>
        <v>537</v>
      </c>
      <c r="B538" s="61">
        <f>Dataset_1!B538</f>
        <v>40567</v>
      </c>
      <c r="C538">
        <f>Dataset_1!C538</f>
        <v>1</v>
      </c>
      <c r="D538">
        <f>Dataset_1!D538</f>
        <v>0</v>
      </c>
      <c r="E538">
        <f>Dataset_1!E538</f>
        <v>1</v>
      </c>
      <c r="F538">
        <f>Dataset_1!F538</f>
        <v>12</v>
      </c>
      <c r="G538" t="b">
        <f>Dataset_1!G538</f>
        <v>0</v>
      </c>
      <c r="H538">
        <f>Dataset_1!H538</f>
        <v>1</v>
      </c>
      <c r="I538">
        <f>Dataset_1!I538</f>
        <v>2</v>
      </c>
      <c r="J538">
        <f>Dataset_1!J538</f>
        <v>0.12</v>
      </c>
      <c r="K538">
        <f>INDEX(Dataset_2!$B$2:$B$611,MATCH($A538,Dataset_2!$A$2:$A$611,0))</f>
        <v>0.13639999999999999</v>
      </c>
      <c r="L538">
        <f>INDEX(Dataset_2!$C$2:$C$611,MATCH($A538,Dataset_2!$A$2:$A$611,0))</f>
        <v>0.42</v>
      </c>
      <c r="M538">
        <f>INDEX(Dataset_2!$D$2:$D$611,MATCH($A538,Dataset_2!$A$2:$A$611,0))</f>
        <v>0.19400000000000001</v>
      </c>
      <c r="N538">
        <f>INDEX(Dataset_2!$E$2:$E$611,MATCH($A538,Dataset_2!$A$2:$A$611,0))</f>
        <v>11</v>
      </c>
      <c r="O538">
        <f>INDEX(Dataset_2!$F$2:$F$611,MATCH($A538,Dataset_2!$A$2:$A$611,0))</f>
        <v>52</v>
      </c>
      <c r="P538">
        <f>INDEX(Dataset_2!$G$2:$G$611,MATCH($A538,Dataset_2!$A$2:$A$611,0))</f>
        <v>63</v>
      </c>
    </row>
    <row r="539" spans="1:16" x14ac:dyDescent="0.2">
      <c r="A539">
        <f>Dataset_1!A539</f>
        <v>538</v>
      </c>
      <c r="B539" s="61">
        <f>Dataset_1!B539</f>
        <v>40567</v>
      </c>
      <c r="C539">
        <f>Dataset_1!C539</f>
        <v>1</v>
      </c>
      <c r="D539">
        <f>Dataset_1!D539</f>
        <v>0</v>
      </c>
      <c r="E539">
        <f>Dataset_1!E539</f>
        <v>1</v>
      </c>
      <c r="F539">
        <f>Dataset_1!F539</f>
        <v>13</v>
      </c>
      <c r="G539" t="b">
        <f>Dataset_1!G539</f>
        <v>0</v>
      </c>
      <c r="H539">
        <f>Dataset_1!H539</f>
        <v>1</v>
      </c>
      <c r="I539">
        <f>Dataset_1!I539</f>
        <v>2</v>
      </c>
      <c r="J539">
        <f>Dataset_1!J539</f>
        <v>0.14000000000000001</v>
      </c>
      <c r="K539">
        <f>INDEX(Dataset_2!$B$2:$B$611,MATCH($A539,Dataset_2!$A$2:$A$611,0))</f>
        <v>0.13639999999999999</v>
      </c>
      <c r="L539">
        <f>INDEX(Dataset_2!$C$2:$C$611,MATCH($A539,Dataset_2!$A$2:$A$611,0))</f>
        <v>0.43</v>
      </c>
      <c r="M539">
        <f>INDEX(Dataset_2!$D$2:$D$611,MATCH($A539,Dataset_2!$A$2:$A$611,0))</f>
        <v>0.22389999999999999</v>
      </c>
      <c r="N539">
        <f>INDEX(Dataset_2!$E$2:$E$611,MATCH($A539,Dataset_2!$A$2:$A$611,0))</f>
        <v>6</v>
      </c>
      <c r="O539">
        <f>INDEX(Dataset_2!$F$2:$F$611,MATCH($A539,Dataset_2!$A$2:$A$611,0))</f>
        <v>54</v>
      </c>
      <c r="P539">
        <f>INDEX(Dataset_2!$G$2:$G$611,MATCH($A539,Dataset_2!$A$2:$A$611,0))</f>
        <v>60</v>
      </c>
    </row>
    <row r="540" spans="1:16" x14ac:dyDescent="0.2">
      <c r="A540">
        <f>Dataset_1!A540</f>
        <v>539</v>
      </c>
      <c r="B540" s="61">
        <f>Dataset_1!B540</f>
        <v>40567</v>
      </c>
      <c r="C540">
        <f>Dataset_1!C540</f>
        <v>1</v>
      </c>
      <c r="D540">
        <f>Dataset_1!D540</f>
        <v>0</v>
      </c>
      <c r="E540">
        <f>Dataset_1!E540</f>
        <v>1</v>
      </c>
      <c r="F540">
        <f>Dataset_1!F540</f>
        <v>14</v>
      </c>
      <c r="G540" t="b">
        <f>Dataset_1!G540</f>
        <v>0</v>
      </c>
      <c r="H540">
        <f>Dataset_1!H540</f>
        <v>1</v>
      </c>
      <c r="I540">
        <f>Dataset_1!I540</f>
        <v>2</v>
      </c>
      <c r="J540">
        <f>Dataset_1!J540</f>
        <v>0.14000000000000001</v>
      </c>
      <c r="K540">
        <f>INDEX(Dataset_2!$B$2:$B$611,MATCH($A540,Dataset_2!$A$2:$A$611,0))</f>
        <v>0.13639999999999999</v>
      </c>
      <c r="L540">
        <f>INDEX(Dataset_2!$C$2:$C$611,MATCH($A540,Dataset_2!$A$2:$A$611,0))</f>
        <v>0.46</v>
      </c>
      <c r="M540">
        <f>INDEX(Dataset_2!$D$2:$D$611,MATCH($A540,Dataset_2!$A$2:$A$611,0))</f>
        <v>0.22389999999999999</v>
      </c>
      <c r="N540">
        <f>INDEX(Dataset_2!$E$2:$E$611,MATCH($A540,Dataset_2!$A$2:$A$611,0))</f>
        <v>2</v>
      </c>
      <c r="O540">
        <f>INDEX(Dataset_2!$F$2:$F$611,MATCH($A540,Dataset_2!$A$2:$A$611,0))</f>
        <v>43</v>
      </c>
      <c r="P540">
        <f>INDEX(Dataset_2!$G$2:$G$611,MATCH($A540,Dataset_2!$A$2:$A$611,0))</f>
        <v>45</v>
      </c>
    </row>
    <row r="541" spans="1:16" x14ac:dyDescent="0.2">
      <c r="A541">
        <f>Dataset_1!A541</f>
        <v>540</v>
      </c>
      <c r="B541" s="61">
        <f>Dataset_1!B541</f>
        <v>40567</v>
      </c>
      <c r="C541">
        <f>Dataset_1!C541</f>
        <v>1</v>
      </c>
      <c r="D541">
        <f>Dataset_1!D541</f>
        <v>0</v>
      </c>
      <c r="E541">
        <f>Dataset_1!E541</f>
        <v>1</v>
      </c>
      <c r="F541">
        <f>Dataset_1!F541</f>
        <v>15</v>
      </c>
      <c r="G541" t="b">
        <f>Dataset_1!G541</f>
        <v>0</v>
      </c>
      <c r="H541">
        <f>Dataset_1!H541</f>
        <v>1</v>
      </c>
      <c r="I541">
        <f>Dataset_1!I541</f>
        <v>1</v>
      </c>
      <c r="J541">
        <f>Dataset_1!J541</f>
        <v>0.16</v>
      </c>
      <c r="K541">
        <f>INDEX(Dataset_2!$B$2:$B$611,MATCH($A541,Dataset_2!$A$2:$A$611,0))</f>
        <v>0.16669999999999999</v>
      </c>
      <c r="L541">
        <f>INDEX(Dataset_2!$C$2:$C$611,MATCH($A541,Dataset_2!$A$2:$A$611,0))</f>
        <v>0.4</v>
      </c>
      <c r="M541">
        <f>INDEX(Dataset_2!$D$2:$D$611,MATCH($A541,Dataset_2!$A$2:$A$611,0))</f>
        <v>0.16420000000000001</v>
      </c>
      <c r="N541">
        <f>INDEX(Dataset_2!$E$2:$E$611,MATCH($A541,Dataset_2!$A$2:$A$611,0))</f>
        <v>7</v>
      </c>
      <c r="O541">
        <f>INDEX(Dataset_2!$F$2:$F$611,MATCH($A541,Dataset_2!$A$2:$A$611,0))</f>
        <v>50</v>
      </c>
      <c r="P541">
        <f>INDEX(Dataset_2!$G$2:$G$611,MATCH($A541,Dataset_2!$A$2:$A$611,0))</f>
        <v>57</v>
      </c>
    </row>
    <row r="542" spans="1:16" x14ac:dyDescent="0.2">
      <c r="A542">
        <f>Dataset_1!A542</f>
        <v>541</v>
      </c>
      <c r="B542" s="61">
        <f>Dataset_1!B542</f>
        <v>40567</v>
      </c>
      <c r="C542">
        <f>Dataset_1!C542</f>
        <v>1</v>
      </c>
      <c r="D542">
        <f>Dataset_1!D542</f>
        <v>0</v>
      </c>
      <c r="E542">
        <f>Dataset_1!E542</f>
        <v>1</v>
      </c>
      <c r="F542">
        <f>Dataset_1!F542</f>
        <v>16</v>
      </c>
      <c r="G542" t="b">
        <f>Dataset_1!G542</f>
        <v>0</v>
      </c>
      <c r="H542">
        <f>Dataset_1!H542</f>
        <v>1</v>
      </c>
      <c r="I542">
        <f>Dataset_1!I542</f>
        <v>1</v>
      </c>
      <c r="J542">
        <f>Dataset_1!J542</f>
        <v>0.16</v>
      </c>
      <c r="K542">
        <f>INDEX(Dataset_2!$B$2:$B$611,MATCH($A542,Dataset_2!$A$2:$A$611,0))</f>
        <v>0.1515</v>
      </c>
      <c r="L542">
        <f>INDEX(Dataset_2!$C$2:$C$611,MATCH($A542,Dataset_2!$A$2:$A$611,0))</f>
        <v>0.47</v>
      </c>
      <c r="M542">
        <f>INDEX(Dataset_2!$D$2:$D$611,MATCH($A542,Dataset_2!$A$2:$A$611,0))</f>
        <v>0.25369999999999998</v>
      </c>
      <c r="N542">
        <f>INDEX(Dataset_2!$E$2:$E$611,MATCH($A542,Dataset_2!$A$2:$A$611,0))</f>
        <v>4</v>
      </c>
      <c r="O542">
        <f>INDEX(Dataset_2!$F$2:$F$611,MATCH($A542,Dataset_2!$A$2:$A$611,0))</f>
        <v>66</v>
      </c>
      <c r="P542">
        <f>INDEX(Dataset_2!$G$2:$G$611,MATCH($A542,Dataset_2!$A$2:$A$611,0))</f>
        <v>70</v>
      </c>
    </row>
    <row r="543" spans="1:16" x14ac:dyDescent="0.2">
      <c r="A543">
        <f>Dataset_1!A543</f>
        <v>542</v>
      </c>
      <c r="B543" s="61">
        <f>Dataset_1!B543</f>
        <v>40567</v>
      </c>
      <c r="C543">
        <f>Dataset_1!C543</f>
        <v>1</v>
      </c>
      <c r="D543">
        <f>Dataset_1!D543</f>
        <v>0</v>
      </c>
      <c r="E543">
        <f>Dataset_1!E543</f>
        <v>1</v>
      </c>
      <c r="F543">
        <f>Dataset_1!F543</f>
        <v>17</v>
      </c>
      <c r="G543" t="b">
        <f>Dataset_1!G543</f>
        <v>0</v>
      </c>
      <c r="H543">
        <f>Dataset_1!H543</f>
        <v>1</v>
      </c>
      <c r="I543">
        <f>Dataset_1!I543</f>
        <v>1</v>
      </c>
      <c r="J543">
        <f>Dataset_1!J543</f>
        <v>0.14000000000000001</v>
      </c>
      <c r="K543">
        <f>INDEX(Dataset_2!$B$2:$B$611,MATCH($A543,Dataset_2!$A$2:$A$611,0))</f>
        <v>0.1212</v>
      </c>
      <c r="L543">
        <f>INDEX(Dataset_2!$C$2:$C$611,MATCH($A543,Dataset_2!$A$2:$A$611,0))</f>
        <v>0.5</v>
      </c>
      <c r="M543">
        <f>INDEX(Dataset_2!$D$2:$D$611,MATCH($A543,Dataset_2!$A$2:$A$611,0))</f>
        <v>0.25369999999999998</v>
      </c>
      <c r="N543">
        <f>INDEX(Dataset_2!$E$2:$E$611,MATCH($A543,Dataset_2!$A$2:$A$611,0))</f>
        <v>6</v>
      </c>
      <c r="O543">
        <f>INDEX(Dataset_2!$F$2:$F$611,MATCH($A543,Dataset_2!$A$2:$A$611,0))</f>
        <v>178</v>
      </c>
      <c r="P543">
        <f>INDEX(Dataset_2!$G$2:$G$611,MATCH($A543,Dataset_2!$A$2:$A$611,0))</f>
        <v>184</v>
      </c>
    </row>
    <row r="544" spans="1:16" x14ac:dyDescent="0.2">
      <c r="A544">
        <f>Dataset_1!A544</f>
        <v>543</v>
      </c>
      <c r="B544" s="61">
        <f>Dataset_1!B544</f>
        <v>40567</v>
      </c>
      <c r="C544">
        <f>Dataset_1!C544</f>
        <v>1</v>
      </c>
      <c r="D544">
        <f>Dataset_1!D544</f>
        <v>0</v>
      </c>
      <c r="E544">
        <f>Dataset_1!E544</f>
        <v>1</v>
      </c>
      <c r="F544">
        <f>Dataset_1!F544</f>
        <v>18</v>
      </c>
      <c r="G544" t="b">
        <f>Dataset_1!G544</f>
        <v>0</v>
      </c>
      <c r="H544">
        <f>Dataset_1!H544</f>
        <v>1</v>
      </c>
      <c r="I544">
        <f>Dataset_1!I544</f>
        <v>1</v>
      </c>
      <c r="J544">
        <f>Dataset_1!J544</f>
        <v>0.14000000000000001</v>
      </c>
      <c r="K544">
        <f>INDEX(Dataset_2!$B$2:$B$611,MATCH($A544,Dataset_2!$A$2:$A$611,0))</f>
        <v>0.13639999999999999</v>
      </c>
      <c r="L544">
        <f>INDEX(Dataset_2!$C$2:$C$611,MATCH($A544,Dataset_2!$A$2:$A$611,0))</f>
        <v>0.59</v>
      </c>
      <c r="M544">
        <f>INDEX(Dataset_2!$D$2:$D$611,MATCH($A544,Dataset_2!$A$2:$A$611,0))</f>
        <v>0.19400000000000001</v>
      </c>
      <c r="N544">
        <f>INDEX(Dataset_2!$E$2:$E$611,MATCH($A544,Dataset_2!$A$2:$A$611,0))</f>
        <v>8</v>
      </c>
      <c r="O544">
        <f>INDEX(Dataset_2!$F$2:$F$611,MATCH($A544,Dataset_2!$A$2:$A$611,0))</f>
        <v>145</v>
      </c>
      <c r="P544">
        <f>INDEX(Dataset_2!$G$2:$G$611,MATCH($A544,Dataset_2!$A$2:$A$611,0))</f>
        <v>153</v>
      </c>
    </row>
    <row r="545" spans="1:16" x14ac:dyDescent="0.2">
      <c r="A545">
        <f>Dataset_1!A545</f>
        <v>544</v>
      </c>
      <c r="B545" s="61">
        <f>Dataset_1!B545</f>
        <v>40567</v>
      </c>
      <c r="C545">
        <f>Dataset_1!C545</f>
        <v>1</v>
      </c>
      <c r="D545">
        <f>Dataset_1!D545</f>
        <v>0</v>
      </c>
      <c r="E545">
        <f>Dataset_1!E545</f>
        <v>1</v>
      </c>
      <c r="F545">
        <f>Dataset_1!F545</f>
        <v>19</v>
      </c>
      <c r="G545" t="b">
        <f>Dataset_1!G545</f>
        <v>0</v>
      </c>
      <c r="H545">
        <f>Dataset_1!H545</f>
        <v>1</v>
      </c>
      <c r="I545">
        <f>Dataset_1!I545</f>
        <v>1</v>
      </c>
      <c r="J545">
        <f>Dataset_1!J545</f>
        <v>0.14000000000000001</v>
      </c>
      <c r="K545">
        <f>INDEX(Dataset_2!$B$2:$B$611,MATCH($A545,Dataset_2!$A$2:$A$611,0))</f>
        <v>0.1515</v>
      </c>
      <c r="L545">
        <f>INDEX(Dataset_2!$C$2:$C$611,MATCH($A545,Dataset_2!$A$2:$A$611,0))</f>
        <v>0.54</v>
      </c>
      <c r="M545">
        <f>INDEX(Dataset_2!$D$2:$D$611,MATCH($A545,Dataset_2!$A$2:$A$611,0))</f>
        <v>0.16420000000000001</v>
      </c>
      <c r="N545">
        <f>INDEX(Dataset_2!$E$2:$E$611,MATCH($A545,Dataset_2!$A$2:$A$611,0))</f>
        <v>5</v>
      </c>
      <c r="O545">
        <f>INDEX(Dataset_2!$F$2:$F$611,MATCH($A545,Dataset_2!$A$2:$A$611,0))</f>
        <v>101</v>
      </c>
      <c r="P545">
        <f>INDEX(Dataset_2!$G$2:$G$611,MATCH($A545,Dataset_2!$A$2:$A$611,0))</f>
        <v>106</v>
      </c>
    </row>
    <row r="546" spans="1:16" x14ac:dyDescent="0.2">
      <c r="A546">
        <f>Dataset_1!A546</f>
        <v>545</v>
      </c>
      <c r="B546" s="61">
        <f>Dataset_1!B546</f>
        <v>40567</v>
      </c>
      <c r="C546">
        <f>Dataset_1!C546</f>
        <v>1</v>
      </c>
      <c r="D546">
        <f>Dataset_1!D546</f>
        <v>0</v>
      </c>
      <c r="E546">
        <f>Dataset_1!E546</f>
        <v>1</v>
      </c>
      <c r="F546">
        <f>Dataset_1!F546</f>
        <v>20</v>
      </c>
      <c r="G546" t="b">
        <f>Dataset_1!G546</f>
        <v>0</v>
      </c>
      <c r="H546">
        <f>Dataset_1!H546</f>
        <v>1</v>
      </c>
      <c r="I546">
        <f>Dataset_1!I546</f>
        <v>1</v>
      </c>
      <c r="J546">
        <f>Dataset_1!J546</f>
        <v>0.14000000000000001</v>
      </c>
      <c r="K546">
        <f>INDEX(Dataset_2!$B$2:$B$611,MATCH($A546,Dataset_2!$A$2:$A$611,0))</f>
        <v>0.13639999999999999</v>
      </c>
      <c r="L546">
        <f>INDEX(Dataset_2!$C$2:$C$611,MATCH($A546,Dataset_2!$A$2:$A$611,0))</f>
        <v>0.59</v>
      </c>
      <c r="M546">
        <f>INDEX(Dataset_2!$D$2:$D$611,MATCH($A546,Dataset_2!$A$2:$A$611,0))</f>
        <v>0.19400000000000001</v>
      </c>
      <c r="N546">
        <f>INDEX(Dataset_2!$E$2:$E$611,MATCH($A546,Dataset_2!$A$2:$A$611,0))</f>
        <v>1</v>
      </c>
      <c r="O546">
        <f>INDEX(Dataset_2!$F$2:$F$611,MATCH($A546,Dataset_2!$A$2:$A$611,0))</f>
        <v>80</v>
      </c>
      <c r="P546">
        <f>INDEX(Dataset_2!$G$2:$G$611,MATCH($A546,Dataset_2!$A$2:$A$611,0))</f>
        <v>81</v>
      </c>
    </row>
    <row r="547" spans="1:16" x14ac:dyDescent="0.2">
      <c r="A547">
        <f>Dataset_1!A547</f>
        <v>546</v>
      </c>
      <c r="B547" s="61">
        <f>Dataset_1!B547</f>
        <v>40567</v>
      </c>
      <c r="C547">
        <f>Dataset_1!C547</f>
        <v>1</v>
      </c>
      <c r="D547">
        <f>Dataset_1!D547</f>
        <v>0</v>
      </c>
      <c r="E547">
        <f>Dataset_1!E547</f>
        <v>1</v>
      </c>
      <c r="F547">
        <f>Dataset_1!F547</f>
        <v>21</v>
      </c>
      <c r="G547" t="b">
        <f>Dataset_1!G547</f>
        <v>0</v>
      </c>
      <c r="H547">
        <f>Dataset_1!H547</f>
        <v>1</v>
      </c>
      <c r="I547">
        <f>Dataset_1!I547</f>
        <v>1</v>
      </c>
      <c r="J547">
        <f>Dataset_1!J547</f>
        <v>0.14000000000000001</v>
      </c>
      <c r="K547">
        <f>INDEX(Dataset_2!$B$2:$B$611,MATCH($A547,Dataset_2!$A$2:$A$611,0))</f>
        <v>0.1515</v>
      </c>
      <c r="L547">
        <f>INDEX(Dataset_2!$C$2:$C$611,MATCH($A547,Dataset_2!$A$2:$A$611,0))</f>
        <v>0.63</v>
      </c>
      <c r="M547">
        <f>INDEX(Dataset_2!$D$2:$D$611,MATCH($A547,Dataset_2!$A$2:$A$611,0))</f>
        <v>0.16420000000000001</v>
      </c>
      <c r="N547">
        <f>INDEX(Dataset_2!$E$2:$E$611,MATCH($A547,Dataset_2!$A$2:$A$611,0))</f>
        <v>6</v>
      </c>
      <c r="O547">
        <f>INDEX(Dataset_2!$F$2:$F$611,MATCH($A547,Dataset_2!$A$2:$A$611,0))</f>
        <v>53</v>
      </c>
      <c r="P547">
        <f>INDEX(Dataset_2!$G$2:$G$611,MATCH($A547,Dataset_2!$A$2:$A$611,0))</f>
        <v>59</v>
      </c>
    </row>
    <row r="548" spans="1:16" x14ac:dyDescent="0.2">
      <c r="A548">
        <f>Dataset_1!A548</f>
        <v>547</v>
      </c>
      <c r="B548" s="61">
        <f>Dataset_1!B548</f>
        <v>40567</v>
      </c>
      <c r="C548">
        <f>Dataset_1!C548</f>
        <v>1</v>
      </c>
      <c r="D548">
        <f>Dataset_1!D548</f>
        <v>0</v>
      </c>
      <c r="E548">
        <f>Dataset_1!E548</f>
        <v>1</v>
      </c>
      <c r="F548">
        <f>Dataset_1!F548</f>
        <v>22</v>
      </c>
      <c r="G548" t="b">
        <f>Dataset_1!G548</f>
        <v>0</v>
      </c>
      <c r="H548">
        <f>Dataset_1!H548</f>
        <v>1</v>
      </c>
      <c r="I548">
        <f>Dataset_1!I548</f>
        <v>2</v>
      </c>
      <c r="J548">
        <f>Dataset_1!J548</f>
        <v>0.14000000000000001</v>
      </c>
      <c r="K548">
        <f>INDEX(Dataset_2!$B$2:$B$611,MATCH($A548,Dataset_2!$A$2:$A$611,0))</f>
        <v>0.13639999999999999</v>
      </c>
      <c r="L548">
        <f>INDEX(Dataset_2!$C$2:$C$611,MATCH($A548,Dataset_2!$A$2:$A$611,0))</f>
        <v>0.63</v>
      </c>
      <c r="M548">
        <f>INDEX(Dataset_2!$D$2:$D$611,MATCH($A548,Dataset_2!$A$2:$A$611,0))</f>
        <v>0.22389999999999999</v>
      </c>
      <c r="N548">
        <f>INDEX(Dataset_2!$E$2:$E$611,MATCH($A548,Dataset_2!$A$2:$A$611,0))</f>
        <v>3</v>
      </c>
      <c r="O548">
        <f>INDEX(Dataset_2!$F$2:$F$611,MATCH($A548,Dataset_2!$A$2:$A$611,0))</f>
        <v>32</v>
      </c>
      <c r="P548">
        <f>INDEX(Dataset_2!$G$2:$G$611,MATCH($A548,Dataset_2!$A$2:$A$611,0))</f>
        <v>35</v>
      </c>
    </row>
    <row r="549" spans="1:16" x14ac:dyDescent="0.2">
      <c r="A549">
        <f>Dataset_1!A549</f>
        <v>548</v>
      </c>
      <c r="B549" s="61">
        <f>Dataset_1!B549</f>
        <v>40567</v>
      </c>
      <c r="C549">
        <f>Dataset_1!C549</f>
        <v>1</v>
      </c>
      <c r="D549">
        <f>Dataset_1!D549</f>
        <v>0</v>
      </c>
      <c r="E549">
        <f>Dataset_1!E549</f>
        <v>1</v>
      </c>
      <c r="F549">
        <f>Dataset_1!F549</f>
        <v>23</v>
      </c>
      <c r="G549" t="b">
        <f>Dataset_1!G549</f>
        <v>0</v>
      </c>
      <c r="H549">
        <f>Dataset_1!H549</f>
        <v>1</v>
      </c>
      <c r="I549">
        <f>Dataset_1!I549</f>
        <v>2</v>
      </c>
      <c r="J549">
        <f>Dataset_1!J549</f>
        <v>0.16</v>
      </c>
      <c r="K549">
        <f>INDEX(Dataset_2!$B$2:$B$611,MATCH($A549,Dataset_2!$A$2:$A$611,0))</f>
        <v>0.1515</v>
      </c>
      <c r="L549">
        <f>INDEX(Dataset_2!$C$2:$C$611,MATCH($A549,Dataset_2!$A$2:$A$611,0))</f>
        <v>0.64</v>
      </c>
      <c r="M549">
        <f>INDEX(Dataset_2!$D$2:$D$611,MATCH($A549,Dataset_2!$A$2:$A$611,0))</f>
        <v>0.25369999999999998</v>
      </c>
      <c r="N549">
        <f>INDEX(Dataset_2!$E$2:$E$611,MATCH($A549,Dataset_2!$A$2:$A$611,0))</f>
        <v>3</v>
      </c>
      <c r="O549">
        <f>INDEX(Dataset_2!$F$2:$F$611,MATCH($A549,Dataset_2!$A$2:$A$611,0))</f>
        <v>21</v>
      </c>
      <c r="P549">
        <f>INDEX(Dataset_2!$G$2:$G$611,MATCH($A549,Dataset_2!$A$2:$A$611,0))</f>
        <v>24</v>
      </c>
    </row>
    <row r="550" spans="1:16" x14ac:dyDescent="0.2">
      <c r="A550">
        <f>Dataset_1!A550</f>
        <v>549</v>
      </c>
      <c r="B550" s="61">
        <f>Dataset_1!B550</f>
        <v>40568</v>
      </c>
      <c r="C550">
        <f>Dataset_1!C550</f>
        <v>1</v>
      </c>
      <c r="D550">
        <f>Dataset_1!D550</f>
        <v>0</v>
      </c>
      <c r="E550">
        <f>Dataset_1!E550</f>
        <v>1</v>
      </c>
      <c r="F550">
        <f>Dataset_1!F550</f>
        <v>0</v>
      </c>
      <c r="G550" t="b">
        <f>Dataset_1!G550</f>
        <v>0</v>
      </c>
      <c r="H550">
        <f>Dataset_1!H550</f>
        <v>2</v>
      </c>
      <c r="I550">
        <f>Dataset_1!I550</f>
        <v>2</v>
      </c>
      <c r="J550">
        <f>Dataset_1!J550</f>
        <v>0.16</v>
      </c>
      <c r="K550">
        <f>INDEX(Dataset_2!$B$2:$B$611,MATCH($A550,Dataset_2!$A$2:$A$611,0))</f>
        <v>0.13639999999999999</v>
      </c>
      <c r="L550">
        <f>INDEX(Dataset_2!$C$2:$C$611,MATCH($A550,Dataset_2!$A$2:$A$611,0))</f>
        <v>0.69</v>
      </c>
      <c r="M550">
        <f>INDEX(Dataset_2!$D$2:$D$611,MATCH($A550,Dataset_2!$A$2:$A$611,0))</f>
        <v>0.28360000000000002</v>
      </c>
      <c r="N550">
        <f>INDEX(Dataset_2!$E$2:$E$611,MATCH($A550,Dataset_2!$A$2:$A$611,0))</f>
        <v>3</v>
      </c>
      <c r="O550">
        <f>INDEX(Dataset_2!$F$2:$F$611,MATCH($A550,Dataset_2!$A$2:$A$611,0))</f>
        <v>6</v>
      </c>
      <c r="P550">
        <f>INDEX(Dataset_2!$G$2:$G$611,MATCH($A550,Dataset_2!$A$2:$A$611,0))</f>
        <v>9</v>
      </c>
    </row>
    <row r="551" spans="1:16" x14ac:dyDescent="0.2">
      <c r="A551">
        <f>Dataset_1!A551</f>
        <v>550</v>
      </c>
      <c r="B551" s="61">
        <f>Dataset_1!B551</f>
        <v>40568</v>
      </c>
      <c r="C551">
        <f>Dataset_1!C551</f>
        <v>1</v>
      </c>
      <c r="D551">
        <f>Dataset_1!D551</f>
        <v>0</v>
      </c>
      <c r="E551">
        <f>Dataset_1!E551</f>
        <v>1</v>
      </c>
      <c r="F551">
        <f>Dataset_1!F551</f>
        <v>1</v>
      </c>
      <c r="G551" t="b">
        <f>Dataset_1!G551</f>
        <v>0</v>
      </c>
      <c r="H551">
        <f>Dataset_1!H551</f>
        <v>2</v>
      </c>
      <c r="I551">
        <f>Dataset_1!I551</f>
        <v>2</v>
      </c>
      <c r="J551">
        <f>Dataset_1!J551</f>
        <v>0.16</v>
      </c>
      <c r="K551">
        <f>INDEX(Dataset_2!$B$2:$B$611,MATCH($A551,Dataset_2!$A$2:$A$611,0))</f>
        <v>0.16669999999999999</v>
      </c>
      <c r="L551">
        <f>INDEX(Dataset_2!$C$2:$C$611,MATCH($A551,Dataset_2!$A$2:$A$611,0))</f>
        <v>0.69</v>
      </c>
      <c r="M551">
        <f>INDEX(Dataset_2!$D$2:$D$611,MATCH($A551,Dataset_2!$A$2:$A$611,0))</f>
        <v>0.16420000000000001</v>
      </c>
      <c r="N551">
        <f>INDEX(Dataset_2!$E$2:$E$611,MATCH($A551,Dataset_2!$A$2:$A$611,0))</f>
        <v>0</v>
      </c>
      <c r="O551">
        <f>INDEX(Dataset_2!$F$2:$F$611,MATCH($A551,Dataset_2!$A$2:$A$611,0))</f>
        <v>5</v>
      </c>
      <c r="P551">
        <f>INDEX(Dataset_2!$G$2:$G$611,MATCH($A551,Dataset_2!$A$2:$A$611,0))</f>
        <v>5</v>
      </c>
    </row>
    <row r="552" spans="1:16" x14ac:dyDescent="0.2">
      <c r="A552">
        <f>Dataset_1!A552</f>
        <v>551</v>
      </c>
      <c r="B552" s="61">
        <f>Dataset_1!B552</f>
        <v>40568</v>
      </c>
      <c r="C552">
        <f>Dataset_1!C552</f>
        <v>1</v>
      </c>
      <c r="D552">
        <f>Dataset_1!D552</f>
        <v>0</v>
      </c>
      <c r="E552">
        <f>Dataset_1!E552</f>
        <v>1</v>
      </c>
      <c r="F552">
        <f>Dataset_1!F552</f>
        <v>2</v>
      </c>
      <c r="G552" t="b">
        <f>Dataset_1!G552</f>
        <v>0</v>
      </c>
      <c r="H552">
        <f>Dataset_1!H552</f>
        <v>2</v>
      </c>
      <c r="I552">
        <f>Dataset_1!I552</f>
        <v>1</v>
      </c>
      <c r="J552">
        <f>Dataset_1!J552</f>
        <v>0.16</v>
      </c>
      <c r="K552">
        <f>INDEX(Dataset_2!$B$2:$B$611,MATCH($A552,Dataset_2!$A$2:$A$611,0))</f>
        <v>0.1515</v>
      </c>
      <c r="L552">
        <f>INDEX(Dataset_2!$C$2:$C$611,MATCH($A552,Dataset_2!$A$2:$A$611,0))</f>
        <v>0.69</v>
      </c>
      <c r="M552">
        <f>INDEX(Dataset_2!$D$2:$D$611,MATCH($A552,Dataset_2!$A$2:$A$611,0))</f>
        <v>0.22389999999999999</v>
      </c>
      <c r="N552">
        <f>INDEX(Dataset_2!$E$2:$E$611,MATCH($A552,Dataset_2!$A$2:$A$611,0))</f>
        <v>0</v>
      </c>
      <c r="O552">
        <f>INDEX(Dataset_2!$F$2:$F$611,MATCH($A552,Dataset_2!$A$2:$A$611,0))</f>
        <v>2</v>
      </c>
      <c r="P552">
        <f>INDEX(Dataset_2!$G$2:$G$611,MATCH($A552,Dataset_2!$A$2:$A$611,0))</f>
        <v>2</v>
      </c>
    </row>
    <row r="553" spans="1:16" x14ac:dyDescent="0.2">
      <c r="A553">
        <f>Dataset_1!A553</f>
        <v>552</v>
      </c>
      <c r="B553" s="61">
        <f>Dataset_1!B553</f>
        <v>40568</v>
      </c>
      <c r="C553">
        <f>Dataset_1!C553</f>
        <v>1</v>
      </c>
      <c r="D553">
        <f>Dataset_1!D553</f>
        <v>0</v>
      </c>
      <c r="E553">
        <f>Dataset_1!E553</f>
        <v>1</v>
      </c>
      <c r="F553">
        <f>Dataset_1!F553</f>
        <v>4</v>
      </c>
      <c r="G553" t="b">
        <f>Dataset_1!G553</f>
        <v>0</v>
      </c>
      <c r="H553">
        <f>Dataset_1!H553</f>
        <v>2</v>
      </c>
      <c r="I553">
        <f>Dataset_1!I553</f>
        <v>1</v>
      </c>
      <c r="J553">
        <f>Dataset_1!J553</f>
        <v>0.14000000000000001</v>
      </c>
      <c r="K553">
        <f>INDEX(Dataset_2!$B$2:$B$611,MATCH($A553,Dataset_2!$A$2:$A$611,0))</f>
        <v>0.16669999999999999</v>
      </c>
      <c r="L553">
        <f>INDEX(Dataset_2!$C$2:$C$611,MATCH($A553,Dataset_2!$A$2:$A$611,0))</f>
        <v>0.74</v>
      </c>
      <c r="M553">
        <f>INDEX(Dataset_2!$D$2:$D$611,MATCH($A553,Dataset_2!$A$2:$A$611,0))</f>
        <v>0.1045</v>
      </c>
      <c r="N553">
        <f>INDEX(Dataset_2!$E$2:$E$611,MATCH($A553,Dataset_2!$A$2:$A$611,0))</f>
        <v>0</v>
      </c>
      <c r="O553">
        <f>INDEX(Dataset_2!$F$2:$F$611,MATCH($A553,Dataset_2!$A$2:$A$611,0))</f>
        <v>1</v>
      </c>
      <c r="P553">
        <f>INDEX(Dataset_2!$G$2:$G$611,MATCH($A553,Dataset_2!$A$2:$A$611,0))</f>
        <v>1</v>
      </c>
    </row>
    <row r="554" spans="1:16" x14ac:dyDescent="0.2">
      <c r="A554">
        <f>Dataset_1!A554</f>
        <v>553</v>
      </c>
      <c r="B554" s="61">
        <f>Dataset_1!B554</f>
        <v>40568</v>
      </c>
      <c r="C554">
        <f>Dataset_1!C554</f>
        <v>1</v>
      </c>
      <c r="D554">
        <f>Dataset_1!D554</f>
        <v>0</v>
      </c>
      <c r="E554">
        <f>Dataset_1!E554</f>
        <v>1</v>
      </c>
      <c r="F554">
        <f>Dataset_1!F554</f>
        <v>5</v>
      </c>
      <c r="G554" t="b">
        <f>Dataset_1!G554</f>
        <v>0</v>
      </c>
      <c r="H554">
        <f>Dataset_1!H554</f>
        <v>2</v>
      </c>
      <c r="I554">
        <f>Dataset_1!I554</f>
        <v>1</v>
      </c>
      <c r="J554">
        <f>Dataset_1!J554</f>
        <v>0.14000000000000001</v>
      </c>
      <c r="K554">
        <f>INDEX(Dataset_2!$B$2:$B$611,MATCH($A554,Dataset_2!$A$2:$A$611,0))</f>
        <v>0.13639999999999999</v>
      </c>
      <c r="L554">
        <f>INDEX(Dataset_2!$C$2:$C$611,MATCH($A554,Dataset_2!$A$2:$A$611,0))</f>
        <v>0.74</v>
      </c>
      <c r="M554">
        <f>INDEX(Dataset_2!$D$2:$D$611,MATCH($A554,Dataset_2!$A$2:$A$611,0))</f>
        <v>0.22389999999999999</v>
      </c>
      <c r="N554">
        <f>INDEX(Dataset_2!$E$2:$E$611,MATCH($A554,Dataset_2!$A$2:$A$611,0))</f>
        <v>0</v>
      </c>
      <c r="O554">
        <f>INDEX(Dataset_2!$F$2:$F$611,MATCH($A554,Dataset_2!$A$2:$A$611,0))</f>
        <v>9</v>
      </c>
      <c r="P554">
        <f>INDEX(Dataset_2!$G$2:$G$611,MATCH($A554,Dataset_2!$A$2:$A$611,0))</f>
        <v>9</v>
      </c>
    </row>
    <row r="555" spans="1:16" x14ac:dyDescent="0.2">
      <c r="A555">
        <f>Dataset_1!A555</f>
        <v>554</v>
      </c>
      <c r="B555" s="61">
        <f>Dataset_1!B555</f>
        <v>40568</v>
      </c>
      <c r="C555">
        <f>Dataset_1!C555</f>
        <v>1</v>
      </c>
      <c r="D555">
        <f>Dataset_1!D555</f>
        <v>0</v>
      </c>
      <c r="E555">
        <f>Dataset_1!E555</f>
        <v>1</v>
      </c>
      <c r="F555">
        <f>Dataset_1!F555</f>
        <v>6</v>
      </c>
      <c r="G555" t="b">
        <f>Dataset_1!G555</f>
        <v>0</v>
      </c>
      <c r="H555">
        <f>Dataset_1!H555</f>
        <v>2</v>
      </c>
      <c r="I555">
        <f>Dataset_1!I555</f>
        <v>1</v>
      </c>
      <c r="J555">
        <f>Dataset_1!J555</f>
        <v>0.16</v>
      </c>
      <c r="K555">
        <f>INDEX(Dataset_2!$B$2:$B$611,MATCH($A555,Dataset_2!$A$2:$A$611,0))</f>
        <v>0.18179999999999999</v>
      </c>
      <c r="L555">
        <f>INDEX(Dataset_2!$C$2:$C$611,MATCH($A555,Dataset_2!$A$2:$A$611,0))</f>
        <v>0.74</v>
      </c>
      <c r="M555">
        <f>INDEX(Dataset_2!$D$2:$D$611,MATCH($A555,Dataset_2!$A$2:$A$611,0))</f>
        <v>0.1045</v>
      </c>
      <c r="N555">
        <f>INDEX(Dataset_2!$E$2:$E$611,MATCH($A555,Dataset_2!$A$2:$A$611,0))</f>
        <v>1</v>
      </c>
      <c r="O555">
        <f>INDEX(Dataset_2!$F$2:$F$611,MATCH($A555,Dataset_2!$A$2:$A$611,0))</f>
        <v>35</v>
      </c>
      <c r="P555">
        <f>INDEX(Dataset_2!$G$2:$G$611,MATCH($A555,Dataset_2!$A$2:$A$611,0))</f>
        <v>36</v>
      </c>
    </row>
    <row r="556" spans="1:16" x14ac:dyDescent="0.2">
      <c r="A556">
        <f>Dataset_1!A556</f>
        <v>555</v>
      </c>
      <c r="B556" s="61">
        <f>Dataset_1!B556</f>
        <v>40568</v>
      </c>
      <c r="C556">
        <f>Dataset_1!C556</f>
        <v>1</v>
      </c>
      <c r="D556">
        <f>Dataset_1!D556</f>
        <v>0</v>
      </c>
      <c r="E556">
        <f>Dataset_1!E556</f>
        <v>1</v>
      </c>
      <c r="F556">
        <f>Dataset_1!F556</f>
        <v>7</v>
      </c>
      <c r="G556" t="b">
        <f>Dataset_1!G556</f>
        <v>0</v>
      </c>
      <c r="H556">
        <f>Dataset_1!H556</f>
        <v>2</v>
      </c>
      <c r="I556">
        <f>Dataset_1!I556</f>
        <v>1</v>
      </c>
      <c r="J556">
        <f>Dataset_1!J556</f>
        <v>0.16</v>
      </c>
      <c r="K556">
        <f>INDEX(Dataset_2!$B$2:$B$611,MATCH($A556,Dataset_2!$A$2:$A$611,0))</f>
        <v>0.1515</v>
      </c>
      <c r="L556">
        <f>INDEX(Dataset_2!$C$2:$C$611,MATCH($A556,Dataset_2!$A$2:$A$611,0))</f>
        <v>0.74</v>
      </c>
      <c r="M556">
        <f>INDEX(Dataset_2!$D$2:$D$611,MATCH($A556,Dataset_2!$A$2:$A$611,0))</f>
        <v>0.22389999999999999</v>
      </c>
      <c r="N556">
        <f>INDEX(Dataset_2!$E$2:$E$611,MATCH($A556,Dataset_2!$A$2:$A$611,0))</f>
        <v>5</v>
      </c>
      <c r="O556">
        <f>INDEX(Dataset_2!$F$2:$F$611,MATCH($A556,Dataset_2!$A$2:$A$611,0))</f>
        <v>103</v>
      </c>
      <c r="P556">
        <f>INDEX(Dataset_2!$G$2:$G$611,MATCH($A556,Dataset_2!$A$2:$A$611,0))</f>
        <v>108</v>
      </c>
    </row>
    <row r="557" spans="1:16" x14ac:dyDescent="0.2">
      <c r="A557">
        <f>Dataset_1!A557</f>
        <v>556</v>
      </c>
      <c r="B557" s="61">
        <f>Dataset_1!B557</f>
        <v>40568</v>
      </c>
      <c r="C557">
        <f>Dataset_1!C557</f>
        <v>1</v>
      </c>
      <c r="D557">
        <f>Dataset_1!D557</f>
        <v>0</v>
      </c>
      <c r="E557">
        <f>Dataset_1!E557</f>
        <v>1</v>
      </c>
      <c r="F557">
        <f>Dataset_1!F557</f>
        <v>8</v>
      </c>
      <c r="G557" t="b">
        <f>Dataset_1!G557</f>
        <v>0</v>
      </c>
      <c r="H557">
        <f>Dataset_1!H557</f>
        <v>2</v>
      </c>
      <c r="I557">
        <f>Dataset_1!I557</f>
        <v>2</v>
      </c>
      <c r="J557">
        <f>Dataset_1!J557</f>
        <v>0.16</v>
      </c>
      <c r="K557">
        <f>INDEX(Dataset_2!$B$2:$B$611,MATCH($A557,Dataset_2!$A$2:$A$611,0))</f>
        <v>0.18179999999999999</v>
      </c>
      <c r="L557">
        <f>INDEX(Dataset_2!$C$2:$C$611,MATCH($A557,Dataset_2!$A$2:$A$611,0))</f>
        <v>0.74</v>
      </c>
      <c r="M557">
        <f>INDEX(Dataset_2!$D$2:$D$611,MATCH($A557,Dataset_2!$A$2:$A$611,0))</f>
        <v>0.1343</v>
      </c>
      <c r="N557">
        <f>INDEX(Dataset_2!$E$2:$E$611,MATCH($A557,Dataset_2!$A$2:$A$611,0))</f>
        <v>5</v>
      </c>
      <c r="O557">
        <f>INDEX(Dataset_2!$F$2:$F$611,MATCH($A557,Dataset_2!$A$2:$A$611,0))</f>
        <v>233</v>
      </c>
      <c r="P557">
        <f>INDEX(Dataset_2!$G$2:$G$611,MATCH($A557,Dataset_2!$A$2:$A$611,0))</f>
        <v>238</v>
      </c>
    </row>
    <row r="558" spans="1:16" x14ac:dyDescent="0.2">
      <c r="A558">
        <f>Dataset_1!A558</f>
        <v>557</v>
      </c>
      <c r="B558" s="61">
        <f>Dataset_1!B558</f>
        <v>40568</v>
      </c>
      <c r="C558">
        <f>Dataset_1!C558</f>
        <v>1</v>
      </c>
      <c r="D558">
        <f>Dataset_1!D558</f>
        <v>0</v>
      </c>
      <c r="E558">
        <f>Dataset_1!E558</f>
        <v>1</v>
      </c>
      <c r="F558">
        <f>Dataset_1!F558</f>
        <v>9</v>
      </c>
      <c r="G558" t="b">
        <f>Dataset_1!G558</f>
        <v>0</v>
      </c>
      <c r="H558">
        <f>Dataset_1!H558</f>
        <v>2</v>
      </c>
      <c r="I558">
        <f>Dataset_1!I558</f>
        <v>2</v>
      </c>
      <c r="J558">
        <f>Dataset_1!J558</f>
        <v>0.2</v>
      </c>
      <c r="K558">
        <f>INDEX(Dataset_2!$B$2:$B$611,MATCH($A558,Dataset_2!$A$2:$A$611,0))</f>
        <v>0.2273</v>
      </c>
      <c r="L558">
        <f>INDEX(Dataset_2!$C$2:$C$611,MATCH($A558,Dataset_2!$A$2:$A$611,0))</f>
        <v>0.64</v>
      </c>
      <c r="M558">
        <f>INDEX(Dataset_2!$D$2:$D$611,MATCH($A558,Dataset_2!$A$2:$A$611,0))</f>
        <v>8.9599999999999999E-2</v>
      </c>
      <c r="N558">
        <f>INDEX(Dataset_2!$E$2:$E$611,MATCH($A558,Dataset_2!$A$2:$A$611,0))</f>
        <v>10</v>
      </c>
      <c r="O558">
        <f>INDEX(Dataset_2!$F$2:$F$611,MATCH($A558,Dataset_2!$A$2:$A$611,0))</f>
        <v>134</v>
      </c>
      <c r="P558">
        <f>INDEX(Dataset_2!$G$2:$G$611,MATCH($A558,Dataset_2!$A$2:$A$611,0))</f>
        <v>144</v>
      </c>
    </row>
    <row r="559" spans="1:16" x14ac:dyDescent="0.2">
      <c r="A559">
        <f>Dataset_1!A559</f>
        <v>558</v>
      </c>
      <c r="B559" s="61">
        <f>Dataset_1!B559</f>
        <v>40568</v>
      </c>
      <c r="C559">
        <f>Dataset_1!C559</f>
        <v>1</v>
      </c>
      <c r="D559">
        <f>Dataset_1!D559</f>
        <v>0</v>
      </c>
      <c r="E559">
        <f>Dataset_1!E559</f>
        <v>1</v>
      </c>
      <c r="F559">
        <f>Dataset_1!F559</f>
        <v>10</v>
      </c>
      <c r="G559" t="b">
        <f>Dataset_1!G559</f>
        <v>0</v>
      </c>
      <c r="H559">
        <f>Dataset_1!H559</f>
        <v>2</v>
      </c>
      <c r="I559">
        <f>Dataset_1!I559</f>
        <v>2</v>
      </c>
      <c r="J559">
        <f>Dataset_1!J559</f>
        <v>0.22</v>
      </c>
      <c r="K559">
        <f>INDEX(Dataset_2!$B$2:$B$611,MATCH($A559,Dataset_2!$A$2:$A$611,0))</f>
        <v>0.2424</v>
      </c>
      <c r="L559">
        <f>INDEX(Dataset_2!$C$2:$C$611,MATCH($A559,Dataset_2!$A$2:$A$611,0))</f>
        <v>0.6</v>
      </c>
      <c r="M559">
        <f>INDEX(Dataset_2!$D$2:$D$611,MATCH($A559,Dataset_2!$A$2:$A$611,0))</f>
        <v>0.1045</v>
      </c>
      <c r="N559">
        <f>INDEX(Dataset_2!$E$2:$E$611,MATCH($A559,Dataset_2!$A$2:$A$611,0))</f>
        <v>6</v>
      </c>
      <c r="O559">
        <f>INDEX(Dataset_2!$F$2:$F$611,MATCH($A559,Dataset_2!$A$2:$A$611,0))</f>
        <v>49</v>
      </c>
      <c r="P559">
        <f>INDEX(Dataset_2!$G$2:$G$611,MATCH($A559,Dataset_2!$A$2:$A$611,0))</f>
        <v>55</v>
      </c>
    </row>
    <row r="560" spans="1:16" x14ac:dyDescent="0.2">
      <c r="A560">
        <f>Dataset_1!A560</f>
        <v>559</v>
      </c>
      <c r="B560" s="61">
        <f>Dataset_1!B560</f>
        <v>40568</v>
      </c>
      <c r="C560">
        <f>Dataset_1!C560</f>
        <v>1</v>
      </c>
      <c r="D560">
        <f>Dataset_1!D560</f>
        <v>0</v>
      </c>
      <c r="E560">
        <f>Dataset_1!E560</f>
        <v>1</v>
      </c>
      <c r="F560">
        <f>Dataset_1!F560</f>
        <v>11</v>
      </c>
      <c r="G560" t="b">
        <f>Dataset_1!G560</f>
        <v>0</v>
      </c>
      <c r="H560">
        <f>Dataset_1!H560</f>
        <v>2</v>
      </c>
      <c r="I560">
        <f>Dataset_1!I560</f>
        <v>2</v>
      </c>
      <c r="J560">
        <f>Dataset_1!J560</f>
        <v>0.24</v>
      </c>
      <c r="K560">
        <f>INDEX(Dataset_2!$B$2:$B$611,MATCH($A560,Dataset_2!$A$2:$A$611,0))</f>
        <v>0.2424</v>
      </c>
      <c r="L560">
        <f>INDEX(Dataset_2!$C$2:$C$611,MATCH($A560,Dataset_2!$A$2:$A$611,0))</f>
        <v>0.6</v>
      </c>
      <c r="M560">
        <f>INDEX(Dataset_2!$D$2:$D$611,MATCH($A560,Dataset_2!$A$2:$A$611,0))</f>
        <v>0.1343</v>
      </c>
      <c r="N560">
        <f>INDEX(Dataset_2!$E$2:$E$611,MATCH($A560,Dataset_2!$A$2:$A$611,0))</f>
        <v>6</v>
      </c>
      <c r="O560">
        <f>INDEX(Dataset_2!$F$2:$F$611,MATCH($A560,Dataset_2!$A$2:$A$611,0))</f>
        <v>55</v>
      </c>
      <c r="P560">
        <f>INDEX(Dataset_2!$G$2:$G$611,MATCH($A560,Dataset_2!$A$2:$A$611,0))</f>
        <v>61</v>
      </c>
    </row>
    <row r="561" spans="1:16" x14ac:dyDescent="0.2">
      <c r="A561">
        <f>Dataset_1!A561</f>
        <v>560</v>
      </c>
      <c r="B561" s="61">
        <f>Dataset_1!B561</f>
        <v>40568</v>
      </c>
      <c r="C561">
        <f>Dataset_1!C561</f>
        <v>1</v>
      </c>
      <c r="D561">
        <f>Dataset_1!D561</f>
        <v>0</v>
      </c>
      <c r="E561">
        <f>Dataset_1!E561</f>
        <v>1</v>
      </c>
      <c r="F561">
        <f>Dataset_1!F561</f>
        <v>12</v>
      </c>
      <c r="G561" t="b">
        <f>Dataset_1!G561</f>
        <v>0</v>
      </c>
      <c r="H561">
        <f>Dataset_1!H561</f>
        <v>2</v>
      </c>
      <c r="I561">
        <f>Dataset_1!I561</f>
        <v>2</v>
      </c>
      <c r="J561">
        <f>Dataset_1!J561</f>
        <v>0.26</v>
      </c>
      <c r="K561">
        <f>INDEX(Dataset_2!$B$2:$B$611,MATCH($A561,Dataset_2!$A$2:$A$611,0))</f>
        <v>0.28789999999999999</v>
      </c>
      <c r="L561">
        <f>INDEX(Dataset_2!$C$2:$C$611,MATCH($A561,Dataset_2!$A$2:$A$611,0))</f>
        <v>0.56000000000000005</v>
      </c>
      <c r="M561">
        <f>INDEX(Dataset_2!$D$2:$D$611,MATCH($A561,Dataset_2!$A$2:$A$611,0))</f>
        <v>8.9599999999999999E-2</v>
      </c>
      <c r="N561">
        <f>INDEX(Dataset_2!$E$2:$E$611,MATCH($A561,Dataset_2!$A$2:$A$611,0))</f>
        <v>21</v>
      </c>
      <c r="O561">
        <f>INDEX(Dataset_2!$F$2:$F$611,MATCH($A561,Dataset_2!$A$2:$A$611,0))</f>
        <v>85</v>
      </c>
      <c r="P561">
        <f>INDEX(Dataset_2!$G$2:$G$611,MATCH($A561,Dataset_2!$A$2:$A$611,0))</f>
        <v>106</v>
      </c>
    </row>
    <row r="562" spans="1:16" x14ac:dyDescent="0.2">
      <c r="A562">
        <f>Dataset_1!A562</f>
        <v>561</v>
      </c>
      <c r="B562" s="61">
        <f>Dataset_1!B562</f>
        <v>40568</v>
      </c>
      <c r="C562">
        <f>Dataset_1!C562</f>
        <v>1</v>
      </c>
      <c r="D562">
        <f>Dataset_1!D562</f>
        <v>0</v>
      </c>
      <c r="E562">
        <f>Dataset_1!E562</f>
        <v>1</v>
      </c>
      <c r="F562">
        <f>Dataset_1!F562</f>
        <v>13</v>
      </c>
      <c r="G562" t="b">
        <f>Dataset_1!G562</f>
        <v>0</v>
      </c>
      <c r="H562">
        <f>Dataset_1!H562</f>
        <v>2</v>
      </c>
      <c r="I562">
        <f>Dataset_1!I562</f>
        <v>2</v>
      </c>
      <c r="J562">
        <f>Dataset_1!J562</f>
        <v>0.26</v>
      </c>
      <c r="K562">
        <f>INDEX(Dataset_2!$B$2:$B$611,MATCH($A562,Dataset_2!$A$2:$A$611,0))</f>
        <v>0.2727</v>
      </c>
      <c r="L562">
        <f>INDEX(Dataset_2!$C$2:$C$611,MATCH($A562,Dataset_2!$A$2:$A$611,0))</f>
        <v>0.56000000000000005</v>
      </c>
      <c r="M562">
        <f>INDEX(Dataset_2!$D$2:$D$611,MATCH($A562,Dataset_2!$A$2:$A$611,0))</f>
        <v>0.1343</v>
      </c>
      <c r="N562">
        <f>INDEX(Dataset_2!$E$2:$E$611,MATCH($A562,Dataset_2!$A$2:$A$611,0))</f>
        <v>21</v>
      </c>
      <c r="O562">
        <f>INDEX(Dataset_2!$F$2:$F$611,MATCH($A562,Dataset_2!$A$2:$A$611,0))</f>
        <v>72</v>
      </c>
      <c r="P562">
        <f>INDEX(Dataset_2!$G$2:$G$611,MATCH($A562,Dataset_2!$A$2:$A$611,0))</f>
        <v>93</v>
      </c>
    </row>
    <row r="563" spans="1:16" x14ac:dyDescent="0.2">
      <c r="A563">
        <f>Dataset_1!A563</f>
        <v>562</v>
      </c>
      <c r="B563" s="61">
        <f>Dataset_1!B563</f>
        <v>40568</v>
      </c>
      <c r="C563">
        <f>Dataset_1!C563</f>
        <v>1</v>
      </c>
      <c r="D563">
        <f>Dataset_1!D563</f>
        <v>0</v>
      </c>
      <c r="E563">
        <f>Dataset_1!E563</f>
        <v>1</v>
      </c>
      <c r="F563">
        <f>Dataset_1!F563</f>
        <v>14</v>
      </c>
      <c r="G563" t="b">
        <f>Dataset_1!G563</f>
        <v>0</v>
      </c>
      <c r="H563">
        <f>Dataset_1!H563</f>
        <v>2</v>
      </c>
      <c r="I563">
        <f>Dataset_1!I563</f>
        <v>2</v>
      </c>
      <c r="J563">
        <f>Dataset_1!J563</f>
        <v>0.3</v>
      </c>
      <c r="K563">
        <f>INDEX(Dataset_2!$B$2:$B$611,MATCH($A563,Dataset_2!$A$2:$A$611,0))</f>
        <v>0.33329999999999999</v>
      </c>
      <c r="L563">
        <f>INDEX(Dataset_2!$C$2:$C$611,MATCH($A563,Dataset_2!$A$2:$A$611,0))</f>
        <v>0.45</v>
      </c>
      <c r="M563">
        <f>INDEX(Dataset_2!$D$2:$D$611,MATCH($A563,Dataset_2!$A$2:$A$611,0))</f>
        <v>0</v>
      </c>
      <c r="N563">
        <f>INDEX(Dataset_2!$E$2:$E$611,MATCH($A563,Dataset_2!$A$2:$A$611,0))</f>
        <v>11</v>
      </c>
      <c r="O563">
        <f>INDEX(Dataset_2!$F$2:$F$611,MATCH($A563,Dataset_2!$A$2:$A$611,0))</f>
        <v>57</v>
      </c>
      <c r="P563">
        <f>INDEX(Dataset_2!$G$2:$G$611,MATCH($A563,Dataset_2!$A$2:$A$611,0))</f>
        <v>68</v>
      </c>
    </row>
    <row r="564" spans="1:16" x14ac:dyDescent="0.2">
      <c r="A564">
        <f>Dataset_1!A564</f>
        <v>563</v>
      </c>
      <c r="B564" s="61">
        <f>Dataset_1!B564</f>
        <v>40568</v>
      </c>
      <c r="C564">
        <f>Dataset_1!C564</f>
        <v>1</v>
      </c>
      <c r="D564">
        <f>Dataset_1!D564</f>
        <v>0</v>
      </c>
      <c r="E564">
        <f>Dataset_1!E564</f>
        <v>1</v>
      </c>
      <c r="F564">
        <f>Dataset_1!F564</f>
        <v>15</v>
      </c>
      <c r="G564" t="b">
        <f>Dataset_1!G564</f>
        <v>0</v>
      </c>
      <c r="H564">
        <f>Dataset_1!H564</f>
        <v>2</v>
      </c>
      <c r="I564">
        <f>Dataset_1!I564</f>
        <v>2</v>
      </c>
      <c r="J564">
        <f>Dataset_1!J564</f>
        <v>0.32</v>
      </c>
      <c r="K564">
        <f>INDEX(Dataset_2!$B$2:$B$611,MATCH($A564,Dataset_2!$A$2:$A$611,0))</f>
        <v>0.34849999999999998</v>
      </c>
      <c r="L564">
        <f>INDEX(Dataset_2!$C$2:$C$611,MATCH($A564,Dataset_2!$A$2:$A$611,0))</f>
        <v>0.42</v>
      </c>
      <c r="M564">
        <f>INDEX(Dataset_2!$D$2:$D$611,MATCH($A564,Dataset_2!$A$2:$A$611,0))</f>
        <v>0</v>
      </c>
      <c r="N564">
        <f>INDEX(Dataset_2!$E$2:$E$611,MATCH($A564,Dataset_2!$A$2:$A$611,0))</f>
        <v>21</v>
      </c>
      <c r="O564">
        <f>INDEX(Dataset_2!$F$2:$F$611,MATCH($A564,Dataset_2!$A$2:$A$611,0))</f>
        <v>63</v>
      </c>
      <c r="P564">
        <f>INDEX(Dataset_2!$G$2:$G$611,MATCH($A564,Dataset_2!$A$2:$A$611,0))</f>
        <v>84</v>
      </c>
    </row>
    <row r="565" spans="1:16" x14ac:dyDescent="0.2">
      <c r="A565">
        <f>Dataset_1!A565</f>
        <v>564</v>
      </c>
      <c r="B565" s="61">
        <f>Dataset_1!B565</f>
        <v>40568</v>
      </c>
      <c r="C565">
        <f>Dataset_1!C565</f>
        <v>1</v>
      </c>
      <c r="D565">
        <f>Dataset_1!D565</f>
        <v>0</v>
      </c>
      <c r="E565">
        <f>Dataset_1!E565</f>
        <v>1</v>
      </c>
      <c r="F565">
        <f>Dataset_1!F565</f>
        <v>16</v>
      </c>
      <c r="G565" t="b">
        <f>Dataset_1!G565</f>
        <v>0</v>
      </c>
      <c r="H565">
        <f>Dataset_1!H565</f>
        <v>2</v>
      </c>
      <c r="I565">
        <f>Dataset_1!I565</f>
        <v>2</v>
      </c>
      <c r="J565">
        <f>Dataset_1!J565</f>
        <v>0.32</v>
      </c>
      <c r="K565">
        <f>INDEX(Dataset_2!$B$2:$B$611,MATCH($A565,Dataset_2!$A$2:$A$611,0))</f>
        <v>0.34849999999999998</v>
      </c>
      <c r="L565">
        <f>INDEX(Dataset_2!$C$2:$C$611,MATCH($A565,Dataset_2!$A$2:$A$611,0))</f>
        <v>0.42</v>
      </c>
      <c r="M565">
        <f>INDEX(Dataset_2!$D$2:$D$611,MATCH($A565,Dataset_2!$A$2:$A$611,0))</f>
        <v>0</v>
      </c>
      <c r="N565">
        <f>INDEX(Dataset_2!$E$2:$E$611,MATCH($A565,Dataset_2!$A$2:$A$611,0))</f>
        <v>14</v>
      </c>
      <c r="O565">
        <f>INDEX(Dataset_2!$F$2:$F$611,MATCH($A565,Dataset_2!$A$2:$A$611,0))</f>
        <v>102</v>
      </c>
      <c r="P565">
        <f>INDEX(Dataset_2!$G$2:$G$611,MATCH($A565,Dataset_2!$A$2:$A$611,0))</f>
        <v>116</v>
      </c>
    </row>
    <row r="566" spans="1:16" x14ac:dyDescent="0.2">
      <c r="A566">
        <f>Dataset_1!A566</f>
        <v>565</v>
      </c>
      <c r="B566" s="61">
        <f>Dataset_1!B566</f>
        <v>40568</v>
      </c>
      <c r="C566">
        <f>Dataset_1!C566</f>
        <v>1</v>
      </c>
      <c r="D566">
        <f>Dataset_1!D566</f>
        <v>0</v>
      </c>
      <c r="E566">
        <f>Dataset_1!E566</f>
        <v>1</v>
      </c>
      <c r="F566">
        <f>Dataset_1!F566</f>
        <v>17</v>
      </c>
      <c r="G566" t="b">
        <f>Dataset_1!G566</f>
        <v>0</v>
      </c>
      <c r="H566">
        <f>Dataset_1!H566</f>
        <v>2</v>
      </c>
      <c r="I566">
        <f>Dataset_1!I566</f>
        <v>1</v>
      </c>
      <c r="J566">
        <f>Dataset_1!J566</f>
        <v>0.3</v>
      </c>
      <c r="K566">
        <f>INDEX(Dataset_2!$B$2:$B$611,MATCH($A566,Dataset_2!$A$2:$A$611,0))</f>
        <v>0.33329999999999999</v>
      </c>
      <c r="L566">
        <f>INDEX(Dataset_2!$C$2:$C$611,MATCH($A566,Dataset_2!$A$2:$A$611,0))</f>
        <v>0.45</v>
      </c>
      <c r="M566">
        <f>INDEX(Dataset_2!$D$2:$D$611,MATCH($A566,Dataset_2!$A$2:$A$611,0))</f>
        <v>0</v>
      </c>
      <c r="N566">
        <f>INDEX(Dataset_2!$E$2:$E$611,MATCH($A566,Dataset_2!$A$2:$A$611,0))</f>
        <v>14</v>
      </c>
      <c r="O566">
        <f>INDEX(Dataset_2!$F$2:$F$611,MATCH($A566,Dataset_2!$A$2:$A$611,0))</f>
        <v>208</v>
      </c>
      <c r="P566">
        <f>INDEX(Dataset_2!$G$2:$G$611,MATCH($A566,Dataset_2!$A$2:$A$611,0))</f>
        <v>222</v>
      </c>
    </row>
    <row r="567" spans="1:16" x14ac:dyDescent="0.2">
      <c r="A567">
        <f>Dataset_1!A567</f>
        <v>566</v>
      </c>
      <c r="B567" s="61">
        <f>Dataset_1!B567</f>
        <v>40568</v>
      </c>
      <c r="C567">
        <f>Dataset_1!C567</f>
        <v>1</v>
      </c>
      <c r="D567">
        <f>Dataset_1!D567</f>
        <v>0</v>
      </c>
      <c r="E567">
        <f>Dataset_1!E567</f>
        <v>1</v>
      </c>
      <c r="F567">
        <f>Dataset_1!F567</f>
        <v>18</v>
      </c>
      <c r="G567" t="b">
        <f>Dataset_1!G567</f>
        <v>0</v>
      </c>
      <c r="H567">
        <f>Dataset_1!H567</f>
        <v>2</v>
      </c>
      <c r="I567">
        <f>Dataset_1!I567</f>
        <v>2</v>
      </c>
      <c r="J567">
        <f>Dataset_1!J567</f>
        <v>0.3</v>
      </c>
      <c r="K567">
        <f>INDEX(Dataset_2!$B$2:$B$611,MATCH($A567,Dataset_2!$A$2:$A$611,0))</f>
        <v>0.31819999999999998</v>
      </c>
      <c r="L567">
        <f>INDEX(Dataset_2!$C$2:$C$611,MATCH($A567,Dataset_2!$A$2:$A$611,0))</f>
        <v>0.49</v>
      </c>
      <c r="M567">
        <f>INDEX(Dataset_2!$D$2:$D$611,MATCH($A567,Dataset_2!$A$2:$A$611,0))</f>
        <v>8.9599999999999999E-2</v>
      </c>
      <c r="N567">
        <f>INDEX(Dataset_2!$E$2:$E$611,MATCH($A567,Dataset_2!$A$2:$A$611,0))</f>
        <v>7</v>
      </c>
      <c r="O567">
        <f>INDEX(Dataset_2!$F$2:$F$611,MATCH($A567,Dataset_2!$A$2:$A$611,0))</f>
        <v>218</v>
      </c>
      <c r="P567">
        <f>INDEX(Dataset_2!$G$2:$G$611,MATCH($A567,Dataset_2!$A$2:$A$611,0))</f>
        <v>225</v>
      </c>
    </row>
    <row r="568" spans="1:16" x14ac:dyDescent="0.2">
      <c r="A568">
        <f>Dataset_1!A568</f>
        <v>567</v>
      </c>
      <c r="B568" s="61">
        <f>Dataset_1!B568</f>
        <v>40568</v>
      </c>
      <c r="C568">
        <f>Dataset_1!C568</f>
        <v>1</v>
      </c>
      <c r="D568">
        <f>Dataset_1!D568</f>
        <v>0</v>
      </c>
      <c r="E568">
        <f>Dataset_1!E568</f>
        <v>1</v>
      </c>
      <c r="F568">
        <f>Dataset_1!F568</f>
        <v>19</v>
      </c>
      <c r="G568" t="b">
        <f>Dataset_1!G568</f>
        <v>0</v>
      </c>
      <c r="H568">
        <f>Dataset_1!H568</f>
        <v>2</v>
      </c>
      <c r="I568">
        <f>Dataset_1!I568</f>
        <v>2</v>
      </c>
      <c r="J568">
        <f>Dataset_1!J568</f>
        <v>0.26</v>
      </c>
      <c r="K568">
        <f>INDEX(Dataset_2!$B$2:$B$611,MATCH($A568,Dataset_2!$A$2:$A$611,0))</f>
        <v>0.2576</v>
      </c>
      <c r="L568">
        <f>INDEX(Dataset_2!$C$2:$C$611,MATCH($A568,Dataset_2!$A$2:$A$611,0))</f>
        <v>0.65</v>
      </c>
      <c r="M568">
        <f>INDEX(Dataset_2!$D$2:$D$611,MATCH($A568,Dataset_2!$A$2:$A$611,0))</f>
        <v>0.16420000000000001</v>
      </c>
      <c r="N568">
        <f>INDEX(Dataset_2!$E$2:$E$611,MATCH($A568,Dataset_2!$A$2:$A$611,0))</f>
        <v>13</v>
      </c>
      <c r="O568">
        <f>INDEX(Dataset_2!$F$2:$F$611,MATCH($A568,Dataset_2!$A$2:$A$611,0))</f>
        <v>133</v>
      </c>
      <c r="P568">
        <f>INDEX(Dataset_2!$G$2:$G$611,MATCH($A568,Dataset_2!$A$2:$A$611,0))</f>
        <v>146</v>
      </c>
    </row>
    <row r="569" spans="1:16" x14ac:dyDescent="0.2">
      <c r="A569">
        <f>Dataset_1!A569</f>
        <v>568</v>
      </c>
      <c r="B569" s="61">
        <f>Dataset_1!B569</f>
        <v>40568</v>
      </c>
      <c r="C569">
        <f>Dataset_1!C569</f>
        <v>1</v>
      </c>
      <c r="D569">
        <f>Dataset_1!D569</f>
        <v>0</v>
      </c>
      <c r="E569">
        <f>Dataset_1!E569</f>
        <v>1</v>
      </c>
      <c r="F569">
        <f>Dataset_1!F569</f>
        <v>20</v>
      </c>
      <c r="G569" t="b">
        <f>Dataset_1!G569</f>
        <v>0</v>
      </c>
      <c r="H569">
        <f>Dataset_1!H569</f>
        <v>2</v>
      </c>
      <c r="I569">
        <f>Dataset_1!I569</f>
        <v>1</v>
      </c>
      <c r="J569">
        <f>Dataset_1!J569</f>
        <v>0.24</v>
      </c>
      <c r="K569">
        <f>INDEX(Dataset_2!$B$2:$B$611,MATCH($A569,Dataset_2!$A$2:$A$611,0))</f>
        <v>0.2273</v>
      </c>
      <c r="L569">
        <f>INDEX(Dataset_2!$C$2:$C$611,MATCH($A569,Dataset_2!$A$2:$A$611,0))</f>
        <v>0.65</v>
      </c>
      <c r="M569">
        <f>INDEX(Dataset_2!$D$2:$D$611,MATCH($A569,Dataset_2!$A$2:$A$611,0))</f>
        <v>0.19400000000000001</v>
      </c>
      <c r="N569">
        <f>INDEX(Dataset_2!$E$2:$E$611,MATCH($A569,Dataset_2!$A$2:$A$611,0))</f>
        <v>16</v>
      </c>
      <c r="O569">
        <f>INDEX(Dataset_2!$F$2:$F$611,MATCH($A569,Dataset_2!$A$2:$A$611,0))</f>
        <v>103</v>
      </c>
      <c r="P569">
        <f>INDEX(Dataset_2!$G$2:$G$611,MATCH($A569,Dataset_2!$A$2:$A$611,0))</f>
        <v>119</v>
      </c>
    </row>
    <row r="570" spans="1:16" x14ac:dyDescent="0.2">
      <c r="A570">
        <f>Dataset_1!A570</f>
        <v>569</v>
      </c>
      <c r="B570" s="61">
        <f>Dataset_1!B570</f>
        <v>40568</v>
      </c>
      <c r="C570">
        <f>Dataset_1!C570</f>
        <v>1</v>
      </c>
      <c r="D570">
        <f>Dataset_1!D570</f>
        <v>0</v>
      </c>
      <c r="E570">
        <f>Dataset_1!E570</f>
        <v>1</v>
      </c>
      <c r="F570">
        <f>Dataset_1!F570</f>
        <v>21</v>
      </c>
      <c r="G570" t="b">
        <f>Dataset_1!G570</f>
        <v>0</v>
      </c>
      <c r="H570">
        <f>Dataset_1!H570</f>
        <v>2</v>
      </c>
      <c r="I570">
        <f>Dataset_1!I570</f>
        <v>1</v>
      </c>
      <c r="J570">
        <f>Dataset_1!J570</f>
        <v>0.24</v>
      </c>
      <c r="K570">
        <f>INDEX(Dataset_2!$B$2:$B$611,MATCH($A570,Dataset_2!$A$2:$A$611,0))</f>
        <v>0.2273</v>
      </c>
      <c r="L570">
        <f>INDEX(Dataset_2!$C$2:$C$611,MATCH($A570,Dataset_2!$A$2:$A$611,0))</f>
        <v>0.65</v>
      </c>
      <c r="M570">
        <f>INDEX(Dataset_2!$D$2:$D$611,MATCH($A570,Dataset_2!$A$2:$A$611,0))</f>
        <v>0.19400000000000001</v>
      </c>
      <c r="N570">
        <f>INDEX(Dataset_2!$E$2:$E$611,MATCH($A570,Dataset_2!$A$2:$A$611,0))</f>
        <v>5</v>
      </c>
      <c r="O570">
        <f>INDEX(Dataset_2!$F$2:$F$611,MATCH($A570,Dataset_2!$A$2:$A$611,0))</f>
        <v>40</v>
      </c>
      <c r="P570">
        <f>INDEX(Dataset_2!$G$2:$G$611,MATCH($A570,Dataset_2!$A$2:$A$611,0))</f>
        <v>45</v>
      </c>
    </row>
    <row r="571" spans="1:16" x14ac:dyDescent="0.2">
      <c r="A571">
        <f>Dataset_1!A571</f>
        <v>570</v>
      </c>
      <c r="B571" s="61">
        <f>Dataset_1!B571</f>
        <v>40568</v>
      </c>
      <c r="C571">
        <f>Dataset_1!C571</f>
        <v>1</v>
      </c>
      <c r="D571">
        <f>Dataset_1!D571</f>
        <v>0</v>
      </c>
      <c r="E571">
        <f>Dataset_1!E571</f>
        <v>1</v>
      </c>
      <c r="F571">
        <f>Dataset_1!F571</f>
        <v>22</v>
      </c>
      <c r="G571" t="b">
        <f>Dataset_1!G571</f>
        <v>0</v>
      </c>
      <c r="H571">
        <f>Dataset_1!H571</f>
        <v>2</v>
      </c>
      <c r="I571">
        <f>Dataset_1!I571</f>
        <v>1</v>
      </c>
      <c r="J571">
        <f>Dataset_1!J571</f>
        <v>0.22</v>
      </c>
      <c r="K571">
        <f>INDEX(Dataset_2!$B$2:$B$611,MATCH($A571,Dataset_2!$A$2:$A$611,0))</f>
        <v>0.2273</v>
      </c>
      <c r="L571">
        <f>INDEX(Dataset_2!$C$2:$C$611,MATCH($A571,Dataset_2!$A$2:$A$611,0))</f>
        <v>0.64</v>
      </c>
      <c r="M571">
        <f>INDEX(Dataset_2!$D$2:$D$611,MATCH($A571,Dataset_2!$A$2:$A$611,0))</f>
        <v>0.16420000000000001</v>
      </c>
      <c r="N571">
        <f>INDEX(Dataset_2!$E$2:$E$611,MATCH($A571,Dataset_2!$A$2:$A$611,0))</f>
        <v>4</v>
      </c>
      <c r="O571">
        <f>INDEX(Dataset_2!$F$2:$F$611,MATCH($A571,Dataset_2!$A$2:$A$611,0))</f>
        <v>49</v>
      </c>
      <c r="P571">
        <f>INDEX(Dataset_2!$G$2:$G$611,MATCH($A571,Dataset_2!$A$2:$A$611,0))</f>
        <v>53</v>
      </c>
    </row>
    <row r="572" spans="1:16" x14ac:dyDescent="0.2">
      <c r="A572">
        <f>Dataset_1!A572</f>
        <v>571</v>
      </c>
      <c r="B572" s="61">
        <f>Dataset_1!B572</f>
        <v>40568</v>
      </c>
      <c r="C572">
        <f>Dataset_1!C572</f>
        <v>1</v>
      </c>
      <c r="D572">
        <f>Dataset_1!D572</f>
        <v>0</v>
      </c>
      <c r="E572">
        <f>Dataset_1!E572</f>
        <v>1</v>
      </c>
      <c r="F572">
        <f>Dataset_1!F572</f>
        <v>23</v>
      </c>
      <c r="G572" t="b">
        <f>Dataset_1!G572</f>
        <v>0</v>
      </c>
      <c r="H572">
        <f>Dataset_1!H572</f>
        <v>2</v>
      </c>
      <c r="I572">
        <f>Dataset_1!I572</f>
        <v>2</v>
      </c>
      <c r="J572">
        <f>Dataset_1!J572</f>
        <v>0.22</v>
      </c>
      <c r="K572">
        <f>INDEX(Dataset_2!$B$2:$B$611,MATCH($A572,Dataset_2!$A$2:$A$611,0))</f>
        <v>0.2273</v>
      </c>
      <c r="L572">
        <f>INDEX(Dataset_2!$C$2:$C$611,MATCH($A572,Dataset_2!$A$2:$A$611,0))</f>
        <v>0.64</v>
      </c>
      <c r="M572">
        <f>INDEX(Dataset_2!$D$2:$D$611,MATCH($A572,Dataset_2!$A$2:$A$611,0))</f>
        <v>0.16420000000000001</v>
      </c>
      <c r="N572">
        <f>INDEX(Dataset_2!$E$2:$E$611,MATCH($A572,Dataset_2!$A$2:$A$611,0))</f>
        <v>3</v>
      </c>
      <c r="O572">
        <f>INDEX(Dataset_2!$F$2:$F$611,MATCH($A572,Dataset_2!$A$2:$A$611,0))</f>
        <v>37</v>
      </c>
      <c r="P572">
        <f>INDEX(Dataset_2!$G$2:$G$611,MATCH($A572,Dataset_2!$A$2:$A$611,0))</f>
        <v>40</v>
      </c>
    </row>
    <row r="573" spans="1:16" x14ac:dyDescent="0.2">
      <c r="A573">
        <f>Dataset_1!A573</f>
        <v>572</v>
      </c>
      <c r="B573" s="61">
        <f>Dataset_1!B573</f>
        <v>40569</v>
      </c>
      <c r="C573">
        <f>Dataset_1!C573</f>
        <v>1</v>
      </c>
      <c r="D573">
        <f>Dataset_1!D573</f>
        <v>0</v>
      </c>
      <c r="E573">
        <f>Dataset_1!E573</f>
        <v>1</v>
      </c>
      <c r="F573">
        <f>Dataset_1!F573</f>
        <v>0</v>
      </c>
      <c r="G573" t="b">
        <f>Dataset_1!G573</f>
        <v>0</v>
      </c>
      <c r="H573">
        <f>Dataset_1!H573</f>
        <v>3</v>
      </c>
      <c r="I573">
        <f>Dataset_1!I573</f>
        <v>2</v>
      </c>
      <c r="J573">
        <f>Dataset_1!J573</f>
        <v>0.22</v>
      </c>
      <c r="K573">
        <f>INDEX(Dataset_2!$B$2:$B$611,MATCH($A573,Dataset_2!$A$2:$A$611,0))</f>
        <v>0.2273</v>
      </c>
      <c r="L573">
        <f>INDEX(Dataset_2!$C$2:$C$611,MATCH($A573,Dataset_2!$A$2:$A$611,0))</f>
        <v>0.69</v>
      </c>
      <c r="M573">
        <f>INDEX(Dataset_2!$D$2:$D$611,MATCH($A573,Dataset_2!$A$2:$A$611,0))</f>
        <v>0.1343</v>
      </c>
      <c r="N573">
        <f>INDEX(Dataset_2!$E$2:$E$611,MATCH($A573,Dataset_2!$A$2:$A$611,0))</f>
        <v>3</v>
      </c>
      <c r="O573">
        <f>INDEX(Dataset_2!$F$2:$F$611,MATCH($A573,Dataset_2!$A$2:$A$611,0))</f>
        <v>14</v>
      </c>
      <c r="P573">
        <f>INDEX(Dataset_2!$G$2:$G$611,MATCH($A573,Dataset_2!$A$2:$A$611,0))</f>
        <v>17</v>
      </c>
    </row>
    <row r="574" spans="1:16" x14ac:dyDescent="0.2">
      <c r="A574">
        <f>Dataset_1!A574</f>
        <v>573</v>
      </c>
      <c r="B574" s="61">
        <f>Dataset_1!B574</f>
        <v>40569</v>
      </c>
      <c r="C574">
        <f>Dataset_1!C574</f>
        <v>1</v>
      </c>
      <c r="D574">
        <f>Dataset_1!D574</f>
        <v>0</v>
      </c>
      <c r="E574">
        <f>Dataset_1!E574</f>
        <v>1</v>
      </c>
      <c r="F574">
        <f>Dataset_1!F574</f>
        <v>1</v>
      </c>
      <c r="G574" t="b">
        <f>Dataset_1!G574</f>
        <v>0</v>
      </c>
      <c r="H574">
        <f>Dataset_1!H574</f>
        <v>3</v>
      </c>
      <c r="I574">
        <f>Dataset_1!I574</f>
        <v>2</v>
      </c>
      <c r="J574">
        <f>Dataset_1!J574</f>
        <v>0.24</v>
      </c>
      <c r="K574">
        <f>INDEX(Dataset_2!$B$2:$B$611,MATCH($A574,Dataset_2!$A$2:$A$611,0))</f>
        <v>0.2424</v>
      </c>
      <c r="L574">
        <f>INDEX(Dataset_2!$C$2:$C$611,MATCH($A574,Dataset_2!$A$2:$A$611,0))</f>
        <v>0.65</v>
      </c>
      <c r="M574">
        <f>INDEX(Dataset_2!$D$2:$D$611,MATCH($A574,Dataset_2!$A$2:$A$611,0))</f>
        <v>0.1343</v>
      </c>
      <c r="N574">
        <f>INDEX(Dataset_2!$E$2:$E$611,MATCH($A574,Dataset_2!$A$2:$A$611,0))</f>
        <v>0</v>
      </c>
      <c r="O574">
        <f>INDEX(Dataset_2!$F$2:$F$611,MATCH($A574,Dataset_2!$A$2:$A$611,0))</f>
        <v>5</v>
      </c>
      <c r="P574">
        <f>INDEX(Dataset_2!$G$2:$G$611,MATCH($A574,Dataset_2!$A$2:$A$611,0))</f>
        <v>5</v>
      </c>
    </row>
    <row r="575" spans="1:16" x14ac:dyDescent="0.2">
      <c r="A575">
        <f>Dataset_1!A575</f>
        <v>574</v>
      </c>
      <c r="B575" s="61">
        <f>Dataset_1!B575</f>
        <v>40569</v>
      </c>
      <c r="C575">
        <f>Dataset_1!C575</f>
        <v>1</v>
      </c>
      <c r="D575">
        <f>Dataset_1!D575</f>
        <v>0</v>
      </c>
      <c r="E575">
        <f>Dataset_1!E575</f>
        <v>1</v>
      </c>
      <c r="F575">
        <f>Dataset_1!F575</f>
        <v>2</v>
      </c>
      <c r="G575" t="b">
        <f>Dataset_1!G575</f>
        <v>0</v>
      </c>
      <c r="H575">
        <f>Dataset_1!H575</f>
        <v>3</v>
      </c>
      <c r="I575">
        <f>Dataset_1!I575</f>
        <v>3</v>
      </c>
      <c r="J575">
        <f>Dataset_1!J575</f>
        <v>0.22</v>
      </c>
      <c r="K575">
        <f>INDEX(Dataset_2!$B$2:$B$611,MATCH($A575,Dataset_2!$A$2:$A$611,0))</f>
        <v>0.2273</v>
      </c>
      <c r="L575">
        <f>INDEX(Dataset_2!$C$2:$C$611,MATCH($A575,Dataset_2!$A$2:$A$611,0))</f>
        <v>0.69</v>
      </c>
      <c r="M575">
        <f>INDEX(Dataset_2!$D$2:$D$611,MATCH($A575,Dataset_2!$A$2:$A$611,0))</f>
        <v>0.19400000000000001</v>
      </c>
      <c r="N575">
        <f>INDEX(Dataset_2!$E$2:$E$611,MATCH($A575,Dataset_2!$A$2:$A$611,0))</f>
        <v>3</v>
      </c>
      <c r="O575">
        <f>INDEX(Dataset_2!$F$2:$F$611,MATCH($A575,Dataset_2!$A$2:$A$611,0))</f>
        <v>7</v>
      </c>
      <c r="P575">
        <f>INDEX(Dataset_2!$G$2:$G$611,MATCH($A575,Dataset_2!$A$2:$A$611,0))</f>
        <v>10</v>
      </c>
    </row>
    <row r="576" spans="1:16" x14ac:dyDescent="0.2">
      <c r="A576">
        <f>Dataset_1!A576</f>
        <v>575</v>
      </c>
      <c r="B576" s="61">
        <f>Dataset_1!B576</f>
        <v>40569</v>
      </c>
      <c r="C576">
        <f>Dataset_1!C576</f>
        <v>1</v>
      </c>
      <c r="D576">
        <f>Dataset_1!D576</f>
        <v>0</v>
      </c>
      <c r="E576">
        <f>Dataset_1!E576</f>
        <v>1</v>
      </c>
      <c r="F576">
        <f>Dataset_1!F576</f>
        <v>5</v>
      </c>
      <c r="G576" t="b">
        <f>Dataset_1!G576</f>
        <v>0</v>
      </c>
      <c r="H576">
        <f>Dataset_1!H576</f>
        <v>3</v>
      </c>
      <c r="I576">
        <f>Dataset_1!I576</f>
        <v>3</v>
      </c>
      <c r="J576">
        <f>Dataset_1!J576</f>
        <v>0.2</v>
      </c>
      <c r="K576">
        <f>INDEX(Dataset_2!$B$2:$B$611,MATCH($A576,Dataset_2!$A$2:$A$611,0))</f>
        <v>0.18179999999999999</v>
      </c>
      <c r="L576">
        <f>INDEX(Dataset_2!$C$2:$C$611,MATCH($A576,Dataset_2!$A$2:$A$611,0))</f>
        <v>0.86</v>
      </c>
      <c r="M576">
        <f>INDEX(Dataset_2!$D$2:$D$611,MATCH($A576,Dataset_2!$A$2:$A$611,0))</f>
        <v>0.28360000000000002</v>
      </c>
      <c r="N576">
        <f>INDEX(Dataset_2!$E$2:$E$611,MATCH($A576,Dataset_2!$A$2:$A$611,0))</f>
        <v>0</v>
      </c>
      <c r="O576">
        <f>INDEX(Dataset_2!$F$2:$F$611,MATCH($A576,Dataset_2!$A$2:$A$611,0))</f>
        <v>1</v>
      </c>
      <c r="P576">
        <f>INDEX(Dataset_2!$G$2:$G$611,MATCH($A576,Dataset_2!$A$2:$A$611,0))</f>
        <v>1</v>
      </c>
    </row>
    <row r="577" spans="1:16" x14ac:dyDescent="0.2">
      <c r="A577">
        <f>Dataset_1!A577</f>
        <v>576</v>
      </c>
      <c r="B577" s="61">
        <f>Dataset_1!B577</f>
        <v>40569</v>
      </c>
      <c r="C577">
        <f>Dataset_1!C577</f>
        <v>1</v>
      </c>
      <c r="D577">
        <f>Dataset_1!D577</f>
        <v>0</v>
      </c>
      <c r="E577">
        <f>Dataset_1!E577</f>
        <v>1</v>
      </c>
      <c r="F577">
        <f>Dataset_1!F577</f>
        <v>6</v>
      </c>
      <c r="G577" t="b">
        <f>Dataset_1!G577</f>
        <v>0</v>
      </c>
      <c r="H577">
        <f>Dataset_1!H577</f>
        <v>3</v>
      </c>
      <c r="I577">
        <f>Dataset_1!I577</f>
        <v>3</v>
      </c>
      <c r="J577">
        <f>Dataset_1!J577</f>
        <v>0.2</v>
      </c>
      <c r="K577">
        <f>INDEX(Dataset_2!$B$2:$B$611,MATCH($A577,Dataset_2!$A$2:$A$611,0))</f>
        <v>0.18179999999999999</v>
      </c>
      <c r="L577">
        <f>INDEX(Dataset_2!$C$2:$C$611,MATCH($A577,Dataset_2!$A$2:$A$611,0))</f>
        <v>0.86</v>
      </c>
      <c r="M577">
        <f>INDEX(Dataset_2!$D$2:$D$611,MATCH($A577,Dataset_2!$A$2:$A$611,0))</f>
        <v>0.28360000000000002</v>
      </c>
      <c r="N577">
        <f>INDEX(Dataset_2!$E$2:$E$611,MATCH($A577,Dataset_2!$A$2:$A$611,0))</f>
        <v>0</v>
      </c>
      <c r="O577">
        <f>INDEX(Dataset_2!$F$2:$F$611,MATCH($A577,Dataset_2!$A$2:$A$611,0))</f>
        <v>8</v>
      </c>
      <c r="P577">
        <f>INDEX(Dataset_2!$G$2:$G$611,MATCH($A577,Dataset_2!$A$2:$A$611,0))</f>
        <v>8</v>
      </c>
    </row>
    <row r="578" spans="1:16" x14ac:dyDescent="0.2">
      <c r="A578">
        <f>Dataset_1!A578</f>
        <v>577</v>
      </c>
      <c r="B578" s="61">
        <f>Dataset_1!B578</f>
        <v>40569</v>
      </c>
      <c r="C578">
        <f>Dataset_1!C578</f>
        <v>1</v>
      </c>
      <c r="D578">
        <f>Dataset_1!D578</f>
        <v>0</v>
      </c>
      <c r="E578">
        <f>Dataset_1!E578</f>
        <v>1</v>
      </c>
      <c r="F578">
        <f>Dataset_1!F578</f>
        <v>7</v>
      </c>
      <c r="G578" t="b">
        <f>Dataset_1!G578</f>
        <v>0</v>
      </c>
      <c r="H578">
        <f>Dataset_1!H578</f>
        <v>3</v>
      </c>
      <c r="I578">
        <f>Dataset_1!I578</f>
        <v>3</v>
      </c>
      <c r="J578">
        <f>Dataset_1!J578</f>
        <v>0.22</v>
      </c>
      <c r="K578">
        <f>INDEX(Dataset_2!$B$2:$B$611,MATCH($A578,Dataset_2!$A$2:$A$611,0))</f>
        <v>0.21210000000000001</v>
      </c>
      <c r="L578">
        <f>INDEX(Dataset_2!$C$2:$C$611,MATCH($A578,Dataset_2!$A$2:$A$611,0))</f>
        <v>0.87</v>
      </c>
      <c r="M578">
        <f>INDEX(Dataset_2!$D$2:$D$611,MATCH($A578,Dataset_2!$A$2:$A$611,0))</f>
        <v>0.29849999999999999</v>
      </c>
      <c r="N578">
        <f>INDEX(Dataset_2!$E$2:$E$611,MATCH($A578,Dataset_2!$A$2:$A$611,0))</f>
        <v>1</v>
      </c>
      <c r="O578">
        <f>INDEX(Dataset_2!$F$2:$F$611,MATCH($A578,Dataset_2!$A$2:$A$611,0))</f>
        <v>29</v>
      </c>
      <c r="P578">
        <f>INDEX(Dataset_2!$G$2:$G$611,MATCH($A578,Dataset_2!$A$2:$A$611,0))</f>
        <v>30</v>
      </c>
    </row>
    <row r="579" spans="1:16" x14ac:dyDescent="0.2">
      <c r="A579">
        <f>Dataset_1!A579</f>
        <v>578</v>
      </c>
      <c r="B579" s="61">
        <f>Dataset_1!B579</f>
        <v>40569</v>
      </c>
      <c r="C579">
        <f>Dataset_1!C579</f>
        <v>1</v>
      </c>
      <c r="D579">
        <f>Dataset_1!D579</f>
        <v>0</v>
      </c>
      <c r="E579">
        <f>Dataset_1!E579</f>
        <v>1</v>
      </c>
      <c r="F579">
        <f>Dataset_1!F579</f>
        <v>8</v>
      </c>
      <c r="G579" t="b">
        <f>Dataset_1!G579</f>
        <v>0</v>
      </c>
      <c r="H579">
        <f>Dataset_1!H579</f>
        <v>3</v>
      </c>
      <c r="I579">
        <f>Dataset_1!I579</f>
        <v>3</v>
      </c>
      <c r="J579">
        <f>Dataset_1!J579</f>
        <v>0.22</v>
      </c>
      <c r="K579">
        <f>INDEX(Dataset_2!$B$2:$B$611,MATCH($A579,Dataset_2!$A$2:$A$611,0))</f>
        <v>0.21210000000000001</v>
      </c>
      <c r="L579">
        <f>INDEX(Dataset_2!$C$2:$C$611,MATCH($A579,Dataset_2!$A$2:$A$611,0))</f>
        <v>0.87</v>
      </c>
      <c r="M579">
        <f>INDEX(Dataset_2!$D$2:$D$611,MATCH($A579,Dataset_2!$A$2:$A$611,0))</f>
        <v>0.29849999999999999</v>
      </c>
      <c r="N579">
        <f>INDEX(Dataset_2!$E$2:$E$611,MATCH($A579,Dataset_2!$A$2:$A$611,0))</f>
        <v>3</v>
      </c>
      <c r="O579">
        <f>INDEX(Dataset_2!$F$2:$F$611,MATCH($A579,Dataset_2!$A$2:$A$611,0))</f>
        <v>69</v>
      </c>
      <c r="P579">
        <f>INDEX(Dataset_2!$G$2:$G$611,MATCH($A579,Dataset_2!$A$2:$A$611,0))</f>
        <v>72</v>
      </c>
    </row>
    <row r="580" spans="1:16" x14ac:dyDescent="0.2">
      <c r="A580">
        <f>Dataset_1!A580</f>
        <v>579</v>
      </c>
      <c r="B580" s="61">
        <f>Dataset_1!B580</f>
        <v>40569</v>
      </c>
      <c r="C580">
        <f>Dataset_1!C580</f>
        <v>1</v>
      </c>
      <c r="D580">
        <f>Dataset_1!D580</f>
        <v>0</v>
      </c>
      <c r="E580">
        <f>Dataset_1!E580</f>
        <v>1</v>
      </c>
      <c r="F580">
        <f>Dataset_1!F580</f>
        <v>9</v>
      </c>
      <c r="G580" t="b">
        <f>Dataset_1!G580</f>
        <v>0</v>
      </c>
      <c r="H580">
        <f>Dataset_1!H580</f>
        <v>3</v>
      </c>
      <c r="I580">
        <f>Dataset_1!I580</f>
        <v>3</v>
      </c>
      <c r="J580">
        <f>Dataset_1!J580</f>
        <v>0.22</v>
      </c>
      <c r="K580">
        <f>INDEX(Dataset_2!$B$2:$B$611,MATCH($A580,Dataset_2!$A$2:$A$611,0))</f>
        <v>0.21210000000000001</v>
      </c>
      <c r="L580">
        <f>INDEX(Dataset_2!$C$2:$C$611,MATCH($A580,Dataset_2!$A$2:$A$611,0))</f>
        <v>0.87</v>
      </c>
      <c r="M580">
        <f>INDEX(Dataset_2!$D$2:$D$611,MATCH($A580,Dataset_2!$A$2:$A$611,0))</f>
        <v>0.29849999999999999</v>
      </c>
      <c r="N580">
        <f>INDEX(Dataset_2!$E$2:$E$611,MATCH($A580,Dataset_2!$A$2:$A$611,0))</f>
        <v>3</v>
      </c>
      <c r="O580">
        <f>INDEX(Dataset_2!$F$2:$F$611,MATCH($A580,Dataset_2!$A$2:$A$611,0))</f>
        <v>55</v>
      </c>
      <c r="P580">
        <f>INDEX(Dataset_2!$G$2:$G$611,MATCH($A580,Dataset_2!$A$2:$A$611,0))</f>
        <v>58</v>
      </c>
    </row>
    <row r="581" spans="1:16" x14ac:dyDescent="0.2">
      <c r="A581">
        <f>Dataset_1!A581</f>
        <v>580</v>
      </c>
      <c r="B581" s="61">
        <f>Dataset_1!B581</f>
        <v>40569</v>
      </c>
      <c r="C581">
        <f>Dataset_1!C581</f>
        <v>1</v>
      </c>
      <c r="D581">
        <f>Dataset_1!D581</f>
        <v>0</v>
      </c>
      <c r="E581">
        <f>Dataset_1!E581</f>
        <v>1</v>
      </c>
      <c r="F581">
        <f>Dataset_1!F581</f>
        <v>10</v>
      </c>
      <c r="G581" t="b">
        <f>Dataset_1!G581</f>
        <v>0</v>
      </c>
      <c r="H581">
        <f>Dataset_1!H581</f>
        <v>3</v>
      </c>
      <c r="I581">
        <f>Dataset_1!I581</f>
        <v>3</v>
      </c>
      <c r="J581">
        <f>Dataset_1!J581</f>
        <v>0.22</v>
      </c>
      <c r="K581">
        <f>INDEX(Dataset_2!$B$2:$B$611,MATCH($A581,Dataset_2!$A$2:$A$611,0))</f>
        <v>0.21210000000000001</v>
      </c>
      <c r="L581">
        <f>INDEX(Dataset_2!$C$2:$C$611,MATCH($A581,Dataset_2!$A$2:$A$611,0))</f>
        <v>0.93</v>
      </c>
      <c r="M581">
        <f>INDEX(Dataset_2!$D$2:$D$611,MATCH($A581,Dataset_2!$A$2:$A$611,0))</f>
        <v>0.28360000000000002</v>
      </c>
      <c r="N581">
        <f>INDEX(Dataset_2!$E$2:$E$611,MATCH($A581,Dataset_2!$A$2:$A$611,0))</f>
        <v>2</v>
      </c>
      <c r="O581">
        <f>INDEX(Dataset_2!$F$2:$F$611,MATCH($A581,Dataset_2!$A$2:$A$611,0))</f>
        <v>26</v>
      </c>
      <c r="P581">
        <f>INDEX(Dataset_2!$G$2:$G$611,MATCH($A581,Dataset_2!$A$2:$A$611,0))</f>
        <v>28</v>
      </c>
    </row>
    <row r="582" spans="1:16" x14ac:dyDescent="0.2">
      <c r="A582">
        <f>Dataset_1!A582</f>
        <v>581</v>
      </c>
      <c r="B582" s="61">
        <f>Dataset_1!B582</f>
        <v>40569</v>
      </c>
      <c r="C582">
        <f>Dataset_1!C582</f>
        <v>1</v>
      </c>
      <c r="D582">
        <f>Dataset_1!D582</f>
        <v>0</v>
      </c>
      <c r="E582">
        <f>Dataset_1!E582</f>
        <v>1</v>
      </c>
      <c r="F582">
        <f>Dataset_1!F582</f>
        <v>11</v>
      </c>
      <c r="G582" t="b">
        <f>Dataset_1!G582</f>
        <v>0</v>
      </c>
      <c r="H582">
        <f>Dataset_1!H582</f>
        <v>3</v>
      </c>
      <c r="I582">
        <f>Dataset_1!I582</f>
        <v>3</v>
      </c>
      <c r="J582">
        <f>Dataset_1!J582</f>
        <v>0.22</v>
      </c>
      <c r="K582">
        <f>INDEX(Dataset_2!$B$2:$B$611,MATCH($A582,Dataset_2!$A$2:$A$611,0))</f>
        <v>0.19700000000000001</v>
      </c>
      <c r="L582">
        <f>INDEX(Dataset_2!$C$2:$C$611,MATCH($A582,Dataset_2!$A$2:$A$611,0))</f>
        <v>0.93</v>
      </c>
      <c r="M582">
        <f>INDEX(Dataset_2!$D$2:$D$611,MATCH($A582,Dataset_2!$A$2:$A$611,0))</f>
        <v>0.32840000000000003</v>
      </c>
      <c r="N582">
        <f>INDEX(Dataset_2!$E$2:$E$611,MATCH($A582,Dataset_2!$A$2:$A$611,0))</f>
        <v>6</v>
      </c>
      <c r="O582">
        <f>INDEX(Dataset_2!$F$2:$F$611,MATCH($A582,Dataset_2!$A$2:$A$611,0))</f>
        <v>35</v>
      </c>
      <c r="P582">
        <f>INDEX(Dataset_2!$G$2:$G$611,MATCH($A582,Dataset_2!$A$2:$A$611,0))</f>
        <v>41</v>
      </c>
    </row>
    <row r="583" spans="1:16" x14ac:dyDescent="0.2">
      <c r="A583">
        <f>Dataset_1!A583</f>
        <v>582</v>
      </c>
      <c r="B583" s="61">
        <f>Dataset_1!B583</f>
        <v>40569</v>
      </c>
      <c r="C583">
        <f>Dataset_1!C583</f>
        <v>1</v>
      </c>
      <c r="D583">
        <f>Dataset_1!D583</f>
        <v>0</v>
      </c>
      <c r="E583">
        <f>Dataset_1!E583</f>
        <v>1</v>
      </c>
      <c r="F583">
        <f>Dataset_1!F583</f>
        <v>12</v>
      </c>
      <c r="G583" t="b">
        <f>Dataset_1!G583</f>
        <v>0</v>
      </c>
      <c r="H583">
        <f>Dataset_1!H583</f>
        <v>3</v>
      </c>
      <c r="I583">
        <f>Dataset_1!I583</f>
        <v>3</v>
      </c>
      <c r="J583">
        <f>Dataset_1!J583</f>
        <v>0.22</v>
      </c>
      <c r="K583">
        <f>INDEX(Dataset_2!$B$2:$B$611,MATCH($A583,Dataset_2!$A$2:$A$611,0))</f>
        <v>0.19700000000000001</v>
      </c>
      <c r="L583">
        <f>INDEX(Dataset_2!$C$2:$C$611,MATCH($A583,Dataset_2!$A$2:$A$611,0))</f>
        <v>0.93</v>
      </c>
      <c r="M583">
        <f>INDEX(Dataset_2!$D$2:$D$611,MATCH($A583,Dataset_2!$A$2:$A$611,0))</f>
        <v>0.32840000000000003</v>
      </c>
      <c r="N583">
        <f>INDEX(Dataset_2!$E$2:$E$611,MATCH($A583,Dataset_2!$A$2:$A$611,0))</f>
        <v>7</v>
      </c>
      <c r="O583">
        <f>INDEX(Dataset_2!$F$2:$F$611,MATCH($A583,Dataset_2!$A$2:$A$611,0))</f>
        <v>41</v>
      </c>
      <c r="P583">
        <f>INDEX(Dataset_2!$G$2:$G$611,MATCH($A583,Dataset_2!$A$2:$A$611,0))</f>
        <v>48</v>
      </c>
    </row>
    <row r="584" spans="1:16" x14ac:dyDescent="0.2">
      <c r="A584">
        <f>Dataset_1!A584</f>
        <v>583</v>
      </c>
      <c r="B584" s="61">
        <f>Dataset_1!B584</f>
        <v>40569</v>
      </c>
      <c r="C584">
        <f>Dataset_1!C584</f>
        <v>1</v>
      </c>
      <c r="D584">
        <f>Dataset_1!D584</f>
        <v>0</v>
      </c>
      <c r="E584">
        <f>Dataset_1!E584</f>
        <v>1</v>
      </c>
      <c r="F584">
        <f>Dataset_1!F584</f>
        <v>13</v>
      </c>
      <c r="G584" t="b">
        <f>Dataset_1!G584</f>
        <v>0</v>
      </c>
      <c r="H584">
        <f>Dataset_1!H584</f>
        <v>3</v>
      </c>
      <c r="I584">
        <f>Dataset_1!I584</f>
        <v>3</v>
      </c>
      <c r="J584">
        <f>Dataset_1!J584</f>
        <v>0.22</v>
      </c>
      <c r="K584">
        <f>INDEX(Dataset_2!$B$2:$B$611,MATCH($A584,Dataset_2!$A$2:$A$611,0))</f>
        <v>0.19700000000000001</v>
      </c>
      <c r="L584">
        <f>INDEX(Dataset_2!$C$2:$C$611,MATCH($A584,Dataset_2!$A$2:$A$611,0))</f>
        <v>0.93</v>
      </c>
      <c r="M584">
        <f>INDEX(Dataset_2!$D$2:$D$611,MATCH($A584,Dataset_2!$A$2:$A$611,0))</f>
        <v>0.32840000000000003</v>
      </c>
      <c r="N584">
        <f>INDEX(Dataset_2!$E$2:$E$611,MATCH($A584,Dataset_2!$A$2:$A$611,0))</f>
        <v>4</v>
      </c>
      <c r="O584">
        <f>INDEX(Dataset_2!$F$2:$F$611,MATCH($A584,Dataset_2!$A$2:$A$611,0))</f>
        <v>43</v>
      </c>
      <c r="P584">
        <f>INDEX(Dataset_2!$G$2:$G$611,MATCH($A584,Dataset_2!$A$2:$A$611,0))</f>
        <v>47</v>
      </c>
    </row>
    <row r="585" spans="1:16" x14ac:dyDescent="0.2">
      <c r="A585">
        <f>Dataset_1!A585</f>
        <v>584</v>
      </c>
      <c r="B585" s="61">
        <f>Dataset_1!B585</f>
        <v>40569</v>
      </c>
      <c r="C585">
        <f>Dataset_1!C585</f>
        <v>1</v>
      </c>
      <c r="D585">
        <f>Dataset_1!D585</f>
        <v>0</v>
      </c>
      <c r="E585">
        <f>Dataset_1!E585</f>
        <v>1</v>
      </c>
      <c r="F585">
        <f>Dataset_1!F585</f>
        <v>14</v>
      </c>
      <c r="G585" t="b">
        <f>Dataset_1!G585</f>
        <v>0</v>
      </c>
      <c r="H585">
        <f>Dataset_1!H585</f>
        <v>3</v>
      </c>
      <c r="I585">
        <f>Dataset_1!I585</f>
        <v>3</v>
      </c>
      <c r="J585">
        <f>Dataset_1!J585</f>
        <v>0.22</v>
      </c>
      <c r="K585">
        <f>INDEX(Dataset_2!$B$2:$B$611,MATCH($A585,Dataset_2!$A$2:$A$611,0))</f>
        <v>0.19700000000000001</v>
      </c>
      <c r="L585">
        <f>INDEX(Dataset_2!$C$2:$C$611,MATCH($A585,Dataset_2!$A$2:$A$611,0))</f>
        <v>0.93</v>
      </c>
      <c r="M585">
        <f>INDEX(Dataset_2!$D$2:$D$611,MATCH($A585,Dataset_2!$A$2:$A$611,0))</f>
        <v>0.35820000000000002</v>
      </c>
      <c r="N585">
        <f>INDEX(Dataset_2!$E$2:$E$611,MATCH($A585,Dataset_2!$A$2:$A$611,0))</f>
        <v>0</v>
      </c>
      <c r="O585">
        <f>INDEX(Dataset_2!$F$2:$F$611,MATCH($A585,Dataset_2!$A$2:$A$611,0))</f>
        <v>36</v>
      </c>
      <c r="P585">
        <f>INDEX(Dataset_2!$G$2:$G$611,MATCH($A585,Dataset_2!$A$2:$A$611,0))</f>
        <v>36</v>
      </c>
    </row>
    <row r="586" spans="1:16" x14ac:dyDescent="0.2">
      <c r="A586">
        <f>Dataset_1!A586</f>
        <v>585</v>
      </c>
      <c r="B586" s="61">
        <f>Dataset_1!B586</f>
        <v>40569</v>
      </c>
      <c r="C586">
        <f>Dataset_1!C586</f>
        <v>1</v>
      </c>
      <c r="D586">
        <f>Dataset_1!D586</f>
        <v>0</v>
      </c>
      <c r="E586">
        <f>Dataset_1!E586</f>
        <v>1</v>
      </c>
      <c r="F586">
        <f>Dataset_1!F586</f>
        <v>15</v>
      </c>
      <c r="G586" t="b">
        <f>Dataset_1!G586</f>
        <v>0</v>
      </c>
      <c r="H586">
        <f>Dataset_1!H586</f>
        <v>3</v>
      </c>
      <c r="I586">
        <f>Dataset_1!I586</f>
        <v>3</v>
      </c>
      <c r="J586">
        <f>Dataset_1!J586</f>
        <v>0.22</v>
      </c>
      <c r="K586">
        <f>INDEX(Dataset_2!$B$2:$B$611,MATCH($A586,Dataset_2!$A$2:$A$611,0))</f>
        <v>0.18179999999999999</v>
      </c>
      <c r="L586">
        <f>INDEX(Dataset_2!$C$2:$C$611,MATCH($A586,Dataset_2!$A$2:$A$611,0))</f>
        <v>0.93</v>
      </c>
      <c r="M586">
        <f>INDEX(Dataset_2!$D$2:$D$611,MATCH($A586,Dataset_2!$A$2:$A$611,0))</f>
        <v>0.4627</v>
      </c>
      <c r="N586">
        <f>INDEX(Dataset_2!$E$2:$E$611,MATCH($A586,Dataset_2!$A$2:$A$611,0))</f>
        <v>1</v>
      </c>
      <c r="O586">
        <f>INDEX(Dataset_2!$F$2:$F$611,MATCH($A586,Dataset_2!$A$2:$A$611,0))</f>
        <v>42</v>
      </c>
      <c r="P586">
        <f>INDEX(Dataset_2!$G$2:$G$611,MATCH($A586,Dataset_2!$A$2:$A$611,0))</f>
        <v>43</v>
      </c>
    </row>
    <row r="587" spans="1:16" x14ac:dyDescent="0.2">
      <c r="A587">
        <f>Dataset_1!A587</f>
        <v>586</v>
      </c>
      <c r="B587" s="61">
        <f>Dataset_1!B587</f>
        <v>40569</v>
      </c>
      <c r="C587">
        <f>Dataset_1!C587</f>
        <v>1</v>
      </c>
      <c r="D587">
        <f>Dataset_1!D587</f>
        <v>0</v>
      </c>
      <c r="E587">
        <f>Dataset_1!E587</f>
        <v>1</v>
      </c>
      <c r="F587">
        <f>Dataset_1!F587</f>
        <v>16</v>
      </c>
      <c r="G587" t="b">
        <f>Dataset_1!G587</f>
        <v>0</v>
      </c>
      <c r="H587">
        <f>Dataset_1!H587</f>
        <v>3</v>
      </c>
      <c r="I587">
        <f>Dataset_1!I587</f>
        <v>4</v>
      </c>
      <c r="J587">
        <f>Dataset_1!J587</f>
        <v>0.22</v>
      </c>
      <c r="K587">
        <f>INDEX(Dataset_2!$B$2:$B$611,MATCH($A587,Dataset_2!$A$2:$A$611,0))</f>
        <v>0.19700000000000001</v>
      </c>
      <c r="L587">
        <f>INDEX(Dataset_2!$C$2:$C$611,MATCH($A587,Dataset_2!$A$2:$A$611,0))</f>
        <v>0.93</v>
      </c>
      <c r="M587">
        <f>INDEX(Dataset_2!$D$2:$D$611,MATCH($A587,Dataset_2!$A$2:$A$611,0))</f>
        <v>0.32840000000000003</v>
      </c>
      <c r="N587">
        <f>INDEX(Dataset_2!$E$2:$E$611,MATCH($A587,Dataset_2!$A$2:$A$611,0))</f>
        <v>1</v>
      </c>
      <c r="O587">
        <f>INDEX(Dataset_2!$F$2:$F$611,MATCH($A587,Dataset_2!$A$2:$A$611,0))</f>
        <v>35</v>
      </c>
      <c r="P587">
        <f>INDEX(Dataset_2!$G$2:$G$611,MATCH($A587,Dataset_2!$A$2:$A$611,0))</f>
        <v>36</v>
      </c>
    </row>
    <row r="588" spans="1:16" x14ac:dyDescent="0.2">
      <c r="A588">
        <f>Dataset_1!A588</f>
        <v>587</v>
      </c>
      <c r="B588" s="61">
        <f>Dataset_1!B588</f>
        <v>40569</v>
      </c>
      <c r="C588">
        <f>Dataset_1!C588</f>
        <v>1</v>
      </c>
      <c r="D588">
        <f>Dataset_1!D588</f>
        <v>0</v>
      </c>
      <c r="E588">
        <f>Dataset_1!E588</f>
        <v>1</v>
      </c>
      <c r="F588">
        <f>Dataset_1!F588</f>
        <v>17</v>
      </c>
      <c r="G588" t="b">
        <f>Dataset_1!G588</f>
        <v>0</v>
      </c>
      <c r="H588">
        <f>Dataset_1!H588</f>
        <v>3</v>
      </c>
      <c r="I588">
        <f>Dataset_1!I588</f>
        <v>3</v>
      </c>
      <c r="J588">
        <f>Dataset_1!J588</f>
        <v>0.2</v>
      </c>
      <c r="K588">
        <f>INDEX(Dataset_2!$B$2:$B$611,MATCH($A588,Dataset_2!$A$2:$A$611,0))</f>
        <v>0.18179999999999999</v>
      </c>
      <c r="L588">
        <f>INDEX(Dataset_2!$C$2:$C$611,MATCH($A588,Dataset_2!$A$2:$A$611,0))</f>
        <v>0.93</v>
      </c>
      <c r="M588">
        <f>INDEX(Dataset_2!$D$2:$D$611,MATCH($A588,Dataset_2!$A$2:$A$611,0))</f>
        <v>0.35820000000000002</v>
      </c>
      <c r="N588">
        <f>INDEX(Dataset_2!$E$2:$E$611,MATCH($A588,Dataset_2!$A$2:$A$611,0))</f>
        <v>0</v>
      </c>
      <c r="O588">
        <f>INDEX(Dataset_2!$F$2:$F$611,MATCH($A588,Dataset_2!$A$2:$A$611,0))</f>
        <v>26</v>
      </c>
      <c r="P588">
        <f>INDEX(Dataset_2!$G$2:$G$611,MATCH($A588,Dataset_2!$A$2:$A$611,0))</f>
        <v>26</v>
      </c>
    </row>
    <row r="589" spans="1:16" x14ac:dyDescent="0.2">
      <c r="A589">
        <f>Dataset_1!A589</f>
        <v>588</v>
      </c>
      <c r="B589" s="61">
        <f>Dataset_1!B589</f>
        <v>40570</v>
      </c>
      <c r="C589">
        <f>Dataset_1!C589</f>
        <v>1</v>
      </c>
      <c r="D589">
        <f>Dataset_1!D589</f>
        <v>0</v>
      </c>
      <c r="E589">
        <f>Dataset_1!E589</f>
        <v>1</v>
      </c>
      <c r="F589">
        <f>Dataset_1!F589</f>
        <v>16</v>
      </c>
      <c r="G589" t="b">
        <f>Dataset_1!G589</f>
        <v>0</v>
      </c>
      <c r="H589">
        <f>Dataset_1!H589</f>
        <v>4</v>
      </c>
      <c r="I589">
        <f>Dataset_1!I589</f>
        <v>1</v>
      </c>
      <c r="J589">
        <f>Dataset_1!J589</f>
        <v>0.22</v>
      </c>
      <c r="K589">
        <f>INDEX(Dataset_2!$B$2:$B$611,MATCH($A589,Dataset_2!$A$2:$A$611,0))</f>
        <v>0.2273</v>
      </c>
      <c r="L589">
        <f>INDEX(Dataset_2!$C$2:$C$611,MATCH($A589,Dataset_2!$A$2:$A$611,0))</f>
        <v>0.55000000000000004</v>
      </c>
      <c r="M589">
        <f>INDEX(Dataset_2!$D$2:$D$611,MATCH($A589,Dataset_2!$A$2:$A$611,0))</f>
        <v>0.19400000000000001</v>
      </c>
      <c r="N589">
        <f>INDEX(Dataset_2!$E$2:$E$611,MATCH($A589,Dataset_2!$A$2:$A$611,0))</f>
        <v>1</v>
      </c>
      <c r="O589">
        <f>INDEX(Dataset_2!$F$2:$F$611,MATCH($A589,Dataset_2!$A$2:$A$611,0))</f>
        <v>23</v>
      </c>
      <c r="P589">
        <f>INDEX(Dataset_2!$G$2:$G$611,MATCH($A589,Dataset_2!$A$2:$A$611,0))</f>
        <v>24</v>
      </c>
    </row>
    <row r="590" spans="1:16" x14ac:dyDescent="0.2">
      <c r="A590">
        <f>Dataset_1!A590</f>
        <v>589</v>
      </c>
      <c r="B590" s="61">
        <f>Dataset_1!B590</f>
        <v>40570</v>
      </c>
      <c r="C590">
        <f>Dataset_1!C590</f>
        <v>1</v>
      </c>
      <c r="D590">
        <f>Dataset_1!D590</f>
        <v>0</v>
      </c>
      <c r="E590">
        <f>Dataset_1!E590</f>
        <v>1</v>
      </c>
      <c r="F590">
        <f>Dataset_1!F590</f>
        <v>17</v>
      </c>
      <c r="G590" t="b">
        <f>Dataset_1!G590</f>
        <v>0</v>
      </c>
      <c r="H590">
        <f>Dataset_1!H590</f>
        <v>4</v>
      </c>
      <c r="I590">
        <f>Dataset_1!I590</f>
        <v>1</v>
      </c>
      <c r="J590">
        <f>Dataset_1!J590</f>
        <v>0.22</v>
      </c>
      <c r="K590">
        <f>INDEX(Dataset_2!$B$2:$B$611,MATCH($A590,Dataset_2!$A$2:$A$611,0))</f>
        <v>0.2424</v>
      </c>
      <c r="L590">
        <f>INDEX(Dataset_2!$C$2:$C$611,MATCH($A590,Dataset_2!$A$2:$A$611,0))</f>
        <v>0.55000000000000004</v>
      </c>
      <c r="M590">
        <f>INDEX(Dataset_2!$D$2:$D$611,MATCH($A590,Dataset_2!$A$2:$A$611,0))</f>
        <v>0.1045</v>
      </c>
      <c r="N590">
        <f>INDEX(Dataset_2!$E$2:$E$611,MATCH($A590,Dataset_2!$A$2:$A$611,0))</f>
        <v>2</v>
      </c>
      <c r="O590">
        <f>INDEX(Dataset_2!$F$2:$F$611,MATCH($A590,Dataset_2!$A$2:$A$611,0))</f>
        <v>82</v>
      </c>
      <c r="P590">
        <f>INDEX(Dataset_2!$G$2:$G$611,MATCH($A590,Dataset_2!$A$2:$A$611,0))</f>
        <v>84</v>
      </c>
    </row>
    <row r="591" spans="1:16" x14ac:dyDescent="0.2">
      <c r="A591">
        <f>Dataset_1!A591</f>
        <v>590</v>
      </c>
      <c r="B591" s="61">
        <f>Dataset_1!B591</f>
        <v>40570</v>
      </c>
      <c r="C591">
        <f>Dataset_1!C591</f>
        <v>1</v>
      </c>
      <c r="D591">
        <f>Dataset_1!D591</f>
        <v>0</v>
      </c>
      <c r="E591">
        <f>Dataset_1!E591</f>
        <v>1</v>
      </c>
      <c r="F591">
        <f>Dataset_1!F591</f>
        <v>18</v>
      </c>
      <c r="G591" t="b">
        <f>Dataset_1!G591</f>
        <v>0</v>
      </c>
      <c r="H591">
        <f>Dataset_1!H591</f>
        <v>4</v>
      </c>
      <c r="I591">
        <f>Dataset_1!I591</f>
        <v>1</v>
      </c>
      <c r="J591">
        <f>Dataset_1!J591</f>
        <v>0.2</v>
      </c>
      <c r="K591">
        <f>INDEX(Dataset_2!$B$2:$B$611,MATCH($A591,Dataset_2!$A$2:$A$611,0))</f>
        <v>0.2273</v>
      </c>
      <c r="L591">
        <f>INDEX(Dataset_2!$C$2:$C$611,MATCH($A591,Dataset_2!$A$2:$A$611,0))</f>
        <v>0.69</v>
      </c>
      <c r="M591">
        <f>INDEX(Dataset_2!$D$2:$D$611,MATCH($A591,Dataset_2!$A$2:$A$611,0))</f>
        <v>8.9599999999999999E-2</v>
      </c>
      <c r="N591">
        <f>INDEX(Dataset_2!$E$2:$E$611,MATCH($A591,Dataset_2!$A$2:$A$611,0))</f>
        <v>3</v>
      </c>
      <c r="O591">
        <f>INDEX(Dataset_2!$F$2:$F$611,MATCH($A591,Dataset_2!$A$2:$A$611,0))</f>
        <v>101</v>
      </c>
      <c r="P591">
        <f>INDEX(Dataset_2!$G$2:$G$611,MATCH($A591,Dataset_2!$A$2:$A$611,0))</f>
        <v>104</v>
      </c>
    </row>
    <row r="592" spans="1:16" x14ac:dyDescent="0.2">
      <c r="A592">
        <f>Dataset_1!A592</f>
        <v>591</v>
      </c>
      <c r="B592" s="61">
        <f>Dataset_1!B592</f>
        <v>40570</v>
      </c>
      <c r="C592">
        <f>Dataset_1!C592</f>
        <v>1</v>
      </c>
      <c r="D592">
        <f>Dataset_1!D592</f>
        <v>0</v>
      </c>
      <c r="E592">
        <f>Dataset_1!E592</f>
        <v>1</v>
      </c>
      <c r="F592">
        <f>Dataset_1!F592</f>
        <v>19</v>
      </c>
      <c r="G592" t="b">
        <f>Dataset_1!G592</f>
        <v>0</v>
      </c>
      <c r="H592">
        <f>Dataset_1!H592</f>
        <v>4</v>
      </c>
      <c r="I592">
        <f>Dataset_1!I592</f>
        <v>1</v>
      </c>
      <c r="J592">
        <f>Dataset_1!J592</f>
        <v>0.2</v>
      </c>
      <c r="K592">
        <f>INDEX(Dataset_2!$B$2:$B$611,MATCH($A592,Dataset_2!$A$2:$A$611,0))</f>
        <v>0.2273</v>
      </c>
      <c r="L592">
        <f>INDEX(Dataset_2!$C$2:$C$611,MATCH($A592,Dataset_2!$A$2:$A$611,0))</f>
        <v>0.69</v>
      </c>
      <c r="M592">
        <f>INDEX(Dataset_2!$D$2:$D$611,MATCH($A592,Dataset_2!$A$2:$A$611,0))</f>
        <v>8.9599999999999999E-2</v>
      </c>
      <c r="N592">
        <f>INDEX(Dataset_2!$E$2:$E$611,MATCH($A592,Dataset_2!$A$2:$A$611,0))</f>
        <v>3</v>
      </c>
      <c r="O592">
        <f>INDEX(Dataset_2!$F$2:$F$611,MATCH($A592,Dataset_2!$A$2:$A$611,0))</f>
        <v>76</v>
      </c>
      <c r="P592">
        <f>INDEX(Dataset_2!$G$2:$G$611,MATCH($A592,Dataset_2!$A$2:$A$611,0))</f>
        <v>79</v>
      </c>
    </row>
    <row r="593" spans="1:16" x14ac:dyDescent="0.2">
      <c r="A593">
        <f>Dataset_1!A593</f>
        <v>592</v>
      </c>
      <c r="B593" s="61">
        <f>Dataset_1!B593</f>
        <v>40570</v>
      </c>
      <c r="C593">
        <f>Dataset_1!C593</f>
        <v>1</v>
      </c>
      <c r="D593">
        <f>Dataset_1!D593</f>
        <v>0</v>
      </c>
      <c r="E593">
        <f>Dataset_1!E593</f>
        <v>1</v>
      </c>
      <c r="F593">
        <f>Dataset_1!F593</f>
        <v>20</v>
      </c>
      <c r="G593" t="b">
        <f>Dataset_1!G593</f>
        <v>0</v>
      </c>
      <c r="H593">
        <f>Dataset_1!H593</f>
        <v>4</v>
      </c>
      <c r="I593">
        <f>Dataset_1!I593</f>
        <v>1</v>
      </c>
      <c r="J593">
        <f>Dataset_1!J593</f>
        <v>0.18</v>
      </c>
      <c r="K593">
        <f>INDEX(Dataset_2!$B$2:$B$611,MATCH($A593,Dataset_2!$A$2:$A$611,0))</f>
        <v>0.21210000000000001</v>
      </c>
      <c r="L593">
        <f>INDEX(Dataset_2!$C$2:$C$611,MATCH($A593,Dataset_2!$A$2:$A$611,0))</f>
        <v>0.74</v>
      </c>
      <c r="M593">
        <f>INDEX(Dataset_2!$D$2:$D$611,MATCH($A593,Dataset_2!$A$2:$A$611,0))</f>
        <v>8.9599999999999999E-2</v>
      </c>
      <c r="N593">
        <f>INDEX(Dataset_2!$E$2:$E$611,MATCH($A593,Dataset_2!$A$2:$A$611,0))</f>
        <v>4</v>
      </c>
      <c r="O593">
        <f>INDEX(Dataset_2!$F$2:$F$611,MATCH($A593,Dataset_2!$A$2:$A$611,0))</f>
        <v>55</v>
      </c>
      <c r="P593">
        <f>INDEX(Dataset_2!$G$2:$G$611,MATCH($A593,Dataset_2!$A$2:$A$611,0))</f>
        <v>59</v>
      </c>
    </row>
    <row r="594" spans="1:16" x14ac:dyDescent="0.2">
      <c r="A594">
        <f>Dataset_1!A594</f>
        <v>593</v>
      </c>
      <c r="B594" s="61">
        <f>Dataset_1!B594</f>
        <v>40570</v>
      </c>
      <c r="C594">
        <f>Dataset_1!C594</f>
        <v>1</v>
      </c>
      <c r="D594">
        <f>Dataset_1!D594</f>
        <v>0</v>
      </c>
      <c r="E594">
        <f>Dataset_1!E594</f>
        <v>1</v>
      </c>
      <c r="F594">
        <f>Dataset_1!F594</f>
        <v>21</v>
      </c>
      <c r="G594" t="b">
        <f>Dataset_1!G594</f>
        <v>0</v>
      </c>
      <c r="H594">
        <f>Dataset_1!H594</f>
        <v>4</v>
      </c>
      <c r="I594">
        <f>Dataset_1!I594</f>
        <v>1</v>
      </c>
      <c r="J594">
        <f>Dataset_1!J594</f>
        <v>0.18</v>
      </c>
      <c r="K594">
        <f>INDEX(Dataset_2!$B$2:$B$611,MATCH($A594,Dataset_2!$A$2:$A$611,0))</f>
        <v>0.21210000000000001</v>
      </c>
      <c r="L594">
        <f>INDEX(Dataset_2!$C$2:$C$611,MATCH($A594,Dataset_2!$A$2:$A$611,0))</f>
        <v>0.74</v>
      </c>
      <c r="M594">
        <f>INDEX(Dataset_2!$D$2:$D$611,MATCH($A594,Dataset_2!$A$2:$A$611,0))</f>
        <v>8.9599999999999999E-2</v>
      </c>
      <c r="N594">
        <f>INDEX(Dataset_2!$E$2:$E$611,MATCH($A594,Dataset_2!$A$2:$A$611,0))</f>
        <v>2</v>
      </c>
      <c r="O594">
        <f>INDEX(Dataset_2!$F$2:$F$611,MATCH($A594,Dataset_2!$A$2:$A$611,0))</f>
        <v>36</v>
      </c>
      <c r="P594">
        <f>INDEX(Dataset_2!$G$2:$G$611,MATCH($A594,Dataset_2!$A$2:$A$611,0))</f>
        <v>38</v>
      </c>
    </row>
    <row r="595" spans="1:16" x14ac:dyDescent="0.2">
      <c r="A595">
        <f>Dataset_1!A595</f>
        <v>594</v>
      </c>
      <c r="B595" s="61">
        <f>Dataset_1!B595</f>
        <v>40570</v>
      </c>
      <c r="C595">
        <f>Dataset_1!C595</f>
        <v>1</v>
      </c>
      <c r="D595">
        <f>Dataset_1!D595</f>
        <v>0</v>
      </c>
      <c r="E595">
        <f>Dataset_1!E595</f>
        <v>1</v>
      </c>
      <c r="F595">
        <f>Dataset_1!F595</f>
        <v>22</v>
      </c>
      <c r="G595" t="b">
        <f>Dataset_1!G595</f>
        <v>0</v>
      </c>
      <c r="H595">
        <f>Dataset_1!H595</f>
        <v>4</v>
      </c>
      <c r="I595">
        <f>Dataset_1!I595</f>
        <v>1</v>
      </c>
      <c r="J595">
        <f>Dataset_1!J595</f>
        <v>0.18</v>
      </c>
      <c r="K595">
        <f>INDEX(Dataset_2!$B$2:$B$611,MATCH($A595,Dataset_2!$A$2:$A$611,0))</f>
        <v>0.21210000000000001</v>
      </c>
      <c r="L595">
        <f>INDEX(Dataset_2!$C$2:$C$611,MATCH($A595,Dataset_2!$A$2:$A$611,0))</f>
        <v>0.74</v>
      </c>
      <c r="M595">
        <f>INDEX(Dataset_2!$D$2:$D$611,MATCH($A595,Dataset_2!$A$2:$A$611,0))</f>
        <v>8.9599999999999999E-2</v>
      </c>
      <c r="N595">
        <f>INDEX(Dataset_2!$E$2:$E$611,MATCH($A595,Dataset_2!$A$2:$A$611,0))</f>
        <v>0</v>
      </c>
      <c r="O595">
        <f>INDEX(Dataset_2!$F$2:$F$611,MATCH($A595,Dataset_2!$A$2:$A$611,0))</f>
        <v>27</v>
      </c>
      <c r="P595">
        <f>INDEX(Dataset_2!$G$2:$G$611,MATCH($A595,Dataset_2!$A$2:$A$611,0))</f>
        <v>27</v>
      </c>
    </row>
    <row r="596" spans="1:16" x14ac:dyDescent="0.2">
      <c r="A596">
        <f>Dataset_1!A596</f>
        <v>595</v>
      </c>
      <c r="B596" s="61">
        <f>Dataset_1!B596</f>
        <v>40570</v>
      </c>
      <c r="C596">
        <f>Dataset_1!C596</f>
        <v>1</v>
      </c>
      <c r="D596">
        <f>Dataset_1!D596</f>
        <v>0</v>
      </c>
      <c r="E596">
        <f>Dataset_1!E596</f>
        <v>1</v>
      </c>
      <c r="F596">
        <f>Dataset_1!F596</f>
        <v>23</v>
      </c>
      <c r="G596" t="b">
        <f>Dataset_1!G596</f>
        <v>0</v>
      </c>
      <c r="H596">
        <f>Dataset_1!H596</f>
        <v>4</v>
      </c>
      <c r="I596">
        <f>Dataset_1!I596</f>
        <v>1</v>
      </c>
      <c r="J596">
        <f>Dataset_1!J596</f>
        <v>0.18</v>
      </c>
      <c r="K596">
        <f>INDEX(Dataset_2!$B$2:$B$611,MATCH($A596,Dataset_2!$A$2:$A$611,0))</f>
        <v>0.19700000000000001</v>
      </c>
      <c r="L596">
        <f>INDEX(Dataset_2!$C$2:$C$611,MATCH($A596,Dataset_2!$A$2:$A$611,0))</f>
        <v>0.8</v>
      </c>
      <c r="M596">
        <f>INDEX(Dataset_2!$D$2:$D$611,MATCH($A596,Dataset_2!$A$2:$A$611,0))</f>
        <v>0.16420000000000001</v>
      </c>
      <c r="N596">
        <f>INDEX(Dataset_2!$E$2:$E$611,MATCH($A596,Dataset_2!$A$2:$A$611,0))</f>
        <v>0</v>
      </c>
      <c r="O596">
        <f>INDEX(Dataset_2!$F$2:$F$611,MATCH($A596,Dataset_2!$A$2:$A$611,0))</f>
        <v>16</v>
      </c>
      <c r="P596">
        <f>INDEX(Dataset_2!$G$2:$G$611,MATCH($A596,Dataset_2!$A$2:$A$611,0))</f>
        <v>16</v>
      </c>
    </row>
    <row r="597" spans="1:16" x14ac:dyDescent="0.2">
      <c r="A597">
        <f>Dataset_1!A597</f>
        <v>596</v>
      </c>
      <c r="B597" s="61">
        <f>Dataset_1!B597</f>
        <v>40571</v>
      </c>
      <c r="C597">
        <f>Dataset_1!C597</f>
        <v>1</v>
      </c>
      <c r="D597">
        <f>Dataset_1!D597</f>
        <v>0</v>
      </c>
      <c r="E597">
        <f>Dataset_1!E597</f>
        <v>1</v>
      </c>
      <c r="F597">
        <f>Dataset_1!F597</f>
        <v>0</v>
      </c>
      <c r="G597" t="b">
        <f>Dataset_1!G597</f>
        <v>0</v>
      </c>
      <c r="H597">
        <f>Dataset_1!H597</f>
        <v>5</v>
      </c>
      <c r="I597">
        <f>Dataset_1!I597</f>
        <v>2</v>
      </c>
      <c r="J597">
        <f>Dataset_1!J597</f>
        <v>0.2</v>
      </c>
      <c r="K597">
        <f>INDEX(Dataset_2!$B$2:$B$611,MATCH($A597,Dataset_2!$A$2:$A$611,0))</f>
        <v>0.21210000000000001</v>
      </c>
      <c r="L597">
        <f>INDEX(Dataset_2!$C$2:$C$611,MATCH($A597,Dataset_2!$A$2:$A$611,0))</f>
        <v>0.75</v>
      </c>
      <c r="M597">
        <f>INDEX(Dataset_2!$D$2:$D$611,MATCH($A597,Dataset_2!$A$2:$A$611,0))</f>
        <v>0.1343</v>
      </c>
      <c r="N597">
        <f>INDEX(Dataset_2!$E$2:$E$611,MATCH($A597,Dataset_2!$A$2:$A$611,0))</f>
        <v>0</v>
      </c>
      <c r="O597">
        <f>INDEX(Dataset_2!$F$2:$F$611,MATCH($A597,Dataset_2!$A$2:$A$611,0))</f>
        <v>9</v>
      </c>
      <c r="P597">
        <f>INDEX(Dataset_2!$G$2:$G$611,MATCH($A597,Dataset_2!$A$2:$A$611,0))</f>
        <v>9</v>
      </c>
    </row>
    <row r="598" spans="1:16" x14ac:dyDescent="0.2">
      <c r="A598">
        <f>Dataset_1!A598</f>
        <v>597</v>
      </c>
      <c r="B598" s="61">
        <f>Dataset_1!B598</f>
        <v>40571</v>
      </c>
      <c r="C598">
        <f>Dataset_1!C598</f>
        <v>1</v>
      </c>
      <c r="D598">
        <f>Dataset_1!D598</f>
        <v>0</v>
      </c>
      <c r="E598">
        <f>Dataset_1!E598</f>
        <v>1</v>
      </c>
      <c r="F598">
        <f>Dataset_1!F598</f>
        <v>1</v>
      </c>
      <c r="G598" t="b">
        <f>Dataset_1!G598</f>
        <v>0</v>
      </c>
      <c r="H598">
        <f>Dataset_1!H598</f>
        <v>5</v>
      </c>
      <c r="I598">
        <f>Dataset_1!I598</f>
        <v>2</v>
      </c>
      <c r="J598">
        <f>Dataset_1!J598</f>
        <v>0.2</v>
      </c>
      <c r="K598">
        <f>INDEX(Dataset_2!$B$2:$B$611,MATCH($A598,Dataset_2!$A$2:$A$611,0))</f>
        <v>0.21210000000000001</v>
      </c>
      <c r="L598">
        <f>INDEX(Dataset_2!$C$2:$C$611,MATCH($A598,Dataset_2!$A$2:$A$611,0))</f>
        <v>0.75</v>
      </c>
      <c r="M598">
        <f>INDEX(Dataset_2!$D$2:$D$611,MATCH($A598,Dataset_2!$A$2:$A$611,0))</f>
        <v>0.1343</v>
      </c>
      <c r="N598">
        <f>INDEX(Dataset_2!$E$2:$E$611,MATCH($A598,Dataset_2!$A$2:$A$611,0))</f>
        <v>1</v>
      </c>
      <c r="O598">
        <f>INDEX(Dataset_2!$F$2:$F$611,MATCH($A598,Dataset_2!$A$2:$A$611,0))</f>
        <v>2</v>
      </c>
      <c r="P598">
        <f>INDEX(Dataset_2!$G$2:$G$611,MATCH($A598,Dataset_2!$A$2:$A$611,0))</f>
        <v>3</v>
      </c>
    </row>
    <row r="599" spans="1:16" x14ac:dyDescent="0.2">
      <c r="A599">
        <f>Dataset_1!A599</f>
        <v>598</v>
      </c>
      <c r="B599" s="61">
        <f>Dataset_1!B599</f>
        <v>40571</v>
      </c>
      <c r="C599">
        <f>Dataset_1!C599</f>
        <v>1</v>
      </c>
      <c r="D599">
        <f>Dataset_1!D599</f>
        <v>0</v>
      </c>
      <c r="E599">
        <f>Dataset_1!E599</f>
        <v>1</v>
      </c>
      <c r="F599">
        <f>Dataset_1!F599</f>
        <v>2</v>
      </c>
      <c r="G599" t="b">
        <f>Dataset_1!G599</f>
        <v>0</v>
      </c>
      <c r="H599">
        <f>Dataset_1!H599</f>
        <v>5</v>
      </c>
      <c r="I599">
        <f>Dataset_1!I599</f>
        <v>2</v>
      </c>
      <c r="J599">
        <f>Dataset_1!J599</f>
        <v>0.2</v>
      </c>
      <c r="K599">
        <f>INDEX(Dataset_2!$B$2:$B$611,MATCH($A599,Dataset_2!$A$2:$A$611,0))</f>
        <v>0.21210000000000001</v>
      </c>
      <c r="L599">
        <f>INDEX(Dataset_2!$C$2:$C$611,MATCH($A599,Dataset_2!$A$2:$A$611,0))</f>
        <v>0.75</v>
      </c>
      <c r="M599">
        <f>INDEX(Dataset_2!$D$2:$D$611,MATCH($A599,Dataset_2!$A$2:$A$611,0))</f>
        <v>0.16420000000000001</v>
      </c>
      <c r="N599">
        <f>INDEX(Dataset_2!$E$2:$E$611,MATCH($A599,Dataset_2!$A$2:$A$611,0))</f>
        <v>0</v>
      </c>
      <c r="O599">
        <f>INDEX(Dataset_2!$F$2:$F$611,MATCH($A599,Dataset_2!$A$2:$A$611,0))</f>
        <v>2</v>
      </c>
      <c r="P599">
        <f>INDEX(Dataset_2!$G$2:$G$611,MATCH($A599,Dataset_2!$A$2:$A$611,0))</f>
        <v>2</v>
      </c>
    </row>
    <row r="600" spans="1:16" x14ac:dyDescent="0.2">
      <c r="A600">
        <f>Dataset_1!A600</f>
        <v>599</v>
      </c>
      <c r="B600" s="61">
        <f>Dataset_1!B600</f>
        <v>40571</v>
      </c>
      <c r="C600">
        <f>Dataset_1!C600</f>
        <v>1</v>
      </c>
      <c r="D600">
        <f>Dataset_1!D600</f>
        <v>0</v>
      </c>
      <c r="E600">
        <f>Dataset_1!E600</f>
        <v>1</v>
      </c>
      <c r="F600">
        <f>Dataset_1!F600</f>
        <v>3</v>
      </c>
      <c r="G600" t="b">
        <f>Dataset_1!G600</f>
        <v>0</v>
      </c>
      <c r="H600">
        <f>Dataset_1!H600</f>
        <v>5</v>
      </c>
      <c r="I600">
        <f>Dataset_1!I600</f>
        <v>2</v>
      </c>
      <c r="J600">
        <f>Dataset_1!J600</f>
        <v>0.2</v>
      </c>
      <c r="K600">
        <f>INDEX(Dataset_2!$B$2:$B$611,MATCH($A600,Dataset_2!$A$2:$A$611,0))</f>
        <v>0.2273</v>
      </c>
      <c r="L600">
        <f>INDEX(Dataset_2!$C$2:$C$611,MATCH($A600,Dataset_2!$A$2:$A$611,0))</f>
        <v>0.75</v>
      </c>
      <c r="M600">
        <f>INDEX(Dataset_2!$D$2:$D$611,MATCH($A600,Dataset_2!$A$2:$A$611,0))</f>
        <v>0.1045</v>
      </c>
      <c r="N600">
        <f>INDEX(Dataset_2!$E$2:$E$611,MATCH($A600,Dataset_2!$A$2:$A$611,0))</f>
        <v>1</v>
      </c>
      <c r="O600">
        <f>INDEX(Dataset_2!$F$2:$F$611,MATCH($A600,Dataset_2!$A$2:$A$611,0))</f>
        <v>0</v>
      </c>
      <c r="P600">
        <f>INDEX(Dataset_2!$G$2:$G$611,MATCH($A600,Dataset_2!$A$2:$A$611,0))</f>
        <v>1</v>
      </c>
    </row>
    <row r="601" spans="1:16" x14ac:dyDescent="0.2">
      <c r="A601">
        <f>Dataset_1!A601</f>
        <v>600</v>
      </c>
      <c r="B601" s="61">
        <f>Dataset_1!B601</f>
        <v>40571</v>
      </c>
      <c r="C601">
        <f>Dataset_1!C601</f>
        <v>1</v>
      </c>
      <c r="D601">
        <f>Dataset_1!D601</f>
        <v>0</v>
      </c>
      <c r="E601">
        <f>Dataset_1!E601</f>
        <v>1</v>
      </c>
      <c r="F601">
        <f>Dataset_1!F601</f>
        <v>5</v>
      </c>
      <c r="G601" t="b">
        <f>Dataset_1!G601</f>
        <v>0</v>
      </c>
      <c r="H601">
        <f>Dataset_1!H601</f>
        <v>5</v>
      </c>
      <c r="I601">
        <f>Dataset_1!I601</f>
        <v>2</v>
      </c>
      <c r="J601">
        <f>Dataset_1!J601</f>
        <v>0.18</v>
      </c>
      <c r="K601">
        <f>INDEX(Dataset_2!$B$2:$B$611,MATCH($A601,Dataset_2!$A$2:$A$611,0))</f>
        <v>0.21210000000000001</v>
      </c>
      <c r="L601">
        <f>INDEX(Dataset_2!$C$2:$C$611,MATCH($A601,Dataset_2!$A$2:$A$611,0))</f>
        <v>0.8</v>
      </c>
      <c r="M601">
        <f>INDEX(Dataset_2!$D$2:$D$611,MATCH($A601,Dataset_2!$A$2:$A$611,0))</f>
        <v>0.1045</v>
      </c>
      <c r="N601">
        <f>INDEX(Dataset_2!$E$2:$E$611,MATCH($A601,Dataset_2!$A$2:$A$611,0))</f>
        <v>0</v>
      </c>
      <c r="O601">
        <f>INDEX(Dataset_2!$F$2:$F$611,MATCH($A601,Dataset_2!$A$2:$A$611,0))</f>
        <v>4</v>
      </c>
      <c r="P601">
        <f>INDEX(Dataset_2!$G$2:$G$611,MATCH($A601,Dataset_2!$A$2:$A$611,0))</f>
        <v>4</v>
      </c>
    </row>
    <row r="602" spans="1:16" x14ac:dyDescent="0.2">
      <c r="A602">
        <f>Dataset_1!A602</f>
        <v>601</v>
      </c>
      <c r="B602" s="61">
        <f>Dataset_1!B602</f>
        <v>40571</v>
      </c>
      <c r="C602">
        <f>Dataset_1!C602</f>
        <v>1</v>
      </c>
      <c r="D602">
        <f>Dataset_1!D602</f>
        <v>0</v>
      </c>
      <c r="E602">
        <f>Dataset_1!E602</f>
        <v>1</v>
      </c>
      <c r="F602">
        <f>Dataset_1!F602</f>
        <v>6</v>
      </c>
      <c r="G602" t="b">
        <f>Dataset_1!G602</f>
        <v>0</v>
      </c>
      <c r="H602">
        <f>Dataset_1!H602</f>
        <v>5</v>
      </c>
      <c r="I602">
        <f>Dataset_1!I602</f>
        <v>2</v>
      </c>
      <c r="J602">
        <f>Dataset_1!J602</f>
        <v>0.18</v>
      </c>
      <c r="K602">
        <f>INDEX(Dataset_2!$B$2:$B$611,MATCH($A602,Dataset_2!$A$2:$A$611,0))</f>
        <v>0.19700000000000001</v>
      </c>
      <c r="L602">
        <f>INDEX(Dataset_2!$C$2:$C$611,MATCH($A602,Dataset_2!$A$2:$A$611,0))</f>
        <v>0.8</v>
      </c>
      <c r="M602">
        <f>INDEX(Dataset_2!$D$2:$D$611,MATCH($A602,Dataset_2!$A$2:$A$611,0))</f>
        <v>0.1343</v>
      </c>
      <c r="N602">
        <f>INDEX(Dataset_2!$E$2:$E$611,MATCH($A602,Dataset_2!$A$2:$A$611,0))</f>
        <v>0</v>
      </c>
      <c r="O602">
        <f>INDEX(Dataset_2!$F$2:$F$611,MATCH($A602,Dataset_2!$A$2:$A$611,0))</f>
        <v>16</v>
      </c>
      <c r="P602">
        <f>INDEX(Dataset_2!$G$2:$G$611,MATCH($A602,Dataset_2!$A$2:$A$611,0))</f>
        <v>16</v>
      </c>
    </row>
    <row r="603" spans="1:16" x14ac:dyDescent="0.2">
      <c r="A603">
        <f>Dataset_1!A603</f>
        <v>602</v>
      </c>
      <c r="B603" s="61">
        <f>Dataset_1!B603</f>
        <v>40571</v>
      </c>
      <c r="C603">
        <f>Dataset_1!C603</f>
        <v>1</v>
      </c>
      <c r="D603">
        <f>Dataset_1!D603</f>
        <v>0</v>
      </c>
      <c r="E603">
        <f>Dataset_1!E603</f>
        <v>1</v>
      </c>
      <c r="F603">
        <f>Dataset_1!F603</f>
        <v>7</v>
      </c>
      <c r="G603" t="b">
        <f>Dataset_1!G603</f>
        <v>0</v>
      </c>
      <c r="H603">
        <f>Dataset_1!H603</f>
        <v>5</v>
      </c>
      <c r="I603">
        <f>Dataset_1!I603</f>
        <v>2</v>
      </c>
      <c r="J603">
        <f>Dataset_1!J603</f>
        <v>0.16</v>
      </c>
      <c r="K603">
        <f>INDEX(Dataset_2!$B$2:$B$611,MATCH($A603,Dataset_2!$A$2:$A$611,0))</f>
        <v>0.19700000000000001</v>
      </c>
      <c r="L603">
        <f>INDEX(Dataset_2!$C$2:$C$611,MATCH($A603,Dataset_2!$A$2:$A$611,0))</f>
        <v>0.86</v>
      </c>
      <c r="M603">
        <f>INDEX(Dataset_2!$D$2:$D$611,MATCH($A603,Dataset_2!$A$2:$A$611,0))</f>
        <v>8.9599999999999999E-2</v>
      </c>
      <c r="N603">
        <f>INDEX(Dataset_2!$E$2:$E$611,MATCH($A603,Dataset_2!$A$2:$A$611,0))</f>
        <v>2</v>
      </c>
      <c r="O603">
        <f>INDEX(Dataset_2!$F$2:$F$611,MATCH($A603,Dataset_2!$A$2:$A$611,0))</f>
        <v>58</v>
      </c>
      <c r="P603">
        <f>INDEX(Dataset_2!$G$2:$G$611,MATCH($A603,Dataset_2!$A$2:$A$611,0))</f>
        <v>60</v>
      </c>
    </row>
    <row r="604" spans="1:16" x14ac:dyDescent="0.2">
      <c r="A604">
        <f>Dataset_1!A604</f>
        <v>603</v>
      </c>
      <c r="B604" s="61">
        <f>Dataset_1!B604</f>
        <v>40571</v>
      </c>
      <c r="C604">
        <f>Dataset_1!C604</f>
        <v>1</v>
      </c>
      <c r="D604">
        <f>Dataset_1!D604</f>
        <v>0</v>
      </c>
      <c r="E604">
        <f>Dataset_1!E604</f>
        <v>1</v>
      </c>
      <c r="F604">
        <f>Dataset_1!F604</f>
        <v>8</v>
      </c>
      <c r="G604" t="b">
        <f>Dataset_1!G604</f>
        <v>0</v>
      </c>
      <c r="H604">
        <f>Dataset_1!H604</f>
        <v>5</v>
      </c>
      <c r="I604">
        <f>Dataset_1!I604</f>
        <v>2</v>
      </c>
      <c r="J604">
        <f>Dataset_1!J604</f>
        <v>0.16</v>
      </c>
      <c r="K604">
        <f>INDEX(Dataset_2!$B$2:$B$611,MATCH($A604,Dataset_2!$A$2:$A$611,0))</f>
        <v>0.19700000000000001</v>
      </c>
      <c r="L604">
        <f>INDEX(Dataset_2!$C$2:$C$611,MATCH($A604,Dataset_2!$A$2:$A$611,0))</f>
        <v>0.86</v>
      </c>
      <c r="M604">
        <f>INDEX(Dataset_2!$D$2:$D$611,MATCH($A604,Dataset_2!$A$2:$A$611,0))</f>
        <v>8.9599999999999999E-2</v>
      </c>
      <c r="N604">
        <f>INDEX(Dataset_2!$E$2:$E$611,MATCH($A604,Dataset_2!$A$2:$A$611,0))</f>
        <v>2</v>
      </c>
      <c r="O604">
        <f>INDEX(Dataset_2!$F$2:$F$611,MATCH($A604,Dataset_2!$A$2:$A$611,0))</f>
        <v>155</v>
      </c>
      <c r="P604">
        <f>INDEX(Dataset_2!$G$2:$G$611,MATCH($A604,Dataset_2!$A$2:$A$611,0))</f>
        <v>157</v>
      </c>
    </row>
    <row r="605" spans="1:16" x14ac:dyDescent="0.2">
      <c r="A605">
        <f>Dataset_1!A605</f>
        <v>604</v>
      </c>
      <c r="B605" s="61">
        <f>Dataset_1!B605</f>
        <v>40571</v>
      </c>
      <c r="C605">
        <f>Dataset_1!C605</f>
        <v>1</v>
      </c>
      <c r="D605">
        <f>Dataset_1!D605</f>
        <v>0</v>
      </c>
      <c r="E605">
        <f>Dataset_1!E605</f>
        <v>1</v>
      </c>
      <c r="F605">
        <f>Dataset_1!F605</f>
        <v>9</v>
      </c>
      <c r="G605" t="b">
        <f>Dataset_1!G605</f>
        <v>0</v>
      </c>
      <c r="H605">
        <f>Dataset_1!H605</f>
        <v>5</v>
      </c>
      <c r="I605">
        <f>Dataset_1!I605</f>
        <v>3</v>
      </c>
      <c r="J605">
        <f>Dataset_1!J605</f>
        <v>0.18</v>
      </c>
      <c r="K605">
        <f>INDEX(Dataset_2!$B$2:$B$611,MATCH($A605,Dataset_2!$A$2:$A$611,0))</f>
        <v>0.21210000000000001</v>
      </c>
      <c r="L605">
        <f>INDEX(Dataset_2!$C$2:$C$611,MATCH($A605,Dataset_2!$A$2:$A$611,0))</f>
        <v>0.86</v>
      </c>
      <c r="M605">
        <f>INDEX(Dataset_2!$D$2:$D$611,MATCH($A605,Dataset_2!$A$2:$A$611,0))</f>
        <v>8.9599999999999999E-2</v>
      </c>
      <c r="N605">
        <f>INDEX(Dataset_2!$E$2:$E$611,MATCH($A605,Dataset_2!$A$2:$A$611,0))</f>
        <v>6</v>
      </c>
      <c r="O605">
        <f>INDEX(Dataset_2!$F$2:$F$611,MATCH($A605,Dataset_2!$A$2:$A$611,0))</f>
        <v>95</v>
      </c>
      <c r="P605">
        <f>INDEX(Dataset_2!$G$2:$G$611,MATCH($A605,Dataset_2!$A$2:$A$611,0))</f>
        <v>101</v>
      </c>
    </row>
    <row r="606" spans="1:16" x14ac:dyDescent="0.2">
      <c r="A606">
        <f>Dataset_1!A606</f>
        <v>605</v>
      </c>
      <c r="B606" s="61">
        <f>Dataset_1!B606</f>
        <v>40571</v>
      </c>
      <c r="C606">
        <f>Dataset_1!C606</f>
        <v>1</v>
      </c>
      <c r="D606">
        <f>Dataset_1!D606</f>
        <v>0</v>
      </c>
      <c r="E606">
        <f>Dataset_1!E606</f>
        <v>1</v>
      </c>
      <c r="F606">
        <f>Dataset_1!F606</f>
        <v>10</v>
      </c>
      <c r="G606" t="b">
        <f>Dataset_1!G606</f>
        <v>0</v>
      </c>
      <c r="H606">
        <f>Dataset_1!H606</f>
        <v>5</v>
      </c>
      <c r="I606">
        <f>Dataset_1!I606</f>
        <v>3</v>
      </c>
      <c r="J606">
        <f>Dataset_1!J606</f>
        <v>0.18</v>
      </c>
      <c r="K606">
        <f>INDEX(Dataset_2!$B$2:$B$611,MATCH($A606,Dataset_2!$A$2:$A$611,0))</f>
        <v>0.21210000000000001</v>
      </c>
      <c r="L606">
        <f>INDEX(Dataset_2!$C$2:$C$611,MATCH($A606,Dataset_2!$A$2:$A$611,0))</f>
        <v>0.86</v>
      </c>
      <c r="M606">
        <f>INDEX(Dataset_2!$D$2:$D$611,MATCH($A606,Dataset_2!$A$2:$A$611,0))</f>
        <v>0.1045</v>
      </c>
      <c r="N606">
        <f>INDEX(Dataset_2!$E$2:$E$611,MATCH($A606,Dataset_2!$A$2:$A$611,0))</f>
        <v>0</v>
      </c>
      <c r="O606">
        <f>INDEX(Dataset_2!$F$2:$F$611,MATCH($A606,Dataset_2!$A$2:$A$611,0))</f>
        <v>49</v>
      </c>
      <c r="P606">
        <f>INDEX(Dataset_2!$G$2:$G$611,MATCH($A606,Dataset_2!$A$2:$A$611,0))</f>
        <v>49</v>
      </c>
    </row>
    <row r="607" spans="1:16" x14ac:dyDescent="0.2">
      <c r="A607">
        <f>Dataset_1!A607</f>
        <v>606</v>
      </c>
      <c r="B607" s="61">
        <f>Dataset_1!B607</f>
        <v>40571</v>
      </c>
      <c r="C607">
        <f>Dataset_1!C607</f>
        <v>1</v>
      </c>
      <c r="D607">
        <f>Dataset_1!D607</f>
        <v>0</v>
      </c>
      <c r="E607">
        <f>Dataset_1!E607</f>
        <v>1</v>
      </c>
      <c r="F607">
        <f>Dataset_1!F607</f>
        <v>11</v>
      </c>
      <c r="G607" t="b">
        <f>Dataset_1!G607</f>
        <v>0</v>
      </c>
      <c r="H607">
        <f>Dataset_1!H607</f>
        <v>5</v>
      </c>
      <c r="I607">
        <f>Dataset_1!I607</f>
        <v>3</v>
      </c>
      <c r="J607">
        <f>Dataset_1!J607</f>
        <v>0.18</v>
      </c>
      <c r="K607">
        <f>INDEX(Dataset_2!$B$2:$B$611,MATCH($A607,Dataset_2!$A$2:$A$611,0))</f>
        <v>0.21210000000000001</v>
      </c>
      <c r="L607">
        <f>INDEX(Dataset_2!$C$2:$C$611,MATCH($A607,Dataset_2!$A$2:$A$611,0))</f>
        <v>0.93</v>
      </c>
      <c r="M607">
        <f>INDEX(Dataset_2!$D$2:$D$611,MATCH($A607,Dataset_2!$A$2:$A$611,0))</f>
        <v>0.1045</v>
      </c>
      <c r="N607">
        <f>INDEX(Dataset_2!$E$2:$E$611,MATCH($A607,Dataset_2!$A$2:$A$611,0))</f>
        <v>0</v>
      </c>
      <c r="O607">
        <f>INDEX(Dataset_2!$F$2:$F$611,MATCH($A607,Dataset_2!$A$2:$A$611,0))</f>
        <v>30</v>
      </c>
      <c r="P607">
        <f>INDEX(Dataset_2!$G$2:$G$611,MATCH($A607,Dataset_2!$A$2:$A$611,0))</f>
        <v>30</v>
      </c>
    </row>
    <row r="608" spans="1:16" x14ac:dyDescent="0.2">
      <c r="A608">
        <f>Dataset_1!A608</f>
        <v>607</v>
      </c>
      <c r="B608" s="61">
        <f>Dataset_1!B608</f>
        <v>40571</v>
      </c>
      <c r="C608">
        <f>Dataset_1!C608</f>
        <v>1</v>
      </c>
      <c r="D608">
        <f>Dataset_1!D608</f>
        <v>0</v>
      </c>
      <c r="E608">
        <f>Dataset_1!E608</f>
        <v>1</v>
      </c>
      <c r="F608">
        <f>Dataset_1!F608</f>
        <v>12</v>
      </c>
      <c r="G608" t="b">
        <f>Dataset_1!G608</f>
        <v>0</v>
      </c>
      <c r="H608">
        <f>Dataset_1!H608</f>
        <v>5</v>
      </c>
      <c r="I608">
        <f>Dataset_1!I608</f>
        <v>3</v>
      </c>
      <c r="J608">
        <f>Dataset_1!J608</f>
        <v>0.18</v>
      </c>
      <c r="K608">
        <f>INDEX(Dataset_2!$B$2:$B$611,MATCH($A608,Dataset_2!$A$2:$A$611,0))</f>
        <v>0.21210000000000001</v>
      </c>
      <c r="L608">
        <f>INDEX(Dataset_2!$C$2:$C$611,MATCH($A608,Dataset_2!$A$2:$A$611,0))</f>
        <v>0.93</v>
      </c>
      <c r="M608">
        <f>INDEX(Dataset_2!$D$2:$D$611,MATCH($A608,Dataset_2!$A$2:$A$611,0))</f>
        <v>0.1045</v>
      </c>
      <c r="N608">
        <f>INDEX(Dataset_2!$E$2:$E$611,MATCH($A608,Dataset_2!$A$2:$A$611,0))</f>
        <v>1</v>
      </c>
      <c r="O608">
        <f>INDEX(Dataset_2!$F$2:$F$611,MATCH($A608,Dataset_2!$A$2:$A$611,0))</f>
        <v>28</v>
      </c>
      <c r="P608">
        <f>INDEX(Dataset_2!$G$2:$G$611,MATCH($A608,Dataset_2!$A$2:$A$611,0))</f>
        <v>29</v>
      </c>
    </row>
    <row r="609" spans="1:16" x14ac:dyDescent="0.2">
      <c r="A609">
        <f>Dataset_1!A609</f>
        <v>608</v>
      </c>
      <c r="B609" s="61">
        <f>Dataset_1!B609</f>
        <v>40571</v>
      </c>
      <c r="C609">
        <f>Dataset_1!C609</f>
        <v>1</v>
      </c>
      <c r="D609">
        <f>Dataset_1!D609</f>
        <v>0</v>
      </c>
      <c r="E609">
        <f>Dataset_1!E609</f>
        <v>1</v>
      </c>
      <c r="F609">
        <f>Dataset_1!F609</f>
        <v>13</v>
      </c>
      <c r="G609" t="b">
        <f>Dataset_1!G609</f>
        <v>0</v>
      </c>
      <c r="H609">
        <f>Dataset_1!H609</f>
        <v>5</v>
      </c>
      <c r="I609">
        <f>Dataset_1!I609</f>
        <v>3</v>
      </c>
      <c r="J609">
        <f>Dataset_1!J609</f>
        <v>0.18</v>
      </c>
      <c r="K609">
        <f>INDEX(Dataset_2!$B$2:$B$611,MATCH($A609,Dataset_2!$A$2:$A$611,0))</f>
        <v>0.21210000000000001</v>
      </c>
      <c r="L609">
        <f>INDEX(Dataset_2!$C$2:$C$611,MATCH($A609,Dataset_2!$A$2:$A$611,0))</f>
        <v>0.93</v>
      </c>
      <c r="M609">
        <f>INDEX(Dataset_2!$D$2:$D$611,MATCH($A609,Dataset_2!$A$2:$A$611,0))</f>
        <v>0.1045</v>
      </c>
      <c r="N609">
        <f>INDEX(Dataset_2!$E$2:$E$611,MATCH($A609,Dataset_2!$A$2:$A$611,0))</f>
        <v>0</v>
      </c>
      <c r="O609">
        <f>INDEX(Dataset_2!$F$2:$F$611,MATCH($A609,Dataset_2!$A$2:$A$611,0))</f>
        <v>31</v>
      </c>
      <c r="P609">
        <f>INDEX(Dataset_2!$G$2:$G$611,MATCH($A609,Dataset_2!$A$2:$A$611,0))</f>
        <v>31</v>
      </c>
    </row>
    <row r="610" spans="1:16" x14ac:dyDescent="0.2">
      <c r="A610">
        <f>Dataset_1!A610</f>
        <v>609</v>
      </c>
      <c r="B610" s="61">
        <f>Dataset_1!B610</f>
        <v>40571</v>
      </c>
      <c r="C610">
        <f>Dataset_1!C610</f>
        <v>1</v>
      </c>
      <c r="D610">
        <f>Dataset_1!D610</f>
        <v>0</v>
      </c>
      <c r="E610">
        <f>Dataset_1!E610</f>
        <v>1</v>
      </c>
      <c r="F610">
        <f>Dataset_1!F610</f>
        <v>14</v>
      </c>
      <c r="G610" t="b">
        <f>Dataset_1!G610</f>
        <v>0</v>
      </c>
      <c r="H610">
        <f>Dataset_1!H610</f>
        <v>5</v>
      </c>
      <c r="I610">
        <f>Dataset_1!I610</f>
        <v>3</v>
      </c>
      <c r="J610">
        <f>Dataset_1!J610</f>
        <v>0.22</v>
      </c>
      <c r="K610">
        <f>INDEX(Dataset_2!$B$2:$B$611,MATCH($A610,Dataset_2!$A$2:$A$611,0))</f>
        <v>0.2727</v>
      </c>
      <c r="L610">
        <f>INDEX(Dataset_2!$C$2:$C$611,MATCH($A610,Dataset_2!$A$2:$A$611,0))</f>
        <v>0.8</v>
      </c>
      <c r="M610">
        <f>INDEX(Dataset_2!$D$2:$D$611,MATCH($A610,Dataset_2!$A$2:$A$611,0))</f>
        <v>0</v>
      </c>
      <c r="N610">
        <f>INDEX(Dataset_2!$E$2:$E$611,MATCH($A610,Dataset_2!$A$2:$A$611,0))</f>
        <v>2</v>
      </c>
      <c r="O610">
        <f>INDEX(Dataset_2!$F$2:$F$611,MATCH($A610,Dataset_2!$A$2:$A$611,0))</f>
        <v>36</v>
      </c>
      <c r="P610">
        <f>INDEX(Dataset_2!$G$2:$G$611,MATCH($A610,Dataset_2!$A$2:$A$611,0))</f>
        <v>38</v>
      </c>
    </row>
    <row r="611" spans="1:16" x14ac:dyDescent="0.2">
      <c r="A611">
        <f>Dataset_1!A611</f>
        <v>610</v>
      </c>
      <c r="B611" s="61">
        <f>Dataset_1!B611</f>
        <v>40571</v>
      </c>
      <c r="C611">
        <f>Dataset_1!C611</f>
        <v>1</v>
      </c>
      <c r="D611">
        <f>Dataset_1!D611</f>
        <v>0</v>
      </c>
      <c r="E611">
        <f>Dataset_1!E611</f>
        <v>1</v>
      </c>
      <c r="F611">
        <f>Dataset_1!F611</f>
        <v>15</v>
      </c>
      <c r="G611" t="b">
        <f>Dataset_1!G611</f>
        <v>0</v>
      </c>
      <c r="H611">
        <f>Dataset_1!H611</f>
        <v>5</v>
      </c>
      <c r="I611">
        <f>Dataset_1!I611</f>
        <v>2</v>
      </c>
      <c r="J611">
        <f>Dataset_1!J611</f>
        <v>0.2</v>
      </c>
      <c r="K611">
        <f>INDEX(Dataset_2!$B$2:$B$611,MATCH($A611,Dataset_2!$A$2:$A$611,0))</f>
        <v>0.2576</v>
      </c>
      <c r="L611">
        <f>INDEX(Dataset_2!$C$2:$C$611,MATCH($A611,Dataset_2!$A$2:$A$611,0))</f>
        <v>0.86</v>
      </c>
      <c r="M611">
        <f>INDEX(Dataset_2!$D$2:$D$611,MATCH($A611,Dataset_2!$A$2:$A$611,0))</f>
        <v>0</v>
      </c>
      <c r="N611">
        <f>INDEX(Dataset_2!$E$2:$E$611,MATCH($A611,Dataset_2!$A$2:$A$611,0))</f>
        <v>1</v>
      </c>
      <c r="O611">
        <f>INDEX(Dataset_2!$F$2:$F$611,MATCH($A611,Dataset_2!$A$2:$A$611,0))</f>
        <v>40</v>
      </c>
      <c r="P611">
        <f>INDEX(Dataset_2!$G$2:$G$611,MATCH($A611,Dataset_2!$A$2:$A$611,0))</f>
        <v>41</v>
      </c>
    </row>
  </sheetData>
  <pageMargins left="0.75" right="0.75" top="1" bottom="1" header="0.5" footer="0.5"/>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606C76"/>
  </sheetPr>
  <dimension ref="A1:J611"/>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0" width="12" customWidth="1"/>
  </cols>
  <sheetData>
    <row r="1" spans="1:10" x14ac:dyDescent="0.2">
      <c r="A1" s="29" t="s">
        <v>261</v>
      </c>
      <c r="B1" s="29" t="s">
        <v>262</v>
      </c>
      <c r="C1" s="29" t="s">
        <v>263</v>
      </c>
      <c r="D1" s="29" t="s">
        <v>264</v>
      </c>
      <c r="E1" s="29" t="s">
        <v>265</v>
      </c>
      <c r="F1" s="29" t="s">
        <v>266</v>
      </c>
      <c r="G1" s="29" t="s">
        <v>267</v>
      </c>
      <c r="H1" s="29" t="s">
        <v>268</v>
      </c>
      <c r="I1" s="29" t="s">
        <v>269</v>
      </c>
      <c r="J1" s="29" t="s">
        <v>201</v>
      </c>
    </row>
    <row r="2" spans="1:10" x14ac:dyDescent="0.2">
      <c r="A2">
        <v>1</v>
      </c>
      <c r="B2" s="61">
        <v>40544</v>
      </c>
      <c r="C2">
        <v>1</v>
      </c>
      <c r="D2">
        <v>0</v>
      </c>
      <c r="E2">
        <v>1</v>
      </c>
      <c r="F2">
        <v>0</v>
      </c>
      <c r="G2" t="b">
        <v>0</v>
      </c>
      <c r="H2">
        <v>6</v>
      </c>
      <c r="I2">
        <v>1</v>
      </c>
      <c r="J2">
        <v>0.24</v>
      </c>
    </row>
    <row r="3" spans="1:10" x14ac:dyDescent="0.2">
      <c r="A3">
        <v>2</v>
      </c>
      <c r="B3" s="61">
        <v>40544</v>
      </c>
      <c r="C3">
        <v>1</v>
      </c>
      <c r="D3">
        <v>0</v>
      </c>
      <c r="E3">
        <v>1</v>
      </c>
      <c r="F3">
        <v>1</v>
      </c>
      <c r="G3" t="b">
        <v>0</v>
      </c>
      <c r="H3">
        <v>6</v>
      </c>
      <c r="I3">
        <v>1</v>
      </c>
      <c r="J3">
        <v>0.22</v>
      </c>
    </row>
    <row r="4" spans="1:10" x14ac:dyDescent="0.2">
      <c r="A4">
        <v>3</v>
      </c>
      <c r="B4" s="61">
        <v>40544</v>
      </c>
      <c r="C4">
        <v>1</v>
      </c>
      <c r="D4">
        <v>0</v>
      </c>
      <c r="E4">
        <v>1</v>
      </c>
      <c r="F4">
        <v>2</v>
      </c>
      <c r="G4" t="b">
        <v>0</v>
      </c>
      <c r="H4">
        <v>6</v>
      </c>
      <c r="I4">
        <v>1</v>
      </c>
      <c r="J4">
        <v>0.22</v>
      </c>
    </row>
    <row r="5" spans="1:10" x14ac:dyDescent="0.2">
      <c r="A5">
        <v>4</v>
      </c>
      <c r="B5" s="61">
        <v>40544</v>
      </c>
      <c r="C5">
        <v>1</v>
      </c>
      <c r="D5">
        <v>0</v>
      </c>
      <c r="E5">
        <v>1</v>
      </c>
      <c r="F5">
        <v>3</v>
      </c>
      <c r="G5" t="b">
        <v>0</v>
      </c>
      <c r="H5">
        <v>6</v>
      </c>
      <c r="I5">
        <v>1</v>
      </c>
      <c r="J5">
        <v>0.24</v>
      </c>
    </row>
    <row r="6" spans="1:10" x14ac:dyDescent="0.2">
      <c r="A6">
        <v>5</v>
      </c>
      <c r="B6" s="61">
        <v>40544</v>
      </c>
      <c r="C6">
        <v>1</v>
      </c>
      <c r="D6">
        <v>0</v>
      </c>
      <c r="E6">
        <v>1</v>
      </c>
      <c r="F6">
        <v>4</v>
      </c>
      <c r="G6" t="b">
        <v>0</v>
      </c>
      <c r="H6">
        <v>6</v>
      </c>
      <c r="I6">
        <v>1</v>
      </c>
      <c r="J6">
        <v>0.24</v>
      </c>
    </row>
    <row r="7" spans="1:10" x14ac:dyDescent="0.2">
      <c r="A7">
        <v>6</v>
      </c>
      <c r="B7" s="61">
        <v>40544</v>
      </c>
      <c r="C7">
        <v>1</v>
      </c>
      <c r="D7">
        <v>0</v>
      </c>
      <c r="E7">
        <v>1</v>
      </c>
      <c r="F7">
        <v>5</v>
      </c>
      <c r="G7" t="b">
        <v>0</v>
      </c>
      <c r="H7">
        <v>6</v>
      </c>
      <c r="I7">
        <v>2</v>
      </c>
      <c r="J7">
        <v>0.24</v>
      </c>
    </row>
    <row r="8" spans="1:10" x14ac:dyDescent="0.2">
      <c r="A8">
        <v>7</v>
      </c>
      <c r="B8" s="61">
        <v>40544</v>
      </c>
      <c r="C8">
        <v>1</v>
      </c>
      <c r="D8">
        <v>0</v>
      </c>
      <c r="E8">
        <v>1</v>
      </c>
      <c r="F8">
        <v>6</v>
      </c>
      <c r="G8" t="b">
        <v>0</v>
      </c>
      <c r="H8">
        <v>6</v>
      </c>
      <c r="I8">
        <v>1</v>
      </c>
      <c r="J8">
        <v>0.22</v>
      </c>
    </row>
    <row r="9" spans="1:10" x14ac:dyDescent="0.2">
      <c r="A9">
        <v>8</v>
      </c>
      <c r="B9" s="61">
        <v>40544</v>
      </c>
      <c r="C9">
        <v>1</v>
      </c>
      <c r="D9">
        <v>0</v>
      </c>
      <c r="E9">
        <v>1</v>
      </c>
      <c r="F9">
        <v>7</v>
      </c>
      <c r="G9" t="b">
        <v>0</v>
      </c>
      <c r="H9">
        <v>6</v>
      </c>
      <c r="I9">
        <v>1</v>
      </c>
      <c r="J9">
        <v>0.2</v>
      </c>
    </row>
    <row r="10" spans="1:10" x14ac:dyDescent="0.2">
      <c r="A10">
        <v>9</v>
      </c>
      <c r="B10" s="61">
        <v>40544</v>
      </c>
      <c r="C10">
        <v>1</v>
      </c>
      <c r="D10">
        <v>0</v>
      </c>
      <c r="E10">
        <v>1</v>
      </c>
      <c r="F10">
        <v>8</v>
      </c>
      <c r="G10" t="b">
        <v>0</v>
      </c>
      <c r="H10">
        <v>6</v>
      </c>
      <c r="I10">
        <v>1</v>
      </c>
      <c r="J10">
        <v>0.24</v>
      </c>
    </row>
    <row r="11" spans="1:10" x14ac:dyDescent="0.2">
      <c r="A11">
        <v>10</v>
      </c>
      <c r="B11" s="61">
        <v>40544</v>
      </c>
      <c r="C11">
        <v>1</v>
      </c>
      <c r="D11">
        <v>0</v>
      </c>
      <c r="E11">
        <v>1</v>
      </c>
      <c r="F11">
        <v>9</v>
      </c>
      <c r="G11" t="b">
        <v>0</v>
      </c>
      <c r="H11">
        <v>6</v>
      </c>
      <c r="I11">
        <v>1</v>
      </c>
      <c r="J11">
        <v>0.32</v>
      </c>
    </row>
    <row r="12" spans="1:10" x14ac:dyDescent="0.2">
      <c r="A12">
        <v>11</v>
      </c>
      <c r="B12" s="61">
        <v>40544</v>
      </c>
      <c r="C12">
        <v>1</v>
      </c>
      <c r="D12">
        <v>0</v>
      </c>
      <c r="E12">
        <v>1</v>
      </c>
      <c r="F12">
        <v>10</v>
      </c>
      <c r="G12" t="b">
        <v>0</v>
      </c>
      <c r="H12">
        <v>6</v>
      </c>
      <c r="I12">
        <v>1</v>
      </c>
      <c r="J12">
        <v>0.38</v>
      </c>
    </row>
    <row r="13" spans="1:10" x14ac:dyDescent="0.2">
      <c r="A13">
        <v>12</v>
      </c>
      <c r="B13" s="61">
        <v>40544</v>
      </c>
      <c r="C13">
        <v>1</v>
      </c>
      <c r="D13">
        <v>0</v>
      </c>
      <c r="E13">
        <v>1</v>
      </c>
      <c r="F13">
        <v>11</v>
      </c>
      <c r="G13" t="b">
        <v>0</v>
      </c>
      <c r="H13">
        <v>6</v>
      </c>
      <c r="I13">
        <v>1</v>
      </c>
      <c r="J13">
        <v>0.36</v>
      </c>
    </row>
    <row r="14" spans="1:10" x14ac:dyDescent="0.2">
      <c r="A14">
        <v>13</v>
      </c>
      <c r="B14" s="61">
        <v>40544</v>
      </c>
      <c r="C14">
        <v>1</v>
      </c>
      <c r="D14">
        <v>0</v>
      </c>
      <c r="E14">
        <v>1</v>
      </c>
      <c r="F14">
        <v>12</v>
      </c>
      <c r="G14" t="b">
        <v>0</v>
      </c>
      <c r="H14">
        <v>6</v>
      </c>
      <c r="I14">
        <v>1</v>
      </c>
      <c r="J14">
        <v>0.42</v>
      </c>
    </row>
    <row r="15" spans="1:10" x14ac:dyDescent="0.2">
      <c r="A15">
        <v>14</v>
      </c>
      <c r="B15" s="61">
        <v>40544</v>
      </c>
      <c r="C15">
        <v>1</v>
      </c>
      <c r="D15">
        <v>0</v>
      </c>
      <c r="E15">
        <v>1</v>
      </c>
      <c r="F15">
        <v>13</v>
      </c>
      <c r="G15" t="b">
        <v>0</v>
      </c>
      <c r="H15">
        <v>6</v>
      </c>
      <c r="I15">
        <v>2</v>
      </c>
      <c r="J15">
        <v>0.46</v>
      </c>
    </row>
    <row r="16" spans="1:10" x14ac:dyDescent="0.2">
      <c r="A16">
        <v>15</v>
      </c>
      <c r="B16" s="61">
        <v>40544</v>
      </c>
      <c r="C16">
        <v>1</v>
      </c>
      <c r="D16">
        <v>0</v>
      </c>
      <c r="E16">
        <v>1</v>
      </c>
      <c r="F16">
        <v>14</v>
      </c>
      <c r="G16" t="b">
        <v>0</v>
      </c>
      <c r="H16">
        <v>6</v>
      </c>
      <c r="I16">
        <v>2</v>
      </c>
      <c r="J16">
        <v>0.46</v>
      </c>
    </row>
    <row r="17" spans="1:10" x14ac:dyDescent="0.2">
      <c r="A17">
        <v>16</v>
      </c>
      <c r="B17" s="61">
        <v>40544</v>
      </c>
      <c r="C17">
        <v>1</v>
      </c>
      <c r="D17">
        <v>0</v>
      </c>
      <c r="E17">
        <v>1</v>
      </c>
      <c r="F17">
        <v>15</v>
      </c>
      <c r="G17" t="b">
        <v>0</v>
      </c>
      <c r="H17">
        <v>6</v>
      </c>
      <c r="I17">
        <v>2</v>
      </c>
      <c r="J17">
        <v>0.44</v>
      </c>
    </row>
    <row r="18" spans="1:10" x14ac:dyDescent="0.2">
      <c r="A18">
        <v>17</v>
      </c>
      <c r="B18" s="61">
        <v>40544</v>
      </c>
      <c r="C18">
        <v>1</v>
      </c>
      <c r="D18">
        <v>0</v>
      </c>
      <c r="E18">
        <v>1</v>
      </c>
      <c r="F18">
        <v>16</v>
      </c>
      <c r="G18" t="b">
        <v>0</v>
      </c>
      <c r="H18">
        <v>6</v>
      </c>
      <c r="I18">
        <v>2</v>
      </c>
      <c r="J18">
        <v>0.42</v>
      </c>
    </row>
    <row r="19" spans="1:10" x14ac:dyDescent="0.2">
      <c r="A19">
        <v>18</v>
      </c>
      <c r="B19" s="61">
        <v>40544</v>
      </c>
      <c r="C19">
        <v>1</v>
      </c>
      <c r="D19">
        <v>0</v>
      </c>
      <c r="E19">
        <v>1</v>
      </c>
      <c r="F19">
        <v>17</v>
      </c>
      <c r="G19" t="b">
        <v>0</v>
      </c>
      <c r="H19">
        <v>6</v>
      </c>
      <c r="I19">
        <v>2</v>
      </c>
      <c r="J19">
        <v>0.44</v>
      </c>
    </row>
    <row r="20" spans="1:10" x14ac:dyDescent="0.2">
      <c r="A20">
        <v>19</v>
      </c>
      <c r="B20" s="61">
        <v>40544</v>
      </c>
      <c r="C20">
        <v>1</v>
      </c>
      <c r="D20">
        <v>0</v>
      </c>
      <c r="E20">
        <v>1</v>
      </c>
      <c r="F20">
        <v>18</v>
      </c>
      <c r="G20" t="b">
        <v>0</v>
      </c>
      <c r="H20">
        <v>6</v>
      </c>
      <c r="I20">
        <v>3</v>
      </c>
      <c r="J20">
        <v>0.42</v>
      </c>
    </row>
    <row r="21" spans="1:10" x14ac:dyDescent="0.2">
      <c r="A21">
        <v>20</v>
      </c>
      <c r="B21" s="61">
        <v>40544</v>
      </c>
      <c r="C21">
        <v>1</v>
      </c>
      <c r="D21">
        <v>0</v>
      </c>
      <c r="E21">
        <v>1</v>
      </c>
      <c r="F21">
        <v>19</v>
      </c>
      <c r="G21" t="b">
        <v>0</v>
      </c>
      <c r="H21">
        <v>6</v>
      </c>
      <c r="I21">
        <v>3</v>
      </c>
      <c r="J21">
        <v>0.42</v>
      </c>
    </row>
    <row r="22" spans="1:10" x14ac:dyDescent="0.2">
      <c r="A22">
        <v>21</v>
      </c>
      <c r="B22" s="61">
        <v>40544</v>
      </c>
      <c r="C22">
        <v>1</v>
      </c>
      <c r="D22">
        <v>0</v>
      </c>
      <c r="E22">
        <v>1</v>
      </c>
      <c r="F22">
        <v>20</v>
      </c>
      <c r="G22" t="b">
        <v>0</v>
      </c>
      <c r="H22">
        <v>6</v>
      </c>
      <c r="I22">
        <v>2</v>
      </c>
      <c r="J22">
        <v>0.4</v>
      </c>
    </row>
    <row r="23" spans="1:10" x14ac:dyDescent="0.2">
      <c r="A23">
        <v>22</v>
      </c>
      <c r="B23" s="61">
        <v>40544</v>
      </c>
      <c r="C23">
        <v>1</v>
      </c>
      <c r="D23">
        <v>0</v>
      </c>
      <c r="E23">
        <v>1</v>
      </c>
      <c r="F23">
        <v>21</v>
      </c>
      <c r="G23" t="b">
        <v>0</v>
      </c>
      <c r="H23">
        <v>6</v>
      </c>
      <c r="I23">
        <v>2</v>
      </c>
      <c r="J23">
        <v>0.4</v>
      </c>
    </row>
    <row r="24" spans="1:10" x14ac:dyDescent="0.2">
      <c r="A24">
        <v>23</v>
      </c>
      <c r="B24" s="61">
        <v>40544</v>
      </c>
      <c r="C24">
        <v>1</v>
      </c>
      <c r="D24">
        <v>0</v>
      </c>
      <c r="E24">
        <v>1</v>
      </c>
      <c r="F24">
        <v>22</v>
      </c>
      <c r="G24" t="b">
        <v>0</v>
      </c>
      <c r="H24">
        <v>6</v>
      </c>
      <c r="I24">
        <v>2</v>
      </c>
      <c r="J24">
        <v>0.4</v>
      </c>
    </row>
    <row r="25" spans="1:10" x14ac:dyDescent="0.2">
      <c r="A25">
        <v>24</v>
      </c>
      <c r="B25" s="61">
        <v>40544</v>
      </c>
      <c r="C25">
        <v>1</v>
      </c>
      <c r="D25">
        <v>0</v>
      </c>
      <c r="E25">
        <v>1</v>
      </c>
      <c r="F25">
        <v>23</v>
      </c>
      <c r="G25" t="b">
        <v>0</v>
      </c>
      <c r="H25">
        <v>6</v>
      </c>
      <c r="I25">
        <v>2</v>
      </c>
      <c r="J25">
        <v>0.46</v>
      </c>
    </row>
    <row r="26" spans="1:10" x14ac:dyDescent="0.2">
      <c r="A26">
        <v>25</v>
      </c>
      <c r="B26" s="61">
        <v>40545</v>
      </c>
      <c r="C26">
        <v>1</v>
      </c>
      <c r="D26">
        <v>0</v>
      </c>
      <c r="E26">
        <v>1</v>
      </c>
      <c r="F26">
        <v>0</v>
      </c>
      <c r="G26" t="b">
        <v>0</v>
      </c>
      <c r="H26">
        <v>0</v>
      </c>
      <c r="I26">
        <v>2</v>
      </c>
      <c r="J26">
        <v>0.46</v>
      </c>
    </row>
    <row r="27" spans="1:10" x14ac:dyDescent="0.2">
      <c r="A27">
        <v>26</v>
      </c>
      <c r="B27" s="61">
        <v>40545</v>
      </c>
      <c r="C27">
        <v>1</v>
      </c>
      <c r="D27">
        <v>0</v>
      </c>
      <c r="E27">
        <v>1</v>
      </c>
      <c r="F27">
        <v>1</v>
      </c>
      <c r="G27" t="b">
        <v>0</v>
      </c>
      <c r="H27">
        <v>0</v>
      </c>
      <c r="I27">
        <v>2</v>
      </c>
      <c r="J27">
        <v>0.44</v>
      </c>
    </row>
    <row r="28" spans="1:10" x14ac:dyDescent="0.2">
      <c r="A28">
        <v>27</v>
      </c>
      <c r="B28" s="61">
        <v>40545</v>
      </c>
      <c r="C28">
        <v>1</v>
      </c>
      <c r="D28">
        <v>0</v>
      </c>
      <c r="E28">
        <v>1</v>
      </c>
      <c r="F28">
        <v>2</v>
      </c>
      <c r="G28" t="b">
        <v>0</v>
      </c>
      <c r="H28">
        <v>0</v>
      </c>
      <c r="I28">
        <v>2</v>
      </c>
      <c r="J28">
        <v>0.42</v>
      </c>
    </row>
    <row r="29" spans="1:10" x14ac:dyDescent="0.2">
      <c r="A29">
        <v>28</v>
      </c>
      <c r="B29" s="61">
        <v>40545</v>
      </c>
      <c r="C29">
        <v>1</v>
      </c>
      <c r="D29">
        <v>0</v>
      </c>
      <c r="E29">
        <v>1</v>
      </c>
      <c r="F29">
        <v>3</v>
      </c>
      <c r="G29" t="b">
        <v>0</v>
      </c>
      <c r="H29">
        <v>0</v>
      </c>
      <c r="I29">
        <v>2</v>
      </c>
      <c r="J29">
        <v>0.46</v>
      </c>
    </row>
    <row r="30" spans="1:10" x14ac:dyDescent="0.2">
      <c r="A30">
        <v>29</v>
      </c>
      <c r="B30" s="61">
        <v>40545</v>
      </c>
      <c r="C30">
        <v>1</v>
      </c>
      <c r="D30">
        <v>0</v>
      </c>
      <c r="E30">
        <v>1</v>
      </c>
      <c r="F30">
        <v>4</v>
      </c>
      <c r="G30" t="b">
        <v>0</v>
      </c>
      <c r="H30">
        <v>0</v>
      </c>
      <c r="I30">
        <v>2</v>
      </c>
      <c r="J30">
        <v>0.46</v>
      </c>
    </row>
    <row r="31" spans="1:10" x14ac:dyDescent="0.2">
      <c r="A31">
        <v>30</v>
      </c>
      <c r="B31" s="61">
        <v>40545</v>
      </c>
      <c r="C31">
        <v>1</v>
      </c>
      <c r="D31">
        <v>0</v>
      </c>
      <c r="E31">
        <v>1</v>
      </c>
      <c r="F31">
        <v>6</v>
      </c>
      <c r="G31" t="b">
        <v>0</v>
      </c>
      <c r="H31">
        <v>0</v>
      </c>
      <c r="I31">
        <v>3</v>
      </c>
      <c r="J31">
        <v>0.42</v>
      </c>
    </row>
    <row r="32" spans="1:10" x14ac:dyDescent="0.2">
      <c r="A32">
        <v>31</v>
      </c>
      <c r="B32" s="61">
        <v>40545</v>
      </c>
      <c r="C32">
        <v>1</v>
      </c>
      <c r="D32">
        <v>0</v>
      </c>
      <c r="E32">
        <v>1</v>
      </c>
      <c r="F32">
        <v>7</v>
      </c>
      <c r="G32" t="b">
        <v>0</v>
      </c>
      <c r="H32">
        <v>0</v>
      </c>
      <c r="I32">
        <v>2</v>
      </c>
      <c r="J32">
        <v>0.4</v>
      </c>
    </row>
    <row r="33" spans="1:10" x14ac:dyDescent="0.2">
      <c r="A33">
        <v>32</v>
      </c>
      <c r="B33" s="61">
        <v>40545</v>
      </c>
      <c r="C33">
        <v>1</v>
      </c>
      <c r="D33">
        <v>0</v>
      </c>
      <c r="E33">
        <v>1</v>
      </c>
      <c r="F33">
        <v>8</v>
      </c>
      <c r="G33" t="b">
        <v>0</v>
      </c>
      <c r="H33">
        <v>0</v>
      </c>
      <c r="I33">
        <v>3</v>
      </c>
      <c r="J33">
        <v>0.4</v>
      </c>
    </row>
    <row r="34" spans="1:10" x14ac:dyDescent="0.2">
      <c r="A34">
        <v>33</v>
      </c>
      <c r="B34" s="61">
        <v>40545</v>
      </c>
      <c r="C34">
        <v>1</v>
      </c>
      <c r="D34">
        <v>0</v>
      </c>
      <c r="E34">
        <v>1</v>
      </c>
      <c r="F34">
        <v>9</v>
      </c>
      <c r="G34" t="b">
        <v>0</v>
      </c>
      <c r="H34">
        <v>0</v>
      </c>
      <c r="I34">
        <v>2</v>
      </c>
      <c r="J34">
        <v>0.38</v>
      </c>
    </row>
    <row r="35" spans="1:10" x14ac:dyDescent="0.2">
      <c r="A35">
        <v>34</v>
      </c>
      <c r="B35" s="61">
        <v>40545</v>
      </c>
      <c r="C35">
        <v>1</v>
      </c>
      <c r="D35">
        <v>0</v>
      </c>
      <c r="E35">
        <v>1</v>
      </c>
      <c r="F35">
        <v>10</v>
      </c>
      <c r="G35" t="b">
        <v>0</v>
      </c>
      <c r="H35">
        <v>0</v>
      </c>
      <c r="I35">
        <v>2</v>
      </c>
      <c r="J35">
        <v>0.36</v>
      </c>
    </row>
    <row r="36" spans="1:10" x14ac:dyDescent="0.2">
      <c r="A36">
        <v>35</v>
      </c>
      <c r="B36" s="61">
        <v>40545</v>
      </c>
      <c r="C36">
        <v>1</v>
      </c>
      <c r="D36">
        <v>0</v>
      </c>
      <c r="E36">
        <v>1</v>
      </c>
      <c r="F36">
        <v>11</v>
      </c>
      <c r="G36" t="b">
        <v>0</v>
      </c>
      <c r="H36">
        <v>0</v>
      </c>
      <c r="I36">
        <v>2</v>
      </c>
      <c r="J36">
        <v>0.36</v>
      </c>
    </row>
    <row r="37" spans="1:10" x14ac:dyDescent="0.2">
      <c r="A37">
        <v>36</v>
      </c>
      <c r="B37" s="61">
        <v>40545</v>
      </c>
      <c r="C37">
        <v>1</v>
      </c>
      <c r="D37">
        <v>0</v>
      </c>
      <c r="E37">
        <v>1</v>
      </c>
      <c r="F37">
        <v>12</v>
      </c>
      <c r="G37" t="b">
        <v>0</v>
      </c>
      <c r="H37">
        <v>0</v>
      </c>
      <c r="I37">
        <v>2</v>
      </c>
      <c r="J37">
        <v>0.36</v>
      </c>
    </row>
    <row r="38" spans="1:10" x14ac:dyDescent="0.2">
      <c r="A38">
        <v>37</v>
      </c>
      <c r="B38" s="61">
        <v>40545</v>
      </c>
      <c r="C38">
        <v>1</v>
      </c>
      <c r="D38">
        <v>0</v>
      </c>
      <c r="E38">
        <v>1</v>
      </c>
      <c r="F38">
        <v>13</v>
      </c>
      <c r="G38" t="b">
        <v>0</v>
      </c>
      <c r="H38">
        <v>0</v>
      </c>
      <c r="I38">
        <v>2</v>
      </c>
      <c r="J38">
        <v>0.36</v>
      </c>
    </row>
    <row r="39" spans="1:10" x14ac:dyDescent="0.2">
      <c r="A39">
        <v>38</v>
      </c>
      <c r="B39" s="61">
        <v>40545</v>
      </c>
      <c r="C39">
        <v>1</v>
      </c>
      <c r="D39">
        <v>0</v>
      </c>
      <c r="E39">
        <v>1</v>
      </c>
      <c r="F39">
        <v>14</v>
      </c>
      <c r="G39" t="b">
        <v>0</v>
      </c>
      <c r="H39">
        <v>0</v>
      </c>
      <c r="I39">
        <v>3</v>
      </c>
      <c r="J39">
        <v>0.36</v>
      </c>
    </row>
    <row r="40" spans="1:10" x14ac:dyDescent="0.2">
      <c r="A40">
        <v>39</v>
      </c>
      <c r="B40" s="61">
        <v>40545</v>
      </c>
      <c r="C40">
        <v>1</v>
      </c>
      <c r="D40">
        <v>0</v>
      </c>
      <c r="E40">
        <v>1</v>
      </c>
      <c r="F40">
        <v>15</v>
      </c>
      <c r="G40" t="b">
        <v>0</v>
      </c>
      <c r="H40">
        <v>0</v>
      </c>
      <c r="I40">
        <v>3</v>
      </c>
      <c r="J40">
        <v>0.34</v>
      </c>
    </row>
    <row r="41" spans="1:10" x14ac:dyDescent="0.2">
      <c r="A41">
        <v>40</v>
      </c>
      <c r="B41" s="61">
        <v>40545</v>
      </c>
      <c r="C41">
        <v>1</v>
      </c>
      <c r="D41">
        <v>0</v>
      </c>
      <c r="E41">
        <v>1</v>
      </c>
      <c r="F41">
        <v>16</v>
      </c>
      <c r="G41" t="b">
        <v>0</v>
      </c>
      <c r="H41">
        <v>0</v>
      </c>
      <c r="I41">
        <v>3</v>
      </c>
      <c r="J41">
        <v>0.34</v>
      </c>
    </row>
    <row r="42" spans="1:10" x14ac:dyDescent="0.2">
      <c r="A42">
        <v>41</v>
      </c>
      <c r="B42" s="61">
        <v>40545</v>
      </c>
      <c r="C42">
        <v>1</v>
      </c>
      <c r="D42">
        <v>0</v>
      </c>
      <c r="E42">
        <v>1</v>
      </c>
      <c r="F42">
        <v>17</v>
      </c>
      <c r="G42" t="b">
        <v>0</v>
      </c>
      <c r="H42">
        <v>0</v>
      </c>
      <c r="I42">
        <v>1</v>
      </c>
      <c r="J42">
        <v>0.34</v>
      </c>
    </row>
    <row r="43" spans="1:10" x14ac:dyDescent="0.2">
      <c r="A43">
        <v>42</v>
      </c>
      <c r="B43" s="61">
        <v>40545</v>
      </c>
      <c r="C43">
        <v>1</v>
      </c>
      <c r="D43">
        <v>0</v>
      </c>
      <c r="E43">
        <v>1</v>
      </c>
      <c r="F43">
        <v>18</v>
      </c>
      <c r="G43" t="b">
        <v>0</v>
      </c>
      <c r="H43">
        <v>0</v>
      </c>
      <c r="I43">
        <v>2</v>
      </c>
      <c r="J43">
        <v>0.36</v>
      </c>
    </row>
    <row r="44" spans="1:10" x14ac:dyDescent="0.2">
      <c r="A44">
        <v>43</v>
      </c>
      <c r="B44" s="61">
        <v>40545</v>
      </c>
      <c r="C44">
        <v>1</v>
      </c>
      <c r="D44">
        <v>0</v>
      </c>
      <c r="E44">
        <v>1</v>
      </c>
      <c r="F44">
        <v>19</v>
      </c>
      <c r="G44" t="b">
        <v>0</v>
      </c>
      <c r="H44">
        <v>0</v>
      </c>
      <c r="I44">
        <v>1</v>
      </c>
      <c r="J44">
        <v>0.32</v>
      </c>
    </row>
    <row r="45" spans="1:10" x14ac:dyDescent="0.2">
      <c r="A45">
        <v>44</v>
      </c>
      <c r="B45" s="61">
        <v>40545</v>
      </c>
      <c r="C45">
        <v>1</v>
      </c>
      <c r="D45">
        <v>0</v>
      </c>
      <c r="E45">
        <v>1</v>
      </c>
      <c r="F45">
        <v>20</v>
      </c>
      <c r="G45" t="b">
        <v>0</v>
      </c>
      <c r="H45">
        <v>0</v>
      </c>
      <c r="I45">
        <v>1</v>
      </c>
      <c r="J45">
        <v>0.3</v>
      </c>
    </row>
    <row r="46" spans="1:10" x14ac:dyDescent="0.2">
      <c r="A46">
        <v>45</v>
      </c>
      <c r="B46" s="61">
        <v>40545</v>
      </c>
      <c r="C46">
        <v>1</v>
      </c>
      <c r="D46">
        <v>0</v>
      </c>
      <c r="E46">
        <v>1</v>
      </c>
      <c r="F46">
        <v>21</v>
      </c>
      <c r="G46" t="b">
        <v>0</v>
      </c>
      <c r="H46">
        <v>0</v>
      </c>
      <c r="I46">
        <v>1</v>
      </c>
      <c r="J46">
        <v>0.26</v>
      </c>
    </row>
    <row r="47" spans="1:10" x14ac:dyDescent="0.2">
      <c r="A47">
        <v>46</v>
      </c>
      <c r="B47" s="61">
        <v>40545</v>
      </c>
      <c r="C47">
        <v>1</v>
      </c>
      <c r="D47">
        <v>0</v>
      </c>
      <c r="E47">
        <v>1</v>
      </c>
      <c r="F47">
        <v>22</v>
      </c>
      <c r="G47" t="b">
        <v>0</v>
      </c>
      <c r="H47">
        <v>0</v>
      </c>
      <c r="I47">
        <v>1</v>
      </c>
      <c r="J47">
        <v>0.24</v>
      </c>
    </row>
    <row r="48" spans="1:10" x14ac:dyDescent="0.2">
      <c r="A48">
        <v>47</v>
      </c>
      <c r="B48" s="61">
        <v>40545</v>
      </c>
      <c r="C48">
        <v>1</v>
      </c>
      <c r="D48">
        <v>0</v>
      </c>
      <c r="E48">
        <v>1</v>
      </c>
      <c r="F48">
        <v>23</v>
      </c>
      <c r="G48" t="b">
        <v>0</v>
      </c>
      <c r="H48">
        <v>0</v>
      </c>
      <c r="I48">
        <v>1</v>
      </c>
      <c r="J48">
        <v>0.22</v>
      </c>
    </row>
    <row r="49" spans="1:10" x14ac:dyDescent="0.2">
      <c r="A49">
        <v>48</v>
      </c>
      <c r="B49" s="61">
        <v>40546</v>
      </c>
      <c r="C49">
        <v>1</v>
      </c>
      <c r="D49">
        <v>0</v>
      </c>
      <c r="E49">
        <v>1</v>
      </c>
      <c r="F49">
        <v>0</v>
      </c>
      <c r="G49" t="b">
        <v>0</v>
      </c>
      <c r="H49">
        <v>1</v>
      </c>
      <c r="I49">
        <v>1</v>
      </c>
      <c r="J49">
        <v>0.22</v>
      </c>
    </row>
    <row r="50" spans="1:10" x14ac:dyDescent="0.2">
      <c r="A50">
        <v>49</v>
      </c>
      <c r="B50" s="61">
        <v>40546</v>
      </c>
      <c r="C50">
        <v>1</v>
      </c>
      <c r="D50">
        <v>0</v>
      </c>
      <c r="E50">
        <v>1</v>
      </c>
      <c r="F50">
        <v>1</v>
      </c>
      <c r="G50" t="b">
        <v>0</v>
      </c>
      <c r="H50">
        <v>1</v>
      </c>
      <c r="I50">
        <v>1</v>
      </c>
      <c r="J50">
        <v>0.2</v>
      </c>
    </row>
    <row r="51" spans="1:10" x14ac:dyDescent="0.2">
      <c r="A51">
        <v>50</v>
      </c>
      <c r="B51" s="61">
        <v>40546</v>
      </c>
      <c r="C51">
        <v>1</v>
      </c>
      <c r="D51">
        <v>0</v>
      </c>
      <c r="E51">
        <v>1</v>
      </c>
      <c r="F51">
        <v>4</v>
      </c>
      <c r="G51" t="b">
        <v>0</v>
      </c>
      <c r="H51">
        <v>1</v>
      </c>
      <c r="I51">
        <v>1</v>
      </c>
      <c r="J51">
        <v>0.16</v>
      </c>
    </row>
    <row r="52" spans="1:10" x14ac:dyDescent="0.2">
      <c r="A52">
        <v>51</v>
      </c>
      <c r="B52" s="61">
        <v>40546</v>
      </c>
      <c r="C52">
        <v>1</v>
      </c>
      <c r="D52">
        <v>0</v>
      </c>
      <c r="E52">
        <v>1</v>
      </c>
      <c r="F52">
        <v>5</v>
      </c>
      <c r="G52" t="b">
        <v>0</v>
      </c>
      <c r="H52">
        <v>1</v>
      </c>
      <c r="I52">
        <v>1</v>
      </c>
      <c r="J52">
        <v>0.16</v>
      </c>
    </row>
    <row r="53" spans="1:10" x14ac:dyDescent="0.2">
      <c r="A53">
        <v>52</v>
      </c>
      <c r="B53" s="61">
        <v>40546</v>
      </c>
      <c r="C53">
        <v>1</v>
      </c>
      <c r="D53">
        <v>0</v>
      </c>
      <c r="E53">
        <v>1</v>
      </c>
      <c r="F53">
        <v>6</v>
      </c>
      <c r="G53" t="b">
        <v>0</v>
      </c>
      <c r="H53">
        <v>1</v>
      </c>
      <c r="I53">
        <v>1</v>
      </c>
      <c r="J53">
        <v>0.14000000000000001</v>
      </c>
    </row>
    <row r="54" spans="1:10" x14ac:dyDescent="0.2">
      <c r="A54">
        <v>53</v>
      </c>
      <c r="B54" s="61">
        <v>40546</v>
      </c>
      <c r="C54">
        <v>1</v>
      </c>
      <c r="D54">
        <v>0</v>
      </c>
      <c r="E54">
        <v>1</v>
      </c>
      <c r="F54">
        <v>7</v>
      </c>
      <c r="G54" t="b">
        <v>0</v>
      </c>
      <c r="H54">
        <v>1</v>
      </c>
      <c r="I54">
        <v>1</v>
      </c>
      <c r="J54">
        <v>0.14000000000000001</v>
      </c>
    </row>
    <row r="55" spans="1:10" x14ac:dyDescent="0.2">
      <c r="A55">
        <v>54</v>
      </c>
      <c r="B55" s="61">
        <v>40546</v>
      </c>
      <c r="C55">
        <v>1</v>
      </c>
      <c r="D55">
        <v>0</v>
      </c>
      <c r="E55">
        <v>1</v>
      </c>
      <c r="F55">
        <v>8</v>
      </c>
      <c r="G55" t="b">
        <v>0</v>
      </c>
      <c r="H55">
        <v>1</v>
      </c>
      <c r="I55">
        <v>1</v>
      </c>
      <c r="J55">
        <v>0.14000000000000001</v>
      </c>
    </row>
    <row r="56" spans="1:10" x14ac:dyDescent="0.2">
      <c r="A56">
        <v>55</v>
      </c>
      <c r="B56" s="61">
        <v>40546</v>
      </c>
      <c r="C56">
        <v>1</v>
      </c>
      <c r="D56">
        <v>0</v>
      </c>
      <c r="E56">
        <v>1</v>
      </c>
      <c r="F56">
        <v>9</v>
      </c>
      <c r="G56" t="b">
        <v>0</v>
      </c>
      <c r="H56">
        <v>1</v>
      </c>
      <c r="I56">
        <v>1</v>
      </c>
      <c r="J56">
        <v>0.16</v>
      </c>
    </row>
    <row r="57" spans="1:10" x14ac:dyDescent="0.2">
      <c r="A57">
        <v>56</v>
      </c>
      <c r="B57" s="61">
        <v>40546</v>
      </c>
      <c r="C57">
        <v>1</v>
      </c>
      <c r="D57">
        <v>0</v>
      </c>
      <c r="E57">
        <v>1</v>
      </c>
      <c r="F57">
        <v>10</v>
      </c>
      <c r="G57" t="b">
        <v>0</v>
      </c>
      <c r="H57">
        <v>1</v>
      </c>
      <c r="I57">
        <v>1</v>
      </c>
      <c r="J57">
        <v>0.18</v>
      </c>
    </row>
    <row r="58" spans="1:10" x14ac:dyDescent="0.2">
      <c r="A58">
        <v>57</v>
      </c>
      <c r="B58" s="61">
        <v>40546</v>
      </c>
      <c r="C58">
        <v>1</v>
      </c>
      <c r="D58">
        <v>0</v>
      </c>
      <c r="E58">
        <v>1</v>
      </c>
      <c r="F58">
        <v>11</v>
      </c>
      <c r="G58" t="b">
        <v>0</v>
      </c>
      <c r="H58">
        <v>1</v>
      </c>
      <c r="I58">
        <v>1</v>
      </c>
      <c r="J58">
        <v>0.2</v>
      </c>
    </row>
    <row r="59" spans="1:10" x14ac:dyDescent="0.2">
      <c r="A59">
        <v>58</v>
      </c>
      <c r="B59" s="61">
        <v>40546</v>
      </c>
      <c r="C59">
        <v>1</v>
      </c>
      <c r="D59">
        <v>0</v>
      </c>
      <c r="E59">
        <v>1</v>
      </c>
      <c r="F59">
        <v>12</v>
      </c>
      <c r="G59" t="b">
        <v>0</v>
      </c>
      <c r="H59">
        <v>1</v>
      </c>
      <c r="I59">
        <v>1</v>
      </c>
      <c r="J59">
        <v>0.22</v>
      </c>
    </row>
    <row r="60" spans="1:10" x14ac:dyDescent="0.2">
      <c r="A60">
        <v>59</v>
      </c>
      <c r="B60" s="61">
        <v>40546</v>
      </c>
      <c r="C60">
        <v>1</v>
      </c>
      <c r="D60">
        <v>0</v>
      </c>
      <c r="E60">
        <v>1</v>
      </c>
      <c r="F60">
        <v>13</v>
      </c>
      <c r="G60" t="b">
        <v>0</v>
      </c>
      <c r="H60">
        <v>1</v>
      </c>
      <c r="I60">
        <v>1</v>
      </c>
      <c r="J60">
        <v>0.24</v>
      </c>
    </row>
    <row r="61" spans="1:10" x14ac:dyDescent="0.2">
      <c r="A61">
        <v>60</v>
      </c>
      <c r="B61" s="61">
        <v>40546</v>
      </c>
      <c r="C61">
        <v>1</v>
      </c>
      <c r="D61">
        <v>0</v>
      </c>
      <c r="E61">
        <v>1</v>
      </c>
      <c r="F61">
        <v>14</v>
      </c>
      <c r="G61" t="b">
        <v>0</v>
      </c>
      <c r="H61">
        <v>1</v>
      </c>
      <c r="I61">
        <v>1</v>
      </c>
      <c r="J61">
        <v>0.26</v>
      </c>
    </row>
    <row r="62" spans="1:10" x14ac:dyDescent="0.2">
      <c r="A62">
        <v>61</v>
      </c>
      <c r="B62" s="61">
        <v>40546</v>
      </c>
      <c r="C62">
        <v>1</v>
      </c>
      <c r="D62">
        <v>0</v>
      </c>
      <c r="E62">
        <v>1</v>
      </c>
      <c r="F62">
        <v>15</v>
      </c>
      <c r="G62" t="b">
        <v>0</v>
      </c>
      <c r="H62">
        <v>1</v>
      </c>
      <c r="I62">
        <v>1</v>
      </c>
      <c r="J62">
        <v>0.26</v>
      </c>
    </row>
    <row r="63" spans="1:10" x14ac:dyDescent="0.2">
      <c r="A63">
        <v>62</v>
      </c>
      <c r="B63" s="61">
        <v>40546</v>
      </c>
      <c r="C63">
        <v>1</v>
      </c>
      <c r="D63">
        <v>0</v>
      </c>
      <c r="E63">
        <v>1</v>
      </c>
      <c r="F63">
        <v>16</v>
      </c>
      <c r="G63" t="b">
        <v>0</v>
      </c>
      <c r="H63">
        <v>1</v>
      </c>
      <c r="I63">
        <v>1</v>
      </c>
      <c r="J63">
        <v>0.26</v>
      </c>
    </row>
    <row r="64" spans="1:10" x14ac:dyDescent="0.2">
      <c r="A64">
        <v>63</v>
      </c>
      <c r="B64" s="61">
        <v>40546</v>
      </c>
      <c r="C64">
        <v>1</v>
      </c>
      <c r="D64">
        <v>0</v>
      </c>
      <c r="E64">
        <v>1</v>
      </c>
      <c r="F64">
        <v>17</v>
      </c>
      <c r="G64" t="b">
        <v>0</v>
      </c>
      <c r="H64">
        <v>1</v>
      </c>
      <c r="I64">
        <v>1</v>
      </c>
      <c r="J64">
        <v>0.24</v>
      </c>
    </row>
    <row r="65" spans="1:10" x14ac:dyDescent="0.2">
      <c r="A65">
        <v>64</v>
      </c>
      <c r="B65" s="61">
        <v>40546</v>
      </c>
      <c r="C65">
        <v>1</v>
      </c>
      <c r="D65">
        <v>0</v>
      </c>
      <c r="E65">
        <v>1</v>
      </c>
      <c r="F65">
        <v>18</v>
      </c>
      <c r="G65" t="b">
        <v>0</v>
      </c>
      <c r="H65">
        <v>1</v>
      </c>
      <c r="I65">
        <v>1</v>
      </c>
      <c r="J65">
        <v>0.24</v>
      </c>
    </row>
    <row r="66" spans="1:10" x14ac:dyDescent="0.2">
      <c r="A66">
        <v>65</v>
      </c>
      <c r="B66" s="61">
        <v>40546</v>
      </c>
      <c r="C66">
        <v>1</v>
      </c>
      <c r="D66">
        <v>0</v>
      </c>
      <c r="E66">
        <v>1</v>
      </c>
      <c r="F66">
        <v>19</v>
      </c>
      <c r="G66" t="b">
        <v>0</v>
      </c>
      <c r="H66">
        <v>1</v>
      </c>
      <c r="I66">
        <v>1</v>
      </c>
      <c r="J66">
        <v>0.2</v>
      </c>
    </row>
    <row r="67" spans="1:10" x14ac:dyDescent="0.2">
      <c r="A67">
        <v>66</v>
      </c>
      <c r="B67" s="61">
        <v>40546</v>
      </c>
      <c r="C67">
        <v>1</v>
      </c>
      <c r="D67">
        <v>0</v>
      </c>
      <c r="E67">
        <v>1</v>
      </c>
      <c r="F67">
        <v>20</v>
      </c>
      <c r="G67" t="b">
        <v>0</v>
      </c>
      <c r="H67">
        <v>1</v>
      </c>
      <c r="I67">
        <v>1</v>
      </c>
      <c r="J67">
        <v>0.2</v>
      </c>
    </row>
    <row r="68" spans="1:10" x14ac:dyDescent="0.2">
      <c r="A68">
        <v>67</v>
      </c>
      <c r="B68" s="61">
        <v>40546</v>
      </c>
      <c r="C68">
        <v>1</v>
      </c>
      <c r="D68">
        <v>0</v>
      </c>
      <c r="E68">
        <v>1</v>
      </c>
      <c r="F68">
        <v>21</v>
      </c>
      <c r="G68" t="b">
        <v>0</v>
      </c>
      <c r="H68">
        <v>1</v>
      </c>
      <c r="I68">
        <v>1</v>
      </c>
      <c r="J68">
        <v>0.18</v>
      </c>
    </row>
    <row r="69" spans="1:10" x14ac:dyDescent="0.2">
      <c r="A69">
        <v>68</v>
      </c>
      <c r="B69" s="61">
        <v>40546</v>
      </c>
      <c r="C69">
        <v>1</v>
      </c>
      <c r="D69">
        <v>0</v>
      </c>
      <c r="E69">
        <v>1</v>
      </c>
      <c r="F69">
        <v>22</v>
      </c>
      <c r="G69" t="b">
        <v>0</v>
      </c>
      <c r="H69">
        <v>1</v>
      </c>
      <c r="I69">
        <v>1</v>
      </c>
      <c r="J69">
        <v>0.14000000000000001</v>
      </c>
    </row>
    <row r="70" spans="1:10" x14ac:dyDescent="0.2">
      <c r="A70">
        <v>69</v>
      </c>
      <c r="B70" s="61">
        <v>40546</v>
      </c>
      <c r="C70">
        <v>1</v>
      </c>
      <c r="D70">
        <v>0</v>
      </c>
      <c r="E70">
        <v>1</v>
      </c>
      <c r="F70">
        <v>23</v>
      </c>
      <c r="G70" t="b">
        <v>0</v>
      </c>
      <c r="H70">
        <v>1</v>
      </c>
      <c r="I70">
        <v>1</v>
      </c>
      <c r="J70">
        <v>0.18</v>
      </c>
    </row>
    <row r="71" spans="1:10" x14ac:dyDescent="0.2">
      <c r="A71">
        <v>70</v>
      </c>
      <c r="B71" s="61">
        <v>40547</v>
      </c>
      <c r="C71">
        <v>1</v>
      </c>
      <c r="D71">
        <v>0</v>
      </c>
      <c r="E71">
        <v>1</v>
      </c>
      <c r="F71">
        <v>0</v>
      </c>
      <c r="G71" t="b">
        <v>0</v>
      </c>
      <c r="H71">
        <v>2</v>
      </c>
      <c r="I71">
        <v>1</v>
      </c>
      <c r="J71">
        <v>0.16</v>
      </c>
    </row>
    <row r="72" spans="1:10" x14ac:dyDescent="0.2">
      <c r="A72">
        <v>71</v>
      </c>
      <c r="B72" s="61">
        <v>40547</v>
      </c>
      <c r="C72">
        <v>1</v>
      </c>
      <c r="D72">
        <v>0</v>
      </c>
      <c r="E72">
        <v>1</v>
      </c>
      <c r="F72">
        <v>1</v>
      </c>
      <c r="G72" t="b">
        <v>0</v>
      </c>
      <c r="H72">
        <v>2</v>
      </c>
      <c r="I72">
        <v>1</v>
      </c>
      <c r="J72">
        <v>0.16</v>
      </c>
    </row>
    <row r="73" spans="1:10" x14ac:dyDescent="0.2">
      <c r="A73">
        <v>72</v>
      </c>
      <c r="B73" s="61">
        <v>40547</v>
      </c>
      <c r="C73">
        <v>1</v>
      </c>
      <c r="D73">
        <v>0</v>
      </c>
      <c r="E73">
        <v>1</v>
      </c>
      <c r="F73">
        <v>2</v>
      </c>
      <c r="G73" t="b">
        <v>0</v>
      </c>
      <c r="H73">
        <v>2</v>
      </c>
      <c r="I73">
        <v>1</v>
      </c>
      <c r="J73">
        <v>0.14000000000000001</v>
      </c>
    </row>
    <row r="74" spans="1:10" x14ac:dyDescent="0.2">
      <c r="A74">
        <v>73</v>
      </c>
      <c r="B74" s="61">
        <v>40547</v>
      </c>
      <c r="C74">
        <v>1</v>
      </c>
      <c r="D74">
        <v>0</v>
      </c>
      <c r="E74">
        <v>1</v>
      </c>
      <c r="F74">
        <v>4</v>
      </c>
      <c r="G74" t="b">
        <v>0</v>
      </c>
      <c r="H74">
        <v>2</v>
      </c>
      <c r="I74">
        <v>1</v>
      </c>
      <c r="J74">
        <v>0.14000000000000001</v>
      </c>
    </row>
    <row r="75" spans="1:10" x14ac:dyDescent="0.2">
      <c r="A75">
        <v>74</v>
      </c>
      <c r="B75" s="61">
        <v>40547</v>
      </c>
      <c r="C75">
        <v>1</v>
      </c>
      <c r="D75">
        <v>0</v>
      </c>
      <c r="E75">
        <v>1</v>
      </c>
      <c r="F75">
        <v>5</v>
      </c>
      <c r="G75" t="b">
        <v>0</v>
      </c>
      <c r="H75">
        <v>2</v>
      </c>
      <c r="I75">
        <v>1</v>
      </c>
      <c r="J75">
        <v>0.12</v>
      </c>
    </row>
    <row r="76" spans="1:10" x14ac:dyDescent="0.2">
      <c r="A76">
        <v>75</v>
      </c>
      <c r="B76" s="61">
        <v>40547</v>
      </c>
      <c r="C76">
        <v>1</v>
      </c>
      <c r="D76">
        <v>0</v>
      </c>
      <c r="E76">
        <v>1</v>
      </c>
      <c r="F76">
        <v>6</v>
      </c>
      <c r="G76" t="b">
        <v>0</v>
      </c>
      <c r="H76">
        <v>2</v>
      </c>
      <c r="I76">
        <v>1</v>
      </c>
      <c r="J76">
        <v>0.12</v>
      </c>
    </row>
    <row r="77" spans="1:10" x14ac:dyDescent="0.2">
      <c r="A77">
        <v>76</v>
      </c>
      <c r="B77" s="61">
        <v>40547</v>
      </c>
      <c r="C77">
        <v>1</v>
      </c>
      <c r="D77">
        <v>0</v>
      </c>
      <c r="E77">
        <v>1</v>
      </c>
      <c r="F77">
        <v>7</v>
      </c>
      <c r="G77" t="b">
        <v>0</v>
      </c>
      <c r="H77">
        <v>2</v>
      </c>
      <c r="I77">
        <v>1</v>
      </c>
      <c r="J77">
        <v>0.12</v>
      </c>
    </row>
    <row r="78" spans="1:10" x14ac:dyDescent="0.2">
      <c r="A78">
        <v>77</v>
      </c>
      <c r="B78" s="61">
        <v>40547</v>
      </c>
      <c r="C78">
        <v>1</v>
      </c>
      <c r="D78">
        <v>0</v>
      </c>
      <c r="E78">
        <v>1</v>
      </c>
      <c r="F78">
        <v>8</v>
      </c>
      <c r="G78" t="b">
        <v>0</v>
      </c>
      <c r="H78">
        <v>2</v>
      </c>
      <c r="I78">
        <v>1</v>
      </c>
      <c r="J78">
        <v>0.14000000000000001</v>
      </c>
    </row>
    <row r="79" spans="1:10" x14ac:dyDescent="0.2">
      <c r="A79">
        <v>78</v>
      </c>
      <c r="B79" s="61">
        <v>40547</v>
      </c>
      <c r="C79">
        <v>1</v>
      </c>
      <c r="D79">
        <v>0</v>
      </c>
      <c r="E79">
        <v>1</v>
      </c>
      <c r="F79">
        <v>9</v>
      </c>
      <c r="G79" t="b">
        <v>0</v>
      </c>
      <c r="H79">
        <v>2</v>
      </c>
      <c r="I79">
        <v>1</v>
      </c>
      <c r="J79">
        <v>0.16</v>
      </c>
    </row>
    <row r="80" spans="1:10" x14ac:dyDescent="0.2">
      <c r="A80">
        <v>79</v>
      </c>
      <c r="B80" s="61">
        <v>40547</v>
      </c>
      <c r="C80">
        <v>1</v>
      </c>
      <c r="D80">
        <v>0</v>
      </c>
      <c r="E80">
        <v>1</v>
      </c>
      <c r="F80">
        <v>10</v>
      </c>
      <c r="G80" t="b">
        <v>0</v>
      </c>
      <c r="H80">
        <v>2</v>
      </c>
      <c r="I80">
        <v>2</v>
      </c>
      <c r="J80">
        <v>0.16</v>
      </c>
    </row>
    <row r="81" spans="1:10" x14ac:dyDescent="0.2">
      <c r="A81">
        <v>80</v>
      </c>
      <c r="B81" s="61">
        <v>40547</v>
      </c>
      <c r="C81">
        <v>1</v>
      </c>
      <c r="D81">
        <v>0</v>
      </c>
      <c r="E81">
        <v>1</v>
      </c>
      <c r="F81">
        <v>11</v>
      </c>
      <c r="G81" t="b">
        <v>0</v>
      </c>
      <c r="H81">
        <v>2</v>
      </c>
      <c r="I81">
        <v>1</v>
      </c>
      <c r="J81">
        <v>0.22</v>
      </c>
    </row>
    <row r="82" spans="1:10" x14ac:dyDescent="0.2">
      <c r="A82">
        <v>81</v>
      </c>
      <c r="B82" s="61">
        <v>40547</v>
      </c>
      <c r="C82">
        <v>1</v>
      </c>
      <c r="D82">
        <v>0</v>
      </c>
      <c r="E82">
        <v>1</v>
      </c>
      <c r="F82">
        <v>12</v>
      </c>
      <c r="G82" t="b">
        <v>0</v>
      </c>
      <c r="H82">
        <v>2</v>
      </c>
      <c r="I82">
        <v>1</v>
      </c>
      <c r="J82">
        <v>0.22</v>
      </c>
    </row>
    <row r="83" spans="1:10" x14ac:dyDescent="0.2">
      <c r="A83">
        <v>82</v>
      </c>
      <c r="B83" s="61">
        <v>40547</v>
      </c>
      <c r="C83">
        <v>1</v>
      </c>
      <c r="D83">
        <v>0</v>
      </c>
      <c r="E83">
        <v>1</v>
      </c>
      <c r="F83">
        <v>13</v>
      </c>
      <c r="G83" t="b">
        <v>0</v>
      </c>
      <c r="H83">
        <v>2</v>
      </c>
      <c r="I83">
        <v>1</v>
      </c>
      <c r="J83">
        <v>0.24</v>
      </c>
    </row>
    <row r="84" spans="1:10" x14ac:dyDescent="0.2">
      <c r="A84">
        <v>83</v>
      </c>
      <c r="B84" s="61">
        <v>40547</v>
      </c>
      <c r="C84">
        <v>1</v>
      </c>
      <c r="D84">
        <v>0</v>
      </c>
      <c r="E84">
        <v>1</v>
      </c>
      <c r="F84">
        <v>14</v>
      </c>
      <c r="G84" t="b">
        <v>0</v>
      </c>
      <c r="H84">
        <v>2</v>
      </c>
      <c r="I84">
        <v>1</v>
      </c>
      <c r="J84">
        <v>0.26</v>
      </c>
    </row>
    <row r="85" spans="1:10" x14ac:dyDescent="0.2">
      <c r="A85">
        <v>84</v>
      </c>
      <c r="B85" s="61">
        <v>40547</v>
      </c>
      <c r="C85">
        <v>1</v>
      </c>
      <c r="D85">
        <v>0</v>
      </c>
      <c r="E85">
        <v>1</v>
      </c>
      <c r="F85">
        <v>15</v>
      </c>
      <c r="G85" t="b">
        <v>0</v>
      </c>
      <c r="H85">
        <v>2</v>
      </c>
      <c r="I85">
        <v>1</v>
      </c>
      <c r="J85">
        <v>0.28000000000000003</v>
      </c>
    </row>
    <row r="86" spans="1:10" x14ac:dyDescent="0.2">
      <c r="A86">
        <v>85</v>
      </c>
      <c r="B86" s="61">
        <v>40547</v>
      </c>
      <c r="C86">
        <v>1</v>
      </c>
      <c r="D86">
        <v>0</v>
      </c>
      <c r="E86">
        <v>1</v>
      </c>
      <c r="F86">
        <v>16</v>
      </c>
      <c r="G86" t="b">
        <v>0</v>
      </c>
      <c r="H86">
        <v>2</v>
      </c>
      <c r="I86">
        <v>1</v>
      </c>
      <c r="J86">
        <v>0.3</v>
      </c>
    </row>
    <row r="87" spans="1:10" x14ac:dyDescent="0.2">
      <c r="A87">
        <v>86</v>
      </c>
      <c r="B87" s="61">
        <v>40547</v>
      </c>
      <c r="C87">
        <v>1</v>
      </c>
      <c r="D87">
        <v>0</v>
      </c>
      <c r="E87">
        <v>1</v>
      </c>
      <c r="F87">
        <v>17</v>
      </c>
      <c r="G87" t="b">
        <v>0</v>
      </c>
      <c r="H87">
        <v>2</v>
      </c>
      <c r="I87">
        <v>1</v>
      </c>
      <c r="J87">
        <v>0.28000000000000003</v>
      </c>
    </row>
    <row r="88" spans="1:10" x14ac:dyDescent="0.2">
      <c r="A88">
        <v>87</v>
      </c>
      <c r="B88" s="61">
        <v>40547</v>
      </c>
      <c r="C88">
        <v>1</v>
      </c>
      <c r="D88">
        <v>0</v>
      </c>
      <c r="E88">
        <v>1</v>
      </c>
      <c r="F88">
        <v>18</v>
      </c>
      <c r="G88" t="b">
        <v>0</v>
      </c>
      <c r="H88">
        <v>2</v>
      </c>
      <c r="I88">
        <v>1</v>
      </c>
      <c r="J88">
        <v>0.26</v>
      </c>
    </row>
    <row r="89" spans="1:10" x14ac:dyDescent="0.2">
      <c r="A89">
        <v>88</v>
      </c>
      <c r="B89" s="61">
        <v>40547</v>
      </c>
      <c r="C89">
        <v>1</v>
      </c>
      <c r="D89">
        <v>0</v>
      </c>
      <c r="E89">
        <v>1</v>
      </c>
      <c r="F89">
        <v>19</v>
      </c>
      <c r="G89" t="b">
        <v>0</v>
      </c>
      <c r="H89">
        <v>2</v>
      </c>
      <c r="I89">
        <v>1</v>
      </c>
      <c r="J89">
        <v>0.24</v>
      </c>
    </row>
    <row r="90" spans="1:10" x14ac:dyDescent="0.2">
      <c r="A90">
        <v>89</v>
      </c>
      <c r="B90" s="61">
        <v>40547</v>
      </c>
      <c r="C90">
        <v>1</v>
      </c>
      <c r="D90">
        <v>0</v>
      </c>
      <c r="E90">
        <v>1</v>
      </c>
      <c r="F90">
        <v>20</v>
      </c>
      <c r="G90" t="b">
        <v>0</v>
      </c>
      <c r="H90">
        <v>2</v>
      </c>
      <c r="I90">
        <v>1</v>
      </c>
      <c r="J90">
        <v>0.24</v>
      </c>
    </row>
    <row r="91" spans="1:10" x14ac:dyDescent="0.2">
      <c r="A91">
        <v>90</v>
      </c>
      <c r="B91" s="61">
        <v>40547</v>
      </c>
      <c r="C91">
        <v>1</v>
      </c>
      <c r="D91">
        <v>0</v>
      </c>
      <c r="E91">
        <v>1</v>
      </c>
      <c r="F91">
        <v>21</v>
      </c>
      <c r="G91" t="b">
        <v>0</v>
      </c>
      <c r="H91">
        <v>2</v>
      </c>
      <c r="I91">
        <v>1</v>
      </c>
      <c r="J91">
        <v>0.22</v>
      </c>
    </row>
    <row r="92" spans="1:10" x14ac:dyDescent="0.2">
      <c r="A92">
        <v>91</v>
      </c>
      <c r="B92" s="61">
        <v>40547</v>
      </c>
      <c r="C92">
        <v>1</v>
      </c>
      <c r="D92">
        <v>0</v>
      </c>
      <c r="E92">
        <v>1</v>
      </c>
      <c r="F92">
        <v>22</v>
      </c>
      <c r="G92" t="b">
        <v>0</v>
      </c>
      <c r="H92">
        <v>2</v>
      </c>
      <c r="I92">
        <v>1</v>
      </c>
      <c r="J92">
        <v>0.22</v>
      </c>
    </row>
    <row r="93" spans="1:10" x14ac:dyDescent="0.2">
      <c r="A93">
        <v>92</v>
      </c>
      <c r="B93" s="61">
        <v>40547</v>
      </c>
      <c r="C93">
        <v>1</v>
      </c>
      <c r="D93">
        <v>0</v>
      </c>
      <c r="E93">
        <v>1</v>
      </c>
      <c r="F93">
        <v>23</v>
      </c>
      <c r="G93" t="b">
        <v>0</v>
      </c>
      <c r="H93">
        <v>2</v>
      </c>
      <c r="I93">
        <v>1</v>
      </c>
      <c r="J93">
        <v>0.2</v>
      </c>
    </row>
    <row r="94" spans="1:10" x14ac:dyDescent="0.2">
      <c r="A94">
        <v>93</v>
      </c>
      <c r="B94" s="61">
        <v>40548</v>
      </c>
      <c r="C94">
        <v>1</v>
      </c>
      <c r="D94">
        <v>0</v>
      </c>
      <c r="E94">
        <v>1</v>
      </c>
      <c r="F94">
        <v>0</v>
      </c>
      <c r="G94" t="b">
        <v>0</v>
      </c>
      <c r="H94">
        <v>3</v>
      </c>
      <c r="I94">
        <v>1</v>
      </c>
      <c r="J94">
        <v>0.2</v>
      </c>
    </row>
    <row r="95" spans="1:10" x14ac:dyDescent="0.2">
      <c r="A95">
        <v>94</v>
      </c>
      <c r="B95" s="61">
        <v>40548</v>
      </c>
      <c r="C95">
        <v>1</v>
      </c>
      <c r="D95">
        <v>0</v>
      </c>
      <c r="E95">
        <v>1</v>
      </c>
      <c r="F95">
        <v>1</v>
      </c>
      <c r="G95" t="b">
        <v>0</v>
      </c>
      <c r="H95">
        <v>3</v>
      </c>
      <c r="I95">
        <v>1</v>
      </c>
      <c r="J95">
        <v>0.16</v>
      </c>
    </row>
    <row r="96" spans="1:10" x14ac:dyDescent="0.2">
      <c r="A96">
        <v>95</v>
      </c>
      <c r="B96" s="61">
        <v>40548</v>
      </c>
      <c r="C96">
        <v>1</v>
      </c>
      <c r="D96">
        <v>0</v>
      </c>
      <c r="E96">
        <v>1</v>
      </c>
      <c r="F96">
        <v>2</v>
      </c>
      <c r="G96" t="b">
        <v>0</v>
      </c>
      <c r="H96">
        <v>3</v>
      </c>
      <c r="I96">
        <v>1</v>
      </c>
      <c r="J96">
        <v>0.16</v>
      </c>
    </row>
    <row r="97" spans="1:10" x14ac:dyDescent="0.2">
      <c r="A97">
        <v>96</v>
      </c>
      <c r="B97" s="61">
        <v>40548</v>
      </c>
      <c r="C97">
        <v>1</v>
      </c>
      <c r="D97">
        <v>0</v>
      </c>
      <c r="E97">
        <v>1</v>
      </c>
      <c r="F97">
        <v>4</v>
      </c>
      <c r="G97" t="b">
        <v>0</v>
      </c>
      <c r="H97">
        <v>3</v>
      </c>
      <c r="I97">
        <v>1</v>
      </c>
      <c r="J97">
        <v>0.24</v>
      </c>
    </row>
    <row r="98" spans="1:10" x14ac:dyDescent="0.2">
      <c r="A98">
        <v>97</v>
      </c>
      <c r="B98" s="61">
        <v>40548</v>
      </c>
      <c r="C98">
        <v>1</v>
      </c>
      <c r="D98">
        <v>0</v>
      </c>
      <c r="E98">
        <v>1</v>
      </c>
      <c r="F98">
        <v>5</v>
      </c>
      <c r="G98" t="b">
        <v>0</v>
      </c>
      <c r="H98">
        <v>3</v>
      </c>
      <c r="I98">
        <v>1</v>
      </c>
      <c r="J98">
        <v>0.22</v>
      </c>
    </row>
    <row r="99" spans="1:10" x14ac:dyDescent="0.2">
      <c r="A99">
        <v>98</v>
      </c>
      <c r="B99" s="61">
        <v>40548</v>
      </c>
      <c r="C99">
        <v>1</v>
      </c>
      <c r="D99">
        <v>0</v>
      </c>
      <c r="E99">
        <v>1</v>
      </c>
      <c r="F99">
        <v>6</v>
      </c>
      <c r="G99" t="b">
        <v>0</v>
      </c>
      <c r="H99">
        <v>3</v>
      </c>
      <c r="I99">
        <v>1</v>
      </c>
      <c r="J99">
        <v>0.2</v>
      </c>
    </row>
    <row r="100" spans="1:10" x14ac:dyDescent="0.2">
      <c r="A100">
        <v>99</v>
      </c>
      <c r="B100" s="61">
        <v>40548</v>
      </c>
      <c r="C100">
        <v>1</v>
      </c>
      <c r="D100">
        <v>0</v>
      </c>
      <c r="E100">
        <v>1</v>
      </c>
      <c r="F100">
        <v>7</v>
      </c>
      <c r="G100" t="b">
        <v>0</v>
      </c>
      <c r="H100">
        <v>3</v>
      </c>
      <c r="I100">
        <v>1</v>
      </c>
      <c r="J100">
        <v>0.18</v>
      </c>
    </row>
    <row r="101" spans="1:10" x14ac:dyDescent="0.2">
      <c r="A101">
        <v>100</v>
      </c>
      <c r="B101" s="61">
        <v>40548</v>
      </c>
      <c r="C101">
        <v>1</v>
      </c>
      <c r="D101">
        <v>0</v>
      </c>
      <c r="E101">
        <v>1</v>
      </c>
      <c r="F101">
        <v>8</v>
      </c>
      <c r="G101" t="b">
        <v>0</v>
      </c>
      <c r="H101">
        <v>3</v>
      </c>
      <c r="I101">
        <v>1</v>
      </c>
      <c r="J101">
        <v>0.2</v>
      </c>
    </row>
    <row r="102" spans="1:10" x14ac:dyDescent="0.2">
      <c r="A102">
        <v>101</v>
      </c>
      <c r="B102" s="61">
        <v>40548</v>
      </c>
      <c r="C102">
        <v>1</v>
      </c>
      <c r="D102">
        <v>0</v>
      </c>
      <c r="E102">
        <v>1</v>
      </c>
      <c r="F102">
        <v>9</v>
      </c>
      <c r="G102" t="b">
        <v>0</v>
      </c>
      <c r="H102">
        <v>3</v>
      </c>
      <c r="I102">
        <v>1</v>
      </c>
      <c r="J102">
        <v>0.22</v>
      </c>
    </row>
    <row r="103" spans="1:10" x14ac:dyDescent="0.2">
      <c r="A103">
        <v>102</v>
      </c>
      <c r="B103" s="61">
        <v>40548</v>
      </c>
      <c r="C103">
        <v>1</v>
      </c>
      <c r="D103">
        <v>0</v>
      </c>
      <c r="E103">
        <v>1</v>
      </c>
      <c r="F103">
        <v>10</v>
      </c>
      <c r="G103" t="b">
        <v>0</v>
      </c>
      <c r="H103">
        <v>3</v>
      </c>
      <c r="I103">
        <v>1</v>
      </c>
      <c r="J103">
        <v>0.22</v>
      </c>
    </row>
    <row r="104" spans="1:10" x14ac:dyDescent="0.2">
      <c r="A104">
        <v>103</v>
      </c>
      <c r="B104" s="61">
        <v>40548</v>
      </c>
      <c r="C104">
        <v>1</v>
      </c>
      <c r="D104">
        <v>0</v>
      </c>
      <c r="E104">
        <v>1</v>
      </c>
      <c r="F104">
        <v>11</v>
      </c>
      <c r="G104" t="b">
        <v>0</v>
      </c>
      <c r="H104">
        <v>3</v>
      </c>
      <c r="I104">
        <v>1</v>
      </c>
      <c r="J104">
        <v>0.26</v>
      </c>
    </row>
    <row r="105" spans="1:10" x14ac:dyDescent="0.2">
      <c r="A105">
        <v>104</v>
      </c>
      <c r="B105" s="61">
        <v>40548</v>
      </c>
      <c r="C105">
        <v>1</v>
      </c>
      <c r="D105">
        <v>0</v>
      </c>
      <c r="E105">
        <v>1</v>
      </c>
      <c r="F105">
        <v>12</v>
      </c>
      <c r="G105" t="b">
        <v>0</v>
      </c>
      <c r="H105">
        <v>3</v>
      </c>
      <c r="I105">
        <v>1</v>
      </c>
      <c r="J105">
        <v>0.26</v>
      </c>
    </row>
    <row r="106" spans="1:10" x14ac:dyDescent="0.2">
      <c r="A106">
        <v>105</v>
      </c>
      <c r="B106" s="61">
        <v>40548</v>
      </c>
      <c r="C106">
        <v>1</v>
      </c>
      <c r="D106">
        <v>0</v>
      </c>
      <c r="E106">
        <v>1</v>
      </c>
      <c r="F106">
        <v>13</v>
      </c>
      <c r="G106" t="b">
        <v>0</v>
      </c>
      <c r="H106">
        <v>3</v>
      </c>
      <c r="I106">
        <v>1</v>
      </c>
      <c r="J106">
        <v>0.28000000000000003</v>
      </c>
    </row>
    <row r="107" spans="1:10" x14ac:dyDescent="0.2">
      <c r="A107">
        <v>106</v>
      </c>
      <c r="B107" s="61">
        <v>40548</v>
      </c>
      <c r="C107">
        <v>1</v>
      </c>
      <c r="D107">
        <v>0</v>
      </c>
      <c r="E107">
        <v>1</v>
      </c>
      <c r="F107">
        <v>14</v>
      </c>
      <c r="G107" t="b">
        <v>0</v>
      </c>
      <c r="H107">
        <v>3</v>
      </c>
      <c r="I107">
        <v>1</v>
      </c>
      <c r="J107">
        <v>0.3</v>
      </c>
    </row>
    <row r="108" spans="1:10" x14ac:dyDescent="0.2">
      <c r="A108">
        <v>107</v>
      </c>
      <c r="B108" s="61">
        <v>40548</v>
      </c>
      <c r="C108">
        <v>1</v>
      </c>
      <c r="D108">
        <v>0</v>
      </c>
      <c r="E108">
        <v>1</v>
      </c>
      <c r="F108">
        <v>15</v>
      </c>
      <c r="G108" t="b">
        <v>0</v>
      </c>
      <c r="H108">
        <v>3</v>
      </c>
      <c r="I108">
        <v>1</v>
      </c>
      <c r="J108">
        <v>0.3</v>
      </c>
    </row>
    <row r="109" spans="1:10" x14ac:dyDescent="0.2">
      <c r="A109">
        <v>108</v>
      </c>
      <c r="B109" s="61">
        <v>40548</v>
      </c>
      <c r="C109">
        <v>1</v>
      </c>
      <c r="D109">
        <v>0</v>
      </c>
      <c r="E109">
        <v>1</v>
      </c>
      <c r="F109">
        <v>16</v>
      </c>
      <c r="G109" t="b">
        <v>0</v>
      </c>
      <c r="H109">
        <v>3</v>
      </c>
      <c r="I109">
        <v>1</v>
      </c>
      <c r="J109">
        <v>0.3</v>
      </c>
    </row>
    <row r="110" spans="1:10" x14ac:dyDescent="0.2">
      <c r="A110">
        <v>109</v>
      </c>
      <c r="B110" s="61">
        <v>40548</v>
      </c>
      <c r="C110">
        <v>1</v>
      </c>
      <c r="D110">
        <v>0</v>
      </c>
      <c r="E110">
        <v>1</v>
      </c>
      <c r="F110">
        <v>17</v>
      </c>
      <c r="G110" t="b">
        <v>0</v>
      </c>
      <c r="H110">
        <v>3</v>
      </c>
      <c r="I110">
        <v>1</v>
      </c>
      <c r="J110">
        <v>0.24</v>
      </c>
    </row>
    <row r="111" spans="1:10" x14ac:dyDescent="0.2">
      <c r="A111">
        <v>110</v>
      </c>
      <c r="B111" s="61">
        <v>40548</v>
      </c>
      <c r="C111">
        <v>1</v>
      </c>
      <c r="D111">
        <v>0</v>
      </c>
      <c r="E111">
        <v>1</v>
      </c>
      <c r="F111">
        <v>18</v>
      </c>
      <c r="G111" t="b">
        <v>0</v>
      </c>
      <c r="H111">
        <v>3</v>
      </c>
      <c r="I111">
        <v>1</v>
      </c>
      <c r="J111">
        <v>0.24</v>
      </c>
    </row>
    <row r="112" spans="1:10" x14ac:dyDescent="0.2">
      <c r="A112">
        <v>111</v>
      </c>
      <c r="B112" s="61">
        <v>40548</v>
      </c>
      <c r="C112">
        <v>1</v>
      </c>
      <c r="D112">
        <v>0</v>
      </c>
      <c r="E112">
        <v>1</v>
      </c>
      <c r="F112">
        <v>19</v>
      </c>
      <c r="G112" t="b">
        <v>0</v>
      </c>
      <c r="H112">
        <v>3</v>
      </c>
      <c r="I112">
        <v>1</v>
      </c>
      <c r="J112">
        <v>0.24</v>
      </c>
    </row>
    <row r="113" spans="1:10" x14ac:dyDescent="0.2">
      <c r="A113">
        <v>112</v>
      </c>
      <c r="B113" s="61">
        <v>40548</v>
      </c>
      <c r="C113">
        <v>1</v>
      </c>
      <c r="D113">
        <v>0</v>
      </c>
      <c r="E113">
        <v>1</v>
      </c>
      <c r="F113">
        <v>20</v>
      </c>
      <c r="G113" t="b">
        <v>0</v>
      </c>
      <c r="H113">
        <v>3</v>
      </c>
      <c r="I113">
        <v>1</v>
      </c>
      <c r="J113">
        <v>0.22</v>
      </c>
    </row>
    <row r="114" spans="1:10" x14ac:dyDescent="0.2">
      <c r="A114">
        <v>113</v>
      </c>
      <c r="B114" s="61">
        <v>40548</v>
      </c>
      <c r="C114">
        <v>1</v>
      </c>
      <c r="D114">
        <v>0</v>
      </c>
      <c r="E114">
        <v>1</v>
      </c>
      <c r="F114">
        <v>21</v>
      </c>
      <c r="G114" t="b">
        <v>0</v>
      </c>
      <c r="H114">
        <v>3</v>
      </c>
      <c r="I114">
        <v>1</v>
      </c>
      <c r="J114">
        <v>0.2</v>
      </c>
    </row>
    <row r="115" spans="1:10" x14ac:dyDescent="0.2">
      <c r="A115">
        <v>114</v>
      </c>
      <c r="B115" s="61">
        <v>40548</v>
      </c>
      <c r="C115">
        <v>1</v>
      </c>
      <c r="D115">
        <v>0</v>
      </c>
      <c r="E115">
        <v>1</v>
      </c>
      <c r="F115">
        <v>22</v>
      </c>
      <c r="G115" t="b">
        <v>0</v>
      </c>
      <c r="H115">
        <v>3</v>
      </c>
      <c r="I115">
        <v>1</v>
      </c>
      <c r="J115">
        <v>0.18</v>
      </c>
    </row>
    <row r="116" spans="1:10" x14ac:dyDescent="0.2">
      <c r="A116">
        <v>115</v>
      </c>
      <c r="B116" s="61">
        <v>40548</v>
      </c>
      <c r="C116">
        <v>1</v>
      </c>
      <c r="D116">
        <v>0</v>
      </c>
      <c r="E116">
        <v>1</v>
      </c>
      <c r="F116">
        <v>23</v>
      </c>
      <c r="G116" t="b">
        <v>0</v>
      </c>
      <c r="H116">
        <v>3</v>
      </c>
      <c r="I116">
        <v>1</v>
      </c>
      <c r="J116">
        <v>0.2</v>
      </c>
    </row>
    <row r="117" spans="1:10" x14ac:dyDescent="0.2">
      <c r="A117">
        <v>116</v>
      </c>
      <c r="B117" s="61">
        <v>40549</v>
      </c>
      <c r="C117">
        <v>1</v>
      </c>
      <c r="D117">
        <v>0</v>
      </c>
      <c r="E117">
        <v>1</v>
      </c>
      <c r="F117">
        <v>0</v>
      </c>
      <c r="G117" t="b">
        <v>0</v>
      </c>
      <c r="H117">
        <v>4</v>
      </c>
      <c r="I117">
        <v>1</v>
      </c>
      <c r="J117">
        <v>0.18</v>
      </c>
    </row>
    <row r="118" spans="1:10" x14ac:dyDescent="0.2">
      <c r="A118">
        <v>117</v>
      </c>
      <c r="B118" s="61">
        <v>40549</v>
      </c>
      <c r="C118">
        <v>1</v>
      </c>
      <c r="D118">
        <v>0</v>
      </c>
      <c r="E118">
        <v>1</v>
      </c>
      <c r="F118">
        <v>1</v>
      </c>
      <c r="G118" t="b">
        <v>0</v>
      </c>
      <c r="H118">
        <v>4</v>
      </c>
      <c r="I118">
        <v>1</v>
      </c>
      <c r="J118">
        <v>0.16</v>
      </c>
    </row>
    <row r="119" spans="1:10" x14ac:dyDescent="0.2">
      <c r="A119">
        <v>118</v>
      </c>
      <c r="B119" s="61">
        <v>40549</v>
      </c>
      <c r="C119">
        <v>1</v>
      </c>
      <c r="D119">
        <v>0</v>
      </c>
      <c r="E119">
        <v>1</v>
      </c>
      <c r="F119">
        <v>2</v>
      </c>
      <c r="G119" t="b">
        <v>0</v>
      </c>
      <c r="H119">
        <v>4</v>
      </c>
      <c r="I119">
        <v>1</v>
      </c>
      <c r="J119">
        <v>0.16</v>
      </c>
    </row>
    <row r="120" spans="1:10" x14ac:dyDescent="0.2">
      <c r="A120">
        <v>119</v>
      </c>
      <c r="B120" s="61">
        <v>40549</v>
      </c>
      <c r="C120">
        <v>1</v>
      </c>
      <c r="D120">
        <v>0</v>
      </c>
      <c r="E120">
        <v>1</v>
      </c>
      <c r="F120">
        <v>4</v>
      </c>
      <c r="G120" t="b">
        <v>0</v>
      </c>
      <c r="H120">
        <v>4</v>
      </c>
      <c r="I120">
        <v>2</v>
      </c>
      <c r="J120">
        <v>0.16</v>
      </c>
    </row>
    <row r="121" spans="1:10" x14ac:dyDescent="0.2">
      <c r="A121">
        <v>120</v>
      </c>
      <c r="B121" s="61">
        <v>40549</v>
      </c>
      <c r="C121">
        <v>1</v>
      </c>
      <c r="D121">
        <v>0</v>
      </c>
      <c r="E121">
        <v>1</v>
      </c>
      <c r="F121">
        <v>5</v>
      </c>
      <c r="G121" t="b">
        <v>0</v>
      </c>
      <c r="H121">
        <v>4</v>
      </c>
      <c r="I121">
        <v>2</v>
      </c>
      <c r="J121">
        <v>0.14000000000000001</v>
      </c>
    </row>
    <row r="122" spans="1:10" x14ac:dyDescent="0.2">
      <c r="A122">
        <v>121</v>
      </c>
      <c r="B122" s="61">
        <v>40549</v>
      </c>
      <c r="C122">
        <v>1</v>
      </c>
      <c r="D122">
        <v>0</v>
      </c>
      <c r="E122">
        <v>1</v>
      </c>
      <c r="F122">
        <v>6</v>
      </c>
      <c r="G122" t="b">
        <v>0</v>
      </c>
      <c r="H122">
        <v>4</v>
      </c>
      <c r="I122">
        <v>2</v>
      </c>
      <c r="J122">
        <v>0.14000000000000001</v>
      </c>
    </row>
    <row r="123" spans="1:10" x14ac:dyDescent="0.2">
      <c r="A123">
        <v>122</v>
      </c>
      <c r="B123" s="61">
        <v>40549</v>
      </c>
      <c r="C123">
        <v>1</v>
      </c>
      <c r="D123">
        <v>0</v>
      </c>
      <c r="E123">
        <v>1</v>
      </c>
      <c r="F123">
        <v>7</v>
      </c>
      <c r="G123" t="b">
        <v>0</v>
      </c>
      <c r="H123">
        <v>4</v>
      </c>
      <c r="I123">
        <v>2</v>
      </c>
      <c r="J123">
        <v>0.16</v>
      </c>
    </row>
    <row r="124" spans="1:10" x14ac:dyDescent="0.2">
      <c r="A124">
        <v>123</v>
      </c>
      <c r="B124" s="61">
        <v>40549</v>
      </c>
      <c r="C124">
        <v>1</v>
      </c>
      <c r="D124">
        <v>0</v>
      </c>
      <c r="E124">
        <v>1</v>
      </c>
      <c r="F124">
        <v>8</v>
      </c>
      <c r="G124" t="b">
        <v>0</v>
      </c>
      <c r="H124">
        <v>4</v>
      </c>
      <c r="I124">
        <v>1</v>
      </c>
      <c r="J124">
        <v>0.16</v>
      </c>
    </row>
    <row r="125" spans="1:10" x14ac:dyDescent="0.2">
      <c r="A125">
        <v>124</v>
      </c>
      <c r="B125" s="61">
        <v>40549</v>
      </c>
      <c r="C125">
        <v>1</v>
      </c>
      <c r="D125">
        <v>0</v>
      </c>
      <c r="E125">
        <v>1</v>
      </c>
      <c r="F125">
        <v>9</v>
      </c>
      <c r="G125" t="b">
        <v>0</v>
      </c>
      <c r="H125">
        <v>4</v>
      </c>
      <c r="I125">
        <v>2</v>
      </c>
      <c r="J125">
        <v>0.18</v>
      </c>
    </row>
    <row r="126" spans="1:10" x14ac:dyDescent="0.2">
      <c r="A126">
        <v>125</v>
      </c>
      <c r="B126" s="61">
        <v>40549</v>
      </c>
      <c r="C126">
        <v>1</v>
      </c>
      <c r="D126">
        <v>0</v>
      </c>
      <c r="E126">
        <v>1</v>
      </c>
      <c r="F126">
        <v>10</v>
      </c>
      <c r="G126" t="b">
        <v>0</v>
      </c>
      <c r="H126">
        <v>4</v>
      </c>
      <c r="I126">
        <v>1</v>
      </c>
      <c r="J126">
        <v>0.2</v>
      </c>
    </row>
    <row r="127" spans="1:10" x14ac:dyDescent="0.2">
      <c r="A127">
        <v>126</v>
      </c>
      <c r="B127" s="61">
        <v>40549</v>
      </c>
      <c r="C127">
        <v>1</v>
      </c>
      <c r="D127">
        <v>0</v>
      </c>
      <c r="E127">
        <v>1</v>
      </c>
      <c r="F127">
        <v>11</v>
      </c>
      <c r="G127" t="b">
        <v>0</v>
      </c>
      <c r="H127">
        <v>4</v>
      </c>
      <c r="I127">
        <v>1</v>
      </c>
      <c r="J127">
        <v>0.22</v>
      </c>
    </row>
    <row r="128" spans="1:10" x14ac:dyDescent="0.2">
      <c r="A128">
        <v>127</v>
      </c>
      <c r="B128" s="61">
        <v>40549</v>
      </c>
      <c r="C128">
        <v>1</v>
      </c>
      <c r="D128">
        <v>0</v>
      </c>
      <c r="E128">
        <v>1</v>
      </c>
      <c r="F128">
        <v>12</v>
      </c>
      <c r="G128" t="b">
        <v>0</v>
      </c>
      <c r="H128">
        <v>4</v>
      </c>
      <c r="I128">
        <v>1</v>
      </c>
      <c r="J128">
        <v>0.26</v>
      </c>
    </row>
    <row r="129" spans="1:10" x14ac:dyDescent="0.2">
      <c r="A129">
        <v>128</v>
      </c>
      <c r="B129" s="61">
        <v>40549</v>
      </c>
      <c r="C129">
        <v>1</v>
      </c>
      <c r="D129">
        <v>0</v>
      </c>
      <c r="E129">
        <v>1</v>
      </c>
      <c r="F129">
        <v>13</v>
      </c>
      <c r="G129" t="b">
        <v>0</v>
      </c>
      <c r="H129">
        <v>4</v>
      </c>
      <c r="I129">
        <v>1</v>
      </c>
      <c r="J129">
        <v>0.26</v>
      </c>
    </row>
    <row r="130" spans="1:10" x14ac:dyDescent="0.2">
      <c r="A130">
        <v>129</v>
      </c>
      <c r="B130" s="61">
        <v>40549</v>
      </c>
      <c r="C130">
        <v>1</v>
      </c>
      <c r="D130">
        <v>0</v>
      </c>
      <c r="E130">
        <v>1</v>
      </c>
      <c r="F130">
        <v>14</v>
      </c>
      <c r="G130" t="b">
        <v>0</v>
      </c>
      <c r="H130">
        <v>4</v>
      </c>
      <c r="I130">
        <v>1</v>
      </c>
      <c r="J130">
        <v>0.28000000000000003</v>
      </c>
    </row>
    <row r="131" spans="1:10" x14ac:dyDescent="0.2">
      <c r="A131">
        <v>130</v>
      </c>
      <c r="B131" s="61">
        <v>40549</v>
      </c>
      <c r="C131">
        <v>1</v>
      </c>
      <c r="D131">
        <v>0</v>
      </c>
      <c r="E131">
        <v>1</v>
      </c>
      <c r="F131">
        <v>15</v>
      </c>
      <c r="G131" t="b">
        <v>0</v>
      </c>
      <c r="H131">
        <v>4</v>
      </c>
      <c r="I131">
        <v>1</v>
      </c>
      <c r="J131">
        <v>0.28000000000000003</v>
      </c>
    </row>
    <row r="132" spans="1:10" x14ac:dyDescent="0.2">
      <c r="A132">
        <v>131</v>
      </c>
      <c r="B132" s="61">
        <v>40549</v>
      </c>
      <c r="C132">
        <v>1</v>
      </c>
      <c r="D132">
        <v>0</v>
      </c>
      <c r="E132">
        <v>1</v>
      </c>
      <c r="F132">
        <v>16</v>
      </c>
      <c r="G132" t="b">
        <v>0</v>
      </c>
      <c r="H132">
        <v>4</v>
      </c>
      <c r="I132">
        <v>1</v>
      </c>
      <c r="J132">
        <v>0.26</v>
      </c>
    </row>
    <row r="133" spans="1:10" x14ac:dyDescent="0.2">
      <c r="A133">
        <v>132</v>
      </c>
      <c r="B133" s="61">
        <v>40549</v>
      </c>
      <c r="C133">
        <v>1</v>
      </c>
      <c r="D133">
        <v>0</v>
      </c>
      <c r="E133">
        <v>1</v>
      </c>
      <c r="F133">
        <v>17</v>
      </c>
      <c r="G133" t="b">
        <v>0</v>
      </c>
      <c r="H133">
        <v>4</v>
      </c>
      <c r="I133">
        <v>1</v>
      </c>
      <c r="J133">
        <v>0.22</v>
      </c>
    </row>
    <row r="134" spans="1:10" x14ac:dyDescent="0.2">
      <c r="A134">
        <v>133</v>
      </c>
      <c r="B134" s="61">
        <v>40549</v>
      </c>
      <c r="C134">
        <v>1</v>
      </c>
      <c r="D134">
        <v>0</v>
      </c>
      <c r="E134">
        <v>1</v>
      </c>
      <c r="F134">
        <v>18</v>
      </c>
      <c r="G134" t="b">
        <v>0</v>
      </c>
      <c r="H134">
        <v>4</v>
      </c>
      <c r="I134">
        <v>1</v>
      </c>
      <c r="J134">
        <v>0.22</v>
      </c>
    </row>
    <row r="135" spans="1:10" x14ac:dyDescent="0.2">
      <c r="A135">
        <v>134</v>
      </c>
      <c r="B135" s="61">
        <v>40549</v>
      </c>
      <c r="C135">
        <v>1</v>
      </c>
      <c r="D135">
        <v>0</v>
      </c>
      <c r="E135">
        <v>1</v>
      </c>
      <c r="F135">
        <v>19</v>
      </c>
      <c r="G135" t="b">
        <v>0</v>
      </c>
      <c r="H135">
        <v>4</v>
      </c>
      <c r="I135">
        <v>1</v>
      </c>
      <c r="J135">
        <v>0.22</v>
      </c>
    </row>
    <row r="136" spans="1:10" x14ac:dyDescent="0.2">
      <c r="A136">
        <v>135</v>
      </c>
      <c r="B136" s="61">
        <v>40549</v>
      </c>
      <c r="C136">
        <v>1</v>
      </c>
      <c r="D136">
        <v>0</v>
      </c>
      <c r="E136">
        <v>1</v>
      </c>
      <c r="F136">
        <v>20</v>
      </c>
      <c r="G136" t="b">
        <v>0</v>
      </c>
      <c r="H136">
        <v>4</v>
      </c>
      <c r="I136">
        <v>1</v>
      </c>
      <c r="J136">
        <v>0.2</v>
      </c>
    </row>
    <row r="137" spans="1:10" x14ac:dyDescent="0.2">
      <c r="A137">
        <v>136</v>
      </c>
      <c r="B137" s="61">
        <v>40549</v>
      </c>
      <c r="C137">
        <v>1</v>
      </c>
      <c r="D137">
        <v>0</v>
      </c>
      <c r="E137">
        <v>1</v>
      </c>
      <c r="F137">
        <v>21</v>
      </c>
      <c r="G137" t="b">
        <v>0</v>
      </c>
      <c r="H137">
        <v>4</v>
      </c>
      <c r="I137">
        <v>2</v>
      </c>
      <c r="J137">
        <v>0.22</v>
      </c>
    </row>
    <row r="138" spans="1:10" x14ac:dyDescent="0.2">
      <c r="A138">
        <v>137</v>
      </c>
      <c r="B138" s="61">
        <v>40549</v>
      </c>
      <c r="C138">
        <v>1</v>
      </c>
      <c r="D138">
        <v>0</v>
      </c>
      <c r="E138">
        <v>1</v>
      </c>
      <c r="F138">
        <v>22</v>
      </c>
      <c r="G138" t="b">
        <v>0</v>
      </c>
      <c r="H138">
        <v>4</v>
      </c>
      <c r="I138">
        <v>2</v>
      </c>
      <c r="J138">
        <v>0.22</v>
      </c>
    </row>
    <row r="139" spans="1:10" x14ac:dyDescent="0.2">
      <c r="A139">
        <v>138</v>
      </c>
      <c r="B139" s="61">
        <v>40549</v>
      </c>
      <c r="C139">
        <v>1</v>
      </c>
      <c r="D139">
        <v>0</v>
      </c>
      <c r="E139">
        <v>1</v>
      </c>
      <c r="F139">
        <v>23</v>
      </c>
      <c r="G139" t="b">
        <v>0</v>
      </c>
      <c r="H139">
        <v>4</v>
      </c>
      <c r="I139">
        <v>2</v>
      </c>
      <c r="J139">
        <v>0.2</v>
      </c>
    </row>
    <row r="140" spans="1:10" x14ac:dyDescent="0.2">
      <c r="A140">
        <v>139</v>
      </c>
      <c r="B140" s="61">
        <v>40550</v>
      </c>
      <c r="C140">
        <v>1</v>
      </c>
      <c r="D140">
        <v>0</v>
      </c>
      <c r="E140">
        <v>1</v>
      </c>
      <c r="F140">
        <v>0</v>
      </c>
      <c r="G140" t="b">
        <v>0</v>
      </c>
      <c r="H140">
        <v>5</v>
      </c>
      <c r="I140">
        <v>2</v>
      </c>
      <c r="J140">
        <v>0.2</v>
      </c>
    </row>
    <row r="141" spans="1:10" x14ac:dyDescent="0.2">
      <c r="A141">
        <v>140</v>
      </c>
      <c r="B141" s="61">
        <v>40550</v>
      </c>
      <c r="C141">
        <v>1</v>
      </c>
      <c r="D141">
        <v>0</v>
      </c>
      <c r="E141">
        <v>1</v>
      </c>
      <c r="F141">
        <v>1</v>
      </c>
      <c r="G141" t="b">
        <v>0</v>
      </c>
      <c r="H141">
        <v>5</v>
      </c>
      <c r="I141">
        <v>2</v>
      </c>
      <c r="J141">
        <v>0.2</v>
      </c>
    </row>
    <row r="142" spans="1:10" x14ac:dyDescent="0.2">
      <c r="A142">
        <v>141</v>
      </c>
      <c r="B142" s="61">
        <v>40550</v>
      </c>
      <c r="C142">
        <v>1</v>
      </c>
      <c r="D142">
        <v>0</v>
      </c>
      <c r="E142">
        <v>1</v>
      </c>
      <c r="F142">
        <v>2</v>
      </c>
      <c r="G142" t="b">
        <v>0</v>
      </c>
      <c r="H142">
        <v>5</v>
      </c>
      <c r="I142">
        <v>2</v>
      </c>
      <c r="J142">
        <v>0.2</v>
      </c>
    </row>
    <row r="143" spans="1:10" x14ac:dyDescent="0.2">
      <c r="A143">
        <v>142</v>
      </c>
      <c r="B143" s="61">
        <v>40550</v>
      </c>
      <c r="C143">
        <v>1</v>
      </c>
      <c r="D143">
        <v>0</v>
      </c>
      <c r="E143">
        <v>1</v>
      </c>
      <c r="F143">
        <v>4</v>
      </c>
      <c r="G143" t="b">
        <v>0</v>
      </c>
      <c r="H143">
        <v>5</v>
      </c>
      <c r="I143">
        <v>2</v>
      </c>
      <c r="J143">
        <v>0.2</v>
      </c>
    </row>
    <row r="144" spans="1:10" x14ac:dyDescent="0.2">
      <c r="A144">
        <v>143</v>
      </c>
      <c r="B144" s="61">
        <v>40550</v>
      </c>
      <c r="C144">
        <v>1</v>
      </c>
      <c r="D144">
        <v>0</v>
      </c>
      <c r="E144">
        <v>1</v>
      </c>
      <c r="F144">
        <v>5</v>
      </c>
      <c r="G144" t="b">
        <v>0</v>
      </c>
      <c r="H144">
        <v>5</v>
      </c>
      <c r="I144">
        <v>3</v>
      </c>
      <c r="J144">
        <v>0.22</v>
      </c>
    </row>
    <row r="145" spans="1:10" x14ac:dyDescent="0.2">
      <c r="A145">
        <v>144</v>
      </c>
      <c r="B145" s="61">
        <v>40550</v>
      </c>
      <c r="C145">
        <v>1</v>
      </c>
      <c r="D145">
        <v>0</v>
      </c>
      <c r="E145">
        <v>1</v>
      </c>
      <c r="F145">
        <v>6</v>
      </c>
      <c r="G145" t="b">
        <v>0</v>
      </c>
      <c r="H145">
        <v>5</v>
      </c>
      <c r="I145">
        <v>2</v>
      </c>
      <c r="J145">
        <v>0.2</v>
      </c>
    </row>
    <row r="146" spans="1:10" x14ac:dyDescent="0.2">
      <c r="A146">
        <v>145</v>
      </c>
      <c r="B146" s="61">
        <v>40550</v>
      </c>
      <c r="C146">
        <v>1</v>
      </c>
      <c r="D146">
        <v>0</v>
      </c>
      <c r="E146">
        <v>1</v>
      </c>
      <c r="F146">
        <v>7</v>
      </c>
      <c r="G146" t="b">
        <v>0</v>
      </c>
      <c r="H146">
        <v>5</v>
      </c>
      <c r="I146">
        <v>1</v>
      </c>
      <c r="J146">
        <v>0.2</v>
      </c>
    </row>
    <row r="147" spans="1:10" x14ac:dyDescent="0.2">
      <c r="A147">
        <v>146</v>
      </c>
      <c r="B147" s="61">
        <v>40550</v>
      </c>
      <c r="C147">
        <v>1</v>
      </c>
      <c r="D147">
        <v>0</v>
      </c>
      <c r="E147">
        <v>1</v>
      </c>
      <c r="F147">
        <v>8</v>
      </c>
      <c r="G147" t="b">
        <v>0</v>
      </c>
      <c r="H147">
        <v>5</v>
      </c>
      <c r="I147">
        <v>1</v>
      </c>
      <c r="J147">
        <v>0.2</v>
      </c>
    </row>
    <row r="148" spans="1:10" x14ac:dyDescent="0.2">
      <c r="A148">
        <v>147</v>
      </c>
      <c r="B148" s="61">
        <v>40550</v>
      </c>
      <c r="C148">
        <v>1</v>
      </c>
      <c r="D148">
        <v>0</v>
      </c>
      <c r="E148">
        <v>1</v>
      </c>
      <c r="F148">
        <v>9</v>
      </c>
      <c r="G148" t="b">
        <v>0</v>
      </c>
      <c r="H148">
        <v>5</v>
      </c>
      <c r="I148">
        <v>1</v>
      </c>
      <c r="J148">
        <v>0.2</v>
      </c>
    </row>
    <row r="149" spans="1:10" x14ac:dyDescent="0.2">
      <c r="A149">
        <v>148</v>
      </c>
      <c r="B149" s="61">
        <v>40550</v>
      </c>
      <c r="C149">
        <v>1</v>
      </c>
      <c r="D149">
        <v>0</v>
      </c>
      <c r="E149">
        <v>1</v>
      </c>
      <c r="F149">
        <v>10</v>
      </c>
      <c r="G149" t="b">
        <v>0</v>
      </c>
      <c r="H149">
        <v>5</v>
      </c>
      <c r="I149">
        <v>1</v>
      </c>
      <c r="J149">
        <v>0.22</v>
      </c>
    </row>
    <row r="150" spans="1:10" x14ac:dyDescent="0.2">
      <c r="A150">
        <v>149</v>
      </c>
      <c r="B150" s="61">
        <v>40550</v>
      </c>
      <c r="C150">
        <v>1</v>
      </c>
      <c r="D150">
        <v>0</v>
      </c>
      <c r="E150">
        <v>1</v>
      </c>
      <c r="F150">
        <v>11</v>
      </c>
      <c r="G150" t="b">
        <v>0</v>
      </c>
      <c r="H150">
        <v>5</v>
      </c>
      <c r="I150">
        <v>2</v>
      </c>
      <c r="J150">
        <v>0.2</v>
      </c>
    </row>
    <row r="151" spans="1:10" x14ac:dyDescent="0.2">
      <c r="A151">
        <v>150</v>
      </c>
      <c r="B151" s="61">
        <v>40550</v>
      </c>
      <c r="C151">
        <v>1</v>
      </c>
      <c r="D151">
        <v>0</v>
      </c>
      <c r="E151">
        <v>1</v>
      </c>
      <c r="F151">
        <v>12</v>
      </c>
      <c r="G151" t="b">
        <v>0</v>
      </c>
      <c r="H151">
        <v>5</v>
      </c>
      <c r="I151">
        <v>2</v>
      </c>
      <c r="J151">
        <v>0.2</v>
      </c>
    </row>
    <row r="152" spans="1:10" x14ac:dyDescent="0.2">
      <c r="A152">
        <v>151</v>
      </c>
      <c r="B152" s="61">
        <v>40550</v>
      </c>
      <c r="C152">
        <v>1</v>
      </c>
      <c r="D152">
        <v>0</v>
      </c>
      <c r="E152">
        <v>1</v>
      </c>
      <c r="F152">
        <v>13</v>
      </c>
      <c r="G152" t="b">
        <v>0</v>
      </c>
      <c r="H152">
        <v>5</v>
      </c>
      <c r="I152">
        <v>2</v>
      </c>
      <c r="J152">
        <v>0.2</v>
      </c>
    </row>
    <row r="153" spans="1:10" x14ac:dyDescent="0.2">
      <c r="A153">
        <v>152</v>
      </c>
      <c r="B153" s="61">
        <v>40550</v>
      </c>
      <c r="C153">
        <v>1</v>
      </c>
      <c r="D153">
        <v>0</v>
      </c>
      <c r="E153">
        <v>1</v>
      </c>
      <c r="F153">
        <v>14</v>
      </c>
      <c r="G153" t="b">
        <v>0</v>
      </c>
      <c r="H153">
        <v>5</v>
      </c>
      <c r="I153">
        <v>2</v>
      </c>
      <c r="J153">
        <v>0.2</v>
      </c>
    </row>
    <row r="154" spans="1:10" x14ac:dyDescent="0.2">
      <c r="A154">
        <v>153</v>
      </c>
      <c r="B154" s="61">
        <v>40550</v>
      </c>
      <c r="C154">
        <v>1</v>
      </c>
      <c r="D154">
        <v>0</v>
      </c>
      <c r="E154">
        <v>1</v>
      </c>
      <c r="F154">
        <v>15</v>
      </c>
      <c r="G154" t="b">
        <v>0</v>
      </c>
      <c r="H154">
        <v>5</v>
      </c>
      <c r="I154">
        <v>2</v>
      </c>
      <c r="J154">
        <v>0.2</v>
      </c>
    </row>
    <row r="155" spans="1:10" x14ac:dyDescent="0.2">
      <c r="A155">
        <v>154</v>
      </c>
      <c r="B155" s="61">
        <v>40550</v>
      </c>
      <c r="C155">
        <v>1</v>
      </c>
      <c r="D155">
        <v>0</v>
      </c>
      <c r="E155">
        <v>1</v>
      </c>
      <c r="F155">
        <v>16</v>
      </c>
      <c r="G155" t="b">
        <v>0</v>
      </c>
      <c r="H155">
        <v>5</v>
      </c>
      <c r="I155">
        <v>2</v>
      </c>
      <c r="J155">
        <v>0.2</v>
      </c>
    </row>
    <row r="156" spans="1:10" x14ac:dyDescent="0.2">
      <c r="A156">
        <v>155</v>
      </c>
      <c r="B156" s="61">
        <v>40550</v>
      </c>
      <c r="C156">
        <v>1</v>
      </c>
      <c r="D156">
        <v>0</v>
      </c>
      <c r="E156">
        <v>1</v>
      </c>
      <c r="F156">
        <v>17</v>
      </c>
      <c r="G156" t="b">
        <v>0</v>
      </c>
      <c r="H156">
        <v>5</v>
      </c>
      <c r="I156">
        <v>2</v>
      </c>
      <c r="J156">
        <v>0.2</v>
      </c>
    </row>
    <row r="157" spans="1:10" x14ac:dyDescent="0.2">
      <c r="A157">
        <v>156</v>
      </c>
      <c r="B157" s="61">
        <v>40550</v>
      </c>
      <c r="C157">
        <v>1</v>
      </c>
      <c r="D157">
        <v>0</v>
      </c>
      <c r="E157">
        <v>1</v>
      </c>
      <c r="F157">
        <v>18</v>
      </c>
      <c r="G157" t="b">
        <v>0</v>
      </c>
      <c r="H157">
        <v>5</v>
      </c>
      <c r="I157">
        <v>1</v>
      </c>
      <c r="J157">
        <v>0.2</v>
      </c>
    </row>
    <row r="158" spans="1:10" x14ac:dyDescent="0.2">
      <c r="A158">
        <v>157</v>
      </c>
      <c r="B158" s="61">
        <v>40550</v>
      </c>
      <c r="C158">
        <v>1</v>
      </c>
      <c r="D158">
        <v>0</v>
      </c>
      <c r="E158">
        <v>1</v>
      </c>
      <c r="F158">
        <v>19</v>
      </c>
      <c r="G158" t="b">
        <v>0</v>
      </c>
      <c r="H158">
        <v>5</v>
      </c>
      <c r="I158">
        <v>1</v>
      </c>
      <c r="J158">
        <v>0.16</v>
      </c>
    </row>
    <row r="159" spans="1:10" x14ac:dyDescent="0.2">
      <c r="A159">
        <v>158</v>
      </c>
      <c r="B159" s="61">
        <v>40550</v>
      </c>
      <c r="C159">
        <v>1</v>
      </c>
      <c r="D159">
        <v>0</v>
      </c>
      <c r="E159">
        <v>1</v>
      </c>
      <c r="F159">
        <v>20</v>
      </c>
      <c r="G159" t="b">
        <v>0</v>
      </c>
      <c r="H159">
        <v>5</v>
      </c>
      <c r="I159">
        <v>1</v>
      </c>
      <c r="J159">
        <v>0.18</v>
      </c>
    </row>
    <row r="160" spans="1:10" x14ac:dyDescent="0.2">
      <c r="A160">
        <v>159</v>
      </c>
      <c r="B160" s="61">
        <v>40550</v>
      </c>
      <c r="C160">
        <v>1</v>
      </c>
      <c r="D160">
        <v>0</v>
      </c>
      <c r="E160">
        <v>1</v>
      </c>
      <c r="F160">
        <v>21</v>
      </c>
      <c r="G160" t="b">
        <v>0</v>
      </c>
      <c r="H160">
        <v>5</v>
      </c>
      <c r="I160">
        <v>1</v>
      </c>
      <c r="J160">
        <v>0.18</v>
      </c>
    </row>
    <row r="161" spans="1:10" x14ac:dyDescent="0.2">
      <c r="A161">
        <v>160</v>
      </c>
      <c r="B161" s="61">
        <v>40550</v>
      </c>
      <c r="C161">
        <v>1</v>
      </c>
      <c r="D161">
        <v>0</v>
      </c>
      <c r="E161">
        <v>1</v>
      </c>
      <c r="F161">
        <v>22</v>
      </c>
      <c r="G161" t="b">
        <v>0</v>
      </c>
      <c r="H161">
        <v>5</v>
      </c>
      <c r="I161">
        <v>2</v>
      </c>
      <c r="J161">
        <v>0.18</v>
      </c>
    </row>
    <row r="162" spans="1:10" x14ac:dyDescent="0.2">
      <c r="A162">
        <v>161</v>
      </c>
      <c r="B162" s="61">
        <v>40550</v>
      </c>
      <c r="C162">
        <v>1</v>
      </c>
      <c r="D162">
        <v>0</v>
      </c>
      <c r="E162">
        <v>1</v>
      </c>
      <c r="F162">
        <v>23</v>
      </c>
      <c r="G162" t="b">
        <v>0</v>
      </c>
      <c r="H162">
        <v>5</v>
      </c>
      <c r="I162">
        <v>2</v>
      </c>
      <c r="J162">
        <v>0.18</v>
      </c>
    </row>
    <row r="163" spans="1:10" x14ac:dyDescent="0.2">
      <c r="A163">
        <v>162</v>
      </c>
      <c r="B163" s="61">
        <v>40551</v>
      </c>
      <c r="C163">
        <v>1</v>
      </c>
      <c r="D163">
        <v>0</v>
      </c>
      <c r="E163">
        <v>1</v>
      </c>
      <c r="F163">
        <v>0</v>
      </c>
      <c r="G163" t="b">
        <v>0</v>
      </c>
      <c r="H163">
        <v>6</v>
      </c>
      <c r="I163">
        <v>2</v>
      </c>
      <c r="J163">
        <v>0.18</v>
      </c>
    </row>
    <row r="164" spans="1:10" x14ac:dyDescent="0.2">
      <c r="A164">
        <v>163</v>
      </c>
      <c r="B164" s="61">
        <v>40551</v>
      </c>
      <c r="C164">
        <v>1</v>
      </c>
      <c r="D164">
        <v>0</v>
      </c>
      <c r="E164">
        <v>1</v>
      </c>
      <c r="F164">
        <v>1</v>
      </c>
      <c r="G164" t="b">
        <v>0</v>
      </c>
      <c r="H164">
        <v>6</v>
      </c>
      <c r="I164">
        <v>2</v>
      </c>
      <c r="J164">
        <v>0.18</v>
      </c>
    </row>
    <row r="165" spans="1:10" x14ac:dyDescent="0.2">
      <c r="A165">
        <v>164</v>
      </c>
      <c r="B165" s="61">
        <v>40551</v>
      </c>
      <c r="C165">
        <v>1</v>
      </c>
      <c r="D165">
        <v>0</v>
      </c>
      <c r="E165">
        <v>1</v>
      </c>
      <c r="F165">
        <v>2</v>
      </c>
      <c r="G165" t="b">
        <v>0</v>
      </c>
      <c r="H165">
        <v>6</v>
      </c>
      <c r="I165">
        <v>2</v>
      </c>
      <c r="J165">
        <v>0.18</v>
      </c>
    </row>
    <row r="166" spans="1:10" x14ac:dyDescent="0.2">
      <c r="A166">
        <v>165</v>
      </c>
      <c r="B166" s="61">
        <v>40551</v>
      </c>
      <c r="C166">
        <v>1</v>
      </c>
      <c r="D166">
        <v>0</v>
      </c>
      <c r="E166">
        <v>1</v>
      </c>
      <c r="F166">
        <v>3</v>
      </c>
      <c r="G166" t="b">
        <v>0</v>
      </c>
      <c r="H166">
        <v>6</v>
      </c>
      <c r="I166">
        <v>3</v>
      </c>
      <c r="J166">
        <v>0.18</v>
      </c>
    </row>
    <row r="167" spans="1:10" x14ac:dyDescent="0.2">
      <c r="A167">
        <v>166</v>
      </c>
      <c r="B167" s="61">
        <v>40551</v>
      </c>
      <c r="C167">
        <v>1</v>
      </c>
      <c r="D167">
        <v>0</v>
      </c>
      <c r="E167">
        <v>1</v>
      </c>
      <c r="F167">
        <v>4</v>
      </c>
      <c r="G167" t="b">
        <v>0</v>
      </c>
      <c r="H167">
        <v>6</v>
      </c>
      <c r="I167">
        <v>3</v>
      </c>
      <c r="J167">
        <v>0.18</v>
      </c>
    </row>
    <row r="168" spans="1:10" x14ac:dyDescent="0.2">
      <c r="A168">
        <v>167</v>
      </c>
      <c r="B168" s="61">
        <v>40551</v>
      </c>
      <c r="C168">
        <v>1</v>
      </c>
      <c r="D168">
        <v>0</v>
      </c>
      <c r="E168">
        <v>1</v>
      </c>
      <c r="F168">
        <v>5</v>
      </c>
      <c r="G168" t="b">
        <v>0</v>
      </c>
      <c r="H168">
        <v>6</v>
      </c>
      <c r="I168">
        <v>2</v>
      </c>
      <c r="J168">
        <v>0.16</v>
      </c>
    </row>
    <row r="169" spans="1:10" x14ac:dyDescent="0.2">
      <c r="A169">
        <v>168</v>
      </c>
      <c r="B169" s="61">
        <v>40551</v>
      </c>
      <c r="C169">
        <v>1</v>
      </c>
      <c r="D169">
        <v>0</v>
      </c>
      <c r="E169">
        <v>1</v>
      </c>
      <c r="F169">
        <v>6</v>
      </c>
      <c r="G169" t="b">
        <v>0</v>
      </c>
      <c r="H169">
        <v>6</v>
      </c>
      <c r="I169">
        <v>2</v>
      </c>
      <c r="J169">
        <v>0.16</v>
      </c>
    </row>
    <row r="170" spans="1:10" x14ac:dyDescent="0.2">
      <c r="A170">
        <v>169</v>
      </c>
      <c r="B170" s="61">
        <v>40551</v>
      </c>
      <c r="C170">
        <v>1</v>
      </c>
      <c r="D170">
        <v>0</v>
      </c>
      <c r="E170">
        <v>1</v>
      </c>
      <c r="F170">
        <v>7</v>
      </c>
      <c r="G170" t="b">
        <v>0</v>
      </c>
      <c r="H170">
        <v>6</v>
      </c>
      <c r="I170">
        <v>2</v>
      </c>
      <c r="J170">
        <v>0.16</v>
      </c>
    </row>
    <row r="171" spans="1:10" x14ac:dyDescent="0.2">
      <c r="A171">
        <v>170</v>
      </c>
      <c r="B171" s="61">
        <v>40551</v>
      </c>
      <c r="C171">
        <v>1</v>
      </c>
      <c r="D171">
        <v>0</v>
      </c>
      <c r="E171">
        <v>1</v>
      </c>
      <c r="F171">
        <v>8</v>
      </c>
      <c r="G171" t="b">
        <v>0</v>
      </c>
      <c r="H171">
        <v>6</v>
      </c>
      <c r="I171">
        <v>3</v>
      </c>
      <c r="J171">
        <v>0.16</v>
      </c>
    </row>
    <row r="172" spans="1:10" x14ac:dyDescent="0.2">
      <c r="A172">
        <v>171</v>
      </c>
      <c r="B172" s="61">
        <v>40551</v>
      </c>
      <c r="C172">
        <v>1</v>
      </c>
      <c r="D172">
        <v>0</v>
      </c>
      <c r="E172">
        <v>1</v>
      </c>
      <c r="F172">
        <v>9</v>
      </c>
      <c r="G172" t="b">
        <v>0</v>
      </c>
      <c r="H172">
        <v>6</v>
      </c>
      <c r="I172">
        <v>3</v>
      </c>
      <c r="J172">
        <v>0.16</v>
      </c>
    </row>
    <row r="173" spans="1:10" x14ac:dyDescent="0.2">
      <c r="A173">
        <v>172</v>
      </c>
      <c r="B173" s="61">
        <v>40551</v>
      </c>
      <c r="C173">
        <v>1</v>
      </c>
      <c r="D173">
        <v>0</v>
      </c>
      <c r="E173">
        <v>1</v>
      </c>
      <c r="F173">
        <v>10</v>
      </c>
      <c r="G173" t="b">
        <v>0</v>
      </c>
      <c r="H173">
        <v>6</v>
      </c>
      <c r="I173">
        <v>2</v>
      </c>
      <c r="J173">
        <v>0.18</v>
      </c>
    </row>
    <row r="174" spans="1:10" x14ac:dyDescent="0.2">
      <c r="A174">
        <v>173</v>
      </c>
      <c r="B174" s="61">
        <v>40551</v>
      </c>
      <c r="C174">
        <v>1</v>
      </c>
      <c r="D174">
        <v>0</v>
      </c>
      <c r="E174">
        <v>1</v>
      </c>
      <c r="F174">
        <v>11</v>
      </c>
      <c r="G174" t="b">
        <v>0</v>
      </c>
      <c r="H174">
        <v>6</v>
      </c>
      <c r="I174">
        <v>2</v>
      </c>
      <c r="J174">
        <v>0.2</v>
      </c>
    </row>
    <row r="175" spans="1:10" x14ac:dyDescent="0.2">
      <c r="A175">
        <v>174</v>
      </c>
      <c r="B175" s="61">
        <v>40551</v>
      </c>
      <c r="C175">
        <v>1</v>
      </c>
      <c r="D175">
        <v>0</v>
      </c>
      <c r="E175">
        <v>1</v>
      </c>
      <c r="F175">
        <v>12</v>
      </c>
      <c r="G175" t="b">
        <v>0</v>
      </c>
      <c r="H175">
        <v>6</v>
      </c>
      <c r="I175">
        <v>2</v>
      </c>
      <c r="J175">
        <v>0.2</v>
      </c>
    </row>
    <row r="176" spans="1:10" x14ac:dyDescent="0.2">
      <c r="A176">
        <v>175</v>
      </c>
      <c r="B176" s="61">
        <v>40551</v>
      </c>
      <c r="C176">
        <v>1</v>
      </c>
      <c r="D176">
        <v>0</v>
      </c>
      <c r="E176">
        <v>1</v>
      </c>
      <c r="F176">
        <v>13</v>
      </c>
      <c r="G176" t="b">
        <v>0</v>
      </c>
      <c r="H176">
        <v>6</v>
      </c>
      <c r="I176">
        <v>1</v>
      </c>
      <c r="J176">
        <v>0.2</v>
      </c>
    </row>
    <row r="177" spans="1:10" x14ac:dyDescent="0.2">
      <c r="A177">
        <v>176</v>
      </c>
      <c r="B177" s="61">
        <v>40551</v>
      </c>
      <c r="C177">
        <v>1</v>
      </c>
      <c r="D177">
        <v>0</v>
      </c>
      <c r="E177">
        <v>1</v>
      </c>
      <c r="F177">
        <v>14</v>
      </c>
      <c r="G177" t="b">
        <v>0</v>
      </c>
      <c r="H177">
        <v>6</v>
      </c>
      <c r="I177">
        <v>1</v>
      </c>
      <c r="J177">
        <v>0.2</v>
      </c>
    </row>
    <row r="178" spans="1:10" x14ac:dyDescent="0.2">
      <c r="A178">
        <v>177</v>
      </c>
      <c r="B178" s="61">
        <v>40551</v>
      </c>
      <c r="C178">
        <v>1</v>
      </c>
      <c r="D178">
        <v>0</v>
      </c>
      <c r="E178">
        <v>1</v>
      </c>
      <c r="F178">
        <v>15</v>
      </c>
      <c r="G178" t="b">
        <v>0</v>
      </c>
      <c r="H178">
        <v>6</v>
      </c>
      <c r="I178">
        <v>1</v>
      </c>
      <c r="J178">
        <v>0.2</v>
      </c>
    </row>
    <row r="179" spans="1:10" x14ac:dyDescent="0.2">
      <c r="A179">
        <v>178</v>
      </c>
      <c r="B179" s="61">
        <v>40551</v>
      </c>
      <c r="C179">
        <v>1</v>
      </c>
      <c r="D179">
        <v>0</v>
      </c>
      <c r="E179">
        <v>1</v>
      </c>
      <c r="F179">
        <v>16</v>
      </c>
      <c r="G179" t="b">
        <v>0</v>
      </c>
      <c r="H179">
        <v>6</v>
      </c>
      <c r="I179">
        <v>1</v>
      </c>
      <c r="J179">
        <v>0.18</v>
      </c>
    </row>
    <row r="180" spans="1:10" x14ac:dyDescent="0.2">
      <c r="A180">
        <v>179</v>
      </c>
      <c r="B180" s="61">
        <v>40551</v>
      </c>
      <c r="C180">
        <v>1</v>
      </c>
      <c r="D180">
        <v>0</v>
      </c>
      <c r="E180">
        <v>1</v>
      </c>
      <c r="F180">
        <v>17</v>
      </c>
      <c r="G180" t="b">
        <v>0</v>
      </c>
      <c r="H180">
        <v>6</v>
      </c>
      <c r="I180">
        <v>1</v>
      </c>
      <c r="J180">
        <v>0.16</v>
      </c>
    </row>
    <row r="181" spans="1:10" x14ac:dyDescent="0.2">
      <c r="A181">
        <v>180</v>
      </c>
      <c r="B181" s="61">
        <v>40551</v>
      </c>
      <c r="C181">
        <v>1</v>
      </c>
      <c r="D181">
        <v>0</v>
      </c>
      <c r="E181">
        <v>1</v>
      </c>
      <c r="F181">
        <v>18</v>
      </c>
      <c r="G181" t="b">
        <v>0</v>
      </c>
      <c r="H181">
        <v>6</v>
      </c>
      <c r="I181">
        <v>1</v>
      </c>
      <c r="J181">
        <v>0.14000000000000001</v>
      </c>
    </row>
    <row r="182" spans="1:10" x14ac:dyDescent="0.2">
      <c r="A182">
        <v>181</v>
      </c>
      <c r="B182" s="61">
        <v>40551</v>
      </c>
      <c r="C182">
        <v>1</v>
      </c>
      <c r="D182">
        <v>0</v>
      </c>
      <c r="E182">
        <v>1</v>
      </c>
      <c r="F182">
        <v>19</v>
      </c>
      <c r="G182" t="b">
        <v>0</v>
      </c>
      <c r="H182">
        <v>6</v>
      </c>
      <c r="I182">
        <v>1</v>
      </c>
      <c r="J182">
        <v>0.14000000000000001</v>
      </c>
    </row>
    <row r="183" spans="1:10" x14ac:dyDescent="0.2">
      <c r="A183">
        <v>182</v>
      </c>
      <c r="B183" s="61">
        <v>40551</v>
      </c>
      <c r="C183">
        <v>1</v>
      </c>
      <c r="D183">
        <v>0</v>
      </c>
      <c r="E183">
        <v>1</v>
      </c>
      <c r="F183">
        <v>20</v>
      </c>
      <c r="G183" t="b">
        <v>0</v>
      </c>
      <c r="H183">
        <v>6</v>
      </c>
      <c r="I183">
        <v>1</v>
      </c>
      <c r="J183">
        <v>0.12</v>
      </c>
    </row>
    <row r="184" spans="1:10" x14ac:dyDescent="0.2">
      <c r="A184">
        <v>183</v>
      </c>
      <c r="B184" s="61">
        <v>40551</v>
      </c>
      <c r="C184">
        <v>1</v>
      </c>
      <c r="D184">
        <v>0</v>
      </c>
      <c r="E184">
        <v>1</v>
      </c>
      <c r="F184">
        <v>21</v>
      </c>
      <c r="G184" t="b">
        <v>0</v>
      </c>
      <c r="H184">
        <v>6</v>
      </c>
      <c r="I184">
        <v>1</v>
      </c>
      <c r="J184">
        <v>0.12</v>
      </c>
    </row>
    <row r="185" spans="1:10" x14ac:dyDescent="0.2">
      <c r="A185">
        <v>184</v>
      </c>
      <c r="B185" s="61">
        <v>40551</v>
      </c>
      <c r="C185">
        <v>1</v>
      </c>
      <c r="D185">
        <v>0</v>
      </c>
      <c r="E185">
        <v>1</v>
      </c>
      <c r="F185">
        <v>22</v>
      </c>
      <c r="G185" t="b">
        <v>0</v>
      </c>
      <c r="H185">
        <v>6</v>
      </c>
      <c r="I185">
        <v>1</v>
      </c>
      <c r="J185">
        <v>0.12</v>
      </c>
    </row>
    <row r="186" spans="1:10" x14ac:dyDescent="0.2">
      <c r="A186">
        <v>185</v>
      </c>
      <c r="B186" s="61">
        <v>40551</v>
      </c>
      <c r="C186">
        <v>1</v>
      </c>
      <c r="D186">
        <v>0</v>
      </c>
      <c r="E186">
        <v>1</v>
      </c>
      <c r="F186">
        <v>23</v>
      </c>
      <c r="G186" t="b">
        <v>0</v>
      </c>
      <c r="H186">
        <v>6</v>
      </c>
      <c r="I186">
        <v>1</v>
      </c>
      <c r="J186">
        <v>0.1</v>
      </c>
    </row>
    <row r="187" spans="1:10" x14ac:dyDescent="0.2">
      <c r="A187">
        <v>186</v>
      </c>
      <c r="B187" s="61">
        <v>40552</v>
      </c>
      <c r="C187">
        <v>1</v>
      </c>
      <c r="D187">
        <v>0</v>
      </c>
      <c r="E187">
        <v>1</v>
      </c>
      <c r="F187">
        <v>0</v>
      </c>
      <c r="G187" t="b">
        <v>0</v>
      </c>
      <c r="H187">
        <v>0</v>
      </c>
      <c r="I187">
        <v>1</v>
      </c>
      <c r="J187">
        <v>0.1</v>
      </c>
    </row>
    <row r="188" spans="1:10" x14ac:dyDescent="0.2">
      <c r="A188">
        <v>187</v>
      </c>
      <c r="B188" s="61">
        <v>40552</v>
      </c>
      <c r="C188">
        <v>1</v>
      </c>
      <c r="D188">
        <v>0</v>
      </c>
      <c r="E188">
        <v>1</v>
      </c>
      <c r="F188">
        <v>1</v>
      </c>
      <c r="G188" t="b">
        <v>0</v>
      </c>
      <c r="H188">
        <v>0</v>
      </c>
      <c r="I188">
        <v>1</v>
      </c>
      <c r="J188">
        <v>0.1</v>
      </c>
    </row>
    <row r="189" spans="1:10" x14ac:dyDescent="0.2">
      <c r="A189">
        <v>188</v>
      </c>
      <c r="B189" s="61">
        <v>40552</v>
      </c>
      <c r="C189">
        <v>1</v>
      </c>
      <c r="D189">
        <v>0</v>
      </c>
      <c r="E189">
        <v>1</v>
      </c>
      <c r="F189">
        <v>2</v>
      </c>
      <c r="G189" t="b">
        <v>0</v>
      </c>
      <c r="H189">
        <v>0</v>
      </c>
      <c r="I189">
        <v>1</v>
      </c>
      <c r="J189">
        <v>0.1</v>
      </c>
    </row>
    <row r="190" spans="1:10" x14ac:dyDescent="0.2">
      <c r="A190">
        <v>189</v>
      </c>
      <c r="B190" s="61">
        <v>40552</v>
      </c>
      <c r="C190">
        <v>1</v>
      </c>
      <c r="D190">
        <v>0</v>
      </c>
      <c r="E190">
        <v>1</v>
      </c>
      <c r="F190">
        <v>3</v>
      </c>
      <c r="G190" t="b">
        <v>0</v>
      </c>
      <c r="H190">
        <v>0</v>
      </c>
      <c r="I190">
        <v>1</v>
      </c>
      <c r="J190">
        <v>0.1</v>
      </c>
    </row>
    <row r="191" spans="1:10" x14ac:dyDescent="0.2">
      <c r="A191">
        <v>190</v>
      </c>
      <c r="B191" s="61">
        <v>40552</v>
      </c>
      <c r="C191">
        <v>1</v>
      </c>
      <c r="D191">
        <v>0</v>
      </c>
      <c r="E191">
        <v>1</v>
      </c>
      <c r="F191">
        <v>4</v>
      </c>
      <c r="G191" t="b">
        <v>0</v>
      </c>
      <c r="H191">
        <v>0</v>
      </c>
      <c r="I191">
        <v>1</v>
      </c>
      <c r="J191">
        <v>0.08</v>
      </c>
    </row>
    <row r="192" spans="1:10" x14ac:dyDescent="0.2">
      <c r="A192">
        <v>191</v>
      </c>
      <c r="B192" s="61">
        <v>40552</v>
      </c>
      <c r="C192">
        <v>1</v>
      </c>
      <c r="D192">
        <v>0</v>
      </c>
      <c r="E192">
        <v>1</v>
      </c>
      <c r="F192">
        <v>5</v>
      </c>
      <c r="G192" t="b">
        <v>0</v>
      </c>
      <c r="H192">
        <v>0</v>
      </c>
      <c r="I192">
        <v>1</v>
      </c>
      <c r="J192">
        <v>0.08</v>
      </c>
    </row>
    <row r="193" spans="1:10" x14ac:dyDescent="0.2">
      <c r="A193">
        <v>192</v>
      </c>
      <c r="B193" s="61">
        <v>40552</v>
      </c>
      <c r="C193">
        <v>1</v>
      </c>
      <c r="D193">
        <v>0</v>
      </c>
      <c r="E193">
        <v>1</v>
      </c>
      <c r="F193">
        <v>6</v>
      </c>
      <c r="G193" t="b">
        <v>0</v>
      </c>
      <c r="H193">
        <v>0</v>
      </c>
      <c r="I193">
        <v>1</v>
      </c>
      <c r="J193">
        <v>0.1</v>
      </c>
    </row>
    <row r="194" spans="1:10" x14ac:dyDescent="0.2">
      <c r="A194">
        <v>193</v>
      </c>
      <c r="B194" s="61">
        <v>40552</v>
      </c>
      <c r="C194">
        <v>1</v>
      </c>
      <c r="D194">
        <v>0</v>
      </c>
      <c r="E194">
        <v>1</v>
      </c>
      <c r="F194">
        <v>7</v>
      </c>
      <c r="G194" t="b">
        <v>0</v>
      </c>
      <c r="H194">
        <v>0</v>
      </c>
      <c r="I194">
        <v>1</v>
      </c>
      <c r="J194">
        <v>0.08</v>
      </c>
    </row>
    <row r="195" spans="1:10" x14ac:dyDescent="0.2">
      <c r="A195">
        <v>194</v>
      </c>
      <c r="B195" s="61">
        <v>40552</v>
      </c>
      <c r="C195">
        <v>1</v>
      </c>
      <c r="D195">
        <v>0</v>
      </c>
      <c r="E195">
        <v>1</v>
      </c>
      <c r="F195">
        <v>8</v>
      </c>
      <c r="G195" t="b">
        <v>0</v>
      </c>
      <c r="H195">
        <v>0</v>
      </c>
      <c r="I195">
        <v>1</v>
      </c>
      <c r="J195">
        <v>0.1</v>
      </c>
    </row>
    <row r="196" spans="1:10" x14ac:dyDescent="0.2">
      <c r="A196">
        <v>195</v>
      </c>
      <c r="B196" s="61">
        <v>40552</v>
      </c>
      <c r="C196">
        <v>1</v>
      </c>
      <c r="D196">
        <v>0</v>
      </c>
      <c r="E196">
        <v>1</v>
      </c>
      <c r="F196">
        <v>9</v>
      </c>
      <c r="G196" t="b">
        <v>0</v>
      </c>
      <c r="H196">
        <v>0</v>
      </c>
      <c r="I196">
        <v>1</v>
      </c>
      <c r="J196">
        <v>0.12</v>
      </c>
    </row>
    <row r="197" spans="1:10" x14ac:dyDescent="0.2">
      <c r="A197">
        <v>196</v>
      </c>
      <c r="B197" s="61">
        <v>40552</v>
      </c>
      <c r="C197">
        <v>1</v>
      </c>
      <c r="D197">
        <v>0</v>
      </c>
      <c r="E197">
        <v>1</v>
      </c>
      <c r="F197">
        <v>10</v>
      </c>
      <c r="G197" t="b">
        <v>0</v>
      </c>
      <c r="H197">
        <v>0</v>
      </c>
      <c r="I197">
        <v>1</v>
      </c>
      <c r="J197">
        <v>0.14000000000000001</v>
      </c>
    </row>
    <row r="198" spans="1:10" x14ac:dyDescent="0.2">
      <c r="A198">
        <v>197</v>
      </c>
      <c r="B198" s="61">
        <v>40552</v>
      </c>
      <c r="C198">
        <v>1</v>
      </c>
      <c r="D198">
        <v>0</v>
      </c>
      <c r="E198">
        <v>1</v>
      </c>
      <c r="F198">
        <v>11</v>
      </c>
      <c r="G198" t="b">
        <v>0</v>
      </c>
      <c r="H198">
        <v>0</v>
      </c>
      <c r="I198">
        <v>1</v>
      </c>
      <c r="J198">
        <v>0.16</v>
      </c>
    </row>
    <row r="199" spans="1:10" x14ac:dyDescent="0.2">
      <c r="A199">
        <v>198</v>
      </c>
      <c r="B199" s="61">
        <v>40552</v>
      </c>
      <c r="C199">
        <v>1</v>
      </c>
      <c r="D199">
        <v>0</v>
      </c>
      <c r="E199">
        <v>1</v>
      </c>
      <c r="F199">
        <v>12</v>
      </c>
      <c r="G199" t="b">
        <v>0</v>
      </c>
      <c r="H199">
        <v>0</v>
      </c>
      <c r="I199">
        <v>1</v>
      </c>
      <c r="J199">
        <v>0.18</v>
      </c>
    </row>
    <row r="200" spans="1:10" x14ac:dyDescent="0.2">
      <c r="A200">
        <v>199</v>
      </c>
      <c r="B200" s="61">
        <v>40552</v>
      </c>
      <c r="C200">
        <v>1</v>
      </c>
      <c r="D200">
        <v>0</v>
      </c>
      <c r="E200">
        <v>1</v>
      </c>
      <c r="F200">
        <v>13</v>
      </c>
      <c r="G200" t="b">
        <v>0</v>
      </c>
      <c r="H200">
        <v>0</v>
      </c>
      <c r="I200">
        <v>1</v>
      </c>
      <c r="J200">
        <v>0.2</v>
      </c>
    </row>
    <row r="201" spans="1:10" x14ac:dyDescent="0.2">
      <c r="A201">
        <v>200</v>
      </c>
      <c r="B201" s="61">
        <v>40552</v>
      </c>
      <c r="C201">
        <v>1</v>
      </c>
      <c r="D201">
        <v>0</v>
      </c>
      <c r="E201">
        <v>1</v>
      </c>
      <c r="F201">
        <v>14</v>
      </c>
      <c r="G201" t="b">
        <v>0</v>
      </c>
      <c r="H201">
        <v>0</v>
      </c>
      <c r="I201">
        <v>1</v>
      </c>
      <c r="J201">
        <v>0.22</v>
      </c>
    </row>
    <row r="202" spans="1:10" x14ac:dyDescent="0.2">
      <c r="A202">
        <v>201</v>
      </c>
      <c r="B202" s="61">
        <v>40552</v>
      </c>
      <c r="C202">
        <v>1</v>
      </c>
      <c r="D202">
        <v>0</v>
      </c>
      <c r="E202">
        <v>1</v>
      </c>
      <c r="F202">
        <v>15</v>
      </c>
      <c r="G202" t="b">
        <v>0</v>
      </c>
      <c r="H202">
        <v>0</v>
      </c>
      <c r="I202">
        <v>1</v>
      </c>
      <c r="J202">
        <v>0.22</v>
      </c>
    </row>
    <row r="203" spans="1:10" x14ac:dyDescent="0.2">
      <c r="A203">
        <v>202</v>
      </c>
      <c r="B203" s="61">
        <v>40552</v>
      </c>
      <c r="C203">
        <v>1</v>
      </c>
      <c r="D203">
        <v>0</v>
      </c>
      <c r="E203">
        <v>1</v>
      </c>
      <c r="F203">
        <v>16</v>
      </c>
      <c r="G203" t="b">
        <v>0</v>
      </c>
      <c r="H203">
        <v>0</v>
      </c>
      <c r="I203">
        <v>1</v>
      </c>
      <c r="J203">
        <v>0.2</v>
      </c>
    </row>
    <row r="204" spans="1:10" x14ac:dyDescent="0.2">
      <c r="A204">
        <v>203</v>
      </c>
      <c r="B204" s="61">
        <v>40552</v>
      </c>
      <c r="C204">
        <v>1</v>
      </c>
      <c r="D204">
        <v>0</v>
      </c>
      <c r="E204">
        <v>1</v>
      </c>
      <c r="F204">
        <v>17</v>
      </c>
      <c r="G204" t="b">
        <v>0</v>
      </c>
      <c r="H204">
        <v>0</v>
      </c>
      <c r="I204">
        <v>1</v>
      </c>
      <c r="J204">
        <v>0.18</v>
      </c>
    </row>
    <row r="205" spans="1:10" x14ac:dyDescent="0.2">
      <c r="A205">
        <v>204</v>
      </c>
      <c r="B205" s="61">
        <v>40552</v>
      </c>
      <c r="C205">
        <v>1</v>
      </c>
      <c r="D205">
        <v>0</v>
      </c>
      <c r="E205">
        <v>1</v>
      </c>
      <c r="F205">
        <v>18</v>
      </c>
      <c r="G205" t="b">
        <v>0</v>
      </c>
      <c r="H205">
        <v>0</v>
      </c>
      <c r="I205">
        <v>1</v>
      </c>
      <c r="J205">
        <v>0.16</v>
      </c>
    </row>
    <row r="206" spans="1:10" x14ac:dyDescent="0.2">
      <c r="A206">
        <v>205</v>
      </c>
      <c r="B206" s="61">
        <v>40552</v>
      </c>
      <c r="C206">
        <v>1</v>
      </c>
      <c r="D206">
        <v>0</v>
      </c>
      <c r="E206">
        <v>1</v>
      </c>
      <c r="F206">
        <v>19</v>
      </c>
      <c r="G206" t="b">
        <v>0</v>
      </c>
      <c r="H206">
        <v>0</v>
      </c>
      <c r="I206">
        <v>1</v>
      </c>
      <c r="J206">
        <v>0.16</v>
      </c>
    </row>
    <row r="207" spans="1:10" x14ac:dyDescent="0.2">
      <c r="A207">
        <v>206</v>
      </c>
      <c r="B207" s="61">
        <v>40552</v>
      </c>
      <c r="C207">
        <v>1</v>
      </c>
      <c r="D207">
        <v>0</v>
      </c>
      <c r="E207">
        <v>1</v>
      </c>
      <c r="F207">
        <v>20</v>
      </c>
      <c r="G207" t="b">
        <v>0</v>
      </c>
      <c r="H207">
        <v>0</v>
      </c>
      <c r="I207">
        <v>1</v>
      </c>
      <c r="J207">
        <v>0.14000000000000001</v>
      </c>
    </row>
    <row r="208" spans="1:10" x14ac:dyDescent="0.2">
      <c r="A208">
        <v>207</v>
      </c>
      <c r="B208" s="61">
        <v>40552</v>
      </c>
      <c r="C208">
        <v>1</v>
      </c>
      <c r="D208">
        <v>0</v>
      </c>
      <c r="E208">
        <v>1</v>
      </c>
      <c r="F208">
        <v>21</v>
      </c>
      <c r="G208" t="b">
        <v>0</v>
      </c>
      <c r="H208">
        <v>0</v>
      </c>
      <c r="I208">
        <v>1</v>
      </c>
      <c r="J208">
        <v>0.14000000000000001</v>
      </c>
    </row>
    <row r="209" spans="1:10" x14ac:dyDescent="0.2">
      <c r="A209">
        <v>208</v>
      </c>
      <c r="B209" s="61">
        <v>40552</v>
      </c>
      <c r="C209">
        <v>1</v>
      </c>
      <c r="D209">
        <v>0</v>
      </c>
      <c r="E209">
        <v>1</v>
      </c>
      <c r="F209">
        <v>22</v>
      </c>
      <c r="G209" t="b">
        <v>0</v>
      </c>
      <c r="H209">
        <v>0</v>
      </c>
      <c r="I209">
        <v>1</v>
      </c>
      <c r="J209">
        <v>0.14000000000000001</v>
      </c>
    </row>
    <row r="210" spans="1:10" x14ac:dyDescent="0.2">
      <c r="A210">
        <v>209</v>
      </c>
      <c r="B210" s="61">
        <v>40552</v>
      </c>
      <c r="C210">
        <v>1</v>
      </c>
      <c r="D210">
        <v>0</v>
      </c>
      <c r="E210">
        <v>1</v>
      </c>
      <c r="F210">
        <v>23</v>
      </c>
      <c r="G210" t="b">
        <v>0</v>
      </c>
      <c r="H210">
        <v>0</v>
      </c>
      <c r="I210">
        <v>1</v>
      </c>
      <c r="J210">
        <v>0.12</v>
      </c>
    </row>
    <row r="211" spans="1:10" x14ac:dyDescent="0.2">
      <c r="A211">
        <v>210</v>
      </c>
      <c r="B211" s="61">
        <v>40553</v>
      </c>
      <c r="C211">
        <v>1</v>
      </c>
      <c r="D211">
        <v>0</v>
      </c>
      <c r="E211">
        <v>1</v>
      </c>
      <c r="F211">
        <v>0</v>
      </c>
      <c r="G211" t="b">
        <v>0</v>
      </c>
      <c r="H211">
        <v>1</v>
      </c>
      <c r="I211">
        <v>1</v>
      </c>
      <c r="J211">
        <v>0.12</v>
      </c>
    </row>
    <row r="212" spans="1:10" x14ac:dyDescent="0.2">
      <c r="A212">
        <v>211</v>
      </c>
      <c r="B212" s="61">
        <v>40553</v>
      </c>
      <c r="C212">
        <v>1</v>
      </c>
      <c r="D212">
        <v>0</v>
      </c>
      <c r="E212">
        <v>1</v>
      </c>
      <c r="F212">
        <v>1</v>
      </c>
      <c r="G212" t="b">
        <v>0</v>
      </c>
      <c r="H212">
        <v>1</v>
      </c>
      <c r="I212">
        <v>1</v>
      </c>
      <c r="J212">
        <v>0.12</v>
      </c>
    </row>
    <row r="213" spans="1:10" x14ac:dyDescent="0.2">
      <c r="A213">
        <v>212</v>
      </c>
      <c r="B213" s="61">
        <v>40553</v>
      </c>
      <c r="C213">
        <v>1</v>
      </c>
      <c r="D213">
        <v>0</v>
      </c>
      <c r="E213">
        <v>1</v>
      </c>
      <c r="F213">
        <v>2</v>
      </c>
      <c r="G213" t="b">
        <v>0</v>
      </c>
      <c r="H213">
        <v>1</v>
      </c>
      <c r="I213">
        <v>1</v>
      </c>
      <c r="J213">
        <v>0.12</v>
      </c>
    </row>
    <row r="214" spans="1:10" x14ac:dyDescent="0.2">
      <c r="A214">
        <v>213</v>
      </c>
      <c r="B214" s="61">
        <v>40553</v>
      </c>
      <c r="C214">
        <v>1</v>
      </c>
      <c r="D214">
        <v>0</v>
      </c>
      <c r="E214">
        <v>1</v>
      </c>
      <c r="F214">
        <v>3</v>
      </c>
      <c r="G214" t="b">
        <v>0</v>
      </c>
      <c r="H214">
        <v>1</v>
      </c>
      <c r="I214">
        <v>1</v>
      </c>
      <c r="J214">
        <v>0.12</v>
      </c>
    </row>
    <row r="215" spans="1:10" x14ac:dyDescent="0.2">
      <c r="A215">
        <v>214</v>
      </c>
      <c r="B215" s="61">
        <v>40553</v>
      </c>
      <c r="C215">
        <v>1</v>
      </c>
      <c r="D215">
        <v>0</v>
      </c>
      <c r="E215">
        <v>1</v>
      </c>
      <c r="F215">
        <v>4</v>
      </c>
      <c r="G215" t="b">
        <v>0</v>
      </c>
      <c r="H215">
        <v>1</v>
      </c>
      <c r="I215">
        <v>1</v>
      </c>
      <c r="J215">
        <v>0.1</v>
      </c>
    </row>
    <row r="216" spans="1:10" x14ac:dyDescent="0.2">
      <c r="A216">
        <v>215</v>
      </c>
      <c r="B216" s="61">
        <v>40553</v>
      </c>
      <c r="C216">
        <v>1</v>
      </c>
      <c r="D216">
        <v>0</v>
      </c>
      <c r="E216">
        <v>1</v>
      </c>
      <c r="F216">
        <v>5</v>
      </c>
      <c r="G216" t="b">
        <v>0</v>
      </c>
      <c r="H216">
        <v>1</v>
      </c>
      <c r="I216">
        <v>1</v>
      </c>
      <c r="J216">
        <v>0.1</v>
      </c>
    </row>
    <row r="217" spans="1:10" x14ac:dyDescent="0.2">
      <c r="A217">
        <v>216</v>
      </c>
      <c r="B217" s="61">
        <v>40553</v>
      </c>
      <c r="C217">
        <v>1</v>
      </c>
      <c r="D217">
        <v>0</v>
      </c>
      <c r="E217">
        <v>1</v>
      </c>
      <c r="F217">
        <v>6</v>
      </c>
      <c r="G217" t="b">
        <v>0</v>
      </c>
      <c r="H217">
        <v>1</v>
      </c>
      <c r="I217">
        <v>1</v>
      </c>
      <c r="J217">
        <v>0.12</v>
      </c>
    </row>
    <row r="218" spans="1:10" x14ac:dyDescent="0.2">
      <c r="A218">
        <v>217</v>
      </c>
      <c r="B218" s="61">
        <v>40553</v>
      </c>
      <c r="C218">
        <v>1</v>
      </c>
      <c r="D218">
        <v>0</v>
      </c>
      <c r="E218">
        <v>1</v>
      </c>
      <c r="F218">
        <v>7</v>
      </c>
      <c r="G218" t="b">
        <v>0</v>
      </c>
      <c r="H218">
        <v>1</v>
      </c>
      <c r="I218">
        <v>1</v>
      </c>
      <c r="J218">
        <v>0.12</v>
      </c>
    </row>
    <row r="219" spans="1:10" x14ac:dyDescent="0.2">
      <c r="A219">
        <v>218</v>
      </c>
      <c r="B219" s="61">
        <v>40553</v>
      </c>
      <c r="C219">
        <v>1</v>
      </c>
      <c r="D219">
        <v>0</v>
      </c>
      <c r="E219">
        <v>1</v>
      </c>
      <c r="F219">
        <v>8</v>
      </c>
      <c r="G219" t="b">
        <v>0</v>
      </c>
      <c r="H219">
        <v>1</v>
      </c>
      <c r="I219">
        <v>2</v>
      </c>
      <c r="J219">
        <v>0.12</v>
      </c>
    </row>
    <row r="220" spans="1:10" x14ac:dyDescent="0.2">
      <c r="A220">
        <v>219</v>
      </c>
      <c r="B220" s="61">
        <v>40553</v>
      </c>
      <c r="C220">
        <v>1</v>
      </c>
      <c r="D220">
        <v>0</v>
      </c>
      <c r="E220">
        <v>1</v>
      </c>
      <c r="F220">
        <v>9</v>
      </c>
      <c r="G220" t="b">
        <v>0</v>
      </c>
      <c r="H220">
        <v>1</v>
      </c>
      <c r="I220">
        <v>2</v>
      </c>
      <c r="J220">
        <v>0.14000000000000001</v>
      </c>
    </row>
    <row r="221" spans="1:10" x14ac:dyDescent="0.2">
      <c r="A221">
        <v>220</v>
      </c>
      <c r="B221" s="61">
        <v>40553</v>
      </c>
      <c r="C221">
        <v>1</v>
      </c>
      <c r="D221">
        <v>0</v>
      </c>
      <c r="E221">
        <v>1</v>
      </c>
      <c r="F221">
        <v>10</v>
      </c>
      <c r="G221" t="b">
        <v>0</v>
      </c>
      <c r="H221">
        <v>1</v>
      </c>
      <c r="I221">
        <v>2</v>
      </c>
      <c r="J221">
        <v>0.14000000000000001</v>
      </c>
    </row>
    <row r="222" spans="1:10" x14ac:dyDescent="0.2">
      <c r="A222">
        <v>221</v>
      </c>
      <c r="B222" s="61">
        <v>40553</v>
      </c>
      <c r="C222">
        <v>1</v>
      </c>
      <c r="D222">
        <v>0</v>
      </c>
      <c r="E222">
        <v>1</v>
      </c>
      <c r="F222">
        <v>11</v>
      </c>
      <c r="G222" t="b">
        <v>0</v>
      </c>
      <c r="H222">
        <v>1</v>
      </c>
      <c r="I222">
        <v>2</v>
      </c>
      <c r="J222">
        <v>0.16</v>
      </c>
    </row>
    <row r="223" spans="1:10" x14ac:dyDescent="0.2">
      <c r="A223">
        <v>222</v>
      </c>
      <c r="B223" s="61">
        <v>40553</v>
      </c>
      <c r="C223">
        <v>1</v>
      </c>
      <c r="D223">
        <v>0</v>
      </c>
      <c r="E223">
        <v>1</v>
      </c>
      <c r="F223">
        <v>12</v>
      </c>
      <c r="G223" t="b">
        <v>0</v>
      </c>
      <c r="H223">
        <v>1</v>
      </c>
      <c r="I223">
        <v>2</v>
      </c>
      <c r="J223">
        <v>0.2</v>
      </c>
    </row>
    <row r="224" spans="1:10" x14ac:dyDescent="0.2">
      <c r="A224">
        <v>223</v>
      </c>
      <c r="B224" s="61">
        <v>40553</v>
      </c>
      <c r="C224">
        <v>1</v>
      </c>
      <c r="D224">
        <v>0</v>
      </c>
      <c r="E224">
        <v>1</v>
      </c>
      <c r="F224">
        <v>13</v>
      </c>
      <c r="G224" t="b">
        <v>0</v>
      </c>
      <c r="H224">
        <v>1</v>
      </c>
      <c r="I224">
        <v>2</v>
      </c>
      <c r="J224">
        <v>0.2</v>
      </c>
    </row>
    <row r="225" spans="1:10" x14ac:dyDescent="0.2">
      <c r="A225">
        <v>224</v>
      </c>
      <c r="B225" s="61">
        <v>40553</v>
      </c>
      <c r="C225">
        <v>1</v>
      </c>
      <c r="D225">
        <v>0</v>
      </c>
      <c r="E225">
        <v>1</v>
      </c>
      <c r="F225">
        <v>14</v>
      </c>
      <c r="G225" t="b">
        <v>0</v>
      </c>
      <c r="H225">
        <v>1</v>
      </c>
      <c r="I225">
        <v>2</v>
      </c>
      <c r="J225">
        <v>0.2</v>
      </c>
    </row>
    <row r="226" spans="1:10" x14ac:dyDescent="0.2">
      <c r="A226">
        <v>225</v>
      </c>
      <c r="B226" s="61">
        <v>40553</v>
      </c>
      <c r="C226">
        <v>1</v>
      </c>
      <c r="D226">
        <v>0</v>
      </c>
      <c r="E226">
        <v>1</v>
      </c>
      <c r="F226">
        <v>15</v>
      </c>
      <c r="G226" t="b">
        <v>0</v>
      </c>
      <c r="H226">
        <v>1</v>
      </c>
      <c r="I226">
        <v>2</v>
      </c>
      <c r="J226">
        <v>0.2</v>
      </c>
    </row>
    <row r="227" spans="1:10" x14ac:dyDescent="0.2">
      <c r="A227">
        <v>226</v>
      </c>
      <c r="B227" s="61">
        <v>40553</v>
      </c>
      <c r="C227">
        <v>1</v>
      </c>
      <c r="D227">
        <v>0</v>
      </c>
      <c r="E227">
        <v>1</v>
      </c>
      <c r="F227">
        <v>16</v>
      </c>
      <c r="G227" t="b">
        <v>0</v>
      </c>
      <c r="H227">
        <v>1</v>
      </c>
      <c r="I227">
        <v>1</v>
      </c>
      <c r="J227">
        <v>0.2</v>
      </c>
    </row>
    <row r="228" spans="1:10" x14ac:dyDescent="0.2">
      <c r="A228">
        <v>227</v>
      </c>
      <c r="B228" s="61">
        <v>40553</v>
      </c>
      <c r="C228">
        <v>1</v>
      </c>
      <c r="D228">
        <v>0</v>
      </c>
      <c r="E228">
        <v>1</v>
      </c>
      <c r="F228">
        <v>17</v>
      </c>
      <c r="G228" t="b">
        <v>0</v>
      </c>
      <c r="H228">
        <v>1</v>
      </c>
      <c r="I228">
        <v>1</v>
      </c>
      <c r="J228">
        <v>0.2</v>
      </c>
    </row>
    <row r="229" spans="1:10" x14ac:dyDescent="0.2">
      <c r="A229">
        <v>228</v>
      </c>
      <c r="B229" s="61">
        <v>40553</v>
      </c>
      <c r="C229">
        <v>1</v>
      </c>
      <c r="D229">
        <v>0</v>
      </c>
      <c r="E229">
        <v>1</v>
      </c>
      <c r="F229">
        <v>18</v>
      </c>
      <c r="G229" t="b">
        <v>0</v>
      </c>
      <c r="H229">
        <v>1</v>
      </c>
      <c r="I229">
        <v>1</v>
      </c>
      <c r="J229">
        <v>0.2</v>
      </c>
    </row>
    <row r="230" spans="1:10" x14ac:dyDescent="0.2">
      <c r="A230">
        <v>229</v>
      </c>
      <c r="B230" s="61">
        <v>40553</v>
      </c>
      <c r="C230">
        <v>1</v>
      </c>
      <c r="D230">
        <v>0</v>
      </c>
      <c r="E230">
        <v>1</v>
      </c>
      <c r="F230">
        <v>19</v>
      </c>
      <c r="G230" t="b">
        <v>0</v>
      </c>
      <c r="H230">
        <v>1</v>
      </c>
      <c r="I230">
        <v>1</v>
      </c>
      <c r="J230">
        <v>0.16</v>
      </c>
    </row>
    <row r="231" spans="1:10" x14ac:dyDescent="0.2">
      <c r="A231">
        <v>230</v>
      </c>
      <c r="B231" s="61">
        <v>40553</v>
      </c>
      <c r="C231">
        <v>1</v>
      </c>
      <c r="D231">
        <v>0</v>
      </c>
      <c r="E231">
        <v>1</v>
      </c>
      <c r="F231">
        <v>20</v>
      </c>
      <c r="G231" t="b">
        <v>0</v>
      </c>
      <c r="H231">
        <v>1</v>
      </c>
      <c r="I231">
        <v>1</v>
      </c>
      <c r="J231">
        <v>0.16</v>
      </c>
    </row>
    <row r="232" spans="1:10" x14ac:dyDescent="0.2">
      <c r="A232">
        <v>231</v>
      </c>
      <c r="B232" s="61">
        <v>40553</v>
      </c>
      <c r="C232">
        <v>1</v>
      </c>
      <c r="D232">
        <v>0</v>
      </c>
      <c r="E232">
        <v>1</v>
      </c>
      <c r="F232">
        <v>21</v>
      </c>
      <c r="G232" t="b">
        <v>0</v>
      </c>
      <c r="H232">
        <v>1</v>
      </c>
      <c r="I232">
        <v>1</v>
      </c>
      <c r="J232">
        <v>0.14000000000000001</v>
      </c>
    </row>
    <row r="233" spans="1:10" x14ac:dyDescent="0.2">
      <c r="A233">
        <v>232</v>
      </c>
      <c r="B233" s="61">
        <v>40553</v>
      </c>
      <c r="C233">
        <v>1</v>
      </c>
      <c r="D233">
        <v>0</v>
      </c>
      <c r="E233">
        <v>1</v>
      </c>
      <c r="F233">
        <v>22</v>
      </c>
      <c r="G233" t="b">
        <v>0</v>
      </c>
      <c r="H233">
        <v>1</v>
      </c>
      <c r="I233">
        <v>1</v>
      </c>
      <c r="J233">
        <v>0.14000000000000001</v>
      </c>
    </row>
    <row r="234" spans="1:10" x14ac:dyDescent="0.2">
      <c r="A234">
        <v>233</v>
      </c>
      <c r="B234" s="61">
        <v>40553</v>
      </c>
      <c r="C234">
        <v>1</v>
      </c>
      <c r="D234">
        <v>0</v>
      </c>
      <c r="E234">
        <v>1</v>
      </c>
      <c r="F234">
        <v>23</v>
      </c>
      <c r="G234" t="b">
        <v>0</v>
      </c>
      <c r="H234">
        <v>1</v>
      </c>
      <c r="I234">
        <v>1</v>
      </c>
      <c r="J234">
        <v>0.14000000000000001</v>
      </c>
    </row>
    <row r="235" spans="1:10" x14ac:dyDescent="0.2">
      <c r="A235">
        <v>234</v>
      </c>
      <c r="B235" s="61">
        <v>40554</v>
      </c>
      <c r="C235">
        <v>1</v>
      </c>
      <c r="D235">
        <v>0</v>
      </c>
      <c r="E235">
        <v>1</v>
      </c>
      <c r="F235">
        <v>0</v>
      </c>
      <c r="G235" t="b">
        <v>0</v>
      </c>
      <c r="H235">
        <v>2</v>
      </c>
      <c r="I235">
        <v>1</v>
      </c>
      <c r="J235">
        <v>0.14000000000000001</v>
      </c>
    </row>
    <row r="236" spans="1:10" x14ac:dyDescent="0.2">
      <c r="A236">
        <v>235</v>
      </c>
      <c r="B236" s="61">
        <v>40554</v>
      </c>
      <c r="C236">
        <v>1</v>
      </c>
      <c r="D236">
        <v>0</v>
      </c>
      <c r="E236">
        <v>1</v>
      </c>
      <c r="F236">
        <v>1</v>
      </c>
      <c r="G236" t="b">
        <v>0</v>
      </c>
      <c r="H236">
        <v>2</v>
      </c>
      <c r="I236">
        <v>1</v>
      </c>
      <c r="J236">
        <v>0.14000000000000001</v>
      </c>
    </row>
    <row r="237" spans="1:10" x14ac:dyDescent="0.2">
      <c r="A237">
        <v>236</v>
      </c>
      <c r="B237" s="61">
        <v>40554</v>
      </c>
      <c r="C237">
        <v>1</v>
      </c>
      <c r="D237">
        <v>0</v>
      </c>
      <c r="E237">
        <v>1</v>
      </c>
      <c r="F237">
        <v>2</v>
      </c>
      <c r="G237" t="b">
        <v>0</v>
      </c>
      <c r="H237">
        <v>2</v>
      </c>
      <c r="I237">
        <v>2</v>
      </c>
      <c r="J237">
        <v>0.16</v>
      </c>
    </row>
    <row r="238" spans="1:10" x14ac:dyDescent="0.2">
      <c r="A238">
        <v>237</v>
      </c>
      <c r="B238" s="61">
        <v>40554</v>
      </c>
      <c r="C238">
        <v>1</v>
      </c>
      <c r="D238">
        <v>0</v>
      </c>
      <c r="E238">
        <v>1</v>
      </c>
      <c r="F238">
        <v>5</v>
      </c>
      <c r="G238" t="b">
        <v>0</v>
      </c>
      <c r="H238">
        <v>2</v>
      </c>
      <c r="I238">
        <v>2</v>
      </c>
      <c r="J238">
        <v>0.16</v>
      </c>
    </row>
    <row r="239" spans="1:10" x14ac:dyDescent="0.2">
      <c r="A239">
        <v>238</v>
      </c>
      <c r="B239" s="61">
        <v>40554</v>
      </c>
      <c r="C239">
        <v>1</v>
      </c>
      <c r="D239">
        <v>0</v>
      </c>
      <c r="E239">
        <v>1</v>
      </c>
      <c r="F239">
        <v>6</v>
      </c>
      <c r="G239" t="b">
        <v>0</v>
      </c>
      <c r="H239">
        <v>2</v>
      </c>
      <c r="I239">
        <v>2</v>
      </c>
      <c r="J239">
        <v>0.16</v>
      </c>
    </row>
    <row r="240" spans="1:10" x14ac:dyDescent="0.2">
      <c r="A240">
        <v>239</v>
      </c>
      <c r="B240" s="61">
        <v>40554</v>
      </c>
      <c r="C240">
        <v>1</v>
      </c>
      <c r="D240">
        <v>0</v>
      </c>
      <c r="E240">
        <v>1</v>
      </c>
      <c r="F240">
        <v>7</v>
      </c>
      <c r="G240" t="b">
        <v>0</v>
      </c>
      <c r="H240">
        <v>2</v>
      </c>
      <c r="I240">
        <v>2</v>
      </c>
      <c r="J240">
        <v>0.16</v>
      </c>
    </row>
    <row r="241" spans="1:10" x14ac:dyDescent="0.2">
      <c r="A241">
        <v>240</v>
      </c>
      <c r="B241" s="61">
        <v>40554</v>
      </c>
      <c r="C241">
        <v>1</v>
      </c>
      <c r="D241">
        <v>0</v>
      </c>
      <c r="E241">
        <v>1</v>
      </c>
      <c r="F241">
        <v>8</v>
      </c>
      <c r="G241" t="b">
        <v>0</v>
      </c>
      <c r="H241">
        <v>2</v>
      </c>
      <c r="I241">
        <v>2</v>
      </c>
      <c r="J241">
        <v>0.18</v>
      </c>
    </row>
    <row r="242" spans="1:10" x14ac:dyDescent="0.2">
      <c r="A242">
        <v>241</v>
      </c>
      <c r="B242" s="61">
        <v>40554</v>
      </c>
      <c r="C242">
        <v>1</v>
      </c>
      <c r="D242">
        <v>0</v>
      </c>
      <c r="E242">
        <v>1</v>
      </c>
      <c r="F242">
        <v>9</v>
      </c>
      <c r="G242" t="b">
        <v>0</v>
      </c>
      <c r="H242">
        <v>2</v>
      </c>
      <c r="I242">
        <v>2</v>
      </c>
      <c r="J242">
        <v>0.18</v>
      </c>
    </row>
    <row r="243" spans="1:10" x14ac:dyDescent="0.2">
      <c r="A243">
        <v>242</v>
      </c>
      <c r="B243" s="61">
        <v>40554</v>
      </c>
      <c r="C243">
        <v>1</v>
      </c>
      <c r="D243">
        <v>0</v>
      </c>
      <c r="E243">
        <v>1</v>
      </c>
      <c r="F243">
        <v>10</v>
      </c>
      <c r="G243" t="b">
        <v>0</v>
      </c>
      <c r="H243">
        <v>2</v>
      </c>
      <c r="I243">
        <v>2</v>
      </c>
      <c r="J243">
        <v>0.2</v>
      </c>
    </row>
    <row r="244" spans="1:10" x14ac:dyDescent="0.2">
      <c r="A244">
        <v>243</v>
      </c>
      <c r="B244" s="61">
        <v>40554</v>
      </c>
      <c r="C244">
        <v>1</v>
      </c>
      <c r="D244">
        <v>0</v>
      </c>
      <c r="E244">
        <v>1</v>
      </c>
      <c r="F244">
        <v>11</v>
      </c>
      <c r="G244" t="b">
        <v>0</v>
      </c>
      <c r="H244">
        <v>2</v>
      </c>
      <c r="I244">
        <v>2</v>
      </c>
      <c r="J244">
        <v>0.2</v>
      </c>
    </row>
    <row r="245" spans="1:10" x14ac:dyDescent="0.2">
      <c r="A245">
        <v>244</v>
      </c>
      <c r="B245" s="61">
        <v>40554</v>
      </c>
      <c r="C245">
        <v>1</v>
      </c>
      <c r="D245">
        <v>0</v>
      </c>
      <c r="E245">
        <v>1</v>
      </c>
      <c r="F245">
        <v>12</v>
      </c>
      <c r="G245" t="b">
        <v>0</v>
      </c>
      <c r="H245">
        <v>2</v>
      </c>
      <c r="I245">
        <v>2</v>
      </c>
      <c r="J245">
        <v>0.2</v>
      </c>
    </row>
    <row r="246" spans="1:10" x14ac:dyDescent="0.2">
      <c r="A246">
        <v>245</v>
      </c>
      <c r="B246" s="61">
        <v>40554</v>
      </c>
      <c r="C246">
        <v>1</v>
      </c>
      <c r="D246">
        <v>0</v>
      </c>
      <c r="E246">
        <v>1</v>
      </c>
      <c r="F246">
        <v>13</v>
      </c>
      <c r="G246" t="b">
        <v>0</v>
      </c>
      <c r="H246">
        <v>2</v>
      </c>
      <c r="I246">
        <v>2</v>
      </c>
      <c r="J246">
        <v>0.2</v>
      </c>
    </row>
    <row r="247" spans="1:10" x14ac:dyDescent="0.2">
      <c r="A247">
        <v>246</v>
      </c>
      <c r="B247" s="61">
        <v>40554</v>
      </c>
      <c r="C247">
        <v>1</v>
      </c>
      <c r="D247">
        <v>0</v>
      </c>
      <c r="E247">
        <v>1</v>
      </c>
      <c r="F247">
        <v>14</v>
      </c>
      <c r="G247" t="b">
        <v>0</v>
      </c>
      <c r="H247">
        <v>2</v>
      </c>
      <c r="I247">
        <v>2</v>
      </c>
      <c r="J247">
        <v>0.2</v>
      </c>
    </row>
    <row r="248" spans="1:10" x14ac:dyDescent="0.2">
      <c r="A248">
        <v>247</v>
      </c>
      <c r="B248" s="61">
        <v>40554</v>
      </c>
      <c r="C248">
        <v>1</v>
      </c>
      <c r="D248">
        <v>0</v>
      </c>
      <c r="E248">
        <v>1</v>
      </c>
      <c r="F248">
        <v>15</v>
      </c>
      <c r="G248" t="b">
        <v>0</v>
      </c>
      <c r="H248">
        <v>2</v>
      </c>
      <c r="I248">
        <v>2</v>
      </c>
      <c r="J248">
        <v>0.16</v>
      </c>
    </row>
    <row r="249" spans="1:10" x14ac:dyDescent="0.2">
      <c r="A249">
        <v>248</v>
      </c>
      <c r="B249" s="61">
        <v>40554</v>
      </c>
      <c r="C249">
        <v>1</v>
      </c>
      <c r="D249">
        <v>0</v>
      </c>
      <c r="E249">
        <v>1</v>
      </c>
      <c r="F249">
        <v>16</v>
      </c>
      <c r="G249" t="b">
        <v>0</v>
      </c>
      <c r="H249">
        <v>2</v>
      </c>
      <c r="I249">
        <v>2</v>
      </c>
      <c r="J249">
        <v>0.16</v>
      </c>
    </row>
    <row r="250" spans="1:10" x14ac:dyDescent="0.2">
      <c r="A250">
        <v>249</v>
      </c>
      <c r="B250" s="61">
        <v>40554</v>
      </c>
      <c r="C250">
        <v>1</v>
      </c>
      <c r="D250">
        <v>0</v>
      </c>
      <c r="E250">
        <v>1</v>
      </c>
      <c r="F250">
        <v>17</v>
      </c>
      <c r="G250" t="b">
        <v>0</v>
      </c>
      <c r="H250">
        <v>2</v>
      </c>
      <c r="I250">
        <v>2</v>
      </c>
      <c r="J250">
        <v>0.16</v>
      </c>
    </row>
    <row r="251" spans="1:10" x14ac:dyDescent="0.2">
      <c r="A251">
        <v>250</v>
      </c>
      <c r="B251" s="61">
        <v>40554</v>
      </c>
      <c r="C251">
        <v>1</v>
      </c>
      <c r="D251">
        <v>0</v>
      </c>
      <c r="E251">
        <v>1</v>
      </c>
      <c r="F251">
        <v>18</v>
      </c>
      <c r="G251" t="b">
        <v>0</v>
      </c>
      <c r="H251">
        <v>2</v>
      </c>
      <c r="I251">
        <v>3</v>
      </c>
      <c r="J251">
        <v>0.16</v>
      </c>
    </row>
    <row r="252" spans="1:10" x14ac:dyDescent="0.2">
      <c r="A252">
        <v>251</v>
      </c>
      <c r="B252" s="61">
        <v>40554</v>
      </c>
      <c r="C252">
        <v>1</v>
      </c>
      <c r="D252">
        <v>0</v>
      </c>
      <c r="E252">
        <v>1</v>
      </c>
      <c r="F252">
        <v>19</v>
      </c>
      <c r="G252" t="b">
        <v>0</v>
      </c>
      <c r="H252">
        <v>2</v>
      </c>
      <c r="I252">
        <v>3</v>
      </c>
      <c r="J252">
        <v>0.16</v>
      </c>
    </row>
    <row r="253" spans="1:10" x14ac:dyDescent="0.2">
      <c r="A253">
        <v>252</v>
      </c>
      <c r="B253" s="61">
        <v>40554</v>
      </c>
      <c r="C253">
        <v>1</v>
      </c>
      <c r="D253">
        <v>0</v>
      </c>
      <c r="E253">
        <v>1</v>
      </c>
      <c r="F253">
        <v>20</v>
      </c>
      <c r="G253" t="b">
        <v>0</v>
      </c>
      <c r="H253">
        <v>2</v>
      </c>
      <c r="I253">
        <v>3</v>
      </c>
      <c r="J253">
        <v>0.16</v>
      </c>
    </row>
    <row r="254" spans="1:10" x14ac:dyDescent="0.2">
      <c r="A254">
        <v>253</v>
      </c>
      <c r="B254" s="61">
        <v>40554</v>
      </c>
      <c r="C254">
        <v>1</v>
      </c>
      <c r="D254">
        <v>0</v>
      </c>
      <c r="E254">
        <v>1</v>
      </c>
      <c r="F254">
        <v>21</v>
      </c>
      <c r="G254" t="b">
        <v>0</v>
      </c>
      <c r="H254">
        <v>2</v>
      </c>
      <c r="I254">
        <v>3</v>
      </c>
      <c r="J254">
        <v>0.16</v>
      </c>
    </row>
    <row r="255" spans="1:10" x14ac:dyDescent="0.2">
      <c r="A255">
        <v>254</v>
      </c>
      <c r="B255" s="61">
        <v>40554</v>
      </c>
      <c r="C255">
        <v>1</v>
      </c>
      <c r="D255">
        <v>0</v>
      </c>
      <c r="E255">
        <v>1</v>
      </c>
      <c r="F255">
        <v>22</v>
      </c>
      <c r="G255" t="b">
        <v>0</v>
      </c>
      <c r="H255">
        <v>2</v>
      </c>
      <c r="I255">
        <v>3</v>
      </c>
      <c r="J255">
        <v>0.16</v>
      </c>
    </row>
    <row r="256" spans="1:10" x14ac:dyDescent="0.2">
      <c r="A256">
        <v>255</v>
      </c>
      <c r="B256" s="61">
        <v>40554</v>
      </c>
      <c r="C256">
        <v>1</v>
      </c>
      <c r="D256">
        <v>0</v>
      </c>
      <c r="E256">
        <v>1</v>
      </c>
      <c r="F256">
        <v>23</v>
      </c>
      <c r="G256" t="b">
        <v>0</v>
      </c>
      <c r="H256">
        <v>2</v>
      </c>
      <c r="I256">
        <v>3</v>
      </c>
      <c r="J256">
        <v>0.16</v>
      </c>
    </row>
    <row r="257" spans="1:10" x14ac:dyDescent="0.2">
      <c r="A257">
        <v>256</v>
      </c>
      <c r="B257" s="61">
        <v>40555</v>
      </c>
      <c r="C257">
        <v>1</v>
      </c>
      <c r="D257">
        <v>0</v>
      </c>
      <c r="E257">
        <v>1</v>
      </c>
      <c r="F257">
        <v>0</v>
      </c>
      <c r="G257" t="b">
        <v>0</v>
      </c>
      <c r="H257">
        <v>3</v>
      </c>
      <c r="I257">
        <v>2</v>
      </c>
      <c r="J257">
        <v>0.16</v>
      </c>
    </row>
    <row r="258" spans="1:10" x14ac:dyDescent="0.2">
      <c r="A258">
        <v>257</v>
      </c>
      <c r="B258" s="61">
        <v>40555</v>
      </c>
      <c r="C258">
        <v>1</v>
      </c>
      <c r="D258">
        <v>0</v>
      </c>
      <c r="E258">
        <v>1</v>
      </c>
      <c r="F258">
        <v>1</v>
      </c>
      <c r="G258" t="b">
        <v>0</v>
      </c>
      <c r="H258">
        <v>3</v>
      </c>
      <c r="I258">
        <v>2</v>
      </c>
      <c r="J258">
        <v>0.16</v>
      </c>
    </row>
    <row r="259" spans="1:10" x14ac:dyDescent="0.2">
      <c r="A259">
        <v>258</v>
      </c>
      <c r="B259" s="61">
        <v>40555</v>
      </c>
      <c r="C259">
        <v>1</v>
      </c>
      <c r="D259">
        <v>0</v>
      </c>
      <c r="E259">
        <v>1</v>
      </c>
      <c r="F259">
        <v>2</v>
      </c>
      <c r="G259" t="b">
        <v>0</v>
      </c>
      <c r="H259">
        <v>3</v>
      </c>
      <c r="I259">
        <v>1</v>
      </c>
      <c r="J259">
        <v>0.14000000000000001</v>
      </c>
    </row>
    <row r="260" spans="1:10" x14ac:dyDescent="0.2">
      <c r="A260">
        <v>259</v>
      </c>
      <c r="B260" s="61">
        <v>40555</v>
      </c>
      <c r="C260">
        <v>1</v>
      </c>
      <c r="D260">
        <v>0</v>
      </c>
      <c r="E260">
        <v>1</v>
      </c>
      <c r="F260">
        <v>5</v>
      </c>
      <c r="G260" t="b">
        <v>0</v>
      </c>
      <c r="H260">
        <v>3</v>
      </c>
      <c r="I260">
        <v>1</v>
      </c>
      <c r="J260">
        <v>0.14000000000000001</v>
      </c>
    </row>
    <row r="261" spans="1:10" x14ac:dyDescent="0.2">
      <c r="A261">
        <v>260</v>
      </c>
      <c r="B261" s="61">
        <v>40555</v>
      </c>
      <c r="C261">
        <v>1</v>
      </c>
      <c r="D261">
        <v>0</v>
      </c>
      <c r="E261">
        <v>1</v>
      </c>
      <c r="F261">
        <v>6</v>
      </c>
      <c r="G261" t="b">
        <v>0</v>
      </c>
      <c r="H261">
        <v>3</v>
      </c>
      <c r="I261">
        <v>1</v>
      </c>
      <c r="J261">
        <v>0.12</v>
      </c>
    </row>
    <row r="262" spans="1:10" x14ac:dyDescent="0.2">
      <c r="A262">
        <v>261</v>
      </c>
      <c r="B262" s="61">
        <v>40555</v>
      </c>
      <c r="C262">
        <v>1</v>
      </c>
      <c r="D262">
        <v>0</v>
      </c>
      <c r="E262">
        <v>1</v>
      </c>
      <c r="F262">
        <v>7</v>
      </c>
      <c r="G262" t="b">
        <v>0</v>
      </c>
      <c r="H262">
        <v>3</v>
      </c>
      <c r="I262">
        <v>1</v>
      </c>
      <c r="J262">
        <v>0.14000000000000001</v>
      </c>
    </row>
    <row r="263" spans="1:10" x14ac:dyDescent="0.2">
      <c r="A263">
        <v>262</v>
      </c>
      <c r="B263" s="61">
        <v>40555</v>
      </c>
      <c r="C263">
        <v>1</v>
      </c>
      <c r="D263">
        <v>0</v>
      </c>
      <c r="E263">
        <v>1</v>
      </c>
      <c r="F263">
        <v>8</v>
      </c>
      <c r="G263" t="b">
        <v>0</v>
      </c>
      <c r="H263">
        <v>3</v>
      </c>
      <c r="I263">
        <v>1</v>
      </c>
      <c r="J263">
        <v>0.16</v>
      </c>
    </row>
    <row r="264" spans="1:10" x14ac:dyDescent="0.2">
      <c r="A264">
        <v>263</v>
      </c>
      <c r="B264" s="61">
        <v>40555</v>
      </c>
      <c r="C264">
        <v>1</v>
      </c>
      <c r="D264">
        <v>0</v>
      </c>
      <c r="E264">
        <v>1</v>
      </c>
      <c r="F264">
        <v>9</v>
      </c>
      <c r="G264" t="b">
        <v>0</v>
      </c>
      <c r="H264">
        <v>3</v>
      </c>
      <c r="I264">
        <v>1</v>
      </c>
      <c r="J264">
        <v>0.16</v>
      </c>
    </row>
    <row r="265" spans="1:10" x14ac:dyDescent="0.2">
      <c r="A265">
        <v>264</v>
      </c>
      <c r="B265" s="61">
        <v>40555</v>
      </c>
      <c r="C265">
        <v>1</v>
      </c>
      <c r="D265">
        <v>0</v>
      </c>
      <c r="E265">
        <v>1</v>
      </c>
      <c r="F265">
        <v>10</v>
      </c>
      <c r="G265" t="b">
        <v>0</v>
      </c>
      <c r="H265">
        <v>3</v>
      </c>
      <c r="I265">
        <v>1</v>
      </c>
      <c r="J265">
        <v>0.18</v>
      </c>
    </row>
    <row r="266" spans="1:10" x14ac:dyDescent="0.2">
      <c r="A266">
        <v>265</v>
      </c>
      <c r="B266" s="61">
        <v>40555</v>
      </c>
      <c r="C266">
        <v>1</v>
      </c>
      <c r="D266">
        <v>0</v>
      </c>
      <c r="E266">
        <v>1</v>
      </c>
      <c r="F266">
        <v>11</v>
      </c>
      <c r="G266" t="b">
        <v>0</v>
      </c>
      <c r="H266">
        <v>3</v>
      </c>
      <c r="I266">
        <v>1</v>
      </c>
      <c r="J266">
        <v>0.2</v>
      </c>
    </row>
    <row r="267" spans="1:10" x14ac:dyDescent="0.2">
      <c r="A267">
        <v>266</v>
      </c>
      <c r="B267" s="61">
        <v>40555</v>
      </c>
      <c r="C267">
        <v>1</v>
      </c>
      <c r="D267">
        <v>0</v>
      </c>
      <c r="E267">
        <v>1</v>
      </c>
      <c r="F267">
        <v>12</v>
      </c>
      <c r="G267" t="b">
        <v>0</v>
      </c>
      <c r="H267">
        <v>3</v>
      </c>
      <c r="I267">
        <v>1</v>
      </c>
      <c r="J267">
        <v>0.2</v>
      </c>
    </row>
    <row r="268" spans="1:10" x14ac:dyDescent="0.2">
      <c r="A268">
        <v>267</v>
      </c>
      <c r="B268" s="61">
        <v>40555</v>
      </c>
      <c r="C268">
        <v>1</v>
      </c>
      <c r="D268">
        <v>0</v>
      </c>
      <c r="E268">
        <v>1</v>
      </c>
      <c r="F268">
        <v>13</v>
      </c>
      <c r="G268" t="b">
        <v>0</v>
      </c>
      <c r="H268">
        <v>3</v>
      </c>
      <c r="I268">
        <v>1</v>
      </c>
      <c r="J268">
        <v>0.22</v>
      </c>
    </row>
    <row r="269" spans="1:10" x14ac:dyDescent="0.2">
      <c r="A269">
        <v>268</v>
      </c>
      <c r="B269" s="61">
        <v>40555</v>
      </c>
      <c r="C269">
        <v>1</v>
      </c>
      <c r="D269">
        <v>0</v>
      </c>
      <c r="E269">
        <v>1</v>
      </c>
      <c r="F269">
        <v>14</v>
      </c>
      <c r="G269" t="b">
        <v>0</v>
      </c>
      <c r="H269">
        <v>3</v>
      </c>
      <c r="I269">
        <v>1</v>
      </c>
      <c r="J269">
        <v>0.2</v>
      </c>
    </row>
    <row r="270" spans="1:10" x14ac:dyDescent="0.2">
      <c r="A270">
        <v>269</v>
      </c>
      <c r="B270" s="61">
        <v>40555</v>
      </c>
      <c r="C270">
        <v>1</v>
      </c>
      <c r="D270">
        <v>0</v>
      </c>
      <c r="E270">
        <v>1</v>
      </c>
      <c r="F270">
        <v>15</v>
      </c>
      <c r="G270" t="b">
        <v>0</v>
      </c>
      <c r="H270">
        <v>3</v>
      </c>
      <c r="I270">
        <v>1</v>
      </c>
      <c r="J270">
        <v>0.2</v>
      </c>
    </row>
    <row r="271" spans="1:10" x14ac:dyDescent="0.2">
      <c r="A271">
        <v>270</v>
      </c>
      <c r="B271" s="61">
        <v>40555</v>
      </c>
      <c r="C271">
        <v>1</v>
      </c>
      <c r="D271">
        <v>0</v>
      </c>
      <c r="E271">
        <v>1</v>
      </c>
      <c r="F271">
        <v>16</v>
      </c>
      <c r="G271" t="b">
        <v>0</v>
      </c>
      <c r="H271">
        <v>3</v>
      </c>
      <c r="I271">
        <v>1</v>
      </c>
      <c r="J271">
        <v>0.22</v>
      </c>
    </row>
    <row r="272" spans="1:10" x14ac:dyDescent="0.2">
      <c r="A272">
        <v>271</v>
      </c>
      <c r="B272" s="61">
        <v>40555</v>
      </c>
      <c r="C272">
        <v>1</v>
      </c>
      <c r="D272">
        <v>0</v>
      </c>
      <c r="E272">
        <v>1</v>
      </c>
      <c r="F272">
        <v>17</v>
      </c>
      <c r="G272" t="b">
        <v>0</v>
      </c>
      <c r="H272">
        <v>3</v>
      </c>
      <c r="I272">
        <v>1</v>
      </c>
      <c r="J272">
        <v>0.2</v>
      </c>
    </row>
    <row r="273" spans="1:10" x14ac:dyDescent="0.2">
      <c r="A273">
        <v>272</v>
      </c>
      <c r="B273" s="61">
        <v>40555</v>
      </c>
      <c r="C273">
        <v>1</v>
      </c>
      <c r="D273">
        <v>0</v>
      </c>
      <c r="E273">
        <v>1</v>
      </c>
      <c r="F273">
        <v>18</v>
      </c>
      <c r="G273" t="b">
        <v>0</v>
      </c>
      <c r="H273">
        <v>3</v>
      </c>
      <c r="I273">
        <v>1</v>
      </c>
      <c r="J273">
        <v>0.2</v>
      </c>
    </row>
    <row r="274" spans="1:10" x14ac:dyDescent="0.2">
      <c r="A274">
        <v>273</v>
      </c>
      <c r="B274" s="61">
        <v>40555</v>
      </c>
      <c r="C274">
        <v>1</v>
      </c>
      <c r="D274">
        <v>0</v>
      </c>
      <c r="E274">
        <v>1</v>
      </c>
      <c r="F274">
        <v>19</v>
      </c>
      <c r="G274" t="b">
        <v>0</v>
      </c>
      <c r="H274">
        <v>3</v>
      </c>
      <c r="I274">
        <v>1</v>
      </c>
      <c r="J274">
        <v>0.18</v>
      </c>
    </row>
    <row r="275" spans="1:10" x14ac:dyDescent="0.2">
      <c r="A275">
        <v>274</v>
      </c>
      <c r="B275" s="61">
        <v>40555</v>
      </c>
      <c r="C275">
        <v>1</v>
      </c>
      <c r="D275">
        <v>0</v>
      </c>
      <c r="E275">
        <v>1</v>
      </c>
      <c r="F275">
        <v>20</v>
      </c>
      <c r="G275" t="b">
        <v>0</v>
      </c>
      <c r="H275">
        <v>3</v>
      </c>
      <c r="I275">
        <v>1</v>
      </c>
      <c r="J275">
        <v>0.16</v>
      </c>
    </row>
    <row r="276" spans="1:10" x14ac:dyDescent="0.2">
      <c r="A276">
        <v>275</v>
      </c>
      <c r="B276" s="61">
        <v>40555</v>
      </c>
      <c r="C276">
        <v>1</v>
      </c>
      <c r="D276">
        <v>0</v>
      </c>
      <c r="E276">
        <v>1</v>
      </c>
      <c r="F276">
        <v>21</v>
      </c>
      <c r="G276" t="b">
        <v>0</v>
      </c>
      <c r="H276">
        <v>3</v>
      </c>
      <c r="I276">
        <v>1</v>
      </c>
      <c r="J276">
        <v>0.16</v>
      </c>
    </row>
    <row r="277" spans="1:10" x14ac:dyDescent="0.2">
      <c r="A277">
        <v>276</v>
      </c>
      <c r="B277" s="61">
        <v>40555</v>
      </c>
      <c r="C277">
        <v>1</v>
      </c>
      <c r="D277">
        <v>0</v>
      </c>
      <c r="E277">
        <v>1</v>
      </c>
      <c r="F277">
        <v>22</v>
      </c>
      <c r="G277" t="b">
        <v>0</v>
      </c>
      <c r="H277">
        <v>3</v>
      </c>
      <c r="I277">
        <v>1</v>
      </c>
      <c r="J277">
        <v>0.16</v>
      </c>
    </row>
    <row r="278" spans="1:10" x14ac:dyDescent="0.2">
      <c r="A278">
        <v>277</v>
      </c>
      <c r="B278" s="61">
        <v>40555</v>
      </c>
      <c r="C278">
        <v>1</v>
      </c>
      <c r="D278">
        <v>0</v>
      </c>
      <c r="E278">
        <v>1</v>
      </c>
      <c r="F278">
        <v>23</v>
      </c>
      <c r="G278" t="b">
        <v>0</v>
      </c>
      <c r="H278">
        <v>3</v>
      </c>
      <c r="I278">
        <v>1</v>
      </c>
      <c r="J278">
        <v>0.14000000000000001</v>
      </c>
    </row>
    <row r="279" spans="1:10" x14ac:dyDescent="0.2">
      <c r="A279">
        <v>278</v>
      </c>
      <c r="B279" s="61">
        <v>40556</v>
      </c>
      <c r="C279">
        <v>1</v>
      </c>
      <c r="D279">
        <v>0</v>
      </c>
      <c r="E279">
        <v>1</v>
      </c>
      <c r="F279">
        <v>0</v>
      </c>
      <c r="G279" t="b">
        <v>0</v>
      </c>
      <c r="H279">
        <v>4</v>
      </c>
      <c r="I279">
        <v>1</v>
      </c>
      <c r="J279">
        <v>0.14000000000000001</v>
      </c>
    </row>
    <row r="280" spans="1:10" x14ac:dyDescent="0.2">
      <c r="A280">
        <v>279</v>
      </c>
      <c r="B280" s="61">
        <v>40556</v>
      </c>
      <c r="C280">
        <v>1</v>
      </c>
      <c r="D280">
        <v>0</v>
      </c>
      <c r="E280">
        <v>1</v>
      </c>
      <c r="F280">
        <v>1</v>
      </c>
      <c r="G280" t="b">
        <v>0</v>
      </c>
      <c r="H280">
        <v>4</v>
      </c>
      <c r="I280">
        <v>1</v>
      </c>
      <c r="J280">
        <v>0.14000000000000001</v>
      </c>
    </row>
    <row r="281" spans="1:10" x14ac:dyDescent="0.2">
      <c r="A281">
        <v>280</v>
      </c>
      <c r="B281" s="61">
        <v>40556</v>
      </c>
      <c r="C281">
        <v>1</v>
      </c>
      <c r="D281">
        <v>0</v>
      </c>
      <c r="E281">
        <v>1</v>
      </c>
      <c r="F281">
        <v>2</v>
      </c>
      <c r="G281" t="b">
        <v>0</v>
      </c>
      <c r="H281">
        <v>4</v>
      </c>
      <c r="I281">
        <v>1</v>
      </c>
      <c r="J281">
        <v>0.14000000000000001</v>
      </c>
    </row>
    <row r="282" spans="1:10" x14ac:dyDescent="0.2">
      <c r="A282">
        <v>281</v>
      </c>
      <c r="B282" s="61">
        <v>40556</v>
      </c>
      <c r="C282">
        <v>1</v>
      </c>
      <c r="D282">
        <v>0</v>
      </c>
      <c r="E282">
        <v>1</v>
      </c>
      <c r="F282">
        <v>3</v>
      </c>
      <c r="G282" t="b">
        <v>0</v>
      </c>
      <c r="H282">
        <v>4</v>
      </c>
      <c r="I282">
        <v>1</v>
      </c>
      <c r="J282">
        <v>0.14000000000000001</v>
      </c>
    </row>
    <row r="283" spans="1:10" x14ac:dyDescent="0.2">
      <c r="A283">
        <v>282</v>
      </c>
      <c r="B283" s="61">
        <v>40556</v>
      </c>
      <c r="C283">
        <v>1</v>
      </c>
      <c r="D283">
        <v>0</v>
      </c>
      <c r="E283">
        <v>1</v>
      </c>
      <c r="F283">
        <v>4</v>
      </c>
      <c r="G283" t="b">
        <v>0</v>
      </c>
      <c r="H283">
        <v>4</v>
      </c>
      <c r="I283">
        <v>1</v>
      </c>
      <c r="J283">
        <v>0.14000000000000001</v>
      </c>
    </row>
    <row r="284" spans="1:10" x14ac:dyDescent="0.2">
      <c r="A284">
        <v>283</v>
      </c>
      <c r="B284" s="61">
        <v>40556</v>
      </c>
      <c r="C284">
        <v>1</v>
      </c>
      <c r="D284">
        <v>0</v>
      </c>
      <c r="E284">
        <v>1</v>
      </c>
      <c r="F284">
        <v>5</v>
      </c>
      <c r="G284" t="b">
        <v>0</v>
      </c>
      <c r="H284">
        <v>4</v>
      </c>
      <c r="I284">
        <v>1</v>
      </c>
      <c r="J284">
        <v>0.14000000000000001</v>
      </c>
    </row>
    <row r="285" spans="1:10" x14ac:dyDescent="0.2">
      <c r="A285">
        <v>284</v>
      </c>
      <c r="B285" s="61">
        <v>40556</v>
      </c>
      <c r="C285">
        <v>1</v>
      </c>
      <c r="D285">
        <v>0</v>
      </c>
      <c r="E285">
        <v>1</v>
      </c>
      <c r="F285">
        <v>6</v>
      </c>
      <c r="G285" t="b">
        <v>0</v>
      </c>
      <c r="H285">
        <v>4</v>
      </c>
      <c r="I285">
        <v>1</v>
      </c>
      <c r="J285">
        <v>0.12</v>
      </c>
    </row>
    <row r="286" spans="1:10" x14ac:dyDescent="0.2">
      <c r="A286">
        <v>285</v>
      </c>
      <c r="B286" s="61">
        <v>40556</v>
      </c>
      <c r="C286">
        <v>1</v>
      </c>
      <c r="D286">
        <v>0</v>
      </c>
      <c r="E286">
        <v>1</v>
      </c>
      <c r="F286">
        <v>7</v>
      </c>
      <c r="G286" t="b">
        <v>0</v>
      </c>
      <c r="H286">
        <v>4</v>
      </c>
      <c r="I286">
        <v>1</v>
      </c>
      <c r="J286">
        <v>0.12</v>
      </c>
    </row>
    <row r="287" spans="1:10" x14ac:dyDescent="0.2">
      <c r="A287">
        <v>286</v>
      </c>
      <c r="B287" s="61">
        <v>40556</v>
      </c>
      <c r="C287">
        <v>1</v>
      </c>
      <c r="D287">
        <v>0</v>
      </c>
      <c r="E287">
        <v>1</v>
      </c>
      <c r="F287">
        <v>8</v>
      </c>
      <c r="G287" t="b">
        <v>0</v>
      </c>
      <c r="H287">
        <v>4</v>
      </c>
      <c r="I287">
        <v>1</v>
      </c>
      <c r="J287">
        <v>0.14000000000000001</v>
      </c>
    </row>
    <row r="288" spans="1:10" x14ac:dyDescent="0.2">
      <c r="A288">
        <v>287</v>
      </c>
      <c r="B288" s="61">
        <v>40556</v>
      </c>
      <c r="C288">
        <v>1</v>
      </c>
      <c r="D288">
        <v>0</v>
      </c>
      <c r="E288">
        <v>1</v>
      </c>
      <c r="F288">
        <v>9</v>
      </c>
      <c r="G288" t="b">
        <v>0</v>
      </c>
      <c r="H288">
        <v>4</v>
      </c>
      <c r="I288">
        <v>1</v>
      </c>
      <c r="J288">
        <v>0.14000000000000001</v>
      </c>
    </row>
    <row r="289" spans="1:10" x14ac:dyDescent="0.2">
      <c r="A289">
        <v>288</v>
      </c>
      <c r="B289" s="61">
        <v>40556</v>
      </c>
      <c r="C289">
        <v>1</v>
      </c>
      <c r="D289">
        <v>0</v>
      </c>
      <c r="E289">
        <v>1</v>
      </c>
      <c r="F289">
        <v>10</v>
      </c>
      <c r="G289" t="b">
        <v>0</v>
      </c>
      <c r="H289">
        <v>4</v>
      </c>
      <c r="I289">
        <v>2</v>
      </c>
      <c r="J289">
        <v>0.16</v>
      </c>
    </row>
    <row r="290" spans="1:10" x14ac:dyDescent="0.2">
      <c r="A290">
        <v>289</v>
      </c>
      <c r="B290" s="61">
        <v>40556</v>
      </c>
      <c r="C290">
        <v>1</v>
      </c>
      <c r="D290">
        <v>0</v>
      </c>
      <c r="E290">
        <v>1</v>
      </c>
      <c r="F290">
        <v>11</v>
      </c>
      <c r="G290" t="b">
        <v>0</v>
      </c>
      <c r="H290">
        <v>4</v>
      </c>
      <c r="I290">
        <v>2</v>
      </c>
      <c r="J290">
        <v>0.2</v>
      </c>
    </row>
    <row r="291" spans="1:10" x14ac:dyDescent="0.2">
      <c r="A291">
        <v>290</v>
      </c>
      <c r="B291" s="61">
        <v>40556</v>
      </c>
      <c r="C291">
        <v>1</v>
      </c>
      <c r="D291">
        <v>0</v>
      </c>
      <c r="E291">
        <v>1</v>
      </c>
      <c r="F291">
        <v>12</v>
      </c>
      <c r="G291" t="b">
        <v>0</v>
      </c>
      <c r="H291">
        <v>4</v>
      </c>
      <c r="I291">
        <v>1</v>
      </c>
      <c r="J291">
        <v>0.2</v>
      </c>
    </row>
    <row r="292" spans="1:10" x14ac:dyDescent="0.2">
      <c r="A292">
        <v>291</v>
      </c>
      <c r="B292" s="61">
        <v>40556</v>
      </c>
      <c r="C292">
        <v>1</v>
      </c>
      <c r="D292">
        <v>0</v>
      </c>
      <c r="E292">
        <v>1</v>
      </c>
      <c r="F292">
        <v>13</v>
      </c>
      <c r="G292" t="b">
        <v>0</v>
      </c>
      <c r="H292">
        <v>4</v>
      </c>
      <c r="I292">
        <v>1</v>
      </c>
      <c r="J292">
        <v>0.22</v>
      </c>
    </row>
    <row r="293" spans="1:10" x14ac:dyDescent="0.2">
      <c r="A293">
        <v>292</v>
      </c>
      <c r="B293" s="61">
        <v>40556</v>
      </c>
      <c r="C293">
        <v>1</v>
      </c>
      <c r="D293">
        <v>0</v>
      </c>
      <c r="E293">
        <v>1</v>
      </c>
      <c r="F293">
        <v>14</v>
      </c>
      <c r="G293" t="b">
        <v>0</v>
      </c>
      <c r="H293">
        <v>4</v>
      </c>
      <c r="I293">
        <v>1</v>
      </c>
      <c r="J293">
        <v>0.22</v>
      </c>
    </row>
    <row r="294" spans="1:10" x14ac:dyDescent="0.2">
      <c r="A294">
        <v>293</v>
      </c>
      <c r="B294" s="61">
        <v>40556</v>
      </c>
      <c r="C294">
        <v>1</v>
      </c>
      <c r="D294">
        <v>0</v>
      </c>
      <c r="E294">
        <v>1</v>
      </c>
      <c r="F294">
        <v>15</v>
      </c>
      <c r="G294" t="b">
        <v>0</v>
      </c>
      <c r="H294">
        <v>4</v>
      </c>
      <c r="I294">
        <v>1</v>
      </c>
      <c r="J294">
        <v>0.24</v>
      </c>
    </row>
    <row r="295" spans="1:10" x14ac:dyDescent="0.2">
      <c r="A295">
        <v>294</v>
      </c>
      <c r="B295" s="61">
        <v>40556</v>
      </c>
      <c r="C295">
        <v>1</v>
      </c>
      <c r="D295">
        <v>0</v>
      </c>
      <c r="E295">
        <v>1</v>
      </c>
      <c r="F295">
        <v>16</v>
      </c>
      <c r="G295" t="b">
        <v>0</v>
      </c>
      <c r="H295">
        <v>4</v>
      </c>
      <c r="I295">
        <v>1</v>
      </c>
      <c r="J295">
        <v>0.24</v>
      </c>
    </row>
    <row r="296" spans="1:10" x14ac:dyDescent="0.2">
      <c r="A296">
        <v>295</v>
      </c>
      <c r="B296" s="61">
        <v>40556</v>
      </c>
      <c r="C296">
        <v>1</v>
      </c>
      <c r="D296">
        <v>0</v>
      </c>
      <c r="E296">
        <v>1</v>
      </c>
      <c r="F296">
        <v>17</v>
      </c>
      <c r="G296" t="b">
        <v>0</v>
      </c>
      <c r="H296">
        <v>4</v>
      </c>
      <c r="I296">
        <v>1</v>
      </c>
      <c r="J296">
        <v>0.2</v>
      </c>
    </row>
    <row r="297" spans="1:10" x14ac:dyDescent="0.2">
      <c r="A297">
        <v>296</v>
      </c>
      <c r="B297" s="61">
        <v>40556</v>
      </c>
      <c r="C297">
        <v>1</v>
      </c>
      <c r="D297">
        <v>0</v>
      </c>
      <c r="E297">
        <v>1</v>
      </c>
      <c r="F297">
        <v>18</v>
      </c>
      <c r="G297" t="b">
        <v>0</v>
      </c>
      <c r="H297">
        <v>4</v>
      </c>
      <c r="I297">
        <v>1</v>
      </c>
      <c r="J297">
        <v>0.2</v>
      </c>
    </row>
    <row r="298" spans="1:10" x14ac:dyDescent="0.2">
      <c r="A298">
        <v>297</v>
      </c>
      <c r="B298" s="61">
        <v>40556</v>
      </c>
      <c r="C298">
        <v>1</v>
      </c>
      <c r="D298">
        <v>0</v>
      </c>
      <c r="E298">
        <v>1</v>
      </c>
      <c r="F298">
        <v>19</v>
      </c>
      <c r="G298" t="b">
        <v>0</v>
      </c>
      <c r="H298">
        <v>4</v>
      </c>
      <c r="I298">
        <v>1</v>
      </c>
      <c r="J298">
        <v>0.16</v>
      </c>
    </row>
    <row r="299" spans="1:10" x14ac:dyDescent="0.2">
      <c r="A299">
        <v>298</v>
      </c>
      <c r="B299" s="61">
        <v>40556</v>
      </c>
      <c r="C299">
        <v>1</v>
      </c>
      <c r="D299">
        <v>0</v>
      </c>
      <c r="E299">
        <v>1</v>
      </c>
      <c r="F299">
        <v>20</v>
      </c>
      <c r="G299" t="b">
        <v>0</v>
      </c>
      <c r="H299">
        <v>4</v>
      </c>
      <c r="I299">
        <v>1</v>
      </c>
      <c r="J299">
        <v>0.16</v>
      </c>
    </row>
    <row r="300" spans="1:10" x14ac:dyDescent="0.2">
      <c r="A300">
        <v>299</v>
      </c>
      <c r="B300" s="61">
        <v>40556</v>
      </c>
      <c r="C300">
        <v>1</v>
      </c>
      <c r="D300">
        <v>0</v>
      </c>
      <c r="E300">
        <v>1</v>
      </c>
      <c r="F300">
        <v>21</v>
      </c>
      <c r="G300" t="b">
        <v>0</v>
      </c>
      <c r="H300">
        <v>4</v>
      </c>
      <c r="I300">
        <v>1</v>
      </c>
      <c r="J300">
        <v>0.14000000000000001</v>
      </c>
    </row>
    <row r="301" spans="1:10" x14ac:dyDescent="0.2">
      <c r="A301">
        <v>300</v>
      </c>
      <c r="B301" s="61">
        <v>40556</v>
      </c>
      <c r="C301">
        <v>1</v>
      </c>
      <c r="D301">
        <v>0</v>
      </c>
      <c r="E301">
        <v>1</v>
      </c>
      <c r="F301">
        <v>22</v>
      </c>
      <c r="G301" t="b">
        <v>0</v>
      </c>
      <c r="H301">
        <v>4</v>
      </c>
      <c r="I301">
        <v>1</v>
      </c>
      <c r="J301">
        <v>0.14000000000000001</v>
      </c>
    </row>
    <row r="302" spans="1:10" x14ac:dyDescent="0.2">
      <c r="A302">
        <v>301</v>
      </c>
      <c r="B302" s="61">
        <v>40556</v>
      </c>
      <c r="C302">
        <v>1</v>
      </c>
      <c r="D302">
        <v>0</v>
      </c>
      <c r="E302">
        <v>1</v>
      </c>
      <c r="F302">
        <v>23</v>
      </c>
      <c r="G302" t="b">
        <v>0</v>
      </c>
      <c r="H302">
        <v>4</v>
      </c>
      <c r="I302">
        <v>1</v>
      </c>
      <c r="J302">
        <v>0.12</v>
      </c>
    </row>
    <row r="303" spans="1:10" x14ac:dyDescent="0.2">
      <c r="A303">
        <v>302</v>
      </c>
      <c r="B303" s="61">
        <v>40557</v>
      </c>
      <c r="C303">
        <v>1</v>
      </c>
      <c r="D303">
        <v>0</v>
      </c>
      <c r="E303">
        <v>1</v>
      </c>
      <c r="F303">
        <v>0</v>
      </c>
      <c r="G303" t="b">
        <v>0</v>
      </c>
      <c r="H303">
        <v>5</v>
      </c>
      <c r="I303">
        <v>1</v>
      </c>
      <c r="J303">
        <v>0.12</v>
      </c>
    </row>
    <row r="304" spans="1:10" x14ac:dyDescent="0.2">
      <c r="A304">
        <v>303</v>
      </c>
      <c r="B304" s="61">
        <v>40557</v>
      </c>
      <c r="C304">
        <v>1</v>
      </c>
      <c r="D304">
        <v>0</v>
      </c>
      <c r="E304">
        <v>1</v>
      </c>
      <c r="F304">
        <v>1</v>
      </c>
      <c r="G304" t="b">
        <v>0</v>
      </c>
      <c r="H304">
        <v>5</v>
      </c>
      <c r="I304">
        <v>1</v>
      </c>
      <c r="J304">
        <v>0.1</v>
      </c>
    </row>
    <row r="305" spans="1:10" x14ac:dyDescent="0.2">
      <c r="A305">
        <v>304</v>
      </c>
      <c r="B305" s="61">
        <v>40557</v>
      </c>
      <c r="C305">
        <v>1</v>
      </c>
      <c r="D305">
        <v>0</v>
      </c>
      <c r="E305">
        <v>1</v>
      </c>
      <c r="F305">
        <v>2</v>
      </c>
      <c r="G305" t="b">
        <v>0</v>
      </c>
      <c r="H305">
        <v>5</v>
      </c>
      <c r="I305">
        <v>1</v>
      </c>
      <c r="J305">
        <v>0.1</v>
      </c>
    </row>
    <row r="306" spans="1:10" x14ac:dyDescent="0.2">
      <c r="A306">
        <v>305</v>
      </c>
      <c r="B306" s="61">
        <v>40557</v>
      </c>
      <c r="C306">
        <v>1</v>
      </c>
      <c r="D306">
        <v>0</v>
      </c>
      <c r="E306">
        <v>1</v>
      </c>
      <c r="F306">
        <v>3</v>
      </c>
      <c r="G306" t="b">
        <v>0</v>
      </c>
      <c r="H306">
        <v>5</v>
      </c>
      <c r="I306">
        <v>1</v>
      </c>
      <c r="J306">
        <v>0.1</v>
      </c>
    </row>
    <row r="307" spans="1:10" x14ac:dyDescent="0.2">
      <c r="A307">
        <v>306</v>
      </c>
      <c r="B307" s="61">
        <v>40557</v>
      </c>
      <c r="C307">
        <v>1</v>
      </c>
      <c r="D307">
        <v>0</v>
      </c>
      <c r="E307">
        <v>1</v>
      </c>
      <c r="F307">
        <v>5</v>
      </c>
      <c r="G307" t="b">
        <v>0</v>
      </c>
      <c r="H307">
        <v>5</v>
      </c>
      <c r="I307">
        <v>1</v>
      </c>
      <c r="J307">
        <v>0.1</v>
      </c>
    </row>
    <row r="308" spans="1:10" x14ac:dyDescent="0.2">
      <c r="A308">
        <v>307</v>
      </c>
      <c r="B308" s="61">
        <v>40557</v>
      </c>
      <c r="C308">
        <v>1</v>
      </c>
      <c r="D308">
        <v>0</v>
      </c>
      <c r="E308">
        <v>1</v>
      </c>
      <c r="F308">
        <v>6</v>
      </c>
      <c r="G308" t="b">
        <v>0</v>
      </c>
      <c r="H308">
        <v>5</v>
      </c>
      <c r="I308">
        <v>1</v>
      </c>
      <c r="J308">
        <v>0.1</v>
      </c>
    </row>
    <row r="309" spans="1:10" x14ac:dyDescent="0.2">
      <c r="A309">
        <v>308</v>
      </c>
      <c r="B309" s="61">
        <v>40557</v>
      </c>
      <c r="C309">
        <v>1</v>
      </c>
      <c r="D309">
        <v>0</v>
      </c>
      <c r="E309">
        <v>1</v>
      </c>
      <c r="F309">
        <v>7</v>
      </c>
      <c r="G309" t="b">
        <v>0</v>
      </c>
      <c r="H309">
        <v>5</v>
      </c>
      <c r="I309">
        <v>1</v>
      </c>
      <c r="J309">
        <v>0.1</v>
      </c>
    </row>
    <row r="310" spans="1:10" x14ac:dyDescent="0.2">
      <c r="A310">
        <v>309</v>
      </c>
      <c r="B310" s="61">
        <v>40557</v>
      </c>
      <c r="C310">
        <v>1</v>
      </c>
      <c r="D310">
        <v>0</v>
      </c>
      <c r="E310">
        <v>1</v>
      </c>
      <c r="F310">
        <v>8</v>
      </c>
      <c r="G310" t="b">
        <v>0</v>
      </c>
      <c r="H310">
        <v>5</v>
      </c>
      <c r="I310">
        <v>1</v>
      </c>
      <c r="J310">
        <v>0.12</v>
      </c>
    </row>
    <row r="311" spans="1:10" x14ac:dyDescent="0.2">
      <c r="A311">
        <v>310</v>
      </c>
      <c r="B311" s="61">
        <v>40557</v>
      </c>
      <c r="C311">
        <v>1</v>
      </c>
      <c r="D311">
        <v>0</v>
      </c>
      <c r="E311">
        <v>1</v>
      </c>
      <c r="F311">
        <v>9</v>
      </c>
      <c r="G311" t="b">
        <v>0</v>
      </c>
      <c r="H311">
        <v>5</v>
      </c>
      <c r="I311">
        <v>1</v>
      </c>
      <c r="J311">
        <v>0.14000000000000001</v>
      </c>
    </row>
    <row r="312" spans="1:10" x14ac:dyDescent="0.2">
      <c r="A312">
        <v>311</v>
      </c>
      <c r="B312" s="61">
        <v>40557</v>
      </c>
      <c r="C312">
        <v>1</v>
      </c>
      <c r="D312">
        <v>0</v>
      </c>
      <c r="E312">
        <v>1</v>
      </c>
      <c r="F312">
        <v>10</v>
      </c>
      <c r="G312" t="b">
        <v>0</v>
      </c>
      <c r="H312">
        <v>5</v>
      </c>
      <c r="I312">
        <v>1</v>
      </c>
      <c r="J312">
        <v>0.18</v>
      </c>
    </row>
    <row r="313" spans="1:10" x14ac:dyDescent="0.2">
      <c r="A313">
        <v>312</v>
      </c>
      <c r="B313" s="61">
        <v>40557</v>
      </c>
      <c r="C313">
        <v>1</v>
      </c>
      <c r="D313">
        <v>0</v>
      </c>
      <c r="E313">
        <v>1</v>
      </c>
      <c r="F313">
        <v>11</v>
      </c>
      <c r="G313" t="b">
        <v>0</v>
      </c>
      <c r="H313">
        <v>5</v>
      </c>
      <c r="I313">
        <v>1</v>
      </c>
      <c r="J313">
        <v>0.18</v>
      </c>
    </row>
    <row r="314" spans="1:10" x14ac:dyDescent="0.2">
      <c r="A314">
        <v>313</v>
      </c>
      <c r="B314" s="61">
        <v>40557</v>
      </c>
      <c r="C314">
        <v>1</v>
      </c>
      <c r="D314">
        <v>0</v>
      </c>
      <c r="E314">
        <v>1</v>
      </c>
      <c r="F314">
        <v>12</v>
      </c>
      <c r="G314" t="b">
        <v>0</v>
      </c>
      <c r="H314">
        <v>5</v>
      </c>
      <c r="I314">
        <v>1</v>
      </c>
      <c r="J314">
        <v>0.2</v>
      </c>
    </row>
    <row r="315" spans="1:10" x14ac:dyDescent="0.2">
      <c r="A315">
        <v>314</v>
      </c>
      <c r="B315" s="61">
        <v>40557</v>
      </c>
      <c r="C315">
        <v>1</v>
      </c>
      <c r="D315">
        <v>0</v>
      </c>
      <c r="E315">
        <v>1</v>
      </c>
      <c r="F315">
        <v>13</v>
      </c>
      <c r="G315" t="b">
        <v>0</v>
      </c>
      <c r="H315">
        <v>5</v>
      </c>
      <c r="I315">
        <v>1</v>
      </c>
      <c r="J315">
        <v>0.22</v>
      </c>
    </row>
    <row r="316" spans="1:10" x14ac:dyDescent="0.2">
      <c r="A316">
        <v>315</v>
      </c>
      <c r="B316" s="61">
        <v>40557</v>
      </c>
      <c r="C316">
        <v>1</v>
      </c>
      <c r="D316">
        <v>0</v>
      </c>
      <c r="E316">
        <v>1</v>
      </c>
      <c r="F316">
        <v>14</v>
      </c>
      <c r="G316" t="b">
        <v>0</v>
      </c>
      <c r="H316">
        <v>5</v>
      </c>
      <c r="I316">
        <v>1</v>
      </c>
      <c r="J316">
        <v>0.22</v>
      </c>
    </row>
    <row r="317" spans="1:10" x14ac:dyDescent="0.2">
      <c r="A317">
        <v>316</v>
      </c>
      <c r="B317" s="61">
        <v>40557</v>
      </c>
      <c r="C317">
        <v>1</v>
      </c>
      <c r="D317">
        <v>0</v>
      </c>
      <c r="E317">
        <v>1</v>
      </c>
      <c r="F317">
        <v>15</v>
      </c>
      <c r="G317" t="b">
        <v>0</v>
      </c>
      <c r="H317">
        <v>5</v>
      </c>
      <c r="I317">
        <v>1</v>
      </c>
      <c r="J317">
        <v>0.24</v>
      </c>
    </row>
    <row r="318" spans="1:10" x14ac:dyDescent="0.2">
      <c r="A318">
        <v>317</v>
      </c>
      <c r="B318" s="61">
        <v>40557</v>
      </c>
      <c r="C318">
        <v>1</v>
      </c>
      <c r="D318">
        <v>0</v>
      </c>
      <c r="E318">
        <v>1</v>
      </c>
      <c r="F318">
        <v>16</v>
      </c>
      <c r="G318" t="b">
        <v>0</v>
      </c>
      <c r="H318">
        <v>5</v>
      </c>
      <c r="I318">
        <v>1</v>
      </c>
      <c r="J318">
        <v>0.22</v>
      </c>
    </row>
    <row r="319" spans="1:10" x14ac:dyDescent="0.2">
      <c r="A319">
        <v>318</v>
      </c>
      <c r="B319" s="61">
        <v>40557</v>
      </c>
      <c r="C319">
        <v>1</v>
      </c>
      <c r="D319">
        <v>0</v>
      </c>
      <c r="E319">
        <v>1</v>
      </c>
      <c r="F319">
        <v>17</v>
      </c>
      <c r="G319" t="b">
        <v>0</v>
      </c>
      <c r="H319">
        <v>5</v>
      </c>
      <c r="I319">
        <v>1</v>
      </c>
      <c r="J319">
        <v>0.22</v>
      </c>
    </row>
    <row r="320" spans="1:10" x14ac:dyDescent="0.2">
      <c r="A320">
        <v>319</v>
      </c>
      <c r="B320" s="61">
        <v>40557</v>
      </c>
      <c r="C320">
        <v>1</v>
      </c>
      <c r="D320">
        <v>0</v>
      </c>
      <c r="E320">
        <v>1</v>
      </c>
      <c r="F320">
        <v>18</v>
      </c>
      <c r="G320" t="b">
        <v>0</v>
      </c>
      <c r="H320">
        <v>5</v>
      </c>
      <c r="I320">
        <v>1</v>
      </c>
      <c r="J320">
        <v>0.2</v>
      </c>
    </row>
    <row r="321" spans="1:10" x14ac:dyDescent="0.2">
      <c r="A321">
        <v>320</v>
      </c>
      <c r="B321" s="61">
        <v>40557</v>
      </c>
      <c r="C321">
        <v>1</v>
      </c>
      <c r="D321">
        <v>0</v>
      </c>
      <c r="E321">
        <v>1</v>
      </c>
      <c r="F321">
        <v>19</v>
      </c>
      <c r="G321" t="b">
        <v>0</v>
      </c>
      <c r="H321">
        <v>5</v>
      </c>
      <c r="I321">
        <v>1</v>
      </c>
      <c r="J321">
        <v>0.16</v>
      </c>
    </row>
    <row r="322" spans="1:10" x14ac:dyDescent="0.2">
      <c r="A322">
        <v>321</v>
      </c>
      <c r="B322" s="61">
        <v>40557</v>
      </c>
      <c r="C322">
        <v>1</v>
      </c>
      <c r="D322">
        <v>0</v>
      </c>
      <c r="E322">
        <v>1</v>
      </c>
      <c r="F322">
        <v>20</v>
      </c>
      <c r="G322" t="b">
        <v>0</v>
      </c>
      <c r="H322">
        <v>5</v>
      </c>
      <c r="I322">
        <v>1</v>
      </c>
      <c r="J322">
        <v>0.18</v>
      </c>
    </row>
    <row r="323" spans="1:10" x14ac:dyDescent="0.2">
      <c r="A323">
        <v>322</v>
      </c>
      <c r="B323" s="61">
        <v>40557</v>
      </c>
      <c r="C323">
        <v>1</v>
      </c>
      <c r="D323">
        <v>0</v>
      </c>
      <c r="E323">
        <v>1</v>
      </c>
      <c r="F323">
        <v>21</v>
      </c>
      <c r="G323" t="b">
        <v>0</v>
      </c>
      <c r="H323">
        <v>5</v>
      </c>
      <c r="I323">
        <v>1</v>
      </c>
      <c r="J323">
        <v>0.16</v>
      </c>
    </row>
    <row r="324" spans="1:10" x14ac:dyDescent="0.2">
      <c r="A324">
        <v>323</v>
      </c>
      <c r="B324" s="61">
        <v>40557</v>
      </c>
      <c r="C324">
        <v>1</v>
      </c>
      <c r="D324">
        <v>0</v>
      </c>
      <c r="E324">
        <v>1</v>
      </c>
      <c r="F324">
        <v>22</v>
      </c>
      <c r="G324" t="b">
        <v>0</v>
      </c>
      <c r="H324">
        <v>5</v>
      </c>
      <c r="I324">
        <v>2</v>
      </c>
      <c r="J324">
        <v>0.16</v>
      </c>
    </row>
    <row r="325" spans="1:10" x14ac:dyDescent="0.2">
      <c r="A325">
        <v>324</v>
      </c>
      <c r="B325" s="61">
        <v>40557</v>
      </c>
      <c r="C325">
        <v>1</v>
      </c>
      <c r="D325">
        <v>0</v>
      </c>
      <c r="E325">
        <v>1</v>
      </c>
      <c r="F325">
        <v>23</v>
      </c>
      <c r="G325" t="b">
        <v>0</v>
      </c>
      <c r="H325">
        <v>5</v>
      </c>
      <c r="I325">
        <v>2</v>
      </c>
      <c r="J325">
        <v>0.18</v>
      </c>
    </row>
    <row r="326" spans="1:10" x14ac:dyDescent="0.2">
      <c r="A326">
        <v>325</v>
      </c>
      <c r="B326" s="61">
        <v>40558</v>
      </c>
      <c r="C326">
        <v>1</v>
      </c>
      <c r="D326">
        <v>0</v>
      </c>
      <c r="E326">
        <v>1</v>
      </c>
      <c r="F326">
        <v>0</v>
      </c>
      <c r="G326" t="b">
        <v>0</v>
      </c>
      <c r="H326">
        <v>6</v>
      </c>
      <c r="I326">
        <v>1</v>
      </c>
      <c r="J326">
        <v>0.18</v>
      </c>
    </row>
    <row r="327" spans="1:10" x14ac:dyDescent="0.2">
      <c r="A327">
        <v>326</v>
      </c>
      <c r="B327" s="61">
        <v>40558</v>
      </c>
      <c r="C327">
        <v>1</v>
      </c>
      <c r="D327">
        <v>0</v>
      </c>
      <c r="E327">
        <v>1</v>
      </c>
      <c r="F327">
        <v>1</v>
      </c>
      <c r="G327" t="b">
        <v>0</v>
      </c>
      <c r="H327">
        <v>6</v>
      </c>
      <c r="I327">
        <v>2</v>
      </c>
      <c r="J327">
        <v>0.16</v>
      </c>
    </row>
    <row r="328" spans="1:10" x14ac:dyDescent="0.2">
      <c r="A328">
        <v>327</v>
      </c>
      <c r="B328" s="61">
        <v>40558</v>
      </c>
      <c r="C328">
        <v>1</v>
      </c>
      <c r="D328">
        <v>0</v>
      </c>
      <c r="E328">
        <v>1</v>
      </c>
      <c r="F328">
        <v>2</v>
      </c>
      <c r="G328" t="b">
        <v>0</v>
      </c>
      <c r="H328">
        <v>6</v>
      </c>
      <c r="I328">
        <v>2</v>
      </c>
      <c r="J328">
        <v>0.16</v>
      </c>
    </row>
    <row r="329" spans="1:10" x14ac:dyDescent="0.2">
      <c r="A329">
        <v>328</v>
      </c>
      <c r="B329" s="61">
        <v>40558</v>
      </c>
      <c r="C329">
        <v>1</v>
      </c>
      <c r="D329">
        <v>0</v>
      </c>
      <c r="E329">
        <v>1</v>
      </c>
      <c r="F329">
        <v>3</v>
      </c>
      <c r="G329" t="b">
        <v>0</v>
      </c>
      <c r="H329">
        <v>6</v>
      </c>
      <c r="I329">
        <v>2</v>
      </c>
      <c r="J329">
        <v>0.16</v>
      </c>
    </row>
    <row r="330" spans="1:10" x14ac:dyDescent="0.2">
      <c r="A330">
        <v>329</v>
      </c>
      <c r="B330" s="61">
        <v>40558</v>
      </c>
      <c r="C330">
        <v>1</v>
      </c>
      <c r="D330">
        <v>0</v>
      </c>
      <c r="E330">
        <v>1</v>
      </c>
      <c r="F330">
        <v>4</v>
      </c>
      <c r="G330" t="b">
        <v>0</v>
      </c>
      <c r="H330">
        <v>6</v>
      </c>
      <c r="I330">
        <v>2</v>
      </c>
      <c r="J330">
        <v>0.16</v>
      </c>
    </row>
    <row r="331" spans="1:10" x14ac:dyDescent="0.2">
      <c r="A331">
        <v>330</v>
      </c>
      <c r="B331" s="61">
        <v>40558</v>
      </c>
      <c r="C331">
        <v>1</v>
      </c>
      <c r="D331">
        <v>0</v>
      </c>
      <c r="E331">
        <v>1</v>
      </c>
      <c r="F331">
        <v>5</v>
      </c>
      <c r="G331" t="b">
        <v>0</v>
      </c>
      <c r="H331">
        <v>6</v>
      </c>
      <c r="I331">
        <v>1</v>
      </c>
      <c r="J331">
        <v>0.16</v>
      </c>
    </row>
    <row r="332" spans="1:10" x14ac:dyDescent="0.2">
      <c r="A332">
        <v>331</v>
      </c>
      <c r="B332" s="61">
        <v>40558</v>
      </c>
      <c r="C332">
        <v>1</v>
      </c>
      <c r="D332">
        <v>0</v>
      </c>
      <c r="E332">
        <v>1</v>
      </c>
      <c r="F332">
        <v>6</v>
      </c>
      <c r="G332" t="b">
        <v>0</v>
      </c>
      <c r="H332">
        <v>6</v>
      </c>
      <c r="I332">
        <v>1</v>
      </c>
      <c r="J332">
        <v>0.14000000000000001</v>
      </c>
    </row>
    <row r="333" spans="1:10" x14ac:dyDescent="0.2">
      <c r="A333">
        <v>332</v>
      </c>
      <c r="B333" s="61">
        <v>40558</v>
      </c>
      <c r="C333">
        <v>1</v>
      </c>
      <c r="D333">
        <v>0</v>
      </c>
      <c r="E333">
        <v>1</v>
      </c>
      <c r="F333">
        <v>7</v>
      </c>
      <c r="G333" t="b">
        <v>0</v>
      </c>
      <c r="H333">
        <v>6</v>
      </c>
      <c r="I333">
        <v>1</v>
      </c>
      <c r="J333">
        <v>0.14000000000000001</v>
      </c>
    </row>
    <row r="334" spans="1:10" x14ac:dyDescent="0.2">
      <c r="A334">
        <v>333</v>
      </c>
      <c r="B334" s="61">
        <v>40558</v>
      </c>
      <c r="C334">
        <v>1</v>
      </c>
      <c r="D334">
        <v>0</v>
      </c>
      <c r="E334">
        <v>1</v>
      </c>
      <c r="F334">
        <v>8</v>
      </c>
      <c r="G334" t="b">
        <v>0</v>
      </c>
      <c r="H334">
        <v>6</v>
      </c>
      <c r="I334">
        <v>1</v>
      </c>
      <c r="J334">
        <v>0.14000000000000001</v>
      </c>
    </row>
    <row r="335" spans="1:10" x14ac:dyDescent="0.2">
      <c r="A335">
        <v>334</v>
      </c>
      <c r="B335" s="61">
        <v>40558</v>
      </c>
      <c r="C335">
        <v>1</v>
      </c>
      <c r="D335">
        <v>0</v>
      </c>
      <c r="E335">
        <v>1</v>
      </c>
      <c r="F335">
        <v>9</v>
      </c>
      <c r="G335" t="b">
        <v>0</v>
      </c>
      <c r="H335">
        <v>6</v>
      </c>
      <c r="I335">
        <v>1</v>
      </c>
      <c r="J335">
        <v>0.16</v>
      </c>
    </row>
    <row r="336" spans="1:10" x14ac:dyDescent="0.2">
      <c r="A336">
        <v>335</v>
      </c>
      <c r="B336" s="61">
        <v>40558</v>
      </c>
      <c r="C336">
        <v>1</v>
      </c>
      <c r="D336">
        <v>0</v>
      </c>
      <c r="E336">
        <v>1</v>
      </c>
      <c r="F336">
        <v>10</v>
      </c>
      <c r="G336" t="b">
        <v>0</v>
      </c>
      <c r="H336">
        <v>6</v>
      </c>
      <c r="I336">
        <v>1</v>
      </c>
      <c r="J336">
        <v>0.18</v>
      </c>
    </row>
    <row r="337" spans="1:10" x14ac:dyDescent="0.2">
      <c r="A337">
        <v>336</v>
      </c>
      <c r="B337" s="61">
        <v>40558</v>
      </c>
      <c r="C337">
        <v>1</v>
      </c>
      <c r="D337">
        <v>0</v>
      </c>
      <c r="E337">
        <v>1</v>
      </c>
      <c r="F337">
        <v>11</v>
      </c>
      <c r="G337" t="b">
        <v>0</v>
      </c>
      <c r="H337">
        <v>6</v>
      </c>
      <c r="I337">
        <v>1</v>
      </c>
      <c r="J337">
        <v>0.2</v>
      </c>
    </row>
    <row r="338" spans="1:10" x14ac:dyDescent="0.2">
      <c r="A338">
        <v>337</v>
      </c>
      <c r="B338" s="61">
        <v>40558</v>
      </c>
      <c r="C338">
        <v>1</v>
      </c>
      <c r="D338">
        <v>0</v>
      </c>
      <c r="E338">
        <v>1</v>
      </c>
      <c r="F338">
        <v>12</v>
      </c>
      <c r="G338" t="b">
        <v>0</v>
      </c>
      <c r="H338">
        <v>6</v>
      </c>
      <c r="I338">
        <v>1</v>
      </c>
      <c r="J338">
        <v>0.24</v>
      </c>
    </row>
    <row r="339" spans="1:10" x14ac:dyDescent="0.2">
      <c r="A339">
        <v>338</v>
      </c>
      <c r="B339" s="61">
        <v>40558</v>
      </c>
      <c r="C339">
        <v>1</v>
      </c>
      <c r="D339">
        <v>0</v>
      </c>
      <c r="E339">
        <v>1</v>
      </c>
      <c r="F339">
        <v>13</v>
      </c>
      <c r="G339" t="b">
        <v>0</v>
      </c>
      <c r="H339">
        <v>6</v>
      </c>
      <c r="I339">
        <v>1</v>
      </c>
      <c r="J339">
        <v>0.28000000000000003</v>
      </c>
    </row>
    <row r="340" spans="1:10" x14ac:dyDescent="0.2">
      <c r="A340">
        <v>339</v>
      </c>
      <c r="B340" s="61">
        <v>40558</v>
      </c>
      <c r="C340">
        <v>1</v>
      </c>
      <c r="D340">
        <v>0</v>
      </c>
      <c r="E340">
        <v>1</v>
      </c>
      <c r="F340">
        <v>14</v>
      </c>
      <c r="G340" t="b">
        <v>0</v>
      </c>
      <c r="H340">
        <v>6</v>
      </c>
      <c r="I340">
        <v>1</v>
      </c>
      <c r="J340">
        <v>0.3</v>
      </c>
    </row>
    <row r="341" spans="1:10" x14ac:dyDescent="0.2">
      <c r="A341">
        <v>340</v>
      </c>
      <c r="B341" s="61">
        <v>40558</v>
      </c>
      <c r="C341">
        <v>1</v>
      </c>
      <c r="D341">
        <v>0</v>
      </c>
      <c r="E341">
        <v>1</v>
      </c>
      <c r="F341">
        <v>15</v>
      </c>
      <c r="G341" t="b">
        <v>0</v>
      </c>
      <c r="H341">
        <v>6</v>
      </c>
      <c r="I341">
        <v>2</v>
      </c>
      <c r="J341">
        <v>0.32</v>
      </c>
    </row>
    <row r="342" spans="1:10" x14ac:dyDescent="0.2">
      <c r="A342">
        <v>341</v>
      </c>
      <c r="B342" s="61">
        <v>40558</v>
      </c>
      <c r="C342">
        <v>1</v>
      </c>
      <c r="D342">
        <v>0</v>
      </c>
      <c r="E342">
        <v>1</v>
      </c>
      <c r="F342">
        <v>16</v>
      </c>
      <c r="G342" t="b">
        <v>0</v>
      </c>
      <c r="H342">
        <v>6</v>
      </c>
      <c r="I342">
        <v>2</v>
      </c>
      <c r="J342">
        <v>0.34</v>
      </c>
    </row>
    <row r="343" spans="1:10" x14ac:dyDescent="0.2">
      <c r="A343">
        <v>342</v>
      </c>
      <c r="B343" s="61">
        <v>40558</v>
      </c>
      <c r="C343">
        <v>1</v>
      </c>
      <c r="D343">
        <v>0</v>
      </c>
      <c r="E343">
        <v>1</v>
      </c>
      <c r="F343">
        <v>17</v>
      </c>
      <c r="G343" t="b">
        <v>0</v>
      </c>
      <c r="H343">
        <v>6</v>
      </c>
      <c r="I343">
        <v>2</v>
      </c>
      <c r="J343">
        <v>0.32</v>
      </c>
    </row>
    <row r="344" spans="1:10" x14ac:dyDescent="0.2">
      <c r="A344">
        <v>343</v>
      </c>
      <c r="B344" s="61">
        <v>40558</v>
      </c>
      <c r="C344">
        <v>1</v>
      </c>
      <c r="D344">
        <v>0</v>
      </c>
      <c r="E344">
        <v>1</v>
      </c>
      <c r="F344">
        <v>18</v>
      </c>
      <c r="G344" t="b">
        <v>0</v>
      </c>
      <c r="H344">
        <v>6</v>
      </c>
      <c r="I344">
        <v>2</v>
      </c>
      <c r="J344">
        <v>0.3</v>
      </c>
    </row>
    <row r="345" spans="1:10" x14ac:dyDescent="0.2">
      <c r="A345">
        <v>344</v>
      </c>
      <c r="B345" s="61">
        <v>40558</v>
      </c>
      <c r="C345">
        <v>1</v>
      </c>
      <c r="D345">
        <v>0</v>
      </c>
      <c r="E345">
        <v>1</v>
      </c>
      <c r="F345">
        <v>19</v>
      </c>
      <c r="G345" t="b">
        <v>0</v>
      </c>
      <c r="H345">
        <v>6</v>
      </c>
      <c r="I345">
        <v>2</v>
      </c>
      <c r="J345">
        <v>0.32</v>
      </c>
    </row>
    <row r="346" spans="1:10" x14ac:dyDescent="0.2">
      <c r="A346">
        <v>345</v>
      </c>
      <c r="B346" s="61">
        <v>40558</v>
      </c>
      <c r="C346">
        <v>1</v>
      </c>
      <c r="D346">
        <v>0</v>
      </c>
      <c r="E346">
        <v>1</v>
      </c>
      <c r="F346">
        <v>20</v>
      </c>
      <c r="G346" t="b">
        <v>0</v>
      </c>
      <c r="H346">
        <v>6</v>
      </c>
      <c r="I346">
        <v>2</v>
      </c>
      <c r="J346">
        <v>0.32</v>
      </c>
    </row>
    <row r="347" spans="1:10" x14ac:dyDescent="0.2">
      <c r="A347">
        <v>346</v>
      </c>
      <c r="B347" s="61">
        <v>40558</v>
      </c>
      <c r="C347">
        <v>1</v>
      </c>
      <c r="D347">
        <v>0</v>
      </c>
      <c r="E347">
        <v>1</v>
      </c>
      <c r="F347">
        <v>21</v>
      </c>
      <c r="G347" t="b">
        <v>0</v>
      </c>
      <c r="H347">
        <v>6</v>
      </c>
      <c r="I347">
        <v>2</v>
      </c>
      <c r="J347">
        <v>0.32</v>
      </c>
    </row>
    <row r="348" spans="1:10" x14ac:dyDescent="0.2">
      <c r="A348">
        <v>347</v>
      </c>
      <c r="B348" s="61">
        <v>40558</v>
      </c>
      <c r="C348">
        <v>1</v>
      </c>
      <c r="D348">
        <v>0</v>
      </c>
      <c r="E348">
        <v>1</v>
      </c>
      <c r="F348">
        <v>22</v>
      </c>
      <c r="G348" t="b">
        <v>0</v>
      </c>
      <c r="H348">
        <v>6</v>
      </c>
      <c r="I348">
        <v>2</v>
      </c>
      <c r="J348">
        <v>0.3</v>
      </c>
    </row>
    <row r="349" spans="1:10" x14ac:dyDescent="0.2">
      <c r="A349">
        <v>348</v>
      </c>
      <c r="B349" s="61">
        <v>40558</v>
      </c>
      <c r="C349">
        <v>1</v>
      </c>
      <c r="D349">
        <v>0</v>
      </c>
      <c r="E349">
        <v>1</v>
      </c>
      <c r="F349">
        <v>23</v>
      </c>
      <c r="G349" t="b">
        <v>0</v>
      </c>
      <c r="H349">
        <v>6</v>
      </c>
      <c r="I349">
        <v>1</v>
      </c>
      <c r="J349">
        <v>0.3</v>
      </c>
    </row>
    <row r="350" spans="1:10" x14ac:dyDescent="0.2">
      <c r="A350">
        <v>349</v>
      </c>
      <c r="B350" s="61">
        <v>40559</v>
      </c>
      <c r="C350">
        <v>1</v>
      </c>
      <c r="D350">
        <v>0</v>
      </c>
      <c r="E350">
        <v>1</v>
      </c>
      <c r="F350">
        <v>0</v>
      </c>
      <c r="G350" t="b">
        <v>0</v>
      </c>
      <c r="H350">
        <v>0</v>
      </c>
      <c r="I350">
        <v>1</v>
      </c>
      <c r="J350">
        <v>0.26</v>
      </c>
    </row>
    <row r="351" spans="1:10" x14ac:dyDescent="0.2">
      <c r="A351">
        <v>350</v>
      </c>
      <c r="B351" s="61">
        <v>40559</v>
      </c>
      <c r="C351">
        <v>1</v>
      </c>
      <c r="D351">
        <v>0</v>
      </c>
      <c r="E351">
        <v>1</v>
      </c>
      <c r="F351">
        <v>1</v>
      </c>
      <c r="G351" t="b">
        <v>0</v>
      </c>
      <c r="H351">
        <v>0</v>
      </c>
      <c r="I351">
        <v>1</v>
      </c>
      <c r="J351">
        <v>0.26</v>
      </c>
    </row>
    <row r="352" spans="1:10" x14ac:dyDescent="0.2">
      <c r="A352">
        <v>351</v>
      </c>
      <c r="B352" s="61">
        <v>40559</v>
      </c>
      <c r="C352">
        <v>1</v>
      </c>
      <c r="D352">
        <v>0</v>
      </c>
      <c r="E352">
        <v>1</v>
      </c>
      <c r="F352">
        <v>2</v>
      </c>
      <c r="G352" t="b">
        <v>0</v>
      </c>
      <c r="H352">
        <v>0</v>
      </c>
      <c r="I352">
        <v>1</v>
      </c>
      <c r="J352">
        <v>0.26</v>
      </c>
    </row>
    <row r="353" spans="1:10" x14ac:dyDescent="0.2">
      <c r="A353">
        <v>352</v>
      </c>
      <c r="B353" s="61">
        <v>40559</v>
      </c>
      <c r="C353">
        <v>1</v>
      </c>
      <c r="D353">
        <v>0</v>
      </c>
      <c r="E353">
        <v>1</v>
      </c>
      <c r="F353">
        <v>3</v>
      </c>
      <c r="G353" t="b">
        <v>0</v>
      </c>
      <c r="H353">
        <v>0</v>
      </c>
      <c r="I353">
        <v>1</v>
      </c>
      <c r="J353">
        <v>0.22</v>
      </c>
    </row>
    <row r="354" spans="1:10" x14ac:dyDescent="0.2">
      <c r="A354">
        <v>353</v>
      </c>
      <c r="B354" s="61">
        <v>40559</v>
      </c>
      <c r="C354">
        <v>1</v>
      </c>
      <c r="D354">
        <v>0</v>
      </c>
      <c r="E354">
        <v>1</v>
      </c>
      <c r="F354">
        <v>4</v>
      </c>
      <c r="G354" t="b">
        <v>0</v>
      </c>
      <c r="H354">
        <v>0</v>
      </c>
      <c r="I354">
        <v>1</v>
      </c>
      <c r="J354">
        <v>0.26</v>
      </c>
    </row>
    <row r="355" spans="1:10" x14ac:dyDescent="0.2">
      <c r="A355">
        <v>354</v>
      </c>
      <c r="B355" s="61">
        <v>40559</v>
      </c>
      <c r="C355">
        <v>1</v>
      </c>
      <c r="D355">
        <v>0</v>
      </c>
      <c r="E355">
        <v>1</v>
      </c>
      <c r="F355">
        <v>5</v>
      </c>
      <c r="G355" t="b">
        <v>0</v>
      </c>
      <c r="H355">
        <v>0</v>
      </c>
      <c r="I355">
        <v>2</v>
      </c>
      <c r="J355">
        <v>0.26</v>
      </c>
    </row>
    <row r="356" spans="1:10" x14ac:dyDescent="0.2">
      <c r="A356">
        <v>355</v>
      </c>
      <c r="B356" s="61">
        <v>40559</v>
      </c>
      <c r="C356">
        <v>1</v>
      </c>
      <c r="D356">
        <v>0</v>
      </c>
      <c r="E356">
        <v>1</v>
      </c>
      <c r="F356">
        <v>6</v>
      </c>
      <c r="G356" t="b">
        <v>0</v>
      </c>
      <c r="H356">
        <v>0</v>
      </c>
      <c r="I356">
        <v>2</v>
      </c>
      <c r="J356">
        <v>0.26</v>
      </c>
    </row>
    <row r="357" spans="1:10" x14ac:dyDescent="0.2">
      <c r="A357">
        <v>356</v>
      </c>
      <c r="B357" s="61">
        <v>40559</v>
      </c>
      <c r="C357">
        <v>1</v>
      </c>
      <c r="D357">
        <v>0</v>
      </c>
      <c r="E357">
        <v>1</v>
      </c>
      <c r="F357">
        <v>7</v>
      </c>
      <c r="G357" t="b">
        <v>0</v>
      </c>
      <c r="H357">
        <v>0</v>
      </c>
      <c r="I357">
        <v>2</v>
      </c>
      <c r="J357">
        <v>0.24</v>
      </c>
    </row>
    <row r="358" spans="1:10" x14ac:dyDescent="0.2">
      <c r="A358">
        <v>357</v>
      </c>
      <c r="B358" s="61">
        <v>40559</v>
      </c>
      <c r="C358">
        <v>1</v>
      </c>
      <c r="D358">
        <v>0</v>
      </c>
      <c r="E358">
        <v>1</v>
      </c>
      <c r="F358">
        <v>8</v>
      </c>
      <c r="G358" t="b">
        <v>0</v>
      </c>
      <c r="H358">
        <v>0</v>
      </c>
      <c r="I358">
        <v>1</v>
      </c>
      <c r="J358">
        <v>0.22</v>
      </c>
    </row>
    <row r="359" spans="1:10" x14ac:dyDescent="0.2">
      <c r="A359">
        <v>358</v>
      </c>
      <c r="B359" s="61">
        <v>40559</v>
      </c>
      <c r="C359">
        <v>1</v>
      </c>
      <c r="D359">
        <v>0</v>
      </c>
      <c r="E359">
        <v>1</v>
      </c>
      <c r="F359">
        <v>9</v>
      </c>
      <c r="G359" t="b">
        <v>0</v>
      </c>
      <c r="H359">
        <v>0</v>
      </c>
      <c r="I359">
        <v>1</v>
      </c>
      <c r="J359">
        <v>0.22</v>
      </c>
    </row>
    <row r="360" spans="1:10" x14ac:dyDescent="0.2">
      <c r="A360">
        <v>359</v>
      </c>
      <c r="B360" s="61">
        <v>40559</v>
      </c>
      <c r="C360">
        <v>1</v>
      </c>
      <c r="D360">
        <v>0</v>
      </c>
      <c r="E360">
        <v>1</v>
      </c>
      <c r="F360">
        <v>10</v>
      </c>
      <c r="G360" t="b">
        <v>0</v>
      </c>
      <c r="H360">
        <v>0</v>
      </c>
      <c r="I360">
        <v>1</v>
      </c>
      <c r="J360">
        <v>0.22</v>
      </c>
    </row>
    <row r="361" spans="1:10" x14ac:dyDescent="0.2">
      <c r="A361">
        <v>360</v>
      </c>
      <c r="B361" s="61">
        <v>40559</v>
      </c>
      <c r="C361">
        <v>1</v>
      </c>
      <c r="D361">
        <v>0</v>
      </c>
      <c r="E361">
        <v>1</v>
      </c>
      <c r="F361">
        <v>11</v>
      </c>
      <c r="G361" t="b">
        <v>0</v>
      </c>
      <c r="H361">
        <v>0</v>
      </c>
      <c r="I361">
        <v>1</v>
      </c>
      <c r="J361">
        <v>0.24</v>
      </c>
    </row>
    <row r="362" spans="1:10" x14ac:dyDescent="0.2">
      <c r="A362">
        <v>361</v>
      </c>
      <c r="B362" s="61">
        <v>40559</v>
      </c>
      <c r="C362">
        <v>1</v>
      </c>
      <c r="D362">
        <v>0</v>
      </c>
      <c r="E362">
        <v>1</v>
      </c>
      <c r="F362">
        <v>12</v>
      </c>
      <c r="G362" t="b">
        <v>0</v>
      </c>
      <c r="H362">
        <v>0</v>
      </c>
      <c r="I362">
        <v>1</v>
      </c>
      <c r="J362">
        <v>0.24</v>
      </c>
    </row>
    <row r="363" spans="1:10" x14ac:dyDescent="0.2">
      <c r="A363">
        <v>362</v>
      </c>
      <c r="B363" s="61">
        <v>40559</v>
      </c>
      <c r="C363">
        <v>1</v>
      </c>
      <c r="D363">
        <v>0</v>
      </c>
      <c r="E363">
        <v>1</v>
      </c>
      <c r="F363">
        <v>13</v>
      </c>
      <c r="G363" t="b">
        <v>0</v>
      </c>
      <c r="H363">
        <v>0</v>
      </c>
      <c r="I363">
        <v>1</v>
      </c>
      <c r="J363">
        <v>0.26</v>
      </c>
    </row>
    <row r="364" spans="1:10" x14ac:dyDescent="0.2">
      <c r="A364">
        <v>363</v>
      </c>
      <c r="B364" s="61">
        <v>40559</v>
      </c>
      <c r="C364">
        <v>1</v>
      </c>
      <c r="D364">
        <v>0</v>
      </c>
      <c r="E364">
        <v>1</v>
      </c>
      <c r="F364">
        <v>14</v>
      </c>
      <c r="G364" t="b">
        <v>0</v>
      </c>
      <c r="H364">
        <v>0</v>
      </c>
      <c r="I364">
        <v>1</v>
      </c>
      <c r="J364">
        <v>0.28000000000000003</v>
      </c>
    </row>
    <row r="365" spans="1:10" x14ac:dyDescent="0.2">
      <c r="A365">
        <v>364</v>
      </c>
      <c r="B365" s="61">
        <v>40559</v>
      </c>
      <c r="C365">
        <v>1</v>
      </c>
      <c r="D365">
        <v>0</v>
      </c>
      <c r="E365">
        <v>1</v>
      </c>
      <c r="F365">
        <v>15</v>
      </c>
      <c r="G365" t="b">
        <v>0</v>
      </c>
      <c r="H365">
        <v>0</v>
      </c>
      <c r="I365">
        <v>1</v>
      </c>
      <c r="J365">
        <v>0.26</v>
      </c>
    </row>
    <row r="366" spans="1:10" x14ac:dyDescent="0.2">
      <c r="A366">
        <v>365</v>
      </c>
      <c r="B366" s="61">
        <v>40559</v>
      </c>
      <c r="C366">
        <v>1</v>
      </c>
      <c r="D366">
        <v>0</v>
      </c>
      <c r="E366">
        <v>1</v>
      </c>
      <c r="F366">
        <v>16</v>
      </c>
      <c r="G366" t="b">
        <v>0</v>
      </c>
      <c r="H366">
        <v>0</v>
      </c>
      <c r="I366">
        <v>1</v>
      </c>
      <c r="J366">
        <v>0.24</v>
      </c>
    </row>
    <row r="367" spans="1:10" x14ac:dyDescent="0.2">
      <c r="A367">
        <v>366</v>
      </c>
      <c r="B367" s="61">
        <v>40559</v>
      </c>
      <c r="C367">
        <v>1</v>
      </c>
      <c r="D367">
        <v>0</v>
      </c>
      <c r="E367">
        <v>1</v>
      </c>
      <c r="F367">
        <v>17</v>
      </c>
      <c r="G367" t="b">
        <v>0</v>
      </c>
      <c r="H367">
        <v>0</v>
      </c>
      <c r="I367">
        <v>1</v>
      </c>
      <c r="J367">
        <v>0.22</v>
      </c>
    </row>
    <row r="368" spans="1:10" x14ac:dyDescent="0.2">
      <c r="A368">
        <v>367</v>
      </c>
      <c r="B368" s="61">
        <v>40559</v>
      </c>
      <c r="C368">
        <v>1</v>
      </c>
      <c r="D368">
        <v>0</v>
      </c>
      <c r="E368">
        <v>1</v>
      </c>
      <c r="F368">
        <v>18</v>
      </c>
      <c r="G368" t="b">
        <v>0</v>
      </c>
      <c r="H368">
        <v>0</v>
      </c>
      <c r="I368">
        <v>1</v>
      </c>
      <c r="J368">
        <v>0.2</v>
      </c>
    </row>
    <row r="369" spans="1:10" x14ac:dyDescent="0.2">
      <c r="A369">
        <v>368</v>
      </c>
      <c r="B369" s="61">
        <v>40559</v>
      </c>
      <c r="C369">
        <v>1</v>
      </c>
      <c r="D369">
        <v>0</v>
      </c>
      <c r="E369">
        <v>1</v>
      </c>
      <c r="F369">
        <v>19</v>
      </c>
      <c r="G369" t="b">
        <v>0</v>
      </c>
      <c r="H369">
        <v>0</v>
      </c>
      <c r="I369">
        <v>1</v>
      </c>
      <c r="J369">
        <v>0.18</v>
      </c>
    </row>
    <row r="370" spans="1:10" x14ac:dyDescent="0.2">
      <c r="A370">
        <v>369</v>
      </c>
      <c r="B370" s="61">
        <v>40559</v>
      </c>
      <c r="C370">
        <v>1</v>
      </c>
      <c r="D370">
        <v>0</v>
      </c>
      <c r="E370">
        <v>1</v>
      </c>
      <c r="F370">
        <v>20</v>
      </c>
      <c r="G370" t="b">
        <v>0</v>
      </c>
      <c r="H370">
        <v>0</v>
      </c>
      <c r="I370">
        <v>1</v>
      </c>
      <c r="J370">
        <v>0.18</v>
      </c>
    </row>
    <row r="371" spans="1:10" x14ac:dyDescent="0.2">
      <c r="A371">
        <v>370</v>
      </c>
      <c r="B371" s="61">
        <v>40559</v>
      </c>
      <c r="C371">
        <v>1</v>
      </c>
      <c r="D371">
        <v>0</v>
      </c>
      <c r="E371">
        <v>1</v>
      </c>
      <c r="F371">
        <v>21</v>
      </c>
      <c r="G371" t="b">
        <v>0</v>
      </c>
      <c r="H371">
        <v>0</v>
      </c>
      <c r="I371">
        <v>1</v>
      </c>
      <c r="J371">
        <v>0.18</v>
      </c>
    </row>
    <row r="372" spans="1:10" x14ac:dyDescent="0.2">
      <c r="A372">
        <v>371</v>
      </c>
      <c r="B372" s="61">
        <v>40559</v>
      </c>
      <c r="C372">
        <v>1</v>
      </c>
      <c r="D372">
        <v>0</v>
      </c>
      <c r="E372">
        <v>1</v>
      </c>
      <c r="F372">
        <v>22</v>
      </c>
      <c r="G372" t="b">
        <v>0</v>
      </c>
      <c r="H372">
        <v>0</v>
      </c>
      <c r="I372">
        <v>2</v>
      </c>
      <c r="J372">
        <v>0.2</v>
      </c>
    </row>
    <row r="373" spans="1:10" x14ac:dyDescent="0.2">
      <c r="A373">
        <v>372</v>
      </c>
      <c r="B373" s="61">
        <v>40559</v>
      </c>
      <c r="C373">
        <v>1</v>
      </c>
      <c r="D373">
        <v>0</v>
      </c>
      <c r="E373">
        <v>1</v>
      </c>
      <c r="F373">
        <v>23</v>
      </c>
      <c r="G373" t="b">
        <v>0</v>
      </c>
      <c r="H373">
        <v>0</v>
      </c>
      <c r="I373">
        <v>2</v>
      </c>
      <c r="J373">
        <v>0.2</v>
      </c>
    </row>
    <row r="374" spans="1:10" x14ac:dyDescent="0.2">
      <c r="A374">
        <v>373</v>
      </c>
      <c r="B374" s="61">
        <v>40560</v>
      </c>
      <c r="C374">
        <v>1</v>
      </c>
      <c r="D374">
        <v>0</v>
      </c>
      <c r="E374">
        <v>1</v>
      </c>
      <c r="F374">
        <v>0</v>
      </c>
      <c r="G374" t="b">
        <v>1</v>
      </c>
      <c r="H374">
        <v>1</v>
      </c>
      <c r="I374">
        <v>2</v>
      </c>
      <c r="J374">
        <v>0.2</v>
      </c>
    </row>
    <row r="375" spans="1:10" x14ac:dyDescent="0.2">
      <c r="A375">
        <v>374</v>
      </c>
      <c r="B375" s="61">
        <v>40560</v>
      </c>
      <c r="C375">
        <v>1</v>
      </c>
      <c r="D375">
        <v>0</v>
      </c>
      <c r="E375">
        <v>1</v>
      </c>
      <c r="F375">
        <v>1</v>
      </c>
      <c r="G375" t="b">
        <v>1</v>
      </c>
      <c r="H375">
        <v>1</v>
      </c>
      <c r="I375">
        <v>2</v>
      </c>
      <c r="J375">
        <v>0.2</v>
      </c>
    </row>
    <row r="376" spans="1:10" x14ac:dyDescent="0.2">
      <c r="A376">
        <v>375</v>
      </c>
      <c r="B376" s="61">
        <v>40560</v>
      </c>
      <c r="C376">
        <v>1</v>
      </c>
      <c r="D376">
        <v>0</v>
      </c>
      <c r="E376">
        <v>1</v>
      </c>
      <c r="F376">
        <v>2</v>
      </c>
      <c r="G376" t="b">
        <v>1</v>
      </c>
      <c r="H376">
        <v>1</v>
      </c>
      <c r="I376">
        <v>2</v>
      </c>
      <c r="J376">
        <v>0.18</v>
      </c>
    </row>
    <row r="377" spans="1:10" x14ac:dyDescent="0.2">
      <c r="A377">
        <v>376</v>
      </c>
      <c r="B377" s="61">
        <v>40560</v>
      </c>
      <c r="C377">
        <v>1</v>
      </c>
      <c r="D377">
        <v>0</v>
      </c>
      <c r="E377">
        <v>1</v>
      </c>
      <c r="F377">
        <v>3</v>
      </c>
      <c r="G377" t="b">
        <v>1</v>
      </c>
      <c r="H377">
        <v>1</v>
      </c>
      <c r="I377">
        <v>2</v>
      </c>
      <c r="J377">
        <v>0.18</v>
      </c>
    </row>
    <row r="378" spans="1:10" x14ac:dyDescent="0.2">
      <c r="A378">
        <v>377</v>
      </c>
      <c r="B378" s="61">
        <v>40560</v>
      </c>
      <c r="C378">
        <v>1</v>
      </c>
      <c r="D378">
        <v>0</v>
      </c>
      <c r="E378">
        <v>1</v>
      </c>
      <c r="F378">
        <v>4</v>
      </c>
      <c r="G378" t="b">
        <v>1</v>
      </c>
      <c r="H378">
        <v>1</v>
      </c>
      <c r="I378">
        <v>2</v>
      </c>
      <c r="J378">
        <v>0.18</v>
      </c>
    </row>
    <row r="379" spans="1:10" x14ac:dyDescent="0.2">
      <c r="A379">
        <v>378</v>
      </c>
      <c r="B379" s="61">
        <v>40560</v>
      </c>
      <c r="C379">
        <v>1</v>
      </c>
      <c r="D379">
        <v>0</v>
      </c>
      <c r="E379">
        <v>1</v>
      </c>
      <c r="F379">
        <v>5</v>
      </c>
      <c r="G379" t="b">
        <v>1</v>
      </c>
      <c r="H379">
        <v>1</v>
      </c>
      <c r="I379">
        <v>2</v>
      </c>
      <c r="J379">
        <v>0.18</v>
      </c>
    </row>
    <row r="380" spans="1:10" x14ac:dyDescent="0.2">
      <c r="A380">
        <v>379</v>
      </c>
      <c r="B380" s="61">
        <v>40560</v>
      </c>
      <c r="C380">
        <v>1</v>
      </c>
      <c r="D380">
        <v>0</v>
      </c>
      <c r="E380">
        <v>1</v>
      </c>
      <c r="F380">
        <v>6</v>
      </c>
      <c r="G380" t="b">
        <v>1</v>
      </c>
      <c r="H380">
        <v>1</v>
      </c>
      <c r="I380">
        <v>2</v>
      </c>
      <c r="J380">
        <v>0.18</v>
      </c>
    </row>
    <row r="381" spans="1:10" x14ac:dyDescent="0.2">
      <c r="A381">
        <v>380</v>
      </c>
      <c r="B381" s="61">
        <v>40560</v>
      </c>
      <c r="C381">
        <v>1</v>
      </c>
      <c r="D381">
        <v>0</v>
      </c>
      <c r="E381">
        <v>1</v>
      </c>
      <c r="F381">
        <v>7</v>
      </c>
      <c r="G381" t="b">
        <v>1</v>
      </c>
      <c r="H381">
        <v>1</v>
      </c>
      <c r="I381">
        <v>2</v>
      </c>
      <c r="J381">
        <v>0.16</v>
      </c>
    </row>
    <row r="382" spans="1:10" x14ac:dyDescent="0.2">
      <c r="A382">
        <v>381</v>
      </c>
      <c r="B382" s="61">
        <v>40560</v>
      </c>
      <c r="C382">
        <v>1</v>
      </c>
      <c r="D382">
        <v>0</v>
      </c>
      <c r="E382">
        <v>1</v>
      </c>
      <c r="F382">
        <v>8</v>
      </c>
      <c r="G382" t="b">
        <v>1</v>
      </c>
      <c r="H382">
        <v>1</v>
      </c>
      <c r="I382">
        <v>2</v>
      </c>
      <c r="J382">
        <v>0.16</v>
      </c>
    </row>
    <row r="383" spans="1:10" x14ac:dyDescent="0.2">
      <c r="A383">
        <v>382</v>
      </c>
      <c r="B383" s="61">
        <v>40560</v>
      </c>
      <c r="C383">
        <v>1</v>
      </c>
      <c r="D383">
        <v>0</v>
      </c>
      <c r="E383">
        <v>1</v>
      </c>
      <c r="F383">
        <v>9</v>
      </c>
      <c r="G383" t="b">
        <v>1</v>
      </c>
      <c r="H383">
        <v>1</v>
      </c>
      <c r="I383">
        <v>2</v>
      </c>
      <c r="J383">
        <v>0.16</v>
      </c>
    </row>
    <row r="384" spans="1:10" x14ac:dyDescent="0.2">
      <c r="A384">
        <v>383</v>
      </c>
      <c r="B384" s="61">
        <v>40560</v>
      </c>
      <c r="C384">
        <v>1</v>
      </c>
      <c r="D384">
        <v>0</v>
      </c>
      <c r="E384">
        <v>1</v>
      </c>
      <c r="F384">
        <v>10</v>
      </c>
      <c r="G384" t="b">
        <v>1</v>
      </c>
      <c r="H384">
        <v>1</v>
      </c>
      <c r="I384">
        <v>2</v>
      </c>
      <c r="J384">
        <v>0.16</v>
      </c>
    </row>
    <row r="385" spans="1:10" x14ac:dyDescent="0.2">
      <c r="A385">
        <v>384</v>
      </c>
      <c r="B385" s="61">
        <v>40560</v>
      </c>
      <c r="C385">
        <v>1</v>
      </c>
      <c r="D385">
        <v>0</v>
      </c>
      <c r="E385">
        <v>1</v>
      </c>
      <c r="F385">
        <v>11</v>
      </c>
      <c r="G385" t="b">
        <v>1</v>
      </c>
      <c r="H385">
        <v>1</v>
      </c>
      <c r="I385">
        <v>2</v>
      </c>
      <c r="J385">
        <v>0.16</v>
      </c>
    </row>
    <row r="386" spans="1:10" x14ac:dyDescent="0.2">
      <c r="A386">
        <v>385</v>
      </c>
      <c r="B386" s="61">
        <v>40560</v>
      </c>
      <c r="C386">
        <v>1</v>
      </c>
      <c r="D386">
        <v>0</v>
      </c>
      <c r="E386">
        <v>1</v>
      </c>
      <c r="F386">
        <v>12</v>
      </c>
      <c r="G386" t="b">
        <v>1</v>
      </c>
      <c r="H386">
        <v>1</v>
      </c>
      <c r="I386">
        <v>2</v>
      </c>
      <c r="J386">
        <v>0.18</v>
      </c>
    </row>
    <row r="387" spans="1:10" x14ac:dyDescent="0.2">
      <c r="A387">
        <v>386</v>
      </c>
      <c r="B387" s="61">
        <v>40560</v>
      </c>
      <c r="C387">
        <v>1</v>
      </c>
      <c r="D387">
        <v>0</v>
      </c>
      <c r="E387">
        <v>1</v>
      </c>
      <c r="F387">
        <v>13</v>
      </c>
      <c r="G387" t="b">
        <v>1</v>
      </c>
      <c r="H387">
        <v>1</v>
      </c>
      <c r="I387">
        <v>2</v>
      </c>
      <c r="J387">
        <v>0.18</v>
      </c>
    </row>
    <row r="388" spans="1:10" x14ac:dyDescent="0.2">
      <c r="A388">
        <v>387</v>
      </c>
      <c r="B388" s="61">
        <v>40560</v>
      </c>
      <c r="C388">
        <v>1</v>
      </c>
      <c r="D388">
        <v>0</v>
      </c>
      <c r="E388">
        <v>1</v>
      </c>
      <c r="F388">
        <v>14</v>
      </c>
      <c r="G388" t="b">
        <v>1</v>
      </c>
      <c r="H388">
        <v>1</v>
      </c>
      <c r="I388">
        <v>2</v>
      </c>
      <c r="J388">
        <v>0.18</v>
      </c>
    </row>
    <row r="389" spans="1:10" x14ac:dyDescent="0.2">
      <c r="A389">
        <v>388</v>
      </c>
      <c r="B389" s="61">
        <v>40560</v>
      </c>
      <c r="C389">
        <v>1</v>
      </c>
      <c r="D389">
        <v>0</v>
      </c>
      <c r="E389">
        <v>1</v>
      </c>
      <c r="F389">
        <v>15</v>
      </c>
      <c r="G389" t="b">
        <v>1</v>
      </c>
      <c r="H389">
        <v>1</v>
      </c>
      <c r="I389">
        <v>2</v>
      </c>
      <c r="J389">
        <v>0.2</v>
      </c>
    </row>
    <row r="390" spans="1:10" x14ac:dyDescent="0.2">
      <c r="A390">
        <v>389</v>
      </c>
      <c r="B390" s="61">
        <v>40560</v>
      </c>
      <c r="C390">
        <v>1</v>
      </c>
      <c r="D390">
        <v>0</v>
      </c>
      <c r="E390">
        <v>1</v>
      </c>
      <c r="F390">
        <v>16</v>
      </c>
      <c r="G390" t="b">
        <v>1</v>
      </c>
      <c r="H390">
        <v>1</v>
      </c>
      <c r="I390">
        <v>2</v>
      </c>
      <c r="J390">
        <v>0.2</v>
      </c>
    </row>
    <row r="391" spans="1:10" x14ac:dyDescent="0.2">
      <c r="A391">
        <v>390</v>
      </c>
      <c r="B391" s="61">
        <v>40560</v>
      </c>
      <c r="C391">
        <v>1</v>
      </c>
      <c r="D391">
        <v>0</v>
      </c>
      <c r="E391">
        <v>1</v>
      </c>
      <c r="F391">
        <v>17</v>
      </c>
      <c r="G391" t="b">
        <v>1</v>
      </c>
      <c r="H391">
        <v>1</v>
      </c>
      <c r="I391">
        <v>1</v>
      </c>
      <c r="J391">
        <v>0.2</v>
      </c>
    </row>
    <row r="392" spans="1:10" x14ac:dyDescent="0.2">
      <c r="A392">
        <v>391</v>
      </c>
      <c r="B392" s="61">
        <v>40560</v>
      </c>
      <c r="C392">
        <v>1</v>
      </c>
      <c r="D392">
        <v>0</v>
      </c>
      <c r="E392">
        <v>1</v>
      </c>
      <c r="F392">
        <v>18</v>
      </c>
      <c r="G392" t="b">
        <v>1</v>
      </c>
      <c r="H392">
        <v>1</v>
      </c>
      <c r="I392">
        <v>2</v>
      </c>
      <c r="J392">
        <v>0.18</v>
      </c>
    </row>
    <row r="393" spans="1:10" x14ac:dyDescent="0.2">
      <c r="A393">
        <v>392</v>
      </c>
      <c r="B393" s="61">
        <v>40560</v>
      </c>
      <c r="C393">
        <v>1</v>
      </c>
      <c r="D393">
        <v>0</v>
      </c>
      <c r="E393">
        <v>1</v>
      </c>
      <c r="F393">
        <v>19</v>
      </c>
      <c r="G393" t="b">
        <v>1</v>
      </c>
      <c r="H393">
        <v>1</v>
      </c>
      <c r="I393">
        <v>3</v>
      </c>
      <c r="J393">
        <v>0.18</v>
      </c>
    </row>
    <row r="394" spans="1:10" x14ac:dyDescent="0.2">
      <c r="A394">
        <v>393</v>
      </c>
      <c r="B394" s="61">
        <v>40560</v>
      </c>
      <c r="C394">
        <v>1</v>
      </c>
      <c r="D394">
        <v>0</v>
      </c>
      <c r="E394">
        <v>1</v>
      </c>
      <c r="F394">
        <v>20</v>
      </c>
      <c r="G394" t="b">
        <v>1</v>
      </c>
      <c r="H394">
        <v>1</v>
      </c>
      <c r="I394">
        <v>3</v>
      </c>
      <c r="J394">
        <v>0.16</v>
      </c>
    </row>
    <row r="395" spans="1:10" x14ac:dyDescent="0.2">
      <c r="A395">
        <v>394</v>
      </c>
      <c r="B395" s="61">
        <v>40560</v>
      </c>
      <c r="C395">
        <v>1</v>
      </c>
      <c r="D395">
        <v>0</v>
      </c>
      <c r="E395">
        <v>1</v>
      </c>
      <c r="F395">
        <v>21</v>
      </c>
      <c r="G395" t="b">
        <v>1</v>
      </c>
      <c r="H395">
        <v>1</v>
      </c>
      <c r="I395">
        <v>3</v>
      </c>
      <c r="J395">
        <v>0.16</v>
      </c>
    </row>
    <row r="396" spans="1:10" x14ac:dyDescent="0.2">
      <c r="A396">
        <v>395</v>
      </c>
      <c r="B396" s="61">
        <v>40560</v>
      </c>
      <c r="C396">
        <v>1</v>
      </c>
      <c r="D396">
        <v>0</v>
      </c>
      <c r="E396">
        <v>1</v>
      </c>
      <c r="F396">
        <v>22</v>
      </c>
      <c r="G396" t="b">
        <v>1</v>
      </c>
      <c r="H396">
        <v>1</v>
      </c>
      <c r="I396">
        <v>3</v>
      </c>
      <c r="J396">
        <v>0.14000000000000001</v>
      </c>
    </row>
    <row r="397" spans="1:10" x14ac:dyDescent="0.2">
      <c r="A397">
        <v>396</v>
      </c>
      <c r="B397" s="61">
        <v>40560</v>
      </c>
      <c r="C397">
        <v>1</v>
      </c>
      <c r="D397">
        <v>0</v>
      </c>
      <c r="E397">
        <v>1</v>
      </c>
      <c r="F397">
        <v>23</v>
      </c>
      <c r="G397" t="b">
        <v>1</v>
      </c>
      <c r="H397">
        <v>1</v>
      </c>
      <c r="I397">
        <v>3</v>
      </c>
      <c r="J397">
        <v>0.16</v>
      </c>
    </row>
    <row r="398" spans="1:10" x14ac:dyDescent="0.2">
      <c r="A398">
        <v>397</v>
      </c>
      <c r="B398" s="61">
        <v>40561</v>
      </c>
      <c r="C398">
        <v>1</v>
      </c>
      <c r="D398">
        <v>0</v>
      </c>
      <c r="E398">
        <v>1</v>
      </c>
      <c r="F398">
        <v>12</v>
      </c>
      <c r="G398" t="b">
        <v>0</v>
      </c>
      <c r="H398">
        <v>2</v>
      </c>
      <c r="I398">
        <v>2</v>
      </c>
      <c r="J398">
        <v>0.2</v>
      </c>
    </row>
    <row r="399" spans="1:10" x14ac:dyDescent="0.2">
      <c r="A399">
        <v>398</v>
      </c>
      <c r="B399" s="61">
        <v>40561</v>
      </c>
      <c r="C399">
        <v>1</v>
      </c>
      <c r="D399">
        <v>0</v>
      </c>
      <c r="E399">
        <v>1</v>
      </c>
      <c r="F399">
        <v>13</v>
      </c>
      <c r="G399" t="b">
        <v>0</v>
      </c>
      <c r="H399">
        <v>2</v>
      </c>
      <c r="I399">
        <v>2</v>
      </c>
      <c r="J399">
        <v>0.2</v>
      </c>
    </row>
    <row r="400" spans="1:10" x14ac:dyDescent="0.2">
      <c r="A400">
        <v>399</v>
      </c>
      <c r="B400" s="61">
        <v>40561</v>
      </c>
      <c r="C400">
        <v>1</v>
      </c>
      <c r="D400">
        <v>0</v>
      </c>
      <c r="E400">
        <v>1</v>
      </c>
      <c r="F400">
        <v>14</v>
      </c>
      <c r="G400" t="b">
        <v>0</v>
      </c>
      <c r="H400">
        <v>2</v>
      </c>
      <c r="I400">
        <v>2</v>
      </c>
      <c r="J400">
        <v>0.22</v>
      </c>
    </row>
    <row r="401" spans="1:10" x14ac:dyDescent="0.2">
      <c r="A401">
        <v>400</v>
      </c>
      <c r="B401" s="61">
        <v>40561</v>
      </c>
      <c r="C401">
        <v>1</v>
      </c>
      <c r="D401">
        <v>0</v>
      </c>
      <c r="E401">
        <v>1</v>
      </c>
      <c r="F401">
        <v>15</v>
      </c>
      <c r="G401" t="b">
        <v>0</v>
      </c>
      <c r="H401">
        <v>2</v>
      </c>
      <c r="I401">
        <v>2</v>
      </c>
      <c r="J401">
        <v>0.22</v>
      </c>
    </row>
    <row r="402" spans="1:10" x14ac:dyDescent="0.2">
      <c r="A402">
        <v>401</v>
      </c>
      <c r="B402" s="61">
        <v>40561</v>
      </c>
      <c r="C402">
        <v>1</v>
      </c>
      <c r="D402">
        <v>0</v>
      </c>
      <c r="E402">
        <v>1</v>
      </c>
      <c r="F402">
        <v>16</v>
      </c>
      <c r="G402" t="b">
        <v>0</v>
      </c>
      <c r="H402">
        <v>2</v>
      </c>
      <c r="I402">
        <v>2</v>
      </c>
      <c r="J402">
        <v>0.22</v>
      </c>
    </row>
    <row r="403" spans="1:10" x14ac:dyDescent="0.2">
      <c r="A403">
        <v>402</v>
      </c>
      <c r="B403" s="61">
        <v>40561</v>
      </c>
      <c r="C403">
        <v>1</v>
      </c>
      <c r="D403">
        <v>0</v>
      </c>
      <c r="E403">
        <v>1</v>
      </c>
      <c r="F403">
        <v>17</v>
      </c>
      <c r="G403" t="b">
        <v>0</v>
      </c>
      <c r="H403">
        <v>2</v>
      </c>
      <c r="I403">
        <v>2</v>
      </c>
      <c r="J403">
        <v>0.22</v>
      </c>
    </row>
    <row r="404" spans="1:10" x14ac:dyDescent="0.2">
      <c r="A404">
        <v>403</v>
      </c>
      <c r="B404" s="61">
        <v>40561</v>
      </c>
      <c r="C404">
        <v>1</v>
      </c>
      <c r="D404">
        <v>0</v>
      </c>
      <c r="E404">
        <v>1</v>
      </c>
      <c r="F404">
        <v>18</v>
      </c>
      <c r="G404" t="b">
        <v>0</v>
      </c>
      <c r="H404">
        <v>2</v>
      </c>
      <c r="I404">
        <v>2</v>
      </c>
      <c r="J404">
        <v>0.22</v>
      </c>
    </row>
    <row r="405" spans="1:10" x14ac:dyDescent="0.2">
      <c r="A405">
        <v>404</v>
      </c>
      <c r="B405" s="61">
        <v>40561</v>
      </c>
      <c r="C405">
        <v>1</v>
      </c>
      <c r="D405">
        <v>0</v>
      </c>
      <c r="E405">
        <v>1</v>
      </c>
      <c r="F405">
        <v>19</v>
      </c>
      <c r="G405" t="b">
        <v>0</v>
      </c>
      <c r="H405">
        <v>2</v>
      </c>
      <c r="I405">
        <v>2</v>
      </c>
      <c r="J405">
        <v>0.22</v>
      </c>
    </row>
    <row r="406" spans="1:10" x14ac:dyDescent="0.2">
      <c r="A406">
        <v>405</v>
      </c>
      <c r="B406" s="61">
        <v>40561</v>
      </c>
      <c r="C406">
        <v>1</v>
      </c>
      <c r="D406">
        <v>0</v>
      </c>
      <c r="E406">
        <v>1</v>
      </c>
      <c r="F406">
        <v>20</v>
      </c>
      <c r="G406" t="b">
        <v>0</v>
      </c>
      <c r="H406">
        <v>2</v>
      </c>
      <c r="I406">
        <v>2</v>
      </c>
      <c r="J406">
        <v>0.22</v>
      </c>
    </row>
    <row r="407" spans="1:10" x14ac:dyDescent="0.2">
      <c r="A407">
        <v>406</v>
      </c>
      <c r="B407" s="61">
        <v>40561</v>
      </c>
      <c r="C407">
        <v>1</v>
      </c>
      <c r="D407">
        <v>0</v>
      </c>
      <c r="E407">
        <v>1</v>
      </c>
      <c r="F407">
        <v>21</v>
      </c>
      <c r="G407" t="b">
        <v>0</v>
      </c>
      <c r="H407">
        <v>2</v>
      </c>
      <c r="I407">
        <v>2</v>
      </c>
      <c r="J407">
        <v>0.22</v>
      </c>
    </row>
    <row r="408" spans="1:10" x14ac:dyDescent="0.2">
      <c r="A408">
        <v>407</v>
      </c>
      <c r="B408" s="61">
        <v>40561</v>
      </c>
      <c r="C408">
        <v>1</v>
      </c>
      <c r="D408">
        <v>0</v>
      </c>
      <c r="E408">
        <v>1</v>
      </c>
      <c r="F408">
        <v>22</v>
      </c>
      <c r="G408" t="b">
        <v>0</v>
      </c>
      <c r="H408">
        <v>2</v>
      </c>
      <c r="I408">
        <v>2</v>
      </c>
      <c r="J408">
        <v>0.22</v>
      </c>
    </row>
    <row r="409" spans="1:10" x14ac:dyDescent="0.2">
      <c r="A409">
        <v>408</v>
      </c>
      <c r="B409" s="61">
        <v>40561</v>
      </c>
      <c r="C409">
        <v>1</v>
      </c>
      <c r="D409">
        <v>0</v>
      </c>
      <c r="E409">
        <v>1</v>
      </c>
      <c r="F409">
        <v>23</v>
      </c>
      <c r="G409" t="b">
        <v>0</v>
      </c>
      <c r="H409">
        <v>2</v>
      </c>
      <c r="I409">
        <v>2</v>
      </c>
      <c r="J409">
        <v>0.22</v>
      </c>
    </row>
    <row r="410" spans="1:10" x14ac:dyDescent="0.2">
      <c r="A410">
        <v>409</v>
      </c>
      <c r="B410" s="61">
        <v>40562</v>
      </c>
      <c r="C410">
        <v>1</v>
      </c>
      <c r="D410">
        <v>0</v>
      </c>
      <c r="E410">
        <v>1</v>
      </c>
      <c r="F410">
        <v>0</v>
      </c>
      <c r="G410" t="b">
        <v>0</v>
      </c>
      <c r="H410">
        <v>3</v>
      </c>
      <c r="I410">
        <v>2</v>
      </c>
      <c r="J410">
        <v>0.22</v>
      </c>
    </row>
    <row r="411" spans="1:10" x14ac:dyDescent="0.2">
      <c r="A411">
        <v>410</v>
      </c>
      <c r="B411" s="61">
        <v>40562</v>
      </c>
      <c r="C411">
        <v>1</v>
      </c>
      <c r="D411">
        <v>0</v>
      </c>
      <c r="E411">
        <v>1</v>
      </c>
      <c r="F411">
        <v>1</v>
      </c>
      <c r="G411" t="b">
        <v>0</v>
      </c>
      <c r="H411">
        <v>3</v>
      </c>
      <c r="I411">
        <v>3</v>
      </c>
      <c r="J411">
        <v>0.22</v>
      </c>
    </row>
    <row r="412" spans="1:10" x14ac:dyDescent="0.2">
      <c r="A412">
        <v>411</v>
      </c>
      <c r="B412" s="61">
        <v>40562</v>
      </c>
      <c r="C412">
        <v>1</v>
      </c>
      <c r="D412">
        <v>0</v>
      </c>
      <c r="E412">
        <v>1</v>
      </c>
      <c r="F412">
        <v>2</v>
      </c>
      <c r="G412" t="b">
        <v>0</v>
      </c>
      <c r="H412">
        <v>3</v>
      </c>
      <c r="I412">
        <v>3</v>
      </c>
      <c r="J412">
        <v>0.22</v>
      </c>
    </row>
    <row r="413" spans="1:10" x14ac:dyDescent="0.2">
      <c r="A413">
        <v>412</v>
      </c>
      <c r="B413" s="61">
        <v>40562</v>
      </c>
      <c r="C413">
        <v>1</v>
      </c>
      <c r="D413">
        <v>0</v>
      </c>
      <c r="E413">
        <v>1</v>
      </c>
      <c r="F413">
        <v>4</v>
      </c>
      <c r="G413" t="b">
        <v>0</v>
      </c>
      <c r="H413">
        <v>3</v>
      </c>
      <c r="I413">
        <v>3</v>
      </c>
      <c r="J413">
        <v>0.22</v>
      </c>
    </row>
    <row r="414" spans="1:10" x14ac:dyDescent="0.2">
      <c r="A414">
        <v>413</v>
      </c>
      <c r="B414" s="61">
        <v>40562</v>
      </c>
      <c r="C414">
        <v>1</v>
      </c>
      <c r="D414">
        <v>0</v>
      </c>
      <c r="E414">
        <v>1</v>
      </c>
      <c r="F414">
        <v>5</v>
      </c>
      <c r="G414" t="b">
        <v>0</v>
      </c>
      <c r="H414">
        <v>3</v>
      </c>
      <c r="I414">
        <v>2</v>
      </c>
      <c r="J414">
        <v>0.22</v>
      </c>
    </row>
    <row r="415" spans="1:10" x14ac:dyDescent="0.2">
      <c r="A415">
        <v>414</v>
      </c>
      <c r="B415" s="61">
        <v>40562</v>
      </c>
      <c r="C415">
        <v>1</v>
      </c>
      <c r="D415">
        <v>0</v>
      </c>
      <c r="E415">
        <v>1</v>
      </c>
      <c r="F415">
        <v>6</v>
      </c>
      <c r="G415" t="b">
        <v>0</v>
      </c>
      <c r="H415">
        <v>3</v>
      </c>
      <c r="I415">
        <v>2</v>
      </c>
      <c r="J415">
        <v>0.22</v>
      </c>
    </row>
    <row r="416" spans="1:10" x14ac:dyDescent="0.2">
      <c r="A416">
        <v>415</v>
      </c>
      <c r="B416" s="61">
        <v>40562</v>
      </c>
      <c r="C416">
        <v>1</v>
      </c>
      <c r="D416">
        <v>0</v>
      </c>
      <c r="E416">
        <v>1</v>
      </c>
      <c r="F416">
        <v>7</v>
      </c>
      <c r="G416" t="b">
        <v>0</v>
      </c>
      <c r="H416">
        <v>3</v>
      </c>
      <c r="I416">
        <v>2</v>
      </c>
      <c r="J416">
        <v>0.24</v>
      </c>
    </row>
    <row r="417" spans="1:10" x14ac:dyDescent="0.2">
      <c r="A417">
        <v>416</v>
      </c>
      <c r="B417" s="61">
        <v>40562</v>
      </c>
      <c r="C417">
        <v>1</v>
      </c>
      <c r="D417">
        <v>0</v>
      </c>
      <c r="E417">
        <v>1</v>
      </c>
      <c r="F417">
        <v>8</v>
      </c>
      <c r="G417" t="b">
        <v>0</v>
      </c>
      <c r="H417">
        <v>3</v>
      </c>
      <c r="I417">
        <v>2</v>
      </c>
      <c r="J417">
        <v>0.24</v>
      </c>
    </row>
    <row r="418" spans="1:10" x14ac:dyDescent="0.2">
      <c r="A418">
        <v>417</v>
      </c>
      <c r="B418" s="61">
        <v>40562</v>
      </c>
      <c r="C418">
        <v>1</v>
      </c>
      <c r="D418">
        <v>0</v>
      </c>
      <c r="E418">
        <v>1</v>
      </c>
      <c r="F418">
        <v>9</v>
      </c>
      <c r="G418" t="b">
        <v>0</v>
      </c>
      <c r="H418">
        <v>3</v>
      </c>
      <c r="I418">
        <v>2</v>
      </c>
      <c r="J418">
        <v>0.24</v>
      </c>
    </row>
    <row r="419" spans="1:10" x14ac:dyDescent="0.2">
      <c r="A419">
        <v>418</v>
      </c>
      <c r="B419" s="61">
        <v>40562</v>
      </c>
      <c r="C419">
        <v>1</v>
      </c>
      <c r="D419">
        <v>0</v>
      </c>
      <c r="E419">
        <v>1</v>
      </c>
      <c r="F419">
        <v>10</v>
      </c>
      <c r="G419" t="b">
        <v>0</v>
      </c>
      <c r="H419">
        <v>3</v>
      </c>
      <c r="I419">
        <v>2</v>
      </c>
      <c r="J419">
        <v>0.26</v>
      </c>
    </row>
    <row r="420" spans="1:10" x14ac:dyDescent="0.2">
      <c r="A420">
        <v>419</v>
      </c>
      <c r="B420" s="61">
        <v>40562</v>
      </c>
      <c r="C420">
        <v>1</v>
      </c>
      <c r="D420">
        <v>0</v>
      </c>
      <c r="E420">
        <v>1</v>
      </c>
      <c r="F420">
        <v>11</v>
      </c>
      <c r="G420" t="b">
        <v>0</v>
      </c>
      <c r="H420">
        <v>3</v>
      </c>
      <c r="I420">
        <v>2</v>
      </c>
      <c r="J420">
        <v>0.28000000000000003</v>
      </c>
    </row>
    <row r="421" spans="1:10" x14ac:dyDescent="0.2">
      <c r="A421">
        <v>420</v>
      </c>
      <c r="B421" s="61">
        <v>40562</v>
      </c>
      <c r="C421">
        <v>1</v>
      </c>
      <c r="D421">
        <v>0</v>
      </c>
      <c r="E421">
        <v>1</v>
      </c>
      <c r="F421">
        <v>12</v>
      </c>
      <c r="G421" t="b">
        <v>0</v>
      </c>
      <c r="H421">
        <v>3</v>
      </c>
      <c r="I421">
        <v>2</v>
      </c>
      <c r="J421">
        <v>0.3</v>
      </c>
    </row>
    <row r="422" spans="1:10" x14ac:dyDescent="0.2">
      <c r="A422">
        <v>421</v>
      </c>
      <c r="B422" s="61">
        <v>40562</v>
      </c>
      <c r="C422">
        <v>1</v>
      </c>
      <c r="D422">
        <v>0</v>
      </c>
      <c r="E422">
        <v>1</v>
      </c>
      <c r="F422">
        <v>13</v>
      </c>
      <c r="G422" t="b">
        <v>0</v>
      </c>
      <c r="H422">
        <v>3</v>
      </c>
      <c r="I422">
        <v>1</v>
      </c>
      <c r="J422">
        <v>0.4</v>
      </c>
    </row>
    <row r="423" spans="1:10" x14ac:dyDescent="0.2">
      <c r="A423">
        <v>422</v>
      </c>
      <c r="B423" s="61">
        <v>40562</v>
      </c>
      <c r="C423">
        <v>1</v>
      </c>
      <c r="D423">
        <v>0</v>
      </c>
      <c r="E423">
        <v>1</v>
      </c>
      <c r="F423">
        <v>14</v>
      </c>
      <c r="G423" t="b">
        <v>0</v>
      </c>
      <c r="H423">
        <v>3</v>
      </c>
      <c r="I423">
        <v>1</v>
      </c>
      <c r="J423">
        <v>0.4</v>
      </c>
    </row>
    <row r="424" spans="1:10" x14ac:dyDescent="0.2">
      <c r="A424">
        <v>423</v>
      </c>
      <c r="B424" s="61">
        <v>40562</v>
      </c>
      <c r="C424">
        <v>1</v>
      </c>
      <c r="D424">
        <v>0</v>
      </c>
      <c r="E424">
        <v>1</v>
      </c>
      <c r="F424">
        <v>15</v>
      </c>
      <c r="G424" t="b">
        <v>0</v>
      </c>
      <c r="H424">
        <v>3</v>
      </c>
      <c r="I424">
        <v>1</v>
      </c>
      <c r="J424">
        <v>0.4</v>
      </c>
    </row>
    <row r="425" spans="1:10" x14ac:dyDescent="0.2">
      <c r="A425">
        <v>424</v>
      </c>
      <c r="B425" s="61">
        <v>40562</v>
      </c>
      <c r="C425">
        <v>1</v>
      </c>
      <c r="D425">
        <v>0</v>
      </c>
      <c r="E425">
        <v>1</v>
      </c>
      <c r="F425">
        <v>16</v>
      </c>
      <c r="G425" t="b">
        <v>0</v>
      </c>
      <c r="H425">
        <v>3</v>
      </c>
      <c r="I425">
        <v>1</v>
      </c>
      <c r="J425">
        <v>0.38</v>
      </c>
    </row>
    <row r="426" spans="1:10" x14ac:dyDescent="0.2">
      <c r="A426">
        <v>425</v>
      </c>
      <c r="B426" s="61">
        <v>40562</v>
      </c>
      <c r="C426">
        <v>1</v>
      </c>
      <c r="D426">
        <v>0</v>
      </c>
      <c r="E426">
        <v>1</v>
      </c>
      <c r="F426">
        <v>17</v>
      </c>
      <c r="G426" t="b">
        <v>0</v>
      </c>
      <c r="H426">
        <v>3</v>
      </c>
      <c r="I426">
        <v>1</v>
      </c>
      <c r="J426">
        <v>0.36</v>
      </c>
    </row>
    <row r="427" spans="1:10" x14ac:dyDescent="0.2">
      <c r="A427">
        <v>426</v>
      </c>
      <c r="B427" s="61">
        <v>40562</v>
      </c>
      <c r="C427">
        <v>1</v>
      </c>
      <c r="D427">
        <v>0</v>
      </c>
      <c r="E427">
        <v>1</v>
      </c>
      <c r="F427">
        <v>18</v>
      </c>
      <c r="G427" t="b">
        <v>0</v>
      </c>
      <c r="H427">
        <v>3</v>
      </c>
      <c r="I427">
        <v>1</v>
      </c>
      <c r="J427">
        <v>0.34</v>
      </c>
    </row>
    <row r="428" spans="1:10" x14ac:dyDescent="0.2">
      <c r="A428">
        <v>427</v>
      </c>
      <c r="B428" s="61">
        <v>40562</v>
      </c>
      <c r="C428">
        <v>1</v>
      </c>
      <c r="D428">
        <v>0</v>
      </c>
      <c r="E428">
        <v>1</v>
      </c>
      <c r="F428">
        <v>19</v>
      </c>
      <c r="G428" t="b">
        <v>0</v>
      </c>
      <c r="H428">
        <v>3</v>
      </c>
      <c r="I428">
        <v>1</v>
      </c>
      <c r="J428">
        <v>0.32</v>
      </c>
    </row>
    <row r="429" spans="1:10" x14ac:dyDescent="0.2">
      <c r="A429">
        <v>428</v>
      </c>
      <c r="B429" s="61">
        <v>40562</v>
      </c>
      <c r="C429">
        <v>1</v>
      </c>
      <c r="D429">
        <v>0</v>
      </c>
      <c r="E429">
        <v>1</v>
      </c>
      <c r="F429">
        <v>20</v>
      </c>
      <c r="G429" t="b">
        <v>0</v>
      </c>
      <c r="H429">
        <v>3</v>
      </c>
      <c r="I429">
        <v>1</v>
      </c>
      <c r="J429">
        <v>0.32</v>
      </c>
    </row>
    <row r="430" spans="1:10" x14ac:dyDescent="0.2">
      <c r="A430">
        <v>429</v>
      </c>
      <c r="B430" s="61">
        <v>40562</v>
      </c>
      <c r="C430">
        <v>1</v>
      </c>
      <c r="D430">
        <v>0</v>
      </c>
      <c r="E430">
        <v>1</v>
      </c>
      <c r="F430">
        <v>21</v>
      </c>
      <c r="G430" t="b">
        <v>0</v>
      </c>
      <c r="H430">
        <v>3</v>
      </c>
      <c r="I430">
        <v>1</v>
      </c>
      <c r="J430">
        <v>0.32</v>
      </c>
    </row>
    <row r="431" spans="1:10" x14ac:dyDescent="0.2">
      <c r="A431">
        <v>430</v>
      </c>
      <c r="B431" s="61">
        <v>40562</v>
      </c>
      <c r="C431">
        <v>1</v>
      </c>
      <c r="D431">
        <v>0</v>
      </c>
      <c r="E431">
        <v>1</v>
      </c>
      <c r="F431">
        <v>22</v>
      </c>
      <c r="G431" t="b">
        <v>0</v>
      </c>
      <c r="H431">
        <v>3</v>
      </c>
      <c r="I431">
        <v>1</v>
      </c>
      <c r="J431">
        <v>0.3</v>
      </c>
    </row>
    <row r="432" spans="1:10" x14ac:dyDescent="0.2">
      <c r="A432">
        <v>431</v>
      </c>
      <c r="B432" s="61">
        <v>40562</v>
      </c>
      <c r="C432">
        <v>1</v>
      </c>
      <c r="D432">
        <v>0</v>
      </c>
      <c r="E432">
        <v>1</v>
      </c>
      <c r="F432">
        <v>23</v>
      </c>
      <c r="G432" t="b">
        <v>0</v>
      </c>
      <c r="H432">
        <v>3</v>
      </c>
      <c r="I432">
        <v>1</v>
      </c>
      <c r="J432">
        <v>0.3</v>
      </c>
    </row>
    <row r="433" spans="1:10" x14ac:dyDescent="0.2">
      <c r="A433">
        <v>432</v>
      </c>
      <c r="B433" s="61">
        <v>40563</v>
      </c>
      <c r="C433">
        <v>1</v>
      </c>
      <c r="D433">
        <v>0</v>
      </c>
      <c r="E433">
        <v>1</v>
      </c>
      <c r="F433">
        <v>0</v>
      </c>
      <c r="G433" t="b">
        <v>0</v>
      </c>
      <c r="H433">
        <v>4</v>
      </c>
      <c r="I433">
        <v>1</v>
      </c>
      <c r="J433">
        <v>0.26</v>
      </c>
    </row>
    <row r="434" spans="1:10" x14ac:dyDescent="0.2">
      <c r="A434">
        <v>433</v>
      </c>
      <c r="B434" s="61">
        <v>40563</v>
      </c>
      <c r="C434">
        <v>1</v>
      </c>
      <c r="D434">
        <v>0</v>
      </c>
      <c r="E434">
        <v>1</v>
      </c>
      <c r="F434">
        <v>1</v>
      </c>
      <c r="G434" t="b">
        <v>0</v>
      </c>
      <c r="H434">
        <v>4</v>
      </c>
      <c r="I434">
        <v>1</v>
      </c>
      <c r="J434">
        <v>0.26</v>
      </c>
    </row>
    <row r="435" spans="1:10" x14ac:dyDescent="0.2">
      <c r="A435">
        <v>434</v>
      </c>
      <c r="B435" s="61">
        <v>40563</v>
      </c>
      <c r="C435">
        <v>1</v>
      </c>
      <c r="D435">
        <v>0</v>
      </c>
      <c r="E435">
        <v>1</v>
      </c>
      <c r="F435">
        <v>2</v>
      </c>
      <c r="G435" t="b">
        <v>0</v>
      </c>
      <c r="H435">
        <v>4</v>
      </c>
      <c r="I435">
        <v>1</v>
      </c>
      <c r="J435">
        <v>0.26</v>
      </c>
    </row>
    <row r="436" spans="1:10" x14ac:dyDescent="0.2">
      <c r="A436">
        <v>435</v>
      </c>
      <c r="B436" s="61">
        <v>40563</v>
      </c>
      <c r="C436">
        <v>1</v>
      </c>
      <c r="D436">
        <v>0</v>
      </c>
      <c r="E436">
        <v>1</v>
      </c>
      <c r="F436">
        <v>3</v>
      </c>
      <c r="G436" t="b">
        <v>0</v>
      </c>
      <c r="H436">
        <v>4</v>
      </c>
      <c r="I436">
        <v>1</v>
      </c>
      <c r="J436">
        <v>0.26</v>
      </c>
    </row>
    <row r="437" spans="1:10" x14ac:dyDescent="0.2">
      <c r="A437">
        <v>436</v>
      </c>
      <c r="B437" s="61">
        <v>40563</v>
      </c>
      <c r="C437">
        <v>1</v>
      </c>
      <c r="D437">
        <v>0</v>
      </c>
      <c r="E437">
        <v>1</v>
      </c>
      <c r="F437">
        <v>4</v>
      </c>
      <c r="G437" t="b">
        <v>0</v>
      </c>
      <c r="H437">
        <v>4</v>
      </c>
      <c r="I437">
        <v>1</v>
      </c>
      <c r="J437">
        <v>0.26</v>
      </c>
    </row>
    <row r="438" spans="1:10" x14ac:dyDescent="0.2">
      <c r="A438">
        <v>437</v>
      </c>
      <c r="B438" s="61">
        <v>40563</v>
      </c>
      <c r="C438">
        <v>1</v>
      </c>
      <c r="D438">
        <v>0</v>
      </c>
      <c r="E438">
        <v>1</v>
      </c>
      <c r="F438">
        <v>5</v>
      </c>
      <c r="G438" t="b">
        <v>0</v>
      </c>
      <c r="H438">
        <v>4</v>
      </c>
      <c r="I438">
        <v>1</v>
      </c>
      <c r="J438">
        <v>0.24</v>
      </c>
    </row>
    <row r="439" spans="1:10" x14ac:dyDescent="0.2">
      <c r="A439">
        <v>438</v>
      </c>
      <c r="B439" s="61">
        <v>40563</v>
      </c>
      <c r="C439">
        <v>1</v>
      </c>
      <c r="D439">
        <v>0</v>
      </c>
      <c r="E439">
        <v>1</v>
      </c>
      <c r="F439">
        <v>6</v>
      </c>
      <c r="G439" t="b">
        <v>0</v>
      </c>
      <c r="H439">
        <v>4</v>
      </c>
      <c r="I439">
        <v>1</v>
      </c>
      <c r="J439">
        <v>0.22</v>
      </c>
    </row>
    <row r="440" spans="1:10" x14ac:dyDescent="0.2">
      <c r="A440">
        <v>439</v>
      </c>
      <c r="B440" s="61">
        <v>40563</v>
      </c>
      <c r="C440">
        <v>1</v>
      </c>
      <c r="D440">
        <v>0</v>
      </c>
      <c r="E440">
        <v>1</v>
      </c>
      <c r="F440">
        <v>7</v>
      </c>
      <c r="G440" t="b">
        <v>0</v>
      </c>
      <c r="H440">
        <v>4</v>
      </c>
      <c r="I440">
        <v>1</v>
      </c>
      <c r="J440">
        <v>0.22</v>
      </c>
    </row>
    <row r="441" spans="1:10" x14ac:dyDescent="0.2">
      <c r="A441">
        <v>440</v>
      </c>
      <c r="B441" s="61">
        <v>40563</v>
      </c>
      <c r="C441">
        <v>1</v>
      </c>
      <c r="D441">
        <v>0</v>
      </c>
      <c r="E441">
        <v>1</v>
      </c>
      <c r="F441">
        <v>8</v>
      </c>
      <c r="G441" t="b">
        <v>0</v>
      </c>
      <c r="H441">
        <v>4</v>
      </c>
      <c r="I441">
        <v>1</v>
      </c>
      <c r="J441">
        <v>0.22</v>
      </c>
    </row>
    <row r="442" spans="1:10" x14ac:dyDescent="0.2">
      <c r="A442">
        <v>441</v>
      </c>
      <c r="B442" s="61">
        <v>40563</v>
      </c>
      <c r="C442">
        <v>1</v>
      </c>
      <c r="D442">
        <v>0</v>
      </c>
      <c r="E442">
        <v>1</v>
      </c>
      <c r="F442">
        <v>9</v>
      </c>
      <c r="G442" t="b">
        <v>0</v>
      </c>
      <c r="H442">
        <v>4</v>
      </c>
      <c r="I442">
        <v>2</v>
      </c>
      <c r="J442">
        <v>0.24</v>
      </c>
    </row>
    <row r="443" spans="1:10" x14ac:dyDescent="0.2">
      <c r="A443">
        <v>442</v>
      </c>
      <c r="B443" s="61">
        <v>40563</v>
      </c>
      <c r="C443">
        <v>1</v>
      </c>
      <c r="D443">
        <v>0</v>
      </c>
      <c r="E443">
        <v>1</v>
      </c>
      <c r="F443">
        <v>10</v>
      </c>
      <c r="G443" t="b">
        <v>0</v>
      </c>
      <c r="H443">
        <v>4</v>
      </c>
      <c r="I443">
        <v>1</v>
      </c>
      <c r="J443">
        <v>0.26</v>
      </c>
    </row>
    <row r="444" spans="1:10" x14ac:dyDescent="0.2">
      <c r="A444">
        <v>443</v>
      </c>
      <c r="B444" s="61">
        <v>40563</v>
      </c>
      <c r="C444">
        <v>1</v>
      </c>
      <c r="D444">
        <v>0</v>
      </c>
      <c r="E444">
        <v>1</v>
      </c>
      <c r="F444">
        <v>11</v>
      </c>
      <c r="G444" t="b">
        <v>0</v>
      </c>
      <c r="H444">
        <v>4</v>
      </c>
      <c r="I444">
        <v>2</v>
      </c>
      <c r="J444">
        <v>0.28000000000000003</v>
      </c>
    </row>
    <row r="445" spans="1:10" x14ac:dyDescent="0.2">
      <c r="A445">
        <v>444</v>
      </c>
      <c r="B445" s="61">
        <v>40563</v>
      </c>
      <c r="C445">
        <v>1</v>
      </c>
      <c r="D445">
        <v>0</v>
      </c>
      <c r="E445">
        <v>1</v>
      </c>
      <c r="F445">
        <v>12</v>
      </c>
      <c r="G445" t="b">
        <v>0</v>
      </c>
      <c r="H445">
        <v>4</v>
      </c>
      <c r="I445">
        <v>2</v>
      </c>
      <c r="J445">
        <v>0.3</v>
      </c>
    </row>
    <row r="446" spans="1:10" x14ac:dyDescent="0.2">
      <c r="A446">
        <v>445</v>
      </c>
      <c r="B446" s="61">
        <v>40563</v>
      </c>
      <c r="C446">
        <v>1</v>
      </c>
      <c r="D446">
        <v>0</v>
      </c>
      <c r="E446">
        <v>1</v>
      </c>
      <c r="F446">
        <v>13</v>
      </c>
      <c r="G446" t="b">
        <v>0</v>
      </c>
      <c r="H446">
        <v>4</v>
      </c>
      <c r="I446">
        <v>2</v>
      </c>
      <c r="J446">
        <v>0.28000000000000003</v>
      </c>
    </row>
    <row r="447" spans="1:10" x14ac:dyDescent="0.2">
      <c r="A447">
        <v>446</v>
      </c>
      <c r="B447" s="61">
        <v>40563</v>
      </c>
      <c r="C447">
        <v>1</v>
      </c>
      <c r="D447">
        <v>0</v>
      </c>
      <c r="E447">
        <v>1</v>
      </c>
      <c r="F447">
        <v>14</v>
      </c>
      <c r="G447" t="b">
        <v>0</v>
      </c>
      <c r="H447">
        <v>4</v>
      </c>
      <c r="I447">
        <v>2</v>
      </c>
      <c r="J447">
        <v>0.3</v>
      </c>
    </row>
    <row r="448" spans="1:10" x14ac:dyDescent="0.2">
      <c r="A448">
        <v>447</v>
      </c>
      <c r="B448" s="61">
        <v>40563</v>
      </c>
      <c r="C448">
        <v>1</v>
      </c>
      <c r="D448">
        <v>0</v>
      </c>
      <c r="E448">
        <v>1</v>
      </c>
      <c r="F448">
        <v>15</v>
      </c>
      <c r="G448" t="b">
        <v>0</v>
      </c>
      <c r="H448">
        <v>4</v>
      </c>
      <c r="I448">
        <v>2</v>
      </c>
      <c r="J448">
        <v>0.32</v>
      </c>
    </row>
    <row r="449" spans="1:10" x14ac:dyDescent="0.2">
      <c r="A449">
        <v>448</v>
      </c>
      <c r="B449" s="61">
        <v>40563</v>
      </c>
      <c r="C449">
        <v>1</v>
      </c>
      <c r="D449">
        <v>0</v>
      </c>
      <c r="E449">
        <v>1</v>
      </c>
      <c r="F449">
        <v>16</v>
      </c>
      <c r="G449" t="b">
        <v>0</v>
      </c>
      <c r="H449">
        <v>4</v>
      </c>
      <c r="I449">
        <v>2</v>
      </c>
      <c r="J449">
        <v>0.3</v>
      </c>
    </row>
    <row r="450" spans="1:10" x14ac:dyDescent="0.2">
      <c r="A450">
        <v>449</v>
      </c>
      <c r="B450" s="61">
        <v>40563</v>
      </c>
      <c r="C450">
        <v>1</v>
      </c>
      <c r="D450">
        <v>0</v>
      </c>
      <c r="E450">
        <v>1</v>
      </c>
      <c r="F450">
        <v>17</v>
      </c>
      <c r="G450" t="b">
        <v>0</v>
      </c>
      <c r="H450">
        <v>4</v>
      </c>
      <c r="I450">
        <v>2</v>
      </c>
      <c r="J450">
        <v>0.3</v>
      </c>
    </row>
    <row r="451" spans="1:10" x14ac:dyDescent="0.2">
      <c r="A451">
        <v>450</v>
      </c>
      <c r="B451" s="61">
        <v>40563</v>
      </c>
      <c r="C451">
        <v>1</v>
      </c>
      <c r="D451">
        <v>0</v>
      </c>
      <c r="E451">
        <v>1</v>
      </c>
      <c r="F451">
        <v>18</v>
      </c>
      <c r="G451" t="b">
        <v>0</v>
      </c>
      <c r="H451">
        <v>4</v>
      </c>
      <c r="I451">
        <v>2</v>
      </c>
      <c r="J451">
        <v>0.26</v>
      </c>
    </row>
    <row r="452" spans="1:10" x14ac:dyDescent="0.2">
      <c r="A452">
        <v>451</v>
      </c>
      <c r="B452" s="61">
        <v>40563</v>
      </c>
      <c r="C452">
        <v>1</v>
      </c>
      <c r="D452">
        <v>0</v>
      </c>
      <c r="E452">
        <v>1</v>
      </c>
      <c r="F452">
        <v>19</v>
      </c>
      <c r="G452" t="b">
        <v>0</v>
      </c>
      <c r="H452">
        <v>4</v>
      </c>
      <c r="I452">
        <v>1</v>
      </c>
      <c r="J452">
        <v>0.26</v>
      </c>
    </row>
    <row r="453" spans="1:10" x14ac:dyDescent="0.2">
      <c r="A453">
        <v>452</v>
      </c>
      <c r="B453" s="61">
        <v>40563</v>
      </c>
      <c r="C453">
        <v>1</v>
      </c>
      <c r="D453">
        <v>0</v>
      </c>
      <c r="E453">
        <v>1</v>
      </c>
      <c r="F453">
        <v>20</v>
      </c>
      <c r="G453" t="b">
        <v>0</v>
      </c>
      <c r="H453">
        <v>4</v>
      </c>
      <c r="I453">
        <v>2</v>
      </c>
      <c r="J453">
        <v>0.26</v>
      </c>
    </row>
    <row r="454" spans="1:10" x14ac:dyDescent="0.2">
      <c r="A454">
        <v>453</v>
      </c>
      <c r="B454" s="61">
        <v>40563</v>
      </c>
      <c r="C454">
        <v>1</v>
      </c>
      <c r="D454">
        <v>0</v>
      </c>
      <c r="E454">
        <v>1</v>
      </c>
      <c r="F454">
        <v>21</v>
      </c>
      <c r="G454" t="b">
        <v>0</v>
      </c>
      <c r="H454">
        <v>4</v>
      </c>
      <c r="I454">
        <v>2</v>
      </c>
      <c r="J454">
        <v>0.24</v>
      </c>
    </row>
    <row r="455" spans="1:10" x14ac:dyDescent="0.2">
      <c r="A455">
        <v>454</v>
      </c>
      <c r="B455" s="61">
        <v>40563</v>
      </c>
      <c r="C455">
        <v>1</v>
      </c>
      <c r="D455">
        <v>0</v>
      </c>
      <c r="E455">
        <v>1</v>
      </c>
      <c r="F455">
        <v>22</v>
      </c>
      <c r="G455" t="b">
        <v>0</v>
      </c>
      <c r="H455">
        <v>4</v>
      </c>
      <c r="I455">
        <v>2</v>
      </c>
      <c r="J455">
        <v>0.24</v>
      </c>
    </row>
    <row r="456" spans="1:10" x14ac:dyDescent="0.2">
      <c r="A456">
        <v>455</v>
      </c>
      <c r="B456" s="61">
        <v>40563</v>
      </c>
      <c r="C456">
        <v>1</v>
      </c>
      <c r="D456">
        <v>0</v>
      </c>
      <c r="E456">
        <v>1</v>
      </c>
      <c r="F456">
        <v>23</v>
      </c>
      <c r="G456" t="b">
        <v>0</v>
      </c>
      <c r="H456">
        <v>4</v>
      </c>
      <c r="I456">
        <v>2</v>
      </c>
      <c r="J456">
        <v>0.24</v>
      </c>
    </row>
    <row r="457" spans="1:10" x14ac:dyDescent="0.2">
      <c r="A457">
        <v>456</v>
      </c>
      <c r="B457" s="61">
        <v>40564</v>
      </c>
      <c r="C457">
        <v>1</v>
      </c>
      <c r="D457">
        <v>0</v>
      </c>
      <c r="E457">
        <v>1</v>
      </c>
      <c r="F457">
        <v>0</v>
      </c>
      <c r="G457" t="b">
        <v>0</v>
      </c>
      <c r="H457">
        <v>5</v>
      </c>
      <c r="I457">
        <v>2</v>
      </c>
      <c r="J457">
        <v>0.24</v>
      </c>
    </row>
    <row r="458" spans="1:10" x14ac:dyDescent="0.2">
      <c r="A458">
        <v>457</v>
      </c>
      <c r="B458" s="61">
        <v>40564</v>
      </c>
      <c r="C458">
        <v>1</v>
      </c>
      <c r="D458">
        <v>0</v>
      </c>
      <c r="E458">
        <v>1</v>
      </c>
      <c r="F458">
        <v>1</v>
      </c>
      <c r="G458" t="b">
        <v>0</v>
      </c>
      <c r="H458">
        <v>5</v>
      </c>
      <c r="I458">
        <v>2</v>
      </c>
      <c r="J458">
        <v>0.24</v>
      </c>
    </row>
    <row r="459" spans="1:10" x14ac:dyDescent="0.2">
      <c r="A459">
        <v>458</v>
      </c>
      <c r="B459" s="61">
        <v>40564</v>
      </c>
      <c r="C459">
        <v>1</v>
      </c>
      <c r="D459">
        <v>0</v>
      </c>
      <c r="E459">
        <v>1</v>
      </c>
      <c r="F459">
        <v>2</v>
      </c>
      <c r="G459" t="b">
        <v>0</v>
      </c>
      <c r="H459">
        <v>5</v>
      </c>
      <c r="I459">
        <v>3</v>
      </c>
      <c r="J459">
        <v>0.24</v>
      </c>
    </row>
    <row r="460" spans="1:10" x14ac:dyDescent="0.2">
      <c r="A460">
        <v>459</v>
      </c>
      <c r="B460" s="61">
        <v>40564</v>
      </c>
      <c r="C460">
        <v>1</v>
      </c>
      <c r="D460">
        <v>0</v>
      </c>
      <c r="E460">
        <v>1</v>
      </c>
      <c r="F460">
        <v>3</v>
      </c>
      <c r="G460" t="b">
        <v>0</v>
      </c>
      <c r="H460">
        <v>5</v>
      </c>
      <c r="I460">
        <v>3</v>
      </c>
      <c r="J460">
        <v>0.22</v>
      </c>
    </row>
    <row r="461" spans="1:10" x14ac:dyDescent="0.2">
      <c r="A461">
        <v>460</v>
      </c>
      <c r="B461" s="61">
        <v>40564</v>
      </c>
      <c r="C461">
        <v>1</v>
      </c>
      <c r="D461">
        <v>0</v>
      </c>
      <c r="E461">
        <v>1</v>
      </c>
      <c r="F461">
        <v>4</v>
      </c>
      <c r="G461" t="b">
        <v>0</v>
      </c>
      <c r="H461">
        <v>5</v>
      </c>
      <c r="I461">
        <v>2</v>
      </c>
      <c r="J461">
        <v>0.22</v>
      </c>
    </row>
    <row r="462" spans="1:10" x14ac:dyDescent="0.2">
      <c r="A462">
        <v>461</v>
      </c>
      <c r="B462" s="61">
        <v>40564</v>
      </c>
      <c r="C462">
        <v>1</v>
      </c>
      <c r="D462">
        <v>0</v>
      </c>
      <c r="E462">
        <v>1</v>
      </c>
      <c r="F462">
        <v>5</v>
      </c>
      <c r="G462" t="b">
        <v>0</v>
      </c>
      <c r="H462">
        <v>5</v>
      </c>
      <c r="I462">
        <v>1</v>
      </c>
      <c r="J462">
        <v>0.24</v>
      </c>
    </row>
    <row r="463" spans="1:10" x14ac:dyDescent="0.2">
      <c r="A463">
        <v>462</v>
      </c>
      <c r="B463" s="61">
        <v>40564</v>
      </c>
      <c r="C463">
        <v>1</v>
      </c>
      <c r="D463">
        <v>0</v>
      </c>
      <c r="E463">
        <v>1</v>
      </c>
      <c r="F463">
        <v>6</v>
      </c>
      <c r="G463" t="b">
        <v>0</v>
      </c>
      <c r="H463">
        <v>5</v>
      </c>
      <c r="I463">
        <v>1</v>
      </c>
      <c r="J463">
        <v>0.22</v>
      </c>
    </row>
    <row r="464" spans="1:10" x14ac:dyDescent="0.2">
      <c r="A464">
        <v>463</v>
      </c>
      <c r="B464" s="61">
        <v>40564</v>
      </c>
      <c r="C464">
        <v>1</v>
      </c>
      <c r="D464">
        <v>0</v>
      </c>
      <c r="E464">
        <v>1</v>
      </c>
      <c r="F464">
        <v>7</v>
      </c>
      <c r="G464" t="b">
        <v>0</v>
      </c>
      <c r="H464">
        <v>5</v>
      </c>
      <c r="I464">
        <v>1</v>
      </c>
      <c r="J464">
        <v>0.2</v>
      </c>
    </row>
    <row r="465" spans="1:10" x14ac:dyDescent="0.2">
      <c r="A465">
        <v>464</v>
      </c>
      <c r="B465" s="61">
        <v>40564</v>
      </c>
      <c r="C465">
        <v>1</v>
      </c>
      <c r="D465">
        <v>0</v>
      </c>
      <c r="E465">
        <v>1</v>
      </c>
      <c r="F465">
        <v>8</v>
      </c>
      <c r="G465" t="b">
        <v>0</v>
      </c>
      <c r="H465">
        <v>5</v>
      </c>
      <c r="I465">
        <v>1</v>
      </c>
      <c r="J465">
        <v>0.2</v>
      </c>
    </row>
    <row r="466" spans="1:10" x14ac:dyDescent="0.2">
      <c r="A466">
        <v>465</v>
      </c>
      <c r="B466" s="61">
        <v>40564</v>
      </c>
      <c r="C466">
        <v>1</v>
      </c>
      <c r="D466">
        <v>0</v>
      </c>
      <c r="E466">
        <v>1</v>
      </c>
      <c r="F466">
        <v>9</v>
      </c>
      <c r="G466" t="b">
        <v>0</v>
      </c>
      <c r="H466">
        <v>5</v>
      </c>
      <c r="I466">
        <v>1</v>
      </c>
      <c r="J466">
        <v>0.2</v>
      </c>
    </row>
    <row r="467" spans="1:10" x14ac:dyDescent="0.2">
      <c r="A467">
        <v>466</v>
      </c>
      <c r="B467" s="61">
        <v>40564</v>
      </c>
      <c r="C467">
        <v>1</v>
      </c>
      <c r="D467">
        <v>0</v>
      </c>
      <c r="E467">
        <v>1</v>
      </c>
      <c r="F467">
        <v>10</v>
      </c>
      <c r="G467" t="b">
        <v>0</v>
      </c>
      <c r="H467">
        <v>5</v>
      </c>
      <c r="I467">
        <v>1</v>
      </c>
      <c r="J467">
        <v>0.2</v>
      </c>
    </row>
    <row r="468" spans="1:10" x14ac:dyDescent="0.2">
      <c r="A468">
        <v>467</v>
      </c>
      <c r="B468" s="61">
        <v>40564</v>
      </c>
      <c r="C468">
        <v>1</v>
      </c>
      <c r="D468">
        <v>0</v>
      </c>
      <c r="E468">
        <v>1</v>
      </c>
      <c r="F468">
        <v>11</v>
      </c>
      <c r="G468" t="b">
        <v>0</v>
      </c>
      <c r="H468">
        <v>5</v>
      </c>
      <c r="I468">
        <v>1</v>
      </c>
      <c r="J468">
        <v>0.22</v>
      </c>
    </row>
    <row r="469" spans="1:10" x14ac:dyDescent="0.2">
      <c r="A469">
        <v>468</v>
      </c>
      <c r="B469" s="61">
        <v>40564</v>
      </c>
      <c r="C469">
        <v>1</v>
      </c>
      <c r="D469">
        <v>0</v>
      </c>
      <c r="E469">
        <v>1</v>
      </c>
      <c r="F469">
        <v>12</v>
      </c>
      <c r="G469" t="b">
        <v>0</v>
      </c>
      <c r="H469">
        <v>5</v>
      </c>
      <c r="I469">
        <v>1</v>
      </c>
      <c r="J469">
        <v>0.22</v>
      </c>
    </row>
    <row r="470" spans="1:10" x14ac:dyDescent="0.2">
      <c r="A470">
        <v>469</v>
      </c>
      <c r="B470" s="61">
        <v>40564</v>
      </c>
      <c r="C470">
        <v>1</v>
      </c>
      <c r="D470">
        <v>0</v>
      </c>
      <c r="E470">
        <v>1</v>
      </c>
      <c r="F470">
        <v>13</v>
      </c>
      <c r="G470" t="b">
        <v>0</v>
      </c>
      <c r="H470">
        <v>5</v>
      </c>
      <c r="I470">
        <v>1</v>
      </c>
      <c r="J470">
        <v>0.2</v>
      </c>
    </row>
    <row r="471" spans="1:10" x14ac:dyDescent="0.2">
      <c r="A471">
        <v>470</v>
      </c>
      <c r="B471" s="61">
        <v>40564</v>
      </c>
      <c r="C471">
        <v>1</v>
      </c>
      <c r="D471">
        <v>0</v>
      </c>
      <c r="E471">
        <v>1</v>
      </c>
      <c r="F471">
        <v>14</v>
      </c>
      <c r="G471" t="b">
        <v>0</v>
      </c>
      <c r="H471">
        <v>5</v>
      </c>
      <c r="I471">
        <v>1</v>
      </c>
      <c r="J471">
        <v>0.2</v>
      </c>
    </row>
    <row r="472" spans="1:10" x14ac:dyDescent="0.2">
      <c r="A472">
        <v>471</v>
      </c>
      <c r="B472" s="61">
        <v>40564</v>
      </c>
      <c r="C472">
        <v>1</v>
      </c>
      <c r="D472">
        <v>0</v>
      </c>
      <c r="E472">
        <v>1</v>
      </c>
      <c r="F472">
        <v>15</v>
      </c>
      <c r="G472" t="b">
        <v>0</v>
      </c>
      <c r="H472">
        <v>5</v>
      </c>
      <c r="I472">
        <v>1</v>
      </c>
      <c r="J472">
        <v>0.16</v>
      </c>
    </row>
    <row r="473" spans="1:10" x14ac:dyDescent="0.2">
      <c r="A473">
        <v>472</v>
      </c>
      <c r="B473" s="61">
        <v>40564</v>
      </c>
      <c r="C473">
        <v>1</v>
      </c>
      <c r="D473">
        <v>0</v>
      </c>
      <c r="E473">
        <v>1</v>
      </c>
      <c r="F473">
        <v>16</v>
      </c>
      <c r="G473" t="b">
        <v>0</v>
      </c>
      <c r="H473">
        <v>5</v>
      </c>
      <c r="I473">
        <v>1</v>
      </c>
      <c r="J473">
        <v>0.16</v>
      </c>
    </row>
    <row r="474" spans="1:10" x14ac:dyDescent="0.2">
      <c r="A474">
        <v>473</v>
      </c>
      <c r="B474" s="61">
        <v>40564</v>
      </c>
      <c r="C474">
        <v>1</v>
      </c>
      <c r="D474">
        <v>0</v>
      </c>
      <c r="E474">
        <v>1</v>
      </c>
      <c r="F474">
        <v>17</v>
      </c>
      <c r="G474" t="b">
        <v>0</v>
      </c>
      <c r="H474">
        <v>5</v>
      </c>
      <c r="I474">
        <v>1</v>
      </c>
      <c r="J474">
        <v>0.14000000000000001</v>
      </c>
    </row>
    <row r="475" spans="1:10" x14ac:dyDescent="0.2">
      <c r="A475">
        <v>474</v>
      </c>
      <c r="B475" s="61">
        <v>40564</v>
      </c>
      <c r="C475">
        <v>1</v>
      </c>
      <c r="D475">
        <v>0</v>
      </c>
      <c r="E475">
        <v>1</v>
      </c>
      <c r="F475">
        <v>18</v>
      </c>
      <c r="G475" t="b">
        <v>0</v>
      </c>
      <c r="H475">
        <v>5</v>
      </c>
      <c r="I475">
        <v>1</v>
      </c>
      <c r="J475">
        <v>0.12</v>
      </c>
    </row>
    <row r="476" spans="1:10" x14ac:dyDescent="0.2">
      <c r="A476">
        <v>475</v>
      </c>
      <c r="B476" s="61">
        <v>40564</v>
      </c>
      <c r="C476">
        <v>1</v>
      </c>
      <c r="D476">
        <v>0</v>
      </c>
      <c r="E476">
        <v>1</v>
      </c>
      <c r="F476">
        <v>19</v>
      </c>
      <c r="G476" t="b">
        <v>0</v>
      </c>
      <c r="H476">
        <v>5</v>
      </c>
      <c r="I476">
        <v>1</v>
      </c>
      <c r="J476">
        <v>0.12</v>
      </c>
    </row>
    <row r="477" spans="1:10" x14ac:dyDescent="0.2">
      <c r="A477">
        <v>476</v>
      </c>
      <c r="B477" s="61">
        <v>40564</v>
      </c>
      <c r="C477">
        <v>1</v>
      </c>
      <c r="D477">
        <v>0</v>
      </c>
      <c r="E477">
        <v>1</v>
      </c>
      <c r="F477">
        <v>20</v>
      </c>
      <c r="G477" t="b">
        <v>0</v>
      </c>
      <c r="H477">
        <v>5</v>
      </c>
      <c r="I477">
        <v>1</v>
      </c>
      <c r="J477">
        <v>0.1</v>
      </c>
    </row>
    <row r="478" spans="1:10" x14ac:dyDescent="0.2">
      <c r="A478">
        <v>477</v>
      </c>
      <c r="B478" s="61">
        <v>40564</v>
      </c>
      <c r="C478">
        <v>1</v>
      </c>
      <c r="D478">
        <v>0</v>
      </c>
      <c r="E478">
        <v>1</v>
      </c>
      <c r="F478">
        <v>21</v>
      </c>
      <c r="G478" t="b">
        <v>0</v>
      </c>
      <c r="H478">
        <v>5</v>
      </c>
      <c r="I478">
        <v>1</v>
      </c>
      <c r="J478">
        <v>0.08</v>
      </c>
    </row>
    <row r="479" spans="1:10" x14ac:dyDescent="0.2">
      <c r="A479">
        <v>478</v>
      </c>
      <c r="B479" s="61">
        <v>40564</v>
      </c>
      <c r="C479">
        <v>1</v>
      </c>
      <c r="D479">
        <v>0</v>
      </c>
      <c r="E479">
        <v>1</v>
      </c>
      <c r="F479">
        <v>22</v>
      </c>
      <c r="G479" t="b">
        <v>0</v>
      </c>
      <c r="H479">
        <v>5</v>
      </c>
      <c r="I479">
        <v>1</v>
      </c>
      <c r="J479">
        <v>0.06</v>
      </c>
    </row>
    <row r="480" spans="1:10" x14ac:dyDescent="0.2">
      <c r="A480">
        <v>479</v>
      </c>
      <c r="B480" s="61">
        <v>40564</v>
      </c>
      <c r="C480">
        <v>1</v>
      </c>
      <c r="D480">
        <v>0</v>
      </c>
      <c r="E480">
        <v>1</v>
      </c>
      <c r="F480">
        <v>23</v>
      </c>
      <c r="G480" t="b">
        <v>0</v>
      </c>
      <c r="H480">
        <v>5</v>
      </c>
      <c r="I480">
        <v>1</v>
      </c>
      <c r="J480">
        <v>0.06</v>
      </c>
    </row>
    <row r="481" spans="1:10" x14ac:dyDescent="0.2">
      <c r="A481">
        <v>480</v>
      </c>
      <c r="B481" s="61">
        <v>40565</v>
      </c>
      <c r="C481">
        <v>1</v>
      </c>
      <c r="D481">
        <v>0</v>
      </c>
      <c r="E481">
        <v>1</v>
      </c>
      <c r="F481">
        <v>0</v>
      </c>
      <c r="G481" t="b">
        <v>0</v>
      </c>
      <c r="H481">
        <v>6</v>
      </c>
      <c r="I481">
        <v>1</v>
      </c>
      <c r="J481">
        <v>0.04</v>
      </c>
    </row>
    <row r="482" spans="1:10" x14ac:dyDescent="0.2">
      <c r="A482">
        <v>481</v>
      </c>
      <c r="B482" s="61">
        <v>40565</v>
      </c>
      <c r="C482">
        <v>1</v>
      </c>
      <c r="D482">
        <v>0</v>
      </c>
      <c r="E482">
        <v>1</v>
      </c>
      <c r="F482">
        <v>1</v>
      </c>
      <c r="G482" t="b">
        <v>0</v>
      </c>
      <c r="H482">
        <v>6</v>
      </c>
      <c r="I482">
        <v>2</v>
      </c>
      <c r="J482">
        <v>0.04</v>
      </c>
    </row>
    <row r="483" spans="1:10" x14ac:dyDescent="0.2">
      <c r="A483">
        <v>482</v>
      </c>
      <c r="B483" s="61">
        <v>40565</v>
      </c>
      <c r="C483">
        <v>1</v>
      </c>
      <c r="D483">
        <v>0</v>
      </c>
      <c r="E483">
        <v>1</v>
      </c>
      <c r="F483">
        <v>2</v>
      </c>
      <c r="G483" t="b">
        <v>0</v>
      </c>
      <c r="H483">
        <v>6</v>
      </c>
      <c r="I483">
        <v>2</v>
      </c>
      <c r="J483">
        <v>0.04</v>
      </c>
    </row>
    <row r="484" spans="1:10" x14ac:dyDescent="0.2">
      <c r="A484">
        <v>483</v>
      </c>
      <c r="B484" s="61">
        <v>40565</v>
      </c>
      <c r="C484">
        <v>1</v>
      </c>
      <c r="D484">
        <v>0</v>
      </c>
      <c r="E484">
        <v>1</v>
      </c>
      <c r="F484">
        <v>3</v>
      </c>
      <c r="G484" t="b">
        <v>0</v>
      </c>
      <c r="H484">
        <v>6</v>
      </c>
      <c r="I484">
        <v>2</v>
      </c>
      <c r="J484">
        <v>0.04</v>
      </c>
    </row>
    <row r="485" spans="1:10" x14ac:dyDescent="0.2">
      <c r="A485">
        <v>484</v>
      </c>
      <c r="B485" s="61">
        <v>40565</v>
      </c>
      <c r="C485">
        <v>1</v>
      </c>
      <c r="D485">
        <v>0</v>
      </c>
      <c r="E485">
        <v>1</v>
      </c>
      <c r="F485">
        <v>4</v>
      </c>
      <c r="G485" t="b">
        <v>0</v>
      </c>
      <c r="H485">
        <v>6</v>
      </c>
      <c r="I485">
        <v>2</v>
      </c>
      <c r="J485">
        <v>0.02</v>
      </c>
    </row>
    <row r="486" spans="1:10" x14ac:dyDescent="0.2">
      <c r="A486">
        <v>485</v>
      </c>
      <c r="B486" s="61">
        <v>40565</v>
      </c>
      <c r="C486">
        <v>1</v>
      </c>
      <c r="D486">
        <v>0</v>
      </c>
      <c r="E486">
        <v>1</v>
      </c>
      <c r="F486">
        <v>6</v>
      </c>
      <c r="G486" t="b">
        <v>0</v>
      </c>
      <c r="H486">
        <v>6</v>
      </c>
      <c r="I486">
        <v>2</v>
      </c>
      <c r="J486">
        <v>0.02</v>
      </c>
    </row>
    <row r="487" spans="1:10" x14ac:dyDescent="0.2">
      <c r="A487">
        <v>486</v>
      </c>
      <c r="B487" s="61">
        <v>40565</v>
      </c>
      <c r="C487">
        <v>1</v>
      </c>
      <c r="D487">
        <v>0</v>
      </c>
      <c r="E487">
        <v>1</v>
      </c>
      <c r="F487">
        <v>7</v>
      </c>
      <c r="G487" t="b">
        <v>0</v>
      </c>
      <c r="H487">
        <v>6</v>
      </c>
      <c r="I487">
        <v>1</v>
      </c>
      <c r="J487">
        <v>0.02</v>
      </c>
    </row>
    <row r="488" spans="1:10" x14ac:dyDescent="0.2">
      <c r="A488">
        <v>487</v>
      </c>
      <c r="B488" s="61">
        <v>40565</v>
      </c>
      <c r="C488">
        <v>1</v>
      </c>
      <c r="D488">
        <v>0</v>
      </c>
      <c r="E488">
        <v>1</v>
      </c>
      <c r="F488">
        <v>8</v>
      </c>
      <c r="G488" t="b">
        <v>0</v>
      </c>
      <c r="H488">
        <v>6</v>
      </c>
      <c r="I488">
        <v>1</v>
      </c>
      <c r="J488">
        <v>0.02</v>
      </c>
    </row>
    <row r="489" spans="1:10" x14ac:dyDescent="0.2">
      <c r="A489">
        <v>488</v>
      </c>
      <c r="B489" s="61">
        <v>40565</v>
      </c>
      <c r="C489">
        <v>1</v>
      </c>
      <c r="D489">
        <v>0</v>
      </c>
      <c r="E489">
        <v>1</v>
      </c>
      <c r="F489">
        <v>9</v>
      </c>
      <c r="G489" t="b">
        <v>0</v>
      </c>
      <c r="H489">
        <v>6</v>
      </c>
      <c r="I489">
        <v>1</v>
      </c>
      <c r="J489">
        <v>0.04</v>
      </c>
    </row>
    <row r="490" spans="1:10" x14ac:dyDescent="0.2">
      <c r="A490">
        <v>489</v>
      </c>
      <c r="B490" s="61">
        <v>40565</v>
      </c>
      <c r="C490">
        <v>1</v>
      </c>
      <c r="D490">
        <v>0</v>
      </c>
      <c r="E490">
        <v>1</v>
      </c>
      <c r="F490">
        <v>10</v>
      </c>
      <c r="G490" t="b">
        <v>0</v>
      </c>
      <c r="H490">
        <v>6</v>
      </c>
      <c r="I490">
        <v>2</v>
      </c>
      <c r="J490">
        <v>0.04</v>
      </c>
    </row>
    <row r="491" spans="1:10" x14ac:dyDescent="0.2">
      <c r="A491">
        <v>490</v>
      </c>
      <c r="B491" s="61">
        <v>40565</v>
      </c>
      <c r="C491">
        <v>1</v>
      </c>
      <c r="D491">
        <v>0</v>
      </c>
      <c r="E491">
        <v>1</v>
      </c>
      <c r="F491">
        <v>11</v>
      </c>
      <c r="G491" t="b">
        <v>0</v>
      </c>
      <c r="H491">
        <v>6</v>
      </c>
      <c r="I491">
        <v>2</v>
      </c>
      <c r="J491">
        <v>0.06</v>
      </c>
    </row>
    <row r="492" spans="1:10" x14ac:dyDescent="0.2">
      <c r="A492">
        <v>491</v>
      </c>
      <c r="B492" s="61">
        <v>40565</v>
      </c>
      <c r="C492">
        <v>1</v>
      </c>
      <c r="D492">
        <v>0</v>
      </c>
      <c r="E492">
        <v>1</v>
      </c>
      <c r="F492">
        <v>12</v>
      </c>
      <c r="G492" t="b">
        <v>0</v>
      </c>
      <c r="H492">
        <v>6</v>
      </c>
      <c r="I492">
        <v>2</v>
      </c>
      <c r="J492">
        <v>0.06</v>
      </c>
    </row>
    <row r="493" spans="1:10" x14ac:dyDescent="0.2">
      <c r="A493">
        <v>492</v>
      </c>
      <c r="B493" s="61">
        <v>40565</v>
      </c>
      <c r="C493">
        <v>1</v>
      </c>
      <c r="D493">
        <v>0</v>
      </c>
      <c r="E493">
        <v>1</v>
      </c>
      <c r="F493">
        <v>13</v>
      </c>
      <c r="G493" t="b">
        <v>0</v>
      </c>
      <c r="H493">
        <v>6</v>
      </c>
      <c r="I493">
        <v>1</v>
      </c>
      <c r="J493">
        <v>0.08</v>
      </c>
    </row>
    <row r="494" spans="1:10" x14ac:dyDescent="0.2">
      <c r="A494">
        <v>493</v>
      </c>
      <c r="B494" s="61">
        <v>40565</v>
      </c>
      <c r="C494">
        <v>1</v>
      </c>
      <c r="D494">
        <v>0</v>
      </c>
      <c r="E494">
        <v>1</v>
      </c>
      <c r="F494">
        <v>14</v>
      </c>
      <c r="G494" t="b">
        <v>0</v>
      </c>
      <c r="H494">
        <v>6</v>
      </c>
      <c r="I494">
        <v>1</v>
      </c>
      <c r="J494">
        <v>0.1</v>
      </c>
    </row>
    <row r="495" spans="1:10" x14ac:dyDescent="0.2">
      <c r="A495">
        <v>494</v>
      </c>
      <c r="B495" s="61">
        <v>40565</v>
      </c>
      <c r="C495">
        <v>1</v>
      </c>
      <c r="D495">
        <v>0</v>
      </c>
      <c r="E495">
        <v>1</v>
      </c>
      <c r="F495">
        <v>15</v>
      </c>
      <c r="G495" t="b">
        <v>0</v>
      </c>
      <c r="H495">
        <v>6</v>
      </c>
      <c r="I495">
        <v>1</v>
      </c>
      <c r="J495">
        <v>0.12</v>
      </c>
    </row>
    <row r="496" spans="1:10" x14ac:dyDescent="0.2">
      <c r="A496">
        <v>495</v>
      </c>
      <c r="B496" s="61">
        <v>40565</v>
      </c>
      <c r="C496">
        <v>1</v>
      </c>
      <c r="D496">
        <v>0</v>
      </c>
      <c r="E496">
        <v>1</v>
      </c>
      <c r="F496">
        <v>16</v>
      </c>
      <c r="G496" t="b">
        <v>0</v>
      </c>
      <c r="H496">
        <v>6</v>
      </c>
      <c r="I496">
        <v>1</v>
      </c>
      <c r="J496">
        <v>0.12</v>
      </c>
    </row>
    <row r="497" spans="1:10" x14ac:dyDescent="0.2">
      <c r="A497">
        <v>496</v>
      </c>
      <c r="B497" s="61">
        <v>40565</v>
      </c>
      <c r="C497">
        <v>1</v>
      </c>
      <c r="D497">
        <v>0</v>
      </c>
      <c r="E497">
        <v>1</v>
      </c>
      <c r="F497">
        <v>17</v>
      </c>
      <c r="G497" t="b">
        <v>0</v>
      </c>
      <c r="H497">
        <v>6</v>
      </c>
      <c r="I497">
        <v>1</v>
      </c>
      <c r="J497">
        <v>0.12</v>
      </c>
    </row>
    <row r="498" spans="1:10" x14ac:dyDescent="0.2">
      <c r="A498">
        <v>497</v>
      </c>
      <c r="B498" s="61">
        <v>40565</v>
      </c>
      <c r="C498">
        <v>1</v>
      </c>
      <c r="D498">
        <v>0</v>
      </c>
      <c r="E498">
        <v>1</v>
      </c>
      <c r="F498">
        <v>18</v>
      </c>
      <c r="G498" t="b">
        <v>0</v>
      </c>
      <c r="H498">
        <v>6</v>
      </c>
      <c r="I498">
        <v>1</v>
      </c>
      <c r="J498">
        <v>0.08</v>
      </c>
    </row>
    <row r="499" spans="1:10" x14ac:dyDescent="0.2">
      <c r="A499">
        <v>498</v>
      </c>
      <c r="B499" s="61">
        <v>40565</v>
      </c>
      <c r="C499">
        <v>1</v>
      </c>
      <c r="D499">
        <v>0</v>
      </c>
      <c r="E499">
        <v>1</v>
      </c>
      <c r="F499">
        <v>19</v>
      </c>
      <c r="G499" t="b">
        <v>0</v>
      </c>
      <c r="H499">
        <v>6</v>
      </c>
      <c r="I499">
        <v>1</v>
      </c>
      <c r="J499">
        <v>0.08</v>
      </c>
    </row>
    <row r="500" spans="1:10" x14ac:dyDescent="0.2">
      <c r="A500">
        <v>499</v>
      </c>
      <c r="B500" s="61">
        <v>40565</v>
      </c>
      <c r="C500">
        <v>1</v>
      </c>
      <c r="D500">
        <v>0</v>
      </c>
      <c r="E500">
        <v>1</v>
      </c>
      <c r="F500">
        <v>20</v>
      </c>
      <c r="G500" t="b">
        <v>0</v>
      </c>
      <c r="H500">
        <v>6</v>
      </c>
      <c r="I500">
        <v>1</v>
      </c>
      <c r="J500">
        <v>0.06</v>
      </c>
    </row>
    <row r="501" spans="1:10" x14ac:dyDescent="0.2">
      <c r="A501">
        <v>500</v>
      </c>
      <c r="B501" s="61">
        <v>40565</v>
      </c>
      <c r="C501">
        <v>1</v>
      </c>
      <c r="D501">
        <v>0</v>
      </c>
      <c r="E501">
        <v>1</v>
      </c>
      <c r="F501">
        <v>21</v>
      </c>
      <c r="G501" t="b">
        <v>0</v>
      </c>
      <c r="H501">
        <v>6</v>
      </c>
      <c r="I501">
        <v>1</v>
      </c>
      <c r="J501">
        <v>0.06</v>
      </c>
    </row>
    <row r="502" spans="1:10" x14ac:dyDescent="0.2">
      <c r="A502">
        <v>501</v>
      </c>
      <c r="B502" s="61">
        <v>40565</v>
      </c>
      <c r="C502">
        <v>1</v>
      </c>
      <c r="D502">
        <v>0</v>
      </c>
      <c r="E502">
        <v>1</v>
      </c>
      <c r="F502">
        <v>22</v>
      </c>
      <c r="G502" t="b">
        <v>0</v>
      </c>
      <c r="H502">
        <v>6</v>
      </c>
      <c r="I502">
        <v>1</v>
      </c>
      <c r="J502">
        <v>0.06</v>
      </c>
    </row>
    <row r="503" spans="1:10" x14ac:dyDescent="0.2">
      <c r="A503">
        <v>502</v>
      </c>
      <c r="B503" s="61">
        <v>40565</v>
      </c>
      <c r="C503">
        <v>1</v>
      </c>
      <c r="D503">
        <v>0</v>
      </c>
      <c r="E503">
        <v>1</v>
      </c>
      <c r="F503">
        <v>23</v>
      </c>
      <c r="G503" t="b">
        <v>0</v>
      </c>
      <c r="H503">
        <v>6</v>
      </c>
      <c r="I503">
        <v>1</v>
      </c>
      <c r="J503">
        <v>0.04</v>
      </c>
    </row>
    <row r="504" spans="1:10" x14ac:dyDescent="0.2">
      <c r="A504">
        <v>503</v>
      </c>
      <c r="B504" s="61">
        <v>40566</v>
      </c>
      <c r="C504">
        <v>1</v>
      </c>
      <c r="D504">
        <v>0</v>
      </c>
      <c r="E504">
        <v>1</v>
      </c>
      <c r="F504">
        <v>0</v>
      </c>
      <c r="G504" t="b">
        <v>0</v>
      </c>
      <c r="H504">
        <v>0</v>
      </c>
      <c r="I504">
        <v>1</v>
      </c>
      <c r="J504">
        <v>0.04</v>
      </c>
    </row>
    <row r="505" spans="1:10" x14ac:dyDescent="0.2">
      <c r="A505">
        <v>504</v>
      </c>
      <c r="B505" s="61">
        <v>40566</v>
      </c>
      <c r="C505">
        <v>1</v>
      </c>
      <c r="D505">
        <v>0</v>
      </c>
      <c r="E505">
        <v>1</v>
      </c>
      <c r="F505">
        <v>1</v>
      </c>
      <c r="G505" t="b">
        <v>0</v>
      </c>
      <c r="H505">
        <v>0</v>
      </c>
      <c r="I505">
        <v>1</v>
      </c>
      <c r="J505">
        <v>0.04</v>
      </c>
    </row>
    <row r="506" spans="1:10" x14ac:dyDescent="0.2">
      <c r="A506">
        <v>505</v>
      </c>
      <c r="B506" s="61">
        <v>40566</v>
      </c>
      <c r="C506">
        <v>1</v>
      </c>
      <c r="D506">
        <v>0</v>
      </c>
      <c r="E506">
        <v>1</v>
      </c>
      <c r="F506">
        <v>2</v>
      </c>
      <c r="G506" t="b">
        <v>0</v>
      </c>
      <c r="H506">
        <v>0</v>
      </c>
      <c r="I506">
        <v>1</v>
      </c>
      <c r="J506">
        <v>0.02</v>
      </c>
    </row>
    <row r="507" spans="1:10" x14ac:dyDescent="0.2">
      <c r="A507">
        <v>506</v>
      </c>
      <c r="B507" s="61">
        <v>40566</v>
      </c>
      <c r="C507">
        <v>1</v>
      </c>
      <c r="D507">
        <v>0</v>
      </c>
      <c r="E507">
        <v>1</v>
      </c>
      <c r="F507">
        <v>3</v>
      </c>
      <c r="G507" t="b">
        <v>0</v>
      </c>
      <c r="H507">
        <v>0</v>
      </c>
      <c r="I507">
        <v>1</v>
      </c>
      <c r="J507">
        <v>0.02</v>
      </c>
    </row>
    <row r="508" spans="1:10" x14ac:dyDescent="0.2">
      <c r="A508">
        <v>507</v>
      </c>
      <c r="B508" s="61">
        <v>40566</v>
      </c>
      <c r="C508">
        <v>1</v>
      </c>
      <c r="D508">
        <v>0</v>
      </c>
      <c r="E508">
        <v>1</v>
      </c>
      <c r="F508">
        <v>5</v>
      </c>
      <c r="G508" t="b">
        <v>0</v>
      </c>
      <c r="H508">
        <v>0</v>
      </c>
      <c r="I508">
        <v>2</v>
      </c>
      <c r="J508">
        <v>0.04</v>
      </c>
    </row>
    <row r="509" spans="1:10" x14ac:dyDescent="0.2">
      <c r="A509">
        <v>508</v>
      </c>
      <c r="B509" s="61">
        <v>40566</v>
      </c>
      <c r="C509">
        <v>1</v>
      </c>
      <c r="D509">
        <v>0</v>
      </c>
      <c r="E509">
        <v>1</v>
      </c>
      <c r="F509">
        <v>6</v>
      </c>
      <c r="G509" t="b">
        <v>0</v>
      </c>
      <c r="H509">
        <v>0</v>
      </c>
      <c r="I509">
        <v>2</v>
      </c>
      <c r="J509">
        <v>0.04</v>
      </c>
    </row>
    <row r="510" spans="1:10" x14ac:dyDescent="0.2">
      <c r="A510">
        <v>509</v>
      </c>
      <c r="B510" s="61">
        <v>40566</v>
      </c>
      <c r="C510">
        <v>1</v>
      </c>
      <c r="D510">
        <v>0</v>
      </c>
      <c r="E510">
        <v>1</v>
      </c>
      <c r="F510">
        <v>7</v>
      </c>
      <c r="G510" t="b">
        <v>0</v>
      </c>
      <c r="H510">
        <v>0</v>
      </c>
      <c r="I510">
        <v>1</v>
      </c>
      <c r="J510">
        <v>0.08</v>
      </c>
    </row>
    <row r="511" spans="1:10" x14ac:dyDescent="0.2">
      <c r="A511">
        <v>510</v>
      </c>
      <c r="B511" s="61">
        <v>40566</v>
      </c>
      <c r="C511">
        <v>1</v>
      </c>
      <c r="D511">
        <v>0</v>
      </c>
      <c r="E511">
        <v>1</v>
      </c>
      <c r="F511">
        <v>8</v>
      </c>
      <c r="G511" t="b">
        <v>0</v>
      </c>
      <c r="H511">
        <v>0</v>
      </c>
      <c r="I511">
        <v>1</v>
      </c>
      <c r="J511">
        <v>0.06</v>
      </c>
    </row>
    <row r="512" spans="1:10" x14ac:dyDescent="0.2">
      <c r="A512">
        <v>511</v>
      </c>
      <c r="B512" s="61">
        <v>40566</v>
      </c>
      <c r="C512">
        <v>1</v>
      </c>
      <c r="D512">
        <v>0</v>
      </c>
      <c r="E512">
        <v>1</v>
      </c>
      <c r="F512">
        <v>9</v>
      </c>
      <c r="G512" t="b">
        <v>0</v>
      </c>
      <c r="H512">
        <v>0</v>
      </c>
      <c r="I512">
        <v>1</v>
      </c>
      <c r="J512">
        <v>0.1</v>
      </c>
    </row>
    <row r="513" spans="1:10" x14ac:dyDescent="0.2">
      <c r="A513">
        <v>512</v>
      </c>
      <c r="B513" s="61">
        <v>40566</v>
      </c>
      <c r="C513">
        <v>1</v>
      </c>
      <c r="D513">
        <v>0</v>
      </c>
      <c r="E513">
        <v>1</v>
      </c>
      <c r="F513">
        <v>10</v>
      </c>
      <c r="G513" t="b">
        <v>0</v>
      </c>
      <c r="H513">
        <v>0</v>
      </c>
      <c r="I513">
        <v>1</v>
      </c>
      <c r="J513">
        <v>0.14000000000000001</v>
      </c>
    </row>
    <row r="514" spans="1:10" x14ac:dyDescent="0.2">
      <c r="A514">
        <v>513</v>
      </c>
      <c r="B514" s="61">
        <v>40566</v>
      </c>
      <c r="C514">
        <v>1</v>
      </c>
      <c r="D514">
        <v>0</v>
      </c>
      <c r="E514">
        <v>1</v>
      </c>
      <c r="F514">
        <v>11</v>
      </c>
      <c r="G514" t="b">
        <v>0</v>
      </c>
      <c r="H514">
        <v>0</v>
      </c>
      <c r="I514">
        <v>1</v>
      </c>
      <c r="J514">
        <v>0.14000000000000001</v>
      </c>
    </row>
    <row r="515" spans="1:10" x14ac:dyDescent="0.2">
      <c r="A515">
        <v>514</v>
      </c>
      <c r="B515" s="61">
        <v>40566</v>
      </c>
      <c r="C515">
        <v>1</v>
      </c>
      <c r="D515">
        <v>0</v>
      </c>
      <c r="E515">
        <v>1</v>
      </c>
      <c r="F515">
        <v>12</v>
      </c>
      <c r="G515" t="b">
        <v>0</v>
      </c>
      <c r="H515">
        <v>0</v>
      </c>
      <c r="I515">
        <v>1</v>
      </c>
      <c r="J515">
        <v>0.16</v>
      </c>
    </row>
    <row r="516" spans="1:10" x14ac:dyDescent="0.2">
      <c r="A516">
        <v>515</v>
      </c>
      <c r="B516" s="61">
        <v>40566</v>
      </c>
      <c r="C516">
        <v>1</v>
      </c>
      <c r="D516">
        <v>0</v>
      </c>
      <c r="E516">
        <v>1</v>
      </c>
      <c r="F516">
        <v>13</v>
      </c>
      <c r="G516" t="b">
        <v>0</v>
      </c>
      <c r="H516">
        <v>0</v>
      </c>
      <c r="I516">
        <v>1</v>
      </c>
      <c r="J516">
        <v>0.14000000000000001</v>
      </c>
    </row>
    <row r="517" spans="1:10" x14ac:dyDescent="0.2">
      <c r="A517">
        <v>516</v>
      </c>
      <c r="B517" s="61">
        <v>40566</v>
      </c>
      <c r="C517">
        <v>1</v>
      </c>
      <c r="D517">
        <v>0</v>
      </c>
      <c r="E517">
        <v>1</v>
      </c>
      <c r="F517">
        <v>14</v>
      </c>
      <c r="G517" t="b">
        <v>0</v>
      </c>
      <c r="H517">
        <v>0</v>
      </c>
      <c r="I517">
        <v>1</v>
      </c>
      <c r="J517">
        <v>0.16</v>
      </c>
    </row>
    <row r="518" spans="1:10" x14ac:dyDescent="0.2">
      <c r="A518">
        <v>517</v>
      </c>
      <c r="B518" s="61">
        <v>40566</v>
      </c>
      <c r="C518">
        <v>1</v>
      </c>
      <c r="D518">
        <v>0</v>
      </c>
      <c r="E518">
        <v>1</v>
      </c>
      <c r="F518">
        <v>15</v>
      </c>
      <c r="G518" t="b">
        <v>0</v>
      </c>
      <c r="H518">
        <v>0</v>
      </c>
      <c r="I518">
        <v>1</v>
      </c>
      <c r="J518">
        <v>0.16</v>
      </c>
    </row>
    <row r="519" spans="1:10" x14ac:dyDescent="0.2">
      <c r="A519">
        <v>518</v>
      </c>
      <c r="B519" s="61">
        <v>40566</v>
      </c>
      <c r="C519">
        <v>1</v>
      </c>
      <c r="D519">
        <v>0</v>
      </c>
      <c r="E519">
        <v>1</v>
      </c>
      <c r="F519">
        <v>16</v>
      </c>
      <c r="G519" t="b">
        <v>0</v>
      </c>
      <c r="H519">
        <v>0</v>
      </c>
      <c r="I519">
        <v>1</v>
      </c>
      <c r="J519">
        <v>0.16</v>
      </c>
    </row>
    <row r="520" spans="1:10" x14ac:dyDescent="0.2">
      <c r="A520">
        <v>519</v>
      </c>
      <c r="B520" s="61">
        <v>40566</v>
      </c>
      <c r="C520">
        <v>1</v>
      </c>
      <c r="D520">
        <v>0</v>
      </c>
      <c r="E520">
        <v>1</v>
      </c>
      <c r="F520">
        <v>17</v>
      </c>
      <c r="G520" t="b">
        <v>0</v>
      </c>
      <c r="H520">
        <v>0</v>
      </c>
      <c r="I520">
        <v>1</v>
      </c>
      <c r="J520">
        <v>0.14000000000000001</v>
      </c>
    </row>
    <row r="521" spans="1:10" x14ac:dyDescent="0.2">
      <c r="A521">
        <v>520</v>
      </c>
      <c r="B521" s="61">
        <v>40566</v>
      </c>
      <c r="C521">
        <v>1</v>
      </c>
      <c r="D521">
        <v>0</v>
      </c>
      <c r="E521">
        <v>1</v>
      </c>
      <c r="F521">
        <v>18</v>
      </c>
      <c r="G521" t="b">
        <v>0</v>
      </c>
      <c r="H521">
        <v>0</v>
      </c>
      <c r="I521">
        <v>1</v>
      </c>
      <c r="J521">
        <v>0.12</v>
      </c>
    </row>
    <row r="522" spans="1:10" x14ac:dyDescent="0.2">
      <c r="A522">
        <v>521</v>
      </c>
      <c r="B522" s="61">
        <v>40566</v>
      </c>
      <c r="C522">
        <v>1</v>
      </c>
      <c r="D522">
        <v>0</v>
      </c>
      <c r="E522">
        <v>1</v>
      </c>
      <c r="F522">
        <v>19</v>
      </c>
      <c r="G522" t="b">
        <v>0</v>
      </c>
      <c r="H522">
        <v>0</v>
      </c>
      <c r="I522">
        <v>1</v>
      </c>
      <c r="J522">
        <v>0.12</v>
      </c>
    </row>
    <row r="523" spans="1:10" x14ac:dyDescent="0.2">
      <c r="A523">
        <v>522</v>
      </c>
      <c r="B523" s="61">
        <v>40566</v>
      </c>
      <c r="C523">
        <v>1</v>
      </c>
      <c r="D523">
        <v>0</v>
      </c>
      <c r="E523">
        <v>1</v>
      </c>
      <c r="F523">
        <v>20</v>
      </c>
      <c r="G523" t="b">
        <v>0</v>
      </c>
      <c r="H523">
        <v>0</v>
      </c>
      <c r="I523">
        <v>1</v>
      </c>
      <c r="J523">
        <v>0.1</v>
      </c>
    </row>
    <row r="524" spans="1:10" x14ac:dyDescent="0.2">
      <c r="A524">
        <v>523</v>
      </c>
      <c r="B524" s="61">
        <v>40566</v>
      </c>
      <c r="C524">
        <v>1</v>
      </c>
      <c r="D524">
        <v>0</v>
      </c>
      <c r="E524">
        <v>1</v>
      </c>
      <c r="F524">
        <v>21</v>
      </c>
      <c r="G524" t="b">
        <v>0</v>
      </c>
      <c r="H524">
        <v>0</v>
      </c>
      <c r="I524">
        <v>1</v>
      </c>
      <c r="J524">
        <v>0.1</v>
      </c>
    </row>
    <row r="525" spans="1:10" x14ac:dyDescent="0.2">
      <c r="A525">
        <v>524</v>
      </c>
      <c r="B525" s="61">
        <v>40566</v>
      </c>
      <c r="C525">
        <v>1</v>
      </c>
      <c r="D525">
        <v>0</v>
      </c>
      <c r="E525">
        <v>1</v>
      </c>
      <c r="F525">
        <v>22</v>
      </c>
      <c r="G525" t="b">
        <v>0</v>
      </c>
      <c r="H525">
        <v>0</v>
      </c>
      <c r="I525">
        <v>1</v>
      </c>
      <c r="J525">
        <v>0.08</v>
      </c>
    </row>
    <row r="526" spans="1:10" x14ac:dyDescent="0.2">
      <c r="A526">
        <v>525</v>
      </c>
      <c r="B526" s="61">
        <v>40566</v>
      </c>
      <c r="C526">
        <v>1</v>
      </c>
      <c r="D526">
        <v>0</v>
      </c>
      <c r="E526">
        <v>1</v>
      </c>
      <c r="F526">
        <v>23</v>
      </c>
      <c r="G526" t="b">
        <v>0</v>
      </c>
      <c r="H526">
        <v>0</v>
      </c>
      <c r="I526">
        <v>1</v>
      </c>
      <c r="J526">
        <v>0.06</v>
      </c>
    </row>
    <row r="527" spans="1:10" x14ac:dyDescent="0.2">
      <c r="A527">
        <v>526</v>
      </c>
      <c r="B527" s="61">
        <v>40567</v>
      </c>
      <c r="C527">
        <v>1</v>
      </c>
      <c r="D527">
        <v>0</v>
      </c>
      <c r="E527">
        <v>1</v>
      </c>
      <c r="F527">
        <v>0</v>
      </c>
      <c r="G527" t="b">
        <v>0</v>
      </c>
      <c r="H527">
        <v>1</v>
      </c>
      <c r="I527">
        <v>1</v>
      </c>
      <c r="J527">
        <v>0.06</v>
      </c>
    </row>
    <row r="528" spans="1:10" x14ac:dyDescent="0.2">
      <c r="A528">
        <v>527</v>
      </c>
      <c r="B528" s="61">
        <v>40567</v>
      </c>
      <c r="C528">
        <v>1</v>
      </c>
      <c r="D528">
        <v>0</v>
      </c>
      <c r="E528">
        <v>1</v>
      </c>
      <c r="F528">
        <v>1</v>
      </c>
      <c r="G528" t="b">
        <v>0</v>
      </c>
      <c r="H528">
        <v>1</v>
      </c>
      <c r="I528">
        <v>1</v>
      </c>
      <c r="J528">
        <v>0.04</v>
      </c>
    </row>
    <row r="529" spans="1:10" x14ac:dyDescent="0.2">
      <c r="A529">
        <v>528</v>
      </c>
      <c r="B529" s="61">
        <v>40567</v>
      </c>
      <c r="C529">
        <v>1</v>
      </c>
      <c r="D529">
        <v>0</v>
      </c>
      <c r="E529">
        <v>1</v>
      </c>
      <c r="F529">
        <v>3</v>
      </c>
      <c r="G529" t="b">
        <v>0</v>
      </c>
      <c r="H529">
        <v>1</v>
      </c>
      <c r="I529">
        <v>1</v>
      </c>
      <c r="J529">
        <v>0.04</v>
      </c>
    </row>
    <row r="530" spans="1:10" x14ac:dyDescent="0.2">
      <c r="A530">
        <v>529</v>
      </c>
      <c r="B530" s="61">
        <v>40567</v>
      </c>
      <c r="C530">
        <v>1</v>
      </c>
      <c r="D530">
        <v>0</v>
      </c>
      <c r="E530">
        <v>1</v>
      </c>
      <c r="F530">
        <v>4</v>
      </c>
      <c r="G530" t="b">
        <v>0</v>
      </c>
      <c r="H530">
        <v>1</v>
      </c>
      <c r="I530">
        <v>1</v>
      </c>
      <c r="J530">
        <v>0.02</v>
      </c>
    </row>
    <row r="531" spans="1:10" x14ac:dyDescent="0.2">
      <c r="A531">
        <v>530</v>
      </c>
      <c r="B531" s="61">
        <v>40567</v>
      </c>
      <c r="C531">
        <v>1</v>
      </c>
      <c r="D531">
        <v>0</v>
      </c>
      <c r="E531">
        <v>1</v>
      </c>
      <c r="F531">
        <v>5</v>
      </c>
      <c r="G531" t="b">
        <v>0</v>
      </c>
      <c r="H531">
        <v>1</v>
      </c>
      <c r="I531">
        <v>1</v>
      </c>
      <c r="J531">
        <v>0.02</v>
      </c>
    </row>
    <row r="532" spans="1:10" x14ac:dyDescent="0.2">
      <c r="A532">
        <v>531</v>
      </c>
      <c r="B532" s="61">
        <v>40567</v>
      </c>
      <c r="C532">
        <v>1</v>
      </c>
      <c r="D532">
        <v>0</v>
      </c>
      <c r="E532">
        <v>1</v>
      </c>
      <c r="F532">
        <v>6</v>
      </c>
      <c r="G532" t="b">
        <v>0</v>
      </c>
      <c r="H532">
        <v>1</v>
      </c>
      <c r="I532">
        <v>1</v>
      </c>
      <c r="J532">
        <v>0.02</v>
      </c>
    </row>
    <row r="533" spans="1:10" x14ac:dyDescent="0.2">
      <c r="A533">
        <v>532</v>
      </c>
      <c r="B533" s="61">
        <v>40567</v>
      </c>
      <c r="C533">
        <v>1</v>
      </c>
      <c r="D533">
        <v>0</v>
      </c>
      <c r="E533">
        <v>1</v>
      </c>
      <c r="F533">
        <v>7</v>
      </c>
      <c r="G533" t="b">
        <v>0</v>
      </c>
      <c r="H533">
        <v>1</v>
      </c>
      <c r="I533">
        <v>1</v>
      </c>
      <c r="J533">
        <v>0.02</v>
      </c>
    </row>
    <row r="534" spans="1:10" x14ac:dyDescent="0.2">
      <c r="A534">
        <v>533</v>
      </c>
      <c r="B534" s="61">
        <v>40567</v>
      </c>
      <c r="C534">
        <v>1</v>
      </c>
      <c r="D534">
        <v>0</v>
      </c>
      <c r="E534">
        <v>1</v>
      </c>
      <c r="F534">
        <v>8</v>
      </c>
      <c r="G534" t="b">
        <v>0</v>
      </c>
      <c r="H534">
        <v>1</v>
      </c>
      <c r="I534">
        <v>1</v>
      </c>
      <c r="J534">
        <v>0.04</v>
      </c>
    </row>
    <row r="535" spans="1:10" x14ac:dyDescent="0.2">
      <c r="A535">
        <v>534</v>
      </c>
      <c r="B535" s="61">
        <v>40567</v>
      </c>
      <c r="C535">
        <v>1</v>
      </c>
      <c r="D535">
        <v>0</v>
      </c>
      <c r="E535">
        <v>1</v>
      </c>
      <c r="F535">
        <v>9</v>
      </c>
      <c r="G535" t="b">
        <v>0</v>
      </c>
      <c r="H535">
        <v>1</v>
      </c>
      <c r="I535">
        <v>1</v>
      </c>
      <c r="J535">
        <v>0.06</v>
      </c>
    </row>
    <row r="536" spans="1:10" x14ac:dyDescent="0.2">
      <c r="A536">
        <v>535</v>
      </c>
      <c r="B536" s="61">
        <v>40567</v>
      </c>
      <c r="C536">
        <v>1</v>
      </c>
      <c r="D536">
        <v>0</v>
      </c>
      <c r="E536">
        <v>1</v>
      </c>
      <c r="F536">
        <v>10</v>
      </c>
      <c r="G536" t="b">
        <v>0</v>
      </c>
      <c r="H536">
        <v>1</v>
      </c>
      <c r="I536">
        <v>1</v>
      </c>
      <c r="J536">
        <v>0.1</v>
      </c>
    </row>
    <row r="537" spans="1:10" x14ac:dyDescent="0.2">
      <c r="A537">
        <v>536</v>
      </c>
      <c r="B537" s="61">
        <v>40567</v>
      </c>
      <c r="C537">
        <v>1</v>
      </c>
      <c r="D537">
        <v>0</v>
      </c>
      <c r="E537">
        <v>1</v>
      </c>
      <c r="F537">
        <v>11</v>
      </c>
      <c r="G537" t="b">
        <v>0</v>
      </c>
      <c r="H537">
        <v>1</v>
      </c>
      <c r="I537">
        <v>1</v>
      </c>
      <c r="J537">
        <v>0.1</v>
      </c>
    </row>
    <row r="538" spans="1:10" x14ac:dyDescent="0.2">
      <c r="A538">
        <v>537</v>
      </c>
      <c r="B538" s="61">
        <v>40567</v>
      </c>
      <c r="C538">
        <v>1</v>
      </c>
      <c r="D538">
        <v>0</v>
      </c>
      <c r="E538">
        <v>1</v>
      </c>
      <c r="F538">
        <v>12</v>
      </c>
      <c r="G538" t="b">
        <v>0</v>
      </c>
      <c r="H538">
        <v>1</v>
      </c>
      <c r="I538">
        <v>2</v>
      </c>
      <c r="J538">
        <v>0.12</v>
      </c>
    </row>
    <row r="539" spans="1:10" x14ac:dyDescent="0.2">
      <c r="A539">
        <v>538</v>
      </c>
      <c r="B539" s="61">
        <v>40567</v>
      </c>
      <c r="C539">
        <v>1</v>
      </c>
      <c r="D539">
        <v>0</v>
      </c>
      <c r="E539">
        <v>1</v>
      </c>
      <c r="F539">
        <v>13</v>
      </c>
      <c r="G539" t="b">
        <v>0</v>
      </c>
      <c r="H539">
        <v>1</v>
      </c>
      <c r="I539">
        <v>2</v>
      </c>
      <c r="J539">
        <v>0.14000000000000001</v>
      </c>
    </row>
    <row r="540" spans="1:10" x14ac:dyDescent="0.2">
      <c r="A540">
        <v>539</v>
      </c>
      <c r="B540" s="61">
        <v>40567</v>
      </c>
      <c r="C540">
        <v>1</v>
      </c>
      <c r="D540">
        <v>0</v>
      </c>
      <c r="E540">
        <v>1</v>
      </c>
      <c r="F540">
        <v>14</v>
      </c>
      <c r="G540" t="b">
        <v>0</v>
      </c>
      <c r="H540">
        <v>1</v>
      </c>
      <c r="I540">
        <v>2</v>
      </c>
      <c r="J540">
        <v>0.14000000000000001</v>
      </c>
    </row>
    <row r="541" spans="1:10" x14ac:dyDescent="0.2">
      <c r="A541">
        <v>540</v>
      </c>
      <c r="B541" s="61">
        <v>40567</v>
      </c>
      <c r="C541">
        <v>1</v>
      </c>
      <c r="D541">
        <v>0</v>
      </c>
      <c r="E541">
        <v>1</v>
      </c>
      <c r="F541">
        <v>15</v>
      </c>
      <c r="G541" t="b">
        <v>0</v>
      </c>
      <c r="H541">
        <v>1</v>
      </c>
      <c r="I541">
        <v>1</v>
      </c>
      <c r="J541">
        <v>0.16</v>
      </c>
    </row>
    <row r="542" spans="1:10" x14ac:dyDescent="0.2">
      <c r="A542">
        <v>541</v>
      </c>
      <c r="B542" s="61">
        <v>40567</v>
      </c>
      <c r="C542">
        <v>1</v>
      </c>
      <c r="D542">
        <v>0</v>
      </c>
      <c r="E542">
        <v>1</v>
      </c>
      <c r="F542">
        <v>16</v>
      </c>
      <c r="G542" t="b">
        <v>0</v>
      </c>
      <c r="H542">
        <v>1</v>
      </c>
      <c r="I542">
        <v>1</v>
      </c>
      <c r="J542">
        <v>0.16</v>
      </c>
    </row>
    <row r="543" spans="1:10" x14ac:dyDescent="0.2">
      <c r="A543">
        <v>542</v>
      </c>
      <c r="B543" s="61">
        <v>40567</v>
      </c>
      <c r="C543">
        <v>1</v>
      </c>
      <c r="D543">
        <v>0</v>
      </c>
      <c r="E543">
        <v>1</v>
      </c>
      <c r="F543">
        <v>17</v>
      </c>
      <c r="G543" t="b">
        <v>0</v>
      </c>
      <c r="H543">
        <v>1</v>
      </c>
      <c r="I543">
        <v>1</v>
      </c>
      <c r="J543">
        <v>0.14000000000000001</v>
      </c>
    </row>
    <row r="544" spans="1:10" x14ac:dyDescent="0.2">
      <c r="A544">
        <v>543</v>
      </c>
      <c r="B544" s="61">
        <v>40567</v>
      </c>
      <c r="C544">
        <v>1</v>
      </c>
      <c r="D544">
        <v>0</v>
      </c>
      <c r="E544">
        <v>1</v>
      </c>
      <c r="F544">
        <v>18</v>
      </c>
      <c r="G544" t="b">
        <v>0</v>
      </c>
      <c r="H544">
        <v>1</v>
      </c>
      <c r="I544">
        <v>1</v>
      </c>
      <c r="J544">
        <v>0.14000000000000001</v>
      </c>
    </row>
    <row r="545" spans="1:10" x14ac:dyDescent="0.2">
      <c r="A545">
        <v>544</v>
      </c>
      <c r="B545" s="61">
        <v>40567</v>
      </c>
      <c r="C545">
        <v>1</v>
      </c>
      <c r="D545">
        <v>0</v>
      </c>
      <c r="E545">
        <v>1</v>
      </c>
      <c r="F545">
        <v>19</v>
      </c>
      <c r="G545" t="b">
        <v>0</v>
      </c>
      <c r="H545">
        <v>1</v>
      </c>
      <c r="I545">
        <v>1</v>
      </c>
      <c r="J545">
        <v>0.14000000000000001</v>
      </c>
    </row>
    <row r="546" spans="1:10" x14ac:dyDescent="0.2">
      <c r="A546">
        <v>545</v>
      </c>
      <c r="B546" s="61">
        <v>40567</v>
      </c>
      <c r="C546">
        <v>1</v>
      </c>
      <c r="D546">
        <v>0</v>
      </c>
      <c r="E546">
        <v>1</v>
      </c>
      <c r="F546">
        <v>20</v>
      </c>
      <c r="G546" t="b">
        <v>0</v>
      </c>
      <c r="H546">
        <v>1</v>
      </c>
      <c r="I546">
        <v>1</v>
      </c>
      <c r="J546">
        <v>0.14000000000000001</v>
      </c>
    </row>
    <row r="547" spans="1:10" x14ac:dyDescent="0.2">
      <c r="A547">
        <v>546</v>
      </c>
      <c r="B547" s="61">
        <v>40567</v>
      </c>
      <c r="C547">
        <v>1</v>
      </c>
      <c r="D547">
        <v>0</v>
      </c>
      <c r="E547">
        <v>1</v>
      </c>
      <c r="F547">
        <v>21</v>
      </c>
      <c r="G547" t="b">
        <v>0</v>
      </c>
      <c r="H547">
        <v>1</v>
      </c>
      <c r="I547">
        <v>1</v>
      </c>
      <c r="J547">
        <v>0.14000000000000001</v>
      </c>
    </row>
    <row r="548" spans="1:10" x14ac:dyDescent="0.2">
      <c r="A548">
        <v>547</v>
      </c>
      <c r="B548" s="61">
        <v>40567</v>
      </c>
      <c r="C548">
        <v>1</v>
      </c>
      <c r="D548">
        <v>0</v>
      </c>
      <c r="E548">
        <v>1</v>
      </c>
      <c r="F548">
        <v>22</v>
      </c>
      <c r="G548" t="b">
        <v>0</v>
      </c>
      <c r="H548">
        <v>1</v>
      </c>
      <c r="I548">
        <v>2</v>
      </c>
      <c r="J548">
        <v>0.14000000000000001</v>
      </c>
    </row>
    <row r="549" spans="1:10" x14ac:dyDescent="0.2">
      <c r="A549">
        <v>548</v>
      </c>
      <c r="B549" s="61">
        <v>40567</v>
      </c>
      <c r="C549">
        <v>1</v>
      </c>
      <c r="D549">
        <v>0</v>
      </c>
      <c r="E549">
        <v>1</v>
      </c>
      <c r="F549">
        <v>23</v>
      </c>
      <c r="G549" t="b">
        <v>0</v>
      </c>
      <c r="H549">
        <v>1</v>
      </c>
      <c r="I549">
        <v>2</v>
      </c>
      <c r="J549">
        <v>0.16</v>
      </c>
    </row>
    <row r="550" spans="1:10" x14ac:dyDescent="0.2">
      <c r="A550">
        <v>549</v>
      </c>
      <c r="B550" s="61">
        <v>40568</v>
      </c>
      <c r="C550">
        <v>1</v>
      </c>
      <c r="D550">
        <v>0</v>
      </c>
      <c r="E550">
        <v>1</v>
      </c>
      <c r="F550">
        <v>0</v>
      </c>
      <c r="G550" t="b">
        <v>0</v>
      </c>
      <c r="H550">
        <v>2</v>
      </c>
      <c r="I550">
        <v>2</v>
      </c>
      <c r="J550">
        <v>0.16</v>
      </c>
    </row>
    <row r="551" spans="1:10" x14ac:dyDescent="0.2">
      <c r="A551">
        <v>550</v>
      </c>
      <c r="B551" s="61">
        <v>40568</v>
      </c>
      <c r="C551">
        <v>1</v>
      </c>
      <c r="D551">
        <v>0</v>
      </c>
      <c r="E551">
        <v>1</v>
      </c>
      <c r="F551">
        <v>1</v>
      </c>
      <c r="G551" t="b">
        <v>0</v>
      </c>
      <c r="H551">
        <v>2</v>
      </c>
      <c r="I551">
        <v>2</v>
      </c>
      <c r="J551">
        <v>0.16</v>
      </c>
    </row>
    <row r="552" spans="1:10" x14ac:dyDescent="0.2">
      <c r="A552">
        <v>551</v>
      </c>
      <c r="B552" s="61">
        <v>40568</v>
      </c>
      <c r="C552">
        <v>1</v>
      </c>
      <c r="D552">
        <v>0</v>
      </c>
      <c r="E552">
        <v>1</v>
      </c>
      <c r="F552">
        <v>2</v>
      </c>
      <c r="G552" t="b">
        <v>0</v>
      </c>
      <c r="H552">
        <v>2</v>
      </c>
      <c r="I552">
        <v>1</v>
      </c>
      <c r="J552">
        <v>0.16</v>
      </c>
    </row>
    <row r="553" spans="1:10" x14ac:dyDescent="0.2">
      <c r="A553">
        <v>552</v>
      </c>
      <c r="B553" s="61">
        <v>40568</v>
      </c>
      <c r="C553">
        <v>1</v>
      </c>
      <c r="D553">
        <v>0</v>
      </c>
      <c r="E553">
        <v>1</v>
      </c>
      <c r="F553">
        <v>4</v>
      </c>
      <c r="G553" t="b">
        <v>0</v>
      </c>
      <c r="H553">
        <v>2</v>
      </c>
      <c r="I553">
        <v>1</v>
      </c>
      <c r="J553">
        <v>0.14000000000000001</v>
      </c>
    </row>
    <row r="554" spans="1:10" x14ac:dyDescent="0.2">
      <c r="A554">
        <v>553</v>
      </c>
      <c r="B554" s="61">
        <v>40568</v>
      </c>
      <c r="C554">
        <v>1</v>
      </c>
      <c r="D554">
        <v>0</v>
      </c>
      <c r="E554">
        <v>1</v>
      </c>
      <c r="F554">
        <v>5</v>
      </c>
      <c r="G554" t="b">
        <v>0</v>
      </c>
      <c r="H554">
        <v>2</v>
      </c>
      <c r="I554">
        <v>1</v>
      </c>
      <c r="J554">
        <v>0.14000000000000001</v>
      </c>
    </row>
    <row r="555" spans="1:10" x14ac:dyDescent="0.2">
      <c r="A555">
        <v>554</v>
      </c>
      <c r="B555" s="61">
        <v>40568</v>
      </c>
      <c r="C555">
        <v>1</v>
      </c>
      <c r="D555">
        <v>0</v>
      </c>
      <c r="E555">
        <v>1</v>
      </c>
      <c r="F555">
        <v>6</v>
      </c>
      <c r="G555" t="b">
        <v>0</v>
      </c>
      <c r="H555">
        <v>2</v>
      </c>
      <c r="I555">
        <v>1</v>
      </c>
      <c r="J555">
        <v>0.16</v>
      </c>
    </row>
    <row r="556" spans="1:10" x14ac:dyDescent="0.2">
      <c r="A556">
        <v>555</v>
      </c>
      <c r="B556" s="61">
        <v>40568</v>
      </c>
      <c r="C556">
        <v>1</v>
      </c>
      <c r="D556">
        <v>0</v>
      </c>
      <c r="E556">
        <v>1</v>
      </c>
      <c r="F556">
        <v>7</v>
      </c>
      <c r="G556" t="b">
        <v>0</v>
      </c>
      <c r="H556">
        <v>2</v>
      </c>
      <c r="I556">
        <v>1</v>
      </c>
      <c r="J556">
        <v>0.16</v>
      </c>
    </row>
    <row r="557" spans="1:10" x14ac:dyDescent="0.2">
      <c r="A557">
        <v>556</v>
      </c>
      <c r="B557" s="61">
        <v>40568</v>
      </c>
      <c r="C557">
        <v>1</v>
      </c>
      <c r="D557">
        <v>0</v>
      </c>
      <c r="E557">
        <v>1</v>
      </c>
      <c r="F557">
        <v>8</v>
      </c>
      <c r="G557" t="b">
        <v>0</v>
      </c>
      <c r="H557">
        <v>2</v>
      </c>
      <c r="I557">
        <v>2</v>
      </c>
      <c r="J557">
        <v>0.16</v>
      </c>
    </row>
    <row r="558" spans="1:10" x14ac:dyDescent="0.2">
      <c r="A558">
        <v>557</v>
      </c>
      <c r="B558" s="61">
        <v>40568</v>
      </c>
      <c r="C558">
        <v>1</v>
      </c>
      <c r="D558">
        <v>0</v>
      </c>
      <c r="E558">
        <v>1</v>
      </c>
      <c r="F558">
        <v>9</v>
      </c>
      <c r="G558" t="b">
        <v>0</v>
      </c>
      <c r="H558">
        <v>2</v>
      </c>
      <c r="I558">
        <v>2</v>
      </c>
      <c r="J558">
        <v>0.2</v>
      </c>
    </row>
    <row r="559" spans="1:10" x14ac:dyDescent="0.2">
      <c r="A559">
        <v>558</v>
      </c>
      <c r="B559" s="61">
        <v>40568</v>
      </c>
      <c r="C559">
        <v>1</v>
      </c>
      <c r="D559">
        <v>0</v>
      </c>
      <c r="E559">
        <v>1</v>
      </c>
      <c r="F559">
        <v>10</v>
      </c>
      <c r="G559" t="b">
        <v>0</v>
      </c>
      <c r="H559">
        <v>2</v>
      </c>
      <c r="I559">
        <v>2</v>
      </c>
      <c r="J559">
        <v>0.22</v>
      </c>
    </row>
    <row r="560" spans="1:10" x14ac:dyDescent="0.2">
      <c r="A560">
        <v>559</v>
      </c>
      <c r="B560" s="61">
        <v>40568</v>
      </c>
      <c r="C560">
        <v>1</v>
      </c>
      <c r="D560">
        <v>0</v>
      </c>
      <c r="E560">
        <v>1</v>
      </c>
      <c r="F560">
        <v>11</v>
      </c>
      <c r="G560" t="b">
        <v>0</v>
      </c>
      <c r="H560">
        <v>2</v>
      </c>
      <c r="I560">
        <v>2</v>
      </c>
      <c r="J560">
        <v>0.24</v>
      </c>
    </row>
    <row r="561" spans="1:10" x14ac:dyDescent="0.2">
      <c r="A561">
        <v>560</v>
      </c>
      <c r="B561" s="61">
        <v>40568</v>
      </c>
      <c r="C561">
        <v>1</v>
      </c>
      <c r="D561">
        <v>0</v>
      </c>
      <c r="E561">
        <v>1</v>
      </c>
      <c r="F561">
        <v>12</v>
      </c>
      <c r="G561" t="b">
        <v>0</v>
      </c>
      <c r="H561">
        <v>2</v>
      </c>
      <c r="I561">
        <v>2</v>
      </c>
      <c r="J561">
        <v>0.26</v>
      </c>
    </row>
    <row r="562" spans="1:10" x14ac:dyDescent="0.2">
      <c r="A562">
        <v>561</v>
      </c>
      <c r="B562" s="61">
        <v>40568</v>
      </c>
      <c r="C562">
        <v>1</v>
      </c>
      <c r="D562">
        <v>0</v>
      </c>
      <c r="E562">
        <v>1</v>
      </c>
      <c r="F562">
        <v>13</v>
      </c>
      <c r="G562" t="b">
        <v>0</v>
      </c>
      <c r="H562">
        <v>2</v>
      </c>
      <c r="I562">
        <v>2</v>
      </c>
      <c r="J562">
        <v>0.26</v>
      </c>
    </row>
    <row r="563" spans="1:10" x14ac:dyDescent="0.2">
      <c r="A563">
        <v>562</v>
      </c>
      <c r="B563" s="61">
        <v>40568</v>
      </c>
      <c r="C563">
        <v>1</v>
      </c>
      <c r="D563">
        <v>0</v>
      </c>
      <c r="E563">
        <v>1</v>
      </c>
      <c r="F563">
        <v>14</v>
      </c>
      <c r="G563" t="b">
        <v>0</v>
      </c>
      <c r="H563">
        <v>2</v>
      </c>
      <c r="I563">
        <v>2</v>
      </c>
      <c r="J563">
        <v>0.3</v>
      </c>
    </row>
    <row r="564" spans="1:10" x14ac:dyDescent="0.2">
      <c r="A564">
        <v>563</v>
      </c>
      <c r="B564" s="61">
        <v>40568</v>
      </c>
      <c r="C564">
        <v>1</v>
      </c>
      <c r="D564">
        <v>0</v>
      </c>
      <c r="E564">
        <v>1</v>
      </c>
      <c r="F564">
        <v>15</v>
      </c>
      <c r="G564" t="b">
        <v>0</v>
      </c>
      <c r="H564">
        <v>2</v>
      </c>
      <c r="I564">
        <v>2</v>
      </c>
      <c r="J564">
        <v>0.32</v>
      </c>
    </row>
    <row r="565" spans="1:10" x14ac:dyDescent="0.2">
      <c r="A565">
        <v>564</v>
      </c>
      <c r="B565" s="61">
        <v>40568</v>
      </c>
      <c r="C565">
        <v>1</v>
      </c>
      <c r="D565">
        <v>0</v>
      </c>
      <c r="E565">
        <v>1</v>
      </c>
      <c r="F565">
        <v>16</v>
      </c>
      <c r="G565" t="b">
        <v>0</v>
      </c>
      <c r="H565">
        <v>2</v>
      </c>
      <c r="I565">
        <v>2</v>
      </c>
      <c r="J565">
        <v>0.32</v>
      </c>
    </row>
    <row r="566" spans="1:10" x14ac:dyDescent="0.2">
      <c r="A566">
        <v>565</v>
      </c>
      <c r="B566" s="61">
        <v>40568</v>
      </c>
      <c r="C566">
        <v>1</v>
      </c>
      <c r="D566">
        <v>0</v>
      </c>
      <c r="E566">
        <v>1</v>
      </c>
      <c r="F566">
        <v>17</v>
      </c>
      <c r="G566" t="b">
        <v>0</v>
      </c>
      <c r="H566">
        <v>2</v>
      </c>
      <c r="I566">
        <v>1</v>
      </c>
      <c r="J566">
        <v>0.3</v>
      </c>
    </row>
    <row r="567" spans="1:10" x14ac:dyDescent="0.2">
      <c r="A567">
        <v>566</v>
      </c>
      <c r="B567" s="61">
        <v>40568</v>
      </c>
      <c r="C567">
        <v>1</v>
      </c>
      <c r="D567">
        <v>0</v>
      </c>
      <c r="E567">
        <v>1</v>
      </c>
      <c r="F567">
        <v>18</v>
      </c>
      <c r="G567" t="b">
        <v>0</v>
      </c>
      <c r="H567">
        <v>2</v>
      </c>
      <c r="I567">
        <v>2</v>
      </c>
      <c r="J567">
        <v>0.3</v>
      </c>
    </row>
    <row r="568" spans="1:10" x14ac:dyDescent="0.2">
      <c r="A568">
        <v>567</v>
      </c>
      <c r="B568" s="61">
        <v>40568</v>
      </c>
      <c r="C568">
        <v>1</v>
      </c>
      <c r="D568">
        <v>0</v>
      </c>
      <c r="E568">
        <v>1</v>
      </c>
      <c r="F568">
        <v>19</v>
      </c>
      <c r="G568" t="b">
        <v>0</v>
      </c>
      <c r="H568">
        <v>2</v>
      </c>
      <c r="I568">
        <v>2</v>
      </c>
      <c r="J568">
        <v>0.26</v>
      </c>
    </row>
    <row r="569" spans="1:10" x14ac:dyDescent="0.2">
      <c r="A569">
        <v>568</v>
      </c>
      <c r="B569" s="61">
        <v>40568</v>
      </c>
      <c r="C569">
        <v>1</v>
      </c>
      <c r="D569">
        <v>0</v>
      </c>
      <c r="E569">
        <v>1</v>
      </c>
      <c r="F569">
        <v>20</v>
      </c>
      <c r="G569" t="b">
        <v>0</v>
      </c>
      <c r="H569">
        <v>2</v>
      </c>
      <c r="I569">
        <v>1</v>
      </c>
      <c r="J569">
        <v>0.24</v>
      </c>
    </row>
    <row r="570" spans="1:10" x14ac:dyDescent="0.2">
      <c r="A570">
        <v>569</v>
      </c>
      <c r="B570" s="61">
        <v>40568</v>
      </c>
      <c r="C570">
        <v>1</v>
      </c>
      <c r="D570">
        <v>0</v>
      </c>
      <c r="E570">
        <v>1</v>
      </c>
      <c r="F570">
        <v>21</v>
      </c>
      <c r="G570" t="b">
        <v>0</v>
      </c>
      <c r="H570">
        <v>2</v>
      </c>
      <c r="I570">
        <v>1</v>
      </c>
      <c r="J570">
        <v>0.24</v>
      </c>
    </row>
    <row r="571" spans="1:10" x14ac:dyDescent="0.2">
      <c r="A571">
        <v>570</v>
      </c>
      <c r="B571" s="61">
        <v>40568</v>
      </c>
      <c r="C571">
        <v>1</v>
      </c>
      <c r="D571">
        <v>0</v>
      </c>
      <c r="E571">
        <v>1</v>
      </c>
      <c r="F571">
        <v>22</v>
      </c>
      <c r="G571" t="b">
        <v>0</v>
      </c>
      <c r="H571">
        <v>2</v>
      </c>
      <c r="I571">
        <v>1</v>
      </c>
      <c r="J571">
        <v>0.22</v>
      </c>
    </row>
    <row r="572" spans="1:10" x14ac:dyDescent="0.2">
      <c r="A572">
        <v>571</v>
      </c>
      <c r="B572" s="61">
        <v>40568</v>
      </c>
      <c r="C572">
        <v>1</v>
      </c>
      <c r="D572">
        <v>0</v>
      </c>
      <c r="E572">
        <v>1</v>
      </c>
      <c r="F572">
        <v>23</v>
      </c>
      <c r="G572" t="b">
        <v>0</v>
      </c>
      <c r="H572">
        <v>2</v>
      </c>
      <c r="I572">
        <v>2</v>
      </c>
      <c r="J572">
        <v>0.22</v>
      </c>
    </row>
    <row r="573" spans="1:10" x14ac:dyDescent="0.2">
      <c r="A573">
        <v>572</v>
      </c>
      <c r="B573" s="61">
        <v>40569</v>
      </c>
      <c r="C573">
        <v>1</v>
      </c>
      <c r="D573">
        <v>0</v>
      </c>
      <c r="E573">
        <v>1</v>
      </c>
      <c r="F573">
        <v>0</v>
      </c>
      <c r="G573" t="b">
        <v>0</v>
      </c>
      <c r="H573">
        <v>3</v>
      </c>
      <c r="I573">
        <v>2</v>
      </c>
      <c r="J573">
        <v>0.22</v>
      </c>
    </row>
    <row r="574" spans="1:10" x14ac:dyDescent="0.2">
      <c r="A574">
        <v>573</v>
      </c>
      <c r="B574" s="61">
        <v>40569</v>
      </c>
      <c r="C574">
        <v>1</v>
      </c>
      <c r="D574">
        <v>0</v>
      </c>
      <c r="E574">
        <v>1</v>
      </c>
      <c r="F574">
        <v>1</v>
      </c>
      <c r="G574" t="b">
        <v>0</v>
      </c>
      <c r="H574">
        <v>3</v>
      </c>
      <c r="I574">
        <v>2</v>
      </c>
      <c r="J574">
        <v>0.24</v>
      </c>
    </row>
    <row r="575" spans="1:10" x14ac:dyDescent="0.2">
      <c r="A575">
        <v>574</v>
      </c>
      <c r="B575" s="61">
        <v>40569</v>
      </c>
      <c r="C575">
        <v>1</v>
      </c>
      <c r="D575">
        <v>0</v>
      </c>
      <c r="E575">
        <v>1</v>
      </c>
      <c r="F575">
        <v>2</v>
      </c>
      <c r="G575" t="b">
        <v>0</v>
      </c>
      <c r="H575">
        <v>3</v>
      </c>
      <c r="I575">
        <v>3</v>
      </c>
      <c r="J575">
        <v>0.22</v>
      </c>
    </row>
    <row r="576" spans="1:10" x14ac:dyDescent="0.2">
      <c r="A576">
        <v>575</v>
      </c>
      <c r="B576" s="61">
        <v>40569</v>
      </c>
      <c r="C576">
        <v>1</v>
      </c>
      <c r="D576">
        <v>0</v>
      </c>
      <c r="E576">
        <v>1</v>
      </c>
      <c r="F576">
        <v>5</v>
      </c>
      <c r="G576" t="b">
        <v>0</v>
      </c>
      <c r="H576">
        <v>3</v>
      </c>
      <c r="I576">
        <v>3</v>
      </c>
      <c r="J576">
        <v>0.2</v>
      </c>
    </row>
    <row r="577" spans="1:10" x14ac:dyDescent="0.2">
      <c r="A577">
        <v>576</v>
      </c>
      <c r="B577" s="61">
        <v>40569</v>
      </c>
      <c r="C577">
        <v>1</v>
      </c>
      <c r="D577">
        <v>0</v>
      </c>
      <c r="E577">
        <v>1</v>
      </c>
      <c r="F577">
        <v>6</v>
      </c>
      <c r="G577" t="b">
        <v>0</v>
      </c>
      <c r="H577">
        <v>3</v>
      </c>
      <c r="I577">
        <v>3</v>
      </c>
      <c r="J577">
        <v>0.2</v>
      </c>
    </row>
    <row r="578" spans="1:10" x14ac:dyDescent="0.2">
      <c r="A578">
        <v>577</v>
      </c>
      <c r="B578" s="61">
        <v>40569</v>
      </c>
      <c r="C578">
        <v>1</v>
      </c>
      <c r="D578">
        <v>0</v>
      </c>
      <c r="E578">
        <v>1</v>
      </c>
      <c r="F578">
        <v>7</v>
      </c>
      <c r="G578" t="b">
        <v>0</v>
      </c>
      <c r="H578">
        <v>3</v>
      </c>
      <c r="I578">
        <v>3</v>
      </c>
      <c r="J578">
        <v>0.22</v>
      </c>
    </row>
    <row r="579" spans="1:10" x14ac:dyDescent="0.2">
      <c r="A579">
        <v>578</v>
      </c>
      <c r="B579" s="61">
        <v>40569</v>
      </c>
      <c r="C579">
        <v>1</v>
      </c>
      <c r="D579">
        <v>0</v>
      </c>
      <c r="E579">
        <v>1</v>
      </c>
      <c r="F579">
        <v>8</v>
      </c>
      <c r="G579" t="b">
        <v>0</v>
      </c>
      <c r="H579">
        <v>3</v>
      </c>
      <c r="I579">
        <v>3</v>
      </c>
      <c r="J579">
        <v>0.22</v>
      </c>
    </row>
    <row r="580" spans="1:10" x14ac:dyDescent="0.2">
      <c r="A580">
        <v>579</v>
      </c>
      <c r="B580" s="61">
        <v>40569</v>
      </c>
      <c r="C580">
        <v>1</v>
      </c>
      <c r="D580">
        <v>0</v>
      </c>
      <c r="E580">
        <v>1</v>
      </c>
      <c r="F580">
        <v>9</v>
      </c>
      <c r="G580" t="b">
        <v>0</v>
      </c>
      <c r="H580">
        <v>3</v>
      </c>
      <c r="I580">
        <v>3</v>
      </c>
      <c r="J580">
        <v>0.22</v>
      </c>
    </row>
    <row r="581" spans="1:10" x14ac:dyDescent="0.2">
      <c r="A581">
        <v>580</v>
      </c>
      <c r="B581" s="61">
        <v>40569</v>
      </c>
      <c r="C581">
        <v>1</v>
      </c>
      <c r="D581">
        <v>0</v>
      </c>
      <c r="E581">
        <v>1</v>
      </c>
      <c r="F581">
        <v>10</v>
      </c>
      <c r="G581" t="b">
        <v>0</v>
      </c>
      <c r="H581">
        <v>3</v>
      </c>
      <c r="I581">
        <v>3</v>
      </c>
      <c r="J581">
        <v>0.22</v>
      </c>
    </row>
    <row r="582" spans="1:10" x14ac:dyDescent="0.2">
      <c r="A582">
        <v>581</v>
      </c>
      <c r="B582" s="61">
        <v>40569</v>
      </c>
      <c r="C582">
        <v>1</v>
      </c>
      <c r="D582">
        <v>0</v>
      </c>
      <c r="E582">
        <v>1</v>
      </c>
      <c r="F582">
        <v>11</v>
      </c>
      <c r="G582" t="b">
        <v>0</v>
      </c>
      <c r="H582">
        <v>3</v>
      </c>
      <c r="I582">
        <v>3</v>
      </c>
      <c r="J582">
        <v>0.22</v>
      </c>
    </row>
    <row r="583" spans="1:10" x14ac:dyDescent="0.2">
      <c r="A583">
        <v>582</v>
      </c>
      <c r="B583" s="61">
        <v>40569</v>
      </c>
      <c r="C583">
        <v>1</v>
      </c>
      <c r="D583">
        <v>0</v>
      </c>
      <c r="E583">
        <v>1</v>
      </c>
      <c r="F583">
        <v>12</v>
      </c>
      <c r="G583" t="b">
        <v>0</v>
      </c>
      <c r="H583">
        <v>3</v>
      </c>
      <c r="I583">
        <v>3</v>
      </c>
      <c r="J583">
        <v>0.22</v>
      </c>
    </row>
    <row r="584" spans="1:10" x14ac:dyDescent="0.2">
      <c r="A584">
        <v>583</v>
      </c>
      <c r="B584" s="61">
        <v>40569</v>
      </c>
      <c r="C584">
        <v>1</v>
      </c>
      <c r="D584">
        <v>0</v>
      </c>
      <c r="E584">
        <v>1</v>
      </c>
      <c r="F584">
        <v>13</v>
      </c>
      <c r="G584" t="b">
        <v>0</v>
      </c>
      <c r="H584">
        <v>3</v>
      </c>
      <c r="I584">
        <v>3</v>
      </c>
      <c r="J584">
        <v>0.22</v>
      </c>
    </row>
    <row r="585" spans="1:10" x14ac:dyDescent="0.2">
      <c r="A585">
        <v>584</v>
      </c>
      <c r="B585" s="61">
        <v>40569</v>
      </c>
      <c r="C585">
        <v>1</v>
      </c>
      <c r="D585">
        <v>0</v>
      </c>
      <c r="E585">
        <v>1</v>
      </c>
      <c r="F585">
        <v>14</v>
      </c>
      <c r="G585" t="b">
        <v>0</v>
      </c>
      <c r="H585">
        <v>3</v>
      </c>
      <c r="I585">
        <v>3</v>
      </c>
      <c r="J585">
        <v>0.22</v>
      </c>
    </row>
    <row r="586" spans="1:10" x14ac:dyDescent="0.2">
      <c r="A586">
        <v>585</v>
      </c>
      <c r="B586" s="61">
        <v>40569</v>
      </c>
      <c r="C586">
        <v>1</v>
      </c>
      <c r="D586">
        <v>0</v>
      </c>
      <c r="E586">
        <v>1</v>
      </c>
      <c r="F586">
        <v>15</v>
      </c>
      <c r="G586" t="b">
        <v>0</v>
      </c>
      <c r="H586">
        <v>3</v>
      </c>
      <c r="I586">
        <v>3</v>
      </c>
      <c r="J586">
        <v>0.22</v>
      </c>
    </row>
    <row r="587" spans="1:10" x14ac:dyDescent="0.2">
      <c r="A587">
        <v>586</v>
      </c>
      <c r="B587" s="61">
        <v>40569</v>
      </c>
      <c r="C587">
        <v>1</v>
      </c>
      <c r="D587">
        <v>0</v>
      </c>
      <c r="E587">
        <v>1</v>
      </c>
      <c r="F587">
        <v>16</v>
      </c>
      <c r="G587" t="b">
        <v>0</v>
      </c>
      <c r="H587">
        <v>3</v>
      </c>
      <c r="I587">
        <v>4</v>
      </c>
      <c r="J587">
        <v>0.22</v>
      </c>
    </row>
    <row r="588" spans="1:10" x14ac:dyDescent="0.2">
      <c r="A588">
        <v>587</v>
      </c>
      <c r="B588" s="61">
        <v>40569</v>
      </c>
      <c r="C588">
        <v>1</v>
      </c>
      <c r="D588">
        <v>0</v>
      </c>
      <c r="E588">
        <v>1</v>
      </c>
      <c r="F588">
        <v>17</v>
      </c>
      <c r="G588" t="b">
        <v>0</v>
      </c>
      <c r="H588">
        <v>3</v>
      </c>
      <c r="I588">
        <v>3</v>
      </c>
      <c r="J588">
        <v>0.2</v>
      </c>
    </row>
    <row r="589" spans="1:10" x14ac:dyDescent="0.2">
      <c r="A589">
        <v>588</v>
      </c>
      <c r="B589" s="61">
        <v>40570</v>
      </c>
      <c r="C589">
        <v>1</v>
      </c>
      <c r="D589">
        <v>0</v>
      </c>
      <c r="E589">
        <v>1</v>
      </c>
      <c r="F589">
        <v>16</v>
      </c>
      <c r="G589" t="b">
        <v>0</v>
      </c>
      <c r="H589">
        <v>4</v>
      </c>
      <c r="I589">
        <v>1</v>
      </c>
      <c r="J589">
        <v>0.22</v>
      </c>
    </row>
    <row r="590" spans="1:10" x14ac:dyDescent="0.2">
      <c r="A590">
        <v>589</v>
      </c>
      <c r="B590" s="61">
        <v>40570</v>
      </c>
      <c r="C590">
        <v>1</v>
      </c>
      <c r="D590">
        <v>0</v>
      </c>
      <c r="E590">
        <v>1</v>
      </c>
      <c r="F590">
        <v>17</v>
      </c>
      <c r="G590" t="b">
        <v>0</v>
      </c>
      <c r="H590">
        <v>4</v>
      </c>
      <c r="I590">
        <v>1</v>
      </c>
      <c r="J590">
        <v>0.22</v>
      </c>
    </row>
    <row r="591" spans="1:10" x14ac:dyDescent="0.2">
      <c r="A591">
        <v>590</v>
      </c>
      <c r="B591" s="61">
        <v>40570</v>
      </c>
      <c r="C591">
        <v>1</v>
      </c>
      <c r="D591">
        <v>0</v>
      </c>
      <c r="E591">
        <v>1</v>
      </c>
      <c r="F591">
        <v>18</v>
      </c>
      <c r="G591" t="b">
        <v>0</v>
      </c>
      <c r="H591">
        <v>4</v>
      </c>
      <c r="I591">
        <v>1</v>
      </c>
      <c r="J591">
        <v>0.2</v>
      </c>
    </row>
    <row r="592" spans="1:10" x14ac:dyDescent="0.2">
      <c r="A592">
        <v>591</v>
      </c>
      <c r="B592" s="61">
        <v>40570</v>
      </c>
      <c r="C592">
        <v>1</v>
      </c>
      <c r="D592">
        <v>0</v>
      </c>
      <c r="E592">
        <v>1</v>
      </c>
      <c r="F592">
        <v>19</v>
      </c>
      <c r="G592" t="b">
        <v>0</v>
      </c>
      <c r="H592">
        <v>4</v>
      </c>
      <c r="I592">
        <v>1</v>
      </c>
      <c r="J592">
        <v>0.2</v>
      </c>
    </row>
    <row r="593" spans="1:10" x14ac:dyDescent="0.2">
      <c r="A593">
        <v>592</v>
      </c>
      <c r="B593" s="61">
        <v>40570</v>
      </c>
      <c r="C593">
        <v>1</v>
      </c>
      <c r="D593">
        <v>0</v>
      </c>
      <c r="E593">
        <v>1</v>
      </c>
      <c r="F593">
        <v>20</v>
      </c>
      <c r="G593" t="b">
        <v>0</v>
      </c>
      <c r="H593">
        <v>4</v>
      </c>
      <c r="I593">
        <v>1</v>
      </c>
      <c r="J593">
        <v>0.18</v>
      </c>
    </row>
    <row r="594" spans="1:10" x14ac:dyDescent="0.2">
      <c r="A594">
        <v>593</v>
      </c>
      <c r="B594" s="61">
        <v>40570</v>
      </c>
      <c r="C594">
        <v>1</v>
      </c>
      <c r="D594">
        <v>0</v>
      </c>
      <c r="E594">
        <v>1</v>
      </c>
      <c r="F594">
        <v>21</v>
      </c>
      <c r="G594" t="b">
        <v>0</v>
      </c>
      <c r="H594">
        <v>4</v>
      </c>
      <c r="I594">
        <v>1</v>
      </c>
      <c r="J594">
        <v>0.18</v>
      </c>
    </row>
    <row r="595" spans="1:10" x14ac:dyDescent="0.2">
      <c r="A595">
        <v>594</v>
      </c>
      <c r="B595" s="61">
        <v>40570</v>
      </c>
      <c r="C595">
        <v>1</v>
      </c>
      <c r="D595">
        <v>0</v>
      </c>
      <c r="E595">
        <v>1</v>
      </c>
      <c r="F595">
        <v>22</v>
      </c>
      <c r="G595" t="b">
        <v>0</v>
      </c>
      <c r="H595">
        <v>4</v>
      </c>
      <c r="I595">
        <v>1</v>
      </c>
      <c r="J595">
        <v>0.18</v>
      </c>
    </row>
    <row r="596" spans="1:10" x14ac:dyDescent="0.2">
      <c r="A596">
        <v>595</v>
      </c>
      <c r="B596" s="61">
        <v>40570</v>
      </c>
      <c r="C596">
        <v>1</v>
      </c>
      <c r="D596">
        <v>0</v>
      </c>
      <c r="E596">
        <v>1</v>
      </c>
      <c r="F596">
        <v>23</v>
      </c>
      <c r="G596" t="b">
        <v>0</v>
      </c>
      <c r="H596">
        <v>4</v>
      </c>
      <c r="I596">
        <v>1</v>
      </c>
      <c r="J596">
        <v>0.18</v>
      </c>
    </row>
    <row r="597" spans="1:10" x14ac:dyDescent="0.2">
      <c r="A597">
        <v>596</v>
      </c>
      <c r="B597" s="61">
        <v>40571</v>
      </c>
      <c r="C597">
        <v>1</v>
      </c>
      <c r="D597">
        <v>0</v>
      </c>
      <c r="E597">
        <v>1</v>
      </c>
      <c r="F597">
        <v>0</v>
      </c>
      <c r="G597" t="b">
        <v>0</v>
      </c>
      <c r="H597">
        <v>5</v>
      </c>
      <c r="I597">
        <v>2</v>
      </c>
      <c r="J597">
        <v>0.2</v>
      </c>
    </row>
    <row r="598" spans="1:10" x14ac:dyDescent="0.2">
      <c r="A598">
        <v>597</v>
      </c>
      <c r="B598" s="61">
        <v>40571</v>
      </c>
      <c r="C598">
        <v>1</v>
      </c>
      <c r="D598">
        <v>0</v>
      </c>
      <c r="E598">
        <v>1</v>
      </c>
      <c r="F598">
        <v>1</v>
      </c>
      <c r="G598" t="b">
        <v>0</v>
      </c>
      <c r="H598">
        <v>5</v>
      </c>
      <c r="I598">
        <v>2</v>
      </c>
      <c r="J598">
        <v>0.2</v>
      </c>
    </row>
    <row r="599" spans="1:10" x14ac:dyDescent="0.2">
      <c r="A599">
        <v>598</v>
      </c>
      <c r="B599" s="61">
        <v>40571</v>
      </c>
      <c r="C599">
        <v>1</v>
      </c>
      <c r="D599">
        <v>0</v>
      </c>
      <c r="E599">
        <v>1</v>
      </c>
      <c r="F599">
        <v>2</v>
      </c>
      <c r="G599" t="b">
        <v>0</v>
      </c>
      <c r="H599">
        <v>5</v>
      </c>
      <c r="I599">
        <v>2</v>
      </c>
      <c r="J599">
        <v>0.2</v>
      </c>
    </row>
    <row r="600" spans="1:10" x14ac:dyDescent="0.2">
      <c r="A600">
        <v>599</v>
      </c>
      <c r="B600" s="61">
        <v>40571</v>
      </c>
      <c r="C600">
        <v>1</v>
      </c>
      <c r="D600">
        <v>0</v>
      </c>
      <c r="E600">
        <v>1</v>
      </c>
      <c r="F600">
        <v>3</v>
      </c>
      <c r="G600" t="b">
        <v>0</v>
      </c>
      <c r="H600">
        <v>5</v>
      </c>
      <c r="I600">
        <v>2</v>
      </c>
      <c r="J600">
        <v>0.2</v>
      </c>
    </row>
    <row r="601" spans="1:10" x14ac:dyDescent="0.2">
      <c r="A601">
        <v>600</v>
      </c>
      <c r="B601" s="61">
        <v>40571</v>
      </c>
      <c r="C601">
        <v>1</v>
      </c>
      <c r="D601">
        <v>0</v>
      </c>
      <c r="E601">
        <v>1</v>
      </c>
      <c r="F601">
        <v>5</v>
      </c>
      <c r="G601" t="b">
        <v>0</v>
      </c>
      <c r="H601">
        <v>5</v>
      </c>
      <c r="I601">
        <v>2</v>
      </c>
      <c r="J601">
        <v>0.18</v>
      </c>
    </row>
    <row r="602" spans="1:10" x14ac:dyDescent="0.2">
      <c r="A602">
        <v>601</v>
      </c>
      <c r="B602" s="61">
        <v>40571</v>
      </c>
      <c r="C602">
        <v>1</v>
      </c>
      <c r="D602">
        <v>0</v>
      </c>
      <c r="E602">
        <v>1</v>
      </c>
      <c r="F602">
        <v>6</v>
      </c>
      <c r="G602" t="b">
        <v>0</v>
      </c>
      <c r="H602">
        <v>5</v>
      </c>
      <c r="I602">
        <v>2</v>
      </c>
      <c r="J602">
        <v>0.18</v>
      </c>
    </row>
    <row r="603" spans="1:10" x14ac:dyDescent="0.2">
      <c r="A603">
        <v>602</v>
      </c>
      <c r="B603" s="61">
        <v>40571</v>
      </c>
      <c r="C603">
        <v>1</v>
      </c>
      <c r="D603">
        <v>0</v>
      </c>
      <c r="E603">
        <v>1</v>
      </c>
      <c r="F603">
        <v>7</v>
      </c>
      <c r="G603" t="b">
        <v>0</v>
      </c>
      <c r="H603">
        <v>5</v>
      </c>
      <c r="I603">
        <v>2</v>
      </c>
      <c r="J603">
        <v>0.16</v>
      </c>
    </row>
    <row r="604" spans="1:10" x14ac:dyDescent="0.2">
      <c r="A604">
        <v>603</v>
      </c>
      <c r="B604" s="61">
        <v>40571</v>
      </c>
      <c r="C604">
        <v>1</v>
      </c>
      <c r="D604">
        <v>0</v>
      </c>
      <c r="E604">
        <v>1</v>
      </c>
      <c r="F604">
        <v>8</v>
      </c>
      <c r="G604" t="b">
        <v>0</v>
      </c>
      <c r="H604">
        <v>5</v>
      </c>
      <c r="I604">
        <v>2</v>
      </c>
      <c r="J604">
        <v>0.16</v>
      </c>
    </row>
    <row r="605" spans="1:10" x14ac:dyDescent="0.2">
      <c r="A605">
        <v>604</v>
      </c>
      <c r="B605" s="61">
        <v>40571</v>
      </c>
      <c r="C605">
        <v>1</v>
      </c>
      <c r="D605">
        <v>0</v>
      </c>
      <c r="E605">
        <v>1</v>
      </c>
      <c r="F605">
        <v>9</v>
      </c>
      <c r="G605" t="b">
        <v>0</v>
      </c>
      <c r="H605">
        <v>5</v>
      </c>
      <c r="I605">
        <v>3</v>
      </c>
      <c r="J605">
        <v>0.18</v>
      </c>
    </row>
    <row r="606" spans="1:10" x14ac:dyDescent="0.2">
      <c r="A606">
        <v>605</v>
      </c>
      <c r="B606" s="61">
        <v>40571</v>
      </c>
      <c r="C606">
        <v>1</v>
      </c>
      <c r="D606">
        <v>0</v>
      </c>
      <c r="E606">
        <v>1</v>
      </c>
      <c r="F606">
        <v>10</v>
      </c>
      <c r="G606" t="b">
        <v>0</v>
      </c>
      <c r="H606">
        <v>5</v>
      </c>
      <c r="I606">
        <v>3</v>
      </c>
      <c r="J606">
        <v>0.18</v>
      </c>
    </row>
    <row r="607" spans="1:10" x14ac:dyDescent="0.2">
      <c r="A607">
        <v>606</v>
      </c>
      <c r="B607" s="61">
        <v>40571</v>
      </c>
      <c r="C607">
        <v>1</v>
      </c>
      <c r="D607">
        <v>0</v>
      </c>
      <c r="E607">
        <v>1</v>
      </c>
      <c r="F607">
        <v>11</v>
      </c>
      <c r="G607" t="b">
        <v>0</v>
      </c>
      <c r="H607">
        <v>5</v>
      </c>
      <c r="I607">
        <v>3</v>
      </c>
      <c r="J607">
        <v>0.18</v>
      </c>
    </row>
    <row r="608" spans="1:10" x14ac:dyDescent="0.2">
      <c r="A608">
        <v>607</v>
      </c>
      <c r="B608" s="61">
        <v>40571</v>
      </c>
      <c r="C608">
        <v>1</v>
      </c>
      <c r="D608">
        <v>0</v>
      </c>
      <c r="E608">
        <v>1</v>
      </c>
      <c r="F608">
        <v>12</v>
      </c>
      <c r="G608" t="b">
        <v>0</v>
      </c>
      <c r="H608">
        <v>5</v>
      </c>
      <c r="I608">
        <v>3</v>
      </c>
      <c r="J608">
        <v>0.18</v>
      </c>
    </row>
    <row r="609" spans="1:10" x14ac:dyDescent="0.2">
      <c r="A609">
        <v>608</v>
      </c>
      <c r="B609" s="61">
        <v>40571</v>
      </c>
      <c r="C609">
        <v>1</v>
      </c>
      <c r="D609">
        <v>0</v>
      </c>
      <c r="E609">
        <v>1</v>
      </c>
      <c r="F609">
        <v>13</v>
      </c>
      <c r="G609" t="b">
        <v>0</v>
      </c>
      <c r="H609">
        <v>5</v>
      </c>
      <c r="I609">
        <v>3</v>
      </c>
      <c r="J609">
        <v>0.18</v>
      </c>
    </row>
    <row r="610" spans="1:10" x14ac:dyDescent="0.2">
      <c r="A610">
        <v>609</v>
      </c>
      <c r="B610" s="61">
        <v>40571</v>
      </c>
      <c r="C610">
        <v>1</v>
      </c>
      <c r="D610">
        <v>0</v>
      </c>
      <c r="E610">
        <v>1</v>
      </c>
      <c r="F610">
        <v>14</v>
      </c>
      <c r="G610" t="b">
        <v>0</v>
      </c>
      <c r="H610">
        <v>5</v>
      </c>
      <c r="I610">
        <v>3</v>
      </c>
      <c r="J610">
        <v>0.22</v>
      </c>
    </row>
    <row r="611" spans="1:10" x14ac:dyDescent="0.2">
      <c r="A611">
        <v>610</v>
      </c>
      <c r="B611" s="61">
        <v>40571</v>
      </c>
      <c r="C611">
        <v>1</v>
      </c>
      <c r="D611">
        <v>0</v>
      </c>
      <c r="E611">
        <v>1</v>
      </c>
      <c r="F611">
        <v>15</v>
      </c>
      <c r="G611" t="b">
        <v>0</v>
      </c>
      <c r="H611">
        <v>5</v>
      </c>
      <c r="I611">
        <v>2</v>
      </c>
      <c r="J611">
        <v>0.2</v>
      </c>
    </row>
  </sheetData>
  <pageMargins left="0.75" right="0.75" top="1" bottom="1" header="0.5" footer="0.5"/>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606C76"/>
  </sheetPr>
  <dimension ref="A1:G611"/>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7" width="12" customWidth="1"/>
  </cols>
  <sheetData>
    <row r="1" spans="1:7" x14ac:dyDescent="0.2">
      <c r="A1" s="29" t="s">
        <v>261</v>
      </c>
      <c r="B1" s="29" t="s">
        <v>202</v>
      </c>
      <c r="C1" s="29" t="s">
        <v>203</v>
      </c>
      <c r="D1" s="29" t="s">
        <v>204</v>
      </c>
      <c r="E1" s="29" t="s">
        <v>205</v>
      </c>
      <c r="F1" s="29" t="s">
        <v>206</v>
      </c>
      <c r="G1" s="29" t="s">
        <v>207</v>
      </c>
    </row>
    <row r="2" spans="1:7" x14ac:dyDescent="0.2">
      <c r="A2">
        <v>1</v>
      </c>
      <c r="B2">
        <v>0.28789999999999999</v>
      </c>
      <c r="C2">
        <v>0.81</v>
      </c>
      <c r="D2">
        <v>0</v>
      </c>
      <c r="E2">
        <v>3</v>
      </c>
      <c r="F2">
        <v>13</v>
      </c>
      <c r="G2">
        <v>16</v>
      </c>
    </row>
    <row r="3" spans="1:7" x14ac:dyDescent="0.2">
      <c r="A3">
        <v>2</v>
      </c>
      <c r="B3">
        <v>0.2727</v>
      </c>
      <c r="C3">
        <v>0.8</v>
      </c>
      <c r="D3">
        <v>0</v>
      </c>
      <c r="E3">
        <v>8</v>
      </c>
      <c r="F3">
        <v>32</v>
      </c>
      <c r="G3">
        <v>40</v>
      </c>
    </row>
    <row r="4" spans="1:7" x14ac:dyDescent="0.2">
      <c r="A4">
        <v>3</v>
      </c>
      <c r="B4">
        <v>0.2727</v>
      </c>
      <c r="C4">
        <v>0.8</v>
      </c>
      <c r="D4">
        <v>0</v>
      </c>
      <c r="E4">
        <v>5</v>
      </c>
      <c r="F4">
        <v>27</v>
      </c>
      <c r="G4">
        <v>32</v>
      </c>
    </row>
    <row r="5" spans="1:7" x14ac:dyDescent="0.2">
      <c r="A5">
        <v>4</v>
      </c>
      <c r="B5">
        <v>0.28789999999999999</v>
      </c>
      <c r="C5">
        <v>0.75</v>
      </c>
      <c r="D5">
        <v>0</v>
      </c>
      <c r="E5">
        <v>3</v>
      </c>
      <c r="F5">
        <v>10</v>
      </c>
      <c r="G5">
        <v>13</v>
      </c>
    </row>
    <row r="6" spans="1:7" x14ac:dyDescent="0.2">
      <c r="A6">
        <v>5</v>
      </c>
      <c r="B6">
        <v>0.28789999999999999</v>
      </c>
      <c r="C6">
        <v>0.75</v>
      </c>
      <c r="D6">
        <v>0</v>
      </c>
      <c r="E6">
        <v>0</v>
      </c>
      <c r="F6">
        <v>1</v>
      </c>
      <c r="G6">
        <v>1</v>
      </c>
    </row>
    <row r="7" spans="1:7" x14ac:dyDescent="0.2">
      <c r="A7">
        <v>6</v>
      </c>
      <c r="B7">
        <v>0.2576</v>
      </c>
      <c r="C7">
        <v>0.75</v>
      </c>
      <c r="D7">
        <v>8.9599999999999999E-2</v>
      </c>
      <c r="E7">
        <v>0</v>
      </c>
      <c r="F7">
        <v>1</v>
      </c>
      <c r="G7">
        <v>1</v>
      </c>
    </row>
    <row r="8" spans="1:7" x14ac:dyDescent="0.2">
      <c r="A8">
        <v>7</v>
      </c>
      <c r="B8">
        <v>0.2727</v>
      </c>
      <c r="C8">
        <v>0.8</v>
      </c>
      <c r="D8">
        <v>0</v>
      </c>
      <c r="E8">
        <v>2</v>
      </c>
      <c r="F8">
        <v>0</v>
      </c>
      <c r="G8">
        <v>2</v>
      </c>
    </row>
    <row r="9" spans="1:7" x14ac:dyDescent="0.2">
      <c r="A9">
        <v>8</v>
      </c>
      <c r="B9">
        <v>0.2576</v>
      </c>
      <c r="C9">
        <v>0.86</v>
      </c>
      <c r="D9">
        <v>0</v>
      </c>
      <c r="E9">
        <v>1</v>
      </c>
      <c r="F9">
        <v>2</v>
      </c>
      <c r="G9">
        <v>3</v>
      </c>
    </row>
    <row r="10" spans="1:7" x14ac:dyDescent="0.2">
      <c r="A10">
        <v>9</v>
      </c>
      <c r="B10" s="64">
        <f>ROUND(AVERAGE(B9,B11),4)</f>
        <v>0.30309999999999998</v>
      </c>
      <c r="C10">
        <v>0.75</v>
      </c>
      <c r="D10">
        <v>0</v>
      </c>
      <c r="E10">
        <v>1</v>
      </c>
      <c r="F10">
        <v>7</v>
      </c>
      <c r="G10">
        <v>8</v>
      </c>
    </row>
    <row r="11" spans="1:7" x14ac:dyDescent="0.2">
      <c r="A11">
        <v>10</v>
      </c>
      <c r="B11">
        <v>0.34849999999999998</v>
      </c>
      <c r="C11">
        <v>0.76</v>
      </c>
      <c r="D11">
        <v>0</v>
      </c>
      <c r="E11">
        <v>8</v>
      </c>
      <c r="F11">
        <v>6</v>
      </c>
      <c r="G11">
        <v>14</v>
      </c>
    </row>
    <row r="12" spans="1:7" x14ac:dyDescent="0.2">
      <c r="A12">
        <v>11</v>
      </c>
      <c r="B12">
        <v>0.39389999999999997</v>
      </c>
      <c r="C12">
        <v>0.76</v>
      </c>
      <c r="D12">
        <v>0.25369999999999998</v>
      </c>
      <c r="E12">
        <v>12</v>
      </c>
      <c r="F12">
        <v>24</v>
      </c>
      <c r="G12">
        <v>36</v>
      </c>
    </row>
    <row r="13" spans="1:7" x14ac:dyDescent="0.2">
      <c r="A13">
        <v>12</v>
      </c>
      <c r="B13">
        <v>0.33329999999999999</v>
      </c>
      <c r="C13">
        <v>0.81</v>
      </c>
      <c r="D13">
        <v>0.28360000000000002</v>
      </c>
      <c r="E13">
        <v>26</v>
      </c>
      <c r="F13">
        <v>30</v>
      </c>
      <c r="G13">
        <v>56</v>
      </c>
    </row>
    <row r="14" spans="1:7" x14ac:dyDescent="0.2">
      <c r="A14">
        <v>13</v>
      </c>
      <c r="B14">
        <v>0.42420000000000002</v>
      </c>
      <c r="C14">
        <v>0.77</v>
      </c>
      <c r="D14">
        <v>0.28360000000000002</v>
      </c>
      <c r="E14">
        <v>29</v>
      </c>
      <c r="F14">
        <v>55</v>
      </c>
      <c r="G14">
        <v>84</v>
      </c>
    </row>
    <row r="15" spans="1:7" x14ac:dyDescent="0.2">
      <c r="A15">
        <v>14</v>
      </c>
      <c r="B15">
        <v>0.45450000000000002</v>
      </c>
      <c r="C15">
        <v>0.72</v>
      </c>
      <c r="D15">
        <v>0.29849999999999999</v>
      </c>
      <c r="E15">
        <v>47</v>
      </c>
      <c r="F15">
        <v>47</v>
      </c>
      <c r="G15">
        <v>94</v>
      </c>
    </row>
    <row r="16" spans="1:7" x14ac:dyDescent="0.2">
      <c r="A16">
        <v>15</v>
      </c>
      <c r="B16">
        <v>0.45450000000000002</v>
      </c>
      <c r="C16">
        <v>0.72</v>
      </c>
      <c r="D16">
        <v>0.28360000000000002</v>
      </c>
      <c r="E16">
        <v>35</v>
      </c>
      <c r="F16">
        <v>71</v>
      </c>
      <c r="G16">
        <v>106</v>
      </c>
    </row>
    <row r="17" spans="1:7" x14ac:dyDescent="0.2">
      <c r="A17">
        <v>16</v>
      </c>
      <c r="B17">
        <v>0.43940000000000001</v>
      </c>
      <c r="C17">
        <v>0.77</v>
      </c>
      <c r="D17">
        <v>0.29849999999999999</v>
      </c>
      <c r="E17">
        <v>40</v>
      </c>
      <c r="F17">
        <v>70</v>
      </c>
      <c r="G17">
        <v>110</v>
      </c>
    </row>
    <row r="18" spans="1:7" x14ac:dyDescent="0.2">
      <c r="A18">
        <v>17</v>
      </c>
      <c r="B18">
        <v>0.42420000000000002</v>
      </c>
      <c r="C18">
        <v>0.82</v>
      </c>
      <c r="D18">
        <v>0.29849999999999999</v>
      </c>
      <c r="E18">
        <v>41</v>
      </c>
      <c r="F18">
        <v>52</v>
      </c>
      <c r="G18">
        <v>93</v>
      </c>
    </row>
    <row r="19" spans="1:7" x14ac:dyDescent="0.2">
      <c r="A19">
        <v>18</v>
      </c>
      <c r="B19" s="64">
        <f>ROUND(AVERAGE(B18,B20),4)</f>
        <v>0.42420000000000002</v>
      </c>
      <c r="C19">
        <v>0.82</v>
      </c>
      <c r="D19">
        <v>0.28360000000000002</v>
      </c>
      <c r="E19">
        <v>15</v>
      </c>
      <c r="F19">
        <v>52</v>
      </c>
      <c r="G19">
        <v>67</v>
      </c>
    </row>
    <row r="20" spans="1:7" x14ac:dyDescent="0.2">
      <c r="A20">
        <v>19</v>
      </c>
      <c r="B20">
        <v>0.42420000000000002</v>
      </c>
      <c r="C20">
        <v>0.88</v>
      </c>
      <c r="D20">
        <v>0.25369999999999998</v>
      </c>
      <c r="E20">
        <v>9</v>
      </c>
      <c r="F20">
        <v>26</v>
      </c>
      <c r="G20">
        <v>35</v>
      </c>
    </row>
    <row r="21" spans="1:7" x14ac:dyDescent="0.2">
      <c r="A21">
        <v>20</v>
      </c>
      <c r="B21">
        <v>0.42420000000000002</v>
      </c>
      <c r="C21">
        <v>0.88</v>
      </c>
      <c r="D21">
        <v>0.25369999999999998</v>
      </c>
      <c r="E21">
        <v>6</v>
      </c>
      <c r="F21">
        <v>31</v>
      </c>
      <c r="G21">
        <v>37</v>
      </c>
    </row>
    <row r="22" spans="1:7" x14ac:dyDescent="0.2">
      <c r="A22">
        <v>21</v>
      </c>
      <c r="B22">
        <v>0.40910000000000002</v>
      </c>
      <c r="C22">
        <v>0.87</v>
      </c>
      <c r="D22">
        <v>0.25369999999999998</v>
      </c>
      <c r="E22">
        <v>11</v>
      </c>
      <c r="F22">
        <v>25</v>
      </c>
      <c r="G22">
        <v>36</v>
      </c>
    </row>
    <row r="23" spans="1:7" x14ac:dyDescent="0.2">
      <c r="A23">
        <v>22</v>
      </c>
      <c r="B23">
        <v>0.40910000000000002</v>
      </c>
      <c r="C23">
        <v>0.87</v>
      </c>
      <c r="D23">
        <v>0.19400000000000001</v>
      </c>
      <c r="E23">
        <v>3</v>
      </c>
      <c r="F23">
        <v>31</v>
      </c>
      <c r="G23">
        <v>34</v>
      </c>
    </row>
    <row r="24" spans="1:7" x14ac:dyDescent="0.2">
      <c r="A24">
        <v>23</v>
      </c>
      <c r="B24">
        <v>0.40910000000000002</v>
      </c>
      <c r="C24">
        <v>0.94</v>
      </c>
      <c r="D24">
        <v>0.22389999999999999</v>
      </c>
      <c r="E24">
        <v>11</v>
      </c>
      <c r="F24">
        <v>17</v>
      </c>
      <c r="G24">
        <v>28</v>
      </c>
    </row>
    <row r="25" spans="1:7" x14ac:dyDescent="0.2">
      <c r="A25">
        <v>24</v>
      </c>
      <c r="B25" s="64">
        <f>ROUND(AVERAGE(B24,B26),4)</f>
        <v>0.43180000000000002</v>
      </c>
      <c r="C25">
        <v>0.88</v>
      </c>
      <c r="D25">
        <v>0.29849999999999999</v>
      </c>
      <c r="E25">
        <v>15</v>
      </c>
      <c r="F25">
        <v>24</v>
      </c>
      <c r="G25">
        <v>39</v>
      </c>
    </row>
    <row r="26" spans="1:7" x14ac:dyDescent="0.2">
      <c r="A26">
        <v>25</v>
      </c>
      <c r="B26">
        <v>0.45450000000000002</v>
      </c>
      <c r="C26">
        <v>0.88</v>
      </c>
      <c r="D26">
        <v>0.29849999999999999</v>
      </c>
      <c r="E26">
        <v>4</v>
      </c>
      <c r="F26">
        <v>13</v>
      </c>
      <c r="G26">
        <v>17</v>
      </c>
    </row>
    <row r="27" spans="1:7" x14ac:dyDescent="0.2">
      <c r="A27">
        <v>26</v>
      </c>
      <c r="B27">
        <v>0.43940000000000001</v>
      </c>
      <c r="C27">
        <v>0.94</v>
      </c>
      <c r="D27">
        <v>0.25369999999999998</v>
      </c>
      <c r="E27">
        <v>1</v>
      </c>
      <c r="F27">
        <v>16</v>
      </c>
      <c r="G27">
        <v>17</v>
      </c>
    </row>
    <row r="28" spans="1:7" x14ac:dyDescent="0.2">
      <c r="A28">
        <v>27</v>
      </c>
      <c r="B28">
        <v>0.42420000000000002</v>
      </c>
      <c r="C28">
        <v>1</v>
      </c>
      <c r="D28">
        <v>0.28360000000000002</v>
      </c>
      <c r="E28">
        <v>1</v>
      </c>
      <c r="F28">
        <v>8</v>
      </c>
      <c r="G28">
        <v>9</v>
      </c>
    </row>
    <row r="29" spans="1:7" x14ac:dyDescent="0.2">
      <c r="A29">
        <v>28</v>
      </c>
      <c r="B29">
        <v>0.45450000000000002</v>
      </c>
      <c r="C29">
        <v>0.94</v>
      </c>
      <c r="D29">
        <v>0.19400000000000001</v>
      </c>
      <c r="E29">
        <v>2</v>
      </c>
      <c r="F29">
        <v>4</v>
      </c>
      <c r="G29">
        <v>6</v>
      </c>
    </row>
    <row r="30" spans="1:7" x14ac:dyDescent="0.2">
      <c r="A30">
        <v>29</v>
      </c>
      <c r="B30" s="64">
        <f>ROUND(AVERAGE(B29,B31),4)</f>
        <v>0.43940000000000001</v>
      </c>
      <c r="C30">
        <v>0.94</v>
      </c>
      <c r="D30">
        <v>0.19400000000000001</v>
      </c>
      <c r="E30">
        <v>2</v>
      </c>
      <c r="F30">
        <v>1</v>
      </c>
      <c r="G30">
        <v>3</v>
      </c>
    </row>
    <row r="31" spans="1:7" x14ac:dyDescent="0.2">
      <c r="A31">
        <v>30</v>
      </c>
      <c r="B31">
        <v>0.42420000000000002</v>
      </c>
      <c r="C31">
        <v>0.77</v>
      </c>
      <c r="D31">
        <v>0.29849999999999999</v>
      </c>
      <c r="E31">
        <v>0</v>
      </c>
      <c r="F31">
        <v>2</v>
      </c>
      <c r="G31">
        <v>2</v>
      </c>
    </row>
    <row r="32" spans="1:7" x14ac:dyDescent="0.2">
      <c r="A32">
        <v>31</v>
      </c>
      <c r="B32">
        <v>0.40910000000000002</v>
      </c>
      <c r="C32">
        <v>0.76</v>
      </c>
      <c r="D32">
        <v>0.19400000000000001</v>
      </c>
      <c r="E32">
        <v>0</v>
      </c>
      <c r="F32">
        <v>1</v>
      </c>
      <c r="G32">
        <v>1</v>
      </c>
    </row>
    <row r="33" spans="1:7" x14ac:dyDescent="0.2">
      <c r="A33">
        <v>32</v>
      </c>
      <c r="B33">
        <v>0.40910000000000002</v>
      </c>
      <c r="C33">
        <v>0.71</v>
      </c>
      <c r="D33">
        <v>0.22389999999999999</v>
      </c>
      <c r="E33">
        <v>0</v>
      </c>
      <c r="F33">
        <v>8</v>
      </c>
      <c r="G33">
        <v>8</v>
      </c>
    </row>
    <row r="34" spans="1:7" x14ac:dyDescent="0.2">
      <c r="A34">
        <v>33</v>
      </c>
      <c r="B34" s="64">
        <f>ROUND(AVERAGE(B33,B35),4)</f>
        <v>0.37880000000000003</v>
      </c>
      <c r="C34">
        <v>0.76</v>
      </c>
      <c r="D34">
        <v>0.22389999999999999</v>
      </c>
      <c r="E34">
        <v>1</v>
      </c>
      <c r="F34">
        <v>19</v>
      </c>
      <c r="G34">
        <v>20</v>
      </c>
    </row>
    <row r="35" spans="1:7" x14ac:dyDescent="0.2">
      <c r="A35">
        <v>34</v>
      </c>
      <c r="B35">
        <v>0.34849999999999998</v>
      </c>
      <c r="C35">
        <v>0.81</v>
      </c>
      <c r="D35">
        <v>0.22389999999999999</v>
      </c>
      <c r="E35">
        <v>7</v>
      </c>
      <c r="F35">
        <v>46</v>
      </c>
      <c r="G35">
        <v>53</v>
      </c>
    </row>
    <row r="36" spans="1:7" x14ac:dyDescent="0.2">
      <c r="A36">
        <v>35</v>
      </c>
      <c r="B36">
        <v>0.33329999999999999</v>
      </c>
      <c r="C36">
        <v>0.71</v>
      </c>
      <c r="D36">
        <v>0.25369999999999998</v>
      </c>
      <c r="E36">
        <v>16</v>
      </c>
      <c r="F36">
        <v>54</v>
      </c>
      <c r="G36">
        <v>70</v>
      </c>
    </row>
    <row r="37" spans="1:7" x14ac:dyDescent="0.2">
      <c r="A37">
        <v>36</v>
      </c>
      <c r="B37">
        <v>0.33329999999999999</v>
      </c>
      <c r="C37">
        <v>0.66</v>
      </c>
      <c r="D37">
        <v>0.29849999999999999</v>
      </c>
      <c r="E37">
        <v>20</v>
      </c>
      <c r="F37">
        <v>73</v>
      </c>
      <c r="G37">
        <v>93</v>
      </c>
    </row>
    <row r="38" spans="1:7" x14ac:dyDescent="0.2">
      <c r="A38">
        <v>37</v>
      </c>
      <c r="B38">
        <v>0.34849999999999998</v>
      </c>
      <c r="C38">
        <v>0.66</v>
      </c>
      <c r="D38">
        <v>0.1343</v>
      </c>
      <c r="E38">
        <v>11</v>
      </c>
      <c r="F38">
        <v>64</v>
      </c>
      <c r="G38">
        <v>75</v>
      </c>
    </row>
    <row r="39" spans="1:7" x14ac:dyDescent="0.2">
      <c r="A39">
        <v>38</v>
      </c>
      <c r="B39" s="64">
        <f>ROUND(AVERAGE(B38,B40),4)</f>
        <v>0.34089999999999998</v>
      </c>
      <c r="C39">
        <v>0.76</v>
      </c>
      <c r="D39">
        <v>0.19400000000000001</v>
      </c>
      <c r="E39">
        <v>4</v>
      </c>
      <c r="F39">
        <v>55</v>
      </c>
      <c r="G39">
        <v>59</v>
      </c>
    </row>
    <row r="40" spans="1:7" x14ac:dyDescent="0.2">
      <c r="A40">
        <v>39</v>
      </c>
      <c r="B40">
        <v>0.33329999999999999</v>
      </c>
      <c r="C40">
        <v>0.81</v>
      </c>
      <c r="D40">
        <v>0.16420000000000001</v>
      </c>
      <c r="E40">
        <v>19</v>
      </c>
      <c r="F40">
        <v>55</v>
      </c>
      <c r="G40">
        <v>74</v>
      </c>
    </row>
    <row r="41" spans="1:7" x14ac:dyDescent="0.2">
      <c r="A41">
        <v>40</v>
      </c>
      <c r="B41">
        <v>0.33329999999999999</v>
      </c>
      <c r="C41">
        <v>0.71</v>
      </c>
      <c r="D41">
        <v>0.16420000000000001</v>
      </c>
      <c r="E41">
        <v>9</v>
      </c>
      <c r="F41">
        <v>67</v>
      </c>
      <c r="G41">
        <v>76</v>
      </c>
    </row>
    <row r="42" spans="1:7" x14ac:dyDescent="0.2">
      <c r="A42">
        <v>41</v>
      </c>
      <c r="B42">
        <v>0.33329999999999999</v>
      </c>
      <c r="C42">
        <v>0.56999999999999995</v>
      </c>
      <c r="D42">
        <v>0.19400000000000001</v>
      </c>
      <c r="E42">
        <v>7</v>
      </c>
      <c r="F42">
        <v>58</v>
      </c>
      <c r="G42">
        <v>65</v>
      </c>
    </row>
    <row r="43" spans="1:7" x14ac:dyDescent="0.2">
      <c r="A43">
        <v>42</v>
      </c>
      <c r="B43">
        <v>0.33329999999999999</v>
      </c>
      <c r="C43">
        <v>0.46</v>
      </c>
      <c r="D43">
        <v>0.32840000000000003</v>
      </c>
      <c r="E43">
        <v>10</v>
      </c>
      <c r="F43">
        <v>43</v>
      </c>
      <c r="G43">
        <v>53</v>
      </c>
    </row>
    <row r="44" spans="1:7" x14ac:dyDescent="0.2">
      <c r="A44">
        <v>43</v>
      </c>
      <c r="B44">
        <v>0.28789999999999999</v>
      </c>
      <c r="C44">
        <v>0.42</v>
      </c>
      <c r="D44">
        <v>0.44779999999999998</v>
      </c>
      <c r="E44">
        <v>1</v>
      </c>
      <c r="F44">
        <v>29</v>
      </c>
      <c r="G44">
        <v>30</v>
      </c>
    </row>
    <row r="45" spans="1:7" x14ac:dyDescent="0.2">
      <c r="A45">
        <v>44</v>
      </c>
      <c r="B45" s="64">
        <f>ROUND(AVERAGE(B44,B46),4)</f>
        <v>0.2576</v>
      </c>
      <c r="C45">
        <v>0.39</v>
      </c>
      <c r="D45">
        <v>0.35820000000000002</v>
      </c>
      <c r="E45">
        <v>5</v>
      </c>
      <c r="F45">
        <v>17</v>
      </c>
      <c r="G45">
        <v>22</v>
      </c>
    </row>
    <row r="46" spans="1:7" x14ac:dyDescent="0.2">
      <c r="A46">
        <v>45</v>
      </c>
      <c r="B46">
        <v>0.2273</v>
      </c>
      <c r="C46">
        <v>0.44</v>
      </c>
      <c r="D46">
        <v>0.32840000000000003</v>
      </c>
      <c r="E46">
        <v>11</v>
      </c>
      <c r="F46">
        <v>20</v>
      </c>
      <c r="G46">
        <v>31</v>
      </c>
    </row>
    <row r="47" spans="1:7" x14ac:dyDescent="0.2">
      <c r="A47">
        <v>46</v>
      </c>
      <c r="B47">
        <v>0.21210000000000001</v>
      </c>
      <c r="C47">
        <v>0.44</v>
      </c>
      <c r="D47">
        <v>0.29849999999999999</v>
      </c>
      <c r="E47">
        <v>0</v>
      </c>
      <c r="F47">
        <v>9</v>
      </c>
      <c r="G47">
        <v>9</v>
      </c>
    </row>
    <row r="48" spans="1:7" x14ac:dyDescent="0.2">
      <c r="A48">
        <v>47</v>
      </c>
      <c r="B48">
        <v>0.2273</v>
      </c>
      <c r="C48">
        <v>0.47</v>
      </c>
      <c r="D48">
        <v>0.16420000000000001</v>
      </c>
      <c r="E48">
        <v>0</v>
      </c>
      <c r="F48">
        <v>8</v>
      </c>
      <c r="G48">
        <v>8</v>
      </c>
    </row>
    <row r="49" spans="1:7" x14ac:dyDescent="0.2">
      <c r="A49">
        <v>48</v>
      </c>
      <c r="B49">
        <v>0.19700000000000001</v>
      </c>
      <c r="C49">
        <v>0.44</v>
      </c>
      <c r="D49">
        <v>0.35820000000000002</v>
      </c>
      <c r="E49">
        <v>0</v>
      </c>
      <c r="F49">
        <v>5</v>
      </c>
      <c r="G49">
        <v>5</v>
      </c>
    </row>
    <row r="50" spans="1:7" x14ac:dyDescent="0.2">
      <c r="A50">
        <v>49</v>
      </c>
      <c r="B50" s="64">
        <f>ROUND(AVERAGE(B49,B51),4)</f>
        <v>0.16669999999999999</v>
      </c>
      <c r="C50">
        <v>0.44</v>
      </c>
      <c r="D50">
        <v>0.41789999999999999</v>
      </c>
      <c r="E50">
        <v>0</v>
      </c>
      <c r="F50">
        <v>2</v>
      </c>
      <c r="G50">
        <v>2</v>
      </c>
    </row>
    <row r="51" spans="1:7" x14ac:dyDescent="0.2">
      <c r="A51">
        <v>50</v>
      </c>
      <c r="B51">
        <v>0.13639999999999999</v>
      </c>
      <c r="C51">
        <v>0.47</v>
      </c>
      <c r="D51">
        <v>0.3881</v>
      </c>
      <c r="E51">
        <v>0</v>
      </c>
      <c r="F51">
        <v>1</v>
      </c>
      <c r="G51">
        <v>1</v>
      </c>
    </row>
    <row r="52" spans="1:7" x14ac:dyDescent="0.2">
      <c r="A52">
        <v>51</v>
      </c>
      <c r="B52">
        <v>0.13639999999999999</v>
      </c>
      <c r="C52">
        <v>0.47</v>
      </c>
      <c r="D52">
        <v>0.28360000000000002</v>
      </c>
      <c r="E52">
        <v>0</v>
      </c>
      <c r="F52">
        <v>3</v>
      </c>
      <c r="G52">
        <v>3</v>
      </c>
    </row>
    <row r="53" spans="1:7" x14ac:dyDescent="0.2">
      <c r="A53">
        <v>52</v>
      </c>
      <c r="B53">
        <v>0.1061</v>
      </c>
      <c r="C53">
        <v>0.5</v>
      </c>
      <c r="D53">
        <v>0.3881</v>
      </c>
      <c r="E53">
        <v>0</v>
      </c>
      <c r="F53">
        <v>30</v>
      </c>
      <c r="G53">
        <v>30</v>
      </c>
    </row>
    <row r="54" spans="1:7" x14ac:dyDescent="0.2">
      <c r="A54">
        <v>53</v>
      </c>
      <c r="B54">
        <v>0.13639999999999999</v>
      </c>
      <c r="C54">
        <v>0.5</v>
      </c>
      <c r="D54">
        <v>0.19400000000000001</v>
      </c>
      <c r="E54">
        <v>1</v>
      </c>
      <c r="F54">
        <v>63</v>
      </c>
      <c r="G54">
        <v>64</v>
      </c>
    </row>
    <row r="55" spans="1:7" x14ac:dyDescent="0.2">
      <c r="A55">
        <v>54</v>
      </c>
      <c r="B55">
        <v>0.1212</v>
      </c>
      <c r="C55">
        <v>0.5</v>
      </c>
      <c r="D55">
        <v>0.28360000000000002</v>
      </c>
      <c r="E55">
        <v>1</v>
      </c>
      <c r="F55">
        <v>153</v>
      </c>
      <c r="G55">
        <v>154</v>
      </c>
    </row>
    <row r="56" spans="1:7" x14ac:dyDescent="0.2">
      <c r="A56">
        <v>55</v>
      </c>
      <c r="B56">
        <v>0.13639999999999999</v>
      </c>
      <c r="C56">
        <v>0.43</v>
      </c>
      <c r="D56">
        <v>0.3881</v>
      </c>
      <c r="E56">
        <v>7</v>
      </c>
      <c r="F56">
        <v>81</v>
      </c>
      <c r="G56">
        <v>88</v>
      </c>
    </row>
    <row r="57" spans="1:7" x14ac:dyDescent="0.2">
      <c r="A57">
        <v>56</v>
      </c>
      <c r="B57">
        <v>0.16669999999999999</v>
      </c>
      <c r="C57">
        <v>0.43</v>
      </c>
      <c r="D57">
        <v>0.25369999999999998</v>
      </c>
      <c r="E57">
        <v>11</v>
      </c>
      <c r="F57">
        <v>33</v>
      </c>
      <c r="G57">
        <v>44</v>
      </c>
    </row>
    <row r="58" spans="1:7" x14ac:dyDescent="0.2">
      <c r="A58">
        <v>57</v>
      </c>
      <c r="B58">
        <v>0.18179999999999999</v>
      </c>
      <c r="C58">
        <v>0.4</v>
      </c>
      <c r="D58">
        <v>0.32840000000000003</v>
      </c>
      <c r="E58">
        <v>10</v>
      </c>
      <c r="F58">
        <v>41</v>
      </c>
      <c r="G58">
        <v>51</v>
      </c>
    </row>
    <row r="59" spans="1:7" x14ac:dyDescent="0.2">
      <c r="A59">
        <v>58</v>
      </c>
      <c r="B59">
        <v>0.21210000000000001</v>
      </c>
      <c r="C59">
        <v>0.35</v>
      </c>
      <c r="D59">
        <v>0.29849999999999999</v>
      </c>
      <c r="E59">
        <v>13</v>
      </c>
      <c r="F59">
        <v>48</v>
      </c>
      <c r="G59">
        <v>61</v>
      </c>
    </row>
    <row r="60" spans="1:7" x14ac:dyDescent="0.2">
      <c r="A60">
        <v>59</v>
      </c>
      <c r="B60" s="64">
        <f>ROUND(AVERAGE(B59,B61),4)</f>
        <v>0.2273</v>
      </c>
      <c r="C60">
        <v>0.35</v>
      </c>
      <c r="D60">
        <v>0.28360000000000002</v>
      </c>
      <c r="E60">
        <v>8</v>
      </c>
      <c r="F60">
        <v>53</v>
      </c>
      <c r="G60">
        <v>61</v>
      </c>
    </row>
    <row r="61" spans="1:7" x14ac:dyDescent="0.2">
      <c r="A61">
        <v>60</v>
      </c>
      <c r="B61">
        <v>0.2424</v>
      </c>
      <c r="C61">
        <v>0.3</v>
      </c>
      <c r="D61">
        <v>0.28360000000000002</v>
      </c>
      <c r="E61">
        <v>11</v>
      </c>
      <c r="F61">
        <v>66</v>
      </c>
      <c r="G61">
        <v>77</v>
      </c>
    </row>
    <row r="62" spans="1:7" x14ac:dyDescent="0.2">
      <c r="A62">
        <v>61</v>
      </c>
      <c r="B62">
        <v>0.2424</v>
      </c>
      <c r="C62">
        <v>0.3</v>
      </c>
      <c r="D62">
        <v>0.25369999999999998</v>
      </c>
      <c r="E62">
        <v>14</v>
      </c>
      <c r="F62">
        <v>58</v>
      </c>
      <c r="G62">
        <v>72</v>
      </c>
    </row>
    <row r="63" spans="1:7" x14ac:dyDescent="0.2">
      <c r="A63">
        <v>62</v>
      </c>
      <c r="B63">
        <v>0.2424</v>
      </c>
      <c r="C63">
        <v>0.3</v>
      </c>
      <c r="D63">
        <v>0.25369999999999998</v>
      </c>
      <c r="E63">
        <v>9</v>
      </c>
      <c r="F63">
        <v>67</v>
      </c>
      <c r="G63">
        <v>76</v>
      </c>
    </row>
    <row r="64" spans="1:7" x14ac:dyDescent="0.2">
      <c r="A64">
        <v>63</v>
      </c>
      <c r="B64">
        <v>0.2273</v>
      </c>
      <c r="C64">
        <v>0.3</v>
      </c>
      <c r="D64">
        <v>0.22389999999999999</v>
      </c>
      <c r="E64">
        <v>11</v>
      </c>
      <c r="F64">
        <v>146</v>
      </c>
      <c r="G64">
        <v>157</v>
      </c>
    </row>
    <row r="65" spans="1:7" x14ac:dyDescent="0.2">
      <c r="A65">
        <v>64</v>
      </c>
      <c r="B65">
        <v>0.2576</v>
      </c>
      <c r="C65">
        <v>0.32</v>
      </c>
      <c r="D65">
        <v>0.1045</v>
      </c>
      <c r="E65">
        <v>9</v>
      </c>
      <c r="F65">
        <v>148</v>
      </c>
      <c r="G65">
        <v>157</v>
      </c>
    </row>
    <row r="66" spans="1:7" x14ac:dyDescent="0.2">
      <c r="A66">
        <v>65</v>
      </c>
      <c r="B66">
        <v>0.2576</v>
      </c>
      <c r="C66">
        <v>0.47</v>
      </c>
      <c r="D66">
        <v>0</v>
      </c>
      <c r="E66">
        <v>8</v>
      </c>
      <c r="F66">
        <v>102</v>
      </c>
      <c r="G66">
        <v>110</v>
      </c>
    </row>
    <row r="67" spans="1:7" x14ac:dyDescent="0.2">
      <c r="A67">
        <v>66</v>
      </c>
      <c r="B67" s="64">
        <f>ROUND(AVERAGE(B66,B68),4)</f>
        <v>0.2273</v>
      </c>
      <c r="C67">
        <v>0.47</v>
      </c>
      <c r="D67">
        <v>0.1045</v>
      </c>
      <c r="E67">
        <v>3</v>
      </c>
      <c r="F67">
        <v>49</v>
      </c>
      <c r="G67">
        <v>52</v>
      </c>
    </row>
    <row r="68" spans="1:7" x14ac:dyDescent="0.2">
      <c r="A68">
        <v>67</v>
      </c>
      <c r="B68">
        <v>0.19700000000000001</v>
      </c>
      <c r="C68">
        <v>0.64</v>
      </c>
      <c r="D68">
        <v>0.1343</v>
      </c>
      <c r="E68">
        <v>3</v>
      </c>
      <c r="F68">
        <v>49</v>
      </c>
      <c r="G68">
        <v>52</v>
      </c>
    </row>
    <row r="69" spans="1:7" x14ac:dyDescent="0.2">
      <c r="A69">
        <v>68</v>
      </c>
      <c r="B69">
        <v>0.1515</v>
      </c>
      <c r="C69">
        <v>0.69</v>
      </c>
      <c r="D69">
        <v>0.1343</v>
      </c>
      <c r="E69">
        <v>0</v>
      </c>
      <c r="F69">
        <v>20</v>
      </c>
      <c r="G69">
        <v>20</v>
      </c>
    </row>
    <row r="70" spans="1:7" x14ac:dyDescent="0.2">
      <c r="A70">
        <v>69</v>
      </c>
      <c r="B70">
        <v>0.21210000000000001</v>
      </c>
      <c r="C70">
        <v>0.55000000000000004</v>
      </c>
      <c r="D70">
        <v>0.1045</v>
      </c>
      <c r="E70">
        <v>1</v>
      </c>
      <c r="F70">
        <v>11</v>
      </c>
      <c r="G70">
        <v>12</v>
      </c>
    </row>
    <row r="71" spans="1:7" x14ac:dyDescent="0.2">
      <c r="A71">
        <v>70</v>
      </c>
      <c r="B71" s="64">
        <f>ROUND(AVERAGE(B70,B72),4)</f>
        <v>0.19700000000000001</v>
      </c>
      <c r="C71">
        <v>0.55000000000000004</v>
      </c>
      <c r="D71">
        <v>0.1045</v>
      </c>
      <c r="E71">
        <v>0</v>
      </c>
      <c r="F71">
        <v>5</v>
      </c>
      <c r="G71">
        <v>5</v>
      </c>
    </row>
    <row r="72" spans="1:7" x14ac:dyDescent="0.2">
      <c r="A72">
        <v>71</v>
      </c>
      <c r="B72">
        <v>0.18179999999999999</v>
      </c>
      <c r="C72">
        <v>0.59</v>
      </c>
      <c r="D72">
        <v>0.1045</v>
      </c>
      <c r="E72">
        <v>0</v>
      </c>
      <c r="F72">
        <v>2</v>
      </c>
      <c r="G72">
        <v>2</v>
      </c>
    </row>
    <row r="73" spans="1:7" x14ac:dyDescent="0.2">
      <c r="A73">
        <v>72</v>
      </c>
      <c r="B73">
        <v>0.1515</v>
      </c>
      <c r="C73">
        <v>0.63</v>
      </c>
      <c r="D73">
        <v>0.1343</v>
      </c>
      <c r="E73">
        <v>0</v>
      </c>
      <c r="F73">
        <v>1</v>
      </c>
      <c r="G73">
        <v>1</v>
      </c>
    </row>
    <row r="74" spans="1:7" x14ac:dyDescent="0.2">
      <c r="A74">
        <v>73</v>
      </c>
      <c r="B74">
        <v>0.18179999999999999</v>
      </c>
      <c r="C74">
        <v>0.63</v>
      </c>
      <c r="D74">
        <v>8.9599999999999999E-2</v>
      </c>
      <c r="E74">
        <v>0</v>
      </c>
      <c r="F74">
        <v>2</v>
      </c>
      <c r="G74">
        <v>2</v>
      </c>
    </row>
    <row r="75" spans="1:7" x14ac:dyDescent="0.2">
      <c r="A75">
        <v>74</v>
      </c>
      <c r="B75">
        <v>0.1515</v>
      </c>
      <c r="C75">
        <v>0.68</v>
      </c>
      <c r="D75">
        <v>0.1045</v>
      </c>
      <c r="E75">
        <v>0</v>
      </c>
      <c r="F75">
        <v>4</v>
      </c>
      <c r="G75">
        <v>4</v>
      </c>
    </row>
    <row r="76" spans="1:7" x14ac:dyDescent="0.2">
      <c r="A76">
        <v>75</v>
      </c>
      <c r="B76">
        <v>0.1515</v>
      </c>
      <c r="C76">
        <v>0.74</v>
      </c>
      <c r="D76">
        <v>0.1045</v>
      </c>
      <c r="E76">
        <v>0</v>
      </c>
      <c r="F76">
        <v>36</v>
      </c>
      <c r="G76">
        <v>36</v>
      </c>
    </row>
    <row r="77" spans="1:7" x14ac:dyDescent="0.2">
      <c r="A77">
        <v>76</v>
      </c>
      <c r="B77">
        <v>0.1515</v>
      </c>
      <c r="C77">
        <v>0.74</v>
      </c>
      <c r="D77">
        <v>0.1343</v>
      </c>
      <c r="E77">
        <v>2</v>
      </c>
      <c r="F77">
        <v>92</v>
      </c>
      <c r="G77">
        <v>94</v>
      </c>
    </row>
    <row r="78" spans="1:7" x14ac:dyDescent="0.2">
      <c r="A78">
        <v>77</v>
      </c>
      <c r="B78">
        <v>0.1515</v>
      </c>
      <c r="C78">
        <v>0.69</v>
      </c>
      <c r="D78">
        <v>0.16420000000000001</v>
      </c>
      <c r="E78">
        <v>2</v>
      </c>
      <c r="F78">
        <v>177</v>
      </c>
      <c r="G78">
        <v>179</v>
      </c>
    </row>
    <row r="79" spans="1:7" x14ac:dyDescent="0.2">
      <c r="A79">
        <v>78</v>
      </c>
      <c r="B79">
        <v>0.1515</v>
      </c>
      <c r="C79">
        <v>0.64</v>
      </c>
      <c r="D79">
        <v>0.22389999999999999</v>
      </c>
      <c r="E79">
        <v>2</v>
      </c>
      <c r="F79">
        <v>98</v>
      </c>
      <c r="G79">
        <v>100</v>
      </c>
    </row>
    <row r="80" spans="1:7" x14ac:dyDescent="0.2">
      <c r="A80">
        <v>79</v>
      </c>
      <c r="B80">
        <v>0.13639999999999999</v>
      </c>
      <c r="C80">
        <v>0.69</v>
      </c>
      <c r="D80">
        <v>0.32840000000000003</v>
      </c>
      <c r="E80">
        <v>5</v>
      </c>
      <c r="F80">
        <v>37</v>
      </c>
      <c r="G80">
        <v>42</v>
      </c>
    </row>
    <row r="81" spans="1:7" x14ac:dyDescent="0.2">
      <c r="A81">
        <v>80</v>
      </c>
      <c r="B81">
        <v>0.21210000000000001</v>
      </c>
      <c r="C81">
        <v>0.51</v>
      </c>
      <c r="D81">
        <v>0.29849999999999999</v>
      </c>
      <c r="E81">
        <v>7</v>
      </c>
      <c r="F81">
        <v>50</v>
      </c>
      <c r="G81">
        <v>57</v>
      </c>
    </row>
    <row r="82" spans="1:7" x14ac:dyDescent="0.2">
      <c r="A82">
        <v>81</v>
      </c>
      <c r="B82">
        <v>0.2273</v>
      </c>
      <c r="C82">
        <v>0.51</v>
      </c>
      <c r="D82">
        <v>0.16420000000000001</v>
      </c>
      <c r="E82">
        <v>12</v>
      </c>
      <c r="F82">
        <v>66</v>
      </c>
      <c r="G82">
        <v>78</v>
      </c>
    </row>
    <row r="83" spans="1:7" x14ac:dyDescent="0.2">
      <c r="A83">
        <v>82</v>
      </c>
      <c r="B83">
        <v>0.2273</v>
      </c>
      <c r="C83">
        <v>0.56000000000000005</v>
      </c>
      <c r="D83">
        <v>0.19400000000000001</v>
      </c>
      <c r="E83">
        <v>18</v>
      </c>
      <c r="F83">
        <v>79</v>
      </c>
      <c r="G83">
        <v>97</v>
      </c>
    </row>
    <row r="84" spans="1:7" x14ac:dyDescent="0.2">
      <c r="A84">
        <v>83</v>
      </c>
      <c r="B84">
        <v>0.2576</v>
      </c>
      <c r="C84">
        <v>0.52</v>
      </c>
      <c r="D84">
        <v>0.22389999999999999</v>
      </c>
      <c r="E84">
        <v>9</v>
      </c>
      <c r="F84">
        <v>54</v>
      </c>
      <c r="G84">
        <v>63</v>
      </c>
    </row>
    <row r="85" spans="1:7" x14ac:dyDescent="0.2">
      <c r="A85">
        <v>84</v>
      </c>
      <c r="B85">
        <v>0.2727</v>
      </c>
      <c r="C85">
        <v>0.52</v>
      </c>
      <c r="D85">
        <v>0.25369999999999998</v>
      </c>
      <c r="E85">
        <v>17</v>
      </c>
      <c r="F85">
        <v>48</v>
      </c>
      <c r="G85">
        <v>65</v>
      </c>
    </row>
    <row r="86" spans="1:7" x14ac:dyDescent="0.2">
      <c r="A86">
        <v>85</v>
      </c>
      <c r="B86">
        <v>0.28789999999999999</v>
      </c>
      <c r="C86">
        <v>0.49</v>
      </c>
      <c r="D86">
        <v>0.25369999999999998</v>
      </c>
      <c r="E86">
        <v>15</v>
      </c>
      <c r="F86">
        <v>68</v>
      </c>
      <c r="G86">
        <v>83</v>
      </c>
    </row>
    <row r="87" spans="1:7" x14ac:dyDescent="0.2">
      <c r="A87">
        <v>86</v>
      </c>
      <c r="B87">
        <v>0.2727</v>
      </c>
      <c r="C87">
        <v>0.48</v>
      </c>
      <c r="D87">
        <v>0.22389999999999999</v>
      </c>
      <c r="E87">
        <v>10</v>
      </c>
      <c r="F87">
        <v>202</v>
      </c>
      <c r="G87">
        <v>212</v>
      </c>
    </row>
    <row r="88" spans="1:7" x14ac:dyDescent="0.2">
      <c r="A88">
        <v>87</v>
      </c>
      <c r="B88">
        <v>0.2576</v>
      </c>
      <c r="C88">
        <v>0.48</v>
      </c>
      <c r="D88">
        <v>0.19400000000000001</v>
      </c>
      <c r="E88">
        <v>3</v>
      </c>
      <c r="F88">
        <v>179</v>
      </c>
      <c r="G88">
        <v>182</v>
      </c>
    </row>
    <row r="89" spans="1:7" x14ac:dyDescent="0.2">
      <c r="A89">
        <v>88</v>
      </c>
      <c r="B89">
        <v>0.2576</v>
      </c>
      <c r="C89">
        <v>0.48</v>
      </c>
      <c r="D89">
        <v>0.1045</v>
      </c>
      <c r="E89">
        <v>2</v>
      </c>
      <c r="F89">
        <v>110</v>
      </c>
      <c r="G89">
        <v>112</v>
      </c>
    </row>
    <row r="90" spans="1:7" x14ac:dyDescent="0.2">
      <c r="A90">
        <v>89</v>
      </c>
      <c r="B90">
        <v>0.2576</v>
      </c>
      <c r="C90">
        <v>0.48</v>
      </c>
      <c r="D90">
        <v>0.1045</v>
      </c>
      <c r="E90">
        <v>1</v>
      </c>
      <c r="F90">
        <v>53</v>
      </c>
      <c r="G90">
        <v>54</v>
      </c>
    </row>
    <row r="91" spans="1:7" x14ac:dyDescent="0.2">
      <c r="A91">
        <v>90</v>
      </c>
      <c r="B91">
        <v>0.2727</v>
      </c>
      <c r="C91">
        <v>0.64</v>
      </c>
      <c r="D91">
        <v>0</v>
      </c>
      <c r="E91">
        <v>0</v>
      </c>
      <c r="F91">
        <v>48</v>
      </c>
      <c r="G91">
        <v>48</v>
      </c>
    </row>
    <row r="92" spans="1:7" x14ac:dyDescent="0.2">
      <c r="A92">
        <v>91</v>
      </c>
      <c r="B92">
        <v>0.2576</v>
      </c>
      <c r="C92">
        <v>0.64</v>
      </c>
      <c r="D92">
        <v>8.9599999999999999E-2</v>
      </c>
      <c r="E92">
        <v>1</v>
      </c>
      <c r="F92">
        <v>34</v>
      </c>
      <c r="G92">
        <v>35</v>
      </c>
    </row>
    <row r="93" spans="1:7" x14ac:dyDescent="0.2">
      <c r="A93">
        <v>92</v>
      </c>
      <c r="B93">
        <v>0.2273</v>
      </c>
      <c r="C93">
        <v>0.69</v>
      </c>
      <c r="D93">
        <v>8.9599999999999999E-2</v>
      </c>
      <c r="E93">
        <v>2</v>
      </c>
      <c r="F93">
        <v>9</v>
      </c>
      <c r="G93">
        <v>11</v>
      </c>
    </row>
    <row r="94" spans="1:7" x14ac:dyDescent="0.2">
      <c r="A94">
        <v>93</v>
      </c>
      <c r="B94">
        <v>0.2576</v>
      </c>
      <c r="C94">
        <v>0.64</v>
      </c>
      <c r="D94">
        <v>0</v>
      </c>
      <c r="E94">
        <v>0</v>
      </c>
      <c r="F94">
        <v>6</v>
      </c>
      <c r="G94">
        <v>6</v>
      </c>
    </row>
    <row r="95" spans="1:7" x14ac:dyDescent="0.2">
      <c r="A95">
        <v>94</v>
      </c>
      <c r="B95">
        <v>0.19700000000000001</v>
      </c>
      <c r="C95">
        <v>0.74</v>
      </c>
      <c r="D95">
        <v>8.9599999999999999E-2</v>
      </c>
      <c r="E95">
        <v>0</v>
      </c>
      <c r="F95">
        <v>6</v>
      </c>
      <c r="G95">
        <v>6</v>
      </c>
    </row>
    <row r="96" spans="1:7" x14ac:dyDescent="0.2">
      <c r="A96">
        <v>95</v>
      </c>
      <c r="B96">
        <v>0.19700000000000001</v>
      </c>
      <c r="C96">
        <v>0.74</v>
      </c>
      <c r="D96">
        <v>8.9599999999999999E-2</v>
      </c>
      <c r="E96">
        <v>0</v>
      </c>
      <c r="F96">
        <v>2</v>
      </c>
      <c r="G96">
        <v>2</v>
      </c>
    </row>
    <row r="97" spans="1:7" x14ac:dyDescent="0.2">
      <c r="A97">
        <v>96</v>
      </c>
      <c r="B97">
        <v>0.2273</v>
      </c>
      <c r="C97">
        <v>0.48</v>
      </c>
      <c r="D97">
        <v>0.22389999999999999</v>
      </c>
      <c r="E97">
        <v>0</v>
      </c>
      <c r="F97">
        <v>2</v>
      </c>
      <c r="G97">
        <v>2</v>
      </c>
    </row>
    <row r="98" spans="1:7" x14ac:dyDescent="0.2">
      <c r="A98">
        <v>97</v>
      </c>
      <c r="B98">
        <v>0.2273</v>
      </c>
      <c r="C98">
        <v>0.47</v>
      </c>
      <c r="D98">
        <v>0.16420000000000001</v>
      </c>
      <c r="E98">
        <v>0</v>
      </c>
      <c r="F98">
        <v>3</v>
      </c>
      <c r="G98">
        <v>3</v>
      </c>
    </row>
    <row r="99" spans="1:7" x14ac:dyDescent="0.2">
      <c r="A99">
        <v>98</v>
      </c>
      <c r="B99">
        <v>0.19700000000000001</v>
      </c>
      <c r="C99">
        <v>0.47</v>
      </c>
      <c r="D99">
        <v>0.22389999999999999</v>
      </c>
      <c r="E99">
        <v>0</v>
      </c>
      <c r="F99">
        <v>33</v>
      </c>
      <c r="G99">
        <v>33</v>
      </c>
    </row>
    <row r="100" spans="1:7" x14ac:dyDescent="0.2">
      <c r="A100">
        <v>99</v>
      </c>
      <c r="B100">
        <v>0.18179999999999999</v>
      </c>
      <c r="C100">
        <v>0.43</v>
      </c>
      <c r="D100">
        <v>0.19400000000000001</v>
      </c>
      <c r="E100">
        <v>1</v>
      </c>
      <c r="F100">
        <v>87</v>
      </c>
      <c r="G100">
        <v>88</v>
      </c>
    </row>
    <row r="101" spans="1:7" x14ac:dyDescent="0.2">
      <c r="A101">
        <v>100</v>
      </c>
      <c r="B101">
        <v>0.18179999999999999</v>
      </c>
      <c r="C101">
        <v>0.4</v>
      </c>
      <c r="D101">
        <v>0.29849999999999999</v>
      </c>
      <c r="E101">
        <v>3</v>
      </c>
      <c r="F101">
        <v>192</v>
      </c>
      <c r="G101">
        <v>195</v>
      </c>
    </row>
    <row r="102" spans="1:7" x14ac:dyDescent="0.2">
      <c r="A102">
        <v>101</v>
      </c>
      <c r="B102">
        <v>0.19700000000000001</v>
      </c>
      <c r="C102">
        <v>0.37</v>
      </c>
      <c r="D102">
        <v>0.32840000000000003</v>
      </c>
      <c r="E102">
        <v>6</v>
      </c>
      <c r="F102">
        <v>109</v>
      </c>
      <c r="G102">
        <v>115</v>
      </c>
    </row>
    <row r="103" spans="1:7" x14ac:dyDescent="0.2">
      <c r="A103">
        <v>102</v>
      </c>
      <c r="B103">
        <v>0.19700000000000001</v>
      </c>
      <c r="C103">
        <v>0.37</v>
      </c>
      <c r="D103">
        <v>0.32840000000000003</v>
      </c>
      <c r="E103">
        <v>4</v>
      </c>
      <c r="F103">
        <v>53</v>
      </c>
      <c r="G103">
        <v>57</v>
      </c>
    </row>
    <row r="104" spans="1:7" x14ac:dyDescent="0.2">
      <c r="A104">
        <v>103</v>
      </c>
      <c r="B104">
        <v>0.2273</v>
      </c>
      <c r="C104">
        <v>0.33</v>
      </c>
      <c r="D104">
        <v>0.32840000000000003</v>
      </c>
      <c r="E104">
        <v>12</v>
      </c>
      <c r="F104">
        <v>34</v>
      </c>
      <c r="G104">
        <v>46</v>
      </c>
    </row>
    <row r="105" spans="1:7" x14ac:dyDescent="0.2">
      <c r="A105">
        <v>104</v>
      </c>
      <c r="B105">
        <v>0.2273</v>
      </c>
      <c r="C105">
        <v>0.33</v>
      </c>
      <c r="D105">
        <v>0.32840000000000003</v>
      </c>
      <c r="E105">
        <v>5</v>
      </c>
      <c r="F105">
        <v>74</v>
      </c>
      <c r="G105">
        <v>79</v>
      </c>
    </row>
    <row r="106" spans="1:7" x14ac:dyDescent="0.2">
      <c r="A106">
        <v>105</v>
      </c>
      <c r="B106">
        <v>0.2576</v>
      </c>
      <c r="C106">
        <v>0.3</v>
      </c>
      <c r="D106">
        <v>0.29849999999999999</v>
      </c>
      <c r="E106">
        <v>6</v>
      </c>
      <c r="F106">
        <v>65</v>
      </c>
      <c r="G106">
        <v>71</v>
      </c>
    </row>
    <row r="107" spans="1:7" x14ac:dyDescent="0.2">
      <c r="A107">
        <v>106</v>
      </c>
      <c r="B107">
        <v>0.28789999999999999</v>
      </c>
      <c r="C107">
        <v>0.28000000000000003</v>
      </c>
      <c r="D107">
        <v>0.19400000000000001</v>
      </c>
      <c r="E107">
        <v>10</v>
      </c>
      <c r="F107">
        <v>52</v>
      </c>
      <c r="G107">
        <v>62</v>
      </c>
    </row>
    <row r="108" spans="1:7" x14ac:dyDescent="0.2">
      <c r="A108">
        <v>107</v>
      </c>
      <c r="B108">
        <v>0.28789999999999999</v>
      </c>
      <c r="C108">
        <v>0.28000000000000003</v>
      </c>
      <c r="D108">
        <v>0.19400000000000001</v>
      </c>
      <c r="E108">
        <v>7</v>
      </c>
      <c r="F108">
        <v>55</v>
      </c>
      <c r="G108">
        <v>62</v>
      </c>
    </row>
    <row r="109" spans="1:7" x14ac:dyDescent="0.2">
      <c r="A109">
        <v>108</v>
      </c>
      <c r="B109">
        <v>0.31819999999999998</v>
      </c>
      <c r="C109">
        <v>0.28000000000000003</v>
      </c>
      <c r="D109">
        <v>8.9599999999999999E-2</v>
      </c>
      <c r="E109">
        <v>4</v>
      </c>
      <c r="F109">
        <v>85</v>
      </c>
      <c r="G109">
        <v>89</v>
      </c>
    </row>
    <row r="110" spans="1:7" x14ac:dyDescent="0.2">
      <c r="A110">
        <v>109</v>
      </c>
      <c r="B110">
        <v>0.2273</v>
      </c>
      <c r="C110">
        <v>0.38</v>
      </c>
      <c r="D110">
        <v>0.19400000000000001</v>
      </c>
      <c r="E110">
        <v>4</v>
      </c>
      <c r="F110">
        <v>186</v>
      </c>
      <c r="G110">
        <v>190</v>
      </c>
    </row>
    <row r="111" spans="1:7" x14ac:dyDescent="0.2">
      <c r="A111">
        <v>110</v>
      </c>
      <c r="B111">
        <v>0.2424</v>
      </c>
      <c r="C111">
        <v>0.38</v>
      </c>
      <c r="D111">
        <v>0.1343</v>
      </c>
      <c r="E111">
        <v>3</v>
      </c>
      <c r="F111">
        <v>166</v>
      </c>
      <c r="G111">
        <v>169</v>
      </c>
    </row>
    <row r="112" spans="1:7" x14ac:dyDescent="0.2">
      <c r="A112">
        <v>111</v>
      </c>
      <c r="B112">
        <v>0.2576</v>
      </c>
      <c r="C112">
        <v>0.38</v>
      </c>
      <c r="D112">
        <v>0.1045</v>
      </c>
      <c r="E112">
        <v>5</v>
      </c>
      <c r="F112">
        <v>127</v>
      </c>
      <c r="G112">
        <v>132</v>
      </c>
    </row>
    <row r="113" spans="1:7" x14ac:dyDescent="0.2">
      <c r="A113">
        <v>112</v>
      </c>
      <c r="B113">
        <v>0.2273</v>
      </c>
      <c r="C113">
        <v>0.47</v>
      </c>
      <c r="D113">
        <v>0.16420000000000001</v>
      </c>
      <c r="E113">
        <v>7</v>
      </c>
      <c r="F113">
        <v>82</v>
      </c>
      <c r="G113">
        <v>89</v>
      </c>
    </row>
    <row r="114" spans="1:7" x14ac:dyDescent="0.2">
      <c r="A114">
        <v>113</v>
      </c>
      <c r="B114">
        <v>0.19700000000000001</v>
      </c>
      <c r="C114">
        <v>0.51</v>
      </c>
      <c r="D114">
        <v>0.19400000000000001</v>
      </c>
      <c r="E114">
        <v>3</v>
      </c>
      <c r="F114">
        <v>40</v>
      </c>
      <c r="G114">
        <v>43</v>
      </c>
    </row>
    <row r="115" spans="1:7" x14ac:dyDescent="0.2">
      <c r="A115">
        <v>114</v>
      </c>
      <c r="B115">
        <v>0.19700000000000001</v>
      </c>
      <c r="C115">
        <v>0.55000000000000004</v>
      </c>
      <c r="D115">
        <v>0.1343</v>
      </c>
      <c r="E115">
        <v>1</v>
      </c>
      <c r="F115">
        <v>41</v>
      </c>
      <c r="G115">
        <v>42</v>
      </c>
    </row>
    <row r="116" spans="1:7" x14ac:dyDescent="0.2">
      <c r="A116">
        <v>115</v>
      </c>
      <c r="B116">
        <v>0.2576</v>
      </c>
      <c r="C116">
        <v>0.47</v>
      </c>
      <c r="D116">
        <v>0</v>
      </c>
      <c r="E116">
        <v>1</v>
      </c>
      <c r="F116">
        <v>18</v>
      </c>
      <c r="G116">
        <v>19</v>
      </c>
    </row>
    <row r="117" spans="1:7" x14ac:dyDescent="0.2">
      <c r="A117">
        <v>116</v>
      </c>
      <c r="B117">
        <v>0.2424</v>
      </c>
      <c r="C117">
        <v>0.55000000000000004</v>
      </c>
      <c r="D117">
        <v>0</v>
      </c>
      <c r="E117">
        <v>0</v>
      </c>
      <c r="F117">
        <v>11</v>
      </c>
      <c r="G117">
        <v>11</v>
      </c>
    </row>
    <row r="118" spans="1:7" x14ac:dyDescent="0.2">
      <c r="A118">
        <v>117</v>
      </c>
      <c r="B118">
        <v>0.2273</v>
      </c>
      <c r="C118">
        <v>0.64</v>
      </c>
      <c r="D118">
        <v>0</v>
      </c>
      <c r="E118">
        <v>0</v>
      </c>
      <c r="F118">
        <v>4</v>
      </c>
      <c r="G118">
        <v>4</v>
      </c>
    </row>
    <row r="119" spans="1:7" x14ac:dyDescent="0.2">
      <c r="A119">
        <v>118</v>
      </c>
      <c r="B119">
        <v>0.2273</v>
      </c>
      <c r="C119">
        <v>0.64</v>
      </c>
      <c r="D119">
        <v>0</v>
      </c>
      <c r="E119">
        <v>0</v>
      </c>
      <c r="F119">
        <v>2</v>
      </c>
      <c r="G119">
        <v>2</v>
      </c>
    </row>
    <row r="120" spans="1:7" x14ac:dyDescent="0.2">
      <c r="A120">
        <v>119</v>
      </c>
      <c r="B120">
        <v>0.19700000000000001</v>
      </c>
      <c r="C120">
        <v>0.64</v>
      </c>
      <c r="D120">
        <v>8.9599999999999999E-2</v>
      </c>
      <c r="E120">
        <v>0</v>
      </c>
      <c r="F120">
        <v>1</v>
      </c>
      <c r="G120">
        <v>1</v>
      </c>
    </row>
    <row r="121" spans="1:7" x14ac:dyDescent="0.2">
      <c r="A121">
        <v>120</v>
      </c>
      <c r="B121">
        <v>0.18179999999999999</v>
      </c>
      <c r="C121">
        <v>0.69</v>
      </c>
      <c r="D121">
        <v>8.9599999999999999E-2</v>
      </c>
      <c r="E121">
        <v>0</v>
      </c>
      <c r="F121">
        <v>4</v>
      </c>
      <c r="G121">
        <v>4</v>
      </c>
    </row>
    <row r="122" spans="1:7" x14ac:dyDescent="0.2">
      <c r="A122">
        <v>121</v>
      </c>
      <c r="B122">
        <v>0.16669999999999999</v>
      </c>
      <c r="C122">
        <v>0.63</v>
      </c>
      <c r="D122">
        <v>0.1045</v>
      </c>
      <c r="E122">
        <v>0</v>
      </c>
      <c r="F122">
        <v>36</v>
      </c>
      <c r="G122">
        <v>36</v>
      </c>
    </row>
    <row r="123" spans="1:7" x14ac:dyDescent="0.2">
      <c r="A123">
        <v>122</v>
      </c>
      <c r="B123">
        <v>0.2273</v>
      </c>
      <c r="C123">
        <v>0.59</v>
      </c>
      <c r="D123">
        <v>0</v>
      </c>
      <c r="E123">
        <v>0</v>
      </c>
      <c r="F123">
        <v>95</v>
      </c>
      <c r="G123">
        <v>95</v>
      </c>
    </row>
    <row r="124" spans="1:7" x14ac:dyDescent="0.2">
      <c r="A124">
        <v>123</v>
      </c>
      <c r="B124">
        <v>0.2273</v>
      </c>
      <c r="C124">
        <v>0.59</v>
      </c>
      <c r="D124">
        <v>0</v>
      </c>
      <c r="E124">
        <v>3</v>
      </c>
      <c r="F124">
        <v>216</v>
      </c>
      <c r="G124">
        <v>219</v>
      </c>
    </row>
    <row r="125" spans="1:7" x14ac:dyDescent="0.2">
      <c r="A125">
        <v>124</v>
      </c>
      <c r="B125">
        <v>0.2424</v>
      </c>
      <c r="C125">
        <v>0.51</v>
      </c>
      <c r="D125">
        <v>0</v>
      </c>
      <c r="E125">
        <v>6</v>
      </c>
      <c r="F125">
        <v>116</v>
      </c>
      <c r="G125">
        <v>122</v>
      </c>
    </row>
    <row r="126" spans="1:7" x14ac:dyDescent="0.2">
      <c r="A126">
        <v>125</v>
      </c>
      <c r="B126">
        <v>0.2576</v>
      </c>
      <c r="C126">
        <v>0.47</v>
      </c>
      <c r="D126">
        <v>0</v>
      </c>
      <c r="E126">
        <v>3</v>
      </c>
      <c r="F126">
        <v>42</v>
      </c>
      <c r="G126">
        <v>45</v>
      </c>
    </row>
    <row r="127" spans="1:7" x14ac:dyDescent="0.2">
      <c r="A127">
        <v>126</v>
      </c>
      <c r="B127">
        <v>0.2576</v>
      </c>
      <c r="C127">
        <v>0.44</v>
      </c>
      <c r="D127">
        <v>8.9599999999999999E-2</v>
      </c>
      <c r="E127">
        <v>2</v>
      </c>
      <c r="F127">
        <v>57</v>
      </c>
      <c r="G127">
        <v>59</v>
      </c>
    </row>
    <row r="128" spans="1:7" x14ac:dyDescent="0.2">
      <c r="A128">
        <v>127</v>
      </c>
      <c r="B128">
        <v>0.28789999999999999</v>
      </c>
      <c r="C128">
        <v>0.35</v>
      </c>
      <c r="D128">
        <v>0</v>
      </c>
      <c r="E128">
        <v>6</v>
      </c>
      <c r="F128">
        <v>78</v>
      </c>
      <c r="G128">
        <v>84</v>
      </c>
    </row>
    <row r="129" spans="1:7" x14ac:dyDescent="0.2">
      <c r="A129">
        <v>128</v>
      </c>
      <c r="B129">
        <v>0.2727</v>
      </c>
      <c r="C129">
        <v>0.35</v>
      </c>
      <c r="D129">
        <v>0.1045</v>
      </c>
      <c r="E129">
        <v>12</v>
      </c>
      <c r="F129">
        <v>55</v>
      </c>
      <c r="G129">
        <v>67</v>
      </c>
    </row>
    <row r="130" spans="1:7" x14ac:dyDescent="0.2">
      <c r="A130">
        <v>129</v>
      </c>
      <c r="B130">
        <v>0.2727</v>
      </c>
      <c r="C130">
        <v>0.36</v>
      </c>
      <c r="D130">
        <v>0.16420000000000001</v>
      </c>
      <c r="E130">
        <v>11</v>
      </c>
      <c r="F130">
        <v>59</v>
      </c>
      <c r="G130">
        <v>70</v>
      </c>
    </row>
    <row r="131" spans="1:7" x14ac:dyDescent="0.2">
      <c r="A131">
        <v>130</v>
      </c>
      <c r="B131">
        <v>0.2727</v>
      </c>
      <c r="C131">
        <v>0.36</v>
      </c>
      <c r="D131">
        <v>0</v>
      </c>
      <c r="E131">
        <v>8</v>
      </c>
      <c r="F131">
        <v>54</v>
      </c>
      <c r="G131">
        <v>62</v>
      </c>
    </row>
    <row r="132" spans="1:7" x14ac:dyDescent="0.2">
      <c r="A132">
        <v>131</v>
      </c>
      <c r="B132">
        <v>0.2576</v>
      </c>
      <c r="C132">
        <v>0.38</v>
      </c>
      <c r="D132">
        <v>0.16420000000000001</v>
      </c>
      <c r="E132">
        <v>12</v>
      </c>
      <c r="F132">
        <v>74</v>
      </c>
      <c r="G132">
        <v>86</v>
      </c>
    </row>
    <row r="133" spans="1:7" x14ac:dyDescent="0.2">
      <c r="A133">
        <v>132</v>
      </c>
      <c r="B133">
        <v>0.2273</v>
      </c>
      <c r="C133">
        <v>0.51</v>
      </c>
      <c r="D133">
        <v>0.16420000000000001</v>
      </c>
      <c r="E133">
        <v>9</v>
      </c>
      <c r="F133">
        <v>163</v>
      </c>
      <c r="G133">
        <v>172</v>
      </c>
    </row>
    <row r="134" spans="1:7" x14ac:dyDescent="0.2">
      <c r="A134">
        <v>133</v>
      </c>
      <c r="B134">
        <v>0.2273</v>
      </c>
      <c r="C134">
        <v>0.51</v>
      </c>
      <c r="D134">
        <v>0.1343</v>
      </c>
      <c r="E134">
        <v>5</v>
      </c>
      <c r="F134">
        <v>158</v>
      </c>
      <c r="G134">
        <v>163</v>
      </c>
    </row>
    <row r="135" spans="1:7" x14ac:dyDescent="0.2">
      <c r="A135">
        <v>134</v>
      </c>
      <c r="B135">
        <v>0.2576</v>
      </c>
      <c r="C135">
        <v>0.55000000000000004</v>
      </c>
      <c r="D135">
        <v>8.9599999999999999E-2</v>
      </c>
      <c r="E135">
        <v>3</v>
      </c>
      <c r="F135">
        <v>109</v>
      </c>
      <c r="G135">
        <v>112</v>
      </c>
    </row>
    <row r="136" spans="1:7" x14ac:dyDescent="0.2">
      <c r="A136">
        <v>135</v>
      </c>
      <c r="B136">
        <v>0.21210000000000001</v>
      </c>
      <c r="C136">
        <v>0.51</v>
      </c>
      <c r="D136">
        <v>0.16420000000000001</v>
      </c>
      <c r="E136">
        <v>3</v>
      </c>
      <c r="F136">
        <v>66</v>
      </c>
      <c r="G136">
        <v>69</v>
      </c>
    </row>
    <row r="137" spans="1:7" x14ac:dyDescent="0.2">
      <c r="A137">
        <v>136</v>
      </c>
      <c r="B137">
        <v>0.21210000000000001</v>
      </c>
      <c r="C137">
        <v>0.55000000000000004</v>
      </c>
      <c r="D137">
        <v>0.22389999999999999</v>
      </c>
      <c r="E137">
        <v>0</v>
      </c>
      <c r="F137">
        <v>48</v>
      </c>
      <c r="G137">
        <v>48</v>
      </c>
    </row>
    <row r="138" spans="1:7" x14ac:dyDescent="0.2">
      <c r="A138">
        <v>137</v>
      </c>
      <c r="B138">
        <v>0.21210000000000001</v>
      </c>
      <c r="C138">
        <v>0.51</v>
      </c>
      <c r="D138">
        <v>0.28360000000000002</v>
      </c>
      <c r="E138">
        <v>1</v>
      </c>
      <c r="F138">
        <v>51</v>
      </c>
      <c r="G138">
        <v>52</v>
      </c>
    </row>
    <row r="139" spans="1:7" x14ac:dyDescent="0.2">
      <c r="A139">
        <v>138</v>
      </c>
      <c r="B139">
        <v>0.19700000000000001</v>
      </c>
      <c r="C139">
        <v>0.59</v>
      </c>
      <c r="D139">
        <v>0.19400000000000001</v>
      </c>
      <c r="E139">
        <v>4</v>
      </c>
      <c r="F139">
        <v>19</v>
      </c>
      <c r="G139">
        <v>23</v>
      </c>
    </row>
    <row r="140" spans="1:7" x14ac:dyDescent="0.2">
      <c r="A140">
        <v>139</v>
      </c>
      <c r="B140">
        <v>0.19700000000000001</v>
      </c>
      <c r="C140">
        <v>0.64</v>
      </c>
      <c r="D140">
        <v>0.19400000000000001</v>
      </c>
      <c r="E140">
        <v>4</v>
      </c>
      <c r="F140">
        <v>13</v>
      </c>
      <c r="G140">
        <v>17</v>
      </c>
    </row>
    <row r="141" spans="1:7" x14ac:dyDescent="0.2">
      <c r="A141">
        <v>140</v>
      </c>
      <c r="B141">
        <v>0.19700000000000001</v>
      </c>
      <c r="C141">
        <v>0.69</v>
      </c>
      <c r="D141">
        <v>0.22389999999999999</v>
      </c>
      <c r="E141">
        <v>2</v>
      </c>
      <c r="F141">
        <v>5</v>
      </c>
      <c r="G141">
        <v>7</v>
      </c>
    </row>
    <row r="142" spans="1:7" x14ac:dyDescent="0.2">
      <c r="A142">
        <v>141</v>
      </c>
      <c r="B142">
        <v>0.19700000000000001</v>
      </c>
      <c r="C142">
        <v>0.69</v>
      </c>
      <c r="D142">
        <v>0.22389999999999999</v>
      </c>
      <c r="E142">
        <v>0</v>
      </c>
      <c r="F142">
        <v>1</v>
      </c>
      <c r="G142">
        <v>1</v>
      </c>
    </row>
    <row r="143" spans="1:7" x14ac:dyDescent="0.2">
      <c r="A143">
        <v>142</v>
      </c>
      <c r="B143">
        <v>0.21210000000000001</v>
      </c>
      <c r="C143">
        <v>0.69</v>
      </c>
      <c r="D143">
        <v>0.1343</v>
      </c>
      <c r="E143">
        <v>0</v>
      </c>
      <c r="F143">
        <v>1</v>
      </c>
      <c r="G143">
        <v>1</v>
      </c>
    </row>
    <row r="144" spans="1:7" x14ac:dyDescent="0.2">
      <c r="A144">
        <v>143</v>
      </c>
      <c r="B144">
        <v>0.2727</v>
      </c>
      <c r="C144">
        <v>0.55000000000000004</v>
      </c>
      <c r="D144">
        <v>0</v>
      </c>
      <c r="E144">
        <v>0</v>
      </c>
      <c r="F144">
        <v>5</v>
      </c>
      <c r="G144">
        <v>5</v>
      </c>
    </row>
    <row r="145" spans="1:7" x14ac:dyDescent="0.2">
      <c r="A145">
        <v>144</v>
      </c>
      <c r="B145">
        <v>0.2576</v>
      </c>
      <c r="C145">
        <v>0.69</v>
      </c>
      <c r="D145">
        <v>0</v>
      </c>
      <c r="E145">
        <v>8</v>
      </c>
      <c r="F145">
        <v>26</v>
      </c>
      <c r="G145">
        <v>34</v>
      </c>
    </row>
    <row r="146" spans="1:7" x14ac:dyDescent="0.2">
      <c r="A146">
        <v>145</v>
      </c>
      <c r="B146">
        <v>0.21210000000000001</v>
      </c>
      <c r="C146">
        <v>0.69</v>
      </c>
      <c r="D146">
        <v>0.1343</v>
      </c>
      <c r="E146">
        <v>8</v>
      </c>
      <c r="F146">
        <v>76</v>
      </c>
      <c r="G146">
        <v>84</v>
      </c>
    </row>
    <row r="147" spans="1:7" x14ac:dyDescent="0.2">
      <c r="A147">
        <v>146</v>
      </c>
      <c r="B147">
        <v>0.19700000000000001</v>
      </c>
      <c r="C147">
        <v>0.51</v>
      </c>
      <c r="D147">
        <v>0.25369999999999998</v>
      </c>
      <c r="E147">
        <v>20</v>
      </c>
      <c r="F147">
        <v>190</v>
      </c>
      <c r="G147">
        <v>210</v>
      </c>
    </row>
    <row r="148" spans="1:7" x14ac:dyDescent="0.2">
      <c r="A148">
        <v>147</v>
      </c>
      <c r="B148">
        <v>0.18179999999999999</v>
      </c>
      <c r="C148">
        <v>0.47</v>
      </c>
      <c r="D148">
        <v>0.29849999999999999</v>
      </c>
      <c r="E148">
        <v>9</v>
      </c>
      <c r="F148">
        <v>125</v>
      </c>
      <c r="G148">
        <v>134</v>
      </c>
    </row>
    <row r="149" spans="1:7" x14ac:dyDescent="0.2">
      <c r="A149">
        <v>148</v>
      </c>
      <c r="B149">
        <v>0.19700000000000001</v>
      </c>
      <c r="C149">
        <v>0.37</v>
      </c>
      <c r="D149">
        <v>0.32840000000000003</v>
      </c>
      <c r="E149">
        <v>16</v>
      </c>
      <c r="F149">
        <v>47</v>
      </c>
      <c r="G149">
        <v>63</v>
      </c>
    </row>
    <row r="150" spans="1:7" x14ac:dyDescent="0.2">
      <c r="A150">
        <v>149</v>
      </c>
      <c r="B150">
        <v>0.19700000000000001</v>
      </c>
      <c r="C150">
        <v>0.4</v>
      </c>
      <c r="D150">
        <v>0.22389999999999999</v>
      </c>
      <c r="E150">
        <v>19</v>
      </c>
      <c r="F150">
        <v>48</v>
      </c>
      <c r="G150">
        <v>67</v>
      </c>
    </row>
    <row r="151" spans="1:7" x14ac:dyDescent="0.2">
      <c r="A151">
        <v>150</v>
      </c>
      <c r="B151">
        <v>0.19700000000000001</v>
      </c>
      <c r="C151">
        <v>0.37</v>
      </c>
      <c r="D151">
        <v>0.25369999999999998</v>
      </c>
      <c r="E151">
        <v>9</v>
      </c>
      <c r="F151">
        <v>50</v>
      </c>
      <c r="G151">
        <v>59</v>
      </c>
    </row>
    <row r="152" spans="1:7" x14ac:dyDescent="0.2">
      <c r="A152">
        <v>151</v>
      </c>
      <c r="B152">
        <v>0.18179999999999999</v>
      </c>
      <c r="C152">
        <v>0.37</v>
      </c>
      <c r="D152">
        <v>0.28360000000000002</v>
      </c>
      <c r="E152">
        <v>9</v>
      </c>
      <c r="F152">
        <v>64</v>
      </c>
      <c r="G152">
        <v>73</v>
      </c>
    </row>
    <row r="153" spans="1:7" x14ac:dyDescent="0.2">
      <c r="A153">
        <v>152</v>
      </c>
      <c r="B153">
        <v>0.19700000000000001</v>
      </c>
      <c r="C153">
        <v>0.4</v>
      </c>
      <c r="D153">
        <v>0.25369999999999998</v>
      </c>
      <c r="E153">
        <v>7</v>
      </c>
      <c r="F153">
        <v>43</v>
      </c>
      <c r="G153">
        <v>50</v>
      </c>
    </row>
    <row r="154" spans="1:7" x14ac:dyDescent="0.2">
      <c r="A154">
        <v>153</v>
      </c>
      <c r="B154">
        <v>0.21210000000000001</v>
      </c>
      <c r="C154">
        <v>0.37</v>
      </c>
      <c r="D154">
        <v>0.16420000000000001</v>
      </c>
      <c r="E154">
        <v>9</v>
      </c>
      <c r="F154">
        <v>63</v>
      </c>
      <c r="G154">
        <v>72</v>
      </c>
    </row>
    <row r="155" spans="1:7" x14ac:dyDescent="0.2">
      <c r="A155">
        <v>154</v>
      </c>
      <c r="B155">
        <v>0.21210000000000001</v>
      </c>
      <c r="C155">
        <v>0.37</v>
      </c>
      <c r="D155">
        <v>0.16420000000000001</v>
      </c>
      <c r="E155">
        <v>5</v>
      </c>
      <c r="F155">
        <v>82</v>
      </c>
      <c r="G155">
        <v>87</v>
      </c>
    </row>
    <row r="156" spans="1:7" x14ac:dyDescent="0.2">
      <c r="A156">
        <v>155</v>
      </c>
      <c r="B156">
        <v>0.2576</v>
      </c>
      <c r="C156">
        <v>0.37</v>
      </c>
      <c r="D156">
        <v>0</v>
      </c>
      <c r="E156">
        <v>9</v>
      </c>
      <c r="F156">
        <v>178</v>
      </c>
      <c r="G156">
        <v>187</v>
      </c>
    </row>
    <row r="157" spans="1:7" x14ac:dyDescent="0.2">
      <c r="A157">
        <v>156</v>
      </c>
      <c r="B157">
        <v>0.2273</v>
      </c>
      <c r="C157">
        <v>0.4</v>
      </c>
      <c r="D157">
        <v>8.9599999999999999E-2</v>
      </c>
      <c r="E157">
        <v>7</v>
      </c>
      <c r="F157">
        <v>116</v>
      </c>
      <c r="G157">
        <v>123</v>
      </c>
    </row>
    <row r="158" spans="1:7" x14ac:dyDescent="0.2">
      <c r="A158">
        <v>157</v>
      </c>
      <c r="B158">
        <v>0.19700000000000001</v>
      </c>
      <c r="C158">
        <v>0.55000000000000004</v>
      </c>
      <c r="D158">
        <v>8.9599999999999999E-2</v>
      </c>
      <c r="E158">
        <v>3</v>
      </c>
      <c r="F158">
        <v>92</v>
      </c>
      <c r="G158">
        <v>95</v>
      </c>
    </row>
    <row r="159" spans="1:7" x14ac:dyDescent="0.2">
      <c r="A159">
        <v>158</v>
      </c>
      <c r="B159">
        <v>0.21210000000000001</v>
      </c>
      <c r="C159">
        <v>0.47</v>
      </c>
      <c r="D159">
        <v>0.1045</v>
      </c>
      <c r="E159">
        <v>1</v>
      </c>
      <c r="F159">
        <v>50</v>
      </c>
      <c r="G159">
        <v>51</v>
      </c>
    </row>
    <row r="160" spans="1:7" x14ac:dyDescent="0.2">
      <c r="A160">
        <v>159</v>
      </c>
      <c r="B160">
        <v>0.19700000000000001</v>
      </c>
      <c r="C160">
        <v>0.47</v>
      </c>
      <c r="D160">
        <v>0.1343</v>
      </c>
      <c r="E160">
        <v>0</v>
      </c>
      <c r="F160">
        <v>39</v>
      </c>
      <c r="G160">
        <v>39</v>
      </c>
    </row>
    <row r="161" spans="1:7" x14ac:dyDescent="0.2">
      <c r="A161">
        <v>160</v>
      </c>
      <c r="B161">
        <v>0.19700000000000001</v>
      </c>
      <c r="C161">
        <v>0.43</v>
      </c>
      <c r="D161">
        <v>0.16420000000000001</v>
      </c>
      <c r="E161">
        <v>2</v>
      </c>
      <c r="F161">
        <v>34</v>
      </c>
      <c r="G161">
        <v>36</v>
      </c>
    </row>
    <row r="162" spans="1:7" x14ac:dyDescent="0.2">
      <c r="A162">
        <v>161</v>
      </c>
      <c r="B162">
        <v>0.19700000000000001</v>
      </c>
      <c r="C162">
        <v>0.51</v>
      </c>
      <c r="D162">
        <v>0.16420000000000001</v>
      </c>
      <c r="E162">
        <v>1</v>
      </c>
      <c r="F162">
        <v>14</v>
      </c>
      <c r="G162">
        <v>15</v>
      </c>
    </row>
    <row r="163" spans="1:7" x14ac:dyDescent="0.2">
      <c r="A163">
        <v>162</v>
      </c>
      <c r="B163">
        <v>0.19700000000000001</v>
      </c>
      <c r="C163">
        <v>0.51</v>
      </c>
      <c r="D163">
        <v>0.16420000000000001</v>
      </c>
      <c r="E163">
        <v>1</v>
      </c>
      <c r="F163">
        <v>24</v>
      </c>
      <c r="G163">
        <v>25</v>
      </c>
    </row>
    <row r="164" spans="1:7" x14ac:dyDescent="0.2">
      <c r="A164">
        <v>163</v>
      </c>
      <c r="B164">
        <v>0.21210000000000001</v>
      </c>
      <c r="C164">
        <v>0.55000000000000004</v>
      </c>
      <c r="D164">
        <v>8.9599999999999999E-2</v>
      </c>
      <c r="E164">
        <v>1</v>
      </c>
      <c r="F164">
        <v>15</v>
      </c>
      <c r="G164">
        <v>16</v>
      </c>
    </row>
    <row r="165" spans="1:7" x14ac:dyDescent="0.2">
      <c r="A165">
        <v>164</v>
      </c>
      <c r="B165">
        <v>0.2424</v>
      </c>
      <c r="C165">
        <v>0.55000000000000004</v>
      </c>
      <c r="D165">
        <v>0</v>
      </c>
      <c r="E165">
        <v>3</v>
      </c>
      <c r="F165">
        <v>13</v>
      </c>
      <c r="G165">
        <v>16</v>
      </c>
    </row>
    <row r="166" spans="1:7" x14ac:dyDescent="0.2">
      <c r="A166">
        <v>165</v>
      </c>
      <c r="B166">
        <v>0.19700000000000001</v>
      </c>
      <c r="C166">
        <v>0.55000000000000004</v>
      </c>
      <c r="D166">
        <v>0.16420000000000001</v>
      </c>
      <c r="E166">
        <v>0</v>
      </c>
      <c r="F166">
        <v>7</v>
      </c>
      <c r="G166">
        <v>7</v>
      </c>
    </row>
    <row r="167" spans="1:7" x14ac:dyDescent="0.2">
      <c r="A167">
        <v>166</v>
      </c>
      <c r="B167">
        <v>0.19700000000000001</v>
      </c>
      <c r="C167">
        <v>0.55000000000000004</v>
      </c>
      <c r="D167">
        <v>0.16420000000000001</v>
      </c>
      <c r="E167">
        <v>0</v>
      </c>
      <c r="F167">
        <v>1</v>
      </c>
      <c r="G167">
        <v>1</v>
      </c>
    </row>
    <row r="168" spans="1:7" x14ac:dyDescent="0.2">
      <c r="A168">
        <v>167</v>
      </c>
      <c r="B168">
        <v>0.16669999999999999</v>
      </c>
      <c r="C168">
        <v>0.74</v>
      </c>
      <c r="D168">
        <v>0.16420000000000001</v>
      </c>
      <c r="E168">
        <v>0</v>
      </c>
      <c r="F168">
        <v>5</v>
      </c>
      <c r="G168">
        <v>5</v>
      </c>
    </row>
    <row r="169" spans="1:7" x14ac:dyDescent="0.2">
      <c r="A169">
        <v>168</v>
      </c>
      <c r="B169">
        <v>0.16669999999999999</v>
      </c>
      <c r="C169">
        <v>0.74</v>
      </c>
      <c r="D169">
        <v>0.16420000000000001</v>
      </c>
      <c r="E169">
        <v>0</v>
      </c>
      <c r="F169">
        <v>2</v>
      </c>
      <c r="G169">
        <v>2</v>
      </c>
    </row>
    <row r="170" spans="1:7" x14ac:dyDescent="0.2">
      <c r="A170">
        <v>169</v>
      </c>
      <c r="B170">
        <v>0.18179999999999999</v>
      </c>
      <c r="C170">
        <v>0.74</v>
      </c>
      <c r="D170">
        <v>0.1045</v>
      </c>
      <c r="E170">
        <v>1</v>
      </c>
      <c r="F170">
        <v>8</v>
      </c>
      <c r="G170">
        <v>9</v>
      </c>
    </row>
    <row r="171" spans="1:7" x14ac:dyDescent="0.2">
      <c r="A171">
        <v>170</v>
      </c>
      <c r="B171">
        <v>0.18179999999999999</v>
      </c>
      <c r="C171">
        <v>0.93</v>
      </c>
      <c r="D171">
        <v>0.1045</v>
      </c>
      <c r="E171">
        <v>0</v>
      </c>
      <c r="F171">
        <v>15</v>
      </c>
      <c r="G171">
        <v>15</v>
      </c>
    </row>
    <row r="172" spans="1:7" x14ac:dyDescent="0.2">
      <c r="A172">
        <v>171</v>
      </c>
      <c r="B172">
        <v>0.18179999999999999</v>
      </c>
      <c r="C172">
        <v>0.93</v>
      </c>
      <c r="D172">
        <v>0.1045</v>
      </c>
      <c r="E172">
        <v>0</v>
      </c>
      <c r="F172">
        <v>20</v>
      </c>
      <c r="G172">
        <v>20</v>
      </c>
    </row>
    <row r="173" spans="1:7" x14ac:dyDescent="0.2">
      <c r="A173">
        <v>172</v>
      </c>
      <c r="B173">
        <v>0.19700000000000001</v>
      </c>
      <c r="C173">
        <v>0.8</v>
      </c>
      <c r="D173">
        <v>0.16420000000000001</v>
      </c>
      <c r="E173">
        <v>5</v>
      </c>
      <c r="F173">
        <v>56</v>
      </c>
      <c r="G173">
        <v>61</v>
      </c>
    </row>
    <row r="174" spans="1:7" x14ac:dyDescent="0.2">
      <c r="A174">
        <v>173</v>
      </c>
      <c r="B174">
        <v>0.18179999999999999</v>
      </c>
      <c r="C174">
        <v>0.69</v>
      </c>
      <c r="D174">
        <v>0.3881</v>
      </c>
      <c r="E174">
        <v>2</v>
      </c>
      <c r="F174">
        <v>60</v>
      </c>
      <c r="G174">
        <v>62</v>
      </c>
    </row>
    <row r="175" spans="1:7" x14ac:dyDescent="0.2">
      <c r="A175">
        <v>174</v>
      </c>
      <c r="B175">
        <v>0.18179999999999999</v>
      </c>
      <c r="C175">
        <v>0.59</v>
      </c>
      <c r="D175">
        <v>0.35820000000000002</v>
      </c>
      <c r="E175">
        <v>8</v>
      </c>
      <c r="F175">
        <v>90</v>
      </c>
      <c r="G175">
        <v>98</v>
      </c>
    </row>
    <row r="176" spans="1:7" x14ac:dyDescent="0.2">
      <c r="A176">
        <v>175</v>
      </c>
      <c r="B176">
        <v>0.18179999999999999</v>
      </c>
      <c r="C176">
        <v>0.44</v>
      </c>
      <c r="D176">
        <v>0.32840000000000003</v>
      </c>
      <c r="E176">
        <v>7</v>
      </c>
      <c r="F176">
        <v>95</v>
      </c>
      <c r="G176">
        <v>102</v>
      </c>
    </row>
    <row r="177" spans="1:7" x14ac:dyDescent="0.2">
      <c r="A177">
        <v>176</v>
      </c>
      <c r="B177">
        <v>0.16669999999999999</v>
      </c>
      <c r="C177">
        <v>0.32</v>
      </c>
      <c r="D177">
        <v>0.49249999999999999</v>
      </c>
      <c r="E177">
        <v>12</v>
      </c>
      <c r="F177">
        <v>83</v>
      </c>
      <c r="G177">
        <v>95</v>
      </c>
    </row>
    <row r="178" spans="1:7" x14ac:dyDescent="0.2">
      <c r="A178">
        <v>177</v>
      </c>
      <c r="B178">
        <v>0.16669999999999999</v>
      </c>
      <c r="C178">
        <v>0.32</v>
      </c>
      <c r="D178">
        <v>0.44779999999999998</v>
      </c>
      <c r="E178">
        <v>5</v>
      </c>
      <c r="F178">
        <v>69</v>
      </c>
      <c r="G178">
        <v>74</v>
      </c>
    </row>
    <row r="179" spans="1:7" x14ac:dyDescent="0.2">
      <c r="A179">
        <v>178</v>
      </c>
      <c r="B179">
        <v>0.13639999999999999</v>
      </c>
      <c r="C179">
        <v>0.28999999999999998</v>
      </c>
      <c r="D179">
        <v>0.44779999999999998</v>
      </c>
      <c r="E179">
        <v>8</v>
      </c>
      <c r="F179">
        <v>68</v>
      </c>
      <c r="G179">
        <v>76</v>
      </c>
    </row>
    <row r="180" spans="1:7" x14ac:dyDescent="0.2">
      <c r="A180">
        <v>179</v>
      </c>
      <c r="B180">
        <v>0.1212</v>
      </c>
      <c r="C180">
        <v>0.37</v>
      </c>
      <c r="D180">
        <v>0.55220000000000002</v>
      </c>
      <c r="E180">
        <v>5</v>
      </c>
      <c r="F180">
        <v>64</v>
      </c>
      <c r="G180">
        <v>69</v>
      </c>
    </row>
    <row r="181" spans="1:7" x14ac:dyDescent="0.2">
      <c r="A181">
        <v>180</v>
      </c>
      <c r="B181">
        <v>0.1212</v>
      </c>
      <c r="C181">
        <v>0.39</v>
      </c>
      <c r="D181">
        <v>0.29849999999999999</v>
      </c>
      <c r="E181">
        <v>3</v>
      </c>
      <c r="F181">
        <v>52</v>
      </c>
      <c r="G181">
        <v>55</v>
      </c>
    </row>
    <row r="182" spans="1:7" x14ac:dyDescent="0.2">
      <c r="A182">
        <v>181</v>
      </c>
      <c r="B182">
        <v>0.1212</v>
      </c>
      <c r="C182">
        <v>0.36</v>
      </c>
      <c r="D182">
        <v>0.25369999999999998</v>
      </c>
      <c r="E182">
        <v>4</v>
      </c>
      <c r="F182">
        <v>26</v>
      </c>
      <c r="G182">
        <v>30</v>
      </c>
    </row>
    <row r="183" spans="1:7" x14ac:dyDescent="0.2">
      <c r="A183">
        <v>182</v>
      </c>
      <c r="B183">
        <v>0.1212</v>
      </c>
      <c r="C183">
        <v>0.36</v>
      </c>
      <c r="D183">
        <v>0.25369999999999998</v>
      </c>
      <c r="E183">
        <v>0</v>
      </c>
      <c r="F183">
        <v>28</v>
      </c>
      <c r="G183">
        <v>28</v>
      </c>
    </row>
    <row r="184" spans="1:7" x14ac:dyDescent="0.2">
      <c r="A184">
        <v>183</v>
      </c>
      <c r="B184">
        <v>0.1061</v>
      </c>
      <c r="C184">
        <v>0.39</v>
      </c>
      <c r="D184">
        <v>0.35820000000000002</v>
      </c>
      <c r="E184">
        <v>2</v>
      </c>
      <c r="F184">
        <v>35</v>
      </c>
      <c r="G184">
        <v>37</v>
      </c>
    </row>
    <row r="185" spans="1:7" x14ac:dyDescent="0.2">
      <c r="A185">
        <v>184</v>
      </c>
      <c r="B185">
        <v>0.1061</v>
      </c>
      <c r="C185">
        <v>0.36</v>
      </c>
      <c r="D185">
        <v>0.3881</v>
      </c>
      <c r="E185">
        <v>1</v>
      </c>
      <c r="F185">
        <v>33</v>
      </c>
      <c r="G185">
        <v>34</v>
      </c>
    </row>
    <row r="186" spans="1:7" x14ac:dyDescent="0.2">
      <c r="A186">
        <v>185</v>
      </c>
      <c r="B186">
        <v>6.0600000000000001E-2</v>
      </c>
      <c r="C186">
        <v>0.39</v>
      </c>
      <c r="D186">
        <v>0.44779999999999998</v>
      </c>
      <c r="E186">
        <v>0</v>
      </c>
      <c r="F186">
        <v>22</v>
      </c>
      <c r="G186">
        <v>22</v>
      </c>
    </row>
    <row r="187" spans="1:7" x14ac:dyDescent="0.2">
      <c r="A187">
        <v>186</v>
      </c>
      <c r="B187">
        <v>7.5800000000000006E-2</v>
      </c>
      <c r="C187">
        <v>0.42</v>
      </c>
      <c r="D187">
        <v>0.3881</v>
      </c>
      <c r="E187">
        <v>1</v>
      </c>
      <c r="F187">
        <v>24</v>
      </c>
      <c r="G187">
        <v>25</v>
      </c>
    </row>
    <row r="188" spans="1:7" x14ac:dyDescent="0.2">
      <c r="A188">
        <v>187</v>
      </c>
      <c r="B188">
        <v>6.0600000000000001E-2</v>
      </c>
      <c r="C188">
        <v>0.42</v>
      </c>
      <c r="D188">
        <v>0.4627</v>
      </c>
      <c r="E188">
        <v>0</v>
      </c>
      <c r="F188">
        <v>12</v>
      </c>
      <c r="G188">
        <v>12</v>
      </c>
    </row>
    <row r="189" spans="1:7" x14ac:dyDescent="0.2">
      <c r="A189">
        <v>188</v>
      </c>
      <c r="B189">
        <v>6.0600000000000001E-2</v>
      </c>
      <c r="C189">
        <v>0.46</v>
      </c>
      <c r="D189">
        <v>0.4627</v>
      </c>
      <c r="E189">
        <v>0</v>
      </c>
      <c r="F189">
        <v>11</v>
      </c>
      <c r="G189">
        <v>11</v>
      </c>
    </row>
    <row r="190" spans="1:7" x14ac:dyDescent="0.2">
      <c r="A190">
        <v>189</v>
      </c>
      <c r="B190">
        <v>7.5800000000000006E-2</v>
      </c>
      <c r="C190">
        <v>0.46</v>
      </c>
      <c r="D190">
        <v>0.41789999999999999</v>
      </c>
      <c r="E190">
        <v>0</v>
      </c>
      <c r="F190">
        <v>4</v>
      </c>
      <c r="G190">
        <v>4</v>
      </c>
    </row>
    <row r="191" spans="1:7" x14ac:dyDescent="0.2">
      <c r="A191">
        <v>190</v>
      </c>
      <c r="B191">
        <v>9.0899999999999995E-2</v>
      </c>
      <c r="C191">
        <v>0.53</v>
      </c>
      <c r="D191">
        <v>0.19400000000000001</v>
      </c>
      <c r="E191">
        <v>0</v>
      </c>
      <c r="F191">
        <v>1</v>
      </c>
      <c r="G191">
        <v>1</v>
      </c>
    </row>
    <row r="192" spans="1:7" x14ac:dyDescent="0.2">
      <c r="A192">
        <v>191</v>
      </c>
      <c r="B192">
        <v>9.0899999999999995E-2</v>
      </c>
      <c r="C192">
        <v>0.53</v>
      </c>
      <c r="D192">
        <v>0.19400000000000001</v>
      </c>
      <c r="E192">
        <v>0</v>
      </c>
      <c r="F192">
        <v>1</v>
      </c>
      <c r="G192">
        <v>1</v>
      </c>
    </row>
    <row r="193" spans="1:7" x14ac:dyDescent="0.2">
      <c r="A193">
        <v>192</v>
      </c>
      <c r="B193">
        <v>9.0899999999999995E-2</v>
      </c>
      <c r="C193">
        <v>0.49</v>
      </c>
      <c r="D193">
        <v>0.28360000000000002</v>
      </c>
      <c r="E193">
        <v>0</v>
      </c>
      <c r="F193">
        <v>1</v>
      </c>
      <c r="G193">
        <v>1</v>
      </c>
    </row>
    <row r="194" spans="1:7" x14ac:dyDescent="0.2">
      <c r="A194">
        <v>193</v>
      </c>
      <c r="B194">
        <v>9.0899999999999995E-2</v>
      </c>
      <c r="C194">
        <v>0.53</v>
      </c>
      <c r="D194">
        <v>0.19400000000000001</v>
      </c>
      <c r="E194">
        <v>1</v>
      </c>
      <c r="F194">
        <v>5</v>
      </c>
      <c r="G194">
        <v>6</v>
      </c>
    </row>
    <row r="195" spans="1:7" x14ac:dyDescent="0.2">
      <c r="A195">
        <v>194</v>
      </c>
      <c r="B195">
        <v>9.0899999999999995E-2</v>
      </c>
      <c r="C195">
        <v>0.49</v>
      </c>
      <c r="D195">
        <v>0.28360000000000002</v>
      </c>
      <c r="E195">
        <v>0</v>
      </c>
      <c r="F195">
        <v>10</v>
      </c>
      <c r="G195">
        <v>10</v>
      </c>
    </row>
    <row r="196" spans="1:7" x14ac:dyDescent="0.2">
      <c r="A196">
        <v>195</v>
      </c>
      <c r="B196">
        <v>7.5800000000000006E-2</v>
      </c>
      <c r="C196">
        <v>0.46</v>
      </c>
      <c r="D196">
        <v>0.52239999999999998</v>
      </c>
      <c r="E196">
        <v>0</v>
      </c>
      <c r="F196">
        <v>19</v>
      </c>
      <c r="G196">
        <v>19</v>
      </c>
    </row>
    <row r="197" spans="1:7" x14ac:dyDescent="0.2">
      <c r="A197">
        <v>196</v>
      </c>
      <c r="B197">
        <v>0.1061</v>
      </c>
      <c r="C197">
        <v>0.43</v>
      </c>
      <c r="D197">
        <v>0.3881</v>
      </c>
      <c r="E197">
        <v>0</v>
      </c>
      <c r="F197">
        <v>49</v>
      </c>
      <c r="G197">
        <v>49</v>
      </c>
    </row>
    <row r="198" spans="1:7" x14ac:dyDescent="0.2">
      <c r="A198">
        <v>197</v>
      </c>
      <c r="B198">
        <v>0.1212</v>
      </c>
      <c r="C198">
        <v>0.4</v>
      </c>
      <c r="D198">
        <v>0.52239999999999998</v>
      </c>
      <c r="E198">
        <v>2</v>
      </c>
      <c r="F198">
        <v>47</v>
      </c>
      <c r="G198">
        <v>49</v>
      </c>
    </row>
    <row r="199" spans="1:7" x14ac:dyDescent="0.2">
      <c r="A199">
        <v>198</v>
      </c>
      <c r="B199">
        <v>0.13639999999999999</v>
      </c>
      <c r="C199">
        <v>0.37</v>
      </c>
      <c r="D199">
        <v>0.44779999999999998</v>
      </c>
      <c r="E199">
        <v>4</v>
      </c>
      <c r="F199">
        <v>79</v>
      </c>
      <c r="G199">
        <v>83</v>
      </c>
    </row>
    <row r="200" spans="1:7" x14ac:dyDescent="0.2">
      <c r="A200">
        <v>199</v>
      </c>
      <c r="B200">
        <v>0.16669999999999999</v>
      </c>
      <c r="C200">
        <v>0.34</v>
      </c>
      <c r="D200">
        <v>0.44779999999999998</v>
      </c>
      <c r="E200">
        <v>6</v>
      </c>
      <c r="F200">
        <v>69</v>
      </c>
      <c r="G200">
        <v>75</v>
      </c>
    </row>
    <row r="201" spans="1:7" x14ac:dyDescent="0.2">
      <c r="A201">
        <v>200</v>
      </c>
      <c r="B201">
        <v>0.18179999999999999</v>
      </c>
      <c r="C201">
        <v>0.32</v>
      </c>
      <c r="D201">
        <v>0.4627</v>
      </c>
      <c r="E201">
        <v>8</v>
      </c>
      <c r="F201">
        <v>64</v>
      </c>
      <c r="G201">
        <v>72</v>
      </c>
    </row>
    <row r="202" spans="1:7" x14ac:dyDescent="0.2">
      <c r="A202">
        <v>201</v>
      </c>
      <c r="B202">
        <v>0.19700000000000001</v>
      </c>
      <c r="C202">
        <v>0.35</v>
      </c>
      <c r="D202">
        <v>0.35820000000000002</v>
      </c>
      <c r="E202">
        <v>5</v>
      </c>
      <c r="F202">
        <v>77</v>
      </c>
      <c r="G202">
        <v>82</v>
      </c>
    </row>
    <row r="203" spans="1:7" x14ac:dyDescent="0.2">
      <c r="A203">
        <v>202</v>
      </c>
      <c r="B203">
        <v>0.16669999999999999</v>
      </c>
      <c r="C203">
        <v>0.34</v>
      </c>
      <c r="D203">
        <v>0.44779999999999998</v>
      </c>
      <c r="E203">
        <v>13</v>
      </c>
      <c r="F203">
        <v>79</v>
      </c>
      <c r="G203">
        <v>92</v>
      </c>
    </row>
    <row r="204" spans="1:7" x14ac:dyDescent="0.2">
      <c r="A204">
        <v>203</v>
      </c>
      <c r="B204">
        <v>0.1515</v>
      </c>
      <c r="C204">
        <v>0.37</v>
      </c>
      <c r="D204">
        <v>0.3881</v>
      </c>
      <c r="E204">
        <v>3</v>
      </c>
      <c r="F204">
        <v>59</v>
      </c>
      <c r="G204">
        <v>62</v>
      </c>
    </row>
    <row r="205" spans="1:7" x14ac:dyDescent="0.2">
      <c r="A205">
        <v>204</v>
      </c>
      <c r="B205">
        <v>0.13639999999999999</v>
      </c>
      <c r="C205">
        <v>0.4</v>
      </c>
      <c r="D205">
        <v>0.32840000000000003</v>
      </c>
      <c r="E205">
        <v>4</v>
      </c>
      <c r="F205">
        <v>44</v>
      </c>
      <c r="G205">
        <v>48</v>
      </c>
    </row>
    <row r="206" spans="1:7" x14ac:dyDescent="0.2">
      <c r="A206">
        <v>205</v>
      </c>
      <c r="B206">
        <v>0.13639999999999999</v>
      </c>
      <c r="C206">
        <v>0.43</v>
      </c>
      <c r="D206">
        <v>0.32840000000000003</v>
      </c>
      <c r="E206">
        <v>1</v>
      </c>
      <c r="F206">
        <v>40</v>
      </c>
      <c r="G206">
        <v>41</v>
      </c>
    </row>
    <row r="207" spans="1:7" x14ac:dyDescent="0.2">
      <c r="A207">
        <v>206</v>
      </c>
      <c r="B207">
        <v>0.1212</v>
      </c>
      <c r="C207">
        <v>0.46</v>
      </c>
      <c r="D207">
        <v>0.25369999999999998</v>
      </c>
      <c r="E207">
        <v>0</v>
      </c>
      <c r="F207">
        <v>38</v>
      </c>
      <c r="G207">
        <v>38</v>
      </c>
    </row>
    <row r="208" spans="1:7" x14ac:dyDescent="0.2">
      <c r="A208">
        <v>207</v>
      </c>
      <c r="B208">
        <v>0.1061</v>
      </c>
      <c r="C208">
        <v>0.46</v>
      </c>
      <c r="D208">
        <v>0.41789999999999999</v>
      </c>
      <c r="E208">
        <v>1</v>
      </c>
      <c r="F208">
        <v>19</v>
      </c>
      <c r="G208">
        <v>20</v>
      </c>
    </row>
    <row r="209" spans="1:7" x14ac:dyDescent="0.2">
      <c r="A209">
        <v>208</v>
      </c>
      <c r="B209">
        <v>0.1212</v>
      </c>
      <c r="C209">
        <v>0.46</v>
      </c>
      <c r="D209">
        <v>0.29849999999999999</v>
      </c>
      <c r="E209">
        <v>5</v>
      </c>
      <c r="F209">
        <v>10</v>
      </c>
      <c r="G209">
        <v>15</v>
      </c>
    </row>
    <row r="210" spans="1:7" x14ac:dyDescent="0.2">
      <c r="A210">
        <v>209</v>
      </c>
      <c r="B210">
        <v>0.13639999999999999</v>
      </c>
      <c r="C210">
        <v>0.5</v>
      </c>
      <c r="D210">
        <v>0.19400000000000001</v>
      </c>
      <c r="E210">
        <v>0</v>
      </c>
      <c r="F210">
        <v>6</v>
      </c>
      <c r="G210">
        <v>6</v>
      </c>
    </row>
    <row r="211" spans="1:7" x14ac:dyDescent="0.2">
      <c r="A211">
        <v>210</v>
      </c>
      <c r="B211">
        <v>0.1212</v>
      </c>
      <c r="C211">
        <v>0.5</v>
      </c>
      <c r="D211">
        <v>0.28360000000000002</v>
      </c>
      <c r="E211">
        <v>2</v>
      </c>
      <c r="F211">
        <v>3</v>
      </c>
      <c r="G211">
        <v>5</v>
      </c>
    </row>
    <row r="212" spans="1:7" x14ac:dyDescent="0.2">
      <c r="A212">
        <v>211</v>
      </c>
      <c r="B212">
        <v>0.1212</v>
      </c>
      <c r="C212">
        <v>0.5</v>
      </c>
      <c r="D212">
        <v>0.28360000000000002</v>
      </c>
      <c r="E212">
        <v>1</v>
      </c>
      <c r="F212">
        <v>0</v>
      </c>
      <c r="G212">
        <v>1</v>
      </c>
    </row>
    <row r="213" spans="1:7" x14ac:dyDescent="0.2">
      <c r="A213">
        <v>212</v>
      </c>
      <c r="B213">
        <v>0.1212</v>
      </c>
      <c r="C213">
        <v>0.5</v>
      </c>
      <c r="D213">
        <v>0.22389999999999999</v>
      </c>
      <c r="E213">
        <v>0</v>
      </c>
      <c r="F213">
        <v>3</v>
      </c>
      <c r="G213">
        <v>3</v>
      </c>
    </row>
    <row r="214" spans="1:7" x14ac:dyDescent="0.2">
      <c r="A214">
        <v>213</v>
      </c>
      <c r="B214">
        <v>0.1212</v>
      </c>
      <c r="C214">
        <v>0.5</v>
      </c>
      <c r="D214">
        <v>0.22389999999999999</v>
      </c>
      <c r="E214">
        <v>0</v>
      </c>
      <c r="F214">
        <v>1</v>
      </c>
      <c r="G214">
        <v>1</v>
      </c>
    </row>
    <row r="215" spans="1:7" x14ac:dyDescent="0.2">
      <c r="A215">
        <v>214</v>
      </c>
      <c r="B215">
        <v>0.1212</v>
      </c>
      <c r="C215">
        <v>0.54</v>
      </c>
      <c r="D215">
        <v>0.1343</v>
      </c>
      <c r="E215">
        <v>1</v>
      </c>
      <c r="F215">
        <v>2</v>
      </c>
      <c r="G215">
        <v>3</v>
      </c>
    </row>
    <row r="216" spans="1:7" x14ac:dyDescent="0.2">
      <c r="A216">
        <v>215</v>
      </c>
      <c r="B216">
        <v>0.1061</v>
      </c>
      <c r="C216">
        <v>0.54</v>
      </c>
      <c r="D216">
        <v>0.25369999999999998</v>
      </c>
      <c r="E216">
        <v>0</v>
      </c>
      <c r="F216">
        <v>3</v>
      </c>
      <c r="G216">
        <v>3</v>
      </c>
    </row>
    <row r="217" spans="1:7" x14ac:dyDescent="0.2">
      <c r="A217">
        <v>216</v>
      </c>
      <c r="B217">
        <v>0.1212</v>
      </c>
      <c r="C217">
        <v>0.5</v>
      </c>
      <c r="D217">
        <v>0.28360000000000002</v>
      </c>
      <c r="E217">
        <v>0</v>
      </c>
      <c r="F217">
        <v>31</v>
      </c>
      <c r="G217">
        <v>31</v>
      </c>
    </row>
    <row r="218" spans="1:7" x14ac:dyDescent="0.2">
      <c r="A218">
        <v>217</v>
      </c>
      <c r="B218">
        <v>0.1212</v>
      </c>
      <c r="C218">
        <v>0.5</v>
      </c>
      <c r="D218">
        <v>0.22389999999999999</v>
      </c>
      <c r="E218">
        <v>2</v>
      </c>
      <c r="F218">
        <v>75</v>
      </c>
      <c r="G218">
        <v>77</v>
      </c>
    </row>
    <row r="219" spans="1:7" x14ac:dyDescent="0.2">
      <c r="A219">
        <v>218</v>
      </c>
      <c r="B219">
        <v>0.1212</v>
      </c>
      <c r="C219">
        <v>0.5</v>
      </c>
      <c r="D219">
        <v>0.28360000000000002</v>
      </c>
      <c r="E219">
        <v>4</v>
      </c>
      <c r="F219">
        <v>184</v>
      </c>
      <c r="G219">
        <v>188</v>
      </c>
    </row>
    <row r="220" spans="1:7" x14ac:dyDescent="0.2">
      <c r="A220">
        <v>219</v>
      </c>
      <c r="B220">
        <v>0.1212</v>
      </c>
      <c r="C220">
        <v>0.5</v>
      </c>
      <c r="D220">
        <v>0.25369999999999998</v>
      </c>
      <c r="E220">
        <v>2</v>
      </c>
      <c r="F220">
        <v>92</v>
      </c>
      <c r="G220">
        <v>94</v>
      </c>
    </row>
    <row r="221" spans="1:7" x14ac:dyDescent="0.2">
      <c r="A221">
        <v>220</v>
      </c>
      <c r="B221">
        <v>0.1212</v>
      </c>
      <c r="C221">
        <v>0.5</v>
      </c>
      <c r="D221">
        <v>0.29849999999999999</v>
      </c>
      <c r="E221">
        <v>0</v>
      </c>
      <c r="F221">
        <v>31</v>
      </c>
      <c r="G221">
        <v>31</v>
      </c>
    </row>
    <row r="222" spans="1:7" x14ac:dyDescent="0.2">
      <c r="A222">
        <v>221</v>
      </c>
      <c r="B222">
        <v>0.13639999999999999</v>
      </c>
      <c r="C222">
        <v>0.47</v>
      </c>
      <c r="D222">
        <v>0.28360000000000002</v>
      </c>
      <c r="E222">
        <v>2</v>
      </c>
      <c r="F222">
        <v>28</v>
      </c>
      <c r="G222">
        <v>30</v>
      </c>
    </row>
    <row r="223" spans="1:7" x14ac:dyDescent="0.2">
      <c r="A223">
        <v>222</v>
      </c>
      <c r="B223">
        <v>0.18179999999999999</v>
      </c>
      <c r="C223">
        <v>0.4</v>
      </c>
      <c r="D223">
        <v>0.28360000000000002</v>
      </c>
      <c r="E223">
        <v>5</v>
      </c>
      <c r="F223">
        <v>47</v>
      </c>
      <c r="G223">
        <v>52</v>
      </c>
    </row>
    <row r="224" spans="1:7" x14ac:dyDescent="0.2">
      <c r="A224">
        <v>223</v>
      </c>
      <c r="B224">
        <v>0.18179999999999999</v>
      </c>
      <c r="C224">
        <v>0.4</v>
      </c>
      <c r="D224">
        <v>0.28360000000000002</v>
      </c>
      <c r="E224">
        <v>4</v>
      </c>
      <c r="F224">
        <v>50</v>
      </c>
      <c r="G224">
        <v>54</v>
      </c>
    </row>
    <row r="225" spans="1:7" x14ac:dyDescent="0.2">
      <c r="A225">
        <v>224</v>
      </c>
      <c r="B225">
        <v>0.19700000000000001</v>
      </c>
      <c r="C225">
        <v>0.4</v>
      </c>
      <c r="D225">
        <v>0.22389999999999999</v>
      </c>
      <c r="E225">
        <v>0</v>
      </c>
      <c r="F225">
        <v>47</v>
      </c>
      <c r="G225">
        <v>47</v>
      </c>
    </row>
    <row r="226" spans="1:7" x14ac:dyDescent="0.2">
      <c r="A226">
        <v>225</v>
      </c>
      <c r="B226">
        <v>0.19700000000000001</v>
      </c>
      <c r="C226">
        <v>0.4</v>
      </c>
      <c r="D226">
        <v>0.22389999999999999</v>
      </c>
      <c r="E226">
        <v>2</v>
      </c>
      <c r="F226">
        <v>43</v>
      </c>
      <c r="G226">
        <v>45</v>
      </c>
    </row>
    <row r="227" spans="1:7" x14ac:dyDescent="0.2">
      <c r="A227">
        <v>226</v>
      </c>
      <c r="B227">
        <v>0.21210000000000001</v>
      </c>
      <c r="C227">
        <v>0.4</v>
      </c>
      <c r="D227">
        <v>0.1343</v>
      </c>
      <c r="E227">
        <v>4</v>
      </c>
      <c r="F227">
        <v>70</v>
      </c>
      <c r="G227">
        <v>74</v>
      </c>
    </row>
    <row r="228" spans="1:7" x14ac:dyDescent="0.2">
      <c r="A228">
        <v>227</v>
      </c>
      <c r="B228">
        <v>0.2273</v>
      </c>
      <c r="C228">
        <v>0.4</v>
      </c>
      <c r="D228">
        <v>0.1045</v>
      </c>
      <c r="E228">
        <v>4</v>
      </c>
      <c r="F228">
        <v>174</v>
      </c>
      <c r="G228">
        <v>178</v>
      </c>
    </row>
    <row r="229" spans="1:7" x14ac:dyDescent="0.2">
      <c r="A229">
        <v>228</v>
      </c>
      <c r="B229">
        <v>0.19700000000000001</v>
      </c>
      <c r="C229">
        <v>0.4</v>
      </c>
      <c r="D229">
        <v>0.22389999999999999</v>
      </c>
      <c r="E229">
        <v>1</v>
      </c>
      <c r="F229">
        <v>154</v>
      </c>
      <c r="G229">
        <v>155</v>
      </c>
    </row>
    <row r="230" spans="1:7" x14ac:dyDescent="0.2">
      <c r="A230">
        <v>229</v>
      </c>
      <c r="B230">
        <v>0.16669999999999999</v>
      </c>
      <c r="C230">
        <v>0.47</v>
      </c>
      <c r="D230">
        <v>0.16420000000000001</v>
      </c>
      <c r="E230">
        <v>3</v>
      </c>
      <c r="F230">
        <v>92</v>
      </c>
      <c r="G230">
        <v>95</v>
      </c>
    </row>
    <row r="231" spans="1:7" x14ac:dyDescent="0.2">
      <c r="A231">
        <v>230</v>
      </c>
      <c r="B231">
        <v>0.16669999999999999</v>
      </c>
      <c r="C231">
        <v>0.5</v>
      </c>
      <c r="D231">
        <v>0.16420000000000001</v>
      </c>
      <c r="E231">
        <v>1</v>
      </c>
      <c r="F231">
        <v>73</v>
      </c>
      <c r="G231">
        <v>74</v>
      </c>
    </row>
    <row r="232" spans="1:7" x14ac:dyDescent="0.2">
      <c r="A232">
        <v>231</v>
      </c>
      <c r="B232">
        <v>0.13639999999999999</v>
      </c>
      <c r="C232">
        <v>0.59</v>
      </c>
      <c r="D232">
        <v>0.19400000000000001</v>
      </c>
      <c r="E232">
        <v>1</v>
      </c>
      <c r="F232">
        <v>37</v>
      </c>
      <c r="G232">
        <v>38</v>
      </c>
    </row>
    <row r="233" spans="1:7" x14ac:dyDescent="0.2">
      <c r="A233">
        <v>232</v>
      </c>
      <c r="B233">
        <v>0.1515</v>
      </c>
      <c r="C233">
        <v>0.59</v>
      </c>
      <c r="D233">
        <v>0.16420000000000001</v>
      </c>
      <c r="E233">
        <v>2</v>
      </c>
      <c r="F233">
        <v>22</v>
      </c>
      <c r="G233">
        <v>24</v>
      </c>
    </row>
    <row r="234" spans="1:7" x14ac:dyDescent="0.2">
      <c r="A234">
        <v>233</v>
      </c>
      <c r="B234">
        <v>0.1515</v>
      </c>
      <c r="C234">
        <v>0.59</v>
      </c>
      <c r="D234">
        <v>0.16420000000000001</v>
      </c>
      <c r="E234">
        <v>0</v>
      </c>
      <c r="F234">
        <v>18</v>
      </c>
      <c r="G234">
        <v>18</v>
      </c>
    </row>
    <row r="235" spans="1:7" x14ac:dyDescent="0.2">
      <c r="A235">
        <v>234</v>
      </c>
      <c r="B235">
        <v>0.16669999999999999</v>
      </c>
      <c r="C235">
        <v>0.59</v>
      </c>
      <c r="D235">
        <v>0.1045</v>
      </c>
      <c r="E235">
        <v>2</v>
      </c>
      <c r="F235">
        <v>10</v>
      </c>
      <c r="G235">
        <v>12</v>
      </c>
    </row>
    <row r="236" spans="1:7" x14ac:dyDescent="0.2">
      <c r="A236">
        <v>235</v>
      </c>
      <c r="B236">
        <v>0.1515</v>
      </c>
      <c r="C236">
        <v>0.59</v>
      </c>
      <c r="D236">
        <v>0.16420000000000001</v>
      </c>
      <c r="E236">
        <v>0</v>
      </c>
      <c r="F236">
        <v>3</v>
      </c>
      <c r="G236">
        <v>3</v>
      </c>
    </row>
    <row r="237" spans="1:7" x14ac:dyDescent="0.2">
      <c r="A237">
        <v>236</v>
      </c>
      <c r="B237">
        <v>0.1515</v>
      </c>
      <c r="C237">
        <v>0.55000000000000004</v>
      </c>
      <c r="D237">
        <v>0.19400000000000001</v>
      </c>
      <c r="E237">
        <v>0</v>
      </c>
      <c r="F237">
        <v>3</v>
      </c>
      <c r="G237">
        <v>3</v>
      </c>
    </row>
    <row r="238" spans="1:7" x14ac:dyDescent="0.2">
      <c r="A238">
        <v>237</v>
      </c>
      <c r="B238">
        <v>0.18179999999999999</v>
      </c>
      <c r="C238">
        <v>0.55000000000000004</v>
      </c>
      <c r="D238">
        <v>0.1343</v>
      </c>
      <c r="E238">
        <v>0</v>
      </c>
      <c r="F238">
        <v>6</v>
      </c>
      <c r="G238">
        <v>6</v>
      </c>
    </row>
    <row r="239" spans="1:7" x14ac:dyDescent="0.2">
      <c r="A239">
        <v>238</v>
      </c>
      <c r="B239">
        <v>0.18179999999999999</v>
      </c>
      <c r="C239">
        <v>0.55000000000000004</v>
      </c>
      <c r="D239">
        <v>0.1343</v>
      </c>
      <c r="E239">
        <v>0</v>
      </c>
      <c r="F239">
        <v>27</v>
      </c>
      <c r="G239">
        <v>27</v>
      </c>
    </row>
    <row r="240" spans="1:7" x14ac:dyDescent="0.2">
      <c r="A240">
        <v>239</v>
      </c>
      <c r="B240">
        <v>0.2273</v>
      </c>
      <c r="C240">
        <v>0.55000000000000004</v>
      </c>
      <c r="D240">
        <v>0</v>
      </c>
      <c r="E240">
        <v>2</v>
      </c>
      <c r="F240">
        <v>97</v>
      </c>
      <c r="G240">
        <v>99</v>
      </c>
    </row>
    <row r="241" spans="1:7" x14ac:dyDescent="0.2">
      <c r="A241">
        <v>240</v>
      </c>
      <c r="B241">
        <v>0.21210000000000001</v>
      </c>
      <c r="C241">
        <v>0.51</v>
      </c>
      <c r="D241">
        <v>8.9599999999999999E-2</v>
      </c>
      <c r="E241">
        <v>3</v>
      </c>
      <c r="F241">
        <v>214</v>
      </c>
      <c r="G241">
        <v>217</v>
      </c>
    </row>
    <row r="242" spans="1:7" x14ac:dyDescent="0.2">
      <c r="A242">
        <v>241</v>
      </c>
      <c r="B242">
        <v>0.19700000000000001</v>
      </c>
      <c r="C242">
        <v>0.51</v>
      </c>
      <c r="D242">
        <v>0.16420000000000001</v>
      </c>
      <c r="E242">
        <v>3</v>
      </c>
      <c r="F242">
        <v>127</v>
      </c>
      <c r="G242">
        <v>130</v>
      </c>
    </row>
    <row r="243" spans="1:7" x14ac:dyDescent="0.2">
      <c r="A243">
        <v>242</v>
      </c>
      <c r="B243">
        <v>0.21210000000000001</v>
      </c>
      <c r="C243">
        <v>0.51</v>
      </c>
      <c r="D243">
        <v>0.16420000000000001</v>
      </c>
      <c r="E243">
        <v>3</v>
      </c>
      <c r="F243">
        <v>51</v>
      </c>
      <c r="G243">
        <v>54</v>
      </c>
    </row>
    <row r="244" spans="1:7" x14ac:dyDescent="0.2">
      <c r="A244">
        <v>243</v>
      </c>
      <c r="B244">
        <v>0.21210000000000001</v>
      </c>
      <c r="C244">
        <v>0.47</v>
      </c>
      <c r="D244">
        <v>0.1343</v>
      </c>
      <c r="E244">
        <v>4</v>
      </c>
      <c r="F244">
        <v>31</v>
      </c>
      <c r="G244">
        <v>35</v>
      </c>
    </row>
    <row r="245" spans="1:7" x14ac:dyDescent="0.2">
      <c r="A245">
        <v>244</v>
      </c>
      <c r="B245">
        <v>0.2273</v>
      </c>
      <c r="C245">
        <v>0.51</v>
      </c>
      <c r="D245">
        <v>0.1045</v>
      </c>
      <c r="E245">
        <v>2</v>
      </c>
      <c r="F245">
        <v>55</v>
      </c>
      <c r="G245">
        <v>57</v>
      </c>
    </row>
    <row r="246" spans="1:7" x14ac:dyDescent="0.2">
      <c r="A246">
        <v>245</v>
      </c>
      <c r="B246">
        <v>0.2273</v>
      </c>
      <c r="C246">
        <v>0.59</v>
      </c>
      <c r="D246">
        <v>8.9599999999999999E-2</v>
      </c>
      <c r="E246">
        <v>6</v>
      </c>
      <c r="F246">
        <v>46</v>
      </c>
      <c r="G246">
        <v>52</v>
      </c>
    </row>
    <row r="247" spans="1:7" x14ac:dyDescent="0.2">
      <c r="A247">
        <v>246</v>
      </c>
      <c r="B247">
        <v>0.2273</v>
      </c>
      <c r="C247">
        <v>0.59</v>
      </c>
      <c r="D247">
        <v>8.9599999999999999E-2</v>
      </c>
      <c r="E247">
        <v>3</v>
      </c>
      <c r="F247">
        <v>60</v>
      </c>
      <c r="G247">
        <v>63</v>
      </c>
    </row>
    <row r="248" spans="1:7" x14ac:dyDescent="0.2">
      <c r="A248">
        <v>247</v>
      </c>
      <c r="B248">
        <v>0.19700000000000001</v>
      </c>
      <c r="C248">
        <v>0.8</v>
      </c>
      <c r="D248">
        <v>8.9599999999999999E-2</v>
      </c>
      <c r="E248">
        <v>2</v>
      </c>
      <c r="F248">
        <v>45</v>
      </c>
      <c r="G248">
        <v>47</v>
      </c>
    </row>
    <row r="249" spans="1:7" x14ac:dyDescent="0.2">
      <c r="A249">
        <v>248</v>
      </c>
      <c r="B249">
        <v>0.1515</v>
      </c>
      <c r="C249">
        <v>0.86</v>
      </c>
      <c r="D249">
        <v>0.22389999999999999</v>
      </c>
      <c r="E249">
        <v>4</v>
      </c>
      <c r="F249">
        <v>72</v>
      </c>
      <c r="G249">
        <v>76</v>
      </c>
    </row>
    <row r="250" spans="1:7" x14ac:dyDescent="0.2">
      <c r="A250">
        <v>249</v>
      </c>
      <c r="B250">
        <v>0.1515</v>
      </c>
      <c r="C250">
        <v>0.86</v>
      </c>
      <c r="D250">
        <v>0.22389999999999999</v>
      </c>
      <c r="E250">
        <v>6</v>
      </c>
      <c r="F250">
        <v>130</v>
      </c>
      <c r="G250">
        <v>136</v>
      </c>
    </row>
    <row r="251" spans="1:7" x14ac:dyDescent="0.2">
      <c r="A251">
        <v>250</v>
      </c>
      <c r="B251">
        <v>0.18179999999999999</v>
      </c>
      <c r="C251">
        <v>0.93</v>
      </c>
      <c r="D251">
        <v>0.1045</v>
      </c>
      <c r="E251">
        <v>1</v>
      </c>
      <c r="F251">
        <v>94</v>
      </c>
      <c r="G251">
        <v>95</v>
      </c>
    </row>
    <row r="252" spans="1:7" x14ac:dyDescent="0.2">
      <c r="A252">
        <v>251</v>
      </c>
      <c r="B252">
        <v>0.2273</v>
      </c>
      <c r="C252">
        <v>0.93</v>
      </c>
      <c r="D252">
        <v>0</v>
      </c>
      <c r="E252">
        <v>0</v>
      </c>
      <c r="F252">
        <v>51</v>
      </c>
      <c r="G252">
        <v>51</v>
      </c>
    </row>
    <row r="253" spans="1:7" x14ac:dyDescent="0.2">
      <c r="A253">
        <v>252</v>
      </c>
      <c r="B253">
        <v>0.1515</v>
      </c>
      <c r="C253">
        <v>0.93</v>
      </c>
      <c r="D253">
        <v>0.19400000000000001</v>
      </c>
      <c r="E253">
        <v>0</v>
      </c>
      <c r="F253">
        <v>32</v>
      </c>
      <c r="G253">
        <v>32</v>
      </c>
    </row>
    <row r="254" spans="1:7" x14ac:dyDescent="0.2">
      <c r="A254">
        <v>253</v>
      </c>
      <c r="B254">
        <v>0.19700000000000001</v>
      </c>
      <c r="C254">
        <v>0.86</v>
      </c>
      <c r="D254">
        <v>8.9599999999999999E-2</v>
      </c>
      <c r="E254">
        <v>0</v>
      </c>
      <c r="F254">
        <v>20</v>
      </c>
      <c r="G254">
        <v>20</v>
      </c>
    </row>
    <row r="255" spans="1:7" x14ac:dyDescent="0.2">
      <c r="A255">
        <v>254</v>
      </c>
      <c r="B255">
        <v>0.18179999999999999</v>
      </c>
      <c r="C255">
        <v>0.93</v>
      </c>
      <c r="D255">
        <v>0.1045</v>
      </c>
      <c r="E255">
        <v>1</v>
      </c>
      <c r="F255">
        <v>28</v>
      </c>
      <c r="G255">
        <v>29</v>
      </c>
    </row>
    <row r="256" spans="1:7" x14ac:dyDescent="0.2">
      <c r="A256">
        <v>255</v>
      </c>
      <c r="B256">
        <v>0.19700000000000001</v>
      </c>
      <c r="C256">
        <v>0.93</v>
      </c>
      <c r="D256">
        <v>8.9599999999999999E-2</v>
      </c>
      <c r="E256">
        <v>1</v>
      </c>
      <c r="F256">
        <v>18</v>
      </c>
      <c r="G256">
        <v>19</v>
      </c>
    </row>
    <row r="257" spans="1:7" x14ac:dyDescent="0.2">
      <c r="A257">
        <v>256</v>
      </c>
      <c r="B257">
        <v>0.19700000000000001</v>
      </c>
      <c r="C257">
        <v>0.86</v>
      </c>
      <c r="D257">
        <v>8.9599999999999999E-2</v>
      </c>
      <c r="E257">
        <v>0</v>
      </c>
      <c r="F257">
        <v>7</v>
      </c>
      <c r="G257">
        <v>7</v>
      </c>
    </row>
    <row r="258" spans="1:7" x14ac:dyDescent="0.2">
      <c r="A258">
        <v>257</v>
      </c>
      <c r="B258">
        <v>0.18179999999999999</v>
      </c>
      <c r="C258">
        <v>0.86</v>
      </c>
      <c r="D258">
        <v>0.1045</v>
      </c>
      <c r="E258">
        <v>0</v>
      </c>
      <c r="F258">
        <v>6</v>
      </c>
      <c r="G258">
        <v>6</v>
      </c>
    </row>
    <row r="259" spans="1:7" x14ac:dyDescent="0.2">
      <c r="A259">
        <v>258</v>
      </c>
      <c r="B259">
        <v>0.1515</v>
      </c>
      <c r="C259">
        <v>0.86</v>
      </c>
      <c r="D259">
        <v>0.1343</v>
      </c>
      <c r="E259">
        <v>0</v>
      </c>
      <c r="F259">
        <v>1</v>
      </c>
      <c r="G259">
        <v>1</v>
      </c>
    </row>
    <row r="260" spans="1:7" x14ac:dyDescent="0.2">
      <c r="A260">
        <v>259</v>
      </c>
      <c r="B260">
        <v>0.1515</v>
      </c>
      <c r="C260">
        <v>0.86</v>
      </c>
      <c r="D260">
        <v>0.16420000000000001</v>
      </c>
      <c r="E260">
        <v>0</v>
      </c>
      <c r="F260">
        <v>5</v>
      </c>
      <c r="G260">
        <v>5</v>
      </c>
    </row>
    <row r="261" spans="1:7" x14ac:dyDescent="0.2">
      <c r="A261">
        <v>260</v>
      </c>
      <c r="B261">
        <v>0.1515</v>
      </c>
      <c r="C261">
        <v>0.93</v>
      </c>
      <c r="D261">
        <v>0.1343</v>
      </c>
      <c r="E261">
        <v>0</v>
      </c>
      <c r="F261">
        <v>16</v>
      </c>
      <c r="G261">
        <v>16</v>
      </c>
    </row>
    <row r="262" spans="1:7" x14ac:dyDescent="0.2">
      <c r="A262">
        <v>261</v>
      </c>
      <c r="B262">
        <v>0.1515</v>
      </c>
      <c r="C262">
        <v>0.69</v>
      </c>
      <c r="D262">
        <v>0.1343</v>
      </c>
      <c r="E262">
        <v>0</v>
      </c>
      <c r="F262">
        <v>54</v>
      </c>
      <c r="G262">
        <v>54</v>
      </c>
    </row>
    <row r="263" spans="1:7" x14ac:dyDescent="0.2">
      <c r="A263">
        <v>262</v>
      </c>
      <c r="B263">
        <v>0.16669999999999999</v>
      </c>
      <c r="C263">
        <v>0.59</v>
      </c>
      <c r="D263">
        <v>0.16420000000000001</v>
      </c>
      <c r="E263">
        <v>3</v>
      </c>
      <c r="F263">
        <v>125</v>
      </c>
      <c r="G263">
        <v>128</v>
      </c>
    </row>
    <row r="264" spans="1:7" x14ac:dyDescent="0.2">
      <c r="A264">
        <v>263</v>
      </c>
      <c r="B264">
        <v>0.13639999999999999</v>
      </c>
      <c r="C264">
        <v>0.59</v>
      </c>
      <c r="D264">
        <v>0.32840000000000003</v>
      </c>
      <c r="E264">
        <v>3</v>
      </c>
      <c r="F264">
        <v>78</v>
      </c>
      <c r="G264">
        <v>81</v>
      </c>
    </row>
    <row r="265" spans="1:7" x14ac:dyDescent="0.2">
      <c r="A265">
        <v>264</v>
      </c>
      <c r="B265">
        <v>0.18179999999999999</v>
      </c>
      <c r="C265">
        <v>0.55000000000000004</v>
      </c>
      <c r="D265">
        <v>0.22389999999999999</v>
      </c>
      <c r="E265">
        <v>0</v>
      </c>
      <c r="F265">
        <v>39</v>
      </c>
      <c r="G265">
        <v>39</v>
      </c>
    </row>
    <row r="266" spans="1:7" x14ac:dyDescent="0.2">
      <c r="A266">
        <v>265</v>
      </c>
      <c r="B266">
        <v>0.18179999999999999</v>
      </c>
      <c r="C266">
        <v>0.51</v>
      </c>
      <c r="D266">
        <v>0.3881</v>
      </c>
      <c r="E266">
        <v>3</v>
      </c>
      <c r="F266">
        <v>32</v>
      </c>
      <c r="G266">
        <v>35</v>
      </c>
    </row>
    <row r="267" spans="1:7" x14ac:dyDescent="0.2">
      <c r="A267">
        <v>266</v>
      </c>
      <c r="B267">
        <v>0.1515</v>
      </c>
      <c r="C267">
        <v>0.47</v>
      </c>
      <c r="D267">
        <v>0.58209999999999995</v>
      </c>
      <c r="E267">
        <v>3</v>
      </c>
      <c r="F267">
        <v>52</v>
      </c>
      <c r="G267">
        <v>55</v>
      </c>
    </row>
    <row r="268" spans="1:7" x14ac:dyDescent="0.2">
      <c r="A268">
        <v>267</v>
      </c>
      <c r="B268">
        <v>0.19700000000000001</v>
      </c>
      <c r="C268">
        <v>0.44</v>
      </c>
      <c r="D268">
        <v>0.35820000000000002</v>
      </c>
      <c r="E268">
        <v>0</v>
      </c>
      <c r="F268">
        <v>49</v>
      </c>
      <c r="G268">
        <v>49</v>
      </c>
    </row>
    <row r="269" spans="1:7" x14ac:dyDescent="0.2">
      <c r="A269">
        <v>268</v>
      </c>
      <c r="B269">
        <v>0.18179999999999999</v>
      </c>
      <c r="C269">
        <v>0.47</v>
      </c>
      <c r="D269">
        <v>0.32840000000000003</v>
      </c>
      <c r="E269">
        <v>0</v>
      </c>
      <c r="F269">
        <v>44</v>
      </c>
      <c r="G269">
        <v>44</v>
      </c>
    </row>
    <row r="270" spans="1:7" x14ac:dyDescent="0.2">
      <c r="A270">
        <v>269</v>
      </c>
      <c r="B270">
        <v>0.16669999999999999</v>
      </c>
      <c r="C270">
        <v>0.47</v>
      </c>
      <c r="D270">
        <v>0.41789999999999999</v>
      </c>
      <c r="E270">
        <v>1</v>
      </c>
      <c r="F270">
        <v>48</v>
      </c>
      <c r="G270">
        <v>49</v>
      </c>
    </row>
    <row r="271" spans="1:7" x14ac:dyDescent="0.2">
      <c r="A271">
        <v>270</v>
      </c>
      <c r="B271">
        <v>0.19700000000000001</v>
      </c>
      <c r="C271">
        <v>0.44</v>
      </c>
      <c r="D271">
        <v>0.32840000000000003</v>
      </c>
      <c r="E271">
        <v>5</v>
      </c>
      <c r="F271">
        <v>63</v>
      </c>
      <c r="G271">
        <v>68</v>
      </c>
    </row>
    <row r="272" spans="1:7" x14ac:dyDescent="0.2">
      <c r="A272">
        <v>271</v>
      </c>
      <c r="B272">
        <v>0.18179999999999999</v>
      </c>
      <c r="C272">
        <v>0.47</v>
      </c>
      <c r="D272">
        <v>0.35820000000000002</v>
      </c>
      <c r="E272">
        <v>0</v>
      </c>
      <c r="F272">
        <v>139</v>
      </c>
      <c r="G272">
        <v>139</v>
      </c>
    </row>
    <row r="273" spans="1:7" x14ac:dyDescent="0.2">
      <c r="A273">
        <v>272</v>
      </c>
      <c r="B273">
        <v>0.1515</v>
      </c>
      <c r="C273">
        <v>0.47</v>
      </c>
      <c r="D273">
        <v>0.52239999999999998</v>
      </c>
      <c r="E273">
        <v>2</v>
      </c>
      <c r="F273">
        <v>135</v>
      </c>
      <c r="G273">
        <v>137</v>
      </c>
    </row>
    <row r="274" spans="1:7" x14ac:dyDescent="0.2">
      <c r="A274">
        <v>273</v>
      </c>
      <c r="B274">
        <v>0.1515</v>
      </c>
      <c r="C274">
        <v>0.47</v>
      </c>
      <c r="D274">
        <v>0.41789999999999999</v>
      </c>
      <c r="E274">
        <v>1</v>
      </c>
      <c r="F274">
        <v>82</v>
      </c>
      <c r="G274">
        <v>83</v>
      </c>
    </row>
    <row r="275" spans="1:7" x14ac:dyDescent="0.2">
      <c r="A275">
        <v>274</v>
      </c>
      <c r="B275">
        <v>0.13639999999999999</v>
      </c>
      <c r="C275">
        <v>0.5</v>
      </c>
      <c r="D275">
        <v>0.32840000000000003</v>
      </c>
      <c r="E275">
        <v>2</v>
      </c>
      <c r="F275">
        <v>54</v>
      </c>
      <c r="G275">
        <v>56</v>
      </c>
    </row>
    <row r="276" spans="1:7" x14ac:dyDescent="0.2">
      <c r="A276">
        <v>275</v>
      </c>
      <c r="B276">
        <v>0.13639999999999999</v>
      </c>
      <c r="C276">
        <v>0.55000000000000004</v>
      </c>
      <c r="D276">
        <v>0.32840000000000003</v>
      </c>
      <c r="E276">
        <v>0</v>
      </c>
      <c r="F276">
        <v>57</v>
      </c>
      <c r="G276">
        <v>57</v>
      </c>
    </row>
    <row r="277" spans="1:7" x14ac:dyDescent="0.2">
      <c r="A277">
        <v>276</v>
      </c>
      <c r="B277">
        <v>0.1212</v>
      </c>
      <c r="C277">
        <v>0.55000000000000004</v>
      </c>
      <c r="D277">
        <v>0.44779999999999998</v>
      </c>
      <c r="E277">
        <v>1</v>
      </c>
      <c r="F277">
        <v>32</v>
      </c>
      <c r="G277">
        <v>33</v>
      </c>
    </row>
    <row r="278" spans="1:7" x14ac:dyDescent="0.2">
      <c r="A278">
        <v>277</v>
      </c>
      <c r="B278">
        <v>0.1061</v>
      </c>
      <c r="C278">
        <v>0.59</v>
      </c>
      <c r="D278">
        <v>0.41789999999999999</v>
      </c>
      <c r="E278">
        <v>1</v>
      </c>
      <c r="F278">
        <v>19</v>
      </c>
      <c r="G278">
        <v>20</v>
      </c>
    </row>
    <row r="279" spans="1:7" x14ac:dyDescent="0.2">
      <c r="A279">
        <v>278</v>
      </c>
      <c r="B279">
        <v>0.1212</v>
      </c>
      <c r="C279">
        <v>0.59</v>
      </c>
      <c r="D279">
        <v>0.28360000000000002</v>
      </c>
      <c r="E279">
        <v>1</v>
      </c>
      <c r="F279">
        <v>6</v>
      </c>
      <c r="G279">
        <v>7</v>
      </c>
    </row>
    <row r="280" spans="1:7" x14ac:dyDescent="0.2">
      <c r="A280">
        <v>279</v>
      </c>
      <c r="B280">
        <v>0.1212</v>
      </c>
      <c r="C280">
        <v>0.5</v>
      </c>
      <c r="D280">
        <v>0.28360000000000002</v>
      </c>
      <c r="E280">
        <v>0</v>
      </c>
      <c r="F280">
        <v>2</v>
      </c>
      <c r="G280">
        <v>2</v>
      </c>
    </row>
    <row r="281" spans="1:7" x14ac:dyDescent="0.2">
      <c r="A281">
        <v>280</v>
      </c>
      <c r="B281">
        <v>0.1212</v>
      </c>
      <c r="C281">
        <v>0.5</v>
      </c>
      <c r="D281">
        <v>0.35820000000000002</v>
      </c>
      <c r="E281">
        <v>0</v>
      </c>
      <c r="F281">
        <v>2</v>
      </c>
      <c r="G281">
        <v>2</v>
      </c>
    </row>
    <row r="282" spans="1:7" x14ac:dyDescent="0.2">
      <c r="A282">
        <v>281</v>
      </c>
      <c r="B282">
        <v>0.1212</v>
      </c>
      <c r="C282">
        <v>0.5</v>
      </c>
      <c r="D282">
        <v>0.32840000000000003</v>
      </c>
      <c r="E282">
        <v>0</v>
      </c>
      <c r="F282">
        <v>3</v>
      </c>
      <c r="G282">
        <v>3</v>
      </c>
    </row>
    <row r="283" spans="1:7" x14ac:dyDescent="0.2">
      <c r="A283">
        <v>282</v>
      </c>
      <c r="B283">
        <v>0.1212</v>
      </c>
      <c r="C283">
        <v>0.5</v>
      </c>
      <c r="D283">
        <v>0.25369999999999998</v>
      </c>
      <c r="E283">
        <v>0</v>
      </c>
      <c r="F283">
        <v>4</v>
      </c>
      <c r="G283">
        <v>4</v>
      </c>
    </row>
    <row r="284" spans="1:7" x14ac:dyDescent="0.2">
      <c r="A284">
        <v>283</v>
      </c>
      <c r="B284">
        <v>0.1212</v>
      </c>
      <c r="C284">
        <v>0.5</v>
      </c>
      <c r="D284">
        <v>0.29849999999999999</v>
      </c>
      <c r="E284">
        <v>0</v>
      </c>
      <c r="F284">
        <v>3</v>
      </c>
      <c r="G284">
        <v>3</v>
      </c>
    </row>
    <row r="285" spans="1:7" x14ac:dyDescent="0.2">
      <c r="A285">
        <v>284</v>
      </c>
      <c r="B285">
        <v>0.1515</v>
      </c>
      <c r="C285">
        <v>0.54</v>
      </c>
      <c r="D285">
        <v>0.1343</v>
      </c>
      <c r="E285">
        <v>0</v>
      </c>
      <c r="F285">
        <v>28</v>
      </c>
      <c r="G285">
        <v>28</v>
      </c>
    </row>
    <row r="286" spans="1:7" x14ac:dyDescent="0.2">
      <c r="A286">
        <v>285</v>
      </c>
      <c r="B286">
        <v>0.1515</v>
      </c>
      <c r="C286">
        <v>0.54</v>
      </c>
      <c r="D286">
        <v>0.1343</v>
      </c>
      <c r="E286">
        <v>0</v>
      </c>
      <c r="F286">
        <v>72</v>
      </c>
      <c r="G286">
        <v>72</v>
      </c>
    </row>
    <row r="287" spans="1:7" x14ac:dyDescent="0.2">
      <c r="A287">
        <v>286</v>
      </c>
      <c r="B287">
        <v>0.13639999999999999</v>
      </c>
      <c r="C287">
        <v>0.5</v>
      </c>
      <c r="D287">
        <v>0.19400000000000001</v>
      </c>
      <c r="E287">
        <v>5</v>
      </c>
      <c r="F287">
        <v>197</v>
      </c>
      <c r="G287">
        <v>202</v>
      </c>
    </row>
    <row r="288" spans="1:7" x14ac:dyDescent="0.2">
      <c r="A288">
        <v>287</v>
      </c>
      <c r="B288">
        <v>0.1212</v>
      </c>
      <c r="C288">
        <v>0.5</v>
      </c>
      <c r="D288">
        <v>0.32840000000000003</v>
      </c>
      <c r="E288">
        <v>2</v>
      </c>
      <c r="F288">
        <v>137</v>
      </c>
      <c r="G288">
        <v>139</v>
      </c>
    </row>
    <row r="289" spans="1:7" x14ac:dyDescent="0.2">
      <c r="A289">
        <v>288</v>
      </c>
      <c r="B289">
        <v>0.13639999999999999</v>
      </c>
      <c r="C289">
        <v>0.5</v>
      </c>
      <c r="D289">
        <v>0.35820000000000002</v>
      </c>
      <c r="E289">
        <v>2</v>
      </c>
      <c r="F289">
        <v>36</v>
      </c>
      <c r="G289">
        <v>38</v>
      </c>
    </row>
    <row r="290" spans="1:7" x14ac:dyDescent="0.2">
      <c r="A290">
        <v>289</v>
      </c>
      <c r="B290">
        <v>0.16669999999999999</v>
      </c>
      <c r="C290">
        <v>0.44</v>
      </c>
      <c r="D290">
        <v>0.44779999999999998</v>
      </c>
      <c r="E290">
        <v>4</v>
      </c>
      <c r="F290">
        <v>33</v>
      </c>
      <c r="G290">
        <v>37</v>
      </c>
    </row>
    <row r="291" spans="1:7" x14ac:dyDescent="0.2">
      <c r="A291">
        <v>290</v>
      </c>
      <c r="B291">
        <v>0.16669999999999999</v>
      </c>
      <c r="C291">
        <v>0.44</v>
      </c>
      <c r="D291">
        <v>0.41789999999999999</v>
      </c>
      <c r="E291">
        <v>3</v>
      </c>
      <c r="F291">
        <v>49</v>
      </c>
      <c r="G291">
        <v>52</v>
      </c>
    </row>
    <row r="292" spans="1:7" x14ac:dyDescent="0.2">
      <c r="A292">
        <v>291</v>
      </c>
      <c r="B292">
        <v>0.19700000000000001</v>
      </c>
      <c r="C292">
        <v>0.41</v>
      </c>
      <c r="D292">
        <v>0.44779999999999998</v>
      </c>
      <c r="E292">
        <v>2</v>
      </c>
      <c r="F292">
        <v>81</v>
      </c>
      <c r="G292">
        <v>83</v>
      </c>
    </row>
    <row r="293" spans="1:7" x14ac:dyDescent="0.2">
      <c r="A293">
        <v>292</v>
      </c>
      <c r="B293">
        <v>0.19700000000000001</v>
      </c>
      <c r="C293">
        <v>0.41</v>
      </c>
      <c r="D293">
        <v>0.3881</v>
      </c>
      <c r="E293">
        <v>3</v>
      </c>
      <c r="F293">
        <v>39</v>
      </c>
      <c r="G293">
        <v>42</v>
      </c>
    </row>
    <row r="294" spans="1:7" x14ac:dyDescent="0.2">
      <c r="A294">
        <v>293</v>
      </c>
      <c r="B294">
        <v>0.21210000000000001</v>
      </c>
      <c r="C294">
        <v>0.38</v>
      </c>
      <c r="D294">
        <v>0.29849999999999999</v>
      </c>
      <c r="E294">
        <v>5</v>
      </c>
      <c r="F294">
        <v>55</v>
      </c>
      <c r="G294">
        <v>60</v>
      </c>
    </row>
    <row r="295" spans="1:7" x14ac:dyDescent="0.2">
      <c r="A295">
        <v>294</v>
      </c>
      <c r="B295">
        <v>0.21210000000000001</v>
      </c>
      <c r="C295">
        <v>0.38</v>
      </c>
      <c r="D295">
        <v>0.35820000000000002</v>
      </c>
      <c r="E295">
        <v>2</v>
      </c>
      <c r="F295">
        <v>76</v>
      </c>
      <c r="G295">
        <v>78</v>
      </c>
    </row>
    <row r="296" spans="1:7" x14ac:dyDescent="0.2">
      <c r="A296">
        <v>295</v>
      </c>
      <c r="B296">
        <v>0.18179999999999999</v>
      </c>
      <c r="C296">
        <v>0.4</v>
      </c>
      <c r="D296">
        <v>0.28360000000000002</v>
      </c>
      <c r="E296">
        <v>4</v>
      </c>
      <c r="F296">
        <v>158</v>
      </c>
      <c r="G296">
        <v>162</v>
      </c>
    </row>
    <row r="297" spans="1:7" x14ac:dyDescent="0.2">
      <c r="A297">
        <v>296</v>
      </c>
      <c r="B297">
        <v>0.18179999999999999</v>
      </c>
      <c r="C297">
        <v>0.4</v>
      </c>
      <c r="D297">
        <v>0.32840000000000003</v>
      </c>
      <c r="E297">
        <v>3</v>
      </c>
      <c r="F297">
        <v>141</v>
      </c>
      <c r="G297">
        <v>144</v>
      </c>
    </row>
    <row r="298" spans="1:7" x14ac:dyDescent="0.2">
      <c r="A298">
        <v>297</v>
      </c>
      <c r="B298">
        <v>0.1515</v>
      </c>
      <c r="C298">
        <v>0.47</v>
      </c>
      <c r="D298">
        <v>0.25369999999999998</v>
      </c>
      <c r="E298">
        <v>1</v>
      </c>
      <c r="F298">
        <v>98</v>
      </c>
      <c r="G298">
        <v>99</v>
      </c>
    </row>
    <row r="299" spans="1:7" x14ac:dyDescent="0.2">
      <c r="A299">
        <v>298</v>
      </c>
      <c r="B299">
        <v>0.1515</v>
      </c>
      <c r="C299">
        <v>0.47</v>
      </c>
      <c r="D299">
        <v>0.22389999999999999</v>
      </c>
      <c r="E299">
        <v>0</v>
      </c>
      <c r="F299">
        <v>64</v>
      </c>
      <c r="G299">
        <v>64</v>
      </c>
    </row>
    <row r="300" spans="1:7" x14ac:dyDescent="0.2">
      <c r="A300">
        <v>299</v>
      </c>
      <c r="B300">
        <v>0.1212</v>
      </c>
      <c r="C300">
        <v>0.46</v>
      </c>
      <c r="D300">
        <v>0.29849999999999999</v>
      </c>
      <c r="E300">
        <v>0</v>
      </c>
      <c r="F300">
        <v>40</v>
      </c>
      <c r="G300">
        <v>40</v>
      </c>
    </row>
    <row r="301" spans="1:7" x14ac:dyDescent="0.2">
      <c r="A301">
        <v>300</v>
      </c>
      <c r="B301">
        <v>0.1212</v>
      </c>
      <c r="C301">
        <v>0.46</v>
      </c>
      <c r="D301">
        <v>0.32840000000000003</v>
      </c>
      <c r="E301">
        <v>0</v>
      </c>
      <c r="F301">
        <v>30</v>
      </c>
      <c r="G301">
        <v>30</v>
      </c>
    </row>
    <row r="302" spans="1:7" x14ac:dyDescent="0.2">
      <c r="A302">
        <v>301</v>
      </c>
      <c r="B302">
        <v>0.13639999999999999</v>
      </c>
      <c r="C302">
        <v>0.5</v>
      </c>
      <c r="D302">
        <v>0.19400000000000001</v>
      </c>
      <c r="E302">
        <v>1</v>
      </c>
      <c r="F302">
        <v>14</v>
      </c>
      <c r="G302">
        <v>15</v>
      </c>
    </row>
    <row r="303" spans="1:7" x14ac:dyDescent="0.2">
      <c r="A303">
        <v>302</v>
      </c>
      <c r="B303">
        <v>0.13639999999999999</v>
      </c>
      <c r="C303">
        <v>0.5</v>
      </c>
      <c r="D303">
        <v>0.19400000000000001</v>
      </c>
      <c r="E303">
        <v>0</v>
      </c>
      <c r="F303">
        <v>14</v>
      </c>
      <c r="G303">
        <v>14</v>
      </c>
    </row>
    <row r="304" spans="1:7" x14ac:dyDescent="0.2">
      <c r="A304">
        <v>303</v>
      </c>
      <c r="B304">
        <v>0.1212</v>
      </c>
      <c r="C304">
        <v>0.54</v>
      </c>
      <c r="D304">
        <v>0.16420000000000001</v>
      </c>
      <c r="E304">
        <v>0</v>
      </c>
      <c r="F304">
        <v>5</v>
      </c>
      <c r="G304">
        <v>5</v>
      </c>
    </row>
    <row r="305" spans="1:7" x14ac:dyDescent="0.2">
      <c r="A305">
        <v>304</v>
      </c>
      <c r="B305">
        <v>0.1212</v>
      </c>
      <c r="C305">
        <v>0.54</v>
      </c>
      <c r="D305">
        <v>0.1343</v>
      </c>
      <c r="E305">
        <v>0</v>
      </c>
      <c r="F305">
        <v>1</v>
      </c>
      <c r="G305">
        <v>1</v>
      </c>
    </row>
    <row r="306" spans="1:7" x14ac:dyDescent="0.2">
      <c r="A306">
        <v>305</v>
      </c>
      <c r="B306">
        <v>0.13639999999999999</v>
      </c>
      <c r="C306">
        <v>0.54</v>
      </c>
      <c r="D306">
        <v>0.1045</v>
      </c>
      <c r="E306">
        <v>0</v>
      </c>
      <c r="F306">
        <v>1</v>
      </c>
      <c r="G306">
        <v>1</v>
      </c>
    </row>
    <row r="307" spans="1:7" x14ac:dyDescent="0.2">
      <c r="A307">
        <v>306</v>
      </c>
      <c r="B307">
        <v>0.13639999999999999</v>
      </c>
      <c r="C307">
        <v>0.54</v>
      </c>
      <c r="D307">
        <v>8.9599999999999999E-2</v>
      </c>
      <c r="E307">
        <v>0</v>
      </c>
      <c r="F307">
        <v>8</v>
      </c>
      <c r="G307">
        <v>8</v>
      </c>
    </row>
    <row r="308" spans="1:7" x14ac:dyDescent="0.2">
      <c r="A308">
        <v>307</v>
      </c>
      <c r="B308">
        <v>0.18179999999999999</v>
      </c>
      <c r="C308">
        <v>0.54</v>
      </c>
      <c r="D308">
        <v>0</v>
      </c>
      <c r="E308">
        <v>0</v>
      </c>
      <c r="F308">
        <v>17</v>
      </c>
      <c r="G308">
        <v>17</v>
      </c>
    </row>
    <row r="309" spans="1:7" x14ac:dyDescent="0.2">
      <c r="A309">
        <v>308</v>
      </c>
      <c r="B309">
        <v>0.1212</v>
      </c>
      <c r="C309">
        <v>0.74</v>
      </c>
      <c r="D309">
        <v>0.16420000000000001</v>
      </c>
      <c r="E309">
        <v>0</v>
      </c>
      <c r="F309">
        <v>70</v>
      </c>
      <c r="G309">
        <v>70</v>
      </c>
    </row>
    <row r="310" spans="1:7" x14ac:dyDescent="0.2">
      <c r="A310">
        <v>309</v>
      </c>
      <c r="B310">
        <v>0.16669999999999999</v>
      </c>
      <c r="C310">
        <v>0.68</v>
      </c>
      <c r="D310">
        <v>0</v>
      </c>
      <c r="E310">
        <v>2</v>
      </c>
      <c r="F310">
        <v>156</v>
      </c>
      <c r="G310">
        <v>158</v>
      </c>
    </row>
    <row r="311" spans="1:7" x14ac:dyDescent="0.2">
      <c r="A311">
        <v>310</v>
      </c>
      <c r="B311">
        <v>0.1515</v>
      </c>
      <c r="C311">
        <v>0.69</v>
      </c>
      <c r="D311">
        <v>0.1343</v>
      </c>
      <c r="E311">
        <v>0</v>
      </c>
      <c r="F311">
        <v>117</v>
      </c>
      <c r="G311">
        <v>117</v>
      </c>
    </row>
    <row r="312" spans="1:7" x14ac:dyDescent="0.2">
      <c r="A312">
        <v>311</v>
      </c>
      <c r="B312">
        <v>0.18179999999999999</v>
      </c>
      <c r="C312">
        <v>0.55000000000000004</v>
      </c>
      <c r="D312">
        <v>0.19400000000000001</v>
      </c>
      <c r="E312">
        <v>4</v>
      </c>
      <c r="F312">
        <v>40</v>
      </c>
      <c r="G312">
        <v>44</v>
      </c>
    </row>
    <row r="313" spans="1:7" x14ac:dyDescent="0.2">
      <c r="A313">
        <v>312</v>
      </c>
      <c r="B313">
        <v>0.16669999999999999</v>
      </c>
      <c r="C313">
        <v>0.51</v>
      </c>
      <c r="D313">
        <v>0.28360000000000002</v>
      </c>
      <c r="E313">
        <v>6</v>
      </c>
      <c r="F313">
        <v>47</v>
      </c>
      <c r="G313">
        <v>53</v>
      </c>
    </row>
    <row r="314" spans="1:7" x14ac:dyDescent="0.2">
      <c r="A314">
        <v>313</v>
      </c>
      <c r="B314">
        <v>0.19700000000000001</v>
      </c>
      <c r="C314">
        <v>0.44</v>
      </c>
      <c r="D314">
        <v>0.25369999999999998</v>
      </c>
      <c r="E314">
        <v>2</v>
      </c>
      <c r="F314">
        <v>59</v>
      </c>
      <c r="G314">
        <v>61</v>
      </c>
    </row>
    <row r="315" spans="1:7" x14ac:dyDescent="0.2">
      <c r="A315">
        <v>314</v>
      </c>
      <c r="B315">
        <v>0.19700000000000001</v>
      </c>
      <c r="C315">
        <v>0.37</v>
      </c>
      <c r="D315">
        <v>0.3881</v>
      </c>
      <c r="E315">
        <v>4</v>
      </c>
      <c r="F315">
        <v>73</v>
      </c>
      <c r="G315">
        <v>77</v>
      </c>
    </row>
    <row r="316" spans="1:7" x14ac:dyDescent="0.2">
      <c r="A316">
        <v>315</v>
      </c>
      <c r="B316">
        <v>0.21210000000000001</v>
      </c>
      <c r="C316">
        <v>0.41</v>
      </c>
      <c r="D316">
        <v>0.28360000000000002</v>
      </c>
      <c r="E316">
        <v>5</v>
      </c>
      <c r="F316">
        <v>59</v>
      </c>
      <c r="G316">
        <v>64</v>
      </c>
    </row>
    <row r="317" spans="1:7" x14ac:dyDescent="0.2">
      <c r="A317">
        <v>316</v>
      </c>
      <c r="B317">
        <v>0.2424</v>
      </c>
      <c r="C317">
        <v>0.38</v>
      </c>
      <c r="D317">
        <v>0.16420000000000001</v>
      </c>
      <c r="E317">
        <v>9</v>
      </c>
      <c r="F317">
        <v>59</v>
      </c>
      <c r="G317">
        <v>68</v>
      </c>
    </row>
    <row r="318" spans="1:7" x14ac:dyDescent="0.2">
      <c r="A318">
        <v>317</v>
      </c>
      <c r="B318">
        <v>0.2424</v>
      </c>
      <c r="C318">
        <v>0.41</v>
      </c>
      <c r="D318">
        <v>0.1045</v>
      </c>
      <c r="E318">
        <v>3</v>
      </c>
      <c r="F318">
        <v>87</v>
      </c>
      <c r="G318">
        <v>90</v>
      </c>
    </row>
    <row r="319" spans="1:7" x14ac:dyDescent="0.2">
      <c r="A319">
        <v>318</v>
      </c>
      <c r="B319">
        <v>0.2273</v>
      </c>
      <c r="C319">
        <v>0.41</v>
      </c>
      <c r="D319">
        <v>0.16420000000000001</v>
      </c>
      <c r="E319">
        <v>4</v>
      </c>
      <c r="F319">
        <v>155</v>
      </c>
      <c r="G319">
        <v>159</v>
      </c>
    </row>
    <row r="320" spans="1:7" x14ac:dyDescent="0.2">
      <c r="A320">
        <v>319</v>
      </c>
      <c r="B320">
        <v>0.2576</v>
      </c>
      <c r="C320">
        <v>0.47</v>
      </c>
      <c r="D320">
        <v>0</v>
      </c>
      <c r="E320">
        <v>5</v>
      </c>
      <c r="F320">
        <v>134</v>
      </c>
      <c r="G320">
        <v>139</v>
      </c>
    </row>
    <row r="321" spans="1:7" x14ac:dyDescent="0.2">
      <c r="A321">
        <v>320</v>
      </c>
      <c r="B321">
        <v>0.19700000000000001</v>
      </c>
      <c r="C321">
        <v>0.59</v>
      </c>
      <c r="D321">
        <v>8.9599999999999999E-2</v>
      </c>
      <c r="E321">
        <v>3</v>
      </c>
      <c r="F321">
        <v>89</v>
      </c>
      <c r="G321">
        <v>92</v>
      </c>
    </row>
    <row r="322" spans="1:7" x14ac:dyDescent="0.2">
      <c r="A322">
        <v>321</v>
      </c>
      <c r="B322">
        <v>0.2424</v>
      </c>
      <c r="C322">
        <v>0.59</v>
      </c>
      <c r="D322">
        <v>0</v>
      </c>
      <c r="E322">
        <v>0</v>
      </c>
      <c r="F322">
        <v>68</v>
      </c>
      <c r="G322">
        <v>68</v>
      </c>
    </row>
    <row r="323" spans="1:7" x14ac:dyDescent="0.2">
      <c r="A323">
        <v>322</v>
      </c>
      <c r="B323">
        <v>0.2273</v>
      </c>
      <c r="C323">
        <v>0.69</v>
      </c>
      <c r="D323">
        <v>0</v>
      </c>
      <c r="E323">
        <v>4</v>
      </c>
      <c r="F323">
        <v>48</v>
      </c>
      <c r="G323">
        <v>52</v>
      </c>
    </row>
    <row r="324" spans="1:7" x14ac:dyDescent="0.2">
      <c r="A324">
        <v>323</v>
      </c>
      <c r="B324">
        <v>0.2273</v>
      </c>
      <c r="C324">
        <v>0.69</v>
      </c>
      <c r="D324">
        <v>0</v>
      </c>
      <c r="E324">
        <v>2</v>
      </c>
      <c r="F324">
        <v>34</v>
      </c>
      <c r="G324">
        <v>36</v>
      </c>
    </row>
    <row r="325" spans="1:7" x14ac:dyDescent="0.2">
      <c r="A325">
        <v>324</v>
      </c>
      <c r="B325">
        <v>0.2424</v>
      </c>
      <c r="C325">
        <v>0.55000000000000004</v>
      </c>
      <c r="D325">
        <v>0</v>
      </c>
      <c r="E325">
        <v>1</v>
      </c>
      <c r="F325">
        <v>26</v>
      </c>
      <c r="G325">
        <v>27</v>
      </c>
    </row>
    <row r="326" spans="1:7" x14ac:dyDescent="0.2">
      <c r="A326">
        <v>325</v>
      </c>
      <c r="B326">
        <v>0.2424</v>
      </c>
      <c r="C326">
        <v>0.55000000000000004</v>
      </c>
      <c r="D326">
        <v>0</v>
      </c>
      <c r="E326">
        <v>3</v>
      </c>
      <c r="F326">
        <v>25</v>
      </c>
      <c r="G326">
        <v>28</v>
      </c>
    </row>
    <row r="327" spans="1:7" x14ac:dyDescent="0.2">
      <c r="A327">
        <v>326</v>
      </c>
      <c r="B327">
        <v>0.19700000000000001</v>
      </c>
      <c r="C327">
        <v>0.59</v>
      </c>
      <c r="D327">
        <v>8.9599999999999999E-2</v>
      </c>
      <c r="E327">
        <v>2</v>
      </c>
      <c r="F327">
        <v>18</v>
      </c>
      <c r="G327">
        <v>20</v>
      </c>
    </row>
    <row r="328" spans="1:7" x14ac:dyDescent="0.2">
      <c r="A328">
        <v>327</v>
      </c>
      <c r="B328">
        <v>0.19700000000000001</v>
      </c>
      <c r="C328">
        <v>0.59</v>
      </c>
      <c r="D328">
        <v>8.9599999999999999E-2</v>
      </c>
      <c r="E328">
        <v>0</v>
      </c>
      <c r="F328">
        <v>12</v>
      </c>
      <c r="G328">
        <v>12</v>
      </c>
    </row>
    <row r="329" spans="1:7" x14ac:dyDescent="0.2">
      <c r="A329">
        <v>328</v>
      </c>
      <c r="B329">
        <v>0.2273</v>
      </c>
      <c r="C329">
        <v>0.59</v>
      </c>
      <c r="D329">
        <v>0</v>
      </c>
      <c r="E329">
        <v>1</v>
      </c>
      <c r="F329">
        <v>7</v>
      </c>
      <c r="G329">
        <v>8</v>
      </c>
    </row>
    <row r="330" spans="1:7" x14ac:dyDescent="0.2">
      <c r="A330">
        <v>329</v>
      </c>
      <c r="B330">
        <v>0.2273</v>
      </c>
      <c r="C330">
        <v>0.59</v>
      </c>
      <c r="D330">
        <v>0</v>
      </c>
      <c r="E330">
        <v>0</v>
      </c>
      <c r="F330">
        <v>5</v>
      </c>
      <c r="G330">
        <v>5</v>
      </c>
    </row>
    <row r="331" spans="1:7" x14ac:dyDescent="0.2">
      <c r="A331">
        <v>330</v>
      </c>
      <c r="B331">
        <v>0.2273</v>
      </c>
      <c r="C331">
        <v>0.59</v>
      </c>
      <c r="D331">
        <v>0</v>
      </c>
      <c r="E331">
        <v>0</v>
      </c>
      <c r="F331">
        <v>1</v>
      </c>
      <c r="G331">
        <v>1</v>
      </c>
    </row>
    <row r="332" spans="1:7" x14ac:dyDescent="0.2">
      <c r="A332">
        <v>331</v>
      </c>
      <c r="B332">
        <v>0.16669999999999999</v>
      </c>
      <c r="C332">
        <v>0.63</v>
      </c>
      <c r="D332">
        <v>0.1045</v>
      </c>
      <c r="E332">
        <v>1</v>
      </c>
      <c r="F332">
        <v>2</v>
      </c>
      <c r="G332">
        <v>3</v>
      </c>
    </row>
    <row r="333" spans="1:7" x14ac:dyDescent="0.2">
      <c r="A333">
        <v>332</v>
      </c>
      <c r="B333">
        <v>0.21210000000000001</v>
      </c>
      <c r="C333">
        <v>0.63</v>
      </c>
      <c r="D333">
        <v>0</v>
      </c>
      <c r="E333">
        <v>1</v>
      </c>
      <c r="F333">
        <v>9</v>
      </c>
      <c r="G333">
        <v>10</v>
      </c>
    </row>
    <row r="334" spans="1:7" x14ac:dyDescent="0.2">
      <c r="A334">
        <v>333</v>
      </c>
      <c r="B334">
        <v>0.1515</v>
      </c>
      <c r="C334">
        <v>0.63</v>
      </c>
      <c r="D334">
        <v>0.1343</v>
      </c>
      <c r="E334">
        <v>1</v>
      </c>
      <c r="F334">
        <v>22</v>
      </c>
      <c r="G334">
        <v>23</v>
      </c>
    </row>
    <row r="335" spans="1:7" x14ac:dyDescent="0.2">
      <c r="A335">
        <v>334</v>
      </c>
      <c r="B335">
        <v>0.18179999999999999</v>
      </c>
      <c r="C335">
        <v>0.64</v>
      </c>
      <c r="D335">
        <v>0.1343</v>
      </c>
      <c r="E335">
        <v>2</v>
      </c>
      <c r="F335">
        <v>31</v>
      </c>
      <c r="G335">
        <v>33</v>
      </c>
    </row>
    <row r="336" spans="1:7" x14ac:dyDescent="0.2">
      <c r="A336">
        <v>335</v>
      </c>
      <c r="B336">
        <v>0.19700000000000001</v>
      </c>
      <c r="C336">
        <v>0.59</v>
      </c>
      <c r="D336">
        <v>0.16420000000000001</v>
      </c>
      <c r="E336">
        <v>2</v>
      </c>
      <c r="F336">
        <v>57</v>
      </c>
      <c r="G336">
        <v>59</v>
      </c>
    </row>
    <row r="337" spans="1:7" x14ac:dyDescent="0.2">
      <c r="A337">
        <v>336</v>
      </c>
      <c r="B337">
        <v>0.19700000000000001</v>
      </c>
      <c r="C337">
        <v>0.55000000000000004</v>
      </c>
      <c r="D337">
        <v>0.22389999999999999</v>
      </c>
      <c r="E337">
        <v>18</v>
      </c>
      <c r="F337">
        <v>54</v>
      </c>
      <c r="G337">
        <v>72</v>
      </c>
    </row>
    <row r="338" spans="1:7" x14ac:dyDescent="0.2">
      <c r="A338">
        <v>337</v>
      </c>
      <c r="B338">
        <v>0.2273</v>
      </c>
      <c r="C338">
        <v>0.48</v>
      </c>
      <c r="D338">
        <v>0.22389999999999999</v>
      </c>
      <c r="E338">
        <v>15</v>
      </c>
      <c r="F338">
        <v>74</v>
      </c>
      <c r="G338">
        <v>89</v>
      </c>
    </row>
    <row r="339" spans="1:7" x14ac:dyDescent="0.2">
      <c r="A339">
        <v>338</v>
      </c>
      <c r="B339">
        <v>0.2576</v>
      </c>
      <c r="C339">
        <v>0.38</v>
      </c>
      <c r="D339">
        <v>0.29849999999999999</v>
      </c>
      <c r="E339">
        <v>21</v>
      </c>
      <c r="F339">
        <v>80</v>
      </c>
      <c r="G339">
        <v>101</v>
      </c>
    </row>
    <row r="340" spans="1:7" x14ac:dyDescent="0.2">
      <c r="A340">
        <v>339</v>
      </c>
      <c r="B340">
        <v>0.28789999999999999</v>
      </c>
      <c r="C340">
        <v>0.39</v>
      </c>
      <c r="D340">
        <v>0.28360000000000002</v>
      </c>
      <c r="E340">
        <v>26</v>
      </c>
      <c r="F340">
        <v>92</v>
      </c>
      <c r="G340">
        <v>118</v>
      </c>
    </row>
    <row r="341" spans="1:7" x14ac:dyDescent="0.2">
      <c r="A341">
        <v>340</v>
      </c>
      <c r="B341">
        <v>0.31819999999999998</v>
      </c>
      <c r="C341">
        <v>0.36</v>
      </c>
      <c r="D341">
        <v>0.19400000000000001</v>
      </c>
      <c r="E341">
        <v>21</v>
      </c>
      <c r="F341">
        <v>108</v>
      </c>
      <c r="G341">
        <v>129</v>
      </c>
    </row>
    <row r="342" spans="1:7" x14ac:dyDescent="0.2">
      <c r="A342">
        <v>341</v>
      </c>
      <c r="B342">
        <v>0.33329999999999999</v>
      </c>
      <c r="C342">
        <v>0.34</v>
      </c>
      <c r="D342">
        <v>0.19400000000000001</v>
      </c>
      <c r="E342">
        <v>33</v>
      </c>
      <c r="F342">
        <v>95</v>
      </c>
      <c r="G342">
        <v>128</v>
      </c>
    </row>
    <row r="343" spans="1:7" x14ac:dyDescent="0.2">
      <c r="A343">
        <v>342</v>
      </c>
      <c r="B343">
        <v>0.30299999999999999</v>
      </c>
      <c r="C343">
        <v>0.36</v>
      </c>
      <c r="D343">
        <v>0.28360000000000002</v>
      </c>
      <c r="E343">
        <v>29</v>
      </c>
      <c r="F343">
        <v>54</v>
      </c>
      <c r="G343">
        <v>83</v>
      </c>
    </row>
    <row r="344" spans="1:7" x14ac:dyDescent="0.2">
      <c r="A344">
        <v>343</v>
      </c>
      <c r="B344">
        <v>0.28789999999999999</v>
      </c>
      <c r="C344">
        <v>0.45</v>
      </c>
      <c r="D344">
        <v>0.25369999999999998</v>
      </c>
      <c r="E344">
        <v>15</v>
      </c>
      <c r="F344">
        <v>69</v>
      </c>
      <c r="G344">
        <v>84</v>
      </c>
    </row>
    <row r="345" spans="1:7" x14ac:dyDescent="0.2">
      <c r="A345">
        <v>344</v>
      </c>
      <c r="B345">
        <v>0.30299999999999999</v>
      </c>
      <c r="C345">
        <v>0.39</v>
      </c>
      <c r="D345">
        <v>0.25369999999999998</v>
      </c>
      <c r="E345">
        <v>14</v>
      </c>
      <c r="F345">
        <v>60</v>
      </c>
      <c r="G345">
        <v>74</v>
      </c>
    </row>
    <row r="346" spans="1:7" x14ac:dyDescent="0.2">
      <c r="A346">
        <v>345</v>
      </c>
      <c r="B346">
        <v>0.30299999999999999</v>
      </c>
      <c r="C346">
        <v>0.39</v>
      </c>
      <c r="D346">
        <v>0.25369999999999998</v>
      </c>
      <c r="E346">
        <v>6</v>
      </c>
      <c r="F346">
        <v>35</v>
      </c>
      <c r="G346">
        <v>41</v>
      </c>
    </row>
    <row r="347" spans="1:7" x14ac:dyDescent="0.2">
      <c r="A347">
        <v>346</v>
      </c>
      <c r="B347">
        <v>0.30299999999999999</v>
      </c>
      <c r="C347">
        <v>0.39</v>
      </c>
      <c r="D347">
        <v>0.22389999999999999</v>
      </c>
      <c r="E347">
        <v>6</v>
      </c>
      <c r="F347">
        <v>51</v>
      </c>
      <c r="G347">
        <v>57</v>
      </c>
    </row>
    <row r="348" spans="1:7" x14ac:dyDescent="0.2">
      <c r="A348">
        <v>347</v>
      </c>
      <c r="B348">
        <v>0.31819999999999998</v>
      </c>
      <c r="C348">
        <v>0.42</v>
      </c>
      <c r="D348">
        <v>0.1045</v>
      </c>
      <c r="E348">
        <v>0</v>
      </c>
      <c r="F348">
        <v>26</v>
      </c>
      <c r="G348">
        <v>26</v>
      </c>
    </row>
    <row r="349" spans="1:7" x14ac:dyDescent="0.2">
      <c r="A349">
        <v>348</v>
      </c>
      <c r="B349">
        <v>0.28789999999999999</v>
      </c>
      <c r="C349">
        <v>0.45</v>
      </c>
      <c r="D349">
        <v>0.28360000000000002</v>
      </c>
      <c r="E349">
        <v>5</v>
      </c>
      <c r="F349">
        <v>39</v>
      </c>
      <c r="G349">
        <v>44</v>
      </c>
    </row>
    <row r="350" spans="1:7" x14ac:dyDescent="0.2">
      <c r="A350">
        <v>349</v>
      </c>
      <c r="B350">
        <v>0.30299999999999999</v>
      </c>
      <c r="C350">
        <v>0.56000000000000005</v>
      </c>
      <c r="D350">
        <v>0</v>
      </c>
      <c r="E350">
        <v>6</v>
      </c>
      <c r="F350">
        <v>33</v>
      </c>
      <c r="G350">
        <v>39</v>
      </c>
    </row>
    <row r="351" spans="1:7" x14ac:dyDescent="0.2">
      <c r="A351">
        <v>350</v>
      </c>
      <c r="B351">
        <v>0.2727</v>
      </c>
      <c r="C351">
        <v>0.56000000000000005</v>
      </c>
      <c r="D351">
        <v>0.1343</v>
      </c>
      <c r="E351">
        <v>4</v>
      </c>
      <c r="F351">
        <v>19</v>
      </c>
      <c r="G351">
        <v>23</v>
      </c>
    </row>
    <row r="352" spans="1:7" x14ac:dyDescent="0.2">
      <c r="A352">
        <v>351</v>
      </c>
      <c r="B352">
        <v>0.28789999999999999</v>
      </c>
      <c r="C352">
        <v>0.56000000000000005</v>
      </c>
      <c r="D352">
        <v>8.9599999999999999E-2</v>
      </c>
      <c r="E352">
        <v>3</v>
      </c>
      <c r="F352">
        <v>13</v>
      </c>
      <c r="G352">
        <v>16</v>
      </c>
    </row>
    <row r="353" spans="1:7" x14ac:dyDescent="0.2">
      <c r="A353">
        <v>352</v>
      </c>
      <c r="B353">
        <v>0.2727</v>
      </c>
      <c r="C353">
        <v>0.69</v>
      </c>
      <c r="D353">
        <v>0</v>
      </c>
      <c r="E353">
        <v>9</v>
      </c>
      <c r="F353">
        <v>6</v>
      </c>
      <c r="G353">
        <v>15</v>
      </c>
    </row>
    <row r="354" spans="1:7" x14ac:dyDescent="0.2">
      <c r="A354">
        <v>353</v>
      </c>
      <c r="B354">
        <v>0.2576</v>
      </c>
      <c r="C354">
        <v>0.56000000000000005</v>
      </c>
      <c r="D354">
        <v>0.16420000000000001</v>
      </c>
      <c r="E354">
        <v>0</v>
      </c>
      <c r="F354">
        <v>1</v>
      </c>
      <c r="G354">
        <v>1</v>
      </c>
    </row>
    <row r="355" spans="1:7" x14ac:dyDescent="0.2">
      <c r="A355">
        <v>354</v>
      </c>
      <c r="B355">
        <v>0.2576</v>
      </c>
      <c r="C355">
        <v>0.56000000000000005</v>
      </c>
      <c r="D355">
        <v>0.16420000000000001</v>
      </c>
      <c r="E355">
        <v>1</v>
      </c>
      <c r="F355">
        <v>1</v>
      </c>
      <c r="G355">
        <v>2</v>
      </c>
    </row>
    <row r="356" spans="1:7" x14ac:dyDescent="0.2">
      <c r="A356">
        <v>355</v>
      </c>
      <c r="B356">
        <v>0.2576</v>
      </c>
      <c r="C356">
        <v>0.56000000000000005</v>
      </c>
      <c r="D356">
        <v>0.16420000000000001</v>
      </c>
      <c r="E356">
        <v>0</v>
      </c>
      <c r="F356">
        <v>1</v>
      </c>
      <c r="G356">
        <v>1</v>
      </c>
    </row>
    <row r="357" spans="1:7" x14ac:dyDescent="0.2">
      <c r="A357">
        <v>356</v>
      </c>
      <c r="B357">
        <v>0.21210000000000001</v>
      </c>
      <c r="C357">
        <v>0.56000000000000005</v>
      </c>
      <c r="D357">
        <v>0.29849999999999999</v>
      </c>
      <c r="E357">
        <v>0</v>
      </c>
      <c r="F357">
        <v>3</v>
      </c>
      <c r="G357">
        <v>3</v>
      </c>
    </row>
    <row r="358" spans="1:7" x14ac:dyDescent="0.2">
      <c r="A358">
        <v>357</v>
      </c>
      <c r="B358">
        <v>0.21210000000000001</v>
      </c>
      <c r="C358">
        <v>0.55000000000000004</v>
      </c>
      <c r="D358">
        <v>0.28360000000000002</v>
      </c>
      <c r="E358">
        <v>0</v>
      </c>
      <c r="F358">
        <v>18</v>
      </c>
      <c r="G358">
        <v>18</v>
      </c>
    </row>
    <row r="359" spans="1:7" x14ac:dyDescent="0.2">
      <c r="A359">
        <v>358</v>
      </c>
      <c r="B359">
        <v>0.21210000000000001</v>
      </c>
      <c r="C359">
        <v>0.51</v>
      </c>
      <c r="D359">
        <v>0.25369999999999998</v>
      </c>
      <c r="E359">
        <v>3</v>
      </c>
      <c r="F359">
        <v>29</v>
      </c>
      <c r="G359">
        <v>32</v>
      </c>
    </row>
    <row r="360" spans="1:7" x14ac:dyDescent="0.2">
      <c r="A360">
        <v>359</v>
      </c>
      <c r="B360">
        <v>0.21210000000000001</v>
      </c>
      <c r="C360">
        <v>0.51</v>
      </c>
      <c r="D360">
        <v>0.28360000000000002</v>
      </c>
      <c r="E360">
        <v>8</v>
      </c>
      <c r="F360">
        <v>71</v>
      </c>
      <c r="G360">
        <v>79</v>
      </c>
    </row>
    <row r="361" spans="1:7" x14ac:dyDescent="0.2">
      <c r="A361">
        <v>360</v>
      </c>
      <c r="B361">
        <v>0.2273</v>
      </c>
      <c r="C361">
        <v>0.44</v>
      </c>
      <c r="D361">
        <v>0.25369999999999998</v>
      </c>
      <c r="E361">
        <v>23</v>
      </c>
      <c r="F361">
        <v>70</v>
      </c>
      <c r="G361">
        <v>93</v>
      </c>
    </row>
    <row r="362" spans="1:7" x14ac:dyDescent="0.2">
      <c r="A362">
        <v>361</v>
      </c>
      <c r="B362">
        <v>0.21210000000000001</v>
      </c>
      <c r="C362">
        <v>0.41</v>
      </c>
      <c r="D362">
        <v>0.28360000000000002</v>
      </c>
      <c r="E362">
        <v>29</v>
      </c>
      <c r="F362">
        <v>75</v>
      </c>
      <c r="G362">
        <v>104</v>
      </c>
    </row>
    <row r="363" spans="1:7" x14ac:dyDescent="0.2">
      <c r="A363">
        <v>362</v>
      </c>
      <c r="B363">
        <v>0.2273</v>
      </c>
      <c r="C363">
        <v>0.35</v>
      </c>
      <c r="D363">
        <v>0.29849999999999999</v>
      </c>
      <c r="E363">
        <v>23</v>
      </c>
      <c r="F363">
        <v>95</v>
      </c>
      <c r="G363">
        <v>118</v>
      </c>
    </row>
    <row r="364" spans="1:7" x14ac:dyDescent="0.2">
      <c r="A364">
        <v>363</v>
      </c>
      <c r="B364">
        <v>0.2727</v>
      </c>
      <c r="C364">
        <v>0.36</v>
      </c>
      <c r="D364">
        <v>0.25369999999999998</v>
      </c>
      <c r="E364">
        <v>22</v>
      </c>
      <c r="F364">
        <v>69</v>
      </c>
      <c r="G364">
        <v>91</v>
      </c>
    </row>
    <row r="365" spans="1:7" x14ac:dyDescent="0.2">
      <c r="A365">
        <v>364</v>
      </c>
      <c r="B365">
        <v>0.2424</v>
      </c>
      <c r="C365">
        <v>0.38</v>
      </c>
      <c r="D365">
        <v>0.25369999999999998</v>
      </c>
      <c r="E365">
        <v>35</v>
      </c>
      <c r="F365">
        <v>78</v>
      </c>
      <c r="G365">
        <v>113</v>
      </c>
    </row>
    <row r="366" spans="1:7" x14ac:dyDescent="0.2">
      <c r="A366">
        <v>365</v>
      </c>
      <c r="B366">
        <v>0.2273</v>
      </c>
      <c r="C366">
        <v>0.38</v>
      </c>
      <c r="D366">
        <v>0.22389999999999999</v>
      </c>
      <c r="E366">
        <v>22</v>
      </c>
      <c r="F366">
        <v>77</v>
      </c>
      <c r="G366">
        <v>99</v>
      </c>
    </row>
    <row r="367" spans="1:7" x14ac:dyDescent="0.2">
      <c r="A367">
        <v>366</v>
      </c>
      <c r="B367">
        <v>0.21210000000000001</v>
      </c>
      <c r="C367">
        <v>0.37</v>
      </c>
      <c r="D367">
        <v>0.25369999999999998</v>
      </c>
      <c r="E367">
        <v>23</v>
      </c>
      <c r="F367">
        <v>82</v>
      </c>
      <c r="G367">
        <v>105</v>
      </c>
    </row>
    <row r="368" spans="1:7" x14ac:dyDescent="0.2">
      <c r="A368">
        <v>367</v>
      </c>
      <c r="B368">
        <v>0.21210000000000001</v>
      </c>
      <c r="C368">
        <v>0.4</v>
      </c>
      <c r="D368">
        <v>0.16420000000000001</v>
      </c>
      <c r="E368">
        <v>11</v>
      </c>
      <c r="F368">
        <v>56</v>
      </c>
      <c r="G368">
        <v>67</v>
      </c>
    </row>
    <row r="369" spans="1:7" x14ac:dyDescent="0.2">
      <c r="A369">
        <v>368</v>
      </c>
      <c r="B369">
        <v>0.19700000000000001</v>
      </c>
      <c r="C369">
        <v>0.47</v>
      </c>
      <c r="D369">
        <v>0.1343</v>
      </c>
      <c r="E369">
        <v>14</v>
      </c>
      <c r="F369">
        <v>47</v>
      </c>
      <c r="G369">
        <v>61</v>
      </c>
    </row>
    <row r="370" spans="1:7" x14ac:dyDescent="0.2">
      <c r="A370">
        <v>369</v>
      </c>
      <c r="B370">
        <v>0.19700000000000001</v>
      </c>
      <c r="C370">
        <v>0.47</v>
      </c>
      <c r="D370">
        <v>0.16420000000000001</v>
      </c>
      <c r="E370">
        <v>7</v>
      </c>
      <c r="F370">
        <v>50</v>
      </c>
      <c r="G370">
        <v>57</v>
      </c>
    </row>
    <row r="371" spans="1:7" x14ac:dyDescent="0.2">
      <c r="A371">
        <v>370</v>
      </c>
      <c r="B371">
        <v>0.19700000000000001</v>
      </c>
      <c r="C371">
        <v>0.51</v>
      </c>
      <c r="D371">
        <v>0.16420000000000001</v>
      </c>
      <c r="E371">
        <v>6</v>
      </c>
      <c r="F371">
        <v>22</v>
      </c>
      <c r="G371">
        <v>28</v>
      </c>
    </row>
    <row r="372" spans="1:7" x14ac:dyDescent="0.2">
      <c r="A372">
        <v>371</v>
      </c>
      <c r="B372">
        <v>0.21210000000000001</v>
      </c>
      <c r="C372">
        <v>0.49</v>
      </c>
      <c r="D372">
        <v>0.1343</v>
      </c>
      <c r="E372">
        <v>2</v>
      </c>
      <c r="F372">
        <v>19</v>
      </c>
      <c r="G372">
        <v>21</v>
      </c>
    </row>
    <row r="373" spans="1:7" x14ac:dyDescent="0.2">
      <c r="A373">
        <v>372</v>
      </c>
      <c r="B373">
        <v>0.2273</v>
      </c>
      <c r="C373">
        <v>0.4</v>
      </c>
      <c r="D373">
        <v>0.1045</v>
      </c>
      <c r="E373">
        <v>0</v>
      </c>
      <c r="F373">
        <v>18</v>
      </c>
      <c r="G373">
        <v>18</v>
      </c>
    </row>
    <row r="374" spans="1:7" x14ac:dyDescent="0.2">
      <c r="A374">
        <v>373</v>
      </c>
      <c r="B374">
        <v>0.19700000000000001</v>
      </c>
      <c r="C374">
        <v>0.47</v>
      </c>
      <c r="D374">
        <v>0.22389999999999999</v>
      </c>
      <c r="E374">
        <v>1</v>
      </c>
      <c r="F374">
        <v>16</v>
      </c>
      <c r="G374">
        <v>17</v>
      </c>
    </row>
    <row r="375" spans="1:7" x14ac:dyDescent="0.2">
      <c r="A375">
        <v>374</v>
      </c>
      <c r="B375">
        <v>0.19700000000000001</v>
      </c>
      <c r="C375">
        <v>0.44</v>
      </c>
      <c r="D375">
        <v>0.19400000000000001</v>
      </c>
      <c r="E375">
        <v>1</v>
      </c>
      <c r="F375">
        <v>15</v>
      </c>
      <c r="G375">
        <v>16</v>
      </c>
    </row>
    <row r="376" spans="1:7" x14ac:dyDescent="0.2">
      <c r="A376">
        <v>375</v>
      </c>
      <c r="B376">
        <v>0.16669999999999999</v>
      </c>
      <c r="C376">
        <v>0.43</v>
      </c>
      <c r="D376">
        <v>0.25369999999999998</v>
      </c>
      <c r="E376">
        <v>0</v>
      </c>
      <c r="F376">
        <v>8</v>
      </c>
      <c r="G376">
        <v>8</v>
      </c>
    </row>
    <row r="377" spans="1:7" x14ac:dyDescent="0.2">
      <c r="A377">
        <v>376</v>
      </c>
      <c r="B377">
        <v>0.18179999999999999</v>
      </c>
      <c r="C377">
        <v>0.43</v>
      </c>
      <c r="D377">
        <v>0.19400000000000001</v>
      </c>
      <c r="E377">
        <v>0</v>
      </c>
      <c r="F377">
        <v>2</v>
      </c>
      <c r="G377">
        <v>2</v>
      </c>
    </row>
    <row r="378" spans="1:7" x14ac:dyDescent="0.2">
      <c r="A378">
        <v>377</v>
      </c>
      <c r="B378">
        <v>0.19700000000000001</v>
      </c>
      <c r="C378">
        <v>0.43</v>
      </c>
      <c r="D378">
        <v>0.1343</v>
      </c>
      <c r="E378">
        <v>1</v>
      </c>
      <c r="F378">
        <v>2</v>
      </c>
      <c r="G378">
        <v>3</v>
      </c>
    </row>
    <row r="379" spans="1:7" x14ac:dyDescent="0.2">
      <c r="A379">
        <v>378</v>
      </c>
      <c r="B379">
        <v>0.19700000000000001</v>
      </c>
      <c r="C379">
        <v>0.43</v>
      </c>
      <c r="D379">
        <v>0.16420000000000001</v>
      </c>
      <c r="E379">
        <v>0</v>
      </c>
      <c r="F379">
        <v>1</v>
      </c>
      <c r="G379">
        <v>1</v>
      </c>
    </row>
    <row r="380" spans="1:7" x14ac:dyDescent="0.2">
      <c r="A380">
        <v>379</v>
      </c>
      <c r="B380">
        <v>0.18179999999999999</v>
      </c>
      <c r="C380">
        <v>0.43</v>
      </c>
      <c r="D380">
        <v>0.19400000000000001</v>
      </c>
      <c r="E380">
        <v>0</v>
      </c>
      <c r="F380">
        <v>5</v>
      </c>
      <c r="G380">
        <v>5</v>
      </c>
    </row>
    <row r="381" spans="1:7" x14ac:dyDescent="0.2">
      <c r="A381">
        <v>380</v>
      </c>
      <c r="B381">
        <v>0.18179999999999999</v>
      </c>
      <c r="C381">
        <v>0.5</v>
      </c>
      <c r="D381">
        <v>0.1343</v>
      </c>
      <c r="E381">
        <v>4</v>
      </c>
      <c r="F381">
        <v>9</v>
      </c>
      <c r="G381">
        <v>13</v>
      </c>
    </row>
    <row r="382" spans="1:7" x14ac:dyDescent="0.2">
      <c r="A382">
        <v>381</v>
      </c>
      <c r="B382">
        <v>0.1515</v>
      </c>
      <c r="C382">
        <v>0.47</v>
      </c>
      <c r="D382">
        <v>0.22389999999999999</v>
      </c>
      <c r="E382">
        <v>3</v>
      </c>
      <c r="F382">
        <v>30</v>
      </c>
      <c r="G382">
        <v>33</v>
      </c>
    </row>
    <row r="383" spans="1:7" x14ac:dyDescent="0.2">
      <c r="A383">
        <v>382</v>
      </c>
      <c r="B383">
        <v>0.1515</v>
      </c>
      <c r="C383">
        <v>0.47</v>
      </c>
      <c r="D383">
        <v>0.22389999999999999</v>
      </c>
      <c r="E383">
        <v>8</v>
      </c>
      <c r="F383">
        <v>39</v>
      </c>
      <c r="G383">
        <v>47</v>
      </c>
    </row>
    <row r="384" spans="1:7" x14ac:dyDescent="0.2">
      <c r="A384">
        <v>383</v>
      </c>
      <c r="B384">
        <v>0.1515</v>
      </c>
      <c r="C384">
        <v>0.5</v>
      </c>
      <c r="D384">
        <v>0.25369999999999998</v>
      </c>
      <c r="E384">
        <v>7</v>
      </c>
      <c r="F384">
        <v>50</v>
      </c>
      <c r="G384">
        <v>57</v>
      </c>
    </row>
    <row r="385" spans="1:7" x14ac:dyDescent="0.2">
      <c r="A385">
        <v>384</v>
      </c>
      <c r="B385">
        <v>0.1515</v>
      </c>
      <c r="C385">
        <v>0.55000000000000004</v>
      </c>
      <c r="D385">
        <v>0.19400000000000001</v>
      </c>
      <c r="E385">
        <v>9</v>
      </c>
      <c r="F385">
        <v>55</v>
      </c>
      <c r="G385">
        <v>64</v>
      </c>
    </row>
    <row r="386" spans="1:7" x14ac:dyDescent="0.2">
      <c r="A386">
        <v>385</v>
      </c>
      <c r="B386">
        <v>0.19700000000000001</v>
      </c>
      <c r="C386">
        <v>0.47</v>
      </c>
      <c r="D386">
        <v>0.1343</v>
      </c>
      <c r="E386">
        <v>10</v>
      </c>
      <c r="F386">
        <v>70</v>
      </c>
      <c r="G386">
        <v>80</v>
      </c>
    </row>
    <row r="387" spans="1:7" x14ac:dyDescent="0.2">
      <c r="A387">
        <v>386</v>
      </c>
      <c r="B387">
        <v>0.19700000000000001</v>
      </c>
      <c r="C387">
        <v>0.47</v>
      </c>
      <c r="D387">
        <v>0.1343</v>
      </c>
      <c r="E387">
        <v>13</v>
      </c>
      <c r="F387">
        <v>80</v>
      </c>
      <c r="G387">
        <v>93</v>
      </c>
    </row>
    <row r="388" spans="1:7" x14ac:dyDescent="0.2">
      <c r="A388">
        <v>387</v>
      </c>
      <c r="B388">
        <v>0.21210000000000001</v>
      </c>
      <c r="C388">
        <v>0.43</v>
      </c>
      <c r="D388">
        <v>0.1045</v>
      </c>
      <c r="E388">
        <v>12</v>
      </c>
      <c r="F388">
        <v>74</v>
      </c>
      <c r="G388">
        <v>86</v>
      </c>
    </row>
    <row r="389" spans="1:7" x14ac:dyDescent="0.2">
      <c r="A389">
        <v>388</v>
      </c>
      <c r="B389">
        <v>0.21210000000000001</v>
      </c>
      <c r="C389">
        <v>0.47</v>
      </c>
      <c r="D389">
        <v>0.16420000000000001</v>
      </c>
      <c r="E389">
        <v>21</v>
      </c>
      <c r="F389">
        <v>72</v>
      </c>
      <c r="G389">
        <v>93</v>
      </c>
    </row>
    <row r="390" spans="1:7" x14ac:dyDescent="0.2">
      <c r="A390">
        <v>389</v>
      </c>
      <c r="B390">
        <v>0.21210000000000001</v>
      </c>
      <c r="C390">
        <v>0.47</v>
      </c>
      <c r="D390">
        <v>0.16420000000000001</v>
      </c>
      <c r="E390">
        <v>6</v>
      </c>
      <c r="F390">
        <v>76</v>
      </c>
      <c r="G390">
        <v>82</v>
      </c>
    </row>
    <row r="391" spans="1:7" x14ac:dyDescent="0.2">
      <c r="A391">
        <v>390</v>
      </c>
      <c r="B391">
        <v>0.19700000000000001</v>
      </c>
      <c r="C391">
        <v>0.51</v>
      </c>
      <c r="D391">
        <v>0.19400000000000001</v>
      </c>
      <c r="E391">
        <v>4</v>
      </c>
      <c r="F391">
        <v>67</v>
      </c>
      <c r="G391">
        <v>71</v>
      </c>
    </row>
    <row r="392" spans="1:7" x14ac:dyDescent="0.2">
      <c r="A392">
        <v>391</v>
      </c>
      <c r="B392">
        <v>0.16669999999999999</v>
      </c>
      <c r="C392">
        <v>0.55000000000000004</v>
      </c>
      <c r="D392">
        <v>0.25369999999999998</v>
      </c>
      <c r="E392">
        <v>7</v>
      </c>
      <c r="F392">
        <v>85</v>
      </c>
      <c r="G392">
        <v>92</v>
      </c>
    </row>
    <row r="393" spans="1:7" x14ac:dyDescent="0.2">
      <c r="A393">
        <v>392</v>
      </c>
      <c r="B393">
        <v>0.18179999999999999</v>
      </c>
      <c r="C393">
        <v>0.59</v>
      </c>
      <c r="D393">
        <v>0.19400000000000001</v>
      </c>
      <c r="E393">
        <v>2</v>
      </c>
      <c r="F393">
        <v>58</v>
      </c>
      <c r="G393">
        <v>60</v>
      </c>
    </row>
    <row r="394" spans="1:7" x14ac:dyDescent="0.2">
      <c r="A394">
        <v>393</v>
      </c>
      <c r="B394">
        <v>0.1515</v>
      </c>
      <c r="C394">
        <v>0.8</v>
      </c>
      <c r="D394">
        <v>0.19400000000000001</v>
      </c>
      <c r="E394">
        <v>4</v>
      </c>
      <c r="F394">
        <v>29</v>
      </c>
      <c r="G394">
        <v>33</v>
      </c>
    </row>
    <row r="395" spans="1:7" x14ac:dyDescent="0.2">
      <c r="A395">
        <v>394</v>
      </c>
      <c r="B395">
        <v>0.1515</v>
      </c>
      <c r="C395">
        <v>0.8</v>
      </c>
      <c r="D395">
        <v>0.19400000000000001</v>
      </c>
      <c r="E395">
        <v>3</v>
      </c>
      <c r="F395">
        <v>24</v>
      </c>
      <c r="G395">
        <v>27</v>
      </c>
    </row>
    <row r="396" spans="1:7" x14ac:dyDescent="0.2">
      <c r="A396">
        <v>395</v>
      </c>
      <c r="B396">
        <v>0.1212</v>
      </c>
      <c r="C396">
        <v>0.93</v>
      </c>
      <c r="D396">
        <v>0.25369999999999998</v>
      </c>
      <c r="E396">
        <v>0</v>
      </c>
      <c r="F396">
        <v>13</v>
      </c>
      <c r="G396">
        <v>13</v>
      </c>
    </row>
    <row r="397" spans="1:7" x14ac:dyDescent="0.2">
      <c r="A397">
        <v>396</v>
      </c>
      <c r="B397">
        <v>0.13639999999999999</v>
      </c>
      <c r="C397">
        <v>0.86</v>
      </c>
      <c r="D397">
        <v>0.28360000000000002</v>
      </c>
      <c r="E397">
        <v>1</v>
      </c>
      <c r="F397">
        <v>3</v>
      </c>
      <c r="G397">
        <v>4</v>
      </c>
    </row>
    <row r="398" spans="1:7" x14ac:dyDescent="0.2">
      <c r="A398">
        <v>397</v>
      </c>
      <c r="B398">
        <v>0.18179999999999999</v>
      </c>
      <c r="C398">
        <v>0.86</v>
      </c>
      <c r="D398">
        <v>0.32840000000000003</v>
      </c>
      <c r="E398">
        <v>0</v>
      </c>
      <c r="F398">
        <v>3</v>
      </c>
      <c r="G398">
        <v>3</v>
      </c>
    </row>
    <row r="399" spans="1:7" x14ac:dyDescent="0.2">
      <c r="A399">
        <v>398</v>
      </c>
      <c r="B399">
        <v>0.19700000000000001</v>
      </c>
      <c r="C399">
        <v>0.86</v>
      </c>
      <c r="D399">
        <v>0.22389999999999999</v>
      </c>
      <c r="E399">
        <v>0</v>
      </c>
      <c r="F399">
        <v>22</v>
      </c>
      <c r="G399">
        <v>22</v>
      </c>
    </row>
    <row r="400" spans="1:7" x14ac:dyDescent="0.2">
      <c r="A400">
        <v>399</v>
      </c>
      <c r="B400">
        <v>0.2273</v>
      </c>
      <c r="C400">
        <v>0.8</v>
      </c>
      <c r="D400">
        <v>0.16420000000000001</v>
      </c>
      <c r="E400">
        <v>2</v>
      </c>
      <c r="F400">
        <v>26</v>
      </c>
      <c r="G400">
        <v>28</v>
      </c>
    </row>
    <row r="401" spans="1:7" x14ac:dyDescent="0.2">
      <c r="A401">
        <v>400</v>
      </c>
      <c r="B401">
        <v>0.2273</v>
      </c>
      <c r="C401">
        <v>0.87</v>
      </c>
      <c r="D401">
        <v>0.16420000000000001</v>
      </c>
      <c r="E401">
        <v>3</v>
      </c>
      <c r="F401">
        <v>32</v>
      </c>
      <c r="G401">
        <v>35</v>
      </c>
    </row>
    <row r="402" spans="1:7" x14ac:dyDescent="0.2">
      <c r="A402">
        <v>401</v>
      </c>
      <c r="B402">
        <v>0.2273</v>
      </c>
      <c r="C402">
        <v>0.87</v>
      </c>
      <c r="D402">
        <v>0.19400000000000001</v>
      </c>
      <c r="E402">
        <v>0</v>
      </c>
      <c r="F402">
        <v>61</v>
      </c>
      <c r="G402">
        <v>61</v>
      </c>
    </row>
    <row r="403" spans="1:7" x14ac:dyDescent="0.2">
      <c r="A403">
        <v>402</v>
      </c>
      <c r="B403">
        <v>0.2273</v>
      </c>
      <c r="C403">
        <v>0.82</v>
      </c>
      <c r="D403">
        <v>0.19400000000000001</v>
      </c>
      <c r="E403">
        <v>1</v>
      </c>
      <c r="F403">
        <v>124</v>
      </c>
      <c r="G403">
        <v>125</v>
      </c>
    </row>
    <row r="404" spans="1:7" x14ac:dyDescent="0.2">
      <c r="A404">
        <v>403</v>
      </c>
      <c r="B404">
        <v>0.2273</v>
      </c>
      <c r="C404">
        <v>0.8</v>
      </c>
      <c r="D404">
        <v>0.16420000000000001</v>
      </c>
      <c r="E404">
        <v>1</v>
      </c>
      <c r="F404">
        <v>132</v>
      </c>
      <c r="G404">
        <v>133</v>
      </c>
    </row>
    <row r="405" spans="1:7" x14ac:dyDescent="0.2">
      <c r="A405">
        <v>404</v>
      </c>
      <c r="B405">
        <v>0.2273</v>
      </c>
      <c r="C405">
        <v>0.8</v>
      </c>
      <c r="D405">
        <v>0.1343</v>
      </c>
      <c r="E405">
        <v>1</v>
      </c>
      <c r="F405">
        <v>98</v>
      </c>
      <c r="G405">
        <v>99</v>
      </c>
    </row>
    <row r="406" spans="1:7" x14ac:dyDescent="0.2">
      <c r="A406">
        <v>405</v>
      </c>
      <c r="B406">
        <v>0.2727</v>
      </c>
      <c r="C406">
        <v>0.87</v>
      </c>
      <c r="D406">
        <v>0</v>
      </c>
      <c r="E406">
        <v>0</v>
      </c>
      <c r="F406">
        <v>83</v>
      </c>
      <c r="G406">
        <v>83</v>
      </c>
    </row>
    <row r="407" spans="1:7" x14ac:dyDescent="0.2">
      <c r="A407">
        <v>406</v>
      </c>
      <c r="B407">
        <v>0.2424</v>
      </c>
      <c r="C407">
        <v>0.93</v>
      </c>
      <c r="D407">
        <v>0.1045</v>
      </c>
      <c r="E407">
        <v>0</v>
      </c>
      <c r="F407">
        <v>41</v>
      </c>
      <c r="G407">
        <v>41</v>
      </c>
    </row>
    <row r="408" spans="1:7" x14ac:dyDescent="0.2">
      <c r="A408">
        <v>407</v>
      </c>
      <c r="B408">
        <v>0.2576</v>
      </c>
      <c r="C408">
        <v>0.93</v>
      </c>
      <c r="D408">
        <v>8.9599999999999999E-2</v>
      </c>
      <c r="E408">
        <v>0</v>
      </c>
      <c r="F408">
        <v>33</v>
      </c>
      <c r="G408">
        <v>33</v>
      </c>
    </row>
    <row r="409" spans="1:7" x14ac:dyDescent="0.2">
      <c r="A409">
        <v>408</v>
      </c>
      <c r="B409">
        <v>0.2727</v>
      </c>
      <c r="C409">
        <v>0.93</v>
      </c>
      <c r="D409">
        <v>0</v>
      </c>
      <c r="E409">
        <v>1</v>
      </c>
      <c r="F409">
        <v>19</v>
      </c>
      <c r="G409">
        <v>20</v>
      </c>
    </row>
    <row r="410" spans="1:7" x14ac:dyDescent="0.2">
      <c r="A410">
        <v>409</v>
      </c>
      <c r="B410">
        <v>0.2727</v>
      </c>
      <c r="C410">
        <v>0.93</v>
      </c>
      <c r="D410">
        <v>0</v>
      </c>
      <c r="E410">
        <v>0</v>
      </c>
      <c r="F410">
        <v>3</v>
      </c>
      <c r="G410">
        <v>3</v>
      </c>
    </row>
    <row r="411" spans="1:7" x14ac:dyDescent="0.2">
      <c r="A411">
        <v>410</v>
      </c>
      <c r="B411">
        <v>0.2273</v>
      </c>
      <c r="C411">
        <v>0.93</v>
      </c>
      <c r="D411">
        <v>0.1343</v>
      </c>
      <c r="E411">
        <v>1</v>
      </c>
      <c r="F411">
        <v>6</v>
      </c>
      <c r="G411">
        <v>7</v>
      </c>
    </row>
    <row r="412" spans="1:7" x14ac:dyDescent="0.2">
      <c r="A412">
        <v>411</v>
      </c>
      <c r="B412">
        <v>0.2273</v>
      </c>
      <c r="C412">
        <v>0.93</v>
      </c>
      <c r="D412">
        <v>0.1343</v>
      </c>
      <c r="E412">
        <v>0</v>
      </c>
      <c r="F412">
        <v>3</v>
      </c>
      <c r="G412">
        <v>3</v>
      </c>
    </row>
    <row r="413" spans="1:7" x14ac:dyDescent="0.2">
      <c r="A413">
        <v>412</v>
      </c>
      <c r="B413">
        <v>0.2273</v>
      </c>
      <c r="C413">
        <v>0.93</v>
      </c>
      <c r="D413">
        <v>0.1343</v>
      </c>
      <c r="E413">
        <v>1</v>
      </c>
      <c r="F413">
        <v>1</v>
      </c>
      <c r="G413">
        <v>2</v>
      </c>
    </row>
    <row r="414" spans="1:7" x14ac:dyDescent="0.2">
      <c r="A414">
        <v>413</v>
      </c>
      <c r="B414">
        <v>0.2576</v>
      </c>
      <c r="C414">
        <v>0.93</v>
      </c>
      <c r="D414">
        <v>8.9599999999999999E-2</v>
      </c>
      <c r="E414">
        <v>0</v>
      </c>
      <c r="F414">
        <v>7</v>
      </c>
      <c r="G414">
        <v>7</v>
      </c>
    </row>
    <row r="415" spans="1:7" x14ac:dyDescent="0.2">
      <c r="A415">
        <v>414</v>
      </c>
      <c r="B415">
        <v>0.2576</v>
      </c>
      <c r="C415">
        <v>0.93</v>
      </c>
      <c r="D415">
        <v>8.9599999999999999E-2</v>
      </c>
      <c r="E415">
        <v>0</v>
      </c>
      <c r="F415">
        <v>32</v>
      </c>
      <c r="G415">
        <v>32</v>
      </c>
    </row>
    <row r="416" spans="1:7" x14ac:dyDescent="0.2">
      <c r="A416">
        <v>415</v>
      </c>
      <c r="B416">
        <v>0.2576</v>
      </c>
      <c r="C416">
        <v>0.92</v>
      </c>
      <c r="D416">
        <v>0.1045</v>
      </c>
      <c r="E416">
        <v>1</v>
      </c>
      <c r="F416">
        <v>89</v>
      </c>
      <c r="G416">
        <v>90</v>
      </c>
    </row>
    <row r="417" spans="1:7" x14ac:dyDescent="0.2">
      <c r="A417">
        <v>416</v>
      </c>
      <c r="B417">
        <v>0.2576</v>
      </c>
      <c r="C417">
        <v>0.93</v>
      </c>
      <c r="D417">
        <v>0.1045</v>
      </c>
      <c r="E417">
        <v>1</v>
      </c>
      <c r="F417">
        <v>196</v>
      </c>
      <c r="G417">
        <v>197</v>
      </c>
    </row>
    <row r="418" spans="1:7" x14ac:dyDescent="0.2">
      <c r="A418">
        <v>417</v>
      </c>
      <c r="B418">
        <v>0.2576</v>
      </c>
      <c r="C418">
        <v>0.93</v>
      </c>
      <c r="D418">
        <v>0.1045</v>
      </c>
      <c r="E418">
        <v>2</v>
      </c>
      <c r="F418">
        <v>107</v>
      </c>
      <c r="G418">
        <v>109</v>
      </c>
    </row>
    <row r="419" spans="1:7" x14ac:dyDescent="0.2">
      <c r="A419">
        <v>418</v>
      </c>
      <c r="B419">
        <v>0.2727</v>
      </c>
      <c r="C419">
        <v>0.93</v>
      </c>
      <c r="D419">
        <v>0.1343</v>
      </c>
      <c r="E419">
        <v>1</v>
      </c>
      <c r="F419">
        <v>46</v>
      </c>
      <c r="G419">
        <v>47</v>
      </c>
    </row>
    <row r="420" spans="1:7" x14ac:dyDescent="0.2">
      <c r="A420">
        <v>419</v>
      </c>
      <c r="B420">
        <v>0.30299999999999999</v>
      </c>
      <c r="C420">
        <v>0.87</v>
      </c>
      <c r="D420">
        <v>8.9599999999999999E-2</v>
      </c>
      <c r="E420">
        <v>5</v>
      </c>
      <c r="F420">
        <v>47</v>
      </c>
      <c r="G420">
        <v>52</v>
      </c>
    </row>
    <row r="421" spans="1:7" x14ac:dyDescent="0.2">
      <c r="A421">
        <v>420</v>
      </c>
      <c r="B421">
        <v>0.31819999999999998</v>
      </c>
      <c r="C421">
        <v>0.81</v>
      </c>
      <c r="D421">
        <v>8.9599999999999999E-2</v>
      </c>
      <c r="E421">
        <v>5</v>
      </c>
      <c r="F421">
        <v>65</v>
      </c>
      <c r="G421">
        <v>70</v>
      </c>
    </row>
    <row r="422" spans="1:7" x14ac:dyDescent="0.2">
      <c r="A422">
        <v>421</v>
      </c>
      <c r="B422">
        <v>0.40910000000000002</v>
      </c>
      <c r="C422">
        <v>0.62</v>
      </c>
      <c r="D422">
        <v>0.28360000000000002</v>
      </c>
      <c r="E422">
        <v>11</v>
      </c>
      <c r="F422">
        <v>67</v>
      </c>
      <c r="G422">
        <v>78</v>
      </c>
    </row>
    <row r="423" spans="1:7" x14ac:dyDescent="0.2">
      <c r="A423">
        <v>422</v>
      </c>
      <c r="B423">
        <v>0.40910000000000002</v>
      </c>
      <c r="C423">
        <v>0.57999999999999996</v>
      </c>
      <c r="D423">
        <v>0.25369999999999998</v>
      </c>
      <c r="E423">
        <v>7</v>
      </c>
      <c r="F423">
        <v>68</v>
      </c>
      <c r="G423">
        <v>75</v>
      </c>
    </row>
    <row r="424" spans="1:7" x14ac:dyDescent="0.2">
      <c r="A424">
        <v>423</v>
      </c>
      <c r="B424">
        <v>0.40910000000000002</v>
      </c>
      <c r="C424">
        <v>0.54</v>
      </c>
      <c r="D424">
        <v>0.28360000000000002</v>
      </c>
      <c r="E424">
        <v>4</v>
      </c>
      <c r="F424">
        <v>78</v>
      </c>
      <c r="G424">
        <v>82</v>
      </c>
    </row>
    <row r="425" spans="1:7" x14ac:dyDescent="0.2">
      <c r="A425">
        <v>424</v>
      </c>
      <c r="B425">
        <v>0.39389999999999997</v>
      </c>
      <c r="C425">
        <v>0.57999999999999996</v>
      </c>
      <c r="D425">
        <v>0.3881</v>
      </c>
      <c r="E425">
        <v>10</v>
      </c>
      <c r="F425">
        <v>94</v>
      </c>
      <c r="G425">
        <v>104</v>
      </c>
    </row>
    <row r="426" spans="1:7" x14ac:dyDescent="0.2">
      <c r="A426">
        <v>425</v>
      </c>
      <c r="B426">
        <v>0.33329999999999999</v>
      </c>
      <c r="C426">
        <v>0.56999999999999995</v>
      </c>
      <c r="D426">
        <v>0.32840000000000003</v>
      </c>
      <c r="E426">
        <v>7</v>
      </c>
      <c r="F426">
        <v>190</v>
      </c>
      <c r="G426">
        <v>197</v>
      </c>
    </row>
    <row r="427" spans="1:7" x14ac:dyDescent="0.2">
      <c r="A427">
        <v>426</v>
      </c>
      <c r="B427">
        <v>0.31819999999999998</v>
      </c>
      <c r="C427">
        <v>0.61</v>
      </c>
      <c r="D427">
        <v>0.28360000000000002</v>
      </c>
      <c r="E427">
        <v>5</v>
      </c>
      <c r="F427">
        <v>156</v>
      </c>
      <c r="G427">
        <v>161</v>
      </c>
    </row>
    <row r="428" spans="1:7" x14ac:dyDescent="0.2">
      <c r="A428">
        <v>427</v>
      </c>
      <c r="B428">
        <v>0.28789999999999999</v>
      </c>
      <c r="C428">
        <v>0.56999999999999995</v>
      </c>
      <c r="D428">
        <v>0.41789999999999999</v>
      </c>
      <c r="E428">
        <v>4</v>
      </c>
      <c r="F428">
        <v>108</v>
      </c>
      <c r="G428">
        <v>112</v>
      </c>
    </row>
    <row r="429" spans="1:7" x14ac:dyDescent="0.2">
      <c r="A429">
        <v>428</v>
      </c>
      <c r="B429">
        <v>0.30299999999999999</v>
      </c>
      <c r="C429">
        <v>0.49</v>
      </c>
      <c r="D429">
        <v>0.29849999999999999</v>
      </c>
      <c r="E429">
        <v>2</v>
      </c>
      <c r="F429">
        <v>74</v>
      </c>
      <c r="G429">
        <v>76</v>
      </c>
    </row>
    <row r="430" spans="1:7" x14ac:dyDescent="0.2">
      <c r="A430">
        <v>429</v>
      </c>
      <c r="B430">
        <v>0.28789999999999999</v>
      </c>
      <c r="C430">
        <v>0.49</v>
      </c>
      <c r="D430">
        <v>0.41789999999999999</v>
      </c>
      <c r="E430">
        <v>4</v>
      </c>
      <c r="F430">
        <v>55</v>
      </c>
      <c r="G430">
        <v>59</v>
      </c>
    </row>
    <row r="431" spans="1:7" x14ac:dyDescent="0.2">
      <c r="A431">
        <v>430</v>
      </c>
      <c r="B431">
        <v>0.30299999999999999</v>
      </c>
      <c r="C431">
        <v>0.52</v>
      </c>
      <c r="D431">
        <v>0.16420000000000001</v>
      </c>
      <c r="E431">
        <v>6</v>
      </c>
      <c r="F431">
        <v>53</v>
      </c>
      <c r="G431">
        <v>59</v>
      </c>
    </row>
    <row r="432" spans="1:7" x14ac:dyDescent="0.2">
      <c r="A432">
        <v>431</v>
      </c>
      <c r="B432">
        <v>0.2727</v>
      </c>
      <c r="C432">
        <v>0.52</v>
      </c>
      <c r="D432">
        <v>0.4627</v>
      </c>
      <c r="E432">
        <v>1</v>
      </c>
      <c r="F432">
        <v>27</v>
      </c>
      <c r="G432">
        <v>28</v>
      </c>
    </row>
    <row r="433" spans="1:7" x14ac:dyDescent="0.2">
      <c r="A433">
        <v>432</v>
      </c>
      <c r="B433">
        <v>0.2273</v>
      </c>
      <c r="C433">
        <v>0.56000000000000005</v>
      </c>
      <c r="D433">
        <v>0.3881</v>
      </c>
      <c r="E433">
        <v>5</v>
      </c>
      <c r="F433">
        <v>8</v>
      </c>
      <c r="G433">
        <v>13</v>
      </c>
    </row>
    <row r="434" spans="1:7" x14ac:dyDescent="0.2">
      <c r="A434">
        <v>433</v>
      </c>
      <c r="B434">
        <v>0.2727</v>
      </c>
      <c r="C434">
        <v>0.56000000000000005</v>
      </c>
      <c r="D434">
        <v>0</v>
      </c>
      <c r="E434">
        <v>2</v>
      </c>
      <c r="F434">
        <v>3</v>
      </c>
      <c r="G434">
        <v>5</v>
      </c>
    </row>
    <row r="435" spans="1:7" x14ac:dyDescent="0.2">
      <c r="A435">
        <v>434</v>
      </c>
      <c r="B435">
        <v>0.2727</v>
      </c>
      <c r="C435">
        <v>0.56000000000000005</v>
      </c>
      <c r="D435">
        <v>0</v>
      </c>
      <c r="E435">
        <v>0</v>
      </c>
      <c r="F435">
        <v>2</v>
      </c>
      <c r="G435">
        <v>2</v>
      </c>
    </row>
    <row r="436" spans="1:7" x14ac:dyDescent="0.2">
      <c r="A436">
        <v>435</v>
      </c>
      <c r="B436">
        <v>0.2576</v>
      </c>
      <c r="C436">
        <v>0.56000000000000005</v>
      </c>
      <c r="D436">
        <v>0.16420000000000001</v>
      </c>
      <c r="E436">
        <v>0</v>
      </c>
      <c r="F436">
        <v>1</v>
      </c>
      <c r="G436">
        <v>1</v>
      </c>
    </row>
    <row r="437" spans="1:7" x14ac:dyDescent="0.2">
      <c r="A437">
        <v>436</v>
      </c>
      <c r="B437">
        <v>0.2576</v>
      </c>
      <c r="C437">
        <v>0.56000000000000005</v>
      </c>
      <c r="D437">
        <v>0.16420000000000001</v>
      </c>
      <c r="E437">
        <v>0</v>
      </c>
      <c r="F437">
        <v>1</v>
      </c>
      <c r="G437">
        <v>1</v>
      </c>
    </row>
    <row r="438" spans="1:7" x14ac:dyDescent="0.2">
      <c r="A438">
        <v>437</v>
      </c>
      <c r="B438">
        <v>0.2273</v>
      </c>
      <c r="C438">
        <v>0.6</v>
      </c>
      <c r="D438">
        <v>0.22389999999999999</v>
      </c>
      <c r="E438">
        <v>0</v>
      </c>
      <c r="F438">
        <v>6</v>
      </c>
      <c r="G438">
        <v>6</v>
      </c>
    </row>
    <row r="439" spans="1:7" x14ac:dyDescent="0.2">
      <c r="A439">
        <v>438</v>
      </c>
      <c r="B439">
        <v>0.21210000000000001</v>
      </c>
      <c r="C439">
        <v>0.6</v>
      </c>
      <c r="D439">
        <v>0.22389999999999999</v>
      </c>
      <c r="E439">
        <v>0</v>
      </c>
      <c r="F439">
        <v>35</v>
      </c>
      <c r="G439">
        <v>35</v>
      </c>
    </row>
    <row r="440" spans="1:7" x14ac:dyDescent="0.2">
      <c r="A440">
        <v>439</v>
      </c>
      <c r="B440">
        <v>0.21210000000000001</v>
      </c>
      <c r="C440">
        <v>0.55000000000000004</v>
      </c>
      <c r="D440">
        <v>0.22389999999999999</v>
      </c>
      <c r="E440">
        <v>1</v>
      </c>
      <c r="F440">
        <v>100</v>
      </c>
      <c r="G440">
        <v>101</v>
      </c>
    </row>
    <row r="441" spans="1:7" x14ac:dyDescent="0.2">
      <c r="A441">
        <v>440</v>
      </c>
      <c r="B441">
        <v>0.21210000000000001</v>
      </c>
      <c r="C441">
        <v>0.55000000000000004</v>
      </c>
      <c r="D441">
        <v>0.28360000000000002</v>
      </c>
      <c r="E441">
        <v>2</v>
      </c>
      <c r="F441">
        <v>247</v>
      </c>
      <c r="G441">
        <v>249</v>
      </c>
    </row>
    <row r="442" spans="1:7" x14ac:dyDescent="0.2">
      <c r="A442">
        <v>441</v>
      </c>
      <c r="B442">
        <v>0.2273</v>
      </c>
      <c r="C442">
        <v>0.52</v>
      </c>
      <c r="D442">
        <v>0.22389999999999999</v>
      </c>
      <c r="E442">
        <v>3</v>
      </c>
      <c r="F442">
        <v>140</v>
      </c>
      <c r="G442">
        <v>143</v>
      </c>
    </row>
    <row r="443" spans="1:7" x14ac:dyDescent="0.2">
      <c r="A443">
        <v>442</v>
      </c>
      <c r="B443">
        <v>0.2273</v>
      </c>
      <c r="C443">
        <v>0.48</v>
      </c>
      <c r="D443">
        <v>0.29849999999999999</v>
      </c>
      <c r="E443">
        <v>1</v>
      </c>
      <c r="F443">
        <v>56</v>
      </c>
      <c r="G443">
        <v>57</v>
      </c>
    </row>
    <row r="444" spans="1:7" x14ac:dyDescent="0.2">
      <c r="A444">
        <v>443</v>
      </c>
      <c r="B444">
        <v>0.2727</v>
      </c>
      <c r="C444">
        <v>0.45</v>
      </c>
      <c r="D444">
        <v>0.16420000000000001</v>
      </c>
      <c r="E444">
        <v>5</v>
      </c>
      <c r="F444">
        <v>63</v>
      </c>
      <c r="G444">
        <v>68</v>
      </c>
    </row>
    <row r="445" spans="1:7" x14ac:dyDescent="0.2">
      <c r="A445">
        <v>444</v>
      </c>
      <c r="B445">
        <v>0.33329999999999999</v>
      </c>
      <c r="C445">
        <v>0.42</v>
      </c>
      <c r="D445">
        <v>0</v>
      </c>
      <c r="E445">
        <v>7</v>
      </c>
      <c r="F445">
        <v>77</v>
      </c>
      <c r="G445">
        <v>84</v>
      </c>
    </row>
    <row r="446" spans="1:7" x14ac:dyDescent="0.2">
      <c r="A446">
        <v>445</v>
      </c>
      <c r="B446">
        <v>0.28789999999999999</v>
      </c>
      <c r="C446">
        <v>0.45</v>
      </c>
      <c r="D446">
        <v>0.1045</v>
      </c>
      <c r="E446">
        <v>12</v>
      </c>
      <c r="F446">
        <v>86</v>
      </c>
      <c r="G446">
        <v>98</v>
      </c>
    </row>
    <row r="447" spans="1:7" x14ac:dyDescent="0.2">
      <c r="A447">
        <v>446</v>
      </c>
      <c r="B447">
        <v>0.30299999999999999</v>
      </c>
      <c r="C447">
        <v>0.45</v>
      </c>
      <c r="D447">
        <v>0.1343</v>
      </c>
      <c r="E447">
        <v>6</v>
      </c>
      <c r="F447">
        <v>75</v>
      </c>
      <c r="G447">
        <v>81</v>
      </c>
    </row>
    <row r="448" spans="1:7" x14ac:dyDescent="0.2">
      <c r="A448">
        <v>447</v>
      </c>
      <c r="B448">
        <v>0.31819999999999998</v>
      </c>
      <c r="C448">
        <v>0.45</v>
      </c>
      <c r="D448">
        <v>0.19400000000000001</v>
      </c>
      <c r="E448">
        <v>8</v>
      </c>
      <c r="F448">
        <v>62</v>
      </c>
      <c r="G448">
        <v>70</v>
      </c>
    </row>
    <row r="449" spans="1:7" x14ac:dyDescent="0.2">
      <c r="A449">
        <v>448</v>
      </c>
      <c r="B449">
        <v>0.30299999999999999</v>
      </c>
      <c r="C449">
        <v>0.49</v>
      </c>
      <c r="D449">
        <v>0.1343</v>
      </c>
      <c r="E449">
        <v>8</v>
      </c>
      <c r="F449">
        <v>83</v>
      </c>
      <c r="G449">
        <v>91</v>
      </c>
    </row>
    <row r="450" spans="1:7" x14ac:dyDescent="0.2">
      <c r="A450">
        <v>449</v>
      </c>
      <c r="B450">
        <v>0.31819999999999998</v>
      </c>
      <c r="C450">
        <v>0.49</v>
      </c>
      <c r="D450">
        <v>0.1045</v>
      </c>
      <c r="E450">
        <v>8</v>
      </c>
      <c r="F450">
        <v>207</v>
      </c>
      <c r="G450">
        <v>215</v>
      </c>
    </row>
    <row r="451" spans="1:7" x14ac:dyDescent="0.2">
      <c r="A451">
        <v>450</v>
      </c>
      <c r="B451">
        <v>0.2576</v>
      </c>
      <c r="C451">
        <v>0.56000000000000005</v>
      </c>
      <c r="D451">
        <v>0.19400000000000001</v>
      </c>
      <c r="E451">
        <v>1</v>
      </c>
      <c r="F451">
        <v>184</v>
      </c>
      <c r="G451">
        <v>185</v>
      </c>
    </row>
    <row r="452" spans="1:7" x14ac:dyDescent="0.2">
      <c r="A452">
        <v>451</v>
      </c>
      <c r="B452">
        <v>0.2273</v>
      </c>
      <c r="C452">
        <v>0.56000000000000005</v>
      </c>
      <c r="D452">
        <v>0.32840000000000003</v>
      </c>
      <c r="E452">
        <v>6</v>
      </c>
      <c r="F452">
        <v>146</v>
      </c>
      <c r="G452">
        <v>152</v>
      </c>
    </row>
    <row r="453" spans="1:7" x14ac:dyDescent="0.2">
      <c r="A453">
        <v>452</v>
      </c>
      <c r="B453">
        <v>0.2424</v>
      </c>
      <c r="C453">
        <v>0.6</v>
      </c>
      <c r="D453">
        <v>0.28360000000000002</v>
      </c>
      <c r="E453">
        <v>2</v>
      </c>
      <c r="F453">
        <v>124</v>
      </c>
      <c r="G453">
        <v>126</v>
      </c>
    </row>
    <row r="454" spans="1:7" x14ac:dyDescent="0.2">
      <c r="A454">
        <v>453</v>
      </c>
      <c r="B454">
        <v>0.2273</v>
      </c>
      <c r="C454">
        <v>0.6</v>
      </c>
      <c r="D454">
        <v>0.25369999999999998</v>
      </c>
      <c r="E454">
        <v>3</v>
      </c>
      <c r="F454">
        <v>54</v>
      </c>
      <c r="G454">
        <v>57</v>
      </c>
    </row>
    <row r="455" spans="1:7" x14ac:dyDescent="0.2">
      <c r="A455">
        <v>454</v>
      </c>
      <c r="B455">
        <v>0.21210000000000001</v>
      </c>
      <c r="C455">
        <v>0.65</v>
      </c>
      <c r="D455">
        <v>0.28360000000000002</v>
      </c>
      <c r="E455">
        <v>0</v>
      </c>
      <c r="F455">
        <v>56</v>
      </c>
      <c r="G455">
        <v>56</v>
      </c>
    </row>
    <row r="456" spans="1:7" x14ac:dyDescent="0.2">
      <c r="A456">
        <v>455</v>
      </c>
      <c r="B456">
        <v>0.21210000000000001</v>
      </c>
      <c r="C456">
        <v>0.65</v>
      </c>
      <c r="D456">
        <v>0.32840000000000003</v>
      </c>
      <c r="E456">
        <v>3</v>
      </c>
      <c r="F456">
        <v>28</v>
      </c>
      <c r="G456">
        <v>31</v>
      </c>
    </row>
    <row r="457" spans="1:7" x14ac:dyDescent="0.2">
      <c r="A457">
        <v>456</v>
      </c>
      <c r="B457">
        <v>0.2273</v>
      </c>
      <c r="C457">
        <v>0.7</v>
      </c>
      <c r="D457">
        <v>0.25369999999999998</v>
      </c>
      <c r="E457">
        <v>1</v>
      </c>
      <c r="F457">
        <v>20</v>
      </c>
      <c r="G457">
        <v>21</v>
      </c>
    </row>
    <row r="458" spans="1:7" x14ac:dyDescent="0.2">
      <c r="A458">
        <v>457</v>
      </c>
      <c r="B458">
        <v>0.2273</v>
      </c>
      <c r="C458">
        <v>0.7</v>
      </c>
      <c r="D458">
        <v>0.25369999999999998</v>
      </c>
      <c r="E458">
        <v>0</v>
      </c>
      <c r="F458">
        <v>6</v>
      </c>
      <c r="G458">
        <v>6</v>
      </c>
    </row>
    <row r="459" spans="1:7" x14ac:dyDescent="0.2">
      <c r="A459">
        <v>458</v>
      </c>
      <c r="B459">
        <v>0.2424</v>
      </c>
      <c r="C459">
        <v>0.75</v>
      </c>
      <c r="D459">
        <v>0.16420000000000001</v>
      </c>
      <c r="E459">
        <v>0</v>
      </c>
      <c r="F459">
        <v>2</v>
      </c>
      <c r="G459">
        <v>2</v>
      </c>
    </row>
    <row r="460" spans="1:7" x14ac:dyDescent="0.2">
      <c r="A460">
        <v>459</v>
      </c>
      <c r="B460">
        <v>0.21210000000000001</v>
      </c>
      <c r="C460">
        <v>0.8</v>
      </c>
      <c r="D460">
        <v>0.29849999999999999</v>
      </c>
      <c r="E460">
        <v>0</v>
      </c>
      <c r="F460">
        <v>1</v>
      </c>
      <c r="G460">
        <v>1</v>
      </c>
    </row>
    <row r="461" spans="1:7" x14ac:dyDescent="0.2">
      <c r="A461">
        <v>460</v>
      </c>
      <c r="B461">
        <v>0.2576</v>
      </c>
      <c r="C461">
        <v>0.87</v>
      </c>
      <c r="D461">
        <v>8.9599999999999999E-2</v>
      </c>
      <c r="E461">
        <v>0</v>
      </c>
      <c r="F461">
        <v>1</v>
      </c>
      <c r="G461">
        <v>1</v>
      </c>
    </row>
    <row r="462" spans="1:7" x14ac:dyDescent="0.2">
      <c r="A462">
        <v>461</v>
      </c>
      <c r="B462">
        <v>0.19700000000000001</v>
      </c>
      <c r="C462">
        <v>0.6</v>
      </c>
      <c r="D462">
        <v>0.41789999999999999</v>
      </c>
      <c r="E462">
        <v>1</v>
      </c>
      <c r="F462">
        <v>4</v>
      </c>
      <c r="G462">
        <v>5</v>
      </c>
    </row>
    <row r="463" spans="1:7" x14ac:dyDescent="0.2">
      <c r="A463">
        <v>462</v>
      </c>
      <c r="B463">
        <v>0.21210000000000001</v>
      </c>
      <c r="C463">
        <v>0.55000000000000004</v>
      </c>
      <c r="D463">
        <v>0.25369999999999998</v>
      </c>
      <c r="E463">
        <v>0</v>
      </c>
      <c r="F463">
        <v>27</v>
      </c>
      <c r="G463">
        <v>27</v>
      </c>
    </row>
    <row r="464" spans="1:7" x14ac:dyDescent="0.2">
      <c r="A464">
        <v>463</v>
      </c>
      <c r="B464">
        <v>0.18179999999999999</v>
      </c>
      <c r="C464">
        <v>0.51</v>
      </c>
      <c r="D464">
        <v>0.28360000000000002</v>
      </c>
      <c r="E464">
        <v>2</v>
      </c>
      <c r="F464">
        <v>66</v>
      </c>
      <c r="G464">
        <v>68</v>
      </c>
    </row>
    <row r="465" spans="1:7" x14ac:dyDescent="0.2">
      <c r="A465">
        <v>464</v>
      </c>
      <c r="B465">
        <v>0.18179999999999999</v>
      </c>
      <c r="C465">
        <v>0.47</v>
      </c>
      <c r="D465">
        <v>0.32840000000000003</v>
      </c>
      <c r="E465">
        <v>7</v>
      </c>
      <c r="F465">
        <v>210</v>
      </c>
      <c r="G465">
        <v>217</v>
      </c>
    </row>
    <row r="466" spans="1:7" x14ac:dyDescent="0.2">
      <c r="A466">
        <v>465</v>
      </c>
      <c r="B466">
        <v>0.18179999999999999</v>
      </c>
      <c r="C466">
        <v>0.51</v>
      </c>
      <c r="D466">
        <v>0.35820000000000002</v>
      </c>
      <c r="E466">
        <v>7</v>
      </c>
      <c r="F466">
        <v>159</v>
      </c>
      <c r="G466">
        <v>166</v>
      </c>
    </row>
    <row r="467" spans="1:7" x14ac:dyDescent="0.2">
      <c r="A467">
        <v>466</v>
      </c>
      <c r="B467">
        <v>0.16669999999999999</v>
      </c>
      <c r="C467">
        <v>0.47</v>
      </c>
      <c r="D467">
        <v>0.4627</v>
      </c>
      <c r="E467">
        <v>6</v>
      </c>
      <c r="F467">
        <v>57</v>
      </c>
      <c r="G467">
        <v>63</v>
      </c>
    </row>
    <row r="468" spans="1:7" x14ac:dyDescent="0.2">
      <c r="A468">
        <v>467</v>
      </c>
      <c r="B468">
        <v>0.18179999999999999</v>
      </c>
      <c r="C468">
        <v>0.41</v>
      </c>
      <c r="D468">
        <v>0.4627</v>
      </c>
      <c r="E468">
        <v>6</v>
      </c>
      <c r="F468">
        <v>53</v>
      </c>
      <c r="G468">
        <v>59</v>
      </c>
    </row>
    <row r="469" spans="1:7" x14ac:dyDescent="0.2">
      <c r="A469">
        <v>468</v>
      </c>
      <c r="B469">
        <v>0.18179999999999999</v>
      </c>
      <c r="C469">
        <v>0.27</v>
      </c>
      <c r="D469">
        <v>0.58209999999999995</v>
      </c>
      <c r="E469">
        <v>11</v>
      </c>
      <c r="F469">
        <v>67</v>
      </c>
      <c r="G469">
        <v>78</v>
      </c>
    </row>
    <row r="470" spans="1:7" x14ac:dyDescent="0.2">
      <c r="A470">
        <v>469</v>
      </c>
      <c r="B470">
        <v>0.1515</v>
      </c>
      <c r="C470">
        <v>0.21</v>
      </c>
      <c r="D470">
        <v>0.58209999999999995</v>
      </c>
      <c r="E470">
        <v>8</v>
      </c>
      <c r="F470">
        <v>65</v>
      </c>
      <c r="G470">
        <v>73</v>
      </c>
    </row>
    <row r="471" spans="1:7" x14ac:dyDescent="0.2">
      <c r="A471">
        <v>470</v>
      </c>
      <c r="B471">
        <v>0.1515</v>
      </c>
      <c r="C471">
        <v>0.25</v>
      </c>
      <c r="D471">
        <v>0.52239999999999998</v>
      </c>
      <c r="E471">
        <v>6</v>
      </c>
      <c r="F471">
        <v>56</v>
      </c>
      <c r="G471">
        <v>62</v>
      </c>
    </row>
    <row r="472" spans="1:7" x14ac:dyDescent="0.2">
      <c r="A472">
        <v>471</v>
      </c>
      <c r="B472">
        <v>0.1212</v>
      </c>
      <c r="C472">
        <v>0.26</v>
      </c>
      <c r="D472">
        <v>0.44779999999999998</v>
      </c>
      <c r="E472">
        <v>4</v>
      </c>
      <c r="F472">
        <v>61</v>
      </c>
      <c r="G472">
        <v>65</v>
      </c>
    </row>
    <row r="473" spans="1:7" x14ac:dyDescent="0.2">
      <c r="A473">
        <v>472</v>
      </c>
      <c r="B473">
        <v>0.13639999999999999</v>
      </c>
      <c r="C473">
        <v>0.26</v>
      </c>
      <c r="D473">
        <v>0.35820000000000002</v>
      </c>
      <c r="E473">
        <v>0</v>
      </c>
      <c r="F473">
        <v>97</v>
      </c>
      <c r="G473">
        <v>97</v>
      </c>
    </row>
    <row r="474" spans="1:7" x14ac:dyDescent="0.2">
      <c r="A474">
        <v>473</v>
      </c>
      <c r="B474">
        <v>0.1212</v>
      </c>
      <c r="C474">
        <v>0.28000000000000003</v>
      </c>
      <c r="D474">
        <v>0.35820000000000002</v>
      </c>
      <c r="E474">
        <v>10</v>
      </c>
      <c r="F474">
        <v>151</v>
      </c>
      <c r="G474">
        <v>161</v>
      </c>
    </row>
    <row r="475" spans="1:7" x14ac:dyDescent="0.2">
      <c r="A475">
        <v>474</v>
      </c>
      <c r="B475">
        <v>0.1212</v>
      </c>
      <c r="C475">
        <v>0.3</v>
      </c>
      <c r="D475">
        <v>0.25369999999999998</v>
      </c>
      <c r="E475">
        <v>1</v>
      </c>
      <c r="F475">
        <v>119</v>
      </c>
      <c r="G475">
        <v>120</v>
      </c>
    </row>
    <row r="476" spans="1:7" x14ac:dyDescent="0.2">
      <c r="A476">
        <v>475</v>
      </c>
      <c r="B476">
        <v>0.1061</v>
      </c>
      <c r="C476">
        <v>0.3</v>
      </c>
      <c r="D476">
        <v>0.32840000000000003</v>
      </c>
      <c r="E476">
        <v>3</v>
      </c>
      <c r="F476">
        <v>93</v>
      </c>
      <c r="G476">
        <v>96</v>
      </c>
    </row>
    <row r="477" spans="1:7" x14ac:dyDescent="0.2">
      <c r="A477">
        <v>476</v>
      </c>
      <c r="B477">
        <v>7.5800000000000006E-2</v>
      </c>
      <c r="C477">
        <v>0.33</v>
      </c>
      <c r="D477">
        <v>0.41789999999999999</v>
      </c>
      <c r="E477">
        <v>1</v>
      </c>
      <c r="F477">
        <v>52</v>
      </c>
      <c r="G477">
        <v>53</v>
      </c>
    </row>
    <row r="478" spans="1:7" x14ac:dyDescent="0.2">
      <c r="A478">
        <v>477</v>
      </c>
      <c r="B478">
        <v>7.5800000000000006E-2</v>
      </c>
      <c r="C478">
        <v>0.38</v>
      </c>
      <c r="D478">
        <v>0.28360000000000002</v>
      </c>
      <c r="E478">
        <v>0</v>
      </c>
      <c r="F478">
        <v>41</v>
      </c>
      <c r="G478">
        <v>41</v>
      </c>
    </row>
    <row r="479" spans="1:7" x14ac:dyDescent="0.2">
      <c r="A479">
        <v>478</v>
      </c>
      <c r="B479">
        <v>3.0300000000000001E-2</v>
      </c>
      <c r="C479">
        <v>0.41</v>
      </c>
      <c r="D479">
        <v>0.3881</v>
      </c>
      <c r="E479">
        <v>1</v>
      </c>
      <c r="F479">
        <v>33</v>
      </c>
      <c r="G479">
        <v>34</v>
      </c>
    </row>
    <row r="480" spans="1:7" x14ac:dyDescent="0.2">
      <c r="A480">
        <v>479</v>
      </c>
      <c r="B480">
        <v>4.5499999999999999E-2</v>
      </c>
      <c r="C480">
        <v>0.38</v>
      </c>
      <c r="D480">
        <v>0.32840000000000003</v>
      </c>
      <c r="E480">
        <v>0</v>
      </c>
      <c r="F480">
        <v>27</v>
      </c>
      <c r="G480">
        <v>27</v>
      </c>
    </row>
    <row r="481" spans="1:7" x14ac:dyDescent="0.2">
      <c r="A481">
        <v>480</v>
      </c>
      <c r="B481">
        <v>3.0300000000000001E-2</v>
      </c>
      <c r="C481">
        <v>0.45</v>
      </c>
      <c r="D481">
        <v>0.25369999999999998</v>
      </c>
      <c r="E481">
        <v>0</v>
      </c>
      <c r="F481">
        <v>13</v>
      </c>
      <c r="G481">
        <v>13</v>
      </c>
    </row>
    <row r="482" spans="1:7" x14ac:dyDescent="0.2">
      <c r="A482">
        <v>481</v>
      </c>
      <c r="B482">
        <v>0</v>
      </c>
      <c r="C482">
        <v>0.41</v>
      </c>
      <c r="D482">
        <v>0.3881</v>
      </c>
      <c r="E482">
        <v>3</v>
      </c>
      <c r="F482">
        <v>9</v>
      </c>
      <c r="G482">
        <v>12</v>
      </c>
    </row>
    <row r="483" spans="1:7" x14ac:dyDescent="0.2">
      <c r="A483">
        <v>482</v>
      </c>
      <c r="B483">
        <v>3.0300000000000001E-2</v>
      </c>
      <c r="C483">
        <v>0.41</v>
      </c>
      <c r="D483">
        <v>0.25369999999999998</v>
      </c>
      <c r="E483">
        <v>0</v>
      </c>
      <c r="F483">
        <v>11</v>
      </c>
      <c r="G483">
        <v>11</v>
      </c>
    </row>
    <row r="484" spans="1:7" x14ac:dyDescent="0.2">
      <c r="A484">
        <v>483</v>
      </c>
      <c r="B484">
        <v>3.0300000000000001E-2</v>
      </c>
      <c r="C484">
        <v>0.41</v>
      </c>
      <c r="D484">
        <v>0.28360000000000002</v>
      </c>
      <c r="E484">
        <v>1</v>
      </c>
      <c r="F484">
        <v>6</v>
      </c>
      <c r="G484">
        <v>7</v>
      </c>
    </row>
    <row r="485" spans="1:7" x14ac:dyDescent="0.2">
      <c r="A485">
        <v>484</v>
      </c>
      <c r="B485">
        <v>1.52E-2</v>
      </c>
      <c r="C485">
        <v>0.48</v>
      </c>
      <c r="D485">
        <v>0.29849999999999999</v>
      </c>
      <c r="E485">
        <v>0</v>
      </c>
      <c r="F485">
        <v>3</v>
      </c>
      <c r="G485">
        <v>3</v>
      </c>
    </row>
    <row r="486" spans="1:7" x14ac:dyDescent="0.2">
      <c r="A486">
        <v>485</v>
      </c>
      <c r="B486">
        <v>3.0300000000000001E-2</v>
      </c>
      <c r="C486">
        <v>0.44</v>
      </c>
      <c r="D486">
        <v>0.22389999999999999</v>
      </c>
      <c r="E486">
        <v>0</v>
      </c>
      <c r="F486">
        <v>2</v>
      </c>
      <c r="G486">
        <v>2</v>
      </c>
    </row>
    <row r="487" spans="1:7" x14ac:dyDescent="0.2">
      <c r="A487">
        <v>486</v>
      </c>
      <c r="B487">
        <v>1.52E-2</v>
      </c>
      <c r="C487">
        <v>0.44</v>
      </c>
      <c r="D487">
        <v>0.28360000000000002</v>
      </c>
      <c r="E487">
        <v>0</v>
      </c>
      <c r="F487">
        <v>8</v>
      </c>
      <c r="G487">
        <v>8</v>
      </c>
    </row>
    <row r="488" spans="1:7" x14ac:dyDescent="0.2">
      <c r="A488">
        <v>487</v>
      </c>
      <c r="B488">
        <v>0</v>
      </c>
      <c r="C488">
        <v>0.44</v>
      </c>
      <c r="D488">
        <v>0.32840000000000003</v>
      </c>
      <c r="E488">
        <v>1</v>
      </c>
      <c r="F488">
        <v>26</v>
      </c>
      <c r="G488">
        <v>27</v>
      </c>
    </row>
    <row r="489" spans="1:7" x14ac:dyDescent="0.2">
      <c r="A489">
        <v>488</v>
      </c>
      <c r="B489">
        <v>3.0300000000000001E-2</v>
      </c>
      <c r="C489">
        <v>0.41</v>
      </c>
      <c r="D489">
        <v>0.25369999999999998</v>
      </c>
      <c r="E489">
        <v>3</v>
      </c>
      <c r="F489">
        <v>37</v>
      </c>
      <c r="G489">
        <v>40</v>
      </c>
    </row>
    <row r="490" spans="1:7" x14ac:dyDescent="0.2">
      <c r="A490">
        <v>489</v>
      </c>
      <c r="B490">
        <v>6.0600000000000001E-2</v>
      </c>
      <c r="C490">
        <v>0.41</v>
      </c>
      <c r="D490">
        <v>0.16420000000000001</v>
      </c>
      <c r="E490">
        <v>3</v>
      </c>
      <c r="F490">
        <v>50</v>
      </c>
      <c r="G490">
        <v>53</v>
      </c>
    </row>
    <row r="491" spans="1:7" x14ac:dyDescent="0.2">
      <c r="A491">
        <v>490</v>
      </c>
      <c r="B491">
        <v>7.5800000000000006E-2</v>
      </c>
      <c r="C491">
        <v>0.38</v>
      </c>
      <c r="D491">
        <v>0.1343</v>
      </c>
      <c r="E491">
        <v>4</v>
      </c>
      <c r="F491">
        <v>59</v>
      </c>
      <c r="G491">
        <v>63</v>
      </c>
    </row>
    <row r="492" spans="1:7" x14ac:dyDescent="0.2">
      <c r="A492">
        <v>491</v>
      </c>
      <c r="B492">
        <v>0.1061</v>
      </c>
      <c r="C492">
        <v>0.38</v>
      </c>
      <c r="D492">
        <v>0.1045</v>
      </c>
      <c r="E492">
        <v>10</v>
      </c>
      <c r="F492">
        <v>60</v>
      </c>
      <c r="G492">
        <v>70</v>
      </c>
    </row>
    <row r="493" spans="1:7" x14ac:dyDescent="0.2">
      <c r="A493">
        <v>492</v>
      </c>
      <c r="B493">
        <v>0.16669999999999999</v>
      </c>
      <c r="C493">
        <v>0.35</v>
      </c>
      <c r="D493">
        <v>0</v>
      </c>
      <c r="E493">
        <v>12</v>
      </c>
      <c r="F493">
        <v>72</v>
      </c>
      <c r="G493">
        <v>84</v>
      </c>
    </row>
    <row r="494" spans="1:7" x14ac:dyDescent="0.2">
      <c r="A494">
        <v>493</v>
      </c>
      <c r="B494">
        <v>0.13639999999999999</v>
      </c>
      <c r="C494">
        <v>0.33</v>
      </c>
      <c r="D494">
        <v>0.1045</v>
      </c>
      <c r="E494">
        <v>11</v>
      </c>
      <c r="F494">
        <v>64</v>
      </c>
      <c r="G494">
        <v>75</v>
      </c>
    </row>
    <row r="495" spans="1:7" x14ac:dyDescent="0.2">
      <c r="A495">
        <v>494</v>
      </c>
      <c r="B495">
        <v>0.1515</v>
      </c>
      <c r="C495">
        <v>0.28000000000000003</v>
      </c>
      <c r="D495">
        <v>0</v>
      </c>
      <c r="E495">
        <v>10</v>
      </c>
      <c r="F495">
        <v>93</v>
      </c>
      <c r="G495">
        <v>103</v>
      </c>
    </row>
    <row r="496" spans="1:7" x14ac:dyDescent="0.2">
      <c r="A496">
        <v>495</v>
      </c>
      <c r="B496">
        <v>0.13639999999999999</v>
      </c>
      <c r="C496">
        <v>0.28000000000000003</v>
      </c>
      <c r="D496">
        <v>0.19400000000000001</v>
      </c>
      <c r="E496">
        <v>11</v>
      </c>
      <c r="F496">
        <v>72</v>
      </c>
      <c r="G496">
        <v>83</v>
      </c>
    </row>
    <row r="497" spans="1:7" x14ac:dyDescent="0.2">
      <c r="A497">
        <v>496</v>
      </c>
      <c r="B497">
        <v>0.19700000000000001</v>
      </c>
      <c r="C497">
        <v>0.28000000000000003</v>
      </c>
      <c r="D497">
        <v>0</v>
      </c>
      <c r="E497">
        <v>8</v>
      </c>
      <c r="F497">
        <v>59</v>
      </c>
      <c r="G497">
        <v>67</v>
      </c>
    </row>
    <row r="498" spans="1:7" x14ac:dyDescent="0.2">
      <c r="A498">
        <v>497</v>
      </c>
      <c r="B498">
        <v>9.0899999999999995E-2</v>
      </c>
      <c r="C498">
        <v>0.35</v>
      </c>
      <c r="D498">
        <v>0.19400000000000001</v>
      </c>
      <c r="E498">
        <v>0</v>
      </c>
      <c r="F498">
        <v>54</v>
      </c>
      <c r="G498">
        <v>54</v>
      </c>
    </row>
    <row r="499" spans="1:7" x14ac:dyDescent="0.2">
      <c r="A499">
        <v>498</v>
      </c>
      <c r="B499">
        <v>0.1061</v>
      </c>
      <c r="C499">
        <v>0.35</v>
      </c>
      <c r="D499">
        <v>0.1343</v>
      </c>
      <c r="E499">
        <v>6</v>
      </c>
      <c r="F499">
        <v>53</v>
      </c>
      <c r="G499">
        <v>59</v>
      </c>
    </row>
    <row r="500" spans="1:7" x14ac:dyDescent="0.2">
      <c r="A500">
        <v>499</v>
      </c>
      <c r="B500">
        <v>7.5800000000000006E-2</v>
      </c>
      <c r="C500">
        <v>0.45</v>
      </c>
      <c r="D500">
        <v>0.16420000000000001</v>
      </c>
      <c r="E500">
        <v>1</v>
      </c>
      <c r="F500">
        <v>44</v>
      </c>
      <c r="G500">
        <v>45</v>
      </c>
    </row>
    <row r="501" spans="1:7" x14ac:dyDescent="0.2">
      <c r="A501">
        <v>500</v>
      </c>
      <c r="B501">
        <v>0.1061</v>
      </c>
      <c r="C501">
        <v>0.41</v>
      </c>
      <c r="D501">
        <v>8.9599999999999999E-2</v>
      </c>
      <c r="E501">
        <v>0</v>
      </c>
      <c r="F501">
        <v>39</v>
      </c>
      <c r="G501">
        <v>39</v>
      </c>
    </row>
    <row r="502" spans="1:7" x14ac:dyDescent="0.2">
      <c r="A502">
        <v>501</v>
      </c>
      <c r="B502">
        <v>0.1515</v>
      </c>
      <c r="C502">
        <v>0.49</v>
      </c>
      <c r="D502">
        <v>0</v>
      </c>
      <c r="E502">
        <v>7</v>
      </c>
      <c r="F502">
        <v>23</v>
      </c>
      <c r="G502">
        <v>30</v>
      </c>
    </row>
    <row r="503" spans="1:7" x14ac:dyDescent="0.2">
      <c r="A503">
        <v>502</v>
      </c>
      <c r="B503">
        <v>7.5800000000000006E-2</v>
      </c>
      <c r="C503">
        <v>0.56999999999999995</v>
      </c>
      <c r="D503">
        <v>0.1045</v>
      </c>
      <c r="E503">
        <v>2</v>
      </c>
      <c r="F503">
        <v>31</v>
      </c>
      <c r="G503">
        <v>33</v>
      </c>
    </row>
    <row r="504" spans="1:7" x14ac:dyDescent="0.2">
      <c r="A504">
        <v>503</v>
      </c>
      <c r="B504">
        <v>7.5800000000000006E-2</v>
      </c>
      <c r="C504">
        <v>0.56999999999999995</v>
      </c>
      <c r="D504">
        <v>0.1045</v>
      </c>
      <c r="E504">
        <v>2</v>
      </c>
      <c r="F504">
        <v>20</v>
      </c>
      <c r="G504">
        <v>22</v>
      </c>
    </row>
    <row r="505" spans="1:7" x14ac:dyDescent="0.2">
      <c r="A505">
        <v>504</v>
      </c>
      <c r="B505">
        <v>7.5800000000000006E-2</v>
      </c>
      <c r="C505">
        <v>0.56999999999999995</v>
      </c>
      <c r="D505">
        <v>0.1045</v>
      </c>
      <c r="E505">
        <v>1</v>
      </c>
      <c r="F505">
        <v>12</v>
      </c>
      <c r="G505">
        <v>13</v>
      </c>
    </row>
    <row r="506" spans="1:7" x14ac:dyDescent="0.2">
      <c r="A506">
        <v>505</v>
      </c>
      <c r="B506">
        <v>6.0600000000000001E-2</v>
      </c>
      <c r="C506">
        <v>0.62</v>
      </c>
      <c r="D506">
        <v>0.1343</v>
      </c>
      <c r="E506">
        <v>3</v>
      </c>
      <c r="F506">
        <v>15</v>
      </c>
      <c r="G506">
        <v>18</v>
      </c>
    </row>
    <row r="507" spans="1:7" x14ac:dyDescent="0.2">
      <c r="A507">
        <v>506</v>
      </c>
      <c r="B507">
        <v>6.0600000000000001E-2</v>
      </c>
      <c r="C507">
        <v>0.62</v>
      </c>
      <c r="D507">
        <v>0.1343</v>
      </c>
      <c r="E507">
        <v>1</v>
      </c>
      <c r="F507">
        <v>4</v>
      </c>
      <c r="G507">
        <v>5</v>
      </c>
    </row>
    <row r="508" spans="1:7" x14ac:dyDescent="0.2">
      <c r="A508">
        <v>507</v>
      </c>
      <c r="B508">
        <v>7.5800000000000006E-2</v>
      </c>
      <c r="C508">
        <v>0.56999999999999995</v>
      </c>
      <c r="D508">
        <v>0.1045</v>
      </c>
      <c r="E508">
        <v>0</v>
      </c>
      <c r="F508">
        <v>3</v>
      </c>
      <c r="G508">
        <v>3</v>
      </c>
    </row>
    <row r="509" spans="1:7" x14ac:dyDescent="0.2">
      <c r="A509">
        <v>508</v>
      </c>
      <c r="B509">
        <v>7.5800000000000006E-2</v>
      </c>
      <c r="C509">
        <v>0.56999999999999995</v>
      </c>
      <c r="D509">
        <v>0.1045</v>
      </c>
      <c r="E509">
        <v>0</v>
      </c>
      <c r="F509">
        <v>1</v>
      </c>
      <c r="G509">
        <v>1</v>
      </c>
    </row>
    <row r="510" spans="1:7" x14ac:dyDescent="0.2">
      <c r="A510">
        <v>509</v>
      </c>
      <c r="B510">
        <v>0.1061</v>
      </c>
      <c r="C510">
        <v>0.57999999999999996</v>
      </c>
      <c r="D510">
        <v>0.16420000000000001</v>
      </c>
      <c r="E510">
        <v>1</v>
      </c>
      <c r="F510">
        <v>1</v>
      </c>
      <c r="G510">
        <v>2</v>
      </c>
    </row>
    <row r="511" spans="1:7" x14ac:dyDescent="0.2">
      <c r="A511">
        <v>510</v>
      </c>
      <c r="B511">
        <v>7.5800000000000006E-2</v>
      </c>
      <c r="C511">
        <v>0.62</v>
      </c>
      <c r="D511">
        <v>0.16420000000000001</v>
      </c>
      <c r="E511">
        <v>2</v>
      </c>
      <c r="F511">
        <v>17</v>
      </c>
      <c r="G511">
        <v>19</v>
      </c>
    </row>
    <row r="512" spans="1:7" x14ac:dyDescent="0.2">
      <c r="A512">
        <v>511</v>
      </c>
      <c r="B512">
        <v>7.5800000000000006E-2</v>
      </c>
      <c r="C512">
        <v>0.54</v>
      </c>
      <c r="D512">
        <v>0.35820000000000002</v>
      </c>
      <c r="E512">
        <v>3</v>
      </c>
      <c r="F512">
        <v>25</v>
      </c>
      <c r="G512">
        <v>28</v>
      </c>
    </row>
    <row r="513" spans="1:7" x14ac:dyDescent="0.2">
      <c r="A513">
        <v>512</v>
      </c>
      <c r="B513">
        <v>0.1061</v>
      </c>
      <c r="C513">
        <v>0.46</v>
      </c>
      <c r="D513">
        <v>0.3881</v>
      </c>
      <c r="E513">
        <v>7</v>
      </c>
      <c r="F513">
        <v>51</v>
      </c>
      <c r="G513">
        <v>58</v>
      </c>
    </row>
    <row r="514" spans="1:7" x14ac:dyDescent="0.2">
      <c r="A514">
        <v>513</v>
      </c>
      <c r="B514">
        <v>0.13639999999999999</v>
      </c>
      <c r="C514">
        <v>0.43</v>
      </c>
      <c r="D514">
        <v>0.22389999999999999</v>
      </c>
      <c r="E514">
        <v>22</v>
      </c>
      <c r="F514">
        <v>77</v>
      </c>
      <c r="G514">
        <v>99</v>
      </c>
    </row>
    <row r="515" spans="1:7" x14ac:dyDescent="0.2">
      <c r="A515">
        <v>514</v>
      </c>
      <c r="B515">
        <v>0.1212</v>
      </c>
      <c r="C515">
        <v>0.37</v>
      </c>
      <c r="D515">
        <v>0.4627</v>
      </c>
      <c r="E515">
        <v>24</v>
      </c>
      <c r="F515">
        <v>92</v>
      </c>
      <c r="G515">
        <v>116</v>
      </c>
    </row>
    <row r="516" spans="1:7" x14ac:dyDescent="0.2">
      <c r="A516">
        <v>515</v>
      </c>
      <c r="B516">
        <v>0.1061</v>
      </c>
      <c r="C516">
        <v>0.33</v>
      </c>
      <c r="D516">
        <v>0.3881</v>
      </c>
      <c r="E516">
        <v>12</v>
      </c>
      <c r="F516">
        <v>75</v>
      </c>
      <c r="G516">
        <v>87</v>
      </c>
    </row>
    <row r="517" spans="1:7" x14ac:dyDescent="0.2">
      <c r="A517">
        <v>516</v>
      </c>
      <c r="B517">
        <v>0.13639999999999999</v>
      </c>
      <c r="C517">
        <v>0.28000000000000003</v>
      </c>
      <c r="D517">
        <v>0.35820000000000002</v>
      </c>
      <c r="E517">
        <v>17</v>
      </c>
      <c r="F517">
        <v>93</v>
      </c>
      <c r="G517">
        <v>110</v>
      </c>
    </row>
    <row r="518" spans="1:7" x14ac:dyDescent="0.2">
      <c r="A518">
        <v>517</v>
      </c>
      <c r="B518">
        <v>0.13639999999999999</v>
      </c>
      <c r="C518">
        <v>0.28000000000000003</v>
      </c>
      <c r="D518">
        <v>0.35820000000000002</v>
      </c>
      <c r="E518">
        <v>13</v>
      </c>
      <c r="F518">
        <v>64</v>
      </c>
      <c r="G518">
        <v>77</v>
      </c>
    </row>
    <row r="519" spans="1:7" x14ac:dyDescent="0.2">
      <c r="A519">
        <v>518</v>
      </c>
      <c r="B519">
        <v>0.13639999999999999</v>
      </c>
      <c r="C519">
        <v>0.26</v>
      </c>
      <c r="D519">
        <v>0.32840000000000003</v>
      </c>
      <c r="E519">
        <v>9</v>
      </c>
      <c r="F519">
        <v>56</v>
      </c>
      <c r="G519">
        <v>65</v>
      </c>
    </row>
    <row r="520" spans="1:7" x14ac:dyDescent="0.2">
      <c r="A520">
        <v>519</v>
      </c>
      <c r="B520">
        <v>0.1061</v>
      </c>
      <c r="C520">
        <v>0.26</v>
      </c>
      <c r="D520">
        <v>0.3881</v>
      </c>
      <c r="E520">
        <v>5</v>
      </c>
      <c r="F520">
        <v>50</v>
      </c>
      <c r="G520">
        <v>55</v>
      </c>
    </row>
    <row r="521" spans="1:7" x14ac:dyDescent="0.2">
      <c r="A521">
        <v>520</v>
      </c>
      <c r="B521">
        <v>0.1212</v>
      </c>
      <c r="C521">
        <v>0.3</v>
      </c>
      <c r="D521">
        <v>0.25369999999999998</v>
      </c>
      <c r="E521">
        <v>5</v>
      </c>
      <c r="F521">
        <v>44</v>
      </c>
      <c r="G521">
        <v>49</v>
      </c>
    </row>
    <row r="522" spans="1:7" x14ac:dyDescent="0.2">
      <c r="A522">
        <v>521</v>
      </c>
      <c r="B522">
        <v>0.1212</v>
      </c>
      <c r="C522">
        <v>0.3</v>
      </c>
      <c r="D522">
        <v>0.28360000000000002</v>
      </c>
      <c r="E522">
        <v>5</v>
      </c>
      <c r="F522">
        <v>45</v>
      </c>
      <c r="G522">
        <v>50</v>
      </c>
    </row>
    <row r="523" spans="1:7" x14ac:dyDescent="0.2">
      <c r="A523">
        <v>522</v>
      </c>
      <c r="B523">
        <v>0.1061</v>
      </c>
      <c r="C523">
        <v>0.36</v>
      </c>
      <c r="D523">
        <v>0.25369999999999998</v>
      </c>
      <c r="E523">
        <v>4</v>
      </c>
      <c r="F523">
        <v>31</v>
      </c>
      <c r="G523">
        <v>35</v>
      </c>
    </row>
    <row r="524" spans="1:7" x14ac:dyDescent="0.2">
      <c r="A524">
        <v>523</v>
      </c>
      <c r="B524">
        <v>0.1061</v>
      </c>
      <c r="C524">
        <v>0.36</v>
      </c>
      <c r="D524">
        <v>0.19400000000000001</v>
      </c>
      <c r="E524">
        <v>5</v>
      </c>
      <c r="F524">
        <v>20</v>
      </c>
      <c r="G524">
        <v>25</v>
      </c>
    </row>
    <row r="525" spans="1:7" x14ac:dyDescent="0.2">
      <c r="A525">
        <v>524</v>
      </c>
      <c r="B525">
        <v>9.0899999999999995E-2</v>
      </c>
      <c r="C525">
        <v>0.38</v>
      </c>
      <c r="D525">
        <v>0.19400000000000001</v>
      </c>
      <c r="E525">
        <v>5</v>
      </c>
      <c r="F525">
        <v>23</v>
      </c>
      <c r="G525">
        <v>28</v>
      </c>
    </row>
    <row r="526" spans="1:7" x14ac:dyDescent="0.2">
      <c r="A526">
        <v>525</v>
      </c>
      <c r="B526">
        <v>6.0600000000000001E-2</v>
      </c>
      <c r="C526">
        <v>0.41</v>
      </c>
      <c r="D526">
        <v>0.22389999999999999</v>
      </c>
      <c r="E526">
        <v>4</v>
      </c>
      <c r="F526">
        <v>17</v>
      </c>
      <c r="G526">
        <v>21</v>
      </c>
    </row>
    <row r="527" spans="1:7" x14ac:dyDescent="0.2">
      <c r="A527">
        <v>526</v>
      </c>
      <c r="B527">
        <v>6.0600000000000001E-2</v>
      </c>
      <c r="C527">
        <v>0.41</v>
      </c>
      <c r="D527">
        <v>0.19400000000000001</v>
      </c>
      <c r="E527">
        <v>0</v>
      </c>
      <c r="F527">
        <v>7</v>
      </c>
      <c r="G527">
        <v>7</v>
      </c>
    </row>
    <row r="528" spans="1:7" x14ac:dyDescent="0.2">
      <c r="A528">
        <v>527</v>
      </c>
      <c r="B528">
        <v>4.5499999999999999E-2</v>
      </c>
      <c r="C528">
        <v>0.45</v>
      </c>
      <c r="D528">
        <v>0.19400000000000001</v>
      </c>
      <c r="E528">
        <v>0</v>
      </c>
      <c r="F528">
        <v>1</v>
      </c>
      <c r="G528">
        <v>1</v>
      </c>
    </row>
    <row r="529" spans="1:7" x14ac:dyDescent="0.2">
      <c r="A529">
        <v>528</v>
      </c>
      <c r="B529">
        <v>3.0300000000000001E-2</v>
      </c>
      <c r="C529">
        <v>0.45</v>
      </c>
      <c r="D529">
        <v>0.25369999999999998</v>
      </c>
      <c r="E529">
        <v>0</v>
      </c>
      <c r="F529">
        <v>1</v>
      </c>
      <c r="G529">
        <v>1</v>
      </c>
    </row>
    <row r="530" spans="1:7" x14ac:dyDescent="0.2">
      <c r="A530">
        <v>529</v>
      </c>
      <c r="B530">
        <v>6.0600000000000001E-2</v>
      </c>
      <c r="C530">
        <v>0.48</v>
      </c>
      <c r="D530">
        <v>0.1343</v>
      </c>
      <c r="E530">
        <v>0</v>
      </c>
      <c r="F530">
        <v>1</v>
      </c>
      <c r="G530">
        <v>1</v>
      </c>
    </row>
    <row r="531" spans="1:7" x14ac:dyDescent="0.2">
      <c r="A531">
        <v>530</v>
      </c>
      <c r="B531">
        <v>6.0600000000000001E-2</v>
      </c>
      <c r="C531">
        <v>0.48</v>
      </c>
      <c r="D531">
        <v>0.1343</v>
      </c>
      <c r="E531">
        <v>0</v>
      </c>
      <c r="F531">
        <v>5</v>
      </c>
      <c r="G531">
        <v>5</v>
      </c>
    </row>
    <row r="532" spans="1:7" x14ac:dyDescent="0.2">
      <c r="A532">
        <v>531</v>
      </c>
      <c r="B532">
        <v>7.5800000000000006E-2</v>
      </c>
      <c r="C532">
        <v>0.48</v>
      </c>
      <c r="D532">
        <v>8.9599999999999999E-2</v>
      </c>
      <c r="E532">
        <v>0</v>
      </c>
      <c r="F532">
        <v>15</v>
      </c>
      <c r="G532">
        <v>15</v>
      </c>
    </row>
    <row r="533" spans="1:7" x14ac:dyDescent="0.2">
      <c r="A533">
        <v>532</v>
      </c>
      <c r="B533">
        <v>0.1212</v>
      </c>
      <c r="C533">
        <v>0.48</v>
      </c>
      <c r="D533">
        <v>0</v>
      </c>
      <c r="E533">
        <v>5</v>
      </c>
      <c r="F533">
        <v>79</v>
      </c>
      <c r="G533">
        <v>84</v>
      </c>
    </row>
    <row r="534" spans="1:7" x14ac:dyDescent="0.2">
      <c r="A534">
        <v>533</v>
      </c>
      <c r="B534">
        <v>0.13639999999999999</v>
      </c>
      <c r="C534">
        <v>0.49</v>
      </c>
      <c r="D534">
        <v>0</v>
      </c>
      <c r="E534">
        <v>6</v>
      </c>
      <c r="F534">
        <v>171</v>
      </c>
      <c r="G534">
        <v>177</v>
      </c>
    </row>
    <row r="535" spans="1:7" x14ac:dyDescent="0.2">
      <c r="A535">
        <v>534</v>
      </c>
      <c r="B535">
        <v>0.1515</v>
      </c>
      <c r="C535">
        <v>0.41</v>
      </c>
      <c r="D535">
        <v>0</v>
      </c>
      <c r="E535">
        <v>4</v>
      </c>
      <c r="F535">
        <v>98</v>
      </c>
      <c r="G535">
        <v>102</v>
      </c>
    </row>
    <row r="536" spans="1:7" x14ac:dyDescent="0.2">
      <c r="A536">
        <v>535</v>
      </c>
      <c r="B536">
        <v>0.13639999999999999</v>
      </c>
      <c r="C536">
        <v>0.42</v>
      </c>
      <c r="D536">
        <v>0</v>
      </c>
      <c r="E536">
        <v>6</v>
      </c>
      <c r="F536">
        <v>34</v>
      </c>
      <c r="G536">
        <v>40</v>
      </c>
    </row>
    <row r="537" spans="1:7" x14ac:dyDescent="0.2">
      <c r="A537">
        <v>536</v>
      </c>
      <c r="B537">
        <v>0.1212</v>
      </c>
      <c r="C537">
        <v>0.46</v>
      </c>
      <c r="D537">
        <v>0.1343</v>
      </c>
      <c r="E537">
        <v>3</v>
      </c>
      <c r="F537">
        <v>43</v>
      </c>
      <c r="G537">
        <v>46</v>
      </c>
    </row>
    <row r="538" spans="1:7" x14ac:dyDescent="0.2">
      <c r="A538">
        <v>537</v>
      </c>
      <c r="B538">
        <v>0.13639999999999999</v>
      </c>
      <c r="C538">
        <v>0.42</v>
      </c>
      <c r="D538">
        <v>0.19400000000000001</v>
      </c>
      <c r="E538">
        <v>11</v>
      </c>
      <c r="F538">
        <v>52</v>
      </c>
      <c r="G538">
        <v>63</v>
      </c>
    </row>
    <row r="539" spans="1:7" x14ac:dyDescent="0.2">
      <c r="A539">
        <v>538</v>
      </c>
      <c r="B539">
        <v>0.13639999999999999</v>
      </c>
      <c r="C539">
        <v>0.43</v>
      </c>
      <c r="D539">
        <v>0.22389999999999999</v>
      </c>
      <c r="E539">
        <v>6</v>
      </c>
      <c r="F539">
        <v>54</v>
      </c>
      <c r="G539">
        <v>60</v>
      </c>
    </row>
    <row r="540" spans="1:7" x14ac:dyDescent="0.2">
      <c r="A540">
        <v>539</v>
      </c>
      <c r="B540">
        <v>0.13639999999999999</v>
      </c>
      <c r="C540">
        <v>0.46</v>
      </c>
      <c r="D540">
        <v>0.22389999999999999</v>
      </c>
      <c r="E540">
        <v>2</v>
      </c>
      <c r="F540">
        <v>43</v>
      </c>
      <c r="G540">
        <v>45</v>
      </c>
    </row>
    <row r="541" spans="1:7" x14ac:dyDescent="0.2">
      <c r="A541">
        <v>540</v>
      </c>
      <c r="B541">
        <v>0.16669999999999999</v>
      </c>
      <c r="C541">
        <v>0.4</v>
      </c>
      <c r="D541">
        <v>0.16420000000000001</v>
      </c>
      <c r="E541">
        <v>7</v>
      </c>
      <c r="F541">
        <v>50</v>
      </c>
      <c r="G541">
        <v>57</v>
      </c>
    </row>
    <row r="542" spans="1:7" x14ac:dyDescent="0.2">
      <c r="A542">
        <v>541</v>
      </c>
      <c r="B542">
        <v>0.1515</v>
      </c>
      <c r="C542">
        <v>0.47</v>
      </c>
      <c r="D542">
        <v>0.25369999999999998</v>
      </c>
      <c r="E542">
        <v>4</v>
      </c>
      <c r="F542">
        <v>66</v>
      </c>
      <c r="G542">
        <v>70</v>
      </c>
    </row>
    <row r="543" spans="1:7" x14ac:dyDescent="0.2">
      <c r="A543">
        <v>542</v>
      </c>
      <c r="B543">
        <v>0.1212</v>
      </c>
      <c r="C543">
        <v>0.5</v>
      </c>
      <c r="D543">
        <v>0.25369999999999998</v>
      </c>
      <c r="E543">
        <v>6</v>
      </c>
      <c r="F543">
        <v>178</v>
      </c>
      <c r="G543">
        <v>184</v>
      </c>
    </row>
    <row r="544" spans="1:7" x14ac:dyDescent="0.2">
      <c r="A544">
        <v>543</v>
      </c>
      <c r="B544">
        <v>0.13639999999999999</v>
      </c>
      <c r="C544">
        <v>0.59</v>
      </c>
      <c r="D544">
        <v>0.19400000000000001</v>
      </c>
      <c r="E544">
        <v>8</v>
      </c>
      <c r="F544">
        <v>145</v>
      </c>
      <c r="G544">
        <v>153</v>
      </c>
    </row>
    <row r="545" spans="1:7" x14ac:dyDescent="0.2">
      <c r="A545">
        <v>544</v>
      </c>
      <c r="B545">
        <v>0.1515</v>
      </c>
      <c r="C545">
        <v>0.54</v>
      </c>
      <c r="D545">
        <v>0.16420000000000001</v>
      </c>
      <c r="E545">
        <v>5</v>
      </c>
      <c r="F545">
        <v>101</v>
      </c>
      <c r="G545">
        <v>106</v>
      </c>
    </row>
    <row r="546" spans="1:7" x14ac:dyDescent="0.2">
      <c r="A546">
        <v>545</v>
      </c>
      <c r="B546">
        <v>0.13639999999999999</v>
      </c>
      <c r="C546">
        <v>0.59</v>
      </c>
      <c r="D546">
        <v>0.19400000000000001</v>
      </c>
      <c r="E546">
        <v>1</v>
      </c>
      <c r="F546">
        <v>80</v>
      </c>
      <c r="G546">
        <v>81</v>
      </c>
    </row>
    <row r="547" spans="1:7" x14ac:dyDescent="0.2">
      <c r="A547">
        <v>546</v>
      </c>
      <c r="B547">
        <v>0.1515</v>
      </c>
      <c r="C547">
        <v>0.63</v>
      </c>
      <c r="D547">
        <v>0.16420000000000001</v>
      </c>
      <c r="E547">
        <v>6</v>
      </c>
      <c r="F547">
        <v>53</v>
      </c>
      <c r="G547">
        <v>59</v>
      </c>
    </row>
    <row r="548" spans="1:7" x14ac:dyDescent="0.2">
      <c r="A548">
        <v>547</v>
      </c>
      <c r="B548">
        <v>0.13639999999999999</v>
      </c>
      <c r="C548">
        <v>0.63</v>
      </c>
      <c r="D548">
        <v>0.22389999999999999</v>
      </c>
      <c r="E548">
        <v>3</v>
      </c>
      <c r="F548">
        <v>32</v>
      </c>
      <c r="G548">
        <v>35</v>
      </c>
    </row>
    <row r="549" spans="1:7" x14ac:dyDescent="0.2">
      <c r="A549">
        <v>548</v>
      </c>
      <c r="B549">
        <v>0.1515</v>
      </c>
      <c r="C549">
        <v>0.64</v>
      </c>
      <c r="D549">
        <v>0.25369999999999998</v>
      </c>
      <c r="E549">
        <v>3</v>
      </c>
      <c r="F549">
        <v>21</v>
      </c>
      <c r="G549">
        <v>24</v>
      </c>
    </row>
    <row r="550" spans="1:7" x14ac:dyDescent="0.2">
      <c r="A550">
        <v>549</v>
      </c>
      <c r="B550">
        <v>0.13639999999999999</v>
      </c>
      <c r="C550">
        <v>0.69</v>
      </c>
      <c r="D550">
        <v>0.28360000000000002</v>
      </c>
      <c r="E550">
        <v>3</v>
      </c>
      <c r="F550">
        <v>6</v>
      </c>
      <c r="G550">
        <v>9</v>
      </c>
    </row>
    <row r="551" spans="1:7" x14ac:dyDescent="0.2">
      <c r="A551">
        <v>550</v>
      </c>
      <c r="B551">
        <v>0.16669999999999999</v>
      </c>
      <c r="C551">
        <v>0.69</v>
      </c>
      <c r="D551">
        <v>0.16420000000000001</v>
      </c>
      <c r="E551">
        <v>0</v>
      </c>
      <c r="F551">
        <v>5</v>
      </c>
      <c r="G551">
        <v>5</v>
      </c>
    </row>
    <row r="552" spans="1:7" x14ac:dyDescent="0.2">
      <c r="A552">
        <v>551</v>
      </c>
      <c r="B552">
        <v>0.1515</v>
      </c>
      <c r="C552">
        <v>0.69</v>
      </c>
      <c r="D552">
        <v>0.22389999999999999</v>
      </c>
      <c r="E552">
        <v>0</v>
      </c>
      <c r="F552">
        <v>2</v>
      </c>
      <c r="G552">
        <v>2</v>
      </c>
    </row>
    <row r="553" spans="1:7" x14ac:dyDescent="0.2">
      <c r="A553">
        <v>552</v>
      </c>
      <c r="B553">
        <v>0.16669999999999999</v>
      </c>
      <c r="C553">
        <v>0.74</v>
      </c>
      <c r="D553">
        <v>0.1045</v>
      </c>
      <c r="E553">
        <v>0</v>
      </c>
      <c r="F553">
        <v>1</v>
      </c>
      <c r="G553">
        <v>1</v>
      </c>
    </row>
    <row r="554" spans="1:7" x14ac:dyDescent="0.2">
      <c r="A554">
        <v>553</v>
      </c>
      <c r="B554">
        <v>0.13639999999999999</v>
      </c>
      <c r="C554">
        <v>0.74</v>
      </c>
      <c r="D554">
        <v>0.22389999999999999</v>
      </c>
      <c r="E554">
        <v>0</v>
      </c>
      <c r="F554">
        <v>9</v>
      </c>
      <c r="G554">
        <v>9</v>
      </c>
    </row>
    <row r="555" spans="1:7" x14ac:dyDescent="0.2">
      <c r="A555">
        <v>554</v>
      </c>
      <c r="B555">
        <v>0.18179999999999999</v>
      </c>
      <c r="C555">
        <v>0.74</v>
      </c>
      <c r="D555">
        <v>0.1045</v>
      </c>
      <c r="E555">
        <v>1</v>
      </c>
      <c r="F555">
        <v>35</v>
      </c>
      <c r="G555">
        <v>36</v>
      </c>
    </row>
    <row r="556" spans="1:7" x14ac:dyDescent="0.2">
      <c r="A556">
        <v>555</v>
      </c>
      <c r="B556">
        <v>0.1515</v>
      </c>
      <c r="C556">
        <v>0.74</v>
      </c>
      <c r="D556">
        <v>0.22389999999999999</v>
      </c>
      <c r="E556">
        <v>5</v>
      </c>
      <c r="F556">
        <v>103</v>
      </c>
      <c r="G556">
        <v>108</v>
      </c>
    </row>
    <row r="557" spans="1:7" x14ac:dyDescent="0.2">
      <c r="A557">
        <v>556</v>
      </c>
      <c r="B557">
        <v>0.18179999999999999</v>
      </c>
      <c r="C557">
        <v>0.74</v>
      </c>
      <c r="D557">
        <v>0.1343</v>
      </c>
      <c r="E557">
        <v>5</v>
      </c>
      <c r="F557">
        <v>233</v>
      </c>
      <c r="G557">
        <v>238</v>
      </c>
    </row>
    <row r="558" spans="1:7" x14ac:dyDescent="0.2">
      <c r="A558">
        <v>557</v>
      </c>
      <c r="B558">
        <v>0.2273</v>
      </c>
      <c r="C558">
        <v>0.64</v>
      </c>
      <c r="D558">
        <v>8.9599999999999999E-2</v>
      </c>
      <c r="E558">
        <v>10</v>
      </c>
      <c r="F558">
        <v>134</v>
      </c>
      <c r="G558">
        <v>144</v>
      </c>
    </row>
    <row r="559" spans="1:7" x14ac:dyDescent="0.2">
      <c r="A559">
        <v>558</v>
      </c>
      <c r="B559">
        <v>0.2424</v>
      </c>
      <c r="C559">
        <v>0.6</v>
      </c>
      <c r="D559">
        <v>0.1045</v>
      </c>
      <c r="E559">
        <v>6</v>
      </c>
      <c r="F559">
        <v>49</v>
      </c>
      <c r="G559">
        <v>55</v>
      </c>
    </row>
    <row r="560" spans="1:7" x14ac:dyDescent="0.2">
      <c r="A560">
        <v>559</v>
      </c>
      <c r="B560">
        <v>0.2424</v>
      </c>
      <c r="C560">
        <v>0.6</v>
      </c>
      <c r="D560">
        <v>0.1343</v>
      </c>
      <c r="E560">
        <v>6</v>
      </c>
      <c r="F560">
        <v>55</v>
      </c>
      <c r="G560">
        <v>61</v>
      </c>
    </row>
    <row r="561" spans="1:7" x14ac:dyDescent="0.2">
      <c r="A561">
        <v>560</v>
      </c>
      <c r="B561">
        <v>0.28789999999999999</v>
      </c>
      <c r="C561">
        <v>0.56000000000000005</v>
      </c>
      <c r="D561">
        <v>8.9599999999999999E-2</v>
      </c>
      <c r="E561">
        <v>21</v>
      </c>
      <c r="F561">
        <v>85</v>
      </c>
      <c r="G561">
        <v>106</v>
      </c>
    </row>
    <row r="562" spans="1:7" x14ac:dyDescent="0.2">
      <c r="A562">
        <v>561</v>
      </c>
      <c r="B562">
        <v>0.2727</v>
      </c>
      <c r="C562">
        <v>0.56000000000000005</v>
      </c>
      <c r="D562">
        <v>0.1343</v>
      </c>
      <c r="E562">
        <v>21</v>
      </c>
      <c r="F562">
        <v>72</v>
      </c>
      <c r="G562">
        <v>93</v>
      </c>
    </row>
    <row r="563" spans="1:7" x14ac:dyDescent="0.2">
      <c r="A563">
        <v>562</v>
      </c>
      <c r="B563">
        <v>0.33329999999999999</v>
      </c>
      <c r="C563">
        <v>0.45</v>
      </c>
      <c r="D563">
        <v>0</v>
      </c>
      <c r="E563">
        <v>11</v>
      </c>
      <c r="F563">
        <v>57</v>
      </c>
      <c r="G563">
        <v>68</v>
      </c>
    </row>
    <row r="564" spans="1:7" x14ac:dyDescent="0.2">
      <c r="A564">
        <v>563</v>
      </c>
      <c r="B564">
        <v>0.34849999999999998</v>
      </c>
      <c r="C564">
        <v>0.42</v>
      </c>
      <c r="D564">
        <v>0</v>
      </c>
      <c r="E564">
        <v>21</v>
      </c>
      <c r="F564">
        <v>63</v>
      </c>
      <c r="G564">
        <v>84</v>
      </c>
    </row>
    <row r="565" spans="1:7" x14ac:dyDescent="0.2">
      <c r="A565">
        <v>564</v>
      </c>
      <c r="B565">
        <v>0.34849999999999998</v>
      </c>
      <c r="C565">
        <v>0.42</v>
      </c>
      <c r="D565">
        <v>0</v>
      </c>
      <c r="E565">
        <v>14</v>
      </c>
      <c r="F565">
        <v>102</v>
      </c>
      <c r="G565">
        <v>116</v>
      </c>
    </row>
    <row r="566" spans="1:7" x14ac:dyDescent="0.2">
      <c r="A566">
        <v>565</v>
      </c>
      <c r="B566">
        <v>0.33329999999999999</v>
      </c>
      <c r="C566">
        <v>0.45</v>
      </c>
      <c r="D566">
        <v>0</v>
      </c>
      <c r="E566">
        <v>14</v>
      </c>
      <c r="F566">
        <v>208</v>
      </c>
      <c r="G566">
        <v>222</v>
      </c>
    </row>
    <row r="567" spans="1:7" x14ac:dyDescent="0.2">
      <c r="A567">
        <v>566</v>
      </c>
      <c r="B567">
        <v>0.31819999999999998</v>
      </c>
      <c r="C567">
        <v>0.49</v>
      </c>
      <c r="D567">
        <v>8.9599999999999999E-2</v>
      </c>
      <c r="E567">
        <v>7</v>
      </c>
      <c r="F567">
        <v>218</v>
      </c>
      <c r="G567">
        <v>225</v>
      </c>
    </row>
    <row r="568" spans="1:7" x14ac:dyDescent="0.2">
      <c r="A568">
        <v>567</v>
      </c>
      <c r="B568">
        <v>0.2576</v>
      </c>
      <c r="C568">
        <v>0.65</v>
      </c>
      <c r="D568">
        <v>0.16420000000000001</v>
      </c>
      <c r="E568">
        <v>13</v>
      </c>
      <c r="F568">
        <v>133</v>
      </c>
      <c r="G568">
        <v>146</v>
      </c>
    </row>
    <row r="569" spans="1:7" x14ac:dyDescent="0.2">
      <c r="A569">
        <v>568</v>
      </c>
      <c r="B569">
        <v>0.2273</v>
      </c>
      <c r="C569">
        <v>0.65</v>
      </c>
      <c r="D569">
        <v>0.19400000000000001</v>
      </c>
      <c r="E569">
        <v>16</v>
      </c>
      <c r="F569">
        <v>103</v>
      </c>
      <c r="G569">
        <v>119</v>
      </c>
    </row>
    <row r="570" spans="1:7" x14ac:dyDescent="0.2">
      <c r="A570">
        <v>569</v>
      </c>
      <c r="B570">
        <v>0.2273</v>
      </c>
      <c r="C570">
        <v>0.65</v>
      </c>
      <c r="D570">
        <v>0.19400000000000001</v>
      </c>
      <c r="E570">
        <v>5</v>
      </c>
      <c r="F570">
        <v>40</v>
      </c>
      <c r="G570">
        <v>45</v>
      </c>
    </row>
    <row r="571" spans="1:7" x14ac:dyDescent="0.2">
      <c r="A571">
        <v>570</v>
      </c>
      <c r="B571">
        <v>0.2273</v>
      </c>
      <c r="C571">
        <v>0.64</v>
      </c>
      <c r="D571">
        <v>0.16420000000000001</v>
      </c>
      <c r="E571">
        <v>4</v>
      </c>
      <c r="F571">
        <v>49</v>
      </c>
      <c r="G571">
        <v>53</v>
      </c>
    </row>
    <row r="572" spans="1:7" x14ac:dyDescent="0.2">
      <c r="A572">
        <v>571</v>
      </c>
      <c r="B572">
        <v>0.2273</v>
      </c>
      <c r="C572">
        <v>0.64</v>
      </c>
      <c r="D572">
        <v>0.16420000000000001</v>
      </c>
      <c r="E572">
        <v>3</v>
      </c>
      <c r="F572">
        <v>37</v>
      </c>
      <c r="G572">
        <v>40</v>
      </c>
    </row>
    <row r="573" spans="1:7" x14ac:dyDescent="0.2">
      <c r="A573">
        <v>572</v>
      </c>
      <c r="B573">
        <v>0.2273</v>
      </c>
      <c r="C573">
        <v>0.69</v>
      </c>
      <c r="D573">
        <v>0.1343</v>
      </c>
      <c r="E573">
        <v>3</v>
      </c>
      <c r="F573">
        <v>14</v>
      </c>
      <c r="G573">
        <v>17</v>
      </c>
    </row>
    <row r="574" spans="1:7" x14ac:dyDescent="0.2">
      <c r="A574">
        <v>573</v>
      </c>
      <c r="B574">
        <v>0.2424</v>
      </c>
      <c r="C574">
        <v>0.65</v>
      </c>
      <c r="D574">
        <v>0.1343</v>
      </c>
      <c r="E574">
        <v>0</v>
      </c>
      <c r="F574">
        <v>5</v>
      </c>
      <c r="G574">
        <v>5</v>
      </c>
    </row>
    <row r="575" spans="1:7" x14ac:dyDescent="0.2">
      <c r="A575">
        <v>574</v>
      </c>
      <c r="B575">
        <v>0.2273</v>
      </c>
      <c r="C575">
        <v>0.69</v>
      </c>
      <c r="D575">
        <v>0.19400000000000001</v>
      </c>
      <c r="E575">
        <v>3</v>
      </c>
      <c r="F575">
        <v>7</v>
      </c>
      <c r="G575">
        <v>10</v>
      </c>
    </row>
    <row r="576" spans="1:7" x14ac:dyDescent="0.2">
      <c r="A576">
        <v>575</v>
      </c>
      <c r="B576">
        <v>0.18179999999999999</v>
      </c>
      <c r="C576">
        <v>0.86</v>
      </c>
      <c r="D576">
        <v>0.28360000000000002</v>
      </c>
      <c r="E576">
        <v>0</v>
      </c>
      <c r="F576">
        <v>1</v>
      </c>
      <c r="G576">
        <v>1</v>
      </c>
    </row>
    <row r="577" spans="1:7" x14ac:dyDescent="0.2">
      <c r="A577">
        <v>576</v>
      </c>
      <c r="B577">
        <v>0.18179999999999999</v>
      </c>
      <c r="C577">
        <v>0.86</v>
      </c>
      <c r="D577">
        <v>0.28360000000000002</v>
      </c>
      <c r="E577">
        <v>0</v>
      </c>
      <c r="F577">
        <v>8</v>
      </c>
      <c r="G577">
        <v>8</v>
      </c>
    </row>
    <row r="578" spans="1:7" x14ac:dyDescent="0.2">
      <c r="A578">
        <v>577</v>
      </c>
      <c r="B578">
        <v>0.21210000000000001</v>
      </c>
      <c r="C578">
        <v>0.87</v>
      </c>
      <c r="D578">
        <v>0.29849999999999999</v>
      </c>
      <c r="E578">
        <v>1</v>
      </c>
      <c r="F578">
        <v>29</v>
      </c>
      <c r="G578">
        <v>30</v>
      </c>
    </row>
    <row r="579" spans="1:7" x14ac:dyDescent="0.2">
      <c r="A579">
        <v>578</v>
      </c>
      <c r="B579">
        <v>0.21210000000000001</v>
      </c>
      <c r="C579">
        <v>0.87</v>
      </c>
      <c r="D579">
        <v>0.29849999999999999</v>
      </c>
      <c r="E579">
        <v>3</v>
      </c>
      <c r="F579">
        <v>69</v>
      </c>
      <c r="G579">
        <v>72</v>
      </c>
    </row>
    <row r="580" spans="1:7" x14ac:dyDescent="0.2">
      <c r="A580">
        <v>579</v>
      </c>
      <c r="B580">
        <v>0.21210000000000001</v>
      </c>
      <c r="C580">
        <v>0.87</v>
      </c>
      <c r="D580">
        <v>0.29849999999999999</v>
      </c>
      <c r="E580">
        <v>3</v>
      </c>
      <c r="F580">
        <v>55</v>
      </c>
      <c r="G580">
        <v>58</v>
      </c>
    </row>
    <row r="581" spans="1:7" x14ac:dyDescent="0.2">
      <c r="A581">
        <v>580</v>
      </c>
      <c r="B581">
        <v>0.21210000000000001</v>
      </c>
      <c r="C581">
        <v>0.93</v>
      </c>
      <c r="D581">
        <v>0.28360000000000002</v>
      </c>
      <c r="E581">
        <v>2</v>
      </c>
      <c r="F581">
        <v>26</v>
      </c>
      <c r="G581">
        <v>28</v>
      </c>
    </row>
    <row r="582" spans="1:7" x14ac:dyDescent="0.2">
      <c r="A582">
        <v>581</v>
      </c>
      <c r="B582">
        <v>0.19700000000000001</v>
      </c>
      <c r="C582">
        <v>0.93</v>
      </c>
      <c r="D582">
        <v>0.32840000000000003</v>
      </c>
      <c r="E582">
        <v>6</v>
      </c>
      <c r="F582">
        <v>35</v>
      </c>
      <c r="G582">
        <v>41</v>
      </c>
    </row>
    <row r="583" spans="1:7" x14ac:dyDescent="0.2">
      <c r="A583">
        <v>582</v>
      </c>
      <c r="B583">
        <v>0.19700000000000001</v>
      </c>
      <c r="C583">
        <v>0.93</v>
      </c>
      <c r="D583">
        <v>0.32840000000000003</v>
      </c>
      <c r="E583">
        <v>7</v>
      </c>
      <c r="F583">
        <v>41</v>
      </c>
      <c r="G583">
        <v>48</v>
      </c>
    </row>
    <row r="584" spans="1:7" x14ac:dyDescent="0.2">
      <c r="A584">
        <v>583</v>
      </c>
      <c r="B584">
        <v>0.19700000000000001</v>
      </c>
      <c r="C584">
        <v>0.93</v>
      </c>
      <c r="D584">
        <v>0.32840000000000003</v>
      </c>
      <c r="E584">
        <v>4</v>
      </c>
      <c r="F584">
        <v>43</v>
      </c>
      <c r="G584">
        <v>47</v>
      </c>
    </row>
    <row r="585" spans="1:7" x14ac:dyDescent="0.2">
      <c r="A585">
        <v>584</v>
      </c>
      <c r="B585">
        <v>0.19700000000000001</v>
      </c>
      <c r="C585">
        <v>0.93</v>
      </c>
      <c r="D585">
        <v>0.35820000000000002</v>
      </c>
      <c r="E585">
        <v>0</v>
      </c>
      <c r="F585">
        <v>36</v>
      </c>
      <c r="G585">
        <v>36</v>
      </c>
    </row>
    <row r="586" spans="1:7" x14ac:dyDescent="0.2">
      <c r="A586">
        <v>585</v>
      </c>
      <c r="B586">
        <v>0.18179999999999999</v>
      </c>
      <c r="C586">
        <v>0.93</v>
      </c>
      <c r="D586">
        <v>0.4627</v>
      </c>
      <c r="E586">
        <v>1</v>
      </c>
      <c r="F586">
        <v>42</v>
      </c>
      <c r="G586">
        <v>43</v>
      </c>
    </row>
    <row r="587" spans="1:7" x14ac:dyDescent="0.2">
      <c r="A587">
        <v>586</v>
      </c>
      <c r="B587">
        <v>0.19700000000000001</v>
      </c>
      <c r="C587">
        <v>0.93</v>
      </c>
      <c r="D587">
        <v>0.32840000000000003</v>
      </c>
      <c r="E587">
        <v>1</v>
      </c>
      <c r="F587">
        <v>35</v>
      </c>
      <c r="G587">
        <v>36</v>
      </c>
    </row>
    <row r="588" spans="1:7" x14ac:dyDescent="0.2">
      <c r="A588">
        <v>587</v>
      </c>
      <c r="B588">
        <v>0.18179999999999999</v>
      </c>
      <c r="C588">
        <v>0.93</v>
      </c>
      <c r="D588">
        <v>0.35820000000000002</v>
      </c>
      <c r="E588">
        <v>0</v>
      </c>
      <c r="F588">
        <v>26</v>
      </c>
      <c r="G588">
        <v>26</v>
      </c>
    </row>
    <row r="589" spans="1:7" x14ac:dyDescent="0.2">
      <c r="A589">
        <v>588</v>
      </c>
      <c r="B589">
        <v>0.2273</v>
      </c>
      <c r="C589">
        <v>0.55000000000000004</v>
      </c>
      <c r="D589">
        <v>0.19400000000000001</v>
      </c>
      <c r="E589">
        <v>1</v>
      </c>
      <c r="F589">
        <v>23</v>
      </c>
      <c r="G589">
        <v>24</v>
      </c>
    </row>
    <row r="590" spans="1:7" x14ac:dyDescent="0.2">
      <c r="A590">
        <v>589</v>
      </c>
      <c r="B590">
        <v>0.2424</v>
      </c>
      <c r="C590">
        <v>0.55000000000000004</v>
      </c>
      <c r="D590">
        <v>0.1045</v>
      </c>
      <c r="E590">
        <v>2</v>
      </c>
      <c r="F590">
        <v>82</v>
      </c>
      <c r="G590">
        <v>84</v>
      </c>
    </row>
    <row r="591" spans="1:7" x14ac:dyDescent="0.2">
      <c r="A591">
        <v>590</v>
      </c>
      <c r="B591">
        <v>0.2273</v>
      </c>
      <c r="C591">
        <v>0.69</v>
      </c>
      <c r="D591">
        <v>8.9599999999999999E-2</v>
      </c>
      <c r="E591">
        <v>3</v>
      </c>
      <c r="F591">
        <v>101</v>
      </c>
      <c r="G591">
        <v>104</v>
      </c>
    </row>
    <row r="592" spans="1:7" x14ac:dyDescent="0.2">
      <c r="A592">
        <v>591</v>
      </c>
      <c r="B592">
        <v>0.2273</v>
      </c>
      <c r="C592">
        <v>0.69</v>
      </c>
      <c r="D592">
        <v>8.9599999999999999E-2</v>
      </c>
      <c r="E592">
        <v>3</v>
      </c>
      <c r="F592">
        <v>76</v>
      </c>
      <c r="G592">
        <v>79</v>
      </c>
    </row>
    <row r="593" spans="1:7" x14ac:dyDescent="0.2">
      <c r="A593">
        <v>592</v>
      </c>
      <c r="B593">
        <v>0.21210000000000001</v>
      </c>
      <c r="C593">
        <v>0.74</v>
      </c>
      <c r="D593">
        <v>8.9599999999999999E-2</v>
      </c>
      <c r="E593">
        <v>4</v>
      </c>
      <c r="F593">
        <v>55</v>
      </c>
      <c r="G593">
        <v>59</v>
      </c>
    </row>
    <row r="594" spans="1:7" x14ac:dyDescent="0.2">
      <c r="A594">
        <v>593</v>
      </c>
      <c r="B594">
        <v>0.21210000000000001</v>
      </c>
      <c r="C594">
        <v>0.74</v>
      </c>
      <c r="D594">
        <v>8.9599999999999999E-2</v>
      </c>
      <c r="E594">
        <v>2</v>
      </c>
      <c r="F594">
        <v>36</v>
      </c>
      <c r="G594">
        <v>38</v>
      </c>
    </row>
    <row r="595" spans="1:7" x14ac:dyDescent="0.2">
      <c r="A595">
        <v>594</v>
      </c>
      <c r="B595">
        <v>0.21210000000000001</v>
      </c>
      <c r="C595">
        <v>0.74</v>
      </c>
      <c r="D595">
        <v>8.9599999999999999E-2</v>
      </c>
      <c r="E595">
        <v>0</v>
      </c>
      <c r="F595">
        <v>27</v>
      </c>
      <c r="G595">
        <v>27</v>
      </c>
    </row>
    <row r="596" spans="1:7" x14ac:dyDescent="0.2">
      <c r="A596">
        <v>595</v>
      </c>
      <c r="B596">
        <v>0.19700000000000001</v>
      </c>
      <c r="C596">
        <v>0.8</v>
      </c>
      <c r="D596">
        <v>0.16420000000000001</v>
      </c>
      <c r="E596">
        <v>0</v>
      </c>
      <c r="F596">
        <v>16</v>
      </c>
      <c r="G596">
        <v>16</v>
      </c>
    </row>
    <row r="597" spans="1:7" x14ac:dyDescent="0.2">
      <c r="A597">
        <v>596</v>
      </c>
      <c r="B597">
        <v>0.21210000000000001</v>
      </c>
      <c r="C597">
        <v>0.75</v>
      </c>
      <c r="D597">
        <v>0.1343</v>
      </c>
      <c r="E597">
        <v>0</v>
      </c>
      <c r="F597">
        <v>9</v>
      </c>
      <c r="G597">
        <v>9</v>
      </c>
    </row>
    <row r="598" spans="1:7" x14ac:dyDescent="0.2">
      <c r="A598">
        <v>597</v>
      </c>
      <c r="B598">
        <v>0.21210000000000001</v>
      </c>
      <c r="C598">
        <v>0.75</v>
      </c>
      <c r="D598">
        <v>0.1343</v>
      </c>
      <c r="E598">
        <v>1</v>
      </c>
      <c r="F598">
        <v>2</v>
      </c>
      <c r="G598">
        <v>3</v>
      </c>
    </row>
    <row r="599" spans="1:7" x14ac:dyDescent="0.2">
      <c r="A599">
        <v>598</v>
      </c>
      <c r="B599">
        <v>0.21210000000000001</v>
      </c>
      <c r="C599">
        <v>0.75</v>
      </c>
      <c r="D599">
        <v>0.16420000000000001</v>
      </c>
      <c r="E599">
        <v>0</v>
      </c>
      <c r="F599">
        <v>2</v>
      </c>
      <c r="G599">
        <v>2</v>
      </c>
    </row>
    <row r="600" spans="1:7" x14ac:dyDescent="0.2">
      <c r="A600">
        <v>599</v>
      </c>
      <c r="B600">
        <v>0.2273</v>
      </c>
      <c r="C600">
        <v>0.75</v>
      </c>
      <c r="D600">
        <v>0.1045</v>
      </c>
      <c r="E600">
        <v>1</v>
      </c>
      <c r="F600">
        <v>0</v>
      </c>
      <c r="G600">
        <v>1</v>
      </c>
    </row>
    <row r="601" spans="1:7" x14ac:dyDescent="0.2">
      <c r="A601">
        <v>600</v>
      </c>
      <c r="B601">
        <v>0.21210000000000001</v>
      </c>
      <c r="C601">
        <v>0.8</v>
      </c>
      <c r="D601">
        <v>0.1045</v>
      </c>
      <c r="E601">
        <v>0</v>
      </c>
      <c r="F601">
        <v>4</v>
      </c>
      <c r="G601">
        <v>4</v>
      </c>
    </row>
    <row r="602" spans="1:7" x14ac:dyDescent="0.2">
      <c r="A602">
        <v>601</v>
      </c>
      <c r="B602">
        <v>0.19700000000000001</v>
      </c>
      <c r="C602">
        <v>0.8</v>
      </c>
      <c r="D602">
        <v>0.1343</v>
      </c>
      <c r="E602">
        <v>0</v>
      </c>
      <c r="F602">
        <v>16</v>
      </c>
      <c r="G602">
        <v>16</v>
      </c>
    </row>
    <row r="603" spans="1:7" x14ac:dyDescent="0.2">
      <c r="A603">
        <v>602</v>
      </c>
      <c r="B603">
        <v>0.19700000000000001</v>
      </c>
      <c r="C603">
        <v>0.86</v>
      </c>
      <c r="D603">
        <v>8.9599999999999999E-2</v>
      </c>
      <c r="E603">
        <v>2</v>
      </c>
      <c r="F603">
        <v>58</v>
      </c>
      <c r="G603">
        <v>60</v>
      </c>
    </row>
    <row r="604" spans="1:7" x14ac:dyDescent="0.2">
      <c r="A604">
        <v>603</v>
      </c>
      <c r="B604">
        <v>0.19700000000000001</v>
      </c>
      <c r="C604">
        <v>0.86</v>
      </c>
      <c r="D604">
        <v>8.9599999999999999E-2</v>
      </c>
      <c r="E604">
        <v>2</v>
      </c>
      <c r="F604">
        <v>155</v>
      </c>
      <c r="G604">
        <v>157</v>
      </c>
    </row>
    <row r="605" spans="1:7" x14ac:dyDescent="0.2">
      <c r="A605">
        <v>604</v>
      </c>
      <c r="B605">
        <v>0.21210000000000001</v>
      </c>
      <c r="C605">
        <v>0.86</v>
      </c>
      <c r="D605">
        <v>8.9599999999999999E-2</v>
      </c>
      <c r="E605">
        <v>6</v>
      </c>
      <c r="F605">
        <v>95</v>
      </c>
      <c r="G605">
        <v>101</v>
      </c>
    </row>
    <row r="606" spans="1:7" x14ac:dyDescent="0.2">
      <c r="A606">
        <v>605</v>
      </c>
      <c r="B606">
        <v>0.21210000000000001</v>
      </c>
      <c r="C606">
        <v>0.86</v>
      </c>
      <c r="D606">
        <v>0.1045</v>
      </c>
      <c r="E606">
        <v>0</v>
      </c>
      <c r="F606">
        <v>49</v>
      </c>
      <c r="G606">
        <v>49</v>
      </c>
    </row>
    <row r="607" spans="1:7" x14ac:dyDescent="0.2">
      <c r="A607">
        <v>606</v>
      </c>
      <c r="B607">
        <v>0.21210000000000001</v>
      </c>
      <c r="C607">
        <v>0.93</v>
      </c>
      <c r="D607">
        <v>0.1045</v>
      </c>
      <c r="E607">
        <v>0</v>
      </c>
      <c r="F607">
        <v>30</v>
      </c>
      <c r="G607">
        <v>30</v>
      </c>
    </row>
    <row r="608" spans="1:7" x14ac:dyDescent="0.2">
      <c r="A608">
        <v>607</v>
      </c>
      <c r="B608">
        <v>0.21210000000000001</v>
      </c>
      <c r="C608">
        <v>0.93</v>
      </c>
      <c r="D608">
        <v>0.1045</v>
      </c>
      <c r="E608">
        <v>1</v>
      </c>
      <c r="F608">
        <v>28</v>
      </c>
      <c r="G608">
        <v>29</v>
      </c>
    </row>
    <row r="609" spans="1:7" x14ac:dyDescent="0.2">
      <c r="A609">
        <v>608</v>
      </c>
      <c r="B609">
        <v>0.21210000000000001</v>
      </c>
      <c r="C609">
        <v>0.93</v>
      </c>
      <c r="D609">
        <v>0.1045</v>
      </c>
      <c r="E609">
        <v>0</v>
      </c>
      <c r="F609">
        <v>31</v>
      </c>
      <c r="G609">
        <v>31</v>
      </c>
    </row>
    <row r="610" spans="1:7" x14ac:dyDescent="0.2">
      <c r="A610">
        <v>609</v>
      </c>
      <c r="B610">
        <v>0.2727</v>
      </c>
      <c r="C610">
        <v>0.8</v>
      </c>
      <c r="D610">
        <v>0</v>
      </c>
      <c r="E610">
        <v>2</v>
      </c>
      <c r="F610">
        <v>36</v>
      </c>
      <c r="G610">
        <v>38</v>
      </c>
    </row>
    <row r="611" spans="1:7" x14ac:dyDescent="0.2">
      <c r="A611">
        <v>610</v>
      </c>
      <c r="B611">
        <v>0.2576</v>
      </c>
      <c r="C611">
        <v>0.86</v>
      </c>
      <c r="D611">
        <v>0</v>
      </c>
      <c r="E611">
        <v>1</v>
      </c>
      <c r="F611">
        <v>40</v>
      </c>
      <c r="G611">
        <v>41</v>
      </c>
    </row>
  </sheetData>
  <pageMargins left="0.75" right="0.75" top="1" bottom="1" header="0.5" footer="0.5"/>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606C76"/>
  </sheetPr>
  <dimension ref="A1:P391"/>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6" width="11" customWidth="1"/>
  </cols>
  <sheetData>
    <row r="1" spans="1:16" x14ac:dyDescent="0.2">
      <c r="A1" s="29" t="s">
        <v>261</v>
      </c>
      <c r="B1" s="29" t="s">
        <v>262</v>
      </c>
      <c r="C1" s="29" t="s">
        <v>263</v>
      </c>
      <c r="D1" s="29" t="s">
        <v>264</v>
      </c>
      <c r="E1" s="29" t="s">
        <v>265</v>
      </c>
      <c r="F1" s="29" t="s">
        <v>266</v>
      </c>
      <c r="G1" s="29" t="s">
        <v>267</v>
      </c>
      <c r="H1" s="29" t="s">
        <v>268</v>
      </c>
      <c r="I1" s="29" t="s">
        <v>269</v>
      </c>
      <c r="J1" s="29" t="s">
        <v>201</v>
      </c>
      <c r="K1" s="29" t="s">
        <v>202</v>
      </c>
      <c r="L1" s="29" t="s">
        <v>203</v>
      </c>
      <c r="M1" s="29" t="s">
        <v>204</v>
      </c>
      <c r="N1" s="29" t="s">
        <v>205</v>
      </c>
      <c r="O1" s="29" t="s">
        <v>206</v>
      </c>
      <c r="P1" s="29" t="s">
        <v>207</v>
      </c>
    </row>
    <row r="2" spans="1:16" x14ac:dyDescent="0.2">
      <c r="A2">
        <v>611</v>
      </c>
      <c r="B2" s="61">
        <v>40571</v>
      </c>
      <c r="C2">
        <v>1</v>
      </c>
      <c r="D2">
        <v>0</v>
      </c>
      <c r="E2">
        <v>1</v>
      </c>
      <c r="F2">
        <v>16</v>
      </c>
      <c r="G2" t="b">
        <v>0</v>
      </c>
      <c r="H2">
        <v>5</v>
      </c>
      <c r="I2">
        <v>1</v>
      </c>
      <c r="J2">
        <v>0.22</v>
      </c>
      <c r="K2">
        <v>0.2727</v>
      </c>
      <c r="L2">
        <v>0.8</v>
      </c>
      <c r="M2">
        <v>0</v>
      </c>
      <c r="N2">
        <v>10</v>
      </c>
      <c r="O2">
        <v>70</v>
      </c>
      <c r="P2">
        <v>80</v>
      </c>
    </row>
    <row r="3" spans="1:16" x14ac:dyDescent="0.2">
      <c r="A3">
        <v>612</v>
      </c>
      <c r="B3" s="61">
        <v>40571</v>
      </c>
      <c r="C3">
        <v>1</v>
      </c>
      <c r="D3">
        <v>0</v>
      </c>
      <c r="E3">
        <v>1</v>
      </c>
      <c r="F3">
        <v>17</v>
      </c>
      <c r="G3" t="b">
        <v>0</v>
      </c>
      <c r="H3">
        <v>5</v>
      </c>
      <c r="I3">
        <v>1</v>
      </c>
      <c r="J3">
        <v>0.24</v>
      </c>
      <c r="K3">
        <v>0.2424</v>
      </c>
      <c r="L3">
        <v>0.75</v>
      </c>
      <c r="M3">
        <v>0.1343</v>
      </c>
      <c r="N3">
        <v>2</v>
      </c>
      <c r="O3">
        <v>147</v>
      </c>
      <c r="P3">
        <v>149</v>
      </c>
    </row>
    <row r="4" spans="1:16" x14ac:dyDescent="0.2">
      <c r="A4">
        <v>613</v>
      </c>
      <c r="B4" s="61">
        <v>40571</v>
      </c>
      <c r="C4">
        <v>1</v>
      </c>
      <c r="D4">
        <v>0</v>
      </c>
      <c r="E4">
        <v>1</v>
      </c>
      <c r="F4">
        <v>18</v>
      </c>
      <c r="G4" t="b">
        <v>0</v>
      </c>
      <c r="H4">
        <v>5</v>
      </c>
      <c r="I4">
        <v>1</v>
      </c>
      <c r="J4">
        <v>0.24</v>
      </c>
      <c r="K4">
        <v>0.2273</v>
      </c>
      <c r="L4">
        <v>0.75</v>
      </c>
      <c r="M4">
        <v>0.19400000000000001</v>
      </c>
      <c r="N4">
        <v>2</v>
      </c>
      <c r="O4">
        <v>107</v>
      </c>
      <c r="P4">
        <v>109</v>
      </c>
    </row>
    <row r="5" spans="1:16" x14ac:dyDescent="0.2">
      <c r="A5">
        <v>614</v>
      </c>
      <c r="B5" s="61">
        <v>40571</v>
      </c>
      <c r="C5">
        <v>1</v>
      </c>
      <c r="D5">
        <v>0</v>
      </c>
      <c r="E5">
        <v>1</v>
      </c>
      <c r="F5">
        <v>19</v>
      </c>
      <c r="G5" t="b">
        <v>0</v>
      </c>
      <c r="H5">
        <v>5</v>
      </c>
      <c r="I5">
        <v>2</v>
      </c>
      <c r="J5">
        <v>0.24</v>
      </c>
      <c r="K5">
        <v>0.2424</v>
      </c>
      <c r="L5">
        <v>0.75</v>
      </c>
      <c r="M5">
        <v>0.1343</v>
      </c>
      <c r="N5">
        <v>5</v>
      </c>
      <c r="O5">
        <v>84</v>
      </c>
      <c r="P5">
        <v>89</v>
      </c>
    </row>
    <row r="6" spans="1:16" x14ac:dyDescent="0.2">
      <c r="A6">
        <v>615</v>
      </c>
      <c r="B6" s="61">
        <v>40571</v>
      </c>
      <c r="C6">
        <v>1</v>
      </c>
      <c r="D6">
        <v>0</v>
      </c>
      <c r="E6">
        <v>1</v>
      </c>
      <c r="F6">
        <v>20</v>
      </c>
      <c r="G6" t="b">
        <v>0</v>
      </c>
      <c r="H6">
        <v>5</v>
      </c>
      <c r="I6">
        <v>2</v>
      </c>
      <c r="J6">
        <v>0.24</v>
      </c>
      <c r="K6">
        <v>0.2273</v>
      </c>
      <c r="L6">
        <v>0.7</v>
      </c>
      <c r="M6">
        <v>0.19400000000000001</v>
      </c>
      <c r="N6">
        <v>1</v>
      </c>
      <c r="O6">
        <v>61</v>
      </c>
      <c r="P6">
        <v>62</v>
      </c>
    </row>
    <row r="7" spans="1:16" x14ac:dyDescent="0.2">
      <c r="A7">
        <v>616</v>
      </c>
      <c r="B7" s="61">
        <v>40571</v>
      </c>
      <c r="C7">
        <v>1</v>
      </c>
      <c r="D7">
        <v>0</v>
      </c>
      <c r="E7">
        <v>1</v>
      </c>
      <c r="F7">
        <v>21</v>
      </c>
      <c r="G7" t="b">
        <v>0</v>
      </c>
      <c r="H7">
        <v>5</v>
      </c>
      <c r="I7">
        <v>2</v>
      </c>
      <c r="J7">
        <v>0.22</v>
      </c>
      <c r="K7">
        <v>0.2273</v>
      </c>
      <c r="L7">
        <v>0.75</v>
      </c>
      <c r="M7">
        <v>0.1343</v>
      </c>
      <c r="N7">
        <v>1</v>
      </c>
      <c r="O7">
        <v>57</v>
      </c>
      <c r="P7">
        <v>58</v>
      </c>
    </row>
    <row r="8" spans="1:16" x14ac:dyDescent="0.2">
      <c r="A8">
        <v>617</v>
      </c>
      <c r="B8" s="61">
        <v>40571</v>
      </c>
      <c r="C8">
        <v>1</v>
      </c>
      <c r="D8">
        <v>0</v>
      </c>
      <c r="E8">
        <v>1</v>
      </c>
      <c r="F8">
        <v>22</v>
      </c>
      <c r="G8" t="b">
        <v>0</v>
      </c>
      <c r="H8">
        <v>5</v>
      </c>
      <c r="I8">
        <v>1</v>
      </c>
      <c r="J8">
        <v>0.24</v>
      </c>
      <c r="K8">
        <v>0.21210000000000001</v>
      </c>
      <c r="L8">
        <v>0.65</v>
      </c>
      <c r="M8">
        <v>0.35820000000000002</v>
      </c>
      <c r="N8">
        <v>0</v>
      </c>
      <c r="O8">
        <v>26</v>
      </c>
      <c r="P8">
        <v>26</v>
      </c>
    </row>
    <row r="9" spans="1:16" x14ac:dyDescent="0.2">
      <c r="A9">
        <v>618</v>
      </c>
      <c r="B9" s="61">
        <v>40571</v>
      </c>
      <c r="C9">
        <v>1</v>
      </c>
      <c r="D9">
        <v>0</v>
      </c>
      <c r="E9">
        <v>1</v>
      </c>
      <c r="F9">
        <v>23</v>
      </c>
      <c r="G9" t="b">
        <v>0</v>
      </c>
      <c r="H9">
        <v>5</v>
      </c>
      <c r="I9">
        <v>1</v>
      </c>
      <c r="J9">
        <v>0.24</v>
      </c>
      <c r="K9">
        <v>0.2273</v>
      </c>
      <c r="L9">
        <v>0.6</v>
      </c>
      <c r="M9">
        <v>0.22389999999999999</v>
      </c>
      <c r="N9">
        <v>1</v>
      </c>
      <c r="O9">
        <v>22</v>
      </c>
      <c r="P9">
        <v>23</v>
      </c>
    </row>
    <row r="10" spans="1:16" x14ac:dyDescent="0.2">
      <c r="A10">
        <v>619</v>
      </c>
      <c r="B10" s="61">
        <v>40572</v>
      </c>
      <c r="C10">
        <v>1</v>
      </c>
      <c r="D10">
        <v>0</v>
      </c>
      <c r="E10">
        <v>1</v>
      </c>
      <c r="F10">
        <v>0</v>
      </c>
      <c r="G10" t="b">
        <v>0</v>
      </c>
      <c r="H10">
        <v>6</v>
      </c>
      <c r="I10">
        <v>1</v>
      </c>
      <c r="J10">
        <v>0.22</v>
      </c>
      <c r="K10">
        <v>0.19700000000000001</v>
      </c>
      <c r="L10">
        <v>0.64</v>
      </c>
      <c r="M10">
        <v>0.35820000000000002</v>
      </c>
      <c r="N10">
        <v>2</v>
      </c>
      <c r="O10">
        <v>26</v>
      </c>
      <c r="P10">
        <v>28</v>
      </c>
    </row>
    <row r="11" spans="1:16" x14ac:dyDescent="0.2">
      <c r="A11">
        <v>620</v>
      </c>
      <c r="B11" s="61">
        <v>40572</v>
      </c>
      <c r="C11">
        <v>1</v>
      </c>
      <c r="D11">
        <v>0</v>
      </c>
      <c r="E11">
        <v>1</v>
      </c>
      <c r="F11">
        <v>1</v>
      </c>
      <c r="G11" t="b">
        <v>0</v>
      </c>
      <c r="H11">
        <v>6</v>
      </c>
      <c r="I11">
        <v>1</v>
      </c>
      <c r="J11">
        <v>0.22</v>
      </c>
      <c r="K11">
        <v>0.2273</v>
      </c>
      <c r="L11">
        <v>0.64</v>
      </c>
      <c r="M11">
        <v>0.19400000000000001</v>
      </c>
      <c r="N11">
        <v>0</v>
      </c>
      <c r="O11">
        <v>20</v>
      </c>
      <c r="P11">
        <v>20</v>
      </c>
    </row>
    <row r="12" spans="1:16" x14ac:dyDescent="0.2">
      <c r="A12">
        <v>621</v>
      </c>
      <c r="B12" s="61">
        <v>40572</v>
      </c>
      <c r="C12">
        <v>1</v>
      </c>
      <c r="D12">
        <v>0</v>
      </c>
      <c r="E12">
        <v>1</v>
      </c>
      <c r="F12">
        <v>2</v>
      </c>
      <c r="G12" t="b">
        <v>0</v>
      </c>
      <c r="H12">
        <v>6</v>
      </c>
      <c r="I12">
        <v>1</v>
      </c>
      <c r="J12">
        <v>0.22</v>
      </c>
      <c r="K12">
        <v>0.2273</v>
      </c>
      <c r="L12">
        <v>0.64</v>
      </c>
      <c r="M12">
        <v>0.16420000000000001</v>
      </c>
      <c r="N12">
        <v>0</v>
      </c>
      <c r="O12">
        <v>15</v>
      </c>
      <c r="P12">
        <v>15</v>
      </c>
    </row>
    <row r="13" spans="1:16" x14ac:dyDescent="0.2">
      <c r="A13">
        <v>622</v>
      </c>
      <c r="B13" s="61">
        <v>40572</v>
      </c>
      <c r="C13">
        <v>1</v>
      </c>
      <c r="D13">
        <v>0</v>
      </c>
      <c r="E13">
        <v>1</v>
      </c>
      <c r="F13">
        <v>3</v>
      </c>
      <c r="G13" t="b">
        <v>0</v>
      </c>
      <c r="H13">
        <v>6</v>
      </c>
      <c r="I13">
        <v>1</v>
      </c>
      <c r="J13">
        <v>0.2</v>
      </c>
      <c r="K13">
        <v>0.21210000000000001</v>
      </c>
      <c r="L13">
        <v>0.64</v>
      </c>
      <c r="M13">
        <v>0.1343</v>
      </c>
      <c r="N13">
        <v>3</v>
      </c>
      <c r="O13">
        <v>5</v>
      </c>
      <c r="P13">
        <v>8</v>
      </c>
    </row>
    <row r="14" spans="1:16" x14ac:dyDescent="0.2">
      <c r="A14">
        <v>623</v>
      </c>
      <c r="B14" s="61">
        <v>40572</v>
      </c>
      <c r="C14">
        <v>1</v>
      </c>
      <c r="D14">
        <v>0</v>
      </c>
      <c r="E14">
        <v>1</v>
      </c>
      <c r="F14">
        <v>4</v>
      </c>
      <c r="G14" t="b">
        <v>0</v>
      </c>
      <c r="H14">
        <v>6</v>
      </c>
      <c r="I14">
        <v>1</v>
      </c>
      <c r="J14">
        <v>0.16</v>
      </c>
      <c r="K14">
        <v>0.18179999999999999</v>
      </c>
      <c r="L14">
        <v>0.69</v>
      </c>
      <c r="M14">
        <v>0.1045</v>
      </c>
      <c r="N14">
        <v>1</v>
      </c>
      <c r="O14">
        <v>2</v>
      </c>
      <c r="P14">
        <v>3</v>
      </c>
    </row>
    <row r="15" spans="1:16" x14ac:dyDescent="0.2">
      <c r="A15">
        <v>624</v>
      </c>
      <c r="B15" s="61">
        <v>40572</v>
      </c>
      <c r="C15">
        <v>1</v>
      </c>
      <c r="D15">
        <v>0</v>
      </c>
      <c r="E15">
        <v>1</v>
      </c>
      <c r="F15">
        <v>6</v>
      </c>
      <c r="G15" t="b">
        <v>0</v>
      </c>
      <c r="H15">
        <v>6</v>
      </c>
      <c r="I15">
        <v>1</v>
      </c>
      <c r="J15">
        <v>0.16</v>
      </c>
      <c r="K15">
        <v>0.18179999999999999</v>
      </c>
      <c r="L15">
        <v>0.64</v>
      </c>
      <c r="M15">
        <v>0.1343</v>
      </c>
      <c r="N15">
        <v>0</v>
      </c>
      <c r="O15">
        <v>2</v>
      </c>
      <c r="P15">
        <v>2</v>
      </c>
    </row>
    <row r="16" spans="1:16" x14ac:dyDescent="0.2">
      <c r="A16">
        <v>625</v>
      </c>
      <c r="B16" s="61">
        <v>40572</v>
      </c>
      <c r="C16">
        <v>1</v>
      </c>
      <c r="D16">
        <v>0</v>
      </c>
      <c r="E16">
        <v>1</v>
      </c>
      <c r="F16">
        <v>7</v>
      </c>
      <c r="G16" t="b">
        <v>0</v>
      </c>
      <c r="H16">
        <v>6</v>
      </c>
      <c r="I16">
        <v>1</v>
      </c>
      <c r="J16">
        <v>0.16</v>
      </c>
      <c r="K16">
        <v>0.18179999999999999</v>
      </c>
      <c r="L16">
        <v>0.59</v>
      </c>
      <c r="M16">
        <v>0.1045</v>
      </c>
      <c r="N16">
        <v>1</v>
      </c>
      <c r="O16">
        <v>4</v>
      </c>
      <c r="P16">
        <v>5</v>
      </c>
    </row>
    <row r="17" spans="1:16" x14ac:dyDescent="0.2">
      <c r="A17">
        <v>626</v>
      </c>
      <c r="B17" s="61">
        <v>40572</v>
      </c>
      <c r="C17">
        <v>1</v>
      </c>
      <c r="D17">
        <v>0</v>
      </c>
      <c r="E17">
        <v>1</v>
      </c>
      <c r="F17">
        <v>8</v>
      </c>
      <c r="G17" t="b">
        <v>0</v>
      </c>
      <c r="H17">
        <v>6</v>
      </c>
      <c r="I17">
        <v>1</v>
      </c>
      <c r="J17">
        <v>0.18</v>
      </c>
      <c r="K17">
        <v>0.19700000000000001</v>
      </c>
      <c r="L17">
        <v>0.55000000000000004</v>
      </c>
      <c r="M17">
        <v>0.16420000000000001</v>
      </c>
      <c r="N17">
        <v>3</v>
      </c>
      <c r="O17">
        <v>31</v>
      </c>
      <c r="P17">
        <v>34</v>
      </c>
    </row>
    <row r="18" spans="1:16" x14ac:dyDescent="0.2">
      <c r="A18">
        <v>627</v>
      </c>
      <c r="B18" s="61">
        <v>40572</v>
      </c>
      <c r="C18">
        <v>1</v>
      </c>
      <c r="D18">
        <v>0</v>
      </c>
      <c r="E18">
        <v>1</v>
      </c>
      <c r="F18">
        <v>9</v>
      </c>
      <c r="G18" t="b">
        <v>0</v>
      </c>
      <c r="H18">
        <v>6</v>
      </c>
      <c r="I18">
        <v>1</v>
      </c>
      <c r="J18">
        <v>0.18</v>
      </c>
      <c r="K18">
        <v>0.21210000000000001</v>
      </c>
      <c r="L18">
        <v>0.59</v>
      </c>
      <c r="M18">
        <v>8.9599999999999999E-2</v>
      </c>
      <c r="N18">
        <v>0</v>
      </c>
      <c r="O18">
        <v>34</v>
      </c>
      <c r="P18">
        <v>34</v>
      </c>
    </row>
    <row r="19" spans="1:16" x14ac:dyDescent="0.2">
      <c r="A19">
        <v>628</v>
      </c>
      <c r="B19" s="61">
        <v>40572</v>
      </c>
      <c r="C19">
        <v>1</v>
      </c>
      <c r="D19">
        <v>0</v>
      </c>
      <c r="E19">
        <v>1</v>
      </c>
      <c r="F19">
        <v>10</v>
      </c>
      <c r="G19" t="b">
        <v>0</v>
      </c>
      <c r="H19">
        <v>6</v>
      </c>
      <c r="I19">
        <v>2</v>
      </c>
      <c r="J19">
        <v>0.18</v>
      </c>
      <c r="K19">
        <v>0.21210000000000001</v>
      </c>
      <c r="L19">
        <v>0.64</v>
      </c>
      <c r="M19">
        <v>0.1045</v>
      </c>
      <c r="N19">
        <v>4</v>
      </c>
      <c r="O19">
        <v>51</v>
      </c>
      <c r="P19">
        <v>55</v>
      </c>
    </row>
    <row r="20" spans="1:16" x14ac:dyDescent="0.2">
      <c r="A20">
        <v>629</v>
      </c>
      <c r="B20" s="61">
        <v>40572</v>
      </c>
      <c r="C20">
        <v>1</v>
      </c>
      <c r="D20">
        <v>0</v>
      </c>
      <c r="E20">
        <v>1</v>
      </c>
      <c r="F20">
        <v>11</v>
      </c>
      <c r="G20" t="b">
        <v>0</v>
      </c>
      <c r="H20">
        <v>6</v>
      </c>
      <c r="I20">
        <v>2</v>
      </c>
      <c r="J20">
        <v>0.18</v>
      </c>
      <c r="K20">
        <v>0.19700000000000001</v>
      </c>
      <c r="L20">
        <v>0.64</v>
      </c>
      <c r="M20">
        <v>0.1343</v>
      </c>
      <c r="N20">
        <v>4</v>
      </c>
      <c r="O20">
        <v>60</v>
      </c>
      <c r="P20">
        <v>64</v>
      </c>
    </row>
    <row r="21" spans="1:16" x14ac:dyDescent="0.2">
      <c r="A21">
        <v>630</v>
      </c>
      <c r="B21" s="61">
        <v>40572</v>
      </c>
      <c r="C21">
        <v>1</v>
      </c>
      <c r="D21">
        <v>0</v>
      </c>
      <c r="E21">
        <v>1</v>
      </c>
      <c r="F21">
        <v>12</v>
      </c>
      <c r="G21" t="b">
        <v>0</v>
      </c>
      <c r="H21">
        <v>6</v>
      </c>
      <c r="I21">
        <v>2</v>
      </c>
      <c r="J21">
        <v>0.2</v>
      </c>
      <c r="K21">
        <v>0.19700000000000001</v>
      </c>
      <c r="L21">
        <v>0.59</v>
      </c>
      <c r="M21">
        <v>0.19400000000000001</v>
      </c>
      <c r="N21">
        <v>12</v>
      </c>
      <c r="O21">
        <v>66</v>
      </c>
      <c r="P21">
        <v>78</v>
      </c>
    </row>
    <row r="22" spans="1:16" x14ac:dyDescent="0.2">
      <c r="A22">
        <v>631</v>
      </c>
      <c r="B22" s="61">
        <v>40572</v>
      </c>
      <c r="C22">
        <v>1</v>
      </c>
      <c r="D22">
        <v>0</v>
      </c>
      <c r="E22">
        <v>1</v>
      </c>
      <c r="F22">
        <v>13</v>
      </c>
      <c r="G22" t="b">
        <v>0</v>
      </c>
      <c r="H22">
        <v>6</v>
      </c>
      <c r="I22">
        <v>2</v>
      </c>
      <c r="J22">
        <v>0.22</v>
      </c>
      <c r="K22">
        <v>0.2273</v>
      </c>
      <c r="L22">
        <v>0.55000000000000004</v>
      </c>
      <c r="M22">
        <v>0.16420000000000001</v>
      </c>
      <c r="N22">
        <v>9</v>
      </c>
      <c r="O22">
        <v>56</v>
      </c>
      <c r="P22">
        <v>65</v>
      </c>
    </row>
    <row r="23" spans="1:16" x14ac:dyDescent="0.2">
      <c r="A23">
        <v>632</v>
      </c>
      <c r="B23" s="61">
        <v>40572</v>
      </c>
      <c r="C23">
        <v>1</v>
      </c>
      <c r="D23">
        <v>0</v>
      </c>
      <c r="E23">
        <v>1</v>
      </c>
      <c r="F23">
        <v>14</v>
      </c>
      <c r="G23" t="b">
        <v>0</v>
      </c>
      <c r="H23">
        <v>6</v>
      </c>
      <c r="I23">
        <v>2</v>
      </c>
      <c r="J23">
        <v>0.22</v>
      </c>
      <c r="K23">
        <v>0.2273</v>
      </c>
      <c r="L23">
        <v>0.6</v>
      </c>
      <c r="M23">
        <v>0.1343</v>
      </c>
      <c r="N23">
        <v>10</v>
      </c>
      <c r="O23">
        <v>89</v>
      </c>
      <c r="P23">
        <v>99</v>
      </c>
    </row>
    <row r="24" spans="1:16" x14ac:dyDescent="0.2">
      <c r="A24">
        <v>633</v>
      </c>
      <c r="B24" s="61">
        <v>40572</v>
      </c>
      <c r="C24">
        <v>1</v>
      </c>
      <c r="D24">
        <v>0</v>
      </c>
      <c r="E24">
        <v>1</v>
      </c>
      <c r="F24">
        <v>15</v>
      </c>
      <c r="G24" t="b">
        <v>0</v>
      </c>
      <c r="H24">
        <v>6</v>
      </c>
      <c r="I24">
        <v>1</v>
      </c>
      <c r="J24">
        <v>0.22</v>
      </c>
      <c r="K24">
        <v>0.21210000000000001</v>
      </c>
      <c r="L24">
        <v>0.69</v>
      </c>
      <c r="M24">
        <v>0.25369999999999998</v>
      </c>
      <c r="N24">
        <v>22</v>
      </c>
      <c r="O24">
        <v>98</v>
      </c>
      <c r="P24">
        <v>120</v>
      </c>
    </row>
    <row r="25" spans="1:16" x14ac:dyDescent="0.2">
      <c r="A25">
        <v>634</v>
      </c>
      <c r="B25" s="61">
        <v>40572</v>
      </c>
      <c r="C25">
        <v>1</v>
      </c>
      <c r="D25">
        <v>0</v>
      </c>
      <c r="E25">
        <v>1</v>
      </c>
      <c r="F25">
        <v>16</v>
      </c>
      <c r="G25" t="b">
        <v>0</v>
      </c>
      <c r="H25">
        <v>6</v>
      </c>
      <c r="I25">
        <v>1</v>
      </c>
      <c r="J25">
        <v>0.24</v>
      </c>
      <c r="K25">
        <v>0.2424</v>
      </c>
      <c r="L25">
        <v>0.6</v>
      </c>
      <c r="M25">
        <v>0.16420000000000001</v>
      </c>
      <c r="N25">
        <v>19</v>
      </c>
      <c r="O25">
        <v>88</v>
      </c>
      <c r="P25">
        <v>107</v>
      </c>
    </row>
    <row r="26" spans="1:16" x14ac:dyDescent="0.2">
      <c r="A26">
        <v>635</v>
      </c>
      <c r="B26" s="61">
        <v>40572</v>
      </c>
      <c r="C26">
        <v>1</v>
      </c>
      <c r="D26">
        <v>0</v>
      </c>
      <c r="E26">
        <v>1</v>
      </c>
      <c r="F26">
        <v>17</v>
      </c>
      <c r="G26" t="b">
        <v>0</v>
      </c>
      <c r="H26">
        <v>6</v>
      </c>
      <c r="I26">
        <v>1</v>
      </c>
      <c r="J26">
        <v>0.24</v>
      </c>
      <c r="K26">
        <v>0.28789999999999999</v>
      </c>
      <c r="L26">
        <v>0.6</v>
      </c>
      <c r="M26">
        <v>0</v>
      </c>
      <c r="N26">
        <v>9</v>
      </c>
      <c r="O26">
        <v>82</v>
      </c>
      <c r="P26">
        <v>91</v>
      </c>
    </row>
    <row r="27" spans="1:16" x14ac:dyDescent="0.2">
      <c r="A27">
        <v>636</v>
      </c>
      <c r="B27" s="61">
        <v>40572</v>
      </c>
      <c r="C27">
        <v>1</v>
      </c>
      <c r="D27">
        <v>0</v>
      </c>
      <c r="E27">
        <v>1</v>
      </c>
      <c r="F27">
        <v>18</v>
      </c>
      <c r="G27" t="b">
        <v>0</v>
      </c>
      <c r="H27">
        <v>6</v>
      </c>
      <c r="I27">
        <v>1</v>
      </c>
      <c r="J27">
        <v>0.22</v>
      </c>
      <c r="K27">
        <v>0.2273</v>
      </c>
      <c r="L27">
        <v>0.69</v>
      </c>
      <c r="M27">
        <v>0.1343</v>
      </c>
      <c r="N27">
        <v>9</v>
      </c>
      <c r="O27">
        <v>59</v>
      </c>
      <c r="P27">
        <v>68</v>
      </c>
    </row>
    <row r="28" spans="1:16" x14ac:dyDescent="0.2">
      <c r="A28">
        <v>637</v>
      </c>
      <c r="B28" s="61">
        <v>40572</v>
      </c>
      <c r="C28">
        <v>1</v>
      </c>
      <c r="D28">
        <v>0</v>
      </c>
      <c r="E28">
        <v>1</v>
      </c>
      <c r="F28">
        <v>19</v>
      </c>
      <c r="G28" t="b">
        <v>0</v>
      </c>
      <c r="H28">
        <v>6</v>
      </c>
      <c r="I28">
        <v>2</v>
      </c>
      <c r="J28">
        <v>0.22</v>
      </c>
      <c r="K28">
        <v>0.21210000000000001</v>
      </c>
      <c r="L28">
        <v>0.69</v>
      </c>
      <c r="M28">
        <v>0.25369999999999998</v>
      </c>
      <c r="N28">
        <v>6</v>
      </c>
      <c r="O28">
        <v>52</v>
      </c>
      <c r="P28">
        <v>58</v>
      </c>
    </row>
    <row r="29" spans="1:16" x14ac:dyDescent="0.2">
      <c r="A29">
        <v>638</v>
      </c>
      <c r="B29" s="61">
        <v>40572</v>
      </c>
      <c r="C29">
        <v>1</v>
      </c>
      <c r="D29">
        <v>0</v>
      </c>
      <c r="E29">
        <v>1</v>
      </c>
      <c r="F29">
        <v>20</v>
      </c>
      <c r="G29" t="b">
        <v>0</v>
      </c>
      <c r="H29">
        <v>6</v>
      </c>
      <c r="I29">
        <v>1</v>
      </c>
      <c r="J29">
        <v>0.18</v>
      </c>
      <c r="K29">
        <v>0.21210000000000001</v>
      </c>
      <c r="L29">
        <v>0.74</v>
      </c>
      <c r="M29">
        <v>8.9599999999999999E-2</v>
      </c>
      <c r="N29">
        <v>1</v>
      </c>
      <c r="O29">
        <v>42</v>
      </c>
      <c r="P29">
        <v>43</v>
      </c>
    </row>
    <row r="30" spans="1:16" x14ac:dyDescent="0.2">
      <c r="A30">
        <v>639</v>
      </c>
      <c r="B30" s="61">
        <v>40572</v>
      </c>
      <c r="C30">
        <v>1</v>
      </c>
      <c r="D30">
        <v>0</v>
      </c>
      <c r="E30">
        <v>1</v>
      </c>
      <c r="F30">
        <v>21</v>
      </c>
      <c r="G30" t="b">
        <v>0</v>
      </c>
      <c r="H30">
        <v>6</v>
      </c>
      <c r="I30">
        <v>1</v>
      </c>
      <c r="J30">
        <v>0.18</v>
      </c>
      <c r="K30">
        <v>0.21210000000000001</v>
      </c>
      <c r="L30">
        <v>0.74</v>
      </c>
      <c r="M30">
        <v>8.9599999999999999E-2</v>
      </c>
      <c r="N30">
        <v>1</v>
      </c>
      <c r="O30">
        <v>35</v>
      </c>
      <c r="P30">
        <v>36</v>
      </c>
    </row>
    <row r="31" spans="1:16" x14ac:dyDescent="0.2">
      <c r="A31">
        <v>640</v>
      </c>
      <c r="B31" s="61">
        <v>40572</v>
      </c>
      <c r="C31">
        <v>1</v>
      </c>
      <c r="D31">
        <v>0</v>
      </c>
      <c r="E31">
        <v>1</v>
      </c>
      <c r="F31">
        <v>22</v>
      </c>
      <c r="G31" t="b">
        <v>0</v>
      </c>
      <c r="H31">
        <v>6</v>
      </c>
      <c r="I31">
        <v>1</v>
      </c>
      <c r="J31">
        <v>0.16</v>
      </c>
      <c r="K31">
        <v>0.19700000000000001</v>
      </c>
      <c r="L31">
        <v>0.8</v>
      </c>
      <c r="M31">
        <v>8.9599999999999999E-2</v>
      </c>
      <c r="N31">
        <v>4</v>
      </c>
      <c r="O31">
        <v>28</v>
      </c>
      <c r="P31">
        <v>32</v>
      </c>
    </row>
    <row r="32" spans="1:16" x14ac:dyDescent="0.2">
      <c r="A32">
        <v>641</v>
      </c>
      <c r="B32" s="61">
        <v>40572</v>
      </c>
      <c r="C32">
        <v>1</v>
      </c>
      <c r="D32">
        <v>0</v>
      </c>
      <c r="E32">
        <v>1</v>
      </c>
      <c r="F32">
        <v>23</v>
      </c>
      <c r="G32" t="b">
        <v>0</v>
      </c>
      <c r="H32">
        <v>6</v>
      </c>
      <c r="I32">
        <v>1</v>
      </c>
      <c r="J32">
        <v>0.16</v>
      </c>
      <c r="K32">
        <v>0.19700000000000001</v>
      </c>
      <c r="L32">
        <v>0.8</v>
      </c>
      <c r="M32">
        <v>8.9599999999999999E-2</v>
      </c>
      <c r="N32">
        <v>3</v>
      </c>
      <c r="O32">
        <v>30</v>
      </c>
      <c r="P32">
        <v>33</v>
      </c>
    </row>
    <row r="33" spans="1:16" x14ac:dyDescent="0.2">
      <c r="A33">
        <v>642</v>
      </c>
      <c r="B33" s="61">
        <v>40573</v>
      </c>
      <c r="C33">
        <v>1</v>
      </c>
      <c r="D33">
        <v>0</v>
      </c>
      <c r="E33">
        <v>1</v>
      </c>
      <c r="F33">
        <v>0</v>
      </c>
      <c r="G33" t="b">
        <v>0</v>
      </c>
      <c r="H33">
        <v>0</v>
      </c>
      <c r="I33">
        <v>1</v>
      </c>
      <c r="J33">
        <v>0.16</v>
      </c>
      <c r="K33">
        <v>0.18179999999999999</v>
      </c>
      <c r="L33">
        <v>0.8</v>
      </c>
      <c r="M33">
        <v>0.1045</v>
      </c>
      <c r="N33">
        <v>0</v>
      </c>
      <c r="O33">
        <v>33</v>
      </c>
      <c r="P33">
        <v>33</v>
      </c>
    </row>
    <row r="34" spans="1:16" x14ac:dyDescent="0.2">
      <c r="A34">
        <v>643</v>
      </c>
      <c r="B34" s="61">
        <v>40573</v>
      </c>
      <c r="C34">
        <v>1</v>
      </c>
      <c r="D34">
        <v>0</v>
      </c>
      <c r="E34">
        <v>1</v>
      </c>
      <c r="F34">
        <v>1</v>
      </c>
      <c r="G34" t="b">
        <v>0</v>
      </c>
      <c r="H34">
        <v>0</v>
      </c>
      <c r="I34">
        <v>1</v>
      </c>
      <c r="J34">
        <v>0.14000000000000001</v>
      </c>
      <c r="K34">
        <v>0.21210000000000001</v>
      </c>
      <c r="L34">
        <v>0.8</v>
      </c>
      <c r="M34">
        <v>0</v>
      </c>
      <c r="N34">
        <v>7</v>
      </c>
      <c r="O34">
        <v>22</v>
      </c>
      <c r="P34">
        <v>29</v>
      </c>
    </row>
    <row r="35" spans="1:16" x14ac:dyDescent="0.2">
      <c r="A35">
        <v>644</v>
      </c>
      <c r="B35" s="61">
        <v>40573</v>
      </c>
      <c r="C35">
        <v>1</v>
      </c>
      <c r="D35">
        <v>0</v>
      </c>
      <c r="E35">
        <v>1</v>
      </c>
      <c r="F35">
        <v>2</v>
      </c>
      <c r="G35" t="b">
        <v>0</v>
      </c>
      <c r="H35">
        <v>0</v>
      </c>
      <c r="I35">
        <v>1</v>
      </c>
      <c r="J35">
        <v>0.16</v>
      </c>
      <c r="K35">
        <v>0.2273</v>
      </c>
      <c r="L35">
        <v>0.8</v>
      </c>
      <c r="M35">
        <v>0</v>
      </c>
      <c r="N35">
        <v>1</v>
      </c>
      <c r="O35">
        <v>10</v>
      </c>
      <c r="P35">
        <v>11</v>
      </c>
    </row>
    <row r="36" spans="1:16" x14ac:dyDescent="0.2">
      <c r="A36">
        <v>645</v>
      </c>
      <c r="B36" s="61">
        <v>40573</v>
      </c>
      <c r="C36">
        <v>1</v>
      </c>
      <c r="D36">
        <v>0</v>
      </c>
      <c r="E36">
        <v>1</v>
      </c>
      <c r="F36">
        <v>3</v>
      </c>
      <c r="G36" t="b">
        <v>0</v>
      </c>
      <c r="H36">
        <v>0</v>
      </c>
      <c r="I36">
        <v>1</v>
      </c>
      <c r="J36">
        <v>0.14000000000000001</v>
      </c>
      <c r="K36">
        <v>0.21210000000000001</v>
      </c>
      <c r="L36">
        <v>0.93</v>
      </c>
      <c r="M36">
        <v>0</v>
      </c>
      <c r="N36">
        <v>1</v>
      </c>
      <c r="O36">
        <v>7</v>
      </c>
      <c r="P36">
        <v>8</v>
      </c>
    </row>
    <row r="37" spans="1:16" x14ac:dyDescent="0.2">
      <c r="A37">
        <v>646</v>
      </c>
      <c r="B37" s="61">
        <v>40573</v>
      </c>
      <c r="C37">
        <v>1</v>
      </c>
      <c r="D37">
        <v>0</v>
      </c>
      <c r="E37">
        <v>1</v>
      </c>
      <c r="F37">
        <v>4</v>
      </c>
      <c r="G37" t="b">
        <v>0</v>
      </c>
      <c r="H37">
        <v>0</v>
      </c>
      <c r="I37">
        <v>1</v>
      </c>
      <c r="J37">
        <v>0.14000000000000001</v>
      </c>
      <c r="K37">
        <v>0.21210000000000001</v>
      </c>
      <c r="L37">
        <v>0.93</v>
      </c>
      <c r="M37">
        <v>0</v>
      </c>
      <c r="N37">
        <v>0</v>
      </c>
      <c r="O37">
        <v>1</v>
      </c>
      <c r="P37">
        <v>1</v>
      </c>
    </row>
    <row r="38" spans="1:16" x14ac:dyDescent="0.2">
      <c r="A38">
        <v>647</v>
      </c>
      <c r="B38" s="61">
        <v>40573</v>
      </c>
      <c r="C38">
        <v>1</v>
      </c>
      <c r="D38">
        <v>0</v>
      </c>
      <c r="E38">
        <v>1</v>
      </c>
      <c r="F38">
        <v>5</v>
      </c>
      <c r="G38" t="b">
        <v>0</v>
      </c>
      <c r="H38">
        <v>0</v>
      </c>
      <c r="I38">
        <v>1</v>
      </c>
      <c r="J38">
        <v>0.14000000000000001</v>
      </c>
      <c r="K38">
        <v>0.21210000000000001</v>
      </c>
      <c r="L38">
        <v>0.86</v>
      </c>
      <c r="M38">
        <v>0</v>
      </c>
      <c r="N38">
        <v>0</v>
      </c>
      <c r="O38">
        <v>3</v>
      </c>
      <c r="P38">
        <v>3</v>
      </c>
    </row>
    <row r="39" spans="1:16" x14ac:dyDescent="0.2">
      <c r="A39">
        <v>648</v>
      </c>
      <c r="B39" s="61">
        <v>40573</v>
      </c>
      <c r="C39">
        <v>1</v>
      </c>
      <c r="D39">
        <v>0</v>
      </c>
      <c r="E39">
        <v>1</v>
      </c>
      <c r="F39">
        <v>7</v>
      </c>
      <c r="G39" t="b">
        <v>0</v>
      </c>
      <c r="H39">
        <v>0</v>
      </c>
      <c r="I39">
        <v>1</v>
      </c>
      <c r="J39">
        <v>0.14000000000000001</v>
      </c>
      <c r="K39">
        <v>0.21210000000000001</v>
      </c>
      <c r="L39">
        <v>0.86</v>
      </c>
      <c r="M39">
        <v>0</v>
      </c>
      <c r="N39">
        <v>0</v>
      </c>
      <c r="O39">
        <v>3</v>
      </c>
      <c r="P39">
        <v>3</v>
      </c>
    </row>
    <row r="40" spans="1:16" x14ac:dyDescent="0.2">
      <c r="A40">
        <v>649</v>
      </c>
      <c r="B40" s="61">
        <v>40573</v>
      </c>
      <c r="C40">
        <v>1</v>
      </c>
      <c r="D40">
        <v>0</v>
      </c>
      <c r="E40">
        <v>1</v>
      </c>
      <c r="F40">
        <v>8</v>
      </c>
      <c r="G40" t="b">
        <v>0</v>
      </c>
      <c r="H40">
        <v>0</v>
      </c>
      <c r="I40">
        <v>2</v>
      </c>
      <c r="J40">
        <v>0.14000000000000001</v>
      </c>
      <c r="K40">
        <v>0.21210000000000001</v>
      </c>
      <c r="L40">
        <v>0.86</v>
      </c>
      <c r="M40">
        <v>0</v>
      </c>
      <c r="N40">
        <v>1</v>
      </c>
      <c r="O40">
        <v>11</v>
      </c>
      <c r="P40">
        <v>12</v>
      </c>
    </row>
    <row r="41" spans="1:16" x14ac:dyDescent="0.2">
      <c r="A41">
        <v>650</v>
      </c>
      <c r="B41" s="61">
        <v>40573</v>
      </c>
      <c r="C41">
        <v>1</v>
      </c>
      <c r="D41">
        <v>0</v>
      </c>
      <c r="E41">
        <v>1</v>
      </c>
      <c r="F41">
        <v>9</v>
      </c>
      <c r="G41" t="b">
        <v>0</v>
      </c>
      <c r="H41">
        <v>0</v>
      </c>
      <c r="I41">
        <v>2</v>
      </c>
      <c r="J41">
        <v>0.16</v>
      </c>
      <c r="K41">
        <v>0.2273</v>
      </c>
      <c r="L41">
        <v>0.8</v>
      </c>
      <c r="M41">
        <v>0</v>
      </c>
      <c r="N41">
        <v>4</v>
      </c>
      <c r="O41">
        <v>34</v>
      </c>
      <c r="P41">
        <v>38</v>
      </c>
    </row>
    <row r="42" spans="1:16" x14ac:dyDescent="0.2">
      <c r="A42">
        <v>651</v>
      </c>
      <c r="B42" s="61">
        <v>40573</v>
      </c>
      <c r="C42">
        <v>1</v>
      </c>
      <c r="D42">
        <v>0</v>
      </c>
      <c r="E42">
        <v>1</v>
      </c>
      <c r="F42">
        <v>10</v>
      </c>
      <c r="G42" t="b">
        <v>0</v>
      </c>
      <c r="H42">
        <v>0</v>
      </c>
      <c r="I42">
        <v>2</v>
      </c>
      <c r="J42">
        <v>0.18</v>
      </c>
      <c r="K42">
        <v>0.2424</v>
      </c>
      <c r="L42">
        <v>0.8</v>
      </c>
      <c r="M42">
        <v>0</v>
      </c>
      <c r="N42">
        <v>7</v>
      </c>
      <c r="O42">
        <v>57</v>
      </c>
      <c r="P42">
        <v>64</v>
      </c>
    </row>
    <row r="43" spans="1:16" x14ac:dyDescent="0.2">
      <c r="A43">
        <v>652</v>
      </c>
      <c r="B43" s="61">
        <v>40573</v>
      </c>
      <c r="C43">
        <v>1</v>
      </c>
      <c r="D43">
        <v>0</v>
      </c>
      <c r="E43">
        <v>1</v>
      </c>
      <c r="F43">
        <v>11</v>
      </c>
      <c r="G43" t="b">
        <v>0</v>
      </c>
      <c r="H43">
        <v>0</v>
      </c>
      <c r="I43">
        <v>1</v>
      </c>
      <c r="J43">
        <v>0.22</v>
      </c>
      <c r="K43">
        <v>0.2727</v>
      </c>
      <c r="L43">
        <v>0.75</v>
      </c>
      <c r="M43">
        <v>0</v>
      </c>
      <c r="N43">
        <v>9</v>
      </c>
      <c r="O43">
        <v>50</v>
      </c>
      <c r="P43">
        <v>59</v>
      </c>
    </row>
    <row r="44" spans="1:16" x14ac:dyDescent="0.2">
      <c r="A44">
        <v>653</v>
      </c>
      <c r="B44" s="61">
        <v>40573</v>
      </c>
      <c r="C44">
        <v>1</v>
      </c>
      <c r="D44">
        <v>0</v>
      </c>
      <c r="E44">
        <v>1</v>
      </c>
      <c r="F44">
        <v>12</v>
      </c>
      <c r="G44" t="b">
        <v>0</v>
      </c>
      <c r="H44">
        <v>0</v>
      </c>
      <c r="I44">
        <v>1</v>
      </c>
      <c r="J44">
        <v>0.3</v>
      </c>
      <c r="K44">
        <v>0.31819999999999998</v>
      </c>
      <c r="L44">
        <v>0.52</v>
      </c>
      <c r="M44">
        <v>0.1045</v>
      </c>
      <c r="N44">
        <v>10</v>
      </c>
      <c r="O44">
        <v>87</v>
      </c>
      <c r="P44">
        <v>97</v>
      </c>
    </row>
    <row r="45" spans="1:16" x14ac:dyDescent="0.2">
      <c r="A45">
        <v>654</v>
      </c>
      <c r="B45" s="61">
        <v>40573</v>
      </c>
      <c r="C45">
        <v>1</v>
      </c>
      <c r="D45">
        <v>0</v>
      </c>
      <c r="E45">
        <v>1</v>
      </c>
      <c r="F45">
        <v>13</v>
      </c>
      <c r="G45" t="b">
        <v>0</v>
      </c>
      <c r="H45">
        <v>0</v>
      </c>
      <c r="I45">
        <v>1</v>
      </c>
      <c r="J45">
        <v>0.28000000000000003</v>
      </c>
      <c r="K45">
        <v>0.28789999999999999</v>
      </c>
      <c r="L45">
        <v>0.61</v>
      </c>
      <c r="M45">
        <v>0.1045</v>
      </c>
      <c r="N45">
        <v>13</v>
      </c>
      <c r="O45">
        <v>71</v>
      </c>
      <c r="P45">
        <v>84</v>
      </c>
    </row>
    <row r="46" spans="1:16" x14ac:dyDescent="0.2">
      <c r="A46">
        <v>655</v>
      </c>
      <c r="B46" s="61">
        <v>40573</v>
      </c>
      <c r="C46">
        <v>1</v>
      </c>
      <c r="D46">
        <v>0</v>
      </c>
      <c r="E46">
        <v>1</v>
      </c>
      <c r="F46">
        <v>14</v>
      </c>
      <c r="G46" t="b">
        <v>0</v>
      </c>
      <c r="H46">
        <v>0</v>
      </c>
      <c r="I46">
        <v>1</v>
      </c>
      <c r="J46">
        <v>0.28000000000000003</v>
      </c>
      <c r="K46">
        <v>0.30299999999999999</v>
      </c>
      <c r="L46">
        <v>0.61</v>
      </c>
      <c r="M46">
        <v>8.9599999999999999E-2</v>
      </c>
      <c r="N46">
        <v>18</v>
      </c>
      <c r="O46">
        <v>104</v>
      </c>
      <c r="P46">
        <v>122</v>
      </c>
    </row>
    <row r="47" spans="1:16" x14ac:dyDescent="0.2">
      <c r="A47">
        <v>656</v>
      </c>
      <c r="B47" s="61">
        <v>40573</v>
      </c>
      <c r="C47">
        <v>1</v>
      </c>
      <c r="D47">
        <v>0</v>
      </c>
      <c r="E47">
        <v>1</v>
      </c>
      <c r="F47">
        <v>15</v>
      </c>
      <c r="G47" t="b">
        <v>0</v>
      </c>
      <c r="H47">
        <v>0</v>
      </c>
      <c r="I47">
        <v>1</v>
      </c>
      <c r="J47">
        <v>0.3</v>
      </c>
      <c r="K47">
        <v>0.33329999999999999</v>
      </c>
      <c r="L47">
        <v>0.56000000000000005</v>
      </c>
      <c r="M47">
        <v>0</v>
      </c>
      <c r="N47">
        <v>14</v>
      </c>
      <c r="O47">
        <v>95</v>
      </c>
      <c r="P47">
        <v>109</v>
      </c>
    </row>
    <row r="48" spans="1:16" x14ac:dyDescent="0.2">
      <c r="A48">
        <v>657</v>
      </c>
      <c r="B48" s="61">
        <v>40573</v>
      </c>
      <c r="C48">
        <v>1</v>
      </c>
      <c r="D48">
        <v>0</v>
      </c>
      <c r="E48">
        <v>1</v>
      </c>
      <c r="F48">
        <v>16</v>
      </c>
      <c r="G48" t="b">
        <v>0</v>
      </c>
      <c r="H48">
        <v>0</v>
      </c>
      <c r="I48">
        <v>1</v>
      </c>
      <c r="J48">
        <v>0.3</v>
      </c>
      <c r="K48">
        <v>0.33329999999999999</v>
      </c>
      <c r="L48">
        <v>0.56000000000000005</v>
      </c>
      <c r="M48">
        <v>0</v>
      </c>
      <c r="N48">
        <v>19</v>
      </c>
      <c r="O48">
        <v>104</v>
      </c>
      <c r="P48">
        <v>123</v>
      </c>
    </row>
    <row r="49" spans="1:16" x14ac:dyDescent="0.2">
      <c r="A49">
        <v>658</v>
      </c>
      <c r="B49" s="61">
        <v>40573</v>
      </c>
      <c r="C49">
        <v>1</v>
      </c>
      <c r="D49">
        <v>0</v>
      </c>
      <c r="E49">
        <v>1</v>
      </c>
      <c r="F49">
        <v>17</v>
      </c>
      <c r="G49" t="b">
        <v>0</v>
      </c>
      <c r="H49">
        <v>0</v>
      </c>
      <c r="I49">
        <v>1</v>
      </c>
      <c r="J49">
        <v>0.3</v>
      </c>
      <c r="K49">
        <v>0.28789999999999999</v>
      </c>
      <c r="L49">
        <v>0.56000000000000005</v>
      </c>
      <c r="M49">
        <v>0.19400000000000001</v>
      </c>
      <c r="N49">
        <v>6</v>
      </c>
      <c r="O49">
        <v>71</v>
      </c>
      <c r="P49">
        <v>77</v>
      </c>
    </row>
    <row r="50" spans="1:16" x14ac:dyDescent="0.2">
      <c r="A50">
        <v>659</v>
      </c>
      <c r="B50" s="61">
        <v>40573</v>
      </c>
      <c r="C50">
        <v>1</v>
      </c>
      <c r="D50">
        <v>0</v>
      </c>
      <c r="E50">
        <v>1</v>
      </c>
      <c r="F50">
        <v>18</v>
      </c>
      <c r="G50" t="b">
        <v>0</v>
      </c>
      <c r="H50">
        <v>0</v>
      </c>
      <c r="I50">
        <v>1</v>
      </c>
      <c r="J50">
        <v>0.26</v>
      </c>
      <c r="K50">
        <v>0.2576</v>
      </c>
      <c r="L50">
        <v>0.65</v>
      </c>
      <c r="M50">
        <v>0.16420000000000001</v>
      </c>
      <c r="N50">
        <v>8</v>
      </c>
      <c r="O50">
        <v>57</v>
      </c>
      <c r="P50">
        <v>65</v>
      </c>
    </row>
    <row r="51" spans="1:16" x14ac:dyDescent="0.2">
      <c r="A51">
        <v>660</v>
      </c>
      <c r="B51" s="61">
        <v>40573</v>
      </c>
      <c r="C51">
        <v>1</v>
      </c>
      <c r="D51">
        <v>0</v>
      </c>
      <c r="E51">
        <v>1</v>
      </c>
      <c r="F51">
        <v>19</v>
      </c>
      <c r="G51" t="b">
        <v>0</v>
      </c>
      <c r="H51">
        <v>0</v>
      </c>
      <c r="I51">
        <v>1</v>
      </c>
      <c r="J51">
        <v>0.26</v>
      </c>
      <c r="K51">
        <v>0.2576</v>
      </c>
      <c r="L51">
        <v>0.65</v>
      </c>
      <c r="M51">
        <v>0.19400000000000001</v>
      </c>
      <c r="N51">
        <v>9</v>
      </c>
      <c r="O51">
        <v>46</v>
      </c>
      <c r="P51">
        <v>55</v>
      </c>
    </row>
    <row r="52" spans="1:16" x14ac:dyDescent="0.2">
      <c r="A52">
        <v>661</v>
      </c>
      <c r="B52" s="61">
        <v>40573</v>
      </c>
      <c r="C52">
        <v>1</v>
      </c>
      <c r="D52">
        <v>0</v>
      </c>
      <c r="E52">
        <v>1</v>
      </c>
      <c r="F52">
        <v>20</v>
      </c>
      <c r="G52" t="b">
        <v>0</v>
      </c>
      <c r="H52">
        <v>0</v>
      </c>
      <c r="I52">
        <v>2</v>
      </c>
      <c r="J52">
        <v>0.26</v>
      </c>
      <c r="K52">
        <v>0.2727</v>
      </c>
      <c r="L52">
        <v>0.65</v>
      </c>
      <c r="M52">
        <v>0.1045</v>
      </c>
      <c r="N52">
        <v>3</v>
      </c>
      <c r="O52">
        <v>30</v>
      </c>
      <c r="P52">
        <v>33</v>
      </c>
    </row>
    <row r="53" spans="1:16" x14ac:dyDescent="0.2">
      <c r="A53">
        <v>662</v>
      </c>
      <c r="B53" s="61">
        <v>40573</v>
      </c>
      <c r="C53">
        <v>1</v>
      </c>
      <c r="D53">
        <v>0</v>
      </c>
      <c r="E53">
        <v>1</v>
      </c>
      <c r="F53">
        <v>21</v>
      </c>
      <c r="G53" t="b">
        <v>0</v>
      </c>
      <c r="H53">
        <v>0</v>
      </c>
      <c r="I53">
        <v>2</v>
      </c>
      <c r="J53">
        <v>0.24</v>
      </c>
      <c r="K53">
        <v>0.2424</v>
      </c>
      <c r="L53">
        <v>0.7</v>
      </c>
      <c r="M53">
        <v>0.16420000000000001</v>
      </c>
      <c r="N53">
        <v>3</v>
      </c>
      <c r="O53">
        <v>25</v>
      </c>
      <c r="P53">
        <v>28</v>
      </c>
    </row>
    <row r="54" spans="1:16" x14ac:dyDescent="0.2">
      <c r="A54">
        <v>663</v>
      </c>
      <c r="B54" s="61">
        <v>40573</v>
      </c>
      <c r="C54">
        <v>1</v>
      </c>
      <c r="D54">
        <v>0</v>
      </c>
      <c r="E54">
        <v>1</v>
      </c>
      <c r="F54">
        <v>22</v>
      </c>
      <c r="G54" t="b">
        <v>0</v>
      </c>
      <c r="H54">
        <v>0</v>
      </c>
      <c r="I54">
        <v>2</v>
      </c>
      <c r="J54">
        <v>0.24</v>
      </c>
      <c r="K54">
        <v>0.2273</v>
      </c>
      <c r="L54">
        <v>0.7</v>
      </c>
      <c r="M54">
        <v>0.19400000000000001</v>
      </c>
      <c r="N54">
        <v>2</v>
      </c>
      <c r="O54">
        <v>19</v>
      </c>
      <c r="P54">
        <v>21</v>
      </c>
    </row>
    <row r="55" spans="1:16" x14ac:dyDescent="0.2">
      <c r="A55">
        <v>664</v>
      </c>
      <c r="B55" s="61">
        <v>40573</v>
      </c>
      <c r="C55">
        <v>1</v>
      </c>
      <c r="D55">
        <v>0</v>
      </c>
      <c r="E55">
        <v>1</v>
      </c>
      <c r="F55">
        <v>23</v>
      </c>
      <c r="G55" t="b">
        <v>0</v>
      </c>
      <c r="H55">
        <v>0</v>
      </c>
      <c r="I55">
        <v>2</v>
      </c>
      <c r="J55">
        <v>0.24</v>
      </c>
      <c r="K55">
        <v>0.21210000000000001</v>
      </c>
      <c r="L55">
        <v>0.65</v>
      </c>
      <c r="M55">
        <v>0.28360000000000002</v>
      </c>
      <c r="N55">
        <v>5</v>
      </c>
      <c r="O55">
        <v>16</v>
      </c>
      <c r="P55">
        <v>21</v>
      </c>
    </row>
    <row r="56" spans="1:16" x14ac:dyDescent="0.2">
      <c r="A56">
        <v>665</v>
      </c>
      <c r="B56" s="61">
        <v>40574</v>
      </c>
      <c r="C56">
        <v>1</v>
      </c>
      <c r="D56">
        <v>0</v>
      </c>
      <c r="E56">
        <v>1</v>
      </c>
      <c r="F56">
        <v>0</v>
      </c>
      <c r="G56" t="b">
        <v>0</v>
      </c>
      <c r="H56">
        <v>1</v>
      </c>
      <c r="I56">
        <v>2</v>
      </c>
      <c r="J56">
        <v>0.24</v>
      </c>
      <c r="K56">
        <v>0.2273</v>
      </c>
      <c r="L56">
        <v>0.65</v>
      </c>
      <c r="M56">
        <v>0.22389999999999999</v>
      </c>
      <c r="N56">
        <v>1</v>
      </c>
      <c r="O56">
        <v>6</v>
      </c>
      <c r="P56">
        <v>7</v>
      </c>
    </row>
    <row r="57" spans="1:16" x14ac:dyDescent="0.2">
      <c r="A57">
        <v>666</v>
      </c>
      <c r="B57" s="61">
        <v>40574</v>
      </c>
      <c r="C57">
        <v>1</v>
      </c>
      <c r="D57">
        <v>0</v>
      </c>
      <c r="E57">
        <v>1</v>
      </c>
      <c r="F57">
        <v>1</v>
      </c>
      <c r="G57" t="b">
        <v>0</v>
      </c>
      <c r="H57">
        <v>1</v>
      </c>
      <c r="I57">
        <v>1</v>
      </c>
      <c r="J57">
        <v>0.22</v>
      </c>
      <c r="K57">
        <v>0.21210000000000001</v>
      </c>
      <c r="L57">
        <v>0.64</v>
      </c>
      <c r="M57">
        <v>0.25369999999999998</v>
      </c>
      <c r="N57">
        <v>2</v>
      </c>
      <c r="O57">
        <v>5</v>
      </c>
      <c r="P57">
        <v>7</v>
      </c>
    </row>
    <row r="58" spans="1:16" x14ac:dyDescent="0.2">
      <c r="A58">
        <v>667</v>
      </c>
      <c r="B58" s="61">
        <v>40574</v>
      </c>
      <c r="C58">
        <v>1</v>
      </c>
      <c r="D58">
        <v>0</v>
      </c>
      <c r="E58">
        <v>1</v>
      </c>
      <c r="F58">
        <v>2</v>
      </c>
      <c r="G58" t="b">
        <v>0</v>
      </c>
      <c r="H58">
        <v>1</v>
      </c>
      <c r="I58">
        <v>1</v>
      </c>
      <c r="J58">
        <v>0.22</v>
      </c>
      <c r="K58">
        <v>0.2273</v>
      </c>
      <c r="L58">
        <v>0.64</v>
      </c>
      <c r="M58">
        <v>0.19400000000000001</v>
      </c>
      <c r="N58">
        <v>0</v>
      </c>
      <c r="O58">
        <v>1</v>
      </c>
      <c r="P58">
        <v>1</v>
      </c>
    </row>
    <row r="59" spans="1:16" x14ac:dyDescent="0.2">
      <c r="A59">
        <v>668</v>
      </c>
      <c r="B59" s="61">
        <v>40574</v>
      </c>
      <c r="C59">
        <v>1</v>
      </c>
      <c r="D59">
        <v>0</v>
      </c>
      <c r="E59">
        <v>1</v>
      </c>
      <c r="F59">
        <v>3</v>
      </c>
      <c r="G59" t="b">
        <v>0</v>
      </c>
      <c r="H59">
        <v>1</v>
      </c>
      <c r="I59">
        <v>1</v>
      </c>
      <c r="J59">
        <v>0.22</v>
      </c>
      <c r="K59">
        <v>0.2273</v>
      </c>
      <c r="L59">
        <v>0.64</v>
      </c>
      <c r="M59">
        <v>0.19400000000000001</v>
      </c>
      <c r="N59">
        <v>0</v>
      </c>
      <c r="O59">
        <v>2</v>
      </c>
      <c r="P59">
        <v>2</v>
      </c>
    </row>
    <row r="60" spans="1:16" x14ac:dyDescent="0.2">
      <c r="A60">
        <v>669</v>
      </c>
      <c r="B60" s="61">
        <v>40574</v>
      </c>
      <c r="C60">
        <v>1</v>
      </c>
      <c r="D60">
        <v>0</v>
      </c>
      <c r="E60">
        <v>1</v>
      </c>
      <c r="F60">
        <v>4</v>
      </c>
      <c r="G60" t="b">
        <v>0</v>
      </c>
      <c r="H60">
        <v>1</v>
      </c>
      <c r="I60">
        <v>1</v>
      </c>
      <c r="J60">
        <v>0.2</v>
      </c>
      <c r="K60">
        <v>0.19700000000000001</v>
      </c>
      <c r="L60">
        <v>0.59</v>
      </c>
      <c r="M60">
        <v>0.22389999999999999</v>
      </c>
      <c r="N60">
        <v>0</v>
      </c>
      <c r="O60">
        <v>2</v>
      </c>
      <c r="P60">
        <v>2</v>
      </c>
    </row>
    <row r="61" spans="1:16" x14ac:dyDescent="0.2">
      <c r="A61">
        <v>670</v>
      </c>
      <c r="B61" s="61">
        <v>40574</v>
      </c>
      <c r="C61">
        <v>1</v>
      </c>
      <c r="D61">
        <v>0</v>
      </c>
      <c r="E61">
        <v>1</v>
      </c>
      <c r="F61">
        <v>5</v>
      </c>
      <c r="G61" t="b">
        <v>0</v>
      </c>
      <c r="H61">
        <v>1</v>
      </c>
      <c r="I61">
        <v>1</v>
      </c>
      <c r="J61">
        <v>0.18</v>
      </c>
      <c r="K61">
        <v>0.16669999999999999</v>
      </c>
      <c r="L61">
        <v>0.64</v>
      </c>
      <c r="M61">
        <v>0.28360000000000002</v>
      </c>
      <c r="N61">
        <v>0</v>
      </c>
      <c r="O61">
        <v>8</v>
      </c>
      <c r="P61">
        <v>8</v>
      </c>
    </row>
    <row r="62" spans="1:16" x14ac:dyDescent="0.2">
      <c r="A62">
        <v>671</v>
      </c>
      <c r="B62" s="61">
        <v>40574</v>
      </c>
      <c r="C62">
        <v>1</v>
      </c>
      <c r="D62">
        <v>0</v>
      </c>
      <c r="E62">
        <v>1</v>
      </c>
      <c r="F62">
        <v>6</v>
      </c>
      <c r="G62" t="b">
        <v>0</v>
      </c>
      <c r="H62">
        <v>1</v>
      </c>
      <c r="I62">
        <v>1</v>
      </c>
      <c r="J62">
        <v>0.16</v>
      </c>
      <c r="K62">
        <v>0.13639999999999999</v>
      </c>
      <c r="L62">
        <v>0.69</v>
      </c>
      <c r="M62">
        <v>0.32840000000000003</v>
      </c>
      <c r="N62">
        <v>0</v>
      </c>
      <c r="O62">
        <v>37</v>
      </c>
      <c r="P62">
        <v>37</v>
      </c>
    </row>
    <row r="63" spans="1:16" x14ac:dyDescent="0.2">
      <c r="A63">
        <v>672</v>
      </c>
      <c r="B63" s="61">
        <v>40574</v>
      </c>
      <c r="C63">
        <v>1</v>
      </c>
      <c r="D63">
        <v>0</v>
      </c>
      <c r="E63">
        <v>1</v>
      </c>
      <c r="F63">
        <v>7</v>
      </c>
      <c r="G63" t="b">
        <v>0</v>
      </c>
      <c r="H63">
        <v>1</v>
      </c>
      <c r="I63">
        <v>2</v>
      </c>
      <c r="J63">
        <v>0.16</v>
      </c>
      <c r="K63">
        <v>0.13639999999999999</v>
      </c>
      <c r="L63">
        <v>0.64</v>
      </c>
      <c r="M63">
        <v>0.28360000000000002</v>
      </c>
      <c r="N63">
        <v>1</v>
      </c>
      <c r="O63">
        <v>71</v>
      </c>
      <c r="P63">
        <v>72</v>
      </c>
    </row>
    <row r="64" spans="1:16" x14ac:dyDescent="0.2">
      <c r="A64">
        <v>673</v>
      </c>
      <c r="B64" s="61">
        <v>40574</v>
      </c>
      <c r="C64">
        <v>1</v>
      </c>
      <c r="D64">
        <v>0</v>
      </c>
      <c r="E64">
        <v>1</v>
      </c>
      <c r="F64">
        <v>8</v>
      </c>
      <c r="G64" t="b">
        <v>0</v>
      </c>
      <c r="H64">
        <v>1</v>
      </c>
      <c r="I64">
        <v>2</v>
      </c>
      <c r="J64">
        <v>0.16</v>
      </c>
      <c r="K64">
        <v>0.13639999999999999</v>
      </c>
      <c r="L64">
        <v>0.59</v>
      </c>
      <c r="M64">
        <v>0.28360000000000002</v>
      </c>
      <c r="N64">
        <v>3</v>
      </c>
      <c r="O64">
        <v>182</v>
      </c>
      <c r="P64">
        <v>185</v>
      </c>
    </row>
    <row r="65" spans="1:16" x14ac:dyDescent="0.2">
      <c r="A65">
        <v>674</v>
      </c>
      <c r="B65" s="61">
        <v>40574</v>
      </c>
      <c r="C65">
        <v>1</v>
      </c>
      <c r="D65">
        <v>0</v>
      </c>
      <c r="E65">
        <v>1</v>
      </c>
      <c r="F65">
        <v>9</v>
      </c>
      <c r="G65" t="b">
        <v>0</v>
      </c>
      <c r="H65">
        <v>1</v>
      </c>
      <c r="I65">
        <v>2</v>
      </c>
      <c r="J65">
        <v>0.16</v>
      </c>
      <c r="K65">
        <v>0.13639999999999999</v>
      </c>
      <c r="L65">
        <v>0.59</v>
      </c>
      <c r="M65">
        <v>0.29849999999999999</v>
      </c>
      <c r="N65">
        <v>0</v>
      </c>
      <c r="O65">
        <v>112</v>
      </c>
      <c r="P65">
        <v>112</v>
      </c>
    </row>
    <row r="66" spans="1:16" x14ac:dyDescent="0.2">
      <c r="A66">
        <v>675</v>
      </c>
      <c r="B66" s="61">
        <v>40574</v>
      </c>
      <c r="C66">
        <v>1</v>
      </c>
      <c r="D66">
        <v>0</v>
      </c>
      <c r="E66">
        <v>1</v>
      </c>
      <c r="F66">
        <v>10</v>
      </c>
      <c r="G66" t="b">
        <v>0</v>
      </c>
      <c r="H66">
        <v>1</v>
      </c>
      <c r="I66">
        <v>2</v>
      </c>
      <c r="J66">
        <v>0.16</v>
      </c>
      <c r="K66">
        <v>0.1515</v>
      </c>
      <c r="L66">
        <v>0.59</v>
      </c>
      <c r="M66">
        <v>0.19400000000000001</v>
      </c>
      <c r="N66">
        <v>1</v>
      </c>
      <c r="O66">
        <v>68</v>
      </c>
      <c r="P66">
        <v>69</v>
      </c>
    </row>
    <row r="67" spans="1:16" x14ac:dyDescent="0.2">
      <c r="A67">
        <v>676</v>
      </c>
      <c r="B67" s="61">
        <v>40574</v>
      </c>
      <c r="C67">
        <v>1</v>
      </c>
      <c r="D67">
        <v>0</v>
      </c>
      <c r="E67">
        <v>1</v>
      </c>
      <c r="F67">
        <v>11</v>
      </c>
      <c r="G67" t="b">
        <v>0</v>
      </c>
      <c r="H67">
        <v>1</v>
      </c>
      <c r="I67">
        <v>2</v>
      </c>
      <c r="J67">
        <v>0.16</v>
      </c>
      <c r="K67">
        <v>0.1515</v>
      </c>
      <c r="L67">
        <v>0.59</v>
      </c>
      <c r="M67">
        <v>0.19400000000000001</v>
      </c>
      <c r="N67">
        <v>2</v>
      </c>
      <c r="O67">
        <v>46</v>
      </c>
      <c r="P67">
        <v>48</v>
      </c>
    </row>
    <row r="68" spans="1:16" x14ac:dyDescent="0.2">
      <c r="A68">
        <v>677</v>
      </c>
      <c r="B68" s="61">
        <v>40574</v>
      </c>
      <c r="C68">
        <v>1</v>
      </c>
      <c r="D68">
        <v>0</v>
      </c>
      <c r="E68">
        <v>1</v>
      </c>
      <c r="F68">
        <v>12</v>
      </c>
      <c r="G68" t="b">
        <v>0</v>
      </c>
      <c r="H68">
        <v>1</v>
      </c>
      <c r="I68">
        <v>2</v>
      </c>
      <c r="J68">
        <v>0.18</v>
      </c>
      <c r="K68">
        <v>0.21210000000000001</v>
      </c>
      <c r="L68">
        <v>0.55000000000000004</v>
      </c>
      <c r="M68">
        <v>0.1045</v>
      </c>
      <c r="N68">
        <v>6</v>
      </c>
      <c r="O68">
        <v>62</v>
      </c>
      <c r="P68">
        <v>68</v>
      </c>
    </row>
    <row r="69" spans="1:16" x14ac:dyDescent="0.2">
      <c r="A69">
        <v>678</v>
      </c>
      <c r="B69" s="61">
        <v>40574</v>
      </c>
      <c r="C69">
        <v>1</v>
      </c>
      <c r="D69">
        <v>0</v>
      </c>
      <c r="E69">
        <v>1</v>
      </c>
      <c r="F69">
        <v>13</v>
      </c>
      <c r="G69" t="b">
        <v>0</v>
      </c>
      <c r="H69">
        <v>1</v>
      </c>
      <c r="I69">
        <v>2</v>
      </c>
      <c r="J69">
        <v>0.16</v>
      </c>
      <c r="K69">
        <v>0.2273</v>
      </c>
      <c r="L69">
        <v>0.59</v>
      </c>
      <c r="M69">
        <v>0</v>
      </c>
      <c r="N69">
        <v>2</v>
      </c>
      <c r="O69">
        <v>52</v>
      </c>
      <c r="P69">
        <v>54</v>
      </c>
    </row>
    <row r="70" spans="1:16" x14ac:dyDescent="0.2">
      <c r="A70">
        <v>679</v>
      </c>
      <c r="B70" s="61">
        <v>40574</v>
      </c>
      <c r="C70">
        <v>1</v>
      </c>
      <c r="D70">
        <v>0</v>
      </c>
      <c r="E70">
        <v>1</v>
      </c>
      <c r="F70">
        <v>14</v>
      </c>
      <c r="G70" t="b">
        <v>0</v>
      </c>
      <c r="H70">
        <v>1</v>
      </c>
      <c r="I70">
        <v>2</v>
      </c>
      <c r="J70">
        <v>0.18</v>
      </c>
      <c r="K70">
        <v>0.19700000000000001</v>
      </c>
      <c r="L70">
        <v>0.55000000000000004</v>
      </c>
      <c r="M70">
        <v>0.1343</v>
      </c>
      <c r="N70">
        <v>1</v>
      </c>
      <c r="O70">
        <v>85</v>
      </c>
      <c r="P70">
        <v>86</v>
      </c>
    </row>
    <row r="71" spans="1:16" x14ac:dyDescent="0.2">
      <c r="A71">
        <v>680</v>
      </c>
      <c r="B71" s="61">
        <v>40574</v>
      </c>
      <c r="C71">
        <v>1</v>
      </c>
      <c r="D71">
        <v>0</v>
      </c>
      <c r="E71">
        <v>1</v>
      </c>
      <c r="F71">
        <v>15</v>
      </c>
      <c r="G71" t="b">
        <v>0</v>
      </c>
      <c r="H71">
        <v>1</v>
      </c>
      <c r="I71">
        <v>2</v>
      </c>
      <c r="J71">
        <v>0.16</v>
      </c>
      <c r="K71">
        <v>0.18179999999999999</v>
      </c>
      <c r="L71">
        <v>0.59</v>
      </c>
      <c r="M71">
        <v>0.1343</v>
      </c>
      <c r="N71">
        <v>3</v>
      </c>
      <c r="O71">
        <v>41</v>
      </c>
      <c r="P71">
        <v>44</v>
      </c>
    </row>
    <row r="72" spans="1:16" x14ac:dyDescent="0.2">
      <c r="A72">
        <v>681</v>
      </c>
      <c r="B72" s="61">
        <v>40574</v>
      </c>
      <c r="C72">
        <v>1</v>
      </c>
      <c r="D72">
        <v>0</v>
      </c>
      <c r="E72">
        <v>1</v>
      </c>
      <c r="F72">
        <v>16</v>
      </c>
      <c r="G72" t="b">
        <v>0</v>
      </c>
      <c r="H72">
        <v>1</v>
      </c>
      <c r="I72">
        <v>2</v>
      </c>
      <c r="J72">
        <v>0.16</v>
      </c>
      <c r="K72">
        <v>0.18179999999999999</v>
      </c>
      <c r="L72">
        <v>0.56000000000000005</v>
      </c>
      <c r="M72">
        <v>0.19400000000000001</v>
      </c>
      <c r="N72">
        <v>3</v>
      </c>
      <c r="O72">
        <v>83</v>
      </c>
      <c r="P72">
        <v>86</v>
      </c>
    </row>
    <row r="73" spans="1:16" x14ac:dyDescent="0.2">
      <c r="A73">
        <v>682</v>
      </c>
      <c r="B73" s="61">
        <v>40574</v>
      </c>
      <c r="C73">
        <v>1</v>
      </c>
      <c r="D73">
        <v>0</v>
      </c>
      <c r="E73">
        <v>1</v>
      </c>
      <c r="F73">
        <v>17</v>
      </c>
      <c r="G73" t="b">
        <v>0</v>
      </c>
      <c r="H73">
        <v>1</v>
      </c>
      <c r="I73">
        <v>2</v>
      </c>
      <c r="J73">
        <v>0.16</v>
      </c>
      <c r="K73">
        <v>0.1515</v>
      </c>
      <c r="L73">
        <v>0.59</v>
      </c>
      <c r="M73">
        <v>0.19400000000000001</v>
      </c>
      <c r="N73">
        <v>6</v>
      </c>
      <c r="O73">
        <v>155</v>
      </c>
      <c r="P73">
        <v>161</v>
      </c>
    </row>
    <row r="74" spans="1:16" x14ac:dyDescent="0.2">
      <c r="A74">
        <v>683</v>
      </c>
      <c r="B74" s="61">
        <v>40574</v>
      </c>
      <c r="C74">
        <v>1</v>
      </c>
      <c r="D74">
        <v>0</v>
      </c>
      <c r="E74">
        <v>1</v>
      </c>
      <c r="F74">
        <v>18</v>
      </c>
      <c r="G74" t="b">
        <v>0</v>
      </c>
      <c r="H74">
        <v>1</v>
      </c>
      <c r="I74">
        <v>2</v>
      </c>
      <c r="J74">
        <v>0.16</v>
      </c>
      <c r="K74">
        <v>0.1515</v>
      </c>
      <c r="L74">
        <v>0.55000000000000004</v>
      </c>
      <c r="M74">
        <v>0.22389999999999999</v>
      </c>
      <c r="N74">
        <v>3</v>
      </c>
      <c r="O74">
        <v>153</v>
      </c>
      <c r="P74">
        <v>156</v>
      </c>
    </row>
    <row r="75" spans="1:16" x14ac:dyDescent="0.2">
      <c r="A75">
        <v>684</v>
      </c>
      <c r="B75" s="61">
        <v>40574</v>
      </c>
      <c r="C75">
        <v>1</v>
      </c>
      <c r="D75">
        <v>0</v>
      </c>
      <c r="E75">
        <v>1</v>
      </c>
      <c r="F75">
        <v>19</v>
      </c>
      <c r="G75" t="b">
        <v>0</v>
      </c>
      <c r="H75">
        <v>1</v>
      </c>
      <c r="I75">
        <v>1</v>
      </c>
      <c r="J75">
        <v>0.3</v>
      </c>
      <c r="K75">
        <v>0.31819999999999998</v>
      </c>
      <c r="L75">
        <v>0.61</v>
      </c>
      <c r="M75">
        <v>0.1045</v>
      </c>
      <c r="N75">
        <v>3</v>
      </c>
      <c r="O75">
        <v>108</v>
      </c>
      <c r="P75">
        <v>111</v>
      </c>
    </row>
    <row r="76" spans="1:16" x14ac:dyDescent="0.2">
      <c r="A76">
        <v>685</v>
      </c>
      <c r="B76" s="61">
        <v>40574</v>
      </c>
      <c r="C76">
        <v>1</v>
      </c>
      <c r="D76">
        <v>0</v>
      </c>
      <c r="E76">
        <v>1</v>
      </c>
      <c r="F76">
        <v>20</v>
      </c>
      <c r="G76" t="b">
        <v>0</v>
      </c>
      <c r="H76">
        <v>1</v>
      </c>
      <c r="I76">
        <v>3</v>
      </c>
      <c r="J76">
        <v>0.16</v>
      </c>
      <c r="K76">
        <v>0.16669999999999999</v>
      </c>
      <c r="L76">
        <v>0.59</v>
      </c>
      <c r="M76">
        <v>0.16420000000000001</v>
      </c>
      <c r="N76">
        <v>0</v>
      </c>
      <c r="O76">
        <v>78</v>
      </c>
      <c r="P76">
        <v>78</v>
      </c>
    </row>
    <row r="77" spans="1:16" x14ac:dyDescent="0.2">
      <c r="A77">
        <v>686</v>
      </c>
      <c r="B77" s="61">
        <v>40574</v>
      </c>
      <c r="C77">
        <v>1</v>
      </c>
      <c r="D77">
        <v>0</v>
      </c>
      <c r="E77">
        <v>1</v>
      </c>
      <c r="F77">
        <v>21</v>
      </c>
      <c r="G77" t="b">
        <v>0</v>
      </c>
      <c r="H77">
        <v>1</v>
      </c>
      <c r="I77">
        <v>3</v>
      </c>
      <c r="J77">
        <v>0.16</v>
      </c>
      <c r="K77">
        <v>0.19700000000000001</v>
      </c>
      <c r="L77">
        <v>0.59</v>
      </c>
      <c r="M77">
        <v>8.9599999999999999E-2</v>
      </c>
      <c r="N77">
        <v>3</v>
      </c>
      <c r="O77">
        <v>53</v>
      </c>
      <c r="P77">
        <v>56</v>
      </c>
    </row>
    <row r="78" spans="1:16" x14ac:dyDescent="0.2">
      <c r="A78">
        <v>687</v>
      </c>
      <c r="B78" s="61">
        <v>40574</v>
      </c>
      <c r="C78">
        <v>1</v>
      </c>
      <c r="D78">
        <v>0</v>
      </c>
      <c r="E78">
        <v>1</v>
      </c>
      <c r="F78">
        <v>22</v>
      </c>
      <c r="G78" t="b">
        <v>0</v>
      </c>
      <c r="H78">
        <v>1</v>
      </c>
      <c r="I78">
        <v>2</v>
      </c>
      <c r="J78">
        <v>0.16</v>
      </c>
      <c r="K78">
        <v>0.18179999999999999</v>
      </c>
      <c r="L78">
        <v>0.59</v>
      </c>
      <c r="M78">
        <v>0.1045</v>
      </c>
      <c r="N78">
        <v>0</v>
      </c>
      <c r="O78">
        <v>34</v>
      </c>
      <c r="P78">
        <v>34</v>
      </c>
    </row>
    <row r="79" spans="1:16" x14ac:dyDescent="0.2">
      <c r="A79">
        <v>688</v>
      </c>
      <c r="B79" s="61">
        <v>40574</v>
      </c>
      <c r="C79">
        <v>1</v>
      </c>
      <c r="D79">
        <v>0</v>
      </c>
      <c r="E79">
        <v>1</v>
      </c>
      <c r="F79">
        <v>23</v>
      </c>
      <c r="G79" t="b">
        <v>0</v>
      </c>
      <c r="H79">
        <v>1</v>
      </c>
      <c r="I79">
        <v>2</v>
      </c>
      <c r="J79">
        <v>0.16</v>
      </c>
      <c r="K79">
        <v>0.19700000000000001</v>
      </c>
      <c r="L79">
        <v>0.64</v>
      </c>
      <c r="M79">
        <v>8.9599999999999999E-2</v>
      </c>
      <c r="N79">
        <v>2</v>
      </c>
      <c r="O79">
        <v>15</v>
      </c>
      <c r="P79">
        <v>17</v>
      </c>
    </row>
    <row r="80" spans="1:16" x14ac:dyDescent="0.2">
      <c r="A80">
        <v>689</v>
      </c>
      <c r="B80" s="61">
        <v>40575</v>
      </c>
      <c r="C80">
        <v>1</v>
      </c>
      <c r="D80">
        <v>0</v>
      </c>
      <c r="E80">
        <v>2</v>
      </c>
      <c r="F80">
        <v>0</v>
      </c>
      <c r="G80" t="b">
        <v>0</v>
      </c>
      <c r="H80">
        <v>2</v>
      </c>
      <c r="I80">
        <v>2</v>
      </c>
      <c r="J80">
        <v>0.16</v>
      </c>
      <c r="K80">
        <v>0.18179999999999999</v>
      </c>
      <c r="L80">
        <v>0.64</v>
      </c>
      <c r="M80">
        <v>0.1045</v>
      </c>
      <c r="N80">
        <v>2</v>
      </c>
      <c r="O80">
        <v>6</v>
      </c>
      <c r="P80">
        <v>8</v>
      </c>
    </row>
    <row r="81" spans="1:16" x14ac:dyDescent="0.2">
      <c r="A81">
        <v>690</v>
      </c>
      <c r="B81" s="61">
        <v>40575</v>
      </c>
      <c r="C81">
        <v>1</v>
      </c>
      <c r="D81">
        <v>0</v>
      </c>
      <c r="E81">
        <v>2</v>
      </c>
      <c r="F81">
        <v>1</v>
      </c>
      <c r="G81" t="b">
        <v>0</v>
      </c>
      <c r="H81">
        <v>2</v>
      </c>
      <c r="I81">
        <v>2</v>
      </c>
      <c r="J81">
        <v>0.16</v>
      </c>
      <c r="K81">
        <v>0.18179999999999999</v>
      </c>
      <c r="L81">
        <v>0.69</v>
      </c>
      <c r="M81">
        <v>0.1045</v>
      </c>
      <c r="N81">
        <v>0</v>
      </c>
      <c r="O81">
        <v>3</v>
      </c>
      <c r="P81">
        <v>3</v>
      </c>
    </row>
    <row r="82" spans="1:16" x14ac:dyDescent="0.2">
      <c r="A82">
        <v>691</v>
      </c>
      <c r="B82" s="61">
        <v>40575</v>
      </c>
      <c r="C82">
        <v>1</v>
      </c>
      <c r="D82">
        <v>0</v>
      </c>
      <c r="E82">
        <v>2</v>
      </c>
      <c r="F82">
        <v>2</v>
      </c>
      <c r="G82" t="b">
        <v>0</v>
      </c>
      <c r="H82">
        <v>2</v>
      </c>
      <c r="I82">
        <v>2</v>
      </c>
      <c r="J82">
        <v>0.16</v>
      </c>
      <c r="K82">
        <v>0.2273</v>
      </c>
      <c r="L82">
        <v>0.69</v>
      </c>
      <c r="M82">
        <v>0</v>
      </c>
      <c r="N82">
        <v>0</v>
      </c>
      <c r="O82">
        <v>2</v>
      </c>
      <c r="P82">
        <v>2</v>
      </c>
    </row>
    <row r="83" spans="1:16" x14ac:dyDescent="0.2">
      <c r="A83">
        <v>692</v>
      </c>
      <c r="B83" s="61">
        <v>40575</v>
      </c>
      <c r="C83">
        <v>1</v>
      </c>
      <c r="D83">
        <v>0</v>
      </c>
      <c r="E83">
        <v>2</v>
      </c>
      <c r="F83">
        <v>3</v>
      </c>
      <c r="G83" t="b">
        <v>0</v>
      </c>
      <c r="H83">
        <v>2</v>
      </c>
      <c r="I83">
        <v>2</v>
      </c>
      <c r="J83">
        <v>0.16</v>
      </c>
      <c r="K83">
        <v>0.2273</v>
      </c>
      <c r="L83">
        <v>0.69</v>
      </c>
      <c r="M83">
        <v>0</v>
      </c>
      <c r="N83">
        <v>0</v>
      </c>
      <c r="O83">
        <v>2</v>
      </c>
      <c r="P83">
        <v>2</v>
      </c>
    </row>
    <row r="84" spans="1:16" x14ac:dyDescent="0.2">
      <c r="A84">
        <v>693</v>
      </c>
      <c r="B84" s="61">
        <v>40575</v>
      </c>
      <c r="C84">
        <v>1</v>
      </c>
      <c r="D84">
        <v>0</v>
      </c>
      <c r="E84">
        <v>2</v>
      </c>
      <c r="F84">
        <v>5</v>
      </c>
      <c r="G84" t="b">
        <v>0</v>
      </c>
      <c r="H84">
        <v>2</v>
      </c>
      <c r="I84">
        <v>3</v>
      </c>
      <c r="J84">
        <v>0.14000000000000001</v>
      </c>
      <c r="K84">
        <v>0.21210000000000001</v>
      </c>
      <c r="L84">
        <v>0.93</v>
      </c>
      <c r="M84">
        <v>0</v>
      </c>
      <c r="N84">
        <v>0</v>
      </c>
      <c r="O84">
        <v>3</v>
      </c>
      <c r="P84">
        <v>3</v>
      </c>
    </row>
    <row r="85" spans="1:16" x14ac:dyDescent="0.2">
      <c r="A85">
        <v>694</v>
      </c>
      <c r="B85" s="61">
        <v>40575</v>
      </c>
      <c r="C85">
        <v>1</v>
      </c>
      <c r="D85">
        <v>0</v>
      </c>
      <c r="E85">
        <v>2</v>
      </c>
      <c r="F85">
        <v>6</v>
      </c>
      <c r="G85" t="b">
        <v>0</v>
      </c>
      <c r="H85">
        <v>2</v>
      </c>
      <c r="I85">
        <v>3</v>
      </c>
      <c r="J85">
        <v>0.14000000000000001</v>
      </c>
      <c r="K85">
        <v>0.21210000000000001</v>
      </c>
      <c r="L85">
        <v>0.93</v>
      </c>
      <c r="M85">
        <v>0</v>
      </c>
      <c r="N85">
        <v>0</v>
      </c>
      <c r="O85">
        <v>22</v>
      </c>
      <c r="P85">
        <v>22</v>
      </c>
    </row>
    <row r="86" spans="1:16" x14ac:dyDescent="0.2">
      <c r="A86">
        <v>695</v>
      </c>
      <c r="B86" s="61">
        <v>40575</v>
      </c>
      <c r="C86">
        <v>1</v>
      </c>
      <c r="D86">
        <v>0</v>
      </c>
      <c r="E86">
        <v>2</v>
      </c>
      <c r="F86">
        <v>7</v>
      </c>
      <c r="G86" t="b">
        <v>0</v>
      </c>
      <c r="H86">
        <v>2</v>
      </c>
      <c r="I86">
        <v>3</v>
      </c>
      <c r="J86">
        <v>0.16</v>
      </c>
      <c r="K86">
        <v>0.2273</v>
      </c>
      <c r="L86">
        <v>0.93</v>
      </c>
      <c r="M86">
        <v>0</v>
      </c>
      <c r="N86">
        <v>0</v>
      </c>
      <c r="O86">
        <v>52</v>
      </c>
      <c r="P86">
        <v>52</v>
      </c>
    </row>
    <row r="87" spans="1:16" x14ac:dyDescent="0.2">
      <c r="A87">
        <v>696</v>
      </c>
      <c r="B87" s="61">
        <v>40575</v>
      </c>
      <c r="C87">
        <v>1</v>
      </c>
      <c r="D87">
        <v>0</v>
      </c>
      <c r="E87">
        <v>2</v>
      </c>
      <c r="F87">
        <v>8</v>
      </c>
      <c r="G87" t="b">
        <v>0</v>
      </c>
      <c r="H87">
        <v>2</v>
      </c>
      <c r="I87">
        <v>3</v>
      </c>
      <c r="J87">
        <v>0.16</v>
      </c>
      <c r="K87">
        <v>0.2273</v>
      </c>
      <c r="L87">
        <v>0.93</v>
      </c>
      <c r="M87">
        <v>0</v>
      </c>
      <c r="N87">
        <v>3</v>
      </c>
      <c r="O87">
        <v>132</v>
      </c>
      <c r="P87">
        <v>135</v>
      </c>
    </row>
    <row r="88" spans="1:16" x14ac:dyDescent="0.2">
      <c r="A88">
        <v>697</v>
      </c>
      <c r="B88" s="61">
        <v>40575</v>
      </c>
      <c r="C88">
        <v>1</v>
      </c>
      <c r="D88">
        <v>0</v>
      </c>
      <c r="E88">
        <v>2</v>
      </c>
      <c r="F88">
        <v>9</v>
      </c>
      <c r="G88" t="b">
        <v>0</v>
      </c>
      <c r="H88">
        <v>2</v>
      </c>
      <c r="I88">
        <v>2</v>
      </c>
      <c r="J88">
        <v>0.16</v>
      </c>
      <c r="K88">
        <v>0.2273</v>
      </c>
      <c r="L88">
        <v>0.93</v>
      </c>
      <c r="M88">
        <v>0</v>
      </c>
      <c r="N88">
        <v>2</v>
      </c>
      <c r="O88">
        <v>114</v>
      </c>
      <c r="P88">
        <v>116</v>
      </c>
    </row>
    <row r="89" spans="1:16" x14ac:dyDescent="0.2">
      <c r="A89">
        <v>698</v>
      </c>
      <c r="B89" s="61">
        <v>40575</v>
      </c>
      <c r="C89">
        <v>1</v>
      </c>
      <c r="D89">
        <v>0</v>
      </c>
      <c r="E89">
        <v>2</v>
      </c>
      <c r="F89">
        <v>10</v>
      </c>
      <c r="G89" t="b">
        <v>0</v>
      </c>
      <c r="H89">
        <v>2</v>
      </c>
      <c r="I89">
        <v>2</v>
      </c>
      <c r="J89">
        <v>0.16</v>
      </c>
      <c r="K89">
        <v>0.2273</v>
      </c>
      <c r="L89">
        <v>0.93</v>
      </c>
      <c r="M89">
        <v>0</v>
      </c>
      <c r="N89">
        <v>0</v>
      </c>
      <c r="O89">
        <v>47</v>
      </c>
      <c r="P89">
        <v>47</v>
      </c>
    </row>
    <row r="90" spans="1:16" x14ac:dyDescent="0.2">
      <c r="A90">
        <v>699</v>
      </c>
      <c r="B90" s="61">
        <v>40575</v>
      </c>
      <c r="C90">
        <v>1</v>
      </c>
      <c r="D90">
        <v>0</v>
      </c>
      <c r="E90">
        <v>2</v>
      </c>
      <c r="F90">
        <v>11</v>
      </c>
      <c r="G90" t="b">
        <v>0</v>
      </c>
      <c r="H90">
        <v>2</v>
      </c>
      <c r="I90">
        <v>2</v>
      </c>
      <c r="J90">
        <v>0.18</v>
      </c>
      <c r="K90">
        <v>0.2424</v>
      </c>
      <c r="L90">
        <v>0.86</v>
      </c>
      <c r="M90">
        <v>0</v>
      </c>
      <c r="N90">
        <v>2</v>
      </c>
      <c r="O90">
        <v>49</v>
      </c>
      <c r="P90">
        <v>51</v>
      </c>
    </row>
    <row r="91" spans="1:16" x14ac:dyDescent="0.2">
      <c r="A91">
        <v>700</v>
      </c>
      <c r="B91" s="61">
        <v>40575</v>
      </c>
      <c r="C91">
        <v>1</v>
      </c>
      <c r="D91">
        <v>0</v>
      </c>
      <c r="E91">
        <v>2</v>
      </c>
      <c r="F91">
        <v>12</v>
      </c>
      <c r="G91" t="b">
        <v>0</v>
      </c>
      <c r="H91">
        <v>2</v>
      </c>
      <c r="I91">
        <v>2</v>
      </c>
      <c r="J91">
        <v>0.2</v>
      </c>
      <c r="K91">
        <v>0.2576</v>
      </c>
      <c r="L91">
        <v>0.86</v>
      </c>
      <c r="M91">
        <v>0</v>
      </c>
      <c r="N91">
        <v>2</v>
      </c>
      <c r="O91">
        <v>53</v>
      </c>
      <c r="P91">
        <v>55</v>
      </c>
    </row>
    <row r="92" spans="1:16" x14ac:dyDescent="0.2">
      <c r="A92">
        <v>701</v>
      </c>
      <c r="B92" s="61">
        <v>40575</v>
      </c>
      <c r="C92">
        <v>1</v>
      </c>
      <c r="D92">
        <v>0</v>
      </c>
      <c r="E92">
        <v>2</v>
      </c>
      <c r="F92">
        <v>13</v>
      </c>
      <c r="G92" t="b">
        <v>0</v>
      </c>
      <c r="H92">
        <v>2</v>
      </c>
      <c r="I92">
        <v>2</v>
      </c>
      <c r="J92">
        <v>0.2</v>
      </c>
      <c r="K92">
        <v>0.2576</v>
      </c>
      <c r="L92">
        <v>0.86</v>
      </c>
      <c r="M92">
        <v>0</v>
      </c>
      <c r="N92">
        <v>3</v>
      </c>
      <c r="O92">
        <v>49</v>
      </c>
      <c r="P92">
        <v>52</v>
      </c>
    </row>
    <row r="93" spans="1:16" x14ac:dyDescent="0.2">
      <c r="A93">
        <v>702</v>
      </c>
      <c r="B93" s="61">
        <v>40575</v>
      </c>
      <c r="C93">
        <v>1</v>
      </c>
      <c r="D93">
        <v>0</v>
      </c>
      <c r="E93">
        <v>2</v>
      </c>
      <c r="F93">
        <v>14</v>
      </c>
      <c r="G93" t="b">
        <v>0</v>
      </c>
      <c r="H93">
        <v>2</v>
      </c>
      <c r="I93">
        <v>2</v>
      </c>
      <c r="J93">
        <v>0.22</v>
      </c>
      <c r="K93">
        <v>0.2576</v>
      </c>
      <c r="L93">
        <v>0.8</v>
      </c>
      <c r="M93">
        <v>8.9599999999999999E-2</v>
      </c>
      <c r="N93">
        <v>5</v>
      </c>
      <c r="O93">
        <v>49</v>
      </c>
      <c r="P93">
        <v>54</v>
      </c>
    </row>
    <row r="94" spans="1:16" x14ac:dyDescent="0.2">
      <c r="A94">
        <v>703</v>
      </c>
      <c r="B94" s="61">
        <v>40575</v>
      </c>
      <c r="C94">
        <v>1</v>
      </c>
      <c r="D94">
        <v>0</v>
      </c>
      <c r="E94">
        <v>2</v>
      </c>
      <c r="F94">
        <v>15</v>
      </c>
      <c r="G94" t="b">
        <v>0</v>
      </c>
      <c r="H94">
        <v>2</v>
      </c>
      <c r="I94">
        <v>2</v>
      </c>
      <c r="J94">
        <v>0.24</v>
      </c>
      <c r="K94">
        <v>0.28789999999999999</v>
      </c>
      <c r="L94">
        <v>0.75</v>
      </c>
      <c r="M94">
        <v>0</v>
      </c>
      <c r="N94">
        <v>7</v>
      </c>
      <c r="O94">
        <v>45</v>
      </c>
      <c r="P94">
        <v>52</v>
      </c>
    </row>
    <row r="95" spans="1:16" x14ac:dyDescent="0.2">
      <c r="A95">
        <v>704</v>
      </c>
      <c r="B95" s="61">
        <v>40575</v>
      </c>
      <c r="C95">
        <v>1</v>
      </c>
      <c r="D95">
        <v>0</v>
      </c>
      <c r="E95">
        <v>2</v>
      </c>
      <c r="F95">
        <v>16</v>
      </c>
      <c r="G95" t="b">
        <v>0</v>
      </c>
      <c r="H95">
        <v>2</v>
      </c>
      <c r="I95">
        <v>2</v>
      </c>
      <c r="J95">
        <v>0.24</v>
      </c>
      <c r="K95">
        <v>0.2424</v>
      </c>
      <c r="L95">
        <v>0.75</v>
      </c>
      <c r="M95">
        <v>0.1343</v>
      </c>
      <c r="N95">
        <v>3</v>
      </c>
      <c r="O95">
        <v>61</v>
      </c>
      <c r="P95">
        <v>64</v>
      </c>
    </row>
    <row r="96" spans="1:16" x14ac:dyDescent="0.2">
      <c r="A96">
        <v>705</v>
      </c>
      <c r="B96" s="61">
        <v>40575</v>
      </c>
      <c r="C96">
        <v>1</v>
      </c>
      <c r="D96">
        <v>0</v>
      </c>
      <c r="E96">
        <v>2</v>
      </c>
      <c r="F96">
        <v>17</v>
      </c>
      <c r="G96" t="b">
        <v>0</v>
      </c>
      <c r="H96">
        <v>2</v>
      </c>
      <c r="I96">
        <v>2</v>
      </c>
      <c r="J96">
        <v>0.24</v>
      </c>
      <c r="K96">
        <v>0.28789999999999999</v>
      </c>
      <c r="L96">
        <v>0.75</v>
      </c>
      <c r="M96">
        <v>0</v>
      </c>
      <c r="N96">
        <v>4</v>
      </c>
      <c r="O96">
        <v>172</v>
      </c>
      <c r="P96">
        <v>176</v>
      </c>
    </row>
    <row r="97" spans="1:16" x14ac:dyDescent="0.2">
      <c r="A97">
        <v>706</v>
      </c>
      <c r="B97" s="61">
        <v>40575</v>
      </c>
      <c r="C97">
        <v>1</v>
      </c>
      <c r="D97">
        <v>0</v>
      </c>
      <c r="E97">
        <v>2</v>
      </c>
      <c r="F97">
        <v>18</v>
      </c>
      <c r="G97" t="b">
        <v>0</v>
      </c>
      <c r="H97">
        <v>2</v>
      </c>
      <c r="I97">
        <v>2</v>
      </c>
      <c r="J97">
        <v>0.24</v>
      </c>
      <c r="K97">
        <v>0.2576</v>
      </c>
      <c r="L97">
        <v>0.81</v>
      </c>
      <c r="M97">
        <v>0.1045</v>
      </c>
      <c r="N97">
        <v>3</v>
      </c>
      <c r="O97">
        <v>165</v>
      </c>
      <c r="P97">
        <v>168</v>
      </c>
    </row>
    <row r="98" spans="1:16" x14ac:dyDescent="0.2">
      <c r="A98">
        <v>707</v>
      </c>
      <c r="B98" s="61">
        <v>40575</v>
      </c>
      <c r="C98">
        <v>1</v>
      </c>
      <c r="D98">
        <v>0</v>
      </c>
      <c r="E98">
        <v>2</v>
      </c>
      <c r="F98">
        <v>19</v>
      </c>
      <c r="G98" t="b">
        <v>0</v>
      </c>
      <c r="H98">
        <v>2</v>
      </c>
      <c r="I98">
        <v>2</v>
      </c>
      <c r="J98">
        <v>0.24</v>
      </c>
      <c r="K98">
        <v>0.2424</v>
      </c>
      <c r="L98">
        <v>0.81</v>
      </c>
      <c r="M98">
        <v>0.1343</v>
      </c>
      <c r="N98">
        <v>3</v>
      </c>
      <c r="O98">
        <v>105</v>
      </c>
      <c r="P98">
        <v>108</v>
      </c>
    </row>
    <row r="99" spans="1:16" x14ac:dyDescent="0.2">
      <c r="A99">
        <v>708</v>
      </c>
      <c r="B99" s="61">
        <v>40575</v>
      </c>
      <c r="C99">
        <v>1</v>
      </c>
      <c r="D99">
        <v>0</v>
      </c>
      <c r="E99">
        <v>2</v>
      </c>
      <c r="F99">
        <v>20</v>
      </c>
      <c r="G99" t="b">
        <v>0</v>
      </c>
      <c r="H99">
        <v>2</v>
      </c>
      <c r="I99">
        <v>2</v>
      </c>
      <c r="J99">
        <v>0.22</v>
      </c>
      <c r="K99">
        <v>0.2273</v>
      </c>
      <c r="L99">
        <v>0.87</v>
      </c>
      <c r="M99">
        <v>0.1343</v>
      </c>
      <c r="N99">
        <v>5</v>
      </c>
      <c r="O99">
        <v>69</v>
      </c>
      <c r="P99">
        <v>74</v>
      </c>
    </row>
    <row r="100" spans="1:16" x14ac:dyDescent="0.2">
      <c r="A100">
        <v>709</v>
      </c>
      <c r="B100" s="61">
        <v>40575</v>
      </c>
      <c r="C100">
        <v>1</v>
      </c>
      <c r="D100">
        <v>0</v>
      </c>
      <c r="E100">
        <v>2</v>
      </c>
      <c r="F100">
        <v>21</v>
      </c>
      <c r="G100" t="b">
        <v>0</v>
      </c>
      <c r="H100">
        <v>2</v>
      </c>
      <c r="I100">
        <v>2</v>
      </c>
      <c r="J100">
        <v>0.22</v>
      </c>
      <c r="K100">
        <v>0.2273</v>
      </c>
      <c r="L100">
        <v>0.87</v>
      </c>
      <c r="M100">
        <v>0.1343</v>
      </c>
      <c r="N100">
        <v>0</v>
      </c>
      <c r="O100">
        <v>64</v>
      </c>
      <c r="P100">
        <v>64</v>
      </c>
    </row>
    <row r="101" spans="1:16" x14ac:dyDescent="0.2">
      <c r="A101">
        <v>710</v>
      </c>
      <c r="B101" s="61">
        <v>40575</v>
      </c>
      <c r="C101">
        <v>1</v>
      </c>
      <c r="D101">
        <v>0</v>
      </c>
      <c r="E101">
        <v>2</v>
      </c>
      <c r="F101">
        <v>22</v>
      </c>
      <c r="G101" t="b">
        <v>0</v>
      </c>
      <c r="H101">
        <v>2</v>
      </c>
      <c r="I101">
        <v>2</v>
      </c>
      <c r="J101">
        <v>0.22</v>
      </c>
      <c r="K101">
        <v>0.2576</v>
      </c>
      <c r="L101">
        <v>0.87</v>
      </c>
      <c r="M101">
        <v>8.9599999999999999E-2</v>
      </c>
      <c r="N101">
        <v>2</v>
      </c>
      <c r="O101">
        <v>34</v>
      </c>
      <c r="P101">
        <v>36</v>
      </c>
    </row>
    <row r="102" spans="1:16" x14ac:dyDescent="0.2">
      <c r="A102">
        <v>711</v>
      </c>
      <c r="B102" s="61">
        <v>40575</v>
      </c>
      <c r="C102">
        <v>1</v>
      </c>
      <c r="D102">
        <v>0</v>
      </c>
      <c r="E102">
        <v>2</v>
      </c>
      <c r="F102">
        <v>23</v>
      </c>
      <c r="G102" t="b">
        <v>0</v>
      </c>
      <c r="H102">
        <v>2</v>
      </c>
      <c r="I102">
        <v>3</v>
      </c>
      <c r="J102">
        <v>0.2</v>
      </c>
      <c r="K102">
        <v>0.19700000000000001</v>
      </c>
      <c r="L102">
        <v>0.93</v>
      </c>
      <c r="M102">
        <v>0.19400000000000001</v>
      </c>
      <c r="N102">
        <v>1</v>
      </c>
      <c r="O102">
        <v>15</v>
      </c>
      <c r="P102">
        <v>16</v>
      </c>
    </row>
    <row r="103" spans="1:16" x14ac:dyDescent="0.2">
      <c r="A103">
        <v>712</v>
      </c>
      <c r="B103" s="61">
        <v>40576</v>
      </c>
      <c r="C103">
        <v>1</v>
      </c>
      <c r="D103">
        <v>0</v>
      </c>
      <c r="E103">
        <v>2</v>
      </c>
      <c r="F103">
        <v>0</v>
      </c>
      <c r="G103" t="b">
        <v>0</v>
      </c>
      <c r="H103">
        <v>3</v>
      </c>
      <c r="I103">
        <v>3</v>
      </c>
      <c r="J103">
        <v>0.22</v>
      </c>
      <c r="K103">
        <v>0.2424</v>
      </c>
      <c r="L103">
        <v>0.93</v>
      </c>
      <c r="M103">
        <v>0.1045</v>
      </c>
      <c r="N103">
        <v>0</v>
      </c>
      <c r="O103">
        <v>2</v>
      </c>
      <c r="P103">
        <v>2</v>
      </c>
    </row>
    <row r="104" spans="1:16" x14ac:dyDescent="0.2">
      <c r="A104">
        <v>713</v>
      </c>
      <c r="B104" s="61">
        <v>40576</v>
      </c>
      <c r="C104">
        <v>1</v>
      </c>
      <c r="D104">
        <v>0</v>
      </c>
      <c r="E104">
        <v>2</v>
      </c>
      <c r="F104">
        <v>1</v>
      </c>
      <c r="G104" t="b">
        <v>0</v>
      </c>
      <c r="H104">
        <v>3</v>
      </c>
      <c r="I104">
        <v>3</v>
      </c>
      <c r="J104">
        <v>0.22</v>
      </c>
      <c r="K104">
        <v>0.2273</v>
      </c>
      <c r="L104">
        <v>0.93</v>
      </c>
      <c r="M104">
        <v>0.19400000000000001</v>
      </c>
      <c r="N104">
        <v>0</v>
      </c>
      <c r="O104">
        <v>3</v>
      </c>
      <c r="P104">
        <v>3</v>
      </c>
    </row>
    <row r="105" spans="1:16" x14ac:dyDescent="0.2">
      <c r="A105">
        <v>714</v>
      </c>
      <c r="B105" s="61">
        <v>40576</v>
      </c>
      <c r="C105">
        <v>1</v>
      </c>
      <c r="D105">
        <v>0</v>
      </c>
      <c r="E105">
        <v>2</v>
      </c>
      <c r="F105">
        <v>2</v>
      </c>
      <c r="G105" t="b">
        <v>0</v>
      </c>
      <c r="H105">
        <v>3</v>
      </c>
      <c r="I105">
        <v>3</v>
      </c>
      <c r="J105">
        <v>0.22</v>
      </c>
      <c r="K105">
        <v>0.2273</v>
      </c>
      <c r="L105">
        <v>0.93</v>
      </c>
      <c r="M105">
        <v>0.1343</v>
      </c>
      <c r="N105">
        <v>4</v>
      </c>
      <c r="O105">
        <v>0</v>
      </c>
      <c r="P105">
        <v>4</v>
      </c>
    </row>
    <row r="106" spans="1:16" x14ac:dyDescent="0.2">
      <c r="A106">
        <v>715</v>
      </c>
      <c r="B106" s="61">
        <v>40576</v>
      </c>
      <c r="C106">
        <v>1</v>
      </c>
      <c r="D106">
        <v>0</v>
      </c>
      <c r="E106">
        <v>2</v>
      </c>
      <c r="F106">
        <v>3</v>
      </c>
      <c r="G106" t="b">
        <v>0</v>
      </c>
      <c r="H106">
        <v>3</v>
      </c>
      <c r="I106">
        <v>3</v>
      </c>
      <c r="J106">
        <v>0.22</v>
      </c>
      <c r="K106">
        <v>0.2273</v>
      </c>
      <c r="L106">
        <v>0.93</v>
      </c>
      <c r="M106">
        <v>0.1343</v>
      </c>
      <c r="N106">
        <v>0</v>
      </c>
      <c r="O106">
        <v>1</v>
      </c>
      <c r="P106">
        <v>1</v>
      </c>
    </row>
    <row r="107" spans="1:16" x14ac:dyDescent="0.2">
      <c r="A107">
        <v>716</v>
      </c>
      <c r="B107" s="61">
        <v>40576</v>
      </c>
      <c r="C107">
        <v>1</v>
      </c>
      <c r="D107">
        <v>0</v>
      </c>
      <c r="E107">
        <v>2</v>
      </c>
      <c r="F107">
        <v>4</v>
      </c>
      <c r="G107" t="b">
        <v>0</v>
      </c>
      <c r="H107">
        <v>3</v>
      </c>
      <c r="I107">
        <v>3</v>
      </c>
      <c r="J107">
        <v>0.22</v>
      </c>
      <c r="K107">
        <v>0.21210000000000001</v>
      </c>
      <c r="L107">
        <v>0.93</v>
      </c>
      <c r="M107">
        <v>0.28360000000000002</v>
      </c>
      <c r="N107">
        <v>0</v>
      </c>
      <c r="O107">
        <v>1</v>
      </c>
      <c r="P107">
        <v>1</v>
      </c>
    </row>
    <row r="108" spans="1:16" x14ac:dyDescent="0.2">
      <c r="A108">
        <v>717</v>
      </c>
      <c r="B108" s="61">
        <v>40576</v>
      </c>
      <c r="C108">
        <v>1</v>
      </c>
      <c r="D108">
        <v>0</v>
      </c>
      <c r="E108">
        <v>2</v>
      </c>
      <c r="F108">
        <v>5</v>
      </c>
      <c r="G108" t="b">
        <v>0</v>
      </c>
      <c r="H108">
        <v>3</v>
      </c>
      <c r="I108">
        <v>3</v>
      </c>
      <c r="J108">
        <v>0.22</v>
      </c>
      <c r="K108">
        <v>0.2424</v>
      </c>
      <c r="L108">
        <v>0.93</v>
      </c>
      <c r="M108">
        <v>0.1045</v>
      </c>
      <c r="N108">
        <v>0</v>
      </c>
      <c r="O108">
        <v>3</v>
      </c>
      <c r="P108">
        <v>3</v>
      </c>
    </row>
    <row r="109" spans="1:16" x14ac:dyDescent="0.2">
      <c r="A109">
        <v>718</v>
      </c>
      <c r="B109" s="61">
        <v>40576</v>
      </c>
      <c r="C109">
        <v>1</v>
      </c>
      <c r="D109">
        <v>0</v>
      </c>
      <c r="E109">
        <v>2</v>
      </c>
      <c r="F109">
        <v>6</v>
      </c>
      <c r="G109" t="b">
        <v>0</v>
      </c>
      <c r="H109">
        <v>3</v>
      </c>
      <c r="I109">
        <v>3</v>
      </c>
      <c r="J109">
        <v>0.22</v>
      </c>
      <c r="K109">
        <v>0.2424</v>
      </c>
      <c r="L109">
        <v>0.93</v>
      </c>
      <c r="M109">
        <v>0.1045</v>
      </c>
      <c r="N109">
        <v>1</v>
      </c>
      <c r="O109">
        <v>17</v>
      </c>
      <c r="P109">
        <v>18</v>
      </c>
    </row>
    <row r="110" spans="1:16" x14ac:dyDescent="0.2">
      <c r="A110">
        <v>719</v>
      </c>
      <c r="B110" s="61">
        <v>40576</v>
      </c>
      <c r="C110">
        <v>1</v>
      </c>
      <c r="D110">
        <v>0</v>
      </c>
      <c r="E110">
        <v>2</v>
      </c>
      <c r="F110">
        <v>7</v>
      </c>
      <c r="G110" t="b">
        <v>0</v>
      </c>
      <c r="H110">
        <v>3</v>
      </c>
      <c r="I110">
        <v>3</v>
      </c>
      <c r="J110">
        <v>0.22</v>
      </c>
      <c r="K110">
        <v>0.21210000000000001</v>
      </c>
      <c r="L110">
        <v>0.93</v>
      </c>
      <c r="M110">
        <v>0.22389999999999999</v>
      </c>
      <c r="N110">
        <v>1</v>
      </c>
      <c r="O110">
        <v>48</v>
      </c>
      <c r="P110">
        <v>49</v>
      </c>
    </row>
    <row r="111" spans="1:16" x14ac:dyDescent="0.2">
      <c r="A111">
        <v>720</v>
      </c>
      <c r="B111" s="61">
        <v>40576</v>
      </c>
      <c r="C111">
        <v>1</v>
      </c>
      <c r="D111">
        <v>0</v>
      </c>
      <c r="E111">
        <v>2</v>
      </c>
      <c r="F111">
        <v>8</v>
      </c>
      <c r="G111" t="b">
        <v>0</v>
      </c>
      <c r="H111">
        <v>3</v>
      </c>
      <c r="I111">
        <v>3</v>
      </c>
      <c r="J111">
        <v>0.22</v>
      </c>
      <c r="K111">
        <v>0.21210000000000001</v>
      </c>
      <c r="L111">
        <v>0.93</v>
      </c>
      <c r="M111">
        <v>0.22389999999999999</v>
      </c>
      <c r="N111">
        <v>1</v>
      </c>
      <c r="O111">
        <v>154</v>
      </c>
      <c r="P111">
        <v>155</v>
      </c>
    </row>
    <row r="112" spans="1:16" x14ac:dyDescent="0.2">
      <c r="A112">
        <v>721</v>
      </c>
      <c r="B112" s="61">
        <v>40576</v>
      </c>
      <c r="C112">
        <v>1</v>
      </c>
      <c r="D112">
        <v>0</v>
      </c>
      <c r="E112">
        <v>2</v>
      </c>
      <c r="F112">
        <v>9</v>
      </c>
      <c r="G112" t="b">
        <v>0</v>
      </c>
      <c r="H112">
        <v>3</v>
      </c>
      <c r="I112">
        <v>2</v>
      </c>
      <c r="J112">
        <v>0.24</v>
      </c>
      <c r="K112">
        <v>0.2576</v>
      </c>
      <c r="L112">
        <v>0.93</v>
      </c>
      <c r="M112">
        <v>8.9599999999999999E-2</v>
      </c>
      <c r="N112">
        <v>4</v>
      </c>
      <c r="O112">
        <v>119</v>
      </c>
      <c r="P112">
        <v>123</v>
      </c>
    </row>
    <row r="113" spans="1:16" x14ac:dyDescent="0.2">
      <c r="A113">
        <v>722</v>
      </c>
      <c r="B113" s="61">
        <v>40576</v>
      </c>
      <c r="C113">
        <v>1</v>
      </c>
      <c r="D113">
        <v>0</v>
      </c>
      <c r="E113">
        <v>2</v>
      </c>
      <c r="F113">
        <v>10</v>
      </c>
      <c r="G113" t="b">
        <v>0</v>
      </c>
      <c r="H113">
        <v>3</v>
      </c>
      <c r="I113">
        <v>2</v>
      </c>
      <c r="J113">
        <v>0.22</v>
      </c>
      <c r="K113">
        <v>0.2727</v>
      </c>
      <c r="L113">
        <v>1</v>
      </c>
      <c r="M113">
        <v>0</v>
      </c>
      <c r="N113">
        <v>2</v>
      </c>
      <c r="O113">
        <v>59</v>
      </c>
      <c r="P113">
        <v>61</v>
      </c>
    </row>
    <row r="114" spans="1:16" x14ac:dyDescent="0.2">
      <c r="A114">
        <v>723</v>
      </c>
      <c r="B114" s="61">
        <v>40576</v>
      </c>
      <c r="C114">
        <v>1</v>
      </c>
      <c r="D114">
        <v>0</v>
      </c>
      <c r="E114">
        <v>2</v>
      </c>
      <c r="F114">
        <v>11</v>
      </c>
      <c r="G114" t="b">
        <v>0</v>
      </c>
      <c r="H114">
        <v>3</v>
      </c>
      <c r="I114">
        <v>2</v>
      </c>
      <c r="J114">
        <v>0.24</v>
      </c>
      <c r="K114">
        <v>0.2273</v>
      </c>
      <c r="L114">
        <v>0.93</v>
      </c>
      <c r="M114">
        <v>0.19400000000000001</v>
      </c>
      <c r="N114">
        <v>5</v>
      </c>
      <c r="O114">
        <v>47</v>
      </c>
      <c r="P114">
        <v>52</v>
      </c>
    </row>
    <row r="115" spans="1:16" x14ac:dyDescent="0.2">
      <c r="A115">
        <v>724</v>
      </c>
      <c r="B115" s="61">
        <v>40576</v>
      </c>
      <c r="C115">
        <v>1</v>
      </c>
      <c r="D115">
        <v>0</v>
      </c>
      <c r="E115">
        <v>2</v>
      </c>
      <c r="F115">
        <v>12</v>
      </c>
      <c r="G115" t="b">
        <v>0</v>
      </c>
      <c r="H115">
        <v>3</v>
      </c>
      <c r="I115">
        <v>2</v>
      </c>
      <c r="J115">
        <v>0.24</v>
      </c>
      <c r="K115">
        <v>0.2273</v>
      </c>
      <c r="L115">
        <v>0.93</v>
      </c>
      <c r="M115">
        <v>0.22389999999999999</v>
      </c>
      <c r="N115">
        <v>3</v>
      </c>
      <c r="O115">
        <v>61</v>
      </c>
      <c r="P115">
        <v>64</v>
      </c>
    </row>
    <row r="116" spans="1:16" x14ac:dyDescent="0.2">
      <c r="A116">
        <v>725</v>
      </c>
      <c r="B116" s="61">
        <v>40576</v>
      </c>
      <c r="C116">
        <v>1</v>
      </c>
      <c r="D116">
        <v>0</v>
      </c>
      <c r="E116">
        <v>2</v>
      </c>
      <c r="F116">
        <v>13</v>
      </c>
      <c r="G116" t="b">
        <v>0</v>
      </c>
      <c r="H116">
        <v>3</v>
      </c>
      <c r="I116">
        <v>1</v>
      </c>
      <c r="J116">
        <v>0.34</v>
      </c>
      <c r="K116">
        <v>0.33329999999999999</v>
      </c>
      <c r="L116">
        <v>0.93</v>
      </c>
      <c r="M116">
        <v>0.16420000000000001</v>
      </c>
      <c r="N116">
        <v>1</v>
      </c>
      <c r="O116">
        <v>74</v>
      </c>
      <c r="P116">
        <v>75</v>
      </c>
    </row>
    <row r="117" spans="1:16" x14ac:dyDescent="0.2">
      <c r="A117">
        <v>726</v>
      </c>
      <c r="B117" s="61">
        <v>40576</v>
      </c>
      <c r="C117">
        <v>1</v>
      </c>
      <c r="D117">
        <v>0</v>
      </c>
      <c r="E117">
        <v>2</v>
      </c>
      <c r="F117">
        <v>14</v>
      </c>
      <c r="G117" t="b">
        <v>0</v>
      </c>
      <c r="H117">
        <v>3</v>
      </c>
      <c r="I117">
        <v>1</v>
      </c>
      <c r="J117">
        <v>0.38</v>
      </c>
      <c r="K117">
        <v>0.39389999999999997</v>
      </c>
      <c r="L117">
        <v>0.82</v>
      </c>
      <c r="M117">
        <v>0.3881</v>
      </c>
      <c r="N117">
        <v>2</v>
      </c>
      <c r="O117">
        <v>61</v>
      </c>
      <c r="P117">
        <v>63</v>
      </c>
    </row>
    <row r="118" spans="1:16" x14ac:dyDescent="0.2">
      <c r="A118">
        <v>727</v>
      </c>
      <c r="B118" s="61">
        <v>40576</v>
      </c>
      <c r="C118">
        <v>1</v>
      </c>
      <c r="D118">
        <v>0</v>
      </c>
      <c r="E118">
        <v>2</v>
      </c>
      <c r="F118">
        <v>15</v>
      </c>
      <c r="G118" t="b">
        <v>0</v>
      </c>
      <c r="H118">
        <v>3</v>
      </c>
      <c r="I118">
        <v>1</v>
      </c>
      <c r="J118">
        <v>0.38</v>
      </c>
      <c r="K118">
        <v>0.39389999999999997</v>
      </c>
      <c r="L118">
        <v>0.76</v>
      </c>
      <c r="M118">
        <v>0.32840000000000003</v>
      </c>
      <c r="N118">
        <v>10</v>
      </c>
      <c r="O118">
        <v>66</v>
      </c>
      <c r="P118">
        <v>76</v>
      </c>
    </row>
    <row r="119" spans="1:16" x14ac:dyDescent="0.2">
      <c r="A119">
        <v>728</v>
      </c>
      <c r="B119" s="61">
        <v>40576</v>
      </c>
      <c r="C119">
        <v>1</v>
      </c>
      <c r="D119">
        <v>0</v>
      </c>
      <c r="E119">
        <v>2</v>
      </c>
      <c r="F119">
        <v>16</v>
      </c>
      <c r="G119" t="b">
        <v>0</v>
      </c>
      <c r="H119">
        <v>3</v>
      </c>
      <c r="I119">
        <v>1</v>
      </c>
      <c r="J119">
        <v>0.36</v>
      </c>
      <c r="K119">
        <v>0.33329999999999999</v>
      </c>
      <c r="L119">
        <v>0.71</v>
      </c>
      <c r="M119">
        <v>0.29849999999999999</v>
      </c>
      <c r="N119">
        <v>8</v>
      </c>
      <c r="O119">
        <v>95</v>
      </c>
      <c r="P119">
        <v>103</v>
      </c>
    </row>
    <row r="120" spans="1:16" x14ac:dyDescent="0.2">
      <c r="A120">
        <v>729</v>
      </c>
      <c r="B120" s="61">
        <v>40576</v>
      </c>
      <c r="C120">
        <v>1</v>
      </c>
      <c r="D120">
        <v>0</v>
      </c>
      <c r="E120">
        <v>2</v>
      </c>
      <c r="F120">
        <v>17</v>
      </c>
      <c r="G120" t="b">
        <v>0</v>
      </c>
      <c r="H120">
        <v>3</v>
      </c>
      <c r="I120">
        <v>1</v>
      </c>
      <c r="J120">
        <v>0.36</v>
      </c>
      <c r="K120">
        <v>0.31819999999999998</v>
      </c>
      <c r="L120">
        <v>0.53</v>
      </c>
      <c r="M120">
        <v>0.52239999999999998</v>
      </c>
      <c r="N120">
        <v>7</v>
      </c>
      <c r="O120">
        <v>183</v>
      </c>
      <c r="P120">
        <v>190</v>
      </c>
    </row>
    <row r="121" spans="1:16" x14ac:dyDescent="0.2">
      <c r="A121">
        <v>730</v>
      </c>
      <c r="B121" s="61">
        <v>40576</v>
      </c>
      <c r="C121">
        <v>1</v>
      </c>
      <c r="D121">
        <v>0</v>
      </c>
      <c r="E121">
        <v>2</v>
      </c>
      <c r="F121">
        <v>18</v>
      </c>
      <c r="G121" t="b">
        <v>0</v>
      </c>
      <c r="H121">
        <v>3</v>
      </c>
      <c r="I121">
        <v>1</v>
      </c>
      <c r="J121">
        <v>0.34</v>
      </c>
      <c r="K121">
        <v>0.28789999999999999</v>
      </c>
      <c r="L121">
        <v>0.42</v>
      </c>
      <c r="M121">
        <v>0.55220000000000002</v>
      </c>
      <c r="N121">
        <v>7</v>
      </c>
      <c r="O121">
        <v>175</v>
      </c>
      <c r="P121">
        <v>182</v>
      </c>
    </row>
    <row r="122" spans="1:16" x14ac:dyDescent="0.2">
      <c r="A122">
        <v>731</v>
      </c>
      <c r="B122" s="61">
        <v>40576</v>
      </c>
      <c r="C122">
        <v>1</v>
      </c>
      <c r="D122">
        <v>0</v>
      </c>
      <c r="E122">
        <v>2</v>
      </c>
      <c r="F122">
        <v>19</v>
      </c>
      <c r="G122" t="b">
        <v>0</v>
      </c>
      <c r="H122">
        <v>3</v>
      </c>
      <c r="I122">
        <v>1</v>
      </c>
      <c r="J122">
        <v>0.28000000000000003</v>
      </c>
      <c r="K122">
        <v>0.2424</v>
      </c>
      <c r="L122">
        <v>0.45</v>
      </c>
      <c r="M122">
        <v>0.49249999999999999</v>
      </c>
      <c r="N122">
        <v>3</v>
      </c>
      <c r="O122">
        <v>88</v>
      </c>
      <c r="P122">
        <v>91</v>
      </c>
    </row>
    <row r="123" spans="1:16" x14ac:dyDescent="0.2">
      <c r="A123">
        <v>732</v>
      </c>
      <c r="B123" s="61">
        <v>40576</v>
      </c>
      <c r="C123">
        <v>1</v>
      </c>
      <c r="D123">
        <v>0</v>
      </c>
      <c r="E123">
        <v>2</v>
      </c>
      <c r="F123">
        <v>20</v>
      </c>
      <c r="G123" t="b">
        <v>0</v>
      </c>
      <c r="H123">
        <v>3</v>
      </c>
      <c r="I123">
        <v>1</v>
      </c>
      <c r="J123">
        <v>0.24</v>
      </c>
      <c r="K123">
        <v>0.19700000000000001</v>
      </c>
      <c r="L123">
        <v>0.48</v>
      </c>
      <c r="M123">
        <v>0.55220000000000002</v>
      </c>
      <c r="N123">
        <v>4</v>
      </c>
      <c r="O123">
        <v>71</v>
      </c>
      <c r="P123">
        <v>75</v>
      </c>
    </row>
    <row r="124" spans="1:16" x14ac:dyDescent="0.2">
      <c r="A124">
        <v>733</v>
      </c>
      <c r="B124" s="61">
        <v>40576</v>
      </c>
      <c r="C124">
        <v>1</v>
      </c>
      <c r="D124">
        <v>0</v>
      </c>
      <c r="E124">
        <v>2</v>
      </c>
      <c r="F124">
        <v>21</v>
      </c>
      <c r="G124" t="b">
        <v>0</v>
      </c>
      <c r="H124">
        <v>3</v>
      </c>
      <c r="I124">
        <v>1</v>
      </c>
      <c r="J124">
        <v>0.22</v>
      </c>
      <c r="K124">
        <v>0.19700000000000001</v>
      </c>
      <c r="L124">
        <v>0.47</v>
      </c>
      <c r="M124">
        <v>0.32840000000000003</v>
      </c>
      <c r="N124">
        <v>1</v>
      </c>
      <c r="O124">
        <v>62</v>
      </c>
      <c r="P124">
        <v>63</v>
      </c>
    </row>
    <row r="125" spans="1:16" x14ac:dyDescent="0.2">
      <c r="A125">
        <v>734</v>
      </c>
      <c r="B125" s="61">
        <v>40576</v>
      </c>
      <c r="C125">
        <v>1</v>
      </c>
      <c r="D125">
        <v>0</v>
      </c>
      <c r="E125">
        <v>2</v>
      </c>
      <c r="F125">
        <v>22</v>
      </c>
      <c r="G125" t="b">
        <v>0</v>
      </c>
      <c r="H125">
        <v>3</v>
      </c>
      <c r="I125">
        <v>1</v>
      </c>
      <c r="J125">
        <v>0.22</v>
      </c>
      <c r="K125">
        <v>0.21210000000000001</v>
      </c>
      <c r="L125">
        <v>0.44</v>
      </c>
      <c r="M125">
        <v>0.25369999999999998</v>
      </c>
      <c r="N125">
        <v>5</v>
      </c>
      <c r="O125">
        <v>35</v>
      </c>
      <c r="P125">
        <v>40</v>
      </c>
    </row>
    <row r="126" spans="1:16" x14ac:dyDescent="0.2">
      <c r="A126">
        <v>735</v>
      </c>
      <c r="B126" s="61">
        <v>40576</v>
      </c>
      <c r="C126">
        <v>1</v>
      </c>
      <c r="D126">
        <v>0</v>
      </c>
      <c r="E126">
        <v>2</v>
      </c>
      <c r="F126">
        <v>23</v>
      </c>
      <c r="G126" t="b">
        <v>0</v>
      </c>
      <c r="H126">
        <v>3</v>
      </c>
      <c r="I126">
        <v>1</v>
      </c>
      <c r="J126">
        <v>0.2</v>
      </c>
      <c r="K126">
        <v>0.16669999999999999</v>
      </c>
      <c r="L126">
        <v>0.44</v>
      </c>
      <c r="M126">
        <v>0.44779999999999998</v>
      </c>
      <c r="N126">
        <v>3</v>
      </c>
      <c r="O126">
        <v>29</v>
      </c>
      <c r="P126">
        <v>32</v>
      </c>
    </row>
    <row r="127" spans="1:16" x14ac:dyDescent="0.2">
      <c r="A127">
        <v>736</v>
      </c>
      <c r="B127" s="61">
        <v>40577</v>
      </c>
      <c r="C127">
        <v>1</v>
      </c>
      <c r="D127">
        <v>0</v>
      </c>
      <c r="E127">
        <v>2</v>
      </c>
      <c r="F127">
        <v>0</v>
      </c>
      <c r="G127" t="b">
        <v>0</v>
      </c>
      <c r="H127">
        <v>4</v>
      </c>
      <c r="I127">
        <v>1</v>
      </c>
      <c r="J127">
        <v>0.2</v>
      </c>
      <c r="K127">
        <v>0.16669999999999999</v>
      </c>
      <c r="L127">
        <v>0.4</v>
      </c>
      <c r="M127">
        <v>0.44779999999999998</v>
      </c>
      <c r="N127">
        <v>1</v>
      </c>
      <c r="O127">
        <v>11</v>
      </c>
      <c r="P127">
        <v>12</v>
      </c>
    </row>
    <row r="128" spans="1:16" x14ac:dyDescent="0.2">
      <c r="A128">
        <v>737</v>
      </c>
      <c r="B128" s="61">
        <v>40577</v>
      </c>
      <c r="C128">
        <v>1</v>
      </c>
      <c r="D128">
        <v>0</v>
      </c>
      <c r="E128">
        <v>2</v>
      </c>
      <c r="F128">
        <v>1</v>
      </c>
      <c r="G128" t="b">
        <v>0</v>
      </c>
      <c r="H128">
        <v>4</v>
      </c>
      <c r="I128">
        <v>1</v>
      </c>
      <c r="J128">
        <v>0.2</v>
      </c>
      <c r="K128">
        <v>0.1515</v>
      </c>
      <c r="L128">
        <v>0.44</v>
      </c>
      <c r="M128">
        <v>0.52239999999999998</v>
      </c>
      <c r="N128">
        <v>0</v>
      </c>
      <c r="O128">
        <v>5</v>
      </c>
      <c r="P128">
        <v>5</v>
      </c>
    </row>
    <row r="129" spans="1:16" x14ac:dyDescent="0.2">
      <c r="A129">
        <v>738</v>
      </c>
      <c r="B129" s="61">
        <v>40577</v>
      </c>
      <c r="C129">
        <v>1</v>
      </c>
      <c r="D129">
        <v>0</v>
      </c>
      <c r="E129">
        <v>2</v>
      </c>
      <c r="F129">
        <v>2</v>
      </c>
      <c r="G129" t="b">
        <v>0</v>
      </c>
      <c r="H129">
        <v>4</v>
      </c>
      <c r="I129">
        <v>1</v>
      </c>
      <c r="J129">
        <v>0.18</v>
      </c>
      <c r="K129">
        <v>0.16669999999999999</v>
      </c>
      <c r="L129">
        <v>0.43</v>
      </c>
      <c r="M129">
        <v>0.25369999999999998</v>
      </c>
      <c r="N129">
        <v>0</v>
      </c>
      <c r="O129">
        <v>2</v>
      </c>
      <c r="P129">
        <v>2</v>
      </c>
    </row>
    <row r="130" spans="1:16" x14ac:dyDescent="0.2">
      <c r="A130">
        <v>739</v>
      </c>
      <c r="B130" s="61">
        <v>40577</v>
      </c>
      <c r="C130">
        <v>1</v>
      </c>
      <c r="D130">
        <v>0</v>
      </c>
      <c r="E130">
        <v>2</v>
      </c>
      <c r="F130">
        <v>3</v>
      </c>
      <c r="G130" t="b">
        <v>0</v>
      </c>
      <c r="H130">
        <v>4</v>
      </c>
      <c r="I130">
        <v>1</v>
      </c>
      <c r="J130">
        <v>0.18</v>
      </c>
      <c r="K130">
        <v>0.16669999999999999</v>
      </c>
      <c r="L130">
        <v>0.43</v>
      </c>
      <c r="M130">
        <v>0.25369999999999998</v>
      </c>
      <c r="N130">
        <v>0</v>
      </c>
      <c r="O130">
        <v>1</v>
      </c>
      <c r="P130">
        <v>1</v>
      </c>
    </row>
    <row r="131" spans="1:16" x14ac:dyDescent="0.2">
      <c r="A131">
        <v>740</v>
      </c>
      <c r="B131" s="61">
        <v>40577</v>
      </c>
      <c r="C131">
        <v>1</v>
      </c>
      <c r="D131">
        <v>0</v>
      </c>
      <c r="E131">
        <v>2</v>
      </c>
      <c r="F131">
        <v>5</v>
      </c>
      <c r="G131" t="b">
        <v>0</v>
      </c>
      <c r="H131">
        <v>4</v>
      </c>
      <c r="I131">
        <v>1</v>
      </c>
      <c r="J131">
        <v>0.16</v>
      </c>
      <c r="K131">
        <v>0.13639999999999999</v>
      </c>
      <c r="L131">
        <v>0.5</v>
      </c>
      <c r="M131">
        <v>0.29849999999999999</v>
      </c>
      <c r="N131">
        <v>0</v>
      </c>
      <c r="O131">
        <v>2</v>
      </c>
      <c r="P131">
        <v>2</v>
      </c>
    </row>
    <row r="132" spans="1:16" x14ac:dyDescent="0.2">
      <c r="A132">
        <v>741</v>
      </c>
      <c r="B132" s="61">
        <v>40577</v>
      </c>
      <c r="C132">
        <v>1</v>
      </c>
      <c r="D132">
        <v>0</v>
      </c>
      <c r="E132">
        <v>2</v>
      </c>
      <c r="F132">
        <v>6</v>
      </c>
      <c r="G132" t="b">
        <v>0</v>
      </c>
      <c r="H132">
        <v>4</v>
      </c>
      <c r="I132">
        <v>1</v>
      </c>
      <c r="J132">
        <v>0.16</v>
      </c>
      <c r="K132">
        <v>0.13639999999999999</v>
      </c>
      <c r="L132">
        <v>0.43</v>
      </c>
      <c r="M132">
        <v>0.35820000000000002</v>
      </c>
      <c r="N132">
        <v>0</v>
      </c>
      <c r="O132">
        <v>39</v>
      </c>
      <c r="P132">
        <v>39</v>
      </c>
    </row>
    <row r="133" spans="1:16" x14ac:dyDescent="0.2">
      <c r="A133">
        <v>742</v>
      </c>
      <c r="B133" s="61">
        <v>40577</v>
      </c>
      <c r="C133">
        <v>1</v>
      </c>
      <c r="D133">
        <v>0</v>
      </c>
      <c r="E133">
        <v>2</v>
      </c>
      <c r="F133">
        <v>7</v>
      </c>
      <c r="G133" t="b">
        <v>0</v>
      </c>
      <c r="H133">
        <v>4</v>
      </c>
      <c r="I133">
        <v>1</v>
      </c>
      <c r="J133">
        <v>0.14000000000000001</v>
      </c>
      <c r="K133">
        <v>0.1212</v>
      </c>
      <c r="L133">
        <v>0.5</v>
      </c>
      <c r="M133">
        <v>0.32840000000000003</v>
      </c>
      <c r="N133">
        <v>1</v>
      </c>
      <c r="O133">
        <v>86</v>
      </c>
      <c r="P133">
        <v>87</v>
      </c>
    </row>
    <row r="134" spans="1:16" x14ac:dyDescent="0.2">
      <c r="A134">
        <v>743</v>
      </c>
      <c r="B134" s="61">
        <v>40577</v>
      </c>
      <c r="C134">
        <v>1</v>
      </c>
      <c r="D134">
        <v>0</v>
      </c>
      <c r="E134">
        <v>2</v>
      </c>
      <c r="F134">
        <v>8</v>
      </c>
      <c r="G134" t="b">
        <v>0</v>
      </c>
      <c r="H134">
        <v>4</v>
      </c>
      <c r="I134">
        <v>1</v>
      </c>
      <c r="J134">
        <v>0.14000000000000001</v>
      </c>
      <c r="K134">
        <v>0.1212</v>
      </c>
      <c r="L134">
        <v>0.5</v>
      </c>
      <c r="M134">
        <v>0.35820000000000002</v>
      </c>
      <c r="N134">
        <v>4</v>
      </c>
      <c r="O134">
        <v>184</v>
      </c>
      <c r="P134">
        <v>188</v>
      </c>
    </row>
    <row r="135" spans="1:16" x14ac:dyDescent="0.2">
      <c r="A135">
        <v>744</v>
      </c>
      <c r="B135" s="61">
        <v>40577</v>
      </c>
      <c r="C135">
        <v>1</v>
      </c>
      <c r="D135">
        <v>0</v>
      </c>
      <c r="E135">
        <v>2</v>
      </c>
      <c r="F135">
        <v>9</v>
      </c>
      <c r="G135" t="b">
        <v>0</v>
      </c>
      <c r="H135">
        <v>4</v>
      </c>
      <c r="I135">
        <v>1</v>
      </c>
      <c r="J135">
        <v>0.16</v>
      </c>
      <c r="K135">
        <v>0.13639999999999999</v>
      </c>
      <c r="L135">
        <v>0.47</v>
      </c>
      <c r="M135">
        <v>0.29849999999999999</v>
      </c>
      <c r="N135">
        <v>6</v>
      </c>
      <c r="O135">
        <v>127</v>
      </c>
      <c r="P135">
        <v>133</v>
      </c>
    </row>
    <row r="136" spans="1:16" x14ac:dyDescent="0.2">
      <c r="A136">
        <v>745</v>
      </c>
      <c r="B136" s="61">
        <v>40577</v>
      </c>
      <c r="C136">
        <v>1</v>
      </c>
      <c r="D136">
        <v>0</v>
      </c>
      <c r="E136">
        <v>2</v>
      </c>
      <c r="F136">
        <v>10</v>
      </c>
      <c r="G136" t="b">
        <v>0</v>
      </c>
      <c r="H136">
        <v>4</v>
      </c>
      <c r="I136">
        <v>1</v>
      </c>
      <c r="J136">
        <v>0.18</v>
      </c>
      <c r="K136">
        <v>0.1515</v>
      </c>
      <c r="L136">
        <v>0.43</v>
      </c>
      <c r="M136">
        <v>0.32840000000000003</v>
      </c>
      <c r="N136">
        <v>2</v>
      </c>
      <c r="O136">
        <v>50</v>
      </c>
      <c r="P136">
        <v>52</v>
      </c>
    </row>
    <row r="137" spans="1:16" x14ac:dyDescent="0.2">
      <c r="A137">
        <v>746</v>
      </c>
      <c r="B137" s="61">
        <v>40577</v>
      </c>
      <c r="C137">
        <v>1</v>
      </c>
      <c r="D137">
        <v>0</v>
      </c>
      <c r="E137">
        <v>2</v>
      </c>
      <c r="F137">
        <v>11</v>
      </c>
      <c r="G137" t="b">
        <v>0</v>
      </c>
      <c r="H137">
        <v>4</v>
      </c>
      <c r="I137">
        <v>1</v>
      </c>
      <c r="J137">
        <v>0.18</v>
      </c>
      <c r="K137">
        <v>0.13639999999999999</v>
      </c>
      <c r="L137">
        <v>0.43</v>
      </c>
      <c r="M137">
        <v>0.44779999999999998</v>
      </c>
      <c r="N137">
        <v>9</v>
      </c>
      <c r="O137">
        <v>55</v>
      </c>
      <c r="P137">
        <v>64</v>
      </c>
    </row>
    <row r="138" spans="1:16" x14ac:dyDescent="0.2">
      <c r="A138">
        <v>747</v>
      </c>
      <c r="B138" s="61">
        <v>40577</v>
      </c>
      <c r="C138">
        <v>1</v>
      </c>
      <c r="D138">
        <v>0</v>
      </c>
      <c r="E138">
        <v>2</v>
      </c>
      <c r="F138">
        <v>12</v>
      </c>
      <c r="G138" t="b">
        <v>0</v>
      </c>
      <c r="H138">
        <v>4</v>
      </c>
      <c r="I138">
        <v>1</v>
      </c>
      <c r="J138">
        <v>0.2</v>
      </c>
      <c r="K138">
        <v>0.18179999999999999</v>
      </c>
      <c r="L138">
        <v>0.4</v>
      </c>
      <c r="M138">
        <v>0.35820000000000002</v>
      </c>
      <c r="N138">
        <v>2</v>
      </c>
      <c r="O138">
        <v>67</v>
      </c>
      <c r="P138">
        <v>69</v>
      </c>
    </row>
    <row r="139" spans="1:16" x14ac:dyDescent="0.2">
      <c r="A139">
        <v>748</v>
      </c>
      <c r="B139" s="61">
        <v>40577</v>
      </c>
      <c r="C139">
        <v>1</v>
      </c>
      <c r="D139">
        <v>0</v>
      </c>
      <c r="E139">
        <v>2</v>
      </c>
      <c r="F139">
        <v>13</v>
      </c>
      <c r="G139" t="b">
        <v>0</v>
      </c>
      <c r="H139">
        <v>4</v>
      </c>
      <c r="I139">
        <v>1</v>
      </c>
      <c r="J139">
        <v>0.2</v>
      </c>
      <c r="K139">
        <v>0.16669999999999999</v>
      </c>
      <c r="L139">
        <v>0.4</v>
      </c>
      <c r="M139">
        <v>0.41789999999999999</v>
      </c>
      <c r="N139">
        <v>4</v>
      </c>
      <c r="O139">
        <v>47</v>
      </c>
      <c r="P139">
        <v>51</v>
      </c>
    </row>
    <row r="140" spans="1:16" x14ac:dyDescent="0.2">
      <c r="A140">
        <v>749</v>
      </c>
      <c r="B140" s="61">
        <v>40577</v>
      </c>
      <c r="C140">
        <v>1</v>
      </c>
      <c r="D140">
        <v>0</v>
      </c>
      <c r="E140">
        <v>2</v>
      </c>
      <c r="F140">
        <v>14</v>
      </c>
      <c r="G140" t="b">
        <v>0</v>
      </c>
      <c r="H140">
        <v>4</v>
      </c>
      <c r="I140">
        <v>1</v>
      </c>
      <c r="J140">
        <v>0.22</v>
      </c>
      <c r="K140">
        <v>0.19700000000000001</v>
      </c>
      <c r="L140">
        <v>0.37</v>
      </c>
      <c r="M140">
        <v>0.3881</v>
      </c>
      <c r="N140">
        <v>4</v>
      </c>
      <c r="O140">
        <v>43</v>
      </c>
      <c r="P140">
        <v>47</v>
      </c>
    </row>
    <row r="141" spans="1:16" x14ac:dyDescent="0.2">
      <c r="A141">
        <v>750</v>
      </c>
      <c r="B141" s="61">
        <v>40577</v>
      </c>
      <c r="C141">
        <v>1</v>
      </c>
      <c r="D141">
        <v>0</v>
      </c>
      <c r="E141">
        <v>2</v>
      </c>
      <c r="F141">
        <v>15</v>
      </c>
      <c r="G141" t="b">
        <v>0</v>
      </c>
      <c r="H141">
        <v>4</v>
      </c>
      <c r="I141">
        <v>1</v>
      </c>
      <c r="J141">
        <v>0.22</v>
      </c>
      <c r="K141">
        <v>0.19700000000000001</v>
      </c>
      <c r="L141">
        <v>0.37</v>
      </c>
      <c r="M141">
        <v>0.32840000000000003</v>
      </c>
      <c r="N141">
        <v>4</v>
      </c>
      <c r="O141">
        <v>56</v>
      </c>
      <c r="P141">
        <v>60</v>
      </c>
    </row>
    <row r="142" spans="1:16" x14ac:dyDescent="0.2">
      <c r="A142">
        <v>751</v>
      </c>
      <c r="B142" s="61">
        <v>40577</v>
      </c>
      <c r="C142">
        <v>1</v>
      </c>
      <c r="D142">
        <v>0</v>
      </c>
      <c r="E142">
        <v>2</v>
      </c>
      <c r="F142">
        <v>16</v>
      </c>
      <c r="G142" t="b">
        <v>0</v>
      </c>
      <c r="H142">
        <v>4</v>
      </c>
      <c r="I142">
        <v>1</v>
      </c>
      <c r="J142">
        <v>0.22</v>
      </c>
      <c r="K142">
        <v>0.21210000000000001</v>
      </c>
      <c r="L142">
        <v>0.37</v>
      </c>
      <c r="M142">
        <v>0.25369999999999998</v>
      </c>
      <c r="N142">
        <v>5</v>
      </c>
      <c r="O142">
        <v>73</v>
      </c>
      <c r="P142">
        <v>78</v>
      </c>
    </row>
    <row r="143" spans="1:16" x14ac:dyDescent="0.2">
      <c r="A143">
        <v>752</v>
      </c>
      <c r="B143" s="61">
        <v>40577</v>
      </c>
      <c r="C143">
        <v>1</v>
      </c>
      <c r="D143">
        <v>0</v>
      </c>
      <c r="E143">
        <v>2</v>
      </c>
      <c r="F143">
        <v>17</v>
      </c>
      <c r="G143" t="b">
        <v>0</v>
      </c>
      <c r="H143">
        <v>4</v>
      </c>
      <c r="I143">
        <v>1</v>
      </c>
      <c r="J143">
        <v>0.2</v>
      </c>
      <c r="K143">
        <v>0.19700000000000001</v>
      </c>
      <c r="L143">
        <v>0.4</v>
      </c>
      <c r="M143">
        <v>0.19400000000000001</v>
      </c>
      <c r="N143">
        <v>5</v>
      </c>
      <c r="O143">
        <v>170</v>
      </c>
      <c r="P143">
        <v>175</v>
      </c>
    </row>
    <row r="144" spans="1:16" x14ac:dyDescent="0.2">
      <c r="A144">
        <v>753</v>
      </c>
      <c r="B144" s="61">
        <v>40577</v>
      </c>
      <c r="C144">
        <v>1</v>
      </c>
      <c r="D144">
        <v>0</v>
      </c>
      <c r="E144">
        <v>2</v>
      </c>
      <c r="F144">
        <v>18</v>
      </c>
      <c r="G144" t="b">
        <v>0</v>
      </c>
      <c r="H144">
        <v>4</v>
      </c>
      <c r="I144">
        <v>1</v>
      </c>
      <c r="J144">
        <v>0.2</v>
      </c>
      <c r="K144">
        <v>0.21210000000000001</v>
      </c>
      <c r="L144">
        <v>0.4</v>
      </c>
      <c r="M144">
        <v>0.16420000000000001</v>
      </c>
      <c r="N144">
        <v>2</v>
      </c>
      <c r="O144">
        <v>145</v>
      </c>
      <c r="P144">
        <v>147</v>
      </c>
    </row>
    <row r="145" spans="1:16" x14ac:dyDescent="0.2">
      <c r="A145">
        <v>754</v>
      </c>
      <c r="B145" s="61">
        <v>40577</v>
      </c>
      <c r="C145">
        <v>1</v>
      </c>
      <c r="D145">
        <v>0</v>
      </c>
      <c r="E145">
        <v>2</v>
      </c>
      <c r="F145">
        <v>19</v>
      </c>
      <c r="G145" t="b">
        <v>0</v>
      </c>
      <c r="H145">
        <v>4</v>
      </c>
      <c r="I145">
        <v>1</v>
      </c>
      <c r="J145">
        <v>0.2</v>
      </c>
      <c r="K145">
        <v>0.2576</v>
      </c>
      <c r="L145">
        <v>0.4</v>
      </c>
      <c r="M145">
        <v>0</v>
      </c>
      <c r="N145">
        <v>4</v>
      </c>
      <c r="O145">
        <v>92</v>
      </c>
      <c r="P145">
        <v>96</v>
      </c>
    </row>
    <row r="146" spans="1:16" x14ac:dyDescent="0.2">
      <c r="A146">
        <v>755</v>
      </c>
      <c r="B146" s="61">
        <v>40577</v>
      </c>
      <c r="C146">
        <v>1</v>
      </c>
      <c r="D146">
        <v>0</v>
      </c>
      <c r="E146">
        <v>2</v>
      </c>
      <c r="F146">
        <v>20</v>
      </c>
      <c r="G146" t="b">
        <v>0</v>
      </c>
      <c r="H146">
        <v>4</v>
      </c>
      <c r="I146">
        <v>1</v>
      </c>
      <c r="J146">
        <v>0.2</v>
      </c>
      <c r="K146">
        <v>0.2273</v>
      </c>
      <c r="L146">
        <v>0.47</v>
      </c>
      <c r="M146">
        <v>8.9599999999999999E-2</v>
      </c>
      <c r="N146">
        <v>1</v>
      </c>
      <c r="O146">
        <v>108</v>
      </c>
      <c r="P146">
        <v>109</v>
      </c>
    </row>
    <row r="147" spans="1:16" x14ac:dyDescent="0.2">
      <c r="A147">
        <v>756</v>
      </c>
      <c r="B147" s="61">
        <v>40577</v>
      </c>
      <c r="C147">
        <v>1</v>
      </c>
      <c r="D147">
        <v>0</v>
      </c>
      <c r="E147">
        <v>2</v>
      </c>
      <c r="F147">
        <v>21</v>
      </c>
      <c r="G147" t="b">
        <v>0</v>
      </c>
      <c r="H147">
        <v>4</v>
      </c>
      <c r="I147">
        <v>1</v>
      </c>
      <c r="J147">
        <v>0.18</v>
      </c>
      <c r="K147">
        <v>0.21210000000000001</v>
      </c>
      <c r="L147">
        <v>0.55000000000000004</v>
      </c>
      <c r="M147">
        <v>0.1045</v>
      </c>
      <c r="N147">
        <v>1</v>
      </c>
      <c r="O147">
        <v>53</v>
      </c>
      <c r="P147">
        <v>54</v>
      </c>
    </row>
    <row r="148" spans="1:16" x14ac:dyDescent="0.2">
      <c r="A148">
        <v>757</v>
      </c>
      <c r="B148" s="61">
        <v>40577</v>
      </c>
      <c r="C148">
        <v>1</v>
      </c>
      <c r="D148">
        <v>0</v>
      </c>
      <c r="E148">
        <v>2</v>
      </c>
      <c r="F148">
        <v>22</v>
      </c>
      <c r="G148" t="b">
        <v>0</v>
      </c>
      <c r="H148">
        <v>4</v>
      </c>
      <c r="I148">
        <v>1</v>
      </c>
      <c r="J148">
        <v>0.18</v>
      </c>
      <c r="K148">
        <v>0.21210000000000001</v>
      </c>
      <c r="L148">
        <v>0.51</v>
      </c>
      <c r="M148">
        <v>8.9599999999999999E-2</v>
      </c>
      <c r="N148">
        <v>2</v>
      </c>
      <c r="O148">
        <v>39</v>
      </c>
      <c r="P148">
        <v>41</v>
      </c>
    </row>
    <row r="149" spans="1:16" x14ac:dyDescent="0.2">
      <c r="A149">
        <v>758</v>
      </c>
      <c r="B149" s="61">
        <v>40577</v>
      </c>
      <c r="C149">
        <v>1</v>
      </c>
      <c r="D149">
        <v>0</v>
      </c>
      <c r="E149">
        <v>2</v>
      </c>
      <c r="F149">
        <v>23</v>
      </c>
      <c r="G149" t="b">
        <v>0</v>
      </c>
      <c r="H149">
        <v>4</v>
      </c>
      <c r="I149">
        <v>1</v>
      </c>
      <c r="J149">
        <v>0.2</v>
      </c>
      <c r="K149">
        <v>0.2273</v>
      </c>
      <c r="L149">
        <v>0.47</v>
      </c>
      <c r="M149">
        <v>0.1045</v>
      </c>
      <c r="N149">
        <v>4</v>
      </c>
      <c r="O149">
        <v>34</v>
      </c>
      <c r="P149">
        <v>38</v>
      </c>
    </row>
    <row r="150" spans="1:16" x14ac:dyDescent="0.2">
      <c r="A150">
        <v>759</v>
      </c>
      <c r="B150" s="61">
        <v>40578</v>
      </c>
      <c r="C150">
        <v>1</v>
      </c>
      <c r="D150">
        <v>0</v>
      </c>
      <c r="E150">
        <v>2</v>
      </c>
      <c r="F150">
        <v>0</v>
      </c>
      <c r="G150" t="b">
        <v>0</v>
      </c>
      <c r="H150">
        <v>5</v>
      </c>
      <c r="I150">
        <v>2</v>
      </c>
      <c r="J150">
        <v>0.2</v>
      </c>
      <c r="K150">
        <v>0.2576</v>
      </c>
      <c r="L150">
        <v>0.44</v>
      </c>
      <c r="M150">
        <v>0</v>
      </c>
      <c r="N150">
        <v>3</v>
      </c>
      <c r="O150">
        <v>10</v>
      </c>
      <c r="P150">
        <v>13</v>
      </c>
    </row>
    <row r="151" spans="1:16" x14ac:dyDescent="0.2">
      <c r="A151">
        <v>760</v>
      </c>
      <c r="B151" s="61">
        <v>40578</v>
      </c>
      <c r="C151">
        <v>1</v>
      </c>
      <c r="D151">
        <v>0</v>
      </c>
      <c r="E151">
        <v>2</v>
      </c>
      <c r="F151">
        <v>1</v>
      </c>
      <c r="G151" t="b">
        <v>0</v>
      </c>
      <c r="H151">
        <v>5</v>
      </c>
      <c r="I151">
        <v>2</v>
      </c>
      <c r="J151">
        <v>0.16</v>
      </c>
      <c r="K151">
        <v>0.2273</v>
      </c>
      <c r="L151">
        <v>0.59</v>
      </c>
      <c r="M151">
        <v>0</v>
      </c>
      <c r="N151">
        <v>0</v>
      </c>
      <c r="O151">
        <v>7</v>
      </c>
      <c r="P151">
        <v>7</v>
      </c>
    </row>
    <row r="152" spans="1:16" x14ac:dyDescent="0.2">
      <c r="A152">
        <v>761</v>
      </c>
      <c r="B152" s="61">
        <v>40578</v>
      </c>
      <c r="C152">
        <v>1</v>
      </c>
      <c r="D152">
        <v>0</v>
      </c>
      <c r="E152">
        <v>2</v>
      </c>
      <c r="F152">
        <v>2</v>
      </c>
      <c r="G152" t="b">
        <v>0</v>
      </c>
      <c r="H152">
        <v>5</v>
      </c>
      <c r="I152">
        <v>2</v>
      </c>
      <c r="J152">
        <v>0.14000000000000001</v>
      </c>
      <c r="K152">
        <v>0.16669999999999999</v>
      </c>
      <c r="L152">
        <v>0.63</v>
      </c>
      <c r="M152">
        <v>0.1045</v>
      </c>
      <c r="N152">
        <v>0</v>
      </c>
      <c r="O152">
        <v>1</v>
      </c>
      <c r="P152">
        <v>1</v>
      </c>
    </row>
    <row r="153" spans="1:16" x14ac:dyDescent="0.2">
      <c r="A153">
        <v>762</v>
      </c>
      <c r="B153" s="61">
        <v>40578</v>
      </c>
      <c r="C153">
        <v>1</v>
      </c>
      <c r="D153">
        <v>0</v>
      </c>
      <c r="E153">
        <v>2</v>
      </c>
      <c r="F153">
        <v>3</v>
      </c>
      <c r="G153" t="b">
        <v>0</v>
      </c>
      <c r="H153">
        <v>5</v>
      </c>
      <c r="I153">
        <v>2</v>
      </c>
      <c r="J153">
        <v>0.14000000000000001</v>
      </c>
      <c r="K153">
        <v>0.16669999999999999</v>
      </c>
      <c r="L153">
        <v>0.63</v>
      </c>
      <c r="M153">
        <v>0.1045</v>
      </c>
      <c r="N153">
        <v>0</v>
      </c>
      <c r="O153">
        <v>1</v>
      </c>
      <c r="P153">
        <v>1</v>
      </c>
    </row>
    <row r="154" spans="1:16" x14ac:dyDescent="0.2">
      <c r="A154">
        <v>763</v>
      </c>
      <c r="B154" s="61">
        <v>40578</v>
      </c>
      <c r="C154">
        <v>1</v>
      </c>
      <c r="D154">
        <v>0</v>
      </c>
      <c r="E154">
        <v>2</v>
      </c>
      <c r="F154">
        <v>5</v>
      </c>
      <c r="G154" t="b">
        <v>0</v>
      </c>
      <c r="H154">
        <v>5</v>
      </c>
      <c r="I154">
        <v>2</v>
      </c>
      <c r="J154">
        <v>0.14000000000000001</v>
      </c>
      <c r="K154">
        <v>0.1515</v>
      </c>
      <c r="L154">
        <v>0.63</v>
      </c>
      <c r="M154">
        <v>0.1343</v>
      </c>
      <c r="N154">
        <v>0</v>
      </c>
      <c r="O154">
        <v>7</v>
      </c>
      <c r="P154">
        <v>7</v>
      </c>
    </row>
    <row r="155" spans="1:16" x14ac:dyDescent="0.2">
      <c r="A155">
        <v>764</v>
      </c>
      <c r="B155" s="61">
        <v>40578</v>
      </c>
      <c r="C155">
        <v>1</v>
      </c>
      <c r="D155">
        <v>0</v>
      </c>
      <c r="E155">
        <v>2</v>
      </c>
      <c r="F155">
        <v>6</v>
      </c>
      <c r="G155" t="b">
        <v>0</v>
      </c>
      <c r="H155">
        <v>5</v>
      </c>
      <c r="I155">
        <v>2</v>
      </c>
      <c r="J155">
        <v>0.16</v>
      </c>
      <c r="K155">
        <v>0.2273</v>
      </c>
      <c r="L155">
        <v>0.55000000000000004</v>
      </c>
      <c r="M155">
        <v>0</v>
      </c>
      <c r="N155">
        <v>2</v>
      </c>
      <c r="O155">
        <v>26</v>
      </c>
      <c r="P155">
        <v>28</v>
      </c>
    </row>
    <row r="156" spans="1:16" x14ac:dyDescent="0.2">
      <c r="A156">
        <v>765</v>
      </c>
      <c r="B156" s="61">
        <v>40578</v>
      </c>
      <c r="C156">
        <v>1</v>
      </c>
      <c r="D156">
        <v>0</v>
      </c>
      <c r="E156">
        <v>2</v>
      </c>
      <c r="F156">
        <v>7</v>
      </c>
      <c r="G156" t="b">
        <v>0</v>
      </c>
      <c r="H156">
        <v>5</v>
      </c>
      <c r="I156">
        <v>1</v>
      </c>
      <c r="J156">
        <v>0.14000000000000001</v>
      </c>
      <c r="K156">
        <v>0.21210000000000001</v>
      </c>
      <c r="L156">
        <v>0.59</v>
      </c>
      <c r="M156">
        <v>0</v>
      </c>
      <c r="N156">
        <v>0</v>
      </c>
      <c r="O156">
        <v>87</v>
      </c>
      <c r="P156">
        <v>87</v>
      </c>
    </row>
    <row r="157" spans="1:16" x14ac:dyDescent="0.2">
      <c r="A157">
        <v>766</v>
      </c>
      <c r="B157" s="61">
        <v>40578</v>
      </c>
      <c r="C157">
        <v>1</v>
      </c>
      <c r="D157">
        <v>0</v>
      </c>
      <c r="E157">
        <v>2</v>
      </c>
      <c r="F157">
        <v>8</v>
      </c>
      <c r="G157" t="b">
        <v>0</v>
      </c>
      <c r="H157">
        <v>5</v>
      </c>
      <c r="I157">
        <v>1</v>
      </c>
      <c r="J157">
        <v>0.14000000000000001</v>
      </c>
      <c r="K157">
        <v>0.1515</v>
      </c>
      <c r="L157">
        <v>0.74</v>
      </c>
      <c r="M157">
        <v>0.1343</v>
      </c>
      <c r="N157">
        <v>3</v>
      </c>
      <c r="O157">
        <v>217</v>
      </c>
      <c r="P157">
        <v>220</v>
      </c>
    </row>
    <row r="158" spans="1:16" x14ac:dyDescent="0.2">
      <c r="A158">
        <v>767</v>
      </c>
      <c r="B158" s="61">
        <v>40578</v>
      </c>
      <c r="C158">
        <v>1</v>
      </c>
      <c r="D158">
        <v>0</v>
      </c>
      <c r="E158">
        <v>2</v>
      </c>
      <c r="F158">
        <v>9</v>
      </c>
      <c r="G158" t="b">
        <v>0</v>
      </c>
      <c r="H158">
        <v>5</v>
      </c>
      <c r="I158">
        <v>2</v>
      </c>
      <c r="J158">
        <v>0.16</v>
      </c>
      <c r="K158">
        <v>0.18179999999999999</v>
      </c>
      <c r="L158">
        <v>0.8</v>
      </c>
      <c r="M158">
        <v>0.1343</v>
      </c>
      <c r="N158">
        <v>3</v>
      </c>
      <c r="O158">
        <v>124</v>
      </c>
      <c r="P158">
        <v>127</v>
      </c>
    </row>
    <row r="159" spans="1:16" x14ac:dyDescent="0.2">
      <c r="A159">
        <v>768</v>
      </c>
      <c r="B159" s="61">
        <v>40578</v>
      </c>
      <c r="C159">
        <v>1</v>
      </c>
      <c r="D159">
        <v>0</v>
      </c>
      <c r="E159">
        <v>2</v>
      </c>
      <c r="F159">
        <v>10</v>
      </c>
      <c r="G159" t="b">
        <v>0</v>
      </c>
      <c r="H159">
        <v>5</v>
      </c>
      <c r="I159">
        <v>2</v>
      </c>
      <c r="J159">
        <v>0.2</v>
      </c>
      <c r="K159">
        <v>0.21210000000000001</v>
      </c>
      <c r="L159">
        <v>0.51</v>
      </c>
      <c r="M159">
        <v>0.1343</v>
      </c>
      <c r="N159">
        <v>5</v>
      </c>
      <c r="O159">
        <v>46</v>
      </c>
      <c r="P159">
        <v>51</v>
      </c>
    </row>
    <row r="160" spans="1:16" x14ac:dyDescent="0.2">
      <c r="A160">
        <v>769</v>
      </c>
      <c r="B160" s="61">
        <v>40578</v>
      </c>
      <c r="C160">
        <v>1</v>
      </c>
      <c r="D160">
        <v>0</v>
      </c>
      <c r="E160">
        <v>2</v>
      </c>
      <c r="F160">
        <v>11</v>
      </c>
      <c r="G160" t="b">
        <v>0</v>
      </c>
      <c r="H160">
        <v>5</v>
      </c>
      <c r="I160">
        <v>1</v>
      </c>
      <c r="J160">
        <v>0.22</v>
      </c>
      <c r="K160">
        <v>0.2273</v>
      </c>
      <c r="L160">
        <v>0.51</v>
      </c>
      <c r="M160">
        <v>0.16420000000000001</v>
      </c>
      <c r="N160">
        <v>3</v>
      </c>
      <c r="O160">
        <v>61</v>
      </c>
      <c r="P160">
        <v>64</v>
      </c>
    </row>
    <row r="161" spans="1:16" x14ac:dyDescent="0.2">
      <c r="A161">
        <v>770</v>
      </c>
      <c r="B161" s="61">
        <v>40578</v>
      </c>
      <c r="C161">
        <v>1</v>
      </c>
      <c r="D161">
        <v>0</v>
      </c>
      <c r="E161">
        <v>2</v>
      </c>
      <c r="F161">
        <v>12</v>
      </c>
      <c r="G161" t="b">
        <v>0</v>
      </c>
      <c r="H161">
        <v>5</v>
      </c>
      <c r="I161">
        <v>2</v>
      </c>
      <c r="J161">
        <v>0.24</v>
      </c>
      <c r="K161">
        <v>0.2424</v>
      </c>
      <c r="L161">
        <v>0.48</v>
      </c>
      <c r="M161">
        <v>0.16420000000000001</v>
      </c>
      <c r="N161">
        <v>8</v>
      </c>
      <c r="O161">
        <v>78</v>
      </c>
      <c r="P161">
        <v>86</v>
      </c>
    </row>
    <row r="162" spans="1:16" x14ac:dyDescent="0.2">
      <c r="A162">
        <v>771</v>
      </c>
      <c r="B162" s="61">
        <v>40578</v>
      </c>
      <c r="C162">
        <v>1</v>
      </c>
      <c r="D162">
        <v>0</v>
      </c>
      <c r="E162">
        <v>2</v>
      </c>
      <c r="F162">
        <v>13</v>
      </c>
      <c r="G162" t="b">
        <v>0</v>
      </c>
      <c r="H162">
        <v>5</v>
      </c>
      <c r="I162">
        <v>2</v>
      </c>
      <c r="J162">
        <v>0.26</v>
      </c>
      <c r="K162">
        <v>0.2576</v>
      </c>
      <c r="L162">
        <v>0.5</v>
      </c>
      <c r="M162">
        <v>0.22389999999999999</v>
      </c>
      <c r="N162">
        <v>9</v>
      </c>
      <c r="O162">
        <v>73</v>
      </c>
      <c r="P162">
        <v>82</v>
      </c>
    </row>
    <row r="163" spans="1:16" x14ac:dyDescent="0.2">
      <c r="A163">
        <v>772</v>
      </c>
      <c r="B163" s="61">
        <v>40578</v>
      </c>
      <c r="C163">
        <v>1</v>
      </c>
      <c r="D163">
        <v>0</v>
      </c>
      <c r="E163">
        <v>2</v>
      </c>
      <c r="F163">
        <v>14</v>
      </c>
      <c r="G163" t="b">
        <v>0</v>
      </c>
      <c r="H163">
        <v>5</v>
      </c>
      <c r="I163">
        <v>2</v>
      </c>
      <c r="J163">
        <v>0.28000000000000003</v>
      </c>
      <c r="K163">
        <v>0.2727</v>
      </c>
      <c r="L163">
        <v>0.45</v>
      </c>
      <c r="M163">
        <v>0.16420000000000001</v>
      </c>
      <c r="N163">
        <v>15</v>
      </c>
      <c r="O163">
        <v>76</v>
      </c>
      <c r="P163">
        <v>91</v>
      </c>
    </row>
    <row r="164" spans="1:16" x14ac:dyDescent="0.2">
      <c r="A164">
        <v>773</v>
      </c>
      <c r="B164" s="61">
        <v>40578</v>
      </c>
      <c r="C164">
        <v>1</v>
      </c>
      <c r="D164">
        <v>0</v>
      </c>
      <c r="E164">
        <v>2</v>
      </c>
      <c r="F164">
        <v>15</v>
      </c>
      <c r="G164" t="b">
        <v>0</v>
      </c>
      <c r="H164">
        <v>5</v>
      </c>
      <c r="I164">
        <v>2</v>
      </c>
      <c r="J164">
        <v>0.28000000000000003</v>
      </c>
      <c r="K164">
        <v>0.2727</v>
      </c>
      <c r="L164">
        <v>0.48</v>
      </c>
      <c r="M164">
        <v>0.25369999999999998</v>
      </c>
      <c r="N164">
        <v>9</v>
      </c>
      <c r="O164">
        <v>81</v>
      </c>
      <c r="P164">
        <v>90</v>
      </c>
    </row>
    <row r="165" spans="1:16" x14ac:dyDescent="0.2">
      <c r="A165">
        <v>774</v>
      </c>
      <c r="B165" s="61">
        <v>40578</v>
      </c>
      <c r="C165">
        <v>1</v>
      </c>
      <c r="D165">
        <v>0</v>
      </c>
      <c r="E165">
        <v>2</v>
      </c>
      <c r="F165">
        <v>16</v>
      </c>
      <c r="G165" t="b">
        <v>0</v>
      </c>
      <c r="H165">
        <v>5</v>
      </c>
      <c r="I165">
        <v>2</v>
      </c>
      <c r="J165">
        <v>0.3</v>
      </c>
      <c r="K165">
        <v>0.28789999999999999</v>
      </c>
      <c r="L165">
        <v>0.42</v>
      </c>
      <c r="M165">
        <v>0.22389999999999999</v>
      </c>
      <c r="N165">
        <v>8</v>
      </c>
      <c r="O165">
        <v>91</v>
      </c>
      <c r="P165">
        <v>99</v>
      </c>
    </row>
    <row r="166" spans="1:16" x14ac:dyDescent="0.2">
      <c r="A166">
        <v>775</v>
      </c>
      <c r="B166" s="61">
        <v>40578</v>
      </c>
      <c r="C166">
        <v>1</v>
      </c>
      <c r="D166">
        <v>0</v>
      </c>
      <c r="E166">
        <v>2</v>
      </c>
      <c r="F166">
        <v>17</v>
      </c>
      <c r="G166" t="b">
        <v>0</v>
      </c>
      <c r="H166">
        <v>5</v>
      </c>
      <c r="I166">
        <v>2</v>
      </c>
      <c r="J166">
        <v>0.26</v>
      </c>
      <c r="K166">
        <v>0.2727</v>
      </c>
      <c r="L166">
        <v>0.56000000000000005</v>
      </c>
      <c r="M166">
        <v>0.1343</v>
      </c>
      <c r="N166">
        <v>10</v>
      </c>
      <c r="O166">
        <v>195</v>
      </c>
      <c r="P166">
        <v>205</v>
      </c>
    </row>
    <row r="167" spans="1:16" x14ac:dyDescent="0.2">
      <c r="A167">
        <v>776</v>
      </c>
      <c r="B167" s="61">
        <v>40578</v>
      </c>
      <c r="C167">
        <v>1</v>
      </c>
      <c r="D167">
        <v>0</v>
      </c>
      <c r="E167">
        <v>2</v>
      </c>
      <c r="F167">
        <v>18</v>
      </c>
      <c r="G167" t="b">
        <v>0</v>
      </c>
      <c r="H167">
        <v>5</v>
      </c>
      <c r="I167">
        <v>2</v>
      </c>
      <c r="J167">
        <v>0.24</v>
      </c>
      <c r="K167">
        <v>0.2576</v>
      </c>
      <c r="L167">
        <v>0.6</v>
      </c>
      <c r="M167">
        <v>0.1045</v>
      </c>
      <c r="N167">
        <v>3</v>
      </c>
      <c r="O167">
        <v>152</v>
      </c>
      <c r="P167">
        <v>155</v>
      </c>
    </row>
    <row r="168" spans="1:16" x14ac:dyDescent="0.2">
      <c r="A168">
        <v>777</v>
      </c>
      <c r="B168" s="61">
        <v>40578</v>
      </c>
      <c r="C168">
        <v>1</v>
      </c>
      <c r="D168">
        <v>0</v>
      </c>
      <c r="E168">
        <v>2</v>
      </c>
      <c r="F168">
        <v>19</v>
      </c>
      <c r="G168" t="b">
        <v>0</v>
      </c>
      <c r="H168">
        <v>5</v>
      </c>
      <c r="I168">
        <v>2</v>
      </c>
      <c r="J168">
        <v>0.24</v>
      </c>
      <c r="K168">
        <v>0.2424</v>
      </c>
      <c r="L168">
        <v>0.65</v>
      </c>
      <c r="M168">
        <v>0.1343</v>
      </c>
      <c r="N168">
        <v>1</v>
      </c>
      <c r="O168">
        <v>102</v>
      </c>
      <c r="P168">
        <v>103</v>
      </c>
    </row>
    <row r="169" spans="1:16" x14ac:dyDescent="0.2">
      <c r="A169">
        <v>778</v>
      </c>
      <c r="B169" s="61">
        <v>40578</v>
      </c>
      <c r="C169">
        <v>1</v>
      </c>
      <c r="D169">
        <v>0</v>
      </c>
      <c r="E169">
        <v>2</v>
      </c>
      <c r="F169">
        <v>20</v>
      </c>
      <c r="G169" t="b">
        <v>0</v>
      </c>
      <c r="H169">
        <v>5</v>
      </c>
      <c r="I169">
        <v>2</v>
      </c>
      <c r="J169">
        <v>0.24</v>
      </c>
      <c r="K169">
        <v>0.2424</v>
      </c>
      <c r="L169">
        <v>0.65</v>
      </c>
      <c r="M169">
        <v>0.16420000000000001</v>
      </c>
      <c r="N169">
        <v>2</v>
      </c>
      <c r="O169">
        <v>69</v>
      </c>
      <c r="P169">
        <v>71</v>
      </c>
    </row>
    <row r="170" spans="1:16" x14ac:dyDescent="0.2">
      <c r="A170">
        <v>779</v>
      </c>
      <c r="B170" s="61">
        <v>40578</v>
      </c>
      <c r="C170">
        <v>1</v>
      </c>
      <c r="D170">
        <v>0</v>
      </c>
      <c r="E170">
        <v>2</v>
      </c>
      <c r="F170">
        <v>21</v>
      </c>
      <c r="G170" t="b">
        <v>0</v>
      </c>
      <c r="H170">
        <v>5</v>
      </c>
      <c r="I170">
        <v>2</v>
      </c>
      <c r="J170">
        <v>0.24</v>
      </c>
      <c r="K170">
        <v>0.2424</v>
      </c>
      <c r="L170">
        <v>0.7</v>
      </c>
      <c r="M170">
        <v>0.16420000000000001</v>
      </c>
      <c r="N170">
        <v>2</v>
      </c>
      <c r="O170">
        <v>41</v>
      </c>
      <c r="P170">
        <v>43</v>
      </c>
    </row>
    <row r="171" spans="1:16" x14ac:dyDescent="0.2">
      <c r="A171">
        <v>780</v>
      </c>
      <c r="B171" s="61">
        <v>40578</v>
      </c>
      <c r="C171">
        <v>1</v>
      </c>
      <c r="D171">
        <v>0</v>
      </c>
      <c r="E171">
        <v>2</v>
      </c>
      <c r="F171">
        <v>22</v>
      </c>
      <c r="G171" t="b">
        <v>0</v>
      </c>
      <c r="H171">
        <v>5</v>
      </c>
      <c r="I171">
        <v>2</v>
      </c>
      <c r="J171">
        <v>0.24</v>
      </c>
      <c r="K171">
        <v>0.2424</v>
      </c>
      <c r="L171">
        <v>0.65</v>
      </c>
      <c r="M171">
        <v>0.16420000000000001</v>
      </c>
      <c r="N171">
        <v>1</v>
      </c>
      <c r="O171">
        <v>45</v>
      </c>
      <c r="P171">
        <v>46</v>
      </c>
    </row>
    <row r="172" spans="1:16" x14ac:dyDescent="0.2">
      <c r="A172">
        <v>781</v>
      </c>
      <c r="B172" s="61">
        <v>40578</v>
      </c>
      <c r="C172">
        <v>1</v>
      </c>
      <c r="D172">
        <v>0</v>
      </c>
      <c r="E172">
        <v>2</v>
      </c>
      <c r="F172">
        <v>23</v>
      </c>
      <c r="G172" t="b">
        <v>0</v>
      </c>
      <c r="H172">
        <v>5</v>
      </c>
      <c r="I172">
        <v>2</v>
      </c>
      <c r="J172">
        <v>0.24</v>
      </c>
      <c r="K172">
        <v>0.2424</v>
      </c>
      <c r="L172">
        <v>0.7</v>
      </c>
      <c r="M172">
        <v>0.1343</v>
      </c>
      <c r="N172">
        <v>1</v>
      </c>
      <c r="O172">
        <v>30</v>
      </c>
      <c r="P172">
        <v>31</v>
      </c>
    </row>
    <row r="173" spans="1:16" x14ac:dyDescent="0.2">
      <c r="A173">
        <v>782</v>
      </c>
      <c r="B173" s="61">
        <v>40579</v>
      </c>
      <c r="C173">
        <v>1</v>
      </c>
      <c r="D173">
        <v>0</v>
      </c>
      <c r="E173">
        <v>2</v>
      </c>
      <c r="F173">
        <v>0</v>
      </c>
      <c r="G173" t="b">
        <v>0</v>
      </c>
      <c r="H173">
        <v>6</v>
      </c>
      <c r="I173">
        <v>2</v>
      </c>
      <c r="J173">
        <v>0.24</v>
      </c>
      <c r="K173">
        <v>0.2424</v>
      </c>
      <c r="L173">
        <v>0.7</v>
      </c>
      <c r="M173">
        <v>0.16420000000000001</v>
      </c>
      <c r="N173">
        <v>3</v>
      </c>
      <c r="O173">
        <v>36</v>
      </c>
      <c r="P173">
        <v>39</v>
      </c>
    </row>
    <row r="174" spans="1:16" x14ac:dyDescent="0.2">
      <c r="A174">
        <v>783</v>
      </c>
      <c r="B174" s="61">
        <v>40579</v>
      </c>
      <c r="C174">
        <v>1</v>
      </c>
      <c r="D174">
        <v>0</v>
      </c>
      <c r="E174">
        <v>2</v>
      </c>
      <c r="F174">
        <v>1</v>
      </c>
      <c r="G174" t="b">
        <v>0</v>
      </c>
      <c r="H174">
        <v>6</v>
      </c>
      <c r="I174">
        <v>2</v>
      </c>
      <c r="J174">
        <v>0.24</v>
      </c>
      <c r="K174">
        <v>0.2424</v>
      </c>
      <c r="L174">
        <v>0.65</v>
      </c>
      <c r="M174">
        <v>0.16420000000000001</v>
      </c>
      <c r="N174">
        <v>1</v>
      </c>
      <c r="O174">
        <v>17</v>
      </c>
      <c r="P174">
        <v>18</v>
      </c>
    </row>
    <row r="175" spans="1:16" x14ac:dyDescent="0.2">
      <c r="A175">
        <v>784</v>
      </c>
      <c r="B175" s="61">
        <v>40579</v>
      </c>
      <c r="C175">
        <v>1</v>
      </c>
      <c r="D175">
        <v>0</v>
      </c>
      <c r="E175">
        <v>2</v>
      </c>
      <c r="F175">
        <v>2</v>
      </c>
      <c r="G175" t="b">
        <v>0</v>
      </c>
      <c r="H175">
        <v>6</v>
      </c>
      <c r="I175">
        <v>2</v>
      </c>
      <c r="J175">
        <v>0.24</v>
      </c>
      <c r="K175">
        <v>0.2424</v>
      </c>
      <c r="L175">
        <v>0.75</v>
      </c>
      <c r="M175">
        <v>0.16420000000000001</v>
      </c>
      <c r="N175">
        <v>5</v>
      </c>
      <c r="O175">
        <v>12</v>
      </c>
      <c r="P175">
        <v>17</v>
      </c>
    </row>
    <row r="176" spans="1:16" x14ac:dyDescent="0.2">
      <c r="A176">
        <v>785</v>
      </c>
      <c r="B176" s="61">
        <v>40579</v>
      </c>
      <c r="C176">
        <v>1</v>
      </c>
      <c r="D176">
        <v>0</v>
      </c>
      <c r="E176">
        <v>2</v>
      </c>
      <c r="F176">
        <v>3</v>
      </c>
      <c r="G176" t="b">
        <v>0</v>
      </c>
      <c r="H176">
        <v>6</v>
      </c>
      <c r="I176">
        <v>2</v>
      </c>
      <c r="J176">
        <v>0.24</v>
      </c>
      <c r="K176">
        <v>0.2424</v>
      </c>
      <c r="L176">
        <v>0.75</v>
      </c>
      <c r="M176">
        <v>0.16420000000000001</v>
      </c>
      <c r="N176">
        <v>1</v>
      </c>
      <c r="O176">
        <v>10</v>
      </c>
      <c r="P176">
        <v>11</v>
      </c>
    </row>
    <row r="177" spans="1:16" x14ac:dyDescent="0.2">
      <c r="A177">
        <v>786</v>
      </c>
      <c r="B177" s="61">
        <v>40579</v>
      </c>
      <c r="C177">
        <v>1</v>
      </c>
      <c r="D177">
        <v>0</v>
      </c>
      <c r="E177">
        <v>2</v>
      </c>
      <c r="F177">
        <v>4</v>
      </c>
      <c r="G177" t="b">
        <v>0</v>
      </c>
      <c r="H177">
        <v>6</v>
      </c>
      <c r="I177">
        <v>3</v>
      </c>
      <c r="J177">
        <v>0.22</v>
      </c>
      <c r="K177">
        <v>0.2273</v>
      </c>
      <c r="L177">
        <v>0.93</v>
      </c>
      <c r="M177">
        <v>0.1343</v>
      </c>
      <c r="N177">
        <v>0</v>
      </c>
      <c r="O177">
        <v>8</v>
      </c>
      <c r="P177">
        <v>8</v>
      </c>
    </row>
    <row r="178" spans="1:16" x14ac:dyDescent="0.2">
      <c r="A178">
        <v>787</v>
      </c>
      <c r="B178" s="61">
        <v>40579</v>
      </c>
      <c r="C178">
        <v>1</v>
      </c>
      <c r="D178">
        <v>0</v>
      </c>
      <c r="E178">
        <v>2</v>
      </c>
      <c r="F178">
        <v>5</v>
      </c>
      <c r="G178" t="b">
        <v>0</v>
      </c>
      <c r="H178">
        <v>6</v>
      </c>
      <c r="I178">
        <v>3</v>
      </c>
      <c r="J178">
        <v>0.2</v>
      </c>
      <c r="K178">
        <v>0.2273</v>
      </c>
      <c r="L178">
        <v>1</v>
      </c>
      <c r="M178">
        <v>8.9599999999999999E-2</v>
      </c>
      <c r="N178">
        <v>0</v>
      </c>
      <c r="O178">
        <v>9</v>
      </c>
      <c r="P178">
        <v>9</v>
      </c>
    </row>
    <row r="179" spans="1:16" x14ac:dyDescent="0.2">
      <c r="A179">
        <v>788</v>
      </c>
      <c r="B179" s="61">
        <v>40579</v>
      </c>
      <c r="C179">
        <v>1</v>
      </c>
      <c r="D179">
        <v>0</v>
      </c>
      <c r="E179">
        <v>2</v>
      </c>
      <c r="F179">
        <v>6</v>
      </c>
      <c r="G179" t="b">
        <v>0</v>
      </c>
      <c r="H179">
        <v>6</v>
      </c>
      <c r="I179">
        <v>3</v>
      </c>
      <c r="J179">
        <v>0.2</v>
      </c>
      <c r="K179">
        <v>0.2576</v>
      </c>
      <c r="L179">
        <v>1</v>
      </c>
      <c r="M179">
        <v>0</v>
      </c>
      <c r="N179">
        <v>0</v>
      </c>
      <c r="O179">
        <v>4</v>
      </c>
      <c r="P179">
        <v>4</v>
      </c>
    </row>
    <row r="180" spans="1:16" x14ac:dyDescent="0.2">
      <c r="A180">
        <v>789</v>
      </c>
      <c r="B180" s="61">
        <v>40579</v>
      </c>
      <c r="C180">
        <v>1</v>
      </c>
      <c r="D180">
        <v>0</v>
      </c>
      <c r="E180">
        <v>2</v>
      </c>
      <c r="F180">
        <v>7</v>
      </c>
      <c r="G180" t="b">
        <v>0</v>
      </c>
      <c r="H180">
        <v>6</v>
      </c>
      <c r="I180">
        <v>3</v>
      </c>
      <c r="J180">
        <v>0.22</v>
      </c>
      <c r="K180">
        <v>0.2576</v>
      </c>
      <c r="L180">
        <v>0.93</v>
      </c>
      <c r="M180">
        <v>8.9599999999999999E-2</v>
      </c>
      <c r="N180">
        <v>0</v>
      </c>
      <c r="O180">
        <v>4</v>
      </c>
      <c r="P180">
        <v>4</v>
      </c>
    </row>
    <row r="181" spans="1:16" x14ac:dyDescent="0.2">
      <c r="A181">
        <v>790</v>
      </c>
      <c r="B181" s="61">
        <v>40579</v>
      </c>
      <c r="C181">
        <v>1</v>
      </c>
      <c r="D181">
        <v>0</v>
      </c>
      <c r="E181">
        <v>2</v>
      </c>
      <c r="F181">
        <v>8</v>
      </c>
      <c r="G181" t="b">
        <v>0</v>
      </c>
      <c r="H181">
        <v>6</v>
      </c>
      <c r="I181">
        <v>3</v>
      </c>
      <c r="J181">
        <v>0.2</v>
      </c>
      <c r="K181">
        <v>0.2273</v>
      </c>
      <c r="L181">
        <v>1</v>
      </c>
      <c r="M181">
        <v>8.9599999999999999E-2</v>
      </c>
      <c r="N181">
        <v>0</v>
      </c>
      <c r="O181">
        <v>10</v>
      </c>
      <c r="P181">
        <v>10</v>
      </c>
    </row>
    <row r="182" spans="1:16" x14ac:dyDescent="0.2">
      <c r="A182">
        <v>791</v>
      </c>
      <c r="B182" s="61">
        <v>40579</v>
      </c>
      <c r="C182">
        <v>1</v>
      </c>
      <c r="D182">
        <v>0</v>
      </c>
      <c r="E182">
        <v>2</v>
      </c>
      <c r="F182">
        <v>9</v>
      </c>
      <c r="G182" t="b">
        <v>0</v>
      </c>
      <c r="H182">
        <v>6</v>
      </c>
      <c r="I182">
        <v>3</v>
      </c>
      <c r="J182">
        <v>0.2</v>
      </c>
      <c r="K182">
        <v>0.2273</v>
      </c>
      <c r="L182">
        <v>1</v>
      </c>
      <c r="M182">
        <v>8.9599999999999999E-2</v>
      </c>
      <c r="N182">
        <v>3</v>
      </c>
      <c r="O182">
        <v>17</v>
      </c>
      <c r="P182">
        <v>20</v>
      </c>
    </row>
    <row r="183" spans="1:16" x14ac:dyDescent="0.2">
      <c r="A183">
        <v>792</v>
      </c>
      <c r="B183" s="61">
        <v>40579</v>
      </c>
      <c r="C183">
        <v>1</v>
      </c>
      <c r="D183">
        <v>0</v>
      </c>
      <c r="E183">
        <v>2</v>
      </c>
      <c r="F183">
        <v>10</v>
      </c>
      <c r="G183" t="b">
        <v>0</v>
      </c>
      <c r="H183">
        <v>6</v>
      </c>
      <c r="I183">
        <v>3</v>
      </c>
      <c r="J183">
        <v>0.2</v>
      </c>
      <c r="K183">
        <v>0.21210000000000001</v>
      </c>
      <c r="L183">
        <v>1</v>
      </c>
      <c r="M183">
        <v>0.1343</v>
      </c>
      <c r="N183">
        <v>3</v>
      </c>
      <c r="O183">
        <v>31</v>
      </c>
      <c r="P183">
        <v>34</v>
      </c>
    </row>
    <row r="184" spans="1:16" x14ac:dyDescent="0.2">
      <c r="A184">
        <v>793</v>
      </c>
      <c r="B184" s="61">
        <v>40579</v>
      </c>
      <c r="C184">
        <v>1</v>
      </c>
      <c r="D184">
        <v>0</v>
      </c>
      <c r="E184">
        <v>2</v>
      </c>
      <c r="F184">
        <v>11</v>
      </c>
      <c r="G184" t="b">
        <v>0</v>
      </c>
      <c r="H184">
        <v>6</v>
      </c>
      <c r="I184">
        <v>3</v>
      </c>
      <c r="J184">
        <v>0.22</v>
      </c>
      <c r="K184">
        <v>0.2273</v>
      </c>
      <c r="L184">
        <v>1</v>
      </c>
      <c r="M184">
        <v>0.1343</v>
      </c>
      <c r="N184">
        <v>1</v>
      </c>
      <c r="O184">
        <v>46</v>
      </c>
      <c r="P184">
        <v>47</v>
      </c>
    </row>
    <row r="185" spans="1:16" x14ac:dyDescent="0.2">
      <c r="A185">
        <v>794</v>
      </c>
      <c r="B185" s="61">
        <v>40579</v>
      </c>
      <c r="C185">
        <v>1</v>
      </c>
      <c r="D185">
        <v>0</v>
      </c>
      <c r="E185">
        <v>2</v>
      </c>
      <c r="F185">
        <v>12</v>
      </c>
      <c r="G185" t="b">
        <v>0</v>
      </c>
      <c r="H185">
        <v>6</v>
      </c>
      <c r="I185">
        <v>3</v>
      </c>
      <c r="J185">
        <v>0.22</v>
      </c>
      <c r="K185">
        <v>0.2273</v>
      </c>
      <c r="L185">
        <v>1</v>
      </c>
      <c r="M185">
        <v>0.16420000000000001</v>
      </c>
      <c r="N185">
        <v>10</v>
      </c>
      <c r="O185">
        <v>42</v>
      </c>
      <c r="P185">
        <v>52</v>
      </c>
    </row>
    <row r="186" spans="1:16" x14ac:dyDescent="0.2">
      <c r="A186">
        <v>795</v>
      </c>
      <c r="B186" s="61">
        <v>40579</v>
      </c>
      <c r="C186">
        <v>1</v>
      </c>
      <c r="D186">
        <v>0</v>
      </c>
      <c r="E186">
        <v>2</v>
      </c>
      <c r="F186">
        <v>13</v>
      </c>
      <c r="G186" t="b">
        <v>0</v>
      </c>
      <c r="H186">
        <v>6</v>
      </c>
      <c r="I186">
        <v>3</v>
      </c>
      <c r="J186">
        <v>0.22</v>
      </c>
      <c r="K186">
        <v>0.2273</v>
      </c>
      <c r="L186">
        <v>1</v>
      </c>
      <c r="M186">
        <v>0.16420000000000001</v>
      </c>
      <c r="N186">
        <v>10</v>
      </c>
      <c r="O186">
        <v>62</v>
      </c>
      <c r="P186">
        <v>72</v>
      </c>
    </row>
    <row r="187" spans="1:16" x14ac:dyDescent="0.2">
      <c r="A187">
        <v>796</v>
      </c>
      <c r="B187" s="61">
        <v>40579</v>
      </c>
      <c r="C187">
        <v>1</v>
      </c>
      <c r="D187">
        <v>0</v>
      </c>
      <c r="E187">
        <v>2</v>
      </c>
      <c r="F187">
        <v>14</v>
      </c>
      <c r="G187" t="b">
        <v>0</v>
      </c>
      <c r="H187">
        <v>6</v>
      </c>
      <c r="I187">
        <v>3</v>
      </c>
      <c r="J187">
        <v>0.22</v>
      </c>
      <c r="K187">
        <v>0.2727</v>
      </c>
      <c r="L187">
        <v>1</v>
      </c>
      <c r="M187">
        <v>0</v>
      </c>
      <c r="N187">
        <v>5</v>
      </c>
      <c r="O187">
        <v>50</v>
      </c>
      <c r="P187">
        <v>55</v>
      </c>
    </row>
    <row r="188" spans="1:16" x14ac:dyDescent="0.2">
      <c r="A188">
        <v>797</v>
      </c>
      <c r="B188" s="61">
        <v>40579</v>
      </c>
      <c r="C188">
        <v>1</v>
      </c>
      <c r="D188">
        <v>0</v>
      </c>
      <c r="E188">
        <v>2</v>
      </c>
      <c r="F188">
        <v>15</v>
      </c>
      <c r="G188" t="b">
        <v>0</v>
      </c>
      <c r="H188">
        <v>6</v>
      </c>
      <c r="I188">
        <v>3</v>
      </c>
      <c r="J188">
        <v>0.22</v>
      </c>
      <c r="K188">
        <v>0.2727</v>
      </c>
      <c r="L188">
        <v>1</v>
      </c>
      <c r="M188">
        <v>0</v>
      </c>
      <c r="N188">
        <v>11</v>
      </c>
      <c r="O188">
        <v>49</v>
      </c>
      <c r="P188">
        <v>60</v>
      </c>
    </row>
    <row r="189" spans="1:16" x14ac:dyDescent="0.2">
      <c r="A189">
        <v>798</v>
      </c>
      <c r="B189" s="61">
        <v>40579</v>
      </c>
      <c r="C189">
        <v>1</v>
      </c>
      <c r="D189">
        <v>0</v>
      </c>
      <c r="E189">
        <v>2</v>
      </c>
      <c r="F189">
        <v>16</v>
      </c>
      <c r="G189" t="b">
        <v>0</v>
      </c>
      <c r="H189">
        <v>6</v>
      </c>
      <c r="I189">
        <v>3</v>
      </c>
      <c r="J189">
        <v>0.22</v>
      </c>
      <c r="K189">
        <v>0.2273</v>
      </c>
      <c r="L189">
        <v>1</v>
      </c>
      <c r="M189">
        <v>0.1343</v>
      </c>
      <c r="N189">
        <v>8</v>
      </c>
      <c r="O189">
        <v>63</v>
      </c>
      <c r="P189">
        <v>71</v>
      </c>
    </row>
    <row r="190" spans="1:16" x14ac:dyDescent="0.2">
      <c r="A190">
        <v>799</v>
      </c>
      <c r="B190" s="61">
        <v>40579</v>
      </c>
      <c r="C190">
        <v>1</v>
      </c>
      <c r="D190">
        <v>0</v>
      </c>
      <c r="E190">
        <v>2</v>
      </c>
      <c r="F190">
        <v>17</v>
      </c>
      <c r="G190" t="b">
        <v>0</v>
      </c>
      <c r="H190">
        <v>6</v>
      </c>
      <c r="I190">
        <v>2</v>
      </c>
      <c r="J190">
        <v>0.24</v>
      </c>
      <c r="K190">
        <v>0.21210000000000001</v>
      </c>
      <c r="L190">
        <v>1</v>
      </c>
      <c r="M190">
        <v>0.28360000000000002</v>
      </c>
      <c r="N190">
        <v>14</v>
      </c>
      <c r="O190">
        <v>64</v>
      </c>
      <c r="P190">
        <v>78</v>
      </c>
    </row>
    <row r="191" spans="1:16" x14ac:dyDescent="0.2">
      <c r="A191">
        <v>800</v>
      </c>
      <c r="B191" s="61">
        <v>40579</v>
      </c>
      <c r="C191">
        <v>1</v>
      </c>
      <c r="D191">
        <v>0</v>
      </c>
      <c r="E191">
        <v>2</v>
      </c>
      <c r="F191">
        <v>18</v>
      </c>
      <c r="G191" t="b">
        <v>0</v>
      </c>
      <c r="H191">
        <v>6</v>
      </c>
      <c r="I191">
        <v>2</v>
      </c>
      <c r="J191">
        <v>0.28000000000000003</v>
      </c>
      <c r="K191">
        <v>0.2424</v>
      </c>
      <c r="L191">
        <v>0.93</v>
      </c>
      <c r="M191">
        <v>0.44779999999999998</v>
      </c>
      <c r="N191">
        <v>2</v>
      </c>
      <c r="O191">
        <v>81</v>
      </c>
      <c r="P191">
        <v>83</v>
      </c>
    </row>
    <row r="192" spans="1:16" x14ac:dyDescent="0.2">
      <c r="A192">
        <v>801</v>
      </c>
      <c r="B192" s="61">
        <v>40579</v>
      </c>
      <c r="C192">
        <v>1</v>
      </c>
      <c r="D192">
        <v>0</v>
      </c>
      <c r="E192">
        <v>2</v>
      </c>
      <c r="F192">
        <v>19</v>
      </c>
      <c r="G192" t="b">
        <v>0</v>
      </c>
      <c r="H192">
        <v>6</v>
      </c>
      <c r="I192">
        <v>2</v>
      </c>
      <c r="J192">
        <v>0.28000000000000003</v>
      </c>
      <c r="K192">
        <v>0.2424</v>
      </c>
      <c r="L192">
        <v>0.93</v>
      </c>
      <c r="M192">
        <v>0.44779999999999998</v>
      </c>
      <c r="N192">
        <v>6</v>
      </c>
      <c r="O192">
        <v>78</v>
      </c>
      <c r="P192">
        <v>84</v>
      </c>
    </row>
    <row r="193" spans="1:16" x14ac:dyDescent="0.2">
      <c r="A193">
        <v>802</v>
      </c>
      <c r="B193" s="61">
        <v>40579</v>
      </c>
      <c r="C193">
        <v>1</v>
      </c>
      <c r="D193">
        <v>0</v>
      </c>
      <c r="E193">
        <v>2</v>
      </c>
      <c r="F193">
        <v>20</v>
      </c>
      <c r="G193" t="b">
        <v>0</v>
      </c>
      <c r="H193">
        <v>6</v>
      </c>
      <c r="I193">
        <v>1</v>
      </c>
      <c r="J193">
        <v>0.3</v>
      </c>
      <c r="K193">
        <v>0.28789999999999999</v>
      </c>
      <c r="L193">
        <v>0.87</v>
      </c>
      <c r="M193">
        <v>0.25369999999999998</v>
      </c>
      <c r="N193">
        <v>5</v>
      </c>
      <c r="O193">
        <v>64</v>
      </c>
      <c r="P193">
        <v>69</v>
      </c>
    </row>
    <row r="194" spans="1:16" x14ac:dyDescent="0.2">
      <c r="A194">
        <v>803</v>
      </c>
      <c r="B194" s="61">
        <v>40579</v>
      </c>
      <c r="C194">
        <v>1</v>
      </c>
      <c r="D194">
        <v>0</v>
      </c>
      <c r="E194">
        <v>2</v>
      </c>
      <c r="F194">
        <v>21</v>
      </c>
      <c r="G194" t="b">
        <v>0</v>
      </c>
      <c r="H194">
        <v>6</v>
      </c>
      <c r="I194">
        <v>1</v>
      </c>
      <c r="J194">
        <v>0.26</v>
      </c>
      <c r="K194">
        <v>0.2576</v>
      </c>
      <c r="L194">
        <v>1</v>
      </c>
      <c r="M194">
        <v>0.19400000000000001</v>
      </c>
      <c r="N194">
        <v>3</v>
      </c>
      <c r="O194">
        <v>53</v>
      </c>
      <c r="P194">
        <v>56</v>
      </c>
    </row>
    <row r="195" spans="1:16" x14ac:dyDescent="0.2">
      <c r="A195">
        <v>804</v>
      </c>
      <c r="B195" s="61">
        <v>40579</v>
      </c>
      <c r="C195">
        <v>1</v>
      </c>
      <c r="D195">
        <v>0</v>
      </c>
      <c r="E195">
        <v>2</v>
      </c>
      <c r="F195">
        <v>22</v>
      </c>
      <c r="G195" t="b">
        <v>0</v>
      </c>
      <c r="H195">
        <v>6</v>
      </c>
      <c r="I195">
        <v>1</v>
      </c>
      <c r="J195">
        <v>0.26</v>
      </c>
      <c r="K195">
        <v>0.2727</v>
      </c>
      <c r="L195">
        <v>0.93</v>
      </c>
      <c r="M195">
        <v>0.1343</v>
      </c>
      <c r="N195">
        <v>2</v>
      </c>
      <c r="O195">
        <v>43</v>
      </c>
      <c r="P195">
        <v>45</v>
      </c>
    </row>
    <row r="196" spans="1:16" x14ac:dyDescent="0.2">
      <c r="A196">
        <v>805</v>
      </c>
      <c r="B196" s="61">
        <v>40579</v>
      </c>
      <c r="C196">
        <v>1</v>
      </c>
      <c r="D196">
        <v>0</v>
      </c>
      <c r="E196">
        <v>2</v>
      </c>
      <c r="F196">
        <v>23</v>
      </c>
      <c r="G196" t="b">
        <v>0</v>
      </c>
      <c r="H196">
        <v>6</v>
      </c>
      <c r="I196">
        <v>1</v>
      </c>
      <c r="J196">
        <v>0.26</v>
      </c>
      <c r="K196">
        <v>0.2576</v>
      </c>
      <c r="L196">
        <v>0.93</v>
      </c>
      <c r="M196">
        <v>0.22389999999999999</v>
      </c>
      <c r="N196">
        <v>7</v>
      </c>
      <c r="O196">
        <v>52</v>
      </c>
      <c r="P196">
        <v>59</v>
      </c>
    </row>
    <row r="197" spans="1:16" x14ac:dyDescent="0.2">
      <c r="A197">
        <v>806</v>
      </c>
      <c r="B197" s="61">
        <v>40580</v>
      </c>
      <c r="C197">
        <v>1</v>
      </c>
      <c r="D197">
        <v>0</v>
      </c>
      <c r="E197">
        <v>2</v>
      </c>
      <c r="F197">
        <v>0</v>
      </c>
      <c r="G197" t="b">
        <v>0</v>
      </c>
      <c r="H197">
        <v>0</v>
      </c>
      <c r="I197">
        <v>1</v>
      </c>
      <c r="J197">
        <v>0.26</v>
      </c>
      <c r="K197">
        <v>0.2576</v>
      </c>
      <c r="L197">
        <v>0.7</v>
      </c>
      <c r="M197">
        <v>0.19400000000000001</v>
      </c>
      <c r="N197">
        <v>2</v>
      </c>
      <c r="O197">
        <v>37</v>
      </c>
      <c r="P197">
        <v>39</v>
      </c>
    </row>
    <row r="198" spans="1:16" x14ac:dyDescent="0.2">
      <c r="A198">
        <v>807</v>
      </c>
      <c r="B198" s="61">
        <v>40580</v>
      </c>
      <c r="C198">
        <v>1</v>
      </c>
      <c r="D198">
        <v>0</v>
      </c>
      <c r="E198">
        <v>2</v>
      </c>
      <c r="F198">
        <v>1</v>
      </c>
      <c r="G198" t="b">
        <v>0</v>
      </c>
      <c r="H198">
        <v>0</v>
      </c>
      <c r="I198">
        <v>1</v>
      </c>
      <c r="J198">
        <v>0.26</v>
      </c>
      <c r="K198">
        <v>0.2273</v>
      </c>
      <c r="L198">
        <v>0.65</v>
      </c>
      <c r="M198">
        <v>0.41789999999999999</v>
      </c>
      <c r="N198">
        <v>4</v>
      </c>
      <c r="O198">
        <v>40</v>
      </c>
      <c r="P198">
        <v>44</v>
      </c>
    </row>
    <row r="199" spans="1:16" x14ac:dyDescent="0.2">
      <c r="A199">
        <v>808</v>
      </c>
      <c r="B199" s="61">
        <v>40580</v>
      </c>
      <c r="C199">
        <v>1</v>
      </c>
      <c r="D199">
        <v>0</v>
      </c>
      <c r="E199">
        <v>2</v>
      </c>
      <c r="F199">
        <v>2</v>
      </c>
      <c r="G199" t="b">
        <v>0</v>
      </c>
      <c r="H199">
        <v>0</v>
      </c>
      <c r="I199">
        <v>1</v>
      </c>
      <c r="J199">
        <v>0.26</v>
      </c>
      <c r="K199">
        <v>0.2273</v>
      </c>
      <c r="L199">
        <v>0.6</v>
      </c>
      <c r="M199">
        <v>0.32840000000000003</v>
      </c>
      <c r="N199">
        <v>0</v>
      </c>
      <c r="O199">
        <v>20</v>
      </c>
      <c r="P199">
        <v>20</v>
      </c>
    </row>
    <row r="200" spans="1:16" x14ac:dyDescent="0.2">
      <c r="A200">
        <v>809</v>
      </c>
      <c r="B200" s="61">
        <v>40580</v>
      </c>
      <c r="C200">
        <v>1</v>
      </c>
      <c r="D200">
        <v>0</v>
      </c>
      <c r="E200">
        <v>2</v>
      </c>
      <c r="F200">
        <v>3</v>
      </c>
      <c r="G200" t="b">
        <v>0</v>
      </c>
      <c r="H200">
        <v>0</v>
      </c>
      <c r="I200">
        <v>1</v>
      </c>
      <c r="J200">
        <v>0.26</v>
      </c>
      <c r="K200">
        <v>0.28789999999999999</v>
      </c>
      <c r="L200">
        <v>0.6</v>
      </c>
      <c r="M200">
        <v>8.9599999999999999E-2</v>
      </c>
      <c r="N200">
        <v>3</v>
      </c>
      <c r="O200">
        <v>10</v>
      </c>
      <c r="P200">
        <v>13</v>
      </c>
    </row>
    <row r="201" spans="1:16" x14ac:dyDescent="0.2">
      <c r="A201">
        <v>810</v>
      </c>
      <c r="B201" s="61">
        <v>40580</v>
      </c>
      <c r="C201">
        <v>1</v>
      </c>
      <c r="D201">
        <v>0</v>
      </c>
      <c r="E201">
        <v>2</v>
      </c>
      <c r="F201">
        <v>4</v>
      </c>
      <c r="G201" t="b">
        <v>0</v>
      </c>
      <c r="H201">
        <v>0</v>
      </c>
      <c r="I201">
        <v>1</v>
      </c>
      <c r="J201">
        <v>0.26</v>
      </c>
      <c r="K201">
        <v>0.2273</v>
      </c>
      <c r="L201">
        <v>0.6</v>
      </c>
      <c r="M201">
        <v>0.35820000000000002</v>
      </c>
      <c r="N201">
        <v>0</v>
      </c>
      <c r="O201">
        <v>2</v>
      </c>
      <c r="P201">
        <v>2</v>
      </c>
    </row>
    <row r="202" spans="1:16" x14ac:dyDescent="0.2">
      <c r="A202">
        <v>811</v>
      </c>
      <c r="B202" s="61">
        <v>40580</v>
      </c>
      <c r="C202">
        <v>1</v>
      </c>
      <c r="D202">
        <v>0</v>
      </c>
      <c r="E202">
        <v>2</v>
      </c>
      <c r="F202">
        <v>5</v>
      </c>
      <c r="G202" t="b">
        <v>0</v>
      </c>
      <c r="H202">
        <v>0</v>
      </c>
      <c r="I202">
        <v>1</v>
      </c>
      <c r="J202">
        <v>0.26</v>
      </c>
      <c r="K202">
        <v>0.2576</v>
      </c>
      <c r="L202">
        <v>0.6</v>
      </c>
      <c r="M202">
        <v>0.22389999999999999</v>
      </c>
      <c r="N202">
        <v>0</v>
      </c>
      <c r="O202">
        <v>1</v>
      </c>
      <c r="P202">
        <v>1</v>
      </c>
    </row>
    <row r="203" spans="1:16" x14ac:dyDescent="0.2">
      <c r="A203">
        <v>812</v>
      </c>
      <c r="B203" s="61">
        <v>40580</v>
      </c>
      <c r="C203">
        <v>1</v>
      </c>
      <c r="D203">
        <v>0</v>
      </c>
      <c r="E203">
        <v>2</v>
      </c>
      <c r="F203">
        <v>6</v>
      </c>
      <c r="G203" t="b">
        <v>0</v>
      </c>
      <c r="H203">
        <v>0</v>
      </c>
      <c r="I203">
        <v>1</v>
      </c>
      <c r="J203">
        <v>0.26</v>
      </c>
      <c r="K203">
        <v>0.2576</v>
      </c>
      <c r="L203">
        <v>0.6</v>
      </c>
      <c r="M203">
        <v>0.22389999999999999</v>
      </c>
      <c r="N203">
        <v>0</v>
      </c>
      <c r="O203">
        <v>1</v>
      </c>
      <c r="P203">
        <v>1</v>
      </c>
    </row>
    <row r="204" spans="1:16" x14ac:dyDescent="0.2">
      <c r="A204">
        <v>813</v>
      </c>
      <c r="B204" s="61">
        <v>40580</v>
      </c>
      <c r="C204">
        <v>1</v>
      </c>
      <c r="D204">
        <v>0</v>
      </c>
      <c r="E204">
        <v>2</v>
      </c>
      <c r="F204">
        <v>7</v>
      </c>
      <c r="G204" t="b">
        <v>0</v>
      </c>
      <c r="H204">
        <v>0</v>
      </c>
      <c r="I204">
        <v>1</v>
      </c>
      <c r="J204">
        <v>0.24</v>
      </c>
      <c r="K204">
        <v>0.2424</v>
      </c>
      <c r="L204">
        <v>0.65</v>
      </c>
      <c r="M204">
        <v>0.16420000000000001</v>
      </c>
      <c r="N204">
        <v>0</v>
      </c>
      <c r="O204">
        <v>8</v>
      </c>
      <c r="P204">
        <v>8</v>
      </c>
    </row>
    <row r="205" spans="1:16" x14ac:dyDescent="0.2">
      <c r="A205">
        <v>814</v>
      </c>
      <c r="B205" s="61">
        <v>40580</v>
      </c>
      <c r="C205">
        <v>1</v>
      </c>
      <c r="D205">
        <v>0</v>
      </c>
      <c r="E205">
        <v>2</v>
      </c>
      <c r="F205">
        <v>8</v>
      </c>
      <c r="G205" t="b">
        <v>0</v>
      </c>
      <c r="H205">
        <v>0</v>
      </c>
      <c r="I205">
        <v>1</v>
      </c>
      <c r="J205">
        <v>0.24</v>
      </c>
      <c r="K205">
        <v>0.2576</v>
      </c>
      <c r="L205">
        <v>0.65</v>
      </c>
      <c r="M205">
        <v>0.1045</v>
      </c>
      <c r="N205">
        <v>2</v>
      </c>
      <c r="O205">
        <v>21</v>
      </c>
      <c r="P205">
        <v>23</v>
      </c>
    </row>
    <row r="206" spans="1:16" x14ac:dyDescent="0.2">
      <c r="A206">
        <v>815</v>
      </c>
      <c r="B206" s="61">
        <v>40580</v>
      </c>
      <c r="C206">
        <v>1</v>
      </c>
      <c r="D206">
        <v>0</v>
      </c>
      <c r="E206">
        <v>2</v>
      </c>
      <c r="F206">
        <v>9</v>
      </c>
      <c r="G206" t="b">
        <v>0</v>
      </c>
      <c r="H206">
        <v>0</v>
      </c>
      <c r="I206">
        <v>1</v>
      </c>
      <c r="J206">
        <v>0.28000000000000003</v>
      </c>
      <c r="K206">
        <v>0.28789999999999999</v>
      </c>
      <c r="L206">
        <v>0.56000000000000005</v>
      </c>
      <c r="M206">
        <v>0.1045</v>
      </c>
      <c r="N206">
        <v>7</v>
      </c>
      <c r="O206">
        <v>38</v>
      </c>
      <c r="P206">
        <v>45</v>
      </c>
    </row>
    <row r="207" spans="1:16" x14ac:dyDescent="0.2">
      <c r="A207">
        <v>816</v>
      </c>
      <c r="B207" s="61">
        <v>40580</v>
      </c>
      <c r="C207">
        <v>1</v>
      </c>
      <c r="D207">
        <v>0</v>
      </c>
      <c r="E207">
        <v>2</v>
      </c>
      <c r="F207">
        <v>10</v>
      </c>
      <c r="G207" t="b">
        <v>0</v>
      </c>
      <c r="H207">
        <v>0</v>
      </c>
      <c r="I207">
        <v>1</v>
      </c>
      <c r="J207">
        <v>0.3</v>
      </c>
      <c r="K207">
        <v>0.28789999999999999</v>
      </c>
      <c r="L207">
        <v>0.52</v>
      </c>
      <c r="M207">
        <v>0.25369999999999998</v>
      </c>
      <c r="N207">
        <v>15</v>
      </c>
      <c r="O207">
        <v>74</v>
      </c>
      <c r="P207">
        <v>89</v>
      </c>
    </row>
    <row r="208" spans="1:16" x14ac:dyDescent="0.2">
      <c r="A208">
        <v>817</v>
      </c>
      <c r="B208" s="61">
        <v>40580</v>
      </c>
      <c r="C208">
        <v>1</v>
      </c>
      <c r="D208">
        <v>0</v>
      </c>
      <c r="E208">
        <v>2</v>
      </c>
      <c r="F208">
        <v>11</v>
      </c>
      <c r="G208" t="b">
        <v>0</v>
      </c>
      <c r="H208">
        <v>0</v>
      </c>
      <c r="I208">
        <v>1</v>
      </c>
      <c r="J208">
        <v>0.32</v>
      </c>
      <c r="K208">
        <v>0.30299999999999999</v>
      </c>
      <c r="L208">
        <v>0.49</v>
      </c>
      <c r="M208">
        <v>0.25369999999999998</v>
      </c>
      <c r="N208">
        <v>28</v>
      </c>
      <c r="O208">
        <v>89</v>
      </c>
      <c r="P208">
        <v>117</v>
      </c>
    </row>
    <row r="209" spans="1:16" x14ac:dyDescent="0.2">
      <c r="A209">
        <v>818</v>
      </c>
      <c r="B209" s="61">
        <v>40580</v>
      </c>
      <c r="C209">
        <v>1</v>
      </c>
      <c r="D209">
        <v>0</v>
      </c>
      <c r="E209">
        <v>2</v>
      </c>
      <c r="F209">
        <v>12</v>
      </c>
      <c r="G209" t="b">
        <v>0</v>
      </c>
      <c r="H209">
        <v>0</v>
      </c>
      <c r="I209">
        <v>1</v>
      </c>
      <c r="J209">
        <v>0.34</v>
      </c>
      <c r="K209">
        <v>0.33329999999999999</v>
      </c>
      <c r="L209">
        <v>0.46</v>
      </c>
      <c r="M209">
        <v>0</v>
      </c>
      <c r="N209">
        <v>48</v>
      </c>
      <c r="O209">
        <v>126</v>
      </c>
      <c r="P209">
        <v>174</v>
      </c>
    </row>
    <row r="210" spans="1:16" x14ac:dyDescent="0.2">
      <c r="A210">
        <v>819</v>
      </c>
      <c r="B210" s="61">
        <v>40580</v>
      </c>
      <c r="C210">
        <v>1</v>
      </c>
      <c r="D210">
        <v>0</v>
      </c>
      <c r="E210">
        <v>2</v>
      </c>
      <c r="F210">
        <v>13</v>
      </c>
      <c r="G210" t="b">
        <v>0</v>
      </c>
      <c r="H210">
        <v>0</v>
      </c>
      <c r="I210">
        <v>1</v>
      </c>
      <c r="J210">
        <v>0.34</v>
      </c>
      <c r="K210">
        <v>0.36359999999999998</v>
      </c>
      <c r="L210">
        <v>0.46</v>
      </c>
      <c r="M210">
        <v>0</v>
      </c>
      <c r="N210">
        <v>47</v>
      </c>
      <c r="O210">
        <v>135</v>
      </c>
      <c r="P210">
        <v>182</v>
      </c>
    </row>
    <row r="211" spans="1:16" x14ac:dyDescent="0.2">
      <c r="A211">
        <v>820</v>
      </c>
      <c r="B211" s="61">
        <v>40580</v>
      </c>
      <c r="C211">
        <v>1</v>
      </c>
      <c r="D211">
        <v>0</v>
      </c>
      <c r="E211">
        <v>2</v>
      </c>
      <c r="F211">
        <v>14</v>
      </c>
      <c r="G211" t="b">
        <v>0</v>
      </c>
      <c r="H211">
        <v>0</v>
      </c>
      <c r="I211">
        <v>1</v>
      </c>
      <c r="J211">
        <v>0.34</v>
      </c>
      <c r="K211">
        <v>0.34849999999999998</v>
      </c>
      <c r="L211">
        <v>0.46</v>
      </c>
      <c r="M211">
        <v>8.9599999999999999E-2</v>
      </c>
      <c r="N211">
        <v>47</v>
      </c>
      <c r="O211">
        <v>114</v>
      </c>
      <c r="P211">
        <v>161</v>
      </c>
    </row>
    <row r="212" spans="1:16" x14ac:dyDescent="0.2">
      <c r="A212">
        <v>821</v>
      </c>
      <c r="B212" s="61">
        <v>40580</v>
      </c>
      <c r="C212">
        <v>1</v>
      </c>
      <c r="D212">
        <v>0</v>
      </c>
      <c r="E212">
        <v>2</v>
      </c>
      <c r="F212">
        <v>15</v>
      </c>
      <c r="G212" t="b">
        <v>0</v>
      </c>
      <c r="H212">
        <v>0</v>
      </c>
      <c r="I212">
        <v>1</v>
      </c>
      <c r="J212">
        <v>0.34</v>
      </c>
      <c r="K212">
        <v>0.34849999999999998</v>
      </c>
      <c r="L212">
        <v>0.46</v>
      </c>
      <c r="M212">
        <v>8.9599999999999999E-2</v>
      </c>
      <c r="N212">
        <v>52</v>
      </c>
      <c r="O212">
        <v>130</v>
      </c>
      <c r="P212">
        <v>182</v>
      </c>
    </row>
    <row r="213" spans="1:16" x14ac:dyDescent="0.2">
      <c r="A213">
        <v>822</v>
      </c>
      <c r="B213" s="61">
        <v>40580</v>
      </c>
      <c r="C213">
        <v>1</v>
      </c>
      <c r="D213">
        <v>0</v>
      </c>
      <c r="E213">
        <v>2</v>
      </c>
      <c r="F213">
        <v>16</v>
      </c>
      <c r="G213" t="b">
        <v>0</v>
      </c>
      <c r="H213">
        <v>0</v>
      </c>
      <c r="I213">
        <v>1</v>
      </c>
      <c r="J213">
        <v>0.34</v>
      </c>
      <c r="K213">
        <v>0.34849999999999998</v>
      </c>
      <c r="L213">
        <v>0.49</v>
      </c>
      <c r="M213">
        <v>0.1045</v>
      </c>
      <c r="N213">
        <v>42</v>
      </c>
      <c r="O213">
        <v>115</v>
      </c>
      <c r="P213">
        <v>157</v>
      </c>
    </row>
    <row r="214" spans="1:16" x14ac:dyDescent="0.2">
      <c r="A214">
        <v>823</v>
      </c>
      <c r="B214" s="61">
        <v>40580</v>
      </c>
      <c r="C214">
        <v>1</v>
      </c>
      <c r="D214">
        <v>0</v>
      </c>
      <c r="E214">
        <v>2</v>
      </c>
      <c r="F214">
        <v>17</v>
      </c>
      <c r="G214" t="b">
        <v>0</v>
      </c>
      <c r="H214">
        <v>0</v>
      </c>
      <c r="I214">
        <v>1</v>
      </c>
      <c r="J214">
        <v>0.34</v>
      </c>
      <c r="K214">
        <v>0.36359999999999998</v>
      </c>
      <c r="L214">
        <v>0.46</v>
      </c>
      <c r="M214">
        <v>0</v>
      </c>
      <c r="N214">
        <v>24</v>
      </c>
      <c r="O214">
        <v>97</v>
      </c>
      <c r="P214">
        <v>121</v>
      </c>
    </row>
    <row r="215" spans="1:16" x14ac:dyDescent="0.2">
      <c r="A215">
        <v>824</v>
      </c>
      <c r="B215" s="61">
        <v>40580</v>
      </c>
      <c r="C215">
        <v>1</v>
      </c>
      <c r="D215">
        <v>0</v>
      </c>
      <c r="E215">
        <v>2</v>
      </c>
      <c r="F215">
        <v>18</v>
      </c>
      <c r="G215" t="b">
        <v>0</v>
      </c>
      <c r="H215">
        <v>0</v>
      </c>
      <c r="I215">
        <v>1</v>
      </c>
      <c r="J215">
        <v>0.3</v>
      </c>
      <c r="K215">
        <v>0.30299999999999999</v>
      </c>
      <c r="L215">
        <v>0.56000000000000005</v>
      </c>
      <c r="M215">
        <v>0.16420000000000001</v>
      </c>
      <c r="N215">
        <v>13</v>
      </c>
      <c r="O215">
        <v>65</v>
      </c>
      <c r="P215">
        <v>78</v>
      </c>
    </row>
    <row r="216" spans="1:16" x14ac:dyDescent="0.2">
      <c r="A216">
        <v>825</v>
      </c>
      <c r="B216" s="61">
        <v>40580</v>
      </c>
      <c r="C216">
        <v>1</v>
      </c>
      <c r="D216">
        <v>0</v>
      </c>
      <c r="E216">
        <v>2</v>
      </c>
      <c r="F216">
        <v>19</v>
      </c>
      <c r="G216" t="b">
        <v>0</v>
      </c>
      <c r="H216">
        <v>0</v>
      </c>
      <c r="I216">
        <v>1</v>
      </c>
      <c r="J216">
        <v>0.28000000000000003</v>
      </c>
      <c r="K216">
        <v>0.28789999999999999</v>
      </c>
      <c r="L216">
        <v>0.61</v>
      </c>
      <c r="M216">
        <v>0.1343</v>
      </c>
      <c r="N216">
        <v>1</v>
      </c>
      <c r="O216">
        <v>20</v>
      </c>
      <c r="P216">
        <v>21</v>
      </c>
    </row>
    <row r="217" spans="1:16" x14ac:dyDescent="0.2">
      <c r="A217">
        <v>826</v>
      </c>
      <c r="B217" s="61">
        <v>40580</v>
      </c>
      <c r="C217">
        <v>1</v>
      </c>
      <c r="D217">
        <v>0</v>
      </c>
      <c r="E217">
        <v>2</v>
      </c>
      <c r="F217">
        <v>20</v>
      </c>
      <c r="G217" t="b">
        <v>0</v>
      </c>
      <c r="H217">
        <v>0</v>
      </c>
      <c r="I217">
        <v>1</v>
      </c>
      <c r="J217">
        <v>0.28000000000000003</v>
      </c>
      <c r="K217">
        <v>0.28789999999999999</v>
      </c>
      <c r="L217">
        <v>0.61</v>
      </c>
      <c r="M217">
        <v>0.1045</v>
      </c>
      <c r="N217">
        <v>5</v>
      </c>
      <c r="O217">
        <v>21</v>
      </c>
      <c r="P217">
        <v>26</v>
      </c>
    </row>
    <row r="218" spans="1:16" x14ac:dyDescent="0.2">
      <c r="A218">
        <v>827</v>
      </c>
      <c r="B218" s="61">
        <v>40580</v>
      </c>
      <c r="C218">
        <v>1</v>
      </c>
      <c r="D218">
        <v>0</v>
      </c>
      <c r="E218">
        <v>2</v>
      </c>
      <c r="F218">
        <v>21</v>
      </c>
      <c r="G218" t="b">
        <v>0</v>
      </c>
      <c r="H218">
        <v>0</v>
      </c>
      <c r="I218">
        <v>1</v>
      </c>
      <c r="J218">
        <v>0.26</v>
      </c>
      <c r="K218">
        <v>0.30299999999999999</v>
      </c>
      <c r="L218">
        <v>0.6</v>
      </c>
      <c r="M218">
        <v>0</v>
      </c>
      <c r="N218">
        <v>5</v>
      </c>
      <c r="O218">
        <v>22</v>
      </c>
      <c r="P218">
        <v>27</v>
      </c>
    </row>
    <row r="219" spans="1:16" x14ac:dyDescent="0.2">
      <c r="A219">
        <v>828</v>
      </c>
      <c r="B219" s="61">
        <v>40580</v>
      </c>
      <c r="C219">
        <v>1</v>
      </c>
      <c r="D219">
        <v>0</v>
      </c>
      <c r="E219">
        <v>2</v>
      </c>
      <c r="F219">
        <v>22</v>
      </c>
      <c r="G219" t="b">
        <v>0</v>
      </c>
      <c r="H219">
        <v>0</v>
      </c>
      <c r="I219">
        <v>1</v>
      </c>
      <c r="J219">
        <v>0.26</v>
      </c>
      <c r="K219">
        <v>0.30299999999999999</v>
      </c>
      <c r="L219">
        <v>0.6</v>
      </c>
      <c r="M219">
        <v>0</v>
      </c>
      <c r="N219">
        <v>5</v>
      </c>
      <c r="O219">
        <v>57</v>
      </c>
      <c r="P219">
        <v>62</v>
      </c>
    </row>
    <row r="220" spans="1:16" x14ac:dyDescent="0.2">
      <c r="A220">
        <v>829</v>
      </c>
      <c r="B220" s="61">
        <v>40580</v>
      </c>
      <c r="C220">
        <v>1</v>
      </c>
      <c r="D220">
        <v>0</v>
      </c>
      <c r="E220">
        <v>2</v>
      </c>
      <c r="F220">
        <v>23</v>
      </c>
      <c r="G220" t="b">
        <v>0</v>
      </c>
      <c r="H220">
        <v>0</v>
      </c>
      <c r="I220">
        <v>1</v>
      </c>
      <c r="J220">
        <v>0.24</v>
      </c>
      <c r="K220">
        <v>0.28789999999999999</v>
      </c>
      <c r="L220">
        <v>0.65</v>
      </c>
      <c r="M220">
        <v>0</v>
      </c>
      <c r="N220">
        <v>4</v>
      </c>
      <c r="O220">
        <v>26</v>
      </c>
      <c r="P220">
        <v>30</v>
      </c>
    </row>
    <row r="221" spans="1:16" x14ac:dyDescent="0.2">
      <c r="A221">
        <v>830</v>
      </c>
      <c r="B221" s="61">
        <v>40581</v>
      </c>
      <c r="C221">
        <v>1</v>
      </c>
      <c r="D221">
        <v>0</v>
      </c>
      <c r="E221">
        <v>2</v>
      </c>
      <c r="F221">
        <v>0</v>
      </c>
      <c r="G221" t="b">
        <v>0</v>
      </c>
      <c r="H221">
        <v>1</v>
      </c>
      <c r="I221">
        <v>1</v>
      </c>
      <c r="J221">
        <v>0.24</v>
      </c>
      <c r="K221">
        <v>0.28789999999999999</v>
      </c>
      <c r="L221">
        <v>0.65</v>
      </c>
      <c r="M221">
        <v>0</v>
      </c>
      <c r="N221">
        <v>1</v>
      </c>
      <c r="O221">
        <v>14</v>
      </c>
      <c r="P221">
        <v>15</v>
      </c>
    </row>
    <row r="222" spans="1:16" x14ac:dyDescent="0.2">
      <c r="A222">
        <v>831</v>
      </c>
      <c r="B222" s="61">
        <v>40581</v>
      </c>
      <c r="C222">
        <v>1</v>
      </c>
      <c r="D222">
        <v>0</v>
      </c>
      <c r="E222">
        <v>2</v>
      </c>
      <c r="F222">
        <v>1</v>
      </c>
      <c r="G222" t="b">
        <v>0</v>
      </c>
      <c r="H222">
        <v>1</v>
      </c>
      <c r="I222">
        <v>1</v>
      </c>
      <c r="J222">
        <v>0.22</v>
      </c>
      <c r="K222">
        <v>0.2727</v>
      </c>
      <c r="L222">
        <v>0.75</v>
      </c>
      <c r="M222">
        <v>0</v>
      </c>
      <c r="N222">
        <v>1</v>
      </c>
      <c r="O222">
        <v>4</v>
      </c>
      <c r="P222">
        <v>5</v>
      </c>
    </row>
    <row r="223" spans="1:16" x14ac:dyDescent="0.2">
      <c r="A223">
        <v>832</v>
      </c>
      <c r="B223" s="61">
        <v>40581</v>
      </c>
      <c r="C223">
        <v>1</v>
      </c>
      <c r="D223">
        <v>0</v>
      </c>
      <c r="E223">
        <v>2</v>
      </c>
      <c r="F223">
        <v>2</v>
      </c>
      <c r="G223" t="b">
        <v>0</v>
      </c>
      <c r="H223">
        <v>1</v>
      </c>
      <c r="I223">
        <v>1</v>
      </c>
      <c r="J223">
        <v>0.2</v>
      </c>
      <c r="K223">
        <v>0.2576</v>
      </c>
      <c r="L223">
        <v>0.8</v>
      </c>
      <c r="M223">
        <v>0</v>
      </c>
      <c r="N223">
        <v>0</v>
      </c>
      <c r="O223">
        <v>3</v>
      </c>
      <c r="P223">
        <v>3</v>
      </c>
    </row>
    <row r="224" spans="1:16" x14ac:dyDescent="0.2">
      <c r="A224">
        <v>833</v>
      </c>
      <c r="B224" s="61">
        <v>40581</v>
      </c>
      <c r="C224">
        <v>1</v>
      </c>
      <c r="D224">
        <v>0</v>
      </c>
      <c r="E224">
        <v>2</v>
      </c>
      <c r="F224">
        <v>3</v>
      </c>
      <c r="G224" t="b">
        <v>0</v>
      </c>
      <c r="H224">
        <v>1</v>
      </c>
      <c r="I224">
        <v>1</v>
      </c>
      <c r="J224">
        <v>0.2</v>
      </c>
      <c r="K224">
        <v>0.2576</v>
      </c>
      <c r="L224">
        <v>0.86</v>
      </c>
      <c r="M224">
        <v>0</v>
      </c>
      <c r="N224">
        <v>0</v>
      </c>
      <c r="O224">
        <v>1</v>
      </c>
      <c r="P224">
        <v>1</v>
      </c>
    </row>
    <row r="225" spans="1:16" x14ac:dyDescent="0.2">
      <c r="A225">
        <v>834</v>
      </c>
      <c r="B225" s="61">
        <v>40581</v>
      </c>
      <c r="C225">
        <v>1</v>
      </c>
      <c r="D225">
        <v>0</v>
      </c>
      <c r="E225">
        <v>2</v>
      </c>
      <c r="F225">
        <v>4</v>
      </c>
      <c r="G225" t="b">
        <v>0</v>
      </c>
      <c r="H225">
        <v>1</v>
      </c>
      <c r="I225">
        <v>1</v>
      </c>
      <c r="J225">
        <v>0.2</v>
      </c>
      <c r="K225">
        <v>0.2576</v>
      </c>
      <c r="L225">
        <v>0.86</v>
      </c>
      <c r="M225">
        <v>0</v>
      </c>
      <c r="N225">
        <v>1</v>
      </c>
      <c r="O225">
        <v>1</v>
      </c>
      <c r="P225">
        <v>2</v>
      </c>
    </row>
    <row r="226" spans="1:16" x14ac:dyDescent="0.2">
      <c r="A226">
        <v>835</v>
      </c>
      <c r="B226" s="61">
        <v>40581</v>
      </c>
      <c r="C226">
        <v>1</v>
      </c>
      <c r="D226">
        <v>0</v>
      </c>
      <c r="E226">
        <v>2</v>
      </c>
      <c r="F226">
        <v>5</v>
      </c>
      <c r="G226" t="b">
        <v>0</v>
      </c>
      <c r="H226">
        <v>1</v>
      </c>
      <c r="I226">
        <v>1</v>
      </c>
      <c r="J226">
        <v>0.2</v>
      </c>
      <c r="K226">
        <v>0.2576</v>
      </c>
      <c r="L226">
        <v>0.86</v>
      </c>
      <c r="M226">
        <v>0</v>
      </c>
      <c r="N226">
        <v>1</v>
      </c>
      <c r="O226">
        <v>9</v>
      </c>
      <c r="P226">
        <v>10</v>
      </c>
    </row>
    <row r="227" spans="1:16" x14ac:dyDescent="0.2">
      <c r="A227">
        <v>836</v>
      </c>
      <c r="B227" s="61">
        <v>40581</v>
      </c>
      <c r="C227">
        <v>1</v>
      </c>
      <c r="D227">
        <v>0</v>
      </c>
      <c r="E227">
        <v>2</v>
      </c>
      <c r="F227">
        <v>6</v>
      </c>
      <c r="G227" t="b">
        <v>0</v>
      </c>
      <c r="H227">
        <v>1</v>
      </c>
      <c r="I227">
        <v>1</v>
      </c>
      <c r="J227">
        <v>0.18</v>
      </c>
      <c r="K227">
        <v>0.2424</v>
      </c>
      <c r="L227">
        <v>0.93</v>
      </c>
      <c r="M227">
        <v>0</v>
      </c>
      <c r="N227">
        <v>1</v>
      </c>
      <c r="O227">
        <v>29</v>
      </c>
      <c r="P227">
        <v>30</v>
      </c>
    </row>
    <row r="228" spans="1:16" x14ac:dyDescent="0.2">
      <c r="A228">
        <v>837</v>
      </c>
      <c r="B228" s="61">
        <v>40581</v>
      </c>
      <c r="C228">
        <v>1</v>
      </c>
      <c r="D228">
        <v>0</v>
      </c>
      <c r="E228">
        <v>2</v>
      </c>
      <c r="F228">
        <v>7</v>
      </c>
      <c r="G228" t="b">
        <v>0</v>
      </c>
      <c r="H228">
        <v>1</v>
      </c>
      <c r="I228">
        <v>1</v>
      </c>
      <c r="J228">
        <v>0.18</v>
      </c>
      <c r="K228">
        <v>0.2424</v>
      </c>
      <c r="L228">
        <v>0.86</v>
      </c>
      <c r="M228">
        <v>0</v>
      </c>
      <c r="N228">
        <v>6</v>
      </c>
      <c r="O228">
        <v>89</v>
      </c>
      <c r="P228">
        <v>95</v>
      </c>
    </row>
    <row r="229" spans="1:16" x14ac:dyDescent="0.2">
      <c r="A229">
        <v>838</v>
      </c>
      <c r="B229" s="61">
        <v>40581</v>
      </c>
      <c r="C229">
        <v>1</v>
      </c>
      <c r="D229">
        <v>0</v>
      </c>
      <c r="E229">
        <v>2</v>
      </c>
      <c r="F229">
        <v>8</v>
      </c>
      <c r="G229" t="b">
        <v>0</v>
      </c>
      <c r="H229">
        <v>1</v>
      </c>
      <c r="I229">
        <v>2</v>
      </c>
      <c r="J229">
        <v>0.16</v>
      </c>
      <c r="K229">
        <v>0.2273</v>
      </c>
      <c r="L229">
        <v>1</v>
      </c>
      <c r="M229">
        <v>0</v>
      </c>
      <c r="N229">
        <v>7</v>
      </c>
      <c r="O229">
        <v>223</v>
      </c>
      <c r="P229">
        <v>230</v>
      </c>
    </row>
    <row r="230" spans="1:16" x14ac:dyDescent="0.2">
      <c r="A230">
        <v>839</v>
      </c>
      <c r="B230" s="61">
        <v>40581</v>
      </c>
      <c r="C230">
        <v>1</v>
      </c>
      <c r="D230">
        <v>0</v>
      </c>
      <c r="E230">
        <v>2</v>
      </c>
      <c r="F230">
        <v>9</v>
      </c>
      <c r="G230" t="b">
        <v>0</v>
      </c>
      <c r="H230">
        <v>1</v>
      </c>
      <c r="I230">
        <v>1</v>
      </c>
      <c r="J230">
        <v>0.22</v>
      </c>
      <c r="K230">
        <v>0.2727</v>
      </c>
      <c r="L230">
        <v>0.8</v>
      </c>
      <c r="M230">
        <v>0</v>
      </c>
      <c r="N230">
        <v>3</v>
      </c>
      <c r="O230">
        <v>115</v>
      </c>
      <c r="P230">
        <v>118</v>
      </c>
    </row>
    <row r="231" spans="1:16" x14ac:dyDescent="0.2">
      <c r="A231">
        <v>840</v>
      </c>
      <c r="B231" s="61">
        <v>40581</v>
      </c>
      <c r="C231">
        <v>1</v>
      </c>
      <c r="D231">
        <v>0</v>
      </c>
      <c r="E231">
        <v>2</v>
      </c>
      <c r="F231">
        <v>10</v>
      </c>
      <c r="G231" t="b">
        <v>0</v>
      </c>
      <c r="H231">
        <v>1</v>
      </c>
      <c r="I231">
        <v>1</v>
      </c>
      <c r="J231">
        <v>0.24</v>
      </c>
      <c r="K231">
        <v>0.2576</v>
      </c>
      <c r="L231">
        <v>0.75</v>
      </c>
      <c r="M231">
        <v>0.1045</v>
      </c>
      <c r="N231">
        <v>6</v>
      </c>
      <c r="O231">
        <v>49</v>
      </c>
      <c r="P231">
        <v>55</v>
      </c>
    </row>
    <row r="232" spans="1:16" x14ac:dyDescent="0.2">
      <c r="A232">
        <v>841</v>
      </c>
      <c r="B232" s="61">
        <v>40581</v>
      </c>
      <c r="C232">
        <v>1</v>
      </c>
      <c r="D232">
        <v>0</v>
      </c>
      <c r="E232">
        <v>2</v>
      </c>
      <c r="F232">
        <v>11</v>
      </c>
      <c r="G232" t="b">
        <v>0</v>
      </c>
      <c r="H232">
        <v>1</v>
      </c>
      <c r="I232">
        <v>1</v>
      </c>
      <c r="J232">
        <v>0.3</v>
      </c>
      <c r="K232">
        <v>0.31819999999999998</v>
      </c>
      <c r="L232">
        <v>0.65</v>
      </c>
      <c r="M232">
        <v>8.9599999999999999E-2</v>
      </c>
      <c r="N232">
        <v>11</v>
      </c>
      <c r="O232">
        <v>36</v>
      </c>
      <c r="P232">
        <v>47</v>
      </c>
    </row>
    <row r="233" spans="1:16" x14ac:dyDescent="0.2">
      <c r="A233">
        <v>842</v>
      </c>
      <c r="B233" s="61">
        <v>40581</v>
      </c>
      <c r="C233">
        <v>1</v>
      </c>
      <c r="D233">
        <v>0</v>
      </c>
      <c r="E233">
        <v>2</v>
      </c>
      <c r="F233">
        <v>12</v>
      </c>
      <c r="G233" t="b">
        <v>0</v>
      </c>
      <c r="H233">
        <v>1</v>
      </c>
      <c r="I233">
        <v>2</v>
      </c>
      <c r="J233">
        <v>0.32</v>
      </c>
      <c r="K233">
        <v>0.34849999999999998</v>
      </c>
      <c r="L233">
        <v>0.62</v>
      </c>
      <c r="M233">
        <v>0</v>
      </c>
      <c r="N233">
        <v>7</v>
      </c>
      <c r="O233">
        <v>59</v>
      </c>
      <c r="P233">
        <v>66</v>
      </c>
    </row>
    <row r="234" spans="1:16" x14ac:dyDescent="0.2">
      <c r="A234">
        <v>843</v>
      </c>
      <c r="B234" s="61">
        <v>40581</v>
      </c>
      <c r="C234">
        <v>1</v>
      </c>
      <c r="D234">
        <v>0</v>
      </c>
      <c r="E234">
        <v>2</v>
      </c>
      <c r="F234">
        <v>13</v>
      </c>
      <c r="G234" t="b">
        <v>0</v>
      </c>
      <c r="H234">
        <v>1</v>
      </c>
      <c r="I234">
        <v>2</v>
      </c>
      <c r="J234">
        <v>0.36</v>
      </c>
      <c r="K234">
        <v>0.36359999999999998</v>
      </c>
      <c r="L234">
        <v>0.56999999999999995</v>
      </c>
      <c r="M234">
        <v>8.9599999999999999E-2</v>
      </c>
      <c r="N234">
        <v>10</v>
      </c>
      <c r="O234">
        <v>54</v>
      </c>
      <c r="P234">
        <v>64</v>
      </c>
    </row>
    <row r="235" spans="1:16" x14ac:dyDescent="0.2">
      <c r="A235">
        <v>844</v>
      </c>
      <c r="B235" s="61">
        <v>40581</v>
      </c>
      <c r="C235">
        <v>1</v>
      </c>
      <c r="D235">
        <v>0</v>
      </c>
      <c r="E235">
        <v>2</v>
      </c>
      <c r="F235">
        <v>14</v>
      </c>
      <c r="G235" t="b">
        <v>0</v>
      </c>
      <c r="H235">
        <v>1</v>
      </c>
      <c r="I235">
        <v>2</v>
      </c>
      <c r="J235">
        <v>0.36</v>
      </c>
      <c r="K235">
        <v>0.36359999999999998</v>
      </c>
      <c r="L235">
        <v>0.56999999999999995</v>
      </c>
      <c r="M235">
        <v>8.9599999999999999E-2</v>
      </c>
      <c r="N235">
        <v>8</v>
      </c>
      <c r="O235">
        <v>52</v>
      </c>
      <c r="P235">
        <v>60</v>
      </c>
    </row>
    <row r="236" spans="1:16" x14ac:dyDescent="0.2">
      <c r="A236">
        <v>845</v>
      </c>
      <c r="B236" s="61">
        <v>40581</v>
      </c>
      <c r="C236">
        <v>1</v>
      </c>
      <c r="D236">
        <v>0</v>
      </c>
      <c r="E236">
        <v>2</v>
      </c>
      <c r="F236">
        <v>15</v>
      </c>
      <c r="G236" t="b">
        <v>0</v>
      </c>
      <c r="H236">
        <v>1</v>
      </c>
      <c r="I236">
        <v>2</v>
      </c>
      <c r="J236">
        <v>0.38</v>
      </c>
      <c r="K236">
        <v>0.39389999999999997</v>
      </c>
      <c r="L236">
        <v>0.54</v>
      </c>
      <c r="M236">
        <v>8.9599999999999999E-2</v>
      </c>
      <c r="N236">
        <v>4</v>
      </c>
      <c r="O236">
        <v>46</v>
      </c>
      <c r="P236">
        <v>50</v>
      </c>
    </row>
    <row r="237" spans="1:16" x14ac:dyDescent="0.2">
      <c r="A237">
        <v>846</v>
      </c>
      <c r="B237" s="61">
        <v>40581</v>
      </c>
      <c r="C237">
        <v>1</v>
      </c>
      <c r="D237">
        <v>0</v>
      </c>
      <c r="E237">
        <v>2</v>
      </c>
      <c r="F237">
        <v>16</v>
      </c>
      <c r="G237" t="b">
        <v>0</v>
      </c>
      <c r="H237">
        <v>1</v>
      </c>
      <c r="I237">
        <v>2</v>
      </c>
      <c r="J237">
        <v>0.36</v>
      </c>
      <c r="K237">
        <v>0.34849999999999998</v>
      </c>
      <c r="L237">
        <v>0.56999999999999995</v>
      </c>
      <c r="M237">
        <v>0.1343</v>
      </c>
      <c r="N237">
        <v>16</v>
      </c>
      <c r="O237">
        <v>98</v>
      </c>
      <c r="P237">
        <v>114</v>
      </c>
    </row>
    <row r="238" spans="1:16" x14ac:dyDescent="0.2">
      <c r="A238">
        <v>847</v>
      </c>
      <c r="B238" s="61">
        <v>40581</v>
      </c>
      <c r="C238">
        <v>1</v>
      </c>
      <c r="D238">
        <v>0</v>
      </c>
      <c r="E238">
        <v>2</v>
      </c>
      <c r="F238">
        <v>17</v>
      </c>
      <c r="G238" t="b">
        <v>0</v>
      </c>
      <c r="H238">
        <v>1</v>
      </c>
      <c r="I238">
        <v>2</v>
      </c>
      <c r="J238">
        <v>0.32</v>
      </c>
      <c r="K238">
        <v>0.31819999999999998</v>
      </c>
      <c r="L238">
        <v>0.7</v>
      </c>
      <c r="M238">
        <v>0.16420000000000001</v>
      </c>
      <c r="N238">
        <v>9</v>
      </c>
      <c r="O238">
        <v>207</v>
      </c>
      <c r="P238">
        <v>216</v>
      </c>
    </row>
    <row r="239" spans="1:16" x14ac:dyDescent="0.2">
      <c r="A239">
        <v>848</v>
      </c>
      <c r="B239" s="61">
        <v>40581</v>
      </c>
      <c r="C239">
        <v>1</v>
      </c>
      <c r="D239">
        <v>0</v>
      </c>
      <c r="E239">
        <v>2</v>
      </c>
      <c r="F239">
        <v>18</v>
      </c>
      <c r="G239" t="b">
        <v>0</v>
      </c>
      <c r="H239">
        <v>1</v>
      </c>
      <c r="I239">
        <v>2</v>
      </c>
      <c r="J239">
        <v>0.34</v>
      </c>
      <c r="K239">
        <v>0.33329999999999999</v>
      </c>
      <c r="L239">
        <v>0.66</v>
      </c>
      <c r="M239">
        <v>0.1343</v>
      </c>
      <c r="N239">
        <v>5</v>
      </c>
      <c r="O239">
        <v>170</v>
      </c>
      <c r="P239">
        <v>175</v>
      </c>
    </row>
    <row r="240" spans="1:16" x14ac:dyDescent="0.2">
      <c r="A240">
        <v>849</v>
      </c>
      <c r="B240" s="61">
        <v>40581</v>
      </c>
      <c r="C240">
        <v>1</v>
      </c>
      <c r="D240">
        <v>0</v>
      </c>
      <c r="E240">
        <v>2</v>
      </c>
      <c r="F240">
        <v>19</v>
      </c>
      <c r="G240" t="b">
        <v>0</v>
      </c>
      <c r="H240">
        <v>1</v>
      </c>
      <c r="I240">
        <v>2</v>
      </c>
      <c r="J240">
        <v>0.32</v>
      </c>
      <c r="K240">
        <v>0.34849999999999998</v>
      </c>
      <c r="L240">
        <v>0.7</v>
      </c>
      <c r="M240">
        <v>0</v>
      </c>
      <c r="N240">
        <v>5</v>
      </c>
      <c r="O240">
        <v>123</v>
      </c>
      <c r="P240">
        <v>128</v>
      </c>
    </row>
    <row r="241" spans="1:16" x14ac:dyDescent="0.2">
      <c r="A241">
        <v>850</v>
      </c>
      <c r="B241" s="61">
        <v>40581</v>
      </c>
      <c r="C241">
        <v>1</v>
      </c>
      <c r="D241">
        <v>0</v>
      </c>
      <c r="E241">
        <v>2</v>
      </c>
      <c r="F241">
        <v>20</v>
      </c>
      <c r="G241" t="b">
        <v>0</v>
      </c>
      <c r="H241">
        <v>1</v>
      </c>
      <c r="I241">
        <v>2</v>
      </c>
      <c r="J241">
        <v>0.32</v>
      </c>
      <c r="K241">
        <v>0.33329999999999999</v>
      </c>
      <c r="L241">
        <v>0.7</v>
      </c>
      <c r="M241">
        <v>0.1045</v>
      </c>
      <c r="N241">
        <v>6</v>
      </c>
      <c r="O241">
        <v>82</v>
      </c>
      <c r="P241">
        <v>88</v>
      </c>
    </row>
    <row r="242" spans="1:16" x14ac:dyDescent="0.2">
      <c r="A242">
        <v>851</v>
      </c>
      <c r="B242" s="61">
        <v>40581</v>
      </c>
      <c r="C242">
        <v>1</v>
      </c>
      <c r="D242">
        <v>0</v>
      </c>
      <c r="E242">
        <v>2</v>
      </c>
      <c r="F242">
        <v>21</v>
      </c>
      <c r="G242" t="b">
        <v>0</v>
      </c>
      <c r="H242">
        <v>1</v>
      </c>
      <c r="I242">
        <v>1</v>
      </c>
      <c r="J242">
        <v>0.32</v>
      </c>
      <c r="K242">
        <v>0.34849999999999998</v>
      </c>
      <c r="L242">
        <v>0.7</v>
      </c>
      <c r="M242">
        <v>0</v>
      </c>
      <c r="N242">
        <v>3</v>
      </c>
      <c r="O242">
        <v>75</v>
      </c>
      <c r="P242">
        <v>78</v>
      </c>
    </row>
    <row r="243" spans="1:16" x14ac:dyDescent="0.2">
      <c r="A243">
        <v>852</v>
      </c>
      <c r="B243" s="61">
        <v>40581</v>
      </c>
      <c r="C243">
        <v>1</v>
      </c>
      <c r="D243">
        <v>0</v>
      </c>
      <c r="E243">
        <v>2</v>
      </c>
      <c r="F243">
        <v>22</v>
      </c>
      <c r="G243" t="b">
        <v>0</v>
      </c>
      <c r="H243">
        <v>1</v>
      </c>
      <c r="I243">
        <v>1</v>
      </c>
      <c r="J243">
        <v>0.28000000000000003</v>
      </c>
      <c r="K243">
        <v>0.30299999999999999</v>
      </c>
      <c r="L243">
        <v>0.81</v>
      </c>
      <c r="M243">
        <v>8.9599999999999999E-2</v>
      </c>
      <c r="N243">
        <v>3</v>
      </c>
      <c r="O243">
        <v>34</v>
      </c>
      <c r="P243">
        <v>37</v>
      </c>
    </row>
    <row r="244" spans="1:16" x14ac:dyDescent="0.2">
      <c r="A244">
        <v>853</v>
      </c>
      <c r="B244" s="61">
        <v>40581</v>
      </c>
      <c r="C244">
        <v>1</v>
      </c>
      <c r="D244">
        <v>0</v>
      </c>
      <c r="E244">
        <v>2</v>
      </c>
      <c r="F244">
        <v>23</v>
      </c>
      <c r="G244" t="b">
        <v>0</v>
      </c>
      <c r="H244">
        <v>1</v>
      </c>
      <c r="I244">
        <v>2</v>
      </c>
      <c r="J244">
        <v>0.3</v>
      </c>
      <c r="K244">
        <v>0.33329999999999999</v>
      </c>
      <c r="L244">
        <v>0.81</v>
      </c>
      <c r="M244">
        <v>0</v>
      </c>
      <c r="N244">
        <v>6</v>
      </c>
      <c r="O244">
        <v>19</v>
      </c>
      <c r="P244">
        <v>25</v>
      </c>
    </row>
    <row r="245" spans="1:16" x14ac:dyDescent="0.2">
      <c r="A245">
        <v>854</v>
      </c>
      <c r="B245" s="61">
        <v>40582</v>
      </c>
      <c r="C245">
        <v>1</v>
      </c>
      <c r="D245">
        <v>0</v>
      </c>
      <c r="E245">
        <v>2</v>
      </c>
      <c r="F245">
        <v>0</v>
      </c>
      <c r="G245" t="b">
        <v>0</v>
      </c>
      <c r="H245">
        <v>2</v>
      </c>
      <c r="I245">
        <v>2</v>
      </c>
      <c r="J245">
        <v>0.28000000000000003</v>
      </c>
      <c r="K245">
        <v>0.31819999999999998</v>
      </c>
      <c r="L245">
        <v>0.87</v>
      </c>
      <c r="M245">
        <v>0</v>
      </c>
      <c r="N245">
        <v>4</v>
      </c>
      <c r="O245">
        <v>6</v>
      </c>
      <c r="P245">
        <v>10</v>
      </c>
    </row>
    <row r="246" spans="1:16" x14ac:dyDescent="0.2">
      <c r="A246">
        <v>855</v>
      </c>
      <c r="B246" s="61">
        <v>40582</v>
      </c>
      <c r="C246">
        <v>1</v>
      </c>
      <c r="D246">
        <v>0</v>
      </c>
      <c r="E246">
        <v>2</v>
      </c>
      <c r="F246">
        <v>1</v>
      </c>
      <c r="G246" t="b">
        <v>0</v>
      </c>
      <c r="H246">
        <v>2</v>
      </c>
      <c r="I246">
        <v>2</v>
      </c>
      <c r="J246">
        <v>0.28000000000000003</v>
      </c>
      <c r="K246">
        <v>0.31819999999999998</v>
      </c>
      <c r="L246">
        <v>0.87</v>
      </c>
      <c r="M246">
        <v>0</v>
      </c>
      <c r="N246">
        <v>0</v>
      </c>
      <c r="O246">
        <v>4</v>
      </c>
      <c r="P246">
        <v>4</v>
      </c>
    </row>
    <row r="247" spans="1:16" x14ac:dyDescent="0.2">
      <c r="A247">
        <v>856</v>
      </c>
      <c r="B247" s="61">
        <v>40582</v>
      </c>
      <c r="C247">
        <v>1</v>
      </c>
      <c r="D247">
        <v>0</v>
      </c>
      <c r="E247">
        <v>2</v>
      </c>
      <c r="F247">
        <v>2</v>
      </c>
      <c r="G247" t="b">
        <v>0</v>
      </c>
      <c r="H247">
        <v>2</v>
      </c>
      <c r="I247">
        <v>2</v>
      </c>
      <c r="J247">
        <v>0.26</v>
      </c>
      <c r="K247">
        <v>0.2727</v>
      </c>
      <c r="L247">
        <v>0.93</v>
      </c>
      <c r="M247">
        <v>0.1045</v>
      </c>
      <c r="N247">
        <v>1</v>
      </c>
      <c r="O247">
        <v>1</v>
      </c>
      <c r="P247">
        <v>2</v>
      </c>
    </row>
    <row r="248" spans="1:16" x14ac:dyDescent="0.2">
      <c r="A248">
        <v>857</v>
      </c>
      <c r="B248" s="61">
        <v>40582</v>
      </c>
      <c r="C248">
        <v>1</v>
      </c>
      <c r="D248">
        <v>0</v>
      </c>
      <c r="E248">
        <v>2</v>
      </c>
      <c r="F248">
        <v>3</v>
      </c>
      <c r="G248" t="b">
        <v>0</v>
      </c>
      <c r="H248">
        <v>2</v>
      </c>
      <c r="I248">
        <v>3</v>
      </c>
      <c r="J248">
        <v>0.28000000000000003</v>
      </c>
      <c r="K248">
        <v>0.2727</v>
      </c>
      <c r="L248">
        <v>0.93</v>
      </c>
      <c r="M248">
        <v>0.16420000000000001</v>
      </c>
      <c r="N248">
        <v>0</v>
      </c>
      <c r="O248">
        <v>1</v>
      </c>
      <c r="P248">
        <v>1</v>
      </c>
    </row>
    <row r="249" spans="1:16" x14ac:dyDescent="0.2">
      <c r="A249">
        <v>858</v>
      </c>
      <c r="B249" s="61">
        <v>40582</v>
      </c>
      <c r="C249">
        <v>1</v>
      </c>
      <c r="D249">
        <v>0</v>
      </c>
      <c r="E249">
        <v>2</v>
      </c>
      <c r="F249">
        <v>4</v>
      </c>
      <c r="G249" t="b">
        <v>0</v>
      </c>
      <c r="H249">
        <v>2</v>
      </c>
      <c r="I249">
        <v>1</v>
      </c>
      <c r="J249">
        <v>0.26</v>
      </c>
      <c r="K249">
        <v>0.2576</v>
      </c>
      <c r="L249">
        <v>0.93</v>
      </c>
      <c r="M249">
        <v>0.16420000000000001</v>
      </c>
      <c r="N249">
        <v>0</v>
      </c>
      <c r="O249">
        <v>3</v>
      </c>
      <c r="P249">
        <v>3</v>
      </c>
    </row>
    <row r="250" spans="1:16" x14ac:dyDescent="0.2">
      <c r="A250">
        <v>859</v>
      </c>
      <c r="B250" s="61">
        <v>40582</v>
      </c>
      <c r="C250">
        <v>1</v>
      </c>
      <c r="D250">
        <v>0</v>
      </c>
      <c r="E250">
        <v>2</v>
      </c>
      <c r="F250">
        <v>5</v>
      </c>
      <c r="G250" t="b">
        <v>0</v>
      </c>
      <c r="H250">
        <v>2</v>
      </c>
      <c r="I250">
        <v>1</v>
      </c>
      <c r="J250">
        <v>0.26</v>
      </c>
      <c r="K250">
        <v>0.2273</v>
      </c>
      <c r="L250">
        <v>0.81</v>
      </c>
      <c r="M250">
        <v>0.32840000000000003</v>
      </c>
      <c r="N250">
        <v>0</v>
      </c>
      <c r="O250">
        <v>2</v>
      </c>
      <c r="P250">
        <v>2</v>
      </c>
    </row>
    <row r="251" spans="1:16" x14ac:dyDescent="0.2">
      <c r="A251">
        <v>860</v>
      </c>
      <c r="B251" s="61">
        <v>40582</v>
      </c>
      <c r="C251">
        <v>1</v>
      </c>
      <c r="D251">
        <v>0</v>
      </c>
      <c r="E251">
        <v>2</v>
      </c>
      <c r="F251">
        <v>6</v>
      </c>
      <c r="G251" t="b">
        <v>0</v>
      </c>
      <c r="H251">
        <v>2</v>
      </c>
      <c r="I251">
        <v>1</v>
      </c>
      <c r="J251">
        <v>0.26</v>
      </c>
      <c r="K251">
        <v>0.2273</v>
      </c>
      <c r="L251">
        <v>0.7</v>
      </c>
      <c r="M251">
        <v>0.32840000000000003</v>
      </c>
      <c r="N251">
        <v>0</v>
      </c>
      <c r="O251">
        <v>39</v>
      </c>
      <c r="P251">
        <v>39</v>
      </c>
    </row>
    <row r="252" spans="1:16" x14ac:dyDescent="0.2">
      <c r="A252">
        <v>861</v>
      </c>
      <c r="B252" s="61">
        <v>40582</v>
      </c>
      <c r="C252">
        <v>1</v>
      </c>
      <c r="D252">
        <v>0</v>
      </c>
      <c r="E252">
        <v>2</v>
      </c>
      <c r="F252">
        <v>7</v>
      </c>
      <c r="G252" t="b">
        <v>0</v>
      </c>
      <c r="H252">
        <v>2</v>
      </c>
      <c r="I252">
        <v>1</v>
      </c>
      <c r="J252">
        <v>0.24</v>
      </c>
      <c r="K252">
        <v>0.19700000000000001</v>
      </c>
      <c r="L252">
        <v>0.65</v>
      </c>
      <c r="M252">
        <v>0.41789999999999999</v>
      </c>
      <c r="N252">
        <v>3</v>
      </c>
      <c r="O252">
        <v>97</v>
      </c>
      <c r="P252">
        <v>100</v>
      </c>
    </row>
    <row r="253" spans="1:16" x14ac:dyDescent="0.2">
      <c r="A253">
        <v>862</v>
      </c>
      <c r="B253" s="61">
        <v>40582</v>
      </c>
      <c r="C253">
        <v>1</v>
      </c>
      <c r="D253">
        <v>0</v>
      </c>
      <c r="E253">
        <v>2</v>
      </c>
      <c r="F253">
        <v>8</v>
      </c>
      <c r="G253" t="b">
        <v>0</v>
      </c>
      <c r="H253">
        <v>2</v>
      </c>
      <c r="I253">
        <v>1</v>
      </c>
      <c r="J253">
        <v>0.24</v>
      </c>
      <c r="K253">
        <v>0.19700000000000001</v>
      </c>
      <c r="L253">
        <v>0.56000000000000005</v>
      </c>
      <c r="M253">
        <v>0.49249999999999999</v>
      </c>
      <c r="N253">
        <v>7</v>
      </c>
      <c r="O253">
        <v>236</v>
      </c>
      <c r="P253">
        <v>243</v>
      </c>
    </row>
    <row r="254" spans="1:16" x14ac:dyDescent="0.2">
      <c r="A254">
        <v>863</v>
      </c>
      <c r="B254" s="61">
        <v>40582</v>
      </c>
      <c r="C254">
        <v>1</v>
      </c>
      <c r="D254">
        <v>0</v>
      </c>
      <c r="E254">
        <v>2</v>
      </c>
      <c r="F254">
        <v>9</v>
      </c>
      <c r="G254" t="b">
        <v>0</v>
      </c>
      <c r="H254">
        <v>2</v>
      </c>
      <c r="I254">
        <v>1</v>
      </c>
      <c r="J254">
        <v>0.24</v>
      </c>
      <c r="K254">
        <v>0.19700000000000001</v>
      </c>
      <c r="L254">
        <v>0.52</v>
      </c>
      <c r="M254">
        <v>0.49249999999999999</v>
      </c>
      <c r="N254">
        <v>7</v>
      </c>
      <c r="O254">
        <v>128</v>
      </c>
      <c r="P254">
        <v>135</v>
      </c>
    </row>
    <row r="255" spans="1:16" x14ac:dyDescent="0.2">
      <c r="A255">
        <v>864</v>
      </c>
      <c r="B255" s="61">
        <v>40582</v>
      </c>
      <c r="C255">
        <v>1</v>
      </c>
      <c r="D255">
        <v>0</v>
      </c>
      <c r="E255">
        <v>2</v>
      </c>
      <c r="F255">
        <v>10</v>
      </c>
      <c r="G255" t="b">
        <v>0</v>
      </c>
      <c r="H255">
        <v>2</v>
      </c>
      <c r="I255">
        <v>1</v>
      </c>
      <c r="J255">
        <v>0.22</v>
      </c>
      <c r="K255">
        <v>0.18179999999999999</v>
      </c>
      <c r="L255">
        <v>0.47</v>
      </c>
      <c r="M255">
        <v>0.55220000000000002</v>
      </c>
      <c r="N255">
        <v>4</v>
      </c>
      <c r="O255">
        <v>44</v>
      </c>
      <c r="P255">
        <v>48</v>
      </c>
    </row>
    <row r="256" spans="1:16" x14ac:dyDescent="0.2">
      <c r="A256">
        <v>865</v>
      </c>
      <c r="B256" s="61">
        <v>40582</v>
      </c>
      <c r="C256">
        <v>1</v>
      </c>
      <c r="D256">
        <v>0</v>
      </c>
      <c r="E256">
        <v>2</v>
      </c>
      <c r="F256">
        <v>11</v>
      </c>
      <c r="G256" t="b">
        <v>0</v>
      </c>
      <c r="H256">
        <v>2</v>
      </c>
      <c r="I256">
        <v>1</v>
      </c>
      <c r="J256">
        <v>0.22</v>
      </c>
      <c r="K256">
        <v>0.18179999999999999</v>
      </c>
      <c r="L256">
        <v>0.47</v>
      </c>
      <c r="M256">
        <v>0.4627</v>
      </c>
      <c r="N256">
        <v>1</v>
      </c>
      <c r="O256">
        <v>49</v>
      </c>
      <c r="P256">
        <v>50</v>
      </c>
    </row>
    <row r="257" spans="1:16" x14ac:dyDescent="0.2">
      <c r="A257">
        <v>866</v>
      </c>
      <c r="B257" s="61">
        <v>40582</v>
      </c>
      <c r="C257">
        <v>1</v>
      </c>
      <c r="D257">
        <v>0</v>
      </c>
      <c r="E257">
        <v>2</v>
      </c>
      <c r="F257">
        <v>12</v>
      </c>
      <c r="G257" t="b">
        <v>0</v>
      </c>
      <c r="H257">
        <v>2</v>
      </c>
      <c r="I257">
        <v>1</v>
      </c>
      <c r="J257">
        <v>0.24</v>
      </c>
      <c r="K257">
        <v>0.19700000000000001</v>
      </c>
      <c r="L257">
        <v>0.38</v>
      </c>
      <c r="M257">
        <v>0.49249999999999999</v>
      </c>
      <c r="N257">
        <v>2</v>
      </c>
      <c r="O257">
        <v>63</v>
      </c>
      <c r="P257">
        <v>65</v>
      </c>
    </row>
    <row r="258" spans="1:16" x14ac:dyDescent="0.2">
      <c r="A258">
        <v>867</v>
      </c>
      <c r="B258" s="61">
        <v>40582</v>
      </c>
      <c r="C258">
        <v>1</v>
      </c>
      <c r="D258">
        <v>0</v>
      </c>
      <c r="E258">
        <v>2</v>
      </c>
      <c r="F258">
        <v>13</v>
      </c>
      <c r="G258" t="b">
        <v>0</v>
      </c>
      <c r="H258">
        <v>2</v>
      </c>
      <c r="I258">
        <v>2</v>
      </c>
      <c r="J258">
        <v>0.24</v>
      </c>
      <c r="K258">
        <v>0.19700000000000001</v>
      </c>
      <c r="L258">
        <v>0.32</v>
      </c>
      <c r="M258">
        <v>0.44779999999999998</v>
      </c>
      <c r="N258">
        <v>2</v>
      </c>
      <c r="O258">
        <v>48</v>
      </c>
      <c r="P258">
        <v>50</v>
      </c>
    </row>
    <row r="259" spans="1:16" x14ac:dyDescent="0.2">
      <c r="A259">
        <v>868</v>
      </c>
      <c r="B259" s="61">
        <v>40582</v>
      </c>
      <c r="C259">
        <v>1</v>
      </c>
      <c r="D259">
        <v>0</v>
      </c>
      <c r="E259">
        <v>2</v>
      </c>
      <c r="F259">
        <v>14</v>
      </c>
      <c r="G259" t="b">
        <v>0</v>
      </c>
      <c r="H259">
        <v>2</v>
      </c>
      <c r="I259">
        <v>1</v>
      </c>
      <c r="J259">
        <v>0.22</v>
      </c>
      <c r="K259">
        <v>0.19700000000000001</v>
      </c>
      <c r="L259">
        <v>0.37</v>
      </c>
      <c r="M259">
        <v>0.41789999999999999</v>
      </c>
      <c r="N259">
        <v>3</v>
      </c>
      <c r="O259">
        <v>61</v>
      </c>
      <c r="P259">
        <v>64</v>
      </c>
    </row>
    <row r="260" spans="1:16" x14ac:dyDescent="0.2">
      <c r="A260">
        <v>869</v>
      </c>
      <c r="B260" s="61">
        <v>40582</v>
      </c>
      <c r="C260">
        <v>1</v>
      </c>
      <c r="D260">
        <v>0</v>
      </c>
      <c r="E260">
        <v>2</v>
      </c>
      <c r="F260">
        <v>15</v>
      </c>
      <c r="G260" t="b">
        <v>0</v>
      </c>
      <c r="H260">
        <v>2</v>
      </c>
      <c r="I260">
        <v>1</v>
      </c>
      <c r="J260">
        <v>0.22</v>
      </c>
      <c r="K260">
        <v>0.19700000000000001</v>
      </c>
      <c r="L260">
        <v>0.35</v>
      </c>
      <c r="M260">
        <v>0.3881</v>
      </c>
      <c r="N260">
        <v>6</v>
      </c>
      <c r="O260">
        <v>45</v>
      </c>
      <c r="P260">
        <v>51</v>
      </c>
    </row>
    <row r="261" spans="1:16" x14ac:dyDescent="0.2">
      <c r="A261">
        <v>870</v>
      </c>
      <c r="B261" s="61">
        <v>40582</v>
      </c>
      <c r="C261">
        <v>1</v>
      </c>
      <c r="D261">
        <v>0</v>
      </c>
      <c r="E261">
        <v>2</v>
      </c>
      <c r="F261">
        <v>16</v>
      </c>
      <c r="G261" t="b">
        <v>0</v>
      </c>
      <c r="H261">
        <v>2</v>
      </c>
      <c r="I261">
        <v>1</v>
      </c>
      <c r="J261">
        <v>0.22</v>
      </c>
      <c r="K261">
        <v>0.18179999999999999</v>
      </c>
      <c r="L261">
        <v>0.35</v>
      </c>
      <c r="M261">
        <v>0.52239999999999998</v>
      </c>
      <c r="N261">
        <v>4</v>
      </c>
      <c r="O261">
        <v>79</v>
      </c>
      <c r="P261">
        <v>83</v>
      </c>
    </row>
    <row r="262" spans="1:16" x14ac:dyDescent="0.2">
      <c r="A262">
        <v>871</v>
      </c>
      <c r="B262" s="61">
        <v>40582</v>
      </c>
      <c r="C262">
        <v>1</v>
      </c>
      <c r="D262">
        <v>0</v>
      </c>
      <c r="E262">
        <v>2</v>
      </c>
      <c r="F262">
        <v>17</v>
      </c>
      <c r="G262" t="b">
        <v>0</v>
      </c>
      <c r="H262">
        <v>2</v>
      </c>
      <c r="I262">
        <v>1</v>
      </c>
      <c r="J262">
        <v>0.22</v>
      </c>
      <c r="K262">
        <v>0.18179999999999999</v>
      </c>
      <c r="L262">
        <v>0.32</v>
      </c>
      <c r="M262">
        <v>0.58209999999999995</v>
      </c>
      <c r="N262">
        <v>4</v>
      </c>
      <c r="O262">
        <v>172</v>
      </c>
      <c r="P262">
        <v>176</v>
      </c>
    </row>
    <row r="263" spans="1:16" x14ac:dyDescent="0.2">
      <c r="A263">
        <v>872</v>
      </c>
      <c r="B263" s="61">
        <v>40582</v>
      </c>
      <c r="C263">
        <v>1</v>
      </c>
      <c r="D263">
        <v>0</v>
      </c>
      <c r="E263">
        <v>2</v>
      </c>
      <c r="F263">
        <v>18</v>
      </c>
      <c r="G263" t="b">
        <v>0</v>
      </c>
      <c r="H263">
        <v>2</v>
      </c>
      <c r="I263">
        <v>1</v>
      </c>
      <c r="J263">
        <v>0.2</v>
      </c>
      <c r="K263">
        <v>0.18179999999999999</v>
      </c>
      <c r="L263">
        <v>0.32</v>
      </c>
      <c r="M263">
        <v>0.3881</v>
      </c>
      <c r="N263">
        <v>1</v>
      </c>
      <c r="O263">
        <v>151</v>
      </c>
      <c r="P263">
        <v>152</v>
      </c>
    </row>
    <row r="264" spans="1:16" x14ac:dyDescent="0.2">
      <c r="A264">
        <v>873</v>
      </c>
      <c r="B264" s="61">
        <v>40582</v>
      </c>
      <c r="C264">
        <v>1</v>
      </c>
      <c r="D264">
        <v>0</v>
      </c>
      <c r="E264">
        <v>2</v>
      </c>
      <c r="F264">
        <v>19</v>
      </c>
      <c r="G264" t="b">
        <v>0</v>
      </c>
      <c r="H264">
        <v>2</v>
      </c>
      <c r="I264">
        <v>1</v>
      </c>
      <c r="J264">
        <v>0.16</v>
      </c>
      <c r="K264">
        <v>0.1212</v>
      </c>
      <c r="L264">
        <v>0.4</v>
      </c>
      <c r="M264">
        <v>0.4627</v>
      </c>
      <c r="N264">
        <v>1</v>
      </c>
      <c r="O264">
        <v>100</v>
      </c>
      <c r="P264">
        <v>101</v>
      </c>
    </row>
    <row r="265" spans="1:16" x14ac:dyDescent="0.2">
      <c r="A265">
        <v>874</v>
      </c>
      <c r="B265" s="61">
        <v>40582</v>
      </c>
      <c r="C265">
        <v>1</v>
      </c>
      <c r="D265">
        <v>0</v>
      </c>
      <c r="E265">
        <v>2</v>
      </c>
      <c r="F265">
        <v>20</v>
      </c>
      <c r="G265" t="b">
        <v>0</v>
      </c>
      <c r="H265">
        <v>2</v>
      </c>
      <c r="I265">
        <v>1</v>
      </c>
      <c r="J265">
        <v>0.16</v>
      </c>
      <c r="K265">
        <v>0.13639999999999999</v>
      </c>
      <c r="L265">
        <v>0.4</v>
      </c>
      <c r="M265">
        <v>0.32840000000000003</v>
      </c>
      <c r="N265">
        <v>3</v>
      </c>
      <c r="O265">
        <v>53</v>
      </c>
      <c r="P265">
        <v>56</v>
      </c>
    </row>
    <row r="266" spans="1:16" x14ac:dyDescent="0.2">
      <c r="A266">
        <v>875</v>
      </c>
      <c r="B266" s="61">
        <v>40582</v>
      </c>
      <c r="C266">
        <v>1</v>
      </c>
      <c r="D266">
        <v>0</v>
      </c>
      <c r="E266">
        <v>2</v>
      </c>
      <c r="F266">
        <v>21</v>
      </c>
      <c r="G266" t="b">
        <v>0</v>
      </c>
      <c r="H266">
        <v>2</v>
      </c>
      <c r="I266">
        <v>1</v>
      </c>
      <c r="J266">
        <v>0.14000000000000001</v>
      </c>
      <c r="K266">
        <v>0.1061</v>
      </c>
      <c r="L266">
        <v>0.33</v>
      </c>
      <c r="M266">
        <v>0.4627</v>
      </c>
      <c r="N266">
        <v>8</v>
      </c>
      <c r="O266">
        <v>46</v>
      </c>
      <c r="P266">
        <v>54</v>
      </c>
    </row>
    <row r="267" spans="1:16" x14ac:dyDescent="0.2">
      <c r="A267">
        <v>876</v>
      </c>
      <c r="B267" s="61">
        <v>40582</v>
      </c>
      <c r="C267">
        <v>1</v>
      </c>
      <c r="D267">
        <v>0</v>
      </c>
      <c r="E267">
        <v>2</v>
      </c>
      <c r="F267">
        <v>22</v>
      </c>
      <c r="G267" t="b">
        <v>0</v>
      </c>
      <c r="H267">
        <v>2</v>
      </c>
      <c r="I267">
        <v>1</v>
      </c>
      <c r="J267">
        <v>0.12</v>
      </c>
      <c r="K267">
        <v>0.1061</v>
      </c>
      <c r="L267">
        <v>0.33</v>
      </c>
      <c r="M267">
        <v>0.35820000000000002</v>
      </c>
      <c r="N267">
        <v>0</v>
      </c>
      <c r="O267">
        <v>29</v>
      </c>
      <c r="P267">
        <v>29</v>
      </c>
    </row>
    <row r="268" spans="1:16" x14ac:dyDescent="0.2">
      <c r="A268">
        <v>877</v>
      </c>
      <c r="B268" s="61">
        <v>40582</v>
      </c>
      <c r="C268">
        <v>1</v>
      </c>
      <c r="D268">
        <v>0</v>
      </c>
      <c r="E268">
        <v>2</v>
      </c>
      <c r="F268">
        <v>23</v>
      </c>
      <c r="G268" t="b">
        <v>0</v>
      </c>
      <c r="H268">
        <v>2</v>
      </c>
      <c r="I268">
        <v>1</v>
      </c>
      <c r="J268">
        <v>0.12</v>
      </c>
      <c r="K268">
        <v>0.1061</v>
      </c>
      <c r="L268">
        <v>0.33</v>
      </c>
      <c r="M268">
        <v>0.32840000000000003</v>
      </c>
      <c r="N268">
        <v>3</v>
      </c>
      <c r="O268">
        <v>9</v>
      </c>
      <c r="P268">
        <v>12</v>
      </c>
    </row>
    <row r="269" spans="1:16" x14ac:dyDescent="0.2">
      <c r="A269">
        <v>878</v>
      </c>
      <c r="B269" s="61">
        <v>40583</v>
      </c>
      <c r="C269">
        <v>1</v>
      </c>
      <c r="D269">
        <v>0</v>
      </c>
      <c r="E269">
        <v>2</v>
      </c>
      <c r="F269">
        <v>0</v>
      </c>
      <c r="G269" t="b">
        <v>0</v>
      </c>
      <c r="H269">
        <v>3</v>
      </c>
      <c r="I269">
        <v>1</v>
      </c>
      <c r="J269">
        <v>0.1</v>
      </c>
      <c r="K269">
        <v>7.5800000000000006E-2</v>
      </c>
      <c r="L269">
        <v>0.36</v>
      </c>
      <c r="M269">
        <v>0.35820000000000002</v>
      </c>
      <c r="N269">
        <v>0</v>
      </c>
      <c r="O269">
        <v>17</v>
      </c>
      <c r="P269">
        <v>17</v>
      </c>
    </row>
    <row r="270" spans="1:16" x14ac:dyDescent="0.2">
      <c r="A270">
        <v>879</v>
      </c>
      <c r="B270" s="61">
        <v>40583</v>
      </c>
      <c r="C270">
        <v>1</v>
      </c>
      <c r="D270">
        <v>0</v>
      </c>
      <c r="E270">
        <v>2</v>
      </c>
      <c r="F270">
        <v>1</v>
      </c>
      <c r="G270" t="b">
        <v>0</v>
      </c>
      <c r="H270">
        <v>3</v>
      </c>
      <c r="I270">
        <v>1</v>
      </c>
      <c r="J270">
        <v>0.1</v>
      </c>
      <c r="K270">
        <v>0.1061</v>
      </c>
      <c r="L270">
        <v>0.36</v>
      </c>
      <c r="M270">
        <v>0.22389999999999999</v>
      </c>
      <c r="N270">
        <v>0</v>
      </c>
      <c r="O270">
        <v>7</v>
      </c>
      <c r="P270">
        <v>7</v>
      </c>
    </row>
    <row r="271" spans="1:16" x14ac:dyDescent="0.2">
      <c r="A271">
        <v>880</v>
      </c>
      <c r="B271" s="61">
        <v>40583</v>
      </c>
      <c r="C271">
        <v>1</v>
      </c>
      <c r="D271">
        <v>0</v>
      </c>
      <c r="E271">
        <v>2</v>
      </c>
      <c r="F271">
        <v>2</v>
      </c>
      <c r="G271" t="b">
        <v>0</v>
      </c>
      <c r="H271">
        <v>3</v>
      </c>
      <c r="I271">
        <v>1</v>
      </c>
      <c r="J271">
        <v>0.08</v>
      </c>
      <c r="K271">
        <v>7.5800000000000006E-2</v>
      </c>
      <c r="L271">
        <v>0.38</v>
      </c>
      <c r="M271">
        <v>0.28360000000000002</v>
      </c>
      <c r="N271">
        <v>1</v>
      </c>
      <c r="O271">
        <v>2</v>
      </c>
      <c r="P271">
        <v>3</v>
      </c>
    </row>
    <row r="272" spans="1:16" x14ac:dyDescent="0.2">
      <c r="A272">
        <v>881</v>
      </c>
      <c r="B272" s="61">
        <v>40583</v>
      </c>
      <c r="C272">
        <v>1</v>
      </c>
      <c r="D272">
        <v>0</v>
      </c>
      <c r="E272">
        <v>2</v>
      </c>
      <c r="F272">
        <v>3</v>
      </c>
      <c r="G272" t="b">
        <v>0</v>
      </c>
      <c r="H272">
        <v>3</v>
      </c>
      <c r="I272">
        <v>1</v>
      </c>
      <c r="J272">
        <v>0.06</v>
      </c>
      <c r="K272">
        <v>7.5800000000000006E-2</v>
      </c>
      <c r="L272">
        <v>0.45</v>
      </c>
      <c r="M272">
        <v>0.1343</v>
      </c>
      <c r="N272">
        <v>0</v>
      </c>
      <c r="O272">
        <v>2</v>
      </c>
      <c r="P272">
        <v>2</v>
      </c>
    </row>
    <row r="273" spans="1:16" x14ac:dyDescent="0.2">
      <c r="A273">
        <v>882</v>
      </c>
      <c r="B273" s="61">
        <v>40583</v>
      </c>
      <c r="C273">
        <v>1</v>
      </c>
      <c r="D273">
        <v>0</v>
      </c>
      <c r="E273">
        <v>2</v>
      </c>
      <c r="F273">
        <v>5</v>
      </c>
      <c r="G273" t="b">
        <v>0</v>
      </c>
      <c r="H273">
        <v>3</v>
      </c>
      <c r="I273">
        <v>1</v>
      </c>
      <c r="J273">
        <v>0.06</v>
      </c>
      <c r="K273">
        <v>0.1061</v>
      </c>
      <c r="L273">
        <v>0.45</v>
      </c>
      <c r="M273">
        <v>0.1045</v>
      </c>
      <c r="N273">
        <v>0</v>
      </c>
      <c r="O273">
        <v>7</v>
      </c>
      <c r="P273">
        <v>7</v>
      </c>
    </row>
    <row r="274" spans="1:16" x14ac:dyDescent="0.2">
      <c r="A274">
        <v>883</v>
      </c>
      <c r="B274" s="61">
        <v>40583</v>
      </c>
      <c r="C274">
        <v>1</v>
      </c>
      <c r="D274">
        <v>0</v>
      </c>
      <c r="E274">
        <v>2</v>
      </c>
      <c r="F274">
        <v>6</v>
      </c>
      <c r="G274" t="b">
        <v>0</v>
      </c>
      <c r="H274">
        <v>3</v>
      </c>
      <c r="I274">
        <v>1</v>
      </c>
      <c r="J274">
        <v>0.06</v>
      </c>
      <c r="K274">
        <v>0.1515</v>
      </c>
      <c r="L274">
        <v>0.45</v>
      </c>
      <c r="M274">
        <v>0</v>
      </c>
      <c r="N274">
        <v>0</v>
      </c>
      <c r="O274">
        <v>43</v>
      </c>
      <c r="P274">
        <v>43</v>
      </c>
    </row>
    <row r="275" spans="1:16" x14ac:dyDescent="0.2">
      <c r="A275">
        <v>884</v>
      </c>
      <c r="B275" s="61">
        <v>40583</v>
      </c>
      <c r="C275">
        <v>1</v>
      </c>
      <c r="D275">
        <v>0</v>
      </c>
      <c r="E275">
        <v>2</v>
      </c>
      <c r="F275">
        <v>7</v>
      </c>
      <c r="G275" t="b">
        <v>0</v>
      </c>
      <c r="H275">
        <v>3</v>
      </c>
      <c r="I275">
        <v>1</v>
      </c>
      <c r="J275">
        <v>0.06</v>
      </c>
      <c r="K275">
        <v>0.1061</v>
      </c>
      <c r="L275">
        <v>0.49</v>
      </c>
      <c r="M275">
        <v>0.1045</v>
      </c>
      <c r="N275">
        <v>4</v>
      </c>
      <c r="O275">
        <v>95</v>
      </c>
      <c r="P275">
        <v>99</v>
      </c>
    </row>
    <row r="276" spans="1:16" x14ac:dyDescent="0.2">
      <c r="A276">
        <v>885</v>
      </c>
      <c r="B276" s="61">
        <v>40583</v>
      </c>
      <c r="C276">
        <v>1</v>
      </c>
      <c r="D276">
        <v>0</v>
      </c>
      <c r="E276">
        <v>2</v>
      </c>
      <c r="F276">
        <v>8</v>
      </c>
      <c r="G276" t="b">
        <v>0</v>
      </c>
      <c r="H276">
        <v>3</v>
      </c>
      <c r="I276">
        <v>1</v>
      </c>
      <c r="J276">
        <v>0.1</v>
      </c>
      <c r="K276">
        <v>0.13639999999999999</v>
      </c>
      <c r="L276">
        <v>0.42</v>
      </c>
      <c r="M276">
        <v>0</v>
      </c>
      <c r="N276">
        <v>1</v>
      </c>
      <c r="O276">
        <v>198</v>
      </c>
      <c r="P276">
        <v>199</v>
      </c>
    </row>
    <row r="277" spans="1:16" x14ac:dyDescent="0.2">
      <c r="A277">
        <v>886</v>
      </c>
      <c r="B277" s="61">
        <v>40583</v>
      </c>
      <c r="C277">
        <v>1</v>
      </c>
      <c r="D277">
        <v>0</v>
      </c>
      <c r="E277">
        <v>2</v>
      </c>
      <c r="F277">
        <v>9</v>
      </c>
      <c r="G277" t="b">
        <v>0</v>
      </c>
      <c r="H277">
        <v>3</v>
      </c>
      <c r="I277">
        <v>1</v>
      </c>
      <c r="J277">
        <v>0.12</v>
      </c>
      <c r="K277">
        <v>0.13639999999999999</v>
      </c>
      <c r="L277">
        <v>0.39</v>
      </c>
      <c r="M277">
        <v>0.16420000000000001</v>
      </c>
      <c r="N277">
        <v>4</v>
      </c>
      <c r="O277">
        <v>119</v>
      </c>
      <c r="P277">
        <v>123</v>
      </c>
    </row>
    <row r="278" spans="1:16" x14ac:dyDescent="0.2">
      <c r="A278">
        <v>887</v>
      </c>
      <c r="B278" s="61">
        <v>40583</v>
      </c>
      <c r="C278">
        <v>1</v>
      </c>
      <c r="D278">
        <v>0</v>
      </c>
      <c r="E278">
        <v>2</v>
      </c>
      <c r="F278">
        <v>10</v>
      </c>
      <c r="G278" t="b">
        <v>0</v>
      </c>
      <c r="H278">
        <v>3</v>
      </c>
      <c r="I278">
        <v>1</v>
      </c>
      <c r="J278">
        <v>0.14000000000000001</v>
      </c>
      <c r="K278">
        <v>0.18179999999999999</v>
      </c>
      <c r="L278">
        <v>0.36</v>
      </c>
      <c r="M278">
        <v>0</v>
      </c>
      <c r="N278">
        <v>8</v>
      </c>
      <c r="O278">
        <v>51</v>
      </c>
      <c r="P278">
        <v>59</v>
      </c>
    </row>
    <row r="279" spans="1:16" x14ac:dyDescent="0.2">
      <c r="A279">
        <v>888</v>
      </c>
      <c r="B279" s="61">
        <v>40583</v>
      </c>
      <c r="C279">
        <v>1</v>
      </c>
      <c r="D279">
        <v>0</v>
      </c>
      <c r="E279">
        <v>2</v>
      </c>
      <c r="F279">
        <v>11</v>
      </c>
      <c r="G279" t="b">
        <v>0</v>
      </c>
      <c r="H279">
        <v>3</v>
      </c>
      <c r="I279">
        <v>2</v>
      </c>
      <c r="J279">
        <v>0.14000000000000001</v>
      </c>
      <c r="K279">
        <v>0.1515</v>
      </c>
      <c r="L279">
        <v>0.43</v>
      </c>
      <c r="M279">
        <v>0.16420000000000001</v>
      </c>
      <c r="N279">
        <v>1</v>
      </c>
      <c r="O279">
        <v>40</v>
      </c>
      <c r="P279">
        <v>41</v>
      </c>
    </row>
    <row r="280" spans="1:16" x14ac:dyDescent="0.2">
      <c r="A280">
        <v>889</v>
      </c>
      <c r="B280" s="61">
        <v>40583</v>
      </c>
      <c r="C280">
        <v>1</v>
      </c>
      <c r="D280">
        <v>0</v>
      </c>
      <c r="E280">
        <v>2</v>
      </c>
      <c r="F280">
        <v>12</v>
      </c>
      <c r="G280" t="b">
        <v>0</v>
      </c>
      <c r="H280">
        <v>3</v>
      </c>
      <c r="I280">
        <v>2</v>
      </c>
      <c r="J280">
        <v>0.18</v>
      </c>
      <c r="K280">
        <v>0.18179999999999999</v>
      </c>
      <c r="L280">
        <v>0.4</v>
      </c>
      <c r="M280">
        <v>0.22389999999999999</v>
      </c>
      <c r="N280">
        <v>4</v>
      </c>
      <c r="O280">
        <v>57</v>
      </c>
      <c r="P280">
        <v>61</v>
      </c>
    </row>
    <row r="281" spans="1:16" x14ac:dyDescent="0.2">
      <c r="A281">
        <v>890</v>
      </c>
      <c r="B281" s="61">
        <v>40583</v>
      </c>
      <c r="C281">
        <v>1</v>
      </c>
      <c r="D281">
        <v>0</v>
      </c>
      <c r="E281">
        <v>2</v>
      </c>
      <c r="F281">
        <v>13</v>
      </c>
      <c r="G281" t="b">
        <v>0</v>
      </c>
      <c r="H281">
        <v>3</v>
      </c>
      <c r="I281">
        <v>1</v>
      </c>
      <c r="J281">
        <v>0.18</v>
      </c>
      <c r="K281">
        <v>0.16669999999999999</v>
      </c>
      <c r="L281">
        <v>0.4</v>
      </c>
      <c r="M281">
        <v>0.25369999999999998</v>
      </c>
      <c r="N281">
        <v>2</v>
      </c>
      <c r="O281">
        <v>67</v>
      </c>
      <c r="P281">
        <v>69</v>
      </c>
    </row>
    <row r="282" spans="1:16" x14ac:dyDescent="0.2">
      <c r="A282">
        <v>891</v>
      </c>
      <c r="B282" s="61">
        <v>40583</v>
      </c>
      <c r="C282">
        <v>1</v>
      </c>
      <c r="D282">
        <v>0</v>
      </c>
      <c r="E282">
        <v>2</v>
      </c>
      <c r="F282">
        <v>14</v>
      </c>
      <c r="G282" t="b">
        <v>0</v>
      </c>
      <c r="H282">
        <v>3</v>
      </c>
      <c r="I282">
        <v>1</v>
      </c>
      <c r="J282">
        <v>0.2</v>
      </c>
      <c r="K282">
        <v>0.18179999999999999</v>
      </c>
      <c r="L282">
        <v>0.34</v>
      </c>
      <c r="M282">
        <v>0.29849999999999999</v>
      </c>
      <c r="N282">
        <v>2</v>
      </c>
      <c r="O282">
        <v>56</v>
      </c>
      <c r="P282">
        <v>58</v>
      </c>
    </row>
    <row r="283" spans="1:16" x14ac:dyDescent="0.2">
      <c r="A283">
        <v>892</v>
      </c>
      <c r="B283" s="61">
        <v>40583</v>
      </c>
      <c r="C283">
        <v>1</v>
      </c>
      <c r="D283">
        <v>0</v>
      </c>
      <c r="E283">
        <v>2</v>
      </c>
      <c r="F283">
        <v>15</v>
      </c>
      <c r="G283" t="b">
        <v>0</v>
      </c>
      <c r="H283">
        <v>3</v>
      </c>
      <c r="I283">
        <v>2</v>
      </c>
      <c r="J283">
        <v>0.2</v>
      </c>
      <c r="K283">
        <v>0.18179999999999999</v>
      </c>
      <c r="L283">
        <v>0.34</v>
      </c>
      <c r="M283">
        <v>0.28360000000000002</v>
      </c>
      <c r="N283">
        <v>3</v>
      </c>
      <c r="O283">
        <v>61</v>
      </c>
      <c r="P283">
        <v>64</v>
      </c>
    </row>
    <row r="284" spans="1:16" x14ac:dyDescent="0.2">
      <c r="A284">
        <v>893</v>
      </c>
      <c r="B284" s="61">
        <v>40583</v>
      </c>
      <c r="C284">
        <v>1</v>
      </c>
      <c r="D284">
        <v>0</v>
      </c>
      <c r="E284">
        <v>2</v>
      </c>
      <c r="F284">
        <v>16</v>
      </c>
      <c r="G284" t="b">
        <v>0</v>
      </c>
      <c r="H284">
        <v>3</v>
      </c>
      <c r="I284">
        <v>2</v>
      </c>
      <c r="J284">
        <v>0.2</v>
      </c>
      <c r="K284">
        <v>0.19700000000000001</v>
      </c>
      <c r="L284">
        <v>0.37</v>
      </c>
      <c r="M284">
        <v>0.25369999999999998</v>
      </c>
      <c r="N284">
        <v>7</v>
      </c>
      <c r="O284">
        <v>72</v>
      </c>
      <c r="P284">
        <v>79</v>
      </c>
    </row>
    <row r="285" spans="1:16" x14ac:dyDescent="0.2">
      <c r="A285">
        <v>894</v>
      </c>
      <c r="B285" s="61">
        <v>40583</v>
      </c>
      <c r="C285">
        <v>1</v>
      </c>
      <c r="D285">
        <v>0</v>
      </c>
      <c r="E285">
        <v>2</v>
      </c>
      <c r="F285">
        <v>17</v>
      </c>
      <c r="G285" t="b">
        <v>0</v>
      </c>
      <c r="H285">
        <v>3</v>
      </c>
      <c r="I285">
        <v>2</v>
      </c>
      <c r="J285">
        <v>0.2</v>
      </c>
      <c r="K285">
        <v>0.19700000000000001</v>
      </c>
      <c r="L285">
        <v>0.34</v>
      </c>
      <c r="M285">
        <v>0.25369999999999998</v>
      </c>
      <c r="N285">
        <v>9</v>
      </c>
      <c r="O285">
        <v>157</v>
      </c>
      <c r="P285">
        <v>166</v>
      </c>
    </row>
    <row r="286" spans="1:16" x14ac:dyDescent="0.2">
      <c r="A286">
        <v>895</v>
      </c>
      <c r="B286" s="61">
        <v>40583</v>
      </c>
      <c r="C286">
        <v>1</v>
      </c>
      <c r="D286">
        <v>0</v>
      </c>
      <c r="E286">
        <v>2</v>
      </c>
      <c r="F286">
        <v>18</v>
      </c>
      <c r="G286" t="b">
        <v>0</v>
      </c>
      <c r="H286">
        <v>3</v>
      </c>
      <c r="I286">
        <v>2</v>
      </c>
      <c r="J286">
        <v>0.18</v>
      </c>
      <c r="K286">
        <v>0.16669999999999999</v>
      </c>
      <c r="L286">
        <v>0.47</v>
      </c>
      <c r="M286">
        <v>0.29849999999999999</v>
      </c>
      <c r="N286">
        <v>2</v>
      </c>
      <c r="O286">
        <v>168</v>
      </c>
      <c r="P286">
        <v>170</v>
      </c>
    </row>
    <row r="287" spans="1:16" x14ac:dyDescent="0.2">
      <c r="A287">
        <v>896</v>
      </c>
      <c r="B287" s="61">
        <v>40583</v>
      </c>
      <c r="C287">
        <v>1</v>
      </c>
      <c r="D287">
        <v>0</v>
      </c>
      <c r="E287">
        <v>2</v>
      </c>
      <c r="F287">
        <v>19</v>
      </c>
      <c r="G287" t="b">
        <v>0</v>
      </c>
      <c r="H287">
        <v>3</v>
      </c>
      <c r="I287">
        <v>3</v>
      </c>
      <c r="J287">
        <v>0.14000000000000001</v>
      </c>
      <c r="K287">
        <v>0.1212</v>
      </c>
      <c r="L287">
        <v>0.86</v>
      </c>
      <c r="M287">
        <v>0.25369999999999998</v>
      </c>
      <c r="N287">
        <v>1</v>
      </c>
      <c r="O287">
        <v>87</v>
      </c>
      <c r="P287">
        <v>88</v>
      </c>
    </row>
    <row r="288" spans="1:16" x14ac:dyDescent="0.2">
      <c r="A288">
        <v>897</v>
      </c>
      <c r="B288" s="61">
        <v>40583</v>
      </c>
      <c r="C288">
        <v>1</v>
      </c>
      <c r="D288">
        <v>0</v>
      </c>
      <c r="E288">
        <v>2</v>
      </c>
      <c r="F288">
        <v>20</v>
      </c>
      <c r="G288" t="b">
        <v>0</v>
      </c>
      <c r="H288">
        <v>3</v>
      </c>
      <c r="I288">
        <v>3</v>
      </c>
      <c r="J288">
        <v>0.14000000000000001</v>
      </c>
      <c r="K288">
        <v>0.1515</v>
      </c>
      <c r="L288">
        <v>0.86</v>
      </c>
      <c r="M288">
        <v>0.16420000000000001</v>
      </c>
      <c r="N288">
        <v>0</v>
      </c>
      <c r="O288">
        <v>84</v>
      </c>
      <c r="P288">
        <v>84</v>
      </c>
    </row>
    <row r="289" spans="1:16" x14ac:dyDescent="0.2">
      <c r="A289">
        <v>898</v>
      </c>
      <c r="B289" s="61">
        <v>40583</v>
      </c>
      <c r="C289">
        <v>1</v>
      </c>
      <c r="D289">
        <v>0</v>
      </c>
      <c r="E289">
        <v>2</v>
      </c>
      <c r="F289">
        <v>21</v>
      </c>
      <c r="G289" t="b">
        <v>0</v>
      </c>
      <c r="H289">
        <v>3</v>
      </c>
      <c r="I289">
        <v>2</v>
      </c>
      <c r="J289">
        <v>0.14000000000000001</v>
      </c>
      <c r="K289">
        <v>0.1515</v>
      </c>
      <c r="L289">
        <v>0.86</v>
      </c>
      <c r="M289">
        <v>0.16420000000000001</v>
      </c>
      <c r="N289">
        <v>0</v>
      </c>
      <c r="O289">
        <v>83</v>
      </c>
      <c r="P289">
        <v>83</v>
      </c>
    </row>
    <row r="290" spans="1:16" x14ac:dyDescent="0.2">
      <c r="A290">
        <v>899</v>
      </c>
      <c r="B290" s="61">
        <v>40583</v>
      </c>
      <c r="C290">
        <v>1</v>
      </c>
      <c r="D290">
        <v>0</v>
      </c>
      <c r="E290">
        <v>2</v>
      </c>
      <c r="F290">
        <v>22</v>
      </c>
      <c r="G290" t="b">
        <v>0</v>
      </c>
      <c r="H290">
        <v>3</v>
      </c>
      <c r="I290">
        <v>3</v>
      </c>
      <c r="J290">
        <v>0.16</v>
      </c>
      <c r="K290">
        <v>0.16669999999999999</v>
      </c>
      <c r="L290">
        <v>0.8</v>
      </c>
      <c r="M290">
        <v>0.16420000000000001</v>
      </c>
      <c r="N290">
        <v>4</v>
      </c>
      <c r="O290">
        <v>42</v>
      </c>
      <c r="P290">
        <v>46</v>
      </c>
    </row>
    <row r="291" spans="1:16" x14ac:dyDescent="0.2">
      <c r="A291">
        <v>900</v>
      </c>
      <c r="B291" s="61">
        <v>40583</v>
      </c>
      <c r="C291">
        <v>1</v>
      </c>
      <c r="D291">
        <v>0</v>
      </c>
      <c r="E291">
        <v>2</v>
      </c>
      <c r="F291">
        <v>23</v>
      </c>
      <c r="G291" t="b">
        <v>0</v>
      </c>
      <c r="H291">
        <v>3</v>
      </c>
      <c r="I291">
        <v>3</v>
      </c>
      <c r="J291">
        <v>0.16</v>
      </c>
      <c r="K291">
        <v>0.1515</v>
      </c>
      <c r="L291">
        <v>0.8</v>
      </c>
      <c r="M291">
        <v>0.19400000000000001</v>
      </c>
      <c r="N291">
        <v>0</v>
      </c>
      <c r="O291">
        <v>37</v>
      </c>
      <c r="P291">
        <v>37</v>
      </c>
    </row>
    <row r="292" spans="1:16" x14ac:dyDescent="0.2">
      <c r="A292">
        <v>901</v>
      </c>
      <c r="B292" s="61">
        <v>40584</v>
      </c>
      <c r="C292">
        <v>1</v>
      </c>
      <c r="D292">
        <v>0</v>
      </c>
      <c r="E292">
        <v>2</v>
      </c>
      <c r="F292">
        <v>0</v>
      </c>
      <c r="G292" t="b">
        <v>0</v>
      </c>
      <c r="H292">
        <v>4</v>
      </c>
      <c r="I292">
        <v>3</v>
      </c>
      <c r="J292">
        <v>0.14000000000000001</v>
      </c>
      <c r="K292">
        <v>0.13639999999999999</v>
      </c>
      <c r="L292">
        <v>0.86</v>
      </c>
      <c r="M292">
        <v>0.19400000000000001</v>
      </c>
      <c r="N292">
        <v>0</v>
      </c>
      <c r="O292">
        <v>16</v>
      </c>
      <c r="P292">
        <v>16</v>
      </c>
    </row>
    <row r="293" spans="1:16" x14ac:dyDescent="0.2">
      <c r="A293">
        <v>902</v>
      </c>
      <c r="B293" s="61">
        <v>40584</v>
      </c>
      <c r="C293">
        <v>1</v>
      </c>
      <c r="D293">
        <v>0</v>
      </c>
      <c r="E293">
        <v>2</v>
      </c>
      <c r="F293">
        <v>1</v>
      </c>
      <c r="G293" t="b">
        <v>0</v>
      </c>
      <c r="H293">
        <v>4</v>
      </c>
      <c r="I293">
        <v>3</v>
      </c>
      <c r="J293">
        <v>0.14000000000000001</v>
      </c>
      <c r="K293">
        <v>0.1515</v>
      </c>
      <c r="L293">
        <v>0.8</v>
      </c>
      <c r="M293">
        <v>0.1343</v>
      </c>
      <c r="N293">
        <v>0</v>
      </c>
      <c r="O293">
        <v>7</v>
      </c>
      <c r="P293">
        <v>7</v>
      </c>
    </row>
    <row r="294" spans="1:16" x14ac:dyDescent="0.2">
      <c r="A294">
        <v>903</v>
      </c>
      <c r="B294" s="61">
        <v>40584</v>
      </c>
      <c r="C294">
        <v>1</v>
      </c>
      <c r="D294">
        <v>0</v>
      </c>
      <c r="E294">
        <v>2</v>
      </c>
      <c r="F294">
        <v>2</v>
      </c>
      <c r="G294" t="b">
        <v>0</v>
      </c>
      <c r="H294">
        <v>4</v>
      </c>
      <c r="I294">
        <v>3</v>
      </c>
      <c r="J294">
        <v>0.14000000000000001</v>
      </c>
      <c r="K294">
        <v>0.1515</v>
      </c>
      <c r="L294">
        <v>0.8</v>
      </c>
      <c r="M294">
        <v>0.1343</v>
      </c>
      <c r="N294">
        <v>0</v>
      </c>
      <c r="O294">
        <v>3</v>
      </c>
      <c r="P294">
        <v>3</v>
      </c>
    </row>
    <row r="295" spans="1:16" x14ac:dyDescent="0.2">
      <c r="A295">
        <v>904</v>
      </c>
      <c r="B295" s="61">
        <v>40584</v>
      </c>
      <c r="C295">
        <v>1</v>
      </c>
      <c r="D295">
        <v>0</v>
      </c>
      <c r="E295">
        <v>2</v>
      </c>
      <c r="F295">
        <v>4</v>
      </c>
      <c r="G295" t="b">
        <v>0</v>
      </c>
      <c r="H295">
        <v>4</v>
      </c>
      <c r="I295">
        <v>2</v>
      </c>
      <c r="J295">
        <v>0.14000000000000001</v>
      </c>
      <c r="K295">
        <v>0.13639999999999999</v>
      </c>
      <c r="L295">
        <v>0.59</v>
      </c>
      <c r="M295">
        <v>0.22389999999999999</v>
      </c>
      <c r="N295">
        <v>0</v>
      </c>
      <c r="O295">
        <v>1</v>
      </c>
      <c r="P295">
        <v>1</v>
      </c>
    </row>
    <row r="296" spans="1:16" x14ac:dyDescent="0.2">
      <c r="A296">
        <v>905</v>
      </c>
      <c r="B296" s="61">
        <v>40584</v>
      </c>
      <c r="C296">
        <v>1</v>
      </c>
      <c r="D296">
        <v>0</v>
      </c>
      <c r="E296">
        <v>2</v>
      </c>
      <c r="F296">
        <v>5</v>
      </c>
      <c r="G296" t="b">
        <v>0</v>
      </c>
      <c r="H296">
        <v>4</v>
      </c>
      <c r="I296">
        <v>2</v>
      </c>
      <c r="J296">
        <v>0.12</v>
      </c>
      <c r="K296">
        <v>0.1212</v>
      </c>
      <c r="L296">
        <v>0.5</v>
      </c>
      <c r="M296">
        <v>0.22389999999999999</v>
      </c>
      <c r="N296">
        <v>0</v>
      </c>
      <c r="O296">
        <v>6</v>
      </c>
      <c r="P296">
        <v>6</v>
      </c>
    </row>
    <row r="297" spans="1:16" x14ac:dyDescent="0.2">
      <c r="A297">
        <v>906</v>
      </c>
      <c r="B297" s="61">
        <v>40584</v>
      </c>
      <c r="C297">
        <v>1</v>
      </c>
      <c r="D297">
        <v>0</v>
      </c>
      <c r="E297">
        <v>2</v>
      </c>
      <c r="F297">
        <v>6</v>
      </c>
      <c r="G297" t="b">
        <v>0</v>
      </c>
      <c r="H297">
        <v>4</v>
      </c>
      <c r="I297">
        <v>2</v>
      </c>
      <c r="J297">
        <v>0.12</v>
      </c>
      <c r="K297">
        <v>0.1212</v>
      </c>
      <c r="L297">
        <v>0.54</v>
      </c>
      <c r="M297">
        <v>0.28360000000000002</v>
      </c>
      <c r="N297">
        <v>0</v>
      </c>
      <c r="O297">
        <v>26</v>
      </c>
      <c r="P297">
        <v>26</v>
      </c>
    </row>
    <row r="298" spans="1:16" x14ac:dyDescent="0.2">
      <c r="A298">
        <v>907</v>
      </c>
      <c r="B298" s="61">
        <v>40584</v>
      </c>
      <c r="C298">
        <v>1</v>
      </c>
      <c r="D298">
        <v>0</v>
      </c>
      <c r="E298">
        <v>2</v>
      </c>
      <c r="F298">
        <v>7</v>
      </c>
      <c r="G298" t="b">
        <v>0</v>
      </c>
      <c r="H298">
        <v>4</v>
      </c>
      <c r="I298">
        <v>1</v>
      </c>
      <c r="J298">
        <v>0.1</v>
      </c>
      <c r="K298">
        <v>7.5800000000000006E-2</v>
      </c>
      <c r="L298">
        <v>0.5</v>
      </c>
      <c r="M298">
        <v>0.41789999999999999</v>
      </c>
      <c r="N298">
        <v>0</v>
      </c>
      <c r="O298">
        <v>99</v>
      </c>
      <c r="P298">
        <v>99</v>
      </c>
    </row>
    <row r="299" spans="1:16" x14ac:dyDescent="0.2">
      <c r="A299">
        <v>908</v>
      </c>
      <c r="B299" s="61">
        <v>40584</v>
      </c>
      <c r="C299">
        <v>1</v>
      </c>
      <c r="D299">
        <v>0</v>
      </c>
      <c r="E299">
        <v>2</v>
      </c>
      <c r="F299">
        <v>8</v>
      </c>
      <c r="G299" t="b">
        <v>0</v>
      </c>
      <c r="H299">
        <v>4</v>
      </c>
      <c r="I299">
        <v>1</v>
      </c>
      <c r="J299">
        <v>0.1</v>
      </c>
      <c r="K299">
        <v>7.5800000000000006E-2</v>
      </c>
      <c r="L299">
        <v>0.49</v>
      </c>
      <c r="M299">
        <v>0.32840000000000003</v>
      </c>
      <c r="N299">
        <v>5</v>
      </c>
      <c r="O299">
        <v>173</v>
      </c>
      <c r="P299">
        <v>178</v>
      </c>
    </row>
    <row r="300" spans="1:16" x14ac:dyDescent="0.2">
      <c r="A300">
        <v>909</v>
      </c>
      <c r="B300" s="61">
        <v>40584</v>
      </c>
      <c r="C300">
        <v>1</v>
      </c>
      <c r="D300">
        <v>0</v>
      </c>
      <c r="E300">
        <v>2</v>
      </c>
      <c r="F300">
        <v>9</v>
      </c>
      <c r="G300" t="b">
        <v>0</v>
      </c>
      <c r="H300">
        <v>4</v>
      </c>
      <c r="I300">
        <v>1</v>
      </c>
      <c r="J300">
        <v>0.12</v>
      </c>
      <c r="K300">
        <v>0.1061</v>
      </c>
      <c r="L300">
        <v>0.42</v>
      </c>
      <c r="M300">
        <v>0.35820000000000002</v>
      </c>
      <c r="N300">
        <v>1</v>
      </c>
      <c r="O300">
        <v>121</v>
      </c>
      <c r="P300">
        <v>122</v>
      </c>
    </row>
    <row r="301" spans="1:16" x14ac:dyDescent="0.2">
      <c r="A301">
        <v>910</v>
      </c>
      <c r="B301" s="61">
        <v>40584</v>
      </c>
      <c r="C301">
        <v>1</v>
      </c>
      <c r="D301">
        <v>0</v>
      </c>
      <c r="E301">
        <v>2</v>
      </c>
      <c r="F301">
        <v>10</v>
      </c>
      <c r="G301" t="b">
        <v>0</v>
      </c>
      <c r="H301">
        <v>4</v>
      </c>
      <c r="I301">
        <v>1</v>
      </c>
      <c r="J301">
        <v>0.12</v>
      </c>
      <c r="K301">
        <v>0.1061</v>
      </c>
      <c r="L301">
        <v>0.42</v>
      </c>
      <c r="M301">
        <v>0.29849999999999999</v>
      </c>
      <c r="N301">
        <v>1</v>
      </c>
      <c r="O301">
        <v>34</v>
      </c>
      <c r="P301">
        <v>35</v>
      </c>
    </row>
    <row r="302" spans="1:16" x14ac:dyDescent="0.2">
      <c r="A302">
        <v>911</v>
      </c>
      <c r="B302" s="61">
        <v>40584</v>
      </c>
      <c r="C302">
        <v>1</v>
      </c>
      <c r="D302">
        <v>0</v>
      </c>
      <c r="E302">
        <v>2</v>
      </c>
      <c r="F302">
        <v>11</v>
      </c>
      <c r="G302" t="b">
        <v>0</v>
      </c>
      <c r="H302">
        <v>4</v>
      </c>
      <c r="I302">
        <v>1</v>
      </c>
      <c r="J302">
        <v>0.14000000000000001</v>
      </c>
      <c r="K302">
        <v>0.1212</v>
      </c>
      <c r="L302">
        <v>0.39</v>
      </c>
      <c r="M302">
        <v>0.35820000000000002</v>
      </c>
      <c r="N302">
        <v>1</v>
      </c>
      <c r="O302">
        <v>44</v>
      </c>
      <c r="P302">
        <v>45</v>
      </c>
    </row>
    <row r="303" spans="1:16" x14ac:dyDescent="0.2">
      <c r="A303">
        <v>912</v>
      </c>
      <c r="B303" s="61">
        <v>40584</v>
      </c>
      <c r="C303">
        <v>1</v>
      </c>
      <c r="D303">
        <v>0</v>
      </c>
      <c r="E303">
        <v>2</v>
      </c>
      <c r="F303">
        <v>12</v>
      </c>
      <c r="G303" t="b">
        <v>0</v>
      </c>
      <c r="H303">
        <v>4</v>
      </c>
      <c r="I303">
        <v>1</v>
      </c>
      <c r="J303">
        <v>0.16</v>
      </c>
      <c r="K303">
        <v>0.13639999999999999</v>
      </c>
      <c r="L303">
        <v>0.34</v>
      </c>
      <c r="M303">
        <v>0.3881</v>
      </c>
      <c r="N303">
        <v>4</v>
      </c>
      <c r="O303">
        <v>65</v>
      </c>
      <c r="P303">
        <v>69</v>
      </c>
    </row>
    <row r="304" spans="1:16" x14ac:dyDescent="0.2">
      <c r="A304">
        <v>913</v>
      </c>
      <c r="B304" s="61">
        <v>40584</v>
      </c>
      <c r="C304">
        <v>1</v>
      </c>
      <c r="D304">
        <v>0</v>
      </c>
      <c r="E304">
        <v>2</v>
      </c>
      <c r="F304">
        <v>13</v>
      </c>
      <c r="G304" t="b">
        <v>0</v>
      </c>
      <c r="H304">
        <v>4</v>
      </c>
      <c r="I304">
        <v>1</v>
      </c>
      <c r="J304">
        <v>0.18</v>
      </c>
      <c r="K304">
        <v>0.16669999999999999</v>
      </c>
      <c r="L304">
        <v>0.28999999999999998</v>
      </c>
      <c r="M304">
        <v>0.29849999999999999</v>
      </c>
      <c r="N304">
        <v>3</v>
      </c>
      <c r="O304">
        <v>59</v>
      </c>
      <c r="P304">
        <v>62</v>
      </c>
    </row>
    <row r="305" spans="1:16" x14ac:dyDescent="0.2">
      <c r="A305">
        <v>914</v>
      </c>
      <c r="B305" s="61">
        <v>40584</v>
      </c>
      <c r="C305">
        <v>1</v>
      </c>
      <c r="D305">
        <v>0</v>
      </c>
      <c r="E305">
        <v>2</v>
      </c>
      <c r="F305">
        <v>14</v>
      </c>
      <c r="G305" t="b">
        <v>0</v>
      </c>
      <c r="H305">
        <v>4</v>
      </c>
      <c r="I305">
        <v>1</v>
      </c>
      <c r="J305">
        <v>0.2</v>
      </c>
      <c r="K305">
        <v>0.18179999999999999</v>
      </c>
      <c r="L305">
        <v>0.27</v>
      </c>
      <c r="M305">
        <v>0.28360000000000002</v>
      </c>
      <c r="N305">
        <v>6</v>
      </c>
      <c r="O305">
        <v>42</v>
      </c>
      <c r="P305">
        <v>48</v>
      </c>
    </row>
    <row r="306" spans="1:16" x14ac:dyDescent="0.2">
      <c r="A306">
        <v>915</v>
      </c>
      <c r="B306" s="61">
        <v>40584</v>
      </c>
      <c r="C306">
        <v>1</v>
      </c>
      <c r="D306">
        <v>0</v>
      </c>
      <c r="E306">
        <v>2</v>
      </c>
      <c r="F306">
        <v>15</v>
      </c>
      <c r="G306" t="b">
        <v>0</v>
      </c>
      <c r="H306">
        <v>4</v>
      </c>
      <c r="I306">
        <v>1</v>
      </c>
      <c r="J306">
        <v>0.2</v>
      </c>
      <c r="K306">
        <v>0.19700000000000001</v>
      </c>
      <c r="L306">
        <v>0.25</v>
      </c>
      <c r="M306">
        <v>0.25369999999999998</v>
      </c>
      <c r="N306">
        <v>0</v>
      </c>
      <c r="O306">
        <v>50</v>
      </c>
      <c r="P306">
        <v>50</v>
      </c>
    </row>
    <row r="307" spans="1:16" x14ac:dyDescent="0.2">
      <c r="A307">
        <v>916</v>
      </c>
      <c r="B307" s="61">
        <v>40584</v>
      </c>
      <c r="C307">
        <v>1</v>
      </c>
      <c r="D307">
        <v>0</v>
      </c>
      <c r="E307">
        <v>2</v>
      </c>
      <c r="F307">
        <v>16</v>
      </c>
      <c r="G307" t="b">
        <v>0</v>
      </c>
      <c r="H307">
        <v>4</v>
      </c>
      <c r="I307">
        <v>1</v>
      </c>
      <c r="J307">
        <v>0.2</v>
      </c>
      <c r="K307">
        <v>0.18179999999999999</v>
      </c>
      <c r="L307">
        <v>0.27</v>
      </c>
      <c r="M307">
        <v>0.29849999999999999</v>
      </c>
      <c r="N307">
        <v>4</v>
      </c>
      <c r="O307">
        <v>76</v>
      </c>
      <c r="P307">
        <v>80</v>
      </c>
    </row>
    <row r="308" spans="1:16" x14ac:dyDescent="0.2">
      <c r="A308">
        <v>917</v>
      </c>
      <c r="B308" s="61">
        <v>40584</v>
      </c>
      <c r="C308">
        <v>1</v>
      </c>
      <c r="D308">
        <v>0</v>
      </c>
      <c r="E308">
        <v>2</v>
      </c>
      <c r="F308">
        <v>17</v>
      </c>
      <c r="G308" t="b">
        <v>0</v>
      </c>
      <c r="H308">
        <v>4</v>
      </c>
      <c r="I308">
        <v>1</v>
      </c>
      <c r="J308">
        <v>0.18</v>
      </c>
      <c r="K308">
        <v>0.18179999999999999</v>
      </c>
      <c r="L308">
        <v>0.26</v>
      </c>
      <c r="M308">
        <v>0.19400000000000001</v>
      </c>
      <c r="N308">
        <v>6</v>
      </c>
      <c r="O308">
        <v>159</v>
      </c>
      <c r="P308">
        <v>165</v>
      </c>
    </row>
    <row r="309" spans="1:16" x14ac:dyDescent="0.2">
      <c r="A309">
        <v>918</v>
      </c>
      <c r="B309" s="61">
        <v>40584</v>
      </c>
      <c r="C309">
        <v>1</v>
      </c>
      <c r="D309">
        <v>0</v>
      </c>
      <c r="E309">
        <v>2</v>
      </c>
      <c r="F309">
        <v>18</v>
      </c>
      <c r="G309" t="b">
        <v>0</v>
      </c>
      <c r="H309">
        <v>4</v>
      </c>
      <c r="I309">
        <v>1</v>
      </c>
      <c r="J309">
        <v>0.16</v>
      </c>
      <c r="K309">
        <v>0.18179999999999999</v>
      </c>
      <c r="L309">
        <v>0.28000000000000003</v>
      </c>
      <c r="M309">
        <v>0.1343</v>
      </c>
      <c r="N309">
        <v>3</v>
      </c>
      <c r="O309">
        <v>157</v>
      </c>
      <c r="P309">
        <v>160</v>
      </c>
    </row>
    <row r="310" spans="1:16" x14ac:dyDescent="0.2">
      <c r="A310">
        <v>919</v>
      </c>
      <c r="B310" s="61">
        <v>40584</v>
      </c>
      <c r="C310">
        <v>1</v>
      </c>
      <c r="D310">
        <v>0</v>
      </c>
      <c r="E310">
        <v>2</v>
      </c>
      <c r="F310">
        <v>19</v>
      </c>
      <c r="G310" t="b">
        <v>0</v>
      </c>
      <c r="H310">
        <v>4</v>
      </c>
      <c r="I310">
        <v>1</v>
      </c>
      <c r="J310">
        <v>0.14000000000000001</v>
      </c>
      <c r="K310">
        <v>0.16669999999999999</v>
      </c>
      <c r="L310">
        <v>0.28000000000000003</v>
      </c>
      <c r="M310">
        <v>0.1045</v>
      </c>
      <c r="N310">
        <v>2</v>
      </c>
      <c r="O310">
        <v>110</v>
      </c>
      <c r="P310">
        <v>112</v>
      </c>
    </row>
    <row r="311" spans="1:16" x14ac:dyDescent="0.2">
      <c r="A311">
        <v>920</v>
      </c>
      <c r="B311" s="61">
        <v>40584</v>
      </c>
      <c r="C311">
        <v>1</v>
      </c>
      <c r="D311">
        <v>0</v>
      </c>
      <c r="E311">
        <v>2</v>
      </c>
      <c r="F311">
        <v>20</v>
      </c>
      <c r="G311" t="b">
        <v>0</v>
      </c>
      <c r="H311">
        <v>4</v>
      </c>
      <c r="I311">
        <v>1</v>
      </c>
      <c r="J311">
        <v>0.14000000000000001</v>
      </c>
      <c r="K311">
        <v>0.18179999999999999</v>
      </c>
      <c r="L311">
        <v>0.31</v>
      </c>
      <c r="M311">
        <v>8.9599999999999999E-2</v>
      </c>
      <c r="N311">
        <v>4</v>
      </c>
      <c r="O311">
        <v>93</v>
      </c>
      <c r="P311">
        <v>97</v>
      </c>
    </row>
    <row r="312" spans="1:16" x14ac:dyDescent="0.2">
      <c r="A312">
        <v>921</v>
      </c>
      <c r="B312" s="61">
        <v>40584</v>
      </c>
      <c r="C312">
        <v>1</v>
      </c>
      <c r="D312">
        <v>0</v>
      </c>
      <c r="E312">
        <v>2</v>
      </c>
      <c r="F312">
        <v>21</v>
      </c>
      <c r="G312" t="b">
        <v>0</v>
      </c>
      <c r="H312">
        <v>4</v>
      </c>
      <c r="I312">
        <v>1</v>
      </c>
      <c r="J312">
        <v>0.14000000000000001</v>
      </c>
      <c r="K312">
        <v>0.21210000000000001</v>
      </c>
      <c r="L312">
        <v>0.39</v>
      </c>
      <c r="M312">
        <v>0</v>
      </c>
      <c r="N312">
        <v>2</v>
      </c>
      <c r="O312">
        <v>70</v>
      </c>
      <c r="P312">
        <v>72</v>
      </c>
    </row>
    <row r="313" spans="1:16" x14ac:dyDescent="0.2">
      <c r="A313">
        <v>922</v>
      </c>
      <c r="B313" s="61">
        <v>40584</v>
      </c>
      <c r="C313">
        <v>1</v>
      </c>
      <c r="D313">
        <v>0</v>
      </c>
      <c r="E313">
        <v>2</v>
      </c>
      <c r="F313">
        <v>22</v>
      </c>
      <c r="G313" t="b">
        <v>0</v>
      </c>
      <c r="H313">
        <v>4</v>
      </c>
      <c r="I313">
        <v>1</v>
      </c>
      <c r="J313">
        <v>0.12</v>
      </c>
      <c r="K313">
        <v>0.19700000000000001</v>
      </c>
      <c r="L313">
        <v>0.39</v>
      </c>
      <c r="M313">
        <v>0</v>
      </c>
      <c r="N313">
        <v>4</v>
      </c>
      <c r="O313">
        <v>47</v>
      </c>
      <c r="P313">
        <v>51</v>
      </c>
    </row>
    <row r="314" spans="1:16" x14ac:dyDescent="0.2">
      <c r="A314">
        <v>923</v>
      </c>
      <c r="B314" s="61">
        <v>40584</v>
      </c>
      <c r="C314">
        <v>1</v>
      </c>
      <c r="D314">
        <v>0</v>
      </c>
      <c r="E314">
        <v>2</v>
      </c>
      <c r="F314">
        <v>23</v>
      </c>
      <c r="G314" t="b">
        <v>0</v>
      </c>
      <c r="H314">
        <v>4</v>
      </c>
      <c r="I314">
        <v>1</v>
      </c>
      <c r="J314">
        <v>0.12</v>
      </c>
      <c r="K314">
        <v>0.1515</v>
      </c>
      <c r="L314">
        <v>0.42</v>
      </c>
      <c r="M314">
        <v>0.1045</v>
      </c>
      <c r="N314">
        <v>1</v>
      </c>
      <c r="O314">
        <v>33</v>
      </c>
      <c r="P314">
        <v>34</v>
      </c>
    </row>
    <row r="315" spans="1:16" x14ac:dyDescent="0.2">
      <c r="A315">
        <v>924</v>
      </c>
      <c r="B315" s="61">
        <v>40585</v>
      </c>
      <c r="C315">
        <v>1</v>
      </c>
      <c r="D315">
        <v>0</v>
      </c>
      <c r="E315">
        <v>2</v>
      </c>
      <c r="F315">
        <v>0</v>
      </c>
      <c r="G315" t="b">
        <v>0</v>
      </c>
      <c r="H315">
        <v>5</v>
      </c>
      <c r="I315">
        <v>1</v>
      </c>
      <c r="J315">
        <v>0.1</v>
      </c>
      <c r="K315">
        <v>0.13639999999999999</v>
      </c>
      <c r="L315">
        <v>0.49</v>
      </c>
      <c r="M315">
        <v>0.1045</v>
      </c>
      <c r="N315">
        <v>2</v>
      </c>
      <c r="O315">
        <v>12</v>
      </c>
      <c r="P315">
        <v>14</v>
      </c>
    </row>
    <row r="316" spans="1:16" x14ac:dyDescent="0.2">
      <c r="A316">
        <v>925</v>
      </c>
      <c r="B316" s="61">
        <v>40585</v>
      </c>
      <c r="C316">
        <v>1</v>
      </c>
      <c r="D316">
        <v>0</v>
      </c>
      <c r="E316">
        <v>2</v>
      </c>
      <c r="F316">
        <v>1</v>
      </c>
      <c r="G316" t="b">
        <v>0</v>
      </c>
      <c r="H316">
        <v>5</v>
      </c>
      <c r="I316">
        <v>1</v>
      </c>
      <c r="J316">
        <v>0.1</v>
      </c>
      <c r="K316">
        <v>0.13639999999999999</v>
      </c>
      <c r="L316">
        <v>0.54</v>
      </c>
      <c r="M316">
        <v>8.9599999999999999E-2</v>
      </c>
      <c r="N316">
        <v>1</v>
      </c>
      <c r="O316">
        <v>6</v>
      </c>
      <c r="P316">
        <v>7</v>
      </c>
    </row>
    <row r="317" spans="1:16" x14ac:dyDescent="0.2">
      <c r="A317">
        <v>926</v>
      </c>
      <c r="B317" s="61">
        <v>40585</v>
      </c>
      <c r="C317">
        <v>1</v>
      </c>
      <c r="D317">
        <v>0</v>
      </c>
      <c r="E317">
        <v>2</v>
      </c>
      <c r="F317">
        <v>2</v>
      </c>
      <c r="G317" t="b">
        <v>0</v>
      </c>
      <c r="H317">
        <v>5</v>
      </c>
      <c r="I317">
        <v>1</v>
      </c>
      <c r="J317">
        <v>0.1</v>
      </c>
      <c r="K317">
        <v>0.13639999999999999</v>
      </c>
      <c r="L317">
        <v>0.54</v>
      </c>
      <c r="M317">
        <v>8.9599999999999999E-2</v>
      </c>
      <c r="N317">
        <v>0</v>
      </c>
      <c r="O317">
        <v>3</v>
      </c>
      <c r="P317">
        <v>3</v>
      </c>
    </row>
    <row r="318" spans="1:16" x14ac:dyDescent="0.2">
      <c r="A318">
        <v>927</v>
      </c>
      <c r="B318" s="61">
        <v>40585</v>
      </c>
      <c r="C318">
        <v>1</v>
      </c>
      <c r="D318">
        <v>0</v>
      </c>
      <c r="E318">
        <v>2</v>
      </c>
      <c r="F318">
        <v>5</v>
      </c>
      <c r="G318" t="b">
        <v>0</v>
      </c>
      <c r="H318">
        <v>5</v>
      </c>
      <c r="I318">
        <v>1</v>
      </c>
      <c r="J318">
        <v>0.08</v>
      </c>
      <c r="K318">
        <v>0.1212</v>
      </c>
      <c r="L318">
        <v>0.63</v>
      </c>
      <c r="M318">
        <v>8.9599999999999999E-2</v>
      </c>
      <c r="N318">
        <v>0</v>
      </c>
      <c r="O318">
        <v>4</v>
      </c>
      <c r="P318">
        <v>4</v>
      </c>
    </row>
    <row r="319" spans="1:16" x14ac:dyDescent="0.2">
      <c r="A319">
        <v>928</v>
      </c>
      <c r="B319" s="61">
        <v>40585</v>
      </c>
      <c r="C319">
        <v>1</v>
      </c>
      <c r="D319">
        <v>0</v>
      </c>
      <c r="E319">
        <v>2</v>
      </c>
      <c r="F319">
        <v>6</v>
      </c>
      <c r="G319" t="b">
        <v>0</v>
      </c>
      <c r="H319">
        <v>5</v>
      </c>
      <c r="I319">
        <v>1</v>
      </c>
      <c r="J319">
        <v>0.1</v>
      </c>
      <c r="K319">
        <v>0.18179999999999999</v>
      </c>
      <c r="L319">
        <v>0.68</v>
      </c>
      <c r="M319">
        <v>0</v>
      </c>
      <c r="N319">
        <v>1</v>
      </c>
      <c r="O319">
        <v>23</v>
      </c>
      <c r="P319">
        <v>24</v>
      </c>
    </row>
    <row r="320" spans="1:16" x14ac:dyDescent="0.2">
      <c r="A320">
        <v>929</v>
      </c>
      <c r="B320" s="61">
        <v>40585</v>
      </c>
      <c r="C320">
        <v>1</v>
      </c>
      <c r="D320">
        <v>0</v>
      </c>
      <c r="E320">
        <v>2</v>
      </c>
      <c r="F320">
        <v>7</v>
      </c>
      <c r="G320" t="b">
        <v>0</v>
      </c>
      <c r="H320">
        <v>5</v>
      </c>
      <c r="I320">
        <v>1</v>
      </c>
      <c r="J320">
        <v>0.08</v>
      </c>
      <c r="K320">
        <v>0.16669999999999999</v>
      </c>
      <c r="L320">
        <v>0.73</v>
      </c>
      <c r="M320">
        <v>0</v>
      </c>
      <c r="N320">
        <v>1</v>
      </c>
      <c r="O320">
        <v>73</v>
      </c>
      <c r="P320">
        <v>74</v>
      </c>
    </row>
    <row r="321" spans="1:16" x14ac:dyDescent="0.2">
      <c r="A321">
        <v>930</v>
      </c>
      <c r="B321" s="61">
        <v>40585</v>
      </c>
      <c r="C321">
        <v>1</v>
      </c>
      <c r="D321">
        <v>0</v>
      </c>
      <c r="E321">
        <v>2</v>
      </c>
      <c r="F321">
        <v>8</v>
      </c>
      <c r="G321" t="b">
        <v>0</v>
      </c>
      <c r="H321">
        <v>5</v>
      </c>
      <c r="I321">
        <v>1</v>
      </c>
      <c r="J321">
        <v>0.1</v>
      </c>
      <c r="K321">
        <v>0.1212</v>
      </c>
      <c r="L321">
        <v>0.74</v>
      </c>
      <c r="M321">
        <v>0.16420000000000001</v>
      </c>
      <c r="N321">
        <v>4</v>
      </c>
      <c r="O321">
        <v>212</v>
      </c>
      <c r="P321">
        <v>216</v>
      </c>
    </row>
    <row r="322" spans="1:16" x14ac:dyDescent="0.2">
      <c r="A322">
        <v>931</v>
      </c>
      <c r="B322" s="61">
        <v>40585</v>
      </c>
      <c r="C322">
        <v>1</v>
      </c>
      <c r="D322">
        <v>0</v>
      </c>
      <c r="E322">
        <v>2</v>
      </c>
      <c r="F322">
        <v>9</v>
      </c>
      <c r="G322" t="b">
        <v>0</v>
      </c>
      <c r="H322">
        <v>5</v>
      </c>
      <c r="I322">
        <v>1</v>
      </c>
      <c r="J322">
        <v>0.12</v>
      </c>
      <c r="K322">
        <v>0.1212</v>
      </c>
      <c r="L322">
        <v>0.74</v>
      </c>
      <c r="M322">
        <v>0.22389999999999999</v>
      </c>
      <c r="N322">
        <v>8</v>
      </c>
      <c r="O322">
        <v>132</v>
      </c>
      <c r="P322">
        <v>140</v>
      </c>
    </row>
    <row r="323" spans="1:16" x14ac:dyDescent="0.2">
      <c r="A323">
        <v>932</v>
      </c>
      <c r="B323" s="61">
        <v>40585</v>
      </c>
      <c r="C323">
        <v>1</v>
      </c>
      <c r="D323">
        <v>0</v>
      </c>
      <c r="E323">
        <v>2</v>
      </c>
      <c r="F323">
        <v>10</v>
      </c>
      <c r="G323" t="b">
        <v>0</v>
      </c>
      <c r="H323">
        <v>5</v>
      </c>
      <c r="I323">
        <v>1</v>
      </c>
      <c r="J323">
        <v>0.14000000000000001</v>
      </c>
      <c r="K323">
        <v>0.13639999999999999</v>
      </c>
      <c r="L323">
        <v>0.69</v>
      </c>
      <c r="M323">
        <v>0.19400000000000001</v>
      </c>
      <c r="N323">
        <v>5</v>
      </c>
      <c r="O323">
        <v>39</v>
      </c>
      <c r="P323">
        <v>44</v>
      </c>
    </row>
    <row r="324" spans="1:16" x14ac:dyDescent="0.2">
      <c r="A324">
        <v>933</v>
      </c>
      <c r="B324" s="61">
        <v>40585</v>
      </c>
      <c r="C324">
        <v>1</v>
      </c>
      <c r="D324">
        <v>0</v>
      </c>
      <c r="E324">
        <v>2</v>
      </c>
      <c r="F324">
        <v>11</v>
      </c>
      <c r="G324" t="b">
        <v>0</v>
      </c>
      <c r="H324">
        <v>5</v>
      </c>
      <c r="I324">
        <v>1</v>
      </c>
      <c r="J324">
        <v>0.22</v>
      </c>
      <c r="K324">
        <v>0.2273</v>
      </c>
      <c r="L324">
        <v>0.47</v>
      </c>
      <c r="M324">
        <v>0.1343</v>
      </c>
      <c r="N324">
        <v>12</v>
      </c>
      <c r="O324">
        <v>52</v>
      </c>
      <c r="P324">
        <v>64</v>
      </c>
    </row>
    <row r="325" spans="1:16" x14ac:dyDescent="0.2">
      <c r="A325">
        <v>934</v>
      </c>
      <c r="B325" s="61">
        <v>40585</v>
      </c>
      <c r="C325">
        <v>1</v>
      </c>
      <c r="D325">
        <v>0</v>
      </c>
      <c r="E325">
        <v>2</v>
      </c>
      <c r="F325">
        <v>12</v>
      </c>
      <c r="G325" t="b">
        <v>0</v>
      </c>
      <c r="H325">
        <v>5</v>
      </c>
      <c r="I325">
        <v>1</v>
      </c>
      <c r="J325">
        <v>0.22</v>
      </c>
      <c r="K325">
        <v>0.2273</v>
      </c>
      <c r="L325">
        <v>0.47</v>
      </c>
      <c r="M325">
        <v>0.1343</v>
      </c>
      <c r="N325">
        <v>7</v>
      </c>
      <c r="O325">
        <v>64</v>
      </c>
      <c r="P325">
        <v>71</v>
      </c>
    </row>
    <row r="326" spans="1:16" x14ac:dyDescent="0.2">
      <c r="A326">
        <v>935</v>
      </c>
      <c r="B326" s="61">
        <v>40585</v>
      </c>
      <c r="C326">
        <v>1</v>
      </c>
      <c r="D326">
        <v>0</v>
      </c>
      <c r="E326">
        <v>2</v>
      </c>
      <c r="F326">
        <v>13</v>
      </c>
      <c r="G326" t="b">
        <v>0</v>
      </c>
      <c r="H326">
        <v>5</v>
      </c>
      <c r="I326">
        <v>1</v>
      </c>
      <c r="J326">
        <v>0.24</v>
      </c>
      <c r="K326">
        <v>0.2273</v>
      </c>
      <c r="L326">
        <v>0.35</v>
      </c>
      <c r="M326">
        <v>0.19400000000000001</v>
      </c>
      <c r="N326">
        <v>21</v>
      </c>
      <c r="O326">
        <v>89</v>
      </c>
      <c r="P326">
        <v>110</v>
      </c>
    </row>
    <row r="327" spans="1:16" x14ac:dyDescent="0.2">
      <c r="A327">
        <v>936</v>
      </c>
      <c r="B327" s="61">
        <v>40585</v>
      </c>
      <c r="C327">
        <v>1</v>
      </c>
      <c r="D327">
        <v>0</v>
      </c>
      <c r="E327">
        <v>2</v>
      </c>
      <c r="F327">
        <v>14</v>
      </c>
      <c r="G327" t="b">
        <v>0</v>
      </c>
      <c r="H327">
        <v>5</v>
      </c>
      <c r="I327">
        <v>1</v>
      </c>
      <c r="J327">
        <v>0.3</v>
      </c>
      <c r="K327">
        <v>0.28789999999999999</v>
      </c>
      <c r="L327">
        <v>0.26</v>
      </c>
      <c r="M327">
        <v>0.25369999999999998</v>
      </c>
      <c r="N327">
        <v>17</v>
      </c>
      <c r="O327">
        <v>67</v>
      </c>
      <c r="P327">
        <v>84</v>
      </c>
    </row>
    <row r="328" spans="1:16" x14ac:dyDescent="0.2">
      <c r="A328">
        <v>937</v>
      </c>
      <c r="B328" s="61">
        <v>40585</v>
      </c>
      <c r="C328">
        <v>1</v>
      </c>
      <c r="D328">
        <v>0</v>
      </c>
      <c r="E328">
        <v>2</v>
      </c>
      <c r="F328">
        <v>15</v>
      </c>
      <c r="G328" t="b">
        <v>0</v>
      </c>
      <c r="H328">
        <v>5</v>
      </c>
      <c r="I328">
        <v>1</v>
      </c>
      <c r="J328">
        <v>0.32</v>
      </c>
      <c r="K328">
        <v>0.31819999999999998</v>
      </c>
      <c r="L328">
        <v>0.21</v>
      </c>
      <c r="M328">
        <v>0.16420000000000001</v>
      </c>
      <c r="N328">
        <v>12</v>
      </c>
      <c r="O328">
        <v>62</v>
      </c>
      <c r="P328">
        <v>74</v>
      </c>
    </row>
    <row r="329" spans="1:16" x14ac:dyDescent="0.2">
      <c r="A329">
        <v>938</v>
      </c>
      <c r="B329" s="61">
        <v>40585</v>
      </c>
      <c r="C329">
        <v>1</v>
      </c>
      <c r="D329">
        <v>0</v>
      </c>
      <c r="E329">
        <v>2</v>
      </c>
      <c r="F329">
        <v>16</v>
      </c>
      <c r="G329" t="b">
        <v>0</v>
      </c>
      <c r="H329">
        <v>5</v>
      </c>
      <c r="I329">
        <v>1</v>
      </c>
      <c r="J329">
        <v>0.3</v>
      </c>
      <c r="K329">
        <v>0.28789999999999999</v>
      </c>
      <c r="L329">
        <v>0.28000000000000003</v>
      </c>
      <c r="M329">
        <v>0.19400000000000001</v>
      </c>
      <c r="N329">
        <v>14</v>
      </c>
      <c r="O329">
        <v>111</v>
      </c>
      <c r="P329">
        <v>125</v>
      </c>
    </row>
    <row r="330" spans="1:16" x14ac:dyDescent="0.2">
      <c r="A330">
        <v>939</v>
      </c>
      <c r="B330" s="61">
        <v>40585</v>
      </c>
      <c r="C330">
        <v>1</v>
      </c>
      <c r="D330">
        <v>0</v>
      </c>
      <c r="E330">
        <v>2</v>
      </c>
      <c r="F330">
        <v>17</v>
      </c>
      <c r="G330" t="b">
        <v>0</v>
      </c>
      <c r="H330">
        <v>5</v>
      </c>
      <c r="I330">
        <v>1</v>
      </c>
      <c r="J330">
        <v>0.3</v>
      </c>
      <c r="K330">
        <v>0.33329999999999999</v>
      </c>
      <c r="L330">
        <v>0.24</v>
      </c>
      <c r="M330">
        <v>0</v>
      </c>
      <c r="N330">
        <v>18</v>
      </c>
      <c r="O330">
        <v>193</v>
      </c>
      <c r="P330">
        <v>211</v>
      </c>
    </row>
    <row r="331" spans="1:16" x14ac:dyDescent="0.2">
      <c r="A331">
        <v>940</v>
      </c>
      <c r="B331" s="61">
        <v>40585</v>
      </c>
      <c r="C331">
        <v>1</v>
      </c>
      <c r="D331">
        <v>0</v>
      </c>
      <c r="E331">
        <v>2</v>
      </c>
      <c r="F331">
        <v>18</v>
      </c>
      <c r="G331" t="b">
        <v>0</v>
      </c>
      <c r="H331">
        <v>5</v>
      </c>
      <c r="I331">
        <v>1</v>
      </c>
      <c r="J331">
        <v>0.28000000000000003</v>
      </c>
      <c r="K331">
        <v>0.31819999999999998</v>
      </c>
      <c r="L331">
        <v>0.28000000000000003</v>
      </c>
      <c r="M331">
        <v>0</v>
      </c>
      <c r="N331">
        <v>9</v>
      </c>
      <c r="O331">
        <v>165</v>
      </c>
      <c r="P331">
        <v>174</v>
      </c>
    </row>
    <row r="332" spans="1:16" x14ac:dyDescent="0.2">
      <c r="A332">
        <v>941</v>
      </c>
      <c r="B332" s="61">
        <v>40585</v>
      </c>
      <c r="C332">
        <v>1</v>
      </c>
      <c r="D332">
        <v>0</v>
      </c>
      <c r="E332">
        <v>2</v>
      </c>
      <c r="F332">
        <v>19</v>
      </c>
      <c r="G332" t="b">
        <v>0</v>
      </c>
      <c r="H332">
        <v>5</v>
      </c>
      <c r="I332">
        <v>1</v>
      </c>
      <c r="J332">
        <v>0.26</v>
      </c>
      <c r="K332">
        <v>0.30299999999999999</v>
      </c>
      <c r="L332">
        <v>0.33</v>
      </c>
      <c r="M332">
        <v>0</v>
      </c>
      <c r="N332">
        <v>7</v>
      </c>
      <c r="O332">
        <v>94</v>
      </c>
      <c r="P332">
        <v>101</v>
      </c>
    </row>
    <row r="333" spans="1:16" x14ac:dyDescent="0.2">
      <c r="A333">
        <v>942</v>
      </c>
      <c r="B333" s="61">
        <v>40585</v>
      </c>
      <c r="C333">
        <v>1</v>
      </c>
      <c r="D333">
        <v>0</v>
      </c>
      <c r="E333">
        <v>2</v>
      </c>
      <c r="F333">
        <v>20</v>
      </c>
      <c r="G333" t="b">
        <v>0</v>
      </c>
      <c r="H333">
        <v>5</v>
      </c>
      <c r="I333">
        <v>1</v>
      </c>
      <c r="J333">
        <v>0.22</v>
      </c>
      <c r="K333">
        <v>0.2273</v>
      </c>
      <c r="L333">
        <v>0.55000000000000004</v>
      </c>
      <c r="M333">
        <v>0.1343</v>
      </c>
      <c r="N333">
        <v>2</v>
      </c>
      <c r="O333">
        <v>61</v>
      </c>
      <c r="P333">
        <v>63</v>
      </c>
    </row>
    <row r="334" spans="1:16" x14ac:dyDescent="0.2">
      <c r="A334">
        <v>943</v>
      </c>
      <c r="B334" s="61">
        <v>40585</v>
      </c>
      <c r="C334">
        <v>1</v>
      </c>
      <c r="D334">
        <v>0</v>
      </c>
      <c r="E334">
        <v>2</v>
      </c>
      <c r="F334">
        <v>21</v>
      </c>
      <c r="G334" t="b">
        <v>0</v>
      </c>
      <c r="H334">
        <v>5</v>
      </c>
      <c r="I334">
        <v>1</v>
      </c>
      <c r="J334">
        <v>0.2</v>
      </c>
      <c r="K334">
        <v>0.21210000000000001</v>
      </c>
      <c r="L334">
        <v>0.59</v>
      </c>
      <c r="M334">
        <v>0.1343</v>
      </c>
      <c r="N334">
        <v>1</v>
      </c>
      <c r="O334">
        <v>46</v>
      </c>
      <c r="P334">
        <v>47</v>
      </c>
    </row>
    <row r="335" spans="1:16" x14ac:dyDescent="0.2">
      <c r="A335">
        <v>944</v>
      </c>
      <c r="B335" s="61">
        <v>40585</v>
      </c>
      <c r="C335">
        <v>1</v>
      </c>
      <c r="D335">
        <v>0</v>
      </c>
      <c r="E335">
        <v>2</v>
      </c>
      <c r="F335">
        <v>22</v>
      </c>
      <c r="G335" t="b">
        <v>0</v>
      </c>
      <c r="H335">
        <v>5</v>
      </c>
      <c r="I335">
        <v>1</v>
      </c>
      <c r="J335">
        <v>0.2</v>
      </c>
      <c r="K335">
        <v>0.2273</v>
      </c>
      <c r="L335">
        <v>0.64</v>
      </c>
      <c r="M335">
        <v>8.9599999999999999E-2</v>
      </c>
      <c r="N335">
        <v>2</v>
      </c>
      <c r="O335">
        <v>41</v>
      </c>
      <c r="P335">
        <v>43</v>
      </c>
    </row>
    <row r="336" spans="1:16" x14ac:dyDescent="0.2">
      <c r="A336">
        <v>945</v>
      </c>
      <c r="B336" s="61">
        <v>40585</v>
      </c>
      <c r="C336">
        <v>1</v>
      </c>
      <c r="D336">
        <v>0</v>
      </c>
      <c r="E336">
        <v>2</v>
      </c>
      <c r="F336">
        <v>23</v>
      </c>
      <c r="G336" t="b">
        <v>0</v>
      </c>
      <c r="H336">
        <v>5</v>
      </c>
      <c r="I336">
        <v>1</v>
      </c>
      <c r="J336">
        <v>0.18</v>
      </c>
      <c r="K336">
        <v>0.2424</v>
      </c>
      <c r="L336">
        <v>0.69</v>
      </c>
      <c r="M336">
        <v>0</v>
      </c>
      <c r="N336">
        <v>5</v>
      </c>
      <c r="O336">
        <v>48</v>
      </c>
      <c r="P336">
        <v>53</v>
      </c>
    </row>
    <row r="337" spans="1:16" x14ac:dyDescent="0.2">
      <c r="A337">
        <v>946</v>
      </c>
      <c r="B337" s="61">
        <v>40586</v>
      </c>
      <c r="C337">
        <v>1</v>
      </c>
      <c r="D337">
        <v>0</v>
      </c>
      <c r="E337">
        <v>2</v>
      </c>
      <c r="F337">
        <v>0</v>
      </c>
      <c r="G337" t="b">
        <v>0</v>
      </c>
      <c r="H337">
        <v>6</v>
      </c>
      <c r="I337">
        <v>1</v>
      </c>
      <c r="J337">
        <v>0.16</v>
      </c>
      <c r="K337">
        <v>0.19700000000000001</v>
      </c>
      <c r="L337">
        <v>0.69</v>
      </c>
      <c r="M337">
        <v>8.9599999999999999E-2</v>
      </c>
      <c r="N337">
        <v>3</v>
      </c>
      <c r="O337">
        <v>27</v>
      </c>
      <c r="P337">
        <v>30</v>
      </c>
    </row>
    <row r="338" spans="1:16" x14ac:dyDescent="0.2">
      <c r="A338">
        <v>947</v>
      </c>
      <c r="B338" s="61">
        <v>40586</v>
      </c>
      <c r="C338">
        <v>1</v>
      </c>
      <c r="D338">
        <v>0</v>
      </c>
      <c r="E338">
        <v>2</v>
      </c>
      <c r="F338">
        <v>1</v>
      </c>
      <c r="G338" t="b">
        <v>0</v>
      </c>
      <c r="H338">
        <v>6</v>
      </c>
      <c r="I338">
        <v>1</v>
      </c>
      <c r="J338">
        <v>0.14000000000000001</v>
      </c>
      <c r="K338">
        <v>0.21210000000000001</v>
      </c>
      <c r="L338">
        <v>0.86</v>
      </c>
      <c r="M338">
        <v>0</v>
      </c>
      <c r="N338">
        <v>2</v>
      </c>
      <c r="O338">
        <v>22</v>
      </c>
      <c r="P338">
        <v>24</v>
      </c>
    </row>
    <row r="339" spans="1:16" x14ac:dyDescent="0.2">
      <c r="A339">
        <v>948</v>
      </c>
      <c r="B339" s="61">
        <v>40586</v>
      </c>
      <c r="C339">
        <v>1</v>
      </c>
      <c r="D339">
        <v>0</v>
      </c>
      <c r="E339">
        <v>2</v>
      </c>
      <c r="F339">
        <v>2</v>
      </c>
      <c r="G339" t="b">
        <v>0</v>
      </c>
      <c r="H339">
        <v>6</v>
      </c>
      <c r="I339">
        <v>1</v>
      </c>
      <c r="J339">
        <v>0.14000000000000001</v>
      </c>
      <c r="K339">
        <v>0.21210000000000001</v>
      </c>
      <c r="L339">
        <v>0.8</v>
      </c>
      <c r="M339">
        <v>0</v>
      </c>
      <c r="N339">
        <v>2</v>
      </c>
      <c r="O339">
        <v>13</v>
      </c>
      <c r="P339">
        <v>15</v>
      </c>
    </row>
    <row r="340" spans="1:16" x14ac:dyDescent="0.2">
      <c r="A340">
        <v>949</v>
      </c>
      <c r="B340" s="61">
        <v>40586</v>
      </c>
      <c r="C340">
        <v>1</v>
      </c>
      <c r="D340">
        <v>0</v>
      </c>
      <c r="E340">
        <v>2</v>
      </c>
      <c r="F340">
        <v>3</v>
      </c>
      <c r="G340" t="b">
        <v>0</v>
      </c>
      <c r="H340">
        <v>6</v>
      </c>
      <c r="I340">
        <v>1</v>
      </c>
      <c r="J340">
        <v>0.12</v>
      </c>
      <c r="K340">
        <v>0.19700000000000001</v>
      </c>
      <c r="L340">
        <v>0.8</v>
      </c>
      <c r="M340">
        <v>0</v>
      </c>
      <c r="N340">
        <v>3</v>
      </c>
      <c r="O340">
        <v>7</v>
      </c>
      <c r="P340">
        <v>10</v>
      </c>
    </row>
    <row r="341" spans="1:16" x14ac:dyDescent="0.2">
      <c r="A341">
        <v>950</v>
      </c>
      <c r="B341" s="61">
        <v>40586</v>
      </c>
      <c r="C341">
        <v>1</v>
      </c>
      <c r="D341">
        <v>0</v>
      </c>
      <c r="E341">
        <v>2</v>
      </c>
      <c r="F341">
        <v>4</v>
      </c>
      <c r="G341" t="b">
        <v>0</v>
      </c>
      <c r="H341">
        <v>6</v>
      </c>
      <c r="I341">
        <v>1</v>
      </c>
      <c r="J341">
        <v>0.12</v>
      </c>
      <c r="K341">
        <v>0.16669999999999999</v>
      </c>
      <c r="L341">
        <v>0.74</v>
      </c>
      <c r="M341">
        <v>8.9599999999999999E-2</v>
      </c>
      <c r="N341">
        <v>0</v>
      </c>
      <c r="O341">
        <v>4</v>
      </c>
      <c r="P341">
        <v>4</v>
      </c>
    </row>
    <row r="342" spans="1:16" x14ac:dyDescent="0.2">
      <c r="A342">
        <v>951</v>
      </c>
      <c r="B342" s="61">
        <v>40586</v>
      </c>
      <c r="C342">
        <v>1</v>
      </c>
      <c r="D342">
        <v>0</v>
      </c>
      <c r="E342">
        <v>2</v>
      </c>
      <c r="F342">
        <v>5</v>
      </c>
      <c r="G342" t="b">
        <v>0</v>
      </c>
      <c r="H342">
        <v>6</v>
      </c>
      <c r="I342">
        <v>1</v>
      </c>
      <c r="J342">
        <v>0.12</v>
      </c>
      <c r="K342">
        <v>0.16669999999999999</v>
      </c>
      <c r="L342">
        <v>0.74</v>
      </c>
      <c r="M342">
        <v>8.9599999999999999E-2</v>
      </c>
      <c r="N342">
        <v>0</v>
      </c>
      <c r="O342">
        <v>1</v>
      </c>
      <c r="P342">
        <v>1</v>
      </c>
    </row>
    <row r="343" spans="1:16" x14ac:dyDescent="0.2">
      <c r="A343">
        <v>952</v>
      </c>
      <c r="B343" s="61">
        <v>40586</v>
      </c>
      <c r="C343">
        <v>1</v>
      </c>
      <c r="D343">
        <v>0</v>
      </c>
      <c r="E343">
        <v>2</v>
      </c>
      <c r="F343">
        <v>6</v>
      </c>
      <c r="G343" t="b">
        <v>0</v>
      </c>
      <c r="H343">
        <v>6</v>
      </c>
      <c r="I343">
        <v>1</v>
      </c>
      <c r="J343">
        <v>0.12</v>
      </c>
      <c r="K343">
        <v>0.13639999999999999</v>
      </c>
      <c r="L343">
        <v>0.93</v>
      </c>
      <c r="M343">
        <v>0.19400000000000001</v>
      </c>
      <c r="N343">
        <v>1</v>
      </c>
      <c r="O343">
        <v>1</v>
      </c>
      <c r="P343">
        <v>2</v>
      </c>
    </row>
    <row r="344" spans="1:16" x14ac:dyDescent="0.2">
      <c r="A344">
        <v>953</v>
      </c>
      <c r="B344" s="61">
        <v>40586</v>
      </c>
      <c r="C344">
        <v>1</v>
      </c>
      <c r="D344">
        <v>0</v>
      </c>
      <c r="E344">
        <v>2</v>
      </c>
      <c r="F344">
        <v>7</v>
      </c>
      <c r="G344" t="b">
        <v>0</v>
      </c>
      <c r="H344">
        <v>6</v>
      </c>
      <c r="I344">
        <v>1</v>
      </c>
      <c r="J344">
        <v>0.12</v>
      </c>
      <c r="K344">
        <v>0.1515</v>
      </c>
      <c r="L344">
        <v>0.8</v>
      </c>
      <c r="M344">
        <v>0.1045</v>
      </c>
      <c r="N344">
        <v>2</v>
      </c>
      <c r="O344">
        <v>9</v>
      </c>
      <c r="P344">
        <v>11</v>
      </c>
    </row>
    <row r="345" spans="1:16" x14ac:dyDescent="0.2">
      <c r="A345">
        <v>954</v>
      </c>
      <c r="B345" s="61">
        <v>40586</v>
      </c>
      <c r="C345">
        <v>1</v>
      </c>
      <c r="D345">
        <v>0</v>
      </c>
      <c r="E345">
        <v>2</v>
      </c>
      <c r="F345">
        <v>8</v>
      </c>
      <c r="G345" t="b">
        <v>0</v>
      </c>
      <c r="H345">
        <v>6</v>
      </c>
      <c r="I345">
        <v>1</v>
      </c>
      <c r="J345">
        <v>0.14000000000000001</v>
      </c>
      <c r="K345">
        <v>0.1515</v>
      </c>
      <c r="L345">
        <v>0.86</v>
      </c>
      <c r="M345">
        <v>0.1343</v>
      </c>
      <c r="N345">
        <v>2</v>
      </c>
      <c r="O345">
        <v>28</v>
      </c>
      <c r="P345">
        <v>30</v>
      </c>
    </row>
    <row r="346" spans="1:16" x14ac:dyDescent="0.2">
      <c r="A346">
        <v>955</v>
      </c>
      <c r="B346" s="61">
        <v>40586</v>
      </c>
      <c r="C346">
        <v>1</v>
      </c>
      <c r="D346">
        <v>0</v>
      </c>
      <c r="E346">
        <v>2</v>
      </c>
      <c r="F346">
        <v>9</v>
      </c>
      <c r="G346" t="b">
        <v>0</v>
      </c>
      <c r="H346">
        <v>6</v>
      </c>
      <c r="I346">
        <v>1</v>
      </c>
      <c r="J346">
        <v>0.16</v>
      </c>
      <c r="K346">
        <v>0.18179999999999999</v>
      </c>
      <c r="L346">
        <v>0.64</v>
      </c>
      <c r="M346">
        <v>0.1343</v>
      </c>
      <c r="N346">
        <v>5</v>
      </c>
      <c r="O346">
        <v>38</v>
      </c>
      <c r="P346">
        <v>43</v>
      </c>
    </row>
    <row r="347" spans="1:16" x14ac:dyDescent="0.2">
      <c r="A347">
        <v>956</v>
      </c>
      <c r="B347" s="61">
        <v>40586</v>
      </c>
      <c r="C347">
        <v>1</v>
      </c>
      <c r="D347">
        <v>0</v>
      </c>
      <c r="E347">
        <v>2</v>
      </c>
      <c r="F347">
        <v>10</v>
      </c>
      <c r="G347" t="b">
        <v>0</v>
      </c>
      <c r="H347">
        <v>6</v>
      </c>
      <c r="I347">
        <v>1</v>
      </c>
      <c r="J347">
        <v>0.22</v>
      </c>
      <c r="K347">
        <v>0.21210000000000001</v>
      </c>
      <c r="L347">
        <v>0.41</v>
      </c>
      <c r="M347">
        <v>0.25369999999999998</v>
      </c>
      <c r="N347">
        <v>13</v>
      </c>
      <c r="O347">
        <v>71</v>
      </c>
      <c r="P347">
        <v>84</v>
      </c>
    </row>
    <row r="348" spans="1:16" x14ac:dyDescent="0.2">
      <c r="A348">
        <v>957</v>
      </c>
      <c r="B348" s="61">
        <v>40586</v>
      </c>
      <c r="C348">
        <v>1</v>
      </c>
      <c r="D348">
        <v>0</v>
      </c>
      <c r="E348">
        <v>2</v>
      </c>
      <c r="F348">
        <v>11</v>
      </c>
      <c r="G348" t="b">
        <v>0</v>
      </c>
      <c r="H348">
        <v>6</v>
      </c>
      <c r="I348">
        <v>1</v>
      </c>
      <c r="J348">
        <v>0.3</v>
      </c>
      <c r="K348">
        <v>0.2727</v>
      </c>
      <c r="L348">
        <v>0.28000000000000003</v>
      </c>
      <c r="M348">
        <v>0.32840000000000003</v>
      </c>
      <c r="N348">
        <v>30</v>
      </c>
      <c r="O348">
        <v>84</v>
      </c>
      <c r="P348">
        <v>114</v>
      </c>
    </row>
    <row r="349" spans="1:16" x14ac:dyDescent="0.2">
      <c r="A349">
        <v>958</v>
      </c>
      <c r="B349" s="61">
        <v>40586</v>
      </c>
      <c r="C349">
        <v>1</v>
      </c>
      <c r="D349">
        <v>0</v>
      </c>
      <c r="E349">
        <v>2</v>
      </c>
      <c r="F349">
        <v>12</v>
      </c>
      <c r="G349" t="b">
        <v>0</v>
      </c>
      <c r="H349">
        <v>6</v>
      </c>
      <c r="I349">
        <v>1</v>
      </c>
      <c r="J349">
        <v>0.3</v>
      </c>
      <c r="K349">
        <v>0.2727</v>
      </c>
      <c r="L349">
        <v>0.39</v>
      </c>
      <c r="M349">
        <v>0.4627</v>
      </c>
      <c r="N349">
        <v>27</v>
      </c>
      <c r="O349">
        <v>93</v>
      </c>
      <c r="P349">
        <v>120</v>
      </c>
    </row>
    <row r="350" spans="1:16" x14ac:dyDescent="0.2">
      <c r="A350">
        <v>959</v>
      </c>
      <c r="B350" s="61">
        <v>40586</v>
      </c>
      <c r="C350">
        <v>1</v>
      </c>
      <c r="D350">
        <v>0</v>
      </c>
      <c r="E350">
        <v>2</v>
      </c>
      <c r="F350">
        <v>13</v>
      </c>
      <c r="G350" t="b">
        <v>0</v>
      </c>
      <c r="H350">
        <v>6</v>
      </c>
      <c r="I350">
        <v>1</v>
      </c>
      <c r="J350">
        <v>0.3</v>
      </c>
      <c r="K350">
        <v>0.2727</v>
      </c>
      <c r="L350">
        <v>0.39</v>
      </c>
      <c r="M350">
        <v>0.41789999999999999</v>
      </c>
      <c r="N350">
        <v>32</v>
      </c>
      <c r="O350">
        <v>103</v>
      </c>
      <c r="P350">
        <v>135</v>
      </c>
    </row>
    <row r="351" spans="1:16" x14ac:dyDescent="0.2">
      <c r="A351">
        <v>960</v>
      </c>
      <c r="B351" s="61">
        <v>40586</v>
      </c>
      <c r="C351">
        <v>1</v>
      </c>
      <c r="D351">
        <v>0</v>
      </c>
      <c r="E351">
        <v>2</v>
      </c>
      <c r="F351">
        <v>14</v>
      </c>
      <c r="G351" t="b">
        <v>0</v>
      </c>
      <c r="H351">
        <v>6</v>
      </c>
      <c r="I351">
        <v>1</v>
      </c>
      <c r="J351">
        <v>0.34</v>
      </c>
      <c r="K351">
        <v>0.31819999999999998</v>
      </c>
      <c r="L351">
        <v>0.31</v>
      </c>
      <c r="M351">
        <v>0.28360000000000002</v>
      </c>
      <c r="N351">
        <v>30</v>
      </c>
      <c r="O351">
        <v>90</v>
      </c>
      <c r="P351">
        <v>120</v>
      </c>
    </row>
    <row r="352" spans="1:16" x14ac:dyDescent="0.2">
      <c r="A352">
        <v>961</v>
      </c>
      <c r="B352" s="61">
        <v>40586</v>
      </c>
      <c r="C352">
        <v>1</v>
      </c>
      <c r="D352">
        <v>0</v>
      </c>
      <c r="E352">
        <v>2</v>
      </c>
      <c r="F352">
        <v>15</v>
      </c>
      <c r="G352" t="b">
        <v>0</v>
      </c>
      <c r="H352">
        <v>6</v>
      </c>
      <c r="I352">
        <v>1</v>
      </c>
      <c r="J352">
        <v>0.34</v>
      </c>
      <c r="K352">
        <v>0.30299999999999999</v>
      </c>
      <c r="L352">
        <v>0.28999999999999998</v>
      </c>
      <c r="M352">
        <v>0.41789999999999999</v>
      </c>
      <c r="N352">
        <v>47</v>
      </c>
      <c r="O352">
        <v>127</v>
      </c>
      <c r="P352">
        <v>174</v>
      </c>
    </row>
    <row r="353" spans="1:16" x14ac:dyDescent="0.2">
      <c r="A353">
        <v>962</v>
      </c>
      <c r="B353" s="61">
        <v>40586</v>
      </c>
      <c r="C353">
        <v>1</v>
      </c>
      <c r="D353">
        <v>0</v>
      </c>
      <c r="E353">
        <v>2</v>
      </c>
      <c r="F353">
        <v>16</v>
      </c>
      <c r="G353" t="b">
        <v>0</v>
      </c>
      <c r="H353">
        <v>6</v>
      </c>
      <c r="I353">
        <v>1</v>
      </c>
      <c r="J353">
        <v>0.34</v>
      </c>
      <c r="K353">
        <v>0.30299999999999999</v>
      </c>
      <c r="L353">
        <v>0.28999999999999998</v>
      </c>
      <c r="M353">
        <v>0.41789999999999999</v>
      </c>
      <c r="N353">
        <v>42</v>
      </c>
      <c r="O353">
        <v>103</v>
      </c>
      <c r="P353">
        <v>145</v>
      </c>
    </row>
    <row r="354" spans="1:16" x14ac:dyDescent="0.2">
      <c r="A354">
        <v>963</v>
      </c>
      <c r="B354" s="61">
        <v>40586</v>
      </c>
      <c r="C354">
        <v>1</v>
      </c>
      <c r="D354">
        <v>0</v>
      </c>
      <c r="E354">
        <v>2</v>
      </c>
      <c r="F354">
        <v>17</v>
      </c>
      <c r="G354" t="b">
        <v>0</v>
      </c>
      <c r="H354">
        <v>6</v>
      </c>
      <c r="I354">
        <v>1</v>
      </c>
      <c r="J354">
        <v>0.32</v>
      </c>
      <c r="K354">
        <v>0.28789999999999999</v>
      </c>
      <c r="L354">
        <v>0.31</v>
      </c>
      <c r="M354">
        <v>0.52239999999999998</v>
      </c>
      <c r="N354">
        <v>24</v>
      </c>
      <c r="O354">
        <v>113</v>
      </c>
      <c r="P354">
        <v>137</v>
      </c>
    </row>
    <row r="355" spans="1:16" x14ac:dyDescent="0.2">
      <c r="A355">
        <v>964</v>
      </c>
      <c r="B355" s="61">
        <v>40586</v>
      </c>
      <c r="C355">
        <v>1</v>
      </c>
      <c r="D355">
        <v>0</v>
      </c>
      <c r="E355">
        <v>2</v>
      </c>
      <c r="F355">
        <v>18</v>
      </c>
      <c r="G355" t="b">
        <v>0</v>
      </c>
      <c r="H355">
        <v>6</v>
      </c>
      <c r="I355">
        <v>1</v>
      </c>
      <c r="J355">
        <v>0.28000000000000003</v>
      </c>
      <c r="K355">
        <v>0.2576</v>
      </c>
      <c r="L355">
        <v>0.38</v>
      </c>
      <c r="M355">
        <v>0.32840000000000003</v>
      </c>
      <c r="N355">
        <v>4</v>
      </c>
      <c r="O355">
        <v>60</v>
      </c>
      <c r="P355">
        <v>64</v>
      </c>
    </row>
    <row r="356" spans="1:16" x14ac:dyDescent="0.2">
      <c r="A356">
        <v>965</v>
      </c>
      <c r="B356" s="61">
        <v>40586</v>
      </c>
      <c r="C356">
        <v>1</v>
      </c>
      <c r="D356">
        <v>0</v>
      </c>
      <c r="E356">
        <v>2</v>
      </c>
      <c r="F356">
        <v>19</v>
      </c>
      <c r="G356" t="b">
        <v>0</v>
      </c>
      <c r="H356">
        <v>6</v>
      </c>
      <c r="I356">
        <v>1</v>
      </c>
      <c r="J356">
        <v>0.28000000000000003</v>
      </c>
      <c r="K356">
        <v>0.2727</v>
      </c>
      <c r="L356">
        <v>0.38</v>
      </c>
      <c r="M356">
        <v>0.16420000000000001</v>
      </c>
      <c r="N356">
        <v>2</v>
      </c>
      <c r="O356">
        <v>39</v>
      </c>
      <c r="P356">
        <v>41</v>
      </c>
    </row>
    <row r="357" spans="1:16" x14ac:dyDescent="0.2">
      <c r="A357">
        <v>966</v>
      </c>
      <c r="B357" s="61">
        <v>40586</v>
      </c>
      <c r="C357">
        <v>1</v>
      </c>
      <c r="D357">
        <v>0</v>
      </c>
      <c r="E357">
        <v>2</v>
      </c>
      <c r="F357">
        <v>20</v>
      </c>
      <c r="G357" t="b">
        <v>0</v>
      </c>
      <c r="H357">
        <v>6</v>
      </c>
      <c r="I357">
        <v>1</v>
      </c>
      <c r="J357">
        <v>0.26</v>
      </c>
      <c r="K357">
        <v>0.2576</v>
      </c>
      <c r="L357">
        <v>0.41</v>
      </c>
      <c r="M357">
        <v>0.22389999999999999</v>
      </c>
      <c r="N357">
        <v>1</v>
      </c>
      <c r="O357">
        <v>39</v>
      </c>
      <c r="P357">
        <v>40</v>
      </c>
    </row>
    <row r="358" spans="1:16" x14ac:dyDescent="0.2">
      <c r="A358">
        <v>967</v>
      </c>
      <c r="B358" s="61">
        <v>40586</v>
      </c>
      <c r="C358">
        <v>1</v>
      </c>
      <c r="D358">
        <v>0</v>
      </c>
      <c r="E358">
        <v>2</v>
      </c>
      <c r="F358">
        <v>21</v>
      </c>
      <c r="G358" t="b">
        <v>0</v>
      </c>
      <c r="H358">
        <v>6</v>
      </c>
      <c r="I358">
        <v>1</v>
      </c>
      <c r="J358">
        <v>0.26</v>
      </c>
      <c r="K358">
        <v>0.30299999999999999</v>
      </c>
      <c r="L358">
        <v>0.41</v>
      </c>
      <c r="M358">
        <v>0</v>
      </c>
      <c r="N358">
        <v>9</v>
      </c>
      <c r="O358">
        <v>42</v>
      </c>
      <c r="P358">
        <v>51</v>
      </c>
    </row>
    <row r="359" spans="1:16" x14ac:dyDescent="0.2">
      <c r="A359">
        <v>968</v>
      </c>
      <c r="B359" s="61">
        <v>40586</v>
      </c>
      <c r="C359">
        <v>1</v>
      </c>
      <c r="D359">
        <v>0</v>
      </c>
      <c r="E359">
        <v>2</v>
      </c>
      <c r="F359">
        <v>22</v>
      </c>
      <c r="G359" t="b">
        <v>0</v>
      </c>
      <c r="H359">
        <v>6</v>
      </c>
      <c r="I359">
        <v>1</v>
      </c>
      <c r="J359">
        <v>0.24</v>
      </c>
      <c r="K359">
        <v>0.2576</v>
      </c>
      <c r="L359">
        <v>0.44</v>
      </c>
      <c r="M359">
        <v>8.9599999999999999E-2</v>
      </c>
      <c r="N359">
        <v>6</v>
      </c>
      <c r="O359">
        <v>39</v>
      </c>
      <c r="P359">
        <v>45</v>
      </c>
    </row>
    <row r="360" spans="1:16" x14ac:dyDescent="0.2">
      <c r="A360">
        <v>969</v>
      </c>
      <c r="B360" s="61">
        <v>40586</v>
      </c>
      <c r="C360">
        <v>1</v>
      </c>
      <c r="D360">
        <v>0</v>
      </c>
      <c r="E360">
        <v>2</v>
      </c>
      <c r="F360">
        <v>23</v>
      </c>
      <c r="G360" t="b">
        <v>0</v>
      </c>
      <c r="H360">
        <v>6</v>
      </c>
      <c r="I360">
        <v>1</v>
      </c>
      <c r="J360">
        <v>0.22</v>
      </c>
      <c r="K360">
        <v>0.2273</v>
      </c>
      <c r="L360">
        <v>0.51</v>
      </c>
      <c r="M360">
        <v>0.1343</v>
      </c>
      <c r="N360">
        <v>1</v>
      </c>
      <c r="O360">
        <v>31</v>
      </c>
      <c r="P360">
        <v>32</v>
      </c>
    </row>
    <row r="361" spans="1:16" x14ac:dyDescent="0.2">
      <c r="A361">
        <v>970</v>
      </c>
      <c r="B361" s="61">
        <v>40587</v>
      </c>
      <c r="C361">
        <v>1</v>
      </c>
      <c r="D361">
        <v>0</v>
      </c>
      <c r="E361">
        <v>2</v>
      </c>
      <c r="F361">
        <v>0</v>
      </c>
      <c r="G361" t="b">
        <v>0</v>
      </c>
      <c r="H361">
        <v>0</v>
      </c>
      <c r="I361">
        <v>1</v>
      </c>
      <c r="J361">
        <v>0.2</v>
      </c>
      <c r="K361">
        <v>0.2273</v>
      </c>
      <c r="L361">
        <v>0.64</v>
      </c>
      <c r="M361">
        <v>0.1045</v>
      </c>
      <c r="N361">
        <v>5</v>
      </c>
      <c r="O361">
        <v>34</v>
      </c>
      <c r="P361">
        <v>39</v>
      </c>
    </row>
    <row r="362" spans="1:16" x14ac:dyDescent="0.2">
      <c r="A362">
        <v>971</v>
      </c>
      <c r="B362" s="61">
        <v>40587</v>
      </c>
      <c r="C362">
        <v>1</v>
      </c>
      <c r="D362">
        <v>0</v>
      </c>
      <c r="E362">
        <v>2</v>
      </c>
      <c r="F362">
        <v>1</v>
      </c>
      <c r="G362" t="b">
        <v>0</v>
      </c>
      <c r="H362">
        <v>0</v>
      </c>
      <c r="I362">
        <v>1</v>
      </c>
      <c r="J362">
        <v>0.2</v>
      </c>
      <c r="K362">
        <v>0.2273</v>
      </c>
      <c r="L362">
        <v>0.59</v>
      </c>
      <c r="M362">
        <v>8.9599999999999999E-2</v>
      </c>
      <c r="N362">
        <v>1</v>
      </c>
      <c r="O362">
        <v>23</v>
      </c>
      <c r="P362">
        <v>24</v>
      </c>
    </row>
    <row r="363" spans="1:16" x14ac:dyDescent="0.2">
      <c r="A363">
        <v>972</v>
      </c>
      <c r="B363" s="61">
        <v>40587</v>
      </c>
      <c r="C363">
        <v>1</v>
      </c>
      <c r="D363">
        <v>0</v>
      </c>
      <c r="E363">
        <v>2</v>
      </c>
      <c r="F363">
        <v>2</v>
      </c>
      <c r="G363" t="b">
        <v>0</v>
      </c>
      <c r="H363">
        <v>0</v>
      </c>
      <c r="I363">
        <v>2</v>
      </c>
      <c r="J363">
        <v>0.2</v>
      </c>
      <c r="K363">
        <v>0.2273</v>
      </c>
      <c r="L363">
        <v>0.75</v>
      </c>
      <c r="M363">
        <v>8.9599999999999999E-2</v>
      </c>
      <c r="N363">
        <v>1</v>
      </c>
      <c r="O363">
        <v>19</v>
      </c>
      <c r="P363">
        <v>20</v>
      </c>
    </row>
    <row r="364" spans="1:16" x14ac:dyDescent="0.2">
      <c r="A364">
        <v>973</v>
      </c>
      <c r="B364" s="61">
        <v>40587</v>
      </c>
      <c r="C364">
        <v>1</v>
      </c>
      <c r="D364">
        <v>0</v>
      </c>
      <c r="E364">
        <v>2</v>
      </c>
      <c r="F364">
        <v>3</v>
      </c>
      <c r="G364" t="b">
        <v>0</v>
      </c>
      <c r="H364">
        <v>0</v>
      </c>
      <c r="I364">
        <v>2</v>
      </c>
      <c r="J364">
        <v>0.2</v>
      </c>
      <c r="K364">
        <v>0.2273</v>
      </c>
      <c r="L364">
        <v>0.69</v>
      </c>
      <c r="M364">
        <v>0.1045</v>
      </c>
      <c r="N364">
        <v>4</v>
      </c>
      <c r="O364">
        <v>8</v>
      </c>
      <c r="P364">
        <v>12</v>
      </c>
    </row>
    <row r="365" spans="1:16" x14ac:dyDescent="0.2">
      <c r="A365">
        <v>974</v>
      </c>
      <c r="B365" s="61">
        <v>40587</v>
      </c>
      <c r="C365">
        <v>1</v>
      </c>
      <c r="D365">
        <v>0</v>
      </c>
      <c r="E365">
        <v>2</v>
      </c>
      <c r="F365">
        <v>4</v>
      </c>
      <c r="G365" t="b">
        <v>0</v>
      </c>
      <c r="H365">
        <v>0</v>
      </c>
      <c r="I365">
        <v>2</v>
      </c>
      <c r="J365">
        <v>0.2</v>
      </c>
      <c r="K365">
        <v>0.21210000000000001</v>
      </c>
      <c r="L365">
        <v>0.69</v>
      </c>
      <c r="M365">
        <v>0.16420000000000001</v>
      </c>
      <c r="N365">
        <v>0</v>
      </c>
      <c r="O365">
        <v>2</v>
      </c>
      <c r="P365">
        <v>2</v>
      </c>
    </row>
    <row r="366" spans="1:16" x14ac:dyDescent="0.2">
      <c r="A366">
        <v>975</v>
      </c>
      <c r="B366" s="61">
        <v>40587</v>
      </c>
      <c r="C366">
        <v>1</v>
      </c>
      <c r="D366">
        <v>0</v>
      </c>
      <c r="E366">
        <v>2</v>
      </c>
      <c r="F366">
        <v>6</v>
      </c>
      <c r="G366" t="b">
        <v>0</v>
      </c>
      <c r="H366">
        <v>0</v>
      </c>
      <c r="I366">
        <v>2</v>
      </c>
      <c r="J366">
        <v>0.2</v>
      </c>
      <c r="K366">
        <v>0.21210000000000001</v>
      </c>
      <c r="L366">
        <v>0.69</v>
      </c>
      <c r="M366">
        <v>0.1343</v>
      </c>
      <c r="N366">
        <v>2</v>
      </c>
      <c r="O366">
        <v>3</v>
      </c>
      <c r="P366">
        <v>5</v>
      </c>
    </row>
    <row r="367" spans="1:16" x14ac:dyDescent="0.2">
      <c r="A367">
        <v>976</v>
      </c>
      <c r="B367" s="61">
        <v>40587</v>
      </c>
      <c r="C367">
        <v>1</v>
      </c>
      <c r="D367">
        <v>0</v>
      </c>
      <c r="E367">
        <v>2</v>
      </c>
      <c r="F367">
        <v>7</v>
      </c>
      <c r="G367" t="b">
        <v>0</v>
      </c>
      <c r="H367">
        <v>0</v>
      </c>
      <c r="I367">
        <v>2</v>
      </c>
      <c r="J367">
        <v>0.22</v>
      </c>
      <c r="K367">
        <v>0.2727</v>
      </c>
      <c r="L367">
        <v>0.55000000000000004</v>
      </c>
      <c r="M367">
        <v>0</v>
      </c>
      <c r="N367">
        <v>0</v>
      </c>
      <c r="O367">
        <v>3</v>
      </c>
      <c r="P367">
        <v>3</v>
      </c>
    </row>
    <row r="368" spans="1:16" x14ac:dyDescent="0.2">
      <c r="A368">
        <v>977</v>
      </c>
      <c r="B368" s="61">
        <v>40587</v>
      </c>
      <c r="C368">
        <v>1</v>
      </c>
      <c r="D368">
        <v>0</v>
      </c>
      <c r="E368">
        <v>2</v>
      </c>
      <c r="F368">
        <v>8</v>
      </c>
      <c r="G368" t="b">
        <v>0</v>
      </c>
      <c r="H368">
        <v>0</v>
      </c>
      <c r="I368">
        <v>2</v>
      </c>
      <c r="J368">
        <v>0.22</v>
      </c>
      <c r="K368">
        <v>0.2273</v>
      </c>
      <c r="L368">
        <v>0.64</v>
      </c>
      <c r="M368">
        <v>0.19400000000000001</v>
      </c>
      <c r="N368">
        <v>1</v>
      </c>
      <c r="O368">
        <v>11</v>
      </c>
      <c r="P368">
        <v>12</v>
      </c>
    </row>
    <row r="369" spans="1:16" x14ac:dyDescent="0.2">
      <c r="A369">
        <v>978</v>
      </c>
      <c r="B369" s="61">
        <v>40587</v>
      </c>
      <c r="C369">
        <v>1</v>
      </c>
      <c r="D369">
        <v>0</v>
      </c>
      <c r="E369">
        <v>2</v>
      </c>
      <c r="F369">
        <v>9</v>
      </c>
      <c r="G369" t="b">
        <v>0</v>
      </c>
      <c r="H369">
        <v>0</v>
      </c>
      <c r="I369">
        <v>2</v>
      </c>
      <c r="J369">
        <v>0.24</v>
      </c>
      <c r="K369">
        <v>0.2273</v>
      </c>
      <c r="L369">
        <v>0.6</v>
      </c>
      <c r="M369">
        <v>0.22389999999999999</v>
      </c>
      <c r="N369">
        <v>12</v>
      </c>
      <c r="O369">
        <v>35</v>
      </c>
      <c r="P369">
        <v>47</v>
      </c>
    </row>
    <row r="370" spans="1:16" x14ac:dyDescent="0.2">
      <c r="A370">
        <v>979</v>
      </c>
      <c r="B370" s="61">
        <v>40587</v>
      </c>
      <c r="C370">
        <v>1</v>
      </c>
      <c r="D370">
        <v>0</v>
      </c>
      <c r="E370">
        <v>2</v>
      </c>
      <c r="F370">
        <v>10</v>
      </c>
      <c r="G370" t="b">
        <v>0</v>
      </c>
      <c r="H370">
        <v>0</v>
      </c>
      <c r="I370">
        <v>1</v>
      </c>
      <c r="J370">
        <v>0.3</v>
      </c>
      <c r="K370">
        <v>0.2727</v>
      </c>
      <c r="L370">
        <v>0.45</v>
      </c>
      <c r="M370">
        <v>0.32840000000000003</v>
      </c>
      <c r="N370">
        <v>19</v>
      </c>
      <c r="O370">
        <v>86</v>
      </c>
      <c r="P370">
        <v>105</v>
      </c>
    </row>
    <row r="371" spans="1:16" x14ac:dyDescent="0.2">
      <c r="A371">
        <v>980</v>
      </c>
      <c r="B371" s="61">
        <v>40587</v>
      </c>
      <c r="C371">
        <v>1</v>
      </c>
      <c r="D371">
        <v>0</v>
      </c>
      <c r="E371">
        <v>2</v>
      </c>
      <c r="F371">
        <v>11</v>
      </c>
      <c r="G371" t="b">
        <v>0</v>
      </c>
      <c r="H371">
        <v>0</v>
      </c>
      <c r="I371">
        <v>1</v>
      </c>
      <c r="J371">
        <v>0.32</v>
      </c>
      <c r="K371">
        <v>0.28789999999999999</v>
      </c>
      <c r="L371">
        <v>0.39</v>
      </c>
      <c r="M371">
        <v>0.44779999999999998</v>
      </c>
      <c r="N371">
        <v>26</v>
      </c>
      <c r="O371">
        <v>86</v>
      </c>
      <c r="P371">
        <v>112</v>
      </c>
    </row>
    <row r="372" spans="1:16" x14ac:dyDescent="0.2">
      <c r="A372">
        <v>981</v>
      </c>
      <c r="B372" s="61">
        <v>40587</v>
      </c>
      <c r="C372">
        <v>1</v>
      </c>
      <c r="D372">
        <v>0</v>
      </c>
      <c r="E372">
        <v>2</v>
      </c>
      <c r="F372">
        <v>12</v>
      </c>
      <c r="G372" t="b">
        <v>0</v>
      </c>
      <c r="H372">
        <v>0</v>
      </c>
      <c r="I372">
        <v>1</v>
      </c>
      <c r="J372">
        <v>0.36</v>
      </c>
      <c r="K372">
        <v>0.31819999999999998</v>
      </c>
      <c r="L372">
        <v>0.32</v>
      </c>
      <c r="M372">
        <v>0.4627</v>
      </c>
      <c r="N372">
        <v>58</v>
      </c>
      <c r="O372">
        <v>94</v>
      </c>
      <c r="P372">
        <v>152</v>
      </c>
    </row>
    <row r="373" spans="1:16" x14ac:dyDescent="0.2">
      <c r="A373">
        <v>982</v>
      </c>
      <c r="B373" s="61">
        <v>40587</v>
      </c>
      <c r="C373">
        <v>1</v>
      </c>
      <c r="D373">
        <v>0</v>
      </c>
      <c r="E373">
        <v>2</v>
      </c>
      <c r="F373">
        <v>13</v>
      </c>
      <c r="G373" t="b">
        <v>0</v>
      </c>
      <c r="H373">
        <v>0</v>
      </c>
      <c r="I373">
        <v>1</v>
      </c>
      <c r="J373">
        <v>0.38</v>
      </c>
      <c r="K373">
        <v>0.39389999999999997</v>
      </c>
      <c r="L373">
        <v>0.28999999999999998</v>
      </c>
      <c r="M373">
        <v>0.35820000000000002</v>
      </c>
      <c r="N373">
        <v>62</v>
      </c>
      <c r="O373">
        <v>92</v>
      </c>
      <c r="P373">
        <v>154</v>
      </c>
    </row>
    <row r="374" spans="1:16" x14ac:dyDescent="0.2">
      <c r="A374">
        <v>983</v>
      </c>
      <c r="B374" s="61">
        <v>40587</v>
      </c>
      <c r="C374">
        <v>1</v>
      </c>
      <c r="D374">
        <v>0</v>
      </c>
      <c r="E374">
        <v>2</v>
      </c>
      <c r="F374">
        <v>14</v>
      </c>
      <c r="G374" t="b">
        <v>0</v>
      </c>
      <c r="H374">
        <v>0</v>
      </c>
      <c r="I374">
        <v>2</v>
      </c>
      <c r="J374">
        <v>0.4</v>
      </c>
      <c r="K374">
        <v>0.40910000000000002</v>
      </c>
      <c r="L374">
        <v>0.3</v>
      </c>
      <c r="M374">
        <v>0.41789999999999999</v>
      </c>
      <c r="N374">
        <v>51</v>
      </c>
      <c r="O374">
        <v>110</v>
      </c>
      <c r="P374">
        <v>161</v>
      </c>
    </row>
    <row r="375" spans="1:16" x14ac:dyDescent="0.2">
      <c r="A375">
        <v>984</v>
      </c>
      <c r="B375" s="61">
        <v>40587</v>
      </c>
      <c r="C375">
        <v>1</v>
      </c>
      <c r="D375">
        <v>0</v>
      </c>
      <c r="E375">
        <v>2</v>
      </c>
      <c r="F375">
        <v>15</v>
      </c>
      <c r="G375" t="b">
        <v>0</v>
      </c>
      <c r="H375">
        <v>0</v>
      </c>
      <c r="I375">
        <v>2</v>
      </c>
      <c r="J375">
        <v>0.4</v>
      </c>
      <c r="K375">
        <v>0.40910000000000002</v>
      </c>
      <c r="L375">
        <v>0.3</v>
      </c>
      <c r="M375">
        <v>0.29849999999999999</v>
      </c>
      <c r="N375">
        <v>40</v>
      </c>
      <c r="O375">
        <v>122</v>
      </c>
      <c r="P375">
        <v>162</v>
      </c>
    </row>
    <row r="376" spans="1:16" x14ac:dyDescent="0.2">
      <c r="A376">
        <v>985</v>
      </c>
      <c r="B376" s="61">
        <v>40587</v>
      </c>
      <c r="C376">
        <v>1</v>
      </c>
      <c r="D376">
        <v>0</v>
      </c>
      <c r="E376">
        <v>2</v>
      </c>
      <c r="F376">
        <v>16</v>
      </c>
      <c r="G376" t="b">
        <v>0</v>
      </c>
      <c r="H376">
        <v>0</v>
      </c>
      <c r="I376">
        <v>2</v>
      </c>
      <c r="J376">
        <v>0.42</v>
      </c>
      <c r="K376">
        <v>0.42420000000000002</v>
      </c>
      <c r="L376">
        <v>0.28000000000000003</v>
      </c>
      <c r="M376">
        <v>0.32840000000000003</v>
      </c>
      <c r="N376">
        <v>28</v>
      </c>
      <c r="O376">
        <v>106</v>
      </c>
      <c r="P376">
        <v>134</v>
      </c>
    </row>
    <row r="377" spans="1:16" x14ac:dyDescent="0.2">
      <c r="A377">
        <v>986</v>
      </c>
      <c r="B377" s="61">
        <v>40587</v>
      </c>
      <c r="C377">
        <v>1</v>
      </c>
      <c r="D377">
        <v>0</v>
      </c>
      <c r="E377">
        <v>2</v>
      </c>
      <c r="F377">
        <v>17</v>
      </c>
      <c r="G377" t="b">
        <v>0</v>
      </c>
      <c r="H377">
        <v>0</v>
      </c>
      <c r="I377">
        <v>1</v>
      </c>
      <c r="J377">
        <v>0.42</v>
      </c>
      <c r="K377">
        <v>0.42420000000000002</v>
      </c>
      <c r="L377">
        <v>0.28000000000000003</v>
      </c>
      <c r="M377">
        <v>0.32840000000000003</v>
      </c>
      <c r="N377">
        <v>30</v>
      </c>
      <c r="O377">
        <v>95</v>
      </c>
      <c r="P377">
        <v>125</v>
      </c>
    </row>
    <row r="378" spans="1:16" x14ac:dyDescent="0.2">
      <c r="A378">
        <v>987</v>
      </c>
      <c r="B378" s="61">
        <v>40587</v>
      </c>
      <c r="C378">
        <v>1</v>
      </c>
      <c r="D378">
        <v>0</v>
      </c>
      <c r="E378">
        <v>2</v>
      </c>
      <c r="F378">
        <v>18</v>
      </c>
      <c r="G378" t="b">
        <v>0</v>
      </c>
      <c r="H378">
        <v>0</v>
      </c>
      <c r="I378">
        <v>1</v>
      </c>
      <c r="J378">
        <v>0.4</v>
      </c>
      <c r="K378">
        <v>0.40910000000000002</v>
      </c>
      <c r="L378">
        <v>0.32</v>
      </c>
      <c r="M378">
        <v>0.29849999999999999</v>
      </c>
      <c r="N378">
        <v>17</v>
      </c>
      <c r="O378">
        <v>78</v>
      </c>
      <c r="P378">
        <v>95</v>
      </c>
    </row>
    <row r="379" spans="1:16" x14ac:dyDescent="0.2">
      <c r="A379">
        <v>988</v>
      </c>
      <c r="B379" s="61">
        <v>40587</v>
      </c>
      <c r="C379">
        <v>1</v>
      </c>
      <c r="D379">
        <v>0</v>
      </c>
      <c r="E379">
        <v>2</v>
      </c>
      <c r="F379">
        <v>19</v>
      </c>
      <c r="G379" t="b">
        <v>0</v>
      </c>
      <c r="H379">
        <v>0</v>
      </c>
      <c r="I379">
        <v>1</v>
      </c>
      <c r="J379">
        <v>0.4</v>
      </c>
      <c r="K379">
        <v>0.40910000000000002</v>
      </c>
      <c r="L379">
        <v>0.35</v>
      </c>
      <c r="M379">
        <v>0.28360000000000002</v>
      </c>
      <c r="N379">
        <v>11</v>
      </c>
      <c r="O379">
        <v>50</v>
      </c>
      <c r="P379">
        <v>61</v>
      </c>
    </row>
    <row r="380" spans="1:16" x14ac:dyDescent="0.2">
      <c r="A380">
        <v>989</v>
      </c>
      <c r="B380" s="61">
        <v>40587</v>
      </c>
      <c r="C380">
        <v>1</v>
      </c>
      <c r="D380">
        <v>0</v>
      </c>
      <c r="E380">
        <v>2</v>
      </c>
      <c r="F380">
        <v>20</v>
      </c>
      <c r="G380" t="b">
        <v>0</v>
      </c>
      <c r="H380">
        <v>0</v>
      </c>
      <c r="I380">
        <v>1</v>
      </c>
      <c r="J380">
        <v>0.4</v>
      </c>
      <c r="K380">
        <v>0.40910000000000002</v>
      </c>
      <c r="L380">
        <v>0.35</v>
      </c>
      <c r="M380">
        <v>0.32840000000000003</v>
      </c>
      <c r="N380">
        <v>15</v>
      </c>
      <c r="O380">
        <v>32</v>
      </c>
      <c r="P380">
        <v>47</v>
      </c>
    </row>
    <row r="381" spans="1:16" x14ac:dyDescent="0.2">
      <c r="A381">
        <v>990</v>
      </c>
      <c r="B381" s="61">
        <v>40587</v>
      </c>
      <c r="C381">
        <v>1</v>
      </c>
      <c r="D381">
        <v>0</v>
      </c>
      <c r="E381">
        <v>2</v>
      </c>
      <c r="F381">
        <v>21</v>
      </c>
      <c r="G381" t="b">
        <v>0</v>
      </c>
      <c r="H381">
        <v>0</v>
      </c>
      <c r="I381">
        <v>1</v>
      </c>
      <c r="J381">
        <v>0.4</v>
      </c>
      <c r="K381">
        <v>0.40910000000000002</v>
      </c>
      <c r="L381">
        <v>0.35</v>
      </c>
      <c r="M381">
        <v>0.35820000000000002</v>
      </c>
      <c r="N381">
        <v>6</v>
      </c>
      <c r="O381">
        <v>45</v>
      </c>
      <c r="P381">
        <v>51</v>
      </c>
    </row>
    <row r="382" spans="1:16" x14ac:dyDescent="0.2">
      <c r="A382">
        <v>991</v>
      </c>
      <c r="B382" s="61">
        <v>40587</v>
      </c>
      <c r="C382">
        <v>1</v>
      </c>
      <c r="D382">
        <v>0</v>
      </c>
      <c r="E382">
        <v>2</v>
      </c>
      <c r="F382">
        <v>22</v>
      </c>
      <c r="G382" t="b">
        <v>0</v>
      </c>
      <c r="H382">
        <v>0</v>
      </c>
      <c r="I382">
        <v>1</v>
      </c>
      <c r="J382">
        <v>0.4</v>
      </c>
      <c r="K382">
        <v>0.40910000000000002</v>
      </c>
      <c r="L382">
        <v>0.35</v>
      </c>
      <c r="M382">
        <v>0.29849999999999999</v>
      </c>
      <c r="N382">
        <v>5</v>
      </c>
      <c r="O382">
        <v>31</v>
      </c>
      <c r="P382">
        <v>36</v>
      </c>
    </row>
    <row r="383" spans="1:16" x14ac:dyDescent="0.2">
      <c r="A383">
        <v>992</v>
      </c>
      <c r="B383" s="61">
        <v>40587</v>
      </c>
      <c r="C383">
        <v>1</v>
      </c>
      <c r="D383">
        <v>0</v>
      </c>
      <c r="E383">
        <v>2</v>
      </c>
      <c r="F383">
        <v>23</v>
      </c>
      <c r="G383" t="b">
        <v>0</v>
      </c>
      <c r="H383">
        <v>0</v>
      </c>
      <c r="I383">
        <v>1</v>
      </c>
      <c r="J383">
        <v>0.4</v>
      </c>
      <c r="K383">
        <v>0.40910000000000002</v>
      </c>
      <c r="L383">
        <v>0.35</v>
      </c>
      <c r="M383">
        <v>0.35820000000000002</v>
      </c>
      <c r="N383">
        <v>3</v>
      </c>
      <c r="O383">
        <v>27</v>
      </c>
      <c r="P383">
        <v>30</v>
      </c>
    </row>
    <row r="384" spans="1:16" x14ac:dyDescent="0.2">
      <c r="A384">
        <v>993</v>
      </c>
      <c r="B384" s="61">
        <v>40588</v>
      </c>
      <c r="C384">
        <v>1</v>
      </c>
      <c r="D384">
        <v>0</v>
      </c>
      <c r="E384">
        <v>2</v>
      </c>
      <c r="F384">
        <v>0</v>
      </c>
      <c r="G384" t="b">
        <v>0</v>
      </c>
      <c r="H384">
        <v>1</v>
      </c>
      <c r="I384">
        <v>1</v>
      </c>
      <c r="J384">
        <v>0.38</v>
      </c>
      <c r="K384">
        <v>0.39389999999999997</v>
      </c>
      <c r="L384">
        <v>0.37</v>
      </c>
      <c r="M384">
        <v>0.35820000000000002</v>
      </c>
      <c r="N384">
        <v>3</v>
      </c>
      <c r="O384">
        <v>8</v>
      </c>
      <c r="P384">
        <v>11</v>
      </c>
    </row>
    <row r="385" spans="1:16" x14ac:dyDescent="0.2">
      <c r="A385">
        <v>994</v>
      </c>
      <c r="B385" s="61">
        <v>40588</v>
      </c>
      <c r="C385">
        <v>1</v>
      </c>
      <c r="D385">
        <v>0</v>
      </c>
      <c r="E385">
        <v>2</v>
      </c>
      <c r="F385">
        <v>1</v>
      </c>
      <c r="G385" t="b">
        <v>0</v>
      </c>
      <c r="H385">
        <v>1</v>
      </c>
      <c r="I385">
        <v>1</v>
      </c>
      <c r="J385">
        <v>0.38</v>
      </c>
      <c r="K385">
        <v>0.39389999999999997</v>
      </c>
      <c r="L385">
        <v>0.37</v>
      </c>
      <c r="M385">
        <v>0.35820000000000002</v>
      </c>
      <c r="N385">
        <v>1</v>
      </c>
      <c r="O385">
        <v>6</v>
      </c>
      <c r="P385">
        <v>7</v>
      </c>
    </row>
    <row r="386" spans="1:16" x14ac:dyDescent="0.2">
      <c r="A386">
        <v>995</v>
      </c>
      <c r="B386" s="61">
        <v>40588</v>
      </c>
      <c r="C386">
        <v>1</v>
      </c>
      <c r="D386">
        <v>0</v>
      </c>
      <c r="E386">
        <v>2</v>
      </c>
      <c r="F386">
        <v>2</v>
      </c>
      <c r="G386" t="b">
        <v>0</v>
      </c>
      <c r="H386">
        <v>1</v>
      </c>
      <c r="I386">
        <v>1</v>
      </c>
      <c r="J386">
        <v>0.36</v>
      </c>
      <c r="K386">
        <v>0.33329999999999999</v>
      </c>
      <c r="L386">
        <v>0.4</v>
      </c>
      <c r="M386">
        <v>0.29849999999999999</v>
      </c>
      <c r="N386">
        <v>0</v>
      </c>
      <c r="O386">
        <v>2</v>
      </c>
      <c r="P386">
        <v>2</v>
      </c>
    </row>
    <row r="387" spans="1:16" x14ac:dyDescent="0.2">
      <c r="A387">
        <v>996</v>
      </c>
      <c r="B387" s="61">
        <v>40588</v>
      </c>
      <c r="C387">
        <v>1</v>
      </c>
      <c r="D387">
        <v>0</v>
      </c>
      <c r="E387">
        <v>2</v>
      </c>
      <c r="F387">
        <v>3</v>
      </c>
      <c r="G387" t="b">
        <v>0</v>
      </c>
      <c r="H387">
        <v>1</v>
      </c>
      <c r="I387">
        <v>1</v>
      </c>
      <c r="J387">
        <v>0.34</v>
      </c>
      <c r="K387">
        <v>0.31819999999999998</v>
      </c>
      <c r="L387">
        <v>0.46</v>
      </c>
      <c r="M387">
        <v>0.22389999999999999</v>
      </c>
      <c r="N387">
        <v>1</v>
      </c>
      <c r="O387">
        <v>1</v>
      </c>
      <c r="P387">
        <v>2</v>
      </c>
    </row>
    <row r="388" spans="1:16" x14ac:dyDescent="0.2">
      <c r="A388">
        <v>997</v>
      </c>
      <c r="B388" s="61">
        <v>40588</v>
      </c>
      <c r="C388">
        <v>1</v>
      </c>
      <c r="D388">
        <v>0</v>
      </c>
      <c r="E388">
        <v>2</v>
      </c>
      <c r="F388">
        <v>4</v>
      </c>
      <c r="G388" t="b">
        <v>0</v>
      </c>
      <c r="H388">
        <v>1</v>
      </c>
      <c r="I388">
        <v>1</v>
      </c>
      <c r="J388">
        <v>0.32</v>
      </c>
      <c r="K388">
        <v>0.30299999999999999</v>
      </c>
      <c r="L388">
        <v>0.53</v>
      </c>
      <c r="M388">
        <v>0.28360000000000002</v>
      </c>
      <c r="N388">
        <v>0</v>
      </c>
      <c r="O388">
        <v>2</v>
      </c>
      <c r="P388">
        <v>2</v>
      </c>
    </row>
    <row r="389" spans="1:16" x14ac:dyDescent="0.2">
      <c r="A389">
        <v>998</v>
      </c>
      <c r="B389" s="61">
        <v>40588</v>
      </c>
      <c r="C389">
        <v>1</v>
      </c>
      <c r="D389">
        <v>0</v>
      </c>
      <c r="E389">
        <v>2</v>
      </c>
      <c r="F389">
        <v>5</v>
      </c>
      <c r="G389" t="b">
        <v>0</v>
      </c>
      <c r="H389">
        <v>1</v>
      </c>
      <c r="I389">
        <v>1</v>
      </c>
      <c r="J389">
        <v>0.32</v>
      </c>
      <c r="K389">
        <v>0.30299999999999999</v>
      </c>
      <c r="L389">
        <v>0.53</v>
      </c>
      <c r="M389">
        <v>0.28360000000000002</v>
      </c>
      <c r="N389">
        <v>0</v>
      </c>
      <c r="O389">
        <v>3</v>
      </c>
      <c r="P389">
        <v>3</v>
      </c>
    </row>
    <row r="390" spans="1:16" x14ac:dyDescent="0.2">
      <c r="A390">
        <v>999</v>
      </c>
      <c r="B390" s="61">
        <v>40588</v>
      </c>
      <c r="C390">
        <v>1</v>
      </c>
      <c r="D390">
        <v>0</v>
      </c>
      <c r="E390">
        <v>2</v>
      </c>
      <c r="F390">
        <v>6</v>
      </c>
      <c r="G390" t="b">
        <v>0</v>
      </c>
      <c r="H390">
        <v>1</v>
      </c>
      <c r="I390">
        <v>1</v>
      </c>
      <c r="J390">
        <v>0.34</v>
      </c>
      <c r="K390">
        <v>0.30299999999999999</v>
      </c>
      <c r="L390">
        <v>0.46</v>
      </c>
      <c r="M390">
        <v>0.29849999999999999</v>
      </c>
      <c r="N390">
        <v>1</v>
      </c>
      <c r="O390">
        <v>25</v>
      </c>
      <c r="P390">
        <v>26</v>
      </c>
    </row>
    <row r="391" spans="1:16" x14ac:dyDescent="0.2">
      <c r="A391">
        <v>1000</v>
      </c>
      <c r="B391" s="61">
        <v>40588</v>
      </c>
      <c r="C391">
        <v>1</v>
      </c>
      <c r="D391">
        <v>0</v>
      </c>
      <c r="E391">
        <v>2</v>
      </c>
      <c r="F391">
        <v>7</v>
      </c>
      <c r="G391" t="b">
        <v>0</v>
      </c>
      <c r="H391">
        <v>1</v>
      </c>
      <c r="I391">
        <v>1</v>
      </c>
      <c r="J391">
        <v>0.34</v>
      </c>
      <c r="K391">
        <v>0.30299999999999999</v>
      </c>
      <c r="L391">
        <v>0.46</v>
      </c>
      <c r="M391">
        <v>0.29849999999999999</v>
      </c>
      <c r="N391">
        <v>2</v>
      </c>
      <c r="O391">
        <v>96</v>
      </c>
      <c r="P391">
        <v>98</v>
      </c>
    </row>
  </sheetData>
  <pageMargins left="0.75" right="0.75" top="1" bottom="1" header="0.5" footer="0.5"/>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606C76"/>
  </sheetPr>
  <dimension ref="A1:H35"/>
  <sheetViews>
    <sheetView showGridLines="0" workbookViewId="0">
      <selection activeCell="J22" sqref="J22"/>
    </sheetView>
  </sheetViews>
  <sheetFormatPr baseColWidth="10" defaultColWidth="8.83203125" defaultRowHeight="15" x14ac:dyDescent="0.2"/>
  <cols>
    <col min="1" max="1" width="26" customWidth="1"/>
    <col min="2" max="2" width="10" customWidth="1"/>
    <col min="3" max="4" width="12" customWidth="1"/>
    <col min="5" max="5" width="22" customWidth="1"/>
    <col min="6" max="6" width="14" customWidth="1"/>
    <col min="7" max="7" width="16" customWidth="1"/>
    <col min="8" max="8" width="60" customWidth="1"/>
  </cols>
  <sheetData>
    <row r="1" spans="1:8" ht="20" x14ac:dyDescent="0.2">
      <c r="A1" s="24" t="s">
        <v>283</v>
      </c>
    </row>
    <row r="2" spans="1:8" x14ac:dyDescent="0.2">
      <c r="A2" s="25" t="s">
        <v>284</v>
      </c>
    </row>
    <row r="4" spans="1:8" ht="28" x14ac:dyDescent="0.2">
      <c r="A4" s="29" t="s">
        <v>285</v>
      </c>
      <c r="B4" s="29" t="s">
        <v>286</v>
      </c>
      <c r="C4" s="29" t="s">
        <v>287</v>
      </c>
      <c r="D4" s="29" t="s">
        <v>288</v>
      </c>
      <c r="E4" s="29" t="s">
        <v>289</v>
      </c>
      <c r="F4" s="29" t="s">
        <v>290</v>
      </c>
      <c r="G4" s="29" t="s">
        <v>291</v>
      </c>
      <c r="H4" s="29" t="s">
        <v>292</v>
      </c>
    </row>
    <row r="5" spans="1:8" ht="16" x14ac:dyDescent="0.2">
      <c r="A5" s="65" t="s">
        <v>24</v>
      </c>
      <c r="B5" s="30">
        <f>ROWS(Dataset_1!$A$2:$A$611)</f>
        <v>610</v>
      </c>
      <c r="C5" s="30">
        <v>10</v>
      </c>
      <c r="D5" s="30">
        <f>COUNTBLANK(Dataset_1!$A$2:$J$611)</f>
        <v>0</v>
      </c>
      <c r="E5" s="30">
        <f>ROWS(Dataset_1!$A$2:$A$611)-SUMPRODUCT(1/COUNTIF(Dataset_1!$A$2:$A$611,Dataset_1!$A$2:$A$611))</f>
        <v>0</v>
      </c>
      <c r="F5" s="30" t="str">
        <f>MIN(Dataset_1!$A$2:$A$611)&amp;" – "&amp;MAX(Dataset_1!$A$2:$A$611)</f>
        <v>1 – 610</v>
      </c>
      <c r="G5" s="30" t="s">
        <v>293</v>
      </c>
      <c r="H5" s="66" t="s">
        <v>294</v>
      </c>
    </row>
    <row r="6" spans="1:8" ht="32" x14ac:dyDescent="0.2">
      <c r="A6" s="65" t="s">
        <v>26</v>
      </c>
      <c r="B6" s="30">
        <f>ROWS(Dataset_2!$A$2:$A$611)</f>
        <v>610</v>
      </c>
      <c r="C6" s="30">
        <v>7</v>
      </c>
      <c r="D6" s="30">
        <f>COUNTBLANK(Dataset_2!$A$2:$G$611)</f>
        <v>0</v>
      </c>
      <c r="E6" s="30">
        <f>ROWS(Dataset_2!$A$2:$A$611)-SUMPRODUCT(1/COUNTIF(Dataset_2!$A$2:$A$611,Dataset_2!$A$2:$A$611))</f>
        <v>0</v>
      </c>
      <c r="F6" s="30" t="str">
        <f>MIN(Dataset_2!$A$2:$A$611)&amp;" – "&amp;MAX(Dataset_2!$A$2:$A$611)</f>
        <v>1 – 610</v>
      </c>
      <c r="G6" s="30" t="str">
        <f>IF(SUMPRODUCT(--(Dataset_2!$E$2:$E$611+Dataset_2!$F$2:$F$611&lt;&gt;Dataset_2!$G$2:$G$611))=0,"Yes, all rows","Mismatch")</f>
        <v>Yes, all rows</v>
      </c>
      <c r="H6" s="66" t="s">
        <v>295</v>
      </c>
    </row>
    <row r="7" spans="1:8" ht="16" x14ac:dyDescent="0.2">
      <c r="A7" s="65" t="s">
        <v>28</v>
      </c>
      <c r="B7" s="30">
        <f>ROWS(Dataset_3!$A$2:$A$391)</f>
        <v>390</v>
      </c>
      <c r="C7" s="30">
        <v>16</v>
      </c>
      <c r="D7" s="30">
        <f>COUNTBLANK(Dataset_3!$A$2:$P$391)</f>
        <v>0</v>
      </c>
      <c r="E7" s="30">
        <f>ROWS(Dataset_3!$A$2:$A$391)-SUMPRODUCT(1/COUNTIF(Dataset_3!$A$2:$A$391,Dataset_3!$A$2:$A$391))</f>
        <v>0</v>
      </c>
      <c r="F7" s="30" t="str">
        <f>MIN(Dataset_3!$A$2:$A$391)&amp;" – "&amp;MAX(Dataset_3!$A$2:$A$391)</f>
        <v>611 – 1000</v>
      </c>
      <c r="G7" s="30" t="str">
        <f>IF(SUMPRODUCT(--(Dataset_3!$N$2:$N$391+Dataset_3!$O$2:$O$391&lt;&gt;Dataset_3!$P$2:$P$391))=0,"Yes, all rows","Mismatch")</f>
        <v>Yes, all rows</v>
      </c>
      <c r="H7" s="66" t="s">
        <v>296</v>
      </c>
    </row>
    <row r="8" spans="1:8" ht="16" x14ac:dyDescent="0.2">
      <c r="A8" s="65" t="s">
        <v>297</v>
      </c>
      <c r="B8" s="30">
        <f>ROWS(Dataset_A!$A$2:$A$611)</f>
        <v>610</v>
      </c>
      <c r="C8" s="30">
        <v>16</v>
      </c>
      <c r="D8" s="30">
        <f>COUNTBLANK(Dataset_A!$A$2:$P$611)</f>
        <v>0</v>
      </c>
      <c r="E8" s="30">
        <f>ROWS(Dataset_A!$A$2:$A$611)-SUMPRODUCT(1/COUNTIF(Dataset_A!$A$2:$A$611,Dataset_A!$A$2:$A$611))</f>
        <v>0</v>
      </c>
      <c r="F8" s="30" t="str">
        <f>MIN(Dataset_A!$A$2:$A$611)&amp;" – "&amp;MAX(Dataset_A!$A$2:$A$611)</f>
        <v>1 – 610</v>
      </c>
      <c r="G8" s="30" t="str">
        <f>IF(SUMPRODUCT(--(Dataset_A!$N$2:$N$611+Dataset_A!$O$2:$O$611&lt;&gt;Dataset_A!$P$2:$P$611))=0,"Yes, all rows","Mismatch")</f>
        <v>Yes, all rows</v>
      </c>
      <c r="H8" s="66" t="s">
        <v>298</v>
      </c>
    </row>
    <row r="9" spans="1:8" ht="16" x14ac:dyDescent="0.2">
      <c r="A9" s="65" t="s">
        <v>299</v>
      </c>
      <c r="B9" s="30">
        <f>ROWS(Final_Dataset!$A$2:$A$1001)</f>
        <v>1000</v>
      </c>
      <c r="C9" s="30">
        <v>16</v>
      </c>
      <c r="D9" s="30">
        <f>COUNTBLANK(Final_Dataset!$A$2:$P$1001)</f>
        <v>0</v>
      </c>
      <c r="E9" s="30">
        <f>ROWS(Final_Dataset!$A$2:$A$1001)-SUMPRODUCT(1/COUNTIF(Final_Dataset!$A$2:$A$1001,Final_Dataset!$A$2:$A$1001))</f>
        <v>0</v>
      </c>
      <c r="F9" s="30" t="str">
        <f>MIN(Final_Dataset!$A$2:$A$1001)&amp;" – "&amp;MAX(Final_Dataset!$A$2:$A$1001)</f>
        <v>1 – 1000</v>
      </c>
      <c r="G9" s="30" t="str">
        <f>IF(SUMPRODUCT(--(f_casual+f_registered&lt;&gt;f_cnt))=0,"Yes, all rows","Mismatch")</f>
        <v>Yes, all rows</v>
      </c>
      <c r="H9" s="66" t="s">
        <v>300</v>
      </c>
    </row>
    <row r="12" spans="1:8" ht="16" x14ac:dyDescent="0.2">
      <c r="A12" s="5" t="s">
        <v>301</v>
      </c>
    </row>
    <row r="13" spans="1:8" ht="28" customHeight="1" x14ac:dyDescent="0.2">
      <c r="A13" s="127" t="s">
        <v>302</v>
      </c>
      <c r="B13" s="104"/>
      <c r="C13" s="104"/>
      <c r="D13" s="104"/>
      <c r="E13" s="104"/>
      <c r="F13" s="104"/>
      <c r="G13" s="104"/>
      <c r="H13" s="104"/>
    </row>
    <row r="14" spans="1:8" ht="28" customHeight="1" x14ac:dyDescent="0.2">
      <c r="A14" s="127" t="s">
        <v>303</v>
      </c>
      <c r="B14" s="104"/>
      <c r="C14" s="104"/>
      <c r="D14" s="104"/>
      <c r="E14" s="104"/>
      <c r="F14" s="104"/>
      <c r="G14" s="104"/>
      <c r="H14" s="104"/>
    </row>
    <row r="15" spans="1:8" ht="28" customHeight="1" x14ac:dyDescent="0.2">
      <c r="A15" s="127" t="s">
        <v>304</v>
      </c>
      <c r="B15" s="104"/>
      <c r="C15" s="104"/>
      <c r="D15" s="104"/>
      <c r="E15" s="104"/>
      <c r="F15" s="104"/>
      <c r="G15" s="104"/>
      <c r="H15" s="104"/>
    </row>
    <row r="16" spans="1:8" ht="28" customHeight="1" x14ac:dyDescent="0.2">
      <c r="A16" s="127" t="s">
        <v>305</v>
      </c>
      <c r="B16" s="104"/>
      <c r="C16" s="104"/>
      <c r="D16" s="104"/>
      <c r="E16" s="104"/>
      <c r="F16" s="104"/>
      <c r="G16" s="104"/>
      <c r="H16" s="104"/>
    </row>
    <row r="17" spans="1:8" ht="28" customHeight="1" x14ac:dyDescent="0.2">
      <c r="A17" s="127" t="s">
        <v>306</v>
      </c>
      <c r="B17" s="104"/>
      <c r="C17" s="104"/>
      <c r="D17" s="104"/>
      <c r="E17" s="104"/>
      <c r="F17" s="104"/>
      <c r="G17" s="104"/>
      <c r="H17" s="104"/>
    </row>
    <row r="18" spans="1:8" ht="28" customHeight="1" x14ac:dyDescent="0.2">
      <c r="A18" s="127" t="s">
        <v>307</v>
      </c>
      <c r="B18" s="104"/>
      <c r="C18" s="104"/>
      <c r="D18" s="104"/>
      <c r="E18" s="104"/>
      <c r="F18" s="104"/>
      <c r="G18" s="104"/>
      <c r="H18" s="104"/>
    </row>
    <row r="19" spans="1:8" ht="28" customHeight="1" x14ac:dyDescent="0.2">
      <c r="A19" s="127" t="s">
        <v>308</v>
      </c>
      <c r="B19" s="104"/>
      <c r="C19" s="104"/>
      <c r="D19" s="104"/>
      <c r="E19" s="104"/>
      <c r="F19" s="104"/>
      <c r="G19" s="104"/>
      <c r="H19" s="104"/>
    </row>
    <row r="22" spans="1:8" ht="16" x14ac:dyDescent="0.2">
      <c r="A22" s="5" t="s">
        <v>309</v>
      </c>
    </row>
    <row r="23" spans="1:8" x14ac:dyDescent="0.2">
      <c r="A23" s="29" t="s">
        <v>310</v>
      </c>
      <c r="B23" s="29" t="s">
        <v>100</v>
      </c>
      <c r="C23" s="29" t="s">
        <v>311</v>
      </c>
      <c r="E23" s="29" t="s">
        <v>312</v>
      </c>
      <c r="F23" s="29" t="s">
        <v>139</v>
      </c>
      <c r="G23" s="29" t="s">
        <v>138</v>
      </c>
      <c r="H23" s="29" t="s">
        <v>313</v>
      </c>
    </row>
    <row r="24" spans="1:8" x14ac:dyDescent="0.2">
      <c r="A24" s="35" t="s">
        <v>111</v>
      </c>
      <c r="B24" s="35">
        <f>COUNTIF(Dataset_1!$I$2:$I$611,1)</f>
        <v>368</v>
      </c>
      <c r="C24" s="46">
        <f>IFERROR(AVERAGEIF(Dataset_1!$I$2:$I$611,1,Dataset_1!$J$2:$J$611),0)</f>
        <v>0.1806521739130435</v>
      </c>
      <c r="E24" s="35" t="s">
        <v>314</v>
      </c>
      <c r="F24" s="67">
        <f>SUM(Dataset_2!E2:E611)</f>
        <v>2746</v>
      </c>
      <c r="G24" s="67">
        <f>SUM(Dataset_2!F2:F611)</f>
        <v>31152</v>
      </c>
      <c r="H24" s="67">
        <f>SUM(Dataset_2!G2:G611)</f>
        <v>33898</v>
      </c>
    </row>
    <row r="25" spans="1:8" x14ac:dyDescent="0.2">
      <c r="A25" s="35" t="s">
        <v>112</v>
      </c>
      <c r="B25" s="35">
        <f>COUNTIF(Dataset_1!$I$2:$I$611,2)</f>
        <v>194</v>
      </c>
      <c r="C25" s="46">
        <f>IFERROR(AVERAGEIF(Dataset_1!$I$2:$I$611,2,Dataset_1!$J$2:$J$611),0)</f>
        <v>0.22164948453608221</v>
      </c>
      <c r="E25" s="35" t="s">
        <v>315</v>
      </c>
      <c r="F25" s="67">
        <f>AVERAGE(Dataset_2!E2:E611)</f>
        <v>4.5016393442622951</v>
      </c>
      <c r="G25" s="67">
        <f>AVERAGE(Dataset_2!F2:F611)</f>
        <v>51.068852459016391</v>
      </c>
      <c r="H25" s="67">
        <f>AVERAGE(Dataset_2!G2:G611)</f>
        <v>55.570491803278685</v>
      </c>
    </row>
    <row r="26" spans="1:8" x14ac:dyDescent="0.2">
      <c r="A26" s="35" t="s">
        <v>113</v>
      </c>
      <c r="B26" s="35">
        <f>COUNTIF(Dataset_1!$I$2:$I$611,3)</f>
        <v>47</v>
      </c>
      <c r="C26" s="46">
        <f>IFERROR(AVERAGEIF(Dataset_1!$I$2:$I$611,3,Dataset_1!$J$2:$J$611),0)</f>
        <v>0.22127659574468087</v>
      </c>
      <c r="E26" s="35" t="s">
        <v>316</v>
      </c>
      <c r="F26" s="67">
        <f>MAX(Dataset_2!E2:E611)</f>
        <v>47</v>
      </c>
      <c r="G26" s="67">
        <f>MAX(Dataset_2!F2:F611)</f>
        <v>247</v>
      </c>
      <c r="H26" s="67">
        <f>MAX(Dataset_2!G2:G611)</f>
        <v>249</v>
      </c>
    </row>
    <row r="27" spans="1:8" x14ac:dyDescent="0.2">
      <c r="A27" s="35" t="s">
        <v>114</v>
      </c>
      <c r="B27" s="35">
        <f>COUNTIF(Dataset_1!$I$2:$I$611,4)</f>
        <v>1</v>
      </c>
      <c r="C27" s="46">
        <f>IFERROR(AVERAGEIF(Dataset_1!$I$2:$I$611,4,Dataset_1!$J$2:$J$611),0)</f>
        <v>0.22</v>
      </c>
      <c r="E27" s="35" t="s">
        <v>317</v>
      </c>
      <c r="F27" s="67">
        <f>STDEV(Dataset_2!E2:E611)</f>
        <v>6.3199450176174228</v>
      </c>
      <c r="G27" s="67">
        <f>STDEV(Dataset_2!F2:F611)</f>
        <v>47.021203828894322</v>
      </c>
      <c r="H27" s="67">
        <f>STDEV(Dataset_2!G2:G611)</f>
        <v>49.316801509098106</v>
      </c>
    </row>
    <row r="30" spans="1:8" x14ac:dyDescent="0.2">
      <c r="A30" s="29" t="s">
        <v>318</v>
      </c>
      <c r="B30" s="29" t="s">
        <v>100</v>
      </c>
      <c r="C30" s="29" t="s">
        <v>319</v>
      </c>
      <c r="E30" s="29" t="s">
        <v>320</v>
      </c>
      <c r="F30" s="29" t="s">
        <v>321</v>
      </c>
      <c r="G30" s="29" t="s">
        <v>322</v>
      </c>
      <c r="H30" s="29" t="s">
        <v>323</v>
      </c>
    </row>
    <row r="31" spans="1:8" x14ac:dyDescent="0.2">
      <c r="A31" s="35" t="s">
        <v>111</v>
      </c>
      <c r="B31" s="35">
        <f>COUNTIF(Dataset_3!$I$2:$I$391,1)</f>
        <v>238</v>
      </c>
      <c r="C31" s="31">
        <f>IFERROR(AVERAGEIF(Dataset_3!$I$2:$I$391,1,Dataset_3!$P$2:$P$391),0)</f>
        <v>64.705882352941174</v>
      </c>
      <c r="E31" s="35" t="s">
        <v>324</v>
      </c>
      <c r="F31" s="31">
        <f>IFERROR(AVERAGEIFS(Dataset_A!$N$2:$N$611,Dataset_A!$F$2:$F$611,"&gt;=0",Dataset_A!$F$2:$F$611,"&lt;=5"),0)</f>
        <v>0.83088235294117652</v>
      </c>
      <c r="G31" s="31">
        <f>IFERROR(AVERAGEIFS(Dataset_A!$O$2:$O$611,Dataset_A!$F$2:$F$611,"&gt;=0",Dataset_A!$F$2:$F$611,"&lt;=5"),0)</f>
        <v>6.4338235294117645</v>
      </c>
      <c r="H31" s="31">
        <f>IFERROR(AVERAGEIFS(Dataset_A!$P$2:$P$611,Dataset_A!$F$2:$F$611,"&gt;=0",Dataset_A!$F$2:$F$611,"&lt;=5"),0)</f>
        <v>7.2647058823529411</v>
      </c>
    </row>
    <row r="32" spans="1:8" x14ac:dyDescent="0.2">
      <c r="A32" s="35" t="s">
        <v>112</v>
      </c>
      <c r="B32" s="35">
        <f>COUNTIF(Dataset_3!$I$2:$I$391,2)</f>
        <v>115</v>
      </c>
      <c r="C32" s="31">
        <f>IFERROR(AVERAGEIF(Dataset_3!$I$2:$I$391,2,Dataset_3!$P$2:$P$391),0)</f>
        <v>66.782608695652172</v>
      </c>
      <c r="E32" s="35" t="s">
        <v>325</v>
      </c>
      <c r="F32" s="31">
        <f>IFERROR(AVERAGEIFS(Dataset_A!$N$2:$N$611,Dataset_A!$F$2:$F$611,"&gt;=6",Dataset_A!$F$2:$F$611,"&lt;=11"),0)</f>
        <v>3.7179487179487181</v>
      </c>
      <c r="G32" s="31">
        <f>IFERROR(AVERAGEIFS(Dataset_A!$O$2:$O$611,Dataset_A!$F$2:$F$611,"&gt;=6",Dataset_A!$F$2:$F$611,"&lt;=11"),0)</f>
        <v>61.275641025641029</v>
      </c>
      <c r="H32" s="31">
        <f>IFERROR(AVERAGEIFS(Dataset_A!$P$2:$P$611,Dataset_A!$F$2:$F$611,"&gt;=6",Dataset_A!$F$2:$F$611,"&lt;=11"),0)</f>
        <v>64.993589743589737</v>
      </c>
    </row>
    <row r="33" spans="1:8" x14ac:dyDescent="0.2">
      <c r="A33" s="35" t="s">
        <v>113</v>
      </c>
      <c r="B33" s="35">
        <f>COUNTIF(Dataset_3!$I$2:$I$391,3)</f>
        <v>37</v>
      </c>
      <c r="C33" s="31">
        <f>IFERROR(AVERAGEIF(Dataset_3!$I$2:$I$391,3,Dataset_3!$P$2:$P$391),0)</f>
        <v>35.837837837837839</v>
      </c>
      <c r="E33" s="35" t="s">
        <v>326</v>
      </c>
      <c r="F33" s="31">
        <f>IFERROR(AVERAGEIFS(Dataset_A!$N$2:$N$611,Dataset_A!$F$2:$F$611,"&gt;=12",Dataset_A!$F$2:$F$611,"&lt;=16"),0)</f>
        <v>9.9407407407407415</v>
      </c>
      <c r="G33" s="31">
        <f>IFERROR(AVERAGEIFS(Dataset_A!$O$2:$O$611,Dataset_A!$F$2:$F$611,"&gt;=12",Dataset_A!$F$2:$F$611,"&lt;=16"),0)</f>
        <v>63.481481481481481</v>
      </c>
      <c r="H33" s="31">
        <f>IFERROR(AVERAGEIFS(Dataset_A!$P$2:$P$611,Dataset_A!$F$2:$F$611,"&gt;=12",Dataset_A!$F$2:$F$611,"&lt;=16"),0)</f>
        <v>73.422222222222217</v>
      </c>
    </row>
    <row r="34" spans="1:8" x14ac:dyDescent="0.2">
      <c r="A34" s="35" t="s">
        <v>114</v>
      </c>
      <c r="B34" s="35">
        <f>COUNTIF(Dataset_3!$I$2:$I$391,4)</f>
        <v>0</v>
      </c>
      <c r="C34" s="31">
        <f>IFERROR(AVERAGEIF(Dataset_3!$I$2:$I$391,4,Dataset_3!$P$2:$P$391),0)</f>
        <v>0</v>
      </c>
      <c r="E34" s="35" t="s">
        <v>327</v>
      </c>
      <c r="F34" s="31">
        <f>IFERROR(AVERAGEIFS(Dataset_A!$N$2:$N$611,Dataset_A!$F$2:$F$611,"&gt;=17",Dataset_A!$F$2:$F$611,"&lt;=20"),0)</f>
        <v>5.1047619047619044</v>
      </c>
      <c r="G34" s="31">
        <f>IFERROR(AVERAGEIFS(Dataset_A!$O$2:$O$611,Dataset_A!$F$2:$F$611,"&gt;=17",Dataset_A!$F$2:$F$611,"&lt;=20"),0)</f>
        <v>93.80952380952381</v>
      </c>
      <c r="H34" s="31">
        <f>IFERROR(AVERAGEIFS(Dataset_A!$P$2:$P$611,Dataset_A!$F$2:$F$611,"&gt;=17",Dataset_A!$F$2:$F$611,"&lt;=20"),0)</f>
        <v>98.914285714285711</v>
      </c>
    </row>
    <row r="35" spans="1:8" x14ac:dyDescent="0.2">
      <c r="E35" s="35" t="s">
        <v>328</v>
      </c>
      <c r="F35" s="31">
        <f>IFERROR(AVERAGEIFS(Dataset_A!$N$2:$N$611,Dataset_A!$F$2:$F$611,"&gt;=21",Dataset_A!$F$2:$F$611,"&lt;=23"),0)</f>
        <v>2.2435897435897436</v>
      </c>
      <c r="G35" s="31">
        <f>IFERROR(AVERAGEIFS(Dataset_A!$O$2:$O$611,Dataset_A!$F$2:$F$611,"&gt;=21",Dataset_A!$F$2:$F$611,"&lt;=23"),0)</f>
        <v>29.46153846153846</v>
      </c>
      <c r="H35" s="31">
        <f>IFERROR(AVERAGEIFS(Dataset_A!$P$2:$P$611,Dataset_A!$F$2:$F$611,"&gt;=21",Dataset_A!$F$2:$F$611,"&lt;=23"),0)</f>
        <v>31.705128205128204</v>
      </c>
    </row>
  </sheetData>
  <mergeCells count="7">
    <mergeCell ref="A13:H13"/>
    <mergeCell ref="A14:H14"/>
    <mergeCell ref="A19:H19"/>
    <mergeCell ref="A17:H17"/>
    <mergeCell ref="A18:H18"/>
    <mergeCell ref="A15:H15"/>
    <mergeCell ref="A16:H16"/>
  </mergeCells>
  <conditionalFormatting sqref="D5:E9">
    <cfRule type="expression" dxfId="1" priority="1">
      <formula>D5&gt;0</formula>
    </cfRule>
    <cfRule type="expression" dxfId="0" priority="2">
      <formula>D5=0</formula>
    </cfRule>
  </conditionalFormatting>
  <pageMargins left="0.75" right="0.75" top="1" bottom="1" header="0.5" footer="0.5"/>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E9C46A"/>
  </sheetPr>
  <dimension ref="A1:H45"/>
  <sheetViews>
    <sheetView showGridLines="0" workbookViewId="0">
      <selection activeCell="F18" sqref="F18"/>
    </sheetView>
  </sheetViews>
  <sheetFormatPr baseColWidth="10" defaultColWidth="8.83203125" defaultRowHeight="15" x14ac:dyDescent="0.2"/>
  <cols>
    <col min="1" max="1" width="18" customWidth="1"/>
    <col min="2" max="2" width="20" customWidth="1"/>
    <col min="3" max="3" width="36" customWidth="1"/>
    <col min="4" max="4" width="3" customWidth="1"/>
    <col min="5" max="5" width="14" customWidth="1"/>
    <col min="6" max="6" width="18" customWidth="1"/>
    <col min="7" max="7" width="12" customWidth="1"/>
    <col min="8" max="8" width="16" customWidth="1"/>
  </cols>
  <sheetData>
    <row r="1" spans="1:8" ht="20" x14ac:dyDescent="0.2">
      <c r="A1" s="24" t="s">
        <v>329</v>
      </c>
    </row>
    <row r="2" spans="1:8" x14ac:dyDescent="0.2">
      <c r="A2" s="25" t="s">
        <v>330</v>
      </c>
    </row>
    <row r="4" spans="1:8" x14ac:dyDescent="0.2">
      <c r="A4" s="29" t="s">
        <v>331</v>
      </c>
      <c r="B4" s="29" t="s">
        <v>332</v>
      </c>
      <c r="C4" s="29" t="s">
        <v>333</v>
      </c>
      <c r="E4" s="68" t="s">
        <v>334</v>
      </c>
      <c r="F4" s="68" t="s">
        <v>335</v>
      </c>
      <c r="G4" s="68" t="s">
        <v>336</v>
      </c>
      <c r="H4" s="68" t="s">
        <v>337</v>
      </c>
    </row>
    <row r="5" spans="1:8" ht="16" x14ac:dyDescent="0.2">
      <c r="A5" s="30">
        <v>1</v>
      </c>
      <c r="B5" s="66" t="s">
        <v>111</v>
      </c>
      <c r="C5" s="66" t="s">
        <v>338</v>
      </c>
      <c r="E5" s="35" t="s">
        <v>50</v>
      </c>
      <c r="F5" s="35" t="s">
        <v>50</v>
      </c>
      <c r="G5" s="35" t="s">
        <v>50</v>
      </c>
      <c r="H5" s="35" t="s">
        <v>50</v>
      </c>
    </row>
    <row r="6" spans="1:8" ht="16" x14ac:dyDescent="0.2">
      <c r="A6" s="30">
        <v>2</v>
      </c>
      <c r="B6" s="66" t="s">
        <v>112</v>
      </c>
      <c r="C6" s="66" t="s">
        <v>339</v>
      </c>
      <c r="E6" s="35" t="s">
        <v>340</v>
      </c>
      <c r="F6" s="35" t="s">
        <v>111</v>
      </c>
      <c r="G6" s="35" t="s">
        <v>134</v>
      </c>
      <c r="H6" s="35" t="s">
        <v>117</v>
      </c>
    </row>
    <row r="7" spans="1:8" ht="16" x14ac:dyDescent="0.2">
      <c r="A7" s="30">
        <v>3</v>
      </c>
      <c r="B7" s="66" t="s">
        <v>113</v>
      </c>
      <c r="C7" s="66" t="s">
        <v>341</v>
      </c>
      <c r="E7" s="35" t="s">
        <v>342</v>
      </c>
      <c r="F7" s="35" t="s">
        <v>112</v>
      </c>
      <c r="G7" s="35" t="s">
        <v>135</v>
      </c>
      <c r="H7" s="35" t="s">
        <v>118</v>
      </c>
    </row>
    <row r="8" spans="1:8" ht="16" x14ac:dyDescent="0.2">
      <c r="A8" s="30">
        <v>4</v>
      </c>
      <c r="B8" s="66" t="s">
        <v>114</v>
      </c>
      <c r="C8" s="66" t="s">
        <v>343</v>
      </c>
      <c r="F8" s="35" t="s">
        <v>113</v>
      </c>
      <c r="H8" s="35" t="s">
        <v>119</v>
      </c>
    </row>
    <row r="9" spans="1:8" x14ac:dyDescent="0.2">
      <c r="F9" s="35" t="s">
        <v>114</v>
      </c>
      <c r="H9" s="35" t="s">
        <v>120</v>
      </c>
    </row>
    <row r="10" spans="1:8" x14ac:dyDescent="0.2">
      <c r="H10" s="35" t="s">
        <v>121</v>
      </c>
    </row>
    <row r="11" spans="1:8" x14ac:dyDescent="0.2">
      <c r="A11" s="29" t="s">
        <v>344</v>
      </c>
      <c r="B11" s="29" t="s">
        <v>345</v>
      </c>
    </row>
    <row r="12" spans="1:8" x14ac:dyDescent="0.2">
      <c r="A12" s="35">
        <v>1</v>
      </c>
      <c r="B12" s="35" t="s">
        <v>346</v>
      </c>
    </row>
    <row r="13" spans="1:8" x14ac:dyDescent="0.2">
      <c r="A13" s="35">
        <v>2</v>
      </c>
      <c r="B13" s="35" t="s">
        <v>347</v>
      </c>
    </row>
    <row r="14" spans="1:8" x14ac:dyDescent="0.2">
      <c r="A14" s="35">
        <v>3</v>
      </c>
      <c r="B14" s="35" t="s">
        <v>348</v>
      </c>
    </row>
    <row r="15" spans="1:8" x14ac:dyDescent="0.2">
      <c r="A15" s="35">
        <v>4</v>
      </c>
      <c r="B15" s="35" t="s">
        <v>349</v>
      </c>
    </row>
    <row r="18" spans="1:3" x14ac:dyDescent="0.2">
      <c r="A18" s="29" t="s">
        <v>350</v>
      </c>
      <c r="B18" s="29" t="s">
        <v>116</v>
      </c>
      <c r="C18" s="29" t="s">
        <v>100</v>
      </c>
    </row>
    <row r="19" spans="1:3" x14ac:dyDescent="0.2">
      <c r="A19" s="35">
        <v>0</v>
      </c>
      <c r="B19" s="35" t="s">
        <v>117</v>
      </c>
      <c r="C19" s="35" t="s">
        <v>351</v>
      </c>
    </row>
    <row r="20" spans="1:3" x14ac:dyDescent="0.2">
      <c r="A20" s="35">
        <v>6</v>
      </c>
      <c r="B20" s="35" t="s">
        <v>118</v>
      </c>
      <c r="C20" s="35" t="s">
        <v>352</v>
      </c>
    </row>
    <row r="21" spans="1:3" x14ac:dyDescent="0.2">
      <c r="A21" s="35">
        <v>12</v>
      </c>
      <c r="B21" s="35" t="s">
        <v>119</v>
      </c>
      <c r="C21" s="35" t="s">
        <v>353</v>
      </c>
    </row>
    <row r="22" spans="1:3" x14ac:dyDescent="0.2">
      <c r="A22" s="35">
        <v>17</v>
      </c>
      <c r="B22" s="35" t="s">
        <v>120</v>
      </c>
      <c r="C22" s="35" t="s">
        <v>354</v>
      </c>
    </row>
    <row r="23" spans="1:3" x14ac:dyDescent="0.2">
      <c r="A23" s="35">
        <v>21</v>
      </c>
      <c r="B23" s="35" t="s">
        <v>121</v>
      </c>
      <c r="C23" s="35" t="s">
        <v>355</v>
      </c>
    </row>
    <row r="26" spans="1:3" ht="28" x14ac:dyDescent="0.2">
      <c r="A26" s="29" t="s">
        <v>356</v>
      </c>
      <c r="B26" s="29" t="s">
        <v>357</v>
      </c>
    </row>
    <row r="27" spans="1:3" x14ac:dyDescent="0.2">
      <c r="A27" s="69">
        <v>0</v>
      </c>
      <c r="B27" s="35" t="s">
        <v>124</v>
      </c>
    </row>
    <row r="28" spans="1:3" x14ac:dyDescent="0.2">
      <c r="A28" s="69">
        <v>0.2</v>
      </c>
      <c r="B28" s="35" t="s">
        <v>125</v>
      </c>
    </row>
    <row r="29" spans="1:3" x14ac:dyDescent="0.2">
      <c r="A29" s="69">
        <v>0.3</v>
      </c>
      <c r="B29" s="35" t="s">
        <v>126</v>
      </c>
    </row>
    <row r="32" spans="1:3" x14ac:dyDescent="0.2">
      <c r="A32" s="29" t="s">
        <v>358</v>
      </c>
      <c r="B32" s="29" t="s">
        <v>359</v>
      </c>
    </row>
    <row r="33" spans="1:3" x14ac:dyDescent="0.2">
      <c r="A33" s="69">
        <v>0</v>
      </c>
      <c r="B33" s="35" t="s">
        <v>129</v>
      </c>
    </row>
    <row r="34" spans="1:3" x14ac:dyDescent="0.2">
      <c r="A34" s="69">
        <v>0.5</v>
      </c>
      <c r="B34" s="35" t="s">
        <v>130</v>
      </c>
    </row>
    <row r="35" spans="1:3" x14ac:dyDescent="0.2">
      <c r="A35" s="69">
        <v>0.75</v>
      </c>
      <c r="B35" s="35" t="s">
        <v>131</v>
      </c>
    </row>
    <row r="38" spans="1:3" x14ac:dyDescent="0.2">
      <c r="A38" s="29" t="s">
        <v>360</v>
      </c>
      <c r="B38" s="29" t="s">
        <v>361</v>
      </c>
      <c r="C38" s="29" t="s">
        <v>362</v>
      </c>
    </row>
    <row r="39" spans="1:3" x14ac:dyDescent="0.2">
      <c r="A39" s="35">
        <v>0</v>
      </c>
      <c r="B39" s="35" t="s">
        <v>74</v>
      </c>
      <c r="C39" s="35" t="s">
        <v>342</v>
      </c>
    </row>
    <row r="40" spans="1:3" x14ac:dyDescent="0.2">
      <c r="A40" s="35">
        <v>1</v>
      </c>
      <c r="B40" s="35" t="s">
        <v>66</v>
      </c>
      <c r="C40" s="35" t="s">
        <v>340</v>
      </c>
    </row>
    <row r="41" spans="1:3" x14ac:dyDescent="0.2">
      <c r="A41" s="35">
        <v>2</v>
      </c>
      <c r="B41" s="35" t="s">
        <v>68</v>
      </c>
      <c r="C41" s="35" t="s">
        <v>340</v>
      </c>
    </row>
    <row r="42" spans="1:3" x14ac:dyDescent="0.2">
      <c r="A42" s="35">
        <v>3</v>
      </c>
      <c r="B42" s="35" t="s">
        <v>69</v>
      </c>
      <c r="C42" s="35" t="s">
        <v>340</v>
      </c>
    </row>
    <row r="43" spans="1:3" x14ac:dyDescent="0.2">
      <c r="A43" s="35">
        <v>4</v>
      </c>
      <c r="B43" s="35" t="s">
        <v>70</v>
      </c>
      <c r="C43" s="35" t="s">
        <v>340</v>
      </c>
    </row>
    <row r="44" spans="1:3" x14ac:dyDescent="0.2">
      <c r="A44" s="35">
        <v>5</v>
      </c>
      <c r="B44" s="35" t="s">
        <v>71</v>
      </c>
      <c r="C44" s="35" t="s">
        <v>340</v>
      </c>
    </row>
    <row r="45" spans="1:3" x14ac:dyDescent="0.2">
      <c r="A45" s="35">
        <v>6</v>
      </c>
      <c r="B45" s="35" t="s">
        <v>72</v>
      </c>
      <c r="C45" s="35" t="s">
        <v>342</v>
      </c>
    </row>
  </sheetData>
  <pageMargins left="0.75" right="0.75" top="1" bottom="1" header="0.5" footer="0.5"/>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E9C46A"/>
  </sheetPr>
  <dimension ref="A1:R105"/>
  <sheetViews>
    <sheetView showGridLines="0" workbookViewId="0">
      <selection activeCell="D60" sqref="A60:D60"/>
    </sheetView>
  </sheetViews>
  <sheetFormatPr baseColWidth="10" defaultColWidth="8.83203125" defaultRowHeight="15" x14ac:dyDescent="0.2"/>
  <cols>
    <col min="1" max="1" width="26" customWidth="1"/>
    <col min="2" max="3" width="14" customWidth="1"/>
    <col min="4" max="4" width="12" customWidth="1"/>
    <col min="5" max="5" width="8" customWidth="1"/>
    <col min="6" max="6" width="11" customWidth="1"/>
    <col min="7" max="7" width="14" customWidth="1"/>
    <col min="8" max="8" width="11" customWidth="1"/>
    <col min="9" max="9" width="16" customWidth="1"/>
    <col min="10" max="10" width="11" customWidth="1"/>
    <col min="11" max="11" width="14" customWidth="1"/>
    <col min="12" max="12" width="11" customWidth="1"/>
    <col min="13" max="13" width="8" customWidth="1"/>
    <col min="14" max="14" width="3" customWidth="1"/>
    <col min="15" max="15" width="24" customWidth="1"/>
    <col min="16" max="16" width="11" customWidth="1"/>
    <col min="17" max="18" width="10" customWidth="1"/>
  </cols>
  <sheetData>
    <row r="1" spans="1:2" ht="20" x14ac:dyDescent="0.2">
      <c r="A1" s="24" t="s">
        <v>363</v>
      </c>
    </row>
    <row r="2" spans="1:2" x14ac:dyDescent="0.2">
      <c r="A2" s="25" t="s">
        <v>364</v>
      </c>
    </row>
    <row r="3" spans="1:2" ht="16" thickBot="1" x14ac:dyDescent="0.25"/>
    <row r="4" spans="1:2" ht="16" thickBot="1" x14ac:dyDescent="0.25">
      <c r="A4" s="128" t="s">
        <v>365</v>
      </c>
      <c r="B4" s="129"/>
    </row>
    <row r="5" spans="1:2" x14ac:dyDescent="0.2">
      <c r="A5" s="78" t="s">
        <v>362</v>
      </c>
      <c r="B5" s="79" t="str">
        <f>IF(OR(Dashboard!$B$6="All",Dashboard!$B$6=""),"*",Dashboard!$B$6)</f>
        <v>*</v>
      </c>
    </row>
    <row r="6" spans="1:2" x14ac:dyDescent="0.2">
      <c r="A6" s="73" t="s">
        <v>110</v>
      </c>
      <c r="B6" s="74" t="str">
        <f>IF(OR(Dashboard!$H$6="All",Dashboard!$H$6=""),"*",Dashboard!$H$6)</f>
        <v>*</v>
      </c>
    </row>
    <row r="7" spans="1:2" x14ac:dyDescent="0.2">
      <c r="A7" s="73" t="s">
        <v>133</v>
      </c>
      <c r="B7" s="74" t="str">
        <f>IF(OR(Dashboard!$N$6="All",Dashboard!$N$6=""),"*",Dashboard!$N$6)</f>
        <v>*</v>
      </c>
    </row>
    <row r="8" spans="1:2" x14ac:dyDescent="0.2">
      <c r="A8" s="73" t="s">
        <v>116</v>
      </c>
      <c r="B8" s="74" t="str">
        <f>IF(OR(Dashboard!$T$6="All",Dashboard!$T$6=""),"*",Dashboard!$T$6)</f>
        <v>*</v>
      </c>
    </row>
    <row r="9" spans="1:2" x14ac:dyDescent="0.2">
      <c r="A9" s="73" t="s">
        <v>366</v>
      </c>
      <c r="B9" s="75">
        <f>IF(Dashboard!$Z$6="",DATE(2011,1,1),Dashboard!$Z$6)</f>
        <v>40544</v>
      </c>
    </row>
    <row r="10" spans="1:2" ht="16" thickBot="1" x14ac:dyDescent="0.25">
      <c r="A10" s="76" t="s">
        <v>367</v>
      </c>
      <c r="B10" s="77">
        <f>IF(Dashboard!$AF$6="",DATE(2011,2,14),Dashboard!$AF$6)</f>
        <v>40588</v>
      </c>
    </row>
    <row r="11" spans="1:2" ht="16" thickBot="1" x14ac:dyDescent="0.25"/>
    <row r="12" spans="1:2" ht="16" thickBot="1" x14ac:dyDescent="0.25">
      <c r="A12" s="128" t="s">
        <v>368</v>
      </c>
      <c r="B12" s="129"/>
    </row>
    <row r="13" spans="1:2" x14ac:dyDescent="0.2">
      <c r="A13" s="78" t="s">
        <v>150</v>
      </c>
      <c r="B13" s="93">
        <f>SUMIFS(f_cnt,f_Day_Type,$B$5,f_Weather,$B$6,f_Month,$B$7,f_Time_Band,$B$8,f_dteday,"&gt;="&amp;$B$9,f_dteday,"&lt;="&amp;$B$10,f_Visible,1)</f>
        <v>58304</v>
      </c>
    </row>
    <row r="14" spans="1:2" x14ac:dyDescent="0.2">
      <c r="A14" s="73" t="s">
        <v>369</v>
      </c>
      <c r="B14" s="80">
        <f>SUMIFS(f_registered,f_Day_Type,$B$5,f_Weather,$B$6,f_Month,$B$7,f_Time_Band,$B$8,f_dteday,"&gt;="&amp;$B$9,f_dteday,"&lt;="&amp;$B$10,f_Visible,1)</f>
        <v>53383</v>
      </c>
    </row>
    <row r="15" spans="1:2" x14ac:dyDescent="0.2">
      <c r="A15" s="73" t="s">
        <v>370</v>
      </c>
      <c r="B15" s="80">
        <f>SUMIFS(f_casual,f_Day_Type,$B$5,f_Weather,$B$6,f_Month,$B$7,f_Time_Band,$B$8,f_dteday,"&gt;="&amp;$B$9,f_dteday,"&lt;="&amp;$B$10,f_Visible,1)</f>
        <v>4921</v>
      </c>
    </row>
    <row r="16" spans="1:2" x14ac:dyDescent="0.2">
      <c r="A16" s="73" t="s">
        <v>371</v>
      </c>
      <c r="B16" s="80">
        <f>COUNTIFS(f_Day_Type,$B$5,f_Weather,$B$6,f_Month,$B$7,f_Time_Band,$B$8,f_dteday,"&gt;="&amp;$B$9,f_dteday,"&lt;="&amp;$B$10,f_Visible,1)</f>
        <v>1000</v>
      </c>
    </row>
    <row r="17" spans="1:2" x14ac:dyDescent="0.2">
      <c r="A17" s="73" t="s">
        <v>372</v>
      </c>
      <c r="B17" s="81">
        <f>IFERROR(B13/B16,0)</f>
        <v>58.304000000000002</v>
      </c>
    </row>
    <row r="18" spans="1:2" x14ac:dyDescent="0.2">
      <c r="A18" s="73" t="s">
        <v>178</v>
      </c>
      <c r="B18" s="82">
        <f>IFERROR(B14/B13,0)</f>
        <v>0.9155975576289791</v>
      </c>
    </row>
    <row r="19" spans="1:2" x14ac:dyDescent="0.2">
      <c r="A19" s="73" t="s">
        <v>373</v>
      </c>
      <c r="B19" s="82">
        <f>IFERROR(B15/B13,0)</f>
        <v>8.4402442371020861E-2</v>
      </c>
    </row>
    <row r="20" spans="1:2" x14ac:dyDescent="0.2">
      <c r="A20" s="73" t="s">
        <v>374</v>
      </c>
      <c r="B20" s="81" t="str">
        <f>IF(MAX($D$34:$D$57)=0,"–",TEXT(INDEX($A$34:$A$57,MATCH(MAX($D$34:$D$57),$D$34:$D$57,0))/24,"h AM/PM"))</f>
        <v>5 PM</v>
      </c>
    </row>
    <row r="21" spans="1:2" x14ac:dyDescent="0.2">
      <c r="A21" s="73" t="s">
        <v>375</v>
      </c>
      <c r="B21" s="81">
        <f>MAX($D$34:$D$57)</f>
        <v>140.20454545454547</v>
      </c>
    </row>
    <row r="22" spans="1:2" x14ac:dyDescent="0.2">
      <c r="A22" s="73" t="s">
        <v>376</v>
      </c>
      <c r="B22" s="81" t="str">
        <f>IF(MAX($H$34:$H$40)=0,"–",INDEX($E$34:$E$40,MATCH(MAX($H$34:$H$40),$H$34:$H$40,0)))</f>
        <v>Thu</v>
      </c>
    </row>
    <row r="23" spans="1:2" x14ac:dyDescent="0.2">
      <c r="A23" s="73" t="s">
        <v>377</v>
      </c>
      <c r="B23" s="81">
        <f>MAX($H$34:$H$40)</f>
        <v>67.664000000000001</v>
      </c>
    </row>
    <row r="24" spans="1:2" x14ac:dyDescent="0.2">
      <c r="A24" s="73" t="s">
        <v>378</v>
      </c>
      <c r="B24" s="81" t="str">
        <f>IF(MAX($L$34:$L$37)=0,"–",INDEX($I$34:$I$37,MATCH(MAX($L$34:$L$37),$L$34:$L$37,0)))</f>
        <v>Clear</v>
      </c>
    </row>
    <row r="25" spans="1:2" x14ac:dyDescent="0.2">
      <c r="A25" s="73" t="s">
        <v>379</v>
      </c>
      <c r="B25" s="82">
        <f>IFERROR($L$36/$L$34-1,0)</f>
        <v>-0.46162623131290359</v>
      </c>
    </row>
    <row r="26" spans="1:2" x14ac:dyDescent="0.2">
      <c r="A26" s="73" t="s">
        <v>380</v>
      </c>
      <c r="B26" s="80">
        <f>Anomalies!$B$7+Anomalies!$B$8</f>
        <v>7</v>
      </c>
    </row>
    <row r="27" spans="1:2" x14ac:dyDescent="0.2">
      <c r="A27" s="73" t="s">
        <v>381</v>
      </c>
      <c r="B27" s="82">
        <f>IFERROR(SUMIFS(f_cnt,f_Day_Type,$B$5,f_Weather,$B$6,f_Month,$B$7,f_Time_Band,$B$8,f_dteday,"&gt;="&amp;$B$9,f_dteday,"&lt;="&amp;$B$10,f_Visible,1,f_Peak_Hour,"Peak")/B13,0)</f>
        <v>0.43617933589462132</v>
      </c>
    </row>
    <row r="28" spans="1:2" ht="16" thickBot="1" x14ac:dyDescent="0.25">
      <c r="A28" s="76" t="s">
        <v>382</v>
      </c>
      <c r="B28" s="83">
        <f>SUM(Forecast!$D$1015:$D$1038)</f>
        <v>2226.5540161045174</v>
      </c>
    </row>
    <row r="32" spans="1:2" ht="16" thickBot="1" x14ac:dyDescent="0.25"/>
    <row r="33" spans="1:18" ht="16" thickBot="1" x14ac:dyDescent="0.25">
      <c r="A33" s="96" t="s">
        <v>96</v>
      </c>
      <c r="B33" s="97" t="s">
        <v>97</v>
      </c>
      <c r="C33" s="97" t="s">
        <v>98</v>
      </c>
      <c r="D33" s="97" t="s">
        <v>99</v>
      </c>
      <c r="E33" s="97" t="s">
        <v>104</v>
      </c>
      <c r="F33" s="97" t="s">
        <v>97</v>
      </c>
      <c r="G33" s="97" t="s">
        <v>98</v>
      </c>
      <c r="H33" s="97" t="s">
        <v>99</v>
      </c>
      <c r="I33" s="97" t="s">
        <v>110</v>
      </c>
      <c r="J33" s="97" t="s">
        <v>97</v>
      </c>
      <c r="K33" s="97" t="s">
        <v>98</v>
      </c>
      <c r="L33" s="97" t="s">
        <v>99</v>
      </c>
      <c r="M33" s="98" t="s">
        <v>100</v>
      </c>
      <c r="O33" s="96" t="s">
        <v>383</v>
      </c>
      <c r="P33" s="97" t="s">
        <v>384</v>
      </c>
      <c r="Q33" s="97" t="s">
        <v>385</v>
      </c>
      <c r="R33" s="98" t="s">
        <v>386</v>
      </c>
    </row>
    <row r="34" spans="1:18" x14ac:dyDescent="0.2">
      <c r="A34" s="78">
        <v>0</v>
      </c>
      <c r="B34" s="99">
        <f t="shared" ref="B34:B57" si="0">IFERROR(AVERAGEIFS(f_casual,f_Day_Type,$B$5,f_Weather,$B$6,f_Month,$B$7,f_Time_Band,$B$8,f_dteday,"&gt;="&amp;$B$9,f_dteday,"&lt;="&amp;$B$10,f_Visible,1,f_hr,$A34),0)</f>
        <v>1.7209302325581395</v>
      </c>
      <c r="C34" s="99">
        <f t="shared" ref="C34:C57" si="1">IFERROR(AVERAGEIFS(f_registered,f_Day_Type,$B$5,f_Weather,$B$6,f_Month,$B$7,f_Time_Band,$B$8,f_dteday,"&gt;="&amp;$B$9,f_dteday,"&lt;="&amp;$B$10,f_Visible,1,f_hr,$A34),0)</f>
        <v>14.627906976744185</v>
      </c>
      <c r="D34" s="99">
        <f t="shared" ref="D34:D57" si="2">IFERROR(AVERAGEIFS(f_cnt,f_Day_Type,$B$5,f_Weather,$B$6,f_Month,$B$7,f_Time_Band,$B$8,f_dteday,"&gt;="&amp;$B$9,f_dteday,"&lt;="&amp;$B$10,f_Visible,1,f_hr,$A34),0)</f>
        <v>16.348837209302324</v>
      </c>
      <c r="E34" s="100" t="s">
        <v>66</v>
      </c>
      <c r="F34" s="99">
        <f t="shared" ref="F34:F40" si="3">IFERROR(AVERAGEIFS(f_casual,f_Day_Type,$B$5,f_Weather,$B$6,f_Month,$B$7,f_Time_Band,$B$8,f_dteday,"&gt;="&amp;$B$9,f_dteday,"&lt;="&amp;$B$10,f_Visible,1,f_Day_Name,$E34),0)</f>
        <v>3.5838926174496644</v>
      </c>
      <c r="G34" s="99">
        <f t="shared" ref="G34:G40" si="4">IFERROR(AVERAGEIFS(f_registered,f_Day_Type,$B$5,f_Weather,$B$6,f_Month,$B$7,f_Time_Band,$B$8,f_dteday,"&gt;="&amp;$B$9,f_dteday,"&lt;="&amp;$B$10,f_Visible,1,f_Day_Name,$E34),0)</f>
        <v>53.127516778523493</v>
      </c>
      <c r="H34" s="99">
        <f t="shared" ref="H34:H40" si="5">IFERROR(AVERAGEIFS(f_cnt,f_Day_Type,$B$5,f_Weather,$B$6,f_Month,$B$7,f_Time_Band,$B$8,f_dteday,"&gt;="&amp;$B$9,f_dteday,"&lt;="&amp;$B$10,f_Visible,1,f_Day_Name,$E34),0)</f>
        <v>56.711409395973156</v>
      </c>
      <c r="I34" s="100" t="s">
        <v>111</v>
      </c>
      <c r="J34" s="99">
        <f>IFERROR(AVERAGEIFS(f_casual,f_Day_Type,$B$5,f_Weather,$B$6,f_Month,$B$7,f_Time_Band,$B$8,f_dteday,"&gt;="&amp;$B$9,f_dteday,"&lt;="&amp;$B$10,f_Visible,1,f_Weather,$I34),0)</f>
        <v>5.2986798679867988</v>
      </c>
      <c r="K34" s="99">
        <f>IFERROR(AVERAGEIFS(f_registered,f_Day_Type,$B$5,f_Weather,$B$6,f_Month,$B$7,f_Time_Band,$B$8,f_dteday,"&gt;="&amp;$B$9,f_dteday,"&lt;="&amp;$B$10,f_Visible,1,f_Weather,$I34),0)</f>
        <v>56.372937293729372</v>
      </c>
      <c r="L34" s="99">
        <f>IFERROR(AVERAGEIFS(f_cnt,f_Day_Type,$B$5,f_Weather,$B$6,f_Month,$B$7,f_Time_Band,$B$8,f_dteday,"&gt;="&amp;$B$9,f_dteday,"&lt;="&amp;$B$10,f_Visible,1,f_Weather,$I34),0)</f>
        <v>61.671617161716171</v>
      </c>
      <c r="M34" s="79">
        <f>COUNTIFS(f_Day_Type,$B$5,f_Weather,$B$6,f_Month,$B$7,f_Time_Band,$B$8,f_dteday,"&gt;="&amp;$B$9,f_dteday,"&lt;="&amp;$B$10,f_Visible,1,f_Weather,$I34)</f>
        <v>606</v>
      </c>
      <c r="O34" s="78" t="s">
        <v>387</v>
      </c>
      <c r="P34" s="94">
        <f>SUMIFS(f_cnt,f_Day_Type,$B$5,f_Weather,$B$6,f_Month,$B$7,f_Time_Band,$B$8,f_dteday,"&gt;="&amp;$B$9,f_dteday,"&lt;="&amp;$B$10,f_Visible,1)</f>
        <v>58304</v>
      </c>
      <c r="Q34" s="94">
        <f>(MAX($P$34:$P$37)-P34)/2</f>
        <v>0</v>
      </c>
      <c r="R34" s="95">
        <f>IFERROR(P34/$P$34,0)</f>
        <v>1</v>
      </c>
    </row>
    <row r="35" spans="1:18" x14ac:dyDescent="0.2">
      <c r="A35" s="73">
        <v>1</v>
      </c>
      <c r="B35" s="72">
        <f t="shared" si="0"/>
        <v>1.1162790697674418</v>
      </c>
      <c r="C35" s="72">
        <f t="shared" si="1"/>
        <v>9.5813953488372086</v>
      </c>
      <c r="D35" s="72">
        <f t="shared" si="2"/>
        <v>10.697674418604651</v>
      </c>
      <c r="E35" s="70" t="s">
        <v>68</v>
      </c>
      <c r="F35" s="72">
        <f t="shared" si="3"/>
        <v>3.5984251968503935</v>
      </c>
      <c r="G35" s="72">
        <f t="shared" si="4"/>
        <v>62.409448818897637</v>
      </c>
      <c r="H35" s="72">
        <f t="shared" si="5"/>
        <v>66.00787401574803</v>
      </c>
      <c r="I35" s="70" t="s">
        <v>112</v>
      </c>
      <c r="J35" s="72">
        <f>IFERROR(AVERAGEIFS(f_casual,f_Day_Type,$B$5,f_Weather,$B$6,f_Month,$B$7,f_Time_Band,$B$8,f_dteday,"&gt;="&amp;$B$9,f_dteday,"&lt;="&amp;$B$10,f_Visible,1,f_Weather,$I35),0)</f>
        <v>4.9773462783171523</v>
      </c>
      <c r="K35" s="72">
        <f>IFERROR(AVERAGEIFS(f_registered,f_Day_Type,$B$5,f_Weather,$B$6,f_Month,$B$7,f_Time_Band,$B$8,f_dteday,"&gt;="&amp;$B$9,f_dteday,"&lt;="&amp;$B$10,f_Visible,1,f_Weather,$I35),0)</f>
        <v>53.618122977346282</v>
      </c>
      <c r="L35" s="72">
        <f>IFERROR(AVERAGEIFS(f_cnt,f_Day_Type,$B$5,f_Weather,$B$6,f_Month,$B$7,f_Time_Band,$B$8,f_dteday,"&gt;="&amp;$B$9,f_dteday,"&lt;="&amp;$B$10,f_Visible,1,f_Weather,$I35),0)</f>
        <v>58.595469255663431</v>
      </c>
      <c r="M35" s="74">
        <f>COUNTIFS(f_Day_Type,$B$5,f_Weather,$B$6,f_Month,$B$7,f_Time_Band,$B$8,f_dteday,"&gt;="&amp;$B$9,f_dteday,"&lt;="&amp;$B$10,f_Visible,1,f_Weather,$I35)</f>
        <v>309</v>
      </c>
      <c r="O35" s="73" t="s">
        <v>388</v>
      </c>
      <c r="P35" s="71">
        <f>SUMIFS(f_cnt,f_Day_Type,$B$5,f_Weather,$B$6,f_Month,$B$7,f_Time_Band,$B$8,f_dteday,"&gt;="&amp;$B$9,f_dteday,"&lt;="&amp;$B$10,f_Visible,1,f_Working_Day,"Working Day")</f>
        <v>41435</v>
      </c>
      <c r="Q35" s="71">
        <f>(MAX($P$34:$P$37)-P35)/2</f>
        <v>8434.5</v>
      </c>
      <c r="R35" s="87">
        <f>IFERROR(P35/$P$34,0)</f>
        <v>0.71067165203073546</v>
      </c>
    </row>
    <row r="36" spans="1:18" x14ac:dyDescent="0.2">
      <c r="A36" s="73">
        <v>2</v>
      </c>
      <c r="B36" s="72">
        <f t="shared" si="0"/>
        <v>0.80487804878048785</v>
      </c>
      <c r="C36" s="72">
        <f t="shared" si="1"/>
        <v>6.3658536585365857</v>
      </c>
      <c r="D36" s="72">
        <f t="shared" si="2"/>
        <v>7.1707317073170733</v>
      </c>
      <c r="E36" s="70" t="s">
        <v>69</v>
      </c>
      <c r="F36" s="72">
        <f t="shared" si="3"/>
        <v>2.6259541984732824</v>
      </c>
      <c r="G36" s="72">
        <f t="shared" si="4"/>
        <v>58.81679389312977</v>
      </c>
      <c r="H36" s="72">
        <f t="shared" si="5"/>
        <v>61.44274809160305</v>
      </c>
      <c r="I36" s="70" t="s">
        <v>113</v>
      </c>
      <c r="J36" s="72">
        <f>IFERROR(AVERAGEIFS(f_casual,f_Day_Type,$B$5,f_Weather,$B$6,f_Month,$B$7,f_Time_Band,$B$8,f_dteday,"&gt;="&amp;$B$9,f_dteday,"&lt;="&amp;$B$10,f_Visible,1,f_Weather,$I36),0)</f>
        <v>2.0357142857142856</v>
      </c>
      <c r="K36" s="72">
        <f>IFERROR(AVERAGEIFS(f_registered,f_Day_Type,$B$5,f_Weather,$B$6,f_Month,$B$7,f_Time_Band,$B$8,f_dteday,"&gt;="&amp;$B$9,f_dteday,"&lt;="&amp;$B$10,f_Visible,1,f_Weather,$I36),0)</f>
        <v>31.166666666666668</v>
      </c>
      <c r="L36" s="72">
        <f>IFERROR(AVERAGEIFS(f_cnt,f_Day_Type,$B$5,f_Weather,$B$6,f_Month,$B$7,f_Time_Band,$B$8,f_dteday,"&gt;="&amp;$B$9,f_dteday,"&lt;="&amp;$B$10,f_Visible,1,f_Weather,$I36),0)</f>
        <v>33.202380952380949</v>
      </c>
      <c r="M36" s="74">
        <f>COUNTIFS(f_Day_Type,$B$5,f_Weather,$B$6,f_Month,$B$7,f_Time_Band,$B$8,f_dteday,"&gt;="&amp;$B$9,f_dteday,"&lt;="&amp;$B$10,f_Visible,1,f_Weather,$I36)</f>
        <v>84</v>
      </c>
      <c r="O36" s="73" t="s">
        <v>389</v>
      </c>
      <c r="P36" s="71">
        <f>SUMIFS(f_cnt,f_Day_Type,$B$5,f_Weather,$B$6,f_Month,$B$7,f_Time_Band,$B$8,f_dteday,"&gt;="&amp;$B$9,f_dteday,"&lt;="&amp;$B$10,f_Visible,1,f_Working_Day,"Working Day",f_Peak_Hour,"Peak")</f>
        <v>25033</v>
      </c>
      <c r="Q36" s="71">
        <f>(MAX($P$34:$P$37)-P36)/2</f>
        <v>16635.5</v>
      </c>
      <c r="R36" s="87">
        <f>IFERROR(P36/$P$34,0)</f>
        <v>0.42935304610318331</v>
      </c>
    </row>
    <row r="37" spans="1:18" ht="16" thickBot="1" x14ac:dyDescent="0.25">
      <c r="A37" s="73">
        <v>3</v>
      </c>
      <c r="B37" s="72">
        <f t="shared" si="0"/>
        <v>1.096774193548387</v>
      </c>
      <c r="C37" s="72">
        <f t="shared" si="1"/>
        <v>3.774193548387097</v>
      </c>
      <c r="D37" s="72">
        <f t="shared" si="2"/>
        <v>4.870967741935484</v>
      </c>
      <c r="E37" s="70" t="s">
        <v>70</v>
      </c>
      <c r="F37" s="72">
        <f t="shared" si="3"/>
        <v>2.6560000000000001</v>
      </c>
      <c r="G37" s="72">
        <f t="shared" si="4"/>
        <v>65.007999999999996</v>
      </c>
      <c r="H37" s="72">
        <f t="shared" si="5"/>
        <v>67.664000000000001</v>
      </c>
      <c r="I37" s="70" t="s">
        <v>114</v>
      </c>
      <c r="J37" s="72">
        <f>IFERROR(AVERAGEIFS(f_casual,f_Day_Type,$B$5,f_Weather,$B$6,f_Month,$B$7,f_Time_Band,$B$8,f_dteday,"&gt;="&amp;$B$9,f_dteday,"&lt;="&amp;$B$10,f_Visible,1,f_Weather,$I37),0)</f>
        <v>1</v>
      </c>
      <c r="K37" s="72">
        <f>IFERROR(AVERAGEIFS(f_registered,f_Day_Type,$B$5,f_Weather,$B$6,f_Month,$B$7,f_Time_Band,$B$8,f_dteday,"&gt;="&amp;$B$9,f_dteday,"&lt;="&amp;$B$10,f_Visible,1,f_Weather,$I37),0)</f>
        <v>35</v>
      </c>
      <c r="L37" s="72">
        <f>IFERROR(AVERAGEIFS(f_cnt,f_Day_Type,$B$5,f_Weather,$B$6,f_Month,$B$7,f_Time_Band,$B$8,f_dteday,"&gt;="&amp;$B$9,f_dteday,"&lt;="&amp;$B$10,f_Visible,1,f_Weather,$I37),0)</f>
        <v>36</v>
      </c>
      <c r="M37" s="74">
        <f>COUNTIFS(f_Day_Type,$B$5,f_Weather,$B$6,f_Month,$B$7,f_Time_Band,$B$8,f_dteday,"&gt;="&amp;$B$9,f_dteday,"&lt;="&amp;$B$10,f_Visible,1,f_Weather,$I37)</f>
        <v>1</v>
      </c>
      <c r="O37" s="76" t="s">
        <v>390</v>
      </c>
      <c r="P37" s="88">
        <f>SUMIFS(f_registered,f_Day_Type,$B$5,f_Weather,$B$6,f_Month,$B$7,f_Time_Band,$B$8,f_dteday,"&gt;="&amp;$B$9,f_dteday,"&lt;="&amp;$B$10,f_Visible,1,f_Working_Day,"Working Day",f_Peak_Hour,"Peak")</f>
        <v>24182</v>
      </c>
      <c r="Q37" s="88">
        <f>(MAX($P$34:$P$37)-P37)/2</f>
        <v>17061</v>
      </c>
      <c r="R37" s="89">
        <f>IFERROR(P37/$P$34,0)</f>
        <v>0.41475713501646544</v>
      </c>
    </row>
    <row r="38" spans="1:18" x14ac:dyDescent="0.2">
      <c r="A38" s="73">
        <v>4</v>
      </c>
      <c r="B38" s="72">
        <f t="shared" si="0"/>
        <v>0.21875</v>
      </c>
      <c r="C38" s="72">
        <f t="shared" si="1"/>
        <v>1.9375</v>
      </c>
      <c r="D38" s="72">
        <f t="shared" si="2"/>
        <v>2.15625</v>
      </c>
      <c r="E38" s="70" t="s">
        <v>71</v>
      </c>
      <c r="F38" s="72">
        <f t="shared" si="3"/>
        <v>4</v>
      </c>
      <c r="G38" s="72">
        <f t="shared" si="4"/>
        <v>61.905797101449274</v>
      </c>
      <c r="H38" s="72">
        <f t="shared" si="5"/>
        <v>65.905797101449281</v>
      </c>
      <c r="I38" s="70"/>
      <c r="J38" s="70"/>
      <c r="K38" s="70"/>
      <c r="L38" s="70"/>
      <c r="M38" s="74"/>
    </row>
    <row r="39" spans="1:18" x14ac:dyDescent="0.2">
      <c r="A39" s="73">
        <v>5</v>
      </c>
      <c r="B39" s="72">
        <f t="shared" si="0"/>
        <v>7.6923076923076927E-2</v>
      </c>
      <c r="C39" s="72">
        <f t="shared" si="1"/>
        <v>4.1282051282051286</v>
      </c>
      <c r="D39" s="72">
        <f t="shared" si="2"/>
        <v>4.2051282051282053</v>
      </c>
      <c r="E39" s="70" t="s">
        <v>72</v>
      </c>
      <c r="F39" s="72">
        <f t="shared" si="3"/>
        <v>7.3795180722891569</v>
      </c>
      <c r="G39" s="72">
        <f t="shared" si="4"/>
        <v>39.295180722891565</v>
      </c>
      <c r="H39" s="72">
        <f t="shared" si="5"/>
        <v>46.674698795180724</v>
      </c>
      <c r="I39" s="70"/>
      <c r="J39" s="70"/>
      <c r="K39" s="70"/>
      <c r="L39" s="70"/>
      <c r="M39" s="74"/>
    </row>
    <row r="40" spans="1:18" ht="16" thickBot="1" x14ac:dyDescent="0.25">
      <c r="A40" s="73">
        <v>6</v>
      </c>
      <c r="B40" s="72">
        <f t="shared" si="0"/>
        <v>0.5</v>
      </c>
      <c r="C40" s="72">
        <f t="shared" si="1"/>
        <v>19.071428571428573</v>
      </c>
      <c r="D40" s="72">
        <f t="shared" si="2"/>
        <v>19.571428571428573</v>
      </c>
      <c r="E40" s="70" t="s">
        <v>74</v>
      </c>
      <c r="F40" s="72">
        <f t="shared" si="3"/>
        <v>9.0060975609756095</v>
      </c>
      <c r="G40" s="72">
        <f t="shared" si="4"/>
        <v>40.512195121951223</v>
      </c>
      <c r="H40" s="72">
        <f t="shared" si="5"/>
        <v>49.518292682926827</v>
      </c>
      <c r="I40" s="70"/>
      <c r="J40" s="70"/>
      <c r="K40" s="70"/>
      <c r="L40" s="70"/>
      <c r="M40" s="74"/>
    </row>
    <row r="41" spans="1:18" ht="16" thickBot="1" x14ac:dyDescent="0.25">
      <c r="A41" s="73">
        <v>7</v>
      </c>
      <c r="B41" s="72">
        <f t="shared" si="0"/>
        <v>1.4883720930232558</v>
      </c>
      <c r="C41" s="72">
        <f t="shared" si="1"/>
        <v>52.906976744186046</v>
      </c>
      <c r="D41" s="72">
        <f t="shared" si="2"/>
        <v>54.395348837209305</v>
      </c>
      <c r="E41" s="70"/>
      <c r="F41" s="70"/>
      <c r="G41" s="70"/>
      <c r="H41" s="70"/>
      <c r="I41" s="70"/>
      <c r="J41" s="70"/>
      <c r="K41" s="70"/>
      <c r="L41" s="70"/>
      <c r="M41" s="74"/>
      <c r="O41" s="96" t="s">
        <v>116</v>
      </c>
      <c r="P41" s="98" t="s">
        <v>99</v>
      </c>
    </row>
    <row r="42" spans="1:18" x14ac:dyDescent="0.2">
      <c r="A42" s="73">
        <v>8</v>
      </c>
      <c r="B42" s="72">
        <f t="shared" si="0"/>
        <v>3.0238095238095237</v>
      </c>
      <c r="C42" s="72">
        <f t="shared" si="1"/>
        <v>125.26190476190476</v>
      </c>
      <c r="D42" s="72">
        <f t="shared" si="2"/>
        <v>128.28571428571428</v>
      </c>
      <c r="E42" s="70"/>
      <c r="F42" s="70"/>
      <c r="G42" s="70"/>
      <c r="H42" s="70"/>
      <c r="I42" s="70"/>
      <c r="J42" s="70"/>
      <c r="K42" s="70"/>
      <c r="L42" s="70"/>
      <c r="M42" s="74"/>
      <c r="O42" s="78" t="s">
        <v>117</v>
      </c>
      <c r="P42" s="101">
        <f>IFERROR(AVERAGEIFS(f_cnt,f_Day_Type,$B$5,f_Weather,$B$6,f_Month,$B$7,f_Time_Band,$B$8,f_dteday,"&gt;="&amp;$B$9,f_dteday,"&lt;="&amp;$B$10,f_Visible,1,f_Time_Band,$O42),0)</f>
        <v>8.039301310043669</v>
      </c>
    </row>
    <row r="43" spans="1:18" x14ac:dyDescent="0.2">
      <c r="A43" s="73">
        <v>9</v>
      </c>
      <c r="B43" s="72">
        <f t="shared" si="0"/>
        <v>4.0952380952380949</v>
      </c>
      <c r="C43" s="72">
        <f t="shared" si="1"/>
        <v>83.333333333333329</v>
      </c>
      <c r="D43" s="72">
        <f t="shared" si="2"/>
        <v>87.428571428571431</v>
      </c>
      <c r="E43" s="70"/>
      <c r="F43" s="70"/>
      <c r="G43" s="70"/>
      <c r="H43" s="70"/>
      <c r="I43" s="70"/>
      <c r="J43" s="70"/>
      <c r="K43" s="70"/>
      <c r="L43" s="70"/>
      <c r="M43" s="74"/>
      <c r="O43" s="73" t="s">
        <v>118</v>
      </c>
      <c r="P43" s="81">
        <f>IFERROR(AVERAGEIFS(f_cnt,f_Day_Type,$B$5,f_Weather,$B$6,f_Month,$B$7,f_Time_Band,$B$8,f_dteday,"&gt;="&amp;$B$9,f_dteday,"&lt;="&amp;$B$10,f_Visible,1,f_Time_Band,$O43),0)</f>
        <v>67.067193675889328</v>
      </c>
    </row>
    <row r="44" spans="1:18" x14ac:dyDescent="0.2">
      <c r="A44" s="73">
        <v>10</v>
      </c>
      <c r="B44" s="72">
        <f t="shared" si="0"/>
        <v>5.1428571428571432</v>
      </c>
      <c r="C44" s="72">
        <f t="shared" si="1"/>
        <v>48.5</v>
      </c>
      <c r="D44" s="72">
        <f t="shared" si="2"/>
        <v>53.642857142857146</v>
      </c>
      <c r="E44" s="70"/>
      <c r="F44" s="70"/>
      <c r="G44" s="70"/>
      <c r="H44" s="70"/>
      <c r="I44" s="70"/>
      <c r="J44" s="70"/>
      <c r="K44" s="70"/>
      <c r="L44" s="70"/>
      <c r="M44" s="74"/>
      <c r="O44" s="73" t="s">
        <v>119</v>
      </c>
      <c r="P44" s="81">
        <f>IFERROR(AVERAGEIFS(f_cnt,f_Day_Type,$B$5,f_Weather,$B$6,f_Month,$B$7,f_Time_Band,$B$8,f_dteday,"&gt;="&amp;$B$9,f_dteday,"&lt;="&amp;$B$10,f_Visible,1,f_Time_Band,$O44),0)</f>
        <v>79.347222222222229</v>
      </c>
    </row>
    <row r="45" spans="1:18" x14ac:dyDescent="0.2">
      <c r="A45" s="73">
        <v>11</v>
      </c>
      <c r="B45" s="72">
        <f t="shared" si="0"/>
        <v>8.7380952380952372</v>
      </c>
      <c r="C45" s="72">
        <f t="shared" si="1"/>
        <v>50.642857142857146</v>
      </c>
      <c r="D45" s="72">
        <f t="shared" si="2"/>
        <v>59.38095238095238</v>
      </c>
      <c r="E45" s="70"/>
      <c r="F45" s="70"/>
      <c r="G45" s="70"/>
      <c r="H45" s="70"/>
      <c r="I45" s="70"/>
      <c r="J45" s="70"/>
      <c r="K45" s="70"/>
      <c r="L45" s="70"/>
      <c r="M45" s="74"/>
      <c r="O45" s="73" t="s">
        <v>120</v>
      </c>
      <c r="P45" s="81">
        <f>IFERROR(AVERAGEIFS(f_cnt,f_Day_Type,$B$5,f_Weather,$B$6,f_Month,$B$7,f_Time_Band,$B$8,f_dteday,"&gt;="&amp;$B$9,f_dteday,"&lt;="&amp;$B$10,f_Visible,1,f_Time_Band,$O45),0)</f>
        <v>102.71098265895954</v>
      </c>
    </row>
    <row r="46" spans="1:18" ht="16" thickBot="1" x14ac:dyDescent="0.25">
      <c r="A46" s="73">
        <v>12</v>
      </c>
      <c r="B46" s="72">
        <f t="shared" si="0"/>
        <v>11.209302325581396</v>
      </c>
      <c r="C46" s="72">
        <f t="shared" si="1"/>
        <v>65.139534883720927</v>
      </c>
      <c r="D46" s="72">
        <f t="shared" si="2"/>
        <v>76.348837209302332</v>
      </c>
      <c r="E46" s="70"/>
      <c r="F46" s="70"/>
      <c r="G46" s="70"/>
      <c r="H46" s="70"/>
      <c r="I46" s="70"/>
      <c r="J46" s="70"/>
      <c r="K46" s="70"/>
      <c r="L46" s="70"/>
      <c r="M46" s="74"/>
      <c r="O46" s="76" t="s">
        <v>121</v>
      </c>
      <c r="P46" s="90">
        <f>IFERROR(AVERAGEIFS(f_cnt,f_Day_Type,$B$5,f_Weather,$B$6,f_Month,$B$7,f_Time_Band,$B$8,f_dteday,"&gt;="&amp;$B$9,f_dteday,"&lt;="&amp;$B$10,f_Visible,1,f_Time_Band,$O46),0)</f>
        <v>35.558139534883722</v>
      </c>
    </row>
    <row r="47" spans="1:18" x14ac:dyDescent="0.2">
      <c r="A47" s="73">
        <v>13</v>
      </c>
      <c r="B47" s="72">
        <f t="shared" si="0"/>
        <v>11.930232558139535</v>
      </c>
      <c r="C47" s="72">
        <f t="shared" si="1"/>
        <v>66.581395348837205</v>
      </c>
      <c r="D47" s="72">
        <f t="shared" si="2"/>
        <v>78.511627906976742</v>
      </c>
      <c r="E47" s="70"/>
      <c r="F47" s="70"/>
      <c r="G47" s="70"/>
      <c r="H47" s="70"/>
      <c r="I47" s="70"/>
      <c r="J47" s="70"/>
      <c r="K47" s="70"/>
      <c r="L47" s="70"/>
      <c r="M47" s="74"/>
    </row>
    <row r="48" spans="1:18" x14ac:dyDescent="0.2">
      <c r="A48" s="73">
        <v>14</v>
      </c>
      <c r="B48" s="72">
        <f t="shared" si="0"/>
        <v>10.837209302325581</v>
      </c>
      <c r="C48" s="72">
        <f t="shared" si="1"/>
        <v>63.581395348837212</v>
      </c>
      <c r="D48" s="72">
        <f t="shared" si="2"/>
        <v>74.418604651162795</v>
      </c>
      <c r="E48" s="70"/>
      <c r="F48" s="70"/>
      <c r="G48" s="70"/>
      <c r="H48" s="70"/>
      <c r="I48" s="70"/>
      <c r="J48" s="70"/>
      <c r="K48" s="70"/>
      <c r="L48" s="70"/>
      <c r="M48" s="74"/>
    </row>
    <row r="49" spans="1:13" x14ac:dyDescent="0.2">
      <c r="A49" s="73">
        <v>15</v>
      </c>
      <c r="B49" s="72">
        <f t="shared" si="0"/>
        <v>12.465116279069768</v>
      </c>
      <c r="C49" s="72">
        <f t="shared" si="1"/>
        <v>65.488372093023258</v>
      </c>
      <c r="D49" s="72">
        <f t="shared" si="2"/>
        <v>77.95348837209302</v>
      </c>
      <c r="E49" s="70"/>
      <c r="F49" s="70"/>
      <c r="G49" s="70"/>
      <c r="H49" s="70"/>
      <c r="I49" s="70"/>
      <c r="J49" s="70"/>
      <c r="K49" s="70"/>
      <c r="L49" s="70"/>
      <c r="M49" s="74"/>
    </row>
    <row r="50" spans="1:13" x14ac:dyDescent="0.2">
      <c r="A50" s="73">
        <v>16</v>
      </c>
      <c r="B50" s="72">
        <f t="shared" si="0"/>
        <v>11.204545454545455</v>
      </c>
      <c r="C50" s="72">
        <f t="shared" si="1"/>
        <v>78.068181818181813</v>
      </c>
      <c r="D50" s="72">
        <f t="shared" si="2"/>
        <v>89.272727272727266</v>
      </c>
      <c r="E50" s="70"/>
      <c r="F50" s="70"/>
      <c r="G50" s="70"/>
      <c r="H50" s="70"/>
      <c r="I50" s="70"/>
      <c r="J50" s="70"/>
      <c r="K50" s="70"/>
      <c r="L50" s="70"/>
      <c r="M50" s="74"/>
    </row>
    <row r="51" spans="1:13" x14ac:dyDescent="0.2">
      <c r="A51" s="73">
        <v>17</v>
      </c>
      <c r="B51" s="72">
        <f t="shared" si="0"/>
        <v>8.9772727272727266</v>
      </c>
      <c r="C51" s="72">
        <f t="shared" si="1"/>
        <v>131.22727272727272</v>
      </c>
      <c r="D51" s="72">
        <f t="shared" si="2"/>
        <v>140.20454545454547</v>
      </c>
      <c r="E51" s="70"/>
      <c r="F51" s="70"/>
      <c r="G51" s="70"/>
      <c r="H51" s="70"/>
      <c r="I51" s="70"/>
      <c r="J51" s="70"/>
      <c r="K51" s="70"/>
      <c r="L51" s="70"/>
      <c r="M51" s="74"/>
    </row>
    <row r="52" spans="1:13" x14ac:dyDescent="0.2">
      <c r="A52" s="73">
        <v>18</v>
      </c>
      <c r="B52" s="72">
        <f t="shared" si="0"/>
        <v>5.1627906976744189</v>
      </c>
      <c r="C52" s="72">
        <f t="shared" si="1"/>
        <v>117.69767441860465</v>
      </c>
      <c r="D52" s="72">
        <f t="shared" si="2"/>
        <v>122.86046511627907</v>
      </c>
      <c r="E52" s="70"/>
      <c r="F52" s="70"/>
      <c r="G52" s="70"/>
      <c r="H52" s="70"/>
      <c r="I52" s="70"/>
      <c r="J52" s="70"/>
      <c r="K52" s="70"/>
      <c r="L52" s="70"/>
      <c r="M52" s="74"/>
    </row>
    <row r="53" spans="1:13" x14ac:dyDescent="0.2">
      <c r="A53" s="73">
        <v>19</v>
      </c>
      <c r="B53" s="72">
        <f t="shared" si="0"/>
        <v>4.3488372093023253</v>
      </c>
      <c r="C53" s="72">
        <f t="shared" si="1"/>
        <v>80.79069767441861</v>
      </c>
      <c r="D53" s="72">
        <f t="shared" si="2"/>
        <v>85.139534883720927</v>
      </c>
      <c r="E53" s="70"/>
      <c r="F53" s="70"/>
      <c r="G53" s="70"/>
      <c r="H53" s="70"/>
      <c r="I53" s="70"/>
      <c r="J53" s="70"/>
      <c r="K53" s="70"/>
      <c r="L53" s="70"/>
      <c r="M53" s="74"/>
    </row>
    <row r="54" spans="1:13" x14ac:dyDescent="0.2">
      <c r="A54" s="73">
        <v>20</v>
      </c>
      <c r="B54" s="72">
        <f t="shared" si="0"/>
        <v>3.2558139534883721</v>
      </c>
      <c r="C54" s="72">
        <f t="shared" si="1"/>
        <v>58.511627906976742</v>
      </c>
      <c r="D54" s="72">
        <f t="shared" si="2"/>
        <v>61.767441860465119</v>
      </c>
      <c r="E54" s="70"/>
      <c r="F54" s="70"/>
      <c r="G54" s="70"/>
      <c r="H54" s="70"/>
      <c r="I54" s="70"/>
      <c r="J54" s="70"/>
      <c r="K54" s="70"/>
      <c r="L54" s="70"/>
      <c r="M54" s="74"/>
    </row>
    <row r="55" spans="1:13" x14ac:dyDescent="0.2">
      <c r="A55" s="73">
        <v>21</v>
      </c>
      <c r="B55" s="72">
        <f t="shared" si="0"/>
        <v>2.7209302325581395</v>
      </c>
      <c r="C55" s="72">
        <f t="shared" si="1"/>
        <v>43.697674418604649</v>
      </c>
      <c r="D55" s="72">
        <f t="shared" si="2"/>
        <v>46.418604651162788</v>
      </c>
      <c r="E55" s="70"/>
      <c r="F55" s="70"/>
      <c r="G55" s="70"/>
      <c r="H55" s="70"/>
      <c r="I55" s="70"/>
      <c r="J55" s="70"/>
      <c r="K55" s="70"/>
      <c r="L55" s="70"/>
      <c r="M55" s="74"/>
    </row>
    <row r="56" spans="1:13" x14ac:dyDescent="0.2">
      <c r="A56" s="73">
        <v>22</v>
      </c>
      <c r="B56" s="72">
        <f t="shared" si="0"/>
        <v>2.3953488372093021</v>
      </c>
      <c r="C56" s="72">
        <f t="shared" si="1"/>
        <v>32.674418604651166</v>
      </c>
      <c r="D56" s="72">
        <f t="shared" si="2"/>
        <v>35.069767441860463</v>
      </c>
      <c r="E56" s="70"/>
      <c r="F56" s="70"/>
      <c r="G56" s="70"/>
      <c r="H56" s="70"/>
      <c r="I56" s="70"/>
      <c r="J56" s="70"/>
      <c r="K56" s="70"/>
      <c r="L56" s="70"/>
      <c r="M56" s="74"/>
    </row>
    <row r="57" spans="1:13" ht="16" thickBot="1" x14ac:dyDescent="0.25">
      <c r="A57" s="76">
        <v>23</v>
      </c>
      <c r="B57" s="84">
        <f t="shared" si="0"/>
        <v>2.3488372093023258</v>
      </c>
      <c r="C57" s="84">
        <f t="shared" si="1"/>
        <v>22.837209302325583</v>
      </c>
      <c r="D57" s="84">
        <f t="shared" si="2"/>
        <v>25.186046511627907</v>
      </c>
      <c r="E57" s="85"/>
      <c r="F57" s="85"/>
      <c r="G57" s="85"/>
      <c r="H57" s="85"/>
      <c r="I57" s="85"/>
      <c r="J57" s="85"/>
      <c r="K57" s="85"/>
      <c r="L57" s="85"/>
      <c r="M57" s="86"/>
    </row>
    <row r="59" spans="1:13" ht="16" thickBot="1" x14ac:dyDescent="0.25"/>
    <row r="60" spans="1:13" ht="16" thickBot="1" x14ac:dyDescent="0.25">
      <c r="A60" s="96" t="s">
        <v>137</v>
      </c>
      <c r="B60" s="97" t="s">
        <v>101</v>
      </c>
      <c r="C60" s="97" t="s">
        <v>138</v>
      </c>
      <c r="D60" s="98" t="s">
        <v>139</v>
      </c>
    </row>
    <row r="61" spans="1:13" x14ac:dyDescent="0.2">
      <c r="A61" s="102">
        <v>40544</v>
      </c>
      <c r="B61" s="94">
        <f t="shared" ref="B61:B105" si="6">SUMIFS(f_cnt,f_Day_Type,$B$5,f_Weather,$B$6,f_Month,$B$7,f_Time_Band,$B$8,f_dteday,"&gt;="&amp;$B$9,f_dteday,"&lt;="&amp;$B$10,f_Visible,1,f_dteday,$A61)</f>
        <v>985</v>
      </c>
      <c r="C61" s="94">
        <f t="shared" ref="C61:C105" si="7">SUMIFS(f_registered,f_Day_Type,$B$5,f_Weather,$B$6,f_Month,$B$7,f_Time_Band,$B$8,f_dteday,"&gt;="&amp;$B$9,f_dteday,"&lt;="&amp;$B$10,f_Visible,1,f_dteday,$A61)</f>
        <v>654</v>
      </c>
      <c r="D61" s="93">
        <f t="shared" ref="D61:D105" si="8">SUMIFS(f_casual,f_Day_Type,$B$5,f_Weather,$B$6,f_Month,$B$7,f_Time_Band,$B$8,f_dteday,"&gt;="&amp;$B$9,f_dteday,"&lt;="&amp;$B$10,f_Visible,1,f_dteday,$A61)</f>
        <v>331</v>
      </c>
    </row>
    <row r="62" spans="1:13" x14ac:dyDescent="0.2">
      <c r="A62" s="91">
        <v>40545</v>
      </c>
      <c r="B62" s="71">
        <f t="shared" si="6"/>
        <v>801</v>
      </c>
      <c r="C62" s="71">
        <f t="shared" si="7"/>
        <v>670</v>
      </c>
      <c r="D62" s="80">
        <f t="shared" si="8"/>
        <v>131</v>
      </c>
    </row>
    <row r="63" spans="1:13" x14ac:dyDescent="0.2">
      <c r="A63" s="91">
        <v>40546</v>
      </c>
      <c r="B63" s="71">
        <f t="shared" si="6"/>
        <v>1349</v>
      </c>
      <c r="C63" s="71">
        <f t="shared" si="7"/>
        <v>1229</v>
      </c>
      <c r="D63" s="80">
        <f t="shared" si="8"/>
        <v>120</v>
      </c>
    </row>
    <row r="64" spans="1:13" x14ac:dyDescent="0.2">
      <c r="A64" s="91">
        <v>40547</v>
      </c>
      <c r="B64" s="71">
        <f t="shared" si="6"/>
        <v>1562</v>
      </c>
      <c r="C64" s="71">
        <f t="shared" si="7"/>
        <v>1454</v>
      </c>
      <c r="D64" s="80">
        <f t="shared" si="8"/>
        <v>108</v>
      </c>
    </row>
    <row r="65" spans="1:4" x14ac:dyDescent="0.2">
      <c r="A65" s="91">
        <v>40548</v>
      </c>
      <c r="B65" s="71">
        <f t="shared" si="6"/>
        <v>1600</v>
      </c>
      <c r="C65" s="71">
        <f t="shared" si="7"/>
        <v>1518</v>
      </c>
      <c r="D65" s="80">
        <f t="shared" si="8"/>
        <v>82</v>
      </c>
    </row>
    <row r="66" spans="1:4" x14ac:dyDescent="0.2">
      <c r="A66" s="91">
        <v>40549</v>
      </c>
      <c r="B66" s="71">
        <f t="shared" si="6"/>
        <v>1606</v>
      </c>
      <c r="C66" s="71">
        <f t="shared" si="7"/>
        <v>1518</v>
      </c>
      <c r="D66" s="80">
        <f t="shared" si="8"/>
        <v>88</v>
      </c>
    </row>
    <row r="67" spans="1:4" x14ac:dyDescent="0.2">
      <c r="A67" s="91">
        <v>40550</v>
      </c>
      <c r="B67" s="71">
        <f t="shared" si="6"/>
        <v>1510</v>
      </c>
      <c r="C67" s="71">
        <f t="shared" si="7"/>
        <v>1362</v>
      </c>
      <c r="D67" s="80">
        <f t="shared" si="8"/>
        <v>148</v>
      </c>
    </row>
    <row r="68" spans="1:4" x14ac:dyDescent="0.2">
      <c r="A68" s="91">
        <v>40551</v>
      </c>
      <c r="B68" s="71">
        <f t="shared" si="6"/>
        <v>959</v>
      </c>
      <c r="C68" s="71">
        <f t="shared" si="7"/>
        <v>891</v>
      </c>
      <c r="D68" s="80">
        <f t="shared" si="8"/>
        <v>68</v>
      </c>
    </row>
    <row r="69" spans="1:4" x14ac:dyDescent="0.2">
      <c r="A69" s="91">
        <v>40552</v>
      </c>
      <c r="B69" s="71">
        <f t="shared" si="6"/>
        <v>822</v>
      </c>
      <c r="C69" s="71">
        <f t="shared" si="7"/>
        <v>768</v>
      </c>
      <c r="D69" s="80">
        <f t="shared" si="8"/>
        <v>54</v>
      </c>
    </row>
    <row r="70" spans="1:4" x14ac:dyDescent="0.2">
      <c r="A70" s="91">
        <v>40553</v>
      </c>
      <c r="B70" s="71">
        <f t="shared" si="6"/>
        <v>1321</v>
      </c>
      <c r="C70" s="71">
        <f t="shared" si="7"/>
        <v>1280</v>
      </c>
      <c r="D70" s="80">
        <f t="shared" si="8"/>
        <v>41</v>
      </c>
    </row>
    <row r="71" spans="1:4" x14ac:dyDescent="0.2">
      <c r="A71" s="91">
        <v>40554</v>
      </c>
      <c r="B71" s="71">
        <f t="shared" si="6"/>
        <v>1263</v>
      </c>
      <c r="C71" s="71">
        <f t="shared" si="7"/>
        <v>1220</v>
      </c>
      <c r="D71" s="80">
        <f t="shared" si="8"/>
        <v>43</v>
      </c>
    </row>
    <row r="72" spans="1:4" x14ac:dyDescent="0.2">
      <c r="A72" s="91">
        <v>40555</v>
      </c>
      <c r="B72" s="71">
        <f t="shared" si="6"/>
        <v>1162</v>
      </c>
      <c r="C72" s="71">
        <f t="shared" si="7"/>
        <v>1137</v>
      </c>
      <c r="D72" s="80">
        <f t="shared" si="8"/>
        <v>25</v>
      </c>
    </row>
    <row r="73" spans="1:4" x14ac:dyDescent="0.2">
      <c r="A73" s="91">
        <v>40556</v>
      </c>
      <c r="B73" s="71">
        <f t="shared" si="6"/>
        <v>1406</v>
      </c>
      <c r="C73" s="71">
        <f t="shared" si="7"/>
        <v>1368</v>
      </c>
      <c r="D73" s="80">
        <f t="shared" si="8"/>
        <v>38</v>
      </c>
    </row>
    <row r="74" spans="1:4" x14ac:dyDescent="0.2">
      <c r="A74" s="91">
        <v>40557</v>
      </c>
      <c r="B74" s="71">
        <f t="shared" si="6"/>
        <v>1421</v>
      </c>
      <c r="C74" s="71">
        <f t="shared" si="7"/>
        <v>1367</v>
      </c>
      <c r="D74" s="80">
        <f t="shared" si="8"/>
        <v>54</v>
      </c>
    </row>
    <row r="75" spans="1:4" x14ac:dyDescent="0.2">
      <c r="A75" s="91">
        <v>40558</v>
      </c>
      <c r="B75" s="71">
        <f t="shared" si="6"/>
        <v>1248</v>
      </c>
      <c r="C75" s="71">
        <f t="shared" si="7"/>
        <v>1026</v>
      </c>
      <c r="D75" s="80">
        <f t="shared" si="8"/>
        <v>222</v>
      </c>
    </row>
    <row r="76" spans="1:4" x14ac:dyDescent="0.2">
      <c r="A76" s="91">
        <v>40559</v>
      </c>
      <c r="B76" s="71">
        <f t="shared" si="6"/>
        <v>1204</v>
      </c>
      <c r="C76" s="71">
        <f t="shared" si="7"/>
        <v>953</v>
      </c>
      <c r="D76" s="80">
        <f t="shared" si="8"/>
        <v>251</v>
      </c>
    </row>
    <row r="77" spans="1:4" x14ac:dyDescent="0.2">
      <c r="A77" s="91">
        <v>40560</v>
      </c>
      <c r="B77" s="71">
        <f t="shared" si="6"/>
        <v>1000</v>
      </c>
      <c r="C77" s="71">
        <f t="shared" si="7"/>
        <v>883</v>
      </c>
      <c r="D77" s="80">
        <f t="shared" si="8"/>
        <v>117</v>
      </c>
    </row>
    <row r="78" spans="1:4" x14ac:dyDescent="0.2">
      <c r="A78" s="91">
        <v>40561</v>
      </c>
      <c r="B78" s="71">
        <f t="shared" si="6"/>
        <v>683</v>
      </c>
      <c r="C78" s="71">
        <f t="shared" si="7"/>
        <v>674</v>
      </c>
      <c r="D78" s="80">
        <f t="shared" si="8"/>
        <v>9</v>
      </c>
    </row>
    <row r="79" spans="1:4" x14ac:dyDescent="0.2">
      <c r="A79" s="91">
        <v>40562</v>
      </c>
      <c r="B79" s="71">
        <f t="shared" si="6"/>
        <v>1650</v>
      </c>
      <c r="C79" s="71">
        <f t="shared" si="7"/>
        <v>1572</v>
      </c>
      <c r="D79" s="80">
        <f t="shared" si="8"/>
        <v>78</v>
      </c>
    </row>
    <row r="80" spans="1:4" x14ac:dyDescent="0.2">
      <c r="A80" s="91">
        <v>40563</v>
      </c>
      <c r="B80" s="71">
        <f t="shared" si="6"/>
        <v>1927</v>
      </c>
      <c r="C80" s="71">
        <f t="shared" si="7"/>
        <v>1844</v>
      </c>
      <c r="D80" s="80">
        <f t="shared" si="8"/>
        <v>83</v>
      </c>
    </row>
    <row r="81" spans="1:4" x14ac:dyDescent="0.2">
      <c r="A81" s="91">
        <v>40564</v>
      </c>
      <c r="B81" s="71">
        <f t="shared" si="6"/>
        <v>1543</v>
      </c>
      <c r="C81" s="71">
        <f t="shared" si="7"/>
        <v>1468</v>
      </c>
      <c r="D81" s="80">
        <f t="shared" si="8"/>
        <v>75</v>
      </c>
    </row>
    <row r="82" spans="1:4" x14ac:dyDescent="0.2">
      <c r="A82" s="91">
        <v>40565</v>
      </c>
      <c r="B82" s="71">
        <f t="shared" si="6"/>
        <v>981</v>
      </c>
      <c r="C82" s="71">
        <f t="shared" si="7"/>
        <v>888</v>
      </c>
      <c r="D82" s="80">
        <f t="shared" si="8"/>
        <v>93</v>
      </c>
    </row>
    <row r="83" spans="1:4" x14ac:dyDescent="0.2">
      <c r="A83" s="91">
        <v>40566</v>
      </c>
      <c r="B83" s="71">
        <f t="shared" si="6"/>
        <v>986</v>
      </c>
      <c r="C83" s="71">
        <f t="shared" si="7"/>
        <v>836</v>
      </c>
      <c r="D83" s="80">
        <f t="shared" si="8"/>
        <v>150</v>
      </c>
    </row>
    <row r="84" spans="1:4" x14ac:dyDescent="0.2">
      <c r="A84" s="91">
        <v>40567</v>
      </c>
      <c r="B84" s="71">
        <f t="shared" si="6"/>
        <v>1416</v>
      </c>
      <c r="C84" s="71">
        <f t="shared" si="7"/>
        <v>1330</v>
      </c>
      <c r="D84" s="80">
        <f t="shared" si="8"/>
        <v>86</v>
      </c>
    </row>
    <row r="85" spans="1:4" x14ac:dyDescent="0.2">
      <c r="A85" s="91">
        <v>40568</v>
      </c>
      <c r="B85" s="71">
        <f t="shared" si="6"/>
        <v>1985</v>
      </c>
      <c r="C85" s="71">
        <f t="shared" si="7"/>
        <v>1799</v>
      </c>
      <c r="D85" s="80">
        <f t="shared" si="8"/>
        <v>186</v>
      </c>
    </row>
    <row r="86" spans="1:4" x14ac:dyDescent="0.2">
      <c r="A86" s="91">
        <v>40569</v>
      </c>
      <c r="B86" s="71">
        <f t="shared" si="6"/>
        <v>506</v>
      </c>
      <c r="C86" s="71">
        <f t="shared" si="7"/>
        <v>472</v>
      </c>
      <c r="D86" s="80">
        <f t="shared" si="8"/>
        <v>34</v>
      </c>
    </row>
    <row r="87" spans="1:4" x14ac:dyDescent="0.2">
      <c r="A87" s="91">
        <v>40570</v>
      </c>
      <c r="B87" s="71">
        <f t="shared" si="6"/>
        <v>431</v>
      </c>
      <c r="C87" s="71">
        <f t="shared" si="7"/>
        <v>416</v>
      </c>
      <c r="D87" s="80">
        <f t="shared" si="8"/>
        <v>15</v>
      </c>
    </row>
    <row r="88" spans="1:4" x14ac:dyDescent="0.2">
      <c r="A88" s="91">
        <v>40571</v>
      </c>
      <c r="B88" s="71">
        <f t="shared" si="6"/>
        <v>1167</v>
      </c>
      <c r="C88" s="71">
        <f t="shared" si="7"/>
        <v>1129</v>
      </c>
      <c r="D88" s="80">
        <f t="shared" si="8"/>
        <v>38</v>
      </c>
    </row>
    <row r="89" spans="1:4" x14ac:dyDescent="0.2">
      <c r="A89" s="91">
        <v>40572</v>
      </c>
      <c r="B89" s="71">
        <f t="shared" si="6"/>
        <v>1098</v>
      </c>
      <c r="C89" s="71">
        <f t="shared" si="7"/>
        <v>975</v>
      </c>
      <c r="D89" s="80">
        <f t="shared" si="8"/>
        <v>123</v>
      </c>
    </row>
    <row r="90" spans="1:4" x14ac:dyDescent="0.2">
      <c r="A90" s="91">
        <v>40573</v>
      </c>
      <c r="B90" s="71">
        <f t="shared" si="6"/>
        <v>1096</v>
      </c>
      <c r="C90" s="71">
        <f t="shared" si="7"/>
        <v>956</v>
      </c>
      <c r="D90" s="80">
        <f t="shared" si="8"/>
        <v>140</v>
      </c>
    </row>
    <row r="91" spans="1:4" x14ac:dyDescent="0.2">
      <c r="A91" s="91">
        <v>40574</v>
      </c>
      <c r="B91" s="71">
        <f t="shared" si="6"/>
        <v>1501</v>
      </c>
      <c r="C91" s="71">
        <f t="shared" si="7"/>
        <v>1459</v>
      </c>
      <c r="D91" s="80">
        <f t="shared" si="8"/>
        <v>42</v>
      </c>
    </row>
    <row r="92" spans="1:4" x14ac:dyDescent="0.2">
      <c r="A92" s="91">
        <v>40575</v>
      </c>
      <c r="B92" s="71">
        <f t="shared" si="6"/>
        <v>1360</v>
      </c>
      <c r="C92" s="71">
        <f t="shared" si="7"/>
        <v>1313</v>
      </c>
      <c r="D92" s="80">
        <f t="shared" si="8"/>
        <v>47</v>
      </c>
    </row>
    <row r="93" spans="1:4" x14ac:dyDescent="0.2">
      <c r="A93" s="91">
        <v>40576</v>
      </c>
      <c r="B93" s="71">
        <f t="shared" si="6"/>
        <v>1526</v>
      </c>
      <c r="C93" s="71">
        <f t="shared" si="7"/>
        <v>1454</v>
      </c>
      <c r="D93" s="80">
        <f t="shared" si="8"/>
        <v>72</v>
      </c>
    </row>
    <row r="94" spans="1:4" x14ac:dyDescent="0.2">
      <c r="A94" s="91">
        <v>40577</v>
      </c>
      <c r="B94" s="71">
        <f t="shared" si="6"/>
        <v>1550</v>
      </c>
      <c r="C94" s="71">
        <f t="shared" si="7"/>
        <v>1489</v>
      </c>
      <c r="D94" s="80">
        <f t="shared" si="8"/>
        <v>61</v>
      </c>
    </row>
    <row r="95" spans="1:4" x14ac:dyDescent="0.2">
      <c r="A95" s="91">
        <v>40578</v>
      </c>
      <c r="B95" s="71">
        <f t="shared" si="6"/>
        <v>1708</v>
      </c>
      <c r="C95" s="71">
        <f t="shared" si="7"/>
        <v>1620</v>
      </c>
      <c r="D95" s="80">
        <f t="shared" si="8"/>
        <v>88</v>
      </c>
    </row>
    <row r="96" spans="1:4" x14ac:dyDescent="0.2">
      <c r="A96" s="91">
        <v>40579</v>
      </c>
      <c r="B96" s="71">
        <f t="shared" si="6"/>
        <v>1005</v>
      </c>
      <c r="C96" s="71">
        <f t="shared" si="7"/>
        <v>905</v>
      </c>
      <c r="D96" s="80">
        <f t="shared" si="8"/>
        <v>100</v>
      </c>
    </row>
    <row r="97" spans="1:4" x14ac:dyDescent="0.2">
      <c r="A97" s="91">
        <v>40580</v>
      </c>
      <c r="B97" s="71">
        <f t="shared" si="6"/>
        <v>1623</v>
      </c>
      <c r="C97" s="71">
        <f t="shared" si="7"/>
        <v>1269</v>
      </c>
      <c r="D97" s="80">
        <f t="shared" si="8"/>
        <v>354</v>
      </c>
    </row>
    <row r="98" spans="1:4" x14ac:dyDescent="0.2">
      <c r="A98" s="91">
        <v>40581</v>
      </c>
      <c r="B98" s="71">
        <f t="shared" si="6"/>
        <v>1712</v>
      </c>
      <c r="C98" s="71">
        <f t="shared" si="7"/>
        <v>1592</v>
      </c>
      <c r="D98" s="80">
        <f t="shared" si="8"/>
        <v>120</v>
      </c>
    </row>
    <row r="99" spans="1:4" x14ac:dyDescent="0.2">
      <c r="A99" s="91">
        <v>40582</v>
      </c>
      <c r="B99" s="71">
        <f t="shared" si="6"/>
        <v>1530</v>
      </c>
      <c r="C99" s="71">
        <f t="shared" si="7"/>
        <v>1466</v>
      </c>
      <c r="D99" s="80">
        <f t="shared" si="8"/>
        <v>64</v>
      </c>
    </row>
    <row r="100" spans="1:4" x14ac:dyDescent="0.2">
      <c r="A100" s="91">
        <v>40583</v>
      </c>
      <c r="B100" s="71">
        <f t="shared" si="6"/>
        <v>1605</v>
      </c>
      <c r="C100" s="71">
        <f t="shared" si="7"/>
        <v>1552</v>
      </c>
      <c r="D100" s="80">
        <f t="shared" si="8"/>
        <v>53</v>
      </c>
    </row>
    <row r="101" spans="1:4" x14ac:dyDescent="0.2">
      <c r="A101" s="91">
        <v>40584</v>
      </c>
      <c r="B101" s="71">
        <f t="shared" si="6"/>
        <v>1538</v>
      </c>
      <c r="C101" s="71">
        <f t="shared" si="7"/>
        <v>1491</v>
      </c>
      <c r="D101" s="80">
        <f t="shared" si="8"/>
        <v>47</v>
      </c>
    </row>
    <row r="102" spans="1:4" x14ac:dyDescent="0.2">
      <c r="A102" s="91">
        <v>40585</v>
      </c>
      <c r="B102" s="71">
        <f t="shared" si="6"/>
        <v>1746</v>
      </c>
      <c r="C102" s="71">
        <f t="shared" si="7"/>
        <v>1597</v>
      </c>
      <c r="D102" s="80">
        <f t="shared" si="8"/>
        <v>149</v>
      </c>
    </row>
    <row r="103" spans="1:4" x14ac:dyDescent="0.2">
      <c r="A103" s="91">
        <v>40586</v>
      </c>
      <c r="B103" s="71">
        <f t="shared" si="6"/>
        <v>1472</v>
      </c>
      <c r="C103" s="71">
        <f t="shared" si="7"/>
        <v>1184</v>
      </c>
      <c r="D103" s="80">
        <f t="shared" si="8"/>
        <v>288</v>
      </c>
    </row>
    <row r="104" spans="1:4" x14ac:dyDescent="0.2">
      <c r="A104" s="91">
        <v>40587</v>
      </c>
      <c r="B104" s="71">
        <f t="shared" si="6"/>
        <v>1589</v>
      </c>
      <c r="C104" s="71">
        <f t="shared" si="7"/>
        <v>1192</v>
      </c>
      <c r="D104" s="80">
        <f t="shared" si="8"/>
        <v>397</v>
      </c>
    </row>
    <row r="105" spans="1:4" ht="16" thickBot="1" x14ac:dyDescent="0.25">
      <c r="A105" s="92">
        <v>40588</v>
      </c>
      <c r="B105" s="88">
        <f t="shared" si="6"/>
        <v>151</v>
      </c>
      <c r="C105" s="88">
        <f t="shared" si="7"/>
        <v>143</v>
      </c>
      <c r="D105" s="83">
        <f t="shared" si="8"/>
        <v>8</v>
      </c>
    </row>
  </sheetData>
  <mergeCells count="2">
    <mergeCell ref="A4:B4"/>
    <mergeCell ref="A12:B12"/>
  </mergeCells>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16</vt:i4>
      </vt:variant>
      <vt:variant>
        <vt:lpstr>Named Ranges</vt:lpstr>
      </vt:variant>
      <vt:variant>
        <vt:i4>36</vt:i4>
      </vt:variant>
    </vt:vector>
  </HeadingPairs>
  <TitlesOfParts>
    <vt:vector size="52" baseType="lpstr">
      <vt:lpstr>Cover</vt:lpstr>
      <vt:lpstr>Dashboard</vt:lpstr>
      <vt:lpstr>Insights</vt:lpstr>
      <vt:lpstr>Analysis</vt:lpstr>
      <vt:lpstr>Stats</vt:lpstr>
      <vt:lpstr>Anomalies</vt:lpstr>
      <vt:lpstr>Forecast</vt:lpstr>
      <vt:lpstr>Pivot</vt:lpstr>
      <vt:lpstr>Final_Dataset</vt:lpstr>
      <vt:lpstr>Dataset_A</vt:lpstr>
      <vt:lpstr>Dataset_1</vt:lpstr>
      <vt:lpstr>Dataset_2</vt:lpstr>
      <vt:lpstr>Dataset_3</vt:lpstr>
      <vt:lpstr>Data_Quality</vt:lpstr>
      <vt:lpstr>Lookups</vt:lpstr>
      <vt:lpstr>Dashboard_Calc</vt:lpstr>
      <vt:lpstr>band_name</vt:lpstr>
      <vt:lpstr>band_start</vt:lpstr>
      <vt:lpstr>f_atemp</vt:lpstr>
      <vt:lpstr>f_casual</vt:lpstr>
      <vt:lpstr>f_Casual_Share</vt:lpstr>
      <vt:lpstr>f_cnt</vt:lpstr>
      <vt:lpstr>f_DateTime</vt:lpstr>
      <vt:lpstr>f_Day_Name</vt:lpstr>
      <vt:lpstr>f_Day_Type</vt:lpstr>
      <vt:lpstr>f_Demand_Level</vt:lpstr>
      <vt:lpstr>f_dteday</vt:lpstr>
      <vt:lpstr>f_holiday</vt:lpstr>
      <vt:lpstr>f_hr</vt:lpstr>
      <vt:lpstr>f_hum</vt:lpstr>
      <vt:lpstr>f_Humidity_Band</vt:lpstr>
      <vt:lpstr>f_Month</vt:lpstr>
      <vt:lpstr>f_Peak_Hour</vt:lpstr>
      <vt:lpstr>f_Record_ID</vt:lpstr>
      <vt:lpstr>f_registered</vt:lpstr>
      <vt:lpstr>f_Season_Name</vt:lpstr>
      <vt:lpstr>f_temp</vt:lpstr>
      <vt:lpstr>f_Temp_Band</vt:lpstr>
      <vt:lpstr>f_Time_Band</vt:lpstr>
      <vt:lpstr>f_Visible</vt:lpstr>
      <vt:lpstr>f_Weather</vt:lpstr>
      <vt:lpstr>f_weathersit</vt:lpstr>
      <vt:lpstr>f_weekday</vt:lpstr>
      <vt:lpstr>f_windspeed</vt:lpstr>
      <vt:lpstr>f_Working_Day</vt:lpstr>
      <vt:lpstr>hum_band</vt:lpstr>
      <vt:lpstr>hum_from</vt:lpstr>
      <vt:lpstr>Dashboard!Print_Area</vt:lpstr>
      <vt:lpstr>tbl_season</vt:lpstr>
      <vt:lpstr>tbl_weather</vt:lpstr>
      <vt:lpstr>temp_band</vt:lpstr>
      <vt:lpstr>temp_from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Vivek Kumar</cp:lastModifiedBy>
  <dcterms:created xsi:type="dcterms:W3CDTF">2026-10-09T14:41:22Z</dcterms:created>
  <dcterms:modified xsi:type="dcterms:W3CDTF">2026-10-09T20:24:09Z</dcterms:modified>
</cp:coreProperties>
</file>